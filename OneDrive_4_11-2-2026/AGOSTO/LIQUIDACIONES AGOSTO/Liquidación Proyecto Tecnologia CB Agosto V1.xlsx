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AGOSTO/LIQUIDACIONES AGOSTO/"/>
    </mc:Choice>
  </mc:AlternateContent>
  <xr:revisionPtr revIDLastSave="86" documentId="13_ncr:1_{BCC37809-E38D-4872-861D-6CD82F27679D}" xr6:coauthVersionLast="47" xr6:coauthVersionMax="47" xr10:uidLastSave="{8291CEC7-8908-4226-AB57-39486C2449E1}"/>
  <bookViews>
    <workbookView xWindow="28680" yWindow="-120" windowWidth="38640" windowHeight="15840" tabRatio="896" firstSheet="1" activeTab="4" xr2:uid="{00000000-000D-0000-FFFF-FFFF00000000}"/>
  </bookViews>
  <sheets>
    <sheet name="RESUMEN" sheetId="14" r:id="rId1"/>
    <sheet name="BASE LIQUIDACION" sheetId="23" r:id="rId2"/>
    <sheet name="Tablas dinámicas" sheetId="203" state="hidden" r:id="rId3"/>
    <sheet name="ADECUACIONES" sheetId="200" r:id="rId4"/>
    <sheet name="Hoja1" sheetId="204" r:id="rId5"/>
    <sheet name="TIPOLOGIAS" sheetId="202" state="hidden" r:id="rId6"/>
    <sheet name="INCIDENTES" sheetId="199" r:id="rId7"/>
    <sheet name="OC" sheetId="198" r:id="rId8"/>
    <sheet name="CENTRO DE COSTOS" sheetId="201"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xlnm._FilterDatabase" localSheetId="3" hidden="1">ADECUACIONES!$A$2:$AE$52</definedName>
    <definedName name="_xlnm._FilterDatabase" localSheetId="8" hidden="1">'CENTRO DE COSTOS'!$A$1:$D$23</definedName>
    <definedName name="_xlnm._FilterDatabase" localSheetId="6" hidden="1">INCIDENTES!$A$1:$AG$186</definedName>
    <definedName name="_xlnm._FilterDatabase" localSheetId="7" hidden="1">OC!$A$1:$AG$11</definedName>
    <definedName name="A">#REF!</definedName>
    <definedName name="ACTIVIDAD" localSheetId="8">[1]Hoja2!$P$2:$P$30</definedName>
    <definedName name="Actividad">[2]Formulas!$H$2:$H$5000</definedName>
    <definedName name="arearesponsable">'[3]Listas desplegables'!$BB$2:$BB$100</definedName>
    <definedName name="Clientes" localSheetId="8">[4]Clientes!$A$2:$A$100</definedName>
    <definedName name="Clientes">[2]Clientes!$A$2:$A$100</definedName>
    <definedName name="COORDINADOR">[1]Hoja2!$D$2:$D$30</definedName>
    <definedName name="Coordinadores" localSheetId="8">[5]Coordinadores!$A$2:$A$1000</definedName>
    <definedName name="Coordinadores">[2]Coordinadores!$A$2:$A$1000</definedName>
    <definedName name="DOCUMENTADOR">[1]Hoja2!$A$2:$A$30</definedName>
    <definedName name="ES">[1]Hoja2!$K$2:$K$30</definedName>
    <definedName name="ESS">[1]Hoja2!$K$2:$K$30</definedName>
    <definedName name="Estado" localSheetId="8">[4]Formulas!$K$2:$K$5000</definedName>
    <definedName name="Estado">[2]Formulas!$K$2:$K$5000</definedName>
    <definedName name="ESTADOACTIVIDAD">[1]Hoja2!$M$2:$M$30</definedName>
    <definedName name="ESTADOS">'[6]Listas desplegables'!$B$1:$D$1</definedName>
    <definedName name="ESTADOSCIERRES">'[7]lista desplegable'!$CX$1:$DA$1</definedName>
    <definedName name="Facturacion">'[8]Listas desplegables'!$AO$1:$AR$1</definedName>
    <definedName name="FACTURACIÓN">'[6]Listas desplegables'!$Y$1:$AB$1</definedName>
    <definedName name="falla">#REF!</definedName>
    <definedName name="Fallas">'[9]Listas desplegables'!$F$2:$L$2</definedName>
    <definedName name="Grupo_Falla">'[10]Listas Desplegables'!$CH$2:$CH$5</definedName>
    <definedName name="inconservmanager">'[11]Listas desplegables'!$BC$2:$BC$100</definedName>
    <definedName name="INCUMPLIMIENTO">'[3]Listas desplegables'!$AK$1:$AN$1</definedName>
    <definedName name="LISTA">[12]Dptos!$A$1139:$A$1171</definedName>
    <definedName name="LISTA2">#REF!</definedName>
    <definedName name="LOLO">[13]Coordinadores!$A$2:$A$1000</definedName>
    <definedName name="solicitudes" localSheetId="8">'[8]Listas desplegables'!$U$1:$AF$1</definedName>
    <definedName name="solicitudes">'[14]Listas desplegables'!$AF$1:$AQ$1</definedName>
    <definedName name="Tecnicos" localSheetId="8">[4]Tecnicos!$A$2:$A$1000</definedName>
    <definedName name="Tecnicos">[2]Tecnicos!$A$2:$A$1000</definedName>
    <definedName name="Version">[2]Formulas!$I$2:$I$3</definedName>
  </definedNames>
  <calcPr calcId="191028"/>
  <pivotCaches>
    <pivotCache cacheId="0" r:id="rId24"/>
    <pivotCache cacheId="1" r:id="rId25"/>
    <pivotCache cacheId="2" r:id="rId26"/>
    <pivotCache cacheId="3" r:id="rId2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200" l="1"/>
  <c r="AE3" i="200" l="1"/>
  <c r="AG4" i="199"/>
  <c r="C1" i="200" l="1"/>
  <c r="D1" i="200" s="1"/>
  <c r="E1" i="200" s="1"/>
  <c r="F1" i="200" s="1"/>
  <c r="G1" i="200" s="1"/>
  <c r="H1" i="200" s="1"/>
  <c r="I1" i="200" s="1"/>
  <c r="J1" i="200" s="1"/>
  <c r="K1" i="200" s="1"/>
  <c r="L1" i="200" s="1"/>
  <c r="M1" i="200" s="1"/>
  <c r="N1" i="200" s="1"/>
  <c r="O1" i="200" s="1"/>
  <c r="P1" i="200" s="1"/>
  <c r="Q1" i="200" s="1"/>
  <c r="R1" i="200" s="1"/>
  <c r="S1" i="200" s="1"/>
  <c r="T1" i="200" s="1"/>
  <c r="U1" i="200" s="1"/>
  <c r="V1" i="200" s="1"/>
  <c r="W1" i="200" s="1"/>
  <c r="X1" i="200" s="1"/>
  <c r="Y1" i="200" s="1"/>
  <c r="Z1" i="200" s="1"/>
  <c r="AA1" i="200" s="1"/>
  <c r="AB1" i="200" s="1"/>
  <c r="AC1" i="200" s="1"/>
  <c r="AD1" i="200" s="1"/>
  <c r="AE1" i="200" s="1"/>
  <c r="B1" i="200"/>
  <c r="B25" i="200"/>
  <c r="C25" i="200"/>
  <c r="B26" i="200"/>
  <c r="C26" i="200"/>
  <c r="C51" i="200"/>
  <c r="B51" i="200"/>
  <c r="B4" i="198"/>
  <c r="C4" i="198"/>
  <c r="B5" i="198"/>
  <c r="C5" i="198"/>
  <c r="B6" i="198"/>
  <c r="C6" i="198"/>
  <c r="B7" i="198"/>
  <c r="C7" i="198"/>
  <c r="B8" i="198"/>
  <c r="C8" i="198"/>
  <c r="B9" i="198"/>
  <c r="C9" i="198"/>
  <c r="B10" i="198"/>
  <c r="C10" i="198"/>
  <c r="Z3" i="198"/>
  <c r="Z4" i="198"/>
  <c r="Z5" i="198"/>
  <c r="Z6" i="198"/>
  <c r="Z7" i="198"/>
  <c r="Z8" i="198"/>
  <c r="Z9" i="198"/>
  <c r="Z10" i="198"/>
  <c r="E32" i="203"/>
  <c r="F32" i="203"/>
  <c r="E33" i="203"/>
  <c r="F33" i="203"/>
  <c r="E34" i="203"/>
  <c r="F34" i="203"/>
  <c r="E35" i="203"/>
  <c r="F35" i="203"/>
  <c r="E36" i="203"/>
  <c r="F36" i="203"/>
  <c r="B3" i="198"/>
  <c r="C3" i="198"/>
  <c r="B5" i="199"/>
  <c r="C5" i="199"/>
  <c r="B6" i="199"/>
  <c r="C6" i="199"/>
  <c r="B7" i="199"/>
  <c r="C7" i="199"/>
  <c r="B8" i="199"/>
  <c r="C8" i="199"/>
  <c r="B9" i="199"/>
  <c r="C9" i="199"/>
  <c r="B10" i="199"/>
  <c r="C10" i="199"/>
  <c r="B11" i="199"/>
  <c r="C11" i="199"/>
  <c r="B12" i="199"/>
  <c r="C12" i="199"/>
  <c r="B13" i="199"/>
  <c r="C13" i="199"/>
  <c r="B14" i="199"/>
  <c r="C14" i="199"/>
  <c r="B15" i="199"/>
  <c r="C15" i="199"/>
  <c r="B16" i="199"/>
  <c r="C16" i="199"/>
  <c r="B17" i="199"/>
  <c r="C17" i="199"/>
  <c r="B18" i="199"/>
  <c r="C18" i="199"/>
  <c r="B19" i="199"/>
  <c r="C19" i="199"/>
  <c r="B20" i="199"/>
  <c r="C20" i="199"/>
  <c r="B21" i="199"/>
  <c r="C21" i="199"/>
  <c r="B22" i="199"/>
  <c r="C22" i="199"/>
  <c r="B23" i="199"/>
  <c r="C23" i="199"/>
  <c r="B24" i="199"/>
  <c r="C24" i="199"/>
  <c r="B25" i="199"/>
  <c r="C25" i="199"/>
  <c r="B26" i="199"/>
  <c r="C26" i="199"/>
  <c r="B27" i="199"/>
  <c r="C27" i="199"/>
  <c r="B28" i="199"/>
  <c r="C28" i="199"/>
  <c r="B29" i="199"/>
  <c r="C29" i="199"/>
  <c r="B30" i="199"/>
  <c r="C30" i="199"/>
  <c r="B31" i="199"/>
  <c r="C31" i="199"/>
  <c r="B32" i="199"/>
  <c r="C32" i="199"/>
  <c r="B33" i="199"/>
  <c r="C33" i="199"/>
  <c r="B34" i="199"/>
  <c r="C34" i="199"/>
  <c r="B35" i="199"/>
  <c r="C35" i="199"/>
  <c r="B36" i="199"/>
  <c r="C36" i="199"/>
  <c r="B37" i="199"/>
  <c r="C37" i="199"/>
  <c r="B38" i="199"/>
  <c r="C38" i="199"/>
  <c r="B39" i="199"/>
  <c r="C39" i="199"/>
  <c r="B40" i="199"/>
  <c r="C40" i="199"/>
  <c r="B41" i="199"/>
  <c r="C41" i="199"/>
  <c r="B42" i="199"/>
  <c r="C42" i="199"/>
  <c r="B43" i="199"/>
  <c r="C43" i="199"/>
  <c r="B44" i="199"/>
  <c r="C44" i="199"/>
  <c r="B45" i="199"/>
  <c r="C45" i="199"/>
  <c r="B46" i="199"/>
  <c r="C46" i="199"/>
  <c r="B47" i="199"/>
  <c r="C47" i="199"/>
  <c r="B48" i="199"/>
  <c r="C48" i="199"/>
  <c r="B49" i="199"/>
  <c r="C49" i="199"/>
  <c r="B50" i="199"/>
  <c r="C50" i="199"/>
  <c r="B51" i="199"/>
  <c r="C51" i="199"/>
  <c r="B52" i="199"/>
  <c r="C52" i="199"/>
  <c r="B53" i="199"/>
  <c r="C53" i="199"/>
  <c r="B54" i="199"/>
  <c r="C54" i="199"/>
  <c r="B55" i="199"/>
  <c r="C55" i="199"/>
  <c r="B56" i="199"/>
  <c r="C56" i="199"/>
  <c r="B57" i="199"/>
  <c r="C57" i="199"/>
  <c r="B58" i="199"/>
  <c r="C58" i="199"/>
  <c r="B59" i="199"/>
  <c r="C59" i="199"/>
  <c r="B60" i="199"/>
  <c r="C60" i="199"/>
  <c r="B61" i="199"/>
  <c r="C61" i="199"/>
  <c r="B62" i="199"/>
  <c r="C62" i="199"/>
  <c r="B63" i="199"/>
  <c r="C63" i="199"/>
  <c r="B64" i="199"/>
  <c r="C64" i="199"/>
  <c r="B65" i="199"/>
  <c r="C65" i="199"/>
  <c r="B66" i="199"/>
  <c r="C66" i="199"/>
  <c r="B67" i="199"/>
  <c r="C67" i="199"/>
  <c r="B68" i="199"/>
  <c r="C68" i="199"/>
  <c r="B69" i="199"/>
  <c r="C69" i="199"/>
  <c r="B70" i="199"/>
  <c r="C70" i="199"/>
  <c r="B71" i="199"/>
  <c r="C71" i="199"/>
  <c r="B72" i="199"/>
  <c r="C72" i="199"/>
  <c r="B73" i="199"/>
  <c r="C73" i="199"/>
  <c r="B74" i="199"/>
  <c r="C74" i="199"/>
  <c r="B75" i="199"/>
  <c r="C75" i="199"/>
  <c r="B76" i="199"/>
  <c r="C76" i="199"/>
  <c r="B77" i="199"/>
  <c r="C77" i="199"/>
  <c r="B78" i="199"/>
  <c r="C78" i="199"/>
  <c r="B79" i="199"/>
  <c r="C79" i="199"/>
  <c r="B80" i="199"/>
  <c r="C80" i="199"/>
  <c r="B81" i="199"/>
  <c r="C81" i="199"/>
  <c r="B82" i="199"/>
  <c r="C82" i="199"/>
  <c r="B83" i="199"/>
  <c r="C83" i="199"/>
  <c r="B84" i="199"/>
  <c r="C84" i="199"/>
  <c r="B85" i="199"/>
  <c r="C85" i="199"/>
  <c r="B86" i="199"/>
  <c r="C86" i="199"/>
  <c r="B87" i="199"/>
  <c r="C87" i="199"/>
  <c r="B88" i="199"/>
  <c r="C88" i="199"/>
  <c r="B89" i="199"/>
  <c r="C89" i="199"/>
  <c r="B90" i="199"/>
  <c r="C90" i="199"/>
  <c r="B91" i="199"/>
  <c r="C91" i="199"/>
  <c r="B92" i="199"/>
  <c r="C92" i="199"/>
  <c r="B93" i="199"/>
  <c r="C93" i="199"/>
  <c r="B94" i="199"/>
  <c r="C94" i="199"/>
  <c r="B95" i="199"/>
  <c r="C95" i="199"/>
  <c r="B96" i="199"/>
  <c r="C96" i="199"/>
  <c r="B97" i="199"/>
  <c r="C97" i="199"/>
  <c r="B98" i="199"/>
  <c r="C98" i="199"/>
  <c r="B99" i="199"/>
  <c r="C99" i="199"/>
  <c r="B100" i="199"/>
  <c r="C100" i="199"/>
  <c r="B101" i="199"/>
  <c r="C101" i="199"/>
  <c r="B102" i="199"/>
  <c r="C102" i="199"/>
  <c r="B103" i="199"/>
  <c r="C103" i="199"/>
  <c r="B104" i="199"/>
  <c r="C104" i="199"/>
  <c r="B105" i="199"/>
  <c r="C105" i="199"/>
  <c r="B106" i="199"/>
  <c r="C106" i="199"/>
  <c r="B107" i="199"/>
  <c r="C107" i="199"/>
  <c r="B108" i="199"/>
  <c r="C108" i="199"/>
  <c r="B109" i="199"/>
  <c r="C109" i="199"/>
  <c r="B110" i="199"/>
  <c r="C110" i="199"/>
  <c r="B111" i="199"/>
  <c r="C111" i="199"/>
  <c r="B112" i="199"/>
  <c r="C112" i="199"/>
  <c r="B113" i="199"/>
  <c r="C113" i="199"/>
  <c r="B114" i="199"/>
  <c r="C114" i="199"/>
  <c r="B115" i="199"/>
  <c r="C115" i="199"/>
  <c r="B116" i="199"/>
  <c r="C116" i="199"/>
  <c r="B117" i="199"/>
  <c r="C117" i="199"/>
  <c r="B118" i="199"/>
  <c r="C118" i="199"/>
  <c r="B119" i="199"/>
  <c r="C119" i="199"/>
  <c r="B120" i="199"/>
  <c r="C120" i="199"/>
  <c r="B121" i="199"/>
  <c r="C121" i="199"/>
  <c r="B122" i="199"/>
  <c r="C122" i="199"/>
  <c r="B123" i="199"/>
  <c r="C123" i="199"/>
  <c r="B124" i="199"/>
  <c r="C124" i="199"/>
  <c r="B125" i="199"/>
  <c r="C125" i="199"/>
  <c r="B126" i="199"/>
  <c r="C126" i="199"/>
  <c r="B127" i="199"/>
  <c r="C127" i="199"/>
  <c r="B128" i="199"/>
  <c r="C128" i="199"/>
  <c r="B129" i="199"/>
  <c r="C129" i="199"/>
  <c r="B130" i="199"/>
  <c r="C130" i="199"/>
  <c r="B131" i="199"/>
  <c r="C131" i="199"/>
  <c r="B132" i="199"/>
  <c r="C132" i="199"/>
  <c r="B133" i="199"/>
  <c r="C133" i="199"/>
  <c r="B134" i="199"/>
  <c r="C134" i="199"/>
  <c r="B135" i="199"/>
  <c r="C135" i="199"/>
  <c r="B136" i="199"/>
  <c r="C136" i="199"/>
  <c r="B137" i="199"/>
  <c r="C137" i="199"/>
  <c r="B138" i="199"/>
  <c r="C138" i="199"/>
  <c r="B139" i="199"/>
  <c r="C139" i="199"/>
  <c r="B140" i="199"/>
  <c r="C140" i="199"/>
  <c r="B141" i="199"/>
  <c r="C141" i="199"/>
  <c r="B142" i="199"/>
  <c r="C142" i="199"/>
  <c r="B143" i="199"/>
  <c r="C143" i="199"/>
  <c r="B144" i="199"/>
  <c r="C144" i="199"/>
  <c r="B145" i="199"/>
  <c r="C145" i="199"/>
  <c r="B146" i="199"/>
  <c r="C146" i="199"/>
  <c r="B147" i="199"/>
  <c r="C147" i="199"/>
  <c r="B148" i="199"/>
  <c r="C148" i="199"/>
  <c r="B149" i="199"/>
  <c r="C149" i="199"/>
  <c r="B150" i="199"/>
  <c r="C150" i="199"/>
  <c r="B151" i="199"/>
  <c r="C151" i="199"/>
  <c r="B152" i="199"/>
  <c r="C152" i="199"/>
  <c r="B153" i="199"/>
  <c r="C153" i="199"/>
  <c r="B154" i="199"/>
  <c r="C154" i="199"/>
  <c r="B155" i="199"/>
  <c r="C155" i="199"/>
  <c r="B156" i="199"/>
  <c r="C156" i="199"/>
  <c r="B157" i="199"/>
  <c r="C157" i="199"/>
  <c r="B158" i="199"/>
  <c r="C158" i="199"/>
  <c r="B159" i="199"/>
  <c r="C159" i="199"/>
  <c r="B160" i="199"/>
  <c r="C160" i="199"/>
  <c r="B161" i="199"/>
  <c r="C161" i="199"/>
  <c r="B162" i="199"/>
  <c r="C162" i="199"/>
  <c r="B163" i="199"/>
  <c r="C163" i="199"/>
  <c r="B164" i="199"/>
  <c r="C164" i="199"/>
  <c r="B165" i="199"/>
  <c r="C165" i="199"/>
  <c r="B166" i="199"/>
  <c r="C166" i="199"/>
  <c r="B167" i="199"/>
  <c r="C167" i="199"/>
  <c r="B168" i="199"/>
  <c r="C168" i="199"/>
  <c r="B169" i="199"/>
  <c r="C169" i="199"/>
  <c r="B170" i="199"/>
  <c r="C170" i="199"/>
  <c r="B171" i="199"/>
  <c r="C171" i="199"/>
  <c r="B172" i="199"/>
  <c r="C172" i="199"/>
  <c r="B173" i="199"/>
  <c r="C173" i="199"/>
  <c r="B174" i="199"/>
  <c r="C174" i="199"/>
  <c r="B175" i="199"/>
  <c r="C175" i="199"/>
  <c r="B176" i="199"/>
  <c r="C176" i="199"/>
  <c r="B177" i="199"/>
  <c r="C177" i="199"/>
  <c r="B178" i="199"/>
  <c r="C178" i="199"/>
  <c r="B179" i="199"/>
  <c r="C179" i="199"/>
  <c r="B180" i="199"/>
  <c r="C180" i="199"/>
  <c r="B181" i="199"/>
  <c r="C181" i="199"/>
  <c r="B182" i="199"/>
  <c r="C182" i="199"/>
  <c r="B183" i="199"/>
  <c r="C183" i="199"/>
  <c r="B184" i="199"/>
  <c r="C184" i="199"/>
  <c r="B185" i="199"/>
  <c r="C185" i="199"/>
  <c r="B186" i="199"/>
  <c r="C186" i="199"/>
  <c r="B43" i="200"/>
  <c r="C43" i="200"/>
  <c r="B44" i="200"/>
  <c r="C44" i="200"/>
  <c r="B45" i="200"/>
  <c r="C45" i="200"/>
  <c r="B46" i="200"/>
  <c r="C46" i="200"/>
  <c r="B47" i="200"/>
  <c r="C47" i="200"/>
  <c r="B48" i="200"/>
  <c r="C48" i="200"/>
  <c r="B49" i="200"/>
  <c r="C49" i="200"/>
  <c r="B50" i="200"/>
  <c r="C50" i="200"/>
  <c r="I6" i="14"/>
  <c r="J6" i="14" s="1"/>
  <c r="B30" i="200"/>
  <c r="C30" i="200"/>
  <c r="B31" i="200"/>
  <c r="C31" i="200"/>
  <c r="B32" i="200"/>
  <c r="C32" i="200"/>
  <c r="B33" i="200"/>
  <c r="C33" i="200"/>
  <c r="B34" i="200"/>
  <c r="C34" i="200"/>
  <c r="B35" i="200"/>
  <c r="C35" i="200"/>
  <c r="B36" i="200"/>
  <c r="C36" i="200"/>
  <c r="B37" i="200"/>
  <c r="C37" i="200"/>
  <c r="B38" i="200"/>
  <c r="C38" i="200"/>
  <c r="B39" i="200"/>
  <c r="C39" i="200"/>
  <c r="B40" i="200"/>
  <c r="C40" i="200"/>
  <c r="B41" i="200"/>
  <c r="C41" i="200"/>
  <c r="B42" i="200"/>
  <c r="C42" i="200"/>
  <c r="B28" i="200"/>
  <c r="C28" i="200"/>
  <c r="B29" i="200"/>
  <c r="C29" i="200"/>
  <c r="B24" i="200"/>
  <c r="C24" i="200"/>
  <c r="B27" i="200"/>
  <c r="C27" i="200"/>
  <c r="E8" i="203"/>
  <c r="F8" i="203"/>
  <c r="E9" i="203"/>
  <c r="F9" i="203"/>
  <c r="E10" i="203"/>
  <c r="F10" i="203"/>
  <c r="B20" i="200"/>
  <c r="C20" i="200"/>
  <c r="B21" i="200"/>
  <c r="C21" i="200"/>
  <c r="B22" i="200"/>
  <c r="C22" i="200"/>
  <c r="B23" i="200"/>
  <c r="C23" i="200"/>
  <c r="I5" i="14"/>
  <c r="I7" i="14"/>
  <c r="J7" i="14" s="1"/>
  <c r="B15" i="23"/>
  <c r="B14" i="23"/>
  <c r="B13" i="23"/>
  <c r="B12" i="23"/>
  <c r="B11" i="23"/>
  <c r="B10" i="23"/>
  <c r="D7" i="23"/>
  <c r="AD51" i="200" s="1"/>
  <c r="AE51" i="200" s="1"/>
  <c r="D6" i="23"/>
  <c r="D5" i="23"/>
  <c r="D4" i="23"/>
  <c r="D3" i="23"/>
  <c r="C7" i="23"/>
  <c r="C6" i="23"/>
  <c r="C5" i="23"/>
  <c r="C4" i="23"/>
  <c r="C3" i="23"/>
  <c r="B18" i="200"/>
  <c r="C18" i="200"/>
  <c r="B19" i="200"/>
  <c r="C19" i="200"/>
  <c r="B4" i="200"/>
  <c r="C4" i="200"/>
  <c r="B5" i="200"/>
  <c r="C5" i="200"/>
  <c r="B6" i="200"/>
  <c r="C6" i="200"/>
  <c r="B7" i="200"/>
  <c r="C7" i="200"/>
  <c r="B8" i="200"/>
  <c r="C8" i="200"/>
  <c r="B9" i="200"/>
  <c r="C9" i="200"/>
  <c r="B10" i="200"/>
  <c r="C10" i="200"/>
  <c r="B11" i="200"/>
  <c r="C11" i="200"/>
  <c r="B12" i="200"/>
  <c r="C12" i="200"/>
  <c r="B13" i="200"/>
  <c r="C13" i="200"/>
  <c r="B14" i="200"/>
  <c r="C14" i="200"/>
  <c r="B15" i="200"/>
  <c r="C15" i="200"/>
  <c r="B16" i="200"/>
  <c r="C16" i="200"/>
  <c r="B17" i="200"/>
  <c r="C17" i="200"/>
  <c r="F31" i="203"/>
  <c r="E31" i="203"/>
  <c r="F23" i="203"/>
  <c r="E23" i="203"/>
  <c r="F22" i="203"/>
  <c r="E22" i="203"/>
  <c r="F21" i="203"/>
  <c r="E21" i="203"/>
  <c r="F20" i="203"/>
  <c r="E20" i="203"/>
  <c r="F19" i="203"/>
  <c r="E19" i="203"/>
  <c r="F18" i="203"/>
  <c r="E18" i="203"/>
  <c r="F17" i="203"/>
  <c r="E17" i="203"/>
  <c r="F5" i="203"/>
  <c r="F6" i="203"/>
  <c r="F7" i="203"/>
  <c r="F4" i="203"/>
  <c r="E5" i="203"/>
  <c r="E6" i="203"/>
  <c r="E7" i="203"/>
  <c r="E4" i="203"/>
  <c r="I9" i="14"/>
  <c r="J9" i="14" s="1"/>
  <c r="AD26" i="200" l="1"/>
  <c r="AE26" i="200" s="1"/>
  <c r="AD25" i="200"/>
  <c r="AE25" i="200" s="1"/>
  <c r="AF5" i="198"/>
  <c r="AG5" i="198" s="1"/>
  <c r="AF6" i="198"/>
  <c r="AG6" i="198" s="1"/>
  <c r="AF7" i="198"/>
  <c r="AG7" i="198" s="1"/>
  <c r="AF8" i="198"/>
  <c r="AG8" i="198" s="1"/>
  <c r="AF9" i="198"/>
  <c r="AG9" i="198" s="1"/>
  <c r="AF10" i="198"/>
  <c r="AG10" i="198" s="1"/>
  <c r="AF3" i="198"/>
  <c r="AG3" i="198" s="1"/>
  <c r="AF4" i="198"/>
  <c r="AG4" i="198"/>
  <c r="AD48" i="200"/>
  <c r="AE48" i="200" s="1"/>
  <c r="AD50" i="200"/>
  <c r="AE50" i="200" s="1"/>
  <c r="AD47" i="200"/>
  <c r="AE47" i="200" s="1"/>
  <c r="AD49" i="200"/>
  <c r="AE49" i="200" s="1"/>
  <c r="AD27" i="200"/>
  <c r="AE27" i="200" s="1"/>
  <c r="AD24" i="200"/>
  <c r="AE24" i="200" s="1"/>
  <c r="AD29" i="200"/>
  <c r="AE29" i="200" s="1"/>
  <c r="AD28" i="200"/>
  <c r="AE28" i="200" s="1"/>
  <c r="AD46" i="200"/>
  <c r="AE46" i="200" s="1"/>
  <c r="AD45" i="200"/>
  <c r="AE45" i="200" s="1"/>
  <c r="AD44" i="200"/>
  <c r="AE44" i="200" s="1"/>
  <c r="AD43" i="200"/>
  <c r="AE43" i="200" s="1"/>
  <c r="AD42" i="200"/>
  <c r="AE42" i="200" s="1"/>
  <c r="AD41" i="200"/>
  <c r="AE41" i="200" s="1"/>
  <c r="AD40" i="200"/>
  <c r="AE40" i="200" s="1"/>
  <c r="AD39" i="200"/>
  <c r="AE39" i="200" s="1"/>
  <c r="AD38" i="200"/>
  <c r="AE38" i="200" s="1"/>
  <c r="AD37" i="200"/>
  <c r="AE37" i="200" s="1"/>
  <c r="AD36" i="200"/>
  <c r="AE36" i="200" s="1"/>
  <c r="AD35" i="200"/>
  <c r="AE35" i="200" s="1"/>
  <c r="AD34" i="200"/>
  <c r="AE34" i="200" s="1"/>
  <c r="AD33" i="200"/>
  <c r="AE33" i="200" s="1"/>
  <c r="AD32" i="200"/>
  <c r="AE32" i="200" s="1"/>
  <c r="AD31" i="200"/>
  <c r="AE31" i="200" s="1"/>
  <c r="AD30" i="200"/>
  <c r="AE30" i="200" s="1"/>
  <c r="H12" i="14"/>
  <c r="AD7" i="200"/>
  <c r="AE7" i="200" s="1"/>
  <c r="AD6" i="200"/>
  <c r="AE6" i="200" s="1"/>
  <c r="AD5" i="200"/>
  <c r="AE5" i="200" s="1"/>
  <c r="AD4" i="200"/>
  <c r="AE4" i="200" s="1"/>
  <c r="AD11" i="200"/>
  <c r="AE11" i="200" s="1"/>
  <c r="AD10" i="200"/>
  <c r="AE10" i="200" s="1"/>
  <c r="AD9" i="200"/>
  <c r="AE9" i="200" s="1"/>
  <c r="AD8" i="200"/>
  <c r="AE8" i="200" s="1"/>
  <c r="AD14" i="200"/>
  <c r="AE14" i="200" s="1"/>
  <c r="AD13" i="200"/>
  <c r="AE13" i="200" s="1"/>
  <c r="AD12" i="200"/>
  <c r="AE12" i="200" s="1"/>
  <c r="AD19" i="200"/>
  <c r="AE19" i="200" s="1"/>
  <c r="AD18" i="200"/>
  <c r="AE18" i="200" s="1"/>
  <c r="AD17" i="200"/>
  <c r="AE17" i="200" s="1"/>
  <c r="AD16" i="200"/>
  <c r="AE16" i="200" s="1"/>
  <c r="AD15" i="200"/>
  <c r="AE15" i="200" s="1"/>
  <c r="AD23" i="200"/>
  <c r="AE23" i="200" s="1"/>
  <c r="AD22" i="200"/>
  <c r="AE22" i="200" s="1"/>
  <c r="AD21" i="200"/>
  <c r="AE21" i="200" s="1"/>
  <c r="AD20" i="200"/>
  <c r="AE20" i="200" s="1"/>
  <c r="AF5" i="199"/>
  <c r="AG5" i="199" s="1"/>
  <c r="AF6" i="199"/>
  <c r="AG6" i="199" s="1"/>
  <c r="AF8" i="199"/>
  <c r="AG8" i="199" s="1"/>
  <c r="AF13" i="199"/>
  <c r="AG13" i="199" s="1"/>
  <c r="AF14" i="199"/>
  <c r="AG14" i="199" s="1"/>
  <c r="AF15" i="199"/>
  <c r="AG15" i="199" s="1"/>
  <c r="AF16" i="199"/>
  <c r="AG16" i="199" s="1"/>
  <c r="AF17" i="199"/>
  <c r="AG17" i="199" s="1"/>
  <c r="AF18" i="199"/>
  <c r="AG18" i="199" s="1"/>
  <c r="AF19" i="199"/>
  <c r="AG19" i="199" s="1"/>
  <c r="AF20" i="199"/>
  <c r="AG20" i="199" s="1"/>
  <c r="AF21" i="199"/>
  <c r="AG21" i="199" s="1"/>
  <c r="AF26" i="199"/>
  <c r="AG26" i="199" s="1"/>
  <c r="AF27" i="199"/>
  <c r="AG27" i="199" s="1"/>
  <c r="AF29" i="199"/>
  <c r="AG29" i="199" s="1"/>
  <c r="AF31" i="199"/>
  <c r="AG31" i="199" s="1"/>
  <c r="AF32" i="199"/>
  <c r="AG32" i="199" s="1"/>
  <c r="AF33" i="199"/>
  <c r="AG33" i="199" s="1"/>
  <c r="AF34" i="199"/>
  <c r="AG34" i="199" s="1"/>
  <c r="AF36" i="199"/>
  <c r="AG36" i="199" s="1"/>
  <c r="AF37" i="199"/>
  <c r="AG37" i="199" s="1"/>
  <c r="AF38" i="199"/>
  <c r="AG38" i="199" s="1"/>
  <c r="AF39" i="199"/>
  <c r="AG39" i="199" s="1"/>
  <c r="AF41" i="199"/>
  <c r="AG41" i="199" s="1"/>
  <c r="AF42" i="199"/>
  <c r="AG42" i="199" s="1"/>
  <c r="AF45" i="199"/>
  <c r="AG45" i="199" s="1"/>
  <c r="AF47" i="199"/>
  <c r="AG47" i="199" s="1"/>
  <c r="AF51" i="199"/>
  <c r="AG51" i="199" s="1"/>
  <c r="AF54" i="199"/>
  <c r="AG54" i="199" s="1"/>
  <c r="AF58" i="199"/>
  <c r="AG58" i="199" s="1"/>
  <c r="AF60" i="199"/>
  <c r="AG60" i="199" s="1"/>
  <c r="AF61" i="199"/>
  <c r="AG61" i="199" s="1"/>
  <c r="AF63" i="199"/>
  <c r="AG63" i="199" s="1"/>
  <c r="AF67" i="199"/>
  <c r="AG67" i="199" s="1"/>
  <c r="AF71" i="199"/>
  <c r="AG71" i="199" s="1"/>
  <c r="AF72" i="199"/>
  <c r="AG72" i="199" s="1"/>
  <c r="AF75" i="199"/>
  <c r="AG75" i="199" s="1"/>
  <c r="AF76" i="199"/>
  <c r="AG76" i="199" s="1"/>
  <c r="AF78" i="199"/>
  <c r="AG78" i="199" s="1"/>
  <c r="AF80" i="199"/>
  <c r="AG80" i="199" s="1"/>
  <c r="AF86" i="199"/>
  <c r="AG86" i="199" s="1"/>
  <c r="AF87" i="199"/>
  <c r="AG87" i="199" s="1"/>
  <c r="AF89" i="199"/>
  <c r="AG89" i="199" s="1"/>
  <c r="AF90" i="199"/>
  <c r="AG90" i="199" s="1"/>
  <c r="AF91" i="199"/>
  <c r="AG91" i="199" s="1"/>
  <c r="AF92" i="199"/>
  <c r="AG92" i="199" s="1"/>
  <c r="AF94" i="199"/>
  <c r="AG94" i="199" s="1"/>
  <c r="AF95" i="199"/>
  <c r="AG95" i="199" s="1"/>
  <c r="AF97" i="199"/>
  <c r="AG97" i="199" s="1"/>
  <c r="AF98" i="199"/>
  <c r="AG98" i="199" s="1"/>
  <c r="AF100" i="199"/>
  <c r="AG100" i="199" s="1"/>
  <c r="AF102" i="199"/>
  <c r="AG102" i="199" s="1"/>
  <c r="AF104" i="199"/>
  <c r="AG104" i="199" s="1"/>
  <c r="AF107" i="199"/>
  <c r="AG107" i="199" s="1"/>
  <c r="AF110" i="199"/>
  <c r="AG110" i="199" s="1"/>
  <c r="AF111" i="199"/>
  <c r="AG111" i="199" s="1"/>
  <c r="AF112" i="199"/>
  <c r="AG112" i="199" s="1"/>
  <c r="AF114" i="199"/>
  <c r="AG114" i="199" s="1"/>
  <c r="AF116" i="199"/>
  <c r="AG116" i="199" s="1"/>
  <c r="AF117" i="199"/>
  <c r="AG117" i="199" s="1"/>
  <c r="AF119" i="199"/>
  <c r="AG119" i="199" s="1"/>
  <c r="AF120" i="199"/>
  <c r="AG120" i="199" s="1"/>
  <c r="AF121" i="199"/>
  <c r="AG121" i="199" s="1"/>
  <c r="AF124" i="199"/>
  <c r="AG124" i="199" s="1"/>
  <c r="AF126" i="199"/>
  <c r="AG126" i="199" s="1"/>
  <c r="AF128" i="199"/>
  <c r="AG128" i="199" s="1"/>
  <c r="AF131" i="199"/>
  <c r="AG131" i="199" s="1"/>
  <c r="AF132" i="199"/>
  <c r="AG132" i="199" s="1"/>
  <c r="AF134" i="199"/>
  <c r="AG134" i="199" s="1"/>
  <c r="AF138" i="199"/>
  <c r="AG138" i="199" s="1"/>
  <c r="AF139" i="199"/>
  <c r="AG139" i="199" s="1"/>
  <c r="AF143" i="199"/>
  <c r="AG143" i="199" s="1"/>
  <c r="AF151" i="199"/>
  <c r="AG151" i="199" s="1"/>
  <c r="AF152" i="199"/>
  <c r="AG152" i="199" s="1"/>
  <c r="AF153" i="199"/>
  <c r="AG153" i="199" s="1"/>
  <c r="AF155" i="199"/>
  <c r="AG155" i="199" s="1"/>
  <c r="AF158" i="199"/>
  <c r="AG158" i="199" s="1"/>
  <c r="AF163" i="199"/>
  <c r="AG163" i="199" s="1"/>
  <c r="AF169" i="199"/>
  <c r="AG169" i="199" s="1"/>
  <c r="AF170" i="199"/>
  <c r="AG170" i="199" s="1"/>
  <c r="AF171" i="199"/>
  <c r="AG171" i="199" s="1"/>
  <c r="AF175" i="199"/>
  <c r="AG175" i="199" s="1"/>
  <c r="AF183" i="199"/>
  <c r="AG183" i="199" s="1"/>
  <c r="AF7" i="199"/>
  <c r="AG7" i="199" s="1"/>
  <c r="AF9" i="199"/>
  <c r="AG9" i="199" s="1"/>
  <c r="AF24" i="199"/>
  <c r="AG24" i="199" s="1"/>
  <c r="AF35" i="199"/>
  <c r="AG35" i="199" s="1"/>
  <c r="AF55" i="199"/>
  <c r="AG55" i="199" s="1"/>
  <c r="AF59" i="199"/>
  <c r="AG59" i="199" s="1"/>
  <c r="AF65" i="199"/>
  <c r="AG65" i="199" s="1"/>
  <c r="AF81" i="199"/>
  <c r="AG81" i="199" s="1"/>
  <c r="AF82" i="199"/>
  <c r="AG82" i="199" s="1"/>
  <c r="AF99" i="199"/>
  <c r="AG99" i="199" s="1"/>
  <c r="AF129" i="199"/>
  <c r="AG129" i="199" s="1"/>
  <c r="AF130" i="199"/>
  <c r="AG130" i="199" s="1"/>
  <c r="AF136" i="199"/>
  <c r="AG136" i="199" s="1"/>
  <c r="AF140" i="199"/>
  <c r="AG140" i="199" s="1"/>
  <c r="AF142" i="199"/>
  <c r="AG142" i="199" s="1"/>
  <c r="AF146" i="199"/>
  <c r="AG146" i="199" s="1"/>
  <c r="AF147" i="199"/>
  <c r="AG147" i="199" s="1"/>
  <c r="AF148" i="199"/>
  <c r="AG148" i="199" s="1"/>
  <c r="AF166" i="199"/>
  <c r="AG166" i="199" s="1"/>
  <c r="AF181" i="199"/>
  <c r="AG181" i="199" s="1"/>
  <c r="AF10" i="199"/>
  <c r="AG10" i="199" s="1"/>
  <c r="AF154" i="199"/>
  <c r="AG154" i="199" s="1"/>
  <c r="AF173" i="199"/>
  <c r="AG173" i="199" s="1"/>
  <c r="AF74" i="199"/>
  <c r="AG74" i="199" s="1"/>
  <c r="AF77" i="199"/>
  <c r="AG77" i="199" s="1"/>
  <c r="AF113" i="199"/>
  <c r="AG113" i="199" s="1"/>
  <c r="AF137" i="199"/>
  <c r="AG137" i="199" s="1"/>
  <c r="AF145" i="199"/>
  <c r="AG145" i="199" s="1"/>
  <c r="AF11" i="199"/>
  <c r="AG11" i="199" s="1"/>
  <c r="AF12" i="199"/>
  <c r="AG12" i="199" s="1"/>
  <c r="AF22" i="199"/>
  <c r="AG22" i="199" s="1"/>
  <c r="AF23" i="199"/>
  <c r="AG23" i="199" s="1"/>
  <c r="AF25" i="199"/>
  <c r="AG25" i="199" s="1"/>
  <c r="AF28" i="199"/>
  <c r="AG28" i="199"/>
  <c r="AF30" i="199"/>
  <c r="AG30" i="199" s="1"/>
  <c r="AF40" i="199"/>
  <c r="AG40" i="199" s="1"/>
  <c r="AF43" i="199"/>
  <c r="AG43" i="199" s="1"/>
  <c r="AF44" i="199"/>
  <c r="AG44" i="199" s="1"/>
  <c r="AF46" i="199"/>
  <c r="AG46" i="199" s="1"/>
  <c r="AF48" i="199"/>
  <c r="AG48" i="199" s="1"/>
  <c r="AF49" i="199"/>
  <c r="AG49" i="199" s="1"/>
  <c r="AF50" i="199"/>
  <c r="AG50" i="199" s="1"/>
  <c r="AF52" i="199"/>
  <c r="AG52" i="199" s="1"/>
  <c r="AF53" i="199"/>
  <c r="AG53" i="199" s="1"/>
  <c r="AF56" i="199"/>
  <c r="AG56" i="199" s="1"/>
  <c r="AF57" i="199"/>
  <c r="AG57" i="199" s="1"/>
  <c r="AF62" i="199"/>
  <c r="AG62" i="199" s="1"/>
  <c r="AF64" i="199"/>
  <c r="AG64" i="199" s="1"/>
  <c r="AF66" i="199"/>
  <c r="AG66" i="199" s="1"/>
  <c r="AF68" i="199"/>
  <c r="AG68" i="199" s="1"/>
  <c r="AF69" i="199"/>
  <c r="AG69" i="199" s="1"/>
  <c r="AF70" i="199"/>
  <c r="AG70" i="199" s="1"/>
  <c r="AF73" i="199"/>
  <c r="AG73" i="199" s="1"/>
  <c r="AF79" i="199"/>
  <c r="AG79" i="199" s="1"/>
  <c r="AF83" i="199"/>
  <c r="AG83" i="199" s="1"/>
  <c r="AF84" i="199"/>
  <c r="AG84" i="199" s="1"/>
  <c r="AF85" i="199"/>
  <c r="AG85" i="199" s="1"/>
  <c r="AF88" i="199"/>
  <c r="AG88" i="199" s="1"/>
  <c r="AF93" i="199"/>
  <c r="AG93" i="199" s="1"/>
  <c r="AF96" i="199"/>
  <c r="AG96" i="199" s="1"/>
  <c r="AF101" i="199"/>
  <c r="AG101" i="199" s="1"/>
  <c r="AF103" i="199"/>
  <c r="AG103" i="199"/>
  <c r="AF105" i="199"/>
  <c r="AG105" i="199" s="1"/>
  <c r="AF106" i="199"/>
  <c r="AG106" i="199" s="1"/>
  <c r="AF108" i="199"/>
  <c r="AG108" i="199" s="1"/>
  <c r="AF109" i="199"/>
  <c r="AG109" i="199" s="1"/>
  <c r="AF115" i="199"/>
  <c r="AG115" i="199" s="1"/>
  <c r="AF118" i="199"/>
  <c r="AG118" i="199"/>
  <c r="AF122" i="199"/>
  <c r="AG122" i="199" s="1"/>
  <c r="AF123" i="199"/>
  <c r="AG123" i="199" s="1"/>
  <c r="AF125" i="199"/>
  <c r="AG125" i="199" s="1"/>
  <c r="AF127" i="199"/>
  <c r="AG127" i="199" s="1"/>
  <c r="AF133" i="199"/>
  <c r="AG133" i="199" s="1"/>
  <c r="AF135" i="199"/>
  <c r="AG135" i="199" s="1"/>
  <c r="AF141" i="199"/>
  <c r="AG141" i="199" s="1"/>
  <c r="AF144" i="199"/>
  <c r="AG144" i="199" s="1"/>
  <c r="AF149" i="199"/>
  <c r="AG149" i="199" s="1"/>
  <c r="AF150" i="199"/>
  <c r="AG150" i="199" s="1"/>
  <c r="AF156" i="199"/>
  <c r="AG156" i="199" s="1"/>
  <c r="AF157" i="199"/>
  <c r="AG157" i="199"/>
  <c r="AF159" i="199"/>
  <c r="AG159" i="199" s="1"/>
  <c r="AF160" i="199"/>
  <c r="AG160" i="199" s="1"/>
  <c r="AF161" i="199"/>
  <c r="AG161" i="199" s="1"/>
  <c r="AF162" i="199"/>
  <c r="AG162" i="199" s="1"/>
  <c r="AF164" i="199"/>
  <c r="AG164" i="199" s="1"/>
  <c r="AF165" i="199"/>
  <c r="AG165" i="199" s="1"/>
  <c r="AF167" i="199"/>
  <c r="AG167" i="199" s="1"/>
  <c r="AF168" i="199"/>
  <c r="AG168" i="199" s="1"/>
  <c r="AF172" i="199"/>
  <c r="AG172" i="199" s="1"/>
  <c r="AF174" i="199"/>
  <c r="AG174" i="199" s="1"/>
  <c r="AF176" i="199"/>
  <c r="AG176" i="199" s="1"/>
  <c r="AF177" i="199"/>
  <c r="AG177" i="199" s="1"/>
  <c r="AF178" i="199"/>
  <c r="AG178" i="199" s="1"/>
  <c r="AF179" i="199"/>
  <c r="AG179" i="199" s="1"/>
  <c r="AF180" i="199"/>
  <c r="AG180" i="199" s="1"/>
  <c r="AF182" i="199"/>
  <c r="AG182" i="199" s="1"/>
  <c r="AF184" i="199"/>
  <c r="AG184" i="199" s="1"/>
  <c r="AF185" i="199"/>
  <c r="AG185" i="199" s="1"/>
  <c r="AF186" i="199"/>
  <c r="AG186" i="199" s="1"/>
  <c r="J5" i="14"/>
  <c r="AE52" i="200" l="1"/>
  <c r="I11" i="14"/>
  <c r="J11" i="14" s="1"/>
  <c r="I10" i="14"/>
  <c r="J10" i="14" s="1"/>
  <c r="AG11" i="198" l="1"/>
  <c r="AF4" i="199"/>
  <c r="AG187" i="199" s="1"/>
  <c r="D7" i="14" s="1"/>
  <c r="C4" i="199"/>
  <c r="B4" i="199"/>
  <c r="D8" i="14" l="1"/>
  <c r="C3" i="200"/>
  <c r="B3" i="200"/>
  <c r="D6" i="14" l="1"/>
  <c r="B8" i="14" l="1"/>
  <c r="B7" i="14" l="1"/>
  <c r="B6" i="14" l="1"/>
  <c r="F2" i="14" l="1"/>
  <c r="I8" i="14"/>
  <c r="I12" i="14" s="1"/>
  <c r="J8" i="14" l="1"/>
  <c r="J12" i="14" s="1"/>
  <c r="D9" i="14" l="1"/>
  <c r="D10" i="14" s="1"/>
  <c r="D11" i="14" l="1"/>
  <c r="D12" i="14" s="1"/>
</calcChain>
</file>

<file path=xl/sharedStrings.xml><?xml version="1.0" encoding="utf-8"?>
<sst xmlns="http://schemas.openxmlformats.org/spreadsheetml/2006/main" count="10683" uniqueCount="2300">
  <si>
    <t>LÍNEA COMUNICACIONES S.A.S</t>
  </si>
  <si>
    <t>FACTURACIÓN CORRESPONSALES BANCARIOS TIQUIETES AEREOS</t>
  </si>
  <si>
    <t>FACTURACIÓN PROYECTO CB BANCOLOMBIA</t>
  </si>
  <si>
    <t>CONCEPTOS</t>
  </si>
  <si>
    <t>TRAYECTOS</t>
  </si>
  <si>
    <t>TOTAL</t>
  </si>
  <si>
    <t xml:space="preserve">% Administración </t>
  </si>
  <si>
    <t>CANTIDAD</t>
  </si>
  <si>
    <t>VALOR UNITARIO</t>
  </si>
  <si>
    <t>VALOR TOTAL</t>
  </si>
  <si>
    <t>Adecuaciones CB</t>
  </si>
  <si>
    <t>Incidentes</t>
  </si>
  <si>
    <t>Ordenes de Cambio</t>
  </si>
  <si>
    <t>Tiquetes</t>
  </si>
  <si>
    <t>SUBTOTAL</t>
  </si>
  <si>
    <t>Iva</t>
  </si>
  <si>
    <t>TARIFAS 2025</t>
  </si>
  <si>
    <t>Incremento 2025</t>
  </si>
  <si>
    <t xml:space="preserve">Tipificación </t>
  </si>
  <si>
    <t>Descripción</t>
  </si>
  <si>
    <t>Dia actividad Exitosa</t>
  </si>
  <si>
    <t>Dia actividad Fallida</t>
  </si>
  <si>
    <t>Tipo I</t>
  </si>
  <si>
    <t>Metropolitano</t>
  </si>
  <si>
    <t>Tipo II</t>
  </si>
  <si>
    <t>Hasta 3 horas</t>
  </si>
  <si>
    <t>Tipo III</t>
  </si>
  <si>
    <t>De 3 a 5 horas</t>
  </si>
  <si>
    <t>Tipo IV</t>
  </si>
  <si>
    <t>Más de 5 horas</t>
  </si>
  <si>
    <t>Destino aereo</t>
  </si>
  <si>
    <t>No incluye valor del Tiquete</t>
  </si>
  <si>
    <t>*Donde se requiera transporte aéreo o fluvial se factura adicional a tarifa TIPO IV el valor del tiquete + el 12% de admon.</t>
  </si>
  <si>
    <t>Gestión Telefónica</t>
  </si>
  <si>
    <t>Mts Acometida electrica</t>
  </si>
  <si>
    <t>Mts Acometida datos</t>
  </si>
  <si>
    <t>switche</t>
  </si>
  <si>
    <t>Router</t>
  </si>
  <si>
    <t>Envio operador Logistico</t>
  </si>
  <si>
    <t>ADECUACIONES</t>
  </si>
  <si>
    <t>NOMBRE CC</t>
  </si>
  <si>
    <t>Suma de VALOR</t>
  </si>
  <si>
    <t>Suma de VALOR2</t>
  </si>
  <si>
    <t>COORDINADOR</t>
  </si>
  <si>
    <t>CENTRO DE COSTOS LÍNEACOM</t>
  </si>
  <si>
    <t>%</t>
  </si>
  <si>
    <t>$</t>
  </si>
  <si>
    <t>VALOR</t>
  </si>
  <si>
    <t>Redeban Centro ( Bogotá)</t>
  </si>
  <si>
    <t>DIEGO FERNANDO HENAO CARDONA</t>
  </si>
  <si>
    <t>0004-0002</t>
  </si>
  <si>
    <t>Redeban Costa (Barranqullla)</t>
  </si>
  <si>
    <t>0004-0003</t>
  </si>
  <si>
    <t>Redeban Eje Cafetero (Pereira)</t>
  </si>
  <si>
    <t>JOSE MAURICIO HERNANDEZ ROJAS</t>
  </si>
  <si>
    <t>0004-0001</t>
  </si>
  <si>
    <t>Redeban Noroccidente (Medellín)</t>
  </si>
  <si>
    <t>JUAN SEBASTIÁN RÍOS CASTRILLÓN</t>
  </si>
  <si>
    <t>0004-0005</t>
  </si>
  <si>
    <t>Redeban Oriente (Otros)</t>
  </si>
  <si>
    <t>KEVIN ALEXIS CORZO BUSTOS</t>
  </si>
  <si>
    <t>0004-0007</t>
  </si>
  <si>
    <t>Redeban Santander</t>
  </si>
  <si>
    <t>MIGUEL JULIÁN HERNÁNDEZ GUARÍN</t>
  </si>
  <si>
    <t>0004-0008</t>
  </si>
  <si>
    <t>Redeban Suroccidente (Cali)</t>
  </si>
  <si>
    <t>WILLIAM ASDRUBAL ROZO ROZO</t>
  </si>
  <si>
    <t>0004-0004</t>
  </si>
  <si>
    <t>Total general</t>
  </si>
  <si>
    <t>INCIDENTES</t>
  </si>
  <si>
    <t>OC</t>
  </si>
  <si>
    <t>CIUDAD SEDE</t>
  </si>
  <si>
    <t>CÓDIGO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</si>
  <si>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</si>
  <si>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</si>
  <si>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</si>
  <si>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</si>
  <si>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</si>
  <si>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</si>
  <si>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</si>
  <si>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</si>
  <si>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</si>
  <si>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</si>
  <si>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</si>
  <si>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</si>
  <si>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</si>
  <si>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</si>
  <si>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</si>
  <si>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ATENCIÓN</t>
  </si>
  <si>
    <t>TERMINALES</t>
  </si>
  <si>
    <t>TIPIFICACION</t>
  </si>
  <si>
    <t>TIPO DE TRAYECTO</t>
  </si>
  <si>
    <t xml:space="preserve">NOMBRE DEL TECNICO </t>
  </si>
  <si>
    <t xml:space="preserve">ACOMETIDA DATOS
</t>
  </si>
  <si>
    <t xml:space="preserve">ACOMETIDA ELECTRICA </t>
  </si>
  <si>
    <t>SWITCH</t>
  </si>
  <si>
    <t>ROUTER</t>
  </si>
  <si>
    <t>VALOR DIAS ACTIVIDAD FACTURABLES</t>
  </si>
  <si>
    <t>DIAS ACTIVIDAD FACTURABLES</t>
  </si>
  <si>
    <t>VALOR TOTAL INSTALACION DE PUBLICIDAD</t>
  </si>
  <si>
    <t>MEDELLIN</t>
  </si>
  <si>
    <t>TA-25-904105</t>
  </si>
  <si>
    <t>APERTURA</t>
  </si>
  <si>
    <t>CB CRECIMIENTO - NUEVO</t>
  </si>
  <si>
    <t>ANTIOQUIA</t>
  </si>
  <si>
    <t>BARRIO CAICEDO MEDELLIN 17</t>
  </si>
  <si>
    <t>REDEBAN</t>
  </si>
  <si>
    <t>FO-25-1305113</t>
  </si>
  <si>
    <t>UNO A UNO</t>
  </si>
  <si>
    <t>EJECUTADO</t>
  </si>
  <si>
    <t>30-07 SE REALIZA LLAMADA AL CLIENTE, SE HABLA CON LA SRA GEISER LUCILA PALACIO CORDOBA SE VALIDA DIRECCIÓN OK, CANAL OK, DISPONIBILIDAD TOTAL, LLAMAR EL DÍA LA INSTALACIÓN PARA CONFIRMAR VISITA, AVISO EXTERIOR ALTURA; NO INDICA ALTURA; TOMACORRIENTE CERCANO: SI; TIENE CABINA DE SEGURIDAD: NO - COMUNICACIÓN POR WPP - EL MODEM ESTA A 7 MT 01-08 SE REALIZA INSTALACIÓN DE CORRESPONSAL, SE INSTALAN EQUIPOS CON PRUEBAS EXITOSAS, SE CAPACITA Y SE EVALÚA AL CLIENTE, SE INSTALA PUBLICIDAD COMPLETA, CB QUEDA OPERATIVO. USUARIO SOMOS BANCOLOMBIA ACTIVO. SE INSTALAN 15 MT DE CABLE UTP</t>
  </si>
  <si>
    <t>VISITA _TECNICA</t>
  </si>
  <si>
    <t>VAZZZ393</t>
  </si>
  <si>
    <t>TIPO I</t>
  </si>
  <si>
    <t>TERRESTRE</t>
  </si>
  <si>
    <t>PAREJA ECHAVARRIA JHON DAVID</t>
  </si>
  <si>
    <t>BOGOTA</t>
  </si>
  <si>
    <t>TA-25-915468</t>
  </si>
  <si>
    <t>CUNDINAMARCA</t>
  </si>
  <si>
    <t>BARRIO LA ISABELLA BOGOTA</t>
  </si>
  <si>
    <t>FO-25-1328346</t>
  </si>
  <si>
    <t>01-08-2025 SE REALIZA LLAMADA AL CLIENTE, SE HABLA CON EL SR JOHN ALEXANDER CUERVO RUBIANO SE VALIDA DIRECCIÓN OK, CANAL OK, DISPONIBILIDAD TOTAL, LLAMAR EL DÍA LA INSTALACIÓN PARA CONFIRMAR VISITA, AVISO EXTERIOR ALTURA APROX 2 METROS; TOMACORRIENTE CERCANO: SI; TIENE CABINA DE SEGURIDAD: NO // CONTACTO REALIZADO POR LA APP 4/08/2025 SE DEBE REPROGRAMAR ACTIVIDAD, EL COMERCIO ES AL INTERIOR DE UN CONJUNTO RESIDENCIAL, SE REQUIEREN PERMISOS DE ADMINISTRACIÓN PARA LA INSTALACIÓN DE LA PUBLICIDAD, SE INFORMA NOVEDAD A COORDINACIÓN QUIEN INDICA REPROGRAMAR PARA MAÑANA 05-08-2025, SE RETORNA PUBLICIDAD A BODEGA. 05-08 SE REALIZA INSTALACIÓN DE CORRESPONSAL, SE INSTALAN EQUIPOS CON PRUEBAS EXITOSAS, SE CAPACITA Y SE EVALÚA AL CLIENTE, SE INSTALA PUBLICIDAD COMPLETA, CB QUEDA OPERATIVO. USUARIO SOMOS BANCOLOMBIA ACTIVO. SE INSTALAN 8 MT DE CABLE UTP</t>
  </si>
  <si>
    <t>F8ZZZ008</t>
  </si>
  <si>
    <t>GALINDO ROJAS LUIS FELIPE</t>
  </si>
  <si>
    <t>PEREIRA</t>
  </si>
  <si>
    <t>TA-25-915501</t>
  </si>
  <si>
    <t>RISARALDA</t>
  </si>
  <si>
    <t>BARRIO EL JARDIN ETAPA 3 PEREIRA</t>
  </si>
  <si>
    <t>FO-25-1316441</t>
  </si>
  <si>
    <t>01-08-2025 SE REALIZA LLAMADA AL CLIENTE, SE HABLA CON LA SRA ANDREA TORRES PAREJA DEL SR RONAL ALEXANDER RODRIGUEZ MUR,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 SE INSTALAN 8 MT DE CABLE UTP</t>
  </si>
  <si>
    <t>F8ZZZ033</t>
  </si>
  <si>
    <t>FRANCO CAÑAVERAL YAMID RAUL</t>
  </si>
  <si>
    <t>CALI</t>
  </si>
  <si>
    <t>TA-25-929470</t>
  </si>
  <si>
    <t>VALLE DEL CAUCA</t>
  </si>
  <si>
    <t>BARRIO TERRON COLORADO CALI 2</t>
  </si>
  <si>
    <t>FO-25-1337707</t>
  </si>
  <si>
    <t>06-08 SE REALIZA LLAMADA AL CLIENTE, SE HABLA CON LA SRA JHENIFER CAROLINA VANEGAS RODRIGUEZ  SE VALIDA DIRECCIÓN OK, CANAL OK, DISPONIBILIDAD TOTAL, LLAMAR EL DÍA LA INSTALACIÓN PARA CONFIRMAR VISITA, AVISO EXTERIOR ALTURA: NO INDICA ALTURA; TOMACORRIENTE CERCANO: SI; TIENE CABINA DE SEGURIDAD: SI 08-08 SE REALIZA INSTALACIÓN DE CORRESPONSAL, SE INSTALAN EQUIPOS CON PRUEBAS EXITOSAS, SE CAPACITA Y SE EVALÚA AL CLIENTE, SE INSTALA PUBLICIDAD COMPLETA, CB QUEDA OPERATIVO. USUARIO SOMOS BANCOLOMBIA ACTIVO. SE INSTALAN 5 MT DE CABLE UTP</t>
  </si>
  <si>
    <t>FGZZZ906</t>
  </si>
  <si>
    <t>BOLAÑOS TABORDA JORGE ENRIQUE</t>
  </si>
  <si>
    <t>TUNJA</t>
  </si>
  <si>
    <t>TA-25-929577</t>
  </si>
  <si>
    <t>BOYACA</t>
  </si>
  <si>
    <t>SUTAMARCHAN</t>
  </si>
  <si>
    <t>BARRIO CENTRO SUTAMARCHAN 4</t>
  </si>
  <si>
    <t>FO-25-1337775</t>
  </si>
  <si>
    <t>06-08-2025 SE REALIZA LLAMADA AL CLIENTE, SE HABLA CON LA SRA DIANA MARCELA GALVIS RODRÍGUEZ, SE VALIDA DIRECCIÓN OK, CANAL OK, DISPONIBILIDAD TOTAL, LLAMAR EL DÍA LA INSTALACIÓN PARA CONFIRMAR VISITA, AVISO EXTERIOR ALTURA APROX  DONDE EL TECNICO LO VEA CONVENIENTE; TOMACORRIENTE CERCANO: SI; TIENE CABINA DE SEGURIDAD: SI 11-08 POR TEMAS RELACIONADO AL PARO DE MINEROS PRESENTADO EN EL DEPARTAMENTO LA ORDEN SE REPROGRAMA HASTA  NUEVA ORDEN 12/08/2025 SE REALIZA INSTALACIÓN DE CORRESPONSAL, SE INSTALAN EQUIPOS CON PRUEBAS EXITOSAS, SE CAPACITA Y SE EVALÚA AL CLIENTE, SE INSTALA PUBLICIDAD COMPLETA, CB QUEDA OPERATIVO. USUARIO SOMOS BANCOLOMBIA ACTIVO</t>
  </si>
  <si>
    <t>FGZZZ909</t>
  </si>
  <si>
    <t>TIPO II</t>
  </si>
  <si>
    <t>RODRIGUEZ MURCIA YERSON IVAN</t>
  </si>
  <si>
    <t>TA-25-931159</t>
  </si>
  <si>
    <t>JENESANO</t>
  </si>
  <si>
    <t>BARRIO CENTRO JENESANO 7</t>
  </si>
  <si>
    <t>FO-25-1339047</t>
  </si>
  <si>
    <t>06-08-2025 SE REALIZA LLAMADA AL CLIENTE, SE HABLA CON LA SRA YURY ROCIO PARRA APONTE, SE VALIDA DIRECCIÓN OK, CANAL OK, DISPONIBILIDAD TOTAL, LLAMAR EL DÍA LA INSTALACIÓN PARA CONFIRMAR VISITA, AVISO EXTERIOR ALTURA APROX   3 METROS; TOMACORRIENTE CERCANO: SI; TIENE CABINA DE SEGURIDAD: NO 11/08/2025 SE REALIZA INSTALACIÓN DE CORRESPONSAL, SE INSTALAN EQUIPOS CON PRUEBAS EXITOSAS, SE CAPACITA Y SE EVALÚA AL CLIENTE, SE INSTALA PUBLICIDAD COMPLETA, CB QUEDA OPERATIVO. USUARIO SOMOS BANCOLOMBIA ACTIVO. SE INSTALAN 10 MT DE CABLE UTP</t>
  </si>
  <si>
    <t>FGZZZ912</t>
  </si>
  <si>
    <t>SOLER HOYOS CRISTIAN LEONARDO</t>
  </si>
  <si>
    <t>IBAGUE</t>
  </si>
  <si>
    <t>TA-25-931161</t>
  </si>
  <si>
    <t>TOLIMA</t>
  </si>
  <si>
    <t>BARRIO GAITAN IBAGUE</t>
  </si>
  <si>
    <t>FO-25-1339064</t>
  </si>
  <si>
    <t>06-08-2025 SE REALIZA LLAMADA AL CLIENTE, SE HABLA CON EL SR DEIBY BRAVO BRAVO, SE VALIDA DIRECCIÓN OK, CANAL OK, DISPONIBILIDAD TOTAL, LLAMAR EL DÍA LA INSTALACIÓN PARA CONFIRMAR VISITA, AVISO EXTERIOR ALTURA APROX DONDE EL TECNICO LO VEA CONVENIENTE; TOMACORRIENTE CERCANO: SI; TIENE CABINA DE SEGURIDAD: NO 08-08 SE COMUNICA TELEFÓNICAMENTE CON EL SEÑOR  DEIBY BRAVO BRAVO AL NÚMERO TELEFÓNICO # 3133548286 PARA REALIZAR LA INSTALACIÓN DE CORRESPONSAL INFORMA QUE NO ES POSIBLE RECIBIR LA INSTALACIÓN DEL CB EL DÍA DE HOY SOLICITA QUE SE REALICE EL DÍA LUNES 11 AGOSTO 11-08 SE REALIZA INSTALACIÓN DE CORRESPONSAL, SE INSTALAN EQUIPOS CON PRUEBAS EXITOSAS, SE CAPACITA Y SE EVALÚA AL CLIENTE, SE INSTALA PUBLICIDAD COMPLETA, CB QUEDA OPERATIVO. USUARIO SOMOS BANCOLOMBIA ACTIVO. SE INSTALAN 10 MT DE CABLE UTP</t>
  </si>
  <si>
    <t>FGZZZ914</t>
  </si>
  <si>
    <t>GUTIERREZ  CAMILO ANDRES</t>
  </si>
  <si>
    <t>TA-25-931163</t>
  </si>
  <si>
    <t>BARRIO SAN REMO IBAGUE</t>
  </si>
  <si>
    <t>FO-25-1339083</t>
  </si>
  <si>
    <t>06-08-2025 SE REALIZA LLAMADA AL CLIENTE, SE HABLA CON LA  SRA DIANA MARCELA PATIÑO HERNANDEZ, SE VALIDA DIRECCIÓN OK, CANAL OK, DISPONIBILIDAD TOTAL, LLAMAR EL DÍA LA INSTALACIÓN PARA CONFIRMAR VISITA, AVISO EXTERIOR ALTURA APROX 2,50 METROS; TOMACORRIENTE CERCANO: SI; TIENE CABINA DE SEGURIDAD: NO// MODEM A 5 METROS  11/08/2025 SE REALIZA INSTALACIÓN DE CORRESPONSAL, SE INSTALAN EQUIPOS CON PRUEBAS EXITOSAS, SE CAPACITA Y SE EVALÚA AL CLIENTE, SE INSTALA PUBLICIDAD COMPLETA, CB QUEDA OPERATIVO. USUARIO SOMOS BANCOLOMBIA ACTIVO. SE INSTALAN 15 MT DE CABLE UTP</t>
  </si>
  <si>
    <t>FGZZZ916</t>
  </si>
  <si>
    <t>BARRAGAN TAFUR EDWIN ESTEBAN</t>
  </si>
  <si>
    <t>BUCARAMANGA</t>
  </si>
  <si>
    <t>TA-25-931184</t>
  </si>
  <si>
    <t>SANTANDER</t>
  </si>
  <si>
    <t>CHARTA</t>
  </si>
  <si>
    <t>BARRIO EL CARMEN CHARTA</t>
  </si>
  <si>
    <t>FO-25-1339209</t>
  </si>
  <si>
    <t>06-08 SE REALIZA LLAMADA AL CLIENTE, SE HABLA CON LA SRA ALICIA PABON DE VILLABONA SE VALIDA DIRECCIÓN OK, CANAL OK, DISPONIBILIDAD TOTAL, LLAMAR EL DÍA LA INSTALACIÓN PARA CONFIRMAR VISITA, AVISO EXTERIOR ALTURA APROX 2 METROS; TOMACORRIENTE CERCANO: SI; TIENE CABINA DE SEGURIDAD: NO - EL MODEM ESTA A 5 MT  11/08/2025 SE REALIZA INSTALACIÓN DE CORRESPONSAL, SE INSTALAN EQUIPOS CON PRUEBAS EXITOSAS, SE CAPACITA Y SE EVALÚA AL CLIENTE, SE INSTALA PUBLICIDAD COMPLETA, CB QUEDA OPERATIVO. USUARIO SOMOS BANCOLOMBIA ACTIVO. SE INSTALAN 10 MT DE CABLE UTP</t>
  </si>
  <si>
    <t>FGZZZ936</t>
  </si>
  <si>
    <t>SANTOS GONZALEZ JOHAN FABIAN</t>
  </si>
  <si>
    <t>YOPAL</t>
  </si>
  <si>
    <t>TA-25-931186</t>
  </si>
  <si>
    <t>CASANARE</t>
  </si>
  <si>
    <t>AGUAZUL</t>
  </si>
  <si>
    <t>BARRIO LA ESPIGA AGUAZUL</t>
  </si>
  <si>
    <t>FO-25-1339221</t>
  </si>
  <si>
    <t>06-08 SE REALIZA LLAMADA AL CLIENTE, SE HABLA CON LA SR RAFAEL SE VALIDA DIRECCIÓN OK, CANAL OK, DISPONIBILIDAD TOTAL, LLAMAR EL DÍA LA INSTALACIÓN PARA CONFIRMAR VISITA, AVISO EXTERIOR ALTURA APROX 2 METROS; TOMACORRIENTE CERCANO: SI; TIENE CABINA DE SEGURIDAD: SI - EL MODEM ESTA A 6 MT  09-08 EN COMUNICACIÓN CON EL SEÑOR RAFAEL CORONEL AL NUMERO 3209171697, INDICA POR TEMAS PERSONALES Y DISPOSICION NO PUEDE RECIBIRNOS HOY. INDICA NOS ATIENDE EL DIA 12-8-2025. 12/08/2025 SE REALIZA INSTALACIÓN DE CORRESPONSAL, SE INSTALAN EQUIPOS CON PRUEBAS EXITOSAS, SE CAPACITA Y SE EVALÚA AL CLIENTE, SE INSTALA PUBLICIDAD COMPLETA, CB QUEDA OPERATIVO. USUARIO SOMOS BANCOLOMBIA ACTIVO. SE INSTALAN 15 MT DE CABLE UTP</t>
  </si>
  <si>
    <t>FGZZZ940</t>
  </si>
  <si>
    <t>BERNAL ELAICA EDGAR ALEXIS</t>
  </si>
  <si>
    <t>TA-25-931187</t>
  </si>
  <si>
    <t>DUITAMA</t>
  </si>
  <si>
    <t>BARRIO ALAMOS DUITAMA</t>
  </si>
  <si>
    <t>FO-25-1339227</t>
  </si>
  <si>
    <t>06-08 SE REALIZA LLAMADA AL CLIENTE, SE HABLA CON LA SR JHON JAIRO ESTUPIÑAN DIAZ  SE VALIDA DIRECCIÓN OK, CANAL OK, DISPONIBILIDAD TOTAL, LLAMAR EL DÍA LA INSTALACIÓN PARA CONFIRMAR VISITA, AVISO EXTERIOR ALTURA APROX 2.5 METROS; TOMACORRIENTE CERCANO: SI; TIENE CABINA DE SEGURIDAD: NO - EL MODEM ESTA A 4 MT  08-08 POR TEMAS RELACIONADOS AL PARO DE MINEROS PRESENTADO EN EL DEPARTAMENTO   LA ORDEN  SE REPROGRAMA HASTA  NUEVA ORDEN 14/08/2025 SE REALIZA INSTALACIÓN DE CORRESPONSAL, SE INSTALAN EQUIPOS CON PRUEBAS EXITOSAS, SE CAPACITA Y SE EVALÚA AL CLIENTE, SE INSTALA PUBLICIDAD COMPLETA, CB QUEDA OPERATIVO. USUARIO SOMOS BANCOLOMBIA ACTIVO. SE INSTALAN 10 MT DE CABLE UTP</t>
  </si>
  <si>
    <t>FGZZZ941</t>
  </si>
  <si>
    <t>MARTINEZ FLOREZ DONIS ALBERTO</t>
  </si>
  <si>
    <t>TA-25-951739</t>
  </si>
  <si>
    <t>SATIVASUR</t>
  </si>
  <si>
    <t>BARRIO CENTRO SATIVASUR</t>
  </si>
  <si>
    <t>FO-25-1359836</t>
  </si>
  <si>
    <t>11-08-2025 SE REALIZA LLAMADA AL CLIENTE, SE HABLA CON LA SRA LINA LEONOR PATIÑO DURAN SE VALIDA DIRECCIÓN OK, CANAL OK, DISPONIBILIDAD TOTAL, LLAMAR EL DÍA LA INSTALACIÓN PARA CONFIRMAR VISITA, AVISO EXTERIOR ALTURA APROX 2,50 METROS; TOMACORRIENTE CERCANO: SI; TIENE CABINA DE SEGURIDAD: SI // CONTACTO REALIZADO POR LA APP // CLIENTE INDICA QUE PARA EL DIA DE MIERCOLES TIENE CITA MEDICA FUERA DE LA CIUDAD, SOLICITA VISITAR EL 14/08 14-08 SE REALIZA INSTALACIÓN DE CORRESPONSAL, SE INSTALAN EQUIPOS CON PRUEBAS EXITOSAS, SE CAPACITA Y SE EVALÚA AL CLIENTE, SE INSTALA PUBLICIDAD COMPLETA, CB QUEDA OPERATIVO. USUARIO SOMOS BANCOLOMBIA ACTIVO. SE INSTALAN 10 MT DE CABLE UTP</t>
  </si>
  <si>
    <t>FIZZZ273</t>
  </si>
  <si>
    <t>TIPO III</t>
  </si>
  <si>
    <t>TA-25-952491</t>
  </si>
  <si>
    <t>CANDELARIA</t>
  </si>
  <si>
    <t>BARRIO ARMANDO VASQUEZ CANDELARIA</t>
  </si>
  <si>
    <t>FO-25-1360392</t>
  </si>
  <si>
    <t>11-08 SE REALIZA LLAMADA AL CLIENTE, SE HABLA CON LA SR LUCINDA VIATRIZ GALEA VILLANUEVA  SE VALIDA DIRECCIÓN OK, CANAL OK, DISPONIBILIDAD TOTAL, LLAMAR EL DÍA LA INSTALACIÓN PARA CONFIRMAR VISITA, AVISO EXTERIOR ALTURA APROX 2.5 METROS; TOMACORRIENTE CERCANO: SI; TIENE CABINA DE SEGURIDAD: NO - COMUNICACIÓN POR WPP /  EL MODEM ESTA A 8 MT  12-08 SE REALIZA INSTALACIÓN DE CORRESPONSAL, SE INSTALAN EQUIPOS CON PRUEBAS EXITOSAS, SE CAPACITA Y SE EVALÚA AL CLIENTE, SE INSTALA PUBLICIDAD COMPLETA, CB QUEDA OPERATIVO. USUARIO SOMOS BANCOLOMBIA ACTIVO. SE INSTALAN 15 MT DE CABLE UTP</t>
  </si>
  <si>
    <t>FIZZZ318</t>
  </si>
  <si>
    <t>TORRES GARCIA JENDRY JOSE</t>
  </si>
  <si>
    <t>TA-25-982517</t>
  </si>
  <si>
    <t>BELLO</t>
  </si>
  <si>
    <t>BARRIO CENTRO BELLO 1</t>
  </si>
  <si>
    <t>FO-25-1390829</t>
  </si>
  <si>
    <t>16-08 SE REALIZA LLAMADA AL CLIENTE, SE HABLA CON EL SR ELKIN ANDRES BEDOYA SANCHEZ DIRECCIÓN OK, CANAL OK, DISPONIBILIDAD TOTAL, LLAMAR EL DÍA LA INSTALACIÓN PARA CONFIRMAR VISITA, AVISO EXTERIOR ALTURA: APROX 2 METROS; TOMACORRIENTE CERCANO: SI; TIENE CABINA DE SEGURIDAD: SI; INDICA DISTANCIA APROX MODEM-DATAFONO 30 METROS 20-08 SE REALIZA INSTALACIÓN DE CORRESPONSAL, SE INSTALAN EQUIPOS CON PRUEBAS EXITOSAS, SE CAPACITA Y SE EVALÚA AL CLIENTE, SE INSTALA PUBLICIDAD COMPLETA, CB QUEDA OPERATIVO. USUARIO SOMOS BANCOLOMBIA ACTIVO. SE INSTALAN 20 MT DE CABLE UTP</t>
  </si>
  <si>
    <t>SGZZZ976</t>
  </si>
  <si>
    <t>MARTINEZ TOVAR OSCAR DAVID</t>
  </si>
  <si>
    <t>TA-25-982530</t>
  </si>
  <si>
    <t>BARRIO LA INDEPENDENCIA CALI 1</t>
  </si>
  <si>
    <t>FO-25-1390884</t>
  </si>
  <si>
    <t>19-08-2025 SE REALIZA LLAMADA AL CLIENTE, SE HABLA CON LA SRA LINA MARCELA VARGAS TASCON SE VALIDA DIRECCIÓN OK, CANAL OK, DISPONIBILIDAD TOTAL, LLAMAR EL DÍA LA INSTALACIÓN PARA CONFIRMAR VISITA, AVISO EXTERIOR ALTURA APROX 2,50 METROS; TOMACORRIENTE CERCANO: SI; TIENE CABINA DE SEGURIDAD: SI // CONTACTO REALIZADO POR LA APP // CLIENTE INDICA TENER DISPONIBILIDAD EL DIA 21/08 JUEVES, YA QUE MAÑANA MIERCOLES ESTARIA EN UN PROCESO MEDICO 21-08 SE REALIZA INSTALACIÓN DE CORRESPONSAL, SE INSTALAN EQUIPOS CON PRUEBAS EXITOSAS, SE CAPACITA Y SE EVALÚA AL CLIENTE, SE INSTALA PUBLICIDAD COMPLETA, CB QUEDA OPERATIVO. USUARIO SOMOS BANCOLOMBIA ACTIVO. SE INSTALAN 7 MT DE CABLE UTP</t>
  </si>
  <si>
    <t>SGZZZ987</t>
  </si>
  <si>
    <t>HERRERA MONAR GEOVANNY</t>
  </si>
  <si>
    <t>TA-25-982539</t>
  </si>
  <si>
    <t>PIEDECUESTA</t>
  </si>
  <si>
    <t>BARRIO PIEDECUESTA PIEDECUESTA 3</t>
  </si>
  <si>
    <t>FO-25-1390913</t>
  </si>
  <si>
    <t>16-08 SE REALIZA LLAMADA AL CLIENTE, SE HABLA CON LA SRA ERIKA TATIANA NIÑO REYES DIRECCIÓN OK, CANAL OK, DISPONIBILIDAD TOTAL, LLAMAR EL DÍA LA INSTALACIÓN PARA CONFIRMAR VISITA, AVISO EXTERIOR ALTURA: NO INDICA ALTURA; TOMACORRIENTE CERCANO: SI; TIENE CABINA DE SEGURIDAD: SI 20-08 SE INTENTA COMUNICAR WN VARIAS OPORTUNIDADES AL NUMERO 3118313651 ,Y NO HAY RESPUESTA , DEBIDO A Q SE EVIDENCIA Q LA INSTALACION ES EN UNA ZONA RURAL VEREDA, SE ESTARA INTENTANDO COMUNICAR NUEVAMENTE EN EL TRASCURSO DEL.DIA / INTENTAMOS COMUNICARNOS NUEVAMENTE AL NUMERO 3118313651 NUEVAMENTE ,HASTA Q CONTESTA LA SEÑORA ERIKA Y NOS INDICA QUE POR MOTIVOS PERSONALES NO ESTABA DISPONIBLE EL DIA DE HOY , QUE POR FAVOR  LA VISITEMOS MAÑANA 21 DE AGOSOTO DESPUÉS DE LAS 8:30AM, SE LE INDICA Q SE LE ESTARA VISITANDO EL DIA DE MAÑANA JUEVES 21 DE AGOSOTO A LA HORAQ ELLA INDICA 21/08/2025 SE REALIZA INSTALACIÓN DE CORRESPONSAL, SE INSTALAN EQUIPOS CON PRUEBAS EXITOSAS, SE CAPACITA Y SE EVALÚA AL CLIENTE, SE INSTALA PUBLICIDAD COMPLETA, CB QUEDA OPERATIVO. USUARIO SOMOS BANCOLOMBIA ACTIVO. SE INSTALAN 8 MT DE CABLE UTP</t>
  </si>
  <si>
    <t>SGZZZ994</t>
  </si>
  <si>
    <t>GELVEZ MOGOLLON JOSE ELISEO</t>
  </si>
  <si>
    <t>CARTAGENA</t>
  </si>
  <si>
    <t>TA-25-992101</t>
  </si>
  <si>
    <t>BOLIVAR</t>
  </si>
  <si>
    <t>BARRIO BICENTENARIO CARTAGENA DE INDIAS 5</t>
  </si>
  <si>
    <t>FO-25-1402167</t>
  </si>
  <si>
    <t>21-08-2025 SE REALIZA LLAMADA AL CLIENTE, SE HABLA CON EL SR IVAN MARTIN FAJARDO NAVARRO SE VALIDA DIRECCIÓN OK, CANAL OK, DISPONIBILIDAD TOTAL, LLAMAR EL DÍA LA INSTALACIÓN PARA CONFIRMAR VISITA, AVISO EXTERIOR ALTURA APROX 2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 SE INSTALAN 10 MT DE CABLE UTP</t>
  </si>
  <si>
    <t>SIZZZ883</t>
  </si>
  <si>
    <t>CANEDO HERRERA ALEXANDER</t>
  </si>
  <si>
    <t>TA-25-992195</t>
  </si>
  <si>
    <t>BARRIO VILLAVICENCIO PAREIRA</t>
  </si>
  <si>
    <t>FO-25-1402525</t>
  </si>
  <si>
    <t>21-08 SE REALIZA LLAMADA AL CLIENTE, SE HABLA CON LA SRA SONIA VIVIANA VALENCIA GARZON  SE VALIDA DIRECCIÓN OK, CANAL OK, DISPONIBILIDAD TOTAL, LLAMAR EL DÍA LA INSTALACIÓN PARA CONFIRMAR VISITA, AVISO EXTERIOR ALTURA APROX 2.60 METROS; TOMACORRIENTE CERCANO: NO; TIENE CABINA DE SEGURIDAD: NO - COMUNICACIÓN POR WPP / EL MODEM ESTA A 4 MT  22/08/2025 SE REALIZA INSTALACIÓN DE CORRESPONSAL, SE INSTALAN EQUIPOS CON PRUEBAS EXITOSAS, SE CAPACITA Y SE EVALÚA AL CLIENTE, SE INSTALA PUBLICIDAD COMPLETA, CB QUEDA OPERATIVO. USUARIO SOMOS BANCOLOMBIA ACTIVO. SE INSTALAN 8 MT DE CABLE UTP</t>
  </si>
  <si>
    <t>SIZZZ923</t>
  </si>
  <si>
    <t>TA-25-1005081</t>
  </si>
  <si>
    <t>CB CRECIMIENTO - OTRAS LISTAS</t>
  </si>
  <si>
    <t>PALMIRA</t>
  </si>
  <si>
    <t>BARRIO POPULAR MODELO PALMIRA</t>
  </si>
  <si>
    <t>FO-25-1419050</t>
  </si>
  <si>
    <t>25-08 SE REALIZA LLAMADA AL CLIENTE, SE HABLA CON EL SR LUIS FERNANDO PIZA VELANDIA SE VALIDA DIRECCIÓN OK, CANAL OK, DISPONIBILIDAD TOTAL, LLAMAR EL DÍA DE LA INSTALACIÓN PARA CONFIRMAR VISITA, AVISO EXTERIOR NO INDICA ALTURA; TOMACORRIENTE CERCANO: SI; TIENE CABINA DE SEGURIDAD: SI 26/08/2025 SE REALIZA INSTALACIÓN DE CORRESPONSAL, SE INSTALAN EQUIPOS TRANSACCIONES DE DEPÓSITO Y RETIRO EXITOSO. DEMÁS TRANSACCIONES SE SIMULARON PERO NO FUERON EXITOSAS POR FALTA HERRAMIENTAS DEL CLIENTE ( TRANSFERENCIA Y SALDO Y RETIRO CON TARJETA)., SE CAPACITA Y SE EVALÚA AL CLIENTE, SE INSTALA PUBLICIDAD COMPLETA, CB QUEDA OPERATIVO. USUARIO SOMOS BANCOLOMBIA ACTIVO. SE INSTALAN 20 MT DE CABLE UTP</t>
  </si>
  <si>
    <t>VBZZZ287</t>
  </si>
  <si>
    <t>TA-25-1033994</t>
  </si>
  <si>
    <t>BARRIO ULPIANO LLOREDA CALI 1</t>
  </si>
  <si>
    <t>FO-25-1433077</t>
  </si>
  <si>
    <t>27-08-2025 SE REALIZA LLAMADA AL CLIENTE, SE HABLA CON EL SR CARLOS ALFONSO FALLA HENAO SE VALIDA DIRECCIÓN OK, CANAL OK, DISPONIBILIDAD TOTAL, LLAMAR EL DÍA LA INSTALACIÓN PARA CONFIRMAR VISITA, AVISO EXTERIOR ALTURA APROX 2 METROS; TOMACORRIENTE CERCANO: SI; TIENE CABINA DE SEGURIDAD: SI  28-08 SE REALIZA INSTALACIÓN DE CORRESPONSAL, SE INSTALAN EQUIPOS CON PRUEBAS EXITOSAS, SE CAPACITA Y SE EVALÚA AL CLIENTE, SE INSTALA PUBLICIDAD COMPLETA, CB QUEDA OPERATIVO. USUARIO SOMOS BANCOLOMBIA ACTIVO. SE INSTALAN 10 MT DE CABLE UTP</t>
  </si>
  <si>
    <t>FKZZZ652</t>
  </si>
  <si>
    <t>TA-25-1034020</t>
  </si>
  <si>
    <t>BARRIO BARRANCAS BOGOTA 13</t>
  </si>
  <si>
    <t>FO-25-1433163</t>
  </si>
  <si>
    <t>27-08 SE REALIZA LLAMADA AL CLIENTE, SE HABLA CON LA SR OSCAR ALEJANDRO LOZANO LOPEZ SE VALIDA DIRECCIÓN OK, CANAL OK, DISPONIBILIDAD TOTAL, LLAMAR EL DÍA LA INSTALACIÓN PARA CONFIRMAR VISITA, AVISO EXTERIOR ALTURA: NO INDICA ALTURA; TOMACORRIENTE CERCANO: SI; TIENE CABINA DE SEGURIDAD: NO - EL MODEM ESTA A 15 MT  28/08/2025 SE REALIZA INSTALACIÓN DE CORRESPONSAL, SE INSTALAN EQUIPOS CON PRUEBAS EXITOSAS, SE CAPACITA Y SE EVALÚA AL CLIENTE, SE INSTALA PUBLICIDAD COMPLETA, CB QUEDA OPERATIVO. USUARIO SOMOS BANCOLOMBIA ACTIVO. SE INSTALAN 8 MT DE CABLE UTP</t>
  </si>
  <si>
    <t>FKZZZ667</t>
  </si>
  <si>
    <t>ORTIZ MARTINEZ STIVEN</t>
  </si>
  <si>
    <t>TA-25-1034028</t>
  </si>
  <si>
    <t>RESTREPO</t>
  </si>
  <si>
    <t>BARRIO CENTRO RESTREPO 8</t>
  </si>
  <si>
    <t>FO-25-1433218</t>
  </si>
  <si>
    <t>27-08 SE REALIZA LLAMADA AL CLIENTE, SE HABLA CON LA SRA JULIO ERNESTO SALAZAR SALAZAR  SE VALIDA DIRECCIÓN OK, CANAL OK, DISPONIBILIDAD TOTAL, LLAMAR EL DÍA LA INSTALACIÓN PARA CONFIRMAR VISITA, AVISO EXTERIOR ALTURA APROX 2.5 METROS; TOMACORRIENTE CERCANO: SI; TIENE CABINA DE SEGURIDAD: NO  - EL MODEM ESTA A 5 MT  29-08 SE REALIZA INSTALACIÓN DE CORRESPONSAL, SE INSTALAN EQUIPOS CON PRUEBAS EXITOSAS, SE CAPACITA Y SE EVALÚA AL CLIENTE, SE INSTALA PUBLICIDAD COMPLETA, CB QUEDA OPERATIVO. USUARIO SOMOS BANCOLOMBIA ACTIVO. SE INSTALAN 7 MT DE CABLE UTP</t>
  </si>
  <si>
    <t>FKZZZ674</t>
  </si>
  <si>
    <t>MONTERO MUESES GIAN CARLO</t>
  </si>
  <si>
    <t>TA-25-915476</t>
  </si>
  <si>
    <t>BARRIO FELIDIA CALI</t>
  </si>
  <si>
    <t>FO-25-1316363</t>
  </si>
  <si>
    <t>01-08-2025 SE REALIZA LLAMADA AL CLIENTE, SE HABLA CON EL ESPOSO DE LA SRA MARITZA DEL CARMEN MEDINA PEREIRA, SE VALIDA DIRECCIÓN OK, CANAL OK, DISPONIBILIDAD TOTAL, LLAMAR EL DÍA LA INSTALACIÓN PARA CONFIRMAR VISITA, AVISO EXTERIOR ALTURA APROX  DONDE EL TECNICO LO VEA CONVENIENTE; TOMACORRIENTE CERCANO: SI; TIENE CABINA DE SEGURIDAD: SI  4/08/2025 SE REALIZA INSTALACIÓN DE CORRESPONSAL, SE INSTALAN EQUIPOS CON PRUEBAS EXITOSAS, SE CAPACITA Y SE EVALÚA AL CLIENTE, SE INSTALA PUBLICIDAD COMPLETA, CB QUEDA OPERATIVO. USUARIO SOMOS BANCOLOMBIA ACTIVO</t>
  </si>
  <si>
    <t>F8ZZZ017</t>
  </si>
  <si>
    <t>TA-25-952397</t>
  </si>
  <si>
    <t>BARRIO ALTAMIRA PALMIRA 3</t>
  </si>
  <si>
    <t>FO-25-1360278</t>
  </si>
  <si>
    <t>11-08 SE REALIZA LLAMADA AL CLIENTE, SE HABLA CON LA SR EDUARD ALEJANDRO ORTEGA SANCHEZ SE VALIDA DIRECCIÓN OK, CANAL OK, DISPONIBILIDAD TOTAL, LLAMAR EL DÍA LA INSTALACIÓN PARA CONFIRMAR VISITA, AVISO EXTERIOR ALTURA : NO INDICA ALTURA; TOMACORRIENTE CERCANO: SI; TIENE CABINA DE SEGURIDAD: SI - EL MODEM ESTA A 4 MT  12-08 SE REALIZA INSTALACIÓN DE CORRESPONSAL, SE INSTALAN EQUIPOS CON PRUEBAS EXITOSAS, SE CAPACITA Y SE EVALÚA AL CLIENTE, SE INSTALA PUBLICIDAD COMPLETA, CB QUEDA OPERATIVO. USUARIO SOMOS BANCOLOMBIA ACTIVO</t>
  </si>
  <si>
    <t>FIZZZ297</t>
  </si>
  <si>
    <t>SANCHEZ URREGO ROBINSON DAVID</t>
  </si>
  <si>
    <t>TA-25-1005062</t>
  </si>
  <si>
    <t>BARRIO VILLANUEVA PIEDECUESTA 1</t>
  </si>
  <si>
    <t>FO-25-1418990</t>
  </si>
  <si>
    <t>25-08 SE REALIZA LLAMADA AL CLIENTE, SE HABLA CON EL SR CAMILO ESTEBAN JAIMES VILLAMIZAR SE VALIDA DIRECCIÓN OK, CANAL OK, DISPONIBILIDAD TOTAL, LLAMAR EL DÍA DE LA INSTALACIÓN PARA CONFIRMAR VISITA, AVISO EXTERIOR 2,5 METROS APROX; TOMACORRIENTE CERCANO: SI; TIENE CABINA DE SEGURIDAD: NO 26/08/2025 SE REALIZA INSTALACIÓN DE CORRESPONSAL, SE INSTALAN EQUIPOS CON PRUEBAS EXITOSAS, SE CAPACITA Y SE EVALÚA AL CLIENTE, SE INSTALA PUBLICIDAD COMPLETA, CB QUEDA OPERATIVO. USUARIO SOMOS BANCOLOMBIA ACTIVO. SE INSTALA SWITCH 223C4S6013230</t>
  </si>
  <si>
    <t>VBZZZ276</t>
  </si>
  <si>
    <t>ORTEBARRERAGA MARLON STWAR</t>
  </si>
  <si>
    <t>TA-25-1005079</t>
  </si>
  <si>
    <t>BARRIO SANTA ISABEL CALI 3</t>
  </si>
  <si>
    <t>FO-25-1419047</t>
  </si>
  <si>
    <t>25-08 SE REALIZA LLAMADA AL CLIENTE, SE HABLA CON LA SRA VALENTINA LOPEZ MONDOL SE VALIDA DIRECCIÓN OK, CANAL OK, DISPONIBILIDAD TOTAL, LLAMAR EL DÍA DE LA INSTALACIÓN PARA CONFIRMAR VISITA, AVISO EXTERIOR APROX 3 METROS; TOMACORRIENTE CERCANO: SI; TIENE CABINA DE SEGURIDAD: SI 26/08/2025 SE REALIZA INSTALACIÓN DE CORRESPONSAL, SE INSTALAN EQUIPOS CON PRUEBAS EXITOSAS, SE CAPACITA Y SE EVALÚA AL CLIENTE, SE INSTALA PUBLICIDAD COMPLETA, CB QUEDA OPERATIVO. USUARIO SOMOS BANCOLOMBIA ACTIVO. SE INSTALAN SWITCCHH 221C1Q3006448</t>
  </si>
  <si>
    <t>VBZZZ286</t>
  </si>
  <si>
    <t>TA-25-915496</t>
  </si>
  <si>
    <t>ZIPAQUIRA</t>
  </si>
  <si>
    <t>BARRIO SAN PABLO ZIPAQUIRA 3</t>
  </si>
  <si>
    <t>FO-25-1316424</t>
  </si>
  <si>
    <t>EJECUTADO/CANCELADO</t>
  </si>
  <si>
    <t>01-08-2025 SE REALIZA LLAMADA AL CLIENTE, SE HABLA CON EL SR JHONNATAN SAMUEL GONZALEZ MARTINEZ SE VALIDA DIRECCIÓN OK, CANAL OK, DISPONIBILIDAD TOTAL, LLAMAR EL DÍA LA INSTALACIÓN PARA CONFIRMAR VISITA, AVISO EXTERIOR ALTURA APROX  3 METROS; TOMACORRIENTE CERCANO: SI; TIENE CABINA DE SEGURIDAD: SI// MODEM A 6 METROS 5/08/2025 SE REALIZA VISITA PARA EJECUTAR LA IMPLEMENTACIÓN DE CORRESPONSAL BANCARIO PERO AL LLEGAR NO ES POSIBLE REALIZAR YA QUE EL SR JHONATAN SE LE PRESENTÓ UNA CALAMIDAD POR EL CUAL NO LE ES POSIBLE ATENDER SE BRINDA INFORMACIÓN PARA REALIZA LA NUEVA SOLICITUD DE INSTALACIÓN</t>
  </si>
  <si>
    <t>F8ZZZ027</t>
  </si>
  <si>
    <t>GALEANO SORIANO JUAN DAVID</t>
  </si>
  <si>
    <t>TA-25-915508</t>
  </si>
  <si>
    <t>BARRIO VILLA ESTRELLA CARTAGENA 3</t>
  </si>
  <si>
    <t>FO-25-1316456</t>
  </si>
  <si>
    <t>01-08 SE REALIZA LLAMADA AL CLIENTE, SE HABLA CON LA SRA ALEXANDRA ANGULO ANDRADE  SE VALIDA DIRECCIÓN OK, CANAL OK, DISPONIBILIDAD TOTAL, LLAMAR EL DÍA LA INSTALACIÓN PARA CONFIRMAR VISITA, AVISO EXTERIOR ALTURA APROX 2 METROS; TOMACORRIENTE CERCANO: SI; TIENE CABINA DE SEGURIDAD: NO 4/08/2025 SE ESCALA EL SIGUIENTE CASO, DONDE SE VA INSTALAR EN UN APARTAMENTO DEL SEGUNDO PISO, TORRE 2 DEL CONJUNTO RESIDENCIAL “CONDOMIO IPANEMA”, INDICAN QUE EL AVISO SE PUEDE INSTALAR EN EL PASILLO DEL EDIFICIO, A LA ENTRADA DEL APARTAMENTO. SE EVIDENCIA TAMBIÉN QUE EL COMERCIO ES UNA VIVIENDA CON UNA VITRINA PEQUEÑA CON ACCESORIOS DE CELULARES. / PROCEDEMOS A ESCALAR A ENTIDAD LA SITUACIÓN, YA QUE SE TIENE PREVISTA LA INSTALACIÓN EN UN APARTAMENTO QUE NO CUENTA CON AVISO PUBLICITARIO, LO CUAL PUEDE GENERAR DIFICULTADES EN LA IDENTIFICACIÓN DEL PUNTO. // ENTIDAD SOLICITA CANCELAR LA ACTIVIDAD</t>
  </si>
  <si>
    <t>F8ZZZ036</t>
  </si>
  <si>
    <t>CUCUTA</t>
  </si>
  <si>
    <t>TA-25-915525</t>
  </si>
  <si>
    <t>NORTE DE SANTANDER</t>
  </si>
  <si>
    <t>VILLA DEL ROSARIO</t>
  </si>
  <si>
    <t>BARRIO LA PARADA VILLA DEL ROSARIO 11</t>
  </si>
  <si>
    <t>FO-25-1316487</t>
  </si>
  <si>
    <t>01-08 SE REALIZA LLAMADA AL CLIENTE, SE HABLA CON LA SRA LEDYS ANDREA ESCALANTE BERBESI  SE VALIDA DIRECCIÓN OK, CANAL OK, DISPONIBILIDAD TOTAL, LLAMAR EL DÍA LA INSTALACIÓN PARA CONFIRMAR VISITA, AVISO EXTERIOR ALTURA: NO INDICA ALTURA; TOMACORRIENTE CERCANO: SI; TIENE CABINA DE SEGURIDAD: NO 4/08/2025 SE REALIZÓ VISITA AL COMERCIO Y CLIENTE NO ACEPTA LA ACTIVIDAD DE IMPLEMENTACIÓN DE CORRESPONSAL, QUE EN OTRO MOMENTO SE COMUNICARA CON EL BANCO PARA SOLICITARLO EN CASO QUE LO LLEGARA A NECESITAR.</t>
  </si>
  <si>
    <t>F8ZZZ043</t>
  </si>
  <si>
    <t>MORA VEGA JEAMPIER</t>
  </si>
  <si>
    <t>TA-25-930981</t>
  </si>
  <si>
    <t>CB CRECIMIENTO ALIANZA - NUEVO</t>
  </si>
  <si>
    <t>SALGAR</t>
  </si>
  <si>
    <t>PTM SALGAR NATULIGHT TIENDA NA</t>
  </si>
  <si>
    <t>FO-25-1338801</t>
  </si>
  <si>
    <t>AGREGADOR</t>
  </si>
  <si>
    <t>COMCARD - PTM</t>
  </si>
  <si>
    <t>06-08 PROGRAMACIÓN REALIZADA POR LA ALIANZA 11/08/2025 REPORTAMOS NOVEDAD DE INSTALACIÓN.VISITAMOS COMERCIO ENCONTRANDO CERCANÍA CON 2 PUNTOS: PUNTO EXISTENTE 1: 3007029991 BARRIO PARQUE 2 SALGAR. COORDENADAS 5.963714 -75.979253 PUNTO EXISTENTE 2: 3007037617 DISTRICOL CELULARES JU. COORDENADAS 5.963669 -75.979412 COORDENADAS PUNTO A INSTALAR HOY: 5.963799 -75.979332 / ENTIDAD SOLICITA CANCELAR ACTIVIDAD</t>
  </si>
  <si>
    <t>FHZZZ002</t>
  </si>
  <si>
    <t>CASTAÑEDA PALACIO CARLOS FELIPE</t>
  </si>
  <si>
    <t>VILLAVICENCIO</t>
  </si>
  <si>
    <t>TA-25-929391</t>
  </si>
  <si>
    <t>META</t>
  </si>
  <si>
    <t>ACACIAS</t>
  </si>
  <si>
    <t>BARRIO INDEPENDENCIA ACACIAS 1</t>
  </si>
  <si>
    <t>FO-25-1367708</t>
  </si>
  <si>
    <t>06-08-2025 SE REALIZA LLAMADA AL CLIENTE, SE HABLA CON LA SRA LEIDY VIVIANA CICUA JIMENEZ SE VALIDA DIRECCIÓN OK, CANAL OK, DISPONIBILIDAD TOTAL, LLAMAR EL DÍA LA INSTALACIÓN PARA CONFIRMAR VISITA, AVISO EXTERIOR ALTURA APROX 1,70 METROS; TOMACORRIENTE CERCANO: SI; TIENE CABINA DE SEGURIDAD: SI // CONTACTO REALIZADO POR WHATSAPP 8/08/2025SE REALIZA VISITA PARA IMPLEMENTACIÓN DEL CB “80861” A LA DIRECCIÓN RELACIONADA EN LA LISTA DE CHEQUEO, PERO AL CONSULTAR LA PLACA EN LA WEB DE INICIALIZACIONES EL CÓDIGO ÚNICO 3007080861 Y TERMINAL FGZZZ886 COINCIDEN CON EL CB RELACIONADO EN LISTA DE CHEQUEO, SIN EMBARGO LA DIRECCIÓN Y NOMBRE NO; ESTOS  SON DE OTRO CB “80925” DE OTRA ZONA. @HDMURCIA SEGÚN LO CONVERSADO SE CANCELA INSTALACIÓN PARA EL CB 80861. 12/08/2025 A PETICIÓN DE LA ENTIDAD, POR FAVOR REALICEMOS NUEVAMENTE LA VISITA AL PUNTO E IMPLEMENTEMOS, YA QUE LA DIRECCIÓN HA SIDO ACTUALIZADA CORRECTAMENTE. 15/08/2025 SE REALIZA INSTALACIÓN DE CORRESPONSAL, SE INSTALAN EQUIPOS CON PRUEBAS EXITOSAS, SE CAPACITA Y SE EVALÚA AL CLIENTE, SE INSTALA PUBLICIDAD COMPLETA, CB QUEDA OPERATIVO. USUARIO SOMOS BANCOLOMBIA ACTIVO</t>
  </si>
  <si>
    <t>FGZZZ886</t>
  </si>
  <si>
    <t>CASTRILLON URREA LONDIER LEANDRO</t>
  </si>
  <si>
    <t>TA-25-931177</t>
  </si>
  <si>
    <t>PAZ DE ARIPORO</t>
  </si>
  <si>
    <t>BARRIO EL PALMAR PAZ DE ARIPORO 2</t>
  </si>
  <si>
    <t>FO-25-1339174</t>
  </si>
  <si>
    <t>06-08 SE REALIZA LLAMADA AL CLIENTE, SE HABLA CON LA SRA DIANA YULIETH SARAVIA MARTINEZ  SE VALIDA DIRECCIÓN OK, CANAL OK, DISPONIBILIDAD TOTAL, LLAMAR EL DÍA LA INSTALACIÓN PARA CONFIRMAR VISITA, AVISO EXTERIOR ALTURA: NO INDICA ALTURA TOMACORRIENTE CERCANO: SI; TIENE CABINA DE SEGURIDAD: NO 11/08/2025 SE VISITA COMERCIO, LA SEÑORA DIANA SARAVIA INDICA QUE POR TEMAS DE REMODELACION DEL LOCAL, ESTE ESTARÁ LISTO HASTA LA PROXIMA SEMANA, POR TAL MOTIVO SE ESCALA A COORDINADOR Y SE CANCELA, SE LE INDICA AL USUARIO QUE UNA VEZ ESTE EL LOCAL LISTO LLAME A LA ENTIDAD.</t>
  </si>
  <si>
    <t>FGZZZ928</t>
  </si>
  <si>
    <t>TA-25-931178</t>
  </si>
  <si>
    <t>CAUCA</t>
  </si>
  <si>
    <t>VILLA RICA</t>
  </si>
  <si>
    <t>BARRIO CENTRO VILLA RICA 5</t>
  </si>
  <si>
    <t>FO-25-1350933</t>
  </si>
  <si>
    <t>06-08 SE REALIZA LLAMADA AL CLIENTE, SE HABLA CON LA SR JANIER JULIAN VALENCIA ESCOBAR  SE VALIDA DIRECCIÓN OK, CANAL OK, DISPONIBILIDAD TOTAL, LLAMAR EL DÍA LA INSTALACIÓN PARA CONFIRMAR VISITA, AVISO EXTERIOR ALTURA: NO INDICA ALTURA; TOMACORRIENTE CERCANO: SI; TIENE CABINA DE SEGURIDAD: SI 8/08/2025SE LLEGA A SITIO PARA REALIZA LA INSTALACIÓN CB Y LA ENERGIA SE FUE HACE APROXIMADAMENTE 90 MINUTOS. EL DATÁFONO QUEDA CONFIGURADO SIN HABER REALIZADO NINGUNA TRANSACCIÓN DE PRUEBA. 13/08/2025 SE REALIZA INSTALACIÓN DE CORRESPONSAL, SE INSTALAN EQUIPOS CON PRUEBAS EXITOSAS, SE CAPACITA Y SE EVALÚA AL CLIENTE, SE INSTALA PUBLICIDAD COMPLETA, CB QUEDA OPERATIVO. USUARIO SOMOS BANCOLOMBIA ACTIVO</t>
  </si>
  <si>
    <t>FGZZZ929</t>
  </si>
  <si>
    <t>TIPO IV</t>
  </si>
  <si>
    <t>TA-25-931181</t>
  </si>
  <si>
    <t>FIRAVITOBA</t>
  </si>
  <si>
    <t>BARRIO CENTRO FIRAVITOBA 2</t>
  </si>
  <si>
    <t>FO-25-1339192</t>
  </si>
  <si>
    <t>06-08 SE REALIZA LLAMADA AL CLIENTE, SE HABLA CON LA SR RONALD MANUEL SUAREZ CORREA  SE VALIDA DIRECCIÓN OK, CANAL OK, DISPONIBILIDAD TOTAL, LLAMAR EL DÍA LA INSTALACIÓN PARA CONFIRMAR VISITA, AVISO EXTERIOR ALTURA APROX 2.5 METROS; TOMACORRIENTE CERCANO: SI; TIENE CABINA DE SEGURIDAD: SI  08-08 POR TEMAS RELACIONADOS AL PARO DE MINEROS PRESENTADO EN EL DEPARTAMENTO,    LA ORDEN  SE REPROGRAMA HASTA  NUEVA ORDEN 12/08/2025 SE VISITA DIRECCIÓN COMERCIO , NO SE PROCEDE A EJECUTAR INSTALACIÓN POR DIRECCIÓN ERRADA ,SE VALIDA CÁMARA DE COMERCIO DIRECCIÓN COINCIDE CON LA ORDEN DE TRABAJO PERO SE VÁLIDA QUE LA DIRECCIÓN LE CORRESPONDE A OTRO PREDIO QUE ESTA UBICADO EN LA CASA DE AL LADO DE DONDE SE INSTALARÍA, SE LE INDICA AL CLIENTE QUE DEBE ACTUALIZAR CAMARA DE COMERCIO</t>
  </si>
  <si>
    <t>FGZZZ933</t>
  </si>
  <si>
    <t>ALVARADO MORENO CRISTHIAN</t>
  </si>
  <si>
    <t>TA-25-952495</t>
  </si>
  <si>
    <t>BARRIO BOSA CARBONEL BOGOTA 1</t>
  </si>
  <si>
    <t>FO-25-1374679</t>
  </si>
  <si>
    <t>11-08 SE REALIZA LLAMADA AL CLIENTE, SE HABLA CON EL SRA JOHANNA PAOLA CASTAÑO MARTINEZ SE VALIDA DIRECCIÓN OK, CANAL OK, DISPONIBILIDAD TOTAL, LLAMAR EL DÍA LA INSTALACIÓN PARA CONFIRMAR VISITA, AVISO EXTERIOR ALTURA APROX 3  METROS; TOMACORRIENTE CERCANO: SI; TIENE CABINA DE SEGURIDAD: NO  - COMUNICACIÓN POR WPP / EL MODEM ESTA A 4 MT  12/08/2025 SE ESCALA NOVEDAD EN APERTURA REDEBAN 3007080934 BARRIO BOSA CARBONEL BOGOTA 1,  LA CUAL AL LLEGAR AL SITIO, SE ENCUENTRA UN CORRESPONSAL INSTALADO A 34 METROS SEGÚN MAPS. ADJUNTO REGISTRO FOTOGRÁFICO DATOS DE CB EXISTENTE (ADJUNTO COPIA TIRILA) NOMBRE:                    PTM BOGOTA DROGUERIA A CÓDIGO ÚNICO:           3007058171 DIRECCIÓN:                  CR 78C 71C SUR 40 COORDENADAS:                 4.603577 -74.196202 14/08/2025 ENTIDAD APRUEBA INSTALACION 14/08/2025 SE REALIZA INSTALACIÓN DE CORRESPONSAL, SE INSTALAN EQUIPOS CON PRUEBAS EXITOSAS, SE CAPACITA Y SE EVALÚA AL CLIENTE, SE INSTALA PUBLICIDAD COMPLETA, CB QUEDA OPERATIVO. USUARIO SOMOS BANCOLOMBIA ACTIVO</t>
  </si>
  <si>
    <t>FIZZZ320</t>
  </si>
  <si>
    <t>LOZADA ROJAS CHRISTIAN ANDRES</t>
  </si>
  <si>
    <t>TA-25-952496</t>
  </si>
  <si>
    <t>TARAZA</t>
  </si>
  <si>
    <t>BARRIO SAN NICOLAS TARAZA 1</t>
  </si>
  <si>
    <t>FO-25-1360406</t>
  </si>
  <si>
    <t xml:space="preserve">10-08 SE REALIZA LLAMADA AL CLIENTE, SE HABLA CON LA SR FERNEY ANTONIO CASTILLO PASTRANA SE VALIDA DIRECCIÓN OK, CANAL OK, DISPONIBILIDAD TOTAL, LLAMAR EL DÍA LA INSTALACIÓN PARA CONFIRMAR VISITA, AVISO EXTERIOR ALTURA APROX 2 METROS; TOMACORRIENTE CERCANO: SI; TIENE CABINA DE SEGURIDAD: NO 12/08/2025 VISITAMOS PUNTO PARA INSTALACIÓN ENCONTRANDO QUE YA HAY OTRO EXISTENTE A MEDIA CUADRA CON CODIGO 3007077869 PTM SAN NICOLAS TARAZA. ESTE PUNTO FUE TRASLADADO HACE UN MES A ESTA NUEVA DIRECCIÓN. USUARIO DE INSTALACIÓN DE HOY COMENTA QUE CUANDO PASÓ LOS PAPELES PARA SOLICITAR EL CORRESPONSAL NO EXISTÍA ESE OTRO CB EN ESTA DIRECCIÓN SINO QUE SE TRASLADÓ COMO COMENTAMOS ANTERIORMENTE. COORDENADAS PUNTO EXISTENTE: 7.584959 -75.400686 COORDENADAS PUNTO NUEVO: 7.584725 -75.400914  14/08/2025 ENTIDAD SOLICITA CANCELAR </t>
  </si>
  <si>
    <t>FIZZZ321</t>
  </si>
  <si>
    <t>BADEL ACUÑA LUIS ALBERTO</t>
  </si>
  <si>
    <t>NEIVA</t>
  </si>
  <si>
    <t>TA-25-969560</t>
  </si>
  <si>
    <t>CAQUETA</t>
  </si>
  <si>
    <t>FLORENCIA</t>
  </si>
  <si>
    <t>DISTRICOL V&amp;C DE LA AMAZONIA</t>
  </si>
  <si>
    <t>FO-25-1371567</t>
  </si>
  <si>
    <t>DISTRICOL</t>
  </si>
  <si>
    <t>13-08 PROGRAMACIÓN REALIZADA POR LA ALIANZA14/08/2025 SE REALIZA VISITA SOBRE LA CRA Y CALLE PARA LA IMPLEMENTACIÓN DEL CB  81013, PERO LA DIRECCIÓN RELACIONADA EN LISTA DE CHEQUEO NO ESTÁ EN SOBRE LA CRA Y CALLE, TAMPOCO HAY UN COMERCIO CON EL NOMBRE RELACIONADO EN LISTA DE CHEQUEO, SE EVIDENCIA   CR 8A # 5B – 71 QUE ES UN COLEGIÓ Y EN FRENTE DONDE PODRÍA SER CR 8A # 5B – 78, PERO ES UN LOTE ENMONTADO DONDE NO HAY CASAS., SE BUSCO EN TODA LA CALLE Y SON CASAS Y NINGUNA CON ESA NOMENCLATURA. . POR TAL RAZÓN SE CANCELA. ANEXO EVIDENCIAS ENCONTRADAS</t>
  </si>
  <si>
    <t>FJZZZ903</t>
  </si>
  <si>
    <t>BERMUDEZ SANCHEZ JOSE NEYBER</t>
  </si>
  <si>
    <t>PASTO</t>
  </si>
  <si>
    <t>TA-25-969591</t>
  </si>
  <si>
    <t>NARIÑO</t>
  </si>
  <si>
    <t>DISTRICOL DROG SUPEREXTRABAR 2</t>
  </si>
  <si>
    <t>FO-25-1371617</t>
  </si>
  <si>
    <t>13-08 PROGRAMACIÓN REALIZADA POR LA ALIANZA 15/08/2025SE VISITA EL COMERCIO PARA REALIZAR APERTURA PERO NO ES POSIBLE YA QUE EN EL COMERCIO FUNCIONA CORRESPONSAL AVAL POR LO QUE NO SE APERTURA</t>
  </si>
  <si>
    <t>FJZZZ919</t>
  </si>
  <si>
    <t>GUERRERO RAMIREZ OSCAR DARIO</t>
  </si>
  <si>
    <t>TA-25-969610</t>
  </si>
  <si>
    <t>BUESACO</t>
  </si>
  <si>
    <t>DISTRICOL DROG LA PRESENTACION</t>
  </si>
  <si>
    <t>FO-25-1371622</t>
  </si>
  <si>
    <t xml:space="preserve">13-08 PROGRAMACIÓN REALIZADA POR LA ALIANZA 14/08/2025 SE REALIZÓ VISITA AL COMERCIO PERO NO SE REALIZÓ INSTALACIÓN DEL CORRESPONSAL POR DIRECCIÓN ERRADA, EN LISTA DE CHEQUEO APARECE DIRECCIÓN CR 3 # 6 - 11 BRR LA PRESENTACION AL IGUAL QUE EN CAMARA DE COMERCIO, PERO EL COMERCIO ESTA UBICADO EN DIRECCIÓN CRA 2 11-67 POR LO QUE SE VALIDA CON REDEBAN Y SE CANCELA LA APERTURA </t>
  </si>
  <si>
    <t>FJZZZ921</t>
  </si>
  <si>
    <t>TA-25-969662</t>
  </si>
  <si>
    <t>DISTRICOL VARIEDADES Y PAPELER</t>
  </si>
  <si>
    <t>FO-25-1371657</t>
  </si>
  <si>
    <t>13-08 PROGRAMACIÓN REALIZADA POR LA ALIANZA 14/08/2025 SE REALIZA VISITA AL PUNTO CB 3007081002 DISTRICOL VARIEDADES Y PAPELERIA, PARA REALIZAR IMPLEMENTACION DEL PUNTO  ,PERO AL LLEGAR AL SITIO SE ENCUENTRA QUE ALLÍ OPERA UN PUNTO EFECTY ACTIVO Y CORRESPONSAL DE OTRO BANCO POR LO CUAL SE PROCEDE A REALIZAR CANCELACIÓN DE DICHA ACTIVIDAD Y SE GENERA EL REPORTE PERTINENTE</t>
  </si>
  <si>
    <t>FJZZZ932</t>
  </si>
  <si>
    <t>TA-25-982596</t>
  </si>
  <si>
    <t>DATAFONO ADICIONAL</t>
  </si>
  <si>
    <t>IPIALES</t>
  </si>
  <si>
    <t>BARRIO OBRERO IPIALES 1</t>
  </si>
  <si>
    <t>FO-25-1400641</t>
  </si>
  <si>
    <t>19-08 SE REALIZA LLAMADA AL CLIENTE, SE HABLA CON EL SR NELSON ARTURO ROSERO CUASQUER  SE VALIDA DIRECCIÓN OK, CANAL OK, DISPONIBILIDAD TOTAL, LLAMAR EL DÍA LA INSTALACIÓN PARA CONFIRMAR VISITA, AVISO EXTERIOR: 2 METROS APROX; TOMACORRIENTE CERCANO: SI; TIENE CABINA DE SEGURIDAD: SI 20-08 SE VISITA CB. CLIENTE INFORMA QUE HAY UN DAÑO CON EL INTERNET Y N EL SECTOR, SE COMUNICAN CON LA EMPRESA DE INTERNET E INFORMAN QUE EL ARREGLO SE DEMORA. SE PROCEDE A ATENDER OTRAS ACTIVIDADES EN IPIALES PARA DAR TIEMPO A QUÉ SOLUCIONEN EL PROBLEMA. SE VUELVE A REALIZAR COMUNICACIÓN CON EL CLIENTE E INFORMA QUE NO LE ALCANZARON A DAR SOLUCIÓN. SE ESCALA E INDICAN CERRAR ACTIVIDAD 21/08/2025 SE REALIZA INSTALACIÓN DE DAT ADICIONAL, PRUEBAS EXITOSAS, CB QUEDA OPERATIVO. SE DEJA BASE EN CUSTODIA DE CLIENTE, NO SE INSTALA POR SOLICITUD DE CLIENTE</t>
  </si>
  <si>
    <t>SHZZZ035</t>
  </si>
  <si>
    <t>CASTILLO HERRERA ALEX RICARDO</t>
  </si>
  <si>
    <t>TA-25-992998</t>
  </si>
  <si>
    <t>DISTRICOL CENTRO COMERCIAL</t>
  </si>
  <si>
    <t>FO-25-1404421</t>
  </si>
  <si>
    <t>21-08 PROGRAMACIÓN REALIZADA POR LA ALIANZA 25-08 POR TEMAS DE TRANSPORTE Y ORDEN PÚBLICO EN LA VÍA NO SE LOGRA VISITAR HOY SE VISITA EL DÍA DE MAÑANA 26/08/2025 VISITAMOS PUNTO Y E ENCUENTRA QUE NO HAY AVISO COMERCIAL EN SITIO, ES UN LOCAL DENTRO DEL CENTRO COMERCIAL PERO NO HAY AVISO CON NOMBRE COMERCIAL. ADICIONALMENTE RESPECTO A LA DIRECCIÓN: COMERCIO INFORMA QUE NO TIENEN RECIBO DE SERVICIOS PÚBLICOS, Y EN CÁMARA DE COMERCIO NO REGISTRA LA DIRECCIÓN QUE TENEMOS EN LISTA DE CHEQUEO, ENTONCES NO TENEMOS COMO CONFIRMAR INFORMACIÓN DE COMERCIO. COORDENADAS SI NOS DAN EN DIRECCIÓN CORRECTA. COMERCIO SI ESTÁ DENTRO DE UN CENTRO COMERCIAL, PERO NO TENEMOS COMO CORROBORAR EL NOMBRE NI DIRECCIÓN. 26/08/2025 TENIENDO EN CUENTA LAS NOVEDADES ENCONTRADAS POR FAVOR CANCELAR LA IMPLEMENTACIÓN AL PUNTO, LO ESTARÉ INFORMANDO AL ALIADO.</t>
  </si>
  <si>
    <t>SIZZZ934</t>
  </si>
  <si>
    <t>TA-25-992135</t>
  </si>
  <si>
    <t>GUATICA</t>
  </si>
  <si>
    <t>BARRIO EL JARDIN GUATICA</t>
  </si>
  <si>
    <t>FO-25-1420655</t>
  </si>
  <si>
    <t>21-08 SE REALIZA CONTACTO CON EL CLIENTE VIA WHATSAPP, SE HABLA CON LA SRA LEIDY JULIET ZAPATA OROZCO SE VALIDA DIRECCIÓN OK, CANAL OK, DISPONIBILIDAD TOTAL, LLAMAR EL DIA DE LA INSTALACIÓN PARA CONFIRMAR VISITA, AVISO EXTERIOR ALTURA APROX 3 METROS; TOMACORRIENTE CERCANO: SI; TIENE CABINA DE SEGURIDAD; NO 25/08/2025 VISITAMOS COMERCIO PERO NO ES POSIBLE REALIZAR LA INSTALACION YA QUE EN LA ZONA NO TIENEN INTERNET DESDE EL DÍA SÁBADO, NO FUE POSIBLE CONTACTO TELEFÓNICO CON EL CLIENTE POR LA MISMA FALLA DE LA ZONA LE INDICAMOS QUE SE REPROGRAMA LA VISITA QUEDAMOS PENDIENTE QUE NOS INFORME EL CLIENTE CUANDO SE SOLUCIONE LA FALLA EN LA ZONA YA QUE LE INFORMARON QUE A PARTIR DE HOY A MAÑANA LE DAN SOLUCIÓN. 29/08/2025 SE REALIZA INSTALACIÓN DE CORRESPONSAL, SE INSTALAN EQUIPOS CON PRUEBAS EXITOSAS, SE CAPACITA Y SE EVALÚA AL CLIENTE, SE INSTALA PUBLICIDAD COMPLETA, CB QUEDA OPERATIVO. USUARIO SOMOS BANCOLOMBIA ACTIVO</t>
  </si>
  <si>
    <t>SIZZZ899</t>
  </si>
  <si>
    <t>ARROYAVE CANO MANUEL GUILLERMO</t>
  </si>
  <si>
    <t>TA-25-992181</t>
  </si>
  <si>
    <t>DON MATIAS</t>
  </si>
  <si>
    <t>BARRIO SECTOR TRONCAL NORTE DONMATIAS</t>
  </si>
  <si>
    <t>FO-25-1402447</t>
  </si>
  <si>
    <t>21-08 SE REALIZA LLAMADA AL CLIENTE, SE HABLA CON LA SR JUAN CARLOS  SE VALIDA DIRECCIÓN OK, CANAL OK, DISPONIBILIDAD TOTAL, LLAMAR EL DÍA LA INSTALACIÓN PARA CONFIRMAR VISITA, AVISO EXTERIOR ALTURA APROX 4 METROS; TOMACORRIENTE CERCANO: SI; TIENE CABINA DE SEGURIDAD: SI  - EL MODEM ESTA 10 MT  22/08/2025 SE CANCELA VISITA YA QUE USUARIO ESTÁ CON DUDAS SOBRE SI PROCEDER CON INSTALACIÓN O NO YA QUE LA SOLUCITUD LA RADICO EL HIJO, PERO ESTÁ TODO A NOMBRE DE EL, ENTONCES SOLICITA SUSPENDER MIENTRAS DEFINEN SI SE INSTALA O NO.</t>
  </si>
  <si>
    <t>SIZZZ919</t>
  </si>
  <si>
    <t>DIAZ ZABALA FRANCIS DUBAN</t>
  </si>
  <si>
    <t>MANIZALES</t>
  </si>
  <si>
    <t>TA-25-1034029</t>
  </si>
  <si>
    <t>CALDAS</t>
  </si>
  <si>
    <t>BARRIO SAENS MANIZALES</t>
  </si>
  <si>
    <t>FO-25-1433222</t>
  </si>
  <si>
    <t>27-08 SE REALIZA LLAMADA AL CLIENTE, SE HABLA CON LA SRA ESTELA RAMIREZ JARAMILLO, SE VALIDA DIRECCIÓN OK, CANAL OK, DISPONIBILIDAD TOTAL, LLAMAR EL DÍA LA INSTALACIÓN PARA CONFIRMAR VISITA, AVISO EXTERIOR ALTURA APROX 4 METROS; TOMACORRIENTE CERCANO: SI; TIENE CABINA DE SEGURIDAD: SI - EL MODEM ESTA A 4 MT  28-09 EN COMUNICACIÓN CON EL USUARIO INDICA QUE HOY NO PUEDE RECIBIR LA ACTIVIDAD POR QUE SALIO DE URG, PIDE QUE SE VISITE EL DIA DE MAÑANA  29/08/2025 SE REALIZA VISITA USUARIO NO CUENTA CON INTERNET EN EL COMERCIO E INDICA SOLICITUD DE REAGENDAR LA VISITA PARA CUANDO YA TENGA LAS CONEXIONES DE INTERNET, SE LE INDICA QUE DEBE DE REAGENDARLA CON EL ASESOR, SE CANCELA POR NO CONEXIÓNES A MODEM</t>
  </si>
  <si>
    <t>FKZZZ675</t>
  </si>
  <si>
    <t>AGUIRRE HENAO RAUL EDUARDO</t>
  </si>
  <si>
    <t>TA-25-1034456</t>
  </si>
  <si>
    <t>ENTRERRIOS</t>
  </si>
  <si>
    <t>DISTRICOL AMERICA STORE</t>
  </si>
  <si>
    <t>FO-25-1433878</t>
  </si>
  <si>
    <t>27-08 PROGRAMACIÓN REALIZADA POR LA ALIANZA 28/08/2025 EN PUNTO NO HAY AVISO. USUARIO INFORMA QUE ESTÁ EN ADECUACIÓN EL COMERCIO YA QUE ES NUEVO, EL TÉCNICO SI EVIDENCIA QUE ESTÁN MONTÁNDOLO APENAS. USUARIO INFORMA QUE EL AVISO DE COMERCIO LO MONTAN EL DÍA DE MAÑANA Y YA ESTÁ EN COMERCIO, ADJUNTO FOTO. DIRECCIÓN DE LISTA DE CHEQUEO COINCIDE CON CÁMARA DE COMERCIO. 28/08/2025 POR FAVOR PROCEDER CON LA CANCELACIÓN DE LA IMPLEMENTACIÓN CORRESPONDIENTE, SEGÚN LA RESPUESTA DE LA ENTIDAD.</t>
  </si>
  <si>
    <t>FKZZZ683</t>
  </si>
  <si>
    <t>TA-25-1034463</t>
  </si>
  <si>
    <t>LA UNION</t>
  </si>
  <si>
    <t>DISTRICOL PAP Y MISC DELPARQUE</t>
  </si>
  <si>
    <t>FO-25-1433905</t>
  </si>
  <si>
    <t>27-08 PROGRAMACIÓN REALIZADA POR LA ALIANZA 29/08/2025 SE REALIZA VISITA PARA INSTALACIÓN DE CB PERO AL LLEGAR SE ENCUENTRA QUE NO CUENTAN CON AVISO COMERCIAL Y LA DIRECCIÓN DEL LUGAR NO COINCIDE CON LA QUE NOS ENTREGAN EN EL CORREO DE LA APERTURA POR LO CUAL SE ESCALA A EDISON SAMBONI DE REDEBAN EL CUAL INDICA QUE NO SE PUEDE REALIZAR LA APERTURA POR DIRECCIÓN ERRADA POR LO CUAL NO SE PUEDE REALIZAR LA APERTURA</t>
  </si>
  <si>
    <t>FKZZZ690</t>
  </si>
  <si>
    <t>PAZ MARTINEZ RICHARD HUMBERTO</t>
  </si>
  <si>
    <t>TA-25-1034477</t>
  </si>
  <si>
    <t>AMALFI</t>
  </si>
  <si>
    <t>DISTRICOL TIENDA A MAR</t>
  </si>
  <si>
    <t>FO-25-1433936</t>
  </si>
  <si>
    <t>27-08 PROGRAMACIÓN REALIZADA POR LA ALIANZA 28/08/2025 VISITAMOS PUNTO ENCONTRANDO OTRO CB EN EL LOCAL CONTIGUO. CODIGO EXISTENTE 71566 BARRIO EL CAMELLON AMALFI. ADICIONALMENTE HAY UNA NOVEDAD CON LA DIRECCIÓN. COMERCIO ESTÁ UBICADO EN CALLE 20 PERO CON CARRERA 17.</t>
  </si>
  <si>
    <t>FKZZZ696</t>
  </si>
  <si>
    <t>QUINTERO SANCHEZ JUAN SEBASTIAN</t>
  </si>
  <si>
    <t>TA-25-904094</t>
  </si>
  <si>
    <t>OCAÑA</t>
  </si>
  <si>
    <t>BARRIO JUAN 23  OCAÑA</t>
  </si>
  <si>
    <t>FO-25-1305075</t>
  </si>
  <si>
    <t>30-07-2025 SE REALIZA LLAMADA AL CLIENTE, SE HABLA CON LA SRA ERIKA CAROLINA RAMIREZ QUINTERO,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 SE INSTALA SWITCH 223C4S6013109</t>
  </si>
  <si>
    <t>VAZZZ384</t>
  </si>
  <si>
    <t>COD. CIUDAD</t>
  </si>
  <si>
    <t>DESDE DONDE SE ATIENDE</t>
  </si>
  <si>
    <t>TIPO DE TRAYECTO NUEVO</t>
  </si>
  <si>
    <t>TIPOLOGIA NUEVA</t>
  </si>
  <si>
    <t>LA VICTORIA</t>
  </si>
  <si>
    <t>AMAZONAS</t>
  </si>
  <si>
    <t>AEREO</t>
  </si>
  <si>
    <t>TIPO IV ESPECIAL</t>
  </si>
  <si>
    <t>PUERTO SANTANDER</t>
  </si>
  <si>
    <t>EL ENCANTO</t>
  </si>
  <si>
    <t>LA CHORRERA</t>
  </si>
  <si>
    <t>LA PEDRERA</t>
  </si>
  <si>
    <t>LETICIA</t>
  </si>
  <si>
    <t>MIRITI - PARANA</t>
  </si>
  <si>
    <t>PUERTO ALEGRIA</t>
  </si>
  <si>
    <t>PUERTO ARICA</t>
  </si>
  <si>
    <t>PUERTO NARIÑO</t>
  </si>
  <si>
    <t>TARAPACA</t>
  </si>
  <si>
    <t>ARGELIA</t>
  </si>
  <si>
    <t>ARMENIA</t>
  </si>
  <si>
    <t>BARBOSA</t>
  </si>
  <si>
    <t>BETULIA</t>
  </si>
  <si>
    <t>BRICEÑO</t>
  </si>
  <si>
    <t>CONCEPCION</t>
  </si>
  <si>
    <t>CONCORDIA</t>
  </si>
  <si>
    <t>GRANADA</t>
  </si>
  <si>
    <t>GUADALUPE</t>
  </si>
  <si>
    <t>JERICO</t>
  </si>
  <si>
    <t>RIONEGRO</t>
  </si>
  <si>
    <t>SABANALARGA</t>
  </si>
  <si>
    <t>SAN CARLOS</t>
  </si>
  <si>
    <t>SAN FRANCISCO</t>
  </si>
  <si>
    <t>SAN LUIS</t>
  </si>
  <si>
    <t>SAN PEDRO DE LOS MILAGROS</t>
  </si>
  <si>
    <t>SANTA BARBARA</t>
  </si>
  <si>
    <t>TOLEDO</t>
  </si>
  <si>
    <t>VALPARAISO</t>
  </si>
  <si>
    <t>VENECIA</t>
  </si>
  <si>
    <t>ABEJORRAL</t>
  </si>
  <si>
    <t>ABRIAQUI</t>
  </si>
  <si>
    <t>ALEJANDRIA</t>
  </si>
  <si>
    <t>AMAGA</t>
  </si>
  <si>
    <t>ANDES</t>
  </si>
  <si>
    <t>ANGELOPOLIS</t>
  </si>
  <si>
    <t>ANGOSTURA</t>
  </si>
  <si>
    <t>ANORI</t>
  </si>
  <si>
    <t>ANZA</t>
  </si>
  <si>
    <t>APARTADO</t>
  </si>
  <si>
    <t>ARBOLETES</t>
  </si>
  <si>
    <t>MONTERIA</t>
  </si>
  <si>
    <t>BELMIRA</t>
  </si>
  <si>
    <t>BETANIA</t>
  </si>
  <si>
    <t>BURITICA</t>
  </si>
  <si>
    <t>CACERES</t>
  </si>
  <si>
    <t>CAICEDO</t>
  </si>
  <si>
    <t>CAMPAMENTO</t>
  </si>
  <si>
    <t>CAÑASGORDAS</t>
  </si>
  <si>
    <t>CARACOLI</t>
  </si>
  <si>
    <t>CARAMANTA</t>
  </si>
  <si>
    <t>CAREPA</t>
  </si>
  <si>
    <t>CAROLINA</t>
  </si>
  <si>
    <t>CAUCASIA</t>
  </si>
  <si>
    <t>CHIGORODO</t>
  </si>
  <si>
    <t>CISNEROS</t>
  </si>
  <si>
    <t>CIUDAD BOLIVAR</t>
  </si>
  <si>
    <t>COCORNA</t>
  </si>
  <si>
    <t>COPACABANA</t>
  </si>
  <si>
    <t>DABEIBA</t>
  </si>
  <si>
    <t>EBEJICO</t>
  </si>
  <si>
    <t>EL BAGRE</t>
  </si>
  <si>
    <t>EL CARMEN DE VIBORAL</t>
  </si>
  <si>
    <t>EL SANTUARIO</t>
  </si>
  <si>
    <t>ENVIGADO</t>
  </si>
  <si>
    <t>FREDONIA</t>
  </si>
  <si>
    <t>FRONTINO</t>
  </si>
  <si>
    <t>GIRALDO</t>
  </si>
  <si>
    <t>GIRARDOTA</t>
  </si>
  <si>
    <t>GOMEZ PLATA</t>
  </si>
  <si>
    <t>GUARNE</t>
  </si>
  <si>
    <t>GUATAPE</t>
  </si>
  <si>
    <t>HELICONIA</t>
  </si>
  <si>
    <t>HISPANIA</t>
  </si>
  <si>
    <t>ITAGUI</t>
  </si>
  <si>
    <t>ITUANGO</t>
  </si>
  <si>
    <t>JARDIN</t>
  </si>
  <si>
    <t>LA CEJA</t>
  </si>
  <si>
    <t>LA ESTRELLA</t>
  </si>
  <si>
    <t>LA PINTADA</t>
  </si>
  <si>
    <t>LIBORINA</t>
  </si>
  <si>
    <t>MACEO</t>
  </si>
  <si>
    <t>MARINILLA</t>
  </si>
  <si>
    <t>MONTEBELLO</t>
  </si>
  <si>
    <t>MURINDO</t>
  </si>
  <si>
    <t>FLUVIAL</t>
  </si>
  <si>
    <t>MUTATA</t>
  </si>
  <si>
    <t>NECHI</t>
  </si>
  <si>
    <t>NECOCLI</t>
  </si>
  <si>
    <t>OLAYA</t>
  </si>
  <si>
    <t>PEÑOL</t>
  </si>
  <si>
    <t>PEQUE</t>
  </si>
  <si>
    <t>PUEBLORRICO</t>
  </si>
  <si>
    <t>PUERTO BERRIO</t>
  </si>
  <si>
    <t>PUERTO NARE</t>
  </si>
  <si>
    <t>PUERTO TRIUNFO</t>
  </si>
  <si>
    <t>REMEDIOS</t>
  </si>
  <si>
    <t>RETIRO</t>
  </si>
  <si>
    <t>SABANETA</t>
  </si>
  <si>
    <t>SAN ANDRES DE CUERQUIA</t>
  </si>
  <si>
    <t>SAN JERONIMO</t>
  </si>
  <si>
    <t>SAN JOSE DE LA MONTAÑA</t>
  </si>
  <si>
    <t>SAN JUAN DE URABA</t>
  </si>
  <si>
    <t>SAN PEDRO DE URABA</t>
  </si>
  <si>
    <t>SAN RAFAEL</t>
  </si>
  <si>
    <t>SAN ROQUE</t>
  </si>
  <si>
    <t>SAN VICENTE</t>
  </si>
  <si>
    <t>SANTA FE DE ANTIOQUIA</t>
  </si>
  <si>
    <t>SANTA ROSA DE OSOS</t>
  </si>
  <si>
    <t>SANTO DOMINGO</t>
  </si>
  <si>
    <t>SEGOVIA</t>
  </si>
  <si>
    <t>SONSON</t>
  </si>
  <si>
    <t>SOPETRAN</t>
  </si>
  <si>
    <t>TAMESIS</t>
  </si>
  <si>
    <t>TARSO</t>
  </si>
  <si>
    <t>TITIRIBI</t>
  </si>
  <si>
    <t>TURBO</t>
  </si>
  <si>
    <t>URAMITA</t>
  </si>
  <si>
    <t>URRAO</t>
  </si>
  <si>
    <t>VALDIVIA</t>
  </si>
  <si>
    <t>VEGACHI</t>
  </si>
  <si>
    <t>VIGIA DEL FUERTE</t>
  </si>
  <si>
    <t>YALI</t>
  </si>
  <si>
    <t>YARUMAL</t>
  </si>
  <si>
    <t>YOLOMBO</t>
  </si>
  <si>
    <t>YONDO</t>
  </si>
  <si>
    <t>ZARAGOZA</t>
  </si>
  <si>
    <t>ARAUCA</t>
  </si>
  <si>
    <t>ARAUQUITA</t>
  </si>
  <si>
    <t>CRAVO NORTE</t>
  </si>
  <si>
    <t>FORTUL</t>
  </si>
  <si>
    <t>PUERTO RONDON</t>
  </si>
  <si>
    <t>SARAVENA</t>
  </si>
  <si>
    <t>TAME</t>
  </si>
  <si>
    <t>ATLANTICO</t>
  </si>
  <si>
    <t>BARRANQUILLA</t>
  </si>
  <si>
    <t>PUERTO COLOMBIA</t>
  </si>
  <si>
    <t>BARANOA</t>
  </si>
  <si>
    <t>CAMPO DE LA CRUZ</t>
  </si>
  <si>
    <t>GALAPA</t>
  </si>
  <si>
    <t>JUAN DE ACOSTA</t>
  </si>
  <si>
    <t>LURUACO</t>
  </si>
  <si>
    <t>MALAMBO</t>
  </si>
  <si>
    <t>MANATI</t>
  </si>
  <si>
    <t>PALMAR DE VARELA</t>
  </si>
  <si>
    <t>PIOJO</t>
  </si>
  <si>
    <t>POLONUEVO</t>
  </si>
  <si>
    <t>PONEDERA</t>
  </si>
  <si>
    <t>REPELON</t>
  </si>
  <si>
    <t>SABANAGRANDE</t>
  </si>
  <si>
    <t>SANTA LUCIA</t>
  </si>
  <si>
    <t>SANTO TOMAS</t>
  </si>
  <si>
    <t>SOLEDAD</t>
  </si>
  <si>
    <t>SUAN</t>
  </si>
  <si>
    <t>TUBARA</t>
  </si>
  <si>
    <t>USIACURI</t>
  </si>
  <si>
    <t>CALAMAR</t>
  </si>
  <si>
    <t>CORDOBA</t>
  </si>
  <si>
    <t>EL PEÑON</t>
  </si>
  <si>
    <t>VALLEDUPAR</t>
  </si>
  <si>
    <t>MORALES</t>
  </si>
  <si>
    <t>SAN PABLO</t>
  </si>
  <si>
    <t>TERRESTRE/FLUVIAL</t>
  </si>
  <si>
    <t>SANTA ROSA</t>
  </si>
  <si>
    <t>VILLANUEVA</t>
  </si>
  <si>
    <t>ACHI</t>
  </si>
  <si>
    <t>ALTOS DEL ROSARIO</t>
  </si>
  <si>
    <t>ARENAL</t>
  </si>
  <si>
    <t>ARJONA</t>
  </si>
  <si>
    <t>ARROYOHONDO</t>
  </si>
  <si>
    <t>BARRANCO DE LOBA</t>
  </si>
  <si>
    <t>CANTAGALLO</t>
  </si>
  <si>
    <t>CICUCO</t>
  </si>
  <si>
    <t>CLEMENCIA</t>
  </si>
  <si>
    <t>EL CARMEN DE BOLIVAR</t>
  </si>
  <si>
    <t>EL GUAMO</t>
  </si>
  <si>
    <t>HATILLO DE LOBA</t>
  </si>
  <si>
    <t>MAGANGUE</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</si>
  <si>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</si>
  <si>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</si>
  <si>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</si>
  <si>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</si>
  <si>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</si>
  <si>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</si>
  <si>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</si>
  <si>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</si>
  <si>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</si>
  <si>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</si>
  <si>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</si>
  <si>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</si>
  <si>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</si>
  <si>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</si>
  <si>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JUAN NEPOMUCENO</t>
  </si>
  <si>
    <t>SAN MARTIN DE LOBA</t>
  </si>
  <si>
    <t>SANTA CATALINA</t>
  </si>
  <si>
    <t>SANTA ROSA DEL SUR</t>
  </si>
  <si>
    <t>SIMITI</t>
  </si>
  <si>
    <t>SOPLAVIENTO</t>
  </si>
  <si>
    <t>TALAIGUA NUEVO</t>
  </si>
  <si>
    <t>TIQUISIO</t>
  </si>
  <si>
    <t>TURBACO</t>
  </si>
  <si>
    <t>TURBANA</t>
  </si>
  <si>
    <t>ZAMBRANO</t>
  </si>
  <si>
    <t>BELEN</t>
  </si>
  <si>
    <t>BUENAVISTA</t>
  </si>
  <si>
    <t>CIENAGA</t>
  </si>
  <si>
    <t>MIRAFLORES</t>
  </si>
  <si>
    <t>PAEZ</t>
  </si>
  <si>
    <t>SANTA MARIA</t>
  </si>
  <si>
    <t>ALMEIDA</t>
  </si>
  <si>
    <t>AQUITANIA</t>
  </si>
  <si>
    <t>ARCABUCO</t>
  </si>
  <si>
    <t>BERBEO</t>
  </si>
  <si>
    <t>BETEITIVA</t>
  </si>
  <si>
    <t>BOAVITA</t>
  </si>
  <si>
    <t>BUSBANZA</t>
  </si>
  <si>
    <t>CAMPOHERMOSO</t>
  </si>
  <si>
    <t>CERINZA</t>
  </si>
  <si>
    <t>CHINAVITA</t>
  </si>
  <si>
    <t>CHIQUINQUIRA</t>
  </si>
  <si>
    <t>CHIQUIZA</t>
  </si>
  <si>
    <t>CHISCAS</t>
  </si>
  <si>
    <t>CHITA</t>
  </si>
  <si>
    <t>CHITARAQUE</t>
  </si>
  <si>
    <t>CHIVATA</t>
  </si>
  <si>
    <t>CHIVOR</t>
  </si>
  <si>
    <t>COMBITA</t>
  </si>
  <si>
    <t>COPER</t>
  </si>
  <si>
    <t>CORRALES</t>
  </si>
  <si>
    <t>COVARACHIA</t>
  </si>
  <si>
    <t>CUBARA</t>
  </si>
  <si>
    <t>CUCAITA</t>
  </si>
  <si>
    <t>CUITIVA</t>
  </si>
  <si>
    <t>EL COCUY</t>
  </si>
  <si>
    <t>EL ESPINO</t>
  </si>
  <si>
    <t>FLORESTA</t>
  </si>
  <si>
    <t>GACHANTIVA</t>
  </si>
  <si>
    <t>GAMEZA</t>
  </si>
  <si>
    <t>GARAGOA</t>
  </si>
  <si>
    <t>GUACAMAYAS</t>
  </si>
  <si>
    <t>GUATEQUE</t>
  </si>
  <si>
    <t>GUAYATA</t>
  </si>
  <si>
    <t>GUICAN</t>
  </si>
  <si>
    <t>IZA</t>
  </si>
  <si>
    <t>LA CAPILLA</t>
  </si>
  <si>
    <t>LA UVITA</t>
  </si>
  <si>
    <t>LABRANZAGRANDE</t>
  </si>
  <si>
    <t>MACANAL</t>
  </si>
  <si>
    <t>MARIPI</t>
  </si>
  <si>
    <t>MONGUA</t>
  </si>
  <si>
    <t>MONGUI</t>
  </si>
  <si>
    <t>MONIQUIRA</t>
  </si>
  <si>
    <t>MOTAVITA</t>
  </si>
  <si>
    <t>MUZO</t>
  </si>
  <si>
    <t>NOBSA</t>
  </si>
  <si>
    <t>NUEVO COLON</t>
  </si>
  <si>
    <t>OICATA</t>
  </si>
  <si>
    <t>OTANCHE</t>
  </si>
  <si>
    <t>PACHAVITA</t>
  </si>
  <si>
    <t>PAIPA</t>
  </si>
  <si>
    <t>PAJARITO</t>
  </si>
  <si>
    <t>PANQUEBA</t>
  </si>
  <si>
    <t>PAUNA</t>
  </si>
  <si>
    <t>PAYA</t>
  </si>
  <si>
    <t>PAZ DE RIO</t>
  </si>
  <si>
    <t>PESCA</t>
  </si>
  <si>
    <t>PISBA</t>
  </si>
  <si>
    <t>PUERTO BOYACA</t>
  </si>
  <si>
    <t>QUIPAMA</t>
  </si>
  <si>
    <t>RAMIRIQUI</t>
  </si>
  <si>
    <t>RAQUIRA</t>
  </si>
  <si>
    <t>RONDON</t>
  </si>
  <si>
    <t>SABOYA</t>
  </si>
  <si>
    <t>SACHICA</t>
  </si>
  <si>
    <t>SAMACA</t>
  </si>
  <si>
    <t>SAN EDUARDO</t>
  </si>
  <si>
    <t>SAN JOSE DE PARE</t>
  </si>
  <si>
    <t>SAN LUIS DE GACENO</t>
  </si>
  <si>
    <t>SAN MATEO</t>
  </si>
  <si>
    <t>SAN MIGUEL DE SEMA</t>
  </si>
  <si>
    <t>SAN PABLO DE BORBUR</t>
  </si>
  <si>
    <t>SANTA ROSA DE VITERBO</t>
  </si>
  <si>
    <t>SANTA SOFIA</t>
  </si>
  <si>
    <t>SANTANA</t>
  </si>
  <si>
    <t>SATIVANORTE</t>
  </si>
  <si>
    <t>SIACHOQUE</t>
  </si>
  <si>
    <t>SOATA</t>
  </si>
  <si>
    <t>SOCHA</t>
  </si>
  <si>
    <t>SOCOTA</t>
  </si>
  <si>
    <t>SOGAMOSO</t>
  </si>
  <si>
    <t>SOMONDOCO</t>
  </si>
  <si>
    <t>SORA</t>
  </si>
  <si>
    <t>SORACA</t>
  </si>
  <si>
    <t>SOTAQUIRA</t>
  </si>
  <si>
    <t>SUSACON</t>
  </si>
  <si>
    <t>SUTATENZA</t>
  </si>
  <si>
    <t>TASCO</t>
  </si>
  <si>
    <t>TENZA</t>
  </si>
  <si>
    <t>TIBANA</t>
  </si>
  <si>
    <t>TIBASOSA</t>
  </si>
  <si>
    <t>TINJACA</t>
  </si>
  <si>
    <t>TIPACOQUE</t>
  </si>
  <si>
    <t>TOCA</t>
  </si>
  <si>
    <t>TOGÜI</t>
  </si>
  <si>
    <t>TOPAGA</t>
  </si>
  <si>
    <t>TOTA</t>
  </si>
  <si>
    <t>TUNUNGUA</t>
  </si>
  <si>
    <t>TURMEQUE</t>
  </si>
  <si>
    <t>TUTA</t>
  </si>
  <si>
    <t>TUTAZA</t>
  </si>
  <si>
    <t>UMBITA</t>
  </si>
  <si>
    <t>VENTAQUEMADA</t>
  </si>
  <si>
    <t>VILLA DE LEYVA</t>
  </si>
  <si>
    <t>VIRACACHA</t>
  </si>
  <si>
    <t>ZETAQUIRA</t>
  </si>
  <si>
    <t>PALESTINA</t>
  </si>
  <si>
    <t>RIOSUCIO</t>
  </si>
  <si>
    <t>SALAMINA</t>
  </si>
  <si>
    <t>AGUADAS</t>
  </si>
  <si>
    <t>ANSERMA</t>
  </si>
  <si>
    <t>ARANZAZU</t>
  </si>
  <si>
    <t>BELALCAZAR</t>
  </si>
  <si>
    <t>CHINCHINA</t>
  </si>
  <si>
    <t>FILADELFIA</t>
  </si>
  <si>
    <t>LA DORADA</t>
  </si>
  <si>
    <t>LA MERCED</t>
  </si>
  <si>
    <t>MANZANARES</t>
  </si>
  <si>
    <t>MARMATO</t>
  </si>
  <si>
    <t>MARQUETALIA</t>
  </si>
  <si>
    <t>MARULANDA</t>
  </si>
  <si>
    <t>NEIRA</t>
  </si>
  <si>
    <t>NORCASIA</t>
  </si>
  <si>
    <t>PACORA</t>
  </si>
  <si>
    <t>PENSILVANIA</t>
  </si>
  <si>
    <t>SAMANA</t>
  </si>
  <si>
    <t>SAN JOSE</t>
  </si>
  <si>
    <t>SUPIA</t>
  </si>
  <si>
    <t>VICTORIA</t>
  </si>
  <si>
    <t>VILLAMARIA</t>
  </si>
  <si>
    <t>VITERBO</t>
  </si>
  <si>
    <t>ALBANIA</t>
  </si>
  <si>
    <t>PUERTO RICO</t>
  </si>
  <si>
    <t>BELEN DE LOS ANDAQUIES</t>
  </si>
  <si>
    <t>CARTAGENA DEL CHAIRA</t>
  </si>
  <si>
    <t>CURILLO</t>
  </si>
  <si>
    <t>EL DONCELLO</t>
  </si>
  <si>
    <t>EL PAUJIL</t>
  </si>
  <si>
    <t>LA MONTAÑITA</t>
  </si>
  <si>
    <t>MILAN</t>
  </si>
  <si>
    <t>MORELIA</t>
  </si>
  <si>
    <t>SAN JOSE DEL FRAGUA</t>
  </si>
  <si>
    <t>SAN VICENTE DEL CAGUAN</t>
  </si>
  <si>
    <t>TERRESTRE / AEREO</t>
  </si>
  <si>
    <t>SOLANO</t>
  </si>
  <si>
    <t>SOLITA</t>
  </si>
  <si>
    <t>CHAMEZA</t>
  </si>
  <si>
    <t>HATO COROZAL</t>
  </si>
  <si>
    <t>LA SALINA</t>
  </si>
  <si>
    <t>MANI</t>
  </si>
  <si>
    <t>MONTERREY</t>
  </si>
  <si>
    <t>NUNCHIA</t>
  </si>
  <si>
    <t>OROCUE</t>
  </si>
  <si>
    <t>PORE</t>
  </si>
  <si>
    <t>RECETOR</t>
  </si>
  <si>
    <t>SACAMA</t>
  </si>
  <si>
    <t>SAN LUIS DE PALENQUE</t>
  </si>
  <si>
    <t>TAMARA</t>
  </si>
  <si>
    <t>TAURAMENA</t>
  </si>
  <si>
    <t>TRINIDAD</t>
  </si>
  <si>
    <t>BALBOA</t>
  </si>
  <si>
    <t>EL TAMBO</t>
  </si>
  <si>
    <t>LA VEGA</t>
  </si>
  <si>
    <t>SUAREZ</t>
  </si>
  <si>
    <t>SUCRE</t>
  </si>
  <si>
    <t>ALMAGUER</t>
  </si>
  <si>
    <t>BUENOS AIRES</t>
  </si>
  <si>
    <t>CAJIBIO</t>
  </si>
  <si>
    <t>CALDONO</t>
  </si>
  <si>
    <t>CALOTO</t>
  </si>
  <si>
    <t>CORINTO</t>
  </si>
  <si>
    <t>GUACHENE</t>
  </si>
  <si>
    <t>GUAPI</t>
  </si>
  <si>
    <t>INZA</t>
  </si>
  <si>
    <t>JAMBALO</t>
  </si>
  <si>
    <t>LA SIERRA</t>
  </si>
  <si>
    <t>LOPEZ</t>
  </si>
  <si>
    <t>MERCADERES</t>
  </si>
  <si>
    <t>MIRANDA</t>
  </si>
  <si>
    <t>PADILLA</t>
  </si>
  <si>
    <t>PATIA</t>
  </si>
  <si>
    <t>PIAMONTE</t>
  </si>
  <si>
    <t>PIENDAMO</t>
  </si>
  <si>
    <t>POPAYAN</t>
  </si>
  <si>
    <t>PUERTO TEJADA</t>
  </si>
  <si>
    <t>PURACE</t>
  </si>
  <si>
    <t>ROSAS</t>
  </si>
  <si>
    <t>SAN SEBASTIAN</t>
  </si>
  <si>
    <t>SANTANDER DE QUILICHAO</t>
  </si>
  <si>
    <t>SILVIA</t>
  </si>
  <si>
    <t>SOTARA</t>
  </si>
  <si>
    <t>TIMBIO</t>
  </si>
  <si>
    <t>TIMBIQUI</t>
  </si>
  <si>
    <t>TORIBIO</t>
  </si>
  <si>
    <t>TOTORO</t>
  </si>
  <si>
    <t>LA PAZ</t>
  </si>
  <si>
    <t>CESAR</t>
  </si>
  <si>
    <t>MANAURE</t>
  </si>
  <si>
    <t>SAN MARTIN</t>
  </si>
  <si>
    <t>AGUACHICA</t>
  </si>
  <si>
    <t>AGUSTIN CODAZZI</t>
  </si>
  <si>
    <t>ASTREA</t>
  </si>
  <si>
    <t>BECERRIL</t>
  </si>
  <si>
    <t>BOSCONIA</t>
  </si>
  <si>
    <t>CHIMICHAGUA</t>
  </si>
  <si>
    <t>CHIRIGUANA</t>
  </si>
  <si>
    <t>CURUMANI</t>
  </si>
  <si>
    <t>EL COPEY</t>
  </si>
  <si>
    <t>EL PASO</t>
  </si>
  <si>
    <t>GAMARRA</t>
  </si>
  <si>
    <t>GONZALEZ</t>
  </si>
  <si>
    <t>LA GLORIA</t>
  </si>
  <si>
    <t>LA JAGUA DE IBIRICO</t>
  </si>
  <si>
    <t>PAILITAS</t>
  </si>
  <si>
    <t>PELAYA</t>
  </si>
  <si>
    <t>PUEBLO BELLO</t>
  </si>
  <si>
    <t>RIO DE ORO</t>
  </si>
  <si>
    <t>SAN ALBERTO</t>
  </si>
  <si>
    <t>SAN DIEGO</t>
  </si>
  <si>
    <t>TAMALAMEQUE</t>
  </si>
  <si>
    <t>CHOCO</t>
  </si>
  <si>
    <t>ACANDI</t>
  </si>
  <si>
    <t>ALTO BAUDO</t>
  </si>
  <si>
    <t>ATRATO</t>
  </si>
  <si>
    <t>BAGADO</t>
  </si>
  <si>
    <t>BAHIA SOLANO</t>
  </si>
  <si>
    <t>BAJO BAUDO</t>
  </si>
  <si>
    <t>BELEN DE BAJIRA</t>
  </si>
  <si>
    <t>BOJAYA</t>
  </si>
  <si>
    <t>CARMEN DEL DARIEN</t>
  </si>
  <si>
    <t>CERTEGUI</t>
  </si>
  <si>
    <t>CONDOTO</t>
  </si>
  <si>
    <t>EL CANTON DEL SAN PABLO</t>
  </si>
  <si>
    <t>EL CARMEN DE ATRATO</t>
  </si>
  <si>
    <t>EL LITORAL DEL SAN JUAN</t>
  </si>
  <si>
    <t>TERRESTRE / FLUVIAL</t>
  </si>
  <si>
    <t>ISTMINA</t>
  </si>
  <si>
    <t>JURADO</t>
  </si>
  <si>
    <t>LLORO</t>
  </si>
  <si>
    <t>MEDIO ATRATO</t>
  </si>
  <si>
    <t>MEDIO BAUDO</t>
  </si>
  <si>
    <t>MEDIO SAN JUAN</t>
  </si>
  <si>
    <t>NOVITA</t>
  </si>
  <si>
    <t>NUQUI</t>
  </si>
  <si>
    <t>QUIBDO</t>
  </si>
  <si>
    <t>RIO IRO</t>
  </si>
  <si>
    <t>RIO QUITO</t>
  </si>
  <si>
    <t>SAN JOSE DEL PALMAR</t>
  </si>
  <si>
    <t>SIPI</t>
  </si>
  <si>
    <t>TADO</t>
  </si>
  <si>
    <t>UNGUIA</t>
  </si>
  <si>
    <t>UNION PANAMERICANA</t>
  </si>
  <si>
    <t>CHIMA</t>
  </si>
  <si>
    <t>AYAPEL</t>
  </si>
  <si>
    <t>CANALETE</t>
  </si>
  <si>
    <t>CERETE</t>
  </si>
  <si>
    <t>CHINU</t>
  </si>
  <si>
    <t>CIENAGA DE ORO</t>
  </si>
  <si>
    <t>COTORRA</t>
  </si>
  <si>
    <t>LA APARTADA</t>
  </si>
  <si>
    <t>LORICA</t>
  </si>
  <si>
    <t>LOS CORDOBAS</t>
  </si>
  <si>
    <t>MOMIL</t>
  </si>
  <si>
    <t>MONTELIBANO</t>
  </si>
  <si>
    <t>MOÑITOS</t>
  </si>
  <si>
    <t>PLANETA RICA</t>
  </si>
  <si>
    <t>PUEBLO NUEVO</t>
  </si>
  <si>
    <t>PUERTO ESCONDIDO</t>
  </si>
  <si>
    <t>PUERTO LIBERTADOR</t>
  </si>
  <si>
    <t>PURISIMA</t>
  </si>
  <si>
    <t>SAHAGUN</t>
  </si>
  <si>
    <t>SAN ANDRES SOTAVENTO</t>
  </si>
  <si>
    <t>SAN ANTERO</t>
  </si>
  <si>
    <t>SAN BERNARDO DEL VIENTO</t>
  </si>
  <si>
    <t>SAN PELAYO</t>
  </si>
  <si>
    <t>TIERRALTA</t>
  </si>
  <si>
    <t>VALENCIA</t>
  </si>
  <si>
    <t>ALBAN</t>
  </si>
  <si>
    <t>CABRERA</t>
  </si>
  <si>
    <t>MOSQUERA</t>
  </si>
  <si>
    <t>RICAURTE</t>
  </si>
  <si>
    <t>SAN BERNARDO</t>
  </si>
  <si>
    <t>SAN CAYETANO</t>
  </si>
  <si>
    <t>AGUA DE DIOS</t>
  </si>
  <si>
    <t>ANAPOIMA</t>
  </si>
  <si>
    <t>ANOLAIMA</t>
  </si>
  <si>
    <t>APULO</t>
  </si>
  <si>
    <t>ARBELAEZ</t>
  </si>
  <si>
    <t>BELTRAN</t>
  </si>
  <si>
    <t>BITUIMA</t>
  </si>
  <si>
    <t>BOJACA</t>
  </si>
  <si>
    <t>CACHIPAY</t>
  </si>
  <si>
    <t>CAJICA</t>
  </si>
  <si>
    <t>CAPARRAPI</t>
  </si>
  <si>
    <t>CAQUEZA</t>
  </si>
  <si>
    <t>CARMEN DE CARUPA</t>
  </si>
  <si>
    <t>CHAGUANI</t>
  </si>
  <si>
    <t>CHIA</t>
  </si>
  <si>
    <t>CHIPAQUE</t>
  </si>
  <si>
    <t>CHOACHI</t>
  </si>
  <si>
    <t>CHOCONTA</t>
  </si>
  <si>
    <t>COGUA</t>
  </si>
  <si>
    <t>COTA</t>
  </si>
  <si>
    <t>CUCUNUBA</t>
  </si>
  <si>
    <t>EL COLEGIO</t>
  </si>
  <si>
    <t>EL ROSAL</t>
  </si>
  <si>
    <t>FACATATIVA</t>
  </si>
  <si>
    <t>FOMEQUE</t>
  </si>
  <si>
    <t>FOSCA</t>
  </si>
  <si>
    <t>FUNZA</t>
  </si>
  <si>
    <t>FUQUENE</t>
  </si>
  <si>
    <t>FUSAGASUGA</t>
  </si>
  <si>
    <t>GACHALA</t>
  </si>
  <si>
    <t>GACHANCIPA</t>
  </si>
  <si>
    <t>GACHETA</t>
  </si>
  <si>
    <t>GAMA</t>
  </si>
  <si>
    <t>GIRARDOT</t>
  </si>
  <si>
    <t>GUACHETA</t>
  </si>
  <si>
    <t>GUADUAS</t>
  </si>
  <si>
    <t>GUASCA</t>
  </si>
  <si>
    <t>GUATAQUI</t>
  </si>
  <si>
    <t>GUATAVITA</t>
  </si>
  <si>
    <t>GUAYABAL DE SIQUIMA</t>
  </si>
  <si>
    <t>GUAYABETAL</t>
  </si>
  <si>
    <t>GUTIERREZ</t>
  </si>
  <si>
    <t>JERUSALEN</t>
  </si>
  <si>
    <t>JUNIN</t>
  </si>
  <si>
    <t>LA CALERA</t>
  </si>
  <si>
    <t>LA MESA</t>
  </si>
  <si>
    <t>LA PALMA</t>
  </si>
  <si>
    <t>LA PEÑA</t>
  </si>
  <si>
    <t>LENGUAZAQUE</t>
  </si>
  <si>
    <t>MACHETA</t>
  </si>
  <si>
    <t>MADRID</t>
  </si>
  <si>
    <t>MANTA</t>
  </si>
  <si>
    <t>MEDINA</t>
  </si>
  <si>
    <t>NEMOCON</t>
  </si>
  <si>
    <t>NILO</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</si>
  <si>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</si>
  <si>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</si>
  <si>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</si>
  <si>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</si>
  <si>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</si>
  <si>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</si>
  <si>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</si>
  <si>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</si>
  <si>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</si>
  <si>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</si>
  <si>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</si>
  <si>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</si>
  <si>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</si>
  <si>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</si>
  <si>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</si>
  <si>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SESQUILE</t>
  </si>
  <si>
    <t>SIBATE</t>
  </si>
  <si>
    <t>SILVANIA</t>
  </si>
  <si>
    <t>SIMIJACA</t>
  </si>
  <si>
    <t>SOACHA</t>
  </si>
  <si>
    <t>SOPO</t>
  </si>
  <si>
    <t>SUBACHOQUE</t>
  </si>
  <si>
    <t>SUESCA</t>
  </si>
  <si>
    <t>SUPATA</t>
  </si>
  <si>
    <t>SUSA</t>
  </si>
  <si>
    <t>SUTATAUSA</t>
  </si>
  <si>
    <t>TABIO</t>
  </si>
  <si>
    <t>TAUSA</t>
  </si>
  <si>
    <t>TENA</t>
  </si>
  <si>
    <t>TENJO</t>
  </si>
  <si>
    <t>TIBACUY</t>
  </si>
  <si>
    <t>TIBIRITA</t>
  </si>
  <si>
    <t>TOCAIMA</t>
  </si>
  <si>
    <t>TOCANCIPA</t>
  </si>
  <si>
    <t>TOPAIPI</t>
  </si>
  <si>
    <t>UBALA</t>
  </si>
  <si>
    <t>UBAQUE</t>
  </si>
  <si>
    <t>UNE</t>
  </si>
  <si>
    <t>UTICA</t>
  </si>
  <si>
    <t>VERGARA</t>
  </si>
  <si>
    <t>VIANI</t>
  </si>
  <si>
    <t>VILLA DE SAN DIEGO DE UBATE</t>
  </si>
  <si>
    <t>VILLAGOMEZ</t>
  </si>
  <si>
    <t>VILLAPINZON</t>
  </si>
  <si>
    <t>VILLETA</t>
  </si>
  <si>
    <t>VIOTA</t>
  </si>
  <si>
    <t>YACOPI</t>
  </si>
  <si>
    <t>ZIPACON</t>
  </si>
  <si>
    <t>GUAINIA</t>
  </si>
  <si>
    <t>BARRANCO MINAS</t>
  </si>
  <si>
    <t>CACAHUAL</t>
  </si>
  <si>
    <t>INIRIDA</t>
  </si>
  <si>
    <t>LA GUADALUPE</t>
  </si>
  <si>
    <t>MAPIRIPANA</t>
  </si>
  <si>
    <t>MORICHAL</t>
  </si>
  <si>
    <t>PANA PANA</t>
  </si>
  <si>
    <t>SAN FELIPE</t>
  </si>
  <si>
    <t>GUAVIARE</t>
  </si>
  <si>
    <t>EL RETORNO</t>
  </si>
  <si>
    <t>SAN JOSE DEL GUAVIARE</t>
  </si>
  <si>
    <t>HUILA</t>
  </si>
  <si>
    <t>ACEVEDO</t>
  </si>
  <si>
    <t>AGRADO</t>
  </si>
  <si>
    <t>AIPE</t>
  </si>
  <si>
    <t>ALGECIRAS</t>
  </si>
  <si>
    <t>ALTAMIRA</t>
  </si>
  <si>
    <t>BARAYA</t>
  </si>
  <si>
    <t>CAMPOALEGRE</t>
  </si>
  <si>
    <t>COLOMBIA</t>
  </si>
  <si>
    <t>ELIAS</t>
  </si>
  <si>
    <t>GARZON</t>
  </si>
  <si>
    <t>GIGANTE</t>
  </si>
  <si>
    <t>HOBO</t>
  </si>
  <si>
    <t>IQUIRA</t>
  </si>
  <si>
    <t>ISNOS</t>
  </si>
  <si>
    <t>LA ARGENTINA</t>
  </si>
  <si>
    <t>LA PLATA</t>
  </si>
  <si>
    <t>NATAGA</t>
  </si>
  <si>
    <t>OPORAPA</t>
  </si>
  <si>
    <t>PAICOL</t>
  </si>
  <si>
    <t>PALERMO</t>
  </si>
  <si>
    <t>PITAL</t>
  </si>
  <si>
    <t>PITALITO</t>
  </si>
  <si>
    <t>RIVERA</t>
  </si>
  <si>
    <t>SALADOBLANCO</t>
  </si>
  <si>
    <t>SAN AGUSTIN</t>
  </si>
  <si>
    <t>SUAZA</t>
  </si>
  <si>
    <t>TARQUI</t>
  </si>
  <si>
    <t>TELLO</t>
  </si>
  <si>
    <t>TERUEL</t>
  </si>
  <si>
    <t>TESALIA</t>
  </si>
  <si>
    <t>TIMANA</t>
  </si>
  <si>
    <t>VILLAVIEJA</t>
  </si>
  <si>
    <t>YAGUARA</t>
  </si>
  <si>
    <t>LA GUAJIRA</t>
  </si>
  <si>
    <t>SANTA MARTA</t>
  </si>
  <si>
    <t>BARRANCAS</t>
  </si>
  <si>
    <t>DIBULLA</t>
  </si>
  <si>
    <t>DISTRACCION</t>
  </si>
  <si>
    <t>EL MOLINO</t>
  </si>
  <si>
    <t>FONSECA</t>
  </si>
  <si>
    <t>HATONUEVO</t>
  </si>
  <si>
    <t>LA JAGUA DEL PILAR</t>
  </si>
  <si>
    <t>MAICAO</t>
  </si>
  <si>
    <t>RIOHACHA</t>
  </si>
  <si>
    <t>SAN JUAN DEL CESAR</t>
  </si>
  <si>
    <t>URIBIA</t>
  </si>
  <si>
    <t>URUMITA</t>
  </si>
  <si>
    <t>MAGDALENA</t>
  </si>
  <si>
    <t>GUAMAL</t>
  </si>
  <si>
    <t>ALGARROBO</t>
  </si>
  <si>
    <t>ARACATACA</t>
  </si>
  <si>
    <t>ARIGUANI</t>
  </si>
  <si>
    <t>CERRO SAN ANTONIO</t>
  </si>
  <si>
    <t>CHIBOLO</t>
  </si>
  <si>
    <t>EL BANCO</t>
  </si>
  <si>
    <t>EL PIÑON</t>
  </si>
  <si>
    <t>EL RETEN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</si>
  <si>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</si>
  <si>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</si>
  <si>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</si>
  <si>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</si>
  <si>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</si>
  <si>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</si>
  <si>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</si>
  <si>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</si>
  <si>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</si>
  <si>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</si>
  <si>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</si>
  <si>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</si>
  <si>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</si>
  <si>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</si>
  <si>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</si>
  <si>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</si>
  <si>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</si>
  <si>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BARRANCA DE UPIA</t>
  </si>
  <si>
    <t>CABUYARO</t>
  </si>
  <si>
    <t>CASTILLA LA NUEVA</t>
  </si>
  <si>
    <t>CUBARRAL</t>
  </si>
  <si>
    <t>CUMARAL</t>
  </si>
  <si>
    <t>EL CALVARIO</t>
  </si>
  <si>
    <t>EL CASTILLO</t>
  </si>
  <si>
    <t>EL DORADO</t>
  </si>
  <si>
    <t>FUENTE DE ORO</t>
  </si>
  <si>
    <t>LA MACARENA</t>
  </si>
  <si>
    <t>LEJANIAS</t>
  </si>
  <si>
    <t>MAPIRIPAN</t>
  </si>
  <si>
    <t>MESETAS</t>
  </si>
  <si>
    <t>PUERTO CONCORDIA</t>
  </si>
  <si>
    <t>PUERTO GAITAN</t>
  </si>
  <si>
    <t>PUERTO LLERAS</t>
  </si>
  <si>
    <t>PUERTO LOPEZ</t>
  </si>
  <si>
    <t>SAN CARLOS DE GUAROA</t>
  </si>
  <si>
    <t>SAN JUAN DE ARAMA</t>
  </si>
  <si>
    <t>SAN JUANITO</t>
  </si>
  <si>
    <t>URIBE</t>
  </si>
  <si>
    <t>VISTAHERMOSA</t>
  </si>
  <si>
    <t>COLON</t>
  </si>
  <si>
    <t>PROVIDENCIA</t>
  </si>
  <si>
    <t>ALDANA</t>
  </si>
  <si>
    <t>ANCUYA</t>
  </si>
  <si>
    <t>ARBOLEDA</t>
  </si>
  <si>
    <t>BARBACOAS</t>
  </si>
  <si>
    <t>CHACHAGUI</t>
  </si>
  <si>
    <t>CONSACA</t>
  </si>
  <si>
    <t>CONTADERO</t>
  </si>
  <si>
    <t>CUASPUD</t>
  </si>
  <si>
    <t>CUMBAL</t>
  </si>
  <si>
    <t>CUMBITARA</t>
  </si>
  <si>
    <t>EL CHARCO</t>
  </si>
  <si>
    <t>EL PEÑOL</t>
  </si>
  <si>
    <t>EL ROSARIO</t>
  </si>
  <si>
    <t>EL TABLON DE GOMEZ</t>
  </si>
  <si>
    <t>FRANCISCO PIZARRO</t>
  </si>
  <si>
    <t>FUNES</t>
  </si>
  <si>
    <t>GUACHUCAL</t>
  </si>
  <si>
    <t>GUAITARILLA</t>
  </si>
  <si>
    <t>GUALMATAN</t>
  </si>
  <si>
    <t>ILES</t>
  </si>
  <si>
    <t>IMUES</t>
  </si>
  <si>
    <t>LA CRUZ</t>
  </si>
  <si>
    <t>LA FLORIDA</t>
  </si>
  <si>
    <t>LA LLANADA</t>
  </si>
  <si>
    <t>LA TOLA</t>
  </si>
  <si>
    <t>LEIVA</t>
  </si>
  <si>
    <t>LINARES</t>
  </si>
  <si>
    <t>LOS ANDES</t>
  </si>
  <si>
    <t>MAGUI</t>
  </si>
  <si>
    <t>MALLAMA</t>
  </si>
  <si>
    <t>OLAYA HERRERA</t>
  </si>
  <si>
    <t>OSPINA</t>
  </si>
  <si>
    <t>POLICARPA</t>
  </si>
  <si>
    <t>POTOSI</t>
  </si>
  <si>
    <t>PUERRES</t>
  </si>
  <si>
    <t>PUPIALES</t>
  </si>
  <si>
    <t>ROBERTO PAYAN</t>
  </si>
  <si>
    <t>SAMANIEGO</t>
  </si>
  <si>
    <t>SAN ANDRES DE TUMACO</t>
  </si>
  <si>
    <t>SAN LORENZO</t>
  </si>
  <si>
    <t>SAN PEDRO DE CARTAGO</t>
  </si>
  <si>
    <t>SANDONA</t>
  </si>
  <si>
    <t>SANTACRUZ</t>
  </si>
  <si>
    <t>SAPUYES</t>
  </si>
  <si>
    <t>TAMINANGO</t>
  </si>
  <si>
    <t>TANGUA</t>
  </si>
  <si>
    <t>TUQUERRES</t>
  </si>
  <si>
    <t>YACUANQUER</t>
  </si>
  <si>
    <t>SANTIAGO</t>
  </si>
  <si>
    <t>ABREGO</t>
  </si>
  <si>
    <t>ARBOLEDAS</t>
  </si>
  <si>
    <t>BOCHALEMA</t>
  </si>
  <si>
    <t>BUCARASICA</t>
  </si>
  <si>
    <t>CACHIRA</t>
  </si>
  <si>
    <t>CACOTA</t>
  </si>
  <si>
    <t>CHINACOTA</t>
  </si>
  <si>
    <t>CHITAGA</t>
  </si>
  <si>
    <t>CONVENCION</t>
  </si>
  <si>
    <t>CUCUTILLA</t>
  </si>
  <si>
    <t>DURANIA</t>
  </si>
  <si>
    <t>EL CARMEN</t>
  </si>
  <si>
    <t>EL TARRA</t>
  </si>
  <si>
    <t>EL ZULIA</t>
  </si>
  <si>
    <t>GRAMALOTE</t>
  </si>
  <si>
    <t>HACARI</t>
  </si>
  <si>
    <t>HERRAN</t>
  </si>
  <si>
    <t>LA ESPERANZA</t>
  </si>
  <si>
    <t>LA PLAYA</t>
  </si>
  <si>
    <t>LABATECA</t>
  </si>
  <si>
    <t>LOS PATIOS</t>
  </si>
  <si>
    <t>LOURDES</t>
  </si>
  <si>
    <t>MUTISCUA</t>
  </si>
  <si>
    <t>PAMPLONA</t>
  </si>
  <si>
    <t>PAMPLONITA</t>
  </si>
  <si>
    <t>RAGONVALIA</t>
  </si>
  <si>
    <t>SALAZAR</t>
  </si>
  <si>
    <t>SAN CALIXTO</t>
  </si>
  <si>
    <t>SARDINATA</t>
  </si>
  <si>
    <t>SILOS</t>
  </si>
  <si>
    <t>TEORAMA</t>
  </si>
  <si>
    <t>TIBU</t>
  </si>
  <si>
    <t>VILLA CARO</t>
  </si>
  <si>
    <t>PUTUMAYO</t>
  </si>
  <si>
    <t>SAN MIGUEL</t>
  </si>
  <si>
    <t>LEGUIZAMO</t>
  </si>
  <si>
    <t>MOCOA</t>
  </si>
  <si>
    <t>ORITO</t>
  </si>
  <si>
    <t>PUERTO ASIS</t>
  </si>
  <si>
    <t>PUERTO CAICEDO</t>
  </si>
  <si>
    <t>PUERTO GUZMAN</t>
  </si>
  <si>
    <t>SIBUNDOY</t>
  </si>
  <si>
    <t>VALLE DEL GUAMUEZ</t>
  </si>
  <si>
    <t>VILLAGARZON</t>
  </si>
  <si>
    <t>QUINDIO</t>
  </si>
  <si>
    <t>CALARCA</t>
  </si>
  <si>
    <t>CIRCASIA</t>
  </si>
  <si>
    <t>FILANDIA</t>
  </si>
  <si>
    <t>GENOVA</t>
  </si>
  <si>
    <t>LA TEBAIDA</t>
  </si>
  <si>
    <t>MONTENEGRO</t>
  </si>
  <si>
    <t>PIJAO</t>
  </si>
  <si>
    <t>QUIMBAYA</t>
  </si>
  <si>
    <t>SALENTO</t>
  </si>
  <si>
    <t>APIA</t>
  </si>
  <si>
    <t>BELEN DE UMBRIA</t>
  </si>
  <si>
    <t>DOSQUEBRADAS</t>
  </si>
  <si>
    <t>LA CELIA</t>
  </si>
  <si>
    <t>LA VIRGINIA</t>
  </si>
  <si>
    <t>MARSELLA</t>
  </si>
  <si>
    <t>MISTRATO</t>
  </si>
  <si>
    <t>PUEBLO RICO</t>
  </si>
  <si>
    <t>QUINCHIA</t>
  </si>
  <si>
    <t>SANTA ROSA DE CABAL</t>
  </si>
  <si>
    <t>SANTUARIO</t>
  </si>
  <si>
    <t>ARCHIPIELAGO DE SAN ANDRES Y PROVIDENCIA</t>
  </si>
  <si>
    <t>SAN ANDRES</t>
  </si>
  <si>
    <t>AGUADA</t>
  </si>
  <si>
    <t>ARATOCA</t>
  </si>
  <si>
    <t>BARICHARA</t>
  </si>
  <si>
    <t>BARRANCABERMEJA</t>
  </si>
  <si>
    <t>CALIFORNIA</t>
  </si>
  <si>
    <t>CAPITANEJO</t>
  </si>
  <si>
    <t>CARCASI</t>
  </si>
  <si>
    <t>CEPITA</t>
  </si>
  <si>
    <t>CERRITO</t>
  </si>
  <si>
    <t>CHARALA</t>
  </si>
  <si>
    <t>CHIPATA</t>
  </si>
  <si>
    <t>CIMITARRA</t>
  </si>
  <si>
    <t>CONFINES</t>
  </si>
  <si>
    <t>CONTRATACION</t>
  </si>
  <si>
    <t>COROMORO</t>
  </si>
  <si>
    <t>CURITI</t>
  </si>
  <si>
    <t>EL CARMEN DE CHUCURI</t>
  </si>
  <si>
    <t>EL GUACAMAYO</t>
  </si>
  <si>
    <t>EL PLAYON</t>
  </si>
  <si>
    <t>ENCINO</t>
  </si>
  <si>
    <t>ENCISO</t>
  </si>
  <si>
    <t>FLORIAN</t>
  </si>
  <si>
    <t>FLORIDABLANCA</t>
  </si>
  <si>
    <t>GALAN</t>
  </si>
  <si>
    <t>GAMBITA</t>
  </si>
  <si>
    <t>GIRON</t>
  </si>
  <si>
    <t>GUACA</t>
  </si>
  <si>
    <t>GUAPOTA</t>
  </si>
  <si>
    <t>GUAVATA</t>
  </si>
  <si>
    <t>GUEPSA</t>
  </si>
  <si>
    <t>HATO</t>
  </si>
  <si>
    <t>JESUS MARIA</t>
  </si>
  <si>
    <t>JORDAN</t>
  </si>
  <si>
    <t>LA BELLEZA</t>
  </si>
  <si>
    <t>LANDAZURI</t>
  </si>
  <si>
    <t>LEBRIJA</t>
  </si>
  <si>
    <t>LOS SANTOS</t>
  </si>
  <si>
    <t>MACARAVITA</t>
  </si>
  <si>
    <t>MALAGA</t>
  </si>
  <si>
    <t>MATANZA</t>
  </si>
  <si>
    <t>MOGOTES</t>
  </si>
  <si>
    <t>MOLAGAVITA</t>
  </si>
  <si>
    <t>OCAMONTE</t>
  </si>
  <si>
    <t>OIBA</t>
  </si>
  <si>
    <t>ONZAGA</t>
  </si>
  <si>
    <t>PALMAR</t>
  </si>
  <si>
    <t>PALMAS DEL SOCORRO</t>
  </si>
  <si>
    <t>PARAMO</t>
  </si>
  <si>
    <t>PINCHOTE</t>
  </si>
  <si>
    <t>PUENTE NACIONAL</t>
  </si>
  <si>
    <t>PUERTO PARRA</t>
  </si>
  <si>
    <t>PUERTO WILCHES</t>
  </si>
  <si>
    <t>SABANA DE TORRES</t>
  </si>
  <si>
    <t>SAN BENITO</t>
  </si>
  <si>
    <t>SAN GIL</t>
  </si>
  <si>
    <t>SAN JOAQUIN</t>
  </si>
  <si>
    <t>SAN JOSE DE MIRANDA</t>
  </si>
  <si>
    <t>SAN VICENTE DE CHUCURI</t>
  </si>
  <si>
    <t>SANTA HELENA DEL OPON</t>
  </si>
  <si>
    <t>SIMACOTA</t>
  </si>
  <si>
    <t>SOCORRO</t>
  </si>
  <si>
    <t>SUAITA</t>
  </si>
  <si>
    <t>SURATA</t>
  </si>
  <si>
    <t>TONA</t>
  </si>
  <si>
    <t>VALLE DE SAN JOSE</t>
  </si>
  <si>
    <t>VELEZ</t>
  </si>
  <si>
    <t>VETAS</t>
  </si>
  <si>
    <t>ZAPATOCA</t>
  </si>
  <si>
    <t>SINCELEJO</t>
  </si>
  <si>
    <t>SAN PEDRO</t>
  </si>
  <si>
    <t>CAIMITO</t>
  </si>
  <si>
    <t>CHALAN</t>
  </si>
  <si>
    <t>COLOSO</t>
  </si>
  <si>
    <t>COROZAL</t>
  </si>
  <si>
    <t>COVEÑAS</t>
  </si>
  <si>
    <t>EL ROBLE</t>
  </si>
  <si>
    <t>GALERAS</t>
  </si>
  <si>
    <t>GUARANDA</t>
  </si>
  <si>
    <t>LOS PALMITOS</t>
  </si>
  <si>
    <t>MAJAGUAL</t>
  </si>
  <si>
    <t>MORROA</t>
  </si>
  <si>
    <t>OVEJAS</t>
  </si>
  <si>
    <t>PALMITO</t>
  </si>
  <si>
    <t>SAMPUES</t>
  </si>
  <si>
    <t>SAN BENITO ABAD</t>
  </si>
  <si>
    <t>SAN JUAN DE BETULIA</t>
  </si>
  <si>
    <t>SAN LUIS DE SINCE</t>
  </si>
  <si>
    <t>SAN MARCOS</t>
  </si>
  <si>
    <t>SAN ONOFRE</t>
  </si>
  <si>
    <t>SANTIAGO DE TOLU</t>
  </si>
  <si>
    <t>TOLU VIEJO</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</si>
  <si>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</si>
  <si>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</si>
  <si>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</si>
  <si>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</si>
  <si>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</si>
  <si>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</si>
  <si>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</si>
  <si>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</si>
  <si>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</si>
  <si>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</si>
  <si>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</si>
  <si>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</si>
  <si>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</si>
  <si>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</si>
  <si>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</si>
  <si>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</si>
  <si>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</si>
  <si>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</si>
  <si>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GUAMO</t>
  </si>
  <si>
    <t>HERVEO</t>
  </si>
  <si>
    <t>HONDA</t>
  </si>
  <si>
    <t>ICONONZO</t>
  </si>
  <si>
    <t>LERIDA</t>
  </si>
  <si>
    <t>LIBANO</t>
  </si>
  <si>
    <t>MARIQUITA</t>
  </si>
  <si>
    <t>MELGAR</t>
  </si>
  <si>
    <t>MURILLO</t>
  </si>
  <si>
    <t>NATAGAIMA</t>
  </si>
  <si>
    <t>ORTEGA</t>
  </si>
  <si>
    <t>PALOCABILDO</t>
  </si>
  <si>
    <t>PIEDRAS</t>
  </si>
  <si>
    <t>PLANADAS</t>
  </si>
  <si>
    <t>PRADO</t>
  </si>
  <si>
    <t>PURIFICACION</t>
  </si>
  <si>
    <t>RIOBLANCO</t>
  </si>
  <si>
    <t>RONCESVALLES</t>
  </si>
  <si>
    <t>ROVIRA</t>
  </si>
  <si>
    <t>SALDAÑA</t>
  </si>
  <si>
    <t>SAN ANTONIO</t>
  </si>
  <si>
    <t>SANTA ISABEL</t>
  </si>
  <si>
    <t>VALLE DE SAN JUAN</t>
  </si>
  <si>
    <t>VENADILLO</t>
  </si>
  <si>
    <t>VILLAHERMOSA</t>
  </si>
  <si>
    <t>VILLARRICA</t>
  </si>
  <si>
    <t>ALCALA</t>
  </si>
  <si>
    <t>ANDALUCIA</t>
  </si>
  <si>
    <t>ANSERMANUEVO</t>
  </si>
  <si>
    <t>BUENAVENTURA</t>
  </si>
  <si>
    <t>BUGALAGRANDE</t>
  </si>
  <si>
    <t>CAICEDONIA</t>
  </si>
  <si>
    <t>CALIMA</t>
  </si>
  <si>
    <t>CARTAGO</t>
  </si>
  <si>
    <t>DAGUA</t>
  </si>
  <si>
    <t>EL AGUILA</t>
  </si>
  <si>
    <t>EL CAIRO</t>
  </si>
  <si>
    <t>EL CERRITO</t>
  </si>
  <si>
    <t>EL DOVIO</t>
  </si>
  <si>
    <t>FLORIDA</t>
  </si>
  <si>
    <t>GINEBRA</t>
  </si>
  <si>
    <t>GUACARI</t>
  </si>
  <si>
    <t>GUADALAJARA DE BUGA</t>
  </si>
  <si>
    <t>JAMUNDI</t>
  </si>
  <si>
    <t>LA CUMBRE</t>
  </si>
  <si>
    <t>OBANDO</t>
  </si>
  <si>
    <t>PRADERA</t>
  </si>
  <si>
    <t>RIOFRIO</t>
  </si>
  <si>
    <t>ROLDANILLO</t>
  </si>
  <si>
    <t>SEVILLA</t>
  </si>
  <si>
    <t>TORO</t>
  </si>
  <si>
    <t>TRUJILLO</t>
  </si>
  <si>
    <t>TULUA</t>
  </si>
  <si>
    <t>ULLOA</t>
  </si>
  <si>
    <t>VERSALLES</t>
  </si>
  <si>
    <t>VIJES</t>
  </si>
  <si>
    <t>YOTOCO</t>
  </si>
  <si>
    <t>YUMBO</t>
  </si>
  <si>
    <t>ZARZAL</t>
  </si>
  <si>
    <t>CARURU</t>
  </si>
  <si>
    <t>VAUPES</t>
  </si>
  <si>
    <t>MITU</t>
  </si>
  <si>
    <t>PACOA</t>
  </si>
  <si>
    <t>PAPUNAUA</t>
  </si>
  <si>
    <t>TARAIRA</t>
  </si>
  <si>
    <t>YAVARATE</t>
  </si>
  <si>
    <t>CUMARIBO</t>
  </si>
  <si>
    <t>VICHADA</t>
  </si>
  <si>
    <t>LA PRIMAVERA</t>
  </si>
  <si>
    <t>PUERTO CARREÑO</t>
  </si>
  <si>
    <t>SANTA ROSALIA</t>
  </si>
  <si>
    <t>TUCHIN</t>
  </si>
  <si>
    <t>SAN JOSE DE URE</t>
  </si>
  <si>
    <t>FECHA ASIGNACIÓN A LÍNEA COMUNICACIONES (DD/MM/AAAA HH:MM)</t>
  </si>
  <si>
    <t>FECHA CIERRE DEL TICKET (DD/MM/AAAA HH:MM)</t>
  </si>
  <si>
    <t>ACOMETIDA</t>
  </si>
  <si>
    <t>GRUPO_FALLA</t>
  </si>
  <si>
    <t>CATEGORÍA</t>
  </si>
  <si>
    <t>FALLA</t>
  </si>
  <si>
    <t>OBSERVACION</t>
  </si>
  <si>
    <t>TERMINAL</t>
  </si>
  <si>
    <t>DIAS DE VISITA</t>
  </si>
  <si>
    <t>ACOMETIDA DATOS</t>
  </si>
  <si>
    <t>ACOMETIDA ELÉCTRICA</t>
  </si>
  <si>
    <t>VALOR DIAS ACOMPAÑAMIENTO FACTURABLES</t>
  </si>
  <si>
    <t>INCIDENTE</t>
  </si>
  <si>
    <t>BARRIO BELENCITO MEDELLIN</t>
  </si>
  <si>
    <t>FO-25-1315516</t>
  </si>
  <si>
    <t>NO</t>
  </si>
  <si>
    <t>USUARIO</t>
  </si>
  <si>
    <t>MANTENIMIENTO</t>
  </si>
  <si>
    <t>MANTENIMIENTO GENERAL</t>
  </si>
  <si>
    <t>CB UNO A UNO</t>
  </si>
  <si>
    <t>CERRADO</t>
  </si>
  <si>
    <t>01/08/2025 01-08 SE ESCALA PARA VISITA. LLAMAR ANTES DE VISITAR, CONFIRMAR FALLA Y DATOS | 01/08/2025 SE HACE MANTENIMIENTO DE EQUIPO</t>
  </si>
  <si>
    <t>VISITA_TÉCNICA</t>
  </si>
  <si>
    <t>FA09Z480</t>
  </si>
  <si>
    <t>MORENO MEDINA JUAN PABLO</t>
  </si>
  <si>
    <t>BARRIO VILLANUEVA BARRANQUILLA</t>
  </si>
  <si>
    <t>FO-25-1313938</t>
  </si>
  <si>
    <t>COMUNICACION</t>
  </si>
  <si>
    <t>CANAL DEL COMERCIO</t>
  </si>
  <si>
    <t>01/08/2025 CLIENTE CAMBIO DE MODENS DE INTERNET Y TOCÓ CAMBIAR LAS IP DEL DATAFONO, SE HACEN HACEN PRUEBAS Y QUEDA OK</t>
  </si>
  <si>
    <t>9T1ZZ282</t>
  </si>
  <si>
    <t>DE AVILA SIADES ALBERTO ENRIQUE</t>
  </si>
  <si>
    <t>BARRIO EL PINO</t>
  </si>
  <si>
    <t>FO-25-1303505</t>
  </si>
  <si>
    <t>LECTOR DE TARJETAS</t>
  </si>
  <si>
    <t>OBSTRUCCION DEL LECTOR</t>
  </si>
  <si>
    <t>30/07/2025 30-07 SE ESCALA PARA VISITA. LLAMAR ANTES DE VISITAR, CONFIRMAR FALLA Y DATOS | 31/07/2025 COLABORADOR ASIGNADO PARA ACTIVIDAD PRESENTÓ NOVEDAD EN RIONEGRO Y NO PUDO DESPLAZARSE A REALIZAR INCIDENTE EN EL RETIRO. DEBIDO A DAÑO ESTRUCTURAL EN LA INSTALACIÓN QUE ESTABA REALIZANDO NO PUDO DESPLAZARSE A RETIRO. NO SE LOGRA ACTIVIDAD POR CAPACIDAD OPERATIVA. | 01/08/2025 SE REALIZA MANTENIMIENTO GENERAL AL EQUIPO, SE REALIZAN PRUEBAS PERTINENTES CON TARJETAS, TODO OK</t>
  </si>
  <si>
    <t>9C001337</t>
  </si>
  <si>
    <t>HERNANDEZ CHAVARRIA JUAN CAMILO</t>
  </si>
  <si>
    <t>BARRIO 20 DE JULIO BARRANQUILL</t>
  </si>
  <si>
    <t>FO-25-1314593</t>
  </si>
  <si>
    <t>ENTIDAD</t>
  </si>
  <si>
    <t>ERROR DE TRANSACCIONES</t>
  </si>
  <si>
    <t>TRANSACCION NO PERMITIDA</t>
  </si>
  <si>
    <t>01/08/2025 01-08 SE ESCALA PARA VISITA. LLAMAR ANTES DE VISITAR, CONFIRMAR FALLA Y DATOS | 01/08/2025 CLIENTE MANIFESTÓ QUE EL DÍA DE AYER  EN QUINCENA LE SALÍA EN MENSAJE RECHAZO GENERAL Y NO LE DEJABA HACER RETIROS CON TARJETAS, PERO HOY SE HACEN PRUEBAS Y ELLA CONFIRMA QUE  HA ESTADO TRABAJANDO MUY BIEN EL DÍA DE HOY
TAMBIÉN SE CAMBIA TAPA DE IMPRESIÓN DEL DATAFONO, ESTABA PARTIDA</t>
  </si>
  <si>
    <t>AB0WZ798</t>
  </si>
  <si>
    <t>BARRIO CIUDAD GRANADA PATIO BO</t>
  </si>
  <si>
    <t>FO-25-1313760</t>
  </si>
  <si>
    <t>31/07/2025 31-07 SE ESCALA PARA VISITA. LLAMAR ANTES DE VISITAR, CONFIRMAR FALLA Y DATOS | 01/08/2025 SE REALIZA VISITA DE CAMPO DONDE CLIENTE MANIFIESTA QUE EL EQUIPO ESTÁ FUNCIONANDO CON NORMALIDAD, NO SE MANIPULA EQUIPOS, NO ESTÁ ENCARGADO.</t>
  </si>
  <si>
    <t>SVFZZ058</t>
  </si>
  <si>
    <t>LA FRAGUA 2</t>
  </si>
  <si>
    <t>FO-25-1315428</t>
  </si>
  <si>
    <t>CONEXIONES DE COMERCIO</t>
  </si>
  <si>
    <t>01/08/2025 01-08 SE ESCALA PARA VISITA. LLAMAR ANTES DE VISITAR, CONFIRMAR FALLA Y DATOS | 01/08/2025 SE REALIZA VALIDACIÓN DE SERVICIO POR FALLA EN CONEXIÓN DE RED AL VALIDAR DE ENCUENTRA FALLA EN UN CABLE DEL CLIENTE QUE VIENE DESDE EL TERCER PISO HASTA EL PRIMER Y CONECTA UN SWITCH DONDE SE CONECTA EL DATAFONO SERVICIO OPERATIVO PRUEBAS OK TRNA RBM SE INDICA A CLIENTE CAMBIO DE ESTE</t>
  </si>
  <si>
    <t>9L0UZ989</t>
  </si>
  <si>
    <t>BUSTOS MORA DIEGO MANUEL</t>
  </si>
  <si>
    <t>BARRIO CENTRO SIMIJACA</t>
  </si>
  <si>
    <t>FO-25-1311547</t>
  </si>
  <si>
    <t>31/07/2025 31-07 SE INTENTA COMUNICACION CON EL SEÑOR JAVIER FUQENE AL NUMERO 3003711599, PERO NO CONTESTA LA LLAMADA. SE ESCALA PARA VISITA, CONFIRMAR FALLA Y DATOS | 01/08/2025 SE LLEGA MUNICIPIO DE SIMIJACA , SE LLEGA A REFERENCIA DE DIRECCIÓN AL PARECER ERRRADA  COMERCIO NO EXISTE , SE INTENTA COMUNICACIÓN CON EL SEÑOR JAVIER AL NUMERO CELULAR 3003711599 PARA CONFIRMAR DIRECCIÓN Y NO ES POSIBLE , BUZON DE VOZ , SE DEJA MENSAJE VÍA WHATSAPP Y TAMPOCO HAY RESPUESTA , SE SEGUIRA REALIZANDO GESTIÓN | 01/08/2025 SE LOGRA COMUNICACIÓN CON EL CLIENTE AL NÚMERO CELULAR 3003711599 SEÑOR JAVIER FUQUENE, EL CUAL SEÑOR JAVIER INDICA QUE NO REQUIERE VISITA YA QUE EL CORRESPONSAL ESTA TRABAJANDO CORRECTAMENTE Y ENVIA BAUCHE TRX DE PRUEBA , ADEMAS TAMBIEN INDICA QUE VA A REALIZAR PROCESO DE ACTUALIZACIÓN DE DIRECCIÓN , SE CIERRA ORDEN , CORRESPONSAL OPERATIVO</t>
  </si>
  <si>
    <t>SOPORTE_TELEFÓNICO</t>
  </si>
  <si>
    <t>BARRIO PUENTE FORTUL SALAZAR</t>
  </si>
  <si>
    <t>FO-25-1313903</t>
  </si>
  <si>
    <t>01/08/2025 SE REALIZA VISITA, SE REALIZA MANTENIMIENTO, SE REALIZAN PRUEBAS Y CIERRES OK.</t>
  </si>
  <si>
    <t>A4WZZ096</t>
  </si>
  <si>
    <t>PACHECO BUITRAGO JAVIER ALONSO</t>
  </si>
  <si>
    <t>CASTILLA LA NUEVA META  2</t>
  </si>
  <si>
    <t>FO-25-1310125</t>
  </si>
  <si>
    <t>31/07/2025 31-07 SE ESCALA PARA VISITA. LLAMAR ANTES DE VISITAR, CONFIRMAR FALLA Y DATOS | 01/08/2025 SE CONTACTA A LA SEÑORA EDIT ROZÓ E INFORMA QUE EL DATAFONO SE ENCUENTRA FUNCIONANDO CORRECTAMENTE SIN NOVEDAD</t>
  </si>
  <si>
    <t>ROZO JIMENEZ EDGAR ARMANDO</t>
  </si>
  <si>
    <t>DISTRICOL COOPERATIVA DE TRANS</t>
  </si>
  <si>
    <t>FO-25-1302300</t>
  </si>
  <si>
    <t>29/07/2025 29-07 EN COMUNICACION CON LA SEÑORA YOLEINE VILLEGAS AL NUMERO 3186434644, CONFIRMA FALLA, DATOS CORRECTOS. SE ESCALA PARA VISITA | 02/08/2025 SE REALIZA GESTIÓN VIA WSP AL NÚMERO 3186434644 ATENDIENDO LA SRA  YOLEINE VILLEGAS HERNÁNDEZ INDICÁNDONOS QUE ESTE SABADO NO ATIENDE YA QUE ELLA SE ENCUENTRA ESTUDIADO LOS DIAS SABADOS POR TAL MOTIVÓ NO OUEDE RECIBIR VISITA TÉCNICA,SE LE INDICA QUE DEBE SOLICITAR NUEVAMENTE LA VISITA TÉCNICA</t>
  </si>
  <si>
    <t>MAESTRE MENGUAL EDGAR ENRIQUE</t>
  </si>
  <si>
    <t>BARRIO PUERTO LIBRE PUERTO SAL</t>
  </si>
  <si>
    <t>FO-25-1303854</t>
  </si>
  <si>
    <t>30/07/2025 30-07 SE INTENTA COMUNICACION CON EL SEÑOR JULIAN ANDRES GUZMAN AL NUMERO 3505888942, PERO NO CONTESTA LA LLAMADA. SE ESCALA PARA VISITA, CONFIRMAR FALLA Y DATOS | 01/08/2025 SE VISITA COMERCIO POR FALLAS EN CONEXIÓN DE INTERNET AL LLEGAR AL PUNTO SE EVIDENCIA ERROR EN CONEXIONES DEL  CABLE DE RED SE PROCEDE A MODIFICAR CONEXIONES EN LA SEITCH REALIZANDO PRUEBAS DE COMUNICACIÓN OK , SE REALIZAN TRANSACCIONES DE PRUEBA OK Y SE DEJA CB OPERANDO SIN NOVEDAD</t>
  </si>
  <si>
    <t>AA000284</t>
  </si>
  <si>
    <t>ROMERO ROJAS BREIDY JHOHAN</t>
  </si>
  <si>
    <t>DISTRICOL PERLA HORIZONTE</t>
  </si>
  <si>
    <t>FO-25-1319510</t>
  </si>
  <si>
    <t>02/08/2025 01-08 SE ESCALA PARA VISITA. LLAMAR ANTES DE VISITAR, CONFIRMAR FALLA Y DATOS | 02/08/2025 EL CLIENTE INDICA QUE EL EQUIPO YA ESTÁ FUNCIONANDO CORRECTAMENTE, SE REALIZAN PRUEBAS OK.</t>
  </si>
  <si>
    <t>SAUZZ966</t>
  </si>
  <si>
    <t>BARRIO RICAURTE NATAGAIMA</t>
  </si>
  <si>
    <t>FO-25-1318728</t>
  </si>
  <si>
    <t>USUARIOS</t>
  </si>
  <si>
    <t>USUARIOS BLOQUEADOS</t>
  </si>
  <si>
    <t>01/08/2025 01-08 SE ESCALA PARA VISITA. LLAMAR ANTES DE VISITAR, CONFIRMAR FALLA Y DATOS | 02/08/2025 EN COMUNICACIÓN CON LA SEÑORA YOLANDA SE LE INDICA COMO RESTABLECER USUARIO Y CLAVE, SE RESTAURA Y PRUEBAS EXITOSAS.</t>
  </si>
  <si>
    <t>CORZO BUSTO KEVIN ALEXIS</t>
  </si>
  <si>
    <t>BARRIO QUEBRADA ARRIBA RIONEGR</t>
  </si>
  <si>
    <t>FO-25-1316734</t>
  </si>
  <si>
    <t>01/08/2025 01-08 SE ESCALA PARA VISITA. LLAMAR ANTES DE VISITAR, CONFIRMAR FALLA Y DATOS | 02/08/2025 CLIENTE COMUNICA QUE ESTA TRABAJANDO SI PROBLEMAS, CONFIRMA QUE NO ES NECESARIA LA VISITA</t>
  </si>
  <si>
    <t>ARA0086 CASA FOGATA</t>
  </si>
  <si>
    <t>FO-25-1321018</t>
  </si>
  <si>
    <t>RETAIL</t>
  </si>
  <si>
    <t>02/08/2025 01-08 SE ESCALA PARA VISITA. LLAMAR ANTES DE VISITAR, CONFIRMAR FALLA Y DATOS | 03/08/2025 03-08 SE ESCALA A LA RED, SE PROCEDE A CERRAR YA QUE NO ATENDEMOS CADENA ARA - 04-08 TU SOLICITUD REFERENTE A GENERACIÓN DE CASOS CB ARA BANCOLOMBIA QUEDÓ RADICADA BAJO EL TICKET NÚMERO XXXXXXX AL ÁREA ENCARGADA.</t>
  </si>
  <si>
    <t>AYALA ROMERO MAYKOL DANILO</t>
  </si>
  <si>
    <t>BARRIO BELLO HORIZONTE VALLLED</t>
  </si>
  <si>
    <t>FO-25-1322842</t>
  </si>
  <si>
    <t>03/08/2025 03-08 SE ESCALA PARA VISITA. LLAMAR ANTES DE VISITAR, CONFIRMAR FALLA Y DATOS | 04/08/2025 SE LLEGA A CB POR SOLICITUD DE CLIENTE LA CUAL MANIFIESTA QUE LE APARECE RECHAZO GENERAL EN TODAS LAS TX , SE LLEGA A SITIO SE VALIDAN CONEXIONES Y CONFIGURADO DE EQUIPO DEJANDOLO OK ,SE REALIZAN PRUEBAS Y EQUIPO SE ENCUENTRA FUNCIONANDO AL 100%</t>
  </si>
  <si>
    <t>A4IZZ040</t>
  </si>
  <si>
    <t>BARRIO EDUARDO SANTOS</t>
  </si>
  <si>
    <t>FO-25-1315993</t>
  </si>
  <si>
    <t>01/08/2025 01-08 EN COMUNICACION CON LA SEÑORA FABIOLA GAMBOA AL NUMERO 3116420599, CONFIRMA FALLA, DATOS CORRECTOS. SE ESCALA PARA VISITA | 04/08/2025 SE REALIZÓ COMUNICACIÓN TELEFÓNICA CON LA USUARIA EL DIA DE HOY Y MANIFESTÓ QUE EL SERVICIO YA SE ENCUENTRA OPERATIVO Y FUNCIONANDO, SOLO FUE UNA CAIDA DEL SERVICIO DE INTERNET EN EL CB, YA SE ENCUENTRA OPERATIVO</t>
  </si>
  <si>
    <t>BARRIO LAS NIEVES BARRANQUILLA</t>
  </si>
  <si>
    <t>FO-25-1323061</t>
  </si>
  <si>
    <t>03/08/2025 03-08 SE ESCALA PARA VISITA. LLAMAR ANTES DE VISITAR, CONFIRMAR FALLA Y DATOS | 04/08/2025 SE REALIZA VISITA TÉCNICA, SE EVIDENCIA QUE EL CLIENTE NO PODÍA HACER EL CIERRE POR QUÉ LE SALÍA CLAVE INCORRECTA, SÉ CONFIGURA LA CLAVE DE SUPERVISOR SE REALIZA EL CIERRE Y EQUIPO QUEDA FUNCIONANDO CORRECTAMENTE.</t>
  </si>
  <si>
    <t>BA02Z982</t>
  </si>
  <si>
    <t>DE AGUAS MUÑOZ DAVID JOSE</t>
  </si>
  <si>
    <t>BARRIO MANRIQUE GUADALUPE MEDE</t>
  </si>
  <si>
    <t>FO-25-1324567</t>
  </si>
  <si>
    <t>04/08/2025 04-08 SE ESCALA PARA VISITA. LLAMAR ANTES DE VISITAR, CONFIRMAR FALLA Y DATOS | 04/08/2025 SE HACE MANTENIMIENTO OK SE LE EXPLICA AL CLIENTE QUE LA TÉCNICA 2600 TIENE LAS TECLAS MÁS DURAS Y QUE LA BANDA YA NO ESTÁ EN EL LATERAL SI NO EN LA PARTE INFERIOR</t>
  </si>
  <si>
    <t>ABC0L387</t>
  </si>
  <si>
    <t>REVAL JARDÍN PLAZA II</t>
  </si>
  <si>
    <t>FO-25-1321113</t>
  </si>
  <si>
    <t>CIERRE</t>
  </si>
  <si>
    <t>COMERCIO NO REALIZA CIERRE</t>
  </si>
  <si>
    <t>ROBUSTO</t>
  </si>
  <si>
    <t>02/08/2025 SE DEBE PROGRAMAR VISITA PARA EL DIA LUNES CLIENTE SOLO LABORA HASTA LA 1 PM | 04/08/2025 SE REALIZA CONFIGURACIÓN DE CLAVE DE SUPERVISOR A 1526 DEBIDO A QUE POR ERROR SE CAMBIÓ</t>
  </si>
  <si>
    <t>ON0IZ819</t>
  </si>
  <si>
    <t>DISTRICOL EDS NEW NOREAN</t>
  </si>
  <si>
    <t>FO-25-1325749</t>
  </si>
  <si>
    <t>04/08/2025 04-08 EN COMUNICACION CON LA SEÑORA YANDRY ORTIZ AL NÚMERO 3233950896 INDICA QUE EL DATAFONO LE ARROJA ERROR DE CONEXIÓN, EL INTERNET FUNCIONA BIEN EN OTROS DISPOSITIVOS, CONFIRMA DATOS, SE ESCALA PARA VISITA | 04/08/2025 SE LLEGA A SITIO Y SE OBSERVA QUE EL DATAFONO NO TIENE CONEXIÓN A INTERNET, SE REALIZAN PRUEBAS Y SE EVIDENCIA QUE EL SISTEMA DE INTERNET DEL LUGAR ESTA CAIDO Y NO PERMITE NAVEGACION, SE HACE PRUEBA CON UN CABLE DE RED POR MEDIO DE LOS DATOS DEL TELÉFONO Y TODO FUNCIONA CON NORMALIDAD, SE LE INDICA AL CLIENTE QUE SE COMUNIQUE CON LA EMPRESA DE INTERNET Y QUE ELLOS VERIFIQUEN LA FALLA</t>
  </si>
  <si>
    <t>AD00O631</t>
  </si>
  <si>
    <t>MONTES DIAZ JOHN FRED</t>
  </si>
  <si>
    <t>PTM LA DORADA MULTISERVICIOS J</t>
  </si>
  <si>
    <t>FO-25-1321021</t>
  </si>
  <si>
    <t>02/08/2025 01-08 SE ESCALA PARA VISITA. LLAMAR ANTES DE VISITAR, CONFIRMAR FALLA Y DATOS | 04/08/2025 SE HABLA CON LA SEÑORA HANNA LÓPEZ, AL NÚMERO DE TELÉFONO 3205599637, ME INDICA QUE EL DATÁFONO ESTÁ TRABAJANDO DE MANERA CORRECTA</t>
  </si>
  <si>
    <t>VARGAS HERRERA JHON JAIRO</t>
  </si>
  <si>
    <t>BARRIO CABECERA BUCARAMANGA 10</t>
  </si>
  <si>
    <t>FO-25-1325719</t>
  </si>
  <si>
    <t>04/08/2025 04-08 SE ESCALA PARA VISITA. LLAMAR ANTES DE VISITAR, CONFIRMAR FALLA Y DATOS | 04/08/2025 SE REALIZA VERIFICACIÓN DEL EQUIPO EL CUAL YA ESTÁ FUNCIONANDO CON NORMALIDAD LUEGO DE REALIZAR AJUSTE DE CONEXIÓNES FÍSICAS SERVICIO OPERATIVO CLIENTA INDICADA NO REQUERIR SERVICIO TÉCNICO</t>
  </si>
  <si>
    <t>AD001930</t>
  </si>
  <si>
    <t>REYES RAMIREZ DIEGO ALEXANDER</t>
  </si>
  <si>
    <t>PTM CAREPA THE ARMY FORCE</t>
  </si>
  <si>
    <t>FO-25-1325725</t>
  </si>
  <si>
    <t>04/08/2025 04-08 SE ESCALA PARA VISITA. LLAMAR ANTES DE VISITAR, CONFIRMAR FALLA Y DATOS | 04/08/2025 CLIENTE TIENE SWITCH AL PARECER MALO, SE CONECTA DATAFONO DIRECTAMENTE A MÓDEM ROUTER Y FUNCIONA</t>
  </si>
  <si>
    <t>IIWZZ549</t>
  </si>
  <si>
    <t>CASTRO HENAO DANIEL ESTEBAN</t>
  </si>
  <si>
    <t>BARRIO LAS AMERICAS LA UNION 1</t>
  </si>
  <si>
    <t>FO-25-1326490</t>
  </si>
  <si>
    <t>04/08/2025 04-08 SE ESCALA PARA VISITA. LLAMAR ANTES DE VISITAR, CONFIRMAR FALLA Y DATOS | 05/08/2025 SE REALIZO COMUNICACIÓN CON LA ENCARGADA DEL CB PARA VALIDAR FALLA DEL DATAFONO, INDICA QUE AL MOMENTO SE ENCUENTRA OPERATIVO, EL ERROR DE CONEXIÓN FUE DEBIDO A UNA CAÍDA DEL SERVICIO DE INTERNET, EL CB ESTA OPERATIVO</t>
  </si>
  <si>
    <t>BARRIO EL PROGRESO SINCELEJO 1</t>
  </si>
  <si>
    <t>FO-25-1328383</t>
  </si>
  <si>
    <t>TAPA MAL ASEGURADA</t>
  </si>
  <si>
    <t>04/08/2024 04-08 SE ESCALA PARA VISITA. LLAMAR ANTES DE VISITAR, CONFIRMAR FALLA Y DATOS | 05/08/2025 SE VISITA COMERCIO POR UNA FALLA, SE VISUALIZA QUE LA TAPA ESTÁ MAL ASEGURADA POR ESO NO LE ESTÁBA IMPRIMIENDO, SE DEJA CON LA VERSIÓN 10.3, SE REALIZAN PRUEBAS OK, COMERCIO MIXTO TERMINAL XPEZZ053 CU 19218049</t>
  </si>
  <si>
    <t>9C6ZZ525 - XPEZZ053</t>
  </si>
  <si>
    <t>CACERES HERNANDEZ ANDRES</t>
  </si>
  <si>
    <t>BARRIO ALFONSO LOPEZ</t>
  </si>
  <si>
    <t>FO-25-1329234</t>
  </si>
  <si>
    <t>05/08/2025 05-08 SE ESCALA PARA VISITA. LLAMAR ANTES DE VISITAR, CONFIRMAR FALLA Y DATOS | 05/08/2025 SE HABLA CON SEÑOR HERNAN, SE DAN INDICACIONES PARA INGRESO, SE REALIZA PRUEBA DE CIERRE Y FUNCIONA SIN NOVEDAD, SE REALIZAN CIERRES PARCIAL Y GENERAL Y CB QUEDA OPERATIVO. SE CIERRA INCIDENTE.</t>
  </si>
  <si>
    <t>DISTRICOL MISCELANEA Y DROGUER</t>
  </si>
  <si>
    <t>FO-25-1326485</t>
  </si>
  <si>
    <t>04/08/2025 04-08 SE ESCALA PARA VISITA. LLAMAR ANTES DE VISITAR, CONFIRMAR FALLA Y DATOS | 05/08/2025 SE COMUNICA CON LA SEÑORITA LUZ AL NÚMERO DE TELÉFONO 3015265469 ,SE VALIDA DISPONIBLIDAD PERO CLIENTE SOLICITA CANCELAR LA VISITA TÉCNICA DEBÍDO QUE LA FALLA YA FUE SOLUCIONADA, INDICA QUE ERA LA CONEXIÓN DEL COMERCIO</t>
  </si>
  <si>
    <t>HERRERA LUQUE SAUL JAVIER</t>
  </si>
  <si>
    <t>REVAL SAN AGUSTIN</t>
  </si>
  <si>
    <t>FO-25-1323968</t>
  </si>
  <si>
    <t>04/08/2025 4-08 EN COMUNICACION CON LA SEÑORA KAREN VIVIANA CUSTIAN AL NUMERO 3134057013  INDICA QUE LOS DOS DATAFONOS LE ARROJA ERROR DE COMUNICACIION, VERIFICAR PARAMETROS, CONFIRMA DATOS, SE ESCALA PARA VISITA | 05/08/2025 SE REVISA CONFIGURACIÓN Y CONEXIÓN DE LOS EQUIPOS PLACA 930681 CON TERMINAL XPMZZ117, EQUIPO PLACA 1230876 CON TERMINAL XPMZZ116, SE CORRIGE PARÁMETROS Y SE REALIZA PRUEBAS OK</t>
  </si>
  <si>
    <t>XPMZZ117-XPMZZ116</t>
  </si>
  <si>
    <t>ANDRADE HERNANDEZ JUAN CARLOS</t>
  </si>
  <si>
    <t>BARRIO GUARIN CHIQUINQUIRA</t>
  </si>
  <si>
    <t>FO-25-1330772</t>
  </si>
  <si>
    <t>05/08/2025 05-08 SE ESCALA PARA VISITA. LLAMAR ANTES DE VISITAR, CONFIRMAR FALLA Y DATOS | 05/08/2025 SE VISITA CB MANTENIMIENTO DE EQUIPO, CLIENTE MANIFIESTA QUE HUBO CAIDA DE SISTEMA POR PARTE DE ENTIDAD Y EQUIPO YA SE ENCUENTRA FUNCIONANDO CORRECTAMENTE</t>
  </si>
  <si>
    <t>NRZZZ532</t>
  </si>
  <si>
    <t>GONZALEZ GONZALEZ MARIO ALBERTO</t>
  </si>
  <si>
    <t>BARRIO CENTRO 2 SAN DIEGO</t>
  </si>
  <si>
    <t>FO-25-1332635</t>
  </si>
  <si>
    <t>06/08/2025 SE REALIZA GESTIÓN TELEFÓNICA ATIENDE EL SEÑOR EDILBERTO GONZÁLEZ EL CUAL, NOS INDICA DE QUE TIENE PROBLEMA CON UN SWITCH 5 PUERTOS  DEL COMERCIO,SE LE INFORMA AL CLIENTE QUE NOSOTROS NO MANEJAMOS ESE TIPO DE EQUIPOS POR LO CUAL REQUIERE QUE EL COMERCIO REALICE EL CAMBIO DEL DISPOSITIVO PARA EL BUEN FUNCIONAMIENTO DEL DATÁFONO</t>
  </si>
  <si>
    <t>PTM MONTERIA  NUEVO AMANECER C</t>
  </si>
  <si>
    <t>FO-25-1331263</t>
  </si>
  <si>
    <t>05/08/2025 05-08 SE ESCALA PARA VISITA. LLAMAR ANTES DE VISITAR, CONFIRMAR FALLA Y DATOS | 06/08/2025 SE REALIZA VISITA TÉCNICA Y SE ENCUENTRA ESTABLECIMIENTO TRABAJANDO CORRECTAMENTE, SE VERIFICO FUNCIONALIDAD, USUARIO MANIFIESTA QUE EL INCONVENIENTE SE DEBIÓ A FALLAS CON LA ENTIDAD, LA CUÁL YA FUE CORREGIDA, SE VERIFICO Y SE DEJÓ EL SERVICIO OK.</t>
  </si>
  <si>
    <t>SX00J115</t>
  </si>
  <si>
    <t>CASSIANI PEREZ RAUL RAMIRO</t>
  </si>
  <si>
    <t>DISTRICOL MARIA LUZ ROJAS DUSS</t>
  </si>
  <si>
    <t>FO-25-1334838</t>
  </si>
  <si>
    <t>06/08/2025 05-08 SE ESCALA PARA VISITA. LLAMAR ANTES DE VISITAR, CONFIRMAR FALLA Y DATOS | 06/08/2025 SE REALIZA VISITA AL PUNTO, SE EVIDENCIA EQUIPO NO COMUNICA, SE EVIDENCIA DAÑO EN EL CANAL DE COMUNICACIÓN DEL CLIENTE EL INTERNET ESTA MUY INTERMITENTE, SE REALIZAN PRUEBAS CON INTERNET DE OTRO PUNTO Y FUNCIONA TODO OK, SE LE INDICA AL CLIENTE QUE TIENE QUE SOLICITAR VISITA TÉCNICA DE INTERNET. PRUEBAS OK, EQUIPO OK</t>
  </si>
  <si>
    <t>9B05Z126</t>
  </si>
  <si>
    <t>DEVIA REINOSO JUAN CARLOS</t>
  </si>
  <si>
    <t>PTM MEDELLIN  SALSAMENTARIA MO</t>
  </si>
  <si>
    <t>FO-25-1334337</t>
  </si>
  <si>
    <t>06/08/2025 05-08 SE ESCALA PARA VISITA. LLAMAR ANTES DE VISITAR, CONFIRMAR FALLA Y DATOS | 06/08/2025 SE REALIZA MANTENIMIENTO GENERAL AL EQUIPO, SE REALIZA PRUEBAS PERTINENTES, TODAS OK</t>
  </si>
  <si>
    <t>SV00W515 - NN00E822</t>
  </si>
  <si>
    <t>BARRIO SEGUNDO PARQUE BARBOSA</t>
  </si>
  <si>
    <t>FO-25-1330757</t>
  </si>
  <si>
    <t>05/08/2025 05-08 SE ESCALA PARA VISITA. LLAMAR ANTES DE VISITAR, CONFIRMAR FALLA Y DATOS | 06/08/2025 SE REALIZÓ MANTENIMIENTO GENERAL DEL EQUIPO, SE LE EXPLICÓ AL USUARIO FUNCIONAMIENTO DEL NUEVO EQUIPO POS, FUNCIONA NORMALMENTE</t>
  </si>
  <si>
    <t>AAAAH126</t>
  </si>
  <si>
    <t>AGUSTIN CODAZZI III - CESAR</t>
  </si>
  <si>
    <t>FO-25-1333986</t>
  </si>
  <si>
    <t>05/08/2025 05-08 SE ESCALA PARA VISITA. LLAMAR ANTES DE VISITAR, CONFIRMAR FALLA Y DATOS | 06/08/2025 06/08/2025 SE REALIZA GESTIÓN TELEFÓNICA ATIENDE EL SEÑOR NIXON, EL CUAL NOS INDICA DE QUE HACE POCO LE REALIZARON CAMBIO DE DATÁFONO Y NOS INDICA QUE EL DATÁFONO NUEVO QUE LE INSTALARON TIENE LAS TECLAS UN POCO MÁS DURAS QUE EL ANTERIOR, SE VALIDA LA CUAL NOS DA DE REFERENCIA QUE ES UN EQUIPO DESK 2600, ESA REFERENCIA DE EQUIPO LAS TECLAS SON UN POCO MÁS RÍGIDAS QUE LOS ANTERIORES EQUIPOS, SE LE COMENTA QUE ES NORMAL Y SE LE EXPLICA DE QUE SI DESEA SE LE REALIZA CAMBIO DE EQUIPO PERO SE LE INSTALARIA UNO DE LA MISMA TECNOLOGIA. EL CLIENTE NOS INDICA DE QUE NO ES NECESARIO QUE NO HAY NINGÚN INCONVENIENTE QUE DEJEN EL EQUIPO ACTUAL</t>
  </si>
  <si>
    <t>BARRIO EL JARDIN CUBARRAL</t>
  </si>
  <si>
    <t>FO-25-1329228</t>
  </si>
  <si>
    <t>05/08/2025 05-08 SE ESCALA PARA VISITA. LLAMAR ANTES DE VISITAR, CONFIRMAR FALLA Y DATOS | 06/08/2025 SE REALIZA VISITA A COMERCIO, SEÑORA HERLINDA MANIFIESTA SERVICIO OPERATIVO OK SIN NOVEDADES</t>
  </si>
  <si>
    <t>LBZZZ622</t>
  </si>
  <si>
    <t>DISTRICOL DROGUERIVARIEDAD21</t>
  </si>
  <si>
    <t>FO-25-1333988</t>
  </si>
  <si>
    <t>05/08/2025 05-08 SE ESCALA PARA VISITA. LLAMAR ANTES DE VISITAR, CONFIRMAR FALLA Y DATOS | 06/08/2025 SE VISITA SITIO, SE VERIFICA INFORMACIÓN, SE REALIZA LIMPIEZA DEL LECTOR, SE RESTAURA LA OBSTRUCCIÓN, SE REALIZA PRUEBA TRX EXITOSA, TECLADO OK, IMPRESIÓN OK, SELLOS OK</t>
  </si>
  <si>
    <t>SXRZZ981</t>
  </si>
  <si>
    <t>SANTOS GUZMAN CHRISTIAN FELIPE</t>
  </si>
  <si>
    <t>7 AGOSTO REMEDIO</t>
  </si>
  <si>
    <t>FO-25-1336823</t>
  </si>
  <si>
    <t>06/08/2025 6-08 10:36 SE INTENTA COMUNICACION EN VARIAS OPORTUNIDADES CON EL SEÑOR ARLEY MENDEZ A LOS NUMERO 3127330177-3137475677   PERO NO FUE POSIBLE, SE ESCALA AL COORDINADOR DE LA ZONA PARA VALIDAR EN SITIO | 06/08/2025 CABLE DE RED MAL CONECTADO, SE ORGANIZA, EQUIPOS OPERATIVOS</t>
  </si>
  <si>
    <t>EF00B344</t>
  </si>
  <si>
    <t>BARRIO EL CABLE MANIZALEZ</t>
  </si>
  <si>
    <t>FO-25-1339359</t>
  </si>
  <si>
    <t>06/08/2025 06-08 SE ESCALA PARA VISITA. LLAMAR ANTES DE VISITAR, CONFIRMAR FALLA Y DATOS | 06/08/2025 SE REVISA LAS CONEXIONES DEL COMERCIO LAS CUALES SE ENCUENTRAN EN BUEN ESTADO, SE VÁLIDA EL FUNCIONAMIENTO DEL EQUIPO Y SE ENCUENTRA TRABAJANDO BIEN, EL CLIENTE INDICA QUE EL HACE CUATRO MESES LE CAMBIARON EL EQUIPO POR EL MISMO PROBLEMA, SE REALIZAN PRUEBAS OK Y SE LE INDICA AL CLIENTE SOLICITAR VISITA TÉCNICA DEL PROVEEDOR DE INTERNET YA QUE NO SE ENCUENTRA FALLAS EN EL EQUIPO</t>
  </si>
  <si>
    <t>JAAAX615</t>
  </si>
  <si>
    <t>BARRIO ZULDEMAYDA ARMENIA</t>
  </si>
  <si>
    <t>FO-25-1338191</t>
  </si>
  <si>
    <t>06/08/2025 06-08 SE ESCALA PARA VISITA. LLAMAR ANTES DE VISITAR, CONFIRMAR FALLA Y DATOS | 06/08/2025 SE VISITA COMERCIO SE REALIZÓ VERIFICACIÓN Y CONFIGURACIÓN DE CLAVE SUPERVISOR PRUEBAS OK</t>
  </si>
  <si>
    <t>9A0TZ995</t>
  </si>
  <si>
    <t>SANCHEZ SOLORZANO JUAN SEBASTIAN</t>
  </si>
  <si>
    <t>DISTRICOL LA CANASTA MAX BARAT</t>
  </si>
  <si>
    <t>FO-25-1339671</t>
  </si>
  <si>
    <t>06/08/2025 06-08 SE ESCALA PARA VISITA. LLAMAR ANTES DE VISITAR, CONFIRMAR FALLA Y DATOS | 06/08/2025 SE REALIZA VALIDACION CON EL CLIENTE Y SE ENCUENTRA QUE EL CANAL DEL CLIENTE ESTA CON PROBLEMAS, CLIENTE REALIZA REINICIO DE LOS DISPOSITIVOS Y SEGUIDAMENTE REALIZAR PRUEBAS EXITOSAS EN EL DATAFONO</t>
  </si>
  <si>
    <t>HENAO CARDONA DIEGO FERNANDO</t>
  </si>
  <si>
    <t>COMCARD GIRON D´ANGEL</t>
  </si>
  <si>
    <t>FO-25-1336816</t>
  </si>
  <si>
    <t>LECTOR DE BARRAS</t>
  </si>
  <si>
    <t>ERROR PAGOS PARCIALES DE FACTURAS</t>
  </si>
  <si>
    <t>06/08/2025 06-08 SE ESCALA PARA VISITA. LLAMAR ANTES DE VISITAR, CONFIRMAR FALLA Y DATOS | 06/08/2025 SE LLEGA SITIO, SE HACE VALIDACIÓN DE LECTOR DE BARRAS, SE LE INDICA AL CLIENTE QUE, BANCOLOMBIA NO TIENE CONVENIO CON LAS FACTURAS DE AGUA, GAS, MOVISTAR Y CLARO POR TAL MOTIVO NO LES PERMITE RECAUDAR ESOS RECIBOS, SE HACEN PRUEBAS, CON OTRAS CÓDIGOS DE BARRAS EXITOSO. CN MIXTO TERMINAL II00S895, CU 17833419</t>
  </si>
  <si>
    <t>BL014332 - II00S895</t>
  </si>
  <si>
    <t>BARRIO ALFONSO LOPEZ BUCARAMAN</t>
  </si>
  <si>
    <t>FO-25-1338198</t>
  </si>
  <si>
    <t>06/08/2025 06-08 SE ESCALA PARA VISITA. LLAMAR ANTES DE VISITAR, CONFIRMAR FALLA Y DATOS | 06/08/2025 SE VISITA COMERCIO Y SE ENCUENTRA ERROR EN LA COMUNICACIÓN DEBIDO A UNA FALLA EN EL CANAL DE COMUNICACIONES DEL COMERCIO SE LE INDICA AL CLIENTE Y SE REALIZA PRUEBA EN OTRO  MÓDEM PARA VERIFICAR EL FUNCIONAMIENTO CORRECTO DEL DATÁFONO</t>
  </si>
  <si>
    <t>LM0BZ635</t>
  </si>
  <si>
    <t>PEÑA DIAZ IVAN YESID</t>
  </si>
  <si>
    <t>BARRIO LA TERMINAL SANTA ROSA</t>
  </si>
  <si>
    <t>FO-25-1333735</t>
  </si>
  <si>
    <t>05/08/2025 05-08 SE ESCALA PARA VISITA. LLAMAR ANTES DE VISITAR, CONFIRMAR FALLA Y DATOS | 07/08/2025 SE HACE MANTENIMIENTO SE OK SE CONFIGURA PARÁMETROS DE DATÁFONO OK PRUEBAS EXITOSAS</t>
  </si>
  <si>
    <t>BL08Z839</t>
  </si>
  <si>
    <t>BARRIO LOS OLIVOS CUCUTA</t>
  </si>
  <si>
    <t>FO-25-1345269</t>
  </si>
  <si>
    <t>07/08/2025 07-08 SE ESCALA PARA VISITA. LLAMAR ANTES DE VISITAR, CONFIRMAR FALLA Y DATOS | 08/08/2025 SE REALIZÓ VISITA AL COMERCIO Y SE ENCUENTRA DATAFONO CON RECHAZO GENERAL EN RETIROS SE REPOSAN PARÁMETROS, SE REPOSA LLAVE PRUEBAS EXITOSAS</t>
  </si>
  <si>
    <t>7A00B348</t>
  </si>
  <si>
    <t>BARRIO CENTRAL CALI</t>
  </si>
  <si>
    <t>FO-25-1342306</t>
  </si>
  <si>
    <t>07/08/2025 07-08 SE ESCALA PARA VISITA. LLAMAR ANTES DE VISITAR, CONFIRMAR FALLA Y DATOS | 07/08/2025 SE HABLA CON EL CLIENTE PARA VALIDAR ATENCION, CLIENTE INDICA QUE SE PUEDE REALIZAR VISITA EL DIA VIERNES, EN HORAS DE LA MAÑANA QUE VOLVERA NUEVAMENTE AL LOCAL | 08/08/2025 SE LLEGA AL COMERCIO SE REVISA CABLEADO SE HACEN PRUEBAS Y TODO ESTA OK QUEDA FUNCIONANDO CORRECTAMENTE</t>
  </si>
  <si>
    <t>A18ZZ388</t>
  </si>
  <si>
    <t>CUERO RUIZ JHONNY</t>
  </si>
  <si>
    <t>BARRIO VILLACOLOMBIA CALI</t>
  </si>
  <si>
    <t>FO-25-1347941</t>
  </si>
  <si>
    <t>08/08/2025 08-08 SE ESCALA PARA VISITA. LLAMAR ANTES DE VISITAR, CONFIRMAR FALLA Y DATOS | 08/08/2025 CLIENTE NO TENIA CLAVE DE SUPERVISOR SE LE ASIGNÓ UNA Y QUEDA FUNCIONANDO CORRECTAMENTE</t>
  </si>
  <si>
    <t>1FZZZ149</t>
  </si>
  <si>
    <t>BARRIO AURES 2 BOGOTA 3</t>
  </si>
  <si>
    <t>FO-25-1345259</t>
  </si>
  <si>
    <t>07/08/2025 07-08 SE ESCALA PARA VISITA. LLAMAR ANTES DE VISITAR, CONFIRMAR FALLA Y DATOS | 08/08/2025 SE REALIZA VISITA A DIRECCIÓN DE COMERCIO, ATIENDE EL SR. WILMAR ROMERO QUIEN INFORMA QUE EL DÍA DE HOY EL DATAFONO ESTÁ FUNCIONANDO DE FORMA CORRECTA, SE REALIZA ACOMPAÑAMIENTO Y VALIDACIÓN DE FUNCIONAMIENTO SIN NOVEDAD, NO SE MANIPULA EQUIPOS</t>
  </si>
  <si>
    <t>TVDZZ282</t>
  </si>
  <si>
    <t>MURCIA HERNANDEZ HARVEY IGNACIO</t>
  </si>
  <si>
    <t>CENTRO MEDELLIN ANTIOQUIA</t>
  </si>
  <si>
    <t>FO-25-1340704</t>
  </si>
  <si>
    <t>06/08/2025 06-08 SE ESCALA PARA VISITA. LLAMAR ANTES DE VISITAR, CONFIRMAR FALLA Y DATOS | 07/08/2025 SE LLAMA A CLIENTE PARA CONFIRMAR VISITA Y COMENTA QUE EL LOCAL NO TIENEN SERVICIO DOMINGOS NI FESTIVOS, SE DEBE REAGENDAR VISITA PARA UN DÍA HÁBIL E INDICA QUE ABRE COMERCIO DESPUÉS DE 9 AM | 08/08/2025 SE REALIZA LIMPIEZA DE LECTOR CHIP CON OBSTRUCCIÓN OK PRUEBAS OK</t>
  </si>
  <si>
    <t>A1006413</t>
  </si>
  <si>
    <t>BARRIO CENTRO SAN VICENTE FERR</t>
  </si>
  <si>
    <t>FO-25-1342302</t>
  </si>
  <si>
    <t>07/08/2025 07-08 SE ESCALA PARA VISITA. LLAMAR ANTES DE VISITAR, CONFIRMAR FALLA Y DATOS | 08/08/2025 SE LLEGA AL SITIO Y SE VERIFICA EQUIPOS, SE ENCUENTRA APAGADO SE REALIZA CAMBIO DE FUENTE DE PODER SE REALIZAN PRUEBAS EXITOSAS SERVICIO OPERATIVO OK</t>
  </si>
  <si>
    <t>4A0AZ399</t>
  </si>
  <si>
    <t>ZAPATA LOPEZ EDWARD ASDRUBAL</t>
  </si>
  <si>
    <t>BARRIO FUERA DEL MUNICIPIO DE</t>
  </si>
  <si>
    <t>FO-25-1350348</t>
  </si>
  <si>
    <t>08/08/2025 8-08 EN COMUNICACIÓN CON EL SEÑOR LUIS RAMÓN RIVEROS TORRADO AL NUMERO 3222170523 INDICA QUE EL DATAFONO NO ESTA IMPRIMIENDO LOS VAUCHER DE MANERA RAPIDA Y LA INFORMACIÓN ESTA MUY BORROSA, CONFIRMA LOS DATOS, SE ESCALA PARA VISITA | 08/08/2025 SE COMUNICA CON EL CLIENTE LUIS RIVEROS, AL # 3222170523, SE LE DA SOPORTE TELEFONICO, NOS INFORMA QUE SE SOLUCIONA EL PROBLEMA, CB OPERATIVO, SE ANEXA TIRILLA ENVIADA POR EL CLIENTE</t>
  </si>
  <si>
    <t>NARANJO AFANADOR RUBEN JESUS</t>
  </si>
  <si>
    <t>PAGAFACIL TERMINAL MANIZALES</t>
  </si>
  <si>
    <t>FO-25-1349445</t>
  </si>
  <si>
    <t>08/08/2025 08-08 SE ESCALA PARA VISITA. LLAMAR ANTES DE VISITAR, CONFIRMAR FALLA Y DATOS | 08/08/2025 NO SE REALIZA VISITA EL DIA DE HOY YA QUE SE TENIA AGENDADA UNA APERTURA Y POR EL INCONVENIENTE DE LA ASIGNACIÓN DE LAS PLACAS NO SE PUDO VISITAR TEMPRANO, SE VISITARA EL DIA SABADO TENIENDO EN CUENTA QUE LOS CAMBIOS SE REALIZARN A PARTIR DE LAS 9 AM | 09/08/2025 SE REALIZA VISITA SE VALIDA IMPRESION UN POCO BORROSA, SE REALIZA MANTENIMIENTO Y LIMPIEZA QUEDA OPERANDO E IMPRIMIENDO EN BUEN ESTADO SERVICIO OK</t>
  </si>
  <si>
    <t>II003202</t>
  </si>
  <si>
    <t>PAGAFACIL ARKADIA</t>
  </si>
  <si>
    <t>FO-25-1353618</t>
  </si>
  <si>
    <t>09/08/2025 09-08 SE ESCALA PARA VISITA. LLAMAR ANTES DE VISITAR, CONFIRMAR FALLA Y DATOS | 09/08/2025 SE REALIZÓ LIMPIEZA DE LECTOR CHIP</t>
  </si>
  <si>
    <t>GZ0OZ428</t>
  </si>
  <si>
    <t>BARRIO JARDIN SAN PEDRO</t>
  </si>
  <si>
    <t>FO-25-1351690</t>
  </si>
  <si>
    <t>08/08/2025 08-08 SE ESCALA PARA VISITA. LLAMAR ANTES DE VISITAR, CONFIRMAR FALLA Y DATOS | 09/08/2025 EN LA VISITA TÉCNICA SE REALIZÓ LA REVISIÓN DEL DATÁFONO ENCONTRANDO QUE EL USUARIO ESTABA PONIENDO EL ROLLO DE MANERA ERRADA Y POR ESTE MOTIVO NO SE IMPRIMÍA LA INFORMACIÓN EN LA TIRILLA,SE LE EXPLICÓ COMO POBER EL ROLLO DE MANERA CORRECTA, TAMBIÉN SE REALIZÓ LA REVISIÓN A TODOS LOS EQUIPOS Y ACCESORIOS ENCONTRANDO Y DEJANDO EL SERVICIO OPERANDO DE MANERA CORRECTA Y SIN NOVEDAD</t>
  </si>
  <si>
    <t>SAZZZ778</t>
  </si>
  <si>
    <t>BARRIO CENTRO III FUSAGASUGA</t>
  </si>
  <si>
    <t>FO-25-1354442</t>
  </si>
  <si>
    <t>CREACION DE USUARIOS</t>
  </si>
  <si>
    <t>09/08/2025 09-08 SE ESCALA PARA VISITA. LLAMAR ANTES DE VISITAR, CONFIRMAR FALLA Y DATOS | 09/08/2025 DURANTE LA VISITA  DE TECNICA  ENCONTRAMOS QUE DATÁFONO NO LE PERMITE INGRESO AL PANEL DE CORRESPONSAL SE REALIZA CREACIÓN DE USUARIOS CON  PRUEBAS OK PARÁMETROS OKAY CIERRE OK USUARIOS OK A CONFORMIDAD DE CORRESPONSAL</t>
  </si>
  <si>
    <t>GZZZZ645</t>
  </si>
  <si>
    <t>PTM VILLA DEL ROSARIO  PLASTIC</t>
  </si>
  <si>
    <t>FO-25-1355420</t>
  </si>
  <si>
    <t>09/08/2025 SE REALIZÓ LLAMADA TELEFÓNICA AL NÚMERO 3505921617 SE HABLÓ CON EL SR RICHARD INDICA QUE YA SOLUCIONO EL INCONVENIENTE CON EL BRILLO DEL DATAFONO Y MANIFIESTA QUE NO DESEA QUE SE REALICE LA VISITA TÉCNICA</t>
  </si>
  <si>
    <t>BARRIO CASTILLA MEDELLIN 17</t>
  </si>
  <si>
    <t>FO-25-1354964</t>
  </si>
  <si>
    <t>09/08/2025 09-08 SE ESCALA PARA VISITA. LLAMAR ANTES DE VISITAR, CONFIRMAR FALLA Y DATOS | 10/08/2025 SE REALIZÓ GESTIÓN TELEFÓNICA SE HABLO CON LA SEÑORA FLOR, NOS INDICA QUE LA FALLA SE DEBÍA AL PROVEEDOR DE INTERNET, DESDE EL DÍA DE AYER ESTÁ FUNCIONANDO NORMALMENTE</t>
  </si>
  <si>
    <t>CYBER PLUS COMPUTADORES SAS</t>
  </si>
  <si>
    <t>FO-25-1354427</t>
  </si>
  <si>
    <t>09/08/2025 09-08 SE ESCALA PARA VISITA. LLAMAR ANTES DE VISITAR, CONFIRMAR FALLA Y DATOS | 10/08/2025 SE REALIZÓ GESTIÓN TELEFÓNICA SE HABLO CON LA SEÑORA ERIKA RODRÍGUEZ EN EL 3016841115 NOS INFORMA QUE LOS DÍAS DOMINGOS NO PRESENTAN ATENCIÓN AL PÚBLICO | 11/08/2025 SE VERIFICA EQUIPO, SE HACEN PRUEBAS PERTINENTES TODAS OK</t>
  </si>
  <si>
    <t>9L0UZ955</t>
  </si>
  <si>
    <t>PTM MEDELLIN  MINI MERCADO ARI</t>
  </si>
  <si>
    <t>FO-25-1355953</t>
  </si>
  <si>
    <t>10/08/2025 10-08 SE ESCALA PARA VISITA. LLAMAR ANTES DE VISITAR, CONFIRMAR FALLA Y DATOS | 10/08/2025 SE REALIZÓ GESTIÓN TELEFÓNICA SE HABLO CON EL SEÑOR WILMER FELIPE VANEGAS CHAVERRA EN EL 3216037515 SE DESCONECTA EN VARIAS VECES EL DATÁFONO CONTINUA CON LA PANTALLA EN BLANCO SIN PODER VISUALIZAR LA INFORMACIÓN, SE REQUIERE CAMBIO DE EQUIPO SE POSPONE VISITA PARA EL DÍA LUNES YA QUE LOS DOMINGOS REDEBAN NO TIENE SOPORTE PARA CAMBIAR EL EQUIPO | 11/08/2025 SE LLEGA A PUNTO, USUARIO NO ESTÁ DISPONIBLE, SOLAMENTE DESPUÉS DE MEDIO DIA</t>
  </si>
  <si>
    <t>NONE</t>
  </si>
  <si>
    <t>COMCARD CONCORDIA MUNDO MOVIL</t>
  </si>
  <si>
    <t>FO-25-1355948</t>
  </si>
  <si>
    <t>10/08/2025 10-08 SE ESCALA PARA VISITA. LLAMAR ANTES DE VISITAR, CONFIRMAR FALLA Y DATOS | 11/08/2025 SE REALIZÓ LIMPIEZA DE LECTOR CHIP</t>
  </si>
  <si>
    <t>1111W622</t>
  </si>
  <si>
    <t>BARRIO CABALLERO Y GONGORA ESP</t>
  </si>
  <si>
    <t>FO-25-1357818</t>
  </si>
  <si>
    <t>11/08/2025 11-08 SE ESCALA PARA VISITA. LLAMAR ANTES DE VISITAR, CONFIRMAR FALLA Y DATOS | 11/08/2025 SE LLEGA AL CORRESPONSAL Y LA SEÑORA NURY VARGAS, ME INDICA QUE EL DATÁFONO ESTÁ FUNCIONANDO CORRECTAMENTE. LE EXPLICO COMO MANEJAR CORRECTAMENTE EL DATÁFONO Y SU APAGADO PARA QUE NO VUELVA A MOLESTAR LAS IMPRESIONES. SE HACEN PRUEBAS DE TRANSACCIONES TODO OK</t>
  </si>
  <si>
    <t>1111K887 - II1ZZ069</t>
  </si>
  <si>
    <t>DISTRICOL TEXTURAS DE PAPEL</t>
  </si>
  <si>
    <t>FO-25-1359458</t>
  </si>
  <si>
    <t>23/09/2025 11-08 SE ESCALA PARA VISITA. LLAMAR ANTES DE VISITAR, CONFIRMAR FALLA Y DATOS | 11/08/2025 SE REALIZÓ LIMPIEZA DE LECTOR CHIP</t>
  </si>
  <si>
    <t>XPRZZ661</t>
  </si>
  <si>
    <t>BARRIO SAN FRANCISCO ITAGUI 2</t>
  </si>
  <si>
    <t>FO-25-1361988</t>
  </si>
  <si>
    <t>11/08/2025 11-08 SE ESCALA PARA VISITA. LLAMAR ANTES DE VISITAR, CONFIRMAR FALLA Y DATOS | 12/08/2025 E REVISA EQUIPO Y PARÁMETROS TODO  OK, TEST DE COMUNICACIÓN EXITOSO, CLIENTE CONFIRMA TRABAJAR SIN PROBLEMAS PROBLEMAS</t>
  </si>
  <si>
    <t>HA00J521</t>
  </si>
  <si>
    <t>BARRIO CARACOLI CAUCASIA</t>
  </si>
  <si>
    <t>FO-25-1358508</t>
  </si>
  <si>
    <t>11/08/2025 11-08 SE ESCALA PARA VISITA. LLAMAR ANTES DE VISITAR, CONFIRMAR FALLA Y DATOS | 12/08/2025 SE VISITA SITIO, SE ENCUENTRA DATAFONO OPERATIVO, POSIBLE PROBLEMA CON CANAL DE COMUNICACIÓN DEL CB SE REALIZAN AJUSTEN EN CONEXIONES OK. PRUEBAS EXITOSAS</t>
  </si>
  <si>
    <t>BA0IZ174</t>
  </si>
  <si>
    <t>COGOLLO VERTEL EDER LUIS</t>
  </si>
  <si>
    <t>BARRIO OBRERO CALI 6</t>
  </si>
  <si>
    <t>FO-25-1361991</t>
  </si>
  <si>
    <t>11/08/2025 11-08 SE ESCALA PARA VISITA. LLAMAR ANTES DE VISITAR, CONFIRMAR FALLA Y DATOS | 12/08/2025 SE REVISA CABLEADO TODO ESTA OK SE LE HACE MANTENIMIENTO AL EQUIPO Y QUEDA FUNCIONANDO CORRECTAMENTE</t>
  </si>
  <si>
    <t>MM0SZ910</t>
  </si>
  <si>
    <t>PTM VALENCIA BARUEK CAFETERIA</t>
  </si>
  <si>
    <t>FO-25-1363392</t>
  </si>
  <si>
    <t>12/08/2025 11-08 SE ESCALA PARA VISITA. LLAMAR ANTES DE VISITAR, CONFIRMAR FALLA Y DATOS | 12/08/2025 SE REALIZA VISITA TÉCNICA Y SE CONFIGURAN NUEVAMENTE LOS USUARIOS LOS CUALES SE ENCUENTRAN BLOQUEADOS, S CREAN NUEVAMENTE Y SE DEJA EL SERVICIO FUNCIONANDO CORRECTAMENTE .</t>
  </si>
  <si>
    <t>SX00J088</t>
  </si>
  <si>
    <t>DISTRICOL TRILLADORA AGROCENTR</t>
  </si>
  <si>
    <t>FO-25-1355965</t>
  </si>
  <si>
    <t>10/08/2025 10-08 SE ESCALA PARA VISITA. LLAMAR ANTES DE VISITAR, CONFIRMAR FALLA Y DATOS | 12/08/2025 SE REPISA PARÁMETROS Y DATAFONO QUEDA OPERATIVO.</t>
  </si>
  <si>
    <t>9A00Q589</t>
  </si>
  <si>
    <t>BARRIO EL CORTIJO SINCELEJO</t>
  </si>
  <si>
    <t>FO-25-1363786</t>
  </si>
  <si>
    <t>12/08/2025 11-08 17:47 EN COMUNICACIÓN CON LA SEÑORA ELIZBETH JIMENEZ AL NUMERO 3107839160 INDICA QUE EL DATAFONO LE ARROJA CONECTANDO Y LUEGO LE DICE ERROR DE CONEXIÓN, CONFIRMA DATOS, SE ESCALA PARA VISITA | 12/08/2025 SE VISITA COMERCIO, SE VERIFICAN LOS DATAFONOS PERO ESTÁN FUNCIONANDO CORRECTAMENTE, EN LA MAÑANA  TUVIERON UN PROBLEMA DE CONEXIÓN PERO YA SE SOLUCIONÓ, SE REALIZAN PRUEBAS OK.</t>
  </si>
  <si>
    <t>EG0IZ237 - GZ00Z040</t>
  </si>
  <si>
    <t>PTM LA REPUBLICA GIRON SUPERME</t>
  </si>
  <si>
    <t>FO-25-1364630</t>
  </si>
  <si>
    <t>NO ENCIENDE</t>
  </si>
  <si>
    <t>12/08/2025 12-08 SE ESCALA PARA VISITA. LLAMAR ANTES DE VISITAR, CONFIRMAR FALLA Y DATOS | 12/08/2025 EN COMUNICACIÓN CON LA SEÑORA MARYI AL MOVIL 3212449499, SE CONFIRMA QUE EL EQUIPO ESTA OPERANDO CORRECTAMENTE Y NO REQUIERE DE VISITA TECNICA.</t>
  </si>
  <si>
    <t>PTM JAMUNDI SARAPA</t>
  </si>
  <si>
    <t>FO-25-1362006</t>
  </si>
  <si>
    <t>11/08/2025 11-08 SE ESCALA PARA VISITA. LLAMAR ANTES DE VISITAR, CONFIRMAR FALLA Y DATOS | 12/08/2025 SE REALIZA GESTIÓN TELEFÓNICA ANTES DE REALIZAR LA VISITA Y LA SRA. GLORIA GÓMEZ INDICA QUE EL CB YA SE ENCUENTRA OPERANDO CON NORMALIDAD DEBIDO A QUE LA FALLA PROVENÍA DEL INTERNET LOCAL.</t>
  </si>
  <si>
    <t>BARRIO BARRIO MESA ENVIGADO</t>
  </si>
  <si>
    <t>FO-25-1364356</t>
  </si>
  <si>
    <t>12/08/2025 11-08 SE ESCALA PARA VISITA. LLAMAR ANTES DE VISITAR, CONFIRMAR FALLA Y DATOS | 13/08/2025 SE REALIZÓ LIMPIEZA DE LECTOR DE CHIP</t>
  </si>
  <si>
    <t>GZ05Z998</t>
  </si>
  <si>
    <t>ARA0103 BARRANQUILLA LA PRADER</t>
  </si>
  <si>
    <t>FO-25-1364981</t>
  </si>
  <si>
    <t>13/08/2025 13-08 SE ESCALA A LA RED, SE PROCEDE A CERRAR YA QUE NO ATENDEMOS CADENA ARA - XX-08 TU SOLICITUD REFERENTE A GENERACIÓN DE CASOS CB ARA BANCOLOMBIA QUEDÓ RADICADA BAJO EL TICKET NÚMERO XXXXXX AL ÁREA ENCARGADA. | 13/08/2025 13-08 SE ESCALA A LA RED, SE PROCEDE A CERRAR YA QUE NO ATENDEMOS CADENA ARA - 13-08 TU SOLICITUD REFERENTE A GENERACIÓN DE CASOS CB ARA BANCOLOMBIA QUEDÓ RADICADA BAJO EL TICKET NÚMERO 5755587 AL ÁREA ENCARGADA.</t>
  </si>
  <si>
    <t>BARRIO CENTRO SANTA BARBARA 1</t>
  </si>
  <si>
    <t>FO-25-1362367</t>
  </si>
  <si>
    <t>11/08/2025 11-08 SE ESCALA PARA VISITA. LLAMAR ANTES DE VISITAR, CONFIRMAR FALLA Y DATOS | 13/08/2025 SE REALIZA CAMBIO DE TAPA DE IMPRESORA PORQUE ESTA ROTA</t>
  </si>
  <si>
    <t>BL01B620</t>
  </si>
  <si>
    <t>BARRIO SANTA MARIA DEL LAGO BO</t>
  </si>
  <si>
    <t>FO-25-1370148</t>
  </si>
  <si>
    <t>13/08/2025 13-08 SE ESCALA PARA VISITA. LLAMAR ANTES DE VISITAR, CONFIRMAR FALLA Y DATOS | 13/08/2025 SE REALIZA DESPLAZAMIENTO A DIRECCIÓN DE COMERCIO, AL LLEGAR SE ENCUENTRA CERRADO, SE REALIZA LLAMADA DE VALIDACIÓN SE HABLA CON LA SRTA.NATALIA NIÑO QUIEN INFORMA QUE REGRESA AL COMERCIO A LAS 2:15, SE INFORMA A COORDINACIÓN DE PROYECTO QUIEN INDICA CERRAR LA TAREA E INFORMAR AL CLIENTE QUE DEBE SOLICITAR EL SERVICIO DE NUEVO.</t>
  </si>
  <si>
    <t>A4WZZ806</t>
  </si>
  <si>
    <t>BARRIO BOYACA BAJO CHIQUINQUIR</t>
  </si>
  <si>
    <t>FO-25-1369242</t>
  </si>
  <si>
    <t>13/08/2025 13-08 SE ESCALA PARA VISITA. LLAMAR ANTES DE VISITAR, CONFIRMAR FALLA Y DATOS | 13/08/2025 SE VISITA PUNTO EVIDENCIANDO QUE EL EQUIPO TIENE ACOMULADO EL CIERRE EQUIPO NO ARROJA EL CIERRE CLIENTE AUTORIZA RELIZAR BORRADO SE RELIZAR MANTENIMIENTO GENERAL AL EQUIPO PRUEBAS OK SE LE INDICA AL CLIENTE LA FORMA CORRECTA DE REALIZAR LOS CIERRES DIARIOS CLIENTE CONFORME</t>
  </si>
  <si>
    <t>SV005489</t>
  </si>
  <si>
    <t>BARRIO CENTRO PEREIRA 52</t>
  </si>
  <si>
    <t>FO-25-1371302</t>
  </si>
  <si>
    <t>13/08/2025 13-08 SE ESCALA PARA VISITA. LLAMAR ANTES DE VISITAR, CONFIRMAR FALLA Y DATOS | 13/08/2025 SE VISITA COMERCIO SE IDENTIFICA DATÁFONO SIN CONEXIÓN SE REINICIA ROUTER PRUEBA DE CONEXIÓN OK SE REALIZA PRUEBAS OK</t>
  </si>
  <si>
    <t>FGZZZ931</t>
  </si>
  <si>
    <t>LOAIZA LOPEZ JHON FREDDY</t>
  </si>
  <si>
    <t>BARRIO SECTOR PUERTO AREPAS TI</t>
  </si>
  <si>
    <t>FO-25-1368254</t>
  </si>
  <si>
    <t>12/08/2025 12-08 SE ESCALA PARA VISITA. LLAMAR ANTES DE VISITAR, CONFIRMAR FALLA Y DATOS | 13/08/2025 EN COMUNICACIÓN CON EL ADMINISTRADOR WILLIAM JAVIER MONTIER AL CELULAR 3208398637, PARA VERIFICAR DIRECCIÓN, INFORMA QUE YA NO NECESITA LA VISITA TÉCNICA, QUE YA LE ESTÁ FUNCIONANDO CORRECTAMENTE EL DATÁFONO, QUE LA FALLA LA TENÍA EN EL PROVEEDOR DEL INTERNET, SE PROCEDE A CERRAR ORDEN CANCELADA POR ADMINISTRADOR, SE INFORMA QUE SI LE PRESTA ALGUNA FALLA DEBE VOLVER A SOLICITAR NUEVA VISITA.</t>
  </si>
  <si>
    <t>BARRIO CENTRO INDUSTRIAL SAN J</t>
  </si>
  <si>
    <t>FO-25-1372471</t>
  </si>
  <si>
    <t>SIN CUPO HABILITADO</t>
  </si>
  <si>
    <t>13/08/2025 13-08 SE ESCALA PARA VISITA. LLAMAR ANTES DE VISITAR, CONFIRMAR FALLA Y DATOS | 14/08/2025 EN COMUNICACIÓN CON LA SEÑORA KAREN AL MOVIL 3164540006, INDICA QUE NO TIENE NINGUNA FALLA TÉCNICA, QUE ELLA TIENE ES UN BLOQUEO A DE MARCA NO HABILITADA POR PARTE DEL BANCO YA QUE NO HAN RECIBIDO LA FACTURA DEL MES DE JUNIO, INDICA QUE YA ESTA EN EL PROCESO DE DESBLOQUEO CON EL BANCO, INDICA QUE NO REQUIERE DE LA VISITA TÉCNICA, SE LE INFORMA QUE SE PROCEDERÁ A CERRAR LA ORDEN Y SI LLEGA A NECESITAR DEL SERVICIO TECNICO DEBERÁ LLAMAR Y PEDIR UNA NUEVA VISITA, CLIENTE CONFORME.</t>
  </si>
  <si>
    <t>DISTRICOL WORLDCEL</t>
  </si>
  <si>
    <t>FO-25-1372345</t>
  </si>
  <si>
    <t>13/08/2025 13-08 SE ESCALA PARA VISITA. LLAMAR ANTES DE VISITAR, CONFIRMAR FALLA Y DATOS | 14/08/2025 SE HACE MANTENIMIENTO GENERAL, SE REALIZAN PRUEBAS PERTINENTES, ESTÁN OK</t>
  </si>
  <si>
    <t>99WZZ760</t>
  </si>
  <si>
    <t>BARRIO CENTRO SOATA 2</t>
  </si>
  <si>
    <t>FO-25-1366532</t>
  </si>
  <si>
    <t>12/08/2025 12-08 SE ESCALA PARA VISITA. LLAMAR ANTES DE VISITAR, CONFIRMAR FALLA Y DATOS | 14/08/2025 SE VISITA COMERCIO , SE VALIDA EQUIPO TRABAJANDO CORRECTAMENTE,  IMPRIMIENDO CORRECTAMENTE , POR MANTENIMIENTO PREVENTIVO SE REALIZA AJUSTE DE TONALIDAD DE TINTA EN LA IMPRESIÓN DEJANDO PRUEBAS OK SIN TELECARGA NO AUTORIZADA, SE REALIZA BORRADO DE EQUIPO LIBERANDO MEMORIA YA QUE AVECES SE DEMORA EN EJECUTAR EL CIERRE ,</t>
  </si>
  <si>
    <t>JA00G851</t>
  </si>
  <si>
    <t>BARRIO PICACHO III MEDELLIN</t>
  </si>
  <si>
    <t>FO-25-1372808</t>
  </si>
  <si>
    <t>13/08/2025 13-08 SE ESCALA PARA VISITA. LLAMAR ANTES DE VISITAR, CONFIRMAR FALLA Y DATOS | 14/08/2025 SE REALIZA CAMBIO DE CABLES DE RED PORQUÉ ESTÁN  EN MAL ESTADO</t>
  </si>
  <si>
    <t>A00JZ287</t>
  </si>
  <si>
    <t>BARRIO EL LLANO CUCUTA 19</t>
  </si>
  <si>
    <t>FO-25-1372405</t>
  </si>
  <si>
    <t>13/08/2025 13-08 SE ESCALA PARA VISITA. LLAMAR ANTES DE VISITAR, CONFIRMAR FALLA Y DATOS | 14/08/2025 SE REALIZA VISITA, SE REALIZA MANTENIMIENTO, SE REALIZAN PRUEBAS Y CIERRES OK.</t>
  </si>
  <si>
    <t>SAWZZ919</t>
  </si>
  <si>
    <t>BARRIO LOS MUISCAS TUNJA 9</t>
  </si>
  <si>
    <t>FO-25-1375100</t>
  </si>
  <si>
    <t>14/08/2025 14-08 SE ESCALA PARA VISITA. LLAMAR ANTES DE VISITAR, CONFIRMAR FALLA Y DATOS | 14/08/2025 SE VISITA CB MANTENIMIENTO DE EQUIPO.... FALLA CANAL DE COMERCIO EQUIPO FUNCIONANDO CORRECTAMENTE PRUEBAS EXITOSAS</t>
  </si>
  <si>
    <t>FIZZZ314</t>
  </si>
  <si>
    <t>COMCARD KASMAR FP</t>
  </si>
  <si>
    <t>FO-25-1373763</t>
  </si>
  <si>
    <t>14/08/2025 14-08 SE ESCALA PARA VISITA. LLAMAR ANTES DE VISITAR, CONFIRMAR FALLA Y DATOS | 14/08/2025 SE HABLA CON SEÑORA SABRINA, SE DAN INDICACIONES PARA INGRESAR Y REALIZAR PRUEBAS Y COMENTA QUE YA FUÉ SOLUCIONADA LA NOVEDAD. SE REALIZA PRUEBA DE INGRESO PARA REALIZAR CIERRE Y FUNCIONA SIN NOVEDAD. CB OPERATIVO, SE CIERRA INCIDENTE.</t>
  </si>
  <si>
    <t>SAN CRISTOBAL PARQUE - ANTIOQU</t>
  </si>
  <si>
    <t>FO-25-1373134</t>
  </si>
  <si>
    <t>13/08/2025 13-08 SE ESCALA PARA VISITA. LLAMAR ANTES DE VISITAR, CONFIRMAR FALLA Y DATOS | 14/08/2025 SE REALIZA IMICIALIZACION DE EQUIPO PORQUE PRESENTA RECHAZO GENERAL</t>
  </si>
  <si>
    <t>JAAAE212</t>
  </si>
  <si>
    <t>BARRIO GUAYABAL MEDELLIN 14</t>
  </si>
  <si>
    <t>FO-25-1375799</t>
  </si>
  <si>
    <t>14/08/2025 14-08 SE ESCALA PARA VISITA. LLAMAR ANTES DE VISITAR, CONFIRMAR FALLA Y DATOS | 14/08/2025 SE COMUNICA CON USUARIO Y SE INDICA QUE REALICE UN REINICIO EN EL EQUIPO, COMENTA QUE FUNCIONA CORRECTAMENTE, TODO OK</t>
  </si>
  <si>
    <t>EL ESPINO - BOYACA</t>
  </si>
  <si>
    <t>FO-25-1362684</t>
  </si>
  <si>
    <t>11/08/2025 11-08 17:47 EN COMUNICACIÓN CON LA SEÑORA ELIZBETH JIMENEZ AL NUMERO 3107839160 INDICA QUE EL DATAFONO LE ARROJA CONECTANDO Y LUEGO LE DICE ERROR DE CONEXIÓN, CONFIRMA DATOS, SE ESCALA PARA VISITA | 14/08/2025 SE VISITA COMERCIO , SE VALIDA QUE EL CORRESPONSAL ESTA OPERATIVO  COMUNICACIÓN EXITOSA POR EL INTERNET SUMINISTRADO POR EL  BANCO  AUN QUE SE EVIDENCIA QUE LA RESPUESTA DEL INTERNET ES MUY LENTA PARA EJECUTAR LA TRANSACCIÓN DEBEN VALIDAR INTERNET DEL BANCO,SE CAMBIA CABLE PACTH CORD 3 Y CABLE ENTORCHADO  POR MANTENIMIENTO PREVENTIVO YA QUE SE ENCUENTRA PACTH CORD EN MAL ESTADO , SE REALIZA BORRADO DE EQUIPO CARGANDO VERSIÓN 9_90 PARA LIBERAR MEMORIA YA QUE SE DEMORA EN EJECUTAR EL CIERRE DEJANDO PRUEBAS OK SIN TELECARGA NO AUTORIZADA</t>
  </si>
  <si>
    <t>IZ8ZZ080</t>
  </si>
  <si>
    <t>BARRIO ENCISO MEDELLIN 3</t>
  </si>
  <si>
    <t>FO-25-1373770</t>
  </si>
  <si>
    <t>14/08/2025 14-08 SE ESCALA PARA VISITA. LLAMAR ANTES DE VISITAR, CONFIRMAR FALLA Y DATOS | 14/08/2025 SE LE EXPLICA AL USUARIO POR SOPORTE TELEFÓNICO COMO REALIZA EL CIERRE CORRECTAMENTE PARA EVITAR ERROR. SE REALIZA LOS CIERRES Y SERVICIO OPERATIVO</t>
  </si>
  <si>
    <t>ZAPATA LOPEZ EDWARD ASDRUAL</t>
  </si>
  <si>
    <t>BARRIO CORR DE MEDIA LUNA SAN</t>
  </si>
  <si>
    <t>FO-25-1375141</t>
  </si>
  <si>
    <t>14/08/2025 14-08 SE ESCALA PARA VISITA. LLAMAR ANTES DE VISITAR, CONFIRMAR FALLA Y DATOS | 15/08/2025 SE LLAMA A LA SEÑORA SORAIDA GONZÁLEZ E INDICA QUE EL SERVICIO EL DIA DE AYER PRESENTABA FALLAS COMO DE CONEXIÓN PERO QUE AYER MISMO SE RESTABLECIO EL SERVICIO Y POR ENDE NO REQUIERE LA VISITA TÉCNICA</t>
  </si>
  <si>
    <t>LA PRIMAVERA OCANA 5</t>
  </si>
  <si>
    <t>FO-25-1369622</t>
  </si>
  <si>
    <t>13/08/2025 13-08 SE ESCALA PARA VISITA. LLAMAR ANTES DE VISITAR, CONFIRMAR FALLA Y DATOS | 14/08/2025 SE LLEGA AL MUNICIPIO DE OCAÑA SE  COMUNICA CON EL CLIENTE JAIRO PA CONFIRRMAR VISITA AL # 3158052100, NOS INFORMA QUE YA SALIO DE LA OFICINA, QUE PASEN EL DIA DE MAÑANA, SE PROGRAMA VISITA 15/08 | 15/08/2025 SE VISITA COMERCIO, SE REALIZA MANTENIMIENTO, SE HACEN PRUEBAS OK.</t>
  </si>
  <si>
    <t>UV008404</t>
  </si>
  <si>
    <t>DISTRICOL DROGUERIA LA UNION S</t>
  </si>
  <si>
    <t>FO-25-1378253</t>
  </si>
  <si>
    <t>14/08/2025 SE ESCALA PARA VISITA. LLAMAR ANTES DE VISITAR, CONFIRMAR FALLA Y DATOS | 15/08/2025 EN COMUNICACIÓN CON LA SEÑORA YARLEDYS, ME INFORMA QUE ESTOS DÍAS NO HABÍA PODIDO SACAR EL CIERRE, SE LE INDICA EL PROCESO DE CIERRE Y LO REALIZA CORRECTAMENTE.</t>
  </si>
  <si>
    <t>BARRIO VRD VILLA DIANA AMAGA</t>
  </si>
  <si>
    <t>FO-25-1371208</t>
  </si>
  <si>
    <t>13/08/2025 13-08 SE ESCALA PARA VISITA. LLAMAR ANTES DE VISITAR, CONFIRMAR FALLA Y DATOS | 15/08/2025 SE REALIZA CAMBIO DE ENTRADA DEL CABLE PODER POR MAL PASO DE ENERGIA</t>
  </si>
  <si>
    <t>FAZZZ495</t>
  </si>
  <si>
    <t>BARRIO ALPES TOCANCIPA</t>
  </si>
  <si>
    <t>FO-25-1378549</t>
  </si>
  <si>
    <t>15/08/2025 SE ESCALA PARA VISITA. LLAMAR ANTES DE VISITAR, CONFIRMAR FALLA Y DATOS | 15/08/2025 SE VISITA CB BANCOLOMBIA, SE VERIFICA QUE EL CLIENTE NO REALIZA LOS CIERRES CORRECTAMENTE, SE LIBERA MEMORIA PARA QUE EL EQUIPO REALICE EL CIERRE MÁS RÁPIDO, SE LE EXPLICA COMO DEBE DE HACER EL CIERRE, SE REALIZAN PRUEBAS OK, NO UPS.</t>
  </si>
  <si>
    <t>3A0CZ765</t>
  </si>
  <si>
    <t>VEGA MANRIQUE JONATAN MAURICIO</t>
  </si>
  <si>
    <t>BARRIO SABANETA SABANETA 12</t>
  </si>
  <si>
    <t>FO-25-1383172</t>
  </si>
  <si>
    <t>16/08/2025 SE ESCALA PARA VISITA. LLAMAR ANTES DE VISITAR, CONFIRMAR FALLA Y DATOS | 16/08/2025 SE HABLA CON SEÑORA ELIANA, SE VERIFICA INGRESO Y REALIZACION DE PRUEBAS Y CONFIRMA QUE YA SE SOLUCIONÓ LA INCIDENCIA. SE REALIZA PRUEBA DE INGRESO PARA REALIZAR CIERRE Y FUNCIONA SIN NOVEDAD. CB OPERATIVO, SE CIERRA INCIDENTE.</t>
  </si>
  <si>
    <t>BARRIO PARQUE PRINCIPAL SAN RA</t>
  </si>
  <si>
    <t>FO-25-1382599</t>
  </si>
  <si>
    <t>15/08/2025 SE ESCALA PARA VISITA. LLAMAR ANTES DE VISITAR, CONFIRMAR FALLA Y DATOS | 16/08/2025 SE LLEGA A PUNTO Y CLIENTE ESTÁ OPERANDO CON NORMALIDAD NOS DICE QUE ES QUE EL DATAFONO TIENE LAS TECLAS MUY DURAS. SE LE EXPLICA QUE ASÍ ES EL DATAFONO. LA TECNOLOGÍA DESK2600 ES ASÍ LAS TECLAS DURAS. EQUIPOS OPERATIVOS</t>
  </si>
  <si>
    <t>UV002109</t>
  </si>
  <si>
    <t>PTM CHIGORODO   PUNTOSERVIS CH</t>
  </si>
  <si>
    <t>FO-25-1383952</t>
  </si>
  <si>
    <t>16/08/2025 SE ESCALA PARA VISITA. LLAMAR ANTES DE VISITAR, CONFIRMAR FALLA Y DATOS | 17/08/2025 USUARIO REPORTO NOVEDAD DE RECHAZO GENERAL, SE REALIZA LLAMADA Y CONFIRMA QUE HOY AMANECIÓ TRABAJANDO SIN PROBLEMA Y COMENTA QUE LLAMO A LA LINEA A REPORTAR QUE YA ESTABA TODO EN ORDEN. SE CIERRA INCIDENTE, CB OPERATIVO.</t>
  </si>
  <si>
    <t>SALDARRIAGA MIRANDA SANTIAGO</t>
  </si>
  <si>
    <t>BARRIO PALMITAS COMUNA 50 MEDE</t>
  </si>
  <si>
    <t>FO-25-1387886</t>
  </si>
  <si>
    <t>18/08/2025 SE ESCALA PARA VISITA. LLAMAR ANTES DE VISITAR, CONFIRMAR FALLA Y DATOS | 19/08/2025 SE ENCUENTRA EN REUNIÓN DESDE LAS 8 AM  A LAS 10 TODAVÍA SE ENCUENTRA EN REUNIÓN LA VISITA SE ENCUENTRA EN UNA VEREDA DISTANTE SE DOCUMENTA INFORMACIÓN POR POSIBLE VENCIMIENTO | 19/08/2025 SE REALIZÓ CONEXIÓN AL CORRECTAMENTE AL MONDEN DE INTERNET POS OK</t>
  </si>
  <si>
    <t>6Z00H035</t>
  </si>
  <si>
    <t>BARRIO CENTRO PEREIRA 54</t>
  </si>
  <si>
    <t>FO-25-1390486</t>
  </si>
  <si>
    <t>19/08/2025 SE ESCALA PARA VISITA. LLAMAR ANTES DE VISITAR, CONFIRMAR FALLA Y DATOS | 19/08/2025 SE VISITA COMERCIO CLIENTE INDICA QUE DATÁFONO ES LENTO Y TECLAS DURAS SE REALIZA PRUEBAS OK SE LE DAN INDICACIONES</t>
  </si>
  <si>
    <t>FIZZZ312</t>
  </si>
  <si>
    <t>BARRIO VALLE MEZA VALLEDUPAR</t>
  </si>
  <si>
    <t>FO-25-1388954</t>
  </si>
  <si>
    <t>19/08/2025 SE ESCALA PARA VISITA. LLAMAR ANTES DE VISITAR, CONFIRMAR FALLA Y DATOS | 19/08/2025 SE REALIZA GESTIÓN TELEFÓNICA ATIENDE LA SEÑORA MARÍA VICTORIA FONSECA,LA CUAL NOS INDICA  QUE YA EL LECTOR SE ENCUENTRA FUNCIONANDO,NOS INDICA QUE TENIA DESCONECTADO EL HUB POR TAL MOTIVÓ NO ENCENDIA EL LECTOR Y EL PIN PAD , PROCEDE A CONECTARLO Y LE FUNCIONO A LA NORMALIDAD</t>
  </si>
  <si>
    <t>BARRIO EL CABLE IV MANIZALES</t>
  </si>
  <si>
    <t>FO-25-1385292</t>
  </si>
  <si>
    <t>16/08/2025 SE ESCALA PARA VISITA. LLAMAR ANTES DE VISITAR, CONFIRMAR FALLA Y DATOS | 17/08/2025 SE HABLA CON EL CLIENTE PARA  VALIDAR INCONVENIENTE, PERO INDICA QUE YA NO ESTA LABORANDO, SE DEBE VALIDAR EL DIA MARTES, PUES NO TRABAJA FINES DE SEMANA. | 19/08/2025 SE REALIZA LLAMADA CON USUARIO EL CUAL INDICA QUE TENIA PROBLEMAS PARA INGRESAR LA CLAVE DE SUPERVISOR, SE REALIZA LLAMADA DE SOPORTE EN LA CUAL USUARIO REINICIA EL EQUIPO Y HACE PRUEBAS Y YA LE DA LAS CLAVES CORRECTAMENTE, INDICA QUE YA SOLUCIONO CON ESO, SERVICIO SE ENCUENTRA OK</t>
  </si>
  <si>
    <t>REVAL SALAMINA</t>
  </si>
  <si>
    <t>FO-25-1385187</t>
  </si>
  <si>
    <t>16/08/2025 SE ESCALA PARA VISITA. LLAMAR ANTES DE VISITAR, CONFIRMAR FALLA Y DATOS | 17/08/2025 CLIENTE NO LABORA LOS FINES DE SEMANA , SE DEBE VALIDAR INCONVENIENTE EL DIA MARTES | 19/08/2025 SE REALIZA LLAMADA CON USUARIO EL CUAL INDICA QUE TENIA FALLAS PARA IMPRIMIR TIRILLAS, SALIAN BORROSAS, SE VALIDA FUNCIONAMIENTO Y CON UN POCO DE LIMPIEZA SUPERFICIAL SE LOGRA IMPRIMIR CORRECTAMENTE LAS TIRILLAS, USUARIO INDICA YA PODER VER LAS TIRILLAS Y SERVICIO SE ENCUENTRA OK</t>
  </si>
  <si>
    <t>BARRIO TRIUNFO VILLAVICENCIO 2</t>
  </si>
  <si>
    <t>FO-25-1389661</t>
  </si>
  <si>
    <t>19/08/2025 SE ESCALA PARA VISITA. LLAMAR ANTES DE VISITAR, CONFIRMAR FALLA Y DATOS | 19/08/2025 SE VISITA CB Y AL LLEGAR AL SITIO INFORMAN QUE EL  DATÁFONO YA ESTA FUNCIONANDO CON NORMALIDAD. TENIAN PROBLEMAS EN EL TOMA CORRIENTE . SE REALIZA PRUEBAS EXITOSAS PRUEBAS OK . DATÁFONO FUNCIONA CORRECTAMENTE</t>
  </si>
  <si>
    <t>EF007264</t>
  </si>
  <si>
    <t>GARZON RUIZ LUIS MIGUEL</t>
  </si>
  <si>
    <t>BARRIO CANDIDO QUINTERO DUITAMA 2</t>
  </si>
  <si>
    <t>FO-25-1386669</t>
  </si>
  <si>
    <t>17/08/2025 SE ESCALA PARA VISITA. LLAMAR ANTES DE VISITAR, CONFIRMAR FALLA Y DATOS | 19/08/2025 ME ENCUENTRO EN SITIO REALIZANDO MANTENIMIENTO , ESTOY A LA ESPERA DEL CIERRE PARCIAL Y GENERAL ANTES DE MANIPULAR EL DATAFONO AL INICIO DEL MANTENIMIENTO , CLIENTE INDICA  QUE NECESITA EL CIERRE Y DURA MAXIMO 20 EN EJECUTARLO , | 19/08/2025 SE REALIZA MANTENIMIENTO GENERAL BORRANDO EQUIPO CARGANDO NUEVAMENTE VERSIÓN 10.3 N LIBERANDO MEMORIA YA QUE LA MÁQUINA SE DEMORA MUCHO EN EJCUTAR EL VIERRE , DEJANDO PRUEBAS OK SIN TELECARGA NO AUTORIZADA, SE LES EXPLICA COMO DEBEN REALIZAR EL CIERRE PARCIAL Y TOTAL .</t>
  </si>
  <si>
    <t>FAZZZ489</t>
  </si>
  <si>
    <t>BARRIO MONTES BARRANQUILLA</t>
  </si>
  <si>
    <t>FO-25-1383962</t>
  </si>
  <si>
    <t>16/08/2025 SE ESCALA PARA VISITA. LLAMAR ANTES DE VISITAR, CONFIRMAR FALLA Y DATOS | 17/08/2025 COMERCIO NO ATIENDE EL CB DOMINGO NO FESTIVO, SE REAGENDA VISITA MARTES 19 | 19/08/2025 CLIENTE CAMBIO DE INTERNET , TENÍA DIRECCIONES FIJAS Y SE DEJAN POR DHCP, SE HACEN PRUEBAS Y QUEDA OK</t>
  </si>
  <si>
    <t>CZZZZ312</t>
  </si>
  <si>
    <t>PTM MEDELLIN MUN VARIEDADES</t>
  </si>
  <si>
    <t>FO-25-1391679</t>
  </si>
  <si>
    <t>19/08/2025 SE ESCALA PARA VISITA. LLAMAR ANTES DE VISITAR, CONFIRMAR FALLA Y DATOS | 20/08/2025 SE ENCUENTRA CANAL DE COMUNICACIÓN CAÍDO SE VERIFICA COMUNICACION Y NO HAY EN COMERCIO PRUEBAS EN DATAFONO</t>
  </si>
  <si>
    <t>F1WZZ958-F1WZZ543</t>
  </si>
  <si>
    <t>CENTRO DE ENSE  ANZA AUTOMOVIL</t>
  </si>
  <si>
    <t>FO-25-1398368</t>
  </si>
  <si>
    <t>20/08/2025 20-08 SE REALIZA COMUNICACION CON LA SRA JULIETH PEREA AL NUMERO 3053182845 INFORMA QUE YA NO REQUIERE VISITA TECNICA QUE EL DATAFONO ESTA OPERATIVO</t>
  </si>
  <si>
    <t>RIOS CASTRILLON JUAN SEBASTIAN</t>
  </si>
  <si>
    <t>PTM CARTAGENA MARCO ANTONIO BE</t>
  </si>
  <si>
    <t>FO-25-1397203</t>
  </si>
  <si>
    <t>20/08/2025 SE ESCALA PARA VISITA. LLAMAR ANTES DE VISITAR, CONFIRMAR FALLA Y DATOS | 20/08/2025 SE REALIZA LIMPIEZA A LA RANURA TENÍA SUCIO QUEDA FUNCIONANDO SIN PROBLEMAS SE HACEN PRUEBAS TODO OK</t>
  </si>
  <si>
    <t>AC0IZ698</t>
  </si>
  <si>
    <t>BARRIO BOCHICA III BOGOTA</t>
  </si>
  <si>
    <t>FO-25-1395982</t>
  </si>
  <si>
    <t>20/08/2025 SE ESCALA PARA VISITA. LLAMAR ANTES DE VISITAR, CONFIRMAR FALLA Y DATOS | 20/08/2025 SE VISITA COMERCIO POR FALLA ENDNATAFONO TECLADO MUY DURO AL INDAGAR CON CLIENTE CONFIRMA QUE EL DÍA DE AYER LE GENERARON UN CAMBIO DE EQUIPO POR TECNOLOGÍA DESK 2600 ,PERO EL TECLADO DEL NUEVO DATÁFONO ES MUY DURO SE CONFIRMA CON CLIENTE QUE ACTUALMENTE SE ESTÁ INSTALANDO SOLO EQUIPOS DE ESTA REFERENCIA Y QUE TODOS ESTOS EQUIPOS TIENEN EL TECLADO MÁS DURO EN COMPARACIÓN A LOS DESK 3500 SE INDICA A CLIENTE QUE EL DATAFONO ESTA FUNCIONANDO SIN NOVEDAD Y NO SE GENERA CAMBIO DE EQUIPO SE FINALIZA ACTIVIDAD SIN MÁS NOVEDAD</t>
  </si>
  <si>
    <t>GZZZZ924</t>
  </si>
  <si>
    <t>DISTRICOL VARIEDADES AUSTIN</t>
  </si>
  <si>
    <t>FO-25-1397266</t>
  </si>
  <si>
    <t>MALA MANIPULACION POS</t>
  </si>
  <si>
    <t>20/08/2025 SE ESCALA PARA VISITA. LLAMAR ANTES DE VISITAR, CONFIRMAR FALLA Y DATOS | 21/08/2025 CLIENTE QUE ESTABA PONIENDO EL PINPAD DONDE NO ERA PERO ESTA OPERANDO SIN PROBLEMAS</t>
  </si>
  <si>
    <t>A4WZZ143</t>
  </si>
  <si>
    <t>CENTRO TAME VII   ARAUCA</t>
  </si>
  <si>
    <t>FO-25-1399297</t>
  </si>
  <si>
    <t>20/08/2025 EN COMUNICACION CON CB VIA WHATSAPP 3112134803 SE CONFIRMAR FALLA Y DATOS SE ESCALA PARA VISITA | 21/08/2025 SE ESTABLECE CONTACTO VÍA WHATSAPP CON LA USUARIA TATIANA VILLAMIZAR QUIEN CONFIRMA QUE EL SERVICIO YA SE ENCUENTRA OPERATIVO Y NO REQUIERE EL SERVICIO TÉCNICO</t>
  </si>
  <si>
    <t>BARRIO CALLE EL COMERCIO EBEJI</t>
  </si>
  <si>
    <t>FO-25-1393589</t>
  </si>
  <si>
    <t>19/08/2025 SE ESCALA PARA VISITA. LLAMAR ANTES DE VISITAR, CONFIRMAR FALLA Y DATOS | 21/08/2025 SE REALIZÓ LIMPIEZA DE LECTOR CHIP</t>
  </si>
  <si>
    <t>9A0K168</t>
  </si>
  <si>
    <t>BARRIO SANTA LUCIA MEDELLIN</t>
  </si>
  <si>
    <t>FO-25-1398227</t>
  </si>
  <si>
    <t>20/08/2025 SE ESCALA PARA VISITA. LLAMAR ANTES DE VISITAR, CONFIRMAR FALLA Y DATOS | 21/08/2025 SE REALIZÓ LIMPIEZA DE LECTOR CHIP</t>
  </si>
  <si>
    <t>AAYZZ982</t>
  </si>
  <si>
    <t>BARRIO ALTO PRADO BARRANQUILLA</t>
  </si>
  <si>
    <t>FO-25-1399052</t>
  </si>
  <si>
    <t>20/08/2025 SE ESCALA PARA VISITA. LLAMAR ANTES DE VISITAR, CONFIRMAR FALLA Y DATOS | 21/08/2025 SE LLAMA A LA SEÑORA LINA RAMÍREZ AL NÚMERO 3004192612,PARA CONFIRMAR INCIDENTE, QUIEN INFORMA QUE YA SOLUCIONARON EL DIA DE AYER Y AL PARECER ERE UN PROBLEMA INTERNO, ME INFORMA QUE YA NO ES NECESARIA LA VISITA</t>
  </si>
  <si>
    <t>BR PLAZOLETA TRIBUNAS PERE</t>
  </si>
  <si>
    <t>FO-25-1401877</t>
  </si>
  <si>
    <t>21/08/2025 SE ESCALA PARA VISITA. LLAMAR ANTES DE VISITAR, CONFIRMAR FALLA Y DATOS | 21/08/2025 REALIZAMOS LLAMADA AL SEÑOR JORGE EL CUAL INDICA QUE EL DATAFONO NO SE BLOQUEA DESPUÉS DE HACER UNA TRX LE EXPLICAMOS QUE EL USUARIO SI QUEDA DESBLOQUEADO PARA QUE PUEDAN SEGUIR HACIENDO LAS TRX PERO TAMBIÉN LO PUEDEN BLOQUE CERRANDO SESIÓN LE INDICAMOS EL PASO A PASO COMO HACERLO Y EL SEÑOR JORGE NOS CONFIRMA QUE SI SE BLOQUEA, LE INDICAMOS QUE CERRAREMOS LA ORDEN DE VISITA QUE YA NO SE REQUIERE VISITA</t>
  </si>
  <si>
    <t>BARRIO TRIUNFO PUERTO RICO</t>
  </si>
  <si>
    <t>FO-25-1402899</t>
  </si>
  <si>
    <t>21/08/2025 SE ESCALA PARA VISITA. LLAMAR ANTES DE VISITAR, CONFIRMAR FALLA Y DATOS | 21/08/2025 SE LLAMA A LA CLIENTE PARA CONFIRMAR LA VISITA TÉCNICA Y LA CLIENTE MANIFIESTA QUE NO REQUIERE DEL SOPORTE TÉCNICO YA QUE POR LA LÍNEA DE CORRESPONSALES LE INDICARON COMO REALIZAR EL BORRADO DE MEMORIA E IMPRIMIR EL CIERRE, MANIFIESTA QUE EL CIERRE YA LE ESTÁ SALIENDO CON NORMALIDAD.</t>
  </si>
  <si>
    <t>PTM MEDELLIN DISTRIBUIDORA Z &amp;</t>
  </si>
  <si>
    <t>FO-25-1401822</t>
  </si>
  <si>
    <t>21/08/2025 SE ESCALA PARA VISITA. LLAMAR ANTES DE VISITAR, CONFIRMAR FALLA Y DATOS | 21/08/2025 SE REALIZA CIERRE DE DATÁFONO Y SE LE EXPLICA AL USUARIO COMO REALIZAR EL CIERRE CORRECTAMENTE.</t>
  </si>
  <si>
    <t>CB A1006416 - COMERCIO A1006596</t>
  </si>
  <si>
    <t>RAMIREZ TABARES JUAN DIEGO</t>
  </si>
  <si>
    <t>BARRIO AVENIDA CENTENARIO HOND</t>
  </si>
  <si>
    <t>FO-25-1399043</t>
  </si>
  <si>
    <t>21/08/2025 SE AJUSTAN CONEXIONES DEL DATÁFONO,HUB, LECTOR,  REPASAN PARÁMETROS DE COMUNICACIÓN TRANSACCIONES DE PRUEBA O.K</t>
  </si>
  <si>
    <t>9CLZZ332</t>
  </si>
  <si>
    <t>BARRIO PRADO CENTRO MEDELLIN 5</t>
  </si>
  <si>
    <t>FO-25-1404182</t>
  </si>
  <si>
    <t>21/08/2025 SE ESCALA PARA VISITA. LLAMAR ANTES DE VISITAR, CONFIRMAR FALLA Y DATOS | 21/08/2025 SE REALIZA REINICIO DE EQUIPOS, QUEDAN OK</t>
  </si>
  <si>
    <t>AD00P315</t>
  </si>
  <si>
    <t>PTM BELLO  SUPERMERCADO LA REB</t>
  </si>
  <si>
    <t>FO-25-1401894</t>
  </si>
  <si>
    <t>21/08/2025 SE ESCALA PARA VISITA. LLAMAR ANTES DE VISITAR, CONFIRMAR FALLA Y DATOS | 21/08/2025 SE COMUNICA CON EL USUARIO PARA CONFIRMAR LA VISITA HE INDICA QUE ESTÁ MAÑANA AMANECÍO CONEXIÓN Y HA TRABAJADO CON NORMALIDAD.</t>
  </si>
  <si>
    <t>DISTRICOL DROGUERIA FARMAD</t>
  </si>
  <si>
    <t>FO-25-1392152</t>
  </si>
  <si>
    <t>19/08/2025 SE ESCALA PARA VISITA. LLAMAR ANTES DE VISITAR, CONFIRMAR FALLA Y DATOS | 21/08/2025 SE VISITA SITIO, SE REALIZA LIMPIEZA A  LECTOR DE TARJETAS YA QUE PRESENTABA OBSTRUCCIÓN OK
SE REALIZAN PRUEBAS OK. CB QUEDA OPERATIVO</t>
  </si>
  <si>
    <t>KA00O654</t>
  </si>
  <si>
    <t>BARRIO ROBLEDO DE AURES MEDELL</t>
  </si>
  <si>
    <t>FO-25-1404213</t>
  </si>
  <si>
    <t>21/08/2025 SE ESCALA PARA VISITA. LLAMAR ANTES DE VISITAR, CONFIRMAR FALLA Y DATOS | 21/08/2025 CABLE DE FUENTE DE PODER MAL CONECTADO, SE ORGANIZA Y QUEDA OPERATIVO</t>
  </si>
  <si>
    <t>V1MZZ319</t>
  </si>
  <si>
    <t xml:space="preserve">INCIDENTE </t>
  </si>
  <si>
    <t>BARRIO CANDILES BUCARAMANGA 1</t>
  </si>
  <si>
    <t>FO-25-1404682</t>
  </si>
  <si>
    <t>22/08/2025 EN COMUNICACIÓN CON EL SEÑOR RICARDO AL NUMERO MANIFIESTA QUE EL DATAFONO SE ENCUENTRA OPERATIVO,INFORMA QUE YA NO NECESITA LA VISITA TECNICA ,SE PROCEDE A CERRAR ORDEN</t>
  </si>
  <si>
    <t>BRR EL PARAMO CUCUTA</t>
  </si>
  <si>
    <t>FO-25-1405751</t>
  </si>
  <si>
    <t>22/08/2025 EN COMUNICACIÓN CON EL CLIENTE ME INFORMA QUE LA FALLA YA SE SOLUCIONÓ QUE ERA UN ERROR EN EL COMERCIO CON LA ENERGÍA ELÉCTRICA QUE EL DATAFONO YA SE ENCUENTRA FUNCIONANDO CON NORMALIDAD EL DÍA DE HOY</t>
  </si>
  <si>
    <t>DURAN ACOSTA FRANK YONNY</t>
  </si>
  <si>
    <t>PAGAFACIL  LOS PATIOS 2</t>
  </si>
  <si>
    <t>FO-25-1406067</t>
  </si>
  <si>
    <t>22/08/2025 SE REALIZA VISITA, SE REALIZA MANTENIMIENTO, SE REALIZAN PRUEBAS Y CIERRES OK</t>
  </si>
  <si>
    <t>FUA0P411</t>
  </si>
  <si>
    <t>DISTRICOL IMPORTACIONES AG</t>
  </si>
  <si>
    <t>FO-25-1405881</t>
  </si>
  <si>
    <t>22/08/2025 SE VISITA EL CORRESPONSAL PARA REVISAR FALLA DE DATÁFONO, IMPRIME BORROSO, SE REALIZA LIMPIEZA DE RODILLO, SE HACEN PRUEBAS OK, EL DATAFONO FUNCIONA NORMAL, QUEDA IMPRIMIENDO BIEN. CB OPERATIVO</t>
  </si>
  <si>
    <t>UV0PZ180</t>
  </si>
  <si>
    <t>BARRIO CURUBAL TUNJA</t>
  </si>
  <si>
    <t>FO-25-1407111</t>
  </si>
  <si>
    <t>22/08/2025 SE REALIZA COMUNICACION CON EL SEÑOR PEDRO BECERRA AL NÚMERO TELEFÓNICO 3133304776 PARA CONFIRMAR VISITA...CLIENTE CANCELA VISITA TÉCNICA YA QUE FALLA ERA POR INTERNET DE COMERCIO....INDICA QUE DATAFONO YA SE ENCUENTRA FUNCIONANDO CORRECTAMENTE</t>
  </si>
  <si>
    <t>COMCARD MED ROBLEDO DROG VILLA</t>
  </si>
  <si>
    <t>FO-25-1409675</t>
  </si>
  <si>
    <t>22/08/2025 SE VERIFICAN LAS CONEXIONES DEL EQUIPO Y SE EVIDENCIA QUE PIDIERON OTRA EMPRESA DE INTERNET, CLIENTE SE COMUNICA CON NUEVA EMPRESA Y LE INFORMARON QUE LE DAN SOLUCIÓN EN 48 HORAS, CORRESPONSAL ESTÁ FUNCIONANDO CON INTERNET ANTIGUO MIENTRAS LE DAN SOLUCIÓN.</t>
  </si>
  <si>
    <t>CZZZZ177</t>
  </si>
  <si>
    <t>PTM ITAGUI ELECTRONICA DUFE</t>
  </si>
  <si>
    <t>FO-25-1408617</t>
  </si>
  <si>
    <t>22/08/2025 SE REALIZAN VERIFICACIONESCON EL DATÁFONO Y SE COMPRUEBA QUE NO HAY CONEXION AL INTERNET, SE PRUEBA EL DATÁFONO EN OTRO COMERCIO Y LA COMUNICACIO EXITOSA, SE INDICA AL COMERCIO QUE DEBE LLAMAR A OPERADOR PARA QUE CORRIJAN FALLA</t>
  </si>
  <si>
    <t>9BGZZ179</t>
  </si>
  <si>
    <t>DISTRICOL CHACUTERSALSAMECAVA</t>
  </si>
  <si>
    <t>FO-25-1409114</t>
  </si>
  <si>
    <t>23/08/2025 EN COMUNICACIÓN CON EL CLIENTE ME INFORMA EL CLIENTE QUE EL ERROR YA SE SOLUCIONÓ QUE ERA UNA FALLA CON LA CONEXIÓN DEL DATAFONO QUE YA EL EQUIPO SE ENCUENTRA FUNCIONANDO CON NORMALIDAD EL DÍA DE HOY</t>
  </si>
  <si>
    <t>FO-25-1412497</t>
  </si>
  <si>
    <t>23/08/2025 SE REALIZÓ CONEXIÓN CORRECTA DEL DATÁFONO</t>
  </si>
  <si>
    <t>AD00P313</t>
  </si>
  <si>
    <t>BARRIO AMERICA IBAGUE</t>
  </si>
  <si>
    <t>FO-25-1412504</t>
  </si>
  <si>
    <t>23/08/2025 SE VÁLIDA FUNCIONAMIENTO DEL DATÁFONO CON PRUEBAS EXITOSAMENTE; SE PRESENTÓ ERROR DE CONEXIÓN DEBIDO A FALLA DEL PROVEEDOR DE INTERNET.</t>
  </si>
  <si>
    <t>BA0IZ204</t>
  </si>
  <si>
    <t>PAGAFACIL APARTADO CENTRO II</t>
  </si>
  <si>
    <t>FO-25-1395422</t>
  </si>
  <si>
    <t>23/08/2025 CLIENTE INDICA QUE PIN PAD YA LE FUNCIONA HACE DOS DÍAS Y QUE NO REQUIERE EL SERVICIO DE MANTENIMIENTO</t>
  </si>
  <si>
    <t>BARRO ALFONSO LOPEZ SAN PEDRO DE URABA ANTIOQUIA SAN PEDRO DE URABA</t>
  </si>
  <si>
    <t>FO-25-1403847</t>
  </si>
  <si>
    <t>23/08/2025 SE ESTABLECE CONTACTO CON EL CLIENTE PARA CONFIRMAR EL INCIDENTE REPORTADO EN EL DATÁFONO. EL USUARIO INDICA QUE NO HA LOGRADO ACCEDER AL MENÚ DE OPERACIONES DEBIDO A LA AUSENCIA DE UN USUARIO CONFIGURADO EN EL SISTEMA. 
SE BRINDA ORIENTACIÓN CLARA SOBRE EL PROCEDIMIENTO PARA CREAR EL USUARIO CORRECTAMENTE. UNA VEZ REALIZADA LA CONFIGURACIÓN, SE VERIFICA QUE EL EQUIPO QUEDA OPERATIVO Y FUNCIONAL PARA CONTINUAR CON LAS TRANSACCIONES.</t>
  </si>
  <si>
    <t>PTM VIA AL MAR VEREDA ESTACION</t>
  </si>
  <si>
    <t>FO-25-1407660</t>
  </si>
  <si>
    <t>23/08/2025 SE VISITA COMERCIO , SE LE INDICA AL CLIENTE LA CORRECTA MANIPULACIÓN DEL POS. , SE REALIZA PRUEBAS OK CUBRE CLAVE OK</t>
  </si>
  <si>
    <t>MN00Y633</t>
  </si>
  <si>
    <t>FO-25-1413668</t>
  </si>
  <si>
    <t>23/08/2025 SE LLEGA AL CB Y SE EVIDENCIA QUE TIENEN UN SWITCHDE RED DE 8 PUESTOS QUE SE ALIMENTA DE UN TOMA QUE ESTÁ EN LA PARED Y SE ALLI DEL PUERTO SE CONECTA EL DATAFONO Y UN COMPUTADOR EN EL COMERCIO HAY UN RACK CON UN SWITCH DE 24 PUERTOS CON ROUTER Y PACH PANNELCLIENTE AFIRMA QUE LE HAN REVISADO Y QUE TODO ESTÁ OKSE REMPLAZA DATAFONO PARA DESCARTAR PERO SEGÚN MI EXPERIENCIA ESTÁ FUNCIONANDO OK, SE HACE EL CAMBIO Y SIGUE IGUAL QUEDA CONECTANDO , SE CONVENCE AL CLIENTE QUE ES PROBLEMA INTERNO, ME LLEVO EL DATAFONO AL CENTRO DE CABLEADO LO CONECTO A VARIOS PUERTOS Y SIGUE IGUAL, LUEGO EN EL PUERTO 13 ME FUNCIONA OK Y CLIENTE SE COVENCÉ QUE DEBE REVISAR SU RED INTERNA YA QUE ALGO LE ESTÁ MOLESTANDO</t>
  </si>
  <si>
    <t>XP002056</t>
  </si>
  <si>
    <t>BARRIO ARAUCARIAS BELLO</t>
  </si>
  <si>
    <t>FO-25-1414339</t>
  </si>
  <si>
    <t>24/08/2025 SE REALIZA REINICIO DE EQUIPO, TODO OK</t>
  </si>
  <si>
    <t>FAZZZ519</t>
  </si>
  <si>
    <t>DISTRICOL AGRO VETERINARIA VGA</t>
  </si>
  <si>
    <t>FO-25-1404189</t>
  </si>
  <si>
    <t>25/08/2025 SE REALIZA VISITA AL CB Y SE REALIZA BORRADO DE SISTEMA OPERATIVO Y VERSIÓN, SE INICIALIZA EL EQUIPO Y SE CONFIGURA PARÁMETROS, PRUEBAS CB OK SE DEJA OPERATIVO.</t>
  </si>
  <si>
    <t>AC08Z418</t>
  </si>
  <si>
    <t>BARRIO MALL PARAISO</t>
  </si>
  <si>
    <t>FO-25-1414069</t>
  </si>
  <si>
    <t>25/08/2025 SE VISITA COMERCIO SE REALIZÓ PRUEBAS DATAFONO EN PERFECTO FUNCIONAMIENTO SE VÁLIDA CONFIGURACIÓN OK.</t>
  </si>
  <si>
    <t>BYZZZ161</t>
  </si>
  <si>
    <t>BARRIO CENTRO SAN VICENTE DEL CAGUAN 6</t>
  </si>
  <si>
    <t>FO-25-1416220</t>
  </si>
  <si>
    <t>25/08/2025 SE LLEGA AL CB Y CLIENTE MANIFIESTA QUE EL DATÁFONO YA LE ESTÁ FUNCIONANDO CON NORMALIDAD, QUE YA LE ESTÁ IMPRIMIENDO BIEN QUE PUEDO HABER SIDO UNA MALA MANIPULACIÓN DEL EQUIPO, EN EL LOCAL NO HAY ENERGÍA POR UN DAÑO EN UN POSTE QUE SUMINISTRA ENERGÍA ALLÁ LOCA, SE TOMA TIRILLA DE TRANSACCION DEL DÍA 24 AGOSTO, NO SE MANIPULA EL DATÁFONO.</t>
  </si>
  <si>
    <t>LBZZZ660</t>
  </si>
  <si>
    <t>DISTRICOL PAPELERIA LA GRAN FA</t>
  </si>
  <si>
    <t>FO-25-1416224</t>
  </si>
  <si>
    <t>25/08/2025 SE VISITA COMERCIO SE REALIZÓ VERIFICACIÓN Y AJUSTE DE CABLEADO INTERNO ETHERNET, SE REALIZÓ PRUEBAS OK</t>
  </si>
  <si>
    <t>MN00O659</t>
  </si>
  <si>
    <t>BARRIO NORTE NEIVA</t>
  </si>
  <si>
    <t>FO-25-1419077</t>
  </si>
  <si>
    <t>25/08/2025 SE REALIZA CAMBIO FUENTE DE PODER DATAFONO ,DATAFONO ENCIENDE , SE REALIZA PRUEBA 9K</t>
  </si>
  <si>
    <t>9L00R813</t>
  </si>
  <si>
    <t>PTM MEDELLIN SUENOS E ILUSIONE</t>
  </si>
  <si>
    <t>FO-25-1420274</t>
  </si>
  <si>
    <t>25/08/2025 SE HACE MANTENIMIENTO OK, SE LE EXPLICA AL CLIENTE EL MANEJO DEL DATAFONO, SE INDICA QUE EN ESTE DATAFONO LAS TECLAS SON UN POCO MÁS DURAS QUE EL ANTERIOR, SE LE EXPLICA TAMBIÉN EL MÉTODO DE LA IMPRESIÓN</t>
  </si>
  <si>
    <t>XP04Z089</t>
  </si>
  <si>
    <t>BARRIO SOACHA LA FRAGUA</t>
  </si>
  <si>
    <t>FO-25-1419346</t>
  </si>
  <si>
    <t>25/08/2025 SE ENSEÑA AL COMERCIO A REALIZAR CIERRE DE REALIZA BORRADO DE MEMORIA CON AUTORIZACIÓN DE CLIENTE SE REALIZAN PRUEBAS OK</t>
  </si>
  <si>
    <t>9.90</t>
  </si>
  <si>
    <t>SOTO LONDOÑO FREDY ALEXANDER</t>
  </si>
  <si>
    <t>BARRIO CENTRO YOPAL  9</t>
  </si>
  <si>
    <t>FO-25-1422425</t>
  </si>
  <si>
    <t>25/08/2025 EN COMUNICACIÓN CON LA SEÑORA LIZETH BAQUERO AL NUMERO 3125564728, INDICA NO REQUIERE LA VISITA, SE ENCUENTRA OPERATIVO EL SERVICIO. AUSENCIA DE INTERNET POR PARTE DEL PROVEEDOR, PERO YA FUE RESUELTA.</t>
  </si>
  <si>
    <t>BARRIO CIUDADELA REAL 2 MARINI</t>
  </si>
  <si>
    <t>FO-25-1418790</t>
  </si>
  <si>
    <t>26/08/2025 SE COMUNICA CON LA USUARIA Y SE EXPLICA CÓMO SE INSTALA LA TAPA TRASERA AL EQUIPO. SE INSTALA TODO QUEDA OK</t>
  </si>
  <si>
    <t>0</t>
  </si>
  <si>
    <t>COMCARD MED DISCAR</t>
  </si>
  <si>
    <t>FO-25-1420297</t>
  </si>
  <si>
    <t>26/08/2025 SE INDICA A USUARIO MANIPULACIÓN DE EQUIPO</t>
  </si>
  <si>
    <t>IINZZ660</t>
  </si>
  <si>
    <t>MULTIPAGAS AVENIDA JUNIN</t>
  </si>
  <si>
    <t>FO-25-1421454</t>
  </si>
  <si>
    <t>26/08/2025 SE REALIZA VERIFICACIÓN CON USUARIOS LOS CUALES INFORMAN REALIZAR EL CIERRE SIN PROBLEMAS</t>
  </si>
  <si>
    <t>XP008730</t>
  </si>
  <si>
    <t>PAGAFACIL DIAGONAL SANTANDER</t>
  </si>
  <si>
    <t>FO-25-1424360</t>
  </si>
  <si>
    <t>26/08/2025 SE REALIZA VISITA AL COMERCIO Y SE REALIZA MANTENIMIENTO AL DATAFONO, SE REALIZAN PRUEBAS EXITOSAS</t>
  </si>
  <si>
    <t>1UZZZ571</t>
  </si>
  <si>
    <t>BARRIO COREGIMIENTO DE ARABIA</t>
  </si>
  <si>
    <t>FO-25-1422876</t>
  </si>
  <si>
    <t>26/08/2025 VISITAMOS COMERCIO EL DATÁFONO PRESENTA FALLA EN COMUNICACION REVISAMOS DATAFONO Y CABLEADO Y TODO ESTA BIEN, VEMOS QUE EL CABLE ESTÁ CONECTADO EN UN SWITCH, LE EXPLICAMOS AL CLIENTE QUE ESE PUEDE SER LA FALLA, LO DESCONECTAMOS DEL SWITCH Y LO CONECTAMOS DIRECTAMENTE AL MÓDEM Y REALIZAMOS PRUEBAS OK</t>
  </si>
  <si>
    <t>JUZZZ835</t>
  </si>
  <si>
    <t>BARRIO BUENOS AIRES MEDELLIN 3</t>
  </si>
  <si>
    <t>FO-25-1422854</t>
  </si>
  <si>
    <t>26/08/2025 SE REALIZA LA VISITA Y SE ENCUENTRA UN EQUIPO WOMPI</t>
  </si>
  <si>
    <t>PTM NARINO PORTIPLASTICO</t>
  </si>
  <si>
    <t>FO-25-1418797</t>
  </si>
  <si>
    <t>26/08/2025 SE VISITO EL CB PARA REVISAR FALLA DE DATÁFONO NO LEE TARJETAS, SE OBSERVA OBSTRUCCIÓN EN EL LECTOR, SE REALIZÓ LIMPIEZA Y MANTENIMIENTO GENERAL, SE HACEN PRUEBAS OK CORRESPONSAL OPERATIVO</t>
  </si>
  <si>
    <t>SASZZ594</t>
  </si>
  <si>
    <t>PTM BURITICA VARIEDADES EL CAR</t>
  </si>
  <si>
    <t>FO-25-1420482</t>
  </si>
  <si>
    <t>26/08/2025 SE HACE MANTENIMIENTO OK SE LE ESPLICA EL MANEJO DEL EQUIPO DESK2600 AL CLIENTE COMO ES ES EL MANEJO DE LA IMPRESIÓN Y TECLADO EN ESTOS NUEVOS EQUIPOS. SE HACE PRUEBAS EXITOSAS SE</t>
  </si>
  <si>
    <t>FGZZZ998</t>
  </si>
  <si>
    <t>ARA0266 SAMPUES</t>
  </si>
  <si>
    <t>FO-25-1428308</t>
  </si>
  <si>
    <t>26/08/2025 SE CIERRA SOLICITUD, COMERCIO ARA</t>
  </si>
  <si>
    <t>GOMEZ FERRARO JOHANA</t>
  </si>
  <si>
    <t>FO-25-1423236</t>
  </si>
  <si>
    <t>26/08/2025 SE INDICA AL USUARIO FORMA CORRECTA DE UBICACION DEL ROLLO</t>
  </si>
  <si>
    <t>CARDONA MOLINA BROLIN STIVEN</t>
  </si>
  <si>
    <t>BARRIO CENTRO ARMENIA 26</t>
  </si>
  <si>
    <t>FO-25-1421449</t>
  </si>
  <si>
    <t>26/08/2025 SE VISITA COMERCIO SE REALIZÓ VERIFICACIÓN Y AJUSTE DE PARÁMETROS Y CABLEADO SE GARANTIZA PRUEBAS OK</t>
  </si>
  <si>
    <t>SAXZZ487</t>
  </si>
  <si>
    <t>PTM MEDELLIN  VARIEDADES LA 56</t>
  </si>
  <si>
    <t>FO-25-1423221</t>
  </si>
  <si>
    <t>26/08/2025 SE HABLA CON USUARIA, SE VERIFICA INGRESO DE USUARIO Y REALIZACIÓN DE CIERRE SE REALIZA PROCEDIMIENTO SIN NOVEDAD, USUARIA PROCESA CIERRE PARCIAL Y GENERAL Y SALE SIN PROBLEMA. CB OPERATIVO, SE CIERRA INCIDENTE</t>
  </si>
  <si>
    <t>BARRIO AV PRINCIPAL BARRANDO D</t>
  </si>
  <si>
    <t>FO-25-1418563</t>
  </si>
  <si>
    <t>27/08/2025 SE REALIZA GESTIÓN TELEFÓNICA ATIENDE LA SRA YURLEINYS SANCHEZ INDICÁNDONOS QUE DIAS ANTERIORES EL EQUIPO NO LE TOMABA LA CLAVE DE LOS CIERRE NOS INDICA QUE EL DIA DE AYER REINICIO EL DATÁFONO Y LE PERMITIO REALIZAR EL BORRADO SIN NOVEDAD</t>
  </si>
  <si>
    <t>BARRIO LA ESTACION LA TEBAIDA</t>
  </si>
  <si>
    <t>FO-25-1425232</t>
  </si>
  <si>
    <t>27/08/2025 SE VISITA COMERCIO SE REALIZÓ VERIFICACIÓN Y RE CONFIGURACIÓN DATAFONO SE GARANTIZA Y SE REALIZÓ PRUEBAS OK.</t>
  </si>
  <si>
    <t>EG3ZZ021</t>
  </si>
  <si>
    <t>BARRIO EL CENTRO YOLOMBO</t>
  </si>
  <si>
    <t>FO-25-1433509</t>
  </si>
  <si>
    <t>27/08/2025 SE VERIFICA FLUCTUACION DE CANAL COMERCIO, LAS DOS TERMINALES FUNCIONAN</t>
  </si>
  <si>
    <t>F8ZZZ045</t>
  </si>
  <si>
    <t>BARRIO CENTRO ZARZAL 6</t>
  </si>
  <si>
    <t>FO-25-1430365</t>
  </si>
  <si>
    <t>CAPACITACION MANIPULACION DE COMERCIO</t>
  </si>
  <si>
    <t>27/08/2025 VISITAMOS COMERCIO CLIENTE INDICA QUE EL LECTOR NO LEE BIEN LOS CÓDIGOS DE BARRAS REALIZAMOS PRUEBAS CON UNA FACTURA Y LA LEE SIN NINGUNA DIFICULTAD, LE EXPLICAMOS AL CLIENTE QUE NO ES SOLO PONER EL CÓDIGO FRENTE AL LECTOR, SE DEBE IR ALEJANDO EL CÓDIGO DE BARRAS HASTA QUE EL LA LUZ ROJA ABARQUE TODO EL LECTOR Y PUEDA LEER BIEN EL CÓDIGO, PRUEBAS EXITOSAS</t>
  </si>
  <si>
    <t>EG004627</t>
  </si>
  <si>
    <t>DISTRICOL CELTRONICK TEGNOLOGY</t>
  </si>
  <si>
    <t>FO-25-1432395</t>
  </si>
  <si>
    <t>27/08/2025 EN COMUNICACIÓN CON LA ADMINISTRADORA PAOLA CASTILLO AL CELULAR 3138507178, INFORMA QUE EL DATÁFONO YA LE ESTÁ OPERANDO BIEN, QUE YA NO NECESITA LA VISITA TÉCNICA, SE PROCEDE A CERRAR ORDEN, SE LE INFORMA AL CLIENTE QUE SI LE PRESENTA FALLA DEBE VOLVER A COMUNICARME NUEVAMENTE PARA SOLICITAR VISITA TÉCNICA.</t>
  </si>
  <si>
    <t>BARRIO LAS MARGARITAS ITAGUI</t>
  </si>
  <si>
    <t>FO-25-1431292</t>
  </si>
  <si>
    <t>27/08/2025 SE REALIZA MANTENIMIENTO GENERAL A PINPAD, POR CONSIGUIENTE SE HACEN PRUEBAS, TODO OK</t>
  </si>
  <si>
    <t>AA00O794</t>
  </si>
  <si>
    <t>BARRIO CENTRO CAJICA 6</t>
  </si>
  <si>
    <t>FO-25-1425926</t>
  </si>
  <si>
    <t>27/08/2025 SE REALIZA INSPECCIÓN DE DATAFONO, SE REALIZA BORRADO DE MEMORIA CON AUTORIZACIÓN DE CLIENTE, SE REALIZAN PRUEBAS</t>
  </si>
  <si>
    <t>IIWZZ593</t>
  </si>
  <si>
    <t>BARRIO PRIMERO DE MAYO 7 VALLE</t>
  </si>
  <si>
    <t>FO-25-1434695</t>
  </si>
  <si>
    <t>28/08/2025 SE LLEGA A SITIO ATIENDE LA SRA  ANA ROJAS INDICANDO QUE EL PROPIETARIO NO SE ENCUENTRA EN EL ESTABLECIMIENTO Y SIN SU AUTORIZACIÓN NO PERMITE EL INGRESO A LAS INSTALACIONES, SE INTENTA COMUNICACIÓN VIA LLAMADA Y WSP DEL SR DEMETRIO LA CUAL NO ATIENDE ,SE LE INDICA A COMERCIO VOLVER A SOLICITAR LA VISITA TECNICA</t>
  </si>
  <si>
    <t>N/A</t>
  </si>
  <si>
    <t>DISTRICOL RECARGA MAX</t>
  </si>
  <si>
    <t>FO-25-1434997</t>
  </si>
  <si>
    <t>28/08/2025 SE REALIZÓ VISITA AL COMERCIO Y ENVÍA INCIALIZACION, SE REALIZAN PRUEBAS DE RETIRO, OK</t>
  </si>
  <si>
    <t>BA0IZ157</t>
  </si>
  <si>
    <t>DISTRICOL SOLUCIONES STEVEN</t>
  </si>
  <si>
    <t>FO-25-1432710</t>
  </si>
  <si>
    <t>28/08/2025 SE REALIZA VISITA AL COMERCIO CB, SE VALIDA Y SE ENCUENTRA DATÁFONO CON LA NOVEDAD QUE NO PERMITE EL INGRESO CON LAS CLAVES POR DEFECTO Y LAS DEL CLIENTE, SE PROCEDE A FORMATEAR Y DESCARGAR SISTEMA OPERATIVO Y VERSION 9.90, SE CONFIGURA Y SE INICIALIZA HACIENDO PRUEBAS DEJANDO TODO OK</t>
  </si>
  <si>
    <t>SV00T115</t>
  </si>
  <si>
    <t>GONZALEZ ESTUPIÑAN YEISON WALTER ANTONIO</t>
  </si>
  <si>
    <t>BELLO SAN FELIX</t>
  </si>
  <si>
    <t>FO-25-1434973</t>
  </si>
  <si>
    <t>28/08/2025 SE VERIFICA PUNTO DE RED Y SE EVIDENCIA QUE NO ESTABA BIEN CONECTADO POR TAL MOTIVO NO DABA EL INTERNET. SE REALIZÓ PRUEBA DE CONSULTA SALDO Y FUNCIONA CORRECTAMENTE.</t>
  </si>
  <si>
    <t>A00JZ176</t>
  </si>
  <si>
    <t>DISTRICOL VARIEDADES KAJU</t>
  </si>
  <si>
    <t>FO-25-1433295</t>
  </si>
  <si>
    <t>28/08/2025 SE REALIZA VISITA AL COMERCIO CB, SE VALIDA Y EL CLIENTE COMENTA QUE TA ESTA FUNCIONANDO CORRECTAMENTE SE HACEN PRUEBAS DEJANDO TODO OK</t>
  </si>
  <si>
    <t>ON0TZ477</t>
  </si>
  <si>
    <t>ANTIOQUIA ENTRERRIOS</t>
  </si>
  <si>
    <t>FO-25-1432577</t>
  </si>
  <si>
    <t>28/08/2025 FUENTE DE ALIMENTACIÓN MAL CONECTADA, SE AJUSTA Y QUEDA OPERATIVO</t>
  </si>
  <si>
    <t>LN00S299</t>
  </si>
  <si>
    <t>REVAL EL PORVENIR</t>
  </si>
  <si>
    <t>FO-25-1438756</t>
  </si>
  <si>
    <t>29/08/2025 SE LLAMA AL 3046020175 PARA INFORMARLE QUE ÍBAMOS EN RUTA Y SE HABLA CON LA SRA ANGELY Y INFORMA QUE ERA UN PROBLEMA DE CANAL QUE TENÍAN PERO QUE YA ESTÁ FUNCIONANDO BIEN Y NO NECESITAN VISITA</t>
  </si>
  <si>
    <t>ALVAREZ ARENAS VICTOR HUGO</t>
  </si>
  <si>
    <t>MULTIPAGAS ESTADIO</t>
  </si>
  <si>
    <t>FO-25-1444213</t>
  </si>
  <si>
    <t>29/08/2025 SE REALIZA REVISIÓN DE LAS CONEXIONES YA QUE NO TENÍA RED EL DATÁFONO, SE VERIFICA CABLE ESPIRAL, CABLES DE RED, SE EVIDENCIA QUE EL PUNTO DE RED ESTA MALO, SE CONECTA DATÁFONO A UN SWITCH Y FUNCIONA CORRECTAMENTE, SE REALIZA CONSULTA DE SALDO SERVICIO OK.</t>
  </si>
  <si>
    <t>ABC09549</t>
  </si>
  <si>
    <t>REVAL JUMBO CC SANTAFE MEDELLI</t>
  </si>
  <si>
    <t>FO-25-1444026</t>
  </si>
  <si>
    <t>29/08/2025 SE REALIZA CAMBIO DE PINPAD</t>
  </si>
  <si>
    <t>AB0XZ096</t>
  </si>
  <si>
    <t>BARRIO BLANQUIZAL MEDELLIN</t>
  </si>
  <si>
    <t>FO-25-1442637</t>
  </si>
  <si>
    <t>29/08/2025 SE REALIZA BORRADO DE TRANSACCIONES YA QUE SE QUEDA TILDADO CUANDO SE VA A REALIZAR EL CIERRE, ADICIONAL SE REALIZA CONSULTA DE SALDO Y CIERRE SE VUELVE A TIRAR Y SALE EXITOSO.</t>
  </si>
  <si>
    <t>AAVZZ111</t>
  </si>
  <si>
    <t>GUA MA A   A INO</t>
  </si>
  <si>
    <t>FO-25-1442654</t>
  </si>
  <si>
    <t>29/08/2025 SE COMUNICA CON EL CLIENTE EL CUAL INFORMA QUE ESTUVO FALLANDO EN HORAS DE LA MAÑANA LA CONEXIÓN A INTERNET EL CUAL ES DE ACLARAR QUE ES MEDIANTE CONEXIÓN SATELITAL SUMINISTRADO POR LA ENTIDAD BANCOLOMBIA, CLIENTE INFORMA QUE A LA HORA Y APROXIMADAMENTE HACE UNA HORA Y MEDIA EL SISTEMA SE RESTABLECIÓ REALIZANDO TRANSACCIONES SIN INCONVENIENTES SE LE INDICO AL CLIENTE QUE SI SE VUELVE A PRESENTAR LA FALLA QUE REALICE PRUEBAS Y CONEXIÓN CON INTERNET PROPIO, A SU VEZ REPORTAR LA FALLA COMO DAÑO EN SISTEMA DE CONEXIÓN SATELITAL SUMINISTRADO POR LA ENTIDAD. CB INFORMA QUE QUEDA OPERATIVO, FUNCIONANDO SIN INCONVENIENTES</t>
  </si>
  <si>
    <t>REMICIO AMADO JOHN HEBER</t>
  </si>
  <si>
    <t>BARRIO ALFONSO LOPEZ CUCUTA 1</t>
  </si>
  <si>
    <t>FO-25-1443653</t>
  </si>
  <si>
    <t>29/08/2025 SE REALIZÓ VISITA AL COMERCIO Y SE IDENTIFICA QUE EL COMERCIO TIENE CONEXIÓNES O FALLA EN EL CABLEADO, SE REALIZAN PRUEBAS DIRECTAMENTE DEL ROUTER DEL INTERNET, PRUEBAS EXITOSAS</t>
  </si>
  <si>
    <t>TR00D614</t>
  </si>
  <si>
    <t>BARRIO CENTRO 6 ROLDANILLO</t>
  </si>
  <si>
    <t>FO-25-1443599</t>
  </si>
  <si>
    <t>30/08/2025 REALIZAMOS LLAMADA HABLAMOS CON LA SEÑORA LINA NOS INFORMA QUE AYER  EN LA TARDE LOS DATÁFONOS YA NO TENÍAN PROBLEMA CON LA CONEXIÓN YA ESTÁN FUNCIONADO SIN NOVEDAD.</t>
  </si>
  <si>
    <t>PAGAFACIL CC VENTURA PLAZA</t>
  </si>
  <si>
    <t>FO-25-1448399</t>
  </si>
  <si>
    <t>30/08/2025 SE REALIZA VISITA, SE REALIZA MANTENIMIENTO, SE REALIZAN PRUEBAS Y CIERRES OK</t>
  </si>
  <si>
    <t>AA08Z339</t>
  </si>
  <si>
    <t>BARRIO CENTRO FLORIDA 1</t>
  </si>
  <si>
    <t>FO-25-1447622</t>
  </si>
  <si>
    <t>30/08/2025 SE VISITÓ CORRESPONSAL Y SE REALIZA MANTENIMIENTO (LIMPIEZA A IMPRESORA Y RODILLO DEL DATÁFONO. TRANSACCIONES DE PRUEBA EXITOSAS.</t>
  </si>
  <si>
    <t>9A0FZ544</t>
  </si>
  <si>
    <t>PARQUE LA PINTADA</t>
  </si>
  <si>
    <t>FO-25-1447097</t>
  </si>
  <si>
    <t>30/08/2025 SE REALIZA INICIALIZACION DE EQUIPO PARA ACTUALIZACIÓN DE DIRECCION</t>
  </si>
  <si>
    <t>9999Z468</t>
  </si>
  <si>
    <t>SOACHA CIUDAD VERDE 4</t>
  </si>
  <si>
    <t>FO-25-1448395</t>
  </si>
  <si>
    <t>30/08/2025 SE REALIZA VISITA DE CAMPO ENCONTRANDO QUE DATÁFONO NO CUENTA CON CONEXIÓN A INTERNET Y MENSAJE CABLE DE RED DESCONECTADO SE REALIZA VALIDACIONES ENCONTRANDO FALLA EN EL PROVEEDOR DE SERVICIO DE INTERNET SE LE INDICA AL CLIENTE DE DAÑO ENCONTRANDO Y LOS PASOS QUE DEBE HACER CON EL PROVEEDOR DE SERVICIO DE INTERNET PARA SOLUCIONAR EL DAÑO DE IGUAL MANERA SE LE INDICA DE SOLUCIONAR LA FALLA Y DATÁFONO NO FUNCIONAR SOLICITAR UNA NUEVA VISITA PARA VERIFICAR LOS PARÁMETROS DE CONEXION Y POSIBLES CONFLICTOS EN LA IP QUE PUEDA TENER NOTA NO ES POSIBLE ADJUNTAR TIRILLAS DE PRUEBAS YAQUE COMERCIO ESTA SIN SERVICIO DE INTERNET</t>
  </si>
  <si>
    <t>EF00R075</t>
  </si>
  <si>
    <t>BARRIO LOS COLORES MEDELLIN 4</t>
  </si>
  <si>
    <t>FO-25-1449291</t>
  </si>
  <si>
    <t>30/08/2025 ERROR DE CONEXION POR CANAL DE INTERNET</t>
  </si>
  <si>
    <t>GZ08Z278</t>
  </si>
  <si>
    <t>DISTRICOL LA PAPELERIA 37</t>
  </si>
  <si>
    <t>FO-25-1449896</t>
  </si>
  <si>
    <t>31/08/2025 SE ESTABLECE CONTACTO CON EL USUARIO PARA VALIDAR EL ESTADO DEL INCIDENTE PREVIAMENTE REPORTADO, RELACIONADO CON EL DATÁFONO DEL CORRESPONSAL BANCOLOMBIA. EL USUARIO INDICA QUE EL DÍA ANTERIOR EL DISPOSITIVO NO ENCENDÍA, MOTIVO POR EL CUAL SE SOLICITÓ SOPORTE. SIN EMBARGO, INFORMA QUE ACTUALMENTE EL DATÁFONO SE ENCUENTRA FUNCIONANDO CON NORMALIDAD. POR TAL RAZÓN, EL USUARIO CONFIRMA QUE NO REQUIERE VISITA TÉCNICA, YA QUE EL EQUIPO ESTÁ OPERATIVO.</t>
  </si>
  <si>
    <t>FECHA ASIGNACION A LINEA COMUNICACIONES</t>
  </si>
  <si>
    <t>FECHA DEL CIERRE DEL TICKET (DD/MM/AAAA)</t>
  </si>
  <si>
    <t>SOLICITUD</t>
  </si>
  <si>
    <t>DESCRIPCIÓN</t>
  </si>
  <si>
    <t>CAUSAL ESTADO</t>
  </si>
  <si>
    <t xml:space="preserve">TERMINAL </t>
  </si>
  <si>
    <t>ACOMETIDA ELECTRICA</t>
  </si>
  <si>
    <t>VALOR ACTIVIDAD</t>
  </si>
  <si>
    <t>ORDEN DE CAMBIO</t>
  </si>
  <si>
    <t>BARRIO URB CASTILLA VILLAVICEN</t>
  </si>
  <si>
    <t>FO-25-1320573</t>
  </si>
  <si>
    <t>TRASLADO</t>
  </si>
  <si>
    <t>TRASLADO EXTERNO</t>
  </si>
  <si>
    <t>EJECUTADO_CANCELADO</t>
  </si>
  <si>
    <t>DIRECCION ERRADA</t>
  </si>
  <si>
    <t xml:space="preserve">SOLICITUD DE TRASLADO EXTERNO
0
04/08/2025  Se llega la comercio y se válidas que la dirección de la orden no es la misma indicada por el comercio Dirección correcta es cll 34 # 39 13 y dirección programada en orden es kr 34 # 39 13 se le inform al jefe de zona para procedes con el cierre y se le informa al cliente que debe realizar los debidos ajuste para el traslado </t>
  </si>
  <si>
    <t>PTM CALI MISCELANEA GABYTA</t>
  </si>
  <si>
    <t>FO-25-1366681</t>
  </si>
  <si>
    <t>GESTIÓN_TELEFÓNICA</t>
  </si>
  <si>
    <t>CANCELADO POR EL USUARIO</t>
  </si>
  <si>
    <t>12/08/2025 12-08 POR FAVOR COMUNICARSE CON CB PARA CONFIRMAR SOLICITUD, UBICACION Y PROGRAMAR VISITA TECNICA - 13-08 SE LLAMA AL NÚMERO DE CONTACTO 3175384954 Y CONTESTA LA SEÑORA MÓNICA RODRÍGUEZ, SE LE PREGUNTA POR DISPONIBILIDAD PARA REALIZAR EL TRASLADO DEL CORRESPONSAL Y ELLA INFORMA QUE NO HAY SOLICITADO TRASLADO. A DEMÁS HAY NOVEDAD EN EL NOMBRE DEL CLIENTE EN LA ORDEN DE TRABAJO Y DIRECCIÓN DE ACTIVIDAD COMO TAMBIÉN DE BARRIO. SE PROCEDE A CERRAR ACTIVIDAD POR NO SOLICITUD DEL CLIENTE ADEMÁS DE NOVEDAD EN ORDEN DE TRABAJO</t>
  </si>
  <si>
    <t>DISTRICOL PAPELERIA LA ESQUINA</t>
  </si>
  <si>
    <t>FO-25-1371322 | FO-25-1336542</t>
  </si>
  <si>
    <t>EJECUTADO_EXITOSO</t>
  </si>
  <si>
    <t>EJECUTADO EXITOSO</t>
  </si>
  <si>
    <t>14/08/2025 A LA ESPERA DE INGRESO CLIENTE EN COMUNICACIÓN CON LÍNEA DE BANCOLOLMBIA | 14/08/2025 SE REALIZA VISITA DE CAMPO DONDE SE TRASLADARON EQUIPOS DE ACUERDO A INDICACIONES DEL CLIENTE PRUEBAS CUPO Y USUARIO OK, NO SE INTALA PUBLICIDAD DEBIDO A QUE NO ESTA EN EL PUNTO.</t>
  </si>
  <si>
    <t>SV00T124</t>
  </si>
  <si>
    <t>BARRIO RESTREPO 13 BOGOTA</t>
  </si>
  <si>
    <t>FO-25-1362450 | FO-25-1353058</t>
  </si>
  <si>
    <t>PETICIÓN USUARIO</t>
  </si>
  <si>
    <t>09/08/2025 9-08 8:59 EN COMUNICACIÓN ON LA SEÑORA DIANA DAZA AL NUMERO 3142711836 CONFIRMA SOLICITUD DE TRASLADO EXTERNO, CONFIRMA DATOS E INDICA QUE CUENTA CON TODAS LAS ADECUACIONES Y QUE LOS EQUIPOS SE ENCUENTRAN EN LA NUEVA DIRECCION, SE ESCALA PARA VISITA | 11/08/2025 DURANTE LA VISITA TÉCNICA PARA EJECUTAR EL TRASLADO DEL CORRESPONSAL AL LLEGAR SE EVIDENCIA QUE LA DIRECCIÓN SE ENCUENTRA ERRADA SE LLAMA EL NÚMERO DEL CORRESPONSAL DE CONTACTO 3134013834 EL CUAL NO RESPONDE EL SEÑOR CÉSAR MILLÁN Y NO INDICA UNA DIRECCIÓN DIFERENTE CL 81C SUR 6C 22 ESTE  SE PROCEDE A VALIDAR CON SUPERVISOR LA DIRECCIÓN QUE TENEMOS EN LISTA DE CHEQUEO LA CUAL NO CORRESPONDE, SE PROCEDE A BRINDARLE INFORMACIÓN A CB PARA QUE SOLICITE UNA NUEVA VISITA CON LA DIRECCIÓN CORRECTA
14/08/2025 SE LLEGA DIRECCIÓN PARA EJECUTAR TRASLADO ENCONTRANDO CERRADO, SE INTENTA CONTACTO AL NÚMERO 3142711836 NO CONTESTAN SE VALIDA QUE EN DIAGONAL A LA DIRECCIÓN YA EXISTE UN CB BANCOLOMBIA EL CUAL SE INDAGA ES UN PTM CÓDIGO 62060 S</t>
  </si>
  <si>
    <t>DOSQUEBRADAS CAMPESTRE A</t>
  </si>
  <si>
    <t>FO-25-1376464</t>
  </si>
  <si>
    <t xml:space="preserve">15-08 EN COMUNICACIÓN CON EL SEÑOR WILSON GIRALDO INFORMA QUE TIENE EL AVISO EN UBICACIÓN ANTERIOR SE VISITA UBICACIÓN ANTERIOR SE RETIRA AVISO EN VISITA EN NUEVA UBICACIÓN CLIENTE INFORMA QUE NO CUENTA CON CANAL PARA DATÁFONO DESPUÉS DE AFIRMAR TENER TODO LISTO PARA TRASLADO EN COMUNICACIÓN SE INFORMA A CLIENTE QUE SE DEBE CANCELAR TRASLADO Y COMUNICARSE NUEVAMENTE CUANDO TENGA TODO LISTO </t>
  </si>
  <si>
    <t>BARRIO GAITAN BUCARAMANGA 2</t>
  </si>
  <si>
    <t>FO-25-1378133 | FO-25-1376486</t>
  </si>
  <si>
    <t>14/08/2025 POR FAVOR, COMUNICARSE CON USUARIO PARA CONFIRMAR UBICACION, SOLICITUD Y PROGRAMAR VISITA TECNICA | 14/08/2025 SE REALIZA VISITA A LA DIRECCIÓN DADA POR LA RED SE ESPERA CERCA DE 30 MINUTOS EN EL PUNTO Y NO LLEGA EL CLIENTE A LA DIRECCIÓN SE LLAMA EN REPETIDAS OCASIONES AL NÚMERO DE CONTACTO 3125735017 Y TAMBIÉN SE ESCRIBE POR MEDIO DE WHATSAPP Y NO HAY RESPUESTA COMERCIO SE ENCUENTRA CERRADO
15/08/2025 SE REALIZA VISITA A LA DIRECCIÓN DADA POR REDEBAN, SE VALIDA Y SE HACE TRASLADO EXTERNO, SE INICIALIZA TERMINAL QUEDANDO DIRECCIÓN ACTUAL CORRECTA, SE HACEN PRUEBAS ARROJA RECHAZO GENERAL LA CLIENTE SE COMUNICA CON EL BANCO PARA PODER HACER EL RESPECTIVO DESBLOQUEO DEL CB</t>
  </si>
  <si>
    <t>MA00Q884</t>
  </si>
  <si>
    <t>BARRIO AURES BOGOTA 3</t>
  </si>
  <si>
    <t>FO-25-1384462 | FO-25-1376484</t>
  </si>
  <si>
    <t>14/08/2025 POR FAVOR, COMUNICARSE CON USUARIO PARA CONFIRMAR UBICACION, SOLICITUD Y PROGRAMAR VISITA TECNICA | 16/08/2025 SE VISITA COMERCIO CB BANCOLOMBIA EN LA NUEVA DIRECCIÓN PERO ESTA CERRADO, SE LLAMA AL TELÉFONO DE CONTACTO Y LA SRA LYDA PINZÓN NOS INFORMA QUE NOS PUEDE ATENDER EL DÍA MARTES 19 DE AGOSTO, SE DEJA PARA DICHA FECHA INFORMADO AL COORDINADOR.
19/08/2025 SE VISITA COMERCIO CB BANCOLOMBIA EN LA NUEVA DIRECCIÓN, SE REALIZA ACTUALIZACIÓN DE DATOS EN EL DATAFONO PARA QUE TOME LOS NUEVOS DATOS DEL COMERCIO, EL CLIENTE YA CONTABA CON LOS EQUIPOS EN LA NUEVA DIRECCIÓN, SE REALIZAN PRUEBAS OK, NO UPS, NO SE ALTERAN USUARIOS.</t>
  </si>
  <si>
    <t>MA00L716</t>
  </si>
  <si>
    <t>BARRIO EL TRONCAL CALI</t>
  </si>
  <si>
    <t>FO-25-1404184</t>
  </si>
  <si>
    <t>21/08/2025 SE REALIZA CONTACTO TELEFONICO CON EL SR JUAN AL 3014520843 QUIEN CONFIRMA LA NUEVA DIRECCIÓN INDICA QUE LLEVARA LOS EQUIPOS Y LA PUBLICIDAD ESTARAN EN LA NUEVA DIRECCIÓN SE PROGRAMA VISITA TECNICA INDICA LLAMAR ANTES DE DESPLAZARSE PARA ESTAR PENDIENTE | 22/08/2025 SE LLAMA AL CLIENTE NO CONTESTA SE LLEGA AL COMERCIO SE HABLA CON EL CLIENTE E INDICA QUE NO TIENE ADECAUFO EL LOCAL TAMPOCO TIENE LOS EQUIPOS EN EL LOCAL YA QUE NO TIENE LAS LLAVES SE LE INDICA PASOS A SEGUIR</t>
  </si>
  <si>
    <t>CENTRO_COSTO</t>
  </si>
  <si>
    <t>DESCRIPCION</t>
  </si>
  <si>
    <t>CENTRO DE COSTOS LINEACOM</t>
  </si>
  <si>
    <t>CODIGO DANE</t>
  </si>
  <si>
    <t>CATEGORIA</t>
  </si>
  <si>
    <t>FORMA DE ATENCION</t>
  </si>
  <si>
    <t>TERMINAL(ES)</t>
  </si>
  <si>
    <t>NOMBRE DEL TECNICO</t>
  </si>
  <si>
    <t>VALOR DIAS ACTIVIDAD FACTURABLES TC</t>
  </si>
  <si>
    <t>VALOR DIAS ACOMPAÑAMIENTO FACTURABLES TC</t>
  </si>
  <si>
    <t>valo</t>
  </si>
  <si>
    <t>VALOR DIAS ACTIVIDAD FACTURABLES TE</t>
  </si>
  <si>
    <t>VALOR DIAS ACOMPAÑAMIENTO FACTURABLES TE</t>
  </si>
  <si>
    <t>VALOR ACTIVIDAD TE</t>
  </si>
  <si>
    <t>VALOR TOTAL TE</t>
  </si>
  <si>
    <t>5360</t>
  </si>
  <si>
    <t>TA-25-1165179</t>
  </si>
  <si>
    <t>3007081728</t>
  </si>
  <si>
    <t>DISTRICOL RG</t>
  </si>
  <si>
    <t>BANCOLOMBIA</t>
  </si>
  <si>
    <t>FO-25-1624400 | FO-25-1611140</t>
  </si>
  <si>
    <t>EJECUTADO | EJECUTADO/CANCELADO</t>
  </si>
  <si>
    <t>06/10/2025 SE INSTALA CORRESPONSAL OK</t>
  </si>
  <si>
    <t>VISITA TECNICA</t>
  </si>
  <si>
    <t>RUA ALVAREZ RICHARD ANDRES</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</si>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</sst>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 #,##0;[Red]\-&quot;$&quot;\ #,##0"/>
    <numFmt numFmtId="43" formatCode="_-* #,##0.00_-;\-* #,##0.00_-;_-* &quot;-&quot;??_-;_-@_-"/>
    <numFmt numFmtId="164" formatCode="_-* #,##0.00\ _€_-;\-* #,##0.00\ _€_-;_-* &quot;-&quot;??\ _€_-;_-@_-"/>
    <numFmt numFmtId="165" formatCode="_(&quot;$&quot;\ * #,##0.00_);_(&quot;$&quot;\ * \(#,##0.00\);_(&quot;$&quot;\ * &quot;-&quot;??_);_(@_)"/>
    <numFmt numFmtId="166" formatCode="_(* #,##0.00_);_(* \(#,##0.00\);_(* &quot;-&quot;??_);_(@_)"/>
    <numFmt numFmtId="167" formatCode="_-&quot;$&quot;* #,##0.00_-;\-&quot;$&quot;* #,##0.00_-;_-&quot;$&quot;* &quot;-&quot;??_-;_-@_-"/>
    <numFmt numFmtId="168" formatCode="_ &quot;$&quot;\ * #,##0_ ;_ &quot;$&quot;\ * \-#,##0_ ;_ &quot;$&quot;\ * &quot;-&quot;??_ ;_ @_ "/>
    <numFmt numFmtId="169" formatCode="_(&quot;$&quot;\ * #,##0_);_(&quot;$&quot;\ * \(#,##0\);_(&quot;$&quot;\ * &quot;-&quot;??_);_(@_)"/>
    <numFmt numFmtId="170" formatCode="[$-409]d\-m\-yy\ h:mm\ AM/PM;@"/>
    <numFmt numFmtId="171" formatCode="[$-240A]dddd\,\ dd&quot; de &quot;mmmm&quot; de &quot;yyyy"/>
    <numFmt numFmtId="172" formatCode="_ * #,##0.00_ ;_ * \-#,##0.00_ ;_ * &quot;-&quot;??_ ;_ @_ "/>
    <numFmt numFmtId="173" formatCode="_-&quot;$&quot;* #,##0_-;\-&quot;$&quot;* #,##0_-;_-&quot;$&quot;* &quot;-&quot;??_-;_-@_-"/>
    <numFmt numFmtId="174" formatCode="&quot;$&quot;\ #,##0"/>
    <numFmt numFmtId="175" formatCode="_ &quot;$&quot;\ * #,##0.00_ ;_ &quot;$&quot;\ * \-#,##0.00_ ;_ &quot;$&quot;\ * &quot;-&quot;??_ ;_ @_ "/>
    <numFmt numFmtId="176" formatCode="_ [$€-2]\ * #,##0.00_ ;_ [$€-2]\ * \-#,##0.00_ ;_ [$€-2]\ * &quot;-&quot;??_ "/>
    <numFmt numFmtId="177" formatCode="[$-C0A]d\-mmm\-yy;@"/>
    <numFmt numFmtId="178" formatCode="[$-240A]General"/>
    <numFmt numFmtId="179" formatCode="0.000%"/>
    <numFmt numFmtId="180" formatCode="_ * #,##0.00_ ;_ * \-#,##0.00_ ;_ * \-??_ ;_ @_ "/>
    <numFmt numFmtId="181" formatCode="_-[$$-240A]\ * #,##0.00_-;\-[$$-240A]\ * #,##0.00_-;_-[$$-240A]\ * &quot;-&quot;??_-;_-@_-"/>
    <numFmt numFmtId="182" formatCode="_-[$$-240A]\ * #,##0_-;\-[$$-240A]\ * #,##0_-;_-[$$-240A]\ * &quot;-&quot;_-;_-@_-"/>
    <numFmt numFmtId="183" formatCode="dd/mm/yyyy;@"/>
    <numFmt numFmtId="184" formatCode="dd/mm/yyyy"/>
    <numFmt numFmtId="185" formatCode="_-[$$-240A]\ * #,##0_-;\-[$$-240A]\ * #,##0_-;_-[$$-240A]\ * &quot;-&quot;??_-;_-@_-"/>
  </numFmts>
  <fonts count="1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0"/>
      <color rgb="FF000000"/>
      <name val="Arial"/>
      <family val="2"/>
    </font>
    <font>
      <sz val="10"/>
      <name val="Arial"/>
      <family val="2"/>
    </font>
    <font>
      <sz val="10"/>
      <color theme="1"/>
      <name val="Apex"/>
      <family val="2"/>
    </font>
    <font>
      <u/>
      <sz val="11"/>
      <color theme="10"/>
      <name val="Calibri"/>
      <family val="2"/>
      <scheme val="minor"/>
    </font>
    <font>
      <sz val="12"/>
      <color theme="1"/>
      <name val="Trebuchet MS"/>
      <family val="2"/>
    </font>
    <font>
      <sz val="10"/>
      <name val="Century Gothic"/>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8"/>
      <color theme="3"/>
      <name val="Cambria"/>
      <family val="2"/>
      <scheme val="maj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2.1"/>
      <color theme="10"/>
      <name val="Calibri"/>
      <family val="2"/>
    </font>
    <font>
      <sz val="11"/>
      <color indexed="20"/>
      <name val="Calibri"/>
      <family val="2"/>
    </font>
    <font>
      <sz val="11"/>
      <color indexed="60"/>
      <name val="Calibri"/>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Calibri"/>
      <family val="2"/>
      <scheme val="minor"/>
    </font>
    <font>
      <b/>
      <sz val="8"/>
      <name val="Gelion Thin"/>
    </font>
    <font>
      <sz val="10"/>
      <name val="Gelion Thin"/>
    </font>
    <font>
      <sz val="8"/>
      <color theme="1"/>
      <name val="Gelion Thin"/>
    </font>
    <font>
      <sz val="8"/>
      <name val="Gelion Thin"/>
    </font>
    <font>
      <sz val="10"/>
      <color rgb="FF000000"/>
      <name val="Gelion Thin"/>
    </font>
    <font>
      <b/>
      <sz val="10"/>
      <name val="Gelion Thin"/>
    </font>
    <font>
      <sz val="8"/>
      <color rgb="FF000000"/>
      <name val="Gelion Thin"/>
    </font>
    <font>
      <b/>
      <sz val="11"/>
      <color theme="1"/>
      <name val="Gelion Thin"/>
    </font>
    <font>
      <b/>
      <i/>
      <sz val="11"/>
      <color rgb="FFFFFFFF"/>
      <name val="Century Gothic"/>
      <family val="2"/>
    </font>
    <font>
      <sz val="10"/>
      <color rgb="FF000000"/>
      <name val="Century Gothic"/>
      <family val="2"/>
    </font>
    <font>
      <sz val="10"/>
      <color rgb="FF3A3838"/>
      <name val="Century Gothic"/>
      <family val="2"/>
    </font>
    <font>
      <sz val="11"/>
      <color rgb="FF000000"/>
      <name val="Gelion Thin"/>
    </font>
    <font>
      <sz val="9"/>
      <color rgb="FF000000"/>
      <name val="Courier New"/>
      <family val="3"/>
    </font>
    <font>
      <b/>
      <sz val="10"/>
      <color rgb="FFC00000"/>
      <name val="Gelion Thin"/>
    </font>
    <font>
      <sz val="10"/>
      <color rgb="FFC00000"/>
      <name val="Gelion Thin"/>
    </font>
    <font>
      <sz val="10"/>
      <color rgb="FFC00000"/>
      <name val="Arial"/>
      <family val="2"/>
    </font>
    <font>
      <sz val="8"/>
      <name val="Gelion Light"/>
    </font>
    <font>
      <b/>
      <sz val="9"/>
      <color rgb="FFC00000"/>
      <name val="Gelion Thin"/>
    </font>
    <font>
      <sz val="10"/>
      <name val="Arial"/>
      <family val="2"/>
    </font>
    <font>
      <sz val="10"/>
      <color theme="1"/>
      <name val="Gelion Thin"/>
    </font>
    <font>
      <sz val="10"/>
      <name val="Calibri"/>
      <family val="2"/>
    </font>
    <font>
      <b/>
      <sz val="10"/>
      <name val="Arial"/>
      <family val="2"/>
    </font>
    <font>
      <sz val="11"/>
      <color rgb="FFCE9178"/>
      <name val="Consolas"/>
      <family val="3"/>
    </font>
  </fonts>
  <fills count="9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theme="0"/>
        <bgColor indexed="64"/>
      </patternFill>
    </fill>
    <fill>
      <patternFill patternType="solid">
        <fgColor rgb="FFBAF50A"/>
        <bgColor indexed="64"/>
      </patternFill>
    </fill>
    <fill>
      <patternFill patternType="solid">
        <fgColor theme="6" tint="0.79998168889431442"/>
        <bgColor indexed="64"/>
      </patternFill>
    </fill>
    <fill>
      <patternFill patternType="solid">
        <fgColor rgb="FF001D62"/>
        <bgColor rgb="FF001D62"/>
      </patternFill>
    </fill>
    <fill>
      <patternFill patternType="solid">
        <fgColor rgb="FFFF0000"/>
        <bgColor indexed="64"/>
      </patternFill>
    </fill>
    <fill>
      <patternFill patternType="solid">
        <fgColor rgb="FFFFFF00"/>
        <bgColor indexed="64"/>
      </patternFill>
    </fill>
    <fill>
      <patternFill patternType="solid">
        <fgColor theme="9"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39248">
    <xf numFmtId="0" fontId="0" fillId="0" borderId="0"/>
    <xf numFmtId="168" fontId="20" fillId="0" borderId="0" applyFont="0" applyFill="0" applyBorder="0" applyAlignment="0" applyProtection="0"/>
    <xf numFmtId="0" fontId="20" fillId="0" borderId="0"/>
    <xf numFmtId="0" fontId="20" fillId="0" borderId="0"/>
    <xf numFmtId="0" fontId="19" fillId="0" borderId="0"/>
    <xf numFmtId="165" fontId="21" fillId="0" borderId="0" applyFont="0" applyFill="0" applyBorder="0" applyAlignment="0" applyProtection="0"/>
    <xf numFmtId="165" fontId="20" fillId="0" borderId="0" applyFont="0" applyFill="0" applyBorder="0" applyAlignment="0" applyProtection="0"/>
    <xf numFmtId="0" fontId="20" fillId="0" borderId="0"/>
    <xf numFmtId="170" fontId="18" fillId="0" borderId="0"/>
    <xf numFmtId="0" fontId="22" fillId="0" borderId="0"/>
    <xf numFmtId="171" fontId="20" fillId="0" borderId="0"/>
    <xf numFmtId="170" fontId="17" fillId="0" borderId="0"/>
    <xf numFmtId="0" fontId="23" fillId="0" borderId="0"/>
    <xf numFmtId="0" fontId="23" fillId="0" borderId="0"/>
    <xf numFmtId="0" fontId="16" fillId="0" borderId="0"/>
    <xf numFmtId="0" fontId="15" fillId="0" borderId="0"/>
    <xf numFmtId="0" fontId="14" fillId="0" borderId="0"/>
    <xf numFmtId="43" fontId="14" fillId="0" borderId="0" applyFont="0" applyFill="0" applyBorder="0" applyAlignment="0" applyProtection="0"/>
    <xf numFmtId="0" fontId="20" fillId="0" borderId="0"/>
    <xf numFmtId="172" fontId="20" fillId="0" borderId="0" applyFont="0" applyFill="0" applyBorder="0" applyAlignment="0" applyProtection="0"/>
    <xf numFmtId="0" fontId="20" fillId="0" borderId="0"/>
    <xf numFmtId="170" fontId="20" fillId="0" borderId="0"/>
    <xf numFmtId="0" fontId="13" fillId="0" borderId="0"/>
    <xf numFmtId="170" fontId="20" fillId="0" borderId="0"/>
    <xf numFmtId="0" fontId="24" fillId="0" borderId="0"/>
    <xf numFmtId="0" fontId="12" fillId="0" borderId="0"/>
    <xf numFmtId="0" fontId="11" fillId="0" borderId="0"/>
    <xf numFmtId="0" fontId="11" fillId="0" borderId="0"/>
    <xf numFmtId="0" fontId="20" fillId="0" borderId="0"/>
    <xf numFmtId="43" fontId="20" fillId="0" borderId="0" applyFont="0" applyFill="0" applyBorder="0" applyAlignment="0" applyProtection="0"/>
    <xf numFmtId="0" fontId="20" fillId="0" borderId="0"/>
    <xf numFmtId="165" fontId="20" fillId="0" borderId="0" applyFont="0" applyFill="0" applyBorder="0" applyAlignment="0" applyProtection="0"/>
    <xf numFmtId="165" fontId="10" fillId="0" borderId="0" applyFont="0" applyFill="0" applyBorder="0" applyAlignment="0" applyProtection="0"/>
    <xf numFmtId="0" fontId="25" fillId="0" borderId="0"/>
    <xf numFmtId="0" fontId="9" fillId="0" borderId="0"/>
    <xf numFmtId="170" fontId="9" fillId="0" borderId="0"/>
    <xf numFmtId="0" fontId="9" fillId="0" borderId="0"/>
    <xf numFmtId="0" fontId="9" fillId="0" borderId="0"/>
    <xf numFmtId="172" fontId="20" fillId="0" borderId="0" applyFont="0" applyFill="0" applyBorder="0" applyAlignment="0" applyProtection="0"/>
    <xf numFmtId="0" fontId="9" fillId="0" borderId="0"/>
    <xf numFmtId="0" fontId="9" fillId="0" borderId="0"/>
    <xf numFmtId="0" fontId="9" fillId="0" borderId="0"/>
    <xf numFmtId="0" fontId="9" fillId="0" borderId="0"/>
    <xf numFmtId="0" fontId="26" fillId="0" borderId="0" applyNumberFormat="0" applyFill="0" applyBorder="0" applyAlignment="0" applyProtection="0"/>
    <xf numFmtId="0" fontId="9" fillId="0" borderId="0"/>
    <xf numFmtId="43" fontId="9" fillId="0" borderId="0" applyFon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7" fontId="25" fillId="0" borderId="0" applyFont="0" applyFill="0" applyBorder="0" applyAlignment="0" applyProtection="0"/>
    <xf numFmtId="165" fontId="9" fillId="0" borderId="0" applyFont="0" applyFill="0" applyBorder="0" applyAlignment="0" applyProtection="0"/>
    <xf numFmtId="170" fontId="9" fillId="0" borderId="0"/>
    <xf numFmtId="0" fontId="9" fillId="0" borderId="0"/>
    <xf numFmtId="0" fontId="9" fillId="0" borderId="0"/>
    <xf numFmtId="0" fontId="9" fillId="0" borderId="0"/>
    <xf numFmtId="0" fontId="9" fillId="0" borderId="0"/>
    <xf numFmtId="0" fontId="9" fillId="0" borderId="0"/>
    <xf numFmtId="0" fontId="9" fillId="0" borderId="0"/>
    <xf numFmtId="170" fontId="27" fillId="0" borderId="0"/>
    <xf numFmtId="0" fontId="9" fillId="0" borderId="0"/>
    <xf numFmtId="0" fontId="9" fillId="0" borderId="0"/>
    <xf numFmtId="0" fontId="9" fillId="0" borderId="0"/>
    <xf numFmtId="0" fontId="9" fillId="0" borderId="0"/>
    <xf numFmtId="0" fontId="9" fillId="0" borderId="0"/>
    <xf numFmtId="0" fontId="9" fillId="0" borderId="0"/>
    <xf numFmtId="0" fontId="20" fillId="0" borderId="0"/>
    <xf numFmtId="170" fontId="20" fillId="0" borderId="0"/>
    <xf numFmtId="172" fontId="20" fillId="0" borderId="0" applyFont="0" applyFill="0" applyBorder="0" applyAlignment="0" applyProtection="0"/>
    <xf numFmtId="0" fontId="9" fillId="0" borderId="0"/>
    <xf numFmtId="0" fontId="9" fillId="0" borderId="0"/>
    <xf numFmtId="0" fontId="25" fillId="0" borderId="0"/>
    <xf numFmtId="0" fontId="8" fillId="0" borderId="0"/>
    <xf numFmtId="0" fontId="20" fillId="0" borderId="0"/>
    <xf numFmtId="0" fontId="7" fillId="0" borderId="0"/>
    <xf numFmtId="0" fontId="7" fillId="0" borderId="0"/>
    <xf numFmtId="167" fontId="7" fillId="0" borderId="0" applyFont="0" applyFill="0" applyBorder="0" applyAlignment="0" applyProtection="0"/>
    <xf numFmtId="165" fontId="20" fillId="0" borderId="0" applyFont="0" applyFill="0" applyBorder="0" applyAlignment="0" applyProtection="0"/>
    <xf numFmtId="165" fontId="7" fillId="0" borderId="0" applyFont="0" applyFill="0" applyBorder="0" applyAlignment="0" applyProtection="0"/>
    <xf numFmtId="0" fontId="6" fillId="0" borderId="0"/>
    <xf numFmtId="167" fontId="6" fillId="0" borderId="0" applyFont="0" applyFill="0" applyBorder="0" applyAlignment="0" applyProtection="0"/>
    <xf numFmtId="0" fontId="5" fillId="0" borderId="0"/>
    <xf numFmtId="167" fontId="4"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22" fillId="33" borderId="0" applyNumberFormat="0" applyBorder="0" applyAlignment="0" applyProtection="0"/>
    <xf numFmtId="0" fontId="3" fillId="10"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22" fillId="34" borderId="0" applyNumberFormat="0" applyBorder="0" applyAlignment="0" applyProtection="0"/>
    <xf numFmtId="0" fontId="3" fillId="1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22" fillId="35" borderId="0" applyNumberFormat="0" applyBorder="0" applyAlignment="0" applyProtection="0"/>
    <xf numFmtId="0" fontId="3" fillId="18" borderId="0" applyNumberFormat="0" applyBorder="0" applyAlignment="0" applyProtection="0"/>
    <xf numFmtId="0" fontId="22" fillId="35" borderId="0" applyNumberFormat="0" applyBorder="0" applyAlignment="0" applyProtection="0"/>
    <xf numFmtId="0" fontId="22" fillId="35"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22" fillId="36" borderId="0" applyNumberFormat="0" applyBorder="0" applyAlignment="0" applyProtection="0"/>
    <xf numFmtId="0" fontId="3" fillId="22"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22" fillId="37" borderId="0" applyNumberFormat="0" applyBorder="0" applyAlignment="0" applyProtection="0"/>
    <xf numFmtId="0" fontId="3" fillId="26"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22" fillId="38" borderId="0" applyNumberFormat="0" applyBorder="0" applyAlignment="0" applyProtection="0"/>
    <xf numFmtId="0" fontId="3" fillId="30"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45" fillId="44"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22" fillId="45" borderId="0" applyNumberFormat="0" applyBorder="0" applyAlignment="0" applyProtection="0"/>
    <xf numFmtId="0" fontId="3" fillId="11"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22" fillId="46" borderId="0" applyNumberFormat="0" applyBorder="0" applyAlignment="0" applyProtection="0"/>
    <xf numFmtId="0" fontId="3" fillId="15"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22" fillId="47" borderId="0" applyNumberFormat="0" applyBorder="0" applyAlignment="0" applyProtection="0"/>
    <xf numFmtId="0" fontId="3" fillId="19"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22" fillId="36" borderId="0" applyNumberFormat="0" applyBorder="0" applyAlignment="0" applyProtection="0"/>
    <xf numFmtId="0" fontId="3" fillId="23"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22" fillId="45" borderId="0" applyNumberFormat="0" applyBorder="0" applyAlignment="0" applyProtection="0"/>
    <xf numFmtId="0" fontId="3" fillId="27"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22" fillId="48" borderId="0" applyNumberFormat="0" applyBorder="0" applyAlignment="0" applyProtection="0"/>
    <xf numFmtId="0" fontId="3" fillId="31" borderId="0" applyNumberFormat="0" applyBorder="0" applyAlignment="0" applyProtection="0"/>
    <xf numFmtId="0" fontId="22" fillId="48" borderId="0" applyNumberFormat="0" applyBorder="0" applyAlignment="0" applyProtection="0"/>
    <xf numFmtId="0" fontId="22" fillId="48"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53" borderId="0" applyNumberFormat="0" applyBorder="0" applyAlignment="0" applyProtection="0"/>
    <xf numFmtId="0" fontId="45" fillId="54"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6" fillId="55" borderId="0" applyNumberFormat="0" applyBorder="0" applyAlignment="0" applyProtection="0"/>
    <xf numFmtId="0" fontId="42" fillId="12" borderId="0" applyNumberFormat="0" applyBorder="0" applyAlignment="0" applyProtection="0"/>
    <xf numFmtId="0" fontId="46" fillId="55" borderId="0" applyNumberFormat="0" applyBorder="0" applyAlignment="0" applyProtection="0"/>
    <xf numFmtId="0" fontId="46" fillId="55"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6" fillId="46" borderId="0" applyNumberFormat="0" applyBorder="0" applyAlignment="0" applyProtection="0"/>
    <xf numFmtId="0" fontId="42" fillId="1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6" fillId="47" borderId="0" applyNumberFormat="0" applyBorder="0" applyAlignment="0" applyProtection="0"/>
    <xf numFmtId="0" fontId="42" fillId="20"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6" fillId="56" borderId="0" applyNumberFormat="0" applyBorder="0" applyAlignment="0" applyProtection="0"/>
    <xf numFmtId="0" fontId="42" fillId="24" borderId="0" applyNumberFormat="0" applyBorder="0" applyAlignment="0" applyProtection="0"/>
    <xf numFmtId="0" fontId="46" fillId="56" borderId="0" applyNumberFormat="0" applyBorder="0" applyAlignment="0" applyProtection="0"/>
    <xf numFmtId="0" fontId="46" fillId="56"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6" fillId="57" borderId="0" applyNumberFormat="0" applyBorder="0" applyAlignment="0" applyProtection="0"/>
    <xf numFmtId="0" fontId="42" fillId="28" borderId="0" applyNumberFormat="0" applyBorder="0" applyAlignment="0" applyProtection="0"/>
    <xf numFmtId="0" fontId="46" fillId="57" borderId="0" applyNumberFormat="0" applyBorder="0" applyAlignment="0" applyProtection="0"/>
    <xf numFmtId="0" fontId="46" fillId="57"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6" fillId="58" borderId="0" applyNumberFormat="0" applyBorder="0" applyAlignment="0" applyProtection="0"/>
    <xf numFmtId="0" fontId="42" fillId="32" borderId="0" applyNumberFormat="0" applyBorder="0" applyAlignment="0" applyProtection="0"/>
    <xf numFmtId="0" fontId="46" fillId="58" borderId="0" applyNumberFormat="0" applyBorder="0" applyAlignment="0" applyProtection="0"/>
    <xf numFmtId="0" fontId="46" fillId="5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7" fillId="59" borderId="0" applyNumberFormat="0" applyBorder="0" applyAlignment="0" applyProtection="0"/>
    <xf numFmtId="0" fontId="47" fillId="60" borderId="0" applyNumberFormat="0" applyBorder="0" applyAlignment="0" applyProtection="0"/>
    <xf numFmtId="0" fontId="47" fillId="61" borderId="0" applyNumberFormat="0" applyBorder="0" applyAlignment="0" applyProtection="0"/>
    <xf numFmtId="0" fontId="47" fillId="62" borderId="0" applyNumberFormat="0" applyBorder="0" applyAlignment="0" applyProtection="0"/>
    <xf numFmtId="0" fontId="47" fillId="63" borderId="0" applyNumberFormat="0" applyBorder="0" applyAlignment="0" applyProtection="0"/>
    <xf numFmtId="0" fontId="47" fillId="64"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49" fillId="65" borderId="16" applyNumberFormat="0" applyAlignment="0" applyProtection="0"/>
    <xf numFmtId="0" fontId="36" fillId="6" borderId="10" applyNumberFormat="0" applyAlignment="0" applyProtection="0"/>
    <xf numFmtId="0" fontId="49" fillId="65" borderId="16" applyNumberFormat="0" applyAlignment="0" applyProtection="0"/>
    <xf numFmtId="0" fontId="49" fillId="65" borderId="16"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50" fillId="66" borderId="17" applyNumberFormat="0" applyAlignment="0" applyProtection="0"/>
    <xf numFmtId="0" fontId="38" fillId="7" borderId="13" applyNumberFormat="0" applyAlignment="0" applyProtection="0"/>
    <xf numFmtId="0" fontId="50" fillId="66" borderId="17" applyNumberFormat="0" applyAlignment="0" applyProtection="0"/>
    <xf numFmtId="0" fontId="38" fillId="7" borderId="13" applyNumberFormat="0" applyAlignment="0" applyProtection="0"/>
    <xf numFmtId="0" fontId="50" fillId="66" borderId="17" applyNumberFormat="0" applyAlignment="0" applyProtection="0"/>
    <xf numFmtId="0" fontId="50" fillId="66" borderId="17" applyNumberFormat="0" applyAlignment="0" applyProtection="0"/>
    <xf numFmtId="0" fontId="50" fillId="66" borderId="17" applyNumberFormat="0" applyAlignment="0" applyProtection="0"/>
    <xf numFmtId="0" fontId="38" fillId="7" borderId="13" applyNumberFormat="0" applyAlignment="0" applyProtection="0"/>
    <xf numFmtId="0" fontId="38" fillId="7" borderId="13" applyNumberFormat="0" applyAlignment="0" applyProtection="0"/>
    <xf numFmtId="0" fontId="50" fillId="66" borderId="17" applyNumberFormat="0" applyAlignment="0" applyProtection="0"/>
    <xf numFmtId="0" fontId="50" fillId="66" borderId="17"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51" fillId="0" borderId="18" applyNumberFormat="0" applyFill="0" applyAlignment="0" applyProtection="0"/>
    <xf numFmtId="0" fontId="37" fillId="0" borderId="12" applyNumberFormat="0" applyFill="0" applyAlignment="0" applyProtection="0"/>
    <xf numFmtId="0" fontId="51" fillId="0" borderId="18" applyNumberFormat="0" applyFill="0" applyAlignment="0" applyProtection="0"/>
    <xf numFmtId="0" fontId="37" fillId="0" borderId="12"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43" fontId="20" fillId="0" borderId="0" applyFon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46" fillId="67" borderId="0" applyNumberFormat="0" applyBorder="0" applyAlignment="0" applyProtection="0"/>
    <xf numFmtId="0" fontId="42" fillId="9" borderId="0" applyNumberFormat="0" applyBorder="0" applyAlignment="0" applyProtection="0"/>
    <xf numFmtId="0" fontId="46" fillId="67" borderId="0" applyNumberFormat="0" applyBorder="0" applyAlignment="0" applyProtection="0"/>
    <xf numFmtId="0" fontId="46" fillId="67"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6" fillId="68" borderId="0" applyNumberFormat="0" applyBorder="0" applyAlignment="0" applyProtection="0"/>
    <xf numFmtId="0" fontId="42" fillId="13" borderId="0" applyNumberFormat="0" applyBorder="0" applyAlignment="0" applyProtection="0"/>
    <xf numFmtId="0" fontId="46" fillId="68" borderId="0" applyNumberFormat="0" applyBorder="0" applyAlignment="0" applyProtection="0"/>
    <xf numFmtId="0" fontId="46" fillId="68"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6" fillId="69" borderId="0" applyNumberFormat="0" applyBorder="0" applyAlignment="0" applyProtection="0"/>
    <xf numFmtId="0" fontId="42" fillId="17" borderId="0" applyNumberFormat="0" applyBorder="0" applyAlignment="0" applyProtection="0"/>
    <xf numFmtId="0" fontId="46" fillId="69" borderId="0" applyNumberFormat="0" applyBorder="0" applyAlignment="0" applyProtection="0"/>
    <xf numFmtId="0" fontId="46" fillId="69"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6" fillId="56" borderId="0" applyNumberFormat="0" applyBorder="0" applyAlignment="0" applyProtection="0"/>
    <xf numFmtId="0" fontId="42" fillId="21" borderId="0" applyNumberFormat="0" applyBorder="0" applyAlignment="0" applyProtection="0"/>
    <xf numFmtId="0" fontId="46" fillId="56" borderId="0" applyNumberFormat="0" applyBorder="0" applyAlignment="0" applyProtection="0"/>
    <xf numFmtId="0" fontId="46" fillId="56"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6" fillId="57" borderId="0" applyNumberFormat="0" applyBorder="0" applyAlignment="0" applyProtection="0"/>
    <xf numFmtId="0" fontId="42" fillId="25" borderId="0" applyNumberFormat="0" applyBorder="0" applyAlignment="0" applyProtection="0"/>
    <xf numFmtId="0" fontId="46" fillId="57" borderId="0" applyNumberFormat="0" applyBorder="0" applyAlignment="0" applyProtection="0"/>
    <xf numFmtId="0" fontId="46" fillId="57"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6" fillId="70" borderId="0" applyNumberFormat="0" applyBorder="0" applyAlignment="0" applyProtection="0"/>
    <xf numFmtId="0" fontId="42" fillId="29" borderId="0" applyNumberFormat="0" applyBorder="0" applyAlignment="0" applyProtection="0"/>
    <xf numFmtId="0" fontId="46" fillId="70" borderId="0" applyNumberFormat="0" applyBorder="0" applyAlignment="0" applyProtection="0"/>
    <xf numFmtId="0" fontId="46" fillId="70"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53" fillId="38" borderId="16" applyNumberFormat="0" applyAlignment="0" applyProtection="0"/>
    <xf numFmtId="0" fontId="34" fillId="5" borderId="10" applyNumberFormat="0" applyAlignment="0" applyProtection="0"/>
    <xf numFmtId="0" fontId="53" fillId="38" borderId="16" applyNumberFormat="0" applyAlignment="0" applyProtection="0"/>
    <xf numFmtId="0" fontId="34" fillId="5" borderId="10" applyNumberFormat="0" applyAlignment="0" applyProtection="0"/>
    <xf numFmtId="0" fontId="53" fillId="38" borderId="16" applyNumberFormat="0" applyAlignment="0" applyProtection="0"/>
    <xf numFmtId="0" fontId="53" fillId="38" borderId="16" applyNumberFormat="0" applyAlignment="0" applyProtection="0"/>
    <xf numFmtId="0" fontId="53" fillId="38" borderId="16" applyNumberFormat="0" applyAlignment="0" applyProtection="0"/>
    <xf numFmtId="0" fontId="34" fillId="5" borderId="10" applyNumberFormat="0" applyAlignment="0" applyProtection="0"/>
    <xf numFmtId="0" fontId="34" fillId="5" borderId="10" applyNumberFormat="0" applyAlignment="0" applyProtection="0"/>
    <xf numFmtId="0" fontId="53" fillId="38" borderId="16" applyNumberFormat="0" applyAlignment="0" applyProtection="0"/>
    <xf numFmtId="0" fontId="53" fillId="38" borderId="16"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176"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2" fillId="0" borderId="0"/>
    <xf numFmtId="177" fontId="22" fillId="0" borderId="0"/>
    <xf numFmtId="178" fontId="54"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55" fillId="0" borderId="0" applyNumberFormat="0" applyFill="0" applyBorder="0" applyAlignment="0" applyProtection="0">
      <alignment vertical="top"/>
      <protection locked="0"/>
    </xf>
    <xf numFmtId="0" fontId="55" fillId="0" borderId="0" applyNumberFormat="0" applyFill="0" applyBorder="0" applyAlignment="0" applyProtection="0"/>
    <xf numFmtId="0" fontId="56" fillId="0" borderId="0" applyNumberFormat="0" applyFill="0" applyBorder="0" applyAlignment="0" applyProtection="0">
      <alignment vertical="top"/>
      <protection locked="0"/>
    </xf>
    <xf numFmtId="0" fontId="26" fillId="0" borderId="0" applyNumberFormat="0" applyFill="0" applyBorder="0" applyAlignment="0" applyProtection="0"/>
    <xf numFmtId="0" fontId="5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177" fontId="26" fillId="0" borderId="0" applyNumberFormat="0" applyFill="0" applyBorder="0" applyAlignment="0" applyProtection="0"/>
    <xf numFmtId="0" fontId="58" fillId="34" borderId="0" applyNumberFormat="0" applyBorder="0" applyAlignment="0" applyProtection="0"/>
    <xf numFmtId="0" fontId="33" fillId="3" borderId="0" applyNumberFormat="0" applyBorder="0" applyAlignment="0" applyProtection="0"/>
    <xf numFmtId="0" fontId="58" fillId="34" borderId="0" applyNumberFormat="0" applyBorder="0" applyAlignment="0" applyProtection="0"/>
    <xf numFmtId="0" fontId="58" fillId="34"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9"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80" fontId="20"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80" fontId="20" fillId="0" borderId="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67" fontId="3"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5" fontId="3" fillId="0" borderId="0" applyFont="0" applyFill="0" applyBorder="0" applyAlignment="0" applyProtection="0"/>
    <xf numFmtId="0" fontId="59" fillId="71" borderId="0" applyNumberFormat="0" applyBorder="0" applyAlignment="0" applyProtection="0"/>
    <xf numFmtId="0" fontId="59" fillId="71" borderId="0" applyNumberFormat="0" applyBorder="0" applyAlignment="0" applyProtection="0"/>
    <xf numFmtId="0" fontId="59" fillId="71" borderId="0" applyNumberFormat="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170" fontId="20" fillId="0" borderId="0"/>
    <xf numFmtId="0" fontId="3" fillId="0" borderId="0"/>
    <xf numFmtId="0" fontId="20" fillId="0" borderId="0">
      <alignment vertical="top"/>
    </xf>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applyNumberFormat="0" applyFill="0" applyBorder="0" applyAlignment="0" applyProtection="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177"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177" fontId="20" fillId="0" borderId="0"/>
    <xf numFmtId="0"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7"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7"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170"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170"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170"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0"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0" fontId="20" fillId="0" borderId="0"/>
    <xf numFmtId="170" fontId="20" fillId="0" borderId="0"/>
    <xf numFmtId="170" fontId="20"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0" fontId="3"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0" fontId="20" fillId="0" borderId="0">
      <alignment vertical="top"/>
    </xf>
    <xf numFmtId="170" fontId="20" fillId="0" borderId="0"/>
    <xf numFmtId="177" fontId="3" fillId="0" borderId="0"/>
    <xf numFmtId="170" fontId="20" fillId="0" borderId="0"/>
    <xf numFmtId="177" fontId="3" fillId="0" borderId="0"/>
    <xf numFmtId="170"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0" fontId="3" fillId="0" borderId="0"/>
    <xf numFmtId="0" fontId="20" fillId="0" borderId="0"/>
    <xf numFmtId="177" fontId="20" fillId="0" borderId="0"/>
    <xf numFmtId="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20"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20"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0" fontId="3" fillId="0" borderId="0"/>
    <xf numFmtId="177" fontId="3"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alignment vertical="top"/>
    </xf>
    <xf numFmtId="0" fontId="20" fillId="0" borderId="0">
      <alignment vertical="top"/>
    </xf>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0" fontId="20"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0"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0" fontId="20" fillId="0" borderId="0"/>
    <xf numFmtId="177" fontId="20" fillId="0" borderId="0"/>
    <xf numFmtId="0" fontId="20" fillId="0" borderId="0"/>
    <xf numFmtId="0" fontId="20" fillId="0" borderId="0"/>
    <xf numFmtId="0" fontId="45" fillId="0" borderId="0"/>
    <xf numFmtId="177" fontId="27" fillId="0" borderId="0"/>
    <xf numFmtId="0" fontId="20" fillId="0" borderId="0"/>
    <xf numFmtId="0" fontId="20" fillId="0" borderId="0"/>
    <xf numFmtId="0" fontId="45" fillId="0" borderId="0"/>
    <xf numFmtId="177" fontId="27" fillId="0" borderId="0"/>
    <xf numFmtId="0" fontId="20" fillId="0" borderId="0"/>
    <xf numFmtId="0" fontId="20" fillId="0" borderId="0"/>
    <xf numFmtId="0" fontId="61" fillId="0" borderId="0"/>
    <xf numFmtId="0" fontId="45" fillId="0" borderId="0"/>
    <xf numFmtId="0" fontId="61" fillId="0" borderId="0"/>
    <xf numFmtId="0" fontId="61" fillId="0" borderId="0"/>
    <xf numFmtId="0" fontId="45" fillId="0" borderId="0"/>
    <xf numFmtId="177" fontId="27" fillId="0" borderId="0"/>
    <xf numFmtId="0" fontId="61" fillId="0" borderId="0"/>
    <xf numFmtId="0" fontId="45" fillId="0" borderId="0"/>
    <xf numFmtId="0" fontId="61" fillId="0" borderId="0"/>
    <xf numFmtId="0" fontId="20" fillId="0" borderId="0"/>
    <xf numFmtId="0" fontId="20" fillId="0" borderId="0"/>
    <xf numFmtId="0" fontId="45" fillId="0" borderId="0"/>
    <xf numFmtId="177" fontId="20" fillId="0" borderId="0"/>
    <xf numFmtId="0" fontId="20" fillId="0" borderId="0"/>
    <xf numFmtId="0" fontId="20" fillId="0" borderId="0"/>
    <xf numFmtId="0" fontId="45" fillId="0" borderId="0"/>
    <xf numFmtId="177" fontId="27" fillId="0" borderId="0"/>
    <xf numFmtId="0" fontId="20" fillId="0" borderId="0"/>
    <xf numFmtId="0" fontId="20" fillId="0" borderId="0"/>
    <xf numFmtId="0" fontId="61"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20" fillId="0" borderId="0"/>
    <xf numFmtId="0" fontId="45" fillId="0" borderId="0"/>
    <xf numFmtId="0" fontId="20" fillId="0" borderId="0"/>
    <xf numFmtId="0" fontId="45" fillId="0" borderId="0"/>
    <xf numFmtId="0" fontId="45" fillId="0" borderId="0"/>
    <xf numFmtId="0" fontId="20" fillId="0" borderId="0"/>
    <xf numFmtId="0" fontId="45" fillId="0" borderId="0"/>
    <xf numFmtId="0" fontId="20" fillId="0" borderId="0"/>
    <xf numFmtId="170" fontId="27" fillId="0" borderId="0"/>
    <xf numFmtId="0" fontId="20" fillId="0" borderId="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7" fillId="0" borderId="0"/>
    <xf numFmtId="0" fontId="27" fillId="0" borderId="0"/>
    <xf numFmtId="0" fontId="20" fillId="0" borderId="0"/>
    <xf numFmtId="170" fontId="27" fillId="0" borderId="0"/>
    <xf numFmtId="0" fontId="20" fillId="0" borderId="0"/>
    <xf numFmtId="0" fontId="45" fillId="0" borderId="0"/>
    <xf numFmtId="177" fontId="27" fillId="0" borderId="0"/>
    <xf numFmtId="0" fontId="45" fillId="0" borderId="0"/>
    <xf numFmtId="170" fontId="27" fillId="0" borderId="0"/>
    <xf numFmtId="0" fontId="45" fillId="0" borderId="0"/>
    <xf numFmtId="0" fontId="45" fillId="0" borderId="0"/>
    <xf numFmtId="0" fontId="45" fillId="0" borderId="0"/>
    <xf numFmtId="0" fontId="45" fillId="0" borderId="0"/>
    <xf numFmtId="0" fontId="20" fillId="0" borderId="0"/>
    <xf numFmtId="0" fontId="20" fillId="0" borderId="0"/>
    <xf numFmtId="177"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177"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0" fontId="20"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7" fillId="0" borderId="0"/>
    <xf numFmtId="0" fontId="20" fillId="0" borderId="0"/>
    <xf numFmtId="177" fontId="20" fillId="0" borderId="0"/>
    <xf numFmtId="0" fontId="45"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3" fillId="0" borderId="0"/>
    <xf numFmtId="170" fontId="3" fillId="0" borderId="0"/>
    <xf numFmtId="177" fontId="20" fillId="0" borderId="0"/>
    <xf numFmtId="0" fontId="61" fillId="0" borderId="0"/>
    <xf numFmtId="177" fontId="20" fillId="0" borderId="0"/>
    <xf numFmtId="177" fontId="20" fillId="0" borderId="0"/>
    <xf numFmtId="177" fontId="20" fillId="0" borderId="0"/>
    <xf numFmtId="177" fontId="20" fillId="0" borderId="0"/>
    <xf numFmtId="0" fontId="20" fillId="0" borderId="0"/>
    <xf numFmtId="177" fontId="27" fillId="0" borderId="0"/>
    <xf numFmtId="177" fontId="20" fillId="0" borderId="0"/>
    <xf numFmtId="0" fontId="20" fillId="0" borderId="0"/>
    <xf numFmtId="177" fontId="20" fillId="0" borderId="0"/>
    <xf numFmtId="0" fontId="45" fillId="0" borderId="0"/>
    <xf numFmtId="177" fontId="20" fillId="0" borderId="0"/>
    <xf numFmtId="0" fontId="61" fillId="0" borderId="0"/>
    <xf numFmtId="177" fontId="20" fillId="0" borderId="0"/>
    <xf numFmtId="0" fontId="61" fillId="0" borderId="0"/>
    <xf numFmtId="177"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0" fontId="20"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0" fillId="0" borderId="0"/>
    <xf numFmtId="0" fontId="20" fillId="0" borderId="0"/>
    <xf numFmtId="177" fontId="27"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177" fontId="20" fillId="0" borderId="0"/>
    <xf numFmtId="0" fontId="20" fillId="0" borderId="0"/>
    <xf numFmtId="0" fontId="20" fillId="0" borderId="0"/>
    <xf numFmtId="170" fontId="20" fillId="0" borderId="0"/>
    <xf numFmtId="0" fontId="20" fillId="0" borderId="0"/>
    <xf numFmtId="170" fontId="20" fillId="0" borderId="0"/>
    <xf numFmtId="0" fontId="20" fillId="0" borderId="0" applyNumberFormat="0" applyFill="0" applyBorder="0" applyAlignment="0" applyProtection="0"/>
    <xf numFmtId="0" fontId="20" fillId="0" borderId="0"/>
    <xf numFmtId="0" fontId="20" fillId="0" borderId="0"/>
    <xf numFmtId="177" fontId="20" fillId="0" borderId="0"/>
    <xf numFmtId="0" fontId="20" fillId="0" borderId="0"/>
    <xf numFmtId="170" fontId="20" fillId="0" borderId="0"/>
    <xf numFmtId="0" fontId="20" fillId="0" borderId="0" applyNumberFormat="0" applyFill="0" applyBorder="0" applyAlignment="0" applyProtection="0"/>
    <xf numFmtId="0" fontId="20" fillId="0" borderId="0"/>
    <xf numFmtId="0" fontId="20" fillId="0" borderId="0"/>
    <xf numFmtId="0" fontId="20" fillId="0" borderId="0" applyNumberFormat="0" applyFill="0" applyBorder="0" applyAlignment="0" applyProtection="0"/>
    <xf numFmtId="0" fontId="20" fillId="0" borderId="0"/>
    <xf numFmtId="0" fontId="20" fillId="0" borderId="0"/>
    <xf numFmtId="177" fontId="20" fillId="0" borderId="0"/>
    <xf numFmtId="0" fontId="20" fillId="0" borderId="0"/>
    <xf numFmtId="0" fontId="60" fillId="0" borderId="0"/>
    <xf numFmtId="0" fontId="20" fillId="0" borderId="0"/>
    <xf numFmtId="0" fontId="20" fillId="0" borderId="0"/>
    <xf numFmtId="177" fontId="20" fillId="0" borderId="0"/>
    <xf numFmtId="0" fontId="20" fillId="0" borderId="0"/>
    <xf numFmtId="0" fontId="60" fillId="0" borderId="0"/>
    <xf numFmtId="177"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3" fillId="0" borderId="0"/>
    <xf numFmtId="17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4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20" fillId="0" borderId="0"/>
    <xf numFmtId="0" fontId="20" fillId="0" borderId="0"/>
    <xf numFmtId="0" fontId="62"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62" fillId="0" borderId="0"/>
    <xf numFmtId="0" fontId="20" fillId="0" borderId="0"/>
    <xf numFmtId="0" fontId="20" fillId="0" borderId="0"/>
    <xf numFmtId="0" fontId="62" fillId="0" borderId="0"/>
    <xf numFmtId="0" fontId="20" fillId="0" borderId="0"/>
    <xf numFmtId="0" fontId="20" fillId="0" borderId="0"/>
    <xf numFmtId="0" fontId="62" fillId="0" borderId="0"/>
    <xf numFmtId="0" fontId="20" fillId="0" borderId="0"/>
    <xf numFmtId="0" fontId="20" fillId="0" borderId="0"/>
    <xf numFmtId="0" fontId="62" fillId="0" borderId="0"/>
    <xf numFmtId="0" fontId="3" fillId="0" borderId="0"/>
    <xf numFmtId="0" fontId="62" fillId="0" borderId="0"/>
    <xf numFmtId="0" fontId="62" fillId="0" borderId="0"/>
    <xf numFmtId="0" fontId="62" fillId="0" borderId="0"/>
    <xf numFmtId="0" fontId="62" fillId="0" borderId="0"/>
    <xf numFmtId="0" fontId="62" fillId="0" borderId="0"/>
    <xf numFmtId="0" fontId="62"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62" fillId="0" borderId="0"/>
    <xf numFmtId="0" fontId="62"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xf numFmtId="0" fontId="20" fillId="0" borderId="0">
      <alignment vertical="top"/>
    </xf>
    <xf numFmtId="0" fontId="20" fillId="0" borderId="0">
      <alignment vertical="top"/>
    </xf>
    <xf numFmtId="0" fontId="20"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3" fillId="0" borderId="0"/>
    <xf numFmtId="0" fontId="20" fillId="0" borderId="0">
      <alignment vertical="top"/>
    </xf>
    <xf numFmtId="177" fontId="27" fillId="0" borderId="0"/>
    <xf numFmtId="0" fontId="20" fillId="0" borderId="0">
      <alignment vertical="top"/>
    </xf>
    <xf numFmtId="0" fontId="20"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20" fillId="0" borderId="0">
      <alignment vertical="top"/>
    </xf>
    <xf numFmtId="170" fontId="20" fillId="0" borderId="0"/>
    <xf numFmtId="0" fontId="20" fillId="0" borderId="0">
      <alignment vertical="top"/>
    </xf>
    <xf numFmtId="177" fontId="27" fillId="0" borderId="0"/>
    <xf numFmtId="0" fontId="20" fillId="0" borderId="0"/>
    <xf numFmtId="0" fontId="20" fillId="0" borderId="0"/>
    <xf numFmtId="0" fontId="20" fillId="0" borderId="0"/>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alignment vertical="top"/>
    </xf>
    <xf numFmtId="0" fontId="20" fillId="0" borderId="0">
      <alignment vertical="top"/>
    </xf>
    <xf numFmtId="0" fontId="3" fillId="0" borderId="0"/>
    <xf numFmtId="0" fontId="20"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3" fillId="0" borderId="0"/>
    <xf numFmtId="0" fontId="3" fillId="0" borderId="0"/>
    <xf numFmtId="177" fontId="27"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177" fontId="20" fillId="0" borderId="0"/>
    <xf numFmtId="0" fontId="60" fillId="0" borderId="0"/>
    <xf numFmtId="0" fontId="3" fillId="0" borderId="0"/>
    <xf numFmtId="0" fontId="63" fillId="0" borderId="0"/>
    <xf numFmtId="0" fontId="60" fillId="0" borderId="0"/>
    <xf numFmtId="0" fontId="63" fillId="0" borderId="0"/>
    <xf numFmtId="170" fontId="3" fillId="0" borderId="0"/>
    <xf numFmtId="0" fontId="63" fillId="0" borderId="0"/>
    <xf numFmtId="0" fontId="60" fillId="0" borderId="0"/>
    <xf numFmtId="0" fontId="3" fillId="0" borderId="0"/>
    <xf numFmtId="0" fontId="3" fillId="0" borderId="0"/>
    <xf numFmtId="0" fontId="63" fillId="0" borderId="0"/>
    <xf numFmtId="0" fontId="60" fillId="0" borderId="0"/>
    <xf numFmtId="0" fontId="63" fillId="0" borderId="0"/>
    <xf numFmtId="0" fontId="63" fillId="0" borderId="0"/>
    <xf numFmtId="0" fontId="60" fillId="0" borderId="0"/>
    <xf numFmtId="0" fontId="63" fillId="0" borderId="0"/>
    <xf numFmtId="0" fontId="63" fillId="0" borderId="0"/>
    <xf numFmtId="0" fontId="60" fillId="0" borderId="0"/>
    <xf numFmtId="0" fontId="64" fillId="0" borderId="0"/>
    <xf numFmtId="0" fontId="60" fillId="0" borderId="0"/>
    <xf numFmtId="0" fontId="64" fillId="0" borderId="0"/>
    <xf numFmtId="0" fontId="60" fillId="0" borderId="0"/>
    <xf numFmtId="0" fontId="63" fillId="0" borderId="0"/>
    <xf numFmtId="0" fontId="6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170" fontId="20" fillId="0" borderId="0"/>
    <xf numFmtId="177"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3" fillId="0" borderId="0"/>
    <xf numFmtId="0" fontId="3" fillId="0" borderId="0"/>
    <xf numFmtId="0" fontId="65" fillId="0" borderId="0"/>
    <xf numFmtId="0" fontId="3" fillId="0" borderId="0"/>
    <xf numFmtId="0" fontId="20" fillId="0" borderId="0"/>
    <xf numFmtId="0" fontId="20" fillId="0" borderId="0"/>
    <xf numFmtId="0" fontId="20" fillId="0" borderId="0"/>
    <xf numFmtId="0" fontId="20" fillId="0" borderId="0"/>
    <xf numFmtId="168" fontId="20" fillId="0" borderId="0" applyFont="0" applyFill="0" applyBorder="0" applyAlignment="0" applyProtection="0"/>
    <xf numFmtId="177"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3" fillId="0" borderId="0"/>
    <xf numFmtId="0" fontId="20" fillId="0" borderId="0"/>
    <xf numFmtId="0" fontId="20" fillId="0" borderId="0"/>
    <xf numFmtId="0" fontId="3" fillId="0" borderId="0"/>
    <xf numFmtId="0" fontId="20" fillId="0" borderId="0"/>
    <xf numFmtId="0" fontId="3" fillId="0" borderId="0"/>
    <xf numFmtId="170" fontId="20" fillId="0" borderId="0"/>
    <xf numFmtId="170" fontId="20" fillId="0" borderId="0"/>
    <xf numFmtId="170" fontId="20" fillId="0" borderId="0"/>
    <xf numFmtId="0" fontId="3" fillId="0" borderId="0"/>
    <xf numFmtId="0" fontId="3" fillId="0" borderId="0"/>
    <xf numFmtId="170" fontId="20"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2" fillId="72" borderId="19" applyNumberFormat="0" applyFont="0" applyAlignment="0" applyProtection="0"/>
    <xf numFmtId="0" fontId="20" fillId="72" borderId="19" applyNumberFormat="0" applyFont="0" applyAlignment="0" applyProtection="0"/>
    <xf numFmtId="0" fontId="22" fillId="8" borderId="14" applyNumberFormat="0" applyFont="0" applyAlignment="0" applyProtection="0"/>
    <xf numFmtId="0" fontId="20" fillId="72" borderId="19" applyNumberFormat="0" applyFont="0" applyAlignment="0" applyProtection="0"/>
    <xf numFmtId="0" fontId="22" fillId="8" borderId="14"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0" borderId="0"/>
    <xf numFmtId="0" fontId="3" fillId="0" borderId="0"/>
    <xf numFmtId="0" fontId="3" fillId="8" borderId="14"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0" borderId="0"/>
    <xf numFmtId="0" fontId="3" fillId="0" borderId="0"/>
    <xf numFmtId="0" fontId="3" fillId="8" borderId="14" applyNumberFormat="0" applyFont="0" applyAlignment="0" applyProtection="0"/>
    <xf numFmtId="0" fontId="22"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0" fontId="3" fillId="0" borderId="0"/>
    <xf numFmtId="0" fontId="35" fillId="6" borderId="11" applyNumberFormat="0" applyAlignment="0" applyProtection="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3" fillId="0" borderId="0"/>
    <xf numFmtId="0" fontId="35" fillId="6" borderId="11" applyNumberFormat="0" applyAlignment="0" applyProtection="0"/>
    <xf numFmtId="0" fontId="3" fillId="0" borderId="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3" fillId="0" borderId="0"/>
    <xf numFmtId="0" fontId="3" fillId="0" borderId="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3" fillId="0" borderId="0"/>
    <xf numFmtId="0" fontId="3" fillId="0" borderId="0"/>
    <xf numFmtId="0" fontId="66" fillId="65" borderId="20"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67" fillId="0" borderId="0"/>
    <xf numFmtId="0" fontId="67" fillId="0" borderId="0"/>
    <xf numFmtId="0" fontId="67" fillId="0" borderId="0"/>
    <xf numFmtId="0" fontId="3" fillId="0" borderId="0"/>
    <xf numFmtId="0" fontId="3" fillId="0" borderId="0"/>
    <xf numFmtId="0" fontId="67" fillId="0" borderId="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68" fillId="0" borderId="0" applyNumberFormat="0" applyFill="0" applyBorder="0" applyAlignment="0" applyProtection="0"/>
    <xf numFmtId="0" fontId="39" fillId="0" borderId="0" applyNumberFormat="0" applyFill="0" applyBorder="0" applyAlignment="0" applyProtection="0"/>
    <xf numFmtId="0" fontId="68" fillId="0" borderId="0" applyNumberFormat="0" applyFill="0" applyBorder="0" applyAlignment="0" applyProtection="0"/>
    <xf numFmtId="0" fontId="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 fillId="0" borderId="0"/>
    <xf numFmtId="0" fontId="40"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 fillId="0" borderId="0"/>
    <xf numFmtId="0" fontId="40" fillId="0" borderId="0" applyNumberFormat="0" applyFill="0" applyBorder="0" applyAlignment="0" applyProtection="0"/>
    <xf numFmtId="0" fontId="3" fillId="0" borderId="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 fillId="0" borderId="0"/>
    <xf numFmtId="0" fontId="3" fillId="0" borderId="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 fillId="0" borderId="0"/>
    <xf numFmtId="0" fontId="3" fillId="0" borderId="0"/>
    <xf numFmtId="0" fontId="6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3" fillId="0" borderId="0"/>
    <xf numFmtId="0" fontId="29" fillId="0" borderId="7"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 fillId="0" borderId="0"/>
    <xf numFmtId="0" fontId="3" fillId="0" borderId="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 fillId="0" borderId="0"/>
    <xf numFmtId="0" fontId="3" fillId="0" borderId="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 fillId="0" borderId="0"/>
    <xf numFmtId="0" fontId="3" fillId="0" borderId="0"/>
    <xf numFmtId="0" fontId="70" fillId="0" borderId="21"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3" fillId="0" borderId="0"/>
    <xf numFmtId="0" fontId="30" fillId="0" borderId="8"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3" fillId="0" borderId="0"/>
    <xf numFmtId="0" fontId="30" fillId="0" borderId="8" applyNumberFormat="0" applyFill="0" applyAlignment="0" applyProtection="0"/>
    <xf numFmtId="0" fontId="3" fillId="0" borderId="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3" fillId="0" borderId="0"/>
    <xf numFmtId="0" fontId="3" fillId="0" borderId="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3" fillId="0" borderId="0"/>
    <xf numFmtId="0" fontId="3" fillId="0" borderId="0"/>
    <xf numFmtId="0" fontId="71" fillId="0" borderId="22"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1" fillId="0" borderId="9"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3" fillId="0" borderId="0"/>
    <xf numFmtId="0" fontId="31" fillId="0" borderId="9" applyNumberFormat="0" applyFill="0" applyAlignment="0" applyProtection="0"/>
    <xf numFmtId="0" fontId="3" fillId="0" borderId="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3" fillId="0" borderId="0"/>
    <xf numFmtId="0" fontId="3" fillId="0" borderId="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3" fillId="0" borderId="0"/>
    <xf numFmtId="0" fontId="3" fillId="0" borderId="0"/>
    <xf numFmtId="0" fontId="52" fillId="0" borderId="23"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3" fillId="0" borderId="0"/>
    <xf numFmtId="0" fontId="44" fillId="0" borderId="0" applyNumberFormat="0" applyFill="0" applyBorder="0" applyAlignment="0" applyProtection="0"/>
    <xf numFmtId="0" fontId="3"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3" fillId="0" borderId="0"/>
    <xf numFmtId="0" fontId="44" fillId="0" borderId="0" applyNumberFormat="0" applyFill="0" applyBorder="0" applyAlignment="0" applyProtection="0"/>
    <xf numFmtId="0" fontId="3"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3" fillId="0" borderId="0"/>
    <xf numFmtId="0" fontId="3" fillId="0" borderId="0"/>
    <xf numFmtId="0" fontId="72"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3" fillId="0" borderId="0"/>
    <xf numFmtId="0" fontId="3" fillId="0" borderId="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3" fillId="0" borderId="0"/>
    <xf numFmtId="0" fontId="3" fillId="0" borderId="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3" fillId="0" borderId="0"/>
    <xf numFmtId="0" fontId="3" fillId="0" borderId="0"/>
    <xf numFmtId="0" fontId="73" fillId="0" borderId="24"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3" fillId="0" borderId="0"/>
    <xf numFmtId="0" fontId="3" fillId="0" borderId="0"/>
    <xf numFmtId="0" fontId="41" fillId="0" borderId="15"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74" fillId="2" borderId="0" applyNumberFormat="0" applyBorder="0" applyAlignment="0" applyProtection="0"/>
    <xf numFmtId="0" fontId="75" fillId="3" borderId="0" applyNumberFormat="0" applyBorder="0" applyAlignment="0" applyProtection="0"/>
    <xf numFmtId="0" fontId="47" fillId="73" borderId="0" applyNumberFormat="0" applyBorder="0" applyAlignment="0" applyProtection="0"/>
    <xf numFmtId="0" fontId="47" fillId="74" borderId="0" applyNumberFormat="0" applyBorder="0" applyAlignment="0" applyProtection="0"/>
    <xf numFmtId="0" fontId="47" fillId="75" borderId="0" applyNumberFormat="0" applyBorder="0" applyAlignment="0" applyProtection="0"/>
    <xf numFmtId="0" fontId="47" fillId="76" borderId="0" applyNumberFormat="0" applyBorder="0" applyAlignment="0" applyProtection="0"/>
    <xf numFmtId="0" fontId="47" fillId="77" borderId="0" applyNumberFormat="0" applyBorder="0" applyAlignment="0" applyProtection="0"/>
    <xf numFmtId="0" fontId="47" fillId="78" borderId="0" applyNumberFormat="0" applyBorder="0" applyAlignment="0" applyProtection="0"/>
    <xf numFmtId="0" fontId="76" fillId="0" borderId="0" applyNumberFormat="0" applyFill="0" applyBorder="0" applyAlignment="0" applyProtection="0"/>
    <xf numFmtId="0" fontId="77" fillId="0" borderId="25" applyNumberFormat="0" applyFill="0" applyAlignment="0" applyProtection="0"/>
    <xf numFmtId="0" fontId="78" fillId="0" borderId="26" applyNumberFormat="0" applyFill="0" applyAlignment="0" applyProtection="0"/>
    <xf numFmtId="0" fontId="79" fillId="0" borderId="27" applyNumberFormat="0" applyFill="0" applyAlignment="0" applyProtection="0"/>
    <xf numFmtId="0" fontId="79" fillId="0" borderId="0" applyNumberFormat="0" applyFill="0" applyBorder="0" applyAlignment="0" applyProtection="0"/>
    <xf numFmtId="0" fontId="80" fillId="7" borderId="13" applyNumberFormat="0" applyAlignment="0" applyProtection="0"/>
    <xf numFmtId="0" fontId="81" fillId="0" borderId="28" applyNumberFormat="0" applyFill="0" applyAlignment="0" applyProtection="0"/>
    <xf numFmtId="0" fontId="45" fillId="8" borderId="14" applyNumberFormat="0" applyFont="0" applyAlignment="0" applyProtection="0"/>
    <xf numFmtId="0" fontId="82" fillId="0" borderId="0" applyNumberFormat="0" applyFill="0" applyBorder="0" applyAlignment="0" applyProtection="0"/>
    <xf numFmtId="0" fontId="83" fillId="0" borderId="0" applyNumberFormat="0" applyFill="0" applyBorder="0" applyAlignment="0" applyProtection="0"/>
    <xf numFmtId="0" fontId="84" fillId="6" borderId="10" applyNumberFormat="0" applyAlignment="0" applyProtection="0"/>
    <xf numFmtId="0" fontId="85" fillId="5" borderId="10" applyNumberFormat="0" applyAlignment="0" applyProtection="0"/>
    <xf numFmtId="0" fontId="86" fillId="6" borderId="11" applyNumberFormat="0" applyAlignment="0" applyProtection="0"/>
    <xf numFmtId="0" fontId="87" fillId="4" borderId="0" applyNumberFormat="0" applyBorder="0" applyAlignment="0" applyProtection="0"/>
    <xf numFmtId="0" fontId="88" fillId="0" borderId="12" applyNumberFormat="0" applyFill="0" applyAlignment="0" applyProtection="0"/>
    <xf numFmtId="0" fontId="25" fillId="0" borderId="0"/>
    <xf numFmtId="0" fontId="89" fillId="0" borderId="0"/>
    <xf numFmtId="0" fontId="89" fillId="0" borderId="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8" fillId="0" borderId="0" applyFont="0" applyFill="0" applyBorder="0" applyAlignment="0" applyProtection="0"/>
  </cellStyleXfs>
  <cellXfs count="148">
    <xf numFmtId="0" fontId="0" fillId="0" borderId="0" xfId="0"/>
    <xf numFmtId="0" fontId="20" fillId="0" borderId="0" xfId="0" applyFont="1"/>
    <xf numFmtId="0" fontId="28" fillId="0" borderId="0" xfId="0" applyFont="1"/>
    <xf numFmtId="169" fontId="28" fillId="0" borderId="0" xfId="0" applyNumberFormat="1" applyFont="1"/>
    <xf numFmtId="0" fontId="91" fillId="0" borderId="0" xfId="0" applyFont="1"/>
    <xf numFmtId="0" fontId="92" fillId="0" borderId="1" xfId="71" applyFont="1" applyBorder="1" applyProtection="1">
      <protection locked="0"/>
    </xf>
    <xf numFmtId="0" fontId="92" fillId="0" borderId="1" xfId="71" applyFont="1" applyBorder="1"/>
    <xf numFmtId="169" fontId="92" fillId="0" borderId="1" xfId="71" applyNumberFormat="1" applyFont="1" applyBorder="1" applyAlignment="1">
      <alignment vertical="center"/>
    </xf>
    <xf numFmtId="0" fontId="93" fillId="0" borderId="1" xfId="0" applyFont="1" applyBorder="1"/>
    <xf numFmtId="0" fontId="93" fillId="0" borderId="1" xfId="0" applyFont="1" applyBorder="1" applyAlignment="1">
      <alignment horizontal="center"/>
    </xf>
    <xf numFmtId="181" fontId="93" fillId="0" borderId="1" xfId="0" applyNumberFormat="1" applyFont="1" applyBorder="1" applyAlignment="1">
      <alignment horizontal="center"/>
    </xf>
    <xf numFmtId="169" fontId="93" fillId="0" borderId="1" xfId="5" applyNumberFormat="1" applyFont="1" applyBorder="1"/>
    <xf numFmtId="169" fontId="93" fillId="0" borderId="1" xfId="5" applyNumberFormat="1" applyFont="1" applyFill="1" applyBorder="1"/>
    <xf numFmtId="169" fontId="91" fillId="0" borderId="0" xfId="0" applyNumberFormat="1" applyFont="1"/>
    <xf numFmtId="169" fontId="90" fillId="0" borderId="1" xfId="5" applyNumberFormat="1" applyFont="1" applyBorder="1"/>
    <xf numFmtId="6" fontId="94" fillId="0" borderId="0" xfId="0" applyNumberFormat="1" applyFont="1"/>
    <xf numFmtId="0" fontId="96" fillId="0" borderId="1" xfId="0" applyFont="1" applyBorder="1" applyAlignment="1">
      <alignment vertical="center"/>
    </xf>
    <xf numFmtId="0" fontId="96" fillId="0" borderId="5" xfId="0" applyFont="1" applyBorder="1" applyAlignment="1">
      <alignment vertical="center"/>
    </xf>
    <xf numFmtId="0" fontId="96" fillId="0" borderId="0" xfId="0" applyFont="1" applyAlignment="1">
      <alignment vertical="center"/>
    </xf>
    <xf numFmtId="169" fontId="92" fillId="0" borderId="0" xfId="31" applyNumberFormat="1" applyFont="1" applyAlignment="1">
      <alignment horizontal="center" vertical="center"/>
    </xf>
    <xf numFmtId="0" fontId="97" fillId="0" borderId="1" xfId="39209" applyFont="1" applyBorder="1"/>
    <xf numFmtId="0" fontId="2" fillId="0" borderId="0" xfId="39209"/>
    <xf numFmtId="165" fontId="90" fillId="79" borderId="1" xfId="31" applyFont="1" applyFill="1" applyBorder="1" applyAlignment="1">
      <alignment horizontal="center" vertical="center"/>
    </xf>
    <xf numFmtId="0" fontId="90" fillId="79" borderId="1" xfId="0" applyFont="1" applyFill="1" applyBorder="1" applyAlignment="1">
      <alignment horizontal="center"/>
    </xf>
    <xf numFmtId="0" fontId="90" fillId="79" borderId="1" xfId="0" applyFont="1" applyFill="1" applyBorder="1"/>
    <xf numFmtId="165" fontId="90" fillId="79" borderId="1" xfId="5" applyFont="1" applyFill="1" applyBorder="1"/>
    <xf numFmtId="169" fontId="90" fillId="79" borderId="1" xfId="5" applyNumberFormat="1" applyFont="1" applyFill="1" applyBorder="1"/>
    <xf numFmtId="0" fontId="90" fillId="79" borderId="1" xfId="71" applyFont="1" applyFill="1" applyBorder="1" applyAlignment="1">
      <alignment horizontal="center"/>
    </xf>
    <xf numFmtId="174" fontId="90" fillId="79" borderId="1" xfId="71" applyNumberFormat="1" applyFont="1" applyFill="1" applyBorder="1" applyAlignment="1">
      <alignment horizontal="center" vertical="center"/>
    </xf>
    <xf numFmtId="174" fontId="90" fillId="79" borderId="3" xfId="71" applyNumberFormat="1" applyFont="1" applyFill="1" applyBorder="1" applyAlignment="1">
      <alignment horizontal="center" vertical="center"/>
    </xf>
    <xf numFmtId="174" fontId="90" fillId="79" borderId="4" xfId="71" applyNumberFormat="1" applyFont="1" applyFill="1" applyBorder="1" applyAlignment="1">
      <alignment horizontal="center" vertical="center"/>
    </xf>
    <xf numFmtId="0" fontId="96" fillId="0" borderId="33" xfId="0" applyFont="1" applyBorder="1"/>
    <xf numFmtId="0" fontId="98" fillId="80" borderId="1" xfId="0" applyFont="1" applyFill="1" applyBorder="1" applyAlignment="1">
      <alignment wrapText="1"/>
    </xf>
    <xf numFmtId="0" fontId="98" fillId="80" borderId="4" xfId="0" applyFont="1" applyFill="1" applyBorder="1" applyAlignment="1">
      <alignment wrapText="1"/>
    </xf>
    <xf numFmtId="0" fontId="98" fillId="81" borderId="4" xfId="0" applyFont="1" applyFill="1" applyBorder="1" applyAlignment="1">
      <alignment wrapText="1"/>
    </xf>
    <xf numFmtId="0" fontId="99" fillId="0" borderId="30" xfId="0" applyFont="1" applyBorder="1"/>
    <xf numFmtId="0" fontId="99" fillId="82" borderId="29" xfId="0" applyFont="1" applyFill="1" applyBorder="1"/>
    <xf numFmtId="0" fontId="99" fillId="0" borderId="29" xfId="0" applyFont="1" applyBorder="1"/>
    <xf numFmtId="0" fontId="100" fillId="0" borderId="29" xfId="0" applyFont="1" applyBorder="1"/>
    <xf numFmtId="0" fontId="99" fillId="83" borderId="29" xfId="0" applyFont="1" applyFill="1" applyBorder="1"/>
    <xf numFmtId="0" fontId="101" fillId="0" borderId="1" xfId="0" applyFont="1" applyBorder="1"/>
    <xf numFmtId="0" fontId="101" fillId="0" borderId="4" xfId="0" applyFont="1" applyBorder="1"/>
    <xf numFmtId="0" fontId="101" fillId="0" borderId="30" xfId="0" applyFont="1" applyBorder="1"/>
    <xf numFmtId="0" fontId="101" fillId="0" borderId="29" xfId="0" applyFont="1" applyBorder="1"/>
    <xf numFmtId="0" fontId="0" fillId="0" borderId="0" xfId="0" pivotButton="1"/>
    <xf numFmtId="10" fontId="0" fillId="0" borderId="0" xfId="0" applyNumberFormat="1"/>
    <xf numFmtId="182" fontId="0" fillId="0" borderId="0" xfId="0" applyNumberFormat="1"/>
    <xf numFmtId="0" fontId="0" fillId="86" borderId="0" xfId="0" applyFill="1"/>
    <xf numFmtId="174" fontId="90" fillId="79" borderId="30" xfId="71" applyNumberFormat="1" applyFont="1" applyFill="1" applyBorder="1" applyAlignment="1">
      <alignment horizontal="center" vertical="center"/>
    </xf>
    <xf numFmtId="0" fontId="102" fillId="0" borderId="32" xfId="0" applyFont="1" applyBorder="1"/>
    <xf numFmtId="0" fontId="92" fillId="0" borderId="3" xfId="71" applyFont="1" applyBorder="1" applyAlignment="1" applyProtection="1">
      <alignment horizontal="center" vertical="center"/>
      <protection locked="0"/>
    </xf>
    <xf numFmtId="169" fontId="92" fillId="0" borderId="4" xfId="71" applyNumberFormat="1" applyFont="1" applyBorder="1" applyAlignment="1">
      <alignment vertical="center"/>
    </xf>
    <xf numFmtId="0" fontId="90" fillId="79" borderId="31" xfId="71" applyFont="1" applyFill="1" applyBorder="1" applyAlignment="1">
      <alignment horizontal="center"/>
    </xf>
    <xf numFmtId="10" fontId="28" fillId="86" borderId="0" xfId="0" applyNumberFormat="1" applyFont="1" applyFill="1" applyAlignment="1">
      <alignment horizontal="center"/>
    </xf>
    <xf numFmtId="169" fontId="92" fillId="87" borderId="1" xfId="31" applyNumberFormat="1" applyFont="1" applyFill="1" applyBorder="1" applyAlignment="1">
      <alignment horizontal="center" vertical="center"/>
    </xf>
    <xf numFmtId="169" fontId="92" fillId="87" borderId="1" xfId="32" applyNumberFormat="1" applyFont="1" applyFill="1" applyBorder="1" applyAlignment="1">
      <alignment horizontal="center"/>
    </xf>
    <xf numFmtId="0" fontId="91" fillId="0" borderId="1" xfId="0" applyFont="1" applyBorder="1"/>
    <xf numFmtId="0" fontId="95" fillId="84" borderId="1" xfId="0" applyFont="1" applyFill="1" applyBorder="1" applyAlignment="1" applyProtection="1">
      <alignment horizontal="center" vertical="center" wrapText="1"/>
      <protection locked="0"/>
    </xf>
    <xf numFmtId="171" fontId="95" fillId="84" borderId="1" xfId="0" applyNumberFormat="1" applyFont="1" applyFill="1" applyBorder="1" applyAlignment="1">
      <alignment horizontal="center" vertical="center" wrapText="1"/>
    </xf>
    <xf numFmtId="171" fontId="95" fillId="84" borderId="1" xfId="0" applyNumberFormat="1" applyFont="1" applyFill="1" applyBorder="1" applyAlignment="1" applyProtection="1">
      <alignment horizontal="center" vertical="center" wrapText="1"/>
      <protection locked="0"/>
    </xf>
    <xf numFmtId="0" fontId="95" fillId="84" borderId="1" xfId="68" applyFont="1" applyFill="1" applyBorder="1" applyAlignment="1">
      <alignment horizontal="center" vertical="center" wrapText="1"/>
    </xf>
    <xf numFmtId="0" fontId="91" fillId="0" borderId="1" xfId="0" applyFont="1" applyBorder="1" applyAlignment="1">
      <alignment horizontal="center"/>
    </xf>
    <xf numFmtId="182" fontId="91" fillId="0" borderId="1" xfId="5" applyNumberFormat="1" applyFont="1" applyFill="1" applyBorder="1" applyAlignment="1">
      <alignment horizontal="center" vertical="center"/>
    </xf>
    <xf numFmtId="169" fontId="90" fillId="0" borderId="30" xfId="5" applyNumberFormat="1" applyFont="1" applyBorder="1" applyAlignment="1">
      <alignment horizontal="center" vertical="center"/>
    </xf>
    <xf numFmtId="0" fontId="91" fillId="0" borderId="0" xfId="0" applyFont="1" applyAlignment="1">
      <alignment horizontal="center"/>
    </xf>
    <xf numFmtId="0" fontId="91" fillId="0" borderId="31" xfId="0" applyFont="1" applyBorder="1" applyAlignment="1">
      <alignment horizontal="center"/>
    </xf>
    <xf numFmtId="0" fontId="91" fillId="0" borderId="1" xfId="0" applyFont="1" applyBorder="1" applyAlignment="1">
      <alignment horizontal="center" vertical="center"/>
    </xf>
    <xf numFmtId="173" fontId="91" fillId="0" borderId="1" xfId="5" applyNumberFormat="1" applyFont="1" applyFill="1" applyBorder="1" applyAlignment="1">
      <alignment horizontal="center" vertical="center"/>
    </xf>
    <xf numFmtId="173" fontId="91" fillId="0" borderId="1" xfId="0" applyNumberFormat="1" applyFont="1" applyBorder="1" applyAlignment="1">
      <alignment horizontal="center" vertical="center"/>
    </xf>
    <xf numFmtId="173" fontId="91" fillId="0" borderId="1" xfId="5" applyNumberFormat="1" applyFont="1" applyFill="1" applyBorder="1" applyAlignment="1">
      <alignment vertical="center"/>
    </xf>
    <xf numFmtId="0" fontId="104" fillId="0" borderId="0" xfId="0" applyFont="1"/>
    <xf numFmtId="14" fontId="104" fillId="0" borderId="0" xfId="0" applyNumberFormat="1" applyFont="1"/>
    <xf numFmtId="0" fontId="105" fillId="0" borderId="0" xfId="0" applyFont="1"/>
    <xf numFmtId="0" fontId="104" fillId="0" borderId="0" xfId="0" applyFont="1" applyAlignment="1">
      <alignment horizontal="right"/>
    </xf>
    <xf numFmtId="0" fontId="104" fillId="0" borderId="0" xfId="0" applyFont="1" applyAlignment="1">
      <alignment horizontal="center" vertical="center"/>
    </xf>
    <xf numFmtId="0" fontId="105" fillId="0" borderId="0" xfId="0" applyFont="1" applyAlignment="1">
      <alignment horizontal="center" vertical="center"/>
    </xf>
    <xf numFmtId="0" fontId="106" fillId="0" borderId="1" xfId="0" applyFont="1" applyBorder="1" applyAlignment="1">
      <alignment horizontal="center"/>
    </xf>
    <xf numFmtId="182" fontId="91" fillId="0" borderId="32" xfId="5" applyNumberFormat="1" applyFont="1" applyFill="1" applyBorder="1" applyAlignment="1">
      <alignment horizontal="center" vertical="center"/>
    </xf>
    <xf numFmtId="182" fontId="91" fillId="0" borderId="31" xfId="5" applyNumberFormat="1" applyFont="1" applyFill="1" applyBorder="1" applyAlignment="1">
      <alignment horizontal="center" vertical="center"/>
    </xf>
    <xf numFmtId="185" fontId="103" fillId="0" borderId="30" xfId="0" applyNumberFormat="1" applyFont="1" applyBorder="1" applyAlignment="1">
      <alignment horizontal="center" vertical="center"/>
    </xf>
    <xf numFmtId="14" fontId="95" fillId="84" borderId="31" xfId="0" applyNumberFormat="1" applyFont="1" applyFill="1" applyBorder="1" applyAlignment="1" applyProtection="1">
      <alignment horizontal="center" vertical="center" wrapText="1"/>
      <protection locked="0"/>
    </xf>
    <xf numFmtId="0" fontId="91" fillId="0" borderId="31" xfId="0" applyFont="1" applyBorder="1" applyAlignment="1">
      <alignment horizontal="left"/>
    </xf>
    <xf numFmtId="0" fontId="91" fillId="0" borderId="1" xfId="0" applyFont="1" applyBorder="1" applyAlignment="1">
      <alignment horizontal="left"/>
    </xf>
    <xf numFmtId="0" fontId="91" fillId="0" borderId="31" xfId="0" applyFont="1" applyBorder="1" applyAlignment="1" applyProtection="1">
      <alignment horizontal="left"/>
      <protection locked="0"/>
    </xf>
    <xf numFmtId="0" fontId="91" fillId="0" borderId="34" xfId="0" applyFont="1" applyBorder="1" applyAlignment="1" applyProtection="1">
      <alignment horizontal="left"/>
      <protection locked="0"/>
    </xf>
    <xf numFmtId="183" fontId="91" fillId="0" borderId="31" xfId="0" applyNumberFormat="1" applyFont="1" applyBorder="1" applyAlignment="1" applyProtection="1">
      <alignment horizontal="left" vertical="center"/>
      <protection locked="0"/>
    </xf>
    <xf numFmtId="14" fontId="91" fillId="0" borderId="31" xfId="0" applyNumberFormat="1" applyFont="1" applyBorder="1" applyAlignment="1" applyProtection="1">
      <alignment horizontal="left" vertical="center"/>
      <protection locked="0"/>
    </xf>
    <xf numFmtId="0" fontId="91" fillId="0" borderId="1" xfId="0" applyFont="1" applyBorder="1" applyAlignment="1" applyProtection="1">
      <alignment horizontal="left"/>
      <protection locked="0"/>
    </xf>
    <xf numFmtId="1" fontId="91" fillId="0" borderId="31" xfId="0" applyNumberFormat="1" applyFont="1" applyBorder="1" applyAlignment="1">
      <alignment horizontal="left"/>
    </xf>
    <xf numFmtId="0" fontId="91" fillId="0" borderId="31" xfId="0" applyFont="1" applyBorder="1" applyAlignment="1" applyProtection="1">
      <alignment horizontal="left" vertical="center"/>
      <protection locked="0"/>
    </xf>
    <xf numFmtId="184" fontId="91" fillId="0" borderId="1" xfId="0" applyNumberFormat="1" applyFont="1" applyBorder="1" applyAlignment="1" applyProtection="1">
      <alignment horizontal="left" vertical="center"/>
      <protection locked="0"/>
    </xf>
    <xf numFmtId="0" fontId="91" fillId="0" borderId="1" xfId="0" applyFont="1" applyBorder="1" applyAlignment="1" applyProtection="1">
      <alignment horizontal="left" vertical="center"/>
      <protection locked="0"/>
    </xf>
    <xf numFmtId="173" fontId="95" fillId="84" borderId="1" xfId="5" applyNumberFormat="1" applyFont="1" applyFill="1" applyBorder="1" applyAlignment="1">
      <alignment horizontal="center" vertical="center" wrapText="1"/>
    </xf>
    <xf numFmtId="0" fontId="91" fillId="84" borderId="1" xfId="0" applyFont="1" applyFill="1" applyBorder="1" applyAlignment="1">
      <alignment horizontal="center" vertical="center" wrapText="1"/>
    </xf>
    <xf numFmtId="0" fontId="91" fillId="85" borderId="31" xfId="0" applyFont="1" applyFill="1" applyBorder="1" applyAlignment="1" applyProtection="1">
      <alignment horizontal="left"/>
      <protection locked="0"/>
    </xf>
    <xf numFmtId="14" fontId="91" fillId="0" borderId="1" xfId="0" applyNumberFormat="1" applyFont="1" applyBorder="1" applyAlignment="1">
      <alignment horizontal="left"/>
    </xf>
    <xf numFmtId="173" fontId="91" fillId="0" borderId="1" xfId="0" applyNumberFormat="1" applyFont="1" applyBorder="1" applyAlignment="1">
      <alignment vertical="center"/>
    </xf>
    <xf numFmtId="22" fontId="91" fillId="0" borderId="1" xfId="0" applyNumberFormat="1" applyFont="1" applyBorder="1" applyAlignment="1">
      <alignment horizontal="left"/>
    </xf>
    <xf numFmtId="0" fontId="95" fillId="84" borderId="1" xfId="0" applyFont="1" applyFill="1" applyBorder="1" applyAlignment="1">
      <alignment horizontal="center" vertical="center" wrapText="1"/>
    </xf>
    <xf numFmtId="173" fontId="107" fillId="0" borderId="30" xfId="0" applyNumberFormat="1" applyFont="1" applyBorder="1" applyAlignment="1">
      <alignment horizontal="center" vertical="center"/>
    </xf>
    <xf numFmtId="0" fontId="109" fillId="0" borderId="1" xfId="0" applyFont="1" applyBorder="1" applyAlignment="1">
      <alignment horizontal="center"/>
    </xf>
    <xf numFmtId="22" fontId="109" fillId="0" borderId="1" xfId="0" applyNumberFormat="1" applyFont="1" applyBorder="1" applyAlignment="1">
      <alignment horizontal="center"/>
    </xf>
    <xf numFmtId="1" fontId="109" fillId="0" borderId="1" xfId="0" applyNumberFormat="1" applyFont="1" applyBorder="1" applyAlignment="1">
      <alignment horizontal="center"/>
    </xf>
    <xf numFmtId="1" fontId="109" fillId="0" borderId="1" xfId="39247" applyNumberFormat="1" applyFont="1" applyBorder="1" applyAlignment="1">
      <alignment horizontal="center"/>
    </xf>
    <xf numFmtId="49" fontId="109" fillId="0" borderId="1" xfId="0" applyNumberFormat="1" applyFont="1" applyBorder="1" applyAlignment="1">
      <alignment horizontal="center"/>
    </xf>
    <xf numFmtId="0" fontId="103" fillId="0" borderId="0" xfId="0" applyFont="1" applyAlignment="1">
      <alignment horizontal="left" vertical="center"/>
    </xf>
    <xf numFmtId="0" fontId="110" fillId="0" borderId="31" xfId="0" applyFont="1" applyBorder="1"/>
    <xf numFmtId="0" fontId="111" fillId="84" borderId="1" xfId="0" applyFont="1" applyFill="1" applyBorder="1" applyAlignment="1">
      <alignment horizontal="center" vertical="center" wrapText="1"/>
    </xf>
    <xf numFmtId="0" fontId="95" fillId="0" borderId="0" xfId="0" applyFont="1"/>
    <xf numFmtId="0" fontId="106" fillId="0" borderId="1" xfId="0" applyFont="1" applyBorder="1" applyAlignment="1">
      <alignment horizontal="left"/>
    </xf>
    <xf numFmtId="0" fontId="111" fillId="84" borderId="0" xfId="0" applyFont="1" applyFill="1" applyAlignment="1">
      <alignment horizontal="center" vertical="center" wrapText="1"/>
    </xf>
    <xf numFmtId="0" fontId="95" fillId="84" borderId="0" xfId="0" applyFont="1" applyFill="1" applyAlignment="1" applyProtection="1">
      <alignment horizontal="center" vertical="center" wrapText="1"/>
      <protection locked="0"/>
    </xf>
    <xf numFmtId="0" fontId="95" fillId="84" borderId="0" xfId="0" applyFont="1" applyFill="1" applyAlignment="1">
      <alignment horizontal="center" vertical="center" wrapText="1"/>
    </xf>
    <xf numFmtId="173" fontId="95" fillId="84" borderId="0" xfId="5" applyNumberFormat="1" applyFont="1" applyFill="1" applyBorder="1" applyAlignment="1">
      <alignment horizontal="center" vertical="center" wrapText="1"/>
    </xf>
    <xf numFmtId="0" fontId="95" fillId="84" borderId="0" xfId="68" applyFont="1" applyFill="1" applyAlignment="1">
      <alignment horizontal="center" vertical="center" wrapText="1"/>
    </xf>
    <xf numFmtId="171" fontId="95" fillId="84" borderId="0" xfId="0" applyNumberFormat="1" applyFont="1" applyFill="1" applyAlignment="1" applyProtection="1">
      <alignment horizontal="center" vertical="center" wrapText="1"/>
      <protection locked="0"/>
    </xf>
    <xf numFmtId="171" fontId="95" fillId="84" borderId="0" xfId="0" applyNumberFormat="1" applyFont="1" applyFill="1" applyAlignment="1">
      <alignment horizontal="center" vertical="center" wrapText="1"/>
    </xf>
    <xf numFmtId="0" fontId="112" fillId="0" borderId="0" xfId="0" applyFont="1" applyAlignment="1">
      <alignment vertical="center"/>
    </xf>
    <xf numFmtId="0" fontId="80" fillId="88" borderId="0" xfId="0" applyFont="1" applyFill="1" applyAlignment="1">
      <alignment horizontal="center" vertical="center"/>
    </xf>
    <xf numFmtId="171" fontId="95" fillId="89" borderId="1" xfId="0" applyNumberFormat="1" applyFont="1" applyFill="1" applyBorder="1" applyAlignment="1">
      <alignment horizontal="center" vertical="center" wrapText="1"/>
    </xf>
    <xf numFmtId="0" fontId="95" fillId="89" borderId="1" xfId="68" applyFont="1" applyFill="1" applyBorder="1" applyAlignment="1">
      <alignment horizontal="center" vertical="center" wrapText="1"/>
    </xf>
    <xf numFmtId="0" fontId="90" fillId="79" borderId="3" xfId="71" applyFont="1" applyFill="1" applyBorder="1" applyAlignment="1">
      <alignment horizontal="center"/>
    </xf>
    <xf numFmtId="0" fontId="90" fillId="79" borderId="6" xfId="71" applyFont="1" applyFill="1" applyBorder="1" applyAlignment="1">
      <alignment horizontal="center"/>
    </xf>
    <xf numFmtId="0" fontId="90" fillId="79" borderId="4" xfId="71" applyFont="1" applyFill="1" applyBorder="1" applyAlignment="1">
      <alignment horizontal="center"/>
    </xf>
    <xf numFmtId="17" fontId="90" fillId="79" borderId="3" xfId="71" applyNumberFormat="1" applyFont="1" applyFill="1" applyBorder="1" applyAlignment="1" applyProtection="1">
      <alignment horizontal="center"/>
      <protection locked="0"/>
    </xf>
    <xf numFmtId="17" fontId="90" fillId="79" borderId="6" xfId="71" applyNumberFormat="1" applyFont="1" applyFill="1" applyBorder="1" applyAlignment="1" applyProtection="1">
      <alignment horizontal="center"/>
      <protection locked="0"/>
    </xf>
    <xf numFmtId="17" fontId="90" fillId="79" borderId="4" xfId="71" applyNumberFormat="1" applyFont="1" applyFill="1" applyBorder="1" applyAlignment="1" applyProtection="1">
      <alignment horizontal="center"/>
      <protection locked="0"/>
    </xf>
    <xf numFmtId="165" fontId="90" fillId="0" borderId="3" xfId="6" applyFont="1" applyBorder="1" applyAlignment="1">
      <alignment horizontal="right" indent="1"/>
    </xf>
    <xf numFmtId="165" fontId="90" fillId="0" borderId="6" xfId="6" applyFont="1" applyBorder="1" applyAlignment="1">
      <alignment horizontal="right" indent="1"/>
    </xf>
    <xf numFmtId="165" fontId="90" fillId="0" borderId="4" xfId="6" applyFont="1" applyBorder="1" applyAlignment="1">
      <alignment horizontal="right" indent="1"/>
    </xf>
    <xf numFmtId="165" fontId="90" fillId="79" borderId="3" xfId="6" applyFont="1" applyFill="1" applyBorder="1" applyAlignment="1">
      <alignment horizontal="right"/>
    </xf>
    <xf numFmtId="165" fontId="90" fillId="79" borderId="6" xfId="6" applyFont="1" applyFill="1" applyBorder="1" applyAlignment="1">
      <alignment horizontal="right"/>
    </xf>
    <xf numFmtId="165" fontId="90" fillId="79" borderId="4" xfId="6" applyFont="1" applyFill="1" applyBorder="1" applyAlignment="1">
      <alignment horizontal="right"/>
    </xf>
    <xf numFmtId="0" fontId="90" fillId="79" borderId="2" xfId="0" applyFont="1" applyFill="1" applyBorder="1" applyAlignment="1">
      <alignment horizontal="center"/>
    </xf>
    <xf numFmtId="0" fontId="90" fillId="79" borderId="0" xfId="0" applyFont="1" applyFill="1" applyAlignment="1">
      <alignment horizontal="center"/>
    </xf>
    <xf numFmtId="0" fontId="90" fillId="79" borderId="1" xfId="0" applyFont="1" applyFill="1" applyBorder="1" applyAlignment="1">
      <alignment horizontal="center"/>
    </xf>
    <xf numFmtId="17" fontId="90" fillId="79" borderId="1" xfId="0" applyNumberFormat="1" applyFont="1" applyFill="1" applyBorder="1" applyAlignment="1">
      <alignment horizontal="center"/>
    </xf>
    <xf numFmtId="0" fontId="93" fillId="0" borderId="1" xfId="0" applyFont="1" applyBorder="1" applyAlignment="1">
      <alignment horizontal="center"/>
    </xf>
    <xf numFmtId="0" fontId="90" fillId="0" borderId="35" xfId="0" applyFont="1" applyBorder="1" applyAlignment="1">
      <alignment horizontal="right"/>
    </xf>
    <xf numFmtId="0" fontId="90" fillId="0" borderId="36" xfId="0" applyFont="1" applyBorder="1" applyAlignment="1">
      <alignment horizontal="right"/>
    </xf>
    <xf numFmtId="0" fontId="90" fillId="0" borderId="29" xfId="0" applyFont="1" applyBorder="1" applyAlignment="1">
      <alignment horizontal="right"/>
    </xf>
    <xf numFmtId="0" fontId="95" fillId="79" borderId="1" xfId="0" applyFont="1" applyFill="1" applyBorder="1" applyAlignment="1">
      <alignment horizontal="center"/>
    </xf>
    <xf numFmtId="0" fontId="96" fillId="0" borderId="3" xfId="0" applyFont="1" applyBorder="1" applyAlignment="1">
      <alignment horizontal="left" vertical="center" wrapText="1"/>
    </xf>
    <xf numFmtId="0" fontId="96" fillId="0" borderId="6" xfId="0" applyFont="1" applyBorder="1" applyAlignment="1">
      <alignment horizontal="left" vertical="center" wrapText="1"/>
    </xf>
    <xf numFmtId="0" fontId="96" fillId="0" borderId="4" xfId="0" applyFont="1" applyBorder="1" applyAlignment="1">
      <alignment horizontal="left" vertical="center" wrapText="1"/>
    </xf>
    <xf numFmtId="0" fontId="0" fillId="90" borderId="0" xfId="0" applyFill="1"/>
    <xf numFmtId="0" fontId="0" fillId="91" borderId="0" xfId="0" applyFill="1"/>
    <xf numFmtId="0" fontId="95" fillId="91" borderId="1" xfId="68" applyFont="1" applyFill="1" applyBorder="1" applyAlignment="1">
      <alignment horizontal="center" vertical="center" wrapText="1"/>
    </xf>
  </cellXfs>
  <cellStyles count="39248">
    <cellStyle name="20% - Accent1" xfId="82" xr:uid="{00000000-0005-0000-0000-000000000000}"/>
    <cellStyle name="20% - Accent1 2" xfId="83" xr:uid="{00000000-0005-0000-0000-000001000000}"/>
    <cellStyle name="20% - Accent1 3" xfId="84" xr:uid="{00000000-0005-0000-0000-000002000000}"/>
    <cellStyle name="20% - Accent1 4" xfId="85" xr:uid="{00000000-0005-0000-0000-000003000000}"/>
    <cellStyle name="20% - Accent1 5" xfId="86" xr:uid="{00000000-0005-0000-0000-000004000000}"/>
    <cellStyle name="20% - Accent2" xfId="87" xr:uid="{00000000-0005-0000-0000-000005000000}"/>
    <cellStyle name="20% - Accent2 2" xfId="88" xr:uid="{00000000-0005-0000-0000-000006000000}"/>
    <cellStyle name="20% - Accent2 3" xfId="89" xr:uid="{00000000-0005-0000-0000-000007000000}"/>
    <cellStyle name="20% - Accent2 4" xfId="90" xr:uid="{00000000-0005-0000-0000-000008000000}"/>
    <cellStyle name="20% - Accent2 5" xfId="91" xr:uid="{00000000-0005-0000-0000-000009000000}"/>
    <cellStyle name="20% - Accent3" xfId="92" xr:uid="{00000000-0005-0000-0000-00000A000000}"/>
    <cellStyle name="20% - Accent3 2" xfId="93" xr:uid="{00000000-0005-0000-0000-00000B000000}"/>
    <cellStyle name="20% - Accent3 3" xfId="94" xr:uid="{00000000-0005-0000-0000-00000C000000}"/>
    <cellStyle name="20% - Accent3 4" xfId="95" xr:uid="{00000000-0005-0000-0000-00000D000000}"/>
    <cellStyle name="20% - Accent3 5" xfId="96" xr:uid="{00000000-0005-0000-0000-00000E000000}"/>
    <cellStyle name="20% - Accent4" xfId="97" xr:uid="{00000000-0005-0000-0000-00000F000000}"/>
    <cellStyle name="20% - Accent4 2" xfId="98" xr:uid="{00000000-0005-0000-0000-000010000000}"/>
    <cellStyle name="20% - Accent4 3" xfId="99" xr:uid="{00000000-0005-0000-0000-000011000000}"/>
    <cellStyle name="20% - Accent4 4" xfId="100" xr:uid="{00000000-0005-0000-0000-000012000000}"/>
    <cellStyle name="20% - Accent4 5" xfId="101" xr:uid="{00000000-0005-0000-0000-000013000000}"/>
    <cellStyle name="20% - Accent5" xfId="102" xr:uid="{00000000-0005-0000-0000-000014000000}"/>
    <cellStyle name="20% - Accent5 2" xfId="103" xr:uid="{00000000-0005-0000-0000-000015000000}"/>
    <cellStyle name="20% - Accent5 3" xfId="104" xr:uid="{00000000-0005-0000-0000-000016000000}"/>
    <cellStyle name="20% - Accent5 4" xfId="105" xr:uid="{00000000-0005-0000-0000-000017000000}"/>
    <cellStyle name="20% - Accent5 5" xfId="106" xr:uid="{00000000-0005-0000-0000-000018000000}"/>
    <cellStyle name="20% - Accent6" xfId="107" xr:uid="{00000000-0005-0000-0000-000019000000}"/>
    <cellStyle name="20% - Accent6 2" xfId="108" xr:uid="{00000000-0005-0000-0000-00001A000000}"/>
    <cellStyle name="20% - Accent6 3" xfId="109" xr:uid="{00000000-0005-0000-0000-00001B000000}"/>
    <cellStyle name="20% - Accent6 4" xfId="110" xr:uid="{00000000-0005-0000-0000-00001C000000}"/>
    <cellStyle name="20% - Accent6 5" xfId="111" xr:uid="{00000000-0005-0000-0000-00001D000000}"/>
    <cellStyle name="20% - Énfasis1 2" xfId="112" xr:uid="{00000000-0005-0000-0000-00001E000000}"/>
    <cellStyle name="20% - Énfasis1 2 2" xfId="113" xr:uid="{00000000-0005-0000-0000-00001F000000}"/>
    <cellStyle name="20% - Énfasis1 3" xfId="114" xr:uid="{00000000-0005-0000-0000-000020000000}"/>
    <cellStyle name="20% - Énfasis1 4" xfId="115" xr:uid="{00000000-0005-0000-0000-000021000000}"/>
    <cellStyle name="20% - Énfasis1 5" xfId="116" xr:uid="{00000000-0005-0000-0000-000022000000}"/>
    <cellStyle name="20% - Énfasis1 6" xfId="117" xr:uid="{00000000-0005-0000-0000-000023000000}"/>
    <cellStyle name="20% - Énfasis1 7" xfId="118" xr:uid="{00000000-0005-0000-0000-000024000000}"/>
    <cellStyle name="20% - Énfasis1 8" xfId="119" xr:uid="{00000000-0005-0000-0000-000025000000}"/>
    <cellStyle name="20% - Énfasis2 2" xfId="120" xr:uid="{00000000-0005-0000-0000-000026000000}"/>
    <cellStyle name="20% - Énfasis2 2 2" xfId="121" xr:uid="{00000000-0005-0000-0000-000027000000}"/>
    <cellStyle name="20% - Énfasis2 3" xfId="122" xr:uid="{00000000-0005-0000-0000-000028000000}"/>
    <cellStyle name="20% - Énfasis2 4" xfId="123" xr:uid="{00000000-0005-0000-0000-000029000000}"/>
    <cellStyle name="20% - Énfasis2 5" xfId="124" xr:uid="{00000000-0005-0000-0000-00002A000000}"/>
    <cellStyle name="20% - Énfasis2 6" xfId="125" xr:uid="{00000000-0005-0000-0000-00002B000000}"/>
    <cellStyle name="20% - Énfasis2 7" xfId="126" xr:uid="{00000000-0005-0000-0000-00002C000000}"/>
    <cellStyle name="20% - Énfasis2 8" xfId="127" xr:uid="{00000000-0005-0000-0000-00002D000000}"/>
    <cellStyle name="20% - Énfasis3 2" xfId="128" xr:uid="{00000000-0005-0000-0000-00002E000000}"/>
    <cellStyle name="20% - Énfasis3 2 2" xfId="129" xr:uid="{00000000-0005-0000-0000-00002F000000}"/>
    <cellStyle name="20% - Énfasis3 3" xfId="130" xr:uid="{00000000-0005-0000-0000-000030000000}"/>
    <cellStyle name="20% - Énfasis3 4" xfId="131" xr:uid="{00000000-0005-0000-0000-000031000000}"/>
    <cellStyle name="20% - Énfasis3 5" xfId="132" xr:uid="{00000000-0005-0000-0000-000032000000}"/>
    <cellStyle name="20% - Énfasis3 6" xfId="133" xr:uid="{00000000-0005-0000-0000-000033000000}"/>
    <cellStyle name="20% - Énfasis3 7" xfId="134" xr:uid="{00000000-0005-0000-0000-000034000000}"/>
    <cellStyle name="20% - Énfasis3 8" xfId="135" xr:uid="{00000000-0005-0000-0000-000035000000}"/>
    <cellStyle name="20% - Énfasis4 2" xfId="136" xr:uid="{00000000-0005-0000-0000-000036000000}"/>
    <cellStyle name="20% - Énfasis4 2 2" xfId="137" xr:uid="{00000000-0005-0000-0000-000037000000}"/>
    <cellStyle name="20% - Énfasis4 3" xfId="138" xr:uid="{00000000-0005-0000-0000-000038000000}"/>
    <cellStyle name="20% - Énfasis4 4" xfId="139" xr:uid="{00000000-0005-0000-0000-000039000000}"/>
    <cellStyle name="20% - Énfasis4 5" xfId="140" xr:uid="{00000000-0005-0000-0000-00003A000000}"/>
    <cellStyle name="20% - Énfasis4 6" xfId="141" xr:uid="{00000000-0005-0000-0000-00003B000000}"/>
    <cellStyle name="20% - Énfasis4 7" xfId="142" xr:uid="{00000000-0005-0000-0000-00003C000000}"/>
    <cellStyle name="20% - Énfasis4 8" xfId="143" xr:uid="{00000000-0005-0000-0000-00003D000000}"/>
    <cellStyle name="20% - Énfasis5 2" xfId="144" xr:uid="{00000000-0005-0000-0000-00003E000000}"/>
    <cellStyle name="20% - Énfasis5 2 2" xfId="145" xr:uid="{00000000-0005-0000-0000-00003F000000}"/>
    <cellStyle name="20% - Énfasis5 3" xfId="146" xr:uid="{00000000-0005-0000-0000-000040000000}"/>
    <cellStyle name="20% - Énfasis5 4" xfId="147" xr:uid="{00000000-0005-0000-0000-000041000000}"/>
    <cellStyle name="20% - Énfasis5 5" xfId="148" xr:uid="{00000000-0005-0000-0000-000042000000}"/>
    <cellStyle name="20% - Énfasis5 6" xfId="149" xr:uid="{00000000-0005-0000-0000-000043000000}"/>
    <cellStyle name="20% - Énfasis5 7" xfId="150" xr:uid="{00000000-0005-0000-0000-000044000000}"/>
    <cellStyle name="20% - Énfasis5 8" xfId="151" xr:uid="{00000000-0005-0000-0000-000045000000}"/>
    <cellStyle name="20% - Énfasis6 2" xfId="152" xr:uid="{00000000-0005-0000-0000-000046000000}"/>
    <cellStyle name="20% - Énfasis6 2 2" xfId="153" xr:uid="{00000000-0005-0000-0000-000047000000}"/>
    <cellStyle name="20% - Énfasis6 3" xfId="154" xr:uid="{00000000-0005-0000-0000-000048000000}"/>
    <cellStyle name="20% - Énfasis6 4" xfId="155" xr:uid="{00000000-0005-0000-0000-000049000000}"/>
    <cellStyle name="20% - Énfasis6 5" xfId="156" xr:uid="{00000000-0005-0000-0000-00004A000000}"/>
    <cellStyle name="20% - Énfasis6 6" xfId="157" xr:uid="{00000000-0005-0000-0000-00004B000000}"/>
    <cellStyle name="20% - Énfasis6 7" xfId="158" xr:uid="{00000000-0005-0000-0000-00004C000000}"/>
    <cellStyle name="20% - Énfasis6 8" xfId="159" xr:uid="{00000000-0005-0000-0000-00004D000000}"/>
    <cellStyle name="20% - 强调文字颜色 1" xfId="160" xr:uid="{00000000-0005-0000-0000-00004E000000}"/>
    <cellStyle name="20% - 强调文字颜色 2" xfId="161" xr:uid="{00000000-0005-0000-0000-00004F000000}"/>
    <cellStyle name="20% - 强调文字颜色 3" xfId="162" xr:uid="{00000000-0005-0000-0000-000050000000}"/>
    <cellStyle name="20% - 强调文字颜色 4" xfId="163" xr:uid="{00000000-0005-0000-0000-000051000000}"/>
    <cellStyle name="20% - 强调文字颜色 5" xfId="164" xr:uid="{00000000-0005-0000-0000-000052000000}"/>
    <cellStyle name="20% - 强调文字颜色 6" xfId="165" xr:uid="{00000000-0005-0000-0000-000053000000}"/>
    <cellStyle name="40% - Accent1" xfId="166" xr:uid="{00000000-0005-0000-0000-000054000000}"/>
    <cellStyle name="40% - Accent1 2" xfId="167" xr:uid="{00000000-0005-0000-0000-000055000000}"/>
    <cellStyle name="40% - Accent1 3" xfId="168" xr:uid="{00000000-0005-0000-0000-000056000000}"/>
    <cellStyle name="40% - Accent1 4" xfId="169" xr:uid="{00000000-0005-0000-0000-000057000000}"/>
    <cellStyle name="40% - Accent1 5" xfId="170" xr:uid="{00000000-0005-0000-0000-000058000000}"/>
    <cellStyle name="40% - Accent2" xfId="171" xr:uid="{00000000-0005-0000-0000-000059000000}"/>
    <cellStyle name="40% - Accent2 2" xfId="172" xr:uid="{00000000-0005-0000-0000-00005A000000}"/>
    <cellStyle name="40% - Accent2 3" xfId="173" xr:uid="{00000000-0005-0000-0000-00005B000000}"/>
    <cellStyle name="40% - Accent2 4" xfId="174" xr:uid="{00000000-0005-0000-0000-00005C000000}"/>
    <cellStyle name="40% - Accent2 5" xfId="175" xr:uid="{00000000-0005-0000-0000-00005D000000}"/>
    <cellStyle name="40% - Accent3" xfId="176" xr:uid="{00000000-0005-0000-0000-00005E000000}"/>
    <cellStyle name="40% - Accent3 2" xfId="177" xr:uid="{00000000-0005-0000-0000-00005F000000}"/>
    <cellStyle name="40% - Accent3 3" xfId="178" xr:uid="{00000000-0005-0000-0000-000060000000}"/>
    <cellStyle name="40% - Accent3 4" xfId="179" xr:uid="{00000000-0005-0000-0000-000061000000}"/>
    <cellStyle name="40% - Accent3 5" xfId="180" xr:uid="{00000000-0005-0000-0000-000062000000}"/>
    <cellStyle name="40% - Accent4" xfId="181" xr:uid="{00000000-0005-0000-0000-000063000000}"/>
    <cellStyle name="40% - Accent4 2" xfId="182" xr:uid="{00000000-0005-0000-0000-000064000000}"/>
    <cellStyle name="40% - Accent4 3" xfId="183" xr:uid="{00000000-0005-0000-0000-000065000000}"/>
    <cellStyle name="40% - Accent4 4" xfId="184" xr:uid="{00000000-0005-0000-0000-000066000000}"/>
    <cellStyle name="40% - Accent4 5" xfId="185" xr:uid="{00000000-0005-0000-0000-000067000000}"/>
    <cellStyle name="40% - Accent5" xfId="186" xr:uid="{00000000-0005-0000-0000-000068000000}"/>
    <cellStyle name="40% - Accent5 2" xfId="187" xr:uid="{00000000-0005-0000-0000-000069000000}"/>
    <cellStyle name="40% - Accent5 3" xfId="188" xr:uid="{00000000-0005-0000-0000-00006A000000}"/>
    <cellStyle name="40% - Accent5 4" xfId="189" xr:uid="{00000000-0005-0000-0000-00006B000000}"/>
    <cellStyle name="40% - Accent5 5" xfId="190" xr:uid="{00000000-0005-0000-0000-00006C000000}"/>
    <cellStyle name="40% - Accent6" xfId="191" xr:uid="{00000000-0005-0000-0000-00006D000000}"/>
    <cellStyle name="40% - Accent6 2" xfId="192" xr:uid="{00000000-0005-0000-0000-00006E000000}"/>
    <cellStyle name="40% - Accent6 3" xfId="193" xr:uid="{00000000-0005-0000-0000-00006F000000}"/>
    <cellStyle name="40% - Accent6 4" xfId="194" xr:uid="{00000000-0005-0000-0000-000070000000}"/>
    <cellStyle name="40% - Accent6 5" xfId="195" xr:uid="{00000000-0005-0000-0000-000071000000}"/>
    <cellStyle name="40% - Énfasis1 2" xfId="196" xr:uid="{00000000-0005-0000-0000-000072000000}"/>
    <cellStyle name="40% - Énfasis1 2 2" xfId="197" xr:uid="{00000000-0005-0000-0000-000073000000}"/>
    <cellStyle name="40% - Énfasis1 3" xfId="198" xr:uid="{00000000-0005-0000-0000-000074000000}"/>
    <cellStyle name="40% - Énfasis1 4" xfId="199" xr:uid="{00000000-0005-0000-0000-000075000000}"/>
    <cellStyle name="40% - Énfasis1 5" xfId="200" xr:uid="{00000000-0005-0000-0000-000076000000}"/>
    <cellStyle name="40% - Énfasis1 6" xfId="201" xr:uid="{00000000-0005-0000-0000-000077000000}"/>
    <cellStyle name="40% - Énfasis1 7" xfId="202" xr:uid="{00000000-0005-0000-0000-000078000000}"/>
    <cellStyle name="40% - Énfasis1 8" xfId="203" xr:uid="{00000000-0005-0000-0000-000079000000}"/>
    <cellStyle name="40% - Énfasis2 2" xfId="204" xr:uid="{00000000-0005-0000-0000-00007A000000}"/>
    <cellStyle name="40% - Énfasis2 2 2" xfId="205" xr:uid="{00000000-0005-0000-0000-00007B000000}"/>
    <cellStyle name="40% - Énfasis2 3" xfId="206" xr:uid="{00000000-0005-0000-0000-00007C000000}"/>
    <cellStyle name="40% - Énfasis2 4" xfId="207" xr:uid="{00000000-0005-0000-0000-00007D000000}"/>
    <cellStyle name="40% - Énfasis2 5" xfId="208" xr:uid="{00000000-0005-0000-0000-00007E000000}"/>
    <cellStyle name="40% - Énfasis2 6" xfId="209" xr:uid="{00000000-0005-0000-0000-00007F000000}"/>
    <cellStyle name="40% - Énfasis2 7" xfId="210" xr:uid="{00000000-0005-0000-0000-000080000000}"/>
    <cellStyle name="40% - Énfasis2 8" xfId="211" xr:uid="{00000000-0005-0000-0000-000081000000}"/>
    <cellStyle name="40% - Énfasis3 2" xfId="212" xr:uid="{00000000-0005-0000-0000-000082000000}"/>
    <cellStyle name="40% - Énfasis3 2 2" xfId="213" xr:uid="{00000000-0005-0000-0000-000083000000}"/>
    <cellStyle name="40% - Énfasis3 3" xfId="214" xr:uid="{00000000-0005-0000-0000-000084000000}"/>
    <cellStyle name="40% - Énfasis3 4" xfId="215" xr:uid="{00000000-0005-0000-0000-000085000000}"/>
    <cellStyle name="40% - Énfasis3 5" xfId="216" xr:uid="{00000000-0005-0000-0000-000086000000}"/>
    <cellStyle name="40% - Énfasis3 6" xfId="217" xr:uid="{00000000-0005-0000-0000-000087000000}"/>
    <cellStyle name="40% - Énfasis3 7" xfId="218" xr:uid="{00000000-0005-0000-0000-000088000000}"/>
    <cellStyle name="40% - Énfasis3 8" xfId="219" xr:uid="{00000000-0005-0000-0000-000089000000}"/>
    <cellStyle name="40% - Énfasis4 2" xfId="220" xr:uid="{00000000-0005-0000-0000-00008A000000}"/>
    <cellStyle name="40% - Énfasis4 2 2" xfId="221" xr:uid="{00000000-0005-0000-0000-00008B000000}"/>
    <cellStyle name="40% - Énfasis4 3" xfId="222" xr:uid="{00000000-0005-0000-0000-00008C000000}"/>
    <cellStyle name="40% - Énfasis4 4" xfId="223" xr:uid="{00000000-0005-0000-0000-00008D000000}"/>
    <cellStyle name="40% - Énfasis4 5" xfId="224" xr:uid="{00000000-0005-0000-0000-00008E000000}"/>
    <cellStyle name="40% - Énfasis4 6" xfId="225" xr:uid="{00000000-0005-0000-0000-00008F000000}"/>
    <cellStyle name="40% - Énfasis4 7" xfId="226" xr:uid="{00000000-0005-0000-0000-000090000000}"/>
    <cellStyle name="40% - Énfasis4 8" xfId="227" xr:uid="{00000000-0005-0000-0000-000091000000}"/>
    <cellStyle name="40% - Énfasis5 2" xfId="228" xr:uid="{00000000-0005-0000-0000-000092000000}"/>
    <cellStyle name="40% - Énfasis5 2 2" xfId="229" xr:uid="{00000000-0005-0000-0000-000093000000}"/>
    <cellStyle name="40% - Énfasis5 3" xfId="230" xr:uid="{00000000-0005-0000-0000-000094000000}"/>
    <cellStyle name="40% - Énfasis5 4" xfId="231" xr:uid="{00000000-0005-0000-0000-000095000000}"/>
    <cellStyle name="40% - Énfasis5 5" xfId="232" xr:uid="{00000000-0005-0000-0000-000096000000}"/>
    <cellStyle name="40% - Énfasis5 6" xfId="233" xr:uid="{00000000-0005-0000-0000-000097000000}"/>
    <cellStyle name="40% - Énfasis5 7" xfId="234" xr:uid="{00000000-0005-0000-0000-000098000000}"/>
    <cellStyle name="40% - Énfasis5 8" xfId="235" xr:uid="{00000000-0005-0000-0000-000099000000}"/>
    <cellStyle name="40% - Énfasis6 2" xfId="236" xr:uid="{00000000-0005-0000-0000-00009A000000}"/>
    <cellStyle name="40% - Énfasis6 2 2" xfId="237" xr:uid="{00000000-0005-0000-0000-00009B000000}"/>
    <cellStyle name="40% - Énfasis6 3" xfId="238" xr:uid="{00000000-0005-0000-0000-00009C000000}"/>
    <cellStyle name="40% - Énfasis6 4" xfId="239" xr:uid="{00000000-0005-0000-0000-00009D000000}"/>
    <cellStyle name="40% - Énfasis6 5" xfId="240" xr:uid="{00000000-0005-0000-0000-00009E000000}"/>
    <cellStyle name="40% - Énfasis6 6" xfId="241" xr:uid="{00000000-0005-0000-0000-00009F000000}"/>
    <cellStyle name="40% - Énfasis6 7" xfId="242" xr:uid="{00000000-0005-0000-0000-0000A0000000}"/>
    <cellStyle name="40% - Énfasis6 8" xfId="243" xr:uid="{00000000-0005-0000-0000-0000A1000000}"/>
    <cellStyle name="40% - 强调文字颜色 1" xfId="244" xr:uid="{00000000-0005-0000-0000-0000A2000000}"/>
    <cellStyle name="40% - 强调文字颜色 2" xfId="245" xr:uid="{00000000-0005-0000-0000-0000A3000000}"/>
    <cellStyle name="40% - 强调文字颜色 3" xfId="246" xr:uid="{00000000-0005-0000-0000-0000A4000000}"/>
    <cellStyle name="40% - 强调文字颜色 4" xfId="247" xr:uid="{00000000-0005-0000-0000-0000A5000000}"/>
    <cellStyle name="40% - 强调文字颜色 5" xfId="248" xr:uid="{00000000-0005-0000-0000-0000A6000000}"/>
    <cellStyle name="40% - 强调文字颜色 6" xfId="249" xr:uid="{00000000-0005-0000-0000-0000A7000000}"/>
    <cellStyle name="60% - Accent1" xfId="250" xr:uid="{00000000-0005-0000-0000-0000A8000000}"/>
    <cellStyle name="60% - Accent1 2" xfId="251" xr:uid="{00000000-0005-0000-0000-0000A9000000}"/>
    <cellStyle name="60% - Accent1 3" xfId="252" xr:uid="{00000000-0005-0000-0000-0000AA000000}"/>
    <cellStyle name="60% - Accent1 4" xfId="253" xr:uid="{00000000-0005-0000-0000-0000AB000000}"/>
    <cellStyle name="60% - Accent1 5" xfId="254" xr:uid="{00000000-0005-0000-0000-0000AC000000}"/>
    <cellStyle name="60% - Accent2" xfId="255" xr:uid="{00000000-0005-0000-0000-0000AD000000}"/>
    <cellStyle name="60% - Accent2 2" xfId="256" xr:uid="{00000000-0005-0000-0000-0000AE000000}"/>
    <cellStyle name="60% - Accent2 3" xfId="257" xr:uid="{00000000-0005-0000-0000-0000AF000000}"/>
    <cellStyle name="60% - Accent2 4" xfId="258" xr:uid="{00000000-0005-0000-0000-0000B0000000}"/>
    <cellStyle name="60% - Accent2 5" xfId="259" xr:uid="{00000000-0005-0000-0000-0000B1000000}"/>
    <cellStyle name="60% - Accent3" xfId="260" xr:uid="{00000000-0005-0000-0000-0000B2000000}"/>
    <cellStyle name="60% - Accent3 2" xfId="261" xr:uid="{00000000-0005-0000-0000-0000B3000000}"/>
    <cellStyle name="60% - Accent3 3" xfId="262" xr:uid="{00000000-0005-0000-0000-0000B4000000}"/>
    <cellStyle name="60% - Accent3 4" xfId="263" xr:uid="{00000000-0005-0000-0000-0000B5000000}"/>
    <cellStyle name="60% - Accent3 5" xfId="264" xr:uid="{00000000-0005-0000-0000-0000B6000000}"/>
    <cellStyle name="60% - Accent4" xfId="265" xr:uid="{00000000-0005-0000-0000-0000B7000000}"/>
    <cellStyle name="60% - Accent4 2" xfId="266" xr:uid="{00000000-0005-0000-0000-0000B8000000}"/>
    <cellStyle name="60% - Accent4 3" xfId="267" xr:uid="{00000000-0005-0000-0000-0000B9000000}"/>
    <cellStyle name="60% - Accent4 4" xfId="268" xr:uid="{00000000-0005-0000-0000-0000BA000000}"/>
    <cellStyle name="60% - Accent4 5" xfId="269" xr:uid="{00000000-0005-0000-0000-0000BB000000}"/>
    <cellStyle name="60% - Accent5" xfId="270" xr:uid="{00000000-0005-0000-0000-0000BC000000}"/>
    <cellStyle name="60% - Accent5 2" xfId="271" xr:uid="{00000000-0005-0000-0000-0000BD000000}"/>
    <cellStyle name="60% - Accent5 3" xfId="272" xr:uid="{00000000-0005-0000-0000-0000BE000000}"/>
    <cellStyle name="60% - Accent5 4" xfId="273" xr:uid="{00000000-0005-0000-0000-0000BF000000}"/>
    <cellStyle name="60% - Accent5 5" xfId="274" xr:uid="{00000000-0005-0000-0000-0000C0000000}"/>
    <cellStyle name="60% - Accent6" xfId="275" xr:uid="{00000000-0005-0000-0000-0000C1000000}"/>
    <cellStyle name="60% - Accent6 2" xfId="276" xr:uid="{00000000-0005-0000-0000-0000C2000000}"/>
    <cellStyle name="60% - Accent6 3" xfId="277" xr:uid="{00000000-0005-0000-0000-0000C3000000}"/>
    <cellStyle name="60% - Accent6 4" xfId="278" xr:uid="{00000000-0005-0000-0000-0000C4000000}"/>
    <cellStyle name="60% - Accent6 5" xfId="279" xr:uid="{00000000-0005-0000-0000-0000C5000000}"/>
    <cellStyle name="60% - Énfasis1 2" xfId="280" xr:uid="{00000000-0005-0000-0000-0000C6000000}"/>
    <cellStyle name="60% - Énfasis1 2 2" xfId="281" xr:uid="{00000000-0005-0000-0000-0000C7000000}"/>
    <cellStyle name="60% - Énfasis1 3" xfId="282" xr:uid="{00000000-0005-0000-0000-0000C8000000}"/>
    <cellStyle name="60% - Énfasis1 4" xfId="283" xr:uid="{00000000-0005-0000-0000-0000C9000000}"/>
    <cellStyle name="60% - Énfasis1 5" xfId="284" xr:uid="{00000000-0005-0000-0000-0000CA000000}"/>
    <cellStyle name="60% - Énfasis1 6" xfId="285" xr:uid="{00000000-0005-0000-0000-0000CB000000}"/>
    <cellStyle name="60% - Énfasis1 7" xfId="286" xr:uid="{00000000-0005-0000-0000-0000CC000000}"/>
    <cellStyle name="60% - Énfasis1 8" xfId="287" xr:uid="{00000000-0005-0000-0000-0000CD000000}"/>
    <cellStyle name="60% - Énfasis2 2" xfId="288" xr:uid="{00000000-0005-0000-0000-0000CE000000}"/>
    <cellStyle name="60% - Énfasis2 2 2" xfId="289" xr:uid="{00000000-0005-0000-0000-0000CF000000}"/>
    <cellStyle name="60% - Énfasis2 3" xfId="290" xr:uid="{00000000-0005-0000-0000-0000D0000000}"/>
    <cellStyle name="60% - Énfasis2 4" xfId="291" xr:uid="{00000000-0005-0000-0000-0000D1000000}"/>
    <cellStyle name="60% - Énfasis2 5" xfId="292" xr:uid="{00000000-0005-0000-0000-0000D2000000}"/>
    <cellStyle name="60% - Énfasis2 6" xfId="293" xr:uid="{00000000-0005-0000-0000-0000D3000000}"/>
    <cellStyle name="60% - Énfasis2 7" xfId="294" xr:uid="{00000000-0005-0000-0000-0000D4000000}"/>
    <cellStyle name="60% - Énfasis2 8" xfId="295" xr:uid="{00000000-0005-0000-0000-0000D5000000}"/>
    <cellStyle name="60% - Énfasis3 2" xfId="296" xr:uid="{00000000-0005-0000-0000-0000D6000000}"/>
    <cellStyle name="60% - Énfasis3 2 2" xfId="297" xr:uid="{00000000-0005-0000-0000-0000D7000000}"/>
    <cellStyle name="60% - Énfasis3 3" xfId="298" xr:uid="{00000000-0005-0000-0000-0000D8000000}"/>
    <cellStyle name="60% - Énfasis3 4" xfId="299" xr:uid="{00000000-0005-0000-0000-0000D9000000}"/>
    <cellStyle name="60% - Énfasis3 5" xfId="300" xr:uid="{00000000-0005-0000-0000-0000DA000000}"/>
    <cellStyle name="60% - Énfasis3 6" xfId="301" xr:uid="{00000000-0005-0000-0000-0000DB000000}"/>
    <cellStyle name="60% - Énfasis3 7" xfId="302" xr:uid="{00000000-0005-0000-0000-0000DC000000}"/>
    <cellStyle name="60% - Énfasis3 8" xfId="303" xr:uid="{00000000-0005-0000-0000-0000DD000000}"/>
    <cellStyle name="60% - Énfasis4 2" xfId="304" xr:uid="{00000000-0005-0000-0000-0000DE000000}"/>
    <cellStyle name="60% - Énfasis4 2 2" xfId="305" xr:uid="{00000000-0005-0000-0000-0000DF000000}"/>
    <cellStyle name="60% - Énfasis4 3" xfId="306" xr:uid="{00000000-0005-0000-0000-0000E0000000}"/>
    <cellStyle name="60% - Énfasis4 4" xfId="307" xr:uid="{00000000-0005-0000-0000-0000E1000000}"/>
    <cellStyle name="60% - Énfasis4 5" xfId="308" xr:uid="{00000000-0005-0000-0000-0000E2000000}"/>
    <cellStyle name="60% - Énfasis4 6" xfId="309" xr:uid="{00000000-0005-0000-0000-0000E3000000}"/>
    <cellStyle name="60% - Énfasis4 7" xfId="310" xr:uid="{00000000-0005-0000-0000-0000E4000000}"/>
    <cellStyle name="60% - Énfasis4 8" xfId="311" xr:uid="{00000000-0005-0000-0000-0000E5000000}"/>
    <cellStyle name="60% - Énfasis5 2" xfId="312" xr:uid="{00000000-0005-0000-0000-0000E6000000}"/>
    <cellStyle name="60% - Énfasis5 2 2" xfId="313" xr:uid="{00000000-0005-0000-0000-0000E7000000}"/>
    <cellStyle name="60% - Énfasis5 3" xfId="314" xr:uid="{00000000-0005-0000-0000-0000E8000000}"/>
    <cellStyle name="60% - Énfasis5 4" xfId="315" xr:uid="{00000000-0005-0000-0000-0000E9000000}"/>
    <cellStyle name="60% - Énfasis5 5" xfId="316" xr:uid="{00000000-0005-0000-0000-0000EA000000}"/>
    <cellStyle name="60% - Énfasis5 6" xfId="317" xr:uid="{00000000-0005-0000-0000-0000EB000000}"/>
    <cellStyle name="60% - Énfasis5 7" xfId="318" xr:uid="{00000000-0005-0000-0000-0000EC000000}"/>
    <cellStyle name="60% - Énfasis5 8" xfId="319" xr:uid="{00000000-0005-0000-0000-0000ED000000}"/>
    <cellStyle name="60% - Énfasis6 2" xfId="320" xr:uid="{00000000-0005-0000-0000-0000EE000000}"/>
    <cellStyle name="60% - Énfasis6 2 2" xfId="321" xr:uid="{00000000-0005-0000-0000-0000EF000000}"/>
    <cellStyle name="60% - Énfasis6 3" xfId="322" xr:uid="{00000000-0005-0000-0000-0000F0000000}"/>
    <cellStyle name="60% - Énfasis6 4" xfId="323" xr:uid="{00000000-0005-0000-0000-0000F1000000}"/>
    <cellStyle name="60% - Énfasis6 5" xfId="324" xr:uid="{00000000-0005-0000-0000-0000F2000000}"/>
    <cellStyle name="60% - Énfasis6 6" xfId="325" xr:uid="{00000000-0005-0000-0000-0000F3000000}"/>
    <cellStyle name="60% - Énfasis6 7" xfId="326" xr:uid="{00000000-0005-0000-0000-0000F4000000}"/>
    <cellStyle name="60% - Énfasis6 8" xfId="327" xr:uid="{00000000-0005-0000-0000-0000F5000000}"/>
    <cellStyle name="60% - 强调文字颜色 1" xfId="328" xr:uid="{00000000-0005-0000-0000-0000F6000000}"/>
    <cellStyle name="60% - 强调文字颜色 2" xfId="329" xr:uid="{00000000-0005-0000-0000-0000F7000000}"/>
    <cellStyle name="60% - 强调文字颜色 3" xfId="330" xr:uid="{00000000-0005-0000-0000-0000F8000000}"/>
    <cellStyle name="60% - 强调文字颜色 4" xfId="331" xr:uid="{00000000-0005-0000-0000-0000F9000000}"/>
    <cellStyle name="60% - 强调文字颜色 5" xfId="332" xr:uid="{00000000-0005-0000-0000-0000FA000000}"/>
    <cellStyle name="60% - 强调文字颜色 6" xfId="333" xr:uid="{00000000-0005-0000-0000-0000FB000000}"/>
    <cellStyle name="Accent1" xfId="334" xr:uid="{00000000-0005-0000-0000-0000FC000000}"/>
    <cellStyle name="Accent1 2" xfId="335" xr:uid="{00000000-0005-0000-0000-0000FD000000}"/>
    <cellStyle name="Accent1 3" xfId="336" xr:uid="{00000000-0005-0000-0000-0000FE000000}"/>
    <cellStyle name="Accent1 4" xfId="337" xr:uid="{00000000-0005-0000-0000-0000FF000000}"/>
    <cellStyle name="Accent1 5" xfId="338" xr:uid="{00000000-0005-0000-0000-000000010000}"/>
    <cellStyle name="Accent2" xfId="339" xr:uid="{00000000-0005-0000-0000-000001010000}"/>
    <cellStyle name="Accent2 2" xfId="340" xr:uid="{00000000-0005-0000-0000-000002010000}"/>
    <cellStyle name="Accent2 3" xfId="341" xr:uid="{00000000-0005-0000-0000-000003010000}"/>
    <cellStyle name="Accent2 4" xfId="342" xr:uid="{00000000-0005-0000-0000-000004010000}"/>
    <cellStyle name="Accent2 5" xfId="343" xr:uid="{00000000-0005-0000-0000-000005010000}"/>
    <cellStyle name="Accent3" xfId="344" xr:uid="{00000000-0005-0000-0000-000006010000}"/>
    <cellStyle name="Accent3 2" xfId="345" xr:uid="{00000000-0005-0000-0000-000007010000}"/>
    <cellStyle name="Accent3 3" xfId="346" xr:uid="{00000000-0005-0000-0000-000008010000}"/>
    <cellStyle name="Accent3 4" xfId="347" xr:uid="{00000000-0005-0000-0000-000009010000}"/>
    <cellStyle name="Accent3 5" xfId="348" xr:uid="{00000000-0005-0000-0000-00000A010000}"/>
    <cellStyle name="Accent4" xfId="349" xr:uid="{00000000-0005-0000-0000-00000B010000}"/>
    <cellStyle name="Accent4 2" xfId="350" xr:uid="{00000000-0005-0000-0000-00000C010000}"/>
    <cellStyle name="Accent4 3" xfId="351" xr:uid="{00000000-0005-0000-0000-00000D010000}"/>
    <cellStyle name="Accent4 4" xfId="352" xr:uid="{00000000-0005-0000-0000-00000E010000}"/>
    <cellStyle name="Accent4 5" xfId="353" xr:uid="{00000000-0005-0000-0000-00000F010000}"/>
    <cellStyle name="Accent5" xfId="354" xr:uid="{00000000-0005-0000-0000-000010010000}"/>
    <cellStyle name="Accent5 2" xfId="355" xr:uid="{00000000-0005-0000-0000-000011010000}"/>
    <cellStyle name="Accent5 3" xfId="356" xr:uid="{00000000-0005-0000-0000-000012010000}"/>
    <cellStyle name="Accent5 4" xfId="357" xr:uid="{00000000-0005-0000-0000-000013010000}"/>
    <cellStyle name="Accent5 5" xfId="358" xr:uid="{00000000-0005-0000-0000-000014010000}"/>
    <cellStyle name="Accent6" xfId="359" xr:uid="{00000000-0005-0000-0000-000015010000}"/>
    <cellStyle name="Accent6 2" xfId="360" xr:uid="{00000000-0005-0000-0000-000016010000}"/>
    <cellStyle name="Accent6 3" xfId="361" xr:uid="{00000000-0005-0000-0000-000017010000}"/>
    <cellStyle name="Accent6 4" xfId="362" xr:uid="{00000000-0005-0000-0000-000018010000}"/>
    <cellStyle name="Accent6 5" xfId="363" xr:uid="{00000000-0005-0000-0000-000019010000}"/>
    <cellStyle name="Bad" xfId="364" xr:uid="{00000000-0005-0000-0000-00001A010000}"/>
    <cellStyle name="Bad 2" xfId="365" xr:uid="{00000000-0005-0000-0000-00001B010000}"/>
    <cellStyle name="Bad 3" xfId="366" xr:uid="{00000000-0005-0000-0000-00001C010000}"/>
    <cellStyle name="Bad 4" xfId="367" xr:uid="{00000000-0005-0000-0000-00001D010000}"/>
    <cellStyle name="Bad 5" xfId="368" xr:uid="{00000000-0005-0000-0000-00001E010000}"/>
    <cellStyle name="Buena 2" xfId="369" xr:uid="{00000000-0005-0000-0000-00001F010000}"/>
    <cellStyle name="Buena 2 2" xfId="370" xr:uid="{00000000-0005-0000-0000-000020010000}"/>
    <cellStyle name="Buena 2 2 2" xfId="371" xr:uid="{00000000-0005-0000-0000-000021010000}"/>
    <cellStyle name="Buena 2 2 2 2" xfId="372" xr:uid="{00000000-0005-0000-0000-000022010000}"/>
    <cellStyle name="Buena 2 2 2 2 2" xfId="373" xr:uid="{00000000-0005-0000-0000-000023010000}"/>
    <cellStyle name="Buena 2 2 3" xfId="374" xr:uid="{00000000-0005-0000-0000-000024010000}"/>
    <cellStyle name="Buena 2 2 4" xfId="375" xr:uid="{00000000-0005-0000-0000-000025010000}"/>
    <cellStyle name="Buena 2 3" xfId="376" xr:uid="{00000000-0005-0000-0000-000026010000}"/>
    <cellStyle name="Buena 2 4" xfId="377" xr:uid="{00000000-0005-0000-0000-000027010000}"/>
    <cellStyle name="Buena 3" xfId="378" xr:uid="{00000000-0005-0000-0000-000028010000}"/>
    <cellStyle name="Buena 4" xfId="379" xr:uid="{00000000-0005-0000-0000-000029010000}"/>
    <cellStyle name="Buena 5" xfId="380" xr:uid="{00000000-0005-0000-0000-00002A010000}"/>
    <cellStyle name="Buena 6" xfId="381" xr:uid="{00000000-0005-0000-0000-00002B010000}"/>
    <cellStyle name="Buena 7" xfId="382" xr:uid="{00000000-0005-0000-0000-00002C010000}"/>
    <cellStyle name="Buena 8" xfId="383" xr:uid="{00000000-0005-0000-0000-00002D010000}"/>
    <cellStyle name="Buena 9" xfId="384" xr:uid="{00000000-0005-0000-0000-00002E010000}"/>
    <cellStyle name="Calculation" xfId="385" xr:uid="{00000000-0005-0000-0000-00002F010000}"/>
    <cellStyle name="Calculation 2" xfId="386" xr:uid="{00000000-0005-0000-0000-000030010000}"/>
    <cellStyle name="Calculation 3" xfId="387" xr:uid="{00000000-0005-0000-0000-000031010000}"/>
    <cellStyle name="Calculation 4" xfId="388" xr:uid="{00000000-0005-0000-0000-000032010000}"/>
    <cellStyle name="Calculation 5" xfId="389" xr:uid="{00000000-0005-0000-0000-000033010000}"/>
    <cellStyle name="Cálculo 2" xfId="390" xr:uid="{00000000-0005-0000-0000-000034010000}"/>
    <cellStyle name="Cálculo 2 2" xfId="391" xr:uid="{00000000-0005-0000-0000-000035010000}"/>
    <cellStyle name="Cálculo 3" xfId="392" xr:uid="{00000000-0005-0000-0000-000036010000}"/>
    <cellStyle name="Cálculo 4" xfId="393" xr:uid="{00000000-0005-0000-0000-000037010000}"/>
    <cellStyle name="Cálculo 5" xfId="394" xr:uid="{00000000-0005-0000-0000-000038010000}"/>
    <cellStyle name="Cálculo 6" xfId="395" xr:uid="{00000000-0005-0000-0000-000039010000}"/>
    <cellStyle name="Cálculo 7" xfId="396" xr:uid="{00000000-0005-0000-0000-00003A010000}"/>
    <cellStyle name="Cálculo 8" xfId="397" xr:uid="{00000000-0005-0000-0000-00003B010000}"/>
    <cellStyle name="Celda de comprobación 2" xfId="398" xr:uid="{00000000-0005-0000-0000-00003C010000}"/>
    <cellStyle name="Celda de comprobación 2 2" xfId="399" xr:uid="{00000000-0005-0000-0000-00003D010000}"/>
    <cellStyle name="Celda de comprobación 2 2 2" xfId="400" xr:uid="{00000000-0005-0000-0000-00003E010000}"/>
    <cellStyle name="Celda de comprobación 2 2 2 2" xfId="401" xr:uid="{00000000-0005-0000-0000-00003F010000}"/>
    <cellStyle name="Celda de comprobación 2 2 2 2 2" xfId="402" xr:uid="{00000000-0005-0000-0000-000040010000}"/>
    <cellStyle name="Celda de comprobación 2 2 3" xfId="403" xr:uid="{00000000-0005-0000-0000-000041010000}"/>
    <cellStyle name="Celda de comprobación 2 2 4" xfId="404" xr:uid="{00000000-0005-0000-0000-000042010000}"/>
    <cellStyle name="Celda de comprobación 2 3" xfId="405" xr:uid="{00000000-0005-0000-0000-000043010000}"/>
    <cellStyle name="Celda de comprobación 2 4" xfId="406" xr:uid="{00000000-0005-0000-0000-000044010000}"/>
    <cellStyle name="Celda de comprobación 3" xfId="407" xr:uid="{00000000-0005-0000-0000-000045010000}"/>
    <cellStyle name="Celda de comprobación 4" xfId="408" xr:uid="{00000000-0005-0000-0000-000046010000}"/>
    <cellStyle name="Celda de comprobación 5" xfId="409" xr:uid="{00000000-0005-0000-0000-000047010000}"/>
    <cellStyle name="Celda de comprobación 6" xfId="410" xr:uid="{00000000-0005-0000-0000-000048010000}"/>
    <cellStyle name="Celda de comprobación 7" xfId="411" xr:uid="{00000000-0005-0000-0000-000049010000}"/>
    <cellStyle name="Celda de comprobación 8" xfId="412" xr:uid="{00000000-0005-0000-0000-00004A010000}"/>
    <cellStyle name="Celda de comprobación 9" xfId="413" xr:uid="{00000000-0005-0000-0000-00004B010000}"/>
    <cellStyle name="Celda vinculada 2" xfId="414" xr:uid="{00000000-0005-0000-0000-00004C010000}"/>
    <cellStyle name="Celda vinculada 2 2" xfId="415" xr:uid="{00000000-0005-0000-0000-00004D010000}"/>
    <cellStyle name="Celda vinculada 2 2 2" xfId="416" xr:uid="{00000000-0005-0000-0000-00004E010000}"/>
    <cellStyle name="Celda vinculada 2 2 2 2" xfId="417" xr:uid="{00000000-0005-0000-0000-00004F010000}"/>
    <cellStyle name="Celda vinculada 2 2 2 2 2" xfId="418" xr:uid="{00000000-0005-0000-0000-000050010000}"/>
    <cellStyle name="Celda vinculada 2 2 3" xfId="419" xr:uid="{00000000-0005-0000-0000-000051010000}"/>
    <cellStyle name="Celda vinculada 2 2 4" xfId="420" xr:uid="{00000000-0005-0000-0000-000052010000}"/>
    <cellStyle name="Celda vinculada 2 3" xfId="421" xr:uid="{00000000-0005-0000-0000-000053010000}"/>
    <cellStyle name="Celda vinculada 2 4" xfId="422" xr:uid="{00000000-0005-0000-0000-000054010000}"/>
    <cellStyle name="Celda vinculada 3" xfId="423" xr:uid="{00000000-0005-0000-0000-000055010000}"/>
    <cellStyle name="Celda vinculada 4" xfId="424" xr:uid="{00000000-0005-0000-0000-000056010000}"/>
    <cellStyle name="Celda vinculada 5" xfId="425" xr:uid="{00000000-0005-0000-0000-000057010000}"/>
    <cellStyle name="Celda vinculada 6" xfId="426" xr:uid="{00000000-0005-0000-0000-000058010000}"/>
    <cellStyle name="Celda vinculada 7" xfId="427" xr:uid="{00000000-0005-0000-0000-000059010000}"/>
    <cellStyle name="Celda vinculada 8" xfId="428" xr:uid="{00000000-0005-0000-0000-00005A010000}"/>
    <cellStyle name="Celda vinculada 9" xfId="429" xr:uid="{00000000-0005-0000-0000-00005B010000}"/>
    <cellStyle name="Check Cell" xfId="430" xr:uid="{00000000-0005-0000-0000-00005C010000}"/>
    <cellStyle name="Check Cell 2" xfId="431" xr:uid="{00000000-0005-0000-0000-00005D010000}"/>
    <cellStyle name="Check Cell 3" xfId="432" xr:uid="{00000000-0005-0000-0000-00005E010000}"/>
    <cellStyle name="Check Cell 4" xfId="433" xr:uid="{00000000-0005-0000-0000-00005F010000}"/>
    <cellStyle name="Check Cell 5" xfId="434" xr:uid="{00000000-0005-0000-0000-000060010000}"/>
    <cellStyle name="Coma 2" xfId="435" xr:uid="{00000000-0005-0000-0000-000061010000}"/>
    <cellStyle name="Encabezado 4 2" xfId="436" xr:uid="{00000000-0005-0000-0000-000062010000}"/>
    <cellStyle name="Encabezado 4 2 2" xfId="437" xr:uid="{00000000-0005-0000-0000-000063010000}"/>
    <cellStyle name="Encabezado 4 2 2 2" xfId="438" xr:uid="{00000000-0005-0000-0000-000064010000}"/>
    <cellStyle name="Encabezado 4 2 2 2 2" xfId="439" xr:uid="{00000000-0005-0000-0000-000065010000}"/>
    <cellStyle name="Encabezado 4 2 2 2 2 2" xfId="440" xr:uid="{00000000-0005-0000-0000-000066010000}"/>
    <cellStyle name="Encabezado 4 2 2 3" xfId="441" xr:uid="{00000000-0005-0000-0000-000067010000}"/>
    <cellStyle name="Encabezado 4 2 2 4" xfId="442" xr:uid="{00000000-0005-0000-0000-000068010000}"/>
    <cellStyle name="Encabezado 4 2 3" xfId="443" xr:uid="{00000000-0005-0000-0000-000069010000}"/>
    <cellStyle name="Encabezado 4 2 4" xfId="444" xr:uid="{00000000-0005-0000-0000-00006A010000}"/>
    <cellStyle name="Encabezado 4 3" xfId="445" xr:uid="{00000000-0005-0000-0000-00006B010000}"/>
    <cellStyle name="Encabezado 4 4" xfId="446" xr:uid="{00000000-0005-0000-0000-00006C010000}"/>
    <cellStyle name="Encabezado 4 5" xfId="447" xr:uid="{00000000-0005-0000-0000-00006D010000}"/>
    <cellStyle name="Encabezado 4 6" xfId="448" xr:uid="{00000000-0005-0000-0000-00006E010000}"/>
    <cellStyle name="Encabezado 4 7" xfId="449" xr:uid="{00000000-0005-0000-0000-00006F010000}"/>
    <cellStyle name="Encabezado 4 8" xfId="450" xr:uid="{00000000-0005-0000-0000-000070010000}"/>
    <cellStyle name="Encabezado 4 9" xfId="451" xr:uid="{00000000-0005-0000-0000-000071010000}"/>
    <cellStyle name="Énfasis1 2" xfId="452" xr:uid="{00000000-0005-0000-0000-000072010000}"/>
    <cellStyle name="Énfasis1 2 2" xfId="453" xr:uid="{00000000-0005-0000-0000-000073010000}"/>
    <cellStyle name="Énfasis1 3" xfId="454" xr:uid="{00000000-0005-0000-0000-000074010000}"/>
    <cellStyle name="Énfasis1 4" xfId="455" xr:uid="{00000000-0005-0000-0000-000075010000}"/>
    <cellStyle name="Énfasis1 5" xfId="456" xr:uid="{00000000-0005-0000-0000-000076010000}"/>
    <cellStyle name="Énfasis1 6" xfId="457" xr:uid="{00000000-0005-0000-0000-000077010000}"/>
    <cellStyle name="Énfasis1 7" xfId="458" xr:uid="{00000000-0005-0000-0000-000078010000}"/>
    <cellStyle name="Énfasis1 8" xfId="459" xr:uid="{00000000-0005-0000-0000-000079010000}"/>
    <cellStyle name="Énfasis2 2" xfId="460" xr:uid="{00000000-0005-0000-0000-00007A010000}"/>
    <cellStyle name="Énfasis2 2 2" xfId="461" xr:uid="{00000000-0005-0000-0000-00007B010000}"/>
    <cellStyle name="Énfasis2 3" xfId="462" xr:uid="{00000000-0005-0000-0000-00007C010000}"/>
    <cellStyle name="Énfasis2 4" xfId="463" xr:uid="{00000000-0005-0000-0000-00007D010000}"/>
    <cellStyle name="Énfasis2 5" xfId="464" xr:uid="{00000000-0005-0000-0000-00007E010000}"/>
    <cellStyle name="Énfasis2 6" xfId="465" xr:uid="{00000000-0005-0000-0000-00007F010000}"/>
    <cellStyle name="Énfasis2 7" xfId="466" xr:uid="{00000000-0005-0000-0000-000080010000}"/>
    <cellStyle name="Énfasis2 8" xfId="467" xr:uid="{00000000-0005-0000-0000-000081010000}"/>
    <cellStyle name="Énfasis3 2" xfId="468" xr:uid="{00000000-0005-0000-0000-000082010000}"/>
    <cellStyle name="Énfasis3 2 2" xfId="469" xr:uid="{00000000-0005-0000-0000-000083010000}"/>
    <cellStyle name="Énfasis3 3" xfId="470" xr:uid="{00000000-0005-0000-0000-000084010000}"/>
    <cellStyle name="Énfasis3 4" xfId="471" xr:uid="{00000000-0005-0000-0000-000085010000}"/>
    <cellStyle name="Énfasis3 5" xfId="472" xr:uid="{00000000-0005-0000-0000-000086010000}"/>
    <cellStyle name="Énfasis3 6" xfId="473" xr:uid="{00000000-0005-0000-0000-000087010000}"/>
    <cellStyle name="Énfasis3 7" xfId="474" xr:uid="{00000000-0005-0000-0000-000088010000}"/>
    <cellStyle name="Énfasis3 8" xfId="475" xr:uid="{00000000-0005-0000-0000-000089010000}"/>
    <cellStyle name="Énfasis4 2" xfId="476" xr:uid="{00000000-0005-0000-0000-00008A010000}"/>
    <cellStyle name="Énfasis4 2 2" xfId="477" xr:uid="{00000000-0005-0000-0000-00008B010000}"/>
    <cellStyle name="Énfasis4 3" xfId="478" xr:uid="{00000000-0005-0000-0000-00008C010000}"/>
    <cellStyle name="Énfasis4 4" xfId="479" xr:uid="{00000000-0005-0000-0000-00008D010000}"/>
    <cellStyle name="Énfasis4 5" xfId="480" xr:uid="{00000000-0005-0000-0000-00008E010000}"/>
    <cellStyle name="Énfasis4 6" xfId="481" xr:uid="{00000000-0005-0000-0000-00008F010000}"/>
    <cellStyle name="Énfasis4 7" xfId="482" xr:uid="{00000000-0005-0000-0000-000090010000}"/>
    <cellStyle name="Énfasis4 8" xfId="483" xr:uid="{00000000-0005-0000-0000-000091010000}"/>
    <cellStyle name="Énfasis5 2" xfId="484" xr:uid="{00000000-0005-0000-0000-000092010000}"/>
    <cellStyle name="Énfasis5 2 2" xfId="485" xr:uid="{00000000-0005-0000-0000-000093010000}"/>
    <cellStyle name="Énfasis5 3" xfId="486" xr:uid="{00000000-0005-0000-0000-000094010000}"/>
    <cellStyle name="Énfasis5 4" xfId="487" xr:uid="{00000000-0005-0000-0000-000095010000}"/>
    <cellStyle name="Énfasis5 5" xfId="488" xr:uid="{00000000-0005-0000-0000-000096010000}"/>
    <cellStyle name="Énfasis5 6" xfId="489" xr:uid="{00000000-0005-0000-0000-000097010000}"/>
    <cellStyle name="Énfasis5 7" xfId="490" xr:uid="{00000000-0005-0000-0000-000098010000}"/>
    <cellStyle name="Énfasis5 8" xfId="491" xr:uid="{00000000-0005-0000-0000-000099010000}"/>
    <cellStyle name="Énfasis6 2" xfId="492" xr:uid="{00000000-0005-0000-0000-00009A010000}"/>
    <cellStyle name="Énfasis6 2 2" xfId="493" xr:uid="{00000000-0005-0000-0000-00009B010000}"/>
    <cellStyle name="Énfasis6 3" xfId="494" xr:uid="{00000000-0005-0000-0000-00009C010000}"/>
    <cellStyle name="Énfasis6 4" xfId="495" xr:uid="{00000000-0005-0000-0000-00009D010000}"/>
    <cellStyle name="Énfasis6 5" xfId="496" xr:uid="{00000000-0005-0000-0000-00009E010000}"/>
    <cellStyle name="Énfasis6 6" xfId="497" xr:uid="{00000000-0005-0000-0000-00009F010000}"/>
    <cellStyle name="Énfasis6 7" xfId="498" xr:uid="{00000000-0005-0000-0000-0000A0010000}"/>
    <cellStyle name="Énfasis6 8" xfId="499" xr:uid="{00000000-0005-0000-0000-0000A1010000}"/>
    <cellStyle name="Entrada 2" xfId="500" xr:uid="{00000000-0005-0000-0000-0000A2010000}"/>
    <cellStyle name="Entrada 2 2" xfId="501" xr:uid="{00000000-0005-0000-0000-0000A3010000}"/>
    <cellStyle name="Entrada 2 2 2" xfId="502" xr:uid="{00000000-0005-0000-0000-0000A4010000}"/>
    <cellStyle name="Entrada 2 2 2 2" xfId="503" xr:uid="{00000000-0005-0000-0000-0000A5010000}"/>
    <cellStyle name="Entrada 2 2 2 2 2" xfId="504" xr:uid="{00000000-0005-0000-0000-0000A6010000}"/>
    <cellStyle name="Entrada 2 2 3" xfId="505" xr:uid="{00000000-0005-0000-0000-0000A7010000}"/>
    <cellStyle name="Entrada 2 2 4" xfId="506" xr:uid="{00000000-0005-0000-0000-0000A8010000}"/>
    <cellStyle name="Entrada 2 3" xfId="507" xr:uid="{00000000-0005-0000-0000-0000A9010000}"/>
    <cellStyle name="Entrada 2 4" xfId="508" xr:uid="{00000000-0005-0000-0000-0000AA010000}"/>
    <cellStyle name="Entrada 3" xfId="509" xr:uid="{00000000-0005-0000-0000-0000AB010000}"/>
    <cellStyle name="Entrada 4" xfId="510" xr:uid="{00000000-0005-0000-0000-0000AC010000}"/>
    <cellStyle name="Entrada 5" xfId="511" xr:uid="{00000000-0005-0000-0000-0000AD010000}"/>
    <cellStyle name="Entrada 6" xfId="512" xr:uid="{00000000-0005-0000-0000-0000AE010000}"/>
    <cellStyle name="Entrada 7" xfId="513" xr:uid="{00000000-0005-0000-0000-0000AF010000}"/>
    <cellStyle name="Entrada 8" xfId="514" xr:uid="{00000000-0005-0000-0000-0000B0010000}"/>
    <cellStyle name="Entrada 9" xfId="515" xr:uid="{00000000-0005-0000-0000-0000B1010000}"/>
    <cellStyle name="Estilo 1" xfId="516" xr:uid="{00000000-0005-0000-0000-0000B2010000}"/>
    <cellStyle name="Estilo 1 10" xfId="517" xr:uid="{00000000-0005-0000-0000-0000B3010000}"/>
    <cellStyle name="Estilo 1 10 2" xfId="518" xr:uid="{00000000-0005-0000-0000-0000B4010000}"/>
    <cellStyle name="Estilo 1 10 3" xfId="519" xr:uid="{00000000-0005-0000-0000-0000B5010000}"/>
    <cellStyle name="Estilo 1 10_Enlaces" xfId="520" xr:uid="{00000000-0005-0000-0000-0000B6010000}"/>
    <cellStyle name="Estilo 1 100" xfId="521" xr:uid="{00000000-0005-0000-0000-0000B7010000}"/>
    <cellStyle name="Estilo 1 100 2" xfId="522" xr:uid="{00000000-0005-0000-0000-0000B8010000}"/>
    <cellStyle name="Estilo 1 101" xfId="523" xr:uid="{00000000-0005-0000-0000-0000B9010000}"/>
    <cellStyle name="Estilo 1 101 2" xfId="524" xr:uid="{00000000-0005-0000-0000-0000BA010000}"/>
    <cellStyle name="Estilo 1 102" xfId="525" xr:uid="{00000000-0005-0000-0000-0000BB010000}"/>
    <cellStyle name="Estilo 1 102 2" xfId="526" xr:uid="{00000000-0005-0000-0000-0000BC010000}"/>
    <cellStyle name="Estilo 1 103" xfId="527" xr:uid="{00000000-0005-0000-0000-0000BD010000}"/>
    <cellStyle name="Estilo 1 103 2" xfId="528" xr:uid="{00000000-0005-0000-0000-0000BE010000}"/>
    <cellStyle name="Estilo 1 104" xfId="529" xr:uid="{00000000-0005-0000-0000-0000BF010000}"/>
    <cellStyle name="Estilo 1 104 2" xfId="530" xr:uid="{00000000-0005-0000-0000-0000C0010000}"/>
    <cellStyle name="Estilo 1 105" xfId="531" xr:uid="{00000000-0005-0000-0000-0000C1010000}"/>
    <cellStyle name="Estilo 1 105 2" xfId="532" xr:uid="{00000000-0005-0000-0000-0000C2010000}"/>
    <cellStyle name="Estilo 1 106" xfId="533" xr:uid="{00000000-0005-0000-0000-0000C3010000}"/>
    <cellStyle name="Estilo 1 106 2" xfId="534" xr:uid="{00000000-0005-0000-0000-0000C4010000}"/>
    <cellStyle name="Estilo 1 107" xfId="535" xr:uid="{00000000-0005-0000-0000-0000C5010000}"/>
    <cellStyle name="Estilo 1 107 2" xfId="536" xr:uid="{00000000-0005-0000-0000-0000C6010000}"/>
    <cellStyle name="Estilo 1 108" xfId="537" xr:uid="{00000000-0005-0000-0000-0000C7010000}"/>
    <cellStyle name="Estilo 1 108 2" xfId="538" xr:uid="{00000000-0005-0000-0000-0000C8010000}"/>
    <cellStyle name="Estilo 1 109" xfId="539" xr:uid="{00000000-0005-0000-0000-0000C9010000}"/>
    <cellStyle name="Estilo 1 109 2" xfId="540" xr:uid="{00000000-0005-0000-0000-0000CA010000}"/>
    <cellStyle name="Estilo 1 11" xfId="541" xr:uid="{00000000-0005-0000-0000-0000CB010000}"/>
    <cellStyle name="Estilo 1 11 2" xfId="542" xr:uid="{00000000-0005-0000-0000-0000CC010000}"/>
    <cellStyle name="Estilo 1 11 3" xfId="543" xr:uid="{00000000-0005-0000-0000-0000CD010000}"/>
    <cellStyle name="Estilo 1 11_Enlaces" xfId="544" xr:uid="{00000000-0005-0000-0000-0000CE010000}"/>
    <cellStyle name="Estilo 1 110" xfId="545" xr:uid="{00000000-0005-0000-0000-0000CF010000}"/>
    <cellStyle name="Estilo 1 110 2" xfId="546" xr:uid="{00000000-0005-0000-0000-0000D0010000}"/>
    <cellStyle name="Estilo 1 111" xfId="547" xr:uid="{00000000-0005-0000-0000-0000D1010000}"/>
    <cellStyle name="Estilo 1 111 2" xfId="548" xr:uid="{00000000-0005-0000-0000-0000D2010000}"/>
    <cellStyle name="Estilo 1 112" xfId="549" xr:uid="{00000000-0005-0000-0000-0000D3010000}"/>
    <cellStyle name="Estilo 1 112 2" xfId="550" xr:uid="{00000000-0005-0000-0000-0000D4010000}"/>
    <cellStyle name="Estilo 1 113" xfId="551" xr:uid="{00000000-0005-0000-0000-0000D5010000}"/>
    <cellStyle name="Estilo 1 113 2" xfId="552" xr:uid="{00000000-0005-0000-0000-0000D6010000}"/>
    <cellStyle name="Estilo 1 114" xfId="553" xr:uid="{00000000-0005-0000-0000-0000D7010000}"/>
    <cellStyle name="Estilo 1 114 2" xfId="554" xr:uid="{00000000-0005-0000-0000-0000D8010000}"/>
    <cellStyle name="Estilo 1 115" xfId="555" xr:uid="{00000000-0005-0000-0000-0000D9010000}"/>
    <cellStyle name="Estilo 1 115 2" xfId="556" xr:uid="{00000000-0005-0000-0000-0000DA010000}"/>
    <cellStyle name="Estilo 1 116" xfId="557" xr:uid="{00000000-0005-0000-0000-0000DB010000}"/>
    <cellStyle name="Estilo 1 116 2" xfId="558" xr:uid="{00000000-0005-0000-0000-0000DC010000}"/>
    <cellStyle name="Estilo 1 117" xfId="559" xr:uid="{00000000-0005-0000-0000-0000DD010000}"/>
    <cellStyle name="Estilo 1 117 2" xfId="560" xr:uid="{00000000-0005-0000-0000-0000DE010000}"/>
    <cellStyle name="Estilo 1 118" xfId="561" xr:uid="{00000000-0005-0000-0000-0000DF010000}"/>
    <cellStyle name="Estilo 1 118 2" xfId="562" xr:uid="{00000000-0005-0000-0000-0000E0010000}"/>
    <cellStyle name="Estilo 1 119" xfId="563" xr:uid="{00000000-0005-0000-0000-0000E1010000}"/>
    <cellStyle name="Estilo 1 119 2" xfId="564" xr:uid="{00000000-0005-0000-0000-0000E2010000}"/>
    <cellStyle name="Estilo 1 12" xfId="565" xr:uid="{00000000-0005-0000-0000-0000E3010000}"/>
    <cellStyle name="Estilo 1 12 2" xfId="566" xr:uid="{00000000-0005-0000-0000-0000E4010000}"/>
    <cellStyle name="Estilo 1 12 3" xfId="567" xr:uid="{00000000-0005-0000-0000-0000E5010000}"/>
    <cellStyle name="Estilo 1 12_Enlaces" xfId="568" xr:uid="{00000000-0005-0000-0000-0000E6010000}"/>
    <cellStyle name="Estilo 1 120" xfId="569" xr:uid="{00000000-0005-0000-0000-0000E7010000}"/>
    <cellStyle name="Estilo 1 120 2" xfId="570" xr:uid="{00000000-0005-0000-0000-0000E8010000}"/>
    <cellStyle name="Estilo 1 121" xfId="571" xr:uid="{00000000-0005-0000-0000-0000E9010000}"/>
    <cellStyle name="Estilo 1 121 2" xfId="572" xr:uid="{00000000-0005-0000-0000-0000EA010000}"/>
    <cellStyle name="Estilo 1 122" xfId="573" xr:uid="{00000000-0005-0000-0000-0000EB010000}"/>
    <cellStyle name="Estilo 1 122 2" xfId="574" xr:uid="{00000000-0005-0000-0000-0000EC010000}"/>
    <cellStyle name="Estilo 1 123" xfId="575" xr:uid="{00000000-0005-0000-0000-0000ED010000}"/>
    <cellStyle name="Estilo 1 123 2" xfId="576" xr:uid="{00000000-0005-0000-0000-0000EE010000}"/>
    <cellStyle name="Estilo 1 124" xfId="577" xr:uid="{00000000-0005-0000-0000-0000EF010000}"/>
    <cellStyle name="Estilo 1 124 2" xfId="578" xr:uid="{00000000-0005-0000-0000-0000F0010000}"/>
    <cellStyle name="Estilo 1 125" xfId="579" xr:uid="{00000000-0005-0000-0000-0000F1010000}"/>
    <cellStyle name="Estilo 1 125 2" xfId="580" xr:uid="{00000000-0005-0000-0000-0000F2010000}"/>
    <cellStyle name="Estilo 1 126" xfId="581" xr:uid="{00000000-0005-0000-0000-0000F3010000}"/>
    <cellStyle name="Estilo 1 126 2" xfId="582" xr:uid="{00000000-0005-0000-0000-0000F4010000}"/>
    <cellStyle name="Estilo 1 127" xfId="583" xr:uid="{00000000-0005-0000-0000-0000F5010000}"/>
    <cellStyle name="Estilo 1 127 2" xfId="584" xr:uid="{00000000-0005-0000-0000-0000F6010000}"/>
    <cellStyle name="Estilo 1 128" xfId="585" xr:uid="{00000000-0005-0000-0000-0000F7010000}"/>
    <cellStyle name="Estilo 1 128 2" xfId="586" xr:uid="{00000000-0005-0000-0000-0000F8010000}"/>
    <cellStyle name="Estilo 1 129" xfId="587" xr:uid="{00000000-0005-0000-0000-0000F9010000}"/>
    <cellStyle name="Estilo 1 129 2" xfId="588" xr:uid="{00000000-0005-0000-0000-0000FA010000}"/>
    <cellStyle name="Estilo 1 13" xfId="589" xr:uid="{00000000-0005-0000-0000-0000FB010000}"/>
    <cellStyle name="Estilo 1 13 2" xfId="590" xr:uid="{00000000-0005-0000-0000-0000FC010000}"/>
    <cellStyle name="Estilo 1 13 3" xfId="591" xr:uid="{00000000-0005-0000-0000-0000FD010000}"/>
    <cellStyle name="Estilo 1 13_Enlaces" xfId="592" xr:uid="{00000000-0005-0000-0000-0000FE010000}"/>
    <cellStyle name="Estilo 1 130" xfId="593" xr:uid="{00000000-0005-0000-0000-0000FF010000}"/>
    <cellStyle name="Estilo 1 130 2" xfId="594" xr:uid="{00000000-0005-0000-0000-000000020000}"/>
    <cellStyle name="Estilo 1 131" xfId="595" xr:uid="{00000000-0005-0000-0000-000001020000}"/>
    <cellStyle name="Estilo 1 131 2" xfId="596" xr:uid="{00000000-0005-0000-0000-000002020000}"/>
    <cellStyle name="Estilo 1 132" xfId="597" xr:uid="{00000000-0005-0000-0000-000003020000}"/>
    <cellStyle name="Estilo 1 132 2" xfId="598" xr:uid="{00000000-0005-0000-0000-000004020000}"/>
    <cellStyle name="Estilo 1 133" xfId="599" xr:uid="{00000000-0005-0000-0000-000005020000}"/>
    <cellStyle name="Estilo 1 133 2" xfId="600" xr:uid="{00000000-0005-0000-0000-000006020000}"/>
    <cellStyle name="Estilo 1 134" xfId="601" xr:uid="{00000000-0005-0000-0000-000007020000}"/>
    <cellStyle name="Estilo 1 134 2" xfId="602" xr:uid="{00000000-0005-0000-0000-000008020000}"/>
    <cellStyle name="Estilo 1 135" xfId="603" xr:uid="{00000000-0005-0000-0000-000009020000}"/>
    <cellStyle name="Estilo 1 135 2" xfId="604" xr:uid="{00000000-0005-0000-0000-00000A020000}"/>
    <cellStyle name="Estilo 1 136" xfId="605" xr:uid="{00000000-0005-0000-0000-00000B020000}"/>
    <cellStyle name="Estilo 1 136 2" xfId="606" xr:uid="{00000000-0005-0000-0000-00000C020000}"/>
    <cellStyle name="Estilo 1 137" xfId="607" xr:uid="{00000000-0005-0000-0000-00000D020000}"/>
    <cellStyle name="Estilo 1 137 2" xfId="608" xr:uid="{00000000-0005-0000-0000-00000E020000}"/>
    <cellStyle name="Estilo 1 138" xfId="609" xr:uid="{00000000-0005-0000-0000-00000F020000}"/>
    <cellStyle name="Estilo 1 138 2" xfId="610" xr:uid="{00000000-0005-0000-0000-000010020000}"/>
    <cellStyle name="Estilo 1 139" xfId="611" xr:uid="{00000000-0005-0000-0000-000011020000}"/>
    <cellStyle name="Estilo 1 139 2" xfId="612" xr:uid="{00000000-0005-0000-0000-000012020000}"/>
    <cellStyle name="Estilo 1 14" xfId="613" xr:uid="{00000000-0005-0000-0000-000013020000}"/>
    <cellStyle name="Estilo 1 14 2" xfId="614" xr:uid="{00000000-0005-0000-0000-000014020000}"/>
    <cellStyle name="Estilo 1 14 3" xfId="615" xr:uid="{00000000-0005-0000-0000-000015020000}"/>
    <cellStyle name="Estilo 1 14_Enlaces" xfId="616" xr:uid="{00000000-0005-0000-0000-000016020000}"/>
    <cellStyle name="Estilo 1 140" xfId="617" xr:uid="{00000000-0005-0000-0000-000017020000}"/>
    <cellStyle name="Estilo 1 140 2" xfId="618" xr:uid="{00000000-0005-0000-0000-000018020000}"/>
    <cellStyle name="Estilo 1 141" xfId="619" xr:uid="{00000000-0005-0000-0000-000019020000}"/>
    <cellStyle name="Estilo 1 141 2" xfId="620" xr:uid="{00000000-0005-0000-0000-00001A020000}"/>
    <cellStyle name="Estilo 1 142" xfId="621" xr:uid="{00000000-0005-0000-0000-00001B020000}"/>
    <cellStyle name="Estilo 1 142 2" xfId="622" xr:uid="{00000000-0005-0000-0000-00001C020000}"/>
    <cellStyle name="Estilo 1 143" xfId="623" xr:uid="{00000000-0005-0000-0000-00001D020000}"/>
    <cellStyle name="Estilo 1 143 2" xfId="624" xr:uid="{00000000-0005-0000-0000-00001E020000}"/>
    <cellStyle name="Estilo 1 144" xfId="625" xr:uid="{00000000-0005-0000-0000-00001F020000}"/>
    <cellStyle name="Estilo 1 144 2" xfId="626" xr:uid="{00000000-0005-0000-0000-000020020000}"/>
    <cellStyle name="Estilo 1 145" xfId="627" xr:uid="{00000000-0005-0000-0000-000021020000}"/>
    <cellStyle name="Estilo 1 145 2" xfId="628" xr:uid="{00000000-0005-0000-0000-000022020000}"/>
    <cellStyle name="Estilo 1 146" xfId="629" xr:uid="{00000000-0005-0000-0000-000023020000}"/>
    <cellStyle name="Estilo 1 146 2" xfId="630" xr:uid="{00000000-0005-0000-0000-000024020000}"/>
    <cellStyle name="Estilo 1 147" xfId="631" xr:uid="{00000000-0005-0000-0000-000025020000}"/>
    <cellStyle name="Estilo 1 147 2" xfId="632" xr:uid="{00000000-0005-0000-0000-000026020000}"/>
    <cellStyle name="Estilo 1 148" xfId="633" xr:uid="{00000000-0005-0000-0000-000027020000}"/>
    <cellStyle name="Estilo 1 148 2" xfId="634" xr:uid="{00000000-0005-0000-0000-000028020000}"/>
    <cellStyle name="Estilo 1 149" xfId="635" xr:uid="{00000000-0005-0000-0000-000029020000}"/>
    <cellStyle name="Estilo 1 149 2" xfId="636" xr:uid="{00000000-0005-0000-0000-00002A020000}"/>
    <cellStyle name="Estilo 1 15" xfId="637" xr:uid="{00000000-0005-0000-0000-00002B020000}"/>
    <cellStyle name="Estilo 1 15 2" xfId="638" xr:uid="{00000000-0005-0000-0000-00002C020000}"/>
    <cellStyle name="Estilo 1 15 3" xfId="639" xr:uid="{00000000-0005-0000-0000-00002D020000}"/>
    <cellStyle name="Estilo 1 15_Enlaces" xfId="640" xr:uid="{00000000-0005-0000-0000-00002E020000}"/>
    <cellStyle name="Estilo 1 150" xfId="641" xr:uid="{00000000-0005-0000-0000-00002F020000}"/>
    <cellStyle name="Estilo 1 150 2" xfId="642" xr:uid="{00000000-0005-0000-0000-000030020000}"/>
    <cellStyle name="Estilo 1 151" xfId="643" xr:uid="{00000000-0005-0000-0000-000031020000}"/>
    <cellStyle name="Estilo 1 151 2" xfId="644" xr:uid="{00000000-0005-0000-0000-000032020000}"/>
    <cellStyle name="Estilo 1 152" xfId="645" xr:uid="{00000000-0005-0000-0000-000033020000}"/>
    <cellStyle name="Estilo 1 152 2" xfId="646" xr:uid="{00000000-0005-0000-0000-000034020000}"/>
    <cellStyle name="Estilo 1 153" xfId="647" xr:uid="{00000000-0005-0000-0000-000035020000}"/>
    <cellStyle name="Estilo 1 153 2" xfId="648" xr:uid="{00000000-0005-0000-0000-000036020000}"/>
    <cellStyle name="Estilo 1 154" xfId="649" xr:uid="{00000000-0005-0000-0000-000037020000}"/>
    <cellStyle name="Estilo 1 154 2" xfId="650" xr:uid="{00000000-0005-0000-0000-000038020000}"/>
    <cellStyle name="Estilo 1 155" xfId="651" xr:uid="{00000000-0005-0000-0000-000039020000}"/>
    <cellStyle name="Estilo 1 155 2" xfId="652" xr:uid="{00000000-0005-0000-0000-00003A020000}"/>
    <cellStyle name="Estilo 1 156" xfId="653" xr:uid="{00000000-0005-0000-0000-00003B020000}"/>
    <cellStyle name="Estilo 1 156 2" xfId="654" xr:uid="{00000000-0005-0000-0000-00003C020000}"/>
    <cellStyle name="Estilo 1 157" xfId="655" xr:uid="{00000000-0005-0000-0000-00003D020000}"/>
    <cellStyle name="Estilo 1 157 2" xfId="656" xr:uid="{00000000-0005-0000-0000-00003E020000}"/>
    <cellStyle name="Estilo 1 158" xfId="657" xr:uid="{00000000-0005-0000-0000-00003F020000}"/>
    <cellStyle name="Estilo 1 158 2" xfId="658" xr:uid="{00000000-0005-0000-0000-000040020000}"/>
    <cellStyle name="Estilo 1 159" xfId="659" xr:uid="{00000000-0005-0000-0000-000041020000}"/>
    <cellStyle name="Estilo 1 159 2" xfId="660" xr:uid="{00000000-0005-0000-0000-000042020000}"/>
    <cellStyle name="Estilo 1 16" xfId="661" xr:uid="{00000000-0005-0000-0000-000043020000}"/>
    <cellStyle name="Estilo 1 16 2" xfId="662" xr:uid="{00000000-0005-0000-0000-000044020000}"/>
    <cellStyle name="Estilo 1 16 3" xfId="663" xr:uid="{00000000-0005-0000-0000-000045020000}"/>
    <cellStyle name="Estilo 1 16_Enlaces" xfId="664" xr:uid="{00000000-0005-0000-0000-000046020000}"/>
    <cellStyle name="Estilo 1 160" xfId="665" xr:uid="{00000000-0005-0000-0000-000047020000}"/>
    <cellStyle name="Estilo 1 160 2" xfId="666" xr:uid="{00000000-0005-0000-0000-000048020000}"/>
    <cellStyle name="Estilo 1 161" xfId="667" xr:uid="{00000000-0005-0000-0000-000049020000}"/>
    <cellStyle name="Estilo 1 161 2" xfId="668" xr:uid="{00000000-0005-0000-0000-00004A020000}"/>
    <cellStyle name="Estilo 1 162" xfId="669" xr:uid="{00000000-0005-0000-0000-00004B020000}"/>
    <cellStyle name="Estilo 1 162 2" xfId="670" xr:uid="{00000000-0005-0000-0000-00004C020000}"/>
    <cellStyle name="Estilo 1 163" xfId="671" xr:uid="{00000000-0005-0000-0000-00004D020000}"/>
    <cellStyle name="Estilo 1 163 2" xfId="672" xr:uid="{00000000-0005-0000-0000-00004E020000}"/>
    <cellStyle name="Estilo 1 164" xfId="673" xr:uid="{00000000-0005-0000-0000-00004F020000}"/>
    <cellStyle name="Estilo 1 164 2" xfId="674" xr:uid="{00000000-0005-0000-0000-000050020000}"/>
    <cellStyle name="Estilo 1 165" xfId="675" xr:uid="{00000000-0005-0000-0000-000051020000}"/>
    <cellStyle name="Estilo 1 165 2" xfId="676" xr:uid="{00000000-0005-0000-0000-000052020000}"/>
    <cellStyle name="Estilo 1 166" xfId="677" xr:uid="{00000000-0005-0000-0000-000053020000}"/>
    <cellStyle name="Estilo 1 166 2" xfId="678" xr:uid="{00000000-0005-0000-0000-000054020000}"/>
    <cellStyle name="Estilo 1 167" xfId="679" xr:uid="{00000000-0005-0000-0000-000055020000}"/>
    <cellStyle name="Estilo 1 167 2" xfId="680" xr:uid="{00000000-0005-0000-0000-000056020000}"/>
    <cellStyle name="Estilo 1 168" xfId="681" xr:uid="{00000000-0005-0000-0000-000057020000}"/>
    <cellStyle name="Estilo 1 168 2" xfId="682" xr:uid="{00000000-0005-0000-0000-000058020000}"/>
    <cellStyle name="Estilo 1 169" xfId="683" xr:uid="{00000000-0005-0000-0000-000059020000}"/>
    <cellStyle name="Estilo 1 169 2" xfId="684" xr:uid="{00000000-0005-0000-0000-00005A020000}"/>
    <cellStyle name="Estilo 1 17" xfId="685" xr:uid="{00000000-0005-0000-0000-00005B020000}"/>
    <cellStyle name="Estilo 1 17 2" xfId="686" xr:uid="{00000000-0005-0000-0000-00005C020000}"/>
    <cellStyle name="Estilo 1 17 3" xfId="687" xr:uid="{00000000-0005-0000-0000-00005D020000}"/>
    <cellStyle name="Estilo 1 17_Enlaces" xfId="688" xr:uid="{00000000-0005-0000-0000-00005E020000}"/>
    <cellStyle name="Estilo 1 170" xfId="689" xr:uid="{00000000-0005-0000-0000-00005F020000}"/>
    <cellStyle name="Estilo 1 170 2" xfId="690" xr:uid="{00000000-0005-0000-0000-000060020000}"/>
    <cellStyle name="Estilo 1 171" xfId="691" xr:uid="{00000000-0005-0000-0000-000061020000}"/>
    <cellStyle name="Estilo 1 171 2" xfId="692" xr:uid="{00000000-0005-0000-0000-000062020000}"/>
    <cellStyle name="Estilo 1 172" xfId="693" xr:uid="{00000000-0005-0000-0000-000063020000}"/>
    <cellStyle name="Estilo 1 172 2" xfId="694" xr:uid="{00000000-0005-0000-0000-000064020000}"/>
    <cellStyle name="Estilo 1 173" xfId="695" xr:uid="{00000000-0005-0000-0000-000065020000}"/>
    <cellStyle name="Estilo 1 173 2" xfId="696" xr:uid="{00000000-0005-0000-0000-000066020000}"/>
    <cellStyle name="Estilo 1 174" xfId="697" xr:uid="{00000000-0005-0000-0000-000067020000}"/>
    <cellStyle name="Estilo 1 174 2" xfId="698" xr:uid="{00000000-0005-0000-0000-000068020000}"/>
    <cellStyle name="Estilo 1 175" xfId="699" xr:uid="{00000000-0005-0000-0000-000069020000}"/>
    <cellStyle name="Estilo 1 175 2" xfId="700" xr:uid="{00000000-0005-0000-0000-00006A020000}"/>
    <cellStyle name="Estilo 1 176" xfId="701" xr:uid="{00000000-0005-0000-0000-00006B020000}"/>
    <cellStyle name="Estilo 1 176 2" xfId="702" xr:uid="{00000000-0005-0000-0000-00006C020000}"/>
    <cellStyle name="Estilo 1 177" xfId="703" xr:uid="{00000000-0005-0000-0000-00006D020000}"/>
    <cellStyle name="Estilo 1 177 2" xfId="704" xr:uid="{00000000-0005-0000-0000-00006E020000}"/>
    <cellStyle name="Estilo 1 178" xfId="705" xr:uid="{00000000-0005-0000-0000-00006F020000}"/>
    <cellStyle name="Estilo 1 178 2" xfId="706" xr:uid="{00000000-0005-0000-0000-000070020000}"/>
    <cellStyle name="Estilo 1 179" xfId="707" xr:uid="{00000000-0005-0000-0000-000071020000}"/>
    <cellStyle name="Estilo 1 179 2" xfId="708" xr:uid="{00000000-0005-0000-0000-000072020000}"/>
    <cellStyle name="Estilo 1 18" xfId="709" xr:uid="{00000000-0005-0000-0000-000073020000}"/>
    <cellStyle name="Estilo 1 18 2" xfId="710" xr:uid="{00000000-0005-0000-0000-000074020000}"/>
    <cellStyle name="Estilo 1 18 3" xfId="711" xr:uid="{00000000-0005-0000-0000-000075020000}"/>
    <cellStyle name="Estilo 1 18_Enlaces" xfId="712" xr:uid="{00000000-0005-0000-0000-000076020000}"/>
    <cellStyle name="Estilo 1 180" xfId="713" xr:uid="{00000000-0005-0000-0000-000077020000}"/>
    <cellStyle name="Estilo 1 180 2" xfId="714" xr:uid="{00000000-0005-0000-0000-000078020000}"/>
    <cellStyle name="Estilo 1 181" xfId="715" xr:uid="{00000000-0005-0000-0000-000079020000}"/>
    <cellStyle name="Estilo 1 181 2" xfId="716" xr:uid="{00000000-0005-0000-0000-00007A020000}"/>
    <cellStyle name="Estilo 1 182" xfId="717" xr:uid="{00000000-0005-0000-0000-00007B020000}"/>
    <cellStyle name="Estilo 1 182 2" xfId="718" xr:uid="{00000000-0005-0000-0000-00007C020000}"/>
    <cellStyle name="Estilo 1 183" xfId="719" xr:uid="{00000000-0005-0000-0000-00007D020000}"/>
    <cellStyle name="Estilo 1 183 2" xfId="720" xr:uid="{00000000-0005-0000-0000-00007E020000}"/>
    <cellStyle name="Estilo 1 184" xfId="721" xr:uid="{00000000-0005-0000-0000-00007F020000}"/>
    <cellStyle name="Estilo 1 184 2" xfId="722" xr:uid="{00000000-0005-0000-0000-000080020000}"/>
    <cellStyle name="Estilo 1 185" xfId="723" xr:uid="{00000000-0005-0000-0000-000081020000}"/>
    <cellStyle name="Estilo 1 185 2" xfId="724" xr:uid="{00000000-0005-0000-0000-000082020000}"/>
    <cellStyle name="Estilo 1 186" xfId="725" xr:uid="{00000000-0005-0000-0000-000083020000}"/>
    <cellStyle name="Estilo 1 186 2" xfId="726" xr:uid="{00000000-0005-0000-0000-000084020000}"/>
    <cellStyle name="Estilo 1 187" xfId="727" xr:uid="{00000000-0005-0000-0000-000085020000}"/>
    <cellStyle name="Estilo 1 187 2" xfId="728" xr:uid="{00000000-0005-0000-0000-000086020000}"/>
    <cellStyle name="Estilo 1 188" xfId="729" xr:uid="{00000000-0005-0000-0000-000087020000}"/>
    <cellStyle name="Estilo 1 188 2" xfId="730" xr:uid="{00000000-0005-0000-0000-000088020000}"/>
    <cellStyle name="Estilo 1 189" xfId="731" xr:uid="{00000000-0005-0000-0000-000089020000}"/>
    <cellStyle name="Estilo 1 189 2" xfId="732" xr:uid="{00000000-0005-0000-0000-00008A020000}"/>
    <cellStyle name="Estilo 1 19" xfId="733" xr:uid="{00000000-0005-0000-0000-00008B020000}"/>
    <cellStyle name="Estilo 1 19 2" xfId="734" xr:uid="{00000000-0005-0000-0000-00008C020000}"/>
    <cellStyle name="Estilo 1 19 3" xfId="735" xr:uid="{00000000-0005-0000-0000-00008D020000}"/>
    <cellStyle name="Estilo 1 19_Enlaces" xfId="736" xr:uid="{00000000-0005-0000-0000-00008E020000}"/>
    <cellStyle name="Estilo 1 190" xfId="737" xr:uid="{00000000-0005-0000-0000-00008F020000}"/>
    <cellStyle name="Estilo 1 190 2" xfId="738" xr:uid="{00000000-0005-0000-0000-000090020000}"/>
    <cellStyle name="Estilo 1 191" xfId="739" xr:uid="{00000000-0005-0000-0000-000091020000}"/>
    <cellStyle name="Estilo 1 191 2" xfId="740" xr:uid="{00000000-0005-0000-0000-000092020000}"/>
    <cellStyle name="Estilo 1 192" xfId="741" xr:uid="{00000000-0005-0000-0000-000093020000}"/>
    <cellStyle name="Estilo 1 192 2" xfId="742" xr:uid="{00000000-0005-0000-0000-000094020000}"/>
    <cellStyle name="Estilo 1 193" xfId="743" xr:uid="{00000000-0005-0000-0000-000095020000}"/>
    <cellStyle name="Estilo 1 193 2" xfId="744" xr:uid="{00000000-0005-0000-0000-000096020000}"/>
    <cellStyle name="Estilo 1 194" xfId="745" xr:uid="{00000000-0005-0000-0000-000097020000}"/>
    <cellStyle name="Estilo 1 194 2" xfId="746" xr:uid="{00000000-0005-0000-0000-000098020000}"/>
    <cellStyle name="Estilo 1 195" xfId="747" xr:uid="{00000000-0005-0000-0000-000099020000}"/>
    <cellStyle name="Estilo 1 195 2" xfId="748" xr:uid="{00000000-0005-0000-0000-00009A020000}"/>
    <cellStyle name="Estilo 1 196" xfId="749" xr:uid="{00000000-0005-0000-0000-00009B020000}"/>
    <cellStyle name="Estilo 1 196 2" xfId="750" xr:uid="{00000000-0005-0000-0000-00009C020000}"/>
    <cellStyle name="Estilo 1 197" xfId="751" xr:uid="{00000000-0005-0000-0000-00009D020000}"/>
    <cellStyle name="Estilo 1 197 2" xfId="752" xr:uid="{00000000-0005-0000-0000-00009E020000}"/>
    <cellStyle name="Estilo 1 198" xfId="753" xr:uid="{00000000-0005-0000-0000-00009F020000}"/>
    <cellStyle name="Estilo 1 198 2" xfId="754" xr:uid="{00000000-0005-0000-0000-0000A0020000}"/>
    <cellStyle name="Estilo 1 199" xfId="755" xr:uid="{00000000-0005-0000-0000-0000A1020000}"/>
    <cellStyle name="Estilo 1 199 2" xfId="756" xr:uid="{00000000-0005-0000-0000-0000A2020000}"/>
    <cellStyle name="Estilo 1 2" xfId="757" xr:uid="{00000000-0005-0000-0000-0000A3020000}"/>
    <cellStyle name="Estilo 1 2 2" xfId="758" xr:uid="{00000000-0005-0000-0000-0000A4020000}"/>
    <cellStyle name="Estilo 1 2 2 2" xfId="759" xr:uid="{00000000-0005-0000-0000-0000A5020000}"/>
    <cellStyle name="Estilo 1 2 3" xfId="760" xr:uid="{00000000-0005-0000-0000-0000A6020000}"/>
    <cellStyle name="Estilo 1 2 3 2" xfId="761" xr:uid="{00000000-0005-0000-0000-0000A7020000}"/>
    <cellStyle name="Estilo 1 2 4" xfId="762" xr:uid="{00000000-0005-0000-0000-0000A8020000}"/>
    <cellStyle name="Estilo 1 2 4 2" xfId="763" xr:uid="{00000000-0005-0000-0000-0000A9020000}"/>
    <cellStyle name="Estilo 1 2 5" xfId="764" xr:uid="{00000000-0005-0000-0000-0000AA020000}"/>
    <cellStyle name="Estilo 1 2 6" xfId="765" xr:uid="{00000000-0005-0000-0000-0000AB020000}"/>
    <cellStyle name="Estilo 1 2 7" xfId="766" xr:uid="{00000000-0005-0000-0000-0000AC020000}"/>
    <cellStyle name="Estilo 1 2 7 2" xfId="767" xr:uid="{00000000-0005-0000-0000-0000AD020000}"/>
    <cellStyle name="Estilo 1 2_Enlaces" xfId="768" xr:uid="{00000000-0005-0000-0000-0000AE020000}"/>
    <cellStyle name="Estilo 1 20" xfId="769" xr:uid="{00000000-0005-0000-0000-0000AF020000}"/>
    <cellStyle name="Estilo 1 20 2" xfId="770" xr:uid="{00000000-0005-0000-0000-0000B0020000}"/>
    <cellStyle name="Estilo 1 20 3" xfId="771" xr:uid="{00000000-0005-0000-0000-0000B1020000}"/>
    <cellStyle name="Estilo 1 20_Enlaces" xfId="772" xr:uid="{00000000-0005-0000-0000-0000B2020000}"/>
    <cellStyle name="Estilo 1 200" xfId="773" xr:uid="{00000000-0005-0000-0000-0000B3020000}"/>
    <cellStyle name="Estilo 1 200 2" xfId="774" xr:uid="{00000000-0005-0000-0000-0000B4020000}"/>
    <cellStyle name="Estilo 1 21" xfId="775" xr:uid="{00000000-0005-0000-0000-0000B5020000}"/>
    <cellStyle name="Estilo 1 21 2" xfId="776" xr:uid="{00000000-0005-0000-0000-0000B6020000}"/>
    <cellStyle name="Estilo 1 21_Enlaces" xfId="777" xr:uid="{00000000-0005-0000-0000-0000B7020000}"/>
    <cellStyle name="Estilo 1 22" xfId="778" xr:uid="{00000000-0005-0000-0000-0000B8020000}"/>
    <cellStyle name="Estilo 1 22 2" xfId="779" xr:uid="{00000000-0005-0000-0000-0000B9020000}"/>
    <cellStyle name="Estilo 1 22_Enlaces" xfId="780" xr:uid="{00000000-0005-0000-0000-0000BA020000}"/>
    <cellStyle name="Estilo 1 23" xfId="781" xr:uid="{00000000-0005-0000-0000-0000BB020000}"/>
    <cellStyle name="Estilo 1 23 2" xfId="782" xr:uid="{00000000-0005-0000-0000-0000BC020000}"/>
    <cellStyle name="Estilo 1 23_Enlaces" xfId="783" xr:uid="{00000000-0005-0000-0000-0000BD020000}"/>
    <cellStyle name="Estilo 1 24" xfId="784" xr:uid="{00000000-0005-0000-0000-0000BE020000}"/>
    <cellStyle name="Estilo 1 24 2" xfId="785" xr:uid="{00000000-0005-0000-0000-0000BF020000}"/>
    <cellStyle name="Estilo 1 24_Enlaces" xfId="786" xr:uid="{00000000-0005-0000-0000-0000C0020000}"/>
    <cellStyle name="Estilo 1 25" xfId="787" xr:uid="{00000000-0005-0000-0000-0000C1020000}"/>
    <cellStyle name="Estilo 1 25 2" xfId="788" xr:uid="{00000000-0005-0000-0000-0000C2020000}"/>
    <cellStyle name="Estilo 1 25_Enlaces" xfId="789" xr:uid="{00000000-0005-0000-0000-0000C3020000}"/>
    <cellStyle name="Estilo 1 26" xfId="790" xr:uid="{00000000-0005-0000-0000-0000C4020000}"/>
    <cellStyle name="Estilo 1 26 2" xfId="791" xr:uid="{00000000-0005-0000-0000-0000C5020000}"/>
    <cellStyle name="Estilo 1 26_Enlaces" xfId="792" xr:uid="{00000000-0005-0000-0000-0000C6020000}"/>
    <cellStyle name="Estilo 1 27" xfId="793" xr:uid="{00000000-0005-0000-0000-0000C7020000}"/>
    <cellStyle name="Estilo 1 27 2" xfId="794" xr:uid="{00000000-0005-0000-0000-0000C8020000}"/>
    <cellStyle name="Estilo 1 27_Enlaces" xfId="795" xr:uid="{00000000-0005-0000-0000-0000C9020000}"/>
    <cellStyle name="Estilo 1 28" xfId="796" xr:uid="{00000000-0005-0000-0000-0000CA020000}"/>
    <cellStyle name="Estilo 1 29" xfId="797" xr:uid="{00000000-0005-0000-0000-0000CB020000}"/>
    <cellStyle name="Estilo 1 3" xfId="798" xr:uid="{00000000-0005-0000-0000-0000CC020000}"/>
    <cellStyle name="Estilo 1 3 2" xfId="799" xr:uid="{00000000-0005-0000-0000-0000CD020000}"/>
    <cellStyle name="Estilo 1 3 3" xfId="800" xr:uid="{00000000-0005-0000-0000-0000CE020000}"/>
    <cellStyle name="Estilo 1 3_Enlaces" xfId="801" xr:uid="{00000000-0005-0000-0000-0000CF020000}"/>
    <cellStyle name="Estilo 1 30" xfId="802" xr:uid="{00000000-0005-0000-0000-0000D0020000}"/>
    <cellStyle name="Estilo 1 31" xfId="803" xr:uid="{00000000-0005-0000-0000-0000D1020000}"/>
    <cellStyle name="Estilo 1 32" xfId="804" xr:uid="{00000000-0005-0000-0000-0000D2020000}"/>
    <cellStyle name="Estilo 1 33" xfId="805" xr:uid="{00000000-0005-0000-0000-0000D3020000}"/>
    <cellStyle name="Estilo 1 34" xfId="806" xr:uid="{00000000-0005-0000-0000-0000D4020000}"/>
    <cellStyle name="Estilo 1 35" xfId="807" xr:uid="{00000000-0005-0000-0000-0000D5020000}"/>
    <cellStyle name="Estilo 1 36" xfId="808" xr:uid="{00000000-0005-0000-0000-0000D6020000}"/>
    <cellStyle name="Estilo 1 37" xfId="809" xr:uid="{00000000-0005-0000-0000-0000D7020000}"/>
    <cellStyle name="Estilo 1 38" xfId="810" xr:uid="{00000000-0005-0000-0000-0000D8020000}"/>
    <cellStyle name="Estilo 1 39" xfId="811" xr:uid="{00000000-0005-0000-0000-0000D9020000}"/>
    <cellStyle name="Estilo 1 4" xfId="812" xr:uid="{00000000-0005-0000-0000-0000DA020000}"/>
    <cellStyle name="Estilo 1 4 2" xfId="813" xr:uid="{00000000-0005-0000-0000-0000DB020000}"/>
    <cellStyle name="Estilo 1 4 3" xfId="814" xr:uid="{00000000-0005-0000-0000-0000DC020000}"/>
    <cellStyle name="Estilo 1 4_Enlaces" xfId="815" xr:uid="{00000000-0005-0000-0000-0000DD020000}"/>
    <cellStyle name="Estilo 1 40" xfId="816" xr:uid="{00000000-0005-0000-0000-0000DE020000}"/>
    <cellStyle name="Estilo 1 41" xfId="817" xr:uid="{00000000-0005-0000-0000-0000DF020000}"/>
    <cellStyle name="Estilo 1 42" xfId="818" xr:uid="{00000000-0005-0000-0000-0000E0020000}"/>
    <cellStyle name="Estilo 1 43" xfId="819" xr:uid="{00000000-0005-0000-0000-0000E1020000}"/>
    <cellStyle name="Estilo 1 44" xfId="820" xr:uid="{00000000-0005-0000-0000-0000E2020000}"/>
    <cellStyle name="Estilo 1 45" xfId="821" xr:uid="{00000000-0005-0000-0000-0000E3020000}"/>
    <cellStyle name="Estilo 1 46" xfId="822" xr:uid="{00000000-0005-0000-0000-0000E4020000}"/>
    <cellStyle name="Estilo 1 47" xfId="823" xr:uid="{00000000-0005-0000-0000-0000E5020000}"/>
    <cellStyle name="Estilo 1 48" xfId="824" xr:uid="{00000000-0005-0000-0000-0000E6020000}"/>
    <cellStyle name="Estilo 1 49" xfId="825" xr:uid="{00000000-0005-0000-0000-0000E7020000}"/>
    <cellStyle name="Estilo 1 5" xfId="826" xr:uid="{00000000-0005-0000-0000-0000E8020000}"/>
    <cellStyle name="Estilo 1 5 2" xfId="827" xr:uid="{00000000-0005-0000-0000-0000E9020000}"/>
    <cellStyle name="Estilo 1 5 3" xfId="828" xr:uid="{00000000-0005-0000-0000-0000EA020000}"/>
    <cellStyle name="Estilo 1 5_Enlaces" xfId="829" xr:uid="{00000000-0005-0000-0000-0000EB020000}"/>
    <cellStyle name="Estilo 1 50" xfId="830" xr:uid="{00000000-0005-0000-0000-0000EC020000}"/>
    <cellStyle name="Estilo 1 51" xfId="831" xr:uid="{00000000-0005-0000-0000-0000ED020000}"/>
    <cellStyle name="Estilo 1 52" xfId="832" xr:uid="{00000000-0005-0000-0000-0000EE020000}"/>
    <cellStyle name="Estilo 1 53" xfId="833" xr:uid="{00000000-0005-0000-0000-0000EF020000}"/>
    <cellStyle name="Estilo 1 54" xfId="834" xr:uid="{00000000-0005-0000-0000-0000F0020000}"/>
    <cellStyle name="Estilo 1 55" xfId="835" xr:uid="{00000000-0005-0000-0000-0000F1020000}"/>
    <cellStyle name="Estilo 1 56" xfId="836" xr:uid="{00000000-0005-0000-0000-0000F2020000}"/>
    <cellStyle name="Estilo 1 57" xfId="837" xr:uid="{00000000-0005-0000-0000-0000F3020000}"/>
    <cellStyle name="Estilo 1 57 2" xfId="838" xr:uid="{00000000-0005-0000-0000-0000F4020000}"/>
    <cellStyle name="Estilo 1 57 3" xfId="839" xr:uid="{00000000-0005-0000-0000-0000F5020000}"/>
    <cellStyle name="Estilo 1 57 4" xfId="840" xr:uid="{00000000-0005-0000-0000-0000F6020000}"/>
    <cellStyle name="Estilo 1 57 5" xfId="841" xr:uid="{00000000-0005-0000-0000-0000F7020000}"/>
    <cellStyle name="Estilo 1 57 6" xfId="842" xr:uid="{00000000-0005-0000-0000-0000F8020000}"/>
    <cellStyle name="Estilo 1 58" xfId="843" xr:uid="{00000000-0005-0000-0000-0000F9020000}"/>
    <cellStyle name="Estilo 1 58 2" xfId="844" xr:uid="{00000000-0005-0000-0000-0000FA020000}"/>
    <cellStyle name="Estilo 1 58 3" xfId="845" xr:uid="{00000000-0005-0000-0000-0000FB020000}"/>
    <cellStyle name="Estilo 1 58 4" xfId="846" xr:uid="{00000000-0005-0000-0000-0000FC020000}"/>
    <cellStyle name="Estilo 1 58 5" xfId="847" xr:uid="{00000000-0005-0000-0000-0000FD020000}"/>
    <cellStyle name="Estilo 1 58 6" xfId="848" xr:uid="{00000000-0005-0000-0000-0000FE020000}"/>
    <cellStyle name="Estilo 1 59" xfId="849" xr:uid="{00000000-0005-0000-0000-0000FF020000}"/>
    <cellStyle name="Estilo 1 59 2" xfId="850" xr:uid="{00000000-0005-0000-0000-000000030000}"/>
    <cellStyle name="Estilo 1 59 3" xfId="851" xr:uid="{00000000-0005-0000-0000-000001030000}"/>
    <cellStyle name="Estilo 1 6" xfId="852" xr:uid="{00000000-0005-0000-0000-000002030000}"/>
    <cellStyle name="Estilo 1 6 2" xfId="853" xr:uid="{00000000-0005-0000-0000-000003030000}"/>
    <cellStyle name="Estilo 1 6 3" xfId="854" xr:uid="{00000000-0005-0000-0000-000004030000}"/>
    <cellStyle name="Estilo 1 6_Enlaces" xfId="855" xr:uid="{00000000-0005-0000-0000-000005030000}"/>
    <cellStyle name="Estilo 1 60" xfId="856" xr:uid="{00000000-0005-0000-0000-000006030000}"/>
    <cellStyle name="Estilo 1 60 2" xfId="857" xr:uid="{00000000-0005-0000-0000-000007030000}"/>
    <cellStyle name="Estilo 1 60 3" xfId="858" xr:uid="{00000000-0005-0000-0000-000008030000}"/>
    <cellStyle name="Estilo 1 61" xfId="859" xr:uid="{00000000-0005-0000-0000-000009030000}"/>
    <cellStyle name="Estilo 1 61 2" xfId="860" xr:uid="{00000000-0005-0000-0000-00000A030000}"/>
    <cellStyle name="Estilo 1 61 3" xfId="861" xr:uid="{00000000-0005-0000-0000-00000B030000}"/>
    <cellStyle name="Estilo 1 62" xfId="862" xr:uid="{00000000-0005-0000-0000-00000C030000}"/>
    <cellStyle name="Estilo 1 62 2" xfId="863" xr:uid="{00000000-0005-0000-0000-00000D030000}"/>
    <cellStyle name="Estilo 1 62 3" xfId="864" xr:uid="{00000000-0005-0000-0000-00000E030000}"/>
    <cellStyle name="Estilo 1 63" xfId="865" xr:uid="{00000000-0005-0000-0000-00000F030000}"/>
    <cellStyle name="Estilo 1 63 2" xfId="866" xr:uid="{00000000-0005-0000-0000-000010030000}"/>
    <cellStyle name="Estilo 1 63 3" xfId="867" xr:uid="{00000000-0005-0000-0000-000011030000}"/>
    <cellStyle name="Estilo 1 64" xfId="868" xr:uid="{00000000-0005-0000-0000-000012030000}"/>
    <cellStyle name="Estilo 1 64 2" xfId="869" xr:uid="{00000000-0005-0000-0000-000013030000}"/>
    <cellStyle name="Estilo 1 64 3" xfId="870" xr:uid="{00000000-0005-0000-0000-000014030000}"/>
    <cellStyle name="Estilo 1 65" xfId="871" xr:uid="{00000000-0005-0000-0000-000015030000}"/>
    <cellStyle name="Estilo 1 65 2" xfId="872" xr:uid="{00000000-0005-0000-0000-000016030000}"/>
    <cellStyle name="Estilo 1 65 3" xfId="873" xr:uid="{00000000-0005-0000-0000-000017030000}"/>
    <cellStyle name="Estilo 1 66" xfId="874" xr:uid="{00000000-0005-0000-0000-000018030000}"/>
    <cellStyle name="Estilo 1 66 2" xfId="875" xr:uid="{00000000-0005-0000-0000-000019030000}"/>
    <cellStyle name="Estilo 1 66 3" xfId="876" xr:uid="{00000000-0005-0000-0000-00001A030000}"/>
    <cellStyle name="Estilo 1 67" xfId="877" xr:uid="{00000000-0005-0000-0000-00001B030000}"/>
    <cellStyle name="Estilo 1 67 2" xfId="878" xr:uid="{00000000-0005-0000-0000-00001C030000}"/>
    <cellStyle name="Estilo 1 67 3" xfId="879" xr:uid="{00000000-0005-0000-0000-00001D030000}"/>
    <cellStyle name="Estilo 1 68" xfId="880" xr:uid="{00000000-0005-0000-0000-00001E030000}"/>
    <cellStyle name="Estilo 1 68 2" xfId="881" xr:uid="{00000000-0005-0000-0000-00001F030000}"/>
    <cellStyle name="Estilo 1 68 3" xfId="882" xr:uid="{00000000-0005-0000-0000-000020030000}"/>
    <cellStyle name="Estilo 1 69" xfId="883" xr:uid="{00000000-0005-0000-0000-000021030000}"/>
    <cellStyle name="Estilo 1 69 2" xfId="884" xr:uid="{00000000-0005-0000-0000-000022030000}"/>
    <cellStyle name="Estilo 1 69 3" xfId="885" xr:uid="{00000000-0005-0000-0000-000023030000}"/>
    <cellStyle name="Estilo 1 7" xfId="886" xr:uid="{00000000-0005-0000-0000-000024030000}"/>
    <cellStyle name="Estilo 1 7 2" xfId="887" xr:uid="{00000000-0005-0000-0000-000025030000}"/>
    <cellStyle name="Estilo 1 7 3" xfId="888" xr:uid="{00000000-0005-0000-0000-000026030000}"/>
    <cellStyle name="Estilo 1 7_Enlaces" xfId="889" xr:uid="{00000000-0005-0000-0000-000027030000}"/>
    <cellStyle name="Estilo 1 70" xfId="890" xr:uid="{00000000-0005-0000-0000-000028030000}"/>
    <cellStyle name="Estilo 1 70 2" xfId="891" xr:uid="{00000000-0005-0000-0000-000029030000}"/>
    <cellStyle name="Estilo 1 70 3" xfId="892" xr:uid="{00000000-0005-0000-0000-00002A030000}"/>
    <cellStyle name="Estilo 1 71" xfId="893" xr:uid="{00000000-0005-0000-0000-00002B030000}"/>
    <cellStyle name="Estilo 1 71 2" xfId="894" xr:uid="{00000000-0005-0000-0000-00002C030000}"/>
    <cellStyle name="Estilo 1 71 3" xfId="895" xr:uid="{00000000-0005-0000-0000-00002D030000}"/>
    <cellStyle name="Estilo 1 72" xfId="896" xr:uid="{00000000-0005-0000-0000-00002E030000}"/>
    <cellStyle name="Estilo 1 72 2" xfId="897" xr:uid="{00000000-0005-0000-0000-00002F030000}"/>
    <cellStyle name="Estilo 1 72 3" xfId="898" xr:uid="{00000000-0005-0000-0000-000030030000}"/>
    <cellStyle name="Estilo 1 73" xfId="899" xr:uid="{00000000-0005-0000-0000-000031030000}"/>
    <cellStyle name="Estilo 1 73 2" xfId="900" xr:uid="{00000000-0005-0000-0000-000032030000}"/>
    <cellStyle name="Estilo 1 73 3" xfId="901" xr:uid="{00000000-0005-0000-0000-000033030000}"/>
    <cellStyle name="Estilo 1 74" xfId="902" xr:uid="{00000000-0005-0000-0000-000034030000}"/>
    <cellStyle name="Estilo 1 74 2" xfId="903" xr:uid="{00000000-0005-0000-0000-000035030000}"/>
    <cellStyle name="Estilo 1 74 3" xfId="904" xr:uid="{00000000-0005-0000-0000-000036030000}"/>
    <cellStyle name="Estilo 1 75" xfId="905" xr:uid="{00000000-0005-0000-0000-000037030000}"/>
    <cellStyle name="Estilo 1 75 2" xfId="906" xr:uid="{00000000-0005-0000-0000-000038030000}"/>
    <cellStyle name="Estilo 1 75 3" xfId="907" xr:uid="{00000000-0005-0000-0000-000039030000}"/>
    <cellStyle name="Estilo 1 76" xfId="908" xr:uid="{00000000-0005-0000-0000-00003A030000}"/>
    <cellStyle name="Estilo 1 76 2" xfId="909" xr:uid="{00000000-0005-0000-0000-00003B030000}"/>
    <cellStyle name="Estilo 1 76 3" xfId="910" xr:uid="{00000000-0005-0000-0000-00003C030000}"/>
    <cellStyle name="Estilo 1 77" xfId="911" xr:uid="{00000000-0005-0000-0000-00003D030000}"/>
    <cellStyle name="Estilo 1 77 2" xfId="912" xr:uid="{00000000-0005-0000-0000-00003E030000}"/>
    <cellStyle name="Estilo 1 77 3" xfId="913" xr:uid="{00000000-0005-0000-0000-00003F030000}"/>
    <cellStyle name="Estilo 1 78" xfId="914" xr:uid="{00000000-0005-0000-0000-000040030000}"/>
    <cellStyle name="Estilo 1 78 2" xfId="915" xr:uid="{00000000-0005-0000-0000-000041030000}"/>
    <cellStyle name="Estilo 1 78 3" xfId="916" xr:uid="{00000000-0005-0000-0000-000042030000}"/>
    <cellStyle name="Estilo 1 79" xfId="917" xr:uid="{00000000-0005-0000-0000-000043030000}"/>
    <cellStyle name="Estilo 1 79 2" xfId="918" xr:uid="{00000000-0005-0000-0000-000044030000}"/>
    <cellStyle name="Estilo 1 79 3" xfId="919" xr:uid="{00000000-0005-0000-0000-000045030000}"/>
    <cellStyle name="Estilo 1 8" xfId="920" xr:uid="{00000000-0005-0000-0000-000046030000}"/>
    <cellStyle name="Estilo 1 8 2" xfId="921" xr:uid="{00000000-0005-0000-0000-000047030000}"/>
    <cellStyle name="Estilo 1 8 3" xfId="922" xr:uid="{00000000-0005-0000-0000-000048030000}"/>
    <cellStyle name="Estilo 1 8_Enlaces" xfId="923" xr:uid="{00000000-0005-0000-0000-000049030000}"/>
    <cellStyle name="Estilo 1 80" xfId="924" xr:uid="{00000000-0005-0000-0000-00004A030000}"/>
    <cellStyle name="Estilo 1 80 2" xfId="925" xr:uid="{00000000-0005-0000-0000-00004B030000}"/>
    <cellStyle name="Estilo 1 80 3" xfId="926" xr:uid="{00000000-0005-0000-0000-00004C030000}"/>
    <cellStyle name="Estilo 1 81" xfId="927" xr:uid="{00000000-0005-0000-0000-00004D030000}"/>
    <cellStyle name="Estilo 1 81 2" xfId="928" xr:uid="{00000000-0005-0000-0000-00004E030000}"/>
    <cellStyle name="Estilo 1 81 3" xfId="929" xr:uid="{00000000-0005-0000-0000-00004F030000}"/>
    <cellStyle name="Estilo 1 82" xfId="930" xr:uid="{00000000-0005-0000-0000-000050030000}"/>
    <cellStyle name="Estilo 1 82 2" xfId="931" xr:uid="{00000000-0005-0000-0000-000051030000}"/>
    <cellStyle name="Estilo 1 82 3" xfId="932" xr:uid="{00000000-0005-0000-0000-000052030000}"/>
    <cellStyle name="Estilo 1 83" xfId="933" xr:uid="{00000000-0005-0000-0000-000053030000}"/>
    <cellStyle name="Estilo 1 84" xfId="934" xr:uid="{00000000-0005-0000-0000-000054030000}"/>
    <cellStyle name="Estilo 1 85" xfId="935" xr:uid="{00000000-0005-0000-0000-000055030000}"/>
    <cellStyle name="Estilo 1 86" xfId="936" xr:uid="{00000000-0005-0000-0000-000056030000}"/>
    <cellStyle name="Estilo 1 87" xfId="937" xr:uid="{00000000-0005-0000-0000-000057030000}"/>
    <cellStyle name="Estilo 1 88" xfId="938" xr:uid="{00000000-0005-0000-0000-000058030000}"/>
    <cellStyle name="Estilo 1 89" xfId="939" xr:uid="{00000000-0005-0000-0000-000059030000}"/>
    <cellStyle name="Estilo 1 9" xfId="940" xr:uid="{00000000-0005-0000-0000-00005A030000}"/>
    <cellStyle name="Estilo 1 9 2" xfId="941" xr:uid="{00000000-0005-0000-0000-00005B030000}"/>
    <cellStyle name="Estilo 1 9 3" xfId="942" xr:uid="{00000000-0005-0000-0000-00005C030000}"/>
    <cellStyle name="Estilo 1 9_Enlaces" xfId="943" xr:uid="{00000000-0005-0000-0000-00005D030000}"/>
    <cellStyle name="Estilo 1 90" xfId="944" xr:uid="{00000000-0005-0000-0000-00005E030000}"/>
    <cellStyle name="Estilo 1 90 2" xfId="945" xr:uid="{00000000-0005-0000-0000-00005F030000}"/>
    <cellStyle name="Estilo 1 91" xfId="946" xr:uid="{00000000-0005-0000-0000-000060030000}"/>
    <cellStyle name="Estilo 1 91 2" xfId="947" xr:uid="{00000000-0005-0000-0000-000061030000}"/>
    <cellStyle name="Estilo 1 92" xfId="948" xr:uid="{00000000-0005-0000-0000-000062030000}"/>
    <cellStyle name="Estilo 1 92 2" xfId="949" xr:uid="{00000000-0005-0000-0000-000063030000}"/>
    <cellStyle name="Estilo 1 93" xfId="950" xr:uid="{00000000-0005-0000-0000-000064030000}"/>
    <cellStyle name="Estilo 1 93 2" xfId="951" xr:uid="{00000000-0005-0000-0000-000065030000}"/>
    <cellStyle name="Estilo 1 94" xfId="952" xr:uid="{00000000-0005-0000-0000-000066030000}"/>
    <cellStyle name="Estilo 1 94 2" xfId="953" xr:uid="{00000000-0005-0000-0000-000067030000}"/>
    <cellStyle name="Estilo 1 95" xfId="954" xr:uid="{00000000-0005-0000-0000-000068030000}"/>
    <cellStyle name="Estilo 1 95 2" xfId="955" xr:uid="{00000000-0005-0000-0000-000069030000}"/>
    <cellStyle name="Estilo 1 96" xfId="956" xr:uid="{00000000-0005-0000-0000-00006A030000}"/>
    <cellStyle name="Estilo 1 96 2" xfId="957" xr:uid="{00000000-0005-0000-0000-00006B030000}"/>
    <cellStyle name="Estilo 1 97" xfId="958" xr:uid="{00000000-0005-0000-0000-00006C030000}"/>
    <cellStyle name="Estilo 1 97 2" xfId="959" xr:uid="{00000000-0005-0000-0000-00006D030000}"/>
    <cellStyle name="Estilo 1 98" xfId="960" xr:uid="{00000000-0005-0000-0000-00006E030000}"/>
    <cellStyle name="Estilo 1 98 2" xfId="961" xr:uid="{00000000-0005-0000-0000-00006F030000}"/>
    <cellStyle name="Estilo 1 99" xfId="962" xr:uid="{00000000-0005-0000-0000-000070030000}"/>
    <cellStyle name="Estilo 1 99 2" xfId="963" xr:uid="{00000000-0005-0000-0000-000071030000}"/>
    <cellStyle name="Estilo 1_Enlaces" xfId="964" xr:uid="{00000000-0005-0000-0000-000072030000}"/>
    <cellStyle name="Euro" xfId="965" xr:uid="{00000000-0005-0000-0000-000073030000}"/>
    <cellStyle name="Euro 10" xfId="966" xr:uid="{00000000-0005-0000-0000-000074030000}"/>
    <cellStyle name="Euro 11" xfId="967" xr:uid="{00000000-0005-0000-0000-000075030000}"/>
    <cellStyle name="Euro 12" xfId="968" xr:uid="{00000000-0005-0000-0000-000076030000}"/>
    <cellStyle name="Euro 13" xfId="969" xr:uid="{00000000-0005-0000-0000-000077030000}"/>
    <cellStyle name="Euro 14" xfId="970" xr:uid="{00000000-0005-0000-0000-000078030000}"/>
    <cellStyle name="Euro 15" xfId="971" xr:uid="{00000000-0005-0000-0000-000079030000}"/>
    <cellStyle name="Euro 16" xfId="972" xr:uid="{00000000-0005-0000-0000-00007A030000}"/>
    <cellStyle name="Euro 17" xfId="973" xr:uid="{00000000-0005-0000-0000-00007B030000}"/>
    <cellStyle name="Euro 18" xfId="974" xr:uid="{00000000-0005-0000-0000-00007C030000}"/>
    <cellStyle name="Euro 19" xfId="975" xr:uid="{00000000-0005-0000-0000-00007D030000}"/>
    <cellStyle name="Euro 2" xfId="976" xr:uid="{00000000-0005-0000-0000-00007E030000}"/>
    <cellStyle name="Euro 2 2" xfId="977" xr:uid="{00000000-0005-0000-0000-00007F030000}"/>
    <cellStyle name="Euro 20" xfId="978" xr:uid="{00000000-0005-0000-0000-000080030000}"/>
    <cellStyle name="Euro 21" xfId="979" xr:uid="{00000000-0005-0000-0000-000081030000}"/>
    <cellStyle name="Euro 3" xfId="980" xr:uid="{00000000-0005-0000-0000-000082030000}"/>
    <cellStyle name="Euro 4" xfId="981" xr:uid="{00000000-0005-0000-0000-000083030000}"/>
    <cellStyle name="Euro 5" xfId="982" xr:uid="{00000000-0005-0000-0000-000084030000}"/>
    <cellStyle name="Euro 6" xfId="983" xr:uid="{00000000-0005-0000-0000-000085030000}"/>
    <cellStyle name="Euro 7" xfId="984" xr:uid="{00000000-0005-0000-0000-000086030000}"/>
    <cellStyle name="Euro 8" xfId="985" xr:uid="{00000000-0005-0000-0000-000087030000}"/>
    <cellStyle name="Euro 9" xfId="986" xr:uid="{00000000-0005-0000-0000-000088030000}"/>
    <cellStyle name="Excel Built-in Normal" xfId="9" xr:uid="{00000000-0005-0000-0000-000089030000}"/>
    <cellStyle name="Excel Built-in Normal 2" xfId="987" xr:uid="{00000000-0005-0000-0000-00008A030000}"/>
    <cellStyle name="Excel Built-in Normal 2 2" xfId="988" xr:uid="{00000000-0005-0000-0000-00008B030000}"/>
    <cellStyle name="Excel Built-in Normal 3" xfId="989" xr:uid="{00000000-0005-0000-0000-00008C030000}"/>
    <cellStyle name="Explanatory Text" xfId="990" xr:uid="{00000000-0005-0000-0000-00008D030000}"/>
    <cellStyle name="Explanatory Text 2" xfId="991" xr:uid="{00000000-0005-0000-0000-00008E030000}"/>
    <cellStyle name="Explanatory Text 3" xfId="992" xr:uid="{00000000-0005-0000-0000-00008F030000}"/>
    <cellStyle name="Explanatory Text 4" xfId="993" xr:uid="{00000000-0005-0000-0000-000090030000}"/>
    <cellStyle name="Explanatory Text 5" xfId="994" xr:uid="{00000000-0005-0000-0000-000091030000}"/>
    <cellStyle name="Good" xfId="995" xr:uid="{00000000-0005-0000-0000-000092030000}"/>
    <cellStyle name="Good 2" xfId="996" xr:uid="{00000000-0005-0000-0000-000093030000}"/>
    <cellStyle name="Good 3" xfId="997" xr:uid="{00000000-0005-0000-0000-000094030000}"/>
    <cellStyle name="Good 4" xfId="998" xr:uid="{00000000-0005-0000-0000-000095030000}"/>
    <cellStyle name="Good 5" xfId="999" xr:uid="{00000000-0005-0000-0000-000096030000}"/>
    <cellStyle name="Heading 1" xfId="1000" xr:uid="{00000000-0005-0000-0000-000097030000}"/>
    <cellStyle name="Heading 1 2" xfId="1001" xr:uid="{00000000-0005-0000-0000-000098030000}"/>
    <cellStyle name="Heading 1 3" xfId="1002" xr:uid="{00000000-0005-0000-0000-000099030000}"/>
    <cellStyle name="Heading 1 4" xfId="1003" xr:uid="{00000000-0005-0000-0000-00009A030000}"/>
    <cellStyle name="Heading 1 5" xfId="1004" xr:uid="{00000000-0005-0000-0000-00009B030000}"/>
    <cellStyle name="Heading 2" xfId="1005" xr:uid="{00000000-0005-0000-0000-00009C030000}"/>
    <cellStyle name="Heading 2 2" xfId="1006" xr:uid="{00000000-0005-0000-0000-00009D030000}"/>
    <cellStyle name="Heading 2 3" xfId="1007" xr:uid="{00000000-0005-0000-0000-00009E030000}"/>
    <cellStyle name="Heading 2 4" xfId="1008" xr:uid="{00000000-0005-0000-0000-00009F030000}"/>
    <cellStyle name="Heading 2 5" xfId="1009" xr:uid="{00000000-0005-0000-0000-0000A0030000}"/>
    <cellStyle name="Heading 3" xfId="1010" xr:uid="{00000000-0005-0000-0000-0000A1030000}"/>
    <cellStyle name="Heading 3 2" xfId="1011" xr:uid="{00000000-0005-0000-0000-0000A2030000}"/>
    <cellStyle name="Heading 3 3" xfId="1012" xr:uid="{00000000-0005-0000-0000-0000A3030000}"/>
    <cellStyle name="Heading 3 4" xfId="1013" xr:uid="{00000000-0005-0000-0000-0000A4030000}"/>
    <cellStyle name="Heading 3 5" xfId="1014" xr:uid="{00000000-0005-0000-0000-0000A5030000}"/>
    <cellStyle name="Heading 4" xfId="1015" xr:uid="{00000000-0005-0000-0000-0000A6030000}"/>
    <cellStyle name="Heading 4 2" xfId="1016" xr:uid="{00000000-0005-0000-0000-0000A7030000}"/>
    <cellStyle name="Heading 4 3" xfId="1017" xr:uid="{00000000-0005-0000-0000-0000A8030000}"/>
    <cellStyle name="Heading 4 4" xfId="1018" xr:uid="{00000000-0005-0000-0000-0000A9030000}"/>
    <cellStyle name="Heading 4 5" xfId="1019" xr:uid="{00000000-0005-0000-0000-0000AA030000}"/>
    <cellStyle name="Hipervínculo 2" xfId="1020" xr:uid="{00000000-0005-0000-0000-0000AB030000}"/>
    <cellStyle name="Hipervínculo 2 2" xfId="1021" xr:uid="{00000000-0005-0000-0000-0000AC030000}"/>
    <cellStyle name="Hipervínculo 3" xfId="1022" xr:uid="{00000000-0005-0000-0000-0000AD030000}"/>
    <cellStyle name="Hipervínculo 3 2" xfId="1023" xr:uid="{00000000-0005-0000-0000-0000AE030000}"/>
    <cellStyle name="Hipervínculo 4" xfId="1024" xr:uid="{00000000-0005-0000-0000-0000AF030000}"/>
    <cellStyle name="Hipervínculo 5" xfId="1025" xr:uid="{00000000-0005-0000-0000-0000B0030000}"/>
    <cellStyle name="Hipervínculo 6" xfId="1026" xr:uid="{00000000-0005-0000-0000-0000B1030000}"/>
    <cellStyle name="Hyperlink" xfId="43" xr:uid="{00000000-0005-0000-0000-0000B2030000}"/>
    <cellStyle name="Incorrecto 2" xfId="1027" xr:uid="{00000000-0005-0000-0000-0000B3030000}"/>
    <cellStyle name="Incorrecto 2 2" xfId="1028" xr:uid="{00000000-0005-0000-0000-0000B4030000}"/>
    <cellStyle name="Incorrecto 3" xfId="1029" xr:uid="{00000000-0005-0000-0000-0000B5030000}"/>
    <cellStyle name="Incorrecto 4" xfId="1030" xr:uid="{00000000-0005-0000-0000-0000B6030000}"/>
    <cellStyle name="Incorrecto 5" xfId="1031" xr:uid="{00000000-0005-0000-0000-0000B7030000}"/>
    <cellStyle name="Incorrecto 6" xfId="1032" xr:uid="{00000000-0005-0000-0000-0000B8030000}"/>
    <cellStyle name="Incorrecto 7" xfId="1033" xr:uid="{00000000-0005-0000-0000-0000B9030000}"/>
    <cellStyle name="Incorrecto 8" xfId="1034" xr:uid="{00000000-0005-0000-0000-0000BA030000}"/>
    <cellStyle name="Input" xfId="1035" xr:uid="{00000000-0005-0000-0000-0000BB030000}"/>
    <cellStyle name="Input 2" xfId="1036" xr:uid="{00000000-0005-0000-0000-0000BC030000}"/>
    <cellStyle name="Input 3" xfId="1037" xr:uid="{00000000-0005-0000-0000-0000BD030000}"/>
    <cellStyle name="Input 4" xfId="1038" xr:uid="{00000000-0005-0000-0000-0000BE030000}"/>
    <cellStyle name="Input 5" xfId="1039" xr:uid="{00000000-0005-0000-0000-0000BF030000}"/>
    <cellStyle name="Linked Cell" xfId="1040" xr:uid="{00000000-0005-0000-0000-0000C0030000}"/>
    <cellStyle name="Linked Cell 2" xfId="1041" xr:uid="{00000000-0005-0000-0000-0000C1030000}"/>
    <cellStyle name="Linked Cell 3" xfId="1042" xr:uid="{00000000-0005-0000-0000-0000C2030000}"/>
    <cellStyle name="Linked Cell 4" xfId="1043" xr:uid="{00000000-0005-0000-0000-0000C3030000}"/>
    <cellStyle name="Linked Cell 5" xfId="1044" xr:uid="{00000000-0005-0000-0000-0000C4030000}"/>
    <cellStyle name="Millares" xfId="39247" builtinId="3"/>
    <cellStyle name="Millares 10" xfId="1045" xr:uid="{00000000-0005-0000-0000-0000C5030000}"/>
    <cellStyle name="Millares 10 10" xfId="1046" xr:uid="{00000000-0005-0000-0000-0000C6030000}"/>
    <cellStyle name="Millares 10 11" xfId="1047" xr:uid="{00000000-0005-0000-0000-0000C7030000}"/>
    <cellStyle name="Millares 10 12" xfId="1048" xr:uid="{00000000-0005-0000-0000-0000C8030000}"/>
    <cellStyle name="Millares 10 13" xfId="1049" xr:uid="{00000000-0005-0000-0000-0000C9030000}"/>
    <cellStyle name="Millares 10 14" xfId="1050" xr:uid="{00000000-0005-0000-0000-0000CA030000}"/>
    <cellStyle name="Millares 10 15" xfId="1051" xr:uid="{00000000-0005-0000-0000-0000CB030000}"/>
    <cellStyle name="Millares 10 16" xfId="1052" xr:uid="{00000000-0005-0000-0000-0000CC030000}"/>
    <cellStyle name="Millares 10 17" xfId="1053" xr:uid="{00000000-0005-0000-0000-0000CD030000}"/>
    <cellStyle name="Millares 10 18" xfId="1054" xr:uid="{00000000-0005-0000-0000-0000CE030000}"/>
    <cellStyle name="Millares 10 19" xfId="1055" xr:uid="{00000000-0005-0000-0000-0000CF030000}"/>
    <cellStyle name="Millares 10 2" xfId="1056" xr:uid="{00000000-0005-0000-0000-0000D0030000}"/>
    <cellStyle name="Millares 10 2 2" xfId="1057" xr:uid="{00000000-0005-0000-0000-0000D1030000}"/>
    <cellStyle name="Millares 10 2 3" xfId="1058" xr:uid="{00000000-0005-0000-0000-0000D2030000}"/>
    <cellStyle name="Millares 10 20" xfId="1059" xr:uid="{00000000-0005-0000-0000-0000D3030000}"/>
    <cellStyle name="Millares 10 21" xfId="1060" xr:uid="{00000000-0005-0000-0000-0000D4030000}"/>
    <cellStyle name="Millares 10 22" xfId="1061" xr:uid="{00000000-0005-0000-0000-0000D5030000}"/>
    <cellStyle name="Millares 10 23" xfId="1062" xr:uid="{00000000-0005-0000-0000-0000D6030000}"/>
    <cellStyle name="Millares 10 24" xfId="1063" xr:uid="{00000000-0005-0000-0000-0000D7030000}"/>
    <cellStyle name="Millares 10 25" xfId="1064" xr:uid="{00000000-0005-0000-0000-0000D8030000}"/>
    <cellStyle name="Millares 10 3" xfId="1065" xr:uid="{00000000-0005-0000-0000-0000D9030000}"/>
    <cellStyle name="Millares 10 3 2" xfId="1066" xr:uid="{00000000-0005-0000-0000-0000DA030000}"/>
    <cellStyle name="Millares 10 3 3" xfId="1067" xr:uid="{00000000-0005-0000-0000-0000DB030000}"/>
    <cellStyle name="Millares 10 4" xfId="1068" xr:uid="{00000000-0005-0000-0000-0000DC030000}"/>
    <cellStyle name="Millares 10 5" xfId="1069" xr:uid="{00000000-0005-0000-0000-0000DD030000}"/>
    <cellStyle name="Millares 10 6" xfId="1070" xr:uid="{00000000-0005-0000-0000-0000DE030000}"/>
    <cellStyle name="Millares 10 7" xfId="1071" xr:uid="{00000000-0005-0000-0000-0000DF030000}"/>
    <cellStyle name="Millares 10 8" xfId="1072" xr:uid="{00000000-0005-0000-0000-0000E0030000}"/>
    <cellStyle name="Millares 10 9" xfId="1073" xr:uid="{00000000-0005-0000-0000-0000E1030000}"/>
    <cellStyle name="Millares 11" xfId="1074" xr:uid="{00000000-0005-0000-0000-0000E2030000}"/>
    <cellStyle name="Millares 11 2" xfId="1075" xr:uid="{00000000-0005-0000-0000-0000E3030000}"/>
    <cellStyle name="Millares 12" xfId="1076" xr:uid="{00000000-0005-0000-0000-0000E4030000}"/>
    <cellStyle name="Millares 12 2" xfId="1077" xr:uid="{00000000-0005-0000-0000-0000E5030000}"/>
    <cellStyle name="Millares 13" xfId="1078" xr:uid="{00000000-0005-0000-0000-0000E6030000}"/>
    <cellStyle name="Millares 13 2" xfId="1079" xr:uid="{00000000-0005-0000-0000-0000E7030000}"/>
    <cellStyle name="Millares 14" xfId="1080" xr:uid="{00000000-0005-0000-0000-0000E8030000}"/>
    <cellStyle name="Millares 15" xfId="1081" xr:uid="{00000000-0005-0000-0000-0000E9030000}"/>
    <cellStyle name="Millares 15 2" xfId="1082" xr:uid="{00000000-0005-0000-0000-0000EA030000}"/>
    <cellStyle name="Millares 16" xfId="1083" xr:uid="{00000000-0005-0000-0000-0000EB030000}"/>
    <cellStyle name="Millares 16 2" xfId="1084" xr:uid="{00000000-0005-0000-0000-0000EC030000}"/>
    <cellStyle name="Millares 17" xfId="1085" xr:uid="{00000000-0005-0000-0000-0000ED030000}"/>
    <cellStyle name="Millares 17 2" xfId="1086" xr:uid="{00000000-0005-0000-0000-0000EE030000}"/>
    <cellStyle name="Millares 18" xfId="1087" xr:uid="{00000000-0005-0000-0000-0000EF030000}"/>
    <cellStyle name="Millares 19" xfId="1088" xr:uid="{00000000-0005-0000-0000-0000F0030000}"/>
    <cellStyle name="Millares 19 2" xfId="1089" xr:uid="{00000000-0005-0000-0000-0000F1030000}"/>
    <cellStyle name="Millares 19 3" xfId="1090" xr:uid="{00000000-0005-0000-0000-0000F2030000}"/>
    <cellStyle name="Millares 2" xfId="17" xr:uid="{00000000-0005-0000-0000-0000F3030000}"/>
    <cellStyle name="Millares 2 10" xfId="1092" xr:uid="{00000000-0005-0000-0000-0000F4030000}"/>
    <cellStyle name="Millares 2 10 2" xfId="1093" xr:uid="{00000000-0005-0000-0000-0000F5030000}"/>
    <cellStyle name="Millares 2 10 3" xfId="1094" xr:uid="{00000000-0005-0000-0000-0000F6030000}"/>
    <cellStyle name="Millares 2 11" xfId="1095" xr:uid="{00000000-0005-0000-0000-0000F7030000}"/>
    <cellStyle name="Millares 2 12" xfId="1096" xr:uid="{00000000-0005-0000-0000-0000F8030000}"/>
    <cellStyle name="Millares 2 13" xfId="1097" xr:uid="{00000000-0005-0000-0000-0000F9030000}"/>
    <cellStyle name="Millares 2 13 2" xfId="1098" xr:uid="{00000000-0005-0000-0000-0000FA030000}"/>
    <cellStyle name="Millares 2 13 2 2" xfId="1099" xr:uid="{00000000-0005-0000-0000-0000FB030000}"/>
    <cellStyle name="Millares 2 14" xfId="1100" xr:uid="{00000000-0005-0000-0000-0000FC030000}"/>
    <cellStyle name="Millares 2 14 2" xfId="1101" xr:uid="{00000000-0005-0000-0000-0000FD030000}"/>
    <cellStyle name="Millares 2 14 3" xfId="1102" xr:uid="{00000000-0005-0000-0000-0000FE030000}"/>
    <cellStyle name="Millares 2 15" xfId="1103" xr:uid="{00000000-0005-0000-0000-0000FF030000}"/>
    <cellStyle name="Millares 2 15 2" xfId="1104" xr:uid="{00000000-0005-0000-0000-000000040000}"/>
    <cellStyle name="Millares 2 15 3" xfId="1105" xr:uid="{00000000-0005-0000-0000-000001040000}"/>
    <cellStyle name="Millares 2 16" xfId="1106" xr:uid="{00000000-0005-0000-0000-000002040000}"/>
    <cellStyle name="Millares 2 16 2" xfId="1107" xr:uid="{00000000-0005-0000-0000-000003040000}"/>
    <cellStyle name="Millares 2 17" xfId="1108" xr:uid="{00000000-0005-0000-0000-000004040000}"/>
    <cellStyle name="Millares 2 17 2" xfId="1109" xr:uid="{00000000-0005-0000-0000-000005040000}"/>
    <cellStyle name="Millares 2 18" xfId="1110" xr:uid="{00000000-0005-0000-0000-000006040000}"/>
    <cellStyle name="Millares 2 19" xfId="1111" xr:uid="{00000000-0005-0000-0000-000007040000}"/>
    <cellStyle name="Millares 2 2" xfId="29" xr:uid="{00000000-0005-0000-0000-000008040000}"/>
    <cellStyle name="Millares 2 2 10" xfId="1113" xr:uid="{00000000-0005-0000-0000-000009040000}"/>
    <cellStyle name="Millares 2 2 11" xfId="1114" xr:uid="{00000000-0005-0000-0000-00000A040000}"/>
    <cellStyle name="Millares 2 2 12" xfId="1115" xr:uid="{00000000-0005-0000-0000-00000B040000}"/>
    <cellStyle name="Millares 2 2 13" xfId="1116" xr:uid="{00000000-0005-0000-0000-00000C040000}"/>
    <cellStyle name="Millares 2 2 14" xfId="1117" xr:uid="{00000000-0005-0000-0000-00000D040000}"/>
    <cellStyle name="Millares 2 2 15" xfId="1118" xr:uid="{00000000-0005-0000-0000-00000E040000}"/>
    <cellStyle name="Millares 2 2 16" xfId="1119" xr:uid="{00000000-0005-0000-0000-00000F040000}"/>
    <cellStyle name="Millares 2 2 17" xfId="1120" xr:uid="{00000000-0005-0000-0000-000010040000}"/>
    <cellStyle name="Millares 2 2 18" xfId="1121" xr:uid="{00000000-0005-0000-0000-000011040000}"/>
    <cellStyle name="Millares 2 2 19" xfId="1122" xr:uid="{00000000-0005-0000-0000-000012040000}"/>
    <cellStyle name="Millares 2 2 2" xfId="1123" xr:uid="{00000000-0005-0000-0000-000013040000}"/>
    <cellStyle name="Millares 2 2 2 10" xfId="1124" xr:uid="{00000000-0005-0000-0000-000014040000}"/>
    <cellStyle name="Millares 2 2 2 11" xfId="1125" xr:uid="{00000000-0005-0000-0000-000015040000}"/>
    <cellStyle name="Millares 2 2 2 12" xfId="1126" xr:uid="{00000000-0005-0000-0000-000016040000}"/>
    <cellStyle name="Millares 2 2 2 13" xfId="1127" xr:uid="{00000000-0005-0000-0000-000017040000}"/>
    <cellStyle name="Millares 2 2 2 14" xfId="1128" xr:uid="{00000000-0005-0000-0000-000018040000}"/>
    <cellStyle name="Millares 2 2 2 15" xfId="1129" xr:uid="{00000000-0005-0000-0000-000019040000}"/>
    <cellStyle name="Millares 2 2 2 16" xfId="1130" xr:uid="{00000000-0005-0000-0000-00001A040000}"/>
    <cellStyle name="Millares 2 2 2 17" xfId="1131" xr:uid="{00000000-0005-0000-0000-00001B040000}"/>
    <cellStyle name="Millares 2 2 2 18" xfId="1132" xr:uid="{00000000-0005-0000-0000-00001C040000}"/>
    <cellStyle name="Millares 2 2 2 19" xfId="1133" xr:uid="{00000000-0005-0000-0000-00001D040000}"/>
    <cellStyle name="Millares 2 2 2 2" xfId="1134" xr:uid="{00000000-0005-0000-0000-00001E040000}"/>
    <cellStyle name="Millares 2 2 2 2 10" xfId="1135" xr:uid="{00000000-0005-0000-0000-00001F040000}"/>
    <cellStyle name="Millares 2 2 2 2 11" xfId="1136" xr:uid="{00000000-0005-0000-0000-000020040000}"/>
    <cellStyle name="Millares 2 2 2 2 12" xfId="1137" xr:uid="{00000000-0005-0000-0000-000021040000}"/>
    <cellStyle name="Millares 2 2 2 2 13" xfId="1138" xr:uid="{00000000-0005-0000-0000-000022040000}"/>
    <cellStyle name="Millares 2 2 2 2 14" xfId="1139" xr:uid="{00000000-0005-0000-0000-000023040000}"/>
    <cellStyle name="Millares 2 2 2 2 15" xfId="1140" xr:uid="{00000000-0005-0000-0000-000024040000}"/>
    <cellStyle name="Millares 2 2 2 2 16" xfId="1141" xr:uid="{00000000-0005-0000-0000-000025040000}"/>
    <cellStyle name="Millares 2 2 2 2 17" xfId="1142" xr:uid="{00000000-0005-0000-0000-000026040000}"/>
    <cellStyle name="Millares 2 2 2 2 18" xfId="1143" xr:uid="{00000000-0005-0000-0000-000027040000}"/>
    <cellStyle name="Millares 2 2 2 2 19" xfId="1144" xr:uid="{00000000-0005-0000-0000-000028040000}"/>
    <cellStyle name="Millares 2 2 2 2 2" xfId="1145" xr:uid="{00000000-0005-0000-0000-000029040000}"/>
    <cellStyle name="Millares 2 2 2 2 2 10" xfId="1146" xr:uid="{00000000-0005-0000-0000-00002A040000}"/>
    <cellStyle name="Millares 2 2 2 2 2 11" xfId="1147" xr:uid="{00000000-0005-0000-0000-00002B040000}"/>
    <cellStyle name="Millares 2 2 2 2 2 12" xfId="1148" xr:uid="{00000000-0005-0000-0000-00002C040000}"/>
    <cellStyle name="Millares 2 2 2 2 2 13" xfId="1149" xr:uid="{00000000-0005-0000-0000-00002D040000}"/>
    <cellStyle name="Millares 2 2 2 2 2 14" xfId="1150" xr:uid="{00000000-0005-0000-0000-00002E040000}"/>
    <cellStyle name="Millares 2 2 2 2 2 15" xfId="1151" xr:uid="{00000000-0005-0000-0000-00002F040000}"/>
    <cellStyle name="Millares 2 2 2 2 2 16" xfId="1152" xr:uid="{00000000-0005-0000-0000-000030040000}"/>
    <cellStyle name="Millares 2 2 2 2 2 17" xfId="1153" xr:uid="{00000000-0005-0000-0000-000031040000}"/>
    <cellStyle name="Millares 2 2 2 2 2 18" xfId="1154" xr:uid="{00000000-0005-0000-0000-000032040000}"/>
    <cellStyle name="Millares 2 2 2 2 2 19" xfId="1155" xr:uid="{00000000-0005-0000-0000-000033040000}"/>
    <cellStyle name="Millares 2 2 2 2 2 2" xfId="1156" xr:uid="{00000000-0005-0000-0000-000034040000}"/>
    <cellStyle name="Millares 2 2 2 2 2 2 10" xfId="1157" xr:uid="{00000000-0005-0000-0000-000035040000}"/>
    <cellStyle name="Millares 2 2 2 2 2 2 11" xfId="1158" xr:uid="{00000000-0005-0000-0000-000036040000}"/>
    <cellStyle name="Millares 2 2 2 2 2 2 12" xfId="1159" xr:uid="{00000000-0005-0000-0000-000037040000}"/>
    <cellStyle name="Millares 2 2 2 2 2 2 13" xfId="1160" xr:uid="{00000000-0005-0000-0000-000038040000}"/>
    <cellStyle name="Millares 2 2 2 2 2 2 14" xfId="1161" xr:uid="{00000000-0005-0000-0000-000039040000}"/>
    <cellStyle name="Millares 2 2 2 2 2 2 15" xfId="1162" xr:uid="{00000000-0005-0000-0000-00003A040000}"/>
    <cellStyle name="Millares 2 2 2 2 2 2 16" xfId="1163" xr:uid="{00000000-0005-0000-0000-00003B040000}"/>
    <cellStyle name="Millares 2 2 2 2 2 2 17" xfId="1164" xr:uid="{00000000-0005-0000-0000-00003C040000}"/>
    <cellStyle name="Millares 2 2 2 2 2 2 18" xfId="1165" xr:uid="{00000000-0005-0000-0000-00003D040000}"/>
    <cellStyle name="Millares 2 2 2 2 2 2 19" xfId="1166" xr:uid="{00000000-0005-0000-0000-00003E040000}"/>
    <cellStyle name="Millares 2 2 2 2 2 2 2" xfId="1167" xr:uid="{00000000-0005-0000-0000-00003F040000}"/>
    <cellStyle name="Millares 2 2 2 2 2 2 2 10" xfId="1168" xr:uid="{00000000-0005-0000-0000-000040040000}"/>
    <cellStyle name="Millares 2 2 2 2 2 2 2 11" xfId="1169" xr:uid="{00000000-0005-0000-0000-000041040000}"/>
    <cellStyle name="Millares 2 2 2 2 2 2 2 12" xfId="1170" xr:uid="{00000000-0005-0000-0000-000042040000}"/>
    <cellStyle name="Millares 2 2 2 2 2 2 2 13" xfId="1171" xr:uid="{00000000-0005-0000-0000-000043040000}"/>
    <cellStyle name="Millares 2 2 2 2 2 2 2 14" xfId="1172" xr:uid="{00000000-0005-0000-0000-000044040000}"/>
    <cellStyle name="Millares 2 2 2 2 2 2 2 15" xfId="1173" xr:uid="{00000000-0005-0000-0000-000045040000}"/>
    <cellStyle name="Millares 2 2 2 2 2 2 2 16" xfId="1174" xr:uid="{00000000-0005-0000-0000-000046040000}"/>
    <cellStyle name="Millares 2 2 2 2 2 2 2 17" xfId="1175" xr:uid="{00000000-0005-0000-0000-000047040000}"/>
    <cellStyle name="Millares 2 2 2 2 2 2 2 18" xfId="1176" xr:uid="{00000000-0005-0000-0000-000048040000}"/>
    <cellStyle name="Millares 2 2 2 2 2 2 2 19" xfId="1177" xr:uid="{00000000-0005-0000-0000-000049040000}"/>
    <cellStyle name="Millares 2 2 2 2 2 2 2 2" xfId="1178" xr:uid="{00000000-0005-0000-0000-00004A040000}"/>
    <cellStyle name="Millares 2 2 2 2 2 2 2 2 10" xfId="1179" xr:uid="{00000000-0005-0000-0000-00004B040000}"/>
    <cellStyle name="Millares 2 2 2 2 2 2 2 2 11" xfId="1180" xr:uid="{00000000-0005-0000-0000-00004C040000}"/>
    <cellStyle name="Millares 2 2 2 2 2 2 2 2 12" xfId="1181" xr:uid="{00000000-0005-0000-0000-00004D040000}"/>
    <cellStyle name="Millares 2 2 2 2 2 2 2 2 13" xfId="1182" xr:uid="{00000000-0005-0000-0000-00004E040000}"/>
    <cellStyle name="Millares 2 2 2 2 2 2 2 2 14" xfId="1183" xr:uid="{00000000-0005-0000-0000-00004F040000}"/>
    <cellStyle name="Millares 2 2 2 2 2 2 2 2 15" xfId="1184" xr:uid="{00000000-0005-0000-0000-000050040000}"/>
    <cellStyle name="Millares 2 2 2 2 2 2 2 2 2" xfId="1185" xr:uid="{00000000-0005-0000-0000-000051040000}"/>
    <cellStyle name="Millares 2 2 2 2 2 2 2 2 2 10" xfId="1186" xr:uid="{00000000-0005-0000-0000-000052040000}"/>
    <cellStyle name="Millares 2 2 2 2 2 2 2 2 2 11" xfId="1187" xr:uid="{00000000-0005-0000-0000-000053040000}"/>
    <cellStyle name="Millares 2 2 2 2 2 2 2 2 2 12" xfId="1188" xr:uid="{00000000-0005-0000-0000-000054040000}"/>
    <cellStyle name="Millares 2 2 2 2 2 2 2 2 2 13" xfId="1189" xr:uid="{00000000-0005-0000-0000-000055040000}"/>
    <cellStyle name="Millares 2 2 2 2 2 2 2 2 2 14" xfId="1190" xr:uid="{00000000-0005-0000-0000-000056040000}"/>
    <cellStyle name="Millares 2 2 2 2 2 2 2 2 2 15" xfId="1191" xr:uid="{00000000-0005-0000-0000-000057040000}"/>
    <cellStyle name="Millares 2 2 2 2 2 2 2 2 2 2" xfId="1192" xr:uid="{00000000-0005-0000-0000-000058040000}"/>
    <cellStyle name="Millares 2 2 2 2 2 2 2 2 2 2 10" xfId="1193" xr:uid="{00000000-0005-0000-0000-000059040000}"/>
    <cellStyle name="Millares 2 2 2 2 2 2 2 2 2 2 11" xfId="1194" xr:uid="{00000000-0005-0000-0000-00005A040000}"/>
    <cellStyle name="Millares 2 2 2 2 2 2 2 2 2 2 12" xfId="1195" xr:uid="{00000000-0005-0000-0000-00005B040000}"/>
    <cellStyle name="Millares 2 2 2 2 2 2 2 2 2 2 2" xfId="1196" xr:uid="{00000000-0005-0000-0000-00005C040000}"/>
    <cellStyle name="Millares 2 2 2 2 2 2 2 2 2 2 2 10" xfId="1197" xr:uid="{00000000-0005-0000-0000-00005D040000}"/>
    <cellStyle name="Millares 2 2 2 2 2 2 2 2 2 2 2 2" xfId="1198" xr:uid="{00000000-0005-0000-0000-00005E040000}"/>
    <cellStyle name="Millares 2 2 2 2 2 2 2 2 2 2 2 3" xfId="1199" xr:uid="{00000000-0005-0000-0000-00005F040000}"/>
    <cellStyle name="Millares 2 2 2 2 2 2 2 2 2 2 2 4" xfId="1200" xr:uid="{00000000-0005-0000-0000-000060040000}"/>
    <cellStyle name="Millares 2 2 2 2 2 2 2 2 2 2 2 5" xfId="1201" xr:uid="{00000000-0005-0000-0000-000061040000}"/>
    <cellStyle name="Millares 2 2 2 2 2 2 2 2 2 2 2 6" xfId="1202" xr:uid="{00000000-0005-0000-0000-000062040000}"/>
    <cellStyle name="Millares 2 2 2 2 2 2 2 2 2 2 2 7" xfId="1203" xr:uid="{00000000-0005-0000-0000-000063040000}"/>
    <cellStyle name="Millares 2 2 2 2 2 2 2 2 2 2 2 8" xfId="1204" xr:uid="{00000000-0005-0000-0000-000064040000}"/>
    <cellStyle name="Millares 2 2 2 2 2 2 2 2 2 2 2 9" xfId="1205" xr:uid="{00000000-0005-0000-0000-000065040000}"/>
    <cellStyle name="Millares 2 2 2 2 2 2 2 2 2 2 3" xfId="1206" xr:uid="{00000000-0005-0000-0000-000066040000}"/>
    <cellStyle name="Millares 2 2 2 2 2 2 2 2 2 2 4" xfId="1207" xr:uid="{00000000-0005-0000-0000-000067040000}"/>
    <cellStyle name="Millares 2 2 2 2 2 2 2 2 2 2 5" xfId="1208" xr:uid="{00000000-0005-0000-0000-000068040000}"/>
    <cellStyle name="Millares 2 2 2 2 2 2 2 2 2 2 6" xfId="1209" xr:uid="{00000000-0005-0000-0000-000069040000}"/>
    <cellStyle name="Millares 2 2 2 2 2 2 2 2 2 2 7" xfId="1210" xr:uid="{00000000-0005-0000-0000-00006A040000}"/>
    <cellStyle name="Millares 2 2 2 2 2 2 2 2 2 2 8" xfId="1211" xr:uid="{00000000-0005-0000-0000-00006B040000}"/>
    <cellStyle name="Millares 2 2 2 2 2 2 2 2 2 2 9" xfId="1212" xr:uid="{00000000-0005-0000-0000-00006C040000}"/>
    <cellStyle name="Millares 2 2 2 2 2 2 2 2 2 3" xfId="1213" xr:uid="{00000000-0005-0000-0000-00006D040000}"/>
    <cellStyle name="Millares 2 2 2 2 2 2 2 2 2 4" xfId="1214" xr:uid="{00000000-0005-0000-0000-00006E040000}"/>
    <cellStyle name="Millares 2 2 2 2 2 2 2 2 2 5" xfId="1215" xr:uid="{00000000-0005-0000-0000-00006F040000}"/>
    <cellStyle name="Millares 2 2 2 2 2 2 2 2 2 6" xfId="1216" xr:uid="{00000000-0005-0000-0000-000070040000}"/>
    <cellStyle name="Millares 2 2 2 2 2 2 2 2 2 6 10" xfId="1217" xr:uid="{00000000-0005-0000-0000-000071040000}"/>
    <cellStyle name="Millares 2 2 2 2 2 2 2 2 2 6 2" xfId="1218" xr:uid="{00000000-0005-0000-0000-000072040000}"/>
    <cellStyle name="Millares 2 2 2 2 2 2 2 2 2 6 3" xfId="1219" xr:uid="{00000000-0005-0000-0000-000073040000}"/>
    <cellStyle name="Millares 2 2 2 2 2 2 2 2 2 6 4" xfId="1220" xr:uid="{00000000-0005-0000-0000-000074040000}"/>
    <cellStyle name="Millares 2 2 2 2 2 2 2 2 2 6 5" xfId="1221" xr:uid="{00000000-0005-0000-0000-000075040000}"/>
    <cellStyle name="Millares 2 2 2 2 2 2 2 2 2 6 6" xfId="1222" xr:uid="{00000000-0005-0000-0000-000076040000}"/>
    <cellStyle name="Millares 2 2 2 2 2 2 2 2 2 6 7" xfId="1223" xr:uid="{00000000-0005-0000-0000-000077040000}"/>
    <cellStyle name="Millares 2 2 2 2 2 2 2 2 2 6 8" xfId="1224" xr:uid="{00000000-0005-0000-0000-000078040000}"/>
    <cellStyle name="Millares 2 2 2 2 2 2 2 2 2 6 9" xfId="1225" xr:uid="{00000000-0005-0000-0000-000079040000}"/>
    <cellStyle name="Millares 2 2 2 2 2 2 2 2 2 7" xfId="1226" xr:uid="{00000000-0005-0000-0000-00007A040000}"/>
    <cellStyle name="Millares 2 2 2 2 2 2 2 2 2 8" xfId="1227" xr:uid="{00000000-0005-0000-0000-00007B040000}"/>
    <cellStyle name="Millares 2 2 2 2 2 2 2 2 2 9" xfId="1228" xr:uid="{00000000-0005-0000-0000-00007C040000}"/>
    <cellStyle name="Millares 2 2 2 2 2 2 2 2 3" xfId="1229" xr:uid="{00000000-0005-0000-0000-00007D040000}"/>
    <cellStyle name="Millares 2 2 2 2 2 2 2 2 4" xfId="1230" xr:uid="{00000000-0005-0000-0000-00007E040000}"/>
    <cellStyle name="Millares 2 2 2 2 2 2 2 2 5" xfId="1231" xr:uid="{00000000-0005-0000-0000-00007F040000}"/>
    <cellStyle name="Millares 2 2 2 2 2 2 2 2 6" xfId="1232" xr:uid="{00000000-0005-0000-0000-000080040000}"/>
    <cellStyle name="Millares 2 2 2 2 2 2 2 2 6 10" xfId="1233" xr:uid="{00000000-0005-0000-0000-000081040000}"/>
    <cellStyle name="Millares 2 2 2 2 2 2 2 2 6 2" xfId="1234" xr:uid="{00000000-0005-0000-0000-000082040000}"/>
    <cellStyle name="Millares 2 2 2 2 2 2 2 2 6 3" xfId="1235" xr:uid="{00000000-0005-0000-0000-000083040000}"/>
    <cellStyle name="Millares 2 2 2 2 2 2 2 2 6 4" xfId="1236" xr:uid="{00000000-0005-0000-0000-000084040000}"/>
    <cellStyle name="Millares 2 2 2 2 2 2 2 2 6 5" xfId="1237" xr:uid="{00000000-0005-0000-0000-000085040000}"/>
    <cellStyle name="Millares 2 2 2 2 2 2 2 2 6 6" xfId="1238" xr:uid="{00000000-0005-0000-0000-000086040000}"/>
    <cellStyle name="Millares 2 2 2 2 2 2 2 2 6 7" xfId="1239" xr:uid="{00000000-0005-0000-0000-000087040000}"/>
    <cellStyle name="Millares 2 2 2 2 2 2 2 2 6 8" xfId="1240" xr:uid="{00000000-0005-0000-0000-000088040000}"/>
    <cellStyle name="Millares 2 2 2 2 2 2 2 2 6 9" xfId="1241" xr:uid="{00000000-0005-0000-0000-000089040000}"/>
    <cellStyle name="Millares 2 2 2 2 2 2 2 2 7" xfId="1242" xr:uid="{00000000-0005-0000-0000-00008A040000}"/>
    <cellStyle name="Millares 2 2 2 2 2 2 2 2 8" xfId="1243" xr:uid="{00000000-0005-0000-0000-00008B040000}"/>
    <cellStyle name="Millares 2 2 2 2 2 2 2 2 9" xfId="1244" xr:uid="{00000000-0005-0000-0000-00008C040000}"/>
    <cellStyle name="Millares 2 2 2 2 2 2 2 20" xfId="1245" xr:uid="{00000000-0005-0000-0000-00008D040000}"/>
    <cellStyle name="Millares 2 2 2 2 2 2 2 21" xfId="1246" xr:uid="{00000000-0005-0000-0000-00008E040000}"/>
    <cellStyle name="Millares 2 2 2 2 2 2 2 22" xfId="1247" xr:uid="{00000000-0005-0000-0000-00008F040000}"/>
    <cellStyle name="Millares 2 2 2 2 2 2 2 23" xfId="1248" xr:uid="{00000000-0005-0000-0000-000090040000}"/>
    <cellStyle name="Millares 2 2 2 2 2 2 2 24" xfId="1249" xr:uid="{00000000-0005-0000-0000-000091040000}"/>
    <cellStyle name="Millares 2 2 2 2 2 2 2 25" xfId="1250" xr:uid="{00000000-0005-0000-0000-000092040000}"/>
    <cellStyle name="Millares 2 2 2 2 2 2 2 25 10" xfId="1251" xr:uid="{00000000-0005-0000-0000-000093040000}"/>
    <cellStyle name="Millares 2 2 2 2 2 2 2 25 2" xfId="1252" xr:uid="{00000000-0005-0000-0000-000094040000}"/>
    <cellStyle name="Millares 2 2 2 2 2 2 2 25 3" xfId="1253" xr:uid="{00000000-0005-0000-0000-000095040000}"/>
    <cellStyle name="Millares 2 2 2 2 2 2 2 25 4" xfId="1254" xr:uid="{00000000-0005-0000-0000-000096040000}"/>
    <cellStyle name="Millares 2 2 2 2 2 2 2 25 5" xfId="1255" xr:uid="{00000000-0005-0000-0000-000097040000}"/>
    <cellStyle name="Millares 2 2 2 2 2 2 2 25 6" xfId="1256" xr:uid="{00000000-0005-0000-0000-000098040000}"/>
    <cellStyle name="Millares 2 2 2 2 2 2 2 25 7" xfId="1257" xr:uid="{00000000-0005-0000-0000-000099040000}"/>
    <cellStyle name="Millares 2 2 2 2 2 2 2 25 8" xfId="1258" xr:uid="{00000000-0005-0000-0000-00009A040000}"/>
    <cellStyle name="Millares 2 2 2 2 2 2 2 25 9" xfId="1259" xr:uid="{00000000-0005-0000-0000-00009B040000}"/>
    <cellStyle name="Millares 2 2 2 2 2 2 2 26" xfId="1260" xr:uid="{00000000-0005-0000-0000-00009C040000}"/>
    <cellStyle name="Millares 2 2 2 2 2 2 2 27" xfId="1261" xr:uid="{00000000-0005-0000-0000-00009D040000}"/>
    <cellStyle name="Millares 2 2 2 2 2 2 2 28" xfId="1262" xr:uid="{00000000-0005-0000-0000-00009E040000}"/>
    <cellStyle name="Millares 2 2 2 2 2 2 2 29" xfId="1263" xr:uid="{00000000-0005-0000-0000-00009F040000}"/>
    <cellStyle name="Millares 2 2 2 2 2 2 2 3" xfId="1264" xr:uid="{00000000-0005-0000-0000-0000A0040000}"/>
    <cellStyle name="Millares 2 2 2 2 2 2 2 30" xfId="1265" xr:uid="{00000000-0005-0000-0000-0000A1040000}"/>
    <cellStyle name="Millares 2 2 2 2 2 2 2 31" xfId="1266" xr:uid="{00000000-0005-0000-0000-0000A2040000}"/>
    <cellStyle name="Millares 2 2 2 2 2 2 2 32" xfId="1267" xr:uid="{00000000-0005-0000-0000-0000A3040000}"/>
    <cellStyle name="Millares 2 2 2 2 2 2 2 33" xfId="1268" xr:uid="{00000000-0005-0000-0000-0000A4040000}"/>
    <cellStyle name="Millares 2 2 2 2 2 2 2 34" xfId="1269" xr:uid="{00000000-0005-0000-0000-0000A5040000}"/>
    <cellStyle name="Millares 2 2 2 2 2 2 2 4" xfId="1270" xr:uid="{00000000-0005-0000-0000-0000A6040000}"/>
    <cellStyle name="Millares 2 2 2 2 2 2 2 5" xfId="1271" xr:uid="{00000000-0005-0000-0000-0000A7040000}"/>
    <cellStyle name="Millares 2 2 2 2 2 2 2 6" xfId="1272" xr:uid="{00000000-0005-0000-0000-0000A8040000}"/>
    <cellStyle name="Millares 2 2 2 2 2 2 2 7" xfId="1273" xr:uid="{00000000-0005-0000-0000-0000A9040000}"/>
    <cellStyle name="Millares 2 2 2 2 2 2 2 8" xfId="1274" xr:uid="{00000000-0005-0000-0000-0000AA040000}"/>
    <cellStyle name="Millares 2 2 2 2 2 2 2 9" xfId="1275" xr:uid="{00000000-0005-0000-0000-0000AB040000}"/>
    <cellStyle name="Millares 2 2 2 2 2 2 20" xfId="1276" xr:uid="{00000000-0005-0000-0000-0000AC040000}"/>
    <cellStyle name="Millares 2 2 2 2 2 2 21" xfId="1277" xr:uid="{00000000-0005-0000-0000-0000AD040000}"/>
    <cellStyle name="Millares 2 2 2 2 2 2 22" xfId="1278" xr:uid="{00000000-0005-0000-0000-0000AE040000}"/>
    <cellStyle name="Millares 2 2 2 2 2 2 23" xfId="1279" xr:uid="{00000000-0005-0000-0000-0000AF040000}"/>
    <cellStyle name="Millares 2 2 2 2 2 2 24" xfId="1280" xr:uid="{00000000-0005-0000-0000-0000B0040000}"/>
    <cellStyle name="Millares 2 2 2 2 2 2 25" xfId="1281" xr:uid="{00000000-0005-0000-0000-0000B1040000}"/>
    <cellStyle name="Millares 2 2 2 2 2 2 25 10" xfId="1282" xr:uid="{00000000-0005-0000-0000-0000B2040000}"/>
    <cellStyle name="Millares 2 2 2 2 2 2 25 2" xfId="1283" xr:uid="{00000000-0005-0000-0000-0000B3040000}"/>
    <cellStyle name="Millares 2 2 2 2 2 2 25 3" xfId="1284" xr:uid="{00000000-0005-0000-0000-0000B4040000}"/>
    <cellStyle name="Millares 2 2 2 2 2 2 25 4" xfId="1285" xr:uid="{00000000-0005-0000-0000-0000B5040000}"/>
    <cellStyle name="Millares 2 2 2 2 2 2 25 5" xfId="1286" xr:uid="{00000000-0005-0000-0000-0000B6040000}"/>
    <cellStyle name="Millares 2 2 2 2 2 2 25 6" xfId="1287" xr:uid="{00000000-0005-0000-0000-0000B7040000}"/>
    <cellStyle name="Millares 2 2 2 2 2 2 25 7" xfId="1288" xr:uid="{00000000-0005-0000-0000-0000B8040000}"/>
    <cellStyle name="Millares 2 2 2 2 2 2 25 8" xfId="1289" xr:uid="{00000000-0005-0000-0000-0000B9040000}"/>
    <cellStyle name="Millares 2 2 2 2 2 2 25 9" xfId="1290" xr:uid="{00000000-0005-0000-0000-0000BA040000}"/>
    <cellStyle name="Millares 2 2 2 2 2 2 26" xfId="1291" xr:uid="{00000000-0005-0000-0000-0000BB040000}"/>
    <cellStyle name="Millares 2 2 2 2 2 2 27" xfId="1292" xr:uid="{00000000-0005-0000-0000-0000BC040000}"/>
    <cellStyle name="Millares 2 2 2 2 2 2 28" xfId="1293" xr:uid="{00000000-0005-0000-0000-0000BD040000}"/>
    <cellStyle name="Millares 2 2 2 2 2 2 29" xfId="1294" xr:uid="{00000000-0005-0000-0000-0000BE040000}"/>
    <cellStyle name="Millares 2 2 2 2 2 2 3" xfId="1295" xr:uid="{00000000-0005-0000-0000-0000BF040000}"/>
    <cellStyle name="Millares 2 2 2 2 2 2 30" xfId="1296" xr:uid="{00000000-0005-0000-0000-0000C0040000}"/>
    <cellStyle name="Millares 2 2 2 2 2 2 31" xfId="1297" xr:uid="{00000000-0005-0000-0000-0000C1040000}"/>
    <cellStyle name="Millares 2 2 2 2 2 2 32" xfId="1298" xr:uid="{00000000-0005-0000-0000-0000C2040000}"/>
    <cellStyle name="Millares 2 2 2 2 2 2 33" xfId="1299" xr:uid="{00000000-0005-0000-0000-0000C3040000}"/>
    <cellStyle name="Millares 2 2 2 2 2 2 34" xfId="1300" xr:uid="{00000000-0005-0000-0000-0000C4040000}"/>
    <cellStyle name="Millares 2 2 2 2 2 2 35" xfId="1301" xr:uid="{00000000-0005-0000-0000-0000C5040000}"/>
    <cellStyle name="Millares 2 2 2 2 2 2 4" xfId="1302" xr:uid="{00000000-0005-0000-0000-0000C6040000}"/>
    <cellStyle name="Millares 2 2 2 2 2 2 5" xfId="1303" xr:uid="{00000000-0005-0000-0000-0000C7040000}"/>
    <cellStyle name="Millares 2 2 2 2 2 2 6" xfId="1304" xr:uid="{00000000-0005-0000-0000-0000C8040000}"/>
    <cellStyle name="Millares 2 2 2 2 2 2 7" xfId="1305" xr:uid="{00000000-0005-0000-0000-0000C9040000}"/>
    <cellStyle name="Millares 2 2 2 2 2 2 8" xfId="1306" xr:uid="{00000000-0005-0000-0000-0000CA040000}"/>
    <cellStyle name="Millares 2 2 2 2 2 2 9" xfId="1307" xr:uid="{00000000-0005-0000-0000-0000CB040000}"/>
    <cellStyle name="Millares 2 2 2 2 2 20" xfId="1308" xr:uid="{00000000-0005-0000-0000-0000CC040000}"/>
    <cellStyle name="Millares 2 2 2 2 2 21" xfId="1309" xr:uid="{00000000-0005-0000-0000-0000CD040000}"/>
    <cellStyle name="Millares 2 2 2 2 2 22" xfId="1310" xr:uid="{00000000-0005-0000-0000-0000CE040000}"/>
    <cellStyle name="Millares 2 2 2 2 2 23" xfId="1311" xr:uid="{00000000-0005-0000-0000-0000CF040000}"/>
    <cellStyle name="Millares 2 2 2 2 2 24" xfId="1312" xr:uid="{00000000-0005-0000-0000-0000D0040000}"/>
    <cellStyle name="Millares 2 2 2 2 2 25" xfId="1313" xr:uid="{00000000-0005-0000-0000-0000D1040000}"/>
    <cellStyle name="Millares 2 2 2 2 2 26" xfId="1314" xr:uid="{00000000-0005-0000-0000-0000D2040000}"/>
    <cellStyle name="Millares 2 2 2 2 2 27" xfId="1315" xr:uid="{00000000-0005-0000-0000-0000D3040000}"/>
    <cellStyle name="Millares 2 2 2 2 2 28" xfId="1316" xr:uid="{00000000-0005-0000-0000-0000D4040000}"/>
    <cellStyle name="Millares 2 2 2 2 2 29" xfId="1317" xr:uid="{00000000-0005-0000-0000-0000D5040000}"/>
    <cellStyle name="Millares 2 2 2 2 2 3" xfId="1318" xr:uid="{00000000-0005-0000-0000-0000D6040000}"/>
    <cellStyle name="Millares 2 2 2 2 2 30" xfId="1319" xr:uid="{00000000-0005-0000-0000-0000D7040000}"/>
    <cellStyle name="Millares 2 2 2 2 2 31" xfId="1320" xr:uid="{00000000-0005-0000-0000-0000D8040000}"/>
    <cellStyle name="Millares 2 2 2 2 2 32" xfId="1321" xr:uid="{00000000-0005-0000-0000-0000D9040000}"/>
    <cellStyle name="Millares 2 2 2 2 2 33" xfId="1322" xr:uid="{00000000-0005-0000-0000-0000DA040000}"/>
    <cellStyle name="Millares 2 2 2 2 2 34" xfId="1323" xr:uid="{00000000-0005-0000-0000-0000DB040000}"/>
    <cellStyle name="Millares 2 2 2 2 2 35" xfId="1324" xr:uid="{00000000-0005-0000-0000-0000DC040000}"/>
    <cellStyle name="Millares 2 2 2 2 2 36" xfId="1325" xr:uid="{00000000-0005-0000-0000-0000DD040000}"/>
    <cellStyle name="Millares 2 2 2 2 2 37" xfId="1326" xr:uid="{00000000-0005-0000-0000-0000DE040000}"/>
    <cellStyle name="Millares 2 2 2 2 2 38" xfId="1327" xr:uid="{00000000-0005-0000-0000-0000DF040000}"/>
    <cellStyle name="Millares 2 2 2 2 2 38 10" xfId="1328" xr:uid="{00000000-0005-0000-0000-0000E0040000}"/>
    <cellStyle name="Millares 2 2 2 2 2 38 2" xfId="1329" xr:uid="{00000000-0005-0000-0000-0000E1040000}"/>
    <cellStyle name="Millares 2 2 2 2 2 38 3" xfId="1330" xr:uid="{00000000-0005-0000-0000-0000E2040000}"/>
    <cellStyle name="Millares 2 2 2 2 2 38 4" xfId="1331" xr:uid="{00000000-0005-0000-0000-0000E3040000}"/>
    <cellStyle name="Millares 2 2 2 2 2 38 5" xfId="1332" xr:uid="{00000000-0005-0000-0000-0000E4040000}"/>
    <cellStyle name="Millares 2 2 2 2 2 38 6" xfId="1333" xr:uid="{00000000-0005-0000-0000-0000E5040000}"/>
    <cellStyle name="Millares 2 2 2 2 2 38 7" xfId="1334" xr:uid="{00000000-0005-0000-0000-0000E6040000}"/>
    <cellStyle name="Millares 2 2 2 2 2 38 8" xfId="1335" xr:uid="{00000000-0005-0000-0000-0000E7040000}"/>
    <cellStyle name="Millares 2 2 2 2 2 38 9" xfId="1336" xr:uid="{00000000-0005-0000-0000-0000E8040000}"/>
    <cellStyle name="Millares 2 2 2 2 2 39" xfId="1337" xr:uid="{00000000-0005-0000-0000-0000E9040000}"/>
    <cellStyle name="Millares 2 2 2 2 2 4" xfId="1338" xr:uid="{00000000-0005-0000-0000-0000EA040000}"/>
    <cellStyle name="Millares 2 2 2 2 2 40" xfId="1339" xr:uid="{00000000-0005-0000-0000-0000EB040000}"/>
    <cellStyle name="Millares 2 2 2 2 2 41" xfId="1340" xr:uid="{00000000-0005-0000-0000-0000EC040000}"/>
    <cellStyle name="Millares 2 2 2 2 2 42" xfId="1341" xr:uid="{00000000-0005-0000-0000-0000ED040000}"/>
    <cellStyle name="Millares 2 2 2 2 2 43" xfId="1342" xr:uid="{00000000-0005-0000-0000-0000EE040000}"/>
    <cellStyle name="Millares 2 2 2 2 2 44" xfId="1343" xr:uid="{00000000-0005-0000-0000-0000EF040000}"/>
    <cellStyle name="Millares 2 2 2 2 2 45" xfId="1344" xr:uid="{00000000-0005-0000-0000-0000F0040000}"/>
    <cellStyle name="Millares 2 2 2 2 2 46" xfId="1345" xr:uid="{00000000-0005-0000-0000-0000F1040000}"/>
    <cellStyle name="Millares 2 2 2 2 2 47" xfId="1346" xr:uid="{00000000-0005-0000-0000-0000F2040000}"/>
    <cellStyle name="Millares 2 2 2 2 2 48" xfId="1347" xr:uid="{00000000-0005-0000-0000-0000F3040000}"/>
    <cellStyle name="Millares 2 2 2 2 2 5" xfId="1348" xr:uid="{00000000-0005-0000-0000-0000F4040000}"/>
    <cellStyle name="Millares 2 2 2 2 2 6" xfId="1349" xr:uid="{00000000-0005-0000-0000-0000F5040000}"/>
    <cellStyle name="Millares 2 2 2 2 2 7" xfId="1350" xr:uid="{00000000-0005-0000-0000-0000F6040000}"/>
    <cellStyle name="Millares 2 2 2 2 2 8" xfId="1351" xr:uid="{00000000-0005-0000-0000-0000F7040000}"/>
    <cellStyle name="Millares 2 2 2 2 2 9" xfId="1352" xr:uid="{00000000-0005-0000-0000-0000F8040000}"/>
    <cellStyle name="Millares 2 2 2 2 20" xfId="1353" xr:uid="{00000000-0005-0000-0000-0000F9040000}"/>
    <cellStyle name="Millares 2 2 2 2 21" xfId="1354" xr:uid="{00000000-0005-0000-0000-0000FA040000}"/>
    <cellStyle name="Millares 2 2 2 2 22" xfId="1355" xr:uid="{00000000-0005-0000-0000-0000FB040000}"/>
    <cellStyle name="Millares 2 2 2 2 23" xfId="1356" xr:uid="{00000000-0005-0000-0000-0000FC040000}"/>
    <cellStyle name="Millares 2 2 2 2 24" xfId="1357" xr:uid="{00000000-0005-0000-0000-0000FD040000}"/>
    <cellStyle name="Millares 2 2 2 2 25" xfId="1358" xr:uid="{00000000-0005-0000-0000-0000FE040000}"/>
    <cellStyle name="Millares 2 2 2 2 26" xfId="1359" xr:uid="{00000000-0005-0000-0000-0000FF040000}"/>
    <cellStyle name="Millares 2 2 2 2 27" xfId="1360" xr:uid="{00000000-0005-0000-0000-000000050000}"/>
    <cellStyle name="Millares 2 2 2 2 28" xfId="1361" xr:uid="{00000000-0005-0000-0000-000001050000}"/>
    <cellStyle name="Millares 2 2 2 2 29" xfId="1362" xr:uid="{00000000-0005-0000-0000-000002050000}"/>
    <cellStyle name="Millares 2 2 2 2 3" xfId="1363" xr:uid="{00000000-0005-0000-0000-000003050000}"/>
    <cellStyle name="Millares 2 2 2 2 30" xfId="1364" xr:uid="{00000000-0005-0000-0000-000004050000}"/>
    <cellStyle name="Millares 2 2 2 2 31" xfId="1365" xr:uid="{00000000-0005-0000-0000-000005050000}"/>
    <cellStyle name="Millares 2 2 2 2 32" xfId="1366" xr:uid="{00000000-0005-0000-0000-000006050000}"/>
    <cellStyle name="Millares 2 2 2 2 33" xfId="1367" xr:uid="{00000000-0005-0000-0000-000007050000}"/>
    <cellStyle name="Millares 2 2 2 2 34" xfId="1368" xr:uid="{00000000-0005-0000-0000-000008050000}"/>
    <cellStyle name="Millares 2 2 2 2 35" xfId="1369" xr:uid="{00000000-0005-0000-0000-000009050000}"/>
    <cellStyle name="Millares 2 2 2 2 36" xfId="1370" xr:uid="{00000000-0005-0000-0000-00000A050000}"/>
    <cellStyle name="Millares 2 2 2 2 37" xfId="1371" xr:uid="{00000000-0005-0000-0000-00000B050000}"/>
    <cellStyle name="Millares 2 2 2 2 38" xfId="1372" xr:uid="{00000000-0005-0000-0000-00000C050000}"/>
    <cellStyle name="Millares 2 2 2 2 39" xfId="1373" xr:uid="{00000000-0005-0000-0000-00000D050000}"/>
    <cellStyle name="Millares 2 2 2 2 39 10" xfId="1374" xr:uid="{00000000-0005-0000-0000-00000E050000}"/>
    <cellStyle name="Millares 2 2 2 2 39 2" xfId="1375" xr:uid="{00000000-0005-0000-0000-00000F050000}"/>
    <cellStyle name="Millares 2 2 2 2 39 3" xfId="1376" xr:uid="{00000000-0005-0000-0000-000010050000}"/>
    <cellStyle name="Millares 2 2 2 2 39 4" xfId="1377" xr:uid="{00000000-0005-0000-0000-000011050000}"/>
    <cellStyle name="Millares 2 2 2 2 39 5" xfId="1378" xr:uid="{00000000-0005-0000-0000-000012050000}"/>
    <cellStyle name="Millares 2 2 2 2 39 6" xfId="1379" xr:uid="{00000000-0005-0000-0000-000013050000}"/>
    <cellStyle name="Millares 2 2 2 2 39 7" xfId="1380" xr:uid="{00000000-0005-0000-0000-000014050000}"/>
    <cellStyle name="Millares 2 2 2 2 39 8" xfId="1381" xr:uid="{00000000-0005-0000-0000-000015050000}"/>
    <cellStyle name="Millares 2 2 2 2 39 9" xfId="1382" xr:uid="{00000000-0005-0000-0000-000016050000}"/>
    <cellStyle name="Millares 2 2 2 2 4" xfId="1383" xr:uid="{00000000-0005-0000-0000-000017050000}"/>
    <cellStyle name="Millares 2 2 2 2 4 10" xfId="1384" xr:uid="{00000000-0005-0000-0000-000018050000}"/>
    <cellStyle name="Millares 2 2 2 2 4 11" xfId="1385" xr:uid="{00000000-0005-0000-0000-000019050000}"/>
    <cellStyle name="Millares 2 2 2 2 4 12" xfId="1386" xr:uid="{00000000-0005-0000-0000-00001A050000}"/>
    <cellStyle name="Millares 2 2 2 2 4 13" xfId="1387" xr:uid="{00000000-0005-0000-0000-00001B050000}"/>
    <cellStyle name="Millares 2 2 2 2 4 14" xfId="1388" xr:uid="{00000000-0005-0000-0000-00001C050000}"/>
    <cellStyle name="Millares 2 2 2 2 4 15" xfId="1389" xr:uid="{00000000-0005-0000-0000-00001D050000}"/>
    <cellStyle name="Millares 2 2 2 2 4 16" xfId="1390" xr:uid="{00000000-0005-0000-0000-00001E050000}"/>
    <cellStyle name="Millares 2 2 2 2 4 17" xfId="1391" xr:uid="{00000000-0005-0000-0000-00001F050000}"/>
    <cellStyle name="Millares 2 2 2 2 4 18" xfId="1392" xr:uid="{00000000-0005-0000-0000-000020050000}"/>
    <cellStyle name="Millares 2 2 2 2 4 19" xfId="1393" xr:uid="{00000000-0005-0000-0000-000021050000}"/>
    <cellStyle name="Millares 2 2 2 2 4 2" xfId="1394" xr:uid="{00000000-0005-0000-0000-000022050000}"/>
    <cellStyle name="Millares 2 2 2 2 4 2 10" xfId="1395" xr:uid="{00000000-0005-0000-0000-000023050000}"/>
    <cellStyle name="Millares 2 2 2 2 4 2 11" xfId="1396" xr:uid="{00000000-0005-0000-0000-000024050000}"/>
    <cellStyle name="Millares 2 2 2 2 4 2 12" xfId="1397" xr:uid="{00000000-0005-0000-0000-000025050000}"/>
    <cellStyle name="Millares 2 2 2 2 4 2 13" xfId="1398" xr:uid="{00000000-0005-0000-0000-000026050000}"/>
    <cellStyle name="Millares 2 2 2 2 4 2 14" xfId="1399" xr:uid="{00000000-0005-0000-0000-000027050000}"/>
    <cellStyle name="Millares 2 2 2 2 4 2 15" xfId="1400" xr:uid="{00000000-0005-0000-0000-000028050000}"/>
    <cellStyle name="Millares 2 2 2 2 4 2 16" xfId="1401" xr:uid="{00000000-0005-0000-0000-000029050000}"/>
    <cellStyle name="Millares 2 2 2 2 4 2 17" xfId="1402" xr:uid="{00000000-0005-0000-0000-00002A050000}"/>
    <cellStyle name="Millares 2 2 2 2 4 2 18" xfId="1403" xr:uid="{00000000-0005-0000-0000-00002B050000}"/>
    <cellStyle name="Millares 2 2 2 2 4 2 19" xfId="1404" xr:uid="{00000000-0005-0000-0000-00002C050000}"/>
    <cellStyle name="Millares 2 2 2 2 4 2 2" xfId="1405" xr:uid="{00000000-0005-0000-0000-00002D050000}"/>
    <cellStyle name="Millares 2 2 2 2 4 2 20" xfId="1406" xr:uid="{00000000-0005-0000-0000-00002E050000}"/>
    <cellStyle name="Millares 2 2 2 2 4 2 3" xfId="1407" xr:uid="{00000000-0005-0000-0000-00002F050000}"/>
    <cellStyle name="Millares 2 2 2 2 4 2 4" xfId="1408" xr:uid="{00000000-0005-0000-0000-000030050000}"/>
    <cellStyle name="Millares 2 2 2 2 4 2 5" xfId="1409" xr:uid="{00000000-0005-0000-0000-000031050000}"/>
    <cellStyle name="Millares 2 2 2 2 4 2 6" xfId="1410" xr:uid="{00000000-0005-0000-0000-000032050000}"/>
    <cellStyle name="Millares 2 2 2 2 4 2 7" xfId="1411" xr:uid="{00000000-0005-0000-0000-000033050000}"/>
    <cellStyle name="Millares 2 2 2 2 4 2 8" xfId="1412" xr:uid="{00000000-0005-0000-0000-000034050000}"/>
    <cellStyle name="Millares 2 2 2 2 4 2 9" xfId="1413" xr:uid="{00000000-0005-0000-0000-000035050000}"/>
    <cellStyle name="Millares 2 2 2 2 4 20" xfId="1414" xr:uid="{00000000-0005-0000-0000-000036050000}"/>
    <cellStyle name="Millares 2 2 2 2 4 3" xfId="1415" xr:uid="{00000000-0005-0000-0000-000037050000}"/>
    <cellStyle name="Millares 2 2 2 2 4 4" xfId="1416" xr:uid="{00000000-0005-0000-0000-000038050000}"/>
    <cellStyle name="Millares 2 2 2 2 4 5" xfId="1417" xr:uid="{00000000-0005-0000-0000-000039050000}"/>
    <cellStyle name="Millares 2 2 2 2 4 6" xfId="1418" xr:uid="{00000000-0005-0000-0000-00003A050000}"/>
    <cellStyle name="Millares 2 2 2 2 4 7" xfId="1419" xr:uid="{00000000-0005-0000-0000-00003B050000}"/>
    <cellStyle name="Millares 2 2 2 2 4 8" xfId="1420" xr:uid="{00000000-0005-0000-0000-00003C050000}"/>
    <cellStyle name="Millares 2 2 2 2 4 9" xfId="1421" xr:uid="{00000000-0005-0000-0000-00003D050000}"/>
    <cellStyle name="Millares 2 2 2 2 40" xfId="1422" xr:uid="{00000000-0005-0000-0000-00003E050000}"/>
    <cellStyle name="Millares 2 2 2 2 41" xfId="1423" xr:uid="{00000000-0005-0000-0000-00003F050000}"/>
    <cellStyle name="Millares 2 2 2 2 42" xfId="1424" xr:uid="{00000000-0005-0000-0000-000040050000}"/>
    <cellStyle name="Millares 2 2 2 2 43" xfId="1425" xr:uid="{00000000-0005-0000-0000-000041050000}"/>
    <cellStyle name="Millares 2 2 2 2 44" xfId="1426" xr:uid="{00000000-0005-0000-0000-000042050000}"/>
    <cellStyle name="Millares 2 2 2 2 45" xfId="1427" xr:uid="{00000000-0005-0000-0000-000043050000}"/>
    <cellStyle name="Millares 2 2 2 2 46" xfId="1428" xr:uid="{00000000-0005-0000-0000-000044050000}"/>
    <cellStyle name="Millares 2 2 2 2 47" xfId="1429" xr:uid="{00000000-0005-0000-0000-000045050000}"/>
    <cellStyle name="Millares 2 2 2 2 48" xfId="1430" xr:uid="{00000000-0005-0000-0000-000046050000}"/>
    <cellStyle name="Millares 2 2 2 2 5" xfId="1431" xr:uid="{00000000-0005-0000-0000-000047050000}"/>
    <cellStyle name="Millares 2 2 2 2 6" xfId="1432" xr:uid="{00000000-0005-0000-0000-000048050000}"/>
    <cellStyle name="Millares 2 2 2 2 7" xfId="1433" xr:uid="{00000000-0005-0000-0000-000049050000}"/>
    <cellStyle name="Millares 2 2 2 2 8" xfId="1434" xr:uid="{00000000-0005-0000-0000-00004A050000}"/>
    <cellStyle name="Millares 2 2 2 2 9" xfId="1435" xr:uid="{00000000-0005-0000-0000-00004B050000}"/>
    <cellStyle name="Millares 2 2 2 20" xfId="1436" xr:uid="{00000000-0005-0000-0000-00004C050000}"/>
    <cellStyle name="Millares 2 2 2 21" xfId="1437" xr:uid="{00000000-0005-0000-0000-00004D050000}"/>
    <cellStyle name="Millares 2 2 2 22" xfId="1438" xr:uid="{00000000-0005-0000-0000-00004E050000}"/>
    <cellStyle name="Millares 2 2 2 23" xfId="1439" xr:uid="{00000000-0005-0000-0000-00004F050000}"/>
    <cellStyle name="Millares 2 2 2 24" xfId="1440" xr:uid="{00000000-0005-0000-0000-000050050000}"/>
    <cellStyle name="Millares 2 2 2 25" xfId="1441" xr:uid="{00000000-0005-0000-0000-000051050000}"/>
    <cellStyle name="Millares 2 2 2 26" xfId="1442" xr:uid="{00000000-0005-0000-0000-000052050000}"/>
    <cellStyle name="Millares 2 2 2 27" xfId="1443" xr:uid="{00000000-0005-0000-0000-000053050000}"/>
    <cellStyle name="Millares 2 2 2 28" xfId="1444" xr:uid="{00000000-0005-0000-0000-000054050000}"/>
    <cellStyle name="Millares 2 2 2 29" xfId="1445" xr:uid="{00000000-0005-0000-0000-000055050000}"/>
    <cellStyle name="Millares 2 2 2 3" xfId="1446" xr:uid="{00000000-0005-0000-0000-000056050000}"/>
    <cellStyle name="Millares 2 2 2 3 10" xfId="1447" xr:uid="{00000000-0005-0000-0000-000057050000}"/>
    <cellStyle name="Millares 2 2 2 3 11" xfId="1448" xr:uid="{00000000-0005-0000-0000-000058050000}"/>
    <cellStyle name="Millares 2 2 2 3 12" xfId="1449" xr:uid="{00000000-0005-0000-0000-000059050000}"/>
    <cellStyle name="Millares 2 2 2 3 13" xfId="1450" xr:uid="{00000000-0005-0000-0000-00005A050000}"/>
    <cellStyle name="Millares 2 2 2 3 14" xfId="1451" xr:uid="{00000000-0005-0000-0000-00005B050000}"/>
    <cellStyle name="Millares 2 2 2 3 15" xfId="1452" xr:uid="{00000000-0005-0000-0000-00005C050000}"/>
    <cellStyle name="Millares 2 2 2 3 16" xfId="1453" xr:uid="{00000000-0005-0000-0000-00005D050000}"/>
    <cellStyle name="Millares 2 2 2 3 17" xfId="1454" xr:uid="{00000000-0005-0000-0000-00005E050000}"/>
    <cellStyle name="Millares 2 2 2 3 18" xfId="1455" xr:uid="{00000000-0005-0000-0000-00005F050000}"/>
    <cellStyle name="Millares 2 2 2 3 19" xfId="1456" xr:uid="{00000000-0005-0000-0000-000060050000}"/>
    <cellStyle name="Millares 2 2 2 3 2" xfId="1457" xr:uid="{00000000-0005-0000-0000-000061050000}"/>
    <cellStyle name="Millares 2 2 2 3 2 10" xfId="1458" xr:uid="{00000000-0005-0000-0000-000062050000}"/>
    <cellStyle name="Millares 2 2 2 3 2 11" xfId="1459" xr:uid="{00000000-0005-0000-0000-000063050000}"/>
    <cellStyle name="Millares 2 2 2 3 2 12" xfId="1460" xr:uid="{00000000-0005-0000-0000-000064050000}"/>
    <cellStyle name="Millares 2 2 2 3 2 13" xfId="1461" xr:uid="{00000000-0005-0000-0000-000065050000}"/>
    <cellStyle name="Millares 2 2 2 3 2 14" xfId="1462" xr:uid="{00000000-0005-0000-0000-000066050000}"/>
    <cellStyle name="Millares 2 2 2 3 2 15" xfId="1463" xr:uid="{00000000-0005-0000-0000-000067050000}"/>
    <cellStyle name="Millares 2 2 2 3 2 16" xfId="1464" xr:uid="{00000000-0005-0000-0000-000068050000}"/>
    <cellStyle name="Millares 2 2 2 3 2 17" xfId="1465" xr:uid="{00000000-0005-0000-0000-000069050000}"/>
    <cellStyle name="Millares 2 2 2 3 2 18" xfId="1466" xr:uid="{00000000-0005-0000-0000-00006A050000}"/>
    <cellStyle name="Millares 2 2 2 3 2 19" xfId="1467" xr:uid="{00000000-0005-0000-0000-00006B050000}"/>
    <cellStyle name="Millares 2 2 2 3 2 2" xfId="1468" xr:uid="{00000000-0005-0000-0000-00006C050000}"/>
    <cellStyle name="Millares 2 2 2 3 2 2 10" xfId="1469" xr:uid="{00000000-0005-0000-0000-00006D050000}"/>
    <cellStyle name="Millares 2 2 2 3 2 2 11" xfId="1470" xr:uid="{00000000-0005-0000-0000-00006E050000}"/>
    <cellStyle name="Millares 2 2 2 3 2 2 12" xfId="1471" xr:uid="{00000000-0005-0000-0000-00006F050000}"/>
    <cellStyle name="Millares 2 2 2 3 2 2 13" xfId="1472" xr:uid="{00000000-0005-0000-0000-000070050000}"/>
    <cellStyle name="Millares 2 2 2 3 2 2 14" xfId="1473" xr:uid="{00000000-0005-0000-0000-000071050000}"/>
    <cellStyle name="Millares 2 2 2 3 2 2 15" xfId="1474" xr:uid="{00000000-0005-0000-0000-000072050000}"/>
    <cellStyle name="Millares 2 2 2 3 2 2 16" xfId="1475" xr:uid="{00000000-0005-0000-0000-000073050000}"/>
    <cellStyle name="Millares 2 2 2 3 2 2 17" xfId="1476" xr:uid="{00000000-0005-0000-0000-000074050000}"/>
    <cellStyle name="Millares 2 2 2 3 2 2 18" xfId="1477" xr:uid="{00000000-0005-0000-0000-000075050000}"/>
    <cellStyle name="Millares 2 2 2 3 2 2 19" xfId="1478" xr:uid="{00000000-0005-0000-0000-000076050000}"/>
    <cellStyle name="Millares 2 2 2 3 2 2 2" xfId="1479" xr:uid="{00000000-0005-0000-0000-000077050000}"/>
    <cellStyle name="Millares 2 2 2 3 2 2 20" xfId="1480" xr:uid="{00000000-0005-0000-0000-000078050000}"/>
    <cellStyle name="Millares 2 2 2 3 2 2 3" xfId="1481" xr:uid="{00000000-0005-0000-0000-000079050000}"/>
    <cellStyle name="Millares 2 2 2 3 2 2 4" xfId="1482" xr:uid="{00000000-0005-0000-0000-00007A050000}"/>
    <cellStyle name="Millares 2 2 2 3 2 2 5" xfId="1483" xr:uid="{00000000-0005-0000-0000-00007B050000}"/>
    <cellStyle name="Millares 2 2 2 3 2 2 6" xfId="1484" xr:uid="{00000000-0005-0000-0000-00007C050000}"/>
    <cellStyle name="Millares 2 2 2 3 2 2 7" xfId="1485" xr:uid="{00000000-0005-0000-0000-00007D050000}"/>
    <cellStyle name="Millares 2 2 2 3 2 2 8" xfId="1486" xr:uid="{00000000-0005-0000-0000-00007E050000}"/>
    <cellStyle name="Millares 2 2 2 3 2 2 9" xfId="1487" xr:uid="{00000000-0005-0000-0000-00007F050000}"/>
    <cellStyle name="Millares 2 2 2 3 2 20" xfId="1488" xr:uid="{00000000-0005-0000-0000-000080050000}"/>
    <cellStyle name="Millares 2 2 2 3 2 3" xfId="1489" xr:uid="{00000000-0005-0000-0000-000081050000}"/>
    <cellStyle name="Millares 2 2 2 3 2 4" xfId="1490" xr:uid="{00000000-0005-0000-0000-000082050000}"/>
    <cellStyle name="Millares 2 2 2 3 2 5" xfId="1491" xr:uid="{00000000-0005-0000-0000-000083050000}"/>
    <cellStyle name="Millares 2 2 2 3 2 6" xfId="1492" xr:uid="{00000000-0005-0000-0000-000084050000}"/>
    <cellStyle name="Millares 2 2 2 3 2 7" xfId="1493" xr:uid="{00000000-0005-0000-0000-000085050000}"/>
    <cellStyle name="Millares 2 2 2 3 2 8" xfId="1494" xr:uid="{00000000-0005-0000-0000-000086050000}"/>
    <cellStyle name="Millares 2 2 2 3 2 9" xfId="1495" xr:uid="{00000000-0005-0000-0000-000087050000}"/>
    <cellStyle name="Millares 2 2 2 3 20" xfId="1496" xr:uid="{00000000-0005-0000-0000-000088050000}"/>
    <cellStyle name="Millares 2 2 2 3 21" xfId="1497" xr:uid="{00000000-0005-0000-0000-000089050000}"/>
    <cellStyle name="Millares 2 2 2 3 22" xfId="1498" xr:uid="{00000000-0005-0000-0000-00008A050000}"/>
    <cellStyle name="Millares 2 2 2 3 23" xfId="1499" xr:uid="{00000000-0005-0000-0000-00008B050000}"/>
    <cellStyle name="Millares 2 2 2 3 24" xfId="1500" xr:uid="{00000000-0005-0000-0000-00008C050000}"/>
    <cellStyle name="Millares 2 2 2 3 25" xfId="1501" xr:uid="{00000000-0005-0000-0000-00008D050000}"/>
    <cellStyle name="Millares 2 2 2 3 26" xfId="1502" xr:uid="{00000000-0005-0000-0000-00008E050000}"/>
    <cellStyle name="Millares 2 2 2 3 27" xfId="1503" xr:uid="{00000000-0005-0000-0000-00008F050000}"/>
    <cellStyle name="Millares 2 2 2 3 28" xfId="1504" xr:uid="{00000000-0005-0000-0000-000090050000}"/>
    <cellStyle name="Millares 2 2 2 3 29" xfId="1505" xr:uid="{00000000-0005-0000-0000-000091050000}"/>
    <cellStyle name="Millares 2 2 2 3 3" xfId="1506" xr:uid="{00000000-0005-0000-0000-000092050000}"/>
    <cellStyle name="Millares 2 2 2 3 30" xfId="1507" xr:uid="{00000000-0005-0000-0000-000093050000}"/>
    <cellStyle name="Millares 2 2 2 3 31" xfId="1508" xr:uid="{00000000-0005-0000-0000-000094050000}"/>
    <cellStyle name="Millares 2 2 2 3 32" xfId="1509" xr:uid="{00000000-0005-0000-0000-000095050000}"/>
    <cellStyle name="Millares 2 2 2 3 33" xfId="1510" xr:uid="{00000000-0005-0000-0000-000096050000}"/>
    <cellStyle name="Millares 2 2 2 3 4" xfId="1511" xr:uid="{00000000-0005-0000-0000-000097050000}"/>
    <cellStyle name="Millares 2 2 2 3 5" xfId="1512" xr:uid="{00000000-0005-0000-0000-000098050000}"/>
    <cellStyle name="Millares 2 2 2 3 6" xfId="1513" xr:uid="{00000000-0005-0000-0000-000099050000}"/>
    <cellStyle name="Millares 2 2 2 3 7" xfId="1514" xr:uid="{00000000-0005-0000-0000-00009A050000}"/>
    <cellStyle name="Millares 2 2 2 3 8" xfId="1515" xr:uid="{00000000-0005-0000-0000-00009B050000}"/>
    <cellStyle name="Millares 2 2 2 3 9" xfId="1516" xr:uid="{00000000-0005-0000-0000-00009C050000}"/>
    <cellStyle name="Millares 2 2 2 30" xfId="1517" xr:uid="{00000000-0005-0000-0000-00009D050000}"/>
    <cellStyle name="Millares 2 2 2 31" xfId="1518" xr:uid="{00000000-0005-0000-0000-00009E050000}"/>
    <cellStyle name="Millares 2 2 2 32" xfId="1519" xr:uid="{00000000-0005-0000-0000-00009F050000}"/>
    <cellStyle name="Millares 2 2 2 33" xfId="1520" xr:uid="{00000000-0005-0000-0000-0000A0050000}"/>
    <cellStyle name="Millares 2 2 2 34" xfId="1521" xr:uid="{00000000-0005-0000-0000-0000A1050000}"/>
    <cellStyle name="Millares 2 2 2 35" xfId="1522" xr:uid="{00000000-0005-0000-0000-0000A2050000}"/>
    <cellStyle name="Millares 2 2 2 36" xfId="1523" xr:uid="{00000000-0005-0000-0000-0000A3050000}"/>
    <cellStyle name="Millares 2 2 2 37" xfId="1524" xr:uid="{00000000-0005-0000-0000-0000A4050000}"/>
    <cellStyle name="Millares 2 2 2 38" xfId="1525" xr:uid="{00000000-0005-0000-0000-0000A5050000}"/>
    <cellStyle name="Millares 2 2 2 39" xfId="1526" xr:uid="{00000000-0005-0000-0000-0000A6050000}"/>
    <cellStyle name="Millares 2 2 2 39 10" xfId="1527" xr:uid="{00000000-0005-0000-0000-0000A7050000}"/>
    <cellStyle name="Millares 2 2 2 39 2" xfId="1528" xr:uid="{00000000-0005-0000-0000-0000A8050000}"/>
    <cellStyle name="Millares 2 2 2 39 3" xfId="1529" xr:uid="{00000000-0005-0000-0000-0000A9050000}"/>
    <cellStyle name="Millares 2 2 2 39 4" xfId="1530" xr:uid="{00000000-0005-0000-0000-0000AA050000}"/>
    <cellStyle name="Millares 2 2 2 39 5" xfId="1531" xr:uid="{00000000-0005-0000-0000-0000AB050000}"/>
    <cellStyle name="Millares 2 2 2 39 6" xfId="1532" xr:uid="{00000000-0005-0000-0000-0000AC050000}"/>
    <cellStyle name="Millares 2 2 2 39 7" xfId="1533" xr:uid="{00000000-0005-0000-0000-0000AD050000}"/>
    <cellStyle name="Millares 2 2 2 39 8" xfId="1534" xr:uid="{00000000-0005-0000-0000-0000AE050000}"/>
    <cellStyle name="Millares 2 2 2 39 9" xfId="1535" xr:uid="{00000000-0005-0000-0000-0000AF050000}"/>
    <cellStyle name="Millares 2 2 2 4" xfId="1536" xr:uid="{00000000-0005-0000-0000-0000B0050000}"/>
    <cellStyle name="Millares 2 2 2 4 10" xfId="1537" xr:uid="{00000000-0005-0000-0000-0000B1050000}"/>
    <cellStyle name="Millares 2 2 2 4 11" xfId="1538" xr:uid="{00000000-0005-0000-0000-0000B2050000}"/>
    <cellStyle name="Millares 2 2 2 4 12" xfId="1539" xr:uid="{00000000-0005-0000-0000-0000B3050000}"/>
    <cellStyle name="Millares 2 2 2 4 13" xfId="1540" xr:uid="{00000000-0005-0000-0000-0000B4050000}"/>
    <cellStyle name="Millares 2 2 2 4 14" xfId="1541" xr:uid="{00000000-0005-0000-0000-0000B5050000}"/>
    <cellStyle name="Millares 2 2 2 4 15" xfId="1542" xr:uid="{00000000-0005-0000-0000-0000B6050000}"/>
    <cellStyle name="Millares 2 2 2 4 16" xfId="1543" xr:uid="{00000000-0005-0000-0000-0000B7050000}"/>
    <cellStyle name="Millares 2 2 2 4 17" xfId="1544" xr:uid="{00000000-0005-0000-0000-0000B8050000}"/>
    <cellStyle name="Millares 2 2 2 4 18" xfId="1545" xr:uid="{00000000-0005-0000-0000-0000B9050000}"/>
    <cellStyle name="Millares 2 2 2 4 19" xfId="1546" xr:uid="{00000000-0005-0000-0000-0000BA050000}"/>
    <cellStyle name="Millares 2 2 2 4 2" xfId="1547" xr:uid="{00000000-0005-0000-0000-0000BB050000}"/>
    <cellStyle name="Millares 2 2 2 4 2 10" xfId="1548" xr:uid="{00000000-0005-0000-0000-0000BC050000}"/>
    <cellStyle name="Millares 2 2 2 4 2 11" xfId="1549" xr:uid="{00000000-0005-0000-0000-0000BD050000}"/>
    <cellStyle name="Millares 2 2 2 4 2 12" xfId="1550" xr:uid="{00000000-0005-0000-0000-0000BE050000}"/>
    <cellStyle name="Millares 2 2 2 4 2 13" xfId="1551" xr:uid="{00000000-0005-0000-0000-0000BF050000}"/>
    <cellStyle name="Millares 2 2 2 4 2 14" xfId="1552" xr:uid="{00000000-0005-0000-0000-0000C0050000}"/>
    <cellStyle name="Millares 2 2 2 4 2 15" xfId="1553" xr:uid="{00000000-0005-0000-0000-0000C1050000}"/>
    <cellStyle name="Millares 2 2 2 4 2 16" xfId="1554" xr:uid="{00000000-0005-0000-0000-0000C2050000}"/>
    <cellStyle name="Millares 2 2 2 4 2 17" xfId="1555" xr:uid="{00000000-0005-0000-0000-0000C3050000}"/>
    <cellStyle name="Millares 2 2 2 4 2 18" xfId="1556" xr:uid="{00000000-0005-0000-0000-0000C4050000}"/>
    <cellStyle name="Millares 2 2 2 4 2 19" xfId="1557" xr:uid="{00000000-0005-0000-0000-0000C5050000}"/>
    <cellStyle name="Millares 2 2 2 4 2 2" xfId="1558" xr:uid="{00000000-0005-0000-0000-0000C6050000}"/>
    <cellStyle name="Millares 2 2 2 4 2 20" xfId="1559" xr:uid="{00000000-0005-0000-0000-0000C7050000}"/>
    <cellStyle name="Millares 2 2 2 4 2 3" xfId="1560" xr:uid="{00000000-0005-0000-0000-0000C8050000}"/>
    <cellStyle name="Millares 2 2 2 4 2 4" xfId="1561" xr:uid="{00000000-0005-0000-0000-0000C9050000}"/>
    <cellStyle name="Millares 2 2 2 4 2 5" xfId="1562" xr:uid="{00000000-0005-0000-0000-0000CA050000}"/>
    <cellStyle name="Millares 2 2 2 4 2 6" xfId="1563" xr:uid="{00000000-0005-0000-0000-0000CB050000}"/>
    <cellStyle name="Millares 2 2 2 4 2 7" xfId="1564" xr:uid="{00000000-0005-0000-0000-0000CC050000}"/>
    <cellStyle name="Millares 2 2 2 4 2 8" xfId="1565" xr:uid="{00000000-0005-0000-0000-0000CD050000}"/>
    <cellStyle name="Millares 2 2 2 4 2 9" xfId="1566" xr:uid="{00000000-0005-0000-0000-0000CE050000}"/>
    <cellStyle name="Millares 2 2 2 4 20" xfId="1567" xr:uid="{00000000-0005-0000-0000-0000CF050000}"/>
    <cellStyle name="Millares 2 2 2 4 3" xfId="1568" xr:uid="{00000000-0005-0000-0000-0000D0050000}"/>
    <cellStyle name="Millares 2 2 2 4 4" xfId="1569" xr:uid="{00000000-0005-0000-0000-0000D1050000}"/>
    <cellStyle name="Millares 2 2 2 4 5" xfId="1570" xr:uid="{00000000-0005-0000-0000-0000D2050000}"/>
    <cellStyle name="Millares 2 2 2 4 6" xfId="1571" xr:uid="{00000000-0005-0000-0000-0000D3050000}"/>
    <cellStyle name="Millares 2 2 2 4 7" xfId="1572" xr:uid="{00000000-0005-0000-0000-0000D4050000}"/>
    <cellStyle name="Millares 2 2 2 4 8" xfId="1573" xr:uid="{00000000-0005-0000-0000-0000D5050000}"/>
    <cellStyle name="Millares 2 2 2 4 9" xfId="1574" xr:uid="{00000000-0005-0000-0000-0000D6050000}"/>
    <cellStyle name="Millares 2 2 2 40" xfId="1575" xr:uid="{00000000-0005-0000-0000-0000D7050000}"/>
    <cellStyle name="Millares 2 2 2 41" xfId="1576" xr:uid="{00000000-0005-0000-0000-0000D8050000}"/>
    <cellStyle name="Millares 2 2 2 42" xfId="1577" xr:uid="{00000000-0005-0000-0000-0000D9050000}"/>
    <cellStyle name="Millares 2 2 2 43" xfId="1578" xr:uid="{00000000-0005-0000-0000-0000DA050000}"/>
    <cellStyle name="Millares 2 2 2 44" xfId="1579" xr:uid="{00000000-0005-0000-0000-0000DB050000}"/>
    <cellStyle name="Millares 2 2 2 45" xfId="1580" xr:uid="{00000000-0005-0000-0000-0000DC050000}"/>
    <cellStyle name="Millares 2 2 2 46" xfId="1581" xr:uid="{00000000-0005-0000-0000-0000DD050000}"/>
    <cellStyle name="Millares 2 2 2 47" xfId="1582" xr:uid="{00000000-0005-0000-0000-0000DE050000}"/>
    <cellStyle name="Millares 2 2 2 48" xfId="1583" xr:uid="{00000000-0005-0000-0000-0000DF050000}"/>
    <cellStyle name="Millares 2 2 2 49" xfId="1584" xr:uid="{00000000-0005-0000-0000-0000E0050000}"/>
    <cellStyle name="Millares 2 2 2 5" xfId="1585" xr:uid="{00000000-0005-0000-0000-0000E1050000}"/>
    <cellStyle name="Millares 2 2 2 6" xfId="1586" xr:uid="{00000000-0005-0000-0000-0000E2050000}"/>
    <cellStyle name="Millares 2 2 2 7" xfId="1587" xr:uid="{00000000-0005-0000-0000-0000E3050000}"/>
    <cellStyle name="Millares 2 2 2 8" xfId="1588" xr:uid="{00000000-0005-0000-0000-0000E4050000}"/>
    <cellStyle name="Millares 2 2 2 9" xfId="1589" xr:uid="{00000000-0005-0000-0000-0000E5050000}"/>
    <cellStyle name="Millares 2 2 20" xfId="1590" xr:uid="{00000000-0005-0000-0000-0000E6050000}"/>
    <cellStyle name="Millares 2 2 21" xfId="1591" xr:uid="{00000000-0005-0000-0000-0000E7050000}"/>
    <cellStyle name="Millares 2 2 22" xfId="1592" xr:uid="{00000000-0005-0000-0000-0000E8050000}"/>
    <cellStyle name="Millares 2 2 23" xfId="1593" xr:uid="{00000000-0005-0000-0000-0000E9050000}"/>
    <cellStyle name="Millares 2 2 24" xfId="1594" xr:uid="{00000000-0005-0000-0000-0000EA050000}"/>
    <cellStyle name="Millares 2 2 25" xfId="1595" xr:uid="{00000000-0005-0000-0000-0000EB050000}"/>
    <cellStyle name="Millares 2 2 26" xfId="1596" xr:uid="{00000000-0005-0000-0000-0000EC050000}"/>
    <cellStyle name="Millares 2 2 27" xfId="1597" xr:uid="{00000000-0005-0000-0000-0000ED050000}"/>
    <cellStyle name="Millares 2 2 28" xfId="1598" xr:uid="{00000000-0005-0000-0000-0000EE050000}"/>
    <cellStyle name="Millares 2 2 29" xfId="1599" xr:uid="{00000000-0005-0000-0000-0000EF050000}"/>
    <cellStyle name="Millares 2 2 3" xfId="1600" xr:uid="{00000000-0005-0000-0000-0000F0050000}"/>
    <cellStyle name="Millares 2 2 3 10" xfId="1601" xr:uid="{00000000-0005-0000-0000-0000F1050000}"/>
    <cellStyle name="Millares 2 2 3 11" xfId="1602" xr:uid="{00000000-0005-0000-0000-0000F2050000}"/>
    <cellStyle name="Millares 2 2 3 12" xfId="1603" xr:uid="{00000000-0005-0000-0000-0000F3050000}"/>
    <cellStyle name="Millares 2 2 3 13" xfId="1604" xr:uid="{00000000-0005-0000-0000-0000F4050000}"/>
    <cellStyle name="Millares 2 2 3 14" xfId="1605" xr:uid="{00000000-0005-0000-0000-0000F5050000}"/>
    <cellStyle name="Millares 2 2 3 15" xfId="1606" xr:uid="{00000000-0005-0000-0000-0000F6050000}"/>
    <cellStyle name="Millares 2 2 3 16" xfId="1607" xr:uid="{00000000-0005-0000-0000-0000F7050000}"/>
    <cellStyle name="Millares 2 2 3 17" xfId="1608" xr:uid="{00000000-0005-0000-0000-0000F8050000}"/>
    <cellStyle name="Millares 2 2 3 18" xfId="1609" xr:uid="{00000000-0005-0000-0000-0000F9050000}"/>
    <cellStyle name="Millares 2 2 3 19" xfId="1610" xr:uid="{00000000-0005-0000-0000-0000FA050000}"/>
    <cellStyle name="Millares 2 2 3 2" xfId="1611" xr:uid="{00000000-0005-0000-0000-0000FB050000}"/>
    <cellStyle name="Millares 2 2 3 2 10" xfId="1612" xr:uid="{00000000-0005-0000-0000-0000FC050000}"/>
    <cellStyle name="Millares 2 2 3 2 11" xfId="1613" xr:uid="{00000000-0005-0000-0000-0000FD050000}"/>
    <cellStyle name="Millares 2 2 3 2 12" xfId="1614" xr:uid="{00000000-0005-0000-0000-0000FE050000}"/>
    <cellStyle name="Millares 2 2 3 2 13" xfId="1615" xr:uid="{00000000-0005-0000-0000-0000FF050000}"/>
    <cellStyle name="Millares 2 2 3 2 14" xfId="1616" xr:uid="{00000000-0005-0000-0000-000000060000}"/>
    <cellStyle name="Millares 2 2 3 2 15" xfId="1617" xr:uid="{00000000-0005-0000-0000-000001060000}"/>
    <cellStyle name="Millares 2 2 3 2 16" xfId="1618" xr:uid="{00000000-0005-0000-0000-000002060000}"/>
    <cellStyle name="Millares 2 2 3 2 17" xfId="1619" xr:uid="{00000000-0005-0000-0000-000003060000}"/>
    <cellStyle name="Millares 2 2 3 2 18" xfId="1620" xr:uid="{00000000-0005-0000-0000-000004060000}"/>
    <cellStyle name="Millares 2 2 3 2 19" xfId="1621" xr:uid="{00000000-0005-0000-0000-000005060000}"/>
    <cellStyle name="Millares 2 2 3 2 2" xfId="1622" xr:uid="{00000000-0005-0000-0000-000006060000}"/>
    <cellStyle name="Millares 2 2 3 2 2 10" xfId="1623" xr:uid="{00000000-0005-0000-0000-000007060000}"/>
    <cellStyle name="Millares 2 2 3 2 2 11" xfId="1624" xr:uid="{00000000-0005-0000-0000-000008060000}"/>
    <cellStyle name="Millares 2 2 3 2 2 12" xfId="1625" xr:uid="{00000000-0005-0000-0000-000009060000}"/>
    <cellStyle name="Millares 2 2 3 2 2 13" xfId="1626" xr:uid="{00000000-0005-0000-0000-00000A060000}"/>
    <cellStyle name="Millares 2 2 3 2 2 14" xfId="1627" xr:uid="{00000000-0005-0000-0000-00000B060000}"/>
    <cellStyle name="Millares 2 2 3 2 2 15" xfId="1628" xr:uid="{00000000-0005-0000-0000-00000C060000}"/>
    <cellStyle name="Millares 2 2 3 2 2 16" xfId="1629" xr:uid="{00000000-0005-0000-0000-00000D060000}"/>
    <cellStyle name="Millares 2 2 3 2 2 17" xfId="1630" xr:uid="{00000000-0005-0000-0000-00000E060000}"/>
    <cellStyle name="Millares 2 2 3 2 2 18" xfId="1631" xr:uid="{00000000-0005-0000-0000-00000F060000}"/>
    <cellStyle name="Millares 2 2 3 2 2 19" xfId="1632" xr:uid="{00000000-0005-0000-0000-000010060000}"/>
    <cellStyle name="Millares 2 2 3 2 2 2" xfId="1633" xr:uid="{00000000-0005-0000-0000-000011060000}"/>
    <cellStyle name="Millares 2 2 3 2 2 20" xfId="1634" xr:uid="{00000000-0005-0000-0000-000012060000}"/>
    <cellStyle name="Millares 2 2 3 2 2 3" xfId="1635" xr:uid="{00000000-0005-0000-0000-000013060000}"/>
    <cellStyle name="Millares 2 2 3 2 2 4" xfId="1636" xr:uid="{00000000-0005-0000-0000-000014060000}"/>
    <cellStyle name="Millares 2 2 3 2 2 5" xfId="1637" xr:uid="{00000000-0005-0000-0000-000015060000}"/>
    <cellStyle name="Millares 2 2 3 2 2 6" xfId="1638" xr:uid="{00000000-0005-0000-0000-000016060000}"/>
    <cellStyle name="Millares 2 2 3 2 2 7" xfId="1639" xr:uid="{00000000-0005-0000-0000-000017060000}"/>
    <cellStyle name="Millares 2 2 3 2 2 8" xfId="1640" xr:uid="{00000000-0005-0000-0000-000018060000}"/>
    <cellStyle name="Millares 2 2 3 2 2 9" xfId="1641" xr:uid="{00000000-0005-0000-0000-000019060000}"/>
    <cellStyle name="Millares 2 2 3 2 20" xfId="1642" xr:uid="{00000000-0005-0000-0000-00001A060000}"/>
    <cellStyle name="Millares 2 2 3 2 3" xfId="1643" xr:uid="{00000000-0005-0000-0000-00001B060000}"/>
    <cellStyle name="Millares 2 2 3 2 4" xfId="1644" xr:uid="{00000000-0005-0000-0000-00001C060000}"/>
    <cellStyle name="Millares 2 2 3 2 5" xfId="1645" xr:uid="{00000000-0005-0000-0000-00001D060000}"/>
    <cellStyle name="Millares 2 2 3 2 6" xfId="1646" xr:uid="{00000000-0005-0000-0000-00001E060000}"/>
    <cellStyle name="Millares 2 2 3 2 7" xfId="1647" xr:uid="{00000000-0005-0000-0000-00001F060000}"/>
    <cellStyle name="Millares 2 2 3 2 8" xfId="1648" xr:uid="{00000000-0005-0000-0000-000020060000}"/>
    <cellStyle name="Millares 2 2 3 2 9" xfId="1649" xr:uid="{00000000-0005-0000-0000-000021060000}"/>
    <cellStyle name="Millares 2 2 3 20" xfId="1650" xr:uid="{00000000-0005-0000-0000-000022060000}"/>
    <cellStyle name="Millares 2 2 3 21" xfId="1651" xr:uid="{00000000-0005-0000-0000-000023060000}"/>
    <cellStyle name="Millares 2 2 3 22" xfId="1652" xr:uid="{00000000-0005-0000-0000-000024060000}"/>
    <cellStyle name="Millares 2 2 3 23" xfId="1653" xr:uid="{00000000-0005-0000-0000-000025060000}"/>
    <cellStyle name="Millares 2 2 3 24" xfId="1654" xr:uid="{00000000-0005-0000-0000-000026060000}"/>
    <cellStyle name="Millares 2 2 3 25" xfId="1655" xr:uid="{00000000-0005-0000-0000-000027060000}"/>
    <cellStyle name="Millares 2 2 3 26" xfId="1656" xr:uid="{00000000-0005-0000-0000-000028060000}"/>
    <cellStyle name="Millares 2 2 3 27" xfId="1657" xr:uid="{00000000-0005-0000-0000-000029060000}"/>
    <cellStyle name="Millares 2 2 3 28" xfId="1658" xr:uid="{00000000-0005-0000-0000-00002A060000}"/>
    <cellStyle name="Millares 2 2 3 29" xfId="1659" xr:uid="{00000000-0005-0000-0000-00002B060000}"/>
    <cellStyle name="Millares 2 2 3 3" xfId="1660" xr:uid="{00000000-0005-0000-0000-00002C060000}"/>
    <cellStyle name="Millares 2 2 3 30" xfId="1661" xr:uid="{00000000-0005-0000-0000-00002D060000}"/>
    <cellStyle name="Millares 2 2 3 31" xfId="1662" xr:uid="{00000000-0005-0000-0000-00002E060000}"/>
    <cellStyle name="Millares 2 2 3 32" xfId="1663" xr:uid="{00000000-0005-0000-0000-00002F060000}"/>
    <cellStyle name="Millares 2 2 3 33" xfId="1664" xr:uid="{00000000-0005-0000-0000-000030060000}"/>
    <cellStyle name="Millares 2 2 3 34" xfId="1665" xr:uid="{00000000-0005-0000-0000-000031060000}"/>
    <cellStyle name="Millares 2 2 3 35" xfId="1666" xr:uid="{00000000-0005-0000-0000-000032060000}"/>
    <cellStyle name="Millares 2 2 3 4" xfId="1667" xr:uid="{00000000-0005-0000-0000-000033060000}"/>
    <cellStyle name="Millares 2 2 3 5" xfId="1668" xr:uid="{00000000-0005-0000-0000-000034060000}"/>
    <cellStyle name="Millares 2 2 3 6" xfId="1669" xr:uid="{00000000-0005-0000-0000-000035060000}"/>
    <cellStyle name="Millares 2 2 3 7" xfId="1670" xr:uid="{00000000-0005-0000-0000-000036060000}"/>
    <cellStyle name="Millares 2 2 3 8" xfId="1671" xr:uid="{00000000-0005-0000-0000-000037060000}"/>
    <cellStyle name="Millares 2 2 3 9" xfId="1672" xr:uid="{00000000-0005-0000-0000-000038060000}"/>
    <cellStyle name="Millares 2 2 30" xfId="1673" xr:uid="{00000000-0005-0000-0000-000039060000}"/>
    <cellStyle name="Millares 2 2 31" xfId="1674" xr:uid="{00000000-0005-0000-0000-00003A060000}"/>
    <cellStyle name="Millares 2 2 32" xfId="1675" xr:uid="{00000000-0005-0000-0000-00003B060000}"/>
    <cellStyle name="Millares 2 2 33" xfId="1676" xr:uid="{00000000-0005-0000-0000-00003C060000}"/>
    <cellStyle name="Millares 2 2 34" xfId="1677" xr:uid="{00000000-0005-0000-0000-00003D060000}"/>
    <cellStyle name="Millares 2 2 35" xfId="1678" xr:uid="{00000000-0005-0000-0000-00003E060000}"/>
    <cellStyle name="Millares 2 2 36" xfId="1679" xr:uid="{00000000-0005-0000-0000-00003F060000}"/>
    <cellStyle name="Millares 2 2 37" xfId="1680" xr:uid="{00000000-0005-0000-0000-000040060000}"/>
    <cellStyle name="Millares 2 2 38" xfId="1681" xr:uid="{00000000-0005-0000-0000-000041060000}"/>
    <cellStyle name="Millares 2 2 39" xfId="1682" xr:uid="{00000000-0005-0000-0000-000042060000}"/>
    <cellStyle name="Millares 2 2 39 10" xfId="1683" xr:uid="{00000000-0005-0000-0000-000043060000}"/>
    <cellStyle name="Millares 2 2 39 2" xfId="1684" xr:uid="{00000000-0005-0000-0000-000044060000}"/>
    <cellStyle name="Millares 2 2 39 3" xfId="1685" xr:uid="{00000000-0005-0000-0000-000045060000}"/>
    <cellStyle name="Millares 2 2 39 4" xfId="1686" xr:uid="{00000000-0005-0000-0000-000046060000}"/>
    <cellStyle name="Millares 2 2 39 5" xfId="1687" xr:uid="{00000000-0005-0000-0000-000047060000}"/>
    <cellStyle name="Millares 2 2 39 6" xfId="1688" xr:uid="{00000000-0005-0000-0000-000048060000}"/>
    <cellStyle name="Millares 2 2 39 7" xfId="1689" xr:uid="{00000000-0005-0000-0000-000049060000}"/>
    <cellStyle name="Millares 2 2 39 8" xfId="1690" xr:uid="{00000000-0005-0000-0000-00004A060000}"/>
    <cellStyle name="Millares 2 2 39 9" xfId="1691" xr:uid="{00000000-0005-0000-0000-00004B060000}"/>
    <cellStyle name="Millares 2 2 4" xfId="1692" xr:uid="{00000000-0005-0000-0000-00004C060000}"/>
    <cellStyle name="Millares 2 2 4 10" xfId="1693" xr:uid="{00000000-0005-0000-0000-00004D060000}"/>
    <cellStyle name="Millares 2 2 4 11" xfId="1694" xr:uid="{00000000-0005-0000-0000-00004E060000}"/>
    <cellStyle name="Millares 2 2 4 12" xfId="1695" xr:uid="{00000000-0005-0000-0000-00004F060000}"/>
    <cellStyle name="Millares 2 2 4 13" xfId="1696" xr:uid="{00000000-0005-0000-0000-000050060000}"/>
    <cellStyle name="Millares 2 2 4 14" xfId="1697" xr:uid="{00000000-0005-0000-0000-000051060000}"/>
    <cellStyle name="Millares 2 2 4 15" xfId="1698" xr:uid="{00000000-0005-0000-0000-000052060000}"/>
    <cellStyle name="Millares 2 2 4 16" xfId="1699" xr:uid="{00000000-0005-0000-0000-000053060000}"/>
    <cellStyle name="Millares 2 2 4 17" xfId="1700" xr:uid="{00000000-0005-0000-0000-000054060000}"/>
    <cellStyle name="Millares 2 2 4 18" xfId="1701" xr:uid="{00000000-0005-0000-0000-000055060000}"/>
    <cellStyle name="Millares 2 2 4 19" xfId="1702" xr:uid="{00000000-0005-0000-0000-000056060000}"/>
    <cellStyle name="Millares 2 2 4 2" xfId="1703" xr:uid="{00000000-0005-0000-0000-000057060000}"/>
    <cellStyle name="Millares 2 2 4 2 10" xfId="1704" xr:uid="{00000000-0005-0000-0000-000058060000}"/>
    <cellStyle name="Millares 2 2 4 2 11" xfId="1705" xr:uid="{00000000-0005-0000-0000-000059060000}"/>
    <cellStyle name="Millares 2 2 4 2 12" xfId="1706" xr:uid="{00000000-0005-0000-0000-00005A060000}"/>
    <cellStyle name="Millares 2 2 4 2 13" xfId="1707" xr:uid="{00000000-0005-0000-0000-00005B060000}"/>
    <cellStyle name="Millares 2 2 4 2 14" xfId="1708" xr:uid="{00000000-0005-0000-0000-00005C060000}"/>
    <cellStyle name="Millares 2 2 4 2 15" xfId="1709" xr:uid="{00000000-0005-0000-0000-00005D060000}"/>
    <cellStyle name="Millares 2 2 4 2 16" xfId="1710" xr:uid="{00000000-0005-0000-0000-00005E060000}"/>
    <cellStyle name="Millares 2 2 4 2 17" xfId="1711" xr:uid="{00000000-0005-0000-0000-00005F060000}"/>
    <cellStyle name="Millares 2 2 4 2 18" xfId="1712" xr:uid="{00000000-0005-0000-0000-000060060000}"/>
    <cellStyle name="Millares 2 2 4 2 19" xfId="1713" xr:uid="{00000000-0005-0000-0000-000061060000}"/>
    <cellStyle name="Millares 2 2 4 2 2" xfId="1714" xr:uid="{00000000-0005-0000-0000-000062060000}"/>
    <cellStyle name="Millares 2 2 4 2 20" xfId="1715" xr:uid="{00000000-0005-0000-0000-000063060000}"/>
    <cellStyle name="Millares 2 2 4 2 3" xfId="1716" xr:uid="{00000000-0005-0000-0000-000064060000}"/>
    <cellStyle name="Millares 2 2 4 2 4" xfId="1717" xr:uid="{00000000-0005-0000-0000-000065060000}"/>
    <cellStyle name="Millares 2 2 4 2 5" xfId="1718" xr:uid="{00000000-0005-0000-0000-000066060000}"/>
    <cellStyle name="Millares 2 2 4 2 6" xfId="1719" xr:uid="{00000000-0005-0000-0000-000067060000}"/>
    <cellStyle name="Millares 2 2 4 2 7" xfId="1720" xr:uid="{00000000-0005-0000-0000-000068060000}"/>
    <cellStyle name="Millares 2 2 4 2 8" xfId="1721" xr:uid="{00000000-0005-0000-0000-000069060000}"/>
    <cellStyle name="Millares 2 2 4 2 9" xfId="1722" xr:uid="{00000000-0005-0000-0000-00006A060000}"/>
    <cellStyle name="Millares 2 2 4 20" xfId="1723" xr:uid="{00000000-0005-0000-0000-00006B060000}"/>
    <cellStyle name="Millares 2 2 4 3" xfId="1724" xr:uid="{00000000-0005-0000-0000-00006C060000}"/>
    <cellStyle name="Millares 2 2 4 4" xfId="1725" xr:uid="{00000000-0005-0000-0000-00006D060000}"/>
    <cellStyle name="Millares 2 2 4 5" xfId="1726" xr:uid="{00000000-0005-0000-0000-00006E060000}"/>
    <cellStyle name="Millares 2 2 4 6" xfId="1727" xr:uid="{00000000-0005-0000-0000-00006F060000}"/>
    <cellStyle name="Millares 2 2 4 7" xfId="1728" xr:uid="{00000000-0005-0000-0000-000070060000}"/>
    <cellStyle name="Millares 2 2 4 8" xfId="1729" xr:uid="{00000000-0005-0000-0000-000071060000}"/>
    <cellStyle name="Millares 2 2 4 9" xfId="1730" xr:uid="{00000000-0005-0000-0000-000072060000}"/>
    <cellStyle name="Millares 2 2 40" xfId="1731" xr:uid="{00000000-0005-0000-0000-000073060000}"/>
    <cellStyle name="Millares 2 2 41" xfId="1732" xr:uid="{00000000-0005-0000-0000-000074060000}"/>
    <cellStyle name="Millares 2 2 42" xfId="1733" xr:uid="{00000000-0005-0000-0000-000075060000}"/>
    <cellStyle name="Millares 2 2 43" xfId="1734" xr:uid="{00000000-0005-0000-0000-000076060000}"/>
    <cellStyle name="Millares 2 2 44" xfId="1735" xr:uid="{00000000-0005-0000-0000-000077060000}"/>
    <cellStyle name="Millares 2 2 45" xfId="1736" xr:uid="{00000000-0005-0000-0000-000078060000}"/>
    <cellStyle name="Millares 2 2 46" xfId="1737" xr:uid="{00000000-0005-0000-0000-000079060000}"/>
    <cellStyle name="Millares 2 2 47" xfId="1738" xr:uid="{00000000-0005-0000-0000-00007A060000}"/>
    <cellStyle name="Millares 2 2 48" xfId="1739" xr:uid="{00000000-0005-0000-0000-00007B060000}"/>
    <cellStyle name="Millares 2 2 49" xfId="1112" xr:uid="{00000000-0005-0000-0000-00007C060000}"/>
    <cellStyle name="Millares 2 2 5" xfId="1740" xr:uid="{00000000-0005-0000-0000-00007D060000}"/>
    <cellStyle name="Millares 2 2 6" xfId="1741" xr:uid="{00000000-0005-0000-0000-00007E060000}"/>
    <cellStyle name="Millares 2 2 7" xfId="1742" xr:uid="{00000000-0005-0000-0000-00007F060000}"/>
    <cellStyle name="Millares 2 2 8" xfId="1743" xr:uid="{00000000-0005-0000-0000-000080060000}"/>
    <cellStyle name="Millares 2 2 9" xfId="1744" xr:uid="{00000000-0005-0000-0000-000081060000}"/>
    <cellStyle name="Millares 2 20" xfId="1745" xr:uid="{00000000-0005-0000-0000-000082060000}"/>
    <cellStyle name="Millares 2 21" xfId="1091" xr:uid="{00000000-0005-0000-0000-000083060000}"/>
    <cellStyle name="Millares 2 22" xfId="1746" xr:uid="{00000000-0005-0000-0000-000084060000}"/>
    <cellStyle name="Millares 2 24" xfId="1747" xr:uid="{00000000-0005-0000-0000-000085060000}"/>
    <cellStyle name="Millares 2 26" xfId="1748" xr:uid="{00000000-0005-0000-0000-000086060000}"/>
    <cellStyle name="Millares 2 28" xfId="1749" xr:uid="{00000000-0005-0000-0000-000087060000}"/>
    <cellStyle name="Millares 2 3" xfId="45" xr:uid="{00000000-0005-0000-0000-000088060000}"/>
    <cellStyle name="Millares 2 3 2" xfId="1751" xr:uid="{00000000-0005-0000-0000-000089060000}"/>
    <cellStyle name="Millares 2 3 3" xfId="1752" xr:uid="{00000000-0005-0000-0000-00008A060000}"/>
    <cellStyle name="Millares 2 3 4" xfId="1753" xr:uid="{00000000-0005-0000-0000-00008B060000}"/>
    <cellStyle name="Millares 2 3 5" xfId="1754" xr:uid="{00000000-0005-0000-0000-00008C060000}"/>
    <cellStyle name="Millares 2 3 6" xfId="1755" xr:uid="{00000000-0005-0000-0000-00008D060000}"/>
    <cellStyle name="Millares 2 3 7" xfId="1750" xr:uid="{00000000-0005-0000-0000-00008E060000}"/>
    <cellStyle name="Millares 2 30" xfId="1756" xr:uid="{00000000-0005-0000-0000-00008F060000}"/>
    <cellStyle name="Millares 2 32" xfId="1757" xr:uid="{00000000-0005-0000-0000-000090060000}"/>
    <cellStyle name="Millares 2 34" xfId="1758" xr:uid="{00000000-0005-0000-0000-000091060000}"/>
    <cellStyle name="Millares 2 36" xfId="1759" xr:uid="{00000000-0005-0000-0000-000092060000}"/>
    <cellStyle name="Millares 2 4" xfId="1760" xr:uid="{00000000-0005-0000-0000-000093060000}"/>
    <cellStyle name="Millares 2 4 2" xfId="1761" xr:uid="{00000000-0005-0000-0000-000094060000}"/>
    <cellStyle name="Millares 2 4 3" xfId="1762" xr:uid="{00000000-0005-0000-0000-000095060000}"/>
    <cellStyle name="Millares 2 4 4" xfId="1763" xr:uid="{00000000-0005-0000-0000-000096060000}"/>
    <cellStyle name="Millares 2 4 5" xfId="1764" xr:uid="{00000000-0005-0000-0000-000097060000}"/>
    <cellStyle name="Millares 2 4 6" xfId="1765" xr:uid="{00000000-0005-0000-0000-000098060000}"/>
    <cellStyle name="Millares 2 4 7" xfId="1766" xr:uid="{00000000-0005-0000-0000-000099060000}"/>
    <cellStyle name="Millares 2 4 8" xfId="1767" xr:uid="{00000000-0005-0000-0000-00009A060000}"/>
    <cellStyle name="Millares 2 5" xfId="1768" xr:uid="{00000000-0005-0000-0000-00009B060000}"/>
    <cellStyle name="Millares 2 6" xfId="1769" xr:uid="{00000000-0005-0000-0000-00009C060000}"/>
    <cellStyle name="Millares 2 6 2" xfId="1770" xr:uid="{00000000-0005-0000-0000-00009D060000}"/>
    <cellStyle name="Millares 2 7" xfId="1771" xr:uid="{00000000-0005-0000-0000-00009E060000}"/>
    <cellStyle name="Millares 2 7 2" xfId="1772" xr:uid="{00000000-0005-0000-0000-00009F060000}"/>
    <cellStyle name="Millares 2 7 3" xfId="1773" xr:uid="{00000000-0005-0000-0000-0000A0060000}"/>
    <cellStyle name="Millares 2 8" xfId="1774" xr:uid="{00000000-0005-0000-0000-0000A1060000}"/>
    <cellStyle name="Millares 2 8 2" xfId="1775" xr:uid="{00000000-0005-0000-0000-0000A2060000}"/>
    <cellStyle name="Millares 2 8 3" xfId="1776" xr:uid="{00000000-0005-0000-0000-0000A3060000}"/>
    <cellStyle name="Millares 2 9" xfId="1777" xr:uid="{00000000-0005-0000-0000-0000A4060000}"/>
    <cellStyle name="Millares 2 9 2" xfId="1778" xr:uid="{00000000-0005-0000-0000-0000A5060000}"/>
    <cellStyle name="Millares 2 9 3" xfId="1779" xr:uid="{00000000-0005-0000-0000-0000A6060000}"/>
    <cellStyle name="Millares 20" xfId="1780" xr:uid="{00000000-0005-0000-0000-0000A7060000}"/>
    <cellStyle name="Millares 20 2" xfId="1781" xr:uid="{00000000-0005-0000-0000-0000A8060000}"/>
    <cellStyle name="Millares 21" xfId="1782" xr:uid="{00000000-0005-0000-0000-0000A9060000}"/>
    <cellStyle name="Millares 21 2" xfId="1783" xr:uid="{00000000-0005-0000-0000-0000AA060000}"/>
    <cellStyle name="Millares 22" xfId="1784" xr:uid="{00000000-0005-0000-0000-0000AB060000}"/>
    <cellStyle name="Millares 28" xfId="1785" xr:uid="{00000000-0005-0000-0000-0000AC060000}"/>
    <cellStyle name="Millares 28 10" xfId="1786" xr:uid="{00000000-0005-0000-0000-0000AD060000}"/>
    <cellStyle name="Millares 28 11" xfId="1787" xr:uid="{00000000-0005-0000-0000-0000AE060000}"/>
    <cellStyle name="Millares 28 12" xfId="1788" xr:uid="{00000000-0005-0000-0000-0000AF060000}"/>
    <cellStyle name="Millares 28 13" xfId="1789" xr:uid="{00000000-0005-0000-0000-0000B0060000}"/>
    <cellStyle name="Millares 28 14" xfId="1790" xr:uid="{00000000-0005-0000-0000-0000B1060000}"/>
    <cellStyle name="Millares 28 15" xfId="1791" xr:uid="{00000000-0005-0000-0000-0000B2060000}"/>
    <cellStyle name="Millares 28 16" xfId="1792" xr:uid="{00000000-0005-0000-0000-0000B3060000}"/>
    <cellStyle name="Millares 28 17" xfId="1793" xr:uid="{00000000-0005-0000-0000-0000B4060000}"/>
    <cellStyle name="Millares 28 18" xfId="1794" xr:uid="{00000000-0005-0000-0000-0000B5060000}"/>
    <cellStyle name="Millares 28 19" xfId="1795" xr:uid="{00000000-0005-0000-0000-0000B6060000}"/>
    <cellStyle name="Millares 28 2" xfId="1796" xr:uid="{00000000-0005-0000-0000-0000B7060000}"/>
    <cellStyle name="Millares 28 2 2" xfId="1797" xr:uid="{00000000-0005-0000-0000-0000B8060000}"/>
    <cellStyle name="Millares 28 2 3" xfId="1798" xr:uid="{00000000-0005-0000-0000-0000B9060000}"/>
    <cellStyle name="Millares 28 20" xfId="1799" xr:uid="{00000000-0005-0000-0000-0000BA060000}"/>
    <cellStyle name="Millares 28 21" xfId="1800" xr:uid="{00000000-0005-0000-0000-0000BB060000}"/>
    <cellStyle name="Millares 28 22" xfId="1801" xr:uid="{00000000-0005-0000-0000-0000BC060000}"/>
    <cellStyle name="Millares 28 23" xfId="1802" xr:uid="{00000000-0005-0000-0000-0000BD060000}"/>
    <cellStyle name="Millares 28 24" xfId="1803" xr:uid="{00000000-0005-0000-0000-0000BE060000}"/>
    <cellStyle name="Millares 28 25" xfId="1804" xr:uid="{00000000-0005-0000-0000-0000BF060000}"/>
    <cellStyle name="Millares 28 3" xfId="1805" xr:uid="{00000000-0005-0000-0000-0000C0060000}"/>
    <cellStyle name="Millares 28 3 2" xfId="1806" xr:uid="{00000000-0005-0000-0000-0000C1060000}"/>
    <cellStyle name="Millares 28 3 3" xfId="1807" xr:uid="{00000000-0005-0000-0000-0000C2060000}"/>
    <cellStyle name="Millares 28 4" xfId="1808" xr:uid="{00000000-0005-0000-0000-0000C3060000}"/>
    <cellStyle name="Millares 28 5" xfId="1809" xr:uid="{00000000-0005-0000-0000-0000C4060000}"/>
    <cellStyle name="Millares 28 6" xfId="1810" xr:uid="{00000000-0005-0000-0000-0000C5060000}"/>
    <cellStyle name="Millares 28 7" xfId="1811" xr:uid="{00000000-0005-0000-0000-0000C6060000}"/>
    <cellStyle name="Millares 28 8" xfId="1812" xr:uid="{00000000-0005-0000-0000-0000C7060000}"/>
    <cellStyle name="Millares 28 9" xfId="1813" xr:uid="{00000000-0005-0000-0000-0000C8060000}"/>
    <cellStyle name="Millares 29" xfId="1814" xr:uid="{00000000-0005-0000-0000-0000C9060000}"/>
    <cellStyle name="Millares 29 10" xfId="1815" xr:uid="{00000000-0005-0000-0000-0000CA060000}"/>
    <cellStyle name="Millares 29 11" xfId="1816" xr:uid="{00000000-0005-0000-0000-0000CB060000}"/>
    <cellStyle name="Millares 29 12" xfId="1817" xr:uid="{00000000-0005-0000-0000-0000CC060000}"/>
    <cellStyle name="Millares 29 13" xfId="1818" xr:uid="{00000000-0005-0000-0000-0000CD060000}"/>
    <cellStyle name="Millares 29 14" xfId="1819" xr:uid="{00000000-0005-0000-0000-0000CE060000}"/>
    <cellStyle name="Millares 29 15" xfId="1820" xr:uid="{00000000-0005-0000-0000-0000CF060000}"/>
    <cellStyle name="Millares 29 16" xfId="1821" xr:uid="{00000000-0005-0000-0000-0000D0060000}"/>
    <cellStyle name="Millares 29 17" xfId="1822" xr:uid="{00000000-0005-0000-0000-0000D1060000}"/>
    <cellStyle name="Millares 29 18" xfId="1823" xr:uid="{00000000-0005-0000-0000-0000D2060000}"/>
    <cellStyle name="Millares 29 19" xfId="1824" xr:uid="{00000000-0005-0000-0000-0000D3060000}"/>
    <cellStyle name="Millares 29 2" xfId="1825" xr:uid="{00000000-0005-0000-0000-0000D4060000}"/>
    <cellStyle name="Millares 29 2 2" xfId="1826" xr:uid="{00000000-0005-0000-0000-0000D5060000}"/>
    <cellStyle name="Millares 29 2 3" xfId="1827" xr:uid="{00000000-0005-0000-0000-0000D6060000}"/>
    <cellStyle name="Millares 29 20" xfId="1828" xr:uid="{00000000-0005-0000-0000-0000D7060000}"/>
    <cellStyle name="Millares 29 21" xfId="1829" xr:uid="{00000000-0005-0000-0000-0000D8060000}"/>
    <cellStyle name="Millares 29 22" xfId="1830" xr:uid="{00000000-0005-0000-0000-0000D9060000}"/>
    <cellStyle name="Millares 29 23" xfId="1831" xr:uid="{00000000-0005-0000-0000-0000DA060000}"/>
    <cellStyle name="Millares 29 24" xfId="1832" xr:uid="{00000000-0005-0000-0000-0000DB060000}"/>
    <cellStyle name="Millares 29 25" xfId="1833" xr:uid="{00000000-0005-0000-0000-0000DC060000}"/>
    <cellStyle name="Millares 29 3" xfId="1834" xr:uid="{00000000-0005-0000-0000-0000DD060000}"/>
    <cellStyle name="Millares 29 3 2" xfId="1835" xr:uid="{00000000-0005-0000-0000-0000DE060000}"/>
    <cellStyle name="Millares 29 3 3" xfId="1836" xr:uid="{00000000-0005-0000-0000-0000DF060000}"/>
    <cellStyle name="Millares 29 4" xfId="1837" xr:uid="{00000000-0005-0000-0000-0000E0060000}"/>
    <cellStyle name="Millares 29 5" xfId="1838" xr:uid="{00000000-0005-0000-0000-0000E1060000}"/>
    <cellStyle name="Millares 29 6" xfId="1839" xr:uid="{00000000-0005-0000-0000-0000E2060000}"/>
    <cellStyle name="Millares 29 7" xfId="1840" xr:uid="{00000000-0005-0000-0000-0000E3060000}"/>
    <cellStyle name="Millares 29 8" xfId="1841" xr:uid="{00000000-0005-0000-0000-0000E4060000}"/>
    <cellStyle name="Millares 29 9" xfId="1842" xr:uid="{00000000-0005-0000-0000-0000E5060000}"/>
    <cellStyle name="Millares 3" xfId="46" xr:uid="{00000000-0005-0000-0000-0000E6060000}"/>
    <cellStyle name="Millares 3 10" xfId="1844" xr:uid="{00000000-0005-0000-0000-0000E7060000}"/>
    <cellStyle name="Millares 3 10 10" xfId="1845" xr:uid="{00000000-0005-0000-0000-0000E8060000}"/>
    <cellStyle name="Millares 3 10 11" xfId="1846" xr:uid="{00000000-0005-0000-0000-0000E9060000}"/>
    <cellStyle name="Millares 3 10 12" xfId="1847" xr:uid="{00000000-0005-0000-0000-0000EA060000}"/>
    <cellStyle name="Millares 3 10 13" xfId="1848" xr:uid="{00000000-0005-0000-0000-0000EB060000}"/>
    <cellStyle name="Millares 3 10 14" xfId="1849" xr:uid="{00000000-0005-0000-0000-0000EC060000}"/>
    <cellStyle name="Millares 3 10 15" xfId="1850" xr:uid="{00000000-0005-0000-0000-0000ED060000}"/>
    <cellStyle name="Millares 3 10 16" xfId="1851" xr:uid="{00000000-0005-0000-0000-0000EE060000}"/>
    <cellStyle name="Millares 3 10 17" xfId="1852" xr:uid="{00000000-0005-0000-0000-0000EF060000}"/>
    <cellStyle name="Millares 3 10 18" xfId="1853" xr:uid="{00000000-0005-0000-0000-0000F0060000}"/>
    <cellStyle name="Millares 3 10 19" xfId="1854" xr:uid="{00000000-0005-0000-0000-0000F1060000}"/>
    <cellStyle name="Millares 3 10 2" xfId="1855" xr:uid="{00000000-0005-0000-0000-0000F2060000}"/>
    <cellStyle name="Millares 3 10 2 10" xfId="1856" xr:uid="{00000000-0005-0000-0000-0000F3060000}"/>
    <cellStyle name="Millares 3 10 2 11" xfId="1857" xr:uid="{00000000-0005-0000-0000-0000F4060000}"/>
    <cellStyle name="Millares 3 10 2 12" xfId="1858" xr:uid="{00000000-0005-0000-0000-0000F5060000}"/>
    <cellStyle name="Millares 3 10 2 13" xfId="1859" xr:uid="{00000000-0005-0000-0000-0000F6060000}"/>
    <cellStyle name="Millares 3 10 2 14" xfId="1860" xr:uid="{00000000-0005-0000-0000-0000F7060000}"/>
    <cellStyle name="Millares 3 10 2 15" xfId="1861" xr:uid="{00000000-0005-0000-0000-0000F8060000}"/>
    <cellStyle name="Millares 3 10 2 16" xfId="1862" xr:uid="{00000000-0005-0000-0000-0000F9060000}"/>
    <cellStyle name="Millares 3 10 2 17" xfId="1863" xr:uid="{00000000-0005-0000-0000-0000FA060000}"/>
    <cellStyle name="Millares 3 10 2 2" xfId="1864" xr:uid="{00000000-0005-0000-0000-0000FB060000}"/>
    <cellStyle name="Millares 3 10 2 3" xfId="1865" xr:uid="{00000000-0005-0000-0000-0000FC060000}"/>
    <cellStyle name="Millares 3 10 2 3 2" xfId="1866" xr:uid="{00000000-0005-0000-0000-0000FD060000}"/>
    <cellStyle name="Millares 3 10 2 4" xfId="1867" xr:uid="{00000000-0005-0000-0000-0000FE060000}"/>
    <cellStyle name="Millares 3 10 2 5" xfId="1868" xr:uid="{00000000-0005-0000-0000-0000FF060000}"/>
    <cellStyle name="Millares 3 10 2 6" xfId="1869" xr:uid="{00000000-0005-0000-0000-000000070000}"/>
    <cellStyle name="Millares 3 10 2 7" xfId="1870" xr:uid="{00000000-0005-0000-0000-000001070000}"/>
    <cellStyle name="Millares 3 10 2 8" xfId="1871" xr:uid="{00000000-0005-0000-0000-000002070000}"/>
    <cellStyle name="Millares 3 10 2 9" xfId="1872" xr:uid="{00000000-0005-0000-0000-000003070000}"/>
    <cellStyle name="Millares 3 10 3" xfId="1873" xr:uid="{00000000-0005-0000-0000-000004070000}"/>
    <cellStyle name="Millares 3 10 4" xfId="1874" xr:uid="{00000000-0005-0000-0000-000005070000}"/>
    <cellStyle name="Millares 3 10 5" xfId="1875" xr:uid="{00000000-0005-0000-0000-000006070000}"/>
    <cellStyle name="Millares 3 10 6" xfId="1876" xr:uid="{00000000-0005-0000-0000-000007070000}"/>
    <cellStyle name="Millares 3 10 7" xfId="1877" xr:uid="{00000000-0005-0000-0000-000008070000}"/>
    <cellStyle name="Millares 3 10 8" xfId="1878" xr:uid="{00000000-0005-0000-0000-000009070000}"/>
    <cellStyle name="Millares 3 10 9" xfId="1879" xr:uid="{00000000-0005-0000-0000-00000A070000}"/>
    <cellStyle name="Millares 3 11" xfId="1880" xr:uid="{00000000-0005-0000-0000-00000B070000}"/>
    <cellStyle name="Millares 3 11 10" xfId="1881" xr:uid="{00000000-0005-0000-0000-00000C070000}"/>
    <cellStyle name="Millares 3 11 11" xfId="1882" xr:uid="{00000000-0005-0000-0000-00000D070000}"/>
    <cellStyle name="Millares 3 11 12" xfId="1883" xr:uid="{00000000-0005-0000-0000-00000E070000}"/>
    <cellStyle name="Millares 3 11 13" xfId="1884" xr:uid="{00000000-0005-0000-0000-00000F070000}"/>
    <cellStyle name="Millares 3 11 14" xfId="1885" xr:uid="{00000000-0005-0000-0000-000010070000}"/>
    <cellStyle name="Millares 3 11 15" xfId="1886" xr:uid="{00000000-0005-0000-0000-000011070000}"/>
    <cellStyle name="Millares 3 11 16" xfId="1887" xr:uid="{00000000-0005-0000-0000-000012070000}"/>
    <cellStyle name="Millares 3 11 17" xfId="1888" xr:uid="{00000000-0005-0000-0000-000013070000}"/>
    <cellStyle name="Millares 3 11 18" xfId="1889" xr:uid="{00000000-0005-0000-0000-000014070000}"/>
    <cellStyle name="Millares 3 11 19" xfId="1890" xr:uid="{00000000-0005-0000-0000-000015070000}"/>
    <cellStyle name="Millares 3 11 2" xfId="1891" xr:uid="{00000000-0005-0000-0000-000016070000}"/>
    <cellStyle name="Millares 3 11 2 10" xfId="1892" xr:uid="{00000000-0005-0000-0000-000017070000}"/>
    <cellStyle name="Millares 3 11 2 11" xfId="1893" xr:uid="{00000000-0005-0000-0000-000018070000}"/>
    <cellStyle name="Millares 3 11 2 12" xfId="1894" xr:uid="{00000000-0005-0000-0000-000019070000}"/>
    <cellStyle name="Millares 3 11 2 13" xfId="1895" xr:uid="{00000000-0005-0000-0000-00001A070000}"/>
    <cellStyle name="Millares 3 11 2 14" xfId="1896" xr:uid="{00000000-0005-0000-0000-00001B070000}"/>
    <cellStyle name="Millares 3 11 2 15" xfId="1897" xr:uid="{00000000-0005-0000-0000-00001C070000}"/>
    <cellStyle name="Millares 3 11 2 16" xfId="1898" xr:uid="{00000000-0005-0000-0000-00001D070000}"/>
    <cellStyle name="Millares 3 11 2 17" xfId="1899" xr:uid="{00000000-0005-0000-0000-00001E070000}"/>
    <cellStyle name="Millares 3 11 2 2" xfId="1900" xr:uid="{00000000-0005-0000-0000-00001F070000}"/>
    <cellStyle name="Millares 3 11 2 3" xfId="1901" xr:uid="{00000000-0005-0000-0000-000020070000}"/>
    <cellStyle name="Millares 3 11 2 3 2" xfId="1902" xr:uid="{00000000-0005-0000-0000-000021070000}"/>
    <cellStyle name="Millares 3 11 2 4" xfId="1903" xr:uid="{00000000-0005-0000-0000-000022070000}"/>
    <cellStyle name="Millares 3 11 2 5" xfId="1904" xr:uid="{00000000-0005-0000-0000-000023070000}"/>
    <cellStyle name="Millares 3 11 2 6" xfId="1905" xr:uid="{00000000-0005-0000-0000-000024070000}"/>
    <cellStyle name="Millares 3 11 2 7" xfId="1906" xr:uid="{00000000-0005-0000-0000-000025070000}"/>
    <cellStyle name="Millares 3 11 2 8" xfId="1907" xr:uid="{00000000-0005-0000-0000-000026070000}"/>
    <cellStyle name="Millares 3 11 2 9" xfId="1908" xr:uid="{00000000-0005-0000-0000-000027070000}"/>
    <cellStyle name="Millares 3 11 3" xfId="1909" xr:uid="{00000000-0005-0000-0000-000028070000}"/>
    <cellStyle name="Millares 3 11 4" xfId="1910" xr:uid="{00000000-0005-0000-0000-000029070000}"/>
    <cellStyle name="Millares 3 11 5" xfId="1911" xr:uid="{00000000-0005-0000-0000-00002A070000}"/>
    <cellStyle name="Millares 3 11 6" xfId="1912" xr:uid="{00000000-0005-0000-0000-00002B070000}"/>
    <cellStyle name="Millares 3 11 7" xfId="1913" xr:uid="{00000000-0005-0000-0000-00002C070000}"/>
    <cellStyle name="Millares 3 11 8" xfId="1914" xr:uid="{00000000-0005-0000-0000-00002D070000}"/>
    <cellStyle name="Millares 3 11 9" xfId="1915" xr:uid="{00000000-0005-0000-0000-00002E070000}"/>
    <cellStyle name="Millares 3 12" xfId="1916" xr:uid="{00000000-0005-0000-0000-00002F070000}"/>
    <cellStyle name="Millares 3 12 10" xfId="1917" xr:uid="{00000000-0005-0000-0000-000030070000}"/>
    <cellStyle name="Millares 3 12 11" xfId="1918" xr:uid="{00000000-0005-0000-0000-000031070000}"/>
    <cellStyle name="Millares 3 12 12" xfId="1919" xr:uid="{00000000-0005-0000-0000-000032070000}"/>
    <cellStyle name="Millares 3 12 13" xfId="1920" xr:uid="{00000000-0005-0000-0000-000033070000}"/>
    <cellStyle name="Millares 3 12 14" xfId="1921" xr:uid="{00000000-0005-0000-0000-000034070000}"/>
    <cellStyle name="Millares 3 12 15" xfId="1922" xr:uid="{00000000-0005-0000-0000-000035070000}"/>
    <cellStyle name="Millares 3 12 16" xfId="1923" xr:uid="{00000000-0005-0000-0000-000036070000}"/>
    <cellStyle name="Millares 3 12 17" xfId="1924" xr:uid="{00000000-0005-0000-0000-000037070000}"/>
    <cellStyle name="Millares 3 12 2" xfId="1925" xr:uid="{00000000-0005-0000-0000-000038070000}"/>
    <cellStyle name="Millares 3 12 3" xfId="1926" xr:uid="{00000000-0005-0000-0000-000039070000}"/>
    <cellStyle name="Millares 3 12 3 2" xfId="1927" xr:uid="{00000000-0005-0000-0000-00003A070000}"/>
    <cellStyle name="Millares 3 12 4" xfId="1928" xr:uid="{00000000-0005-0000-0000-00003B070000}"/>
    <cellStyle name="Millares 3 12 5" xfId="1929" xr:uid="{00000000-0005-0000-0000-00003C070000}"/>
    <cellStyle name="Millares 3 12 6" xfId="1930" xr:uid="{00000000-0005-0000-0000-00003D070000}"/>
    <cellStyle name="Millares 3 12 7" xfId="1931" xr:uid="{00000000-0005-0000-0000-00003E070000}"/>
    <cellStyle name="Millares 3 12 8" xfId="1932" xr:uid="{00000000-0005-0000-0000-00003F070000}"/>
    <cellStyle name="Millares 3 12 9" xfId="1933" xr:uid="{00000000-0005-0000-0000-000040070000}"/>
    <cellStyle name="Millares 3 13" xfId="1934" xr:uid="{00000000-0005-0000-0000-000041070000}"/>
    <cellStyle name="Millares 3 13 10" xfId="1935" xr:uid="{00000000-0005-0000-0000-000042070000}"/>
    <cellStyle name="Millares 3 13 11" xfId="1936" xr:uid="{00000000-0005-0000-0000-000043070000}"/>
    <cellStyle name="Millares 3 13 12" xfId="1937" xr:uid="{00000000-0005-0000-0000-000044070000}"/>
    <cellStyle name="Millares 3 13 13" xfId="1938" xr:uid="{00000000-0005-0000-0000-000045070000}"/>
    <cellStyle name="Millares 3 13 14" xfId="1939" xr:uid="{00000000-0005-0000-0000-000046070000}"/>
    <cellStyle name="Millares 3 13 15" xfId="1940" xr:uid="{00000000-0005-0000-0000-000047070000}"/>
    <cellStyle name="Millares 3 13 16" xfId="1941" xr:uid="{00000000-0005-0000-0000-000048070000}"/>
    <cellStyle name="Millares 3 13 17" xfId="1942" xr:uid="{00000000-0005-0000-0000-000049070000}"/>
    <cellStyle name="Millares 3 13 2" xfId="1943" xr:uid="{00000000-0005-0000-0000-00004A070000}"/>
    <cellStyle name="Millares 3 13 3" xfId="1944" xr:uid="{00000000-0005-0000-0000-00004B070000}"/>
    <cellStyle name="Millares 3 13 3 2" xfId="1945" xr:uid="{00000000-0005-0000-0000-00004C070000}"/>
    <cellStyle name="Millares 3 13 4" xfId="1946" xr:uid="{00000000-0005-0000-0000-00004D070000}"/>
    <cellStyle name="Millares 3 13 5" xfId="1947" xr:uid="{00000000-0005-0000-0000-00004E070000}"/>
    <cellStyle name="Millares 3 13 6" xfId="1948" xr:uid="{00000000-0005-0000-0000-00004F070000}"/>
    <cellStyle name="Millares 3 13 7" xfId="1949" xr:uid="{00000000-0005-0000-0000-000050070000}"/>
    <cellStyle name="Millares 3 13 8" xfId="1950" xr:uid="{00000000-0005-0000-0000-000051070000}"/>
    <cellStyle name="Millares 3 13 9" xfId="1951" xr:uid="{00000000-0005-0000-0000-000052070000}"/>
    <cellStyle name="Millares 3 14" xfId="1952" xr:uid="{00000000-0005-0000-0000-000053070000}"/>
    <cellStyle name="Millares 3 14 10" xfId="1953" xr:uid="{00000000-0005-0000-0000-000054070000}"/>
    <cellStyle name="Millares 3 14 11" xfId="1954" xr:uid="{00000000-0005-0000-0000-000055070000}"/>
    <cellStyle name="Millares 3 14 12" xfId="1955" xr:uid="{00000000-0005-0000-0000-000056070000}"/>
    <cellStyle name="Millares 3 14 13" xfId="1956" xr:uid="{00000000-0005-0000-0000-000057070000}"/>
    <cellStyle name="Millares 3 14 14" xfId="1957" xr:uid="{00000000-0005-0000-0000-000058070000}"/>
    <cellStyle name="Millares 3 14 15" xfId="1958" xr:uid="{00000000-0005-0000-0000-000059070000}"/>
    <cellStyle name="Millares 3 14 16" xfId="1959" xr:uid="{00000000-0005-0000-0000-00005A070000}"/>
    <cellStyle name="Millares 3 14 17" xfId="1960" xr:uid="{00000000-0005-0000-0000-00005B070000}"/>
    <cellStyle name="Millares 3 14 2" xfId="1961" xr:uid="{00000000-0005-0000-0000-00005C070000}"/>
    <cellStyle name="Millares 3 14 3" xfId="1962" xr:uid="{00000000-0005-0000-0000-00005D070000}"/>
    <cellStyle name="Millares 3 14 3 2" xfId="1963" xr:uid="{00000000-0005-0000-0000-00005E070000}"/>
    <cellStyle name="Millares 3 14 4" xfId="1964" xr:uid="{00000000-0005-0000-0000-00005F070000}"/>
    <cellStyle name="Millares 3 14 5" xfId="1965" xr:uid="{00000000-0005-0000-0000-000060070000}"/>
    <cellStyle name="Millares 3 14 6" xfId="1966" xr:uid="{00000000-0005-0000-0000-000061070000}"/>
    <cellStyle name="Millares 3 14 7" xfId="1967" xr:uid="{00000000-0005-0000-0000-000062070000}"/>
    <cellStyle name="Millares 3 14 8" xfId="1968" xr:uid="{00000000-0005-0000-0000-000063070000}"/>
    <cellStyle name="Millares 3 14 9" xfId="1969" xr:uid="{00000000-0005-0000-0000-000064070000}"/>
    <cellStyle name="Millares 3 15" xfId="1970" xr:uid="{00000000-0005-0000-0000-000065070000}"/>
    <cellStyle name="Millares 3 16" xfId="1971" xr:uid="{00000000-0005-0000-0000-000066070000}"/>
    <cellStyle name="Millares 3 17" xfId="1972" xr:uid="{00000000-0005-0000-0000-000067070000}"/>
    <cellStyle name="Millares 3 18" xfId="1973" xr:uid="{00000000-0005-0000-0000-000068070000}"/>
    <cellStyle name="Millares 3 19" xfId="1974" xr:uid="{00000000-0005-0000-0000-000069070000}"/>
    <cellStyle name="Millares 3 2" xfId="1975" xr:uid="{00000000-0005-0000-0000-00006A070000}"/>
    <cellStyle name="Millares 3 2 10" xfId="1976" xr:uid="{00000000-0005-0000-0000-00006B070000}"/>
    <cellStyle name="Millares 3 2 11" xfId="1977" xr:uid="{00000000-0005-0000-0000-00006C070000}"/>
    <cellStyle name="Millares 3 2 12" xfId="1978" xr:uid="{00000000-0005-0000-0000-00006D070000}"/>
    <cellStyle name="Millares 3 2 13" xfId="1979" xr:uid="{00000000-0005-0000-0000-00006E070000}"/>
    <cellStyle name="Millares 3 2 14" xfId="1980" xr:uid="{00000000-0005-0000-0000-00006F070000}"/>
    <cellStyle name="Millares 3 2 15" xfId="1981" xr:uid="{00000000-0005-0000-0000-000070070000}"/>
    <cellStyle name="Millares 3 2 16" xfId="1982" xr:uid="{00000000-0005-0000-0000-000071070000}"/>
    <cellStyle name="Millares 3 2 17" xfId="1983" xr:uid="{00000000-0005-0000-0000-000072070000}"/>
    <cellStyle name="Millares 3 2 18" xfId="1984" xr:uid="{00000000-0005-0000-0000-000073070000}"/>
    <cellStyle name="Millares 3 2 19" xfId="1985" xr:uid="{00000000-0005-0000-0000-000074070000}"/>
    <cellStyle name="Millares 3 2 2" xfId="1986" xr:uid="{00000000-0005-0000-0000-000075070000}"/>
    <cellStyle name="Millares 3 2 2 10" xfId="1987" xr:uid="{00000000-0005-0000-0000-000076070000}"/>
    <cellStyle name="Millares 3 2 2 11" xfId="1988" xr:uid="{00000000-0005-0000-0000-000077070000}"/>
    <cellStyle name="Millares 3 2 2 12" xfId="1989" xr:uid="{00000000-0005-0000-0000-000078070000}"/>
    <cellStyle name="Millares 3 2 2 13" xfId="1990" xr:uid="{00000000-0005-0000-0000-000079070000}"/>
    <cellStyle name="Millares 3 2 2 14" xfId="1991" xr:uid="{00000000-0005-0000-0000-00007A070000}"/>
    <cellStyle name="Millares 3 2 2 15" xfId="1992" xr:uid="{00000000-0005-0000-0000-00007B070000}"/>
    <cellStyle name="Millares 3 2 2 16" xfId="1993" xr:uid="{00000000-0005-0000-0000-00007C070000}"/>
    <cellStyle name="Millares 3 2 2 17" xfId="1994" xr:uid="{00000000-0005-0000-0000-00007D070000}"/>
    <cellStyle name="Millares 3 2 2 18" xfId="1995" xr:uid="{00000000-0005-0000-0000-00007E070000}"/>
    <cellStyle name="Millares 3 2 2 2" xfId="1996" xr:uid="{00000000-0005-0000-0000-00007F070000}"/>
    <cellStyle name="Millares 3 2 2 2 2" xfId="1997" xr:uid="{00000000-0005-0000-0000-000080070000}"/>
    <cellStyle name="Millares 3 2 2 2 2 2" xfId="1998" xr:uid="{00000000-0005-0000-0000-000081070000}"/>
    <cellStyle name="Millares 3 2 2 2 2 2 2" xfId="1999" xr:uid="{00000000-0005-0000-0000-000082070000}"/>
    <cellStyle name="Millares 3 2 2 2 2 2 2 2" xfId="2000" xr:uid="{00000000-0005-0000-0000-000083070000}"/>
    <cellStyle name="Millares 3 2 2 2 2 2 2 3" xfId="2001" xr:uid="{00000000-0005-0000-0000-000084070000}"/>
    <cellStyle name="Millares 3 2 2 2 2 2 3" xfId="2002" xr:uid="{00000000-0005-0000-0000-000085070000}"/>
    <cellStyle name="Millares 3 2 2 2 2 3" xfId="2003" xr:uid="{00000000-0005-0000-0000-000086070000}"/>
    <cellStyle name="Millares 3 2 2 2 2 4" xfId="2004" xr:uid="{00000000-0005-0000-0000-000087070000}"/>
    <cellStyle name="Millares 3 2 2 2 2 5" xfId="2005" xr:uid="{00000000-0005-0000-0000-000088070000}"/>
    <cellStyle name="Millares 3 2 2 2 3" xfId="2006" xr:uid="{00000000-0005-0000-0000-000089070000}"/>
    <cellStyle name="Millares 3 2 2 2 4" xfId="2007" xr:uid="{00000000-0005-0000-0000-00008A070000}"/>
    <cellStyle name="Millares 3 2 2 2 5" xfId="2008" xr:uid="{00000000-0005-0000-0000-00008B070000}"/>
    <cellStyle name="Millares 3 2 2 3" xfId="2009" xr:uid="{00000000-0005-0000-0000-00008C070000}"/>
    <cellStyle name="Millares 3 2 2 4" xfId="2010" xr:uid="{00000000-0005-0000-0000-00008D070000}"/>
    <cellStyle name="Millares 3 2 2 5" xfId="2011" xr:uid="{00000000-0005-0000-0000-00008E070000}"/>
    <cellStyle name="Millares 3 2 2 5 10" xfId="2012" xr:uid="{00000000-0005-0000-0000-00008F070000}"/>
    <cellStyle name="Millares 3 2 2 5 11" xfId="2013" xr:uid="{00000000-0005-0000-0000-000090070000}"/>
    <cellStyle name="Millares 3 2 2 5 12" xfId="2014" xr:uid="{00000000-0005-0000-0000-000091070000}"/>
    <cellStyle name="Millares 3 2 2 5 13" xfId="2015" xr:uid="{00000000-0005-0000-0000-000092070000}"/>
    <cellStyle name="Millares 3 2 2 5 14" xfId="2016" xr:uid="{00000000-0005-0000-0000-000093070000}"/>
    <cellStyle name="Millares 3 2 2 5 15" xfId="2017" xr:uid="{00000000-0005-0000-0000-000094070000}"/>
    <cellStyle name="Millares 3 2 2 5 16" xfId="2018" xr:uid="{00000000-0005-0000-0000-000095070000}"/>
    <cellStyle name="Millares 3 2 2 5 17" xfId="2019" xr:uid="{00000000-0005-0000-0000-000096070000}"/>
    <cellStyle name="Millares 3 2 2 5 18" xfId="2020" xr:uid="{00000000-0005-0000-0000-000097070000}"/>
    <cellStyle name="Millares 3 2 2 5 2" xfId="2021" xr:uid="{00000000-0005-0000-0000-000098070000}"/>
    <cellStyle name="Millares 3 2 2 5 2 10" xfId="2022" xr:uid="{00000000-0005-0000-0000-000099070000}"/>
    <cellStyle name="Millares 3 2 2 5 2 11" xfId="2023" xr:uid="{00000000-0005-0000-0000-00009A070000}"/>
    <cellStyle name="Millares 3 2 2 5 2 12" xfId="2024" xr:uid="{00000000-0005-0000-0000-00009B070000}"/>
    <cellStyle name="Millares 3 2 2 5 2 13" xfId="2025" xr:uid="{00000000-0005-0000-0000-00009C070000}"/>
    <cellStyle name="Millares 3 2 2 5 2 14" xfId="2026" xr:uid="{00000000-0005-0000-0000-00009D070000}"/>
    <cellStyle name="Millares 3 2 2 5 2 15" xfId="2027" xr:uid="{00000000-0005-0000-0000-00009E070000}"/>
    <cellStyle name="Millares 3 2 2 5 2 2" xfId="2028" xr:uid="{00000000-0005-0000-0000-00009F070000}"/>
    <cellStyle name="Millares 3 2 2 5 2 2 2" xfId="2029" xr:uid="{00000000-0005-0000-0000-0000A0070000}"/>
    <cellStyle name="Millares 3 2 2 5 2 2 3" xfId="2030" xr:uid="{00000000-0005-0000-0000-0000A1070000}"/>
    <cellStyle name="Millares 3 2 2 5 2 2 4" xfId="2031" xr:uid="{00000000-0005-0000-0000-0000A2070000}"/>
    <cellStyle name="Millares 3 2 2 5 2 2 5" xfId="2032" xr:uid="{00000000-0005-0000-0000-0000A3070000}"/>
    <cellStyle name="Millares 3 2 2 5 2 2 6" xfId="2033" xr:uid="{00000000-0005-0000-0000-0000A4070000}"/>
    <cellStyle name="Millares 3 2 2 5 2 3" xfId="2034" xr:uid="{00000000-0005-0000-0000-0000A5070000}"/>
    <cellStyle name="Millares 3 2 2 5 2 4" xfId="2035" xr:uid="{00000000-0005-0000-0000-0000A6070000}"/>
    <cellStyle name="Millares 3 2 2 5 2 5" xfId="2036" xr:uid="{00000000-0005-0000-0000-0000A7070000}"/>
    <cellStyle name="Millares 3 2 2 5 2 6" xfId="2037" xr:uid="{00000000-0005-0000-0000-0000A8070000}"/>
    <cellStyle name="Millares 3 2 2 5 2 7" xfId="2038" xr:uid="{00000000-0005-0000-0000-0000A9070000}"/>
    <cellStyle name="Millares 3 2 2 5 2 8" xfId="2039" xr:uid="{00000000-0005-0000-0000-0000AA070000}"/>
    <cellStyle name="Millares 3 2 2 5 2 9" xfId="2040" xr:uid="{00000000-0005-0000-0000-0000AB070000}"/>
    <cellStyle name="Millares 3 2 2 5 3" xfId="2041" xr:uid="{00000000-0005-0000-0000-0000AC070000}"/>
    <cellStyle name="Millares 3 2 2 5 3 10" xfId="2042" xr:uid="{00000000-0005-0000-0000-0000AD070000}"/>
    <cellStyle name="Millares 3 2 2 5 3 2" xfId="2043" xr:uid="{00000000-0005-0000-0000-0000AE070000}"/>
    <cellStyle name="Millares 3 2 2 5 3 3" xfId="2044" xr:uid="{00000000-0005-0000-0000-0000AF070000}"/>
    <cellStyle name="Millares 3 2 2 5 3 4" xfId="2045" xr:uid="{00000000-0005-0000-0000-0000B0070000}"/>
    <cellStyle name="Millares 3 2 2 5 3 5" xfId="2046" xr:uid="{00000000-0005-0000-0000-0000B1070000}"/>
    <cellStyle name="Millares 3 2 2 5 3 6" xfId="2047" xr:uid="{00000000-0005-0000-0000-0000B2070000}"/>
    <cellStyle name="Millares 3 2 2 5 3 7" xfId="2048" xr:uid="{00000000-0005-0000-0000-0000B3070000}"/>
    <cellStyle name="Millares 3 2 2 5 3 8" xfId="2049" xr:uid="{00000000-0005-0000-0000-0000B4070000}"/>
    <cellStyle name="Millares 3 2 2 5 3 9" xfId="2050" xr:uid="{00000000-0005-0000-0000-0000B5070000}"/>
    <cellStyle name="Millares 3 2 2 5 4" xfId="2051" xr:uid="{00000000-0005-0000-0000-0000B6070000}"/>
    <cellStyle name="Millares 3 2 2 5 5" xfId="2052" xr:uid="{00000000-0005-0000-0000-0000B7070000}"/>
    <cellStyle name="Millares 3 2 2 5 6" xfId="2053" xr:uid="{00000000-0005-0000-0000-0000B8070000}"/>
    <cellStyle name="Millares 3 2 2 5 7" xfId="2054" xr:uid="{00000000-0005-0000-0000-0000B9070000}"/>
    <cellStyle name="Millares 3 2 2 5 8" xfId="2055" xr:uid="{00000000-0005-0000-0000-0000BA070000}"/>
    <cellStyle name="Millares 3 2 2 5 9" xfId="2056" xr:uid="{00000000-0005-0000-0000-0000BB070000}"/>
    <cellStyle name="Millares 3 2 2 6" xfId="2057" xr:uid="{00000000-0005-0000-0000-0000BC070000}"/>
    <cellStyle name="Millares 3 2 2 7" xfId="2058" xr:uid="{00000000-0005-0000-0000-0000BD070000}"/>
    <cellStyle name="Millares 3 2 2 8" xfId="2059" xr:uid="{00000000-0005-0000-0000-0000BE070000}"/>
    <cellStyle name="Millares 3 2 2 9" xfId="2060" xr:uid="{00000000-0005-0000-0000-0000BF070000}"/>
    <cellStyle name="Millares 3 2 20" xfId="2061" xr:uid="{00000000-0005-0000-0000-0000C0070000}"/>
    <cellStyle name="Millares 3 2 21" xfId="2062" xr:uid="{00000000-0005-0000-0000-0000C1070000}"/>
    <cellStyle name="Millares 3 2 22" xfId="2063" xr:uid="{00000000-0005-0000-0000-0000C2070000}"/>
    <cellStyle name="Millares 3 2 23" xfId="2064" xr:uid="{00000000-0005-0000-0000-0000C3070000}"/>
    <cellStyle name="Millares 3 2 24" xfId="2065" xr:uid="{00000000-0005-0000-0000-0000C4070000}"/>
    <cellStyle name="Millares 3 2 3" xfId="2066" xr:uid="{00000000-0005-0000-0000-0000C5070000}"/>
    <cellStyle name="Millares 3 2 4" xfId="2067" xr:uid="{00000000-0005-0000-0000-0000C6070000}"/>
    <cellStyle name="Millares 3 2 5" xfId="2068" xr:uid="{00000000-0005-0000-0000-0000C7070000}"/>
    <cellStyle name="Millares 3 2 6" xfId="2069" xr:uid="{00000000-0005-0000-0000-0000C8070000}"/>
    <cellStyle name="Millares 3 2 7" xfId="2070" xr:uid="{00000000-0005-0000-0000-0000C9070000}"/>
    <cellStyle name="Millares 3 2 8" xfId="2071" xr:uid="{00000000-0005-0000-0000-0000CA070000}"/>
    <cellStyle name="Millares 3 2 9" xfId="2072" xr:uid="{00000000-0005-0000-0000-0000CB070000}"/>
    <cellStyle name="Millares 3 20" xfId="2073" xr:uid="{00000000-0005-0000-0000-0000CC070000}"/>
    <cellStyle name="Millares 3 21" xfId="2074" xr:uid="{00000000-0005-0000-0000-0000CD070000}"/>
    <cellStyle name="Millares 3 22" xfId="2075" xr:uid="{00000000-0005-0000-0000-0000CE070000}"/>
    <cellStyle name="Millares 3 23" xfId="2076" xr:uid="{00000000-0005-0000-0000-0000CF070000}"/>
    <cellStyle name="Millares 3 24" xfId="2077" xr:uid="{00000000-0005-0000-0000-0000D0070000}"/>
    <cellStyle name="Millares 3 25" xfId="2078" xr:uid="{00000000-0005-0000-0000-0000D1070000}"/>
    <cellStyle name="Millares 3 26" xfId="2079" xr:uid="{00000000-0005-0000-0000-0000D2070000}"/>
    <cellStyle name="Millares 3 27" xfId="2080" xr:uid="{00000000-0005-0000-0000-0000D3070000}"/>
    <cellStyle name="Millares 3 28" xfId="2081" xr:uid="{00000000-0005-0000-0000-0000D4070000}"/>
    <cellStyle name="Millares 3 29" xfId="2082" xr:uid="{00000000-0005-0000-0000-0000D5070000}"/>
    <cellStyle name="Millares 3 3" xfId="2083" xr:uid="{00000000-0005-0000-0000-0000D6070000}"/>
    <cellStyle name="Millares 3 30" xfId="2084" xr:uid="{00000000-0005-0000-0000-0000D7070000}"/>
    <cellStyle name="Millares 3 31" xfId="1843" xr:uid="{00000000-0005-0000-0000-0000D8070000}"/>
    <cellStyle name="Millares 3 4" xfId="2085" xr:uid="{00000000-0005-0000-0000-0000D9070000}"/>
    <cellStyle name="Millares 3 5" xfId="2086" xr:uid="{00000000-0005-0000-0000-0000DA070000}"/>
    <cellStyle name="Millares 3 6" xfId="2087" xr:uid="{00000000-0005-0000-0000-0000DB070000}"/>
    <cellStyle name="Millares 3 7" xfId="2088" xr:uid="{00000000-0005-0000-0000-0000DC070000}"/>
    <cellStyle name="Millares 3 8" xfId="2089" xr:uid="{00000000-0005-0000-0000-0000DD070000}"/>
    <cellStyle name="Millares 3 9" xfId="2090" xr:uid="{00000000-0005-0000-0000-0000DE070000}"/>
    <cellStyle name="Millares 30" xfId="2091" xr:uid="{00000000-0005-0000-0000-0000DF070000}"/>
    <cellStyle name="Millares 30 10" xfId="2092" xr:uid="{00000000-0005-0000-0000-0000E0070000}"/>
    <cellStyle name="Millares 30 11" xfId="2093" xr:uid="{00000000-0005-0000-0000-0000E1070000}"/>
    <cellStyle name="Millares 30 12" xfId="2094" xr:uid="{00000000-0005-0000-0000-0000E2070000}"/>
    <cellStyle name="Millares 30 13" xfId="2095" xr:uid="{00000000-0005-0000-0000-0000E3070000}"/>
    <cellStyle name="Millares 30 14" xfId="2096" xr:uid="{00000000-0005-0000-0000-0000E4070000}"/>
    <cellStyle name="Millares 30 15" xfId="2097" xr:uid="{00000000-0005-0000-0000-0000E5070000}"/>
    <cellStyle name="Millares 30 16" xfId="2098" xr:uid="{00000000-0005-0000-0000-0000E6070000}"/>
    <cellStyle name="Millares 30 17" xfId="2099" xr:uid="{00000000-0005-0000-0000-0000E7070000}"/>
    <cellStyle name="Millares 30 18" xfId="2100" xr:uid="{00000000-0005-0000-0000-0000E8070000}"/>
    <cellStyle name="Millares 30 19" xfId="2101" xr:uid="{00000000-0005-0000-0000-0000E9070000}"/>
    <cellStyle name="Millares 30 2" xfId="2102" xr:uid="{00000000-0005-0000-0000-0000EA070000}"/>
    <cellStyle name="Millares 30 2 2" xfId="2103" xr:uid="{00000000-0005-0000-0000-0000EB070000}"/>
    <cellStyle name="Millares 30 2 3" xfId="2104" xr:uid="{00000000-0005-0000-0000-0000EC070000}"/>
    <cellStyle name="Millares 30 20" xfId="2105" xr:uid="{00000000-0005-0000-0000-0000ED070000}"/>
    <cellStyle name="Millares 30 21" xfId="2106" xr:uid="{00000000-0005-0000-0000-0000EE070000}"/>
    <cellStyle name="Millares 30 22" xfId="2107" xr:uid="{00000000-0005-0000-0000-0000EF070000}"/>
    <cellStyle name="Millares 30 23" xfId="2108" xr:uid="{00000000-0005-0000-0000-0000F0070000}"/>
    <cellStyle name="Millares 30 24" xfId="2109" xr:uid="{00000000-0005-0000-0000-0000F1070000}"/>
    <cellStyle name="Millares 30 25" xfId="2110" xr:uid="{00000000-0005-0000-0000-0000F2070000}"/>
    <cellStyle name="Millares 30 3" xfId="2111" xr:uid="{00000000-0005-0000-0000-0000F3070000}"/>
    <cellStyle name="Millares 30 3 2" xfId="2112" xr:uid="{00000000-0005-0000-0000-0000F4070000}"/>
    <cellStyle name="Millares 30 3 3" xfId="2113" xr:uid="{00000000-0005-0000-0000-0000F5070000}"/>
    <cellStyle name="Millares 30 4" xfId="2114" xr:uid="{00000000-0005-0000-0000-0000F6070000}"/>
    <cellStyle name="Millares 30 5" xfId="2115" xr:uid="{00000000-0005-0000-0000-0000F7070000}"/>
    <cellStyle name="Millares 30 6" xfId="2116" xr:uid="{00000000-0005-0000-0000-0000F8070000}"/>
    <cellStyle name="Millares 30 7" xfId="2117" xr:uid="{00000000-0005-0000-0000-0000F9070000}"/>
    <cellStyle name="Millares 30 8" xfId="2118" xr:uid="{00000000-0005-0000-0000-0000FA070000}"/>
    <cellStyle name="Millares 30 9" xfId="2119" xr:uid="{00000000-0005-0000-0000-0000FB070000}"/>
    <cellStyle name="Millares 4" xfId="2120" xr:uid="{00000000-0005-0000-0000-0000FC070000}"/>
    <cellStyle name="Millares 4 2" xfId="2121" xr:uid="{00000000-0005-0000-0000-0000FD070000}"/>
    <cellStyle name="Millares 4 3" xfId="2122" xr:uid="{00000000-0005-0000-0000-0000FE070000}"/>
    <cellStyle name="Millares 5" xfId="2123" xr:uid="{00000000-0005-0000-0000-0000FF070000}"/>
    <cellStyle name="Millares 5 10" xfId="2124" xr:uid="{00000000-0005-0000-0000-000000080000}"/>
    <cellStyle name="Millares 5 11" xfId="2125" xr:uid="{00000000-0005-0000-0000-000001080000}"/>
    <cellStyle name="Millares 5 12" xfId="2126" xr:uid="{00000000-0005-0000-0000-000002080000}"/>
    <cellStyle name="Millares 5 13" xfId="2127" xr:uid="{00000000-0005-0000-0000-000003080000}"/>
    <cellStyle name="Millares 5 14" xfId="2128" xr:uid="{00000000-0005-0000-0000-000004080000}"/>
    <cellStyle name="Millares 5 15" xfId="2129" xr:uid="{00000000-0005-0000-0000-000005080000}"/>
    <cellStyle name="Millares 5 16" xfId="2130" xr:uid="{00000000-0005-0000-0000-000006080000}"/>
    <cellStyle name="Millares 5 17" xfId="2131" xr:uid="{00000000-0005-0000-0000-000007080000}"/>
    <cellStyle name="Millares 5 18" xfId="2132" xr:uid="{00000000-0005-0000-0000-000008080000}"/>
    <cellStyle name="Millares 5 19" xfId="2133" xr:uid="{00000000-0005-0000-0000-000009080000}"/>
    <cellStyle name="Millares 5 2" xfId="2134" xr:uid="{00000000-0005-0000-0000-00000A080000}"/>
    <cellStyle name="Millares 5 2 2" xfId="2135" xr:uid="{00000000-0005-0000-0000-00000B080000}"/>
    <cellStyle name="Millares 5 20" xfId="2136" xr:uid="{00000000-0005-0000-0000-00000C080000}"/>
    <cellStyle name="Millares 5 21" xfId="2137" xr:uid="{00000000-0005-0000-0000-00000D080000}"/>
    <cellStyle name="Millares 5 22" xfId="2138" xr:uid="{00000000-0005-0000-0000-00000E080000}"/>
    <cellStyle name="Millares 5 23" xfId="2139" xr:uid="{00000000-0005-0000-0000-00000F080000}"/>
    <cellStyle name="Millares 5 24" xfId="2140" xr:uid="{00000000-0005-0000-0000-000010080000}"/>
    <cellStyle name="Millares 5 25" xfId="2141" xr:uid="{00000000-0005-0000-0000-000011080000}"/>
    <cellStyle name="Millares 5 26" xfId="2142" xr:uid="{00000000-0005-0000-0000-000012080000}"/>
    <cellStyle name="Millares 5 3" xfId="2143" xr:uid="{00000000-0005-0000-0000-000013080000}"/>
    <cellStyle name="Millares 5 4" xfId="2144" xr:uid="{00000000-0005-0000-0000-000014080000}"/>
    <cellStyle name="Millares 5 5" xfId="2145" xr:uid="{00000000-0005-0000-0000-000015080000}"/>
    <cellStyle name="Millares 5 6" xfId="2146" xr:uid="{00000000-0005-0000-0000-000016080000}"/>
    <cellStyle name="Millares 5 7" xfId="2147" xr:uid="{00000000-0005-0000-0000-000017080000}"/>
    <cellStyle name="Millares 5 8" xfId="2148" xr:uid="{00000000-0005-0000-0000-000018080000}"/>
    <cellStyle name="Millares 5 9" xfId="2149" xr:uid="{00000000-0005-0000-0000-000019080000}"/>
    <cellStyle name="Millares 6" xfId="2150" xr:uid="{00000000-0005-0000-0000-00001A080000}"/>
    <cellStyle name="Millares 6 2" xfId="2151" xr:uid="{00000000-0005-0000-0000-00001B080000}"/>
    <cellStyle name="Millares 7" xfId="2152" xr:uid="{00000000-0005-0000-0000-00001C080000}"/>
    <cellStyle name="Millares 7 10" xfId="2153" xr:uid="{00000000-0005-0000-0000-00001D080000}"/>
    <cellStyle name="Millares 7 11" xfId="2154" xr:uid="{00000000-0005-0000-0000-00001E080000}"/>
    <cellStyle name="Millares 7 12" xfId="2155" xr:uid="{00000000-0005-0000-0000-00001F080000}"/>
    <cellStyle name="Millares 7 13" xfId="2156" xr:uid="{00000000-0005-0000-0000-000020080000}"/>
    <cellStyle name="Millares 7 14" xfId="2157" xr:uid="{00000000-0005-0000-0000-000021080000}"/>
    <cellStyle name="Millares 7 15" xfId="2158" xr:uid="{00000000-0005-0000-0000-000022080000}"/>
    <cellStyle name="Millares 7 16" xfId="2159" xr:uid="{00000000-0005-0000-0000-000023080000}"/>
    <cellStyle name="Millares 7 17" xfId="2160" xr:uid="{00000000-0005-0000-0000-000024080000}"/>
    <cellStyle name="Millares 7 18" xfId="2161" xr:uid="{00000000-0005-0000-0000-000025080000}"/>
    <cellStyle name="Millares 7 19" xfId="2162" xr:uid="{00000000-0005-0000-0000-000026080000}"/>
    <cellStyle name="Millares 7 2" xfId="2163" xr:uid="{00000000-0005-0000-0000-000027080000}"/>
    <cellStyle name="Millares 7 20" xfId="2164" xr:uid="{00000000-0005-0000-0000-000028080000}"/>
    <cellStyle name="Millares 7 21" xfId="2165" xr:uid="{00000000-0005-0000-0000-000029080000}"/>
    <cellStyle name="Millares 7 22" xfId="2166" xr:uid="{00000000-0005-0000-0000-00002A080000}"/>
    <cellStyle name="Millares 7 23" xfId="2167" xr:uid="{00000000-0005-0000-0000-00002B080000}"/>
    <cellStyle name="Millares 7 24" xfId="2168" xr:uid="{00000000-0005-0000-0000-00002C080000}"/>
    <cellStyle name="Millares 7 3" xfId="2169" xr:uid="{00000000-0005-0000-0000-00002D080000}"/>
    <cellStyle name="Millares 7 4" xfId="2170" xr:uid="{00000000-0005-0000-0000-00002E080000}"/>
    <cellStyle name="Millares 7 5" xfId="2171" xr:uid="{00000000-0005-0000-0000-00002F080000}"/>
    <cellStyle name="Millares 7 6" xfId="2172" xr:uid="{00000000-0005-0000-0000-000030080000}"/>
    <cellStyle name="Millares 7 7" xfId="2173" xr:uid="{00000000-0005-0000-0000-000031080000}"/>
    <cellStyle name="Millares 7 8" xfId="2174" xr:uid="{00000000-0005-0000-0000-000032080000}"/>
    <cellStyle name="Millares 7 9" xfId="2175" xr:uid="{00000000-0005-0000-0000-000033080000}"/>
    <cellStyle name="Millares 8" xfId="2176" xr:uid="{00000000-0005-0000-0000-000034080000}"/>
    <cellStyle name="Millares 8 10" xfId="2177" xr:uid="{00000000-0005-0000-0000-000035080000}"/>
    <cellStyle name="Millares 8 11" xfId="2178" xr:uid="{00000000-0005-0000-0000-000036080000}"/>
    <cellStyle name="Millares 8 12" xfId="2179" xr:uid="{00000000-0005-0000-0000-000037080000}"/>
    <cellStyle name="Millares 8 13" xfId="2180" xr:uid="{00000000-0005-0000-0000-000038080000}"/>
    <cellStyle name="Millares 8 14" xfId="2181" xr:uid="{00000000-0005-0000-0000-000039080000}"/>
    <cellStyle name="Millares 8 15" xfId="2182" xr:uid="{00000000-0005-0000-0000-00003A080000}"/>
    <cellStyle name="Millares 8 16" xfId="2183" xr:uid="{00000000-0005-0000-0000-00003B080000}"/>
    <cellStyle name="Millares 8 17" xfId="2184" xr:uid="{00000000-0005-0000-0000-00003C080000}"/>
    <cellStyle name="Millares 8 18" xfId="2185" xr:uid="{00000000-0005-0000-0000-00003D080000}"/>
    <cellStyle name="Millares 8 19" xfId="2186" xr:uid="{00000000-0005-0000-0000-00003E080000}"/>
    <cellStyle name="Millares 8 2" xfId="2187" xr:uid="{00000000-0005-0000-0000-00003F080000}"/>
    <cellStyle name="Millares 8 20" xfId="2188" xr:uid="{00000000-0005-0000-0000-000040080000}"/>
    <cellStyle name="Millares 8 21" xfId="2189" xr:uid="{00000000-0005-0000-0000-000041080000}"/>
    <cellStyle name="Millares 8 22" xfId="2190" xr:uid="{00000000-0005-0000-0000-000042080000}"/>
    <cellStyle name="Millares 8 23" xfId="2191" xr:uid="{00000000-0005-0000-0000-000043080000}"/>
    <cellStyle name="Millares 8 24" xfId="2192" xr:uid="{00000000-0005-0000-0000-000044080000}"/>
    <cellStyle name="Millares 8 3" xfId="2193" xr:uid="{00000000-0005-0000-0000-000045080000}"/>
    <cellStyle name="Millares 8 4" xfId="2194" xr:uid="{00000000-0005-0000-0000-000046080000}"/>
    <cellStyle name="Millares 8 5" xfId="2195" xr:uid="{00000000-0005-0000-0000-000047080000}"/>
    <cellStyle name="Millares 8 6" xfId="2196" xr:uid="{00000000-0005-0000-0000-000048080000}"/>
    <cellStyle name="Millares 8 7" xfId="2197" xr:uid="{00000000-0005-0000-0000-000049080000}"/>
    <cellStyle name="Millares 8 8" xfId="2198" xr:uid="{00000000-0005-0000-0000-00004A080000}"/>
    <cellStyle name="Millares 8 9" xfId="2199" xr:uid="{00000000-0005-0000-0000-00004B080000}"/>
    <cellStyle name="Millares 9" xfId="2200" xr:uid="{00000000-0005-0000-0000-00004C080000}"/>
    <cellStyle name="Moneda" xfId="5" builtinId="4"/>
    <cellStyle name="Moneda 2" xfId="6" xr:uid="{00000000-0005-0000-0000-00004E080000}"/>
    <cellStyle name="Moneda 2 10" xfId="31" xr:uid="{00000000-0005-0000-0000-00004F080000}"/>
    <cellStyle name="Moneda 2 10 2" xfId="75" xr:uid="{00000000-0005-0000-0000-000050080000}"/>
    <cellStyle name="Moneda 2 2" xfId="2201" xr:uid="{00000000-0005-0000-0000-000051080000}"/>
    <cellStyle name="Moneda 2 2 2" xfId="47" xr:uid="{00000000-0005-0000-0000-000052080000}"/>
    <cellStyle name="Moneda 2 2 2 2" xfId="2202" xr:uid="{00000000-0005-0000-0000-000053080000}"/>
    <cellStyle name="Moneda 2 2 3" xfId="2203" xr:uid="{00000000-0005-0000-0000-000054080000}"/>
    <cellStyle name="Moneda 2 3" xfId="2204" xr:uid="{00000000-0005-0000-0000-000055080000}"/>
    <cellStyle name="Moneda 2 3 2" xfId="2205" xr:uid="{00000000-0005-0000-0000-000056080000}"/>
    <cellStyle name="Moneda 2 4" xfId="2206" xr:uid="{00000000-0005-0000-0000-000057080000}"/>
    <cellStyle name="Moneda 2 4 2" xfId="2207" xr:uid="{00000000-0005-0000-0000-000058080000}"/>
    <cellStyle name="Moneda 2 5" xfId="2208" xr:uid="{00000000-0005-0000-0000-000059080000}"/>
    <cellStyle name="Moneda 2 5 2" xfId="2209" xr:uid="{00000000-0005-0000-0000-00005A080000}"/>
    <cellStyle name="Moneda 2 6" xfId="2210" xr:uid="{00000000-0005-0000-0000-00005B080000}"/>
    <cellStyle name="Moneda 2 6 2" xfId="2211" xr:uid="{00000000-0005-0000-0000-00005C080000}"/>
    <cellStyle name="Moneda 2 7" xfId="2212" xr:uid="{00000000-0005-0000-0000-00005D080000}"/>
    <cellStyle name="Moneda 2 7 2" xfId="2213" xr:uid="{00000000-0005-0000-0000-00005E080000}"/>
    <cellStyle name="Moneda 2 8" xfId="2214" xr:uid="{00000000-0005-0000-0000-00005F080000}"/>
    <cellStyle name="Moneda 2 8 2" xfId="2215" xr:uid="{00000000-0005-0000-0000-000060080000}"/>
    <cellStyle name="Moneda 2 9" xfId="2216" xr:uid="{00000000-0005-0000-0000-000061080000}"/>
    <cellStyle name="Moneda 26" xfId="2217" xr:uid="{00000000-0005-0000-0000-000062080000}"/>
    <cellStyle name="Moneda 26 2" xfId="2218" xr:uid="{00000000-0005-0000-0000-000063080000}"/>
    <cellStyle name="Moneda 26 2 2" xfId="2219" xr:uid="{00000000-0005-0000-0000-000064080000}"/>
    <cellStyle name="Moneda 26 2 3" xfId="2220" xr:uid="{00000000-0005-0000-0000-000065080000}"/>
    <cellStyle name="Moneda 26 3" xfId="2221" xr:uid="{00000000-0005-0000-0000-000066080000}"/>
    <cellStyle name="Moneda 26 3 2" xfId="2222" xr:uid="{00000000-0005-0000-0000-000067080000}"/>
    <cellStyle name="Moneda 26 3 3" xfId="2223" xr:uid="{00000000-0005-0000-0000-000068080000}"/>
    <cellStyle name="Moneda 26 4" xfId="2224" xr:uid="{00000000-0005-0000-0000-000069080000}"/>
    <cellStyle name="Moneda 3" xfId="48" xr:uid="{00000000-0005-0000-0000-00006A080000}"/>
    <cellStyle name="Moneda 3 2" xfId="2226" xr:uid="{00000000-0005-0000-0000-00006B080000}"/>
    <cellStyle name="Moneda 3 3" xfId="2227" xr:uid="{00000000-0005-0000-0000-00006C080000}"/>
    <cellStyle name="Moneda 3 4" xfId="2228" xr:uid="{00000000-0005-0000-0000-00006D080000}"/>
    <cellStyle name="Moneda 3 5" xfId="2229" xr:uid="{00000000-0005-0000-0000-00006E080000}"/>
    <cellStyle name="Moneda 3 6" xfId="2230" xr:uid="{00000000-0005-0000-0000-00006F080000}"/>
    <cellStyle name="Moneda 3 7" xfId="80" xr:uid="{00000000-0005-0000-0000-000070080000}"/>
    <cellStyle name="Moneda 3 7 2" xfId="2231" xr:uid="{00000000-0005-0000-0000-000071080000}"/>
    <cellStyle name="Moneda 3 8" xfId="2232" xr:uid="{00000000-0005-0000-0000-000072080000}"/>
    <cellStyle name="Moneda 3 9" xfId="2225" xr:uid="{00000000-0005-0000-0000-000073080000}"/>
    <cellStyle name="Moneda 4" xfId="32" xr:uid="{00000000-0005-0000-0000-000074080000}"/>
    <cellStyle name="Moneda 4 2" xfId="49" xr:uid="{00000000-0005-0000-0000-000075080000}"/>
    <cellStyle name="Moneda 4 3" xfId="76" xr:uid="{00000000-0005-0000-0000-000076080000}"/>
    <cellStyle name="Moneda 4 4" xfId="2233" xr:uid="{00000000-0005-0000-0000-000077080000}"/>
    <cellStyle name="Moneda 5" xfId="74" xr:uid="{00000000-0005-0000-0000-000078080000}"/>
    <cellStyle name="Moneda 6" xfId="78" xr:uid="{00000000-0005-0000-0000-000079080000}"/>
    <cellStyle name="Neutral 2" xfId="2234" xr:uid="{00000000-0005-0000-0000-00007A080000}"/>
    <cellStyle name="Neutral 3" xfId="2235" xr:uid="{00000000-0005-0000-0000-00007B080000}"/>
    <cellStyle name="Neutral 4" xfId="2236" xr:uid="{00000000-0005-0000-0000-00007C080000}"/>
    <cellStyle name="Normal" xfId="0" builtinId="0"/>
    <cellStyle name="Normal 10" xfId="33" xr:uid="{00000000-0005-0000-0000-00007E080000}"/>
    <cellStyle name="Normal 10 10" xfId="2238" xr:uid="{00000000-0005-0000-0000-00007F080000}"/>
    <cellStyle name="Normal 10 11" xfId="2239" xr:uid="{00000000-0005-0000-0000-000080080000}"/>
    <cellStyle name="Normal 10 12" xfId="2240" xr:uid="{00000000-0005-0000-0000-000081080000}"/>
    <cellStyle name="Normal 10 13" xfId="2241" xr:uid="{00000000-0005-0000-0000-000082080000}"/>
    <cellStyle name="Normal 10 14" xfId="2242" xr:uid="{00000000-0005-0000-0000-000083080000}"/>
    <cellStyle name="Normal 10 15" xfId="2243" xr:uid="{00000000-0005-0000-0000-000084080000}"/>
    <cellStyle name="Normal 10 16" xfId="2244" xr:uid="{00000000-0005-0000-0000-000085080000}"/>
    <cellStyle name="Normal 10 17" xfId="2245" xr:uid="{00000000-0005-0000-0000-000086080000}"/>
    <cellStyle name="Normal 10 18" xfId="2246" xr:uid="{00000000-0005-0000-0000-000087080000}"/>
    <cellStyle name="Normal 10 19" xfId="2247" xr:uid="{00000000-0005-0000-0000-000088080000}"/>
    <cellStyle name="Normal 10 2" xfId="2248" xr:uid="{00000000-0005-0000-0000-000089080000}"/>
    <cellStyle name="Normal 10 2 10" xfId="11" xr:uid="{00000000-0005-0000-0000-00008A080000}"/>
    <cellStyle name="Normal 10 2 10 10" xfId="2250" xr:uid="{00000000-0005-0000-0000-00008B080000}"/>
    <cellStyle name="Normal 10 2 10 10 10" xfId="2251" xr:uid="{00000000-0005-0000-0000-00008C080000}"/>
    <cellStyle name="Normal 10 2 10 10 11" xfId="2252" xr:uid="{00000000-0005-0000-0000-00008D080000}"/>
    <cellStyle name="Normal 10 2 10 10 12" xfId="2253" xr:uid="{00000000-0005-0000-0000-00008E080000}"/>
    <cellStyle name="Normal 10 2 10 10 13" xfId="2254" xr:uid="{00000000-0005-0000-0000-00008F080000}"/>
    <cellStyle name="Normal 10 2 10 10 14" xfId="2255" xr:uid="{00000000-0005-0000-0000-000090080000}"/>
    <cellStyle name="Normal 10 2 10 10 2" xfId="2256" xr:uid="{00000000-0005-0000-0000-000091080000}"/>
    <cellStyle name="Normal 10 2 10 10 2 10" xfId="2257" xr:uid="{00000000-0005-0000-0000-000092080000}"/>
    <cellStyle name="Normal 10 2 10 10 2 2" xfId="2258" xr:uid="{00000000-0005-0000-0000-000093080000}"/>
    <cellStyle name="Normal 10 2 10 10 2 3" xfId="2259" xr:uid="{00000000-0005-0000-0000-000094080000}"/>
    <cellStyle name="Normal 10 2 10 10 2 4" xfId="2260" xr:uid="{00000000-0005-0000-0000-000095080000}"/>
    <cellStyle name="Normal 10 2 10 10 2 5" xfId="2261" xr:uid="{00000000-0005-0000-0000-000096080000}"/>
    <cellStyle name="Normal 10 2 10 10 2 6" xfId="2262" xr:uid="{00000000-0005-0000-0000-000097080000}"/>
    <cellStyle name="Normal 10 2 10 10 2 7" xfId="2263" xr:uid="{00000000-0005-0000-0000-000098080000}"/>
    <cellStyle name="Normal 10 2 10 10 2 8" xfId="2264" xr:uid="{00000000-0005-0000-0000-000099080000}"/>
    <cellStyle name="Normal 10 2 10 10 2 9" xfId="2265" xr:uid="{00000000-0005-0000-0000-00009A080000}"/>
    <cellStyle name="Normal 10 2 10 10 3" xfId="2266" xr:uid="{00000000-0005-0000-0000-00009B080000}"/>
    <cellStyle name="Normal 10 2 10 10 3 10" xfId="2267" xr:uid="{00000000-0005-0000-0000-00009C080000}"/>
    <cellStyle name="Normal 10 2 10 10 3 2" xfId="2268" xr:uid="{00000000-0005-0000-0000-00009D080000}"/>
    <cellStyle name="Normal 10 2 10 10 3 3" xfId="2269" xr:uid="{00000000-0005-0000-0000-00009E080000}"/>
    <cellStyle name="Normal 10 2 10 10 3 4" xfId="2270" xr:uid="{00000000-0005-0000-0000-00009F080000}"/>
    <cellStyle name="Normal 10 2 10 10 3 5" xfId="2271" xr:uid="{00000000-0005-0000-0000-0000A0080000}"/>
    <cellStyle name="Normal 10 2 10 10 3 6" xfId="2272" xr:uid="{00000000-0005-0000-0000-0000A1080000}"/>
    <cellStyle name="Normal 10 2 10 10 3 7" xfId="2273" xr:uid="{00000000-0005-0000-0000-0000A2080000}"/>
    <cellStyle name="Normal 10 2 10 10 3 8" xfId="2274" xr:uid="{00000000-0005-0000-0000-0000A3080000}"/>
    <cellStyle name="Normal 10 2 10 10 3 9" xfId="2275" xr:uid="{00000000-0005-0000-0000-0000A4080000}"/>
    <cellStyle name="Normal 10 2 10 10 4" xfId="2276" xr:uid="{00000000-0005-0000-0000-0000A5080000}"/>
    <cellStyle name="Normal 10 2 10 10 4 10" xfId="2277" xr:uid="{00000000-0005-0000-0000-0000A6080000}"/>
    <cellStyle name="Normal 10 2 10 10 4 2" xfId="2278" xr:uid="{00000000-0005-0000-0000-0000A7080000}"/>
    <cellStyle name="Normal 10 2 10 10 4 3" xfId="2279" xr:uid="{00000000-0005-0000-0000-0000A8080000}"/>
    <cellStyle name="Normal 10 2 10 10 4 4" xfId="2280" xr:uid="{00000000-0005-0000-0000-0000A9080000}"/>
    <cellStyle name="Normal 10 2 10 10 4 5" xfId="2281" xr:uid="{00000000-0005-0000-0000-0000AA080000}"/>
    <cellStyle name="Normal 10 2 10 10 4 6" xfId="2282" xr:uid="{00000000-0005-0000-0000-0000AB080000}"/>
    <cellStyle name="Normal 10 2 10 10 4 7" xfId="2283" xr:uid="{00000000-0005-0000-0000-0000AC080000}"/>
    <cellStyle name="Normal 10 2 10 10 4 8" xfId="2284" xr:uid="{00000000-0005-0000-0000-0000AD080000}"/>
    <cellStyle name="Normal 10 2 10 10 4 9" xfId="2285" xr:uid="{00000000-0005-0000-0000-0000AE080000}"/>
    <cellStyle name="Normal 10 2 10 10 5" xfId="2286" xr:uid="{00000000-0005-0000-0000-0000AF080000}"/>
    <cellStyle name="Normal 10 2 10 10 5 10" xfId="2287" xr:uid="{00000000-0005-0000-0000-0000B0080000}"/>
    <cellStyle name="Normal 10 2 10 10 5 2" xfId="2288" xr:uid="{00000000-0005-0000-0000-0000B1080000}"/>
    <cellStyle name="Normal 10 2 10 10 5 3" xfId="2289" xr:uid="{00000000-0005-0000-0000-0000B2080000}"/>
    <cellStyle name="Normal 10 2 10 10 5 4" xfId="2290" xr:uid="{00000000-0005-0000-0000-0000B3080000}"/>
    <cellStyle name="Normal 10 2 10 10 5 5" xfId="2291" xr:uid="{00000000-0005-0000-0000-0000B4080000}"/>
    <cellStyle name="Normal 10 2 10 10 5 6" xfId="2292" xr:uid="{00000000-0005-0000-0000-0000B5080000}"/>
    <cellStyle name="Normal 10 2 10 10 5 7" xfId="2293" xr:uid="{00000000-0005-0000-0000-0000B6080000}"/>
    <cellStyle name="Normal 10 2 10 10 5 8" xfId="2294" xr:uid="{00000000-0005-0000-0000-0000B7080000}"/>
    <cellStyle name="Normal 10 2 10 10 5 9" xfId="2295" xr:uid="{00000000-0005-0000-0000-0000B8080000}"/>
    <cellStyle name="Normal 10 2 10 10 6" xfId="2296" xr:uid="{00000000-0005-0000-0000-0000B9080000}"/>
    <cellStyle name="Normal 10 2 10 10 7" xfId="2297" xr:uid="{00000000-0005-0000-0000-0000BA080000}"/>
    <cellStyle name="Normal 10 2 10 10 8" xfId="2298" xr:uid="{00000000-0005-0000-0000-0000BB080000}"/>
    <cellStyle name="Normal 10 2 10 10 9" xfId="2299" xr:uid="{00000000-0005-0000-0000-0000BC080000}"/>
    <cellStyle name="Normal 10 2 10 11" xfId="2300" xr:uid="{00000000-0005-0000-0000-0000BD080000}"/>
    <cellStyle name="Normal 10 2 10 11 10" xfId="2301" xr:uid="{00000000-0005-0000-0000-0000BE080000}"/>
    <cellStyle name="Normal 10 2 10 11 11" xfId="2302" xr:uid="{00000000-0005-0000-0000-0000BF080000}"/>
    <cellStyle name="Normal 10 2 10 11 12" xfId="2303" xr:uid="{00000000-0005-0000-0000-0000C0080000}"/>
    <cellStyle name="Normal 10 2 10 11 13" xfId="2304" xr:uid="{00000000-0005-0000-0000-0000C1080000}"/>
    <cellStyle name="Normal 10 2 10 11 14" xfId="2305" xr:uid="{00000000-0005-0000-0000-0000C2080000}"/>
    <cellStyle name="Normal 10 2 10 11 2" xfId="2306" xr:uid="{00000000-0005-0000-0000-0000C3080000}"/>
    <cellStyle name="Normal 10 2 10 11 2 10" xfId="2307" xr:uid="{00000000-0005-0000-0000-0000C4080000}"/>
    <cellStyle name="Normal 10 2 10 11 2 2" xfId="2308" xr:uid="{00000000-0005-0000-0000-0000C5080000}"/>
    <cellStyle name="Normal 10 2 10 11 2 3" xfId="2309" xr:uid="{00000000-0005-0000-0000-0000C6080000}"/>
    <cellStyle name="Normal 10 2 10 11 2 4" xfId="2310" xr:uid="{00000000-0005-0000-0000-0000C7080000}"/>
    <cellStyle name="Normal 10 2 10 11 2 5" xfId="2311" xr:uid="{00000000-0005-0000-0000-0000C8080000}"/>
    <cellStyle name="Normal 10 2 10 11 2 6" xfId="2312" xr:uid="{00000000-0005-0000-0000-0000C9080000}"/>
    <cellStyle name="Normal 10 2 10 11 2 7" xfId="2313" xr:uid="{00000000-0005-0000-0000-0000CA080000}"/>
    <cellStyle name="Normal 10 2 10 11 2 8" xfId="2314" xr:uid="{00000000-0005-0000-0000-0000CB080000}"/>
    <cellStyle name="Normal 10 2 10 11 2 9" xfId="2315" xr:uid="{00000000-0005-0000-0000-0000CC080000}"/>
    <cellStyle name="Normal 10 2 10 11 3" xfId="2316" xr:uid="{00000000-0005-0000-0000-0000CD080000}"/>
    <cellStyle name="Normal 10 2 10 11 3 10" xfId="2317" xr:uid="{00000000-0005-0000-0000-0000CE080000}"/>
    <cellStyle name="Normal 10 2 10 11 3 2" xfId="2318" xr:uid="{00000000-0005-0000-0000-0000CF080000}"/>
    <cellStyle name="Normal 10 2 10 11 3 3" xfId="2319" xr:uid="{00000000-0005-0000-0000-0000D0080000}"/>
    <cellStyle name="Normal 10 2 10 11 3 4" xfId="2320" xr:uid="{00000000-0005-0000-0000-0000D1080000}"/>
    <cellStyle name="Normal 10 2 10 11 3 5" xfId="2321" xr:uid="{00000000-0005-0000-0000-0000D2080000}"/>
    <cellStyle name="Normal 10 2 10 11 3 6" xfId="2322" xr:uid="{00000000-0005-0000-0000-0000D3080000}"/>
    <cellStyle name="Normal 10 2 10 11 3 7" xfId="2323" xr:uid="{00000000-0005-0000-0000-0000D4080000}"/>
    <cellStyle name="Normal 10 2 10 11 3 8" xfId="2324" xr:uid="{00000000-0005-0000-0000-0000D5080000}"/>
    <cellStyle name="Normal 10 2 10 11 3 9" xfId="2325" xr:uid="{00000000-0005-0000-0000-0000D6080000}"/>
    <cellStyle name="Normal 10 2 10 11 4" xfId="2326" xr:uid="{00000000-0005-0000-0000-0000D7080000}"/>
    <cellStyle name="Normal 10 2 10 11 4 10" xfId="2327" xr:uid="{00000000-0005-0000-0000-0000D8080000}"/>
    <cellStyle name="Normal 10 2 10 11 4 2" xfId="2328" xr:uid="{00000000-0005-0000-0000-0000D9080000}"/>
    <cellStyle name="Normal 10 2 10 11 4 3" xfId="2329" xr:uid="{00000000-0005-0000-0000-0000DA080000}"/>
    <cellStyle name="Normal 10 2 10 11 4 4" xfId="2330" xr:uid="{00000000-0005-0000-0000-0000DB080000}"/>
    <cellStyle name="Normal 10 2 10 11 4 5" xfId="2331" xr:uid="{00000000-0005-0000-0000-0000DC080000}"/>
    <cellStyle name="Normal 10 2 10 11 4 6" xfId="2332" xr:uid="{00000000-0005-0000-0000-0000DD080000}"/>
    <cellStyle name="Normal 10 2 10 11 4 7" xfId="2333" xr:uid="{00000000-0005-0000-0000-0000DE080000}"/>
    <cellStyle name="Normal 10 2 10 11 4 8" xfId="2334" xr:uid="{00000000-0005-0000-0000-0000DF080000}"/>
    <cellStyle name="Normal 10 2 10 11 4 9" xfId="2335" xr:uid="{00000000-0005-0000-0000-0000E0080000}"/>
    <cellStyle name="Normal 10 2 10 11 5" xfId="2336" xr:uid="{00000000-0005-0000-0000-0000E1080000}"/>
    <cellStyle name="Normal 10 2 10 11 5 10" xfId="2337" xr:uid="{00000000-0005-0000-0000-0000E2080000}"/>
    <cellStyle name="Normal 10 2 10 11 5 2" xfId="2338" xr:uid="{00000000-0005-0000-0000-0000E3080000}"/>
    <cellStyle name="Normal 10 2 10 11 5 3" xfId="2339" xr:uid="{00000000-0005-0000-0000-0000E4080000}"/>
    <cellStyle name="Normal 10 2 10 11 5 4" xfId="2340" xr:uid="{00000000-0005-0000-0000-0000E5080000}"/>
    <cellStyle name="Normal 10 2 10 11 5 5" xfId="2341" xr:uid="{00000000-0005-0000-0000-0000E6080000}"/>
    <cellStyle name="Normal 10 2 10 11 5 6" xfId="2342" xr:uid="{00000000-0005-0000-0000-0000E7080000}"/>
    <cellStyle name="Normal 10 2 10 11 5 7" xfId="2343" xr:uid="{00000000-0005-0000-0000-0000E8080000}"/>
    <cellStyle name="Normal 10 2 10 11 5 8" xfId="2344" xr:uid="{00000000-0005-0000-0000-0000E9080000}"/>
    <cellStyle name="Normal 10 2 10 11 5 9" xfId="2345" xr:uid="{00000000-0005-0000-0000-0000EA080000}"/>
    <cellStyle name="Normal 10 2 10 11 6" xfId="2346" xr:uid="{00000000-0005-0000-0000-0000EB080000}"/>
    <cellStyle name="Normal 10 2 10 11 7" xfId="2347" xr:uid="{00000000-0005-0000-0000-0000EC080000}"/>
    <cellStyle name="Normal 10 2 10 11 8" xfId="2348" xr:uid="{00000000-0005-0000-0000-0000ED080000}"/>
    <cellStyle name="Normal 10 2 10 11 9" xfId="2349" xr:uid="{00000000-0005-0000-0000-0000EE080000}"/>
    <cellStyle name="Normal 10 2 10 12" xfId="2350" xr:uid="{00000000-0005-0000-0000-0000EF080000}"/>
    <cellStyle name="Normal 10 2 10 12 10" xfId="2351" xr:uid="{00000000-0005-0000-0000-0000F0080000}"/>
    <cellStyle name="Normal 10 2 10 12 11" xfId="2352" xr:uid="{00000000-0005-0000-0000-0000F1080000}"/>
    <cellStyle name="Normal 10 2 10 12 12" xfId="2353" xr:uid="{00000000-0005-0000-0000-0000F2080000}"/>
    <cellStyle name="Normal 10 2 10 12 13" xfId="2354" xr:uid="{00000000-0005-0000-0000-0000F3080000}"/>
    <cellStyle name="Normal 10 2 10 12 14" xfId="2355" xr:uid="{00000000-0005-0000-0000-0000F4080000}"/>
    <cellStyle name="Normal 10 2 10 12 2" xfId="2356" xr:uid="{00000000-0005-0000-0000-0000F5080000}"/>
    <cellStyle name="Normal 10 2 10 12 2 10" xfId="2357" xr:uid="{00000000-0005-0000-0000-0000F6080000}"/>
    <cellStyle name="Normal 10 2 10 12 2 2" xfId="2358" xr:uid="{00000000-0005-0000-0000-0000F7080000}"/>
    <cellStyle name="Normal 10 2 10 12 2 3" xfId="2359" xr:uid="{00000000-0005-0000-0000-0000F8080000}"/>
    <cellStyle name="Normal 10 2 10 12 2 4" xfId="2360" xr:uid="{00000000-0005-0000-0000-0000F9080000}"/>
    <cellStyle name="Normal 10 2 10 12 2 5" xfId="2361" xr:uid="{00000000-0005-0000-0000-0000FA080000}"/>
    <cellStyle name="Normal 10 2 10 12 2 6" xfId="2362" xr:uid="{00000000-0005-0000-0000-0000FB080000}"/>
    <cellStyle name="Normal 10 2 10 12 2 7" xfId="2363" xr:uid="{00000000-0005-0000-0000-0000FC080000}"/>
    <cellStyle name="Normal 10 2 10 12 2 8" xfId="2364" xr:uid="{00000000-0005-0000-0000-0000FD080000}"/>
    <cellStyle name="Normal 10 2 10 12 2 9" xfId="2365" xr:uid="{00000000-0005-0000-0000-0000FE080000}"/>
    <cellStyle name="Normal 10 2 10 12 3" xfId="2366" xr:uid="{00000000-0005-0000-0000-0000FF080000}"/>
    <cellStyle name="Normal 10 2 10 12 3 10" xfId="2367" xr:uid="{00000000-0005-0000-0000-000000090000}"/>
    <cellStyle name="Normal 10 2 10 12 3 2" xfId="2368" xr:uid="{00000000-0005-0000-0000-000001090000}"/>
    <cellStyle name="Normal 10 2 10 12 3 3" xfId="2369" xr:uid="{00000000-0005-0000-0000-000002090000}"/>
    <cellStyle name="Normal 10 2 10 12 3 4" xfId="2370" xr:uid="{00000000-0005-0000-0000-000003090000}"/>
    <cellStyle name="Normal 10 2 10 12 3 5" xfId="2371" xr:uid="{00000000-0005-0000-0000-000004090000}"/>
    <cellStyle name="Normal 10 2 10 12 3 6" xfId="2372" xr:uid="{00000000-0005-0000-0000-000005090000}"/>
    <cellStyle name="Normal 10 2 10 12 3 7" xfId="2373" xr:uid="{00000000-0005-0000-0000-000006090000}"/>
    <cellStyle name="Normal 10 2 10 12 3 8" xfId="2374" xr:uid="{00000000-0005-0000-0000-000007090000}"/>
    <cellStyle name="Normal 10 2 10 12 3 9" xfId="2375" xr:uid="{00000000-0005-0000-0000-000008090000}"/>
    <cellStyle name="Normal 10 2 10 12 4" xfId="2376" xr:uid="{00000000-0005-0000-0000-000009090000}"/>
    <cellStyle name="Normal 10 2 10 12 4 10" xfId="2377" xr:uid="{00000000-0005-0000-0000-00000A090000}"/>
    <cellStyle name="Normal 10 2 10 12 4 2" xfId="2378" xr:uid="{00000000-0005-0000-0000-00000B090000}"/>
    <cellStyle name="Normal 10 2 10 12 4 3" xfId="2379" xr:uid="{00000000-0005-0000-0000-00000C090000}"/>
    <cellStyle name="Normal 10 2 10 12 4 4" xfId="2380" xr:uid="{00000000-0005-0000-0000-00000D090000}"/>
    <cellStyle name="Normal 10 2 10 12 4 5" xfId="2381" xr:uid="{00000000-0005-0000-0000-00000E090000}"/>
    <cellStyle name="Normal 10 2 10 12 4 6" xfId="2382" xr:uid="{00000000-0005-0000-0000-00000F090000}"/>
    <cellStyle name="Normal 10 2 10 12 4 7" xfId="2383" xr:uid="{00000000-0005-0000-0000-000010090000}"/>
    <cellStyle name="Normal 10 2 10 12 4 8" xfId="2384" xr:uid="{00000000-0005-0000-0000-000011090000}"/>
    <cellStyle name="Normal 10 2 10 12 4 9" xfId="2385" xr:uid="{00000000-0005-0000-0000-000012090000}"/>
    <cellStyle name="Normal 10 2 10 12 5" xfId="2386" xr:uid="{00000000-0005-0000-0000-000013090000}"/>
    <cellStyle name="Normal 10 2 10 12 5 10" xfId="2387" xr:uid="{00000000-0005-0000-0000-000014090000}"/>
    <cellStyle name="Normal 10 2 10 12 5 2" xfId="2388" xr:uid="{00000000-0005-0000-0000-000015090000}"/>
    <cellStyle name="Normal 10 2 10 12 5 3" xfId="2389" xr:uid="{00000000-0005-0000-0000-000016090000}"/>
    <cellStyle name="Normal 10 2 10 12 5 4" xfId="2390" xr:uid="{00000000-0005-0000-0000-000017090000}"/>
    <cellStyle name="Normal 10 2 10 12 5 5" xfId="2391" xr:uid="{00000000-0005-0000-0000-000018090000}"/>
    <cellStyle name="Normal 10 2 10 12 5 6" xfId="2392" xr:uid="{00000000-0005-0000-0000-000019090000}"/>
    <cellStyle name="Normal 10 2 10 12 5 7" xfId="2393" xr:uid="{00000000-0005-0000-0000-00001A090000}"/>
    <cellStyle name="Normal 10 2 10 12 5 8" xfId="2394" xr:uid="{00000000-0005-0000-0000-00001B090000}"/>
    <cellStyle name="Normal 10 2 10 12 5 9" xfId="2395" xr:uid="{00000000-0005-0000-0000-00001C090000}"/>
    <cellStyle name="Normal 10 2 10 12 6" xfId="2396" xr:uid="{00000000-0005-0000-0000-00001D090000}"/>
    <cellStyle name="Normal 10 2 10 12 7" xfId="2397" xr:uid="{00000000-0005-0000-0000-00001E090000}"/>
    <cellStyle name="Normal 10 2 10 12 8" xfId="2398" xr:uid="{00000000-0005-0000-0000-00001F090000}"/>
    <cellStyle name="Normal 10 2 10 12 9" xfId="2399" xr:uid="{00000000-0005-0000-0000-000020090000}"/>
    <cellStyle name="Normal 10 2 10 13" xfId="2400" xr:uid="{00000000-0005-0000-0000-000021090000}"/>
    <cellStyle name="Normal 10 2 10 13 10" xfId="2401" xr:uid="{00000000-0005-0000-0000-000022090000}"/>
    <cellStyle name="Normal 10 2 10 13 11" xfId="2402" xr:uid="{00000000-0005-0000-0000-000023090000}"/>
    <cellStyle name="Normal 10 2 10 13 12" xfId="2403" xr:uid="{00000000-0005-0000-0000-000024090000}"/>
    <cellStyle name="Normal 10 2 10 13 13" xfId="2404" xr:uid="{00000000-0005-0000-0000-000025090000}"/>
    <cellStyle name="Normal 10 2 10 13 14" xfId="2405" xr:uid="{00000000-0005-0000-0000-000026090000}"/>
    <cellStyle name="Normal 10 2 10 13 2" xfId="2406" xr:uid="{00000000-0005-0000-0000-000027090000}"/>
    <cellStyle name="Normal 10 2 10 13 2 10" xfId="2407" xr:uid="{00000000-0005-0000-0000-000028090000}"/>
    <cellStyle name="Normal 10 2 10 13 2 2" xfId="2408" xr:uid="{00000000-0005-0000-0000-000029090000}"/>
    <cellStyle name="Normal 10 2 10 13 2 3" xfId="2409" xr:uid="{00000000-0005-0000-0000-00002A090000}"/>
    <cellStyle name="Normal 10 2 10 13 2 4" xfId="2410" xr:uid="{00000000-0005-0000-0000-00002B090000}"/>
    <cellStyle name="Normal 10 2 10 13 2 5" xfId="2411" xr:uid="{00000000-0005-0000-0000-00002C090000}"/>
    <cellStyle name="Normal 10 2 10 13 2 6" xfId="2412" xr:uid="{00000000-0005-0000-0000-00002D090000}"/>
    <cellStyle name="Normal 10 2 10 13 2 7" xfId="2413" xr:uid="{00000000-0005-0000-0000-00002E090000}"/>
    <cellStyle name="Normal 10 2 10 13 2 8" xfId="2414" xr:uid="{00000000-0005-0000-0000-00002F090000}"/>
    <cellStyle name="Normal 10 2 10 13 2 9" xfId="2415" xr:uid="{00000000-0005-0000-0000-000030090000}"/>
    <cellStyle name="Normal 10 2 10 13 3" xfId="2416" xr:uid="{00000000-0005-0000-0000-000031090000}"/>
    <cellStyle name="Normal 10 2 10 13 3 10" xfId="2417" xr:uid="{00000000-0005-0000-0000-000032090000}"/>
    <cellStyle name="Normal 10 2 10 13 3 2" xfId="2418" xr:uid="{00000000-0005-0000-0000-000033090000}"/>
    <cellStyle name="Normal 10 2 10 13 3 3" xfId="2419" xr:uid="{00000000-0005-0000-0000-000034090000}"/>
    <cellStyle name="Normal 10 2 10 13 3 4" xfId="2420" xr:uid="{00000000-0005-0000-0000-000035090000}"/>
    <cellStyle name="Normal 10 2 10 13 3 5" xfId="2421" xr:uid="{00000000-0005-0000-0000-000036090000}"/>
    <cellStyle name="Normal 10 2 10 13 3 6" xfId="2422" xr:uid="{00000000-0005-0000-0000-000037090000}"/>
    <cellStyle name="Normal 10 2 10 13 3 7" xfId="2423" xr:uid="{00000000-0005-0000-0000-000038090000}"/>
    <cellStyle name="Normal 10 2 10 13 3 8" xfId="2424" xr:uid="{00000000-0005-0000-0000-000039090000}"/>
    <cellStyle name="Normal 10 2 10 13 3 9" xfId="2425" xr:uid="{00000000-0005-0000-0000-00003A090000}"/>
    <cellStyle name="Normal 10 2 10 13 4" xfId="2426" xr:uid="{00000000-0005-0000-0000-00003B090000}"/>
    <cellStyle name="Normal 10 2 10 13 4 10" xfId="2427" xr:uid="{00000000-0005-0000-0000-00003C090000}"/>
    <cellStyle name="Normal 10 2 10 13 4 2" xfId="2428" xr:uid="{00000000-0005-0000-0000-00003D090000}"/>
    <cellStyle name="Normal 10 2 10 13 4 3" xfId="2429" xr:uid="{00000000-0005-0000-0000-00003E090000}"/>
    <cellStyle name="Normal 10 2 10 13 4 4" xfId="2430" xr:uid="{00000000-0005-0000-0000-00003F090000}"/>
    <cellStyle name="Normal 10 2 10 13 4 5" xfId="2431" xr:uid="{00000000-0005-0000-0000-000040090000}"/>
    <cellStyle name="Normal 10 2 10 13 4 6" xfId="2432" xr:uid="{00000000-0005-0000-0000-000041090000}"/>
    <cellStyle name="Normal 10 2 10 13 4 7" xfId="2433" xr:uid="{00000000-0005-0000-0000-000042090000}"/>
    <cellStyle name="Normal 10 2 10 13 4 8" xfId="2434" xr:uid="{00000000-0005-0000-0000-000043090000}"/>
    <cellStyle name="Normal 10 2 10 13 4 9" xfId="2435" xr:uid="{00000000-0005-0000-0000-000044090000}"/>
    <cellStyle name="Normal 10 2 10 13 5" xfId="2436" xr:uid="{00000000-0005-0000-0000-000045090000}"/>
    <cellStyle name="Normal 10 2 10 13 5 10" xfId="2437" xr:uid="{00000000-0005-0000-0000-000046090000}"/>
    <cellStyle name="Normal 10 2 10 13 5 2" xfId="2438" xr:uid="{00000000-0005-0000-0000-000047090000}"/>
    <cellStyle name="Normal 10 2 10 13 5 3" xfId="2439" xr:uid="{00000000-0005-0000-0000-000048090000}"/>
    <cellStyle name="Normal 10 2 10 13 5 4" xfId="2440" xr:uid="{00000000-0005-0000-0000-000049090000}"/>
    <cellStyle name="Normal 10 2 10 13 5 5" xfId="2441" xr:uid="{00000000-0005-0000-0000-00004A090000}"/>
    <cellStyle name="Normal 10 2 10 13 5 6" xfId="2442" xr:uid="{00000000-0005-0000-0000-00004B090000}"/>
    <cellStyle name="Normal 10 2 10 13 5 7" xfId="2443" xr:uid="{00000000-0005-0000-0000-00004C090000}"/>
    <cellStyle name="Normal 10 2 10 13 5 8" xfId="2444" xr:uid="{00000000-0005-0000-0000-00004D090000}"/>
    <cellStyle name="Normal 10 2 10 13 5 9" xfId="2445" xr:uid="{00000000-0005-0000-0000-00004E090000}"/>
    <cellStyle name="Normal 10 2 10 13 6" xfId="2446" xr:uid="{00000000-0005-0000-0000-00004F090000}"/>
    <cellStyle name="Normal 10 2 10 13 7" xfId="2447" xr:uid="{00000000-0005-0000-0000-000050090000}"/>
    <cellStyle name="Normal 10 2 10 13 8" xfId="2448" xr:uid="{00000000-0005-0000-0000-000051090000}"/>
    <cellStyle name="Normal 10 2 10 13 9" xfId="2449" xr:uid="{00000000-0005-0000-0000-000052090000}"/>
    <cellStyle name="Normal 10 2 10 14" xfId="2450" xr:uid="{00000000-0005-0000-0000-000053090000}"/>
    <cellStyle name="Normal 10 2 10 14 10" xfId="2451" xr:uid="{00000000-0005-0000-0000-000054090000}"/>
    <cellStyle name="Normal 10 2 10 14 11" xfId="2452" xr:uid="{00000000-0005-0000-0000-000055090000}"/>
    <cellStyle name="Normal 10 2 10 14 12" xfId="2453" xr:uid="{00000000-0005-0000-0000-000056090000}"/>
    <cellStyle name="Normal 10 2 10 14 13" xfId="2454" xr:uid="{00000000-0005-0000-0000-000057090000}"/>
    <cellStyle name="Normal 10 2 10 14 14" xfId="2455" xr:uid="{00000000-0005-0000-0000-000058090000}"/>
    <cellStyle name="Normal 10 2 10 14 2" xfId="2456" xr:uid="{00000000-0005-0000-0000-000059090000}"/>
    <cellStyle name="Normal 10 2 10 14 2 10" xfId="2457" xr:uid="{00000000-0005-0000-0000-00005A090000}"/>
    <cellStyle name="Normal 10 2 10 14 2 2" xfId="2458" xr:uid="{00000000-0005-0000-0000-00005B090000}"/>
    <cellStyle name="Normal 10 2 10 14 2 3" xfId="2459" xr:uid="{00000000-0005-0000-0000-00005C090000}"/>
    <cellStyle name="Normal 10 2 10 14 2 4" xfId="2460" xr:uid="{00000000-0005-0000-0000-00005D090000}"/>
    <cellStyle name="Normal 10 2 10 14 2 5" xfId="2461" xr:uid="{00000000-0005-0000-0000-00005E090000}"/>
    <cellStyle name="Normal 10 2 10 14 2 6" xfId="2462" xr:uid="{00000000-0005-0000-0000-00005F090000}"/>
    <cellStyle name="Normal 10 2 10 14 2 7" xfId="2463" xr:uid="{00000000-0005-0000-0000-000060090000}"/>
    <cellStyle name="Normal 10 2 10 14 2 8" xfId="2464" xr:uid="{00000000-0005-0000-0000-000061090000}"/>
    <cellStyle name="Normal 10 2 10 14 2 9" xfId="2465" xr:uid="{00000000-0005-0000-0000-000062090000}"/>
    <cellStyle name="Normal 10 2 10 14 3" xfId="2466" xr:uid="{00000000-0005-0000-0000-000063090000}"/>
    <cellStyle name="Normal 10 2 10 14 3 10" xfId="2467" xr:uid="{00000000-0005-0000-0000-000064090000}"/>
    <cellStyle name="Normal 10 2 10 14 3 2" xfId="2468" xr:uid="{00000000-0005-0000-0000-000065090000}"/>
    <cellStyle name="Normal 10 2 10 14 3 3" xfId="2469" xr:uid="{00000000-0005-0000-0000-000066090000}"/>
    <cellStyle name="Normal 10 2 10 14 3 4" xfId="2470" xr:uid="{00000000-0005-0000-0000-000067090000}"/>
    <cellStyle name="Normal 10 2 10 14 3 5" xfId="2471" xr:uid="{00000000-0005-0000-0000-000068090000}"/>
    <cellStyle name="Normal 10 2 10 14 3 6" xfId="2472" xr:uid="{00000000-0005-0000-0000-000069090000}"/>
    <cellStyle name="Normal 10 2 10 14 3 7" xfId="2473" xr:uid="{00000000-0005-0000-0000-00006A090000}"/>
    <cellStyle name="Normal 10 2 10 14 3 8" xfId="2474" xr:uid="{00000000-0005-0000-0000-00006B090000}"/>
    <cellStyle name="Normal 10 2 10 14 3 9" xfId="2475" xr:uid="{00000000-0005-0000-0000-00006C090000}"/>
    <cellStyle name="Normal 10 2 10 14 4" xfId="2476" xr:uid="{00000000-0005-0000-0000-00006D090000}"/>
    <cellStyle name="Normal 10 2 10 14 4 10" xfId="2477" xr:uid="{00000000-0005-0000-0000-00006E090000}"/>
    <cellStyle name="Normal 10 2 10 14 4 2" xfId="2478" xr:uid="{00000000-0005-0000-0000-00006F090000}"/>
    <cellStyle name="Normal 10 2 10 14 4 3" xfId="2479" xr:uid="{00000000-0005-0000-0000-000070090000}"/>
    <cellStyle name="Normal 10 2 10 14 4 4" xfId="2480" xr:uid="{00000000-0005-0000-0000-000071090000}"/>
    <cellStyle name="Normal 10 2 10 14 4 5" xfId="2481" xr:uid="{00000000-0005-0000-0000-000072090000}"/>
    <cellStyle name="Normal 10 2 10 14 4 6" xfId="2482" xr:uid="{00000000-0005-0000-0000-000073090000}"/>
    <cellStyle name="Normal 10 2 10 14 4 7" xfId="2483" xr:uid="{00000000-0005-0000-0000-000074090000}"/>
    <cellStyle name="Normal 10 2 10 14 4 8" xfId="2484" xr:uid="{00000000-0005-0000-0000-000075090000}"/>
    <cellStyle name="Normal 10 2 10 14 4 9" xfId="2485" xr:uid="{00000000-0005-0000-0000-000076090000}"/>
    <cellStyle name="Normal 10 2 10 14 5" xfId="2486" xr:uid="{00000000-0005-0000-0000-000077090000}"/>
    <cellStyle name="Normal 10 2 10 14 5 10" xfId="2487" xr:uid="{00000000-0005-0000-0000-000078090000}"/>
    <cellStyle name="Normal 10 2 10 14 5 2" xfId="2488" xr:uid="{00000000-0005-0000-0000-000079090000}"/>
    <cellStyle name="Normal 10 2 10 14 5 3" xfId="2489" xr:uid="{00000000-0005-0000-0000-00007A090000}"/>
    <cellStyle name="Normal 10 2 10 14 5 4" xfId="2490" xr:uid="{00000000-0005-0000-0000-00007B090000}"/>
    <cellStyle name="Normal 10 2 10 14 5 5" xfId="2491" xr:uid="{00000000-0005-0000-0000-00007C090000}"/>
    <cellStyle name="Normal 10 2 10 14 5 6" xfId="2492" xr:uid="{00000000-0005-0000-0000-00007D090000}"/>
    <cellStyle name="Normal 10 2 10 14 5 7" xfId="2493" xr:uid="{00000000-0005-0000-0000-00007E090000}"/>
    <cellStyle name="Normal 10 2 10 14 5 8" xfId="2494" xr:uid="{00000000-0005-0000-0000-00007F090000}"/>
    <cellStyle name="Normal 10 2 10 14 5 9" xfId="2495" xr:uid="{00000000-0005-0000-0000-000080090000}"/>
    <cellStyle name="Normal 10 2 10 14 6" xfId="2496" xr:uid="{00000000-0005-0000-0000-000081090000}"/>
    <cellStyle name="Normal 10 2 10 14 7" xfId="2497" xr:uid="{00000000-0005-0000-0000-000082090000}"/>
    <cellStyle name="Normal 10 2 10 14 8" xfId="2498" xr:uid="{00000000-0005-0000-0000-000083090000}"/>
    <cellStyle name="Normal 10 2 10 14 9" xfId="2499" xr:uid="{00000000-0005-0000-0000-000084090000}"/>
    <cellStyle name="Normal 10 2 10 15" xfId="2500" xr:uid="{00000000-0005-0000-0000-000085090000}"/>
    <cellStyle name="Normal 10 2 10 15 10" xfId="2501" xr:uid="{00000000-0005-0000-0000-000086090000}"/>
    <cellStyle name="Normal 10 2 10 15 11" xfId="2502" xr:uid="{00000000-0005-0000-0000-000087090000}"/>
    <cellStyle name="Normal 10 2 10 15 12" xfId="2503" xr:uid="{00000000-0005-0000-0000-000088090000}"/>
    <cellStyle name="Normal 10 2 10 15 13" xfId="2504" xr:uid="{00000000-0005-0000-0000-000089090000}"/>
    <cellStyle name="Normal 10 2 10 15 14" xfId="2505" xr:uid="{00000000-0005-0000-0000-00008A090000}"/>
    <cellStyle name="Normal 10 2 10 15 2" xfId="2506" xr:uid="{00000000-0005-0000-0000-00008B090000}"/>
    <cellStyle name="Normal 10 2 10 15 2 10" xfId="2507" xr:uid="{00000000-0005-0000-0000-00008C090000}"/>
    <cellStyle name="Normal 10 2 10 15 2 2" xfId="2508" xr:uid="{00000000-0005-0000-0000-00008D090000}"/>
    <cellStyle name="Normal 10 2 10 15 2 3" xfId="2509" xr:uid="{00000000-0005-0000-0000-00008E090000}"/>
    <cellStyle name="Normal 10 2 10 15 2 4" xfId="2510" xr:uid="{00000000-0005-0000-0000-00008F090000}"/>
    <cellStyle name="Normal 10 2 10 15 2 5" xfId="2511" xr:uid="{00000000-0005-0000-0000-000090090000}"/>
    <cellStyle name="Normal 10 2 10 15 2 6" xfId="2512" xr:uid="{00000000-0005-0000-0000-000091090000}"/>
    <cellStyle name="Normal 10 2 10 15 2 7" xfId="2513" xr:uid="{00000000-0005-0000-0000-000092090000}"/>
    <cellStyle name="Normal 10 2 10 15 2 8" xfId="2514" xr:uid="{00000000-0005-0000-0000-000093090000}"/>
    <cellStyle name="Normal 10 2 10 15 2 9" xfId="2515" xr:uid="{00000000-0005-0000-0000-000094090000}"/>
    <cellStyle name="Normal 10 2 10 15 3" xfId="2516" xr:uid="{00000000-0005-0000-0000-000095090000}"/>
    <cellStyle name="Normal 10 2 10 15 3 10" xfId="2517" xr:uid="{00000000-0005-0000-0000-000096090000}"/>
    <cellStyle name="Normal 10 2 10 15 3 2" xfId="2518" xr:uid="{00000000-0005-0000-0000-000097090000}"/>
    <cellStyle name="Normal 10 2 10 15 3 3" xfId="2519" xr:uid="{00000000-0005-0000-0000-000098090000}"/>
    <cellStyle name="Normal 10 2 10 15 3 4" xfId="2520" xr:uid="{00000000-0005-0000-0000-000099090000}"/>
    <cellStyle name="Normal 10 2 10 15 3 5" xfId="2521" xr:uid="{00000000-0005-0000-0000-00009A090000}"/>
    <cellStyle name="Normal 10 2 10 15 3 6" xfId="2522" xr:uid="{00000000-0005-0000-0000-00009B090000}"/>
    <cellStyle name="Normal 10 2 10 15 3 7" xfId="2523" xr:uid="{00000000-0005-0000-0000-00009C090000}"/>
    <cellStyle name="Normal 10 2 10 15 3 8" xfId="2524" xr:uid="{00000000-0005-0000-0000-00009D090000}"/>
    <cellStyle name="Normal 10 2 10 15 3 9" xfId="2525" xr:uid="{00000000-0005-0000-0000-00009E090000}"/>
    <cellStyle name="Normal 10 2 10 15 4" xfId="2526" xr:uid="{00000000-0005-0000-0000-00009F090000}"/>
    <cellStyle name="Normal 10 2 10 15 4 10" xfId="2527" xr:uid="{00000000-0005-0000-0000-0000A0090000}"/>
    <cellStyle name="Normal 10 2 10 15 4 2" xfId="2528" xr:uid="{00000000-0005-0000-0000-0000A1090000}"/>
    <cellStyle name="Normal 10 2 10 15 4 3" xfId="2529" xr:uid="{00000000-0005-0000-0000-0000A2090000}"/>
    <cellStyle name="Normal 10 2 10 15 4 4" xfId="2530" xr:uid="{00000000-0005-0000-0000-0000A3090000}"/>
    <cellStyle name="Normal 10 2 10 15 4 5" xfId="2531" xr:uid="{00000000-0005-0000-0000-0000A4090000}"/>
    <cellStyle name="Normal 10 2 10 15 4 6" xfId="2532" xr:uid="{00000000-0005-0000-0000-0000A5090000}"/>
    <cellStyle name="Normal 10 2 10 15 4 7" xfId="2533" xr:uid="{00000000-0005-0000-0000-0000A6090000}"/>
    <cellStyle name="Normal 10 2 10 15 4 8" xfId="2534" xr:uid="{00000000-0005-0000-0000-0000A7090000}"/>
    <cellStyle name="Normal 10 2 10 15 4 9" xfId="2535" xr:uid="{00000000-0005-0000-0000-0000A8090000}"/>
    <cellStyle name="Normal 10 2 10 15 5" xfId="2536" xr:uid="{00000000-0005-0000-0000-0000A9090000}"/>
    <cellStyle name="Normal 10 2 10 15 5 10" xfId="2537" xr:uid="{00000000-0005-0000-0000-0000AA090000}"/>
    <cellStyle name="Normal 10 2 10 15 5 2" xfId="2538" xr:uid="{00000000-0005-0000-0000-0000AB090000}"/>
    <cellStyle name="Normal 10 2 10 15 5 3" xfId="2539" xr:uid="{00000000-0005-0000-0000-0000AC090000}"/>
    <cellStyle name="Normal 10 2 10 15 5 4" xfId="2540" xr:uid="{00000000-0005-0000-0000-0000AD090000}"/>
    <cellStyle name="Normal 10 2 10 15 5 5" xfId="2541" xr:uid="{00000000-0005-0000-0000-0000AE090000}"/>
    <cellStyle name="Normal 10 2 10 15 5 6" xfId="2542" xr:uid="{00000000-0005-0000-0000-0000AF090000}"/>
    <cellStyle name="Normal 10 2 10 15 5 7" xfId="2543" xr:uid="{00000000-0005-0000-0000-0000B0090000}"/>
    <cellStyle name="Normal 10 2 10 15 5 8" xfId="2544" xr:uid="{00000000-0005-0000-0000-0000B1090000}"/>
    <cellStyle name="Normal 10 2 10 15 5 9" xfId="2545" xr:uid="{00000000-0005-0000-0000-0000B2090000}"/>
    <cellStyle name="Normal 10 2 10 15 6" xfId="2546" xr:uid="{00000000-0005-0000-0000-0000B3090000}"/>
    <cellStyle name="Normal 10 2 10 15 7" xfId="2547" xr:uid="{00000000-0005-0000-0000-0000B4090000}"/>
    <cellStyle name="Normal 10 2 10 15 8" xfId="2548" xr:uid="{00000000-0005-0000-0000-0000B5090000}"/>
    <cellStyle name="Normal 10 2 10 15 9" xfId="2549" xr:uid="{00000000-0005-0000-0000-0000B6090000}"/>
    <cellStyle name="Normal 10 2 10 16" xfId="2550" xr:uid="{00000000-0005-0000-0000-0000B7090000}"/>
    <cellStyle name="Normal 10 2 10 16 10" xfId="2551" xr:uid="{00000000-0005-0000-0000-0000B8090000}"/>
    <cellStyle name="Normal 10 2 10 16 11" xfId="2552" xr:uid="{00000000-0005-0000-0000-0000B9090000}"/>
    <cellStyle name="Normal 10 2 10 16 12" xfId="2553" xr:uid="{00000000-0005-0000-0000-0000BA090000}"/>
    <cellStyle name="Normal 10 2 10 16 13" xfId="2554" xr:uid="{00000000-0005-0000-0000-0000BB090000}"/>
    <cellStyle name="Normal 10 2 10 16 14" xfId="2555" xr:uid="{00000000-0005-0000-0000-0000BC090000}"/>
    <cellStyle name="Normal 10 2 10 16 2" xfId="2556" xr:uid="{00000000-0005-0000-0000-0000BD090000}"/>
    <cellStyle name="Normal 10 2 10 16 2 10" xfId="2557" xr:uid="{00000000-0005-0000-0000-0000BE090000}"/>
    <cellStyle name="Normal 10 2 10 16 2 2" xfId="2558" xr:uid="{00000000-0005-0000-0000-0000BF090000}"/>
    <cellStyle name="Normal 10 2 10 16 2 3" xfId="2559" xr:uid="{00000000-0005-0000-0000-0000C0090000}"/>
    <cellStyle name="Normal 10 2 10 16 2 4" xfId="2560" xr:uid="{00000000-0005-0000-0000-0000C1090000}"/>
    <cellStyle name="Normal 10 2 10 16 2 5" xfId="2561" xr:uid="{00000000-0005-0000-0000-0000C2090000}"/>
    <cellStyle name="Normal 10 2 10 16 2 6" xfId="2562" xr:uid="{00000000-0005-0000-0000-0000C3090000}"/>
    <cellStyle name="Normal 10 2 10 16 2 7" xfId="2563" xr:uid="{00000000-0005-0000-0000-0000C4090000}"/>
    <cellStyle name="Normal 10 2 10 16 2 8" xfId="2564" xr:uid="{00000000-0005-0000-0000-0000C5090000}"/>
    <cellStyle name="Normal 10 2 10 16 2 9" xfId="2565" xr:uid="{00000000-0005-0000-0000-0000C6090000}"/>
    <cellStyle name="Normal 10 2 10 16 3" xfId="2566" xr:uid="{00000000-0005-0000-0000-0000C7090000}"/>
    <cellStyle name="Normal 10 2 10 16 3 10" xfId="2567" xr:uid="{00000000-0005-0000-0000-0000C8090000}"/>
    <cellStyle name="Normal 10 2 10 16 3 2" xfId="2568" xr:uid="{00000000-0005-0000-0000-0000C9090000}"/>
    <cellStyle name="Normal 10 2 10 16 3 3" xfId="2569" xr:uid="{00000000-0005-0000-0000-0000CA090000}"/>
    <cellStyle name="Normal 10 2 10 16 3 4" xfId="2570" xr:uid="{00000000-0005-0000-0000-0000CB090000}"/>
    <cellStyle name="Normal 10 2 10 16 3 5" xfId="2571" xr:uid="{00000000-0005-0000-0000-0000CC090000}"/>
    <cellStyle name="Normal 10 2 10 16 3 6" xfId="2572" xr:uid="{00000000-0005-0000-0000-0000CD090000}"/>
    <cellStyle name="Normal 10 2 10 16 3 7" xfId="2573" xr:uid="{00000000-0005-0000-0000-0000CE090000}"/>
    <cellStyle name="Normal 10 2 10 16 3 8" xfId="2574" xr:uid="{00000000-0005-0000-0000-0000CF090000}"/>
    <cellStyle name="Normal 10 2 10 16 3 9" xfId="2575" xr:uid="{00000000-0005-0000-0000-0000D0090000}"/>
    <cellStyle name="Normal 10 2 10 16 4" xfId="2576" xr:uid="{00000000-0005-0000-0000-0000D1090000}"/>
    <cellStyle name="Normal 10 2 10 16 4 10" xfId="2577" xr:uid="{00000000-0005-0000-0000-0000D2090000}"/>
    <cellStyle name="Normal 10 2 10 16 4 2" xfId="2578" xr:uid="{00000000-0005-0000-0000-0000D3090000}"/>
    <cellStyle name="Normal 10 2 10 16 4 3" xfId="2579" xr:uid="{00000000-0005-0000-0000-0000D4090000}"/>
    <cellStyle name="Normal 10 2 10 16 4 4" xfId="2580" xr:uid="{00000000-0005-0000-0000-0000D5090000}"/>
    <cellStyle name="Normal 10 2 10 16 4 5" xfId="2581" xr:uid="{00000000-0005-0000-0000-0000D6090000}"/>
    <cellStyle name="Normal 10 2 10 16 4 6" xfId="2582" xr:uid="{00000000-0005-0000-0000-0000D7090000}"/>
    <cellStyle name="Normal 10 2 10 16 4 7" xfId="2583" xr:uid="{00000000-0005-0000-0000-0000D8090000}"/>
    <cellStyle name="Normal 10 2 10 16 4 8" xfId="2584" xr:uid="{00000000-0005-0000-0000-0000D9090000}"/>
    <cellStyle name="Normal 10 2 10 16 4 9" xfId="2585" xr:uid="{00000000-0005-0000-0000-0000DA090000}"/>
    <cellStyle name="Normal 10 2 10 16 5" xfId="2586" xr:uid="{00000000-0005-0000-0000-0000DB090000}"/>
    <cellStyle name="Normal 10 2 10 16 5 10" xfId="2587" xr:uid="{00000000-0005-0000-0000-0000DC090000}"/>
    <cellStyle name="Normal 10 2 10 16 5 2" xfId="2588" xr:uid="{00000000-0005-0000-0000-0000DD090000}"/>
    <cellStyle name="Normal 10 2 10 16 5 3" xfId="2589" xr:uid="{00000000-0005-0000-0000-0000DE090000}"/>
    <cellStyle name="Normal 10 2 10 16 5 4" xfId="2590" xr:uid="{00000000-0005-0000-0000-0000DF090000}"/>
    <cellStyle name="Normal 10 2 10 16 5 5" xfId="2591" xr:uid="{00000000-0005-0000-0000-0000E0090000}"/>
    <cellStyle name="Normal 10 2 10 16 5 6" xfId="2592" xr:uid="{00000000-0005-0000-0000-0000E1090000}"/>
    <cellStyle name="Normal 10 2 10 16 5 7" xfId="2593" xr:uid="{00000000-0005-0000-0000-0000E2090000}"/>
    <cellStyle name="Normal 10 2 10 16 5 8" xfId="2594" xr:uid="{00000000-0005-0000-0000-0000E3090000}"/>
    <cellStyle name="Normal 10 2 10 16 5 9" xfId="2595" xr:uid="{00000000-0005-0000-0000-0000E4090000}"/>
    <cellStyle name="Normal 10 2 10 16 6" xfId="2596" xr:uid="{00000000-0005-0000-0000-0000E5090000}"/>
    <cellStyle name="Normal 10 2 10 16 7" xfId="2597" xr:uid="{00000000-0005-0000-0000-0000E6090000}"/>
    <cellStyle name="Normal 10 2 10 16 8" xfId="2598" xr:uid="{00000000-0005-0000-0000-0000E7090000}"/>
    <cellStyle name="Normal 10 2 10 16 9" xfId="2599" xr:uid="{00000000-0005-0000-0000-0000E8090000}"/>
    <cellStyle name="Normal 10 2 10 17" xfId="2600" xr:uid="{00000000-0005-0000-0000-0000E9090000}"/>
    <cellStyle name="Normal 10 2 10 17 10" xfId="2601" xr:uid="{00000000-0005-0000-0000-0000EA090000}"/>
    <cellStyle name="Normal 10 2 10 17 11" xfId="2602" xr:uid="{00000000-0005-0000-0000-0000EB090000}"/>
    <cellStyle name="Normal 10 2 10 17 12" xfId="2603" xr:uid="{00000000-0005-0000-0000-0000EC090000}"/>
    <cellStyle name="Normal 10 2 10 17 13" xfId="2604" xr:uid="{00000000-0005-0000-0000-0000ED090000}"/>
    <cellStyle name="Normal 10 2 10 17 14" xfId="2605" xr:uid="{00000000-0005-0000-0000-0000EE090000}"/>
    <cellStyle name="Normal 10 2 10 17 2" xfId="2606" xr:uid="{00000000-0005-0000-0000-0000EF090000}"/>
    <cellStyle name="Normal 10 2 10 17 2 10" xfId="2607" xr:uid="{00000000-0005-0000-0000-0000F0090000}"/>
    <cellStyle name="Normal 10 2 10 17 2 2" xfId="2608" xr:uid="{00000000-0005-0000-0000-0000F1090000}"/>
    <cellStyle name="Normal 10 2 10 17 2 3" xfId="2609" xr:uid="{00000000-0005-0000-0000-0000F2090000}"/>
    <cellStyle name="Normal 10 2 10 17 2 4" xfId="2610" xr:uid="{00000000-0005-0000-0000-0000F3090000}"/>
    <cellStyle name="Normal 10 2 10 17 2 5" xfId="2611" xr:uid="{00000000-0005-0000-0000-0000F4090000}"/>
    <cellStyle name="Normal 10 2 10 17 2 6" xfId="2612" xr:uid="{00000000-0005-0000-0000-0000F5090000}"/>
    <cellStyle name="Normal 10 2 10 17 2 7" xfId="2613" xr:uid="{00000000-0005-0000-0000-0000F6090000}"/>
    <cellStyle name="Normal 10 2 10 17 2 8" xfId="2614" xr:uid="{00000000-0005-0000-0000-0000F7090000}"/>
    <cellStyle name="Normal 10 2 10 17 2 9" xfId="2615" xr:uid="{00000000-0005-0000-0000-0000F8090000}"/>
    <cellStyle name="Normal 10 2 10 17 3" xfId="2616" xr:uid="{00000000-0005-0000-0000-0000F9090000}"/>
    <cellStyle name="Normal 10 2 10 17 3 10" xfId="2617" xr:uid="{00000000-0005-0000-0000-0000FA090000}"/>
    <cellStyle name="Normal 10 2 10 17 3 2" xfId="2618" xr:uid="{00000000-0005-0000-0000-0000FB090000}"/>
    <cellStyle name="Normal 10 2 10 17 3 3" xfId="2619" xr:uid="{00000000-0005-0000-0000-0000FC090000}"/>
    <cellStyle name="Normal 10 2 10 17 3 4" xfId="2620" xr:uid="{00000000-0005-0000-0000-0000FD090000}"/>
    <cellStyle name="Normal 10 2 10 17 3 5" xfId="2621" xr:uid="{00000000-0005-0000-0000-0000FE090000}"/>
    <cellStyle name="Normal 10 2 10 17 3 6" xfId="2622" xr:uid="{00000000-0005-0000-0000-0000FF090000}"/>
    <cellStyle name="Normal 10 2 10 17 3 7" xfId="2623" xr:uid="{00000000-0005-0000-0000-0000000A0000}"/>
    <cellStyle name="Normal 10 2 10 17 3 8" xfId="2624" xr:uid="{00000000-0005-0000-0000-0000010A0000}"/>
    <cellStyle name="Normal 10 2 10 17 3 9" xfId="2625" xr:uid="{00000000-0005-0000-0000-0000020A0000}"/>
    <cellStyle name="Normal 10 2 10 17 4" xfId="2626" xr:uid="{00000000-0005-0000-0000-0000030A0000}"/>
    <cellStyle name="Normal 10 2 10 17 4 10" xfId="2627" xr:uid="{00000000-0005-0000-0000-0000040A0000}"/>
    <cellStyle name="Normal 10 2 10 17 4 2" xfId="2628" xr:uid="{00000000-0005-0000-0000-0000050A0000}"/>
    <cellStyle name="Normal 10 2 10 17 4 3" xfId="2629" xr:uid="{00000000-0005-0000-0000-0000060A0000}"/>
    <cellStyle name="Normal 10 2 10 17 4 4" xfId="2630" xr:uid="{00000000-0005-0000-0000-0000070A0000}"/>
    <cellStyle name="Normal 10 2 10 17 4 5" xfId="2631" xr:uid="{00000000-0005-0000-0000-0000080A0000}"/>
    <cellStyle name="Normal 10 2 10 17 4 6" xfId="2632" xr:uid="{00000000-0005-0000-0000-0000090A0000}"/>
    <cellStyle name="Normal 10 2 10 17 4 7" xfId="2633" xr:uid="{00000000-0005-0000-0000-00000A0A0000}"/>
    <cellStyle name="Normal 10 2 10 17 4 8" xfId="2634" xr:uid="{00000000-0005-0000-0000-00000B0A0000}"/>
    <cellStyle name="Normal 10 2 10 17 4 9" xfId="2635" xr:uid="{00000000-0005-0000-0000-00000C0A0000}"/>
    <cellStyle name="Normal 10 2 10 17 5" xfId="2636" xr:uid="{00000000-0005-0000-0000-00000D0A0000}"/>
    <cellStyle name="Normal 10 2 10 17 5 10" xfId="2637" xr:uid="{00000000-0005-0000-0000-00000E0A0000}"/>
    <cellStyle name="Normal 10 2 10 17 5 2" xfId="2638" xr:uid="{00000000-0005-0000-0000-00000F0A0000}"/>
    <cellStyle name="Normal 10 2 10 17 5 3" xfId="2639" xr:uid="{00000000-0005-0000-0000-0000100A0000}"/>
    <cellStyle name="Normal 10 2 10 17 5 4" xfId="2640" xr:uid="{00000000-0005-0000-0000-0000110A0000}"/>
    <cellStyle name="Normal 10 2 10 17 5 5" xfId="2641" xr:uid="{00000000-0005-0000-0000-0000120A0000}"/>
    <cellStyle name="Normal 10 2 10 17 5 6" xfId="2642" xr:uid="{00000000-0005-0000-0000-0000130A0000}"/>
    <cellStyle name="Normal 10 2 10 17 5 7" xfId="2643" xr:uid="{00000000-0005-0000-0000-0000140A0000}"/>
    <cellStyle name="Normal 10 2 10 17 5 8" xfId="2644" xr:uid="{00000000-0005-0000-0000-0000150A0000}"/>
    <cellStyle name="Normal 10 2 10 17 5 9" xfId="2645" xr:uid="{00000000-0005-0000-0000-0000160A0000}"/>
    <cellStyle name="Normal 10 2 10 17 6" xfId="2646" xr:uid="{00000000-0005-0000-0000-0000170A0000}"/>
    <cellStyle name="Normal 10 2 10 17 7" xfId="2647" xr:uid="{00000000-0005-0000-0000-0000180A0000}"/>
    <cellStyle name="Normal 10 2 10 17 8" xfId="2648" xr:uid="{00000000-0005-0000-0000-0000190A0000}"/>
    <cellStyle name="Normal 10 2 10 17 9" xfId="2649" xr:uid="{00000000-0005-0000-0000-00001A0A0000}"/>
    <cellStyle name="Normal 10 2 10 18" xfId="2650" xr:uid="{00000000-0005-0000-0000-00001B0A0000}"/>
    <cellStyle name="Normal 10 2 10 18 10" xfId="2651" xr:uid="{00000000-0005-0000-0000-00001C0A0000}"/>
    <cellStyle name="Normal 10 2 10 18 11" xfId="2652" xr:uid="{00000000-0005-0000-0000-00001D0A0000}"/>
    <cellStyle name="Normal 10 2 10 18 12" xfId="2653" xr:uid="{00000000-0005-0000-0000-00001E0A0000}"/>
    <cellStyle name="Normal 10 2 10 18 13" xfId="2654" xr:uid="{00000000-0005-0000-0000-00001F0A0000}"/>
    <cellStyle name="Normal 10 2 10 18 14" xfId="2655" xr:uid="{00000000-0005-0000-0000-0000200A0000}"/>
    <cellStyle name="Normal 10 2 10 18 2" xfId="2656" xr:uid="{00000000-0005-0000-0000-0000210A0000}"/>
    <cellStyle name="Normal 10 2 10 18 2 10" xfId="2657" xr:uid="{00000000-0005-0000-0000-0000220A0000}"/>
    <cellStyle name="Normal 10 2 10 18 2 2" xfId="2658" xr:uid="{00000000-0005-0000-0000-0000230A0000}"/>
    <cellStyle name="Normal 10 2 10 18 2 3" xfId="2659" xr:uid="{00000000-0005-0000-0000-0000240A0000}"/>
    <cellStyle name="Normal 10 2 10 18 2 4" xfId="2660" xr:uid="{00000000-0005-0000-0000-0000250A0000}"/>
    <cellStyle name="Normal 10 2 10 18 2 5" xfId="2661" xr:uid="{00000000-0005-0000-0000-0000260A0000}"/>
    <cellStyle name="Normal 10 2 10 18 2 6" xfId="2662" xr:uid="{00000000-0005-0000-0000-0000270A0000}"/>
    <cellStyle name="Normal 10 2 10 18 2 7" xfId="2663" xr:uid="{00000000-0005-0000-0000-0000280A0000}"/>
    <cellStyle name="Normal 10 2 10 18 2 8" xfId="2664" xr:uid="{00000000-0005-0000-0000-0000290A0000}"/>
    <cellStyle name="Normal 10 2 10 18 2 9" xfId="2665" xr:uid="{00000000-0005-0000-0000-00002A0A0000}"/>
    <cellStyle name="Normal 10 2 10 18 3" xfId="2666" xr:uid="{00000000-0005-0000-0000-00002B0A0000}"/>
    <cellStyle name="Normal 10 2 10 18 3 10" xfId="2667" xr:uid="{00000000-0005-0000-0000-00002C0A0000}"/>
    <cellStyle name="Normal 10 2 10 18 3 2" xfId="2668" xr:uid="{00000000-0005-0000-0000-00002D0A0000}"/>
    <cellStyle name="Normal 10 2 10 18 3 3" xfId="2669" xr:uid="{00000000-0005-0000-0000-00002E0A0000}"/>
    <cellStyle name="Normal 10 2 10 18 3 4" xfId="2670" xr:uid="{00000000-0005-0000-0000-00002F0A0000}"/>
    <cellStyle name="Normal 10 2 10 18 3 5" xfId="2671" xr:uid="{00000000-0005-0000-0000-0000300A0000}"/>
    <cellStyle name="Normal 10 2 10 18 3 6" xfId="2672" xr:uid="{00000000-0005-0000-0000-0000310A0000}"/>
    <cellStyle name="Normal 10 2 10 18 3 7" xfId="2673" xr:uid="{00000000-0005-0000-0000-0000320A0000}"/>
    <cellStyle name="Normal 10 2 10 18 3 8" xfId="2674" xr:uid="{00000000-0005-0000-0000-0000330A0000}"/>
    <cellStyle name="Normal 10 2 10 18 3 9" xfId="2675" xr:uid="{00000000-0005-0000-0000-0000340A0000}"/>
    <cellStyle name="Normal 10 2 10 18 4" xfId="2676" xr:uid="{00000000-0005-0000-0000-0000350A0000}"/>
    <cellStyle name="Normal 10 2 10 18 4 10" xfId="2677" xr:uid="{00000000-0005-0000-0000-0000360A0000}"/>
    <cellStyle name="Normal 10 2 10 18 4 2" xfId="2678" xr:uid="{00000000-0005-0000-0000-0000370A0000}"/>
    <cellStyle name="Normal 10 2 10 18 4 3" xfId="2679" xr:uid="{00000000-0005-0000-0000-0000380A0000}"/>
    <cellStyle name="Normal 10 2 10 18 4 4" xfId="2680" xr:uid="{00000000-0005-0000-0000-0000390A0000}"/>
    <cellStyle name="Normal 10 2 10 18 4 5" xfId="2681" xr:uid="{00000000-0005-0000-0000-00003A0A0000}"/>
    <cellStyle name="Normal 10 2 10 18 4 6" xfId="2682" xr:uid="{00000000-0005-0000-0000-00003B0A0000}"/>
    <cellStyle name="Normal 10 2 10 18 4 7" xfId="2683" xr:uid="{00000000-0005-0000-0000-00003C0A0000}"/>
    <cellStyle name="Normal 10 2 10 18 4 8" xfId="2684" xr:uid="{00000000-0005-0000-0000-00003D0A0000}"/>
    <cellStyle name="Normal 10 2 10 18 4 9" xfId="2685" xr:uid="{00000000-0005-0000-0000-00003E0A0000}"/>
    <cellStyle name="Normal 10 2 10 18 5" xfId="2686" xr:uid="{00000000-0005-0000-0000-00003F0A0000}"/>
    <cellStyle name="Normal 10 2 10 18 5 10" xfId="2687" xr:uid="{00000000-0005-0000-0000-0000400A0000}"/>
    <cellStyle name="Normal 10 2 10 18 5 2" xfId="2688" xr:uid="{00000000-0005-0000-0000-0000410A0000}"/>
    <cellStyle name="Normal 10 2 10 18 5 3" xfId="2689" xr:uid="{00000000-0005-0000-0000-0000420A0000}"/>
    <cellStyle name="Normal 10 2 10 18 5 4" xfId="2690" xr:uid="{00000000-0005-0000-0000-0000430A0000}"/>
    <cellStyle name="Normal 10 2 10 18 5 5" xfId="2691" xr:uid="{00000000-0005-0000-0000-0000440A0000}"/>
    <cellStyle name="Normal 10 2 10 18 5 6" xfId="2692" xr:uid="{00000000-0005-0000-0000-0000450A0000}"/>
    <cellStyle name="Normal 10 2 10 18 5 7" xfId="2693" xr:uid="{00000000-0005-0000-0000-0000460A0000}"/>
    <cellStyle name="Normal 10 2 10 18 5 8" xfId="2694" xr:uid="{00000000-0005-0000-0000-0000470A0000}"/>
    <cellStyle name="Normal 10 2 10 18 5 9" xfId="2695" xr:uid="{00000000-0005-0000-0000-0000480A0000}"/>
    <cellStyle name="Normal 10 2 10 18 6" xfId="2696" xr:uid="{00000000-0005-0000-0000-0000490A0000}"/>
    <cellStyle name="Normal 10 2 10 18 7" xfId="2697" xr:uid="{00000000-0005-0000-0000-00004A0A0000}"/>
    <cellStyle name="Normal 10 2 10 18 8" xfId="2698" xr:uid="{00000000-0005-0000-0000-00004B0A0000}"/>
    <cellStyle name="Normal 10 2 10 18 9" xfId="2699" xr:uid="{00000000-0005-0000-0000-00004C0A0000}"/>
    <cellStyle name="Normal 10 2 10 19" xfId="2700" xr:uid="{00000000-0005-0000-0000-00004D0A0000}"/>
    <cellStyle name="Normal 10 2 10 19 10" xfId="2701" xr:uid="{00000000-0005-0000-0000-00004E0A0000}"/>
    <cellStyle name="Normal 10 2 10 19 11" xfId="2702" xr:uid="{00000000-0005-0000-0000-00004F0A0000}"/>
    <cellStyle name="Normal 10 2 10 19 12" xfId="2703" xr:uid="{00000000-0005-0000-0000-0000500A0000}"/>
    <cellStyle name="Normal 10 2 10 19 13" xfId="2704" xr:uid="{00000000-0005-0000-0000-0000510A0000}"/>
    <cellStyle name="Normal 10 2 10 19 14" xfId="2705" xr:uid="{00000000-0005-0000-0000-0000520A0000}"/>
    <cellStyle name="Normal 10 2 10 19 2" xfId="2706" xr:uid="{00000000-0005-0000-0000-0000530A0000}"/>
    <cellStyle name="Normal 10 2 10 19 2 10" xfId="2707" xr:uid="{00000000-0005-0000-0000-0000540A0000}"/>
    <cellStyle name="Normal 10 2 10 19 2 2" xfId="2708" xr:uid="{00000000-0005-0000-0000-0000550A0000}"/>
    <cellStyle name="Normal 10 2 10 19 2 3" xfId="2709" xr:uid="{00000000-0005-0000-0000-0000560A0000}"/>
    <cellStyle name="Normal 10 2 10 19 2 4" xfId="2710" xr:uid="{00000000-0005-0000-0000-0000570A0000}"/>
    <cellStyle name="Normal 10 2 10 19 2 5" xfId="2711" xr:uid="{00000000-0005-0000-0000-0000580A0000}"/>
    <cellStyle name="Normal 10 2 10 19 2 6" xfId="2712" xr:uid="{00000000-0005-0000-0000-0000590A0000}"/>
    <cellStyle name="Normal 10 2 10 19 2 7" xfId="2713" xr:uid="{00000000-0005-0000-0000-00005A0A0000}"/>
    <cellStyle name="Normal 10 2 10 19 2 8" xfId="2714" xr:uid="{00000000-0005-0000-0000-00005B0A0000}"/>
    <cellStyle name="Normal 10 2 10 19 2 9" xfId="2715" xr:uid="{00000000-0005-0000-0000-00005C0A0000}"/>
    <cellStyle name="Normal 10 2 10 19 3" xfId="2716" xr:uid="{00000000-0005-0000-0000-00005D0A0000}"/>
    <cellStyle name="Normal 10 2 10 19 3 10" xfId="2717" xr:uid="{00000000-0005-0000-0000-00005E0A0000}"/>
    <cellStyle name="Normal 10 2 10 19 3 2" xfId="2718" xr:uid="{00000000-0005-0000-0000-00005F0A0000}"/>
    <cellStyle name="Normal 10 2 10 19 3 3" xfId="2719" xr:uid="{00000000-0005-0000-0000-0000600A0000}"/>
    <cellStyle name="Normal 10 2 10 19 3 4" xfId="2720" xr:uid="{00000000-0005-0000-0000-0000610A0000}"/>
    <cellStyle name="Normal 10 2 10 19 3 5" xfId="2721" xr:uid="{00000000-0005-0000-0000-0000620A0000}"/>
    <cellStyle name="Normal 10 2 10 19 3 6" xfId="2722" xr:uid="{00000000-0005-0000-0000-0000630A0000}"/>
    <cellStyle name="Normal 10 2 10 19 3 7" xfId="2723" xr:uid="{00000000-0005-0000-0000-0000640A0000}"/>
    <cellStyle name="Normal 10 2 10 19 3 8" xfId="2724" xr:uid="{00000000-0005-0000-0000-0000650A0000}"/>
    <cellStyle name="Normal 10 2 10 19 3 9" xfId="2725" xr:uid="{00000000-0005-0000-0000-0000660A0000}"/>
    <cellStyle name="Normal 10 2 10 19 4" xfId="2726" xr:uid="{00000000-0005-0000-0000-0000670A0000}"/>
    <cellStyle name="Normal 10 2 10 19 4 10" xfId="2727" xr:uid="{00000000-0005-0000-0000-0000680A0000}"/>
    <cellStyle name="Normal 10 2 10 19 4 2" xfId="2728" xr:uid="{00000000-0005-0000-0000-0000690A0000}"/>
    <cellStyle name="Normal 10 2 10 19 4 3" xfId="2729" xr:uid="{00000000-0005-0000-0000-00006A0A0000}"/>
    <cellStyle name="Normal 10 2 10 19 4 4" xfId="2730" xr:uid="{00000000-0005-0000-0000-00006B0A0000}"/>
    <cellStyle name="Normal 10 2 10 19 4 5" xfId="2731" xr:uid="{00000000-0005-0000-0000-00006C0A0000}"/>
    <cellStyle name="Normal 10 2 10 19 4 6" xfId="2732" xr:uid="{00000000-0005-0000-0000-00006D0A0000}"/>
    <cellStyle name="Normal 10 2 10 19 4 7" xfId="2733" xr:uid="{00000000-0005-0000-0000-00006E0A0000}"/>
    <cellStyle name="Normal 10 2 10 19 4 8" xfId="2734" xr:uid="{00000000-0005-0000-0000-00006F0A0000}"/>
    <cellStyle name="Normal 10 2 10 19 4 9" xfId="2735" xr:uid="{00000000-0005-0000-0000-0000700A0000}"/>
    <cellStyle name="Normal 10 2 10 19 5" xfId="2736" xr:uid="{00000000-0005-0000-0000-0000710A0000}"/>
    <cellStyle name="Normal 10 2 10 19 5 10" xfId="2737" xr:uid="{00000000-0005-0000-0000-0000720A0000}"/>
    <cellStyle name="Normal 10 2 10 19 5 2" xfId="2738" xr:uid="{00000000-0005-0000-0000-0000730A0000}"/>
    <cellStyle name="Normal 10 2 10 19 5 3" xfId="2739" xr:uid="{00000000-0005-0000-0000-0000740A0000}"/>
    <cellStyle name="Normal 10 2 10 19 5 4" xfId="2740" xr:uid="{00000000-0005-0000-0000-0000750A0000}"/>
    <cellStyle name="Normal 10 2 10 19 5 5" xfId="2741" xr:uid="{00000000-0005-0000-0000-0000760A0000}"/>
    <cellStyle name="Normal 10 2 10 19 5 6" xfId="2742" xr:uid="{00000000-0005-0000-0000-0000770A0000}"/>
    <cellStyle name="Normal 10 2 10 19 5 7" xfId="2743" xr:uid="{00000000-0005-0000-0000-0000780A0000}"/>
    <cellStyle name="Normal 10 2 10 19 5 8" xfId="2744" xr:uid="{00000000-0005-0000-0000-0000790A0000}"/>
    <cellStyle name="Normal 10 2 10 19 5 9" xfId="2745" xr:uid="{00000000-0005-0000-0000-00007A0A0000}"/>
    <cellStyle name="Normal 10 2 10 19 6" xfId="2746" xr:uid="{00000000-0005-0000-0000-00007B0A0000}"/>
    <cellStyle name="Normal 10 2 10 19 7" xfId="2747" xr:uid="{00000000-0005-0000-0000-00007C0A0000}"/>
    <cellStyle name="Normal 10 2 10 19 8" xfId="2748" xr:uid="{00000000-0005-0000-0000-00007D0A0000}"/>
    <cellStyle name="Normal 10 2 10 19 9" xfId="2749" xr:uid="{00000000-0005-0000-0000-00007E0A0000}"/>
    <cellStyle name="Normal 10 2 10 2" xfId="50" xr:uid="{00000000-0005-0000-0000-00007F0A0000}"/>
    <cellStyle name="Normal 10 2 10 2 10" xfId="2751" xr:uid="{00000000-0005-0000-0000-0000800A0000}"/>
    <cellStyle name="Normal 10 2 10 2 10 10" xfId="2752" xr:uid="{00000000-0005-0000-0000-0000810A0000}"/>
    <cellStyle name="Normal 10 2 10 2 10 11" xfId="2753" xr:uid="{00000000-0005-0000-0000-0000820A0000}"/>
    <cellStyle name="Normal 10 2 10 2 10 12" xfId="2754" xr:uid="{00000000-0005-0000-0000-0000830A0000}"/>
    <cellStyle name="Normal 10 2 10 2 10 13" xfId="2755" xr:uid="{00000000-0005-0000-0000-0000840A0000}"/>
    <cellStyle name="Normal 10 2 10 2 10 14" xfId="2756" xr:uid="{00000000-0005-0000-0000-0000850A0000}"/>
    <cellStyle name="Normal 10 2 10 2 10 2" xfId="2757" xr:uid="{00000000-0005-0000-0000-0000860A0000}"/>
    <cellStyle name="Normal 10 2 10 2 10 2 10" xfId="2758" xr:uid="{00000000-0005-0000-0000-0000870A0000}"/>
    <cellStyle name="Normal 10 2 10 2 10 2 2" xfId="2759" xr:uid="{00000000-0005-0000-0000-0000880A0000}"/>
    <cellStyle name="Normal 10 2 10 2 10 2 3" xfId="2760" xr:uid="{00000000-0005-0000-0000-0000890A0000}"/>
    <cellStyle name="Normal 10 2 10 2 10 2 4" xfId="2761" xr:uid="{00000000-0005-0000-0000-00008A0A0000}"/>
    <cellStyle name="Normal 10 2 10 2 10 2 5" xfId="2762" xr:uid="{00000000-0005-0000-0000-00008B0A0000}"/>
    <cellStyle name="Normal 10 2 10 2 10 2 6" xfId="2763" xr:uid="{00000000-0005-0000-0000-00008C0A0000}"/>
    <cellStyle name="Normal 10 2 10 2 10 2 7" xfId="2764" xr:uid="{00000000-0005-0000-0000-00008D0A0000}"/>
    <cellStyle name="Normal 10 2 10 2 10 2 8" xfId="2765" xr:uid="{00000000-0005-0000-0000-00008E0A0000}"/>
    <cellStyle name="Normal 10 2 10 2 10 2 9" xfId="2766" xr:uid="{00000000-0005-0000-0000-00008F0A0000}"/>
    <cellStyle name="Normal 10 2 10 2 10 3" xfId="2767" xr:uid="{00000000-0005-0000-0000-0000900A0000}"/>
    <cellStyle name="Normal 10 2 10 2 10 3 10" xfId="2768" xr:uid="{00000000-0005-0000-0000-0000910A0000}"/>
    <cellStyle name="Normal 10 2 10 2 10 3 2" xfId="2769" xr:uid="{00000000-0005-0000-0000-0000920A0000}"/>
    <cellStyle name="Normal 10 2 10 2 10 3 3" xfId="2770" xr:uid="{00000000-0005-0000-0000-0000930A0000}"/>
    <cellStyle name="Normal 10 2 10 2 10 3 4" xfId="2771" xr:uid="{00000000-0005-0000-0000-0000940A0000}"/>
    <cellStyle name="Normal 10 2 10 2 10 3 5" xfId="2772" xr:uid="{00000000-0005-0000-0000-0000950A0000}"/>
    <cellStyle name="Normal 10 2 10 2 10 3 6" xfId="2773" xr:uid="{00000000-0005-0000-0000-0000960A0000}"/>
    <cellStyle name="Normal 10 2 10 2 10 3 7" xfId="2774" xr:uid="{00000000-0005-0000-0000-0000970A0000}"/>
    <cellStyle name="Normal 10 2 10 2 10 3 8" xfId="2775" xr:uid="{00000000-0005-0000-0000-0000980A0000}"/>
    <cellStyle name="Normal 10 2 10 2 10 3 9" xfId="2776" xr:uid="{00000000-0005-0000-0000-0000990A0000}"/>
    <cellStyle name="Normal 10 2 10 2 10 4" xfId="2777" xr:uid="{00000000-0005-0000-0000-00009A0A0000}"/>
    <cellStyle name="Normal 10 2 10 2 10 4 10" xfId="2778" xr:uid="{00000000-0005-0000-0000-00009B0A0000}"/>
    <cellStyle name="Normal 10 2 10 2 10 4 2" xfId="2779" xr:uid="{00000000-0005-0000-0000-00009C0A0000}"/>
    <cellStyle name="Normal 10 2 10 2 10 4 3" xfId="2780" xr:uid="{00000000-0005-0000-0000-00009D0A0000}"/>
    <cellStyle name="Normal 10 2 10 2 10 4 4" xfId="2781" xr:uid="{00000000-0005-0000-0000-00009E0A0000}"/>
    <cellStyle name="Normal 10 2 10 2 10 4 5" xfId="2782" xr:uid="{00000000-0005-0000-0000-00009F0A0000}"/>
    <cellStyle name="Normal 10 2 10 2 10 4 6" xfId="2783" xr:uid="{00000000-0005-0000-0000-0000A00A0000}"/>
    <cellStyle name="Normal 10 2 10 2 10 4 7" xfId="2784" xr:uid="{00000000-0005-0000-0000-0000A10A0000}"/>
    <cellStyle name="Normal 10 2 10 2 10 4 8" xfId="2785" xr:uid="{00000000-0005-0000-0000-0000A20A0000}"/>
    <cellStyle name="Normal 10 2 10 2 10 4 9" xfId="2786" xr:uid="{00000000-0005-0000-0000-0000A30A0000}"/>
    <cellStyle name="Normal 10 2 10 2 10 5" xfId="2787" xr:uid="{00000000-0005-0000-0000-0000A40A0000}"/>
    <cellStyle name="Normal 10 2 10 2 10 5 10" xfId="2788" xr:uid="{00000000-0005-0000-0000-0000A50A0000}"/>
    <cellStyle name="Normal 10 2 10 2 10 5 2" xfId="2789" xr:uid="{00000000-0005-0000-0000-0000A60A0000}"/>
    <cellStyle name="Normal 10 2 10 2 10 5 3" xfId="2790" xr:uid="{00000000-0005-0000-0000-0000A70A0000}"/>
    <cellStyle name="Normal 10 2 10 2 10 5 4" xfId="2791" xr:uid="{00000000-0005-0000-0000-0000A80A0000}"/>
    <cellStyle name="Normal 10 2 10 2 10 5 5" xfId="2792" xr:uid="{00000000-0005-0000-0000-0000A90A0000}"/>
    <cellStyle name="Normal 10 2 10 2 10 5 6" xfId="2793" xr:uid="{00000000-0005-0000-0000-0000AA0A0000}"/>
    <cellStyle name="Normal 10 2 10 2 10 5 7" xfId="2794" xr:uid="{00000000-0005-0000-0000-0000AB0A0000}"/>
    <cellStyle name="Normal 10 2 10 2 10 5 8" xfId="2795" xr:uid="{00000000-0005-0000-0000-0000AC0A0000}"/>
    <cellStyle name="Normal 10 2 10 2 10 5 9" xfId="2796" xr:uid="{00000000-0005-0000-0000-0000AD0A0000}"/>
    <cellStyle name="Normal 10 2 10 2 10 6" xfId="2797" xr:uid="{00000000-0005-0000-0000-0000AE0A0000}"/>
    <cellStyle name="Normal 10 2 10 2 10 7" xfId="2798" xr:uid="{00000000-0005-0000-0000-0000AF0A0000}"/>
    <cellStyle name="Normal 10 2 10 2 10 8" xfId="2799" xr:uid="{00000000-0005-0000-0000-0000B00A0000}"/>
    <cellStyle name="Normal 10 2 10 2 10 9" xfId="2800" xr:uid="{00000000-0005-0000-0000-0000B10A0000}"/>
    <cellStyle name="Normal 10 2 10 2 11" xfId="2801" xr:uid="{00000000-0005-0000-0000-0000B20A0000}"/>
    <cellStyle name="Normal 10 2 10 2 11 10" xfId="2802" xr:uid="{00000000-0005-0000-0000-0000B30A0000}"/>
    <cellStyle name="Normal 10 2 10 2 11 11" xfId="2803" xr:uid="{00000000-0005-0000-0000-0000B40A0000}"/>
    <cellStyle name="Normal 10 2 10 2 11 12" xfId="2804" xr:uid="{00000000-0005-0000-0000-0000B50A0000}"/>
    <cellStyle name="Normal 10 2 10 2 11 13" xfId="2805" xr:uid="{00000000-0005-0000-0000-0000B60A0000}"/>
    <cellStyle name="Normal 10 2 10 2 11 14" xfId="2806" xr:uid="{00000000-0005-0000-0000-0000B70A0000}"/>
    <cellStyle name="Normal 10 2 10 2 11 2" xfId="2807" xr:uid="{00000000-0005-0000-0000-0000B80A0000}"/>
    <cellStyle name="Normal 10 2 10 2 11 2 10" xfId="2808" xr:uid="{00000000-0005-0000-0000-0000B90A0000}"/>
    <cellStyle name="Normal 10 2 10 2 11 2 2" xfId="2809" xr:uid="{00000000-0005-0000-0000-0000BA0A0000}"/>
    <cellStyle name="Normal 10 2 10 2 11 2 3" xfId="2810" xr:uid="{00000000-0005-0000-0000-0000BB0A0000}"/>
    <cellStyle name="Normal 10 2 10 2 11 2 4" xfId="2811" xr:uid="{00000000-0005-0000-0000-0000BC0A0000}"/>
    <cellStyle name="Normal 10 2 10 2 11 2 5" xfId="2812" xr:uid="{00000000-0005-0000-0000-0000BD0A0000}"/>
    <cellStyle name="Normal 10 2 10 2 11 2 6" xfId="2813" xr:uid="{00000000-0005-0000-0000-0000BE0A0000}"/>
    <cellStyle name="Normal 10 2 10 2 11 2 7" xfId="2814" xr:uid="{00000000-0005-0000-0000-0000BF0A0000}"/>
    <cellStyle name="Normal 10 2 10 2 11 2 8" xfId="2815" xr:uid="{00000000-0005-0000-0000-0000C00A0000}"/>
    <cellStyle name="Normal 10 2 10 2 11 2 9" xfId="2816" xr:uid="{00000000-0005-0000-0000-0000C10A0000}"/>
    <cellStyle name="Normal 10 2 10 2 11 3" xfId="2817" xr:uid="{00000000-0005-0000-0000-0000C20A0000}"/>
    <cellStyle name="Normal 10 2 10 2 11 3 10" xfId="2818" xr:uid="{00000000-0005-0000-0000-0000C30A0000}"/>
    <cellStyle name="Normal 10 2 10 2 11 3 2" xfId="2819" xr:uid="{00000000-0005-0000-0000-0000C40A0000}"/>
    <cellStyle name="Normal 10 2 10 2 11 3 3" xfId="2820" xr:uid="{00000000-0005-0000-0000-0000C50A0000}"/>
    <cellStyle name="Normal 10 2 10 2 11 3 4" xfId="2821" xr:uid="{00000000-0005-0000-0000-0000C60A0000}"/>
    <cellStyle name="Normal 10 2 10 2 11 3 5" xfId="2822" xr:uid="{00000000-0005-0000-0000-0000C70A0000}"/>
    <cellStyle name="Normal 10 2 10 2 11 3 6" xfId="2823" xr:uid="{00000000-0005-0000-0000-0000C80A0000}"/>
    <cellStyle name="Normal 10 2 10 2 11 3 7" xfId="2824" xr:uid="{00000000-0005-0000-0000-0000C90A0000}"/>
    <cellStyle name="Normal 10 2 10 2 11 3 8" xfId="2825" xr:uid="{00000000-0005-0000-0000-0000CA0A0000}"/>
    <cellStyle name="Normal 10 2 10 2 11 3 9" xfId="2826" xr:uid="{00000000-0005-0000-0000-0000CB0A0000}"/>
    <cellStyle name="Normal 10 2 10 2 11 4" xfId="2827" xr:uid="{00000000-0005-0000-0000-0000CC0A0000}"/>
    <cellStyle name="Normal 10 2 10 2 11 4 10" xfId="2828" xr:uid="{00000000-0005-0000-0000-0000CD0A0000}"/>
    <cellStyle name="Normal 10 2 10 2 11 4 2" xfId="2829" xr:uid="{00000000-0005-0000-0000-0000CE0A0000}"/>
    <cellStyle name="Normal 10 2 10 2 11 4 3" xfId="2830" xr:uid="{00000000-0005-0000-0000-0000CF0A0000}"/>
    <cellStyle name="Normal 10 2 10 2 11 4 4" xfId="2831" xr:uid="{00000000-0005-0000-0000-0000D00A0000}"/>
    <cellStyle name="Normal 10 2 10 2 11 4 5" xfId="2832" xr:uid="{00000000-0005-0000-0000-0000D10A0000}"/>
    <cellStyle name="Normal 10 2 10 2 11 4 6" xfId="2833" xr:uid="{00000000-0005-0000-0000-0000D20A0000}"/>
    <cellStyle name="Normal 10 2 10 2 11 4 7" xfId="2834" xr:uid="{00000000-0005-0000-0000-0000D30A0000}"/>
    <cellStyle name="Normal 10 2 10 2 11 4 8" xfId="2835" xr:uid="{00000000-0005-0000-0000-0000D40A0000}"/>
    <cellStyle name="Normal 10 2 10 2 11 4 9" xfId="2836" xr:uid="{00000000-0005-0000-0000-0000D50A0000}"/>
    <cellStyle name="Normal 10 2 10 2 11 5" xfId="2837" xr:uid="{00000000-0005-0000-0000-0000D60A0000}"/>
    <cellStyle name="Normal 10 2 10 2 11 5 10" xfId="2838" xr:uid="{00000000-0005-0000-0000-0000D70A0000}"/>
    <cellStyle name="Normal 10 2 10 2 11 5 2" xfId="2839" xr:uid="{00000000-0005-0000-0000-0000D80A0000}"/>
    <cellStyle name="Normal 10 2 10 2 11 5 3" xfId="2840" xr:uid="{00000000-0005-0000-0000-0000D90A0000}"/>
    <cellStyle name="Normal 10 2 10 2 11 5 4" xfId="2841" xr:uid="{00000000-0005-0000-0000-0000DA0A0000}"/>
    <cellStyle name="Normal 10 2 10 2 11 5 5" xfId="2842" xr:uid="{00000000-0005-0000-0000-0000DB0A0000}"/>
    <cellStyle name="Normal 10 2 10 2 11 5 6" xfId="2843" xr:uid="{00000000-0005-0000-0000-0000DC0A0000}"/>
    <cellStyle name="Normal 10 2 10 2 11 5 7" xfId="2844" xr:uid="{00000000-0005-0000-0000-0000DD0A0000}"/>
    <cellStyle name="Normal 10 2 10 2 11 5 8" xfId="2845" xr:uid="{00000000-0005-0000-0000-0000DE0A0000}"/>
    <cellStyle name="Normal 10 2 10 2 11 5 9" xfId="2846" xr:uid="{00000000-0005-0000-0000-0000DF0A0000}"/>
    <cellStyle name="Normal 10 2 10 2 11 6" xfId="2847" xr:uid="{00000000-0005-0000-0000-0000E00A0000}"/>
    <cellStyle name="Normal 10 2 10 2 11 7" xfId="2848" xr:uid="{00000000-0005-0000-0000-0000E10A0000}"/>
    <cellStyle name="Normal 10 2 10 2 11 8" xfId="2849" xr:uid="{00000000-0005-0000-0000-0000E20A0000}"/>
    <cellStyle name="Normal 10 2 10 2 11 9" xfId="2850" xr:uid="{00000000-0005-0000-0000-0000E30A0000}"/>
    <cellStyle name="Normal 10 2 10 2 12" xfId="2851" xr:uid="{00000000-0005-0000-0000-0000E40A0000}"/>
    <cellStyle name="Normal 10 2 10 2 12 10" xfId="2852" xr:uid="{00000000-0005-0000-0000-0000E50A0000}"/>
    <cellStyle name="Normal 10 2 10 2 12 11" xfId="2853" xr:uid="{00000000-0005-0000-0000-0000E60A0000}"/>
    <cellStyle name="Normal 10 2 10 2 12 12" xfId="2854" xr:uid="{00000000-0005-0000-0000-0000E70A0000}"/>
    <cellStyle name="Normal 10 2 10 2 12 13" xfId="2855" xr:uid="{00000000-0005-0000-0000-0000E80A0000}"/>
    <cellStyle name="Normal 10 2 10 2 12 14" xfId="2856" xr:uid="{00000000-0005-0000-0000-0000E90A0000}"/>
    <cellStyle name="Normal 10 2 10 2 12 2" xfId="2857" xr:uid="{00000000-0005-0000-0000-0000EA0A0000}"/>
    <cellStyle name="Normal 10 2 10 2 12 2 10" xfId="2858" xr:uid="{00000000-0005-0000-0000-0000EB0A0000}"/>
    <cellStyle name="Normal 10 2 10 2 12 2 2" xfId="2859" xr:uid="{00000000-0005-0000-0000-0000EC0A0000}"/>
    <cellStyle name="Normal 10 2 10 2 12 2 3" xfId="2860" xr:uid="{00000000-0005-0000-0000-0000ED0A0000}"/>
    <cellStyle name="Normal 10 2 10 2 12 2 4" xfId="2861" xr:uid="{00000000-0005-0000-0000-0000EE0A0000}"/>
    <cellStyle name="Normal 10 2 10 2 12 2 5" xfId="2862" xr:uid="{00000000-0005-0000-0000-0000EF0A0000}"/>
    <cellStyle name="Normal 10 2 10 2 12 2 6" xfId="2863" xr:uid="{00000000-0005-0000-0000-0000F00A0000}"/>
    <cellStyle name="Normal 10 2 10 2 12 2 7" xfId="2864" xr:uid="{00000000-0005-0000-0000-0000F10A0000}"/>
    <cellStyle name="Normal 10 2 10 2 12 2 8" xfId="2865" xr:uid="{00000000-0005-0000-0000-0000F20A0000}"/>
    <cellStyle name="Normal 10 2 10 2 12 2 9" xfId="2866" xr:uid="{00000000-0005-0000-0000-0000F30A0000}"/>
    <cellStyle name="Normal 10 2 10 2 12 3" xfId="2867" xr:uid="{00000000-0005-0000-0000-0000F40A0000}"/>
    <cellStyle name="Normal 10 2 10 2 12 3 10" xfId="2868" xr:uid="{00000000-0005-0000-0000-0000F50A0000}"/>
    <cellStyle name="Normal 10 2 10 2 12 3 2" xfId="2869" xr:uid="{00000000-0005-0000-0000-0000F60A0000}"/>
    <cellStyle name="Normal 10 2 10 2 12 3 3" xfId="2870" xr:uid="{00000000-0005-0000-0000-0000F70A0000}"/>
    <cellStyle name="Normal 10 2 10 2 12 3 4" xfId="2871" xr:uid="{00000000-0005-0000-0000-0000F80A0000}"/>
    <cellStyle name="Normal 10 2 10 2 12 3 5" xfId="2872" xr:uid="{00000000-0005-0000-0000-0000F90A0000}"/>
    <cellStyle name="Normal 10 2 10 2 12 3 6" xfId="2873" xr:uid="{00000000-0005-0000-0000-0000FA0A0000}"/>
    <cellStyle name="Normal 10 2 10 2 12 3 7" xfId="2874" xr:uid="{00000000-0005-0000-0000-0000FB0A0000}"/>
    <cellStyle name="Normal 10 2 10 2 12 3 8" xfId="2875" xr:uid="{00000000-0005-0000-0000-0000FC0A0000}"/>
    <cellStyle name="Normal 10 2 10 2 12 3 9" xfId="2876" xr:uid="{00000000-0005-0000-0000-0000FD0A0000}"/>
    <cellStyle name="Normal 10 2 10 2 12 4" xfId="2877" xr:uid="{00000000-0005-0000-0000-0000FE0A0000}"/>
    <cellStyle name="Normal 10 2 10 2 12 4 10" xfId="2878" xr:uid="{00000000-0005-0000-0000-0000FF0A0000}"/>
    <cellStyle name="Normal 10 2 10 2 12 4 2" xfId="2879" xr:uid="{00000000-0005-0000-0000-0000000B0000}"/>
    <cellStyle name="Normal 10 2 10 2 12 4 3" xfId="2880" xr:uid="{00000000-0005-0000-0000-0000010B0000}"/>
    <cellStyle name="Normal 10 2 10 2 12 4 4" xfId="2881" xr:uid="{00000000-0005-0000-0000-0000020B0000}"/>
    <cellStyle name="Normal 10 2 10 2 12 4 5" xfId="2882" xr:uid="{00000000-0005-0000-0000-0000030B0000}"/>
    <cellStyle name="Normal 10 2 10 2 12 4 6" xfId="2883" xr:uid="{00000000-0005-0000-0000-0000040B0000}"/>
    <cellStyle name="Normal 10 2 10 2 12 4 7" xfId="2884" xr:uid="{00000000-0005-0000-0000-0000050B0000}"/>
    <cellStyle name="Normal 10 2 10 2 12 4 8" xfId="2885" xr:uid="{00000000-0005-0000-0000-0000060B0000}"/>
    <cellStyle name="Normal 10 2 10 2 12 4 9" xfId="2886" xr:uid="{00000000-0005-0000-0000-0000070B0000}"/>
    <cellStyle name="Normal 10 2 10 2 12 5" xfId="2887" xr:uid="{00000000-0005-0000-0000-0000080B0000}"/>
    <cellStyle name="Normal 10 2 10 2 12 5 10" xfId="2888" xr:uid="{00000000-0005-0000-0000-0000090B0000}"/>
    <cellStyle name="Normal 10 2 10 2 12 5 2" xfId="2889" xr:uid="{00000000-0005-0000-0000-00000A0B0000}"/>
    <cellStyle name="Normal 10 2 10 2 12 5 3" xfId="2890" xr:uid="{00000000-0005-0000-0000-00000B0B0000}"/>
    <cellStyle name="Normal 10 2 10 2 12 5 4" xfId="2891" xr:uid="{00000000-0005-0000-0000-00000C0B0000}"/>
    <cellStyle name="Normal 10 2 10 2 12 5 5" xfId="2892" xr:uid="{00000000-0005-0000-0000-00000D0B0000}"/>
    <cellStyle name="Normal 10 2 10 2 12 5 6" xfId="2893" xr:uid="{00000000-0005-0000-0000-00000E0B0000}"/>
    <cellStyle name="Normal 10 2 10 2 12 5 7" xfId="2894" xr:uid="{00000000-0005-0000-0000-00000F0B0000}"/>
    <cellStyle name="Normal 10 2 10 2 12 5 8" xfId="2895" xr:uid="{00000000-0005-0000-0000-0000100B0000}"/>
    <cellStyle name="Normal 10 2 10 2 12 5 9" xfId="2896" xr:uid="{00000000-0005-0000-0000-0000110B0000}"/>
    <cellStyle name="Normal 10 2 10 2 12 6" xfId="2897" xr:uid="{00000000-0005-0000-0000-0000120B0000}"/>
    <cellStyle name="Normal 10 2 10 2 12 7" xfId="2898" xr:uid="{00000000-0005-0000-0000-0000130B0000}"/>
    <cellStyle name="Normal 10 2 10 2 12 8" xfId="2899" xr:uid="{00000000-0005-0000-0000-0000140B0000}"/>
    <cellStyle name="Normal 10 2 10 2 12 9" xfId="2900" xr:uid="{00000000-0005-0000-0000-0000150B0000}"/>
    <cellStyle name="Normal 10 2 10 2 13" xfId="2901" xr:uid="{00000000-0005-0000-0000-0000160B0000}"/>
    <cellStyle name="Normal 10 2 10 2 13 10" xfId="2902" xr:uid="{00000000-0005-0000-0000-0000170B0000}"/>
    <cellStyle name="Normal 10 2 10 2 13 11" xfId="2903" xr:uid="{00000000-0005-0000-0000-0000180B0000}"/>
    <cellStyle name="Normal 10 2 10 2 13 12" xfId="2904" xr:uid="{00000000-0005-0000-0000-0000190B0000}"/>
    <cellStyle name="Normal 10 2 10 2 13 13" xfId="2905" xr:uid="{00000000-0005-0000-0000-00001A0B0000}"/>
    <cellStyle name="Normal 10 2 10 2 13 14" xfId="2906" xr:uid="{00000000-0005-0000-0000-00001B0B0000}"/>
    <cellStyle name="Normal 10 2 10 2 13 2" xfId="2907" xr:uid="{00000000-0005-0000-0000-00001C0B0000}"/>
    <cellStyle name="Normal 10 2 10 2 13 2 10" xfId="2908" xr:uid="{00000000-0005-0000-0000-00001D0B0000}"/>
    <cellStyle name="Normal 10 2 10 2 13 2 2" xfId="2909" xr:uid="{00000000-0005-0000-0000-00001E0B0000}"/>
    <cellStyle name="Normal 10 2 10 2 13 2 3" xfId="2910" xr:uid="{00000000-0005-0000-0000-00001F0B0000}"/>
    <cellStyle name="Normal 10 2 10 2 13 2 4" xfId="2911" xr:uid="{00000000-0005-0000-0000-0000200B0000}"/>
    <cellStyle name="Normal 10 2 10 2 13 2 5" xfId="2912" xr:uid="{00000000-0005-0000-0000-0000210B0000}"/>
    <cellStyle name="Normal 10 2 10 2 13 2 6" xfId="2913" xr:uid="{00000000-0005-0000-0000-0000220B0000}"/>
    <cellStyle name="Normal 10 2 10 2 13 2 7" xfId="2914" xr:uid="{00000000-0005-0000-0000-0000230B0000}"/>
    <cellStyle name="Normal 10 2 10 2 13 2 8" xfId="2915" xr:uid="{00000000-0005-0000-0000-0000240B0000}"/>
    <cellStyle name="Normal 10 2 10 2 13 2 9" xfId="2916" xr:uid="{00000000-0005-0000-0000-0000250B0000}"/>
    <cellStyle name="Normal 10 2 10 2 13 3" xfId="2917" xr:uid="{00000000-0005-0000-0000-0000260B0000}"/>
    <cellStyle name="Normal 10 2 10 2 13 3 10" xfId="2918" xr:uid="{00000000-0005-0000-0000-0000270B0000}"/>
    <cellStyle name="Normal 10 2 10 2 13 3 2" xfId="2919" xr:uid="{00000000-0005-0000-0000-0000280B0000}"/>
    <cellStyle name="Normal 10 2 10 2 13 3 3" xfId="2920" xr:uid="{00000000-0005-0000-0000-0000290B0000}"/>
    <cellStyle name="Normal 10 2 10 2 13 3 4" xfId="2921" xr:uid="{00000000-0005-0000-0000-00002A0B0000}"/>
    <cellStyle name="Normal 10 2 10 2 13 3 5" xfId="2922" xr:uid="{00000000-0005-0000-0000-00002B0B0000}"/>
    <cellStyle name="Normal 10 2 10 2 13 3 6" xfId="2923" xr:uid="{00000000-0005-0000-0000-00002C0B0000}"/>
    <cellStyle name="Normal 10 2 10 2 13 3 7" xfId="2924" xr:uid="{00000000-0005-0000-0000-00002D0B0000}"/>
    <cellStyle name="Normal 10 2 10 2 13 3 8" xfId="2925" xr:uid="{00000000-0005-0000-0000-00002E0B0000}"/>
    <cellStyle name="Normal 10 2 10 2 13 3 9" xfId="2926" xr:uid="{00000000-0005-0000-0000-00002F0B0000}"/>
    <cellStyle name="Normal 10 2 10 2 13 4" xfId="2927" xr:uid="{00000000-0005-0000-0000-0000300B0000}"/>
    <cellStyle name="Normal 10 2 10 2 13 4 10" xfId="2928" xr:uid="{00000000-0005-0000-0000-0000310B0000}"/>
    <cellStyle name="Normal 10 2 10 2 13 4 2" xfId="2929" xr:uid="{00000000-0005-0000-0000-0000320B0000}"/>
    <cellStyle name="Normal 10 2 10 2 13 4 3" xfId="2930" xr:uid="{00000000-0005-0000-0000-0000330B0000}"/>
    <cellStyle name="Normal 10 2 10 2 13 4 4" xfId="2931" xr:uid="{00000000-0005-0000-0000-0000340B0000}"/>
    <cellStyle name="Normal 10 2 10 2 13 4 5" xfId="2932" xr:uid="{00000000-0005-0000-0000-0000350B0000}"/>
    <cellStyle name="Normal 10 2 10 2 13 4 6" xfId="2933" xr:uid="{00000000-0005-0000-0000-0000360B0000}"/>
    <cellStyle name="Normal 10 2 10 2 13 4 7" xfId="2934" xr:uid="{00000000-0005-0000-0000-0000370B0000}"/>
    <cellStyle name="Normal 10 2 10 2 13 4 8" xfId="2935" xr:uid="{00000000-0005-0000-0000-0000380B0000}"/>
    <cellStyle name="Normal 10 2 10 2 13 4 9" xfId="2936" xr:uid="{00000000-0005-0000-0000-0000390B0000}"/>
    <cellStyle name="Normal 10 2 10 2 13 5" xfId="2937" xr:uid="{00000000-0005-0000-0000-00003A0B0000}"/>
    <cellStyle name="Normal 10 2 10 2 13 5 10" xfId="2938" xr:uid="{00000000-0005-0000-0000-00003B0B0000}"/>
    <cellStyle name="Normal 10 2 10 2 13 5 2" xfId="2939" xr:uid="{00000000-0005-0000-0000-00003C0B0000}"/>
    <cellStyle name="Normal 10 2 10 2 13 5 3" xfId="2940" xr:uid="{00000000-0005-0000-0000-00003D0B0000}"/>
    <cellStyle name="Normal 10 2 10 2 13 5 4" xfId="2941" xr:uid="{00000000-0005-0000-0000-00003E0B0000}"/>
    <cellStyle name="Normal 10 2 10 2 13 5 5" xfId="2942" xr:uid="{00000000-0005-0000-0000-00003F0B0000}"/>
    <cellStyle name="Normal 10 2 10 2 13 5 6" xfId="2943" xr:uid="{00000000-0005-0000-0000-0000400B0000}"/>
    <cellStyle name="Normal 10 2 10 2 13 5 7" xfId="2944" xr:uid="{00000000-0005-0000-0000-0000410B0000}"/>
    <cellStyle name="Normal 10 2 10 2 13 5 8" xfId="2945" xr:uid="{00000000-0005-0000-0000-0000420B0000}"/>
    <cellStyle name="Normal 10 2 10 2 13 5 9" xfId="2946" xr:uid="{00000000-0005-0000-0000-0000430B0000}"/>
    <cellStyle name="Normal 10 2 10 2 13 6" xfId="2947" xr:uid="{00000000-0005-0000-0000-0000440B0000}"/>
    <cellStyle name="Normal 10 2 10 2 13 7" xfId="2948" xr:uid="{00000000-0005-0000-0000-0000450B0000}"/>
    <cellStyle name="Normal 10 2 10 2 13 8" xfId="2949" xr:uid="{00000000-0005-0000-0000-0000460B0000}"/>
    <cellStyle name="Normal 10 2 10 2 13 9" xfId="2950" xr:uid="{00000000-0005-0000-0000-0000470B0000}"/>
    <cellStyle name="Normal 10 2 10 2 14" xfId="2951" xr:uid="{00000000-0005-0000-0000-0000480B0000}"/>
    <cellStyle name="Normal 10 2 10 2 14 10" xfId="2952" xr:uid="{00000000-0005-0000-0000-0000490B0000}"/>
    <cellStyle name="Normal 10 2 10 2 14 11" xfId="2953" xr:uid="{00000000-0005-0000-0000-00004A0B0000}"/>
    <cellStyle name="Normal 10 2 10 2 14 12" xfId="2954" xr:uid="{00000000-0005-0000-0000-00004B0B0000}"/>
    <cellStyle name="Normal 10 2 10 2 14 13" xfId="2955" xr:uid="{00000000-0005-0000-0000-00004C0B0000}"/>
    <cellStyle name="Normal 10 2 10 2 14 14" xfId="2956" xr:uid="{00000000-0005-0000-0000-00004D0B0000}"/>
    <cellStyle name="Normal 10 2 10 2 14 2" xfId="2957" xr:uid="{00000000-0005-0000-0000-00004E0B0000}"/>
    <cellStyle name="Normal 10 2 10 2 14 2 10" xfId="2958" xr:uid="{00000000-0005-0000-0000-00004F0B0000}"/>
    <cellStyle name="Normal 10 2 10 2 14 2 2" xfId="2959" xr:uid="{00000000-0005-0000-0000-0000500B0000}"/>
    <cellStyle name="Normal 10 2 10 2 14 2 3" xfId="2960" xr:uid="{00000000-0005-0000-0000-0000510B0000}"/>
    <cellStyle name="Normal 10 2 10 2 14 2 4" xfId="2961" xr:uid="{00000000-0005-0000-0000-0000520B0000}"/>
    <cellStyle name="Normal 10 2 10 2 14 2 5" xfId="2962" xr:uid="{00000000-0005-0000-0000-0000530B0000}"/>
    <cellStyle name="Normal 10 2 10 2 14 2 6" xfId="2963" xr:uid="{00000000-0005-0000-0000-0000540B0000}"/>
    <cellStyle name="Normal 10 2 10 2 14 2 7" xfId="2964" xr:uid="{00000000-0005-0000-0000-0000550B0000}"/>
    <cellStyle name="Normal 10 2 10 2 14 2 8" xfId="2965" xr:uid="{00000000-0005-0000-0000-0000560B0000}"/>
    <cellStyle name="Normal 10 2 10 2 14 2 9" xfId="2966" xr:uid="{00000000-0005-0000-0000-0000570B0000}"/>
    <cellStyle name="Normal 10 2 10 2 14 3" xfId="2967" xr:uid="{00000000-0005-0000-0000-0000580B0000}"/>
    <cellStyle name="Normal 10 2 10 2 14 3 10" xfId="2968" xr:uid="{00000000-0005-0000-0000-0000590B0000}"/>
    <cellStyle name="Normal 10 2 10 2 14 3 2" xfId="2969" xr:uid="{00000000-0005-0000-0000-00005A0B0000}"/>
    <cellStyle name="Normal 10 2 10 2 14 3 3" xfId="2970" xr:uid="{00000000-0005-0000-0000-00005B0B0000}"/>
    <cellStyle name="Normal 10 2 10 2 14 3 4" xfId="2971" xr:uid="{00000000-0005-0000-0000-00005C0B0000}"/>
    <cellStyle name="Normal 10 2 10 2 14 3 5" xfId="2972" xr:uid="{00000000-0005-0000-0000-00005D0B0000}"/>
    <cellStyle name="Normal 10 2 10 2 14 3 6" xfId="2973" xr:uid="{00000000-0005-0000-0000-00005E0B0000}"/>
    <cellStyle name="Normal 10 2 10 2 14 3 7" xfId="2974" xr:uid="{00000000-0005-0000-0000-00005F0B0000}"/>
    <cellStyle name="Normal 10 2 10 2 14 3 8" xfId="2975" xr:uid="{00000000-0005-0000-0000-0000600B0000}"/>
    <cellStyle name="Normal 10 2 10 2 14 3 9" xfId="2976" xr:uid="{00000000-0005-0000-0000-0000610B0000}"/>
    <cellStyle name="Normal 10 2 10 2 14 4" xfId="2977" xr:uid="{00000000-0005-0000-0000-0000620B0000}"/>
    <cellStyle name="Normal 10 2 10 2 14 4 10" xfId="2978" xr:uid="{00000000-0005-0000-0000-0000630B0000}"/>
    <cellStyle name="Normal 10 2 10 2 14 4 2" xfId="2979" xr:uid="{00000000-0005-0000-0000-0000640B0000}"/>
    <cellStyle name="Normal 10 2 10 2 14 4 3" xfId="2980" xr:uid="{00000000-0005-0000-0000-0000650B0000}"/>
    <cellStyle name="Normal 10 2 10 2 14 4 4" xfId="2981" xr:uid="{00000000-0005-0000-0000-0000660B0000}"/>
    <cellStyle name="Normal 10 2 10 2 14 4 5" xfId="2982" xr:uid="{00000000-0005-0000-0000-0000670B0000}"/>
    <cellStyle name="Normal 10 2 10 2 14 4 6" xfId="2983" xr:uid="{00000000-0005-0000-0000-0000680B0000}"/>
    <cellStyle name="Normal 10 2 10 2 14 4 7" xfId="2984" xr:uid="{00000000-0005-0000-0000-0000690B0000}"/>
    <cellStyle name="Normal 10 2 10 2 14 4 8" xfId="2985" xr:uid="{00000000-0005-0000-0000-00006A0B0000}"/>
    <cellStyle name="Normal 10 2 10 2 14 4 9" xfId="2986" xr:uid="{00000000-0005-0000-0000-00006B0B0000}"/>
    <cellStyle name="Normal 10 2 10 2 14 5" xfId="2987" xr:uid="{00000000-0005-0000-0000-00006C0B0000}"/>
    <cellStyle name="Normal 10 2 10 2 14 5 10" xfId="2988" xr:uid="{00000000-0005-0000-0000-00006D0B0000}"/>
    <cellStyle name="Normal 10 2 10 2 14 5 2" xfId="2989" xr:uid="{00000000-0005-0000-0000-00006E0B0000}"/>
    <cellStyle name="Normal 10 2 10 2 14 5 3" xfId="2990" xr:uid="{00000000-0005-0000-0000-00006F0B0000}"/>
    <cellStyle name="Normal 10 2 10 2 14 5 4" xfId="2991" xr:uid="{00000000-0005-0000-0000-0000700B0000}"/>
    <cellStyle name="Normal 10 2 10 2 14 5 5" xfId="2992" xr:uid="{00000000-0005-0000-0000-0000710B0000}"/>
    <cellStyle name="Normal 10 2 10 2 14 5 6" xfId="2993" xr:uid="{00000000-0005-0000-0000-0000720B0000}"/>
    <cellStyle name="Normal 10 2 10 2 14 5 7" xfId="2994" xr:uid="{00000000-0005-0000-0000-0000730B0000}"/>
    <cellStyle name="Normal 10 2 10 2 14 5 8" xfId="2995" xr:uid="{00000000-0005-0000-0000-0000740B0000}"/>
    <cellStyle name="Normal 10 2 10 2 14 5 9" xfId="2996" xr:uid="{00000000-0005-0000-0000-0000750B0000}"/>
    <cellStyle name="Normal 10 2 10 2 14 6" xfId="2997" xr:uid="{00000000-0005-0000-0000-0000760B0000}"/>
    <cellStyle name="Normal 10 2 10 2 14 7" xfId="2998" xr:uid="{00000000-0005-0000-0000-0000770B0000}"/>
    <cellStyle name="Normal 10 2 10 2 14 8" xfId="2999" xr:uid="{00000000-0005-0000-0000-0000780B0000}"/>
    <cellStyle name="Normal 10 2 10 2 14 9" xfId="3000" xr:uid="{00000000-0005-0000-0000-0000790B0000}"/>
    <cellStyle name="Normal 10 2 10 2 15" xfId="3001" xr:uid="{00000000-0005-0000-0000-00007A0B0000}"/>
    <cellStyle name="Normal 10 2 10 2 15 10" xfId="3002" xr:uid="{00000000-0005-0000-0000-00007B0B0000}"/>
    <cellStyle name="Normal 10 2 10 2 15 11" xfId="3003" xr:uid="{00000000-0005-0000-0000-00007C0B0000}"/>
    <cellStyle name="Normal 10 2 10 2 15 12" xfId="3004" xr:uid="{00000000-0005-0000-0000-00007D0B0000}"/>
    <cellStyle name="Normal 10 2 10 2 15 13" xfId="3005" xr:uid="{00000000-0005-0000-0000-00007E0B0000}"/>
    <cellStyle name="Normal 10 2 10 2 15 14" xfId="3006" xr:uid="{00000000-0005-0000-0000-00007F0B0000}"/>
    <cellStyle name="Normal 10 2 10 2 15 2" xfId="3007" xr:uid="{00000000-0005-0000-0000-0000800B0000}"/>
    <cellStyle name="Normal 10 2 10 2 15 2 10" xfId="3008" xr:uid="{00000000-0005-0000-0000-0000810B0000}"/>
    <cellStyle name="Normal 10 2 10 2 15 2 2" xfId="3009" xr:uid="{00000000-0005-0000-0000-0000820B0000}"/>
    <cellStyle name="Normal 10 2 10 2 15 2 3" xfId="3010" xr:uid="{00000000-0005-0000-0000-0000830B0000}"/>
    <cellStyle name="Normal 10 2 10 2 15 2 4" xfId="3011" xr:uid="{00000000-0005-0000-0000-0000840B0000}"/>
    <cellStyle name="Normal 10 2 10 2 15 2 5" xfId="3012" xr:uid="{00000000-0005-0000-0000-0000850B0000}"/>
    <cellStyle name="Normal 10 2 10 2 15 2 6" xfId="3013" xr:uid="{00000000-0005-0000-0000-0000860B0000}"/>
    <cellStyle name="Normal 10 2 10 2 15 2 7" xfId="3014" xr:uid="{00000000-0005-0000-0000-0000870B0000}"/>
    <cellStyle name="Normal 10 2 10 2 15 2 8" xfId="3015" xr:uid="{00000000-0005-0000-0000-0000880B0000}"/>
    <cellStyle name="Normal 10 2 10 2 15 2 9" xfId="3016" xr:uid="{00000000-0005-0000-0000-0000890B0000}"/>
    <cellStyle name="Normal 10 2 10 2 15 3" xfId="3017" xr:uid="{00000000-0005-0000-0000-00008A0B0000}"/>
    <cellStyle name="Normal 10 2 10 2 15 3 10" xfId="3018" xr:uid="{00000000-0005-0000-0000-00008B0B0000}"/>
    <cellStyle name="Normal 10 2 10 2 15 3 2" xfId="3019" xr:uid="{00000000-0005-0000-0000-00008C0B0000}"/>
    <cellStyle name="Normal 10 2 10 2 15 3 3" xfId="3020" xr:uid="{00000000-0005-0000-0000-00008D0B0000}"/>
    <cellStyle name="Normal 10 2 10 2 15 3 4" xfId="3021" xr:uid="{00000000-0005-0000-0000-00008E0B0000}"/>
    <cellStyle name="Normal 10 2 10 2 15 3 5" xfId="3022" xr:uid="{00000000-0005-0000-0000-00008F0B0000}"/>
    <cellStyle name="Normal 10 2 10 2 15 3 6" xfId="3023" xr:uid="{00000000-0005-0000-0000-0000900B0000}"/>
    <cellStyle name="Normal 10 2 10 2 15 3 7" xfId="3024" xr:uid="{00000000-0005-0000-0000-0000910B0000}"/>
    <cellStyle name="Normal 10 2 10 2 15 3 8" xfId="3025" xr:uid="{00000000-0005-0000-0000-0000920B0000}"/>
    <cellStyle name="Normal 10 2 10 2 15 3 9" xfId="3026" xr:uid="{00000000-0005-0000-0000-0000930B0000}"/>
    <cellStyle name="Normal 10 2 10 2 15 4" xfId="3027" xr:uid="{00000000-0005-0000-0000-0000940B0000}"/>
    <cellStyle name="Normal 10 2 10 2 15 4 10" xfId="3028" xr:uid="{00000000-0005-0000-0000-0000950B0000}"/>
    <cellStyle name="Normal 10 2 10 2 15 4 2" xfId="3029" xr:uid="{00000000-0005-0000-0000-0000960B0000}"/>
    <cellStyle name="Normal 10 2 10 2 15 4 3" xfId="3030" xr:uid="{00000000-0005-0000-0000-0000970B0000}"/>
    <cellStyle name="Normal 10 2 10 2 15 4 4" xfId="3031" xr:uid="{00000000-0005-0000-0000-0000980B0000}"/>
    <cellStyle name="Normal 10 2 10 2 15 4 5" xfId="3032" xr:uid="{00000000-0005-0000-0000-0000990B0000}"/>
    <cellStyle name="Normal 10 2 10 2 15 4 6" xfId="3033" xr:uid="{00000000-0005-0000-0000-00009A0B0000}"/>
    <cellStyle name="Normal 10 2 10 2 15 4 7" xfId="3034" xr:uid="{00000000-0005-0000-0000-00009B0B0000}"/>
    <cellStyle name="Normal 10 2 10 2 15 4 8" xfId="3035" xr:uid="{00000000-0005-0000-0000-00009C0B0000}"/>
    <cellStyle name="Normal 10 2 10 2 15 4 9" xfId="3036" xr:uid="{00000000-0005-0000-0000-00009D0B0000}"/>
    <cellStyle name="Normal 10 2 10 2 15 5" xfId="3037" xr:uid="{00000000-0005-0000-0000-00009E0B0000}"/>
    <cellStyle name="Normal 10 2 10 2 15 5 10" xfId="3038" xr:uid="{00000000-0005-0000-0000-00009F0B0000}"/>
    <cellStyle name="Normal 10 2 10 2 15 5 2" xfId="3039" xr:uid="{00000000-0005-0000-0000-0000A00B0000}"/>
    <cellStyle name="Normal 10 2 10 2 15 5 3" xfId="3040" xr:uid="{00000000-0005-0000-0000-0000A10B0000}"/>
    <cellStyle name="Normal 10 2 10 2 15 5 4" xfId="3041" xr:uid="{00000000-0005-0000-0000-0000A20B0000}"/>
    <cellStyle name="Normal 10 2 10 2 15 5 5" xfId="3042" xr:uid="{00000000-0005-0000-0000-0000A30B0000}"/>
    <cellStyle name="Normal 10 2 10 2 15 5 6" xfId="3043" xr:uid="{00000000-0005-0000-0000-0000A40B0000}"/>
    <cellStyle name="Normal 10 2 10 2 15 5 7" xfId="3044" xr:uid="{00000000-0005-0000-0000-0000A50B0000}"/>
    <cellStyle name="Normal 10 2 10 2 15 5 8" xfId="3045" xr:uid="{00000000-0005-0000-0000-0000A60B0000}"/>
    <cellStyle name="Normal 10 2 10 2 15 5 9" xfId="3046" xr:uid="{00000000-0005-0000-0000-0000A70B0000}"/>
    <cellStyle name="Normal 10 2 10 2 15 6" xfId="3047" xr:uid="{00000000-0005-0000-0000-0000A80B0000}"/>
    <cellStyle name="Normal 10 2 10 2 15 7" xfId="3048" xr:uid="{00000000-0005-0000-0000-0000A90B0000}"/>
    <cellStyle name="Normal 10 2 10 2 15 8" xfId="3049" xr:uid="{00000000-0005-0000-0000-0000AA0B0000}"/>
    <cellStyle name="Normal 10 2 10 2 15 9" xfId="3050" xr:uid="{00000000-0005-0000-0000-0000AB0B0000}"/>
    <cellStyle name="Normal 10 2 10 2 16" xfId="3051" xr:uid="{00000000-0005-0000-0000-0000AC0B0000}"/>
    <cellStyle name="Normal 10 2 10 2 16 10" xfId="3052" xr:uid="{00000000-0005-0000-0000-0000AD0B0000}"/>
    <cellStyle name="Normal 10 2 10 2 16 11" xfId="3053" xr:uid="{00000000-0005-0000-0000-0000AE0B0000}"/>
    <cellStyle name="Normal 10 2 10 2 16 12" xfId="3054" xr:uid="{00000000-0005-0000-0000-0000AF0B0000}"/>
    <cellStyle name="Normal 10 2 10 2 16 13" xfId="3055" xr:uid="{00000000-0005-0000-0000-0000B00B0000}"/>
    <cellStyle name="Normal 10 2 10 2 16 14" xfId="3056" xr:uid="{00000000-0005-0000-0000-0000B10B0000}"/>
    <cellStyle name="Normal 10 2 10 2 16 2" xfId="3057" xr:uid="{00000000-0005-0000-0000-0000B20B0000}"/>
    <cellStyle name="Normal 10 2 10 2 16 2 10" xfId="3058" xr:uid="{00000000-0005-0000-0000-0000B30B0000}"/>
    <cellStyle name="Normal 10 2 10 2 16 2 2" xfId="3059" xr:uid="{00000000-0005-0000-0000-0000B40B0000}"/>
    <cellStyle name="Normal 10 2 10 2 16 2 3" xfId="3060" xr:uid="{00000000-0005-0000-0000-0000B50B0000}"/>
    <cellStyle name="Normal 10 2 10 2 16 2 4" xfId="3061" xr:uid="{00000000-0005-0000-0000-0000B60B0000}"/>
    <cellStyle name="Normal 10 2 10 2 16 2 5" xfId="3062" xr:uid="{00000000-0005-0000-0000-0000B70B0000}"/>
    <cellStyle name="Normal 10 2 10 2 16 2 6" xfId="3063" xr:uid="{00000000-0005-0000-0000-0000B80B0000}"/>
    <cellStyle name="Normal 10 2 10 2 16 2 7" xfId="3064" xr:uid="{00000000-0005-0000-0000-0000B90B0000}"/>
    <cellStyle name="Normal 10 2 10 2 16 2 8" xfId="3065" xr:uid="{00000000-0005-0000-0000-0000BA0B0000}"/>
    <cellStyle name="Normal 10 2 10 2 16 2 9" xfId="3066" xr:uid="{00000000-0005-0000-0000-0000BB0B0000}"/>
    <cellStyle name="Normal 10 2 10 2 16 3" xfId="3067" xr:uid="{00000000-0005-0000-0000-0000BC0B0000}"/>
    <cellStyle name="Normal 10 2 10 2 16 3 10" xfId="3068" xr:uid="{00000000-0005-0000-0000-0000BD0B0000}"/>
    <cellStyle name="Normal 10 2 10 2 16 3 2" xfId="3069" xr:uid="{00000000-0005-0000-0000-0000BE0B0000}"/>
    <cellStyle name="Normal 10 2 10 2 16 3 3" xfId="3070" xr:uid="{00000000-0005-0000-0000-0000BF0B0000}"/>
    <cellStyle name="Normal 10 2 10 2 16 3 4" xfId="3071" xr:uid="{00000000-0005-0000-0000-0000C00B0000}"/>
    <cellStyle name="Normal 10 2 10 2 16 3 5" xfId="3072" xr:uid="{00000000-0005-0000-0000-0000C10B0000}"/>
    <cellStyle name="Normal 10 2 10 2 16 3 6" xfId="3073" xr:uid="{00000000-0005-0000-0000-0000C20B0000}"/>
    <cellStyle name="Normal 10 2 10 2 16 3 7" xfId="3074" xr:uid="{00000000-0005-0000-0000-0000C30B0000}"/>
    <cellStyle name="Normal 10 2 10 2 16 3 8" xfId="3075" xr:uid="{00000000-0005-0000-0000-0000C40B0000}"/>
    <cellStyle name="Normal 10 2 10 2 16 3 9" xfId="3076" xr:uid="{00000000-0005-0000-0000-0000C50B0000}"/>
    <cellStyle name="Normal 10 2 10 2 16 4" xfId="3077" xr:uid="{00000000-0005-0000-0000-0000C60B0000}"/>
    <cellStyle name="Normal 10 2 10 2 16 4 10" xfId="3078" xr:uid="{00000000-0005-0000-0000-0000C70B0000}"/>
    <cellStyle name="Normal 10 2 10 2 16 4 2" xfId="3079" xr:uid="{00000000-0005-0000-0000-0000C80B0000}"/>
    <cellStyle name="Normal 10 2 10 2 16 4 3" xfId="3080" xr:uid="{00000000-0005-0000-0000-0000C90B0000}"/>
    <cellStyle name="Normal 10 2 10 2 16 4 4" xfId="3081" xr:uid="{00000000-0005-0000-0000-0000CA0B0000}"/>
    <cellStyle name="Normal 10 2 10 2 16 4 5" xfId="3082" xr:uid="{00000000-0005-0000-0000-0000CB0B0000}"/>
    <cellStyle name="Normal 10 2 10 2 16 4 6" xfId="3083" xr:uid="{00000000-0005-0000-0000-0000CC0B0000}"/>
    <cellStyle name="Normal 10 2 10 2 16 4 7" xfId="3084" xr:uid="{00000000-0005-0000-0000-0000CD0B0000}"/>
    <cellStyle name="Normal 10 2 10 2 16 4 8" xfId="3085" xr:uid="{00000000-0005-0000-0000-0000CE0B0000}"/>
    <cellStyle name="Normal 10 2 10 2 16 4 9" xfId="3086" xr:uid="{00000000-0005-0000-0000-0000CF0B0000}"/>
    <cellStyle name="Normal 10 2 10 2 16 5" xfId="3087" xr:uid="{00000000-0005-0000-0000-0000D00B0000}"/>
    <cellStyle name="Normal 10 2 10 2 16 5 10" xfId="3088" xr:uid="{00000000-0005-0000-0000-0000D10B0000}"/>
    <cellStyle name="Normal 10 2 10 2 16 5 2" xfId="3089" xr:uid="{00000000-0005-0000-0000-0000D20B0000}"/>
    <cellStyle name="Normal 10 2 10 2 16 5 3" xfId="3090" xr:uid="{00000000-0005-0000-0000-0000D30B0000}"/>
    <cellStyle name="Normal 10 2 10 2 16 5 4" xfId="3091" xr:uid="{00000000-0005-0000-0000-0000D40B0000}"/>
    <cellStyle name="Normal 10 2 10 2 16 5 5" xfId="3092" xr:uid="{00000000-0005-0000-0000-0000D50B0000}"/>
    <cellStyle name="Normal 10 2 10 2 16 5 6" xfId="3093" xr:uid="{00000000-0005-0000-0000-0000D60B0000}"/>
    <cellStyle name="Normal 10 2 10 2 16 5 7" xfId="3094" xr:uid="{00000000-0005-0000-0000-0000D70B0000}"/>
    <cellStyle name="Normal 10 2 10 2 16 5 8" xfId="3095" xr:uid="{00000000-0005-0000-0000-0000D80B0000}"/>
    <cellStyle name="Normal 10 2 10 2 16 5 9" xfId="3096" xr:uid="{00000000-0005-0000-0000-0000D90B0000}"/>
    <cellStyle name="Normal 10 2 10 2 16 6" xfId="3097" xr:uid="{00000000-0005-0000-0000-0000DA0B0000}"/>
    <cellStyle name="Normal 10 2 10 2 16 7" xfId="3098" xr:uid="{00000000-0005-0000-0000-0000DB0B0000}"/>
    <cellStyle name="Normal 10 2 10 2 16 8" xfId="3099" xr:uid="{00000000-0005-0000-0000-0000DC0B0000}"/>
    <cellStyle name="Normal 10 2 10 2 16 9" xfId="3100" xr:uid="{00000000-0005-0000-0000-0000DD0B0000}"/>
    <cellStyle name="Normal 10 2 10 2 17" xfId="3101" xr:uid="{00000000-0005-0000-0000-0000DE0B0000}"/>
    <cellStyle name="Normal 10 2 10 2 17 10" xfId="3102" xr:uid="{00000000-0005-0000-0000-0000DF0B0000}"/>
    <cellStyle name="Normal 10 2 10 2 17 11" xfId="3103" xr:uid="{00000000-0005-0000-0000-0000E00B0000}"/>
    <cellStyle name="Normal 10 2 10 2 17 12" xfId="3104" xr:uid="{00000000-0005-0000-0000-0000E10B0000}"/>
    <cellStyle name="Normal 10 2 10 2 17 13" xfId="3105" xr:uid="{00000000-0005-0000-0000-0000E20B0000}"/>
    <cellStyle name="Normal 10 2 10 2 17 14" xfId="3106" xr:uid="{00000000-0005-0000-0000-0000E30B0000}"/>
    <cellStyle name="Normal 10 2 10 2 17 2" xfId="3107" xr:uid="{00000000-0005-0000-0000-0000E40B0000}"/>
    <cellStyle name="Normal 10 2 10 2 17 2 10" xfId="3108" xr:uid="{00000000-0005-0000-0000-0000E50B0000}"/>
    <cellStyle name="Normal 10 2 10 2 17 2 2" xfId="3109" xr:uid="{00000000-0005-0000-0000-0000E60B0000}"/>
    <cellStyle name="Normal 10 2 10 2 17 2 3" xfId="3110" xr:uid="{00000000-0005-0000-0000-0000E70B0000}"/>
    <cellStyle name="Normal 10 2 10 2 17 2 4" xfId="3111" xr:uid="{00000000-0005-0000-0000-0000E80B0000}"/>
    <cellStyle name="Normal 10 2 10 2 17 2 5" xfId="3112" xr:uid="{00000000-0005-0000-0000-0000E90B0000}"/>
    <cellStyle name="Normal 10 2 10 2 17 2 6" xfId="3113" xr:uid="{00000000-0005-0000-0000-0000EA0B0000}"/>
    <cellStyle name="Normal 10 2 10 2 17 2 7" xfId="3114" xr:uid="{00000000-0005-0000-0000-0000EB0B0000}"/>
    <cellStyle name="Normal 10 2 10 2 17 2 8" xfId="3115" xr:uid="{00000000-0005-0000-0000-0000EC0B0000}"/>
    <cellStyle name="Normal 10 2 10 2 17 2 9" xfId="3116" xr:uid="{00000000-0005-0000-0000-0000ED0B0000}"/>
    <cellStyle name="Normal 10 2 10 2 17 3" xfId="3117" xr:uid="{00000000-0005-0000-0000-0000EE0B0000}"/>
    <cellStyle name="Normal 10 2 10 2 17 3 10" xfId="3118" xr:uid="{00000000-0005-0000-0000-0000EF0B0000}"/>
    <cellStyle name="Normal 10 2 10 2 17 3 2" xfId="3119" xr:uid="{00000000-0005-0000-0000-0000F00B0000}"/>
    <cellStyle name="Normal 10 2 10 2 17 3 3" xfId="3120" xr:uid="{00000000-0005-0000-0000-0000F10B0000}"/>
    <cellStyle name="Normal 10 2 10 2 17 3 4" xfId="3121" xr:uid="{00000000-0005-0000-0000-0000F20B0000}"/>
    <cellStyle name="Normal 10 2 10 2 17 3 5" xfId="3122" xr:uid="{00000000-0005-0000-0000-0000F30B0000}"/>
    <cellStyle name="Normal 10 2 10 2 17 3 6" xfId="3123" xr:uid="{00000000-0005-0000-0000-0000F40B0000}"/>
    <cellStyle name="Normal 10 2 10 2 17 3 7" xfId="3124" xr:uid="{00000000-0005-0000-0000-0000F50B0000}"/>
    <cellStyle name="Normal 10 2 10 2 17 3 8" xfId="3125" xr:uid="{00000000-0005-0000-0000-0000F60B0000}"/>
    <cellStyle name="Normal 10 2 10 2 17 3 9" xfId="3126" xr:uid="{00000000-0005-0000-0000-0000F70B0000}"/>
    <cellStyle name="Normal 10 2 10 2 17 4" xfId="3127" xr:uid="{00000000-0005-0000-0000-0000F80B0000}"/>
    <cellStyle name="Normal 10 2 10 2 17 4 10" xfId="3128" xr:uid="{00000000-0005-0000-0000-0000F90B0000}"/>
    <cellStyle name="Normal 10 2 10 2 17 4 2" xfId="3129" xr:uid="{00000000-0005-0000-0000-0000FA0B0000}"/>
    <cellStyle name="Normal 10 2 10 2 17 4 3" xfId="3130" xr:uid="{00000000-0005-0000-0000-0000FB0B0000}"/>
    <cellStyle name="Normal 10 2 10 2 17 4 4" xfId="3131" xr:uid="{00000000-0005-0000-0000-0000FC0B0000}"/>
    <cellStyle name="Normal 10 2 10 2 17 4 5" xfId="3132" xr:uid="{00000000-0005-0000-0000-0000FD0B0000}"/>
    <cellStyle name="Normal 10 2 10 2 17 4 6" xfId="3133" xr:uid="{00000000-0005-0000-0000-0000FE0B0000}"/>
    <cellStyle name="Normal 10 2 10 2 17 4 7" xfId="3134" xr:uid="{00000000-0005-0000-0000-0000FF0B0000}"/>
    <cellStyle name="Normal 10 2 10 2 17 4 8" xfId="3135" xr:uid="{00000000-0005-0000-0000-0000000C0000}"/>
    <cellStyle name="Normal 10 2 10 2 17 4 9" xfId="3136" xr:uid="{00000000-0005-0000-0000-0000010C0000}"/>
    <cellStyle name="Normal 10 2 10 2 17 5" xfId="3137" xr:uid="{00000000-0005-0000-0000-0000020C0000}"/>
    <cellStyle name="Normal 10 2 10 2 17 5 10" xfId="3138" xr:uid="{00000000-0005-0000-0000-0000030C0000}"/>
    <cellStyle name="Normal 10 2 10 2 17 5 2" xfId="3139" xr:uid="{00000000-0005-0000-0000-0000040C0000}"/>
    <cellStyle name="Normal 10 2 10 2 17 5 3" xfId="3140" xr:uid="{00000000-0005-0000-0000-0000050C0000}"/>
    <cellStyle name="Normal 10 2 10 2 17 5 4" xfId="3141" xr:uid="{00000000-0005-0000-0000-0000060C0000}"/>
    <cellStyle name="Normal 10 2 10 2 17 5 5" xfId="3142" xr:uid="{00000000-0005-0000-0000-0000070C0000}"/>
    <cellStyle name="Normal 10 2 10 2 17 5 6" xfId="3143" xr:uid="{00000000-0005-0000-0000-0000080C0000}"/>
    <cellStyle name="Normal 10 2 10 2 17 5 7" xfId="3144" xr:uid="{00000000-0005-0000-0000-0000090C0000}"/>
    <cellStyle name="Normal 10 2 10 2 17 5 8" xfId="3145" xr:uid="{00000000-0005-0000-0000-00000A0C0000}"/>
    <cellStyle name="Normal 10 2 10 2 17 5 9" xfId="3146" xr:uid="{00000000-0005-0000-0000-00000B0C0000}"/>
    <cellStyle name="Normal 10 2 10 2 17 6" xfId="3147" xr:uid="{00000000-0005-0000-0000-00000C0C0000}"/>
    <cellStyle name="Normal 10 2 10 2 17 7" xfId="3148" xr:uid="{00000000-0005-0000-0000-00000D0C0000}"/>
    <cellStyle name="Normal 10 2 10 2 17 8" xfId="3149" xr:uid="{00000000-0005-0000-0000-00000E0C0000}"/>
    <cellStyle name="Normal 10 2 10 2 17 9" xfId="3150" xr:uid="{00000000-0005-0000-0000-00000F0C0000}"/>
    <cellStyle name="Normal 10 2 10 2 18" xfId="3151" xr:uid="{00000000-0005-0000-0000-0000100C0000}"/>
    <cellStyle name="Normal 10 2 10 2 18 10" xfId="3152" xr:uid="{00000000-0005-0000-0000-0000110C0000}"/>
    <cellStyle name="Normal 10 2 10 2 18 11" xfId="3153" xr:uid="{00000000-0005-0000-0000-0000120C0000}"/>
    <cellStyle name="Normal 10 2 10 2 18 12" xfId="3154" xr:uid="{00000000-0005-0000-0000-0000130C0000}"/>
    <cellStyle name="Normal 10 2 10 2 18 13" xfId="3155" xr:uid="{00000000-0005-0000-0000-0000140C0000}"/>
    <cellStyle name="Normal 10 2 10 2 18 14" xfId="3156" xr:uid="{00000000-0005-0000-0000-0000150C0000}"/>
    <cellStyle name="Normal 10 2 10 2 18 2" xfId="3157" xr:uid="{00000000-0005-0000-0000-0000160C0000}"/>
    <cellStyle name="Normal 10 2 10 2 18 2 10" xfId="3158" xr:uid="{00000000-0005-0000-0000-0000170C0000}"/>
    <cellStyle name="Normal 10 2 10 2 18 2 2" xfId="3159" xr:uid="{00000000-0005-0000-0000-0000180C0000}"/>
    <cellStyle name="Normal 10 2 10 2 18 2 3" xfId="3160" xr:uid="{00000000-0005-0000-0000-0000190C0000}"/>
    <cellStyle name="Normal 10 2 10 2 18 2 4" xfId="3161" xr:uid="{00000000-0005-0000-0000-00001A0C0000}"/>
    <cellStyle name="Normal 10 2 10 2 18 2 5" xfId="3162" xr:uid="{00000000-0005-0000-0000-00001B0C0000}"/>
    <cellStyle name="Normal 10 2 10 2 18 2 6" xfId="3163" xr:uid="{00000000-0005-0000-0000-00001C0C0000}"/>
    <cellStyle name="Normal 10 2 10 2 18 2 7" xfId="3164" xr:uid="{00000000-0005-0000-0000-00001D0C0000}"/>
    <cellStyle name="Normal 10 2 10 2 18 2 8" xfId="3165" xr:uid="{00000000-0005-0000-0000-00001E0C0000}"/>
    <cellStyle name="Normal 10 2 10 2 18 2 9" xfId="3166" xr:uid="{00000000-0005-0000-0000-00001F0C0000}"/>
    <cellStyle name="Normal 10 2 10 2 18 3" xfId="3167" xr:uid="{00000000-0005-0000-0000-0000200C0000}"/>
    <cellStyle name="Normal 10 2 10 2 18 3 10" xfId="3168" xr:uid="{00000000-0005-0000-0000-0000210C0000}"/>
    <cellStyle name="Normal 10 2 10 2 18 3 2" xfId="3169" xr:uid="{00000000-0005-0000-0000-0000220C0000}"/>
    <cellStyle name="Normal 10 2 10 2 18 3 3" xfId="3170" xr:uid="{00000000-0005-0000-0000-0000230C0000}"/>
    <cellStyle name="Normal 10 2 10 2 18 3 4" xfId="3171" xr:uid="{00000000-0005-0000-0000-0000240C0000}"/>
    <cellStyle name="Normal 10 2 10 2 18 3 5" xfId="3172" xr:uid="{00000000-0005-0000-0000-0000250C0000}"/>
    <cellStyle name="Normal 10 2 10 2 18 3 6" xfId="3173" xr:uid="{00000000-0005-0000-0000-0000260C0000}"/>
    <cellStyle name="Normal 10 2 10 2 18 3 7" xfId="3174" xr:uid="{00000000-0005-0000-0000-0000270C0000}"/>
    <cellStyle name="Normal 10 2 10 2 18 3 8" xfId="3175" xr:uid="{00000000-0005-0000-0000-0000280C0000}"/>
    <cellStyle name="Normal 10 2 10 2 18 3 9" xfId="3176" xr:uid="{00000000-0005-0000-0000-0000290C0000}"/>
    <cellStyle name="Normal 10 2 10 2 18 4" xfId="3177" xr:uid="{00000000-0005-0000-0000-00002A0C0000}"/>
    <cellStyle name="Normal 10 2 10 2 18 4 10" xfId="3178" xr:uid="{00000000-0005-0000-0000-00002B0C0000}"/>
    <cellStyle name="Normal 10 2 10 2 18 4 2" xfId="3179" xr:uid="{00000000-0005-0000-0000-00002C0C0000}"/>
    <cellStyle name="Normal 10 2 10 2 18 4 3" xfId="3180" xr:uid="{00000000-0005-0000-0000-00002D0C0000}"/>
    <cellStyle name="Normal 10 2 10 2 18 4 4" xfId="3181" xr:uid="{00000000-0005-0000-0000-00002E0C0000}"/>
    <cellStyle name="Normal 10 2 10 2 18 4 5" xfId="3182" xr:uid="{00000000-0005-0000-0000-00002F0C0000}"/>
    <cellStyle name="Normal 10 2 10 2 18 4 6" xfId="3183" xr:uid="{00000000-0005-0000-0000-0000300C0000}"/>
    <cellStyle name="Normal 10 2 10 2 18 4 7" xfId="3184" xr:uid="{00000000-0005-0000-0000-0000310C0000}"/>
    <cellStyle name="Normal 10 2 10 2 18 4 8" xfId="3185" xr:uid="{00000000-0005-0000-0000-0000320C0000}"/>
    <cellStyle name="Normal 10 2 10 2 18 4 9" xfId="3186" xr:uid="{00000000-0005-0000-0000-0000330C0000}"/>
    <cellStyle name="Normal 10 2 10 2 18 5" xfId="3187" xr:uid="{00000000-0005-0000-0000-0000340C0000}"/>
    <cellStyle name="Normal 10 2 10 2 18 5 10" xfId="3188" xr:uid="{00000000-0005-0000-0000-0000350C0000}"/>
    <cellStyle name="Normal 10 2 10 2 18 5 2" xfId="3189" xr:uid="{00000000-0005-0000-0000-0000360C0000}"/>
    <cellStyle name="Normal 10 2 10 2 18 5 3" xfId="3190" xr:uid="{00000000-0005-0000-0000-0000370C0000}"/>
    <cellStyle name="Normal 10 2 10 2 18 5 4" xfId="3191" xr:uid="{00000000-0005-0000-0000-0000380C0000}"/>
    <cellStyle name="Normal 10 2 10 2 18 5 5" xfId="3192" xr:uid="{00000000-0005-0000-0000-0000390C0000}"/>
    <cellStyle name="Normal 10 2 10 2 18 5 6" xfId="3193" xr:uid="{00000000-0005-0000-0000-00003A0C0000}"/>
    <cellStyle name="Normal 10 2 10 2 18 5 7" xfId="3194" xr:uid="{00000000-0005-0000-0000-00003B0C0000}"/>
    <cellStyle name="Normal 10 2 10 2 18 5 8" xfId="3195" xr:uid="{00000000-0005-0000-0000-00003C0C0000}"/>
    <cellStyle name="Normal 10 2 10 2 18 5 9" xfId="3196" xr:uid="{00000000-0005-0000-0000-00003D0C0000}"/>
    <cellStyle name="Normal 10 2 10 2 18 6" xfId="3197" xr:uid="{00000000-0005-0000-0000-00003E0C0000}"/>
    <cellStyle name="Normal 10 2 10 2 18 7" xfId="3198" xr:uid="{00000000-0005-0000-0000-00003F0C0000}"/>
    <cellStyle name="Normal 10 2 10 2 18 8" xfId="3199" xr:uid="{00000000-0005-0000-0000-0000400C0000}"/>
    <cellStyle name="Normal 10 2 10 2 18 9" xfId="3200" xr:uid="{00000000-0005-0000-0000-0000410C0000}"/>
    <cellStyle name="Normal 10 2 10 2 19" xfId="3201" xr:uid="{00000000-0005-0000-0000-0000420C0000}"/>
    <cellStyle name="Normal 10 2 10 2 19 10" xfId="3202" xr:uid="{00000000-0005-0000-0000-0000430C0000}"/>
    <cellStyle name="Normal 10 2 10 2 19 11" xfId="3203" xr:uid="{00000000-0005-0000-0000-0000440C0000}"/>
    <cellStyle name="Normal 10 2 10 2 19 12" xfId="3204" xr:uid="{00000000-0005-0000-0000-0000450C0000}"/>
    <cellStyle name="Normal 10 2 10 2 19 13" xfId="3205" xr:uid="{00000000-0005-0000-0000-0000460C0000}"/>
    <cellStyle name="Normal 10 2 10 2 19 14" xfId="3206" xr:uid="{00000000-0005-0000-0000-0000470C0000}"/>
    <cellStyle name="Normal 10 2 10 2 19 2" xfId="3207" xr:uid="{00000000-0005-0000-0000-0000480C0000}"/>
    <cellStyle name="Normal 10 2 10 2 19 2 10" xfId="3208" xr:uid="{00000000-0005-0000-0000-0000490C0000}"/>
    <cellStyle name="Normal 10 2 10 2 19 2 2" xfId="3209" xr:uid="{00000000-0005-0000-0000-00004A0C0000}"/>
    <cellStyle name="Normal 10 2 10 2 19 2 3" xfId="3210" xr:uid="{00000000-0005-0000-0000-00004B0C0000}"/>
    <cellStyle name="Normal 10 2 10 2 19 2 4" xfId="3211" xr:uid="{00000000-0005-0000-0000-00004C0C0000}"/>
    <cellStyle name="Normal 10 2 10 2 19 2 5" xfId="3212" xr:uid="{00000000-0005-0000-0000-00004D0C0000}"/>
    <cellStyle name="Normal 10 2 10 2 19 2 6" xfId="3213" xr:uid="{00000000-0005-0000-0000-00004E0C0000}"/>
    <cellStyle name="Normal 10 2 10 2 19 2 7" xfId="3214" xr:uid="{00000000-0005-0000-0000-00004F0C0000}"/>
    <cellStyle name="Normal 10 2 10 2 19 2 8" xfId="3215" xr:uid="{00000000-0005-0000-0000-0000500C0000}"/>
    <cellStyle name="Normal 10 2 10 2 19 2 9" xfId="3216" xr:uid="{00000000-0005-0000-0000-0000510C0000}"/>
    <cellStyle name="Normal 10 2 10 2 19 3" xfId="3217" xr:uid="{00000000-0005-0000-0000-0000520C0000}"/>
    <cellStyle name="Normal 10 2 10 2 19 3 10" xfId="3218" xr:uid="{00000000-0005-0000-0000-0000530C0000}"/>
    <cellStyle name="Normal 10 2 10 2 19 3 2" xfId="3219" xr:uid="{00000000-0005-0000-0000-0000540C0000}"/>
    <cellStyle name="Normal 10 2 10 2 19 3 3" xfId="3220" xr:uid="{00000000-0005-0000-0000-0000550C0000}"/>
    <cellStyle name="Normal 10 2 10 2 19 3 4" xfId="3221" xr:uid="{00000000-0005-0000-0000-0000560C0000}"/>
    <cellStyle name="Normal 10 2 10 2 19 3 5" xfId="3222" xr:uid="{00000000-0005-0000-0000-0000570C0000}"/>
    <cellStyle name="Normal 10 2 10 2 19 3 6" xfId="3223" xr:uid="{00000000-0005-0000-0000-0000580C0000}"/>
    <cellStyle name="Normal 10 2 10 2 19 3 7" xfId="3224" xr:uid="{00000000-0005-0000-0000-0000590C0000}"/>
    <cellStyle name="Normal 10 2 10 2 19 3 8" xfId="3225" xr:uid="{00000000-0005-0000-0000-00005A0C0000}"/>
    <cellStyle name="Normal 10 2 10 2 19 3 9" xfId="3226" xr:uid="{00000000-0005-0000-0000-00005B0C0000}"/>
    <cellStyle name="Normal 10 2 10 2 19 4" xfId="3227" xr:uid="{00000000-0005-0000-0000-00005C0C0000}"/>
    <cellStyle name="Normal 10 2 10 2 19 4 10" xfId="3228" xr:uid="{00000000-0005-0000-0000-00005D0C0000}"/>
    <cellStyle name="Normal 10 2 10 2 19 4 2" xfId="3229" xr:uid="{00000000-0005-0000-0000-00005E0C0000}"/>
    <cellStyle name="Normal 10 2 10 2 19 4 3" xfId="3230" xr:uid="{00000000-0005-0000-0000-00005F0C0000}"/>
    <cellStyle name="Normal 10 2 10 2 19 4 4" xfId="3231" xr:uid="{00000000-0005-0000-0000-0000600C0000}"/>
    <cellStyle name="Normal 10 2 10 2 19 4 5" xfId="3232" xr:uid="{00000000-0005-0000-0000-0000610C0000}"/>
    <cellStyle name="Normal 10 2 10 2 19 4 6" xfId="3233" xr:uid="{00000000-0005-0000-0000-0000620C0000}"/>
    <cellStyle name="Normal 10 2 10 2 19 4 7" xfId="3234" xr:uid="{00000000-0005-0000-0000-0000630C0000}"/>
    <cellStyle name="Normal 10 2 10 2 19 4 8" xfId="3235" xr:uid="{00000000-0005-0000-0000-0000640C0000}"/>
    <cellStyle name="Normal 10 2 10 2 19 4 9" xfId="3236" xr:uid="{00000000-0005-0000-0000-0000650C0000}"/>
    <cellStyle name="Normal 10 2 10 2 19 5" xfId="3237" xr:uid="{00000000-0005-0000-0000-0000660C0000}"/>
    <cellStyle name="Normal 10 2 10 2 19 5 10" xfId="3238" xr:uid="{00000000-0005-0000-0000-0000670C0000}"/>
    <cellStyle name="Normal 10 2 10 2 19 5 2" xfId="3239" xr:uid="{00000000-0005-0000-0000-0000680C0000}"/>
    <cellStyle name="Normal 10 2 10 2 19 5 3" xfId="3240" xr:uid="{00000000-0005-0000-0000-0000690C0000}"/>
    <cellStyle name="Normal 10 2 10 2 19 5 4" xfId="3241" xr:uid="{00000000-0005-0000-0000-00006A0C0000}"/>
    <cellStyle name="Normal 10 2 10 2 19 5 5" xfId="3242" xr:uid="{00000000-0005-0000-0000-00006B0C0000}"/>
    <cellStyle name="Normal 10 2 10 2 19 5 6" xfId="3243" xr:uid="{00000000-0005-0000-0000-00006C0C0000}"/>
    <cellStyle name="Normal 10 2 10 2 19 5 7" xfId="3244" xr:uid="{00000000-0005-0000-0000-00006D0C0000}"/>
    <cellStyle name="Normal 10 2 10 2 19 5 8" xfId="3245" xr:uid="{00000000-0005-0000-0000-00006E0C0000}"/>
    <cellStyle name="Normal 10 2 10 2 19 5 9" xfId="3246" xr:uid="{00000000-0005-0000-0000-00006F0C0000}"/>
    <cellStyle name="Normal 10 2 10 2 19 6" xfId="3247" xr:uid="{00000000-0005-0000-0000-0000700C0000}"/>
    <cellStyle name="Normal 10 2 10 2 19 7" xfId="3248" xr:uid="{00000000-0005-0000-0000-0000710C0000}"/>
    <cellStyle name="Normal 10 2 10 2 19 8" xfId="3249" xr:uid="{00000000-0005-0000-0000-0000720C0000}"/>
    <cellStyle name="Normal 10 2 10 2 19 9" xfId="3250" xr:uid="{00000000-0005-0000-0000-0000730C0000}"/>
    <cellStyle name="Normal 10 2 10 2 2" xfId="3251" xr:uid="{00000000-0005-0000-0000-0000740C0000}"/>
    <cellStyle name="Normal 10 2 10 2 2 10" xfId="3252" xr:uid="{00000000-0005-0000-0000-0000750C0000}"/>
    <cellStyle name="Normal 10 2 10 2 2 11" xfId="3253" xr:uid="{00000000-0005-0000-0000-0000760C0000}"/>
    <cellStyle name="Normal 10 2 10 2 2 12" xfId="3254" xr:uid="{00000000-0005-0000-0000-0000770C0000}"/>
    <cellStyle name="Normal 10 2 10 2 2 13" xfId="3255" xr:uid="{00000000-0005-0000-0000-0000780C0000}"/>
    <cellStyle name="Normal 10 2 10 2 2 14" xfId="3256" xr:uid="{00000000-0005-0000-0000-0000790C0000}"/>
    <cellStyle name="Normal 10 2 10 2 2 2" xfId="3257" xr:uid="{00000000-0005-0000-0000-00007A0C0000}"/>
    <cellStyle name="Normal 10 2 10 2 2 2 10" xfId="3258" xr:uid="{00000000-0005-0000-0000-00007B0C0000}"/>
    <cellStyle name="Normal 10 2 10 2 2 2 2" xfId="3259" xr:uid="{00000000-0005-0000-0000-00007C0C0000}"/>
    <cellStyle name="Normal 10 2 10 2 2 2 3" xfId="3260" xr:uid="{00000000-0005-0000-0000-00007D0C0000}"/>
    <cellStyle name="Normal 10 2 10 2 2 2 4" xfId="3261" xr:uid="{00000000-0005-0000-0000-00007E0C0000}"/>
    <cellStyle name="Normal 10 2 10 2 2 2 5" xfId="3262" xr:uid="{00000000-0005-0000-0000-00007F0C0000}"/>
    <cellStyle name="Normal 10 2 10 2 2 2 6" xfId="3263" xr:uid="{00000000-0005-0000-0000-0000800C0000}"/>
    <cellStyle name="Normal 10 2 10 2 2 2 7" xfId="3264" xr:uid="{00000000-0005-0000-0000-0000810C0000}"/>
    <cellStyle name="Normal 10 2 10 2 2 2 8" xfId="3265" xr:uid="{00000000-0005-0000-0000-0000820C0000}"/>
    <cellStyle name="Normal 10 2 10 2 2 2 9" xfId="3266" xr:uid="{00000000-0005-0000-0000-0000830C0000}"/>
    <cellStyle name="Normal 10 2 10 2 2 3" xfId="3267" xr:uid="{00000000-0005-0000-0000-0000840C0000}"/>
    <cellStyle name="Normal 10 2 10 2 2 3 10" xfId="3268" xr:uid="{00000000-0005-0000-0000-0000850C0000}"/>
    <cellStyle name="Normal 10 2 10 2 2 3 2" xfId="3269" xr:uid="{00000000-0005-0000-0000-0000860C0000}"/>
    <cellStyle name="Normal 10 2 10 2 2 3 3" xfId="3270" xr:uid="{00000000-0005-0000-0000-0000870C0000}"/>
    <cellStyle name="Normal 10 2 10 2 2 3 4" xfId="3271" xr:uid="{00000000-0005-0000-0000-0000880C0000}"/>
    <cellStyle name="Normal 10 2 10 2 2 3 5" xfId="3272" xr:uid="{00000000-0005-0000-0000-0000890C0000}"/>
    <cellStyle name="Normal 10 2 10 2 2 3 6" xfId="3273" xr:uid="{00000000-0005-0000-0000-00008A0C0000}"/>
    <cellStyle name="Normal 10 2 10 2 2 3 7" xfId="3274" xr:uid="{00000000-0005-0000-0000-00008B0C0000}"/>
    <cellStyle name="Normal 10 2 10 2 2 3 8" xfId="3275" xr:uid="{00000000-0005-0000-0000-00008C0C0000}"/>
    <cellStyle name="Normal 10 2 10 2 2 3 9" xfId="3276" xr:uid="{00000000-0005-0000-0000-00008D0C0000}"/>
    <cellStyle name="Normal 10 2 10 2 2 4" xfId="3277" xr:uid="{00000000-0005-0000-0000-00008E0C0000}"/>
    <cellStyle name="Normal 10 2 10 2 2 4 10" xfId="3278" xr:uid="{00000000-0005-0000-0000-00008F0C0000}"/>
    <cellStyle name="Normal 10 2 10 2 2 4 2" xfId="3279" xr:uid="{00000000-0005-0000-0000-0000900C0000}"/>
    <cellStyle name="Normal 10 2 10 2 2 4 3" xfId="3280" xr:uid="{00000000-0005-0000-0000-0000910C0000}"/>
    <cellStyle name="Normal 10 2 10 2 2 4 4" xfId="3281" xr:uid="{00000000-0005-0000-0000-0000920C0000}"/>
    <cellStyle name="Normal 10 2 10 2 2 4 5" xfId="3282" xr:uid="{00000000-0005-0000-0000-0000930C0000}"/>
    <cellStyle name="Normal 10 2 10 2 2 4 6" xfId="3283" xr:uid="{00000000-0005-0000-0000-0000940C0000}"/>
    <cellStyle name="Normal 10 2 10 2 2 4 7" xfId="3284" xr:uid="{00000000-0005-0000-0000-0000950C0000}"/>
    <cellStyle name="Normal 10 2 10 2 2 4 8" xfId="3285" xr:uid="{00000000-0005-0000-0000-0000960C0000}"/>
    <cellStyle name="Normal 10 2 10 2 2 4 9" xfId="3286" xr:uid="{00000000-0005-0000-0000-0000970C0000}"/>
    <cellStyle name="Normal 10 2 10 2 2 5" xfId="3287" xr:uid="{00000000-0005-0000-0000-0000980C0000}"/>
    <cellStyle name="Normal 10 2 10 2 2 5 10" xfId="3288" xr:uid="{00000000-0005-0000-0000-0000990C0000}"/>
    <cellStyle name="Normal 10 2 10 2 2 5 2" xfId="3289" xr:uid="{00000000-0005-0000-0000-00009A0C0000}"/>
    <cellStyle name="Normal 10 2 10 2 2 5 3" xfId="3290" xr:uid="{00000000-0005-0000-0000-00009B0C0000}"/>
    <cellStyle name="Normal 10 2 10 2 2 5 4" xfId="3291" xr:uid="{00000000-0005-0000-0000-00009C0C0000}"/>
    <cellStyle name="Normal 10 2 10 2 2 5 5" xfId="3292" xr:uid="{00000000-0005-0000-0000-00009D0C0000}"/>
    <cellStyle name="Normal 10 2 10 2 2 5 6" xfId="3293" xr:uid="{00000000-0005-0000-0000-00009E0C0000}"/>
    <cellStyle name="Normal 10 2 10 2 2 5 7" xfId="3294" xr:uid="{00000000-0005-0000-0000-00009F0C0000}"/>
    <cellStyle name="Normal 10 2 10 2 2 5 8" xfId="3295" xr:uid="{00000000-0005-0000-0000-0000A00C0000}"/>
    <cellStyle name="Normal 10 2 10 2 2 5 9" xfId="3296" xr:uid="{00000000-0005-0000-0000-0000A10C0000}"/>
    <cellStyle name="Normal 10 2 10 2 2 6" xfId="3297" xr:uid="{00000000-0005-0000-0000-0000A20C0000}"/>
    <cellStyle name="Normal 10 2 10 2 2 7" xfId="3298" xr:uid="{00000000-0005-0000-0000-0000A30C0000}"/>
    <cellStyle name="Normal 10 2 10 2 2 8" xfId="3299" xr:uid="{00000000-0005-0000-0000-0000A40C0000}"/>
    <cellStyle name="Normal 10 2 10 2 2 9" xfId="3300" xr:uid="{00000000-0005-0000-0000-0000A50C0000}"/>
    <cellStyle name="Normal 10 2 10 2 20" xfId="3301" xr:uid="{00000000-0005-0000-0000-0000A60C0000}"/>
    <cellStyle name="Normal 10 2 10 2 20 10" xfId="3302" xr:uid="{00000000-0005-0000-0000-0000A70C0000}"/>
    <cellStyle name="Normal 10 2 10 2 20 11" xfId="3303" xr:uid="{00000000-0005-0000-0000-0000A80C0000}"/>
    <cellStyle name="Normal 10 2 10 2 20 12" xfId="3304" xr:uid="{00000000-0005-0000-0000-0000A90C0000}"/>
    <cellStyle name="Normal 10 2 10 2 20 13" xfId="3305" xr:uid="{00000000-0005-0000-0000-0000AA0C0000}"/>
    <cellStyle name="Normal 10 2 10 2 20 14" xfId="3306" xr:uid="{00000000-0005-0000-0000-0000AB0C0000}"/>
    <cellStyle name="Normal 10 2 10 2 20 2" xfId="3307" xr:uid="{00000000-0005-0000-0000-0000AC0C0000}"/>
    <cellStyle name="Normal 10 2 10 2 20 2 10" xfId="3308" xr:uid="{00000000-0005-0000-0000-0000AD0C0000}"/>
    <cellStyle name="Normal 10 2 10 2 20 2 2" xfId="3309" xr:uid="{00000000-0005-0000-0000-0000AE0C0000}"/>
    <cellStyle name="Normal 10 2 10 2 20 2 3" xfId="3310" xr:uid="{00000000-0005-0000-0000-0000AF0C0000}"/>
    <cellStyle name="Normal 10 2 10 2 20 2 4" xfId="3311" xr:uid="{00000000-0005-0000-0000-0000B00C0000}"/>
    <cellStyle name="Normal 10 2 10 2 20 2 5" xfId="3312" xr:uid="{00000000-0005-0000-0000-0000B10C0000}"/>
    <cellStyle name="Normal 10 2 10 2 20 2 6" xfId="3313" xr:uid="{00000000-0005-0000-0000-0000B20C0000}"/>
    <cellStyle name="Normal 10 2 10 2 20 2 7" xfId="3314" xr:uid="{00000000-0005-0000-0000-0000B30C0000}"/>
    <cellStyle name="Normal 10 2 10 2 20 2 8" xfId="3315" xr:uid="{00000000-0005-0000-0000-0000B40C0000}"/>
    <cellStyle name="Normal 10 2 10 2 20 2 9" xfId="3316" xr:uid="{00000000-0005-0000-0000-0000B50C0000}"/>
    <cellStyle name="Normal 10 2 10 2 20 3" xfId="3317" xr:uid="{00000000-0005-0000-0000-0000B60C0000}"/>
    <cellStyle name="Normal 10 2 10 2 20 3 10" xfId="3318" xr:uid="{00000000-0005-0000-0000-0000B70C0000}"/>
    <cellStyle name="Normal 10 2 10 2 20 3 2" xfId="3319" xr:uid="{00000000-0005-0000-0000-0000B80C0000}"/>
    <cellStyle name="Normal 10 2 10 2 20 3 3" xfId="3320" xr:uid="{00000000-0005-0000-0000-0000B90C0000}"/>
    <cellStyle name="Normal 10 2 10 2 20 3 4" xfId="3321" xr:uid="{00000000-0005-0000-0000-0000BA0C0000}"/>
    <cellStyle name="Normal 10 2 10 2 20 3 5" xfId="3322" xr:uid="{00000000-0005-0000-0000-0000BB0C0000}"/>
    <cellStyle name="Normal 10 2 10 2 20 3 6" xfId="3323" xr:uid="{00000000-0005-0000-0000-0000BC0C0000}"/>
    <cellStyle name="Normal 10 2 10 2 20 3 7" xfId="3324" xr:uid="{00000000-0005-0000-0000-0000BD0C0000}"/>
    <cellStyle name="Normal 10 2 10 2 20 3 8" xfId="3325" xr:uid="{00000000-0005-0000-0000-0000BE0C0000}"/>
    <cellStyle name="Normal 10 2 10 2 20 3 9" xfId="3326" xr:uid="{00000000-0005-0000-0000-0000BF0C0000}"/>
    <cellStyle name="Normal 10 2 10 2 20 4" xfId="3327" xr:uid="{00000000-0005-0000-0000-0000C00C0000}"/>
    <cellStyle name="Normal 10 2 10 2 20 4 10" xfId="3328" xr:uid="{00000000-0005-0000-0000-0000C10C0000}"/>
    <cellStyle name="Normal 10 2 10 2 20 4 2" xfId="3329" xr:uid="{00000000-0005-0000-0000-0000C20C0000}"/>
    <cellStyle name="Normal 10 2 10 2 20 4 3" xfId="3330" xr:uid="{00000000-0005-0000-0000-0000C30C0000}"/>
    <cellStyle name="Normal 10 2 10 2 20 4 4" xfId="3331" xr:uid="{00000000-0005-0000-0000-0000C40C0000}"/>
    <cellStyle name="Normal 10 2 10 2 20 4 5" xfId="3332" xr:uid="{00000000-0005-0000-0000-0000C50C0000}"/>
    <cellStyle name="Normal 10 2 10 2 20 4 6" xfId="3333" xr:uid="{00000000-0005-0000-0000-0000C60C0000}"/>
    <cellStyle name="Normal 10 2 10 2 20 4 7" xfId="3334" xr:uid="{00000000-0005-0000-0000-0000C70C0000}"/>
    <cellStyle name="Normal 10 2 10 2 20 4 8" xfId="3335" xr:uid="{00000000-0005-0000-0000-0000C80C0000}"/>
    <cellStyle name="Normal 10 2 10 2 20 4 9" xfId="3336" xr:uid="{00000000-0005-0000-0000-0000C90C0000}"/>
    <cellStyle name="Normal 10 2 10 2 20 5" xfId="3337" xr:uid="{00000000-0005-0000-0000-0000CA0C0000}"/>
    <cellStyle name="Normal 10 2 10 2 20 5 10" xfId="3338" xr:uid="{00000000-0005-0000-0000-0000CB0C0000}"/>
    <cellStyle name="Normal 10 2 10 2 20 5 2" xfId="3339" xr:uid="{00000000-0005-0000-0000-0000CC0C0000}"/>
    <cellStyle name="Normal 10 2 10 2 20 5 3" xfId="3340" xr:uid="{00000000-0005-0000-0000-0000CD0C0000}"/>
    <cellStyle name="Normal 10 2 10 2 20 5 4" xfId="3341" xr:uid="{00000000-0005-0000-0000-0000CE0C0000}"/>
    <cellStyle name="Normal 10 2 10 2 20 5 5" xfId="3342" xr:uid="{00000000-0005-0000-0000-0000CF0C0000}"/>
    <cellStyle name="Normal 10 2 10 2 20 5 6" xfId="3343" xr:uid="{00000000-0005-0000-0000-0000D00C0000}"/>
    <cellStyle name="Normal 10 2 10 2 20 5 7" xfId="3344" xr:uid="{00000000-0005-0000-0000-0000D10C0000}"/>
    <cellStyle name="Normal 10 2 10 2 20 5 8" xfId="3345" xr:uid="{00000000-0005-0000-0000-0000D20C0000}"/>
    <cellStyle name="Normal 10 2 10 2 20 5 9" xfId="3346" xr:uid="{00000000-0005-0000-0000-0000D30C0000}"/>
    <cellStyle name="Normal 10 2 10 2 20 6" xfId="3347" xr:uid="{00000000-0005-0000-0000-0000D40C0000}"/>
    <cellStyle name="Normal 10 2 10 2 20 7" xfId="3348" xr:uid="{00000000-0005-0000-0000-0000D50C0000}"/>
    <cellStyle name="Normal 10 2 10 2 20 8" xfId="3349" xr:uid="{00000000-0005-0000-0000-0000D60C0000}"/>
    <cellStyle name="Normal 10 2 10 2 20 9" xfId="3350" xr:uid="{00000000-0005-0000-0000-0000D70C0000}"/>
    <cellStyle name="Normal 10 2 10 2 21" xfId="3351" xr:uid="{00000000-0005-0000-0000-0000D80C0000}"/>
    <cellStyle name="Normal 10 2 10 2 21 10" xfId="3352" xr:uid="{00000000-0005-0000-0000-0000D90C0000}"/>
    <cellStyle name="Normal 10 2 10 2 21 11" xfId="3353" xr:uid="{00000000-0005-0000-0000-0000DA0C0000}"/>
    <cellStyle name="Normal 10 2 10 2 21 12" xfId="3354" xr:uid="{00000000-0005-0000-0000-0000DB0C0000}"/>
    <cellStyle name="Normal 10 2 10 2 21 13" xfId="3355" xr:uid="{00000000-0005-0000-0000-0000DC0C0000}"/>
    <cellStyle name="Normal 10 2 10 2 21 14" xfId="3356" xr:uid="{00000000-0005-0000-0000-0000DD0C0000}"/>
    <cellStyle name="Normal 10 2 10 2 21 2" xfId="3357" xr:uid="{00000000-0005-0000-0000-0000DE0C0000}"/>
    <cellStyle name="Normal 10 2 10 2 21 2 10" xfId="3358" xr:uid="{00000000-0005-0000-0000-0000DF0C0000}"/>
    <cellStyle name="Normal 10 2 10 2 21 2 2" xfId="3359" xr:uid="{00000000-0005-0000-0000-0000E00C0000}"/>
    <cellStyle name="Normal 10 2 10 2 21 2 3" xfId="3360" xr:uid="{00000000-0005-0000-0000-0000E10C0000}"/>
    <cellStyle name="Normal 10 2 10 2 21 2 4" xfId="3361" xr:uid="{00000000-0005-0000-0000-0000E20C0000}"/>
    <cellStyle name="Normal 10 2 10 2 21 2 5" xfId="3362" xr:uid="{00000000-0005-0000-0000-0000E30C0000}"/>
    <cellStyle name="Normal 10 2 10 2 21 2 6" xfId="3363" xr:uid="{00000000-0005-0000-0000-0000E40C0000}"/>
    <cellStyle name="Normal 10 2 10 2 21 2 7" xfId="3364" xr:uid="{00000000-0005-0000-0000-0000E50C0000}"/>
    <cellStyle name="Normal 10 2 10 2 21 2 8" xfId="3365" xr:uid="{00000000-0005-0000-0000-0000E60C0000}"/>
    <cellStyle name="Normal 10 2 10 2 21 2 9" xfId="3366" xr:uid="{00000000-0005-0000-0000-0000E70C0000}"/>
    <cellStyle name="Normal 10 2 10 2 21 3" xfId="3367" xr:uid="{00000000-0005-0000-0000-0000E80C0000}"/>
    <cellStyle name="Normal 10 2 10 2 21 3 10" xfId="3368" xr:uid="{00000000-0005-0000-0000-0000E90C0000}"/>
    <cellStyle name="Normal 10 2 10 2 21 3 2" xfId="3369" xr:uid="{00000000-0005-0000-0000-0000EA0C0000}"/>
    <cellStyle name="Normal 10 2 10 2 21 3 3" xfId="3370" xr:uid="{00000000-0005-0000-0000-0000EB0C0000}"/>
    <cellStyle name="Normal 10 2 10 2 21 3 4" xfId="3371" xr:uid="{00000000-0005-0000-0000-0000EC0C0000}"/>
    <cellStyle name="Normal 10 2 10 2 21 3 5" xfId="3372" xr:uid="{00000000-0005-0000-0000-0000ED0C0000}"/>
    <cellStyle name="Normal 10 2 10 2 21 3 6" xfId="3373" xr:uid="{00000000-0005-0000-0000-0000EE0C0000}"/>
    <cellStyle name="Normal 10 2 10 2 21 3 7" xfId="3374" xr:uid="{00000000-0005-0000-0000-0000EF0C0000}"/>
    <cellStyle name="Normal 10 2 10 2 21 3 8" xfId="3375" xr:uid="{00000000-0005-0000-0000-0000F00C0000}"/>
    <cellStyle name="Normal 10 2 10 2 21 3 9" xfId="3376" xr:uid="{00000000-0005-0000-0000-0000F10C0000}"/>
    <cellStyle name="Normal 10 2 10 2 21 4" xfId="3377" xr:uid="{00000000-0005-0000-0000-0000F20C0000}"/>
    <cellStyle name="Normal 10 2 10 2 21 4 10" xfId="3378" xr:uid="{00000000-0005-0000-0000-0000F30C0000}"/>
    <cellStyle name="Normal 10 2 10 2 21 4 2" xfId="3379" xr:uid="{00000000-0005-0000-0000-0000F40C0000}"/>
    <cellStyle name="Normal 10 2 10 2 21 4 3" xfId="3380" xr:uid="{00000000-0005-0000-0000-0000F50C0000}"/>
    <cellStyle name="Normal 10 2 10 2 21 4 4" xfId="3381" xr:uid="{00000000-0005-0000-0000-0000F60C0000}"/>
    <cellStyle name="Normal 10 2 10 2 21 4 5" xfId="3382" xr:uid="{00000000-0005-0000-0000-0000F70C0000}"/>
    <cellStyle name="Normal 10 2 10 2 21 4 6" xfId="3383" xr:uid="{00000000-0005-0000-0000-0000F80C0000}"/>
    <cellStyle name="Normal 10 2 10 2 21 4 7" xfId="3384" xr:uid="{00000000-0005-0000-0000-0000F90C0000}"/>
    <cellStyle name="Normal 10 2 10 2 21 4 8" xfId="3385" xr:uid="{00000000-0005-0000-0000-0000FA0C0000}"/>
    <cellStyle name="Normal 10 2 10 2 21 4 9" xfId="3386" xr:uid="{00000000-0005-0000-0000-0000FB0C0000}"/>
    <cellStyle name="Normal 10 2 10 2 21 5" xfId="3387" xr:uid="{00000000-0005-0000-0000-0000FC0C0000}"/>
    <cellStyle name="Normal 10 2 10 2 21 5 10" xfId="3388" xr:uid="{00000000-0005-0000-0000-0000FD0C0000}"/>
    <cellStyle name="Normal 10 2 10 2 21 5 2" xfId="3389" xr:uid="{00000000-0005-0000-0000-0000FE0C0000}"/>
    <cellStyle name="Normal 10 2 10 2 21 5 3" xfId="3390" xr:uid="{00000000-0005-0000-0000-0000FF0C0000}"/>
    <cellStyle name="Normal 10 2 10 2 21 5 4" xfId="3391" xr:uid="{00000000-0005-0000-0000-0000000D0000}"/>
    <cellStyle name="Normal 10 2 10 2 21 5 5" xfId="3392" xr:uid="{00000000-0005-0000-0000-0000010D0000}"/>
    <cellStyle name="Normal 10 2 10 2 21 5 6" xfId="3393" xr:uid="{00000000-0005-0000-0000-0000020D0000}"/>
    <cellStyle name="Normal 10 2 10 2 21 5 7" xfId="3394" xr:uid="{00000000-0005-0000-0000-0000030D0000}"/>
    <cellStyle name="Normal 10 2 10 2 21 5 8" xfId="3395" xr:uid="{00000000-0005-0000-0000-0000040D0000}"/>
    <cellStyle name="Normal 10 2 10 2 21 5 9" xfId="3396" xr:uid="{00000000-0005-0000-0000-0000050D0000}"/>
    <cellStyle name="Normal 10 2 10 2 21 6" xfId="3397" xr:uid="{00000000-0005-0000-0000-0000060D0000}"/>
    <cellStyle name="Normal 10 2 10 2 21 7" xfId="3398" xr:uid="{00000000-0005-0000-0000-0000070D0000}"/>
    <cellStyle name="Normal 10 2 10 2 21 8" xfId="3399" xr:uid="{00000000-0005-0000-0000-0000080D0000}"/>
    <cellStyle name="Normal 10 2 10 2 21 9" xfId="3400" xr:uid="{00000000-0005-0000-0000-0000090D0000}"/>
    <cellStyle name="Normal 10 2 10 2 22" xfId="3401" xr:uid="{00000000-0005-0000-0000-00000A0D0000}"/>
    <cellStyle name="Normal 10 2 10 2 22 10" xfId="3402" xr:uid="{00000000-0005-0000-0000-00000B0D0000}"/>
    <cellStyle name="Normal 10 2 10 2 22 11" xfId="3403" xr:uid="{00000000-0005-0000-0000-00000C0D0000}"/>
    <cellStyle name="Normal 10 2 10 2 22 12" xfId="3404" xr:uid="{00000000-0005-0000-0000-00000D0D0000}"/>
    <cellStyle name="Normal 10 2 10 2 22 13" xfId="3405" xr:uid="{00000000-0005-0000-0000-00000E0D0000}"/>
    <cellStyle name="Normal 10 2 10 2 22 14" xfId="3406" xr:uid="{00000000-0005-0000-0000-00000F0D0000}"/>
    <cellStyle name="Normal 10 2 10 2 22 2" xfId="3407" xr:uid="{00000000-0005-0000-0000-0000100D0000}"/>
    <cellStyle name="Normal 10 2 10 2 22 2 10" xfId="3408" xr:uid="{00000000-0005-0000-0000-0000110D0000}"/>
    <cellStyle name="Normal 10 2 10 2 22 2 2" xfId="3409" xr:uid="{00000000-0005-0000-0000-0000120D0000}"/>
    <cellStyle name="Normal 10 2 10 2 22 2 3" xfId="3410" xr:uid="{00000000-0005-0000-0000-0000130D0000}"/>
    <cellStyle name="Normal 10 2 10 2 22 2 4" xfId="3411" xr:uid="{00000000-0005-0000-0000-0000140D0000}"/>
    <cellStyle name="Normal 10 2 10 2 22 2 5" xfId="3412" xr:uid="{00000000-0005-0000-0000-0000150D0000}"/>
    <cellStyle name="Normal 10 2 10 2 22 2 6" xfId="3413" xr:uid="{00000000-0005-0000-0000-0000160D0000}"/>
    <cellStyle name="Normal 10 2 10 2 22 2 7" xfId="3414" xr:uid="{00000000-0005-0000-0000-0000170D0000}"/>
    <cellStyle name="Normal 10 2 10 2 22 2 8" xfId="3415" xr:uid="{00000000-0005-0000-0000-0000180D0000}"/>
    <cellStyle name="Normal 10 2 10 2 22 2 9" xfId="3416" xr:uid="{00000000-0005-0000-0000-0000190D0000}"/>
    <cellStyle name="Normal 10 2 10 2 22 3" xfId="3417" xr:uid="{00000000-0005-0000-0000-00001A0D0000}"/>
    <cellStyle name="Normal 10 2 10 2 22 3 10" xfId="3418" xr:uid="{00000000-0005-0000-0000-00001B0D0000}"/>
    <cellStyle name="Normal 10 2 10 2 22 3 2" xfId="3419" xr:uid="{00000000-0005-0000-0000-00001C0D0000}"/>
    <cellStyle name="Normal 10 2 10 2 22 3 3" xfId="3420" xr:uid="{00000000-0005-0000-0000-00001D0D0000}"/>
    <cellStyle name="Normal 10 2 10 2 22 3 4" xfId="3421" xr:uid="{00000000-0005-0000-0000-00001E0D0000}"/>
    <cellStyle name="Normal 10 2 10 2 22 3 5" xfId="3422" xr:uid="{00000000-0005-0000-0000-00001F0D0000}"/>
    <cellStyle name="Normal 10 2 10 2 22 3 6" xfId="3423" xr:uid="{00000000-0005-0000-0000-0000200D0000}"/>
    <cellStyle name="Normal 10 2 10 2 22 3 7" xfId="3424" xr:uid="{00000000-0005-0000-0000-0000210D0000}"/>
    <cellStyle name="Normal 10 2 10 2 22 3 8" xfId="3425" xr:uid="{00000000-0005-0000-0000-0000220D0000}"/>
    <cellStyle name="Normal 10 2 10 2 22 3 9" xfId="3426" xr:uid="{00000000-0005-0000-0000-0000230D0000}"/>
    <cellStyle name="Normal 10 2 10 2 22 4" xfId="3427" xr:uid="{00000000-0005-0000-0000-0000240D0000}"/>
    <cellStyle name="Normal 10 2 10 2 22 4 10" xfId="3428" xr:uid="{00000000-0005-0000-0000-0000250D0000}"/>
    <cellStyle name="Normal 10 2 10 2 22 4 2" xfId="3429" xr:uid="{00000000-0005-0000-0000-0000260D0000}"/>
    <cellStyle name="Normal 10 2 10 2 22 4 3" xfId="3430" xr:uid="{00000000-0005-0000-0000-0000270D0000}"/>
    <cellStyle name="Normal 10 2 10 2 22 4 4" xfId="3431" xr:uid="{00000000-0005-0000-0000-0000280D0000}"/>
    <cellStyle name="Normal 10 2 10 2 22 4 5" xfId="3432" xr:uid="{00000000-0005-0000-0000-0000290D0000}"/>
    <cellStyle name="Normal 10 2 10 2 22 4 6" xfId="3433" xr:uid="{00000000-0005-0000-0000-00002A0D0000}"/>
    <cellStyle name="Normal 10 2 10 2 22 4 7" xfId="3434" xr:uid="{00000000-0005-0000-0000-00002B0D0000}"/>
    <cellStyle name="Normal 10 2 10 2 22 4 8" xfId="3435" xr:uid="{00000000-0005-0000-0000-00002C0D0000}"/>
    <cellStyle name="Normal 10 2 10 2 22 4 9" xfId="3436" xr:uid="{00000000-0005-0000-0000-00002D0D0000}"/>
    <cellStyle name="Normal 10 2 10 2 22 5" xfId="3437" xr:uid="{00000000-0005-0000-0000-00002E0D0000}"/>
    <cellStyle name="Normal 10 2 10 2 22 5 10" xfId="3438" xr:uid="{00000000-0005-0000-0000-00002F0D0000}"/>
    <cellStyle name="Normal 10 2 10 2 22 5 2" xfId="3439" xr:uid="{00000000-0005-0000-0000-0000300D0000}"/>
    <cellStyle name="Normal 10 2 10 2 22 5 3" xfId="3440" xr:uid="{00000000-0005-0000-0000-0000310D0000}"/>
    <cellStyle name="Normal 10 2 10 2 22 5 4" xfId="3441" xr:uid="{00000000-0005-0000-0000-0000320D0000}"/>
    <cellStyle name="Normal 10 2 10 2 22 5 5" xfId="3442" xr:uid="{00000000-0005-0000-0000-0000330D0000}"/>
    <cellStyle name="Normal 10 2 10 2 22 5 6" xfId="3443" xr:uid="{00000000-0005-0000-0000-0000340D0000}"/>
    <cellStyle name="Normal 10 2 10 2 22 5 7" xfId="3444" xr:uid="{00000000-0005-0000-0000-0000350D0000}"/>
    <cellStyle name="Normal 10 2 10 2 22 5 8" xfId="3445" xr:uid="{00000000-0005-0000-0000-0000360D0000}"/>
    <cellStyle name="Normal 10 2 10 2 22 5 9" xfId="3446" xr:uid="{00000000-0005-0000-0000-0000370D0000}"/>
    <cellStyle name="Normal 10 2 10 2 22 6" xfId="3447" xr:uid="{00000000-0005-0000-0000-0000380D0000}"/>
    <cellStyle name="Normal 10 2 10 2 22 7" xfId="3448" xr:uid="{00000000-0005-0000-0000-0000390D0000}"/>
    <cellStyle name="Normal 10 2 10 2 22 8" xfId="3449" xr:uid="{00000000-0005-0000-0000-00003A0D0000}"/>
    <cellStyle name="Normal 10 2 10 2 22 9" xfId="3450" xr:uid="{00000000-0005-0000-0000-00003B0D0000}"/>
    <cellStyle name="Normal 10 2 10 2 23" xfId="3451" xr:uid="{00000000-0005-0000-0000-00003C0D0000}"/>
    <cellStyle name="Normal 10 2 10 2 23 10" xfId="3452" xr:uid="{00000000-0005-0000-0000-00003D0D0000}"/>
    <cellStyle name="Normal 10 2 10 2 23 11" xfId="3453" xr:uid="{00000000-0005-0000-0000-00003E0D0000}"/>
    <cellStyle name="Normal 10 2 10 2 23 12" xfId="3454" xr:uid="{00000000-0005-0000-0000-00003F0D0000}"/>
    <cellStyle name="Normal 10 2 10 2 23 13" xfId="3455" xr:uid="{00000000-0005-0000-0000-0000400D0000}"/>
    <cellStyle name="Normal 10 2 10 2 23 14" xfId="3456" xr:uid="{00000000-0005-0000-0000-0000410D0000}"/>
    <cellStyle name="Normal 10 2 10 2 23 2" xfId="3457" xr:uid="{00000000-0005-0000-0000-0000420D0000}"/>
    <cellStyle name="Normal 10 2 10 2 23 2 10" xfId="3458" xr:uid="{00000000-0005-0000-0000-0000430D0000}"/>
    <cellStyle name="Normal 10 2 10 2 23 2 2" xfId="3459" xr:uid="{00000000-0005-0000-0000-0000440D0000}"/>
    <cellStyle name="Normal 10 2 10 2 23 2 3" xfId="3460" xr:uid="{00000000-0005-0000-0000-0000450D0000}"/>
    <cellStyle name="Normal 10 2 10 2 23 2 4" xfId="3461" xr:uid="{00000000-0005-0000-0000-0000460D0000}"/>
    <cellStyle name="Normal 10 2 10 2 23 2 5" xfId="3462" xr:uid="{00000000-0005-0000-0000-0000470D0000}"/>
    <cellStyle name="Normal 10 2 10 2 23 2 6" xfId="3463" xr:uid="{00000000-0005-0000-0000-0000480D0000}"/>
    <cellStyle name="Normal 10 2 10 2 23 2 7" xfId="3464" xr:uid="{00000000-0005-0000-0000-0000490D0000}"/>
    <cellStyle name="Normal 10 2 10 2 23 2 8" xfId="3465" xr:uid="{00000000-0005-0000-0000-00004A0D0000}"/>
    <cellStyle name="Normal 10 2 10 2 23 2 9" xfId="3466" xr:uid="{00000000-0005-0000-0000-00004B0D0000}"/>
    <cellStyle name="Normal 10 2 10 2 23 3" xfId="3467" xr:uid="{00000000-0005-0000-0000-00004C0D0000}"/>
    <cellStyle name="Normal 10 2 10 2 23 3 10" xfId="3468" xr:uid="{00000000-0005-0000-0000-00004D0D0000}"/>
    <cellStyle name="Normal 10 2 10 2 23 3 2" xfId="3469" xr:uid="{00000000-0005-0000-0000-00004E0D0000}"/>
    <cellStyle name="Normal 10 2 10 2 23 3 3" xfId="3470" xr:uid="{00000000-0005-0000-0000-00004F0D0000}"/>
    <cellStyle name="Normal 10 2 10 2 23 3 4" xfId="3471" xr:uid="{00000000-0005-0000-0000-0000500D0000}"/>
    <cellStyle name="Normal 10 2 10 2 23 3 5" xfId="3472" xr:uid="{00000000-0005-0000-0000-0000510D0000}"/>
    <cellStyle name="Normal 10 2 10 2 23 3 6" xfId="3473" xr:uid="{00000000-0005-0000-0000-0000520D0000}"/>
    <cellStyle name="Normal 10 2 10 2 23 3 7" xfId="3474" xr:uid="{00000000-0005-0000-0000-0000530D0000}"/>
    <cellStyle name="Normal 10 2 10 2 23 3 8" xfId="3475" xr:uid="{00000000-0005-0000-0000-0000540D0000}"/>
    <cellStyle name="Normal 10 2 10 2 23 3 9" xfId="3476" xr:uid="{00000000-0005-0000-0000-0000550D0000}"/>
    <cellStyle name="Normal 10 2 10 2 23 4" xfId="3477" xr:uid="{00000000-0005-0000-0000-0000560D0000}"/>
    <cellStyle name="Normal 10 2 10 2 23 4 10" xfId="3478" xr:uid="{00000000-0005-0000-0000-0000570D0000}"/>
    <cellStyle name="Normal 10 2 10 2 23 4 2" xfId="3479" xr:uid="{00000000-0005-0000-0000-0000580D0000}"/>
    <cellStyle name="Normal 10 2 10 2 23 4 3" xfId="3480" xr:uid="{00000000-0005-0000-0000-0000590D0000}"/>
    <cellStyle name="Normal 10 2 10 2 23 4 4" xfId="3481" xr:uid="{00000000-0005-0000-0000-00005A0D0000}"/>
    <cellStyle name="Normal 10 2 10 2 23 4 5" xfId="3482" xr:uid="{00000000-0005-0000-0000-00005B0D0000}"/>
    <cellStyle name="Normal 10 2 10 2 23 4 6" xfId="3483" xr:uid="{00000000-0005-0000-0000-00005C0D0000}"/>
    <cellStyle name="Normal 10 2 10 2 23 4 7" xfId="3484" xr:uid="{00000000-0005-0000-0000-00005D0D0000}"/>
    <cellStyle name="Normal 10 2 10 2 23 4 8" xfId="3485" xr:uid="{00000000-0005-0000-0000-00005E0D0000}"/>
    <cellStyle name="Normal 10 2 10 2 23 4 9" xfId="3486" xr:uid="{00000000-0005-0000-0000-00005F0D0000}"/>
    <cellStyle name="Normal 10 2 10 2 23 5" xfId="3487" xr:uid="{00000000-0005-0000-0000-0000600D0000}"/>
    <cellStyle name="Normal 10 2 10 2 23 5 10" xfId="3488" xr:uid="{00000000-0005-0000-0000-0000610D0000}"/>
    <cellStyle name="Normal 10 2 10 2 23 5 2" xfId="3489" xr:uid="{00000000-0005-0000-0000-0000620D0000}"/>
    <cellStyle name="Normal 10 2 10 2 23 5 3" xfId="3490" xr:uid="{00000000-0005-0000-0000-0000630D0000}"/>
    <cellStyle name="Normal 10 2 10 2 23 5 4" xfId="3491" xr:uid="{00000000-0005-0000-0000-0000640D0000}"/>
    <cellStyle name="Normal 10 2 10 2 23 5 5" xfId="3492" xr:uid="{00000000-0005-0000-0000-0000650D0000}"/>
    <cellStyle name="Normal 10 2 10 2 23 5 6" xfId="3493" xr:uid="{00000000-0005-0000-0000-0000660D0000}"/>
    <cellStyle name="Normal 10 2 10 2 23 5 7" xfId="3494" xr:uid="{00000000-0005-0000-0000-0000670D0000}"/>
    <cellStyle name="Normal 10 2 10 2 23 5 8" xfId="3495" xr:uid="{00000000-0005-0000-0000-0000680D0000}"/>
    <cellStyle name="Normal 10 2 10 2 23 5 9" xfId="3496" xr:uid="{00000000-0005-0000-0000-0000690D0000}"/>
    <cellStyle name="Normal 10 2 10 2 23 6" xfId="3497" xr:uid="{00000000-0005-0000-0000-00006A0D0000}"/>
    <cellStyle name="Normal 10 2 10 2 23 7" xfId="3498" xr:uid="{00000000-0005-0000-0000-00006B0D0000}"/>
    <cellStyle name="Normal 10 2 10 2 23 8" xfId="3499" xr:uid="{00000000-0005-0000-0000-00006C0D0000}"/>
    <cellStyle name="Normal 10 2 10 2 23 9" xfId="3500" xr:uid="{00000000-0005-0000-0000-00006D0D0000}"/>
    <cellStyle name="Normal 10 2 10 2 24" xfId="3501" xr:uid="{00000000-0005-0000-0000-00006E0D0000}"/>
    <cellStyle name="Normal 10 2 10 2 24 10" xfId="3502" xr:uid="{00000000-0005-0000-0000-00006F0D0000}"/>
    <cellStyle name="Normal 10 2 10 2 24 11" xfId="3503" xr:uid="{00000000-0005-0000-0000-0000700D0000}"/>
    <cellStyle name="Normal 10 2 10 2 24 12" xfId="3504" xr:uid="{00000000-0005-0000-0000-0000710D0000}"/>
    <cellStyle name="Normal 10 2 10 2 24 13" xfId="3505" xr:uid="{00000000-0005-0000-0000-0000720D0000}"/>
    <cellStyle name="Normal 10 2 10 2 24 14" xfId="3506" xr:uid="{00000000-0005-0000-0000-0000730D0000}"/>
    <cellStyle name="Normal 10 2 10 2 24 2" xfId="3507" xr:uid="{00000000-0005-0000-0000-0000740D0000}"/>
    <cellStyle name="Normal 10 2 10 2 24 2 10" xfId="3508" xr:uid="{00000000-0005-0000-0000-0000750D0000}"/>
    <cellStyle name="Normal 10 2 10 2 24 2 2" xfId="3509" xr:uid="{00000000-0005-0000-0000-0000760D0000}"/>
    <cellStyle name="Normal 10 2 10 2 24 2 3" xfId="3510" xr:uid="{00000000-0005-0000-0000-0000770D0000}"/>
    <cellStyle name="Normal 10 2 10 2 24 2 4" xfId="3511" xr:uid="{00000000-0005-0000-0000-0000780D0000}"/>
    <cellStyle name="Normal 10 2 10 2 24 2 5" xfId="3512" xr:uid="{00000000-0005-0000-0000-0000790D0000}"/>
    <cellStyle name="Normal 10 2 10 2 24 2 6" xfId="3513" xr:uid="{00000000-0005-0000-0000-00007A0D0000}"/>
    <cellStyle name="Normal 10 2 10 2 24 2 7" xfId="3514" xr:uid="{00000000-0005-0000-0000-00007B0D0000}"/>
    <cellStyle name="Normal 10 2 10 2 24 2 8" xfId="3515" xr:uid="{00000000-0005-0000-0000-00007C0D0000}"/>
    <cellStyle name="Normal 10 2 10 2 24 2 9" xfId="3516" xr:uid="{00000000-0005-0000-0000-00007D0D0000}"/>
    <cellStyle name="Normal 10 2 10 2 24 3" xfId="3517" xr:uid="{00000000-0005-0000-0000-00007E0D0000}"/>
    <cellStyle name="Normal 10 2 10 2 24 3 10" xfId="3518" xr:uid="{00000000-0005-0000-0000-00007F0D0000}"/>
    <cellStyle name="Normal 10 2 10 2 24 3 2" xfId="3519" xr:uid="{00000000-0005-0000-0000-0000800D0000}"/>
    <cellStyle name="Normal 10 2 10 2 24 3 3" xfId="3520" xr:uid="{00000000-0005-0000-0000-0000810D0000}"/>
    <cellStyle name="Normal 10 2 10 2 24 3 4" xfId="3521" xr:uid="{00000000-0005-0000-0000-0000820D0000}"/>
    <cellStyle name="Normal 10 2 10 2 24 3 5" xfId="3522" xr:uid="{00000000-0005-0000-0000-0000830D0000}"/>
    <cellStyle name="Normal 10 2 10 2 24 3 6" xfId="3523" xr:uid="{00000000-0005-0000-0000-0000840D0000}"/>
    <cellStyle name="Normal 10 2 10 2 24 3 7" xfId="3524" xr:uid="{00000000-0005-0000-0000-0000850D0000}"/>
    <cellStyle name="Normal 10 2 10 2 24 3 8" xfId="3525" xr:uid="{00000000-0005-0000-0000-0000860D0000}"/>
    <cellStyle name="Normal 10 2 10 2 24 3 9" xfId="3526" xr:uid="{00000000-0005-0000-0000-0000870D0000}"/>
    <cellStyle name="Normal 10 2 10 2 24 4" xfId="3527" xr:uid="{00000000-0005-0000-0000-0000880D0000}"/>
    <cellStyle name="Normal 10 2 10 2 24 4 10" xfId="3528" xr:uid="{00000000-0005-0000-0000-0000890D0000}"/>
    <cellStyle name="Normal 10 2 10 2 24 4 2" xfId="3529" xr:uid="{00000000-0005-0000-0000-00008A0D0000}"/>
    <cellStyle name="Normal 10 2 10 2 24 4 3" xfId="3530" xr:uid="{00000000-0005-0000-0000-00008B0D0000}"/>
    <cellStyle name="Normal 10 2 10 2 24 4 4" xfId="3531" xr:uid="{00000000-0005-0000-0000-00008C0D0000}"/>
    <cellStyle name="Normal 10 2 10 2 24 4 5" xfId="3532" xr:uid="{00000000-0005-0000-0000-00008D0D0000}"/>
    <cellStyle name="Normal 10 2 10 2 24 4 6" xfId="3533" xr:uid="{00000000-0005-0000-0000-00008E0D0000}"/>
    <cellStyle name="Normal 10 2 10 2 24 4 7" xfId="3534" xr:uid="{00000000-0005-0000-0000-00008F0D0000}"/>
    <cellStyle name="Normal 10 2 10 2 24 4 8" xfId="3535" xr:uid="{00000000-0005-0000-0000-0000900D0000}"/>
    <cellStyle name="Normal 10 2 10 2 24 4 9" xfId="3536" xr:uid="{00000000-0005-0000-0000-0000910D0000}"/>
    <cellStyle name="Normal 10 2 10 2 24 5" xfId="3537" xr:uid="{00000000-0005-0000-0000-0000920D0000}"/>
    <cellStyle name="Normal 10 2 10 2 24 5 10" xfId="3538" xr:uid="{00000000-0005-0000-0000-0000930D0000}"/>
    <cellStyle name="Normal 10 2 10 2 24 5 2" xfId="3539" xr:uid="{00000000-0005-0000-0000-0000940D0000}"/>
    <cellStyle name="Normal 10 2 10 2 24 5 3" xfId="3540" xr:uid="{00000000-0005-0000-0000-0000950D0000}"/>
    <cellStyle name="Normal 10 2 10 2 24 5 4" xfId="3541" xr:uid="{00000000-0005-0000-0000-0000960D0000}"/>
    <cellStyle name="Normal 10 2 10 2 24 5 5" xfId="3542" xr:uid="{00000000-0005-0000-0000-0000970D0000}"/>
    <cellStyle name="Normal 10 2 10 2 24 5 6" xfId="3543" xr:uid="{00000000-0005-0000-0000-0000980D0000}"/>
    <cellStyle name="Normal 10 2 10 2 24 5 7" xfId="3544" xr:uid="{00000000-0005-0000-0000-0000990D0000}"/>
    <cellStyle name="Normal 10 2 10 2 24 5 8" xfId="3545" xr:uid="{00000000-0005-0000-0000-00009A0D0000}"/>
    <cellStyle name="Normal 10 2 10 2 24 5 9" xfId="3546" xr:uid="{00000000-0005-0000-0000-00009B0D0000}"/>
    <cellStyle name="Normal 10 2 10 2 24 6" xfId="3547" xr:uid="{00000000-0005-0000-0000-00009C0D0000}"/>
    <cellStyle name="Normal 10 2 10 2 24 7" xfId="3548" xr:uid="{00000000-0005-0000-0000-00009D0D0000}"/>
    <cellStyle name="Normal 10 2 10 2 24 8" xfId="3549" xr:uid="{00000000-0005-0000-0000-00009E0D0000}"/>
    <cellStyle name="Normal 10 2 10 2 24 9" xfId="3550" xr:uid="{00000000-0005-0000-0000-00009F0D0000}"/>
    <cellStyle name="Normal 10 2 10 2 25" xfId="3551" xr:uid="{00000000-0005-0000-0000-0000A00D0000}"/>
    <cellStyle name="Normal 10 2 10 2 25 10" xfId="3552" xr:uid="{00000000-0005-0000-0000-0000A10D0000}"/>
    <cellStyle name="Normal 10 2 10 2 25 11" xfId="3553" xr:uid="{00000000-0005-0000-0000-0000A20D0000}"/>
    <cellStyle name="Normal 10 2 10 2 25 12" xfId="3554" xr:uid="{00000000-0005-0000-0000-0000A30D0000}"/>
    <cellStyle name="Normal 10 2 10 2 25 13" xfId="3555" xr:uid="{00000000-0005-0000-0000-0000A40D0000}"/>
    <cellStyle name="Normal 10 2 10 2 25 14" xfId="3556" xr:uid="{00000000-0005-0000-0000-0000A50D0000}"/>
    <cellStyle name="Normal 10 2 10 2 25 2" xfId="3557" xr:uid="{00000000-0005-0000-0000-0000A60D0000}"/>
    <cellStyle name="Normal 10 2 10 2 25 2 10" xfId="3558" xr:uid="{00000000-0005-0000-0000-0000A70D0000}"/>
    <cellStyle name="Normal 10 2 10 2 25 2 2" xfId="3559" xr:uid="{00000000-0005-0000-0000-0000A80D0000}"/>
    <cellStyle name="Normal 10 2 10 2 25 2 3" xfId="3560" xr:uid="{00000000-0005-0000-0000-0000A90D0000}"/>
    <cellStyle name="Normal 10 2 10 2 25 2 4" xfId="3561" xr:uid="{00000000-0005-0000-0000-0000AA0D0000}"/>
    <cellStyle name="Normal 10 2 10 2 25 2 5" xfId="3562" xr:uid="{00000000-0005-0000-0000-0000AB0D0000}"/>
    <cellStyle name="Normal 10 2 10 2 25 2 6" xfId="3563" xr:uid="{00000000-0005-0000-0000-0000AC0D0000}"/>
    <cellStyle name="Normal 10 2 10 2 25 2 7" xfId="3564" xr:uid="{00000000-0005-0000-0000-0000AD0D0000}"/>
    <cellStyle name="Normal 10 2 10 2 25 2 8" xfId="3565" xr:uid="{00000000-0005-0000-0000-0000AE0D0000}"/>
    <cellStyle name="Normal 10 2 10 2 25 2 9" xfId="3566" xr:uid="{00000000-0005-0000-0000-0000AF0D0000}"/>
    <cellStyle name="Normal 10 2 10 2 25 3" xfId="3567" xr:uid="{00000000-0005-0000-0000-0000B00D0000}"/>
    <cellStyle name="Normal 10 2 10 2 25 3 10" xfId="3568" xr:uid="{00000000-0005-0000-0000-0000B10D0000}"/>
    <cellStyle name="Normal 10 2 10 2 25 3 2" xfId="3569" xr:uid="{00000000-0005-0000-0000-0000B20D0000}"/>
    <cellStyle name="Normal 10 2 10 2 25 3 3" xfId="3570" xr:uid="{00000000-0005-0000-0000-0000B30D0000}"/>
    <cellStyle name="Normal 10 2 10 2 25 3 4" xfId="3571" xr:uid="{00000000-0005-0000-0000-0000B40D0000}"/>
    <cellStyle name="Normal 10 2 10 2 25 3 5" xfId="3572" xr:uid="{00000000-0005-0000-0000-0000B50D0000}"/>
    <cellStyle name="Normal 10 2 10 2 25 3 6" xfId="3573" xr:uid="{00000000-0005-0000-0000-0000B60D0000}"/>
    <cellStyle name="Normal 10 2 10 2 25 3 7" xfId="3574" xr:uid="{00000000-0005-0000-0000-0000B70D0000}"/>
    <cellStyle name="Normal 10 2 10 2 25 3 8" xfId="3575" xr:uid="{00000000-0005-0000-0000-0000B80D0000}"/>
    <cellStyle name="Normal 10 2 10 2 25 3 9" xfId="3576" xr:uid="{00000000-0005-0000-0000-0000B90D0000}"/>
    <cellStyle name="Normal 10 2 10 2 25 4" xfId="3577" xr:uid="{00000000-0005-0000-0000-0000BA0D0000}"/>
    <cellStyle name="Normal 10 2 10 2 25 4 10" xfId="3578" xr:uid="{00000000-0005-0000-0000-0000BB0D0000}"/>
    <cellStyle name="Normal 10 2 10 2 25 4 2" xfId="3579" xr:uid="{00000000-0005-0000-0000-0000BC0D0000}"/>
    <cellStyle name="Normal 10 2 10 2 25 4 3" xfId="3580" xr:uid="{00000000-0005-0000-0000-0000BD0D0000}"/>
    <cellStyle name="Normal 10 2 10 2 25 4 4" xfId="3581" xr:uid="{00000000-0005-0000-0000-0000BE0D0000}"/>
    <cellStyle name="Normal 10 2 10 2 25 4 5" xfId="3582" xr:uid="{00000000-0005-0000-0000-0000BF0D0000}"/>
    <cellStyle name="Normal 10 2 10 2 25 4 6" xfId="3583" xr:uid="{00000000-0005-0000-0000-0000C00D0000}"/>
    <cellStyle name="Normal 10 2 10 2 25 4 7" xfId="3584" xr:uid="{00000000-0005-0000-0000-0000C10D0000}"/>
    <cellStyle name="Normal 10 2 10 2 25 4 8" xfId="3585" xr:uid="{00000000-0005-0000-0000-0000C20D0000}"/>
    <cellStyle name="Normal 10 2 10 2 25 4 9" xfId="3586" xr:uid="{00000000-0005-0000-0000-0000C30D0000}"/>
    <cellStyle name="Normal 10 2 10 2 25 5" xfId="3587" xr:uid="{00000000-0005-0000-0000-0000C40D0000}"/>
    <cellStyle name="Normal 10 2 10 2 25 5 10" xfId="3588" xr:uid="{00000000-0005-0000-0000-0000C50D0000}"/>
    <cellStyle name="Normal 10 2 10 2 25 5 2" xfId="3589" xr:uid="{00000000-0005-0000-0000-0000C60D0000}"/>
    <cellStyle name="Normal 10 2 10 2 25 5 3" xfId="3590" xr:uid="{00000000-0005-0000-0000-0000C70D0000}"/>
    <cellStyle name="Normal 10 2 10 2 25 5 4" xfId="3591" xr:uid="{00000000-0005-0000-0000-0000C80D0000}"/>
    <cellStyle name="Normal 10 2 10 2 25 5 5" xfId="3592" xr:uid="{00000000-0005-0000-0000-0000C90D0000}"/>
    <cellStyle name="Normal 10 2 10 2 25 5 6" xfId="3593" xr:uid="{00000000-0005-0000-0000-0000CA0D0000}"/>
    <cellStyle name="Normal 10 2 10 2 25 5 7" xfId="3594" xr:uid="{00000000-0005-0000-0000-0000CB0D0000}"/>
    <cellStyle name="Normal 10 2 10 2 25 5 8" xfId="3595" xr:uid="{00000000-0005-0000-0000-0000CC0D0000}"/>
    <cellStyle name="Normal 10 2 10 2 25 5 9" xfId="3596" xr:uid="{00000000-0005-0000-0000-0000CD0D0000}"/>
    <cellStyle name="Normal 10 2 10 2 25 6" xfId="3597" xr:uid="{00000000-0005-0000-0000-0000CE0D0000}"/>
    <cellStyle name="Normal 10 2 10 2 25 7" xfId="3598" xr:uid="{00000000-0005-0000-0000-0000CF0D0000}"/>
    <cellStyle name="Normal 10 2 10 2 25 8" xfId="3599" xr:uid="{00000000-0005-0000-0000-0000D00D0000}"/>
    <cellStyle name="Normal 10 2 10 2 25 9" xfId="3600" xr:uid="{00000000-0005-0000-0000-0000D10D0000}"/>
    <cellStyle name="Normal 10 2 10 2 26" xfId="3601" xr:uid="{00000000-0005-0000-0000-0000D20D0000}"/>
    <cellStyle name="Normal 10 2 10 2 26 10" xfId="3602" xr:uid="{00000000-0005-0000-0000-0000D30D0000}"/>
    <cellStyle name="Normal 10 2 10 2 26 11" xfId="3603" xr:uid="{00000000-0005-0000-0000-0000D40D0000}"/>
    <cellStyle name="Normal 10 2 10 2 26 12" xfId="3604" xr:uid="{00000000-0005-0000-0000-0000D50D0000}"/>
    <cellStyle name="Normal 10 2 10 2 26 13" xfId="3605" xr:uid="{00000000-0005-0000-0000-0000D60D0000}"/>
    <cellStyle name="Normal 10 2 10 2 26 14" xfId="3606" xr:uid="{00000000-0005-0000-0000-0000D70D0000}"/>
    <cellStyle name="Normal 10 2 10 2 26 2" xfId="3607" xr:uid="{00000000-0005-0000-0000-0000D80D0000}"/>
    <cellStyle name="Normal 10 2 10 2 26 2 10" xfId="3608" xr:uid="{00000000-0005-0000-0000-0000D90D0000}"/>
    <cellStyle name="Normal 10 2 10 2 26 2 2" xfId="3609" xr:uid="{00000000-0005-0000-0000-0000DA0D0000}"/>
    <cellStyle name="Normal 10 2 10 2 26 2 3" xfId="3610" xr:uid="{00000000-0005-0000-0000-0000DB0D0000}"/>
    <cellStyle name="Normal 10 2 10 2 26 2 4" xfId="3611" xr:uid="{00000000-0005-0000-0000-0000DC0D0000}"/>
    <cellStyle name="Normal 10 2 10 2 26 2 5" xfId="3612" xr:uid="{00000000-0005-0000-0000-0000DD0D0000}"/>
    <cellStyle name="Normal 10 2 10 2 26 2 6" xfId="3613" xr:uid="{00000000-0005-0000-0000-0000DE0D0000}"/>
    <cellStyle name="Normal 10 2 10 2 26 2 7" xfId="3614" xr:uid="{00000000-0005-0000-0000-0000DF0D0000}"/>
    <cellStyle name="Normal 10 2 10 2 26 2 8" xfId="3615" xr:uid="{00000000-0005-0000-0000-0000E00D0000}"/>
    <cellStyle name="Normal 10 2 10 2 26 2 9" xfId="3616" xr:uid="{00000000-0005-0000-0000-0000E10D0000}"/>
    <cellStyle name="Normal 10 2 10 2 26 3" xfId="3617" xr:uid="{00000000-0005-0000-0000-0000E20D0000}"/>
    <cellStyle name="Normal 10 2 10 2 26 3 10" xfId="3618" xr:uid="{00000000-0005-0000-0000-0000E30D0000}"/>
    <cellStyle name="Normal 10 2 10 2 26 3 2" xfId="3619" xr:uid="{00000000-0005-0000-0000-0000E40D0000}"/>
    <cellStyle name="Normal 10 2 10 2 26 3 3" xfId="3620" xr:uid="{00000000-0005-0000-0000-0000E50D0000}"/>
    <cellStyle name="Normal 10 2 10 2 26 3 4" xfId="3621" xr:uid="{00000000-0005-0000-0000-0000E60D0000}"/>
    <cellStyle name="Normal 10 2 10 2 26 3 5" xfId="3622" xr:uid="{00000000-0005-0000-0000-0000E70D0000}"/>
    <cellStyle name="Normal 10 2 10 2 26 3 6" xfId="3623" xr:uid="{00000000-0005-0000-0000-0000E80D0000}"/>
    <cellStyle name="Normal 10 2 10 2 26 3 7" xfId="3624" xr:uid="{00000000-0005-0000-0000-0000E90D0000}"/>
    <cellStyle name="Normal 10 2 10 2 26 3 8" xfId="3625" xr:uid="{00000000-0005-0000-0000-0000EA0D0000}"/>
    <cellStyle name="Normal 10 2 10 2 26 3 9" xfId="3626" xr:uid="{00000000-0005-0000-0000-0000EB0D0000}"/>
    <cellStyle name="Normal 10 2 10 2 26 4" xfId="3627" xr:uid="{00000000-0005-0000-0000-0000EC0D0000}"/>
    <cellStyle name="Normal 10 2 10 2 26 4 10" xfId="3628" xr:uid="{00000000-0005-0000-0000-0000ED0D0000}"/>
    <cellStyle name="Normal 10 2 10 2 26 4 2" xfId="3629" xr:uid="{00000000-0005-0000-0000-0000EE0D0000}"/>
    <cellStyle name="Normal 10 2 10 2 26 4 3" xfId="3630" xr:uid="{00000000-0005-0000-0000-0000EF0D0000}"/>
    <cellStyle name="Normal 10 2 10 2 26 4 4" xfId="3631" xr:uid="{00000000-0005-0000-0000-0000F00D0000}"/>
    <cellStyle name="Normal 10 2 10 2 26 4 5" xfId="3632" xr:uid="{00000000-0005-0000-0000-0000F10D0000}"/>
    <cellStyle name="Normal 10 2 10 2 26 4 6" xfId="3633" xr:uid="{00000000-0005-0000-0000-0000F20D0000}"/>
    <cellStyle name="Normal 10 2 10 2 26 4 7" xfId="3634" xr:uid="{00000000-0005-0000-0000-0000F30D0000}"/>
    <cellStyle name="Normal 10 2 10 2 26 4 8" xfId="3635" xr:uid="{00000000-0005-0000-0000-0000F40D0000}"/>
    <cellStyle name="Normal 10 2 10 2 26 4 9" xfId="3636" xr:uid="{00000000-0005-0000-0000-0000F50D0000}"/>
    <cellStyle name="Normal 10 2 10 2 26 5" xfId="3637" xr:uid="{00000000-0005-0000-0000-0000F60D0000}"/>
    <cellStyle name="Normal 10 2 10 2 26 5 10" xfId="3638" xr:uid="{00000000-0005-0000-0000-0000F70D0000}"/>
    <cellStyle name="Normal 10 2 10 2 26 5 2" xfId="3639" xr:uid="{00000000-0005-0000-0000-0000F80D0000}"/>
    <cellStyle name="Normal 10 2 10 2 26 5 3" xfId="3640" xr:uid="{00000000-0005-0000-0000-0000F90D0000}"/>
    <cellStyle name="Normal 10 2 10 2 26 5 4" xfId="3641" xr:uid="{00000000-0005-0000-0000-0000FA0D0000}"/>
    <cellStyle name="Normal 10 2 10 2 26 5 5" xfId="3642" xr:uid="{00000000-0005-0000-0000-0000FB0D0000}"/>
    <cellStyle name="Normal 10 2 10 2 26 5 6" xfId="3643" xr:uid="{00000000-0005-0000-0000-0000FC0D0000}"/>
    <cellStyle name="Normal 10 2 10 2 26 5 7" xfId="3644" xr:uid="{00000000-0005-0000-0000-0000FD0D0000}"/>
    <cellStyle name="Normal 10 2 10 2 26 5 8" xfId="3645" xr:uid="{00000000-0005-0000-0000-0000FE0D0000}"/>
    <cellStyle name="Normal 10 2 10 2 26 5 9" xfId="3646" xr:uid="{00000000-0005-0000-0000-0000FF0D0000}"/>
    <cellStyle name="Normal 10 2 10 2 26 6" xfId="3647" xr:uid="{00000000-0005-0000-0000-0000000E0000}"/>
    <cellStyle name="Normal 10 2 10 2 26 7" xfId="3648" xr:uid="{00000000-0005-0000-0000-0000010E0000}"/>
    <cellStyle name="Normal 10 2 10 2 26 8" xfId="3649" xr:uid="{00000000-0005-0000-0000-0000020E0000}"/>
    <cellStyle name="Normal 10 2 10 2 26 9" xfId="3650" xr:uid="{00000000-0005-0000-0000-0000030E0000}"/>
    <cellStyle name="Normal 10 2 10 2 27" xfId="3651" xr:uid="{00000000-0005-0000-0000-0000040E0000}"/>
    <cellStyle name="Normal 10 2 10 2 27 10" xfId="3652" xr:uid="{00000000-0005-0000-0000-0000050E0000}"/>
    <cellStyle name="Normal 10 2 10 2 27 11" xfId="3653" xr:uid="{00000000-0005-0000-0000-0000060E0000}"/>
    <cellStyle name="Normal 10 2 10 2 27 12" xfId="3654" xr:uid="{00000000-0005-0000-0000-0000070E0000}"/>
    <cellStyle name="Normal 10 2 10 2 27 13" xfId="3655" xr:uid="{00000000-0005-0000-0000-0000080E0000}"/>
    <cellStyle name="Normal 10 2 10 2 27 14" xfId="3656" xr:uid="{00000000-0005-0000-0000-0000090E0000}"/>
    <cellStyle name="Normal 10 2 10 2 27 2" xfId="3657" xr:uid="{00000000-0005-0000-0000-00000A0E0000}"/>
    <cellStyle name="Normal 10 2 10 2 27 2 10" xfId="3658" xr:uid="{00000000-0005-0000-0000-00000B0E0000}"/>
    <cellStyle name="Normal 10 2 10 2 27 2 2" xfId="3659" xr:uid="{00000000-0005-0000-0000-00000C0E0000}"/>
    <cellStyle name="Normal 10 2 10 2 27 2 3" xfId="3660" xr:uid="{00000000-0005-0000-0000-00000D0E0000}"/>
    <cellStyle name="Normal 10 2 10 2 27 2 4" xfId="3661" xr:uid="{00000000-0005-0000-0000-00000E0E0000}"/>
    <cellStyle name="Normal 10 2 10 2 27 2 5" xfId="3662" xr:uid="{00000000-0005-0000-0000-00000F0E0000}"/>
    <cellStyle name="Normal 10 2 10 2 27 2 6" xfId="3663" xr:uid="{00000000-0005-0000-0000-0000100E0000}"/>
    <cellStyle name="Normal 10 2 10 2 27 2 7" xfId="3664" xr:uid="{00000000-0005-0000-0000-0000110E0000}"/>
    <cellStyle name="Normal 10 2 10 2 27 2 8" xfId="3665" xr:uid="{00000000-0005-0000-0000-0000120E0000}"/>
    <cellStyle name="Normal 10 2 10 2 27 2 9" xfId="3666" xr:uid="{00000000-0005-0000-0000-0000130E0000}"/>
    <cellStyle name="Normal 10 2 10 2 27 3" xfId="3667" xr:uid="{00000000-0005-0000-0000-0000140E0000}"/>
    <cellStyle name="Normal 10 2 10 2 27 3 10" xfId="3668" xr:uid="{00000000-0005-0000-0000-0000150E0000}"/>
    <cellStyle name="Normal 10 2 10 2 27 3 2" xfId="3669" xr:uid="{00000000-0005-0000-0000-0000160E0000}"/>
    <cellStyle name="Normal 10 2 10 2 27 3 3" xfId="3670" xr:uid="{00000000-0005-0000-0000-0000170E0000}"/>
    <cellStyle name="Normal 10 2 10 2 27 3 4" xfId="3671" xr:uid="{00000000-0005-0000-0000-0000180E0000}"/>
    <cellStyle name="Normal 10 2 10 2 27 3 5" xfId="3672" xr:uid="{00000000-0005-0000-0000-0000190E0000}"/>
    <cellStyle name="Normal 10 2 10 2 27 3 6" xfId="3673" xr:uid="{00000000-0005-0000-0000-00001A0E0000}"/>
    <cellStyle name="Normal 10 2 10 2 27 3 7" xfId="3674" xr:uid="{00000000-0005-0000-0000-00001B0E0000}"/>
    <cellStyle name="Normal 10 2 10 2 27 3 8" xfId="3675" xr:uid="{00000000-0005-0000-0000-00001C0E0000}"/>
    <cellStyle name="Normal 10 2 10 2 27 3 9" xfId="3676" xr:uid="{00000000-0005-0000-0000-00001D0E0000}"/>
    <cellStyle name="Normal 10 2 10 2 27 4" xfId="3677" xr:uid="{00000000-0005-0000-0000-00001E0E0000}"/>
    <cellStyle name="Normal 10 2 10 2 27 4 10" xfId="3678" xr:uid="{00000000-0005-0000-0000-00001F0E0000}"/>
    <cellStyle name="Normal 10 2 10 2 27 4 2" xfId="3679" xr:uid="{00000000-0005-0000-0000-0000200E0000}"/>
    <cellStyle name="Normal 10 2 10 2 27 4 3" xfId="3680" xr:uid="{00000000-0005-0000-0000-0000210E0000}"/>
    <cellStyle name="Normal 10 2 10 2 27 4 4" xfId="3681" xr:uid="{00000000-0005-0000-0000-0000220E0000}"/>
    <cellStyle name="Normal 10 2 10 2 27 4 5" xfId="3682" xr:uid="{00000000-0005-0000-0000-0000230E0000}"/>
    <cellStyle name="Normal 10 2 10 2 27 4 6" xfId="3683" xr:uid="{00000000-0005-0000-0000-0000240E0000}"/>
    <cellStyle name="Normal 10 2 10 2 27 4 7" xfId="3684" xr:uid="{00000000-0005-0000-0000-0000250E0000}"/>
    <cellStyle name="Normal 10 2 10 2 27 4 8" xfId="3685" xr:uid="{00000000-0005-0000-0000-0000260E0000}"/>
    <cellStyle name="Normal 10 2 10 2 27 4 9" xfId="3686" xr:uid="{00000000-0005-0000-0000-0000270E0000}"/>
    <cellStyle name="Normal 10 2 10 2 27 5" xfId="3687" xr:uid="{00000000-0005-0000-0000-0000280E0000}"/>
    <cellStyle name="Normal 10 2 10 2 27 5 10" xfId="3688" xr:uid="{00000000-0005-0000-0000-0000290E0000}"/>
    <cellStyle name="Normal 10 2 10 2 27 5 2" xfId="3689" xr:uid="{00000000-0005-0000-0000-00002A0E0000}"/>
    <cellStyle name="Normal 10 2 10 2 27 5 3" xfId="3690" xr:uid="{00000000-0005-0000-0000-00002B0E0000}"/>
    <cellStyle name="Normal 10 2 10 2 27 5 4" xfId="3691" xr:uid="{00000000-0005-0000-0000-00002C0E0000}"/>
    <cellStyle name="Normal 10 2 10 2 27 5 5" xfId="3692" xr:uid="{00000000-0005-0000-0000-00002D0E0000}"/>
    <cellStyle name="Normal 10 2 10 2 27 5 6" xfId="3693" xr:uid="{00000000-0005-0000-0000-00002E0E0000}"/>
    <cellStyle name="Normal 10 2 10 2 27 5 7" xfId="3694" xr:uid="{00000000-0005-0000-0000-00002F0E0000}"/>
    <cellStyle name="Normal 10 2 10 2 27 5 8" xfId="3695" xr:uid="{00000000-0005-0000-0000-0000300E0000}"/>
    <cellStyle name="Normal 10 2 10 2 27 5 9" xfId="3696" xr:uid="{00000000-0005-0000-0000-0000310E0000}"/>
    <cellStyle name="Normal 10 2 10 2 27 6" xfId="3697" xr:uid="{00000000-0005-0000-0000-0000320E0000}"/>
    <cellStyle name="Normal 10 2 10 2 27 7" xfId="3698" xr:uid="{00000000-0005-0000-0000-0000330E0000}"/>
    <cellStyle name="Normal 10 2 10 2 27 8" xfId="3699" xr:uid="{00000000-0005-0000-0000-0000340E0000}"/>
    <cellStyle name="Normal 10 2 10 2 27 9" xfId="3700" xr:uid="{00000000-0005-0000-0000-0000350E0000}"/>
    <cellStyle name="Normal 10 2 10 2 28" xfId="3701" xr:uid="{00000000-0005-0000-0000-0000360E0000}"/>
    <cellStyle name="Normal 10 2 10 2 28 10" xfId="3702" xr:uid="{00000000-0005-0000-0000-0000370E0000}"/>
    <cellStyle name="Normal 10 2 10 2 28 11" xfId="3703" xr:uid="{00000000-0005-0000-0000-0000380E0000}"/>
    <cellStyle name="Normal 10 2 10 2 28 12" xfId="3704" xr:uid="{00000000-0005-0000-0000-0000390E0000}"/>
    <cellStyle name="Normal 10 2 10 2 28 13" xfId="3705" xr:uid="{00000000-0005-0000-0000-00003A0E0000}"/>
    <cellStyle name="Normal 10 2 10 2 28 14" xfId="3706" xr:uid="{00000000-0005-0000-0000-00003B0E0000}"/>
    <cellStyle name="Normal 10 2 10 2 28 2" xfId="3707" xr:uid="{00000000-0005-0000-0000-00003C0E0000}"/>
    <cellStyle name="Normal 10 2 10 2 28 2 10" xfId="3708" xr:uid="{00000000-0005-0000-0000-00003D0E0000}"/>
    <cellStyle name="Normal 10 2 10 2 28 2 2" xfId="3709" xr:uid="{00000000-0005-0000-0000-00003E0E0000}"/>
    <cellStyle name="Normal 10 2 10 2 28 2 3" xfId="3710" xr:uid="{00000000-0005-0000-0000-00003F0E0000}"/>
    <cellStyle name="Normal 10 2 10 2 28 2 4" xfId="3711" xr:uid="{00000000-0005-0000-0000-0000400E0000}"/>
    <cellStyle name="Normal 10 2 10 2 28 2 5" xfId="3712" xr:uid="{00000000-0005-0000-0000-0000410E0000}"/>
    <cellStyle name="Normal 10 2 10 2 28 2 6" xfId="3713" xr:uid="{00000000-0005-0000-0000-0000420E0000}"/>
    <cellStyle name="Normal 10 2 10 2 28 2 7" xfId="3714" xr:uid="{00000000-0005-0000-0000-0000430E0000}"/>
    <cellStyle name="Normal 10 2 10 2 28 2 8" xfId="3715" xr:uid="{00000000-0005-0000-0000-0000440E0000}"/>
    <cellStyle name="Normal 10 2 10 2 28 2 9" xfId="3716" xr:uid="{00000000-0005-0000-0000-0000450E0000}"/>
    <cellStyle name="Normal 10 2 10 2 28 3" xfId="3717" xr:uid="{00000000-0005-0000-0000-0000460E0000}"/>
    <cellStyle name="Normal 10 2 10 2 28 3 10" xfId="3718" xr:uid="{00000000-0005-0000-0000-0000470E0000}"/>
    <cellStyle name="Normal 10 2 10 2 28 3 2" xfId="3719" xr:uid="{00000000-0005-0000-0000-0000480E0000}"/>
    <cellStyle name="Normal 10 2 10 2 28 3 3" xfId="3720" xr:uid="{00000000-0005-0000-0000-0000490E0000}"/>
    <cellStyle name="Normal 10 2 10 2 28 3 4" xfId="3721" xr:uid="{00000000-0005-0000-0000-00004A0E0000}"/>
    <cellStyle name="Normal 10 2 10 2 28 3 5" xfId="3722" xr:uid="{00000000-0005-0000-0000-00004B0E0000}"/>
    <cellStyle name="Normal 10 2 10 2 28 3 6" xfId="3723" xr:uid="{00000000-0005-0000-0000-00004C0E0000}"/>
    <cellStyle name="Normal 10 2 10 2 28 3 7" xfId="3724" xr:uid="{00000000-0005-0000-0000-00004D0E0000}"/>
    <cellStyle name="Normal 10 2 10 2 28 3 8" xfId="3725" xr:uid="{00000000-0005-0000-0000-00004E0E0000}"/>
    <cellStyle name="Normal 10 2 10 2 28 3 9" xfId="3726" xr:uid="{00000000-0005-0000-0000-00004F0E0000}"/>
    <cellStyle name="Normal 10 2 10 2 28 4" xfId="3727" xr:uid="{00000000-0005-0000-0000-0000500E0000}"/>
    <cellStyle name="Normal 10 2 10 2 28 4 10" xfId="3728" xr:uid="{00000000-0005-0000-0000-0000510E0000}"/>
    <cellStyle name="Normal 10 2 10 2 28 4 2" xfId="3729" xr:uid="{00000000-0005-0000-0000-0000520E0000}"/>
    <cellStyle name="Normal 10 2 10 2 28 4 3" xfId="3730" xr:uid="{00000000-0005-0000-0000-0000530E0000}"/>
    <cellStyle name="Normal 10 2 10 2 28 4 4" xfId="3731" xr:uid="{00000000-0005-0000-0000-0000540E0000}"/>
    <cellStyle name="Normal 10 2 10 2 28 4 5" xfId="3732" xr:uid="{00000000-0005-0000-0000-0000550E0000}"/>
    <cellStyle name="Normal 10 2 10 2 28 4 6" xfId="3733" xr:uid="{00000000-0005-0000-0000-0000560E0000}"/>
    <cellStyle name="Normal 10 2 10 2 28 4 7" xfId="3734" xr:uid="{00000000-0005-0000-0000-0000570E0000}"/>
    <cellStyle name="Normal 10 2 10 2 28 4 8" xfId="3735" xr:uid="{00000000-0005-0000-0000-0000580E0000}"/>
    <cellStyle name="Normal 10 2 10 2 28 4 9" xfId="3736" xr:uid="{00000000-0005-0000-0000-0000590E0000}"/>
    <cellStyle name="Normal 10 2 10 2 28 5" xfId="3737" xr:uid="{00000000-0005-0000-0000-00005A0E0000}"/>
    <cellStyle name="Normal 10 2 10 2 28 5 10" xfId="3738" xr:uid="{00000000-0005-0000-0000-00005B0E0000}"/>
    <cellStyle name="Normal 10 2 10 2 28 5 2" xfId="3739" xr:uid="{00000000-0005-0000-0000-00005C0E0000}"/>
    <cellStyle name="Normal 10 2 10 2 28 5 3" xfId="3740" xr:uid="{00000000-0005-0000-0000-00005D0E0000}"/>
    <cellStyle name="Normal 10 2 10 2 28 5 4" xfId="3741" xr:uid="{00000000-0005-0000-0000-00005E0E0000}"/>
    <cellStyle name="Normal 10 2 10 2 28 5 5" xfId="3742" xr:uid="{00000000-0005-0000-0000-00005F0E0000}"/>
    <cellStyle name="Normal 10 2 10 2 28 5 6" xfId="3743" xr:uid="{00000000-0005-0000-0000-0000600E0000}"/>
    <cellStyle name="Normal 10 2 10 2 28 5 7" xfId="3744" xr:uid="{00000000-0005-0000-0000-0000610E0000}"/>
    <cellStyle name="Normal 10 2 10 2 28 5 8" xfId="3745" xr:uid="{00000000-0005-0000-0000-0000620E0000}"/>
    <cellStyle name="Normal 10 2 10 2 28 5 9" xfId="3746" xr:uid="{00000000-0005-0000-0000-0000630E0000}"/>
    <cellStyle name="Normal 10 2 10 2 28 6" xfId="3747" xr:uid="{00000000-0005-0000-0000-0000640E0000}"/>
    <cellStyle name="Normal 10 2 10 2 28 7" xfId="3748" xr:uid="{00000000-0005-0000-0000-0000650E0000}"/>
    <cellStyle name="Normal 10 2 10 2 28 8" xfId="3749" xr:uid="{00000000-0005-0000-0000-0000660E0000}"/>
    <cellStyle name="Normal 10 2 10 2 28 9" xfId="3750" xr:uid="{00000000-0005-0000-0000-0000670E0000}"/>
    <cellStyle name="Normal 10 2 10 2 29" xfId="3751" xr:uid="{00000000-0005-0000-0000-0000680E0000}"/>
    <cellStyle name="Normal 10 2 10 2 29 10" xfId="3752" xr:uid="{00000000-0005-0000-0000-0000690E0000}"/>
    <cellStyle name="Normal 10 2 10 2 29 11" xfId="3753" xr:uid="{00000000-0005-0000-0000-00006A0E0000}"/>
    <cellStyle name="Normal 10 2 10 2 29 12" xfId="3754" xr:uid="{00000000-0005-0000-0000-00006B0E0000}"/>
    <cellStyle name="Normal 10 2 10 2 29 13" xfId="3755" xr:uid="{00000000-0005-0000-0000-00006C0E0000}"/>
    <cellStyle name="Normal 10 2 10 2 29 14" xfId="3756" xr:uid="{00000000-0005-0000-0000-00006D0E0000}"/>
    <cellStyle name="Normal 10 2 10 2 29 2" xfId="3757" xr:uid="{00000000-0005-0000-0000-00006E0E0000}"/>
    <cellStyle name="Normal 10 2 10 2 29 2 10" xfId="3758" xr:uid="{00000000-0005-0000-0000-00006F0E0000}"/>
    <cellStyle name="Normal 10 2 10 2 29 2 2" xfId="3759" xr:uid="{00000000-0005-0000-0000-0000700E0000}"/>
    <cellStyle name="Normal 10 2 10 2 29 2 3" xfId="3760" xr:uid="{00000000-0005-0000-0000-0000710E0000}"/>
    <cellStyle name="Normal 10 2 10 2 29 2 4" xfId="3761" xr:uid="{00000000-0005-0000-0000-0000720E0000}"/>
    <cellStyle name="Normal 10 2 10 2 29 2 5" xfId="3762" xr:uid="{00000000-0005-0000-0000-0000730E0000}"/>
    <cellStyle name="Normal 10 2 10 2 29 2 6" xfId="3763" xr:uid="{00000000-0005-0000-0000-0000740E0000}"/>
    <cellStyle name="Normal 10 2 10 2 29 2 7" xfId="3764" xr:uid="{00000000-0005-0000-0000-0000750E0000}"/>
    <cellStyle name="Normal 10 2 10 2 29 2 8" xfId="3765" xr:uid="{00000000-0005-0000-0000-0000760E0000}"/>
    <cellStyle name="Normal 10 2 10 2 29 2 9" xfId="3766" xr:uid="{00000000-0005-0000-0000-0000770E0000}"/>
    <cellStyle name="Normal 10 2 10 2 29 3" xfId="3767" xr:uid="{00000000-0005-0000-0000-0000780E0000}"/>
    <cellStyle name="Normal 10 2 10 2 29 3 10" xfId="3768" xr:uid="{00000000-0005-0000-0000-0000790E0000}"/>
    <cellStyle name="Normal 10 2 10 2 29 3 2" xfId="3769" xr:uid="{00000000-0005-0000-0000-00007A0E0000}"/>
    <cellStyle name="Normal 10 2 10 2 29 3 3" xfId="3770" xr:uid="{00000000-0005-0000-0000-00007B0E0000}"/>
    <cellStyle name="Normal 10 2 10 2 29 3 4" xfId="3771" xr:uid="{00000000-0005-0000-0000-00007C0E0000}"/>
    <cellStyle name="Normal 10 2 10 2 29 3 5" xfId="3772" xr:uid="{00000000-0005-0000-0000-00007D0E0000}"/>
    <cellStyle name="Normal 10 2 10 2 29 3 6" xfId="3773" xr:uid="{00000000-0005-0000-0000-00007E0E0000}"/>
    <cellStyle name="Normal 10 2 10 2 29 3 7" xfId="3774" xr:uid="{00000000-0005-0000-0000-00007F0E0000}"/>
    <cellStyle name="Normal 10 2 10 2 29 3 8" xfId="3775" xr:uid="{00000000-0005-0000-0000-0000800E0000}"/>
    <cellStyle name="Normal 10 2 10 2 29 3 9" xfId="3776" xr:uid="{00000000-0005-0000-0000-0000810E0000}"/>
    <cellStyle name="Normal 10 2 10 2 29 4" xfId="3777" xr:uid="{00000000-0005-0000-0000-0000820E0000}"/>
    <cellStyle name="Normal 10 2 10 2 29 4 10" xfId="3778" xr:uid="{00000000-0005-0000-0000-0000830E0000}"/>
    <cellStyle name="Normal 10 2 10 2 29 4 2" xfId="3779" xr:uid="{00000000-0005-0000-0000-0000840E0000}"/>
    <cellStyle name="Normal 10 2 10 2 29 4 3" xfId="3780" xr:uid="{00000000-0005-0000-0000-0000850E0000}"/>
    <cellStyle name="Normal 10 2 10 2 29 4 4" xfId="3781" xr:uid="{00000000-0005-0000-0000-0000860E0000}"/>
    <cellStyle name="Normal 10 2 10 2 29 4 5" xfId="3782" xr:uid="{00000000-0005-0000-0000-0000870E0000}"/>
    <cellStyle name="Normal 10 2 10 2 29 4 6" xfId="3783" xr:uid="{00000000-0005-0000-0000-0000880E0000}"/>
    <cellStyle name="Normal 10 2 10 2 29 4 7" xfId="3784" xr:uid="{00000000-0005-0000-0000-0000890E0000}"/>
    <cellStyle name="Normal 10 2 10 2 29 4 8" xfId="3785" xr:uid="{00000000-0005-0000-0000-00008A0E0000}"/>
    <cellStyle name="Normal 10 2 10 2 29 4 9" xfId="3786" xr:uid="{00000000-0005-0000-0000-00008B0E0000}"/>
    <cellStyle name="Normal 10 2 10 2 29 5" xfId="3787" xr:uid="{00000000-0005-0000-0000-00008C0E0000}"/>
    <cellStyle name="Normal 10 2 10 2 29 5 10" xfId="3788" xr:uid="{00000000-0005-0000-0000-00008D0E0000}"/>
    <cellStyle name="Normal 10 2 10 2 29 5 2" xfId="3789" xr:uid="{00000000-0005-0000-0000-00008E0E0000}"/>
    <cellStyle name="Normal 10 2 10 2 29 5 3" xfId="3790" xr:uid="{00000000-0005-0000-0000-00008F0E0000}"/>
    <cellStyle name="Normal 10 2 10 2 29 5 4" xfId="3791" xr:uid="{00000000-0005-0000-0000-0000900E0000}"/>
    <cellStyle name="Normal 10 2 10 2 29 5 5" xfId="3792" xr:uid="{00000000-0005-0000-0000-0000910E0000}"/>
    <cellStyle name="Normal 10 2 10 2 29 5 6" xfId="3793" xr:uid="{00000000-0005-0000-0000-0000920E0000}"/>
    <cellStyle name="Normal 10 2 10 2 29 5 7" xfId="3794" xr:uid="{00000000-0005-0000-0000-0000930E0000}"/>
    <cellStyle name="Normal 10 2 10 2 29 5 8" xfId="3795" xr:uid="{00000000-0005-0000-0000-0000940E0000}"/>
    <cellStyle name="Normal 10 2 10 2 29 5 9" xfId="3796" xr:uid="{00000000-0005-0000-0000-0000950E0000}"/>
    <cellStyle name="Normal 10 2 10 2 29 6" xfId="3797" xr:uid="{00000000-0005-0000-0000-0000960E0000}"/>
    <cellStyle name="Normal 10 2 10 2 29 7" xfId="3798" xr:uid="{00000000-0005-0000-0000-0000970E0000}"/>
    <cellStyle name="Normal 10 2 10 2 29 8" xfId="3799" xr:uid="{00000000-0005-0000-0000-0000980E0000}"/>
    <cellStyle name="Normal 10 2 10 2 29 9" xfId="3800" xr:uid="{00000000-0005-0000-0000-0000990E0000}"/>
    <cellStyle name="Normal 10 2 10 2 3" xfId="3801" xr:uid="{00000000-0005-0000-0000-00009A0E0000}"/>
    <cellStyle name="Normal 10 2 10 2 3 10" xfId="3802" xr:uid="{00000000-0005-0000-0000-00009B0E0000}"/>
    <cellStyle name="Normal 10 2 10 2 3 11" xfId="3803" xr:uid="{00000000-0005-0000-0000-00009C0E0000}"/>
    <cellStyle name="Normal 10 2 10 2 3 12" xfId="3804" xr:uid="{00000000-0005-0000-0000-00009D0E0000}"/>
    <cellStyle name="Normal 10 2 10 2 3 13" xfId="3805" xr:uid="{00000000-0005-0000-0000-00009E0E0000}"/>
    <cellStyle name="Normal 10 2 10 2 3 14" xfId="3806" xr:uid="{00000000-0005-0000-0000-00009F0E0000}"/>
    <cellStyle name="Normal 10 2 10 2 3 2" xfId="3807" xr:uid="{00000000-0005-0000-0000-0000A00E0000}"/>
    <cellStyle name="Normal 10 2 10 2 3 2 10" xfId="3808" xr:uid="{00000000-0005-0000-0000-0000A10E0000}"/>
    <cellStyle name="Normal 10 2 10 2 3 2 2" xfId="3809" xr:uid="{00000000-0005-0000-0000-0000A20E0000}"/>
    <cellStyle name="Normal 10 2 10 2 3 2 3" xfId="3810" xr:uid="{00000000-0005-0000-0000-0000A30E0000}"/>
    <cellStyle name="Normal 10 2 10 2 3 2 4" xfId="3811" xr:uid="{00000000-0005-0000-0000-0000A40E0000}"/>
    <cellStyle name="Normal 10 2 10 2 3 2 5" xfId="3812" xr:uid="{00000000-0005-0000-0000-0000A50E0000}"/>
    <cellStyle name="Normal 10 2 10 2 3 2 6" xfId="3813" xr:uid="{00000000-0005-0000-0000-0000A60E0000}"/>
    <cellStyle name="Normal 10 2 10 2 3 2 7" xfId="3814" xr:uid="{00000000-0005-0000-0000-0000A70E0000}"/>
    <cellStyle name="Normal 10 2 10 2 3 2 8" xfId="3815" xr:uid="{00000000-0005-0000-0000-0000A80E0000}"/>
    <cellStyle name="Normal 10 2 10 2 3 2 9" xfId="3816" xr:uid="{00000000-0005-0000-0000-0000A90E0000}"/>
    <cellStyle name="Normal 10 2 10 2 3 3" xfId="3817" xr:uid="{00000000-0005-0000-0000-0000AA0E0000}"/>
    <cellStyle name="Normal 10 2 10 2 3 3 10" xfId="3818" xr:uid="{00000000-0005-0000-0000-0000AB0E0000}"/>
    <cellStyle name="Normal 10 2 10 2 3 3 2" xfId="3819" xr:uid="{00000000-0005-0000-0000-0000AC0E0000}"/>
    <cellStyle name="Normal 10 2 10 2 3 3 3" xfId="3820" xr:uid="{00000000-0005-0000-0000-0000AD0E0000}"/>
    <cellStyle name="Normal 10 2 10 2 3 3 4" xfId="3821" xr:uid="{00000000-0005-0000-0000-0000AE0E0000}"/>
    <cellStyle name="Normal 10 2 10 2 3 3 5" xfId="3822" xr:uid="{00000000-0005-0000-0000-0000AF0E0000}"/>
    <cellStyle name="Normal 10 2 10 2 3 3 6" xfId="3823" xr:uid="{00000000-0005-0000-0000-0000B00E0000}"/>
    <cellStyle name="Normal 10 2 10 2 3 3 7" xfId="3824" xr:uid="{00000000-0005-0000-0000-0000B10E0000}"/>
    <cellStyle name="Normal 10 2 10 2 3 3 8" xfId="3825" xr:uid="{00000000-0005-0000-0000-0000B20E0000}"/>
    <cellStyle name="Normal 10 2 10 2 3 3 9" xfId="3826" xr:uid="{00000000-0005-0000-0000-0000B30E0000}"/>
    <cellStyle name="Normal 10 2 10 2 3 4" xfId="3827" xr:uid="{00000000-0005-0000-0000-0000B40E0000}"/>
    <cellStyle name="Normal 10 2 10 2 3 4 10" xfId="3828" xr:uid="{00000000-0005-0000-0000-0000B50E0000}"/>
    <cellStyle name="Normal 10 2 10 2 3 4 2" xfId="3829" xr:uid="{00000000-0005-0000-0000-0000B60E0000}"/>
    <cellStyle name="Normal 10 2 10 2 3 4 3" xfId="3830" xr:uid="{00000000-0005-0000-0000-0000B70E0000}"/>
    <cellStyle name="Normal 10 2 10 2 3 4 4" xfId="3831" xr:uid="{00000000-0005-0000-0000-0000B80E0000}"/>
    <cellStyle name="Normal 10 2 10 2 3 4 5" xfId="3832" xr:uid="{00000000-0005-0000-0000-0000B90E0000}"/>
    <cellStyle name="Normal 10 2 10 2 3 4 6" xfId="3833" xr:uid="{00000000-0005-0000-0000-0000BA0E0000}"/>
    <cellStyle name="Normal 10 2 10 2 3 4 7" xfId="3834" xr:uid="{00000000-0005-0000-0000-0000BB0E0000}"/>
    <cellStyle name="Normal 10 2 10 2 3 4 8" xfId="3835" xr:uid="{00000000-0005-0000-0000-0000BC0E0000}"/>
    <cellStyle name="Normal 10 2 10 2 3 4 9" xfId="3836" xr:uid="{00000000-0005-0000-0000-0000BD0E0000}"/>
    <cellStyle name="Normal 10 2 10 2 3 5" xfId="3837" xr:uid="{00000000-0005-0000-0000-0000BE0E0000}"/>
    <cellStyle name="Normal 10 2 10 2 3 5 10" xfId="3838" xr:uid="{00000000-0005-0000-0000-0000BF0E0000}"/>
    <cellStyle name="Normal 10 2 10 2 3 5 2" xfId="3839" xr:uid="{00000000-0005-0000-0000-0000C00E0000}"/>
    <cellStyle name="Normal 10 2 10 2 3 5 3" xfId="3840" xr:uid="{00000000-0005-0000-0000-0000C10E0000}"/>
    <cellStyle name="Normal 10 2 10 2 3 5 4" xfId="3841" xr:uid="{00000000-0005-0000-0000-0000C20E0000}"/>
    <cellStyle name="Normal 10 2 10 2 3 5 5" xfId="3842" xr:uid="{00000000-0005-0000-0000-0000C30E0000}"/>
    <cellStyle name="Normal 10 2 10 2 3 5 6" xfId="3843" xr:uid="{00000000-0005-0000-0000-0000C40E0000}"/>
    <cellStyle name="Normal 10 2 10 2 3 5 7" xfId="3844" xr:uid="{00000000-0005-0000-0000-0000C50E0000}"/>
    <cellStyle name="Normal 10 2 10 2 3 5 8" xfId="3845" xr:uid="{00000000-0005-0000-0000-0000C60E0000}"/>
    <cellStyle name="Normal 10 2 10 2 3 5 9" xfId="3846" xr:uid="{00000000-0005-0000-0000-0000C70E0000}"/>
    <cellStyle name="Normal 10 2 10 2 3 6" xfId="3847" xr:uid="{00000000-0005-0000-0000-0000C80E0000}"/>
    <cellStyle name="Normal 10 2 10 2 3 7" xfId="3848" xr:uid="{00000000-0005-0000-0000-0000C90E0000}"/>
    <cellStyle name="Normal 10 2 10 2 3 8" xfId="3849" xr:uid="{00000000-0005-0000-0000-0000CA0E0000}"/>
    <cellStyle name="Normal 10 2 10 2 3 9" xfId="3850" xr:uid="{00000000-0005-0000-0000-0000CB0E0000}"/>
    <cellStyle name="Normal 10 2 10 2 30" xfId="3851" xr:uid="{00000000-0005-0000-0000-0000CC0E0000}"/>
    <cellStyle name="Normal 10 2 10 2 30 10" xfId="3852" xr:uid="{00000000-0005-0000-0000-0000CD0E0000}"/>
    <cellStyle name="Normal 10 2 10 2 30 11" xfId="3853" xr:uid="{00000000-0005-0000-0000-0000CE0E0000}"/>
    <cellStyle name="Normal 10 2 10 2 30 12" xfId="3854" xr:uid="{00000000-0005-0000-0000-0000CF0E0000}"/>
    <cellStyle name="Normal 10 2 10 2 30 13" xfId="3855" xr:uid="{00000000-0005-0000-0000-0000D00E0000}"/>
    <cellStyle name="Normal 10 2 10 2 30 14" xfId="3856" xr:uid="{00000000-0005-0000-0000-0000D10E0000}"/>
    <cellStyle name="Normal 10 2 10 2 30 2" xfId="3857" xr:uid="{00000000-0005-0000-0000-0000D20E0000}"/>
    <cellStyle name="Normal 10 2 10 2 30 2 10" xfId="3858" xr:uid="{00000000-0005-0000-0000-0000D30E0000}"/>
    <cellStyle name="Normal 10 2 10 2 30 2 2" xfId="3859" xr:uid="{00000000-0005-0000-0000-0000D40E0000}"/>
    <cellStyle name="Normal 10 2 10 2 30 2 3" xfId="3860" xr:uid="{00000000-0005-0000-0000-0000D50E0000}"/>
    <cellStyle name="Normal 10 2 10 2 30 2 4" xfId="3861" xr:uid="{00000000-0005-0000-0000-0000D60E0000}"/>
    <cellStyle name="Normal 10 2 10 2 30 2 5" xfId="3862" xr:uid="{00000000-0005-0000-0000-0000D70E0000}"/>
    <cellStyle name="Normal 10 2 10 2 30 2 6" xfId="3863" xr:uid="{00000000-0005-0000-0000-0000D80E0000}"/>
    <cellStyle name="Normal 10 2 10 2 30 2 7" xfId="3864" xr:uid="{00000000-0005-0000-0000-0000D90E0000}"/>
    <cellStyle name="Normal 10 2 10 2 30 2 8" xfId="3865" xr:uid="{00000000-0005-0000-0000-0000DA0E0000}"/>
    <cellStyle name="Normal 10 2 10 2 30 2 9" xfId="3866" xr:uid="{00000000-0005-0000-0000-0000DB0E0000}"/>
    <cellStyle name="Normal 10 2 10 2 30 3" xfId="3867" xr:uid="{00000000-0005-0000-0000-0000DC0E0000}"/>
    <cellStyle name="Normal 10 2 10 2 30 3 10" xfId="3868" xr:uid="{00000000-0005-0000-0000-0000DD0E0000}"/>
    <cellStyle name="Normal 10 2 10 2 30 3 2" xfId="3869" xr:uid="{00000000-0005-0000-0000-0000DE0E0000}"/>
    <cellStyle name="Normal 10 2 10 2 30 3 3" xfId="3870" xr:uid="{00000000-0005-0000-0000-0000DF0E0000}"/>
    <cellStyle name="Normal 10 2 10 2 30 3 4" xfId="3871" xr:uid="{00000000-0005-0000-0000-0000E00E0000}"/>
    <cellStyle name="Normal 10 2 10 2 30 3 5" xfId="3872" xr:uid="{00000000-0005-0000-0000-0000E10E0000}"/>
    <cellStyle name="Normal 10 2 10 2 30 3 6" xfId="3873" xr:uid="{00000000-0005-0000-0000-0000E20E0000}"/>
    <cellStyle name="Normal 10 2 10 2 30 3 7" xfId="3874" xr:uid="{00000000-0005-0000-0000-0000E30E0000}"/>
    <cellStyle name="Normal 10 2 10 2 30 3 8" xfId="3875" xr:uid="{00000000-0005-0000-0000-0000E40E0000}"/>
    <cellStyle name="Normal 10 2 10 2 30 3 9" xfId="3876" xr:uid="{00000000-0005-0000-0000-0000E50E0000}"/>
    <cellStyle name="Normal 10 2 10 2 30 4" xfId="3877" xr:uid="{00000000-0005-0000-0000-0000E60E0000}"/>
    <cellStyle name="Normal 10 2 10 2 30 4 10" xfId="3878" xr:uid="{00000000-0005-0000-0000-0000E70E0000}"/>
    <cellStyle name="Normal 10 2 10 2 30 4 2" xfId="3879" xr:uid="{00000000-0005-0000-0000-0000E80E0000}"/>
    <cellStyle name="Normal 10 2 10 2 30 4 3" xfId="3880" xr:uid="{00000000-0005-0000-0000-0000E90E0000}"/>
    <cellStyle name="Normal 10 2 10 2 30 4 4" xfId="3881" xr:uid="{00000000-0005-0000-0000-0000EA0E0000}"/>
    <cellStyle name="Normal 10 2 10 2 30 4 5" xfId="3882" xr:uid="{00000000-0005-0000-0000-0000EB0E0000}"/>
    <cellStyle name="Normal 10 2 10 2 30 4 6" xfId="3883" xr:uid="{00000000-0005-0000-0000-0000EC0E0000}"/>
    <cellStyle name="Normal 10 2 10 2 30 4 7" xfId="3884" xr:uid="{00000000-0005-0000-0000-0000ED0E0000}"/>
    <cellStyle name="Normal 10 2 10 2 30 4 8" xfId="3885" xr:uid="{00000000-0005-0000-0000-0000EE0E0000}"/>
    <cellStyle name="Normal 10 2 10 2 30 4 9" xfId="3886" xr:uid="{00000000-0005-0000-0000-0000EF0E0000}"/>
    <cellStyle name="Normal 10 2 10 2 30 5" xfId="3887" xr:uid="{00000000-0005-0000-0000-0000F00E0000}"/>
    <cellStyle name="Normal 10 2 10 2 30 5 10" xfId="3888" xr:uid="{00000000-0005-0000-0000-0000F10E0000}"/>
    <cellStyle name="Normal 10 2 10 2 30 5 2" xfId="3889" xr:uid="{00000000-0005-0000-0000-0000F20E0000}"/>
    <cellStyle name="Normal 10 2 10 2 30 5 3" xfId="3890" xr:uid="{00000000-0005-0000-0000-0000F30E0000}"/>
    <cellStyle name="Normal 10 2 10 2 30 5 4" xfId="3891" xr:uid="{00000000-0005-0000-0000-0000F40E0000}"/>
    <cellStyle name="Normal 10 2 10 2 30 5 5" xfId="3892" xr:uid="{00000000-0005-0000-0000-0000F50E0000}"/>
    <cellStyle name="Normal 10 2 10 2 30 5 6" xfId="3893" xr:uid="{00000000-0005-0000-0000-0000F60E0000}"/>
    <cellStyle name="Normal 10 2 10 2 30 5 7" xfId="3894" xr:uid="{00000000-0005-0000-0000-0000F70E0000}"/>
    <cellStyle name="Normal 10 2 10 2 30 5 8" xfId="3895" xr:uid="{00000000-0005-0000-0000-0000F80E0000}"/>
    <cellStyle name="Normal 10 2 10 2 30 5 9" xfId="3896" xr:uid="{00000000-0005-0000-0000-0000F90E0000}"/>
    <cellStyle name="Normal 10 2 10 2 30 6" xfId="3897" xr:uid="{00000000-0005-0000-0000-0000FA0E0000}"/>
    <cellStyle name="Normal 10 2 10 2 30 7" xfId="3898" xr:uid="{00000000-0005-0000-0000-0000FB0E0000}"/>
    <cellStyle name="Normal 10 2 10 2 30 8" xfId="3899" xr:uid="{00000000-0005-0000-0000-0000FC0E0000}"/>
    <cellStyle name="Normal 10 2 10 2 30 9" xfId="3900" xr:uid="{00000000-0005-0000-0000-0000FD0E0000}"/>
    <cellStyle name="Normal 10 2 10 2 31" xfId="3901" xr:uid="{00000000-0005-0000-0000-0000FE0E0000}"/>
    <cellStyle name="Normal 10 2 10 2 31 10" xfId="3902" xr:uid="{00000000-0005-0000-0000-0000FF0E0000}"/>
    <cellStyle name="Normal 10 2 10 2 31 11" xfId="3903" xr:uid="{00000000-0005-0000-0000-0000000F0000}"/>
    <cellStyle name="Normal 10 2 10 2 31 12" xfId="3904" xr:uid="{00000000-0005-0000-0000-0000010F0000}"/>
    <cellStyle name="Normal 10 2 10 2 31 13" xfId="3905" xr:uid="{00000000-0005-0000-0000-0000020F0000}"/>
    <cellStyle name="Normal 10 2 10 2 31 14" xfId="3906" xr:uid="{00000000-0005-0000-0000-0000030F0000}"/>
    <cellStyle name="Normal 10 2 10 2 31 2" xfId="3907" xr:uid="{00000000-0005-0000-0000-0000040F0000}"/>
    <cellStyle name="Normal 10 2 10 2 31 2 10" xfId="3908" xr:uid="{00000000-0005-0000-0000-0000050F0000}"/>
    <cellStyle name="Normal 10 2 10 2 31 2 2" xfId="3909" xr:uid="{00000000-0005-0000-0000-0000060F0000}"/>
    <cellStyle name="Normal 10 2 10 2 31 2 3" xfId="3910" xr:uid="{00000000-0005-0000-0000-0000070F0000}"/>
    <cellStyle name="Normal 10 2 10 2 31 2 4" xfId="3911" xr:uid="{00000000-0005-0000-0000-0000080F0000}"/>
    <cellStyle name="Normal 10 2 10 2 31 2 5" xfId="3912" xr:uid="{00000000-0005-0000-0000-0000090F0000}"/>
    <cellStyle name="Normal 10 2 10 2 31 2 6" xfId="3913" xr:uid="{00000000-0005-0000-0000-00000A0F0000}"/>
    <cellStyle name="Normal 10 2 10 2 31 2 7" xfId="3914" xr:uid="{00000000-0005-0000-0000-00000B0F0000}"/>
    <cellStyle name="Normal 10 2 10 2 31 2 8" xfId="3915" xr:uid="{00000000-0005-0000-0000-00000C0F0000}"/>
    <cellStyle name="Normal 10 2 10 2 31 2 9" xfId="3916" xr:uid="{00000000-0005-0000-0000-00000D0F0000}"/>
    <cellStyle name="Normal 10 2 10 2 31 3" xfId="3917" xr:uid="{00000000-0005-0000-0000-00000E0F0000}"/>
    <cellStyle name="Normal 10 2 10 2 31 3 10" xfId="3918" xr:uid="{00000000-0005-0000-0000-00000F0F0000}"/>
    <cellStyle name="Normal 10 2 10 2 31 3 2" xfId="3919" xr:uid="{00000000-0005-0000-0000-0000100F0000}"/>
    <cellStyle name="Normal 10 2 10 2 31 3 3" xfId="3920" xr:uid="{00000000-0005-0000-0000-0000110F0000}"/>
    <cellStyle name="Normal 10 2 10 2 31 3 4" xfId="3921" xr:uid="{00000000-0005-0000-0000-0000120F0000}"/>
    <cellStyle name="Normal 10 2 10 2 31 3 5" xfId="3922" xr:uid="{00000000-0005-0000-0000-0000130F0000}"/>
    <cellStyle name="Normal 10 2 10 2 31 3 6" xfId="3923" xr:uid="{00000000-0005-0000-0000-0000140F0000}"/>
    <cellStyle name="Normal 10 2 10 2 31 3 7" xfId="3924" xr:uid="{00000000-0005-0000-0000-0000150F0000}"/>
    <cellStyle name="Normal 10 2 10 2 31 3 8" xfId="3925" xr:uid="{00000000-0005-0000-0000-0000160F0000}"/>
    <cellStyle name="Normal 10 2 10 2 31 3 9" xfId="3926" xr:uid="{00000000-0005-0000-0000-0000170F0000}"/>
    <cellStyle name="Normal 10 2 10 2 31 4" xfId="3927" xr:uid="{00000000-0005-0000-0000-0000180F0000}"/>
    <cellStyle name="Normal 10 2 10 2 31 4 10" xfId="3928" xr:uid="{00000000-0005-0000-0000-0000190F0000}"/>
    <cellStyle name="Normal 10 2 10 2 31 4 2" xfId="3929" xr:uid="{00000000-0005-0000-0000-00001A0F0000}"/>
    <cellStyle name="Normal 10 2 10 2 31 4 3" xfId="3930" xr:uid="{00000000-0005-0000-0000-00001B0F0000}"/>
    <cellStyle name="Normal 10 2 10 2 31 4 4" xfId="3931" xr:uid="{00000000-0005-0000-0000-00001C0F0000}"/>
    <cellStyle name="Normal 10 2 10 2 31 4 5" xfId="3932" xr:uid="{00000000-0005-0000-0000-00001D0F0000}"/>
    <cellStyle name="Normal 10 2 10 2 31 4 6" xfId="3933" xr:uid="{00000000-0005-0000-0000-00001E0F0000}"/>
    <cellStyle name="Normal 10 2 10 2 31 4 7" xfId="3934" xr:uid="{00000000-0005-0000-0000-00001F0F0000}"/>
    <cellStyle name="Normal 10 2 10 2 31 4 8" xfId="3935" xr:uid="{00000000-0005-0000-0000-0000200F0000}"/>
    <cellStyle name="Normal 10 2 10 2 31 4 9" xfId="3936" xr:uid="{00000000-0005-0000-0000-0000210F0000}"/>
    <cellStyle name="Normal 10 2 10 2 31 5" xfId="3937" xr:uid="{00000000-0005-0000-0000-0000220F0000}"/>
    <cellStyle name="Normal 10 2 10 2 31 5 10" xfId="3938" xr:uid="{00000000-0005-0000-0000-0000230F0000}"/>
    <cellStyle name="Normal 10 2 10 2 31 5 2" xfId="3939" xr:uid="{00000000-0005-0000-0000-0000240F0000}"/>
    <cellStyle name="Normal 10 2 10 2 31 5 3" xfId="3940" xr:uid="{00000000-0005-0000-0000-0000250F0000}"/>
    <cellStyle name="Normal 10 2 10 2 31 5 4" xfId="3941" xr:uid="{00000000-0005-0000-0000-0000260F0000}"/>
    <cellStyle name="Normal 10 2 10 2 31 5 5" xfId="3942" xr:uid="{00000000-0005-0000-0000-0000270F0000}"/>
    <cellStyle name="Normal 10 2 10 2 31 5 6" xfId="3943" xr:uid="{00000000-0005-0000-0000-0000280F0000}"/>
    <cellStyle name="Normal 10 2 10 2 31 5 7" xfId="3944" xr:uid="{00000000-0005-0000-0000-0000290F0000}"/>
    <cellStyle name="Normal 10 2 10 2 31 5 8" xfId="3945" xr:uid="{00000000-0005-0000-0000-00002A0F0000}"/>
    <cellStyle name="Normal 10 2 10 2 31 5 9" xfId="3946" xr:uid="{00000000-0005-0000-0000-00002B0F0000}"/>
    <cellStyle name="Normal 10 2 10 2 31 6" xfId="3947" xr:uid="{00000000-0005-0000-0000-00002C0F0000}"/>
    <cellStyle name="Normal 10 2 10 2 31 7" xfId="3948" xr:uid="{00000000-0005-0000-0000-00002D0F0000}"/>
    <cellStyle name="Normal 10 2 10 2 31 8" xfId="3949" xr:uid="{00000000-0005-0000-0000-00002E0F0000}"/>
    <cellStyle name="Normal 10 2 10 2 31 9" xfId="3950" xr:uid="{00000000-0005-0000-0000-00002F0F0000}"/>
    <cellStyle name="Normal 10 2 10 2 32" xfId="3951" xr:uid="{00000000-0005-0000-0000-0000300F0000}"/>
    <cellStyle name="Normal 10 2 10 2 32 10" xfId="3952" xr:uid="{00000000-0005-0000-0000-0000310F0000}"/>
    <cellStyle name="Normal 10 2 10 2 32 11" xfId="3953" xr:uid="{00000000-0005-0000-0000-0000320F0000}"/>
    <cellStyle name="Normal 10 2 10 2 32 12" xfId="3954" xr:uid="{00000000-0005-0000-0000-0000330F0000}"/>
    <cellStyle name="Normal 10 2 10 2 32 13" xfId="3955" xr:uid="{00000000-0005-0000-0000-0000340F0000}"/>
    <cellStyle name="Normal 10 2 10 2 32 14" xfId="3956" xr:uid="{00000000-0005-0000-0000-0000350F0000}"/>
    <cellStyle name="Normal 10 2 10 2 32 2" xfId="3957" xr:uid="{00000000-0005-0000-0000-0000360F0000}"/>
    <cellStyle name="Normal 10 2 10 2 32 2 10" xfId="3958" xr:uid="{00000000-0005-0000-0000-0000370F0000}"/>
    <cellStyle name="Normal 10 2 10 2 32 2 2" xfId="3959" xr:uid="{00000000-0005-0000-0000-0000380F0000}"/>
    <cellStyle name="Normal 10 2 10 2 32 2 3" xfId="3960" xr:uid="{00000000-0005-0000-0000-0000390F0000}"/>
    <cellStyle name="Normal 10 2 10 2 32 2 4" xfId="3961" xr:uid="{00000000-0005-0000-0000-00003A0F0000}"/>
    <cellStyle name="Normal 10 2 10 2 32 2 5" xfId="3962" xr:uid="{00000000-0005-0000-0000-00003B0F0000}"/>
    <cellStyle name="Normal 10 2 10 2 32 2 6" xfId="3963" xr:uid="{00000000-0005-0000-0000-00003C0F0000}"/>
    <cellStyle name="Normal 10 2 10 2 32 2 7" xfId="3964" xr:uid="{00000000-0005-0000-0000-00003D0F0000}"/>
    <cellStyle name="Normal 10 2 10 2 32 2 8" xfId="3965" xr:uid="{00000000-0005-0000-0000-00003E0F0000}"/>
    <cellStyle name="Normal 10 2 10 2 32 2 9" xfId="3966" xr:uid="{00000000-0005-0000-0000-00003F0F0000}"/>
    <cellStyle name="Normal 10 2 10 2 32 3" xfId="3967" xr:uid="{00000000-0005-0000-0000-0000400F0000}"/>
    <cellStyle name="Normal 10 2 10 2 32 3 10" xfId="3968" xr:uid="{00000000-0005-0000-0000-0000410F0000}"/>
    <cellStyle name="Normal 10 2 10 2 32 3 2" xfId="3969" xr:uid="{00000000-0005-0000-0000-0000420F0000}"/>
    <cellStyle name="Normal 10 2 10 2 32 3 3" xfId="3970" xr:uid="{00000000-0005-0000-0000-0000430F0000}"/>
    <cellStyle name="Normal 10 2 10 2 32 3 4" xfId="3971" xr:uid="{00000000-0005-0000-0000-0000440F0000}"/>
    <cellStyle name="Normal 10 2 10 2 32 3 5" xfId="3972" xr:uid="{00000000-0005-0000-0000-0000450F0000}"/>
    <cellStyle name="Normal 10 2 10 2 32 3 6" xfId="3973" xr:uid="{00000000-0005-0000-0000-0000460F0000}"/>
    <cellStyle name="Normal 10 2 10 2 32 3 7" xfId="3974" xr:uid="{00000000-0005-0000-0000-0000470F0000}"/>
    <cellStyle name="Normal 10 2 10 2 32 3 8" xfId="3975" xr:uid="{00000000-0005-0000-0000-0000480F0000}"/>
    <cellStyle name="Normal 10 2 10 2 32 3 9" xfId="3976" xr:uid="{00000000-0005-0000-0000-0000490F0000}"/>
    <cellStyle name="Normal 10 2 10 2 32 4" xfId="3977" xr:uid="{00000000-0005-0000-0000-00004A0F0000}"/>
    <cellStyle name="Normal 10 2 10 2 32 4 10" xfId="3978" xr:uid="{00000000-0005-0000-0000-00004B0F0000}"/>
    <cellStyle name="Normal 10 2 10 2 32 4 2" xfId="3979" xr:uid="{00000000-0005-0000-0000-00004C0F0000}"/>
    <cellStyle name="Normal 10 2 10 2 32 4 3" xfId="3980" xr:uid="{00000000-0005-0000-0000-00004D0F0000}"/>
    <cellStyle name="Normal 10 2 10 2 32 4 4" xfId="3981" xr:uid="{00000000-0005-0000-0000-00004E0F0000}"/>
    <cellStyle name="Normal 10 2 10 2 32 4 5" xfId="3982" xr:uid="{00000000-0005-0000-0000-00004F0F0000}"/>
    <cellStyle name="Normal 10 2 10 2 32 4 6" xfId="3983" xr:uid="{00000000-0005-0000-0000-0000500F0000}"/>
    <cellStyle name="Normal 10 2 10 2 32 4 7" xfId="3984" xr:uid="{00000000-0005-0000-0000-0000510F0000}"/>
    <cellStyle name="Normal 10 2 10 2 32 4 8" xfId="3985" xr:uid="{00000000-0005-0000-0000-0000520F0000}"/>
    <cellStyle name="Normal 10 2 10 2 32 4 9" xfId="3986" xr:uid="{00000000-0005-0000-0000-0000530F0000}"/>
    <cellStyle name="Normal 10 2 10 2 32 5" xfId="3987" xr:uid="{00000000-0005-0000-0000-0000540F0000}"/>
    <cellStyle name="Normal 10 2 10 2 32 5 10" xfId="3988" xr:uid="{00000000-0005-0000-0000-0000550F0000}"/>
    <cellStyle name="Normal 10 2 10 2 32 5 2" xfId="3989" xr:uid="{00000000-0005-0000-0000-0000560F0000}"/>
    <cellStyle name="Normal 10 2 10 2 32 5 3" xfId="3990" xr:uid="{00000000-0005-0000-0000-0000570F0000}"/>
    <cellStyle name="Normal 10 2 10 2 32 5 4" xfId="3991" xr:uid="{00000000-0005-0000-0000-0000580F0000}"/>
    <cellStyle name="Normal 10 2 10 2 32 5 5" xfId="3992" xr:uid="{00000000-0005-0000-0000-0000590F0000}"/>
    <cellStyle name="Normal 10 2 10 2 32 5 6" xfId="3993" xr:uid="{00000000-0005-0000-0000-00005A0F0000}"/>
    <cellStyle name="Normal 10 2 10 2 32 5 7" xfId="3994" xr:uid="{00000000-0005-0000-0000-00005B0F0000}"/>
    <cellStyle name="Normal 10 2 10 2 32 5 8" xfId="3995" xr:uid="{00000000-0005-0000-0000-00005C0F0000}"/>
    <cellStyle name="Normal 10 2 10 2 32 5 9" xfId="3996" xr:uid="{00000000-0005-0000-0000-00005D0F0000}"/>
    <cellStyle name="Normal 10 2 10 2 32 6" xfId="3997" xr:uid="{00000000-0005-0000-0000-00005E0F0000}"/>
    <cellStyle name="Normal 10 2 10 2 32 7" xfId="3998" xr:uid="{00000000-0005-0000-0000-00005F0F0000}"/>
    <cellStyle name="Normal 10 2 10 2 32 8" xfId="3999" xr:uid="{00000000-0005-0000-0000-0000600F0000}"/>
    <cellStyle name="Normal 10 2 10 2 32 9" xfId="4000" xr:uid="{00000000-0005-0000-0000-0000610F0000}"/>
    <cellStyle name="Normal 10 2 10 2 33" xfId="4001" xr:uid="{00000000-0005-0000-0000-0000620F0000}"/>
    <cellStyle name="Normal 10 2 10 2 33 10" xfId="4002" xr:uid="{00000000-0005-0000-0000-0000630F0000}"/>
    <cellStyle name="Normal 10 2 10 2 33 11" xfId="4003" xr:uid="{00000000-0005-0000-0000-0000640F0000}"/>
    <cellStyle name="Normal 10 2 10 2 33 12" xfId="4004" xr:uid="{00000000-0005-0000-0000-0000650F0000}"/>
    <cellStyle name="Normal 10 2 10 2 33 13" xfId="4005" xr:uid="{00000000-0005-0000-0000-0000660F0000}"/>
    <cellStyle name="Normal 10 2 10 2 33 14" xfId="4006" xr:uid="{00000000-0005-0000-0000-0000670F0000}"/>
    <cellStyle name="Normal 10 2 10 2 33 2" xfId="4007" xr:uid="{00000000-0005-0000-0000-0000680F0000}"/>
    <cellStyle name="Normal 10 2 10 2 33 2 10" xfId="4008" xr:uid="{00000000-0005-0000-0000-0000690F0000}"/>
    <cellStyle name="Normal 10 2 10 2 33 2 2" xfId="4009" xr:uid="{00000000-0005-0000-0000-00006A0F0000}"/>
    <cellStyle name="Normal 10 2 10 2 33 2 3" xfId="4010" xr:uid="{00000000-0005-0000-0000-00006B0F0000}"/>
    <cellStyle name="Normal 10 2 10 2 33 2 4" xfId="4011" xr:uid="{00000000-0005-0000-0000-00006C0F0000}"/>
    <cellStyle name="Normal 10 2 10 2 33 2 5" xfId="4012" xr:uid="{00000000-0005-0000-0000-00006D0F0000}"/>
    <cellStyle name="Normal 10 2 10 2 33 2 6" xfId="4013" xr:uid="{00000000-0005-0000-0000-00006E0F0000}"/>
    <cellStyle name="Normal 10 2 10 2 33 2 7" xfId="4014" xr:uid="{00000000-0005-0000-0000-00006F0F0000}"/>
    <cellStyle name="Normal 10 2 10 2 33 2 8" xfId="4015" xr:uid="{00000000-0005-0000-0000-0000700F0000}"/>
    <cellStyle name="Normal 10 2 10 2 33 2 9" xfId="4016" xr:uid="{00000000-0005-0000-0000-0000710F0000}"/>
    <cellStyle name="Normal 10 2 10 2 33 3" xfId="4017" xr:uid="{00000000-0005-0000-0000-0000720F0000}"/>
    <cellStyle name="Normal 10 2 10 2 33 3 10" xfId="4018" xr:uid="{00000000-0005-0000-0000-0000730F0000}"/>
    <cellStyle name="Normal 10 2 10 2 33 3 2" xfId="4019" xr:uid="{00000000-0005-0000-0000-0000740F0000}"/>
    <cellStyle name="Normal 10 2 10 2 33 3 3" xfId="4020" xr:uid="{00000000-0005-0000-0000-0000750F0000}"/>
    <cellStyle name="Normal 10 2 10 2 33 3 4" xfId="4021" xr:uid="{00000000-0005-0000-0000-0000760F0000}"/>
    <cellStyle name="Normal 10 2 10 2 33 3 5" xfId="4022" xr:uid="{00000000-0005-0000-0000-0000770F0000}"/>
    <cellStyle name="Normal 10 2 10 2 33 3 6" xfId="4023" xr:uid="{00000000-0005-0000-0000-0000780F0000}"/>
    <cellStyle name="Normal 10 2 10 2 33 3 7" xfId="4024" xr:uid="{00000000-0005-0000-0000-0000790F0000}"/>
    <cellStyle name="Normal 10 2 10 2 33 3 8" xfId="4025" xr:uid="{00000000-0005-0000-0000-00007A0F0000}"/>
    <cellStyle name="Normal 10 2 10 2 33 3 9" xfId="4026" xr:uid="{00000000-0005-0000-0000-00007B0F0000}"/>
    <cellStyle name="Normal 10 2 10 2 33 4" xfId="4027" xr:uid="{00000000-0005-0000-0000-00007C0F0000}"/>
    <cellStyle name="Normal 10 2 10 2 33 4 10" xfId="4028" xr:uid="{00000000-0005-0000-0000-00007D0F0000}"/>
    <cellStyle name="Normal 10 2 10 2 33 4 2" xfId="4029" xr:uid="{00000000-0005-0000-0000-00007E0F0000}"/>
    <cellStyle name="Normal 10 2 10 2 33 4 3" xfId="4030" xr:uid="{00000000-0005-0000-0000-00007F0F0000}"/>
    <cellStyle name="Normal 10 2 10 2 33 4 4" xfId="4031" xr:uid="{00000000-0005-0000-0000-0000800F0000}"/>
    <cellStyle name="Normal 10 2 10 2 33 4 5" xfId="4032" xr:uid="{00000000-0005-0000-0000-0000810F0000}"/>
    <cellStyle name="Normal 10 2 10 2 33 4 6" xfId="4033" xr:uid="{00000000-0005-0000-0000-0000820F0000}"/>
    <cellStyle name="Normal 10 2 10 2 33 4 7" xfId="4034" xr:uid="{00000000-0005-0000-0000-0000830F0000}"/>
    <cellStyle name="Normal 10 2 10 2 33 4 8" xfId="4035" xr:uid="{00000000-0005-0000-0000-0000840F0000}"/>
    <cellStyle name="Normal 10 2 10 2 33 4 9" xfId="4036" xr:uid="{00000000-0005-0000-0000-0000850F0000}"/>
    <cellStyle name="Normal 10 2 10 2 33 5" xfId="4037" xr:uid="{00000000-0005-0000-0000-0000860F0000}"/>
    <cellStyle name="Normal 10 2 10 2 33 5 10" xfId="4038" xr:uid="{00000000-0005-0000-0000-0000870F0000}"/>
    <cellStyle name="Normal 10 2 10 2 33 5 2" xfId="4039" xr:uid="{00000000-0005-0000-0000-0000880F0000}"/>
    <cellStyle name="Normal 10 2 10 2 33 5 3" xfId="4040" xr:uid="{00000000-0005-0000-0000-0000890F0000}"/>
    <cellStyle name="Normal 10 2 10 2 33 5 4" xfId="4041" xr:uid="{00000000-0005-0000-0000-00008A0F0000}"/>
    <cellStyle name="Normal 10 2 10 2 33 5 5" xfId="4042" xr:uid="{00000000-0005-0000-0000-00008B0F0000}"/>
    <cellStyle name="Normal 10 2 10 2 33 5 6" xfId="4043" xr:uid="{00000000-0005-0000-0000-00008C0F0000}"/>
    <cellStyle name="Normal 10 2 10 2 33 5 7" xfId="4044" xr:uid="{00000000-0005-0000-0000-00008D0F0000}"/>
    <cellStyle name="Normal 10 2 10 2 33 5 8" xfId="4045" xr:uid="{00000000-0005-0000-0000-00008E0F0000}"/>
    <cellStyle name="Normal 10 2 10 2 33 5 9" xfId="4046" xr:uid="{00000000-0005-0000-0000-00008F0F0000}"/>
    <cellStyle name="Normal 10 2 10 2 33 6" xfId="4047" xr:uid="{00000000-0005-0000-0000-0000900F0000}"/>
    <cellStyle name="Normal 10 2 10 2 33 7" xfId="4048" xr:uid="{00000000-0005-0000-0000-0000910F0000}"/>
    <cellStyle name="Normal 10 2 10 2 33 8" xfId="4049" xr:uid="{00000000-0005-0000-0000-0000920F0000}"/>
    <cellStyle name="Normal 10 2 10 2 33 9" xfId="4050" xr:uid="{00000000-0005-0000-0000-0000930F0000}"/>
    <cellStyle name="Normal 10 2 10 2 34" xfId="4051" xr:uid="{00000000-0005-0000-0000-0000940F0000}"/>
    <cellStyle name="Normal 10 2 10 2 34 10" xfId="4052" xr:uid="{00000000-0005-0000-0000-0000950F0000}"/>
    <cellStyle name="Normal 10 2 10 2 34 2" xfId="4053" xr:uid="{00000000-0005-0000-0000-0000960F0000}"/>
    <cellStyle name="Normal 10 2 10 2 34 3" xfId="4054" xr:uid="{00000000-0005-0000-0000-0000970F0000}"/>
    <cellStyle name="Normal 10 2 10 2 34 4" xfId="4055" xr:uid="{00000000-0005-0000-0000-0000980F0000}"/>
    <cellStyle name="Normal 10 2 10 2 34 5" xfId="4056" xr:uid="{00000000-0005-0000-0000-0000990F0000}"/>
    <cellStyle name="Normal 10 2 10 2 34 6" xfId="4057" xr:uid="{00000000-0005-0000-0000-00009A0F0000}"/>
    <cellStyle name="Normal 10 2 10 2 34 7" xfId="4058" xr:uid="{00000000-0005-0000-0000-00009B0F0000}"/>
    <cellStyle name="Normal 10 2 10 2 34 8" xfId="4059" xr:uid="{00000000-0005-0000-0000-00009C0F0000}"/>
    <cellStyle name="Normal 10 2 10 2 34 9" xfId="4060" xr:uid="{00000000-0005-0000-0000-00009D0F0000}"/>
    <cellStyle name="Normal 10 2 10 2 35" xfId="4061" xr:uid="{00000000-0005-0000-0000-00009E0F0000}"/>
    <cellStyle name="Normal 10 2 10 2 35 10" xfId="4062" xr:uid="{00000000-0005-0000-0000-00009F0F0000}"/>
    <cellStyle name="Normal 10 2 10 2 35 2" xfId="4063" xr:uid="{00000000-0005-0000-0000-0000A00F0000}"/>
    <cellStyle name="Normal 10 2 10 2 35 3" xfId="4064" xr:uid="{00000000-0005-0000-0000-0000A10F0000}"/>
    <cellStyle name="Normal 10 2 10 2 35 4" xfId="4065" xr:uid="{00000000-0005-0000-0000-0000A20F0000}"/>
    <cellStyle name="Normal 10 2 10 2 35 5" xfId="4066" xr:uid="{00000000-0005-0000-0000-0000A30F0000}"/>
    <cellStyle name="Normal 10 2 10 2 35 6" xfId="4067" xr:uid="{00000000-0005-0000-0000-0000A40F0000}"/>
    <cellStyle name="Normal 10 2 10 2 35 7" xfId="4068" xr:uid="{00000000-0005-0000-0000-0000A50F0000}"/>
    <cellStyle name="Normal 10 2 10 2 35 8" xfId="4069" xr:uid="{00000000-0005-0000-0000-0000A60F0000}"/>
    <cellStyle name="Normal 10 2 10 2 35 9" xfId="4070" xr:uid="{00000000-0005-0000-0000-0000A70F0000}"/>
    <cellStyle name="Normal 10 2 10 2 36" xfId="4071" xr:uid="{00000000-0005-0000-0000-0000A80F0000}"/>
    <cellStyle name="Normal 10 2 10 2 36 10" xfId="4072" xr:uid="{00000000-0005-0000-0000-0000A90F0000}"/>
    <cellStyle name="Normal 10 2 10 2 36 2" xfId="4073" xr:uid="{00000000-0005-0000-0000-0000AA0F0000}"/>
    <cellStyle name="Normal 10 2 10 2 36 3" xfId="4074" xr:uid="{00000000-0005-0000-0000-0000AB0F0000}"/>
    <cellStyle name="Normal 10 2 10 2 36 4" xfId="4075" xr:uid="{00000000-0005-0000-0000-0000AC0F0000}"/>
    <cellStyle name="Normal 10 2 10 2 36 5" xfId="4076" xr:uid="{00000000-0005-0000-0000-0000AD0F0000}"/>
    <cellStyle name="Normal 10 2 10 2 36 6" xfId="4077" xr:uid="{00000000-0005-0000-0000-0000AE0F0000}"/>
    <cellStyle name="Normal 10 2 10 2 36 7" xfId="4078" xr:uid="{00000000-0005-0000-0000-0000AF0F0000}"/>
    <cellStyle name="Normal 10 2 10 2 36 8" xfId="4079" xr:uid="{00000000-0005-0000-0000-0000B00F0000}"/>
    <cellStyle name="Normal 10 2 10 2 36 9" xfId="4080" xr:uid="{00000000-0005-0000-0000-0000B10F0000}"/>
    <cellStyle name="Normal 10 2 10 2 37" xfId="4081" xr:uid="{00000000-0005-0000-0000-0000B20F0000}"/>
    <cellStyle name="Normal 10 2 10 2 37 10" xfId="4082" xr:uid="{00000000-0005-0000-0000-0000B30F0000}"/>
    <cellStyle name="Normal 10 2 10 2 37 2" xfId="4083" xr:uid="{00000000-0005-0000-0000-0000B40F0000}"/>
    <cellStyle name="Normal 10 2 10 2 37 3" xfId="4084" xr:uid="{00000000-0005-0000-0000-0000B50F0000}"/>
    <cellStyle name="Normal 10 2 10 2 37 4" xfId="4085" xr:uid="{00000000-0005-0000-0000-0000B60F0000}"/>
    <cellStyle name="Normal 10 2 10 2 37 5" xfId="4086" xr:uid="{00000000-0005-0000-0000-0000B70F0000}"/>
    <cellStyle name="Normal 10 2 10 2 37 6" xfId="4087" xr:uid="{00000000-0005-0000-0000-0000B80F0000}"/>
    <cellStyle name="Normal 10 2 10 2 37 7" xfId="4088" xr:uid="{00000000-0005-0000-0000-0000B90F0000}"/>
    <cellStyle name="Normal 10 2 10 2 37 8" xfId="4089" xr:uid="{00000000-0005-0000-0000-0000BA0F0000}"/>
    <cellStyle name="Normal 10 2 10 2 37 9" xfId="4090" xr:uid="{00000000-0005-0000-0000-0000BB0F0000}"/>
    <cellStyle name="Normal 10 2 10 2 38" xfId="4091" xr:uid="{00000000-0005-0000-0000-0000BC0F0000}"/>
    <cellStyle name="Normal 10 2 10 2 39" xfId="4092" xr:uid="{00000000-0005-0000-0000-0000BD0F0000}"/>
    <cellStyle name="Normal 10 2 10 2 4" xfId="4093" xr:uid="{00000000-0005-0000-0000-0000BE0F0000}"/>
    <cellStyle name="Normal 10 2 10 2 4 10" xfId="4094" xr:uid="{00000000-0005-0000-0000-0000BF0F0000}"/>
    <cellStyle name="Normal 10 2 10 2 4 11" xfId="4095" xr:uid="{00000000-0005-0000-0000-0000C00F0000}"/>
    <cellStyle name="Normal 10 2 10 2 4 12" xfId="4096" xr:uid="{00000000-0005-0000-0000-0000C10F0000}"/>
    <cellStyle name="Normal 10 2 10 2 4 13" xfId="4097" xr:uid="{00000000-0005-0000-0000-0000C20F0000}"/>
    <cellStyle name="Normal 10 2 10 2 4 14" xfId="4098" xr:uid="{00000000-0005-0000-0000-0000C30F0000}"/>
    <cellStyle name="Normal 10 2 10 2 4 2" xfId="4099" xr:uid="{00000000-0005-0000-0000-0000C40F0000}"/>
    <cellStyle name="Normal 10 2 10 2 4 2 10" xfId="4100" xr:uid="{00000000-0005-0000-0000-0000C50F0000}"/>
    <cellStyle name="Normal 10 2 10 2 4 2 2" xfId="4101" xr:uid="{00000000-0005-0000-0000-0000C60F0000}"/>
    <cellStyle name="Normal 10 2 10 2 4 2 3" xfId="4102" xr:uid="{00000000-0005-0000-0000-0000C70F0000}"/>
    <cellStyle name="Normal 10 2 10 2 4 2 4" xfId="4103" xr:uid="{00000000-0005-0000-0000-0000C80F0000}"/>
    <cellStyle name="Normal 10 2 10 2 4 2 5" xfId="4104" xr:uid="{00000000-0005-0000-0000-0000C90F0000}"/>
    <cellStyle name="Normal 10 2 10 2 4 2 6" xfId="4105" xr:uid="{00000000-0005-0000-0000-0000CA0F0000}"/>
    <cellStyle name="Normal 10 2 10 2 4 2 7" xfId="4106" xr:uid="{00000000-0005-0000-0000-0000CB0F0000}"/>
    <cellStyle name="Normal 10 2 10 2 4 2 8" xfId="4107" xr:uid="{00000000-0005-0000-0000-0000CC0F0000}"/>
    <cellStyle name="Normal 10 2 10 2 4 2 9" xfId="4108" xr:uid="{00000000-0005-0000-0000-0000CD0F0000}"/>
    <cellStyle name="Normal 10 2 10 2 4 3" xfId="4109" xr:uid="{00000000-0005-0000-0000-0000CE0F0000}"/>
    <cellStyle name="Normal 10 2 10 2 4 3 10" xfId="4110" xr:uid="{00000000-0005-0000-0000-0000CF0F0000}"/>
    <cellStyle name="Normal 10 2 10 2 4 3 2" xfId="4111" xr:uid="{00000000-0005-0000-0000-0000D00F0000}"/>
    <cellStyle name="Normal 10 2 10 2 4 3 3" xfId="4112" xr:uid="{00000000-0005-0000-0000-0000D10F0000}"/>
    <cellStyle name="Normal 10 2 10 2 4 3 4" xfId="4113" xr:uid="{00000000-0005-0000-0000-0000D20F0000}"/>
    <cellStyle name="Normal 10 2 10 2 4 3 5" xfId="4114" xr:uid="{00000000-0005-0000-0000-0000D30F0000}"/>
    <cellStyle name="Normal 10 2 10 2 4 3 6" xfId="4115" xr:uid="{00000000-0005-0000-0000-0000D40F0000}"/>
    <cellStyle name="Normal 10 2 10 2 4 3 7" xfId="4116" xr:uid="{00000000-0005-0000-0000-0000D50F0000}"/>
    <cellStyle name="Normal 10 2 10 2 4 3 8" xfId="4117" xr:uid="{00000000-0005-0000-0000-0000D60F0000}"/>
    <cellStyle name="Normal 10 2 10 2 4 3 9" xfId="4118" xr:uid="{00000000-0005-0000-0000-0000D70F0000}"/>
    <cellStyle name="Normal 10 2 10 2 4 4" xfId="4119" xr:uid="{00000000-0005-0000-0000-0000D80F0000}"/>
    <cellStyle name="Normal 10 2 10 2 4 4 10" xfId="4120" xr:uid="{00000000-0005-0000-0000-0000D90F0000}"/>
    <cellStyle name="Normal 10 2 10 2 4 4 2" xfId="4121" xr:uid="{00000000-0005-0000-0000-0000DA0F0000}"/>
    <cellStyle name="Normal 10 2 10 2 4 4 3" xfId="4122" xr:uid="{00000000-0005-0000-0000-0000DB0F0000}"/>
    <cellStyle name="Normal 10 2 10 2 4 4 4" xfId="4123" xr:uid="{00000000-0005-0000-0000-0000DC0F0000}"/>
    <cellStyle name="Normal 10 2 10 2 4 4 5" xfId="4124" xr:uid="{00000000-0005-0000-0000-0000DD0F0000}"/>
    <cellStyle name="Normal 10 2 10 2 4 4 6" xfId="4125" xr:uid="{00000000-0005-0000-0000-0000DE0F0000}"/>
    <cellStyle name="Normal 10 2 10 2 4 4 7" xfId="4126" xr:uid="{00000000-0005-0000-0000-0000DF0F0000}"/>
    <cellStyle name="Normal 10 2 10 2 4 4 8" xfId="4127" xr:uid="{00000000-0005-0000-0000-0000E00F0000}"/>
    <cellStyle name="Normal 10 2 10 2 4 4 9" xfId="4128" xr:uid="{00000000-0005-0000-0000-0000E10F0000}"/>
    <cellStyle name="Normal 10 2 10 2 4 5" xfId="4129" xr:uid="{00000000-0005-0000-0000-0000E20F0000}"/>
    <cellStyle name="Normal 10 2 10 2 4 5 10" xfId="4130" xr:uid="{00000000-0005-0000-0000-0000E30F0000}"/>
    <cellStyle name="Normal 10 2 10 2 4 5 2" xfId="4131" xr:uid="{00000000-0005-0000-0000-0000E40F0000}"/>
    <cellStyle name="Normal 10 2 10 2 4 5 3" xfId="4132" xr:uid="{00000000-0005-0000-0000-0000E50F0000}"/>
    <cellStyle name="Normal 10 2 10 2 4 5 4" xfId="4133" xr:uid="{00000000-0005-0000-0000-0000E60F0000}"/>
    <cellStyle name="Normal 10 2 10 2 4 5 5" xfId="4134" xr:uid="{00000000-0005-0000-0000-0000E70F0000}"/>
    <cellStyle name="Normal 10 2 10 2 4 5 6" xfId="4135" xr:uid="{00000000-0005-0000-0000-0000E80F0000}"/>
    <cellStyle name="Normal 10 2 10 2 4 5 7" xfId="4136" xr:uid="{00000000-0005-0000-0000-0000E90F0000}"/>
    <cellStyle name="Normal 10 2 10 2 4 5 8" xfId="4137" xr:uid="{00000000-0005-0000-0000-0000EA0F0000}"/>
    <cellStyle name="Normal 10 2 10 2 4 5 9" xfId="4138" xr:uid="{00000000-0005-0000-0000-0000EB0F0000}"/>
    <cellStyle name="Normal 10 2 10 2 4 6" xfId="4139" xr:uid="{00000000-0005-0000-0000-0000EC0F0000}"/>
    <cellStyle name="Normal 10 2 10 2 4 7" xfId="4140" xr:uid="{00000000-0005-0000-0000-0000ED0F0000}"/>
    <cellStyle name="Normal 10 2 10 2 4 8" xfId="4141" xr:uid="{00000000-0005-0000-0000-0000EE0F0000}"/>
    <cellStyle name="Normal 10 2 10 2 4 9" xfId="4142" xr:uid="{00000000-0005-0000-0000-0000EF0F0000}"/>
    <cellStyle name="Normal 10 2 10 2 40" xfId="4143" xr:uid="{00000000-0005-0000-0000-0000F00F0000}"/>
    <cellStyle name="Normal 10 2 10 2 41" xfId="4144" xr:uid="{00000000-0005-0000-0000-0000F10F0000}"/>
    <cellStyle name="Normal 10 2 10 2 42" xfId="4145" xr:uid="{00000000-0005-0000-0000-0000F20F0000}"/>
    <cellStyle name="Normal 10 2 10 2 43" xfId="4146" xr:uid="{00000000-0005-0000-0000-0000F30F0000}"/>
    <cellStyle name="Normal 10 2 10 2 44" xfId="4147" xr:uid="{00000000-0005-0000-0000-0000F40F0000}"/>
    <cellStyle name="Normal 10 2 10 2 45" xfId="4148" xr:uid="{00000000-0005-0000-0000-0000F50F0000}"/>
    <cellStyle name="Normal 10 2 10 2 46" xfId="4149" xr:uid="{00000000-0005-0000-0000-0000F60F0000}"/>
    <cellStyle name="Normal 10 2 10 2 47" xfId="4150" xr:uid="{00000000-0005-0000-0000-0000F70F0000}"/>
    <cellStyle name="Normal 10 2 10 2 48" xfId="4151" xr:uid="{00000000-0005-0000-0000-0000F80F0000}"/>
    <cellStyle name="Normal 10 2 10 2 49" xfId="2750" xr:uid="{00000000-0005-0000-0000-0000F90F0000}"/>
    <cellStyle name="Normal 10 2 10 2 5" xfId="4152" xr:uid="{00000000-0005-0000-0000-0000FA0F0000}"/>
    <cellStyle name="Normal 10 2 10 2 5 10" xfId="4153" xr:uid="{00000000-0005-0000-0000-0000FB0F0000}"/>
    <cellStyle name="Normal 10 2 10 2 5 11" xfId="4154" xr:uid="{00000000-0005-0000-0000-0000FC0F0000}"/>
    <cellStyle name="Normal 10 2 10 2 5 12" xfId="4155" xr:uid="{00000000-0005-0000-0000-0000FD0F0000}"/>
    <cellStyle name="Normal 10 2 10 2 5 13" xfId="4156" xr:uid="{00000000-0005-0000-0000-0000FE0F0000}"/>
    <cellStyle name="Normal 10 2 10 2 5 14" xfId="4157" xr:uid="{00000000-0005-0000-0000-0000FF0F0000}"/>
    <cellStyle name="Normal 10 2 10 2 5 2" xfId="4158" xr:uid="{00000000-0005-0000-0000-000000100000}"/>
    <cellStyle name="Normal 10 2 10 2 5 2 10" xfId="4159" xr:uid="{00000000-0005-0000-0000-000001100000}"/>
    <cellStyle name="Normal 10 2 10 2 5 2 2" xfId="4160" xr:uid="{00000000-0005-0000-0000-000002100000}"/>
    <cellStyle name="Normal 10 2 10 2 5 2 3" xfId="4161" xr:uid="{00000000-0005-0000-0000-000003100000}"/>
    <cellStyle name="Normal 10 2 10 2 5 2 4" xfId="4162" xr:uid="{00000000-0005-0000-0000-000004100000}"/>
    <cellStyle name="Normal 10 2 10 2 5 2 5" xfId="4163" xr:uid="{00000000-0005-0000-0000-000005100000}"/>
    <cellStyle name="Normal 10 2 10 2 5 2 6" xfId="4164" xr:uid="{00000000-0005-0000-0000-000006100000}"/>
    <cellStyle name="Normal 10 2 10 2 5 2 7" xfId="4165" xr:uid="{00000000-0005-0000-0000-000007100000}"/>
    <cellStyle name="Normal 10 2 10 2 5 2 8" xfId="4166" xr:uid="{00000000-0005-0000-0000-000008100000}"/>
    <cellStyle name="Normal 10 2 10 2 5 2 9" xfId="4167" xr:uid="{00000000-0005-0000-0000-000009100000}"/>
    <cellStyle name="Normal 10 2 10 2 5 3" xfId="4168" xr:uid="{00000000-0005-0000-0000-00000A100000}"/>
    <cellStyle name="Normal 10 2 10 2 5 3 10" xfId="4169" xr:uid="{00000000-0005-0000-0000-00000B100000}"/>
    <cellStyle name="Normal 10 2 10 2 5 3 2" xfId="4170" xr:uid="{00000000-0005-0000-0000-00000C100000}"/>
    <cellStyle name="Normal 10 2 10 2 5 3 3" xfId="4171" xr:uid="{00000000-0005-0000-0000-00000D100000}"/>
    <cellStyle name="Normal 10 2 10 2 5 3 4" xfId="4172" xr:uid="{00000000-0005-0000-0000-00000E100000}"/>
    <cellStyle name="Normal 10 2 10 2 5 3 5" xfId="4173" xr:uid="{00000000-0005-0000-0000-00000F100000}"/>
    <cellStyle name="Normal 10 2 10 2 5 3 6" xfId="4174" xr:uid="{00000000-0005-0000-0000-000010100000}"/>
    <cellStyle name="Normal 10 2 10 2 5 3 7" xfId="4175" xr:uid="{00000000-0005-0000-0000-000011100000}"/>
    <cellStyle name="Normal 10 2 10 2 5 3 8" xfId="4176" xr:uid="{00000000-0005-0000-0000-000012100000}"/>
    <cellStyle name="Normal 10 2 10 2 5 3 9" xfId="4177" xr:uid="{00000000-0005-0000-0000-000013100000}"/>
    <cellStyle name="Normal 10 2 10 2 5 4" xfId="4178" xr:uid="{00000000-0005-0000-0000-000014100000}"/>
    <cellStyle name="Normal 10 2 10 2 5 4 10" xfId="4179" xr:uid="{00000000-0005-0000-0000-000015100000}"/>
    <cellStyle name="Normal 10 2 10 2 5 4 2" xfId="4180" xr:uid="{00000000-0005-0000-0000-000016100000}"/>
    <cellStyle name="Normal 10 2 10 2 5 4 3" xfId="4181" xr:uid="{00000000-0005-0000-0000-000017100000}"/>
    <cellStyle name="Normal 10 2 10 2 5 4 4" xfId="4182" xr:uid="{00000000-0005-0000-0000-000018100000}"/>
    <cellStyle name="Normal 10 2 10 2 5 4 5" xfId="4183" xr:uid="{00000000-0005-0000-0000-000019100000}"/>
    <cellStyle name="Normal 10 2 10 2 5 4 6" xfId="4184" xr:uid="{00000000-0005-0000-0000-00001A100000}"/>
    <cellStyle name="Normal 10 2 10 2 5 4 7" xfId="4185" xr:uid="{00000000-0005-0000-0000-00001B100000}"/>
    <cellStyle name="Normal 10 2 10 2 5 4 8" xfId="4186" xr:uid="{00000000-0005-0000-0000-00001C100000}"/>
    <cellStyle name="Normal 10 2 10 2 5 4 9" xfId="4187" xr:uid="{00000000-0005-0000-0000-00001D100000}"/>
    <cellStyle name="Normal 10 2 10 2 5 5" xfId="4188" xr:uid="{00000000-0005-0000-0000-00001E100000}"/>
    <cellStyle name="Normal 10 2 10 2 5 5 10" xfId="4189" xr:uid="{00000000-0005-0000-0000-00001F100000}"/>
    <cellStyle name="Normal 10 2 10 2 5 5 2" xfId="4190" xr:uid="{00000000-0005-0000-0000-000020100000}"/>
    <cellStyle name="Normal 10 2 10 2 5 5 3" xfId="4191" xr:uid="{00000000-0005-0000-0000-000021100000}"/>
    <cellStyle name="Normal 10 2 10 2 5 5 4" xfId="4192" xr:uid="{00000000-0005-0000-0000-000022100000}"/>
    <cellStyle name="Normal 10 2 10 2 5 5 5" xfId="4193" xr:uid="{00000000-0005-0000-0000-000023100000}"/>
    <cellStyle name="Normal 10 2 10 2 5 5 6" xfId="4194" xr:uid="{00000000-0005-0000-0000-000024100000}"/>
    <cellStyle name="Normal 10 2 10 2 5 5 7" xfId="4195" xr:uid="{00000000-0005-0000-0000-000025100000}"/>
    <cellStyle name="Normal 10 2 10 2 5 5 8" xfId="4196" xr:uid="{00000000-0005-0000-0000-000026100000}"/>
    <cellStyle name="Normal 10 2 10 2 5 5 9" xfId="4197" xr:uid="{00000000-0005-0000-0000-000027100000}"/>
    <cellStyle name="Normal 10 2 10 2 5 6" xfId="4198" xr:uid="{00000000-0005-0000-0000-000028100000}"/>
    <cellStyle name="Normal 10 2 10 2 5 7" xfId="4199" xr:uid="{00000000-0005-0000-0000-000029100000}"/>
    <cellStyle name="Normal 10 2 10 2 5 8" xfId="4200" xr:uid="{00000000-0005-0000-0000-00002A100000}"/>
    <cellStyle name="Normal 10 2 10 2 5 9" xfId="4201" xr:uid="{00000000-0005-0000-0000-00002B100000}"/>
    <cellStyle name="Normal 10 2 10 2 6" xfId="4202" xr:uid="{00000000-0005-0000-0000-00002C100000}"/>
    <cellStyle name="Normal 10 2 10 2 6 10" xfId="4203" xr:uid="{00000000-0005-0000-0000-00002D100000}"/>
    <cellStyle name="Normal 10 2 10 2 6 11" xfId="4204" xr:uid="{00000000-0005-0000-0000-00002E100000}"/>
    <cellStyle name="Normal 10 2 10 2 6 12" xfId="4205" xr:uid="{00000000-0005-0000-0000-00002F100000}"/>
    <cellStyle name="Normal 10 2 10 2 6 13" xfId="4206" xr:uid="{00000000-0005-0000-0000-000030100000}"/>
    <cellStyle name="Normal 10 2 10 2 6 14" xfId="4207" xr:uid="{00000000-0005-0000-0000-000031100000}"/>
    <cellStyle name="Normal 10 2 10 2 6 2" xfId="4208" xr:uid="{00000000-0005-0000-0000-000032100000}"/>
    <cellStyle name="Normal 10 2 10 2 6 2 10" xfId="4209" xr:uid="{00000000-0005-0000-0000-000033100000}"/>
    <cellStyle name="Normal 10 2 10 2 6 2 2" xfId="4210" xr:uid="{00000000-0005-0000-0000-000034100000}"/>
    <cellStyle name="Normal 10 2 10 2 6 2 3" xfId="4211" xr:uid="{00000000-0005-0000-0000-000035100000}"/>
    <cellStyle name="Normal 10 2 10 2 6 2 4" xfId="4212" xr:uid="{00000000-0005-0000-0000-000036100000}"/>
    <cellStyle name="Normal 10 2 10 2 6 2 5" xfId="4213" xr:uid="{00000000-0005-0000-0000-000037100000}"/>
    <cellStyle name="Normal 10 2 10 2 6 2 6" xfId="4214" xr:uid="{00000000-0005-0000-0000-000038100000}"/>
    <cellStyle name="Normal 10 2 10 2 6 2 7" xfId="4215" xr:uid="{00000000-0005-0000-0000-000039100000}"/>
    <cellStyle name="Normal 10 2 10 2 6 2 8" xfId="4216" xr:uid="{00000000-0005-0000-0000-00003A100000}"/>
    <cellStyle name="Normal 10 2 10 2 6 2 9" xfId="4217" xr:uid="{00000000-0005-0000-0000-00003B100000}"/>
    <cellStyle name="Normal 10 2 10 2 6 3" xfId="4218" xr:uid="{00000000-0005-0000-0000-00003C100000}"/>
    <cellStyle name="Normal 10 2 10 2 6 3 10" xfId="4219" xr:uid="{00000000-0005-0000-0000-00003D100000}"/>
    <cellStyle name="Normal 10 2 10 2 6 3 2" xfId="4220" xr:uid="{00000000-0005-0000-0000-00003E100000}"/>
    <cellStyle name="Normal 10 2 10 2 6 3 3" xfId="4221" xr:uid="{00000000-0005-0000-0000-00003F100000}"/>
    <cellStyle name="Normal 10 2 10 2 6 3 4" xfId="4222" xr:uid="{00000000-0005-0000-0000-000040100000}"/>
    <cellStyle name="Normal 10 2 10 2 6 3 5" xfId="4223" xr:uid="{00000000-0005-0000-0000-000041100000}"/>
    <cellStyle name="Normal 10 2 10 2 6 3 6" xfId="4224" xr:uid="{00000000-0005-0000-0000-000042100000}"/>
    <cellStyle name="Normal 10 2 10 2 6 3 7" xfId="4225" xr:uid="{00000000-0005-0000-0000-000043100000}"/>
    <cellStyle name="Normal 10 2 10 2 6 3 8" xfId="4226" xr:uid="{00000000-0005-0000-0000-000044100000}"/>
    <cellStyle name="Normal 10 2 10 2 6 3 9" xfId="4227" xr:uid="{00000000-0005-0000-0000-000045100000}"/>
    <cellStyle name="Normal 10 2 10 2 6 4" xfId="4228" xr:uid="{00000000-0005-0000-0000-000046100000}"/>
    <cellStyle name="Normal 10 2 10 2 6 4 10" xfId="4229" xr:uid="{00000000-0005-0000-0000-000047100000}"/>
    <cellStyle name="Normal 10 2 10 2 6 4 2" xfId="4230" xr:uid="{00000000-0005-0000-0000-000048100000}"/>
    <cellStyle name="Normal 10 2 10 2 6 4 3" xfId="4231" xr:uid="{00000000-0005-0000-0000-000049100000}"/>
    <cellStyle name="Normal 10 2 10 2 6 4 4" xfId="4232" xr:uid="{00000000-0005-0000-0000-00004A100000}"/>
    <cellStyle name="Normal 10 2 10 2 6 4 5" xfId="4233" xr:uid="{00000000-0005-0000-0000-00004B100000}"/>
    <cellStyle name="Normal 10 2 10 2 6 4 6" xfId="4234" xr:uid="{00000000-0005-0000-0000-00004C100000}"/>
    <cellStyle name="Normal 10 2 10 2 6 4 7" xfId="4235" xr:uid="{00000000-0005-0000-0000-00004D100000}"/>
    <cellStyle name="Normal 10 2 10 2 6 4 8" xfId="4236" xr:uid="{00000000-0005-0000-0000-00004E100000}"/>
    <cellStyle name="Normal 10 2 10 2 6 4 9" xfId="4237" xr:uid="{00000000-0005-0000-0000-00004F100000}"/>
    <cellStyle name="Normal 10 2 10 2 6 5" xfId="4238" xr:uid="{00000000-0005-0000-0000-000050100000}"/>
    <cellStyle name="Normal 10 2 10 2 6 5 10" xfId="4239" xr:uid="{00000000-0005-0000-0000-000051100000}"/>
    <cellStyle name="Normal 10 2 10 2 6 5 2" xfId="4240" xr:uid="{00000000-0005-0000-0000-000052100000}"/>
    <cellStyle name="Normal 10 2 10 2 6 5 3" xfId="4241" xr:uid="{00000000-0005-0000-0000-000053100000}"/>
    <cellStyle name="Normal 10 2 10 2 6 5 4" xfId="4242" xr:uid="{00000000-0005-0000-0000-000054100000}"/>
    <cellStyle name="Normal 10 2 10 2 6 5 5" xfId="4243" xr:uid="{00000000-0005-0000-0000-000055100000}"/>
    <cellStyle name="Normal 10 2 10 2 6 5 6" xfId="4244" xr:uid="{00000000-0005-0000-0000-000056100000}"/>
    <cellStyle name="Normal 10 2 10 2 6 5 7" xfId="4245" xr:uid="{00000000-0005-0000-0000-000057100000}"/>
    <cellStyle name="Normal 10 2 10 2 6 5 8" xfId="4246" xr:uid="{00000000-0005-0000-0000-000058100000}"/>
    <cellStyle name="Normal 10 2 10 2 6 5 9" xfId="4247" xr:uid="{00000000-0005-0000-0000-000059100000}"/>
    <cellStyle name="Normal 10 2 10 2 6 6" xfId="4248" xr:uid="{00000000-0005-0000-0000-00005A100000}"/>
    <cellStyle name="Normal 10 2 10 2 6 7" xfId="4249" xr:uid="{00000000-0005-0000-0000-00005B100000}"/>
    <cellStyle name="Normal 10 2 10 2 6 8" xfId="4250" xr:uid="{00000000-0005-0000-0000-00005C100000}"/>
    <cellStyle name="Normal 10 2 10 2 6 9" xfId="4251" xr:uid="{00000000-0005-0000-0000-00005D100000}"/>
    <cellStyle name="Normal 10 2 10 2 7" xfId="4252" xr:uid="{00000000-0005-0000-0000-00005E100000}"/>
    <cellStyle name="Normal 10 2 10 2 7 10" xfId="4253" xr:uid="{00000000-0005-0000-0000-00005F100000}"/>
    <cellStyle name="Normal 10 2 10 2 7 11" xfId="4254" xr:uid="{00000000-0005-0000-0000-000060100000}"/>
    <cellStyle name="Normal 10 2 10 2 7 12" xfId="4255" xr:uid="{00000000-0005-0000-0000-000061100000}"/>
    <cellStyle name="Normal 10 2 10 2 7 13" xfId="4256" xr:uid="{00000000-0005-0000-0000-000062100000}"/>
    <cellStyle name="Normal 10 2 10 2 7 14" xfId="4257" xr:uid="{00000000-0005-0000-0000-000063100000}"/>
    <cellStyle name="Normal 10 2 10 2 7 2" xfId="4258" xr:uid="{00000000-0005-0000-0000-000064100000}"/>
    <cellStyle name="Normal 10 2 10 2 7 2 10" xfId="4259" xr:uid="{00000000-0005-0000-0000-000065100000}"/>
    <cellStyle name="Normal 10 2 10 2 7 2 2" xfId="4260" xr:uid="{00000000-0005-0000-0000-000066100000}"/>
    <cellStyle name="Normal 10 2 10 2 7 2 3" xfId="4261" xr:uid="{00000000-0005-0000-0000-000067100000}"/>
    <cellStyle name="Normal 10 2 10 2 7 2 4" xfId="4262" xr:uid="{00000000-0005-0000-0000-000068100000}"/>
    <cellStyle name="Normal 10 2 10 2 7 2 5" xfId="4263" xr:uid="{00000000-0005-0000-0000-000069100000}"/>
    <cellStyle name="Normal 10 2 10 2 7 2 6" xfId="4264" xr:uid="{00000000-0005-0000-0000-00006A100000}"/>
    <cellStyle name="Normal 10 2 10 2 7 2 7" xfId="4265" xr:uid="{00000000-0005-0000-0000-00006B100000}"/>
    <cellStyle name="Normal 10 2 10 2 7 2 8" xfId="4266" xr:uid="{00000000-0005-0000-0000-00006C100000}"/>
    <cellStyle name="Normal 10 2 10 2 7 2 9" xfId="4267" xr:uid="{00000000-0005-0000-0000-00006D100000}"/>
    <cellStyle name="Normal 10 2 10 2 7 3" xfId="4268" xr:uid="{00000000-0005-0000-0000-00006E100000}"/>
    <cellStyle name="Normal 10 2 10 2 7 3 10" xfId="4269" xr:uid="{00000000-0005-0000-0000-00006F100000}"/>
    <cellStyle name="Normal 10 2 10 2 7 3 2" xfId="4270" xr:uid="{00000000-0005-0000-0000-000070100000}"/>
    <cellStyle name="Normal 10 2 10 2 7 3 3" xfId="4271" xr:uid="{00000000-0005-0000-0000-000071100000}"/>
    <cellStyle name="Normal 10 2 10 2 7 3 4" xfId="4272" xr:uid="{00000000-0005-0000-0000-000072100000}"/>
    <cellStyle name="Normal 10 2 10 2 7 3 5" xfId="4273" xr:uid="{00000000-0005-0000-0000-000073100000}"/>
    <cellStyle name="Normal 10 2 10 2 7 3 6" xfId="4274" xr:uid="{00000000-0005-0000-0000-000074100000}"/>
    <cellStyle name="Normal 10 2 10 2 7 3 7" xfId="4275" xr:uid="{00000000-0005-0000-0000-000075100000}"/>
    <cellStyle name="Normal 10 2 10 2 7 3 8" xfId="4276" xr:uid="{00000000-0005-0000-0000-000076100000}"/>
    <cellStyle name="Normal 10 2 10 2 7 3 9" xfId="4277" xr:uid="{00000000-0005-0000-0000-000077100000}"/>
    <cellStyle name="Normal 10 2 10 2 7 4" xfId="4278" xr:uid="{00000000-0005-0000-0000-000078100000}"/>
    <cellStyle name="Normal 10 2 10 2 7 4 10" xfId="4279" xr:uid="{00000000-0005-0000-0000-000079100000}"/>
    <cellStyle name="Normal 10 2 10 2 7 4 2" xfId="4280" xr:uid="{00000000-0005-0000-0000-00007A100000}"/>
    <cellStyle name="Normal 10 2 10 2 7 4 3" xfId="4281" xr:uid="{00000000-0005-0000-0000-00007B100000}"/>
    <cellStyle name="Normal 10 2 10 2 7 4 4" xfId="4282" xr:uid="{00000000-0005-0000-0000-00007C100000}"/>
    <cellStyle name="Normal 10 2 10 2 7 4 5" xfId="4283" xr:uid="{00000000-0005-0000-0000-00007D100000}"/>
    <cellStyle name="Normal 10 2 10 2 7 4 6" xfId="4284" xr:uid="{00000000-0005-0000-0000-00007E100000}"/>
    <cellStyle name="Normal 10 2 10 2 7 4 7" xfId="4285" xr:uid="{00000000-0005-0000-0000-00007F100000}"/>
    <cellStyle name="Normal 10 2 10 2 7 4 8" xfId="4286" xr:uid="{00000000-0005-0000-0000-000080100000}"/>
    <cellStyle name="Normal 10 2 10 2 7 4 9" xfId="4287" xr:uid="{00000000-0005-0000-0000-000081100000}"/>
    <cellStyle name="Normal 10 2 10 2 7 5" xfId="4288" xr:uid="{00000000-0005-0000-0000-000082100000}"/>
    <cellStyle name="Normal 10 2 10 2 7 5 10" xfId="4289" xr:uid="{00000000-0005-0000-0000-000083100000}"/>
    <cellStyle name="Normal 10 2 10 2 7 5 2" xfId="4290" xr:uid="{00000000-0005-0000-0000-000084100000}"/>
    <cellStyle name="Normal 10 2 10 2 7 5 3" xfId="4291" xr:uid="{00000000-0005-0000-0000-000085100000}"/>
    <cellStyle name="Normal 10 2 10 2 7 5 4" xfId="4292" xr:uid="{00000000-0005-0000-0000-000086100000}"/>
    <cellStyle name="Normal 10 2 10 2 7 5 5" xfId="4293" xr:uid="{00000000-0005-0000-0000-000087100000}"/>
    <cellStyle name="Normal 10 2 10 2 7 5 6" xfId="4294" xr:uid="{00000000-0005-0000-0000-000088100000}"/>
    <cellStyle name="Normal 10 2 10 2 7 5 7" xfId="4295" xr:uid="{00000000-0005-0000-0000-000089100000}"/>
    <cellStyle name="Normal 10 2 10 2 7 5 8" xfId="4296" xr:uid="{00000000-0005-0000-0000-00008A100000}"/>
    <cellStyle name="Normal 10 2 10 2 7 5 9" xfId="4297" xr:uid="{00000000-0005-0000-0000-00008B100000}"/>
    <cellStyle name="Normal 10 2 10 2 7 6" xfId="4298" xr:uid="{00000000-0005-0000-0000-00008C100000}"/>
    <cellStyle name="Normal 10 2 10 2 7 7" xfId="4299" xr:uid="{00000000-0005-0000-0000-00008D100000}"/>
    <cellStyle name="Normal 10 2 10 2 7 8" xfId="4300" xr:uid="{00000000-0005-0000-0000-00008E100000}"/>
    <cellStyle name="Normal 10 2 10 2 7 9" xfId="4301" xr:uid="{00000000-0005-0000-0000-00008F100000}"/>
    <cellStyle name="Normal 10 2 10 2 8" xfId="4302" xr:uid="{00000000-0005-0000-0000-000090100000}"/>
    <cellStyle name="Normal 10 2 10 2 8 10" xfId="4303" xr:uid="{00000000-0005-0000-0000-000091100000}"/>
    <cellStyle name="Normal 10 2 10 2 8 11" xfId="4304" xr:uid="{00000000-0005-0000-0000-000092100000}"/>
    <cellStyle name="Normal 10 2 10 2 8 12" xfId="4305" xr:uid="{00000000-0005-0000-0000-000093100000}"/>
    <cellStyle name="Normal 10 2 10 2 8 13" xfId="4306" xr:uid="{00000000-0005-0000-0000-000094100000}"/>
    <cellStyle name="Normal 10 2 10 2 8 14" xfId="4307" xr:uid="{00000000-0005-0000-0000-000095100000}"/>
    <cellStyle name="Normal 10 2 10 2 8 2" xfId="4308" xr:uid="{00000000-0005-0000-0000-000096100000}"/>
    <cellStyle name="Normal 10 2 10 2 8 2 10" xfId="4309" xr:uid="{00000000-0005-0000-0000-000097100000}"/>
    <cellStyle name="Normal 10 2 10 2 8 2 2" xfId="4310" xr:uid="{00000000-0005-0000-0000-000098100000}"/>
    <cellStyle name="Normal 10 2 10 2 8 2 3" xfId="4311" xr:uid="{00000000-0005-0000-0000-000099100000}"/>
    <cellStyle name="Normal 10 2 10 2 8 2 4" xfId="4312" xr:uid="{00000000-0005-0000-0000-00009A100000}"/>
    <cellStyle name="Normal 10 2 10 2 8 2 5" xfId="4313" xr:uid="{00000000-0005-0000-0000-00009B100000}"/>
    <cellStyle name="Normal 10 2 10 2 8 2 6" xfId="4314" xr:uid="{00000000-0005-0000-0000-00009C100000}"/>
    <cellStyle name="Normal 10 2 10 2 8 2 7" xfId="4315" xr:uid="{00000000-0005-0000-0000-00009D100000}"/>
    <cellStyle name="Normal 10 2 10 2 8 2 8" xfId="4316" xr:uid="{00000000-0005-0000-0000-00009E100000}"/>
    <cellStyle name="Normal 10 2 10 2 8 2 9" xfId="4317" xr:uid="{00000000-0005-0000-0000-00009F100000}"/>
    <cellStyle name="Normal 10 2 10 2 8 3" xfId="4318" xr:uid="{00000000-0005-0000-0000-0000A0100000}"/>
    <cellStyle name="Normal 10 2 10 2 8 3 10" xfId="4319" xr:uid="{00000000-0005-0000-0000-0000A1100000}"/>
    <cellStyle name="Normal 10 2 10 2 8 3 2" xfId="4320" xr:uid="{00000000-0005-0000-0000-0000A2100000}"/>
    <cellStyle name="Normal 10 2 10 2 8 3 3" xfId="4321" xr:uid="{00000000-0005-0000-0000-0000A3100000}"/>
    <cellStyle name="Normal 10 2 10 2 8 3 4" xfId="4322" xr:uid="{00000000-0005-0000-0000-0000A4100000}"/>
    <cellStyle name="Normal 10 2 10 2 8 3 5" xfId="4323" xr:uid="{00000000-0005-0000-0000-0000A5100000}"/>
    <cellStyle name="Normal 10 2 10 2 8 3 6" xfId="4324" xr:uid="{00000000-0005-0000-0000-0000A6100000}"/>
    <cellStyle name="Normal 10 2 10 2 8 3 7" xfId="4325" xr:uid="{00000000-0005-0000-0000-0000A7100000}"/>
    <cellStyle name="Normal 10 2 10 2 8 3 8" xfId="4326" xr:uid="{00000000-0005-0000-0000-0000A8100000}"/>
    <cellStyle name="Normal 10 2 10 2 8 3 9" xfId="4327" xr:uid="{00000000-0005-0000-0000-0000A9100000}"/>
    <cellStyle name="Normal 10 2 10 2 8 4" xfId="4328" xr:uid="{00000000-0005-0000-0000-0000AA100000}"/>
    <cellStyle name="Normal 10 2 10 2 8 4 10" xfId="4329" xr:uid="{00000000-0005-0000-0000-0000AB100000}"/>
    <cellStyle name="Normal 10 2 10 2 8 4 2" xfId="4330" xr:uid="{00000000-0005-0000-0000-0000AC100000}"/>
    <cellStyle name="Normal 10 2 10 2 8 4 3" xfId="4331" xr:uid="{00000000-0005-0000-0000-0000AD100000}"/>
    <cellStyle name="Normal 10 2 10 2 8 4 4" xfId="4332" xr:uid="{00000000-0005-0000-0000-0000AE100000}"/>
    <cellStyle name="Normal 10 2 10 2 8 4 5" xfId="4333" xr:uid="{00000000-0005-0000-0000-0000AF100000}"/>
    <cellStyle name="Normal 10 2 10 2 8 4 6" xfId="4334" xr:uid="{00000000-0005-0000-0000-0000B0100000}"/>
    <cellStyle name="Normal 10 2 10 2 8 4 7" xfId="4335" xr:uid="{00000000-0005-0000-0000-0000B1100000}"/>
    <cellStyle name="Normal 10 2 10 2 8 4 8" xfId="4336" xr:uid="{00000000-0005-0000-0000-0000B2100000}"/>
    <cellStyle name="Normal 10 2 10 2 8 4 9" xfId="4337" xr:uid="{00000000-0005-0000-0000-0000B3100000}"/>
    <cellStyle name="Normal 10 2 10 2 8 5" xfId="4338" xr:uid="{00000000-0005-0000-0000-0000B4100000}"/>
    <cellStyle name="Normal 10 2 10 2 8 5 10" xfId="4339" xr:uid="{00000000-0005-0000-0000-0000B5100000}"/>
    <cellStyle name="Normal 10 2 10 2 8 5 2" xfId="4340" xr:uid="{00000000-0005-0000-0000-0000B6100000}"/>
    <cellStyle name="Normal 10 2 10 2 8 5 3" xfId="4341" xr:uid="{00000000-0005-0000-0000-0000B7100000}"/>
    <cellStyle name="Normal 10 2 10 2 8 5 4" xfId="4342" xr:uid="{00000000-0005-0000-0000-0000B8100000}"/>
    <cellStyle name="Normal 10 2 10 2 8 5 5" xfId="4343" xr:uid="{00000000-0005-0000-0000-0000B9100000}"/>
    <cellStyle name="Normal 10 2 10 2 8 5 6" xfId="4344" xr:uid="{00000000-0005-0000-0000-0000BA100000}"/>
    <cellStyle name="Normal 10 2 10 2 8 5 7" xfId="4345" xr:uid="{00000000-0005-0000-0000-0000BB100000}"/>
    <cellStyle name="Normal 10 2 10 2 8 5 8" xfId="4346" xr:uid="{00000000-0005-0000-0000-0000BC100000}"/>
    <cellStyle name="Normal 10 2 10 2 8 5 9" xfId="4347" xr:uid="{00000000-0005-0000-0000-0000BD100000}"/>
    <cellStyle name="Normal 10 2 10 2 8 6" xfId="4348" xr:uid="{00000000-0005-0000-0000-0000BE100000}"/>
    <cellStyle name="Normal 10 2 10 2 8 7" xfId="4349" xr:uid="{00000000-0005-0000-0000-0000BF100000}"/>
    <cellStyle name="Normal 10 2 10 2 8 8" xfId="4350" xr:uid="{00000000-0005-0000-0000-0000C0100000}"/>
    <cellStyle name="Normal 10 2 10 2 8 9" xfId="4351" xr:uid="{00000000-0005-0000-0000-0000C1100000}"/>
    <cellStyle name="Normal 10 2 10 2 9" xfId="4352" xr:uid="{00000000-0005-0000-0000-0000C2100000}"/>
    <cellStyle name="Normal 10 2 10 2 9 10" xfId="4353" xr:uid="{00000000-0005-0000-0000-0000C3100000}"/>
    <cellStyle name="Normal 10 2 10 2 9 11" xfId="4354" xr:uid="{00000000-0005-0000-0000-0000C4100000}"/>
    <cellStyle name="Normal 10 2 10 2 9 12" xfId="4355" xr:uid="{00000000-0005-0000-0000-0000C5100000}"/>
    <cellStyle name="Normal 10 2 10 2 9 13" xfId="4356" xr:uid="{00000000-0005-0000-0000-0000C6100000}"/>
    <cellStyle name="Normal 10 2 10 2 9 14" xfId="4357" xr:uid="{00000000-0005-0000-0000-0000C7100000}"/>
    <cellStyle name="Normal 10 2 10 2 9 2" xfId="4358" xr:uid="{00000000-0005-0000-0000-0000C8100000}"/>
    <cellStyle name="Normal 10 2 10 2 9 2 10" xfId="4359" xr:uid="{00000000-0005-0000-0000-0000C9100000}"/>
    <cellStyle name="Normal 10 2 10 2 9 2 2" xfId="4360" xr:uid="{00000000-0005-0000-0000-0000CA100000}"/>
    <cellStyle name="Normal 10 2 10 2 9 2 3" xfId="4361" xr:uid="{00000000-0005-0000-0000-0000CB100000}"/>
    <cellStyle name="Normal 10 2 10 2 9 2 4" xfId="4362" xr:uid="{00000000-0005-0000-0000-0000CC100000}"/>
    <cellStyle name="Normal 10 2 10 2 9 2 5" xfId="4363" xr:uid="{00000000-0005-0000-0000-0000CD100000}"/>
    <cellStyle name="Normal 10 2 10 2 9 2 6" xfId="4364" xr:uid="{00000000-0005-0000-0000-0000CE100000}"/>
    <cellStyle name="Normal 10 2 10 2 9 2 7" xfId="4365" xr:uid="{00000000-0005-0000-0000-0000CF100000}"/>
    <cellStyle name="Normal 10 2 10 2 9 2 8" xfId="4366" xr:uid="{00000000-0005-0000-0000-0000D0100000}"/>
    <cellStyle name="Normal 10 2 10 2 9 2 9" xfId="4367" xr:uid="{00000000-0005-0000-0000-0000D1100000}"/>
    <cellStyle name="Normal 10 2 10 2 9 3" xfId="4368" xr:uid="{00000000-0005-0000-0000-0000D2100000}"/>
    <cellStyle name="Normal 10 2 10 2 9 3 10" xfId="4369" xr:uid="{00000000-0005-0000-0000-0000D3100000}"/>
    <cellStyle name="Normal 10 2 10 2 9 3 2" xfId="4370" xr:uid="{00000000-0005-0000-0000-0000D4100000}"/>
    <cellStyle name="Normal 10 2 10 2 9 3 3" xfId="4371" xr:uid="{00000000-0005-0000-0000-0000D5100000}"/>
    <cellStyle name="Normal 10 2 10 2 9 3 4" xfId="4372" xr:uid="{00000000-0005-0000-0000-0000D6100000}"/>
    <cellStyle name="Normal 10 2 10 2 9 3 5" xfId="4373" xr:uid="{00000000-0005-0000-0000-0000D7100000}"/>
    <cellStyle name="Normal 10 2 10 2 9 3 6" xfId="4374" xr:uid="{00000000-0005-0000-0000-0000D8100000}"/>
    <cellStyle name="Normal 10 2 10 2 9 3 7" xfId="4375" xr:uid="{00000000-0005-0000-0000-0000D9100000}"/>
    <cellStyle name="Normal 10 2 10 2 9 3 8" xfId="4376" xr:uid="{00000000-0005-0000-0000-0000DA100000}"/>
    <cellStyle name="Normal 10 2 10 2 9 3 9" xfId="4377" xr:uid="{00000000-0005-0000-0000-0000DB100000}"/>
    <cellStyle name="Normal 10 2 10 2 9 4" xfId="4378" xr:uid="{00000000-0005-0000-0000-0000DC100000}"/>
    <cellStyle name="Normal 10 2 10 2 9 4 10" xfId="4379" xr:uid="{00000000-0005-0000-0000-0000DD100000}"/>
    <cellStyle name="Normal 10 2 10 2 9 4 2" xfId="4380" xr:uid="{00000000-0005-0000-0000-0000DE100000}"/>
    <cellStyle name="Normal 10 2 10 2 9 4 3" xfId="4381" xr:uid="{00000000-0005-0000-0000-0000DF100000}"/>
    <cellStyle name="Normal 10 2 10 2 9 4 4" xfId="4382" xr:uid="{00000000-0005-0000-0000-0000E0100000}"/>
    <cellStyle name="Normal 10 2 10 2 9 4 5" xfId="4383" xr:uid="{00000000-0005-0000-0000-0000E1100000}"/>
    <cellStyle name="Normal 10 2 10 2 9 4 6" xfId="4384" xr:uid="{00000000-0005-0000-0000-0000E2100000}"/>
    <cellStyle name="Normal 10 2 10 2 9 4 7" xfId="4385" xr:uid="{00000000-0005-0000-0000-0000E3100000}"/>
    <cellStyle name="Normal 10 2 10 2 9 4 8" xfId="4386" xr:uid="{00000000-0005-0000-0000-0000E4100000}"/>
    <cellStyle name="Normal 10 2 10 2 9 4 9" xfId="4387" xr:uid="{00000000-0005-0000-0000-0000E5100000}"/>
    <cellStyle name="Normal 10 2 10 2 9 5" xfId="4388" xr:uid="{00000000-0005-0000-0000-0000E6100000}"/>
    <cellStyle name="Normal 10 2 10 2 9 5 10" xfId="4389" xr:uid="{00000000-0005-0000-0000-0000E7100000}"/>
    <cellStyle name="Normal 10 2 10 2 9 5 2" xfId="4390" xr:uid="{00000000-0005-0000-0000-0000E8100000}"/>
    <cellStyle name="Normal 10 2 10 2 9 5 3" xfId="4391" xr:uid="{00000000-0005-0000-0000-0000E9100000}"/>
    <cellStyle name="Normal 10 2 10 2 9 5 4" xfId="4392" xr:uid="{00000000-0005-0000-0000-0000EA100000}"/>
    <cellStyle name="Normal 10 2 10 2 9 5 5" xfId="4393" xr:uid="{00000000-0005-0000-0000-0000EB100000}"/>
    <cellStyle name="Normal 10 2 10 2 9 5 6" xfId="4394" xr:uid="{00000000-0005-0000-0000-0000EC100000}"/>
    <cellStyle name="Normal 10 2 10 2 9 5 7" xfId="4395" xr:uid="{00000000-0005-0000-0000-0000ED100000}"/>
    <cellStyle name="Normal 10 2 10 2 9 5 8" xfId="4396" xr:uid="{00000000-0005-0000-0000-0000EE100000}"/>
    <cellStyle name="Normal 10 2 10 2 9 5 9" xfId="4397" xr:uid="{00000000-0005-0000-0000-0000EF100000}"/>
    <cellStyle name="Normal 10 2 10 2 9 6" xfId="4398" xr:uid="{00000000-0005-0000-0000-0000F0100000}"/>
    <cellStyle name="Normal 10 2 10 2 9 7" xfId="4399" xr:uid="{00000000-0005-0000-0000-0000F1100000}"/>
    <cellStyle name="Normal 10 2 10 2 9 8" xfId="4400" xr:uid="{00000000-0005-0000-0000-0000F2100000}"/>
    <cellStyle name="Normal 10 2 10 2 9 9" xfId="4401" xr:uid="{00000000-0005-0000-0000-0000F3100000}"/>
    <cellStyle name="Normal 10 2 10 20" xfId="4402" xr:uid="{00000000-0005-0000-0000-0000F4100000}"/>
    <cellStyle name="Normal 10 2 10 20 10" xfId="4403" xr:uid="{00000000-0005-0000-0000-0000F5100000}"/>
    <cellStyle name="Normal 10 2 10 20 11" xfId="4404" xr:uid="{00000000-0005-0000-0000-0000F6100000}"/>
    <cellStyle name="Normal 10 2 10 20 12" xfId="4405" xr:uid="{00000000-0005-0000-0000-0000F7100000}"/>
    <cellStyle name="Normal 10 2 10 20 13" xfId="4406" xr:uid="{00000000-0005-0000-0000-0000F8100000}"/>
    <cellStyle name="Normal 10 2 10 20 14" xfId="4407" xr:uid="{00000000-0005-0000-0000-0000F9100000}"/>
    <cellStyle name="Normal 10 2 10 20 2" xfId="4408" xr:uid="{00000000-0005-0000-0000-0000FA100000}"/>
    <cellStyle name="Normal 10 2 10 20 2 10" xfId="4409" xr:uid="{00000000-0005-0000-0000-0000FB100000}"/>
    <cellStyle name="Normal 10 2 10 20 2 2" xfId="4410" xr:uid="{00000000-0005-0000-0000-0000FC100000}"/>
    <cellStyle name="Normal 10 2 10 20 2 3" xfId="4411" xr:uid="{00000000-0005-0000-0000-0000FD100000}"/>
    <cellStyle name="Normal 10 2 10 20 2 4" xfId="4412" xr:uid="{00000000-0005-0000-0000-0000FE100000}"/>
    <cellStyle name="Normal 10 2 10 20 2 5" xfId="4413" xr:uid="{00000000-0005-0000-0000-0000FF100000}"/>
    <cellStyle name="Normal 10 2 10 20 2 6" xfId="4414" xr:uid="{00000000-0005-0000-0000-000000110000}"/>
    <cellStyle name="Normal 10 2 10 20 2 7" xfId="4415" xr:uid="{00000000-0005-0000-0000-000001110000}"/>
    <cellStyle name="Normal 10 2 10 20 2 8" xfId="4416" xr:uid="{00000000-0005-0000-0000-000002110000}"/>
    <cellStyle name="Normal 10 2 10 20 2 9" xfId="4417" xr:uid="{00000000-0005-0000-0000-000003110000}"/>
    <cellStyle name="Normal 10 2 10 20 3" xfId="4418" xr:uid="{00000000-0005-0000-0000-000004110000}"/>
    <cellStyle name="Normal 10 2 10 20 3 10" xfId="4419" xr:uid="{00000000-0005-0000-0000-000005110000}"/>
    <cellStyle name="Normal 10 2 10 20 3 2" xfId="4420" xr:uid="{00000000-0005-0000-0000-000006110000}"/>
    <cellStyle name="Normal 10 2 10 20 3 3" xfId="4421" xr:uid="{00000000-0005-0000-0000-000007110000}"/>
    <cellStyle name="Normal 10 2 10 20 3 4" xfId="4422" xr:uid="{00000000-0005-0000-0000-000008110000}"/>
    <cellStyle name="Normal 10 2 10 20 3 5" xfId="4423" xr:uid="{00000000-0005-0000-0000-000009110000}"/>
    <cellStyle name="Normal 10 2 10 20 3 6" xfId="4424" xr:uid="{00000000-0005-0000-0000-00000A110000}"/>
    <cellStyle name="Normal 10 2 10 20 3 7" xfId="4425" xr:uid="{00000000-0005-0000-0000-00000B110000}"/>
    <cellStyle name="Normal 10 2 10 20 3 8" xfId="4426" xr:uid="{00000000-0005-0000-0000-00000C110000}"/>
    <cellStyle name="Normal 10 2 10 20 3 9" xfId="4427" xr:uid="{00000000-0005-0000-0000-00000D110000}"/>
    <cellStyle name="Normal 10 2 10 20 4" xfId="4428" xr:uid="{00000000-0005-0000-0000-00000E110000}"/>
    <cellStyle name="Normal 10 2 10 20 4 10" xfId="4429" xr:uid="{00000000-0005-0000-0000-00000F110000}"/>
    <cellStyle name="Normal 10 2 10 20 4 2" xfId="4430" xr:uid="{00000000-0005-0000-0000-000010110000}"/>
    <cellStyle name="Normal 10 2 10 20 4 3" xfId="4431" xr:uid="{00000000-0005-0000-0000-000011110000}"/>
    <cellStyle name="Normal 10 2 10 20 4 4" xfId="4432" xr:uid="{00000000-0005-0000-0000-000012110000}"/>
    <cellStyle name="Normal 10 2 10 20 4 5" xfId="4433" xr:uid="{00000000-0005-0000-0000-000013110000}"/>
    <cellStyle name="Normal 10 2 10 20 4 6" xfId="4434" xr:uid="{00000000-0005-0000-0000-000014110000}"/>
    <cellStyle name="Normal 10 2 10 20 4 7" xfId="4435" xr:uid="{00000000-0005-0000-0000-000015110000}"/>
    <cellStyle name="Normal 10 2 10 20 4 8" xfId="4436" xr:uid="{00000000-0005-0000-0000-000016110000}"/>
    <cellStyle name="Normal 10 2 10 20 4 9" xfId="4437" xr:uid="{00000000-0005-0000-0000-000017110000}"/>
    <cellStyle name="Normal 10 2 10 20 5" xfId="4438" xr:uid="{00000000-0005-0000-0000-000018110000}"/>
    <cellStyle name="Normal 10 2 10 20 5 10" xfId="4439" xr:uid="{00000000-0005-0000-0000-000019110000}"/>
    <cellStyle name="Normal 10 2 10 20 5 2" xfId="4440" xr:uid="{00000000-0005-0000-0000-00001A110000}"/>
    <cellStyle name="Normal 10 2 10 20 5 3" xfId="4441" xr:uid="{00000000-0005-0000-0000-00001B110000}"/>
    <cellStyle name="Normal 10 2 10 20 5 4" xfId="4442" xr:uid="{00000000-0005-0000-0000-00001C110000}"/>
    <cellStyle name="Normal 10 2 10 20 5 5" xfId="4443" xr:uid="{00000000-0005-0000-0000-00001D110000}"/>
    <cellStyle name="Normal 10 2 10 20 5 6" xfId="4444" xr:uid="{00000000-0005-0000-0000-00001E110000}"/>
    <cellStyle name="Normal 10 2 10 20 5 7" xfId="4445" xr:uid="{00000000-0005-0000-0000-00001F110000}"/>
    <cellStyle name="Normal 10 2 10 20 5 8" xfId="4446" xr:uid="{00000000-0005-0000-0000-000020110000}"/>
    <cellStyle name="Normal 10 2 10 20 5 9" xfId="4447" xr:uid="{00000000-0005-0000-0000-000021110000}"/>
    <cellStyle name="Normal 10 2 10 20 6" xfId="4448" xr:uid="{00000000-0005-0000-0000-000022110000}"/>
    <cellStyle name="Normal 10 2 10 20 7" xfId="4449" xr:uid="{00000000-0005-0000-0000-000023110000}"/>
    <cellStyle name="Normal 10 2 10 20 8" xfId="4450" xr:uid="{00000000-0005-0000-0000-000024110000}"/>
    <cellStyle name="Normal 10 2 10 20 9" xfId="4451" xr:uid="{00000000-0005-0000-0000-000025110000}"/>
    <cellStyle name="Normal 10 2 10 21" xfId="4452" xr:uid="{00000000-0005-0000-0000-000026110000}"/>
    <cellStyle name="Normal 10 2 10 21 10" xfId="4453" xr:uid="{00000000-0005-0000-0000-000027110000}"/>
    <cellStyle name="Normal 10 2 10 21 11" xfId="4454" xr:uid="{00000000-0005-0000-0000-000028110000}"/>
    <cellStyle name="Normal 10 2 10 21 12" xfId="4455" xr:uid="{00000000-0005-0000-0000-000029110000}"/>
    <cellStyle name="Normal 10 2 10 21 13" xfId="4456" xr:uid="{00000000-0005-0000-0000-00002A110000}"/>
    <cellStyle name="Normal 10 2 10 21 14" xfId="4457" xr:uid="{00000000-0005-0000-0000-00002B110000}"/>
    <cellStyle name="Normal 10 2 10 21 2" xfId="4458" xr:uid="{00000000-0005-0000-0000-00002C110000}"/>
    <cellStyle name="Normal 10 2 10 21 2 10" xfId="4459" xr:uid="{00000000-0005-0000-0000-00002D110000}"/>
    <cellStyle name="Normal 10 2 10 21 2 2" xfId="4460" xr:uid="{00000000-0005-0000-0000-00002E110000}"/>
    <cellStyle name="Normal 10 2 10 21 2 3" xfId="4461" xr:uid="{00000000-0005-0000-0000-00002F110000}"/>
    <cellStyle name="Normal 10 2 10 21 2 4" xfId="4462" xr:uid="{00000000-0005-0000-0000-000030110000}"/>
    <cellStyle name="Normal 10 2 10 21 2 5" xfId="4463" xr:uid="{00000000-0005-0000-0000-000031110000}"/>
    <cellStyle name="Normal 10 2 10 21 2 6" xfId="4464" xr:uid="{00000000-0005-0000-0000-000032110000}"/>
    <cellStyle name="Normal 10 2 10 21 2 7" xfId="4465" xr:uid="{00000000-0005-0000-0000-000033110000}"/>
    <cellStyle name="Normal 10 2 10 21 2 8" xfId="4466" xr:uid="{00000000-0005-0000-0000-000034110000}"/>
    <cellStyle name="Normal 10 2 10 21 2 9" xfId="4467" xr:uid="{00000000-0005-0000-0000-000035110000}"/>
    <cellStyle name="Normal 10 2 10 21 3" xfId="4468" xr:uid="{00000000-0005-0000-0000-000036110000}"/>
    <cellStyle name="Normal 10 2 10 21 3 10" xfId="4469" xr:uid="{00000000-0005-0000-0000-000037110000}"/>
    <cellStyle name="Normal 10 2 10 21 3 2" xfId="4470" xr:uid="{00000000-0005-0000-0000-000038110000}"/>
    <cellStyle name="Normal 10 2 10 21 3 3" xfId="4471" xr:uid="{00000000-0005-0000-0000-000039110000}"/>
    <cellStyle name="Normal 10 2 10 21 3 4" xfId="4472" xr:uid="{00000000-0005-0000-0000-00003A110000}"/>
    <cellStyle name="Normal 10 2 10 21 3 5" xfId="4473" xr:uid="{00000000-0005-0000-0000-00003B110000}"/>
    <cellStyle name="Normal 10 2 10 21 3 6" xfId="4474" xr:uid="{00000000-0005-0000-0000-00003C110000}"/>
    <cellStyle name="Normal 10 2 10 21 3 7" xfId="4475" xr:uid="{00000000-0005-0000-0000-00003D110000}"/>
    <cellStyle name="Normal 10 2 10 21 3 8" xfId="4476" xr:uid="{00000000-0005-0000-0000-00003E110000}"/>
    <cellStyle name="Normal 10 2 10 21 3 9" xfId="4477" xr:uid="{00000000-0005-0000-0000-00003F110000}"/>
    <cellStyle name="Normal 10 2 10 21 4" xfId="4478" xr:uid="{00000000-0005-0000-0000-000040110000}"/>
    <cellStyle name="Normal 10 2 10 21 4 10" xfId="4479" xr:uid="{00000000-0005-0000-0000-000041110000}"/>
    <cellStyle name="Normal 10 2 10 21 4 2" xfId="4480" xr:uid="{00000000-0005-0000-0000-000042110000}"/>
    <cellStyle name="Normal 10 2 10 21 4 3" xfId="4481" xr:uid="{00000000-0005-0000-0000-000043110000}"/>
    <cellStyle name="Normal 10 2 10 21 4 4" xfId="4482" xr:uid="{00000000-0005-0000-0000-000044110000}"/>
    <cellStyle name="Normal 10 2 10 21 4 5" xfId="4483" xr:uid="{00000000-0005-0000-0000-000045110000}"/>
    <cellStyle name="Normal 10 2 10 21 4 6" xfId="4484" xr:uid="{00000000-0005-0000-0000-000046110000}"/>
    <cellStyle name="Normal 10 2 10 21 4 7" xfId="4485" xr:uid="{00000000-0005-0000-0000-000047110000}"/>
    <cellStyle name="Normal 10 2 10 21 4 8" xfId="4486" xr:uid="{00000000-0005-0000-0000-000048110000}"/>
    <cellStyle name="Normal 10 2 10 21 4 9" xfId="4487" xr:uid="{00000000-0005-0000-0000-000049110000}"/>
    <cellStyle name="Normal 10 2 10 21 5" xfId="4488" xr:uid="{00000000-0005-0000-0000-00004A110000}"/>
    <cellStyle name="Normal 10 2 10 21 5 10" xfId="4489" xr:uid="{00000000-0005-0000-0000-00004B110000}"/>
    <cellStyle name="Normal 10 2 10 21 5 2" xfId="4490" xr:uid="{00000000-0005-0000-0000-00004C110000}"/>
    <cellStyle name="Normal 10 2 10 21 5 3" xfId="4491" xr:uid="{00000000-0005-0000-0000-00004D110000}"/>
    <cellStyle name="Normal 10 2 10 21 5 4" xfId="4492" xr:uid="{00000000-0005-0000-0000-00004E110000}"/>
    <cellStyle name="Normal 10 2 10 21 5 5" xfId="4493" xr:uid="{00000000-0005-0000-0000-00004F110000}"/>
    <cellStyle name="Normal 10 2 10 21 5 6" xfId="4494" xr:uid="{00000000-0005-0000-0000-000050110000}"/>
    <cellStyle name="Normal 10 2 10 21 5 7" xfId="4495" xr:uid="{00000000-0005-0000-0000-000051110000}"/>
    <cellStyle name="Normal 10 2 10 21 5 8" xfId="4496" xr:uid="{00000000-0005-0000-0000-000052110000}"/>
    <cellStyle name="Normal 10 2 10 21 5 9" xfId="4497" xr:uid="{00000000-0005-0000-0000-000053110000}"/>
    <cellStyle name="Normal 10 2 10 21 6" xfId="4498" xr:uid="{00000000-0005-0000-0000-000054110000}"/>
    <cellStyle name="Normal 10 2 10 21 7" xfId="4499" xr:uid="{00000000-0005-0000-0000-000055110000}"/>
    <cellStyle name="Normal 10 2 10 21 8" xfId="4500" xr:uid="{00000000-0005-0000-0000-000056110000}"/>
    <cellStyle name="Normal 10 2 10 21 9" xfId="4501" xr:uid="{00000000-0005-0000-0000-000057110000}"/>
    <cellStyle name="Normal 10 2 10 22" xfId="4502" xr:uid="{00000000-0005-0000-0000-000058110000}"/>
    <cellStyle name="Normal 10 2 10 22 10" xfId="4503" xr:uid="{00000000-0005-0000-0000-000059110000}"/>
    <cellStyle name="Normal 10 2 10 22 11" xfId="4504" xr:uid="{00000000-0005-0000-0000-00005A110000}"/>
    <cellStyle name="Normal 10 2 10 22 12" xfId="4505" xr:uid="{00000000-0005-0000-0000-00005B110000}"/>
    <cellStyle name="Normal 10 2 10 22 13" xfId="4506" xr:uid="{00000000-0005-0000-0000-00005C110000}"/>
    <cellStyle name="Normal 10 2 10 22 14" xfId="4507" xr:uid="{00000000-0005-0000-0000-00005D110000}"/>
    <cellStyle name="Normal 10 2 10 22 2" xfId="4508" xr:uid="{00000000-0005-0000-0000-00005E110000}"/>
    <cellStyle name="Normal 10 2 10 22 2 10" xfId="4509" xr:uid="{00000000-0005-0000-0000-00005F110000}"/>
    <cellStyle name="Normal 10 2 10 22 2 2" xfId="4510" xr:uid="{00000000-0005-0000-0000-000060110000}"/>
    <cellStyle name="Normal 10 2 10 22 2 3" xfId="4511" xr:uid="{00000000-0005-0000-0000-000061110000}"/>
    <cellStyle name="Normal 10 2 10 22 2 4" xfId="4512" xr:uid="{00000000-0005-0000-0000-000062110000}"/>
    <cellStyle name="Normal 10 2 10 22 2 5" xfId="4513" xr:uid="{00000000-0005-0000-0000-000063110000}"/>
    <cellStyle name="Normal 10 2 10 22 2 6" xfId="4514" xr:uid="{00000000-0005-0000-0000-000064110000}"/>
    <cellStyle name="Normal 10 2 10 22 2 7" xfId="4515" xr:uid="{00000000-0005-0000-0000-000065110000}"/>
    <cellStyle name="Normal 10 2 10 22 2 8" xfId="4516" xr:uid="{00000000-0005-0000-0000-000066110000}"/>
    <cellStyle name="Normal 10 2 10 22 2 9" xfId="4517" xr:uid="{00000000-0005-0000-0000-000067110000}"/>
    <cellStyle name="Normal 10 2 10 22 3" xfId="4518" xr:uid="{00000000-0005-0000-0000-000068110000}"/>
    <cellStyle name="Normal 10 2 10 22 3 10" xfId="4519" xr:uid="{00000000-0005-0000-0000-000069110000}"/>
    <cellStyle name="Normal 10 2 10 22 3 2" xfId="4520" xr:uid="{00000000-0005-0000-0000-00006A110000}"/>
    <cellStyle name="Normal 10 2 10 22 3 3" xfId="4521" xr:uid="{00000000-0005-0000-0000-00006B110000}"/>
    <cellStyle name="Normal 10 2 10 22 3 4" xfId="4522" xr:uid="{00000000-0005-0000-0000-00006C110000}"/>
    <cellStyle name="Normal 10 2 10 22 3 5" xfId="4523" xr:uid="{00000000-0005-0000-0000-00006D110000}"/>
    <cellStyle name="Normal 10 2 10 22 3 6" xfId="4524" xr:uid="{00000000-0005-0000-0000-00006E110000}"/>
    <cellStyle name="Normal 10 2 10 22 3 7" xfId="4525" xr:uid="{00000000-0005-0000-0000-00006F110000}"/>
    <cellStyle name="Normal 10 2 10 22 3 8" xfId="4526" xr:uid="{00000000-0005-0000-0000-000070110000}"/>
    <cellStyle name="Normal 10 2 10 22 3 9" xfId="4527" xr:uid="{00000000-0005-0000-0000-000071110000}"/>
    <cellStyle name="Normal 10 2 10 22 4" xfId="4528" xr:uid="{00000000-0005-0000-0000-000072110000}"/>
    <cellStyle name="Normal 10 2 10 22 4 10" xfId="4529" xr:uid="{00000000-0005-0000-0000-000073110000}"/>
    <cellStyle name="Normal 10 2 10 22 4 2" xfId="4530" xr:uid="{00000000-0005-0000-0000-000074110000}"/>
    <cellStyle name="Normal 10 2 10 22 4 3" xfId="4531" xr:uid="{00000000-0005-0000-0000-000075110000}"/>
    <cellStyle name="Normal 10 2 10 22 4 4" xfId="4532" xr:uid="{00000000-0005-0000-0000-000076110000}"/>
    <cellStyle name="Normal 10 2 10 22 4 5" xfId="4533" xr:uid="{00000000-0005-0000-0000-000077110000}"/>
    <cellStyle name="Normal 10 2 10 22 4 6" xfId="4534" xr:uid="{00000000-0005-0000-0000-000078110000}"/>
    <cellStyle name="Normal 10 2 10 22 4 7" xfId="4535" xr:uid="{00000000-0005-0000-0000-000079110000}"/>
    <cellStyle name="Normal 10 2 10 22 4 8" xfId="4536" xr:uid="{00000000-0005-0000-0000-00007A110000}"/>
    <cellStyle name="Normal 10 2 10 22 4 9" xfId="4537" xr:uid="{00000000-0005-0000-0000-00007B110000}"/>
    <cellStyle name="Normal 10 2 10 22 5" xfId="4538" xr:uid="{00000000-0005-0000-0000-00007C110000}"/>
    <cellStyle name="Normal 10 2 10 22 5 10" xfId="4539" xr:uid="{00000000-0005-0000-0000-00007D110000}"/>
    <cellStyle name="Normal 10 2 10 22 5 2" xfId="4540" xr:uid="{00000000-0005-0000-0000-00007E110000}"/>
    <cellStyle name="Normal 10 2 10 22 5 3" xfId="4541" xr:uid="{00000000-0005-0000-0000-00007F110000}"/>
    <cellStyle name="Normal 10 2 10 22 5 4" xfId="4542" xr:uid="{00000000-0005-0000-0000-000080110000}"/>
    <cellStyle name="Normal 10 2 10 22 5 5" xfId="4543" xr:uid="{00000000-0005-0000-0000-000081110000}"/>
    <cellStyle name="Normal 10 2 10 22 5 6" xfId="4544" xr:uid="{00000000-0005-0000-0000-000082110000}"/>
    <cellStyle name="Normal 10 2 10 22 5 7" xfId="4545" xr:uid="{00000000-0005-0000-0000-000083110000}"/>
    <cellStyle name="Normal 10 2 10 22 5 8" xfId="4546" xr:uid="{00000000-0005-0000-0000-000084110000}"/>
    <cellStyle name="Normal 10 2 10 22 5 9" xfId="4547" xr:uid="{00000000-0005-0000-0000-000085110000}"/>
    <cellStyle name="Normal 10 2 10 22 6" xfId="4548" xr:uid="{00000000-0005-0000-0000-000086110000}"/>
    <cellStyle name="Normal 10 2 10 22 7" xfId="4549" xr:uid="{00000000-0005-0000-0000-000087110000}"/>
    <cellStyle name="Normal 10 2 10 22 8" xfId="4550" xr:uid="{00000000-0005-0000-0000-000088110000}"/>
    <cellStyle name="Normal 10 2 10 22 9" xfId="4551" xr:uid="{00000000-0005-0000-0000-000089110000}"/>
    <cellStyle name="Normal 10 2 10 23" xfId="4552" xr:uid="{00000000-0005-0000-0000-00008A110000}"/>
    <cellStyle name="Normal 10 2 10 23 10" xfId="4553" xr:uid="{00000000-0005-0000-0000-00008B110000}"/>
    <cellStyle name="Normal 10 2 10 23 11" xfId="4554" xr:uid="{00000000-0005-0000-0000-00008C110000}"/>
    <cellStyle name="Normal 10 2 10 23 12" xfId="4555" xr:uid="{00000000-0005-0000-0000-00008D110000}"/>
    <cellStyle name="Normal 10 2 10 23 13" xfId="4556" xr:uid="{00000000-0005-0000-0000-00008E110000}"/>
    <cellStyle name="Normal 10 2 10 23 14" xfId="4557" xr:uid="{00000000-0005-0000-0000-00008F110000}"/>
    <cellStyle name="Normal 10 2 10 23 2" xfId="4558" xr:uid="{00000000-0005-0000-0000-000090110000}"/>
    <cellStyle name="Normal 10 2 10 23 2 10" xfId="4559" xr:uid="{00000000-0005-0000-0000-000091110000}"/>
    <cellStyle name="Normal 10 2 10 23 2 2" xfId="4560" xr:uid="{00000000-0005-0000-0000-000092110000}"/>
    <cellStyle name="Normal 10 2 10 23 2 3" xfId="4561" xr:uid="{00000000-0005-0000-0000-000093110000}"/>
    <cellStyle name="Normal 10 2 10 23 2 4" xfId="4562" xr:uid="{00000000-0005-0000-0000-000094110000}"/>
    <cellStyle name="Normal 10 2 10 23 2 5" xfId="4563" xr:uid="{00000000-0005-0000-0000-000095110000}"/>
    <cellStyle name="Normal 10 2 10 23 2 6" xfId="4564" xr:uid="{00000000-0005-0000-0000-000096110000}"/>
    <cellStyle name="Normal 10 2 10 23 2 7" xfId="4565" xr:uid="{00000000-0005-0000-0000-000097110000}"/>
    <cellStyle name="Normal 10 2 10 23 2 8" xfId="4566" xr:uid="{00000000-0005-0000-0000-000098110000}"/>
    <cellStyle name="Normal 10 2 10 23 2 9" xfId="4567" xr:uid="{00000000-0005-0000-0000-000099110000}"/>
    <cellStyle name="Normal 10 2 10 23 3" xfId="4568" xr:uid="{00000000-0005-0000-0000-00009A110000}"/>
    <cellStyle name="Normal 10 2 10 23 3 10" xfId="4569" xr:uid="{00000000-0005-0000-0000-00009B110000}"/>
    <cellStyle name="Normal 10 2 10 23 3 2" xfId="4570" xr:uid="{00000000-0005-0000-0000-00009C110000}"/>
    <cellStyle name="Normal 10 2 10 23 3 3" xfId="4571" xr:uid="{00000000-0005-0000-0000-00009D110000}"/>
    <cellStyle name="Normal 10 2 10 23 3 4" xfId="4572" xr:uid="{00000000-0005-0000-0000-00009E110000}"/>
    <cellStyle name="Normal 10 2 10 23 3 5" xfId="4573" xr:uid="{00000000-0005-0000-0000-00009F110000}"/>
    <cellStyle name="Normal 10 2 10 23 3 6" xfId="4574" xr:uid="{00000000-0005-0000-0000-0000A0110000}"/>
    <cellStyle name="Normal 10 2 10 23 3 7" xfId="4575" xr:uid="{00000000-0005-0000-0000-0000A1110000}"/>
    <cellStyle name="Normal 10 2 10 23 3 8" xfId="4576" xr:uid="{00000000-0005-0000-0000-0000A2110000}"/>
    <cellStyle name="Normal 10 2 10 23 3 9" xfId="4577" xr:uid="{00000000-0005-0000-0000-0000A3110000}"/>
    <cellStyle name="Normal 10 2 10 23 4" xfId="4578" xr:uid="{00000000-0005-0000-0000-0000A4110000}"/>
    <cellStyle name="Normal 10 2 10 23 4 10" xfId="4579" xr:uid="{00000000-0005-0000-0000-0000A5110000}"/>
    <cellStyle name="Normal 10 2 10 23 4 2" xfId="4580" xr:uid="{00000000-0005-0000-0000-0000A6110000}"/>
    <cellStyle name="Normal 10 2 10 23 4 3" xfId="4581" xr:uid="{00000000-0005-0000-0000-0000A7110000}"/>
    <cellStyle name="Normal 10 2 10 23 4 4" xfId="4582" xr:uid="{00000000-0005-0000-0000-0000A8110000}"/>
    <cellStyle name="Normal 10 2 10 23 4 5" xfId="4583" xr:uid="{00000000-0005-0000-0000-0000A9110000}"/>
    <cellStyle name="Normal 10 2 10 23 4 6" xfId="4584" xr:uid="{00000000-0005-0000-0000-0000AA110000}"/>
    <cellStyle name="Normal 10 2 10 23 4 7" xfId="4585" xr:uid="{00000000-0005-0000-0000-0000AB110000}"/>
    <cellStyle name="Normal 10 2 10 23 4 8" xfId="4586" xr:uid="{00000000-0005-0000-0000-0000AC110000}"/>
    <cellStyle name="Normal 10 2 10 23 4 9" xfId="4587" xr:uid="{00000000-0005-0000-0000-0000AD110000}"/>
    <cellStyle name="Normal 10 2 10 23 5" xfId="4588" xr:uid="{00000000-0005-0000-0000-0000AE110000}"/>
    <cellStyle name="Normal 10 2 10 23 5 10" xfId="4589" xr:uid="{00000000-0005-0000-0000-0000AF110000}"/>
    <cellStyle name="Normal 10 2 10 23 5 2" xfId="4590" xr:uid="{00000000-0005-0000-0000-0000B0110000}"/>
    <cellStyle name="Normal 10 2 10 23 5 3" xfId="4591" xr:uid="{00000000-0005-0000-0000-0000B1110000}"/>
    <cellStyle name="Normal 10 2 10 23 5 4" xfId="4592" xr:uid="{00000000-0005-0000-0000-0000B2110000}"/>
    <cellStyle name="Normal 10 2 10 23 5 5" xfId="4593" xr:uid="{00000000-0005-0000-0000-0000B3110000}"/>
    <cellStyle name="Normal 10 2 10 23 5 6" xfId="4594" xr:uid="{00000000-0005-0000-0000-0000B4110000}"/>
    <cellStyle name="Normal 10 2 10 23 5 7" xfId="4595" xr:uid="{00000000-0005-0000-0000-0000B5110000}"/>
    <cellStyle name="Normal 10 2 10 23 5 8" xfId="4596" xr:uid="{00000000-0005-0000-0000-0000B6110000}"/>
    <cellStyle name="Normal 10 2 10 23 5 9" xfId="4597" xr:uid="{00000000-0005-0000-0000-0000B7110000}"/>
    <cellStyle name="Normal 10 2 10 23 6" xfId="4598" xr:uid="{00000000-0005-0000-0000-0000B8110000}"/>
    <cellStyle name="Normal 10 2 10 23 7" xfId="4599" xr:uid="{00000000-0005-0000-0000-0000B9110000}"/>
    <cellStyle name="Normal 10 2 10 23 8" xfId="4600" xr:uid="{00000000-0005-0000-0000-0000BA110000}"/>
    <cellStyle name="Normal 10 2 10 23 9" xfId="4601" xr:uid="{00000000-0005-0000-0000-0000BB110000}"/>
    <cellStyle name="Normal 10 2 10 24" xfId="4602" xr:uid="{00000000-0005-0000-0000-0000BC110000}"/>
    <cellStyle name="Normal 10 2 10 24 10" xfId="4603" xr:uid="{00000000-0005-0000-0000-0000BD110000}"/>
    <cellStyle name="Normal 10 2 10 24 11" xfId="4604" xr:uid="{00000000-0005-0000-0000-0000BE110000}"/>
    <cellStyle name="Normal 10 2 10 24 12" xfId="4605" xr:uid="{00000000-0005-0000-0000-0000BF110000}"/>
    <cellStyle name="Normal 10 2 10 24 13" xfId="4606" xr:uid="{00000000-0005-0000-0000-0000C0110000}"/>
    <cellStyle name="Normal 10 2 10 24 14" xfId="4607" xr:uid="{00000000-0005-0000-0000-0000C1110000}"/>
    <cellStyle name="Normal 10 2 10 24 2" xfId="4608" xr:uid="{00000000-0005-0000-0000-0000C2110000}"/>
    <cellStyle name="Normal 10 2 10 24 2 10" xfId="4609" xr:uid="{00000000-0005-0000-0000-0000C3110000}"/>
    <cellStyle name="Normal 10 2 10 24 2 2" xfId="4610" xr:uid="{00000000-0005-0000-0000-0000C4110000}"/>
    <cellStyle name="Normal 10 2 10 24 2 3" xfId="4611" xr:uid="{00000000-0005-0000-0000-0000C5110000}"/>
    <cellStyle name="Normal 10 2 10 24 2 4" xfId="4612" xr:uid="{00000000-0005-0000-0000-0000C6110000}"/>
    <cellStyle name="Normal 10 2 10 24 2 5" xfId="4613" xr:uid="{00000000-0005-0000-0000-0000C7110000}"/>
    <cellStyle name="Normal 10 2 10 24 2 6" xfId="4614" xr:uid="{00000000-0005-0000-0000-0000C8110000}"/>
    <cellStyle name="Normal 10 2 10 24 2 7" xfId="4615" xr:uid="{00000000-0005-0000-0000-0000C9110000}"/>
    <cellStyle name="Normal 10 2 10 24 2 8" xfId="4616" xr:uid="{00000000-0005-0000-0000-0000CA110000}"/>
    <cellStyle name="Normal 10 2 10 24 2 9" xfId="4617" xr:uid="{00000000-0005-0000-0000-0000CB110000}"/>
    <cellStyle name="Normal 10 2 10 24 3" xfId="4618" xr:uid="{00000000-0005-0000-0000-0000CC110000}"/>
    <cellStyle name="Normal 10 2 10 24 3 10" xfId="4619" xr:uid="{00000000-0005-0000-0000-0000CD110000}"/>
    <cellStyle name="Normal 10 2 10 24 3 2" xfId="4620" xr:uid="{00000000-0005-0000-0000-0000CE110000}"/>
    <cellStyle name="Normal 10 2 10 24 3 3" xfId="4621" xr:uid="{00000000-0005-0000-0000-0000CF110000}"/>
    <cellStyle name="Normal 10 2 10 24 3 4" xfId="4622" xr:uid="{00000000-0005-0000-0000-0000D0110000}"/>
    <cellStyle name="Normal 10 2 10 24 3 5" xfId="4623" xr:uid="{00000000-0005-0000-0000-0000D1110000}"/>
    <cellStyle name="Normal 10 2 10 24 3 6" xfId="4624" xr:uid="{00000000-0005-0000-0000-0000D2110000}"/>
    <cellStyle name="Normal 10 2 10 24 3 7" xfId="4625" xr:uid="{00000000-0005-0000-0000-0000D3110000}"/>
    <cellStyle name="Normal 10 2 10 24 3 8" xfId="4626" xr:uid="{00000000-0005-0000-0000-0000D4110000}"/>
    <cellStyle name="Normal 10 2 10 24 3 9" xfId="4627" xr:uid="{00000000-0005-0000-0000-0000D5110000}"/>
    <cellStyle name="Normal 10 2 10 24 4" xfId="4628" xr:uid="{00000000-0005-0000-0000-0000D6110000}"/>
    <cellStyle name="Normal 10 2 10 24 4 10" xfId="4629" xr:uid="{00000000-0005-0000-0000-0000D7110000}"/>
    <cellStyle name="Normal 10 2 10 24 4 2" xfId="4630" xr:uid="{00000000-0005-0000-0000-0000D8110000}"/>
    <cellStyle name="Normal 10 2 10 24 4 3" xfId="4631" xr:uid="{00000000-0005-0000-0000-0000D9110000}"/>
    <cellStyle name="Normal 10 2 10 24 4 4" xfId="4632" xr:uid="{00000000-0005-0000-0000-0000DA110000}"/>
    <cellStyle name="Normal 10 2 10 24 4 5" xfId="4633" xr:uid="{00000000-0005-0000-0000-0000DB110000}"/>
    <cellStyle name="Normal 10 2 10 24 4 6" xfId="4634" xr:uid="{00000000-0005-0000-0000-0000DC110000}"/>
    <cellStyle name="Normal 10 2 10 24 4 7" xfId="4635" xr:uid="{00000000-0005-0000-0000-0000DD110000}"/>
    <cellStyle name="Normal 10 2 10 24 4 8" xfId="4636" xr:uid="{00000000-0005-0000-0000-0000DE110000}"/>
    <cellStyle name="Normal 10 2 10 24 4 9" xfId="4637" xr:uid="{00000000-0005-0000-0000-0000DF110000}"/>
    <cellStyle name="Normal 10 2 10 24 5" xfId="4638" xr:uid="{00000000-0005-0000-0000-0000E0110000}"/>
    <cellStyle name="Normal 10 2 10 24 5 10" xfId="4639" xr:uid="{00000000-0005-0000-0000-0000E1110000}"/>
    <cellStyle name="Normal 10 2 10 24 5 2" xfId="4640" xr:uid="{00000000-0005-0000-0000-0000E2110000}"/>
    <cellStyle name="Normal 10 2 10 24 5 3" xfId="4641" xr:uid="{00000000-0005-0000-0000-0000E3110000}"/>
    <cellStyle name="Normal 10 2 10 24 5 4" xfId="4642" xr:uid="{00000000-0005-0000-0000-0000E4110000}"/>
    <cellStyle name="Normal 10 2 10 24 5 5" xfId="4643" xr:uid="{00000000-0005-0000-0000-0000E5110000}"/>
    <cellStyle name="Normal 10 2 10 24 5 6" xfId="4644" xr:uid="{00000000-0005-0000-0000-0000E6110000}"/>
    <cellStyle name="Normal 10 2 10 24 5 7" xfId="4645" xr:uid="{00000000-0005-0000-0000-0000E7110000}"/>
    <cellStyle name="Normal 10 2 10 24 5 8" xfId="4646" xr:uid="{00000000-0005-0000-0000-0000E8110000}"/>
    <cellStyle name="Normal 10 2 10 24 5 9" xfId="4647" xr:uid="{00000000-0005-0000-0000-0000E9110000}"/>
    <cellStyle name="Normal 10 2 10 24 6" xfId="4648" xr:uid="{00000000-0005-0000-0000-0000EA110000}"/>
    <cellStyle name="Normal 10 2 10 24 7" xfId="4649" xr:uid="{00000000-0005-0000-0000-0000EB110000}"/>
    <cellStyle name="Normal 10 2 10 24 8" xfId="4650" xr:uid="{00000000-0005-0000-0000-0000EC110000}"/>
    <cellStyle name="Normal 10 2 10 24 9" xfId="4651" xr:uid="{00000000-0005-0000-0000-0000ED110000}"/>
    <cellStyle name="Normal 10 2 10 25" xfId="4652" xr:uid="{00000000-0005-0000-0000-0000EE110000}"/>
    <cellStyle name="Normal 10 2 10 25 10" xfId="4653" xr:uid="{00000000-0005-0000-0000-0000EF110000}"/>
    <cellStyle name="Normal 10 2 10 25 11" xfId="4654" xr:uid="{00000000-0005-0000-0000-0000F0110000}"/>
    <cellStyle name="Normal 10 2 10 25 12" xfId="4655" xr:uid="{00000000-0005-0000-0000-0000F1110000}"/>
    <cellStyle name="Normal 10 2 10 25 13" xfId="4656" xr:uid="{00000000-0005-0000-0000-0000F2110000}"/>
    <cellStyle name="Normal 10 2 10 25 14" xfId="4657" xr:uid="{00000000-0005-0000-0000-0000F3110000}"/>
    <cellStyle name="Normal 10 2 10 25 2" xfId="4658" xr:uid="{00000000-0005-0000-0000-0000F4110000}"/>
    <cellStyle name="Normal 10 2 10 25 2 10" xfId="4659" xr:uid="{00000000-0005-0000-0000-0000F5110000}"/>
    <cellStyle name="Normal 10 2 10 25 2 2" xfId="4660" xr:uid="{00000000-0005-0000-0000-0000F6110000}"/>
    <cellStyle name="Normal 10 2 10 25 2 3" xfId="4661" xr:uid="{00000000-0005-0000-0000-0000F7110000}"/>
    <cellStyle name="Normal 10 2 10 25 2 4" xfId="4662" xr:uid="{00000000-0005-0000-0000-0000F8110000}"/>
    <cellStyle name="Normal 10 2 10 25 2 5" xfId="4663" xr:uid="{00000000-0005-0000-0000-0000F9110000}"/>
    <cellStyle name="Normal 10 2 10 25 2 6" xfId="4664" xr:uid="{00000000-0005-0000-0000-0000FA110000}"/>
    <cellStyle name="Normal 10 2 10 25 2 7" xfId="4665" xr:uid="{00000000-0005-0000-0000-0000FB110000}"/>
    <cellStyle name="Normal 10 2 10 25 2 8" xfId="4666" xr:uid="{00000000-0005-0000-0000-0000FC110000}"/>
    <cellStyle name="Normal 10 2 10 25 2 9" xfId="4667" xr:uid="{00000000-0005-0000-0000-0000FD110000}"/>
    <cellStyle name="Normal 10 2 10 25 3" xfId="4668" xr:uid="{00000000-0005-0000-0000-0000FE110000}"/>
    <cellStyle name="Normal 10 2 10 25 3 10" xfId="4669" xr:uid="{00000000-0005-0000-0000-0000FF110000}"/>
    <cellStyle name="Normal 10 2 10 25 3 2" xfId="4670" xr:uid="{00000000-0005-0000-0000-000000120000}"/>
    <cellStyle name="Normal 10 2 10 25 3 3" xfId="4671" xr:uid="{00000000-0005-0000-0000-000001120000}"/>
    <cellStyle name="Normal 10 2 10 25 3 4" xfId="4672" xr:uid="{00000000-0005-0000-0000-000002120000}"/>
    <cellStyle name="Normal 10 2 10 25 3 5" xfId="4673" xr:uid="{00000000-0005-0000-0000-000003120000}"/>
    <cellStyle name="Normal 10 2 10 25 3 6" xfId="4674" xr:uid="{00000000-0005-0000-0000-000004120000}"/>
    <cellStyle name="Normal 10 2 10 25 3 7" xfId="4675" xr:uid="{00000000-0005-0000-0000-000005120000}"/>
    <cellStyle name="Normal 10 2 10 25 3 8" xfId="4676" xr:uid="{00000000-0005-0000-0000-000006120000}"/>
    <cellStyle name="Normal 10 2 10 25 3 9" xfId="4677" xr:uid="{00000000-0005-0000-0000-000007120000}"/>
    <cellStyle name="Normal 10 2 10 25 4" xfId="4678" xr:uid="{00000000-0005-0000-0000-000008120000}"/>
    <cellStyle name="Normal 10 2 10 25 4 10" xfId="4679" xr:uid="{00000000-0005-0000-0000-000009120000}"/>
    <cellStyle name="Normal 10 2 10 25 4 2" xfId="4680" xr:uid="{00000000-0005-0000-0000-00000A120000}"/>
    <cellStyle name="Normal 10 2 10 25 4 3" xfId="4681" xr:uid="{00000000-0005-0000-0000-00000B120000}"/>
    <cellStyle name="Normal 10 2 10 25 4 4" xfId="4682" xr:uid="{00000000-0005-0000-0000-00000C120000}"/>
    <cellStyle name="Normal 10 2 10 25 4 5" xfId="4683" xr:uid="{00000000-0005-0000-0000-00000D120000}"/>
    <cellStyle name="Normal 10 2 10 25 4 6" xfId="4684" xr:uid="{00000000-0005-0000-0000-00000E120000}"/>
    <cellStyle name="Normal 10 2 10 25 4 7" xfId="4685" xr:uid="{00000000-0005-0000-0000-00000F120000}"/>
    <cellStyle name="Normal 10 2 10 25 4 8" xfId="4686" xr:uid="{00000000-0005-0000-0000-000010120000}"/>
    <cellStyle name="Normal 10 2 10 25 4 9" xfId="4687" xr:uid="{00000000-0005-0000-0000-000011120000}"/>
    <cellStyle name="Normal 10 2 10 25 5" xfId="4688" xr:uid="{00000000-0005-0000-0000-000012120000}"/>
    <cellStyle name="Normal 10 2 10 25 5 10" xfId="4689" xr:uid="{00000000-0005-0000-0000-000013120000}"/>
    <cellStyle name="Normal 10 2 10 25 5 2" xfId="4690" xr:uid="{00000000-0005-0000-0000-000014120000}"/>
    <cellStyle name="Normal 10 2 10 25 5 3" xfId="4691" xr:uid="{00000000-0005-0000-0000-000015120000}"/>
    <cellStyle name="Normal 10 2 10 25 5 4" xfId="4692" xr:uid="{00000000-0005-0000-0000-000016120000}"/>
    <cellStyle name="Normal 10 2 10 25 5 5" xfId="4693" xr:uid="{00000000-0005-0000-0000-000017120000}"/>
    <cellStyle name="Normal 10 2 10 25 5 6" xfId="4694" xr:uid="{00000000-0005-0000-0000-000018120000}"/>
    <cellStyle name="Normal 10 2 10 25 5 7" xfId="4695" xr:uid="{00000000-0005-0000-0000-000019120000}"/>
    <cellStyle name="Normal 10 2 10 25 5 8" xfId="4696" xr:uid="{00000000-0005-0000-0000-00001A120000}"/>
    <cellStyle name="Normal 10 2 10 25 5 9" xfId="4697" xr:uid="{00000000-0005-0000-0000-00001B120000}"/>
    <cellStyle name="Normal 10 2 10 25 6" xfId="4698" xr:uid="{00000000-0005-0000-0000-00001C120000}"/>
    <cellStyle name="Normal 10 2 10 25 7" xfId="4699" xr:uid="{00000000-0005-0000-0000-00001D120000}"/>
    <cellStyle name="Normal 10 2 10 25 8" xfId="4700" xr:uid="{00000000-0005-0000-0000-00001E120000}"/>
    <cellStyle name="Normal 10 2 10 25 9" xfId="4701" xr:uid="{00000000-0005-0000-0000-00001F120000}"/>
    <cellStyle name="Normal 10 2 10 26" xfId="4702" xr:uid="{00000000-0005-0000-0000-000020120000}"/>
    <cellStyle name="Normal 10 2 10 26 10" xfId="4703" xr:uid="{00000000-0005-0000-0000-000021120000}"/>
    <cellStyle name="Normal 10 2 10 26 11" xfId="4704" xr:uid="{00000000-0005-0000-0000-000022120000}"/>
    <cellStyle name="Normal 10 2 10 26 12" xfId="4705" xr:uid="{00000000-0005-0000-0000-000023120000}"/>
    <cellStyle name="Normal 10 2 10 26 13" xfId="4706" xr:uid="{00000000-0005-0000-0000-000024120000}"/>
    <cellStyle name="Normal 10 2 10 26 14" xfId="4707" xr:uid="{00000000-0005-0000-0000-000025120000}"/>
    <cellStyle name="Normal 10 2 10 26 2" xfId="4708" xr:uid="{00000000-0005-0000-0000-000026120000}"/>
    <cellStyle name="Normal 10 2 10 26 2 10" xfId="4709" xr:uid="{00000000-0005-0000-0000-000027120000}"/>
    <cellStyle name="Normal 10 2 10 26 2 2" xfId="4710" xr:uid="{00000000-0005-0000-0000-000028120000}"/>
    <cellStyle name="Normal 10 2 10 26 2 3" xfId="4711" xr:uid="{00000000-0005-0000-0000-000029120000}"/>
    <cellStyle name="Normal 10 2 10 26 2 4" xfId="4712" xr:uid="{00000000-0005-0000-0000-00002A120000}"/>
    <cellStyle name="Normal 10 2 10 26 2 5" xfId="4713" xr:uid="{00000000-0005-0000-0000-00002B120000}"/>
    <cellStyle name="Normal 10 2 10 26 2 6" xfId="4714" xr:uid="{00000000-0005-0000-0000-00002C120000}"/>
    <cellStyle name="Normal 10 2 10 26 2 7" xfId="4715" xr:uid="{00000000-0005-0000-0000-00002D120000}"/>
    <cellStyle name="Normal 10 2 10 26 2 8" xfId="4716" xr:uid="{00000000-0005-0000-0000-00002E120000}"/>
    <cellStyle name="Normal 10 2 10 26 2 9" xfId="4717" xr:uid="{00000000-0005-0000-0000-00002F120000}"/>
    <cellStyle name="Normal 10 2 10 26 3" xfId="4718" xr:uid="{00000000-0005-0000-0000-000030120000}"/>
    <cellStyle name="Normal 10 2 10 26 3 10" xfId="4719" xr:uid="{00000000-0005-0000-0000-000031120000}"/>
    <cellStyle name="Normal 10 2 10 26 3 2" xfId="4720" xr:uid="{00000000-0005-0000-0000-000032120000}"/>
    <cellStyle name="Normal 10 2 10 26 3 3" xfId="4721" xr:uid="{00000000-0005-0000-0000-000033120000}"/>
    <cellStyle name="Normal 10 2 10 26 3 4" xfId="4722" xr:uid="{00000000-0005-0000-0000-000034120000}"/>
    <cellStyle name="Normal 10 2 10 26 3 5" xfId="4723" xr:uid="{00000000-0005-0000-0000-000035120000}"/>
    <cellStyle name="Normal 10 2 10 26 3 6" xfId="4724" xr:uid="{00000000-0005-0000-0000-000036120000}"/>
    <cellStyle name="Normal 10 2 10 26 3 7" xfId="4725" xr:uid="{00000000-0005-0000-0000-000037120000}"/>
    <cellStyle name="Normal 10 2 10 26 3 8" xfId="4726" xr:uid="{00000000-0005-0000-0000-000038120000}"/>
    <cellStyle name="Normal 10 2 10 26 3 9" xfId="4727" xr:uid="{00000000-0005-0000-0000-000039120000}"/>
    <cellStyle name="Normal 10 2 10 26 4" xfId="4728" xr:uid="{00000000-0005-0000-0000-00003A120000}"/>
    <cellStyle name="Normal 10 2 10 26 4 10" xfId="4729" xr:uid="{00000000-0005-0000-0000-00003B120000}"/>
    <cellStyle name="Normal 10 2 10 26 4 2" xfId="4730" xr:uid="{00000000-0005-0000-0000-00003C120000}"/>
    <cellStyle name="Normal 10 2 10 26 4 3" xfId="4731" xr:uid="{00000000-0005-0000-0000-00003D120000}"/>
    <cellStyle name="Normal 10 2 10 26 4 4" xfId="4732" xr:uid="{00000000-0005-0000-0000-00003E120000}"/>
    <cellStyle name="Normal 10 2 10 26 4 5" xfId="4733" xr:uid="{00000000-0005-0000-0000-00003F120000}"/>
    <cellStyle name="Normal 10 2 10 26 4 6" xfId="4734" xr:uid="{00000000-0005-0000-0000-000040120000}"/>
    <cellStyle name="Normal 10 2 10 26 4 7" xfId="4735" xr:uid="{00000000-0005-0000-0000-000041120000}"/>
    <cellStyle name="Normal 10 2 10 26 4 8" xfId="4736" xr:uid="{00000000-0005-0000-0000-000042120000}"/>
    <cellStyle name="Normal 10 2 10 26 4 9" xfId="4737" xr:uid="{00000000-0005-0000-0000-000043120000}"/>
    <cellStyle name="Normal 10 2 10 26 5" xfId="4738" xr:uid="{00000000-0005-0000-0000-000044120000}"/>
    <cellStyle name="Normal 10 2 10 26 5 10" xfId="4739" xr:uid="{00000000-0005-0000-0000-000045120000}"/>
    <cellStyle name="Normal 10 2 10 26 5 2" xfId="4740" xr:uid="{00000000-0005-0000-0000-000046120000}"/>
    <cellStyle name="Normal 10 2 10 26 5 3" xfId="4741" xr:uid="{00000000-0005-0000-0000-000047120000}"/>
    <cellStyle name="Normal 10 2 10 26 5 4" xfId="4742" xr:uid="{00000000-0005-0000-0000-000048120000}"/>
    <cellStyle name="Normal 10 2 10 26 5 5" xfId="4743" xr:uid="{00000000-0005-0000-0000-000049120000}"/>
    <cellStyle name="Normal 10 2 10 26 5 6" xfId="4744" xr:uid="{00000000-0005-0000-0000-00004A120000}"/>
    <cellStyle name="Normal 10 2 10 26 5 7" xfId="4745" xr:uid="{00000000-0005-0000-0000-00004B120000}"/>
    <cellStyle name="Normal 10 2 10 26 5 8" xfId="4746" xr:uid="{00000000-0005-0000-0000-00004C120000}"/>
    <cellStyle name="Normal 10 2 10 26 5 9" xfId="4747" xr:uid="{00000000-0005-0000-0000-00004D120000}"/>
    <cellStyle name="Normal 10 2 10 26 6" xfId="4748" xr:uid="{00000000-0005-0000-0000-00004E120000}"/>
    <cellStyle name="Normal 10 2 10 26 7" xfId="4749" xr:uid="{00000000-0005-0000-0000-00004F120000}"/>
    <cellStyle name="Normal 10 2 10 26 8" xfId="4750" xr:uid="{00000000-0005-0000-0000-000050120000}"/>
    <cellStyle name="Normal 10 2 10 26 9" xfId="4751" xr:uid="{00000000-0005-0000-0000-000051120000}"/>
    <cellStyle name="Normal 10 2 10 27" xfId="4752" xr:uid="{00000000-0005-0000-0000-000052120000}"/>
    <cellStyle name="Normal 10 2 10 27 10" xfId="4753" xr:uid="{00000000-0005-0000-0000-000053120000}"/>
    <cellStyle name="Normal 10 2 10 27 11" xfId="4754" xr:uid="{00000000-0005-0000-0000-000054120000}"/>
    <cellStyle name="Normal 10 2 10 27 12" xfId="4755" xr:uid="{00000000-0005-0000-0000-000055120000}"/>
    <cellStyle name="Normal 10 2 10 27 13" xfId="4756" xr:uid="{00000000-0005-0000-0000-000056120000}"/>
    <cellStyle name="Normal 10 2 10 27 14" xfId="4757" xr:uid="{00000000-0005-0000-0000-000057120000}"/>
    <cellStyle name="Normal 10 2 10 27 2" xfId="4758" xr:uid="{00000000-0005-0000-0000-000058120000}"/>
    <cellStyle name="Normal 10 2 10 27 2 10" xfId="4759" xr:uid="{00000000-0005-0000-0000-000059120000}"/>
    <cellStyle name="Normal 10 2 10 27 2 2" xfId="4760" xr:uid="{00000000-0005-0000-0000-00005A120000}"/>
    <cellStyle name="Normal 10 2 10 27 2 3" xfId="4761" xr:uid="{00000000-0005-0000-0000-00005B120000}"/>
    <cellStyle name="Normal 10 2 10 27 2 4" xfId="4762" xr:uid="{00000000-0005-0000-0000-00005C120000}"/>
    <cellStyle name="Normal 10 2 10 27 2 5" xfId="4763" xr:uid="{00000000-0005-0000-0000-00005D120000}"/>
    <cellStyle name="Normal 10 2 10 27 2 6" xfId="4764" xr:uid="{00000000-0005-0000-0000-00005E120000}"/>
    <cellStyle name="Normal 10 2 10 27 2 7" xfId="4765" xr:uid="{00000000-0005-0000-0000-00005F120000}"/>
    <cellStyle name="Normal 10 2 10 27 2 8" xfId="4766" xr:uid="{00000000-0005-0000-0000-000060120000}"/>
    <cellStyle name="Normal 10 2 10 27 2 9" xfId="4767" xr:uid="{00000000-0005-0000-0000-000061120000}"/>
    <cellStyle name="Normal 10 2 10 27 3" xfId="4768" xr:uid="{00000000-0005-0000-0000-000062120000}"/>
    <cellStyle name="Normal 10 2 10 27 3 10" xfId="4769" xr:uid="{00000000-0005-0000-0000-000063120000}"/>
    <cellStyle name="Normal 10 2 10 27 3 2" xfId="4770" xr:uid="{00000000-0005-0000-0000-000064120000}"/>
    <cellStyle name="Normal 10 2 10 27 3 3" xfId="4771" xr:uid="{00000000-0005-0000-0000-000065120000}"/>
    <cellStyle name="Normal 10 2 10 27 3 4" xfId="4772" xr:uid="{00000000-0005-0000-0000-000066120000}"/>
    <cellStyle name="Normal 10 2 10 27 3 5" xfId="4773" xr:uid="{00000000-0005-0000-0000-000067120000}"/>
    <cellStyle name="Normal 10 2 10 27 3 6" xfId="4774" xr:uid="{00000000-0005-0000-0000-000068120000}"/>
    <cellStyle name="Normal 10 2 10 27 3 7" xfId="4775" xr:uid="{00000000-0005-0000-0000-000069120000}"/>
    <cellStyle name="Normal 10 2 10 27 3 8" xfId="4776" xr:uid="{00000000-0005-0000-0000-00006A120000}"/>
    <cellStyle name="Normal 10 2 10 27 3 9" xfId="4777" xr:uid="{00000000-0005-0000-0000-00006B120000}"/>
    <cellStyle name="Normal 10 2 10 27 4" xfId="4778" xr:uid="{00000000-0005-0000-0000-00006C120000}"/>
    <cellStyle name="Normal 10 2 10 27 4 10" xfId="4779" xr:uid="{00000000-0005-0000-0000-00006D120000}"/>
    <cellStyle name="Normal 10 2 10 27 4 2" xfId="4780" xr:uid="{00000000-0005-0000-0000-00006E120000}"/>
    <cellStyle name="Normal 10 2 10 27 4 3" xfId="4781" xr:uid="{00000000-0005-0000-0000-00006F120000}"/>
    <cellStyle name="Normal 10 2 10 27 4 4" xfId="4782" xr:uid="{00000000-0005-0000-0000-000070120000}"/>
    <cellStyle name="Normal 10 2 10 27 4 5" xfId="4783" xr:uid="{00000000-0005-0000-0000-000071120000}"/>
    <cellStyle name="Normal 10 2 10 27 4 6" xfId="4784" xr:uid="{00000000-0005-0000-0000-000072120000}"/>
    <cellStyle name="Normal 10 2 10 27 4 7" xfId="4785" xr:uid="{00000000-0005-0000-0000-000073120000}"/>
    <cellStyle name="Normal 10 2 10 27 4 8" xfId="4786" xr:uid="{00000000-0005-0000-0000-000074120000}"/>
    <cellStyle name="Normal 10 2 10 27 4 9" xfId="4787" xr:uid="{00000000-0005-0000-0000-000075120000}"/>
    <cellStyle name="Normal 10 2 10 27 5" xfId="4788" xr:uid="{00000000-0005-0000-0000-000076120000}"/>
    <cellStyle name="Normal 10 2 10 27 5 10" xfId="4789" xr:uid="{00000000-0005-0000-0000-000077120000}"/>
    <cellStyle name="Normal 10 2 10 27 5 2" xfId="4790" xr:uid="{00000000-0005-0000-0000-000078120000}"/>
    <cellStyle name="Normal 10 2 10 27 5 3" xfId="4791" xr:uid="{00000000-0005-0000-0000-000079120000}"/>
    <cellStyle name="Normal 10 2 10 27 5 4" xfId="4792" xr:uid="{00000000-0005-0000-0000-00007A120000}"/>
    <cellStyle name="Normal 10 2 10 27 5 5" xfId="4793" xr:uid="{00000000-0005-0000-0000-00007B120000}"/>
    <cellStyle name="Normal 10 2 10 27 5 6" xfId="4794" xr:uid="{00000000-0005-0000-0000-00007C120000}"/>
    <cellStyle name="Normal 10 2 10 27 5 7" xfId="4795" xr:uid="{00000000-0005-0000-0000-00007D120000}"/>
    <cellStyle name="Normal 10 2 10 27 5 8" xfId="4796" xr:uid="{00000000-0005-0000-0000-00007E120000}"/>
    <cellStyle name="Normal 10 2 10 27 5 9" xfId="4797" xr:uid="{00000000-0005-0000-0000-00007F120000}"/>
    <cellStyle name="Normal 10 2 10 27 6" xfId="4798" xr:uid="{00000000-0005-0000-0000-000080120000}"/>
    <cellStyle name="Normal 10 2 10 27 7" xfId="4799" xr:uid="{00000000-0005-0000-0000-000081120000}"/>
    <cellStyle name="Normal 10 2 10 27 8" xfId="4800" xr:uid="{00000000-0005-0000-0000-000082120000}"/>
    <cellStyle name="Normal 10 2 10 27 9" xfId="4801" xr:uid="{00000000-0005-0000-0000-000083120000}"/>
    <cellStyle name="Normal 10 2 10 28" xfId="4802" xr:uid="{00000000-0005-0000-0000-000084120000}"/>
    <cellStyle name="Normal 10 2 10 28 10" xfId="4803" xr:uid="{00000000-0005-0000-0000-000085120000}"/>
    <cellStyle name="Normal 10 2 10 28 11" xfId="4804" xr:uid="{00000000-0005-0000-0000-000086120000}"/>
    <cellStyle name="Normal 10 2 10 28 12" xfId="4805" xr:uid="{00000000-0005-0000-0000-000087120000}"/>
    <cellStyle name="Normal 10 2 10 28 13" xfId="4806" xr:uid="{00000000-0005-0000-0000-000088120000}"/>
    <cellStyle name="Normal 10 2 10 28 14" xfId="4807" xr:uid="{00000000-0005-0000-0000-000089120000}"/>
    <cellStyle name="Normal 10 2 10 28 2" xfId="4808" xr:uid="{00000000-0005-0000-0000-00008A120000}"/>
    <cellStyle name="Normal 10 2 10 28 2 10" xfId="4809" xr:uid="{00000000-0005-0000-0000-00008B120000}"/>
    <cellStyle name="Normal 10 2 10 28 2 2" xfId="4810" xr:uid="{00000000-0005-0000-0000-00008C120000}"/>
    <cellStyle name="Normal 10 2 10 28 2 3" xfId="4811" xr:uid="{00000000-0005-0000-0000-00008D120000}"/>
    <cellStyle name="Normal 10 2 10 28 2 4" xfId="4812" xr:uid="{00000000-0005-0000-0000-00008E120000}"/>
    <cellStyle name="Normal 10 2 10 28 2 5" xfId="4813" xr:uid="{00000000-0005-0000-0000-00008F120000}"/>
    <cellStyle name="Normal 10 2 10 28 2 6" xfId="4814" xr:uid="{00000000-0005-0000-0000-000090120000}"/>
    <cellStyle name="Normal 10 2 10 28 2 7" xfId="4815" xr:uid="{00000000-0005-0000-0000-000091120000}"/>
    <cellStyle name="Normal 10 2 10 28 2 8" xfId="4816" xr:uid="{00000000-0005-0000-0000-000092120000}"/>
    <cellStyle name="Normal 10 2 10 28 2 9" xfId="4817" xr:uid="{00000000-0005-0000-0000-000093120000}"/>
    <cellStyle name="Normal 10 2 10 28 3" xfId="4818" xr:uid="{00000000-0005-0000-0000-000094120000}"/>
    <cellStyle name="Normal 10 2 10 28 3 10" xfId="4819" xr:uid="{00000000-0005-0000-0000-000095120000}"/>
    <cellStyle name="Normal 10 2 10 28 3 2" xfId="4820" xr:uid="{00000000-0005-0000-0000-000096120000}"/>
    <cellStyle name="Normal 10 2 10 28 3 3" xfId="4821" xr:uid="{00000000-0005-0000-0000-000097120000}"/>
    <cellStyle name="Normal 10 2 10 28 3 4" xfId="4822" xr:uid="{00000000-0005-0000-0000-000098120000}"/>
    <cellStyle name="Normal 10 2 10 28 3 5" xfId="4823" xr:uid="{00000000-0005-0000-0000-000099120000}"/>
    <cellStyle name="Normal 10 2 10 28 3 6" xfId="4824" xr:uid="{00000000-0005-0000-0000-00009A120000}"/>
    <cellStyle name="Normal 10 2 10 28 3 7" xfId="4825" xr:uid="{00000000-0005-0000-0000-00009B120000}"/>
    <cellStyle name="Normal 10 2 10 28 3 8" xfId="4826" xr:uid="{00000000-0005-0000-0000-00009C120000}"/>
    <cellStyle name="Normal 10 2 10 28 3 9" xfId="4827" xr:uid="{00000000-0005-0000-0000-00009D120000}"/>
    <cellStyle name="Normal 10 2 10 28 4" xfId="4828" xr:uid="{00000000-0005-0000-0000-00009E120000}"/>
    <cellStyle name="Normal 10 2 10 28 4 10" xfId="4829" xr:uid="{00000000-0005-0000-0000-00009F120000}"/>
    <cellStyle name="Normal 10 2 10 28 4 2" xfId="4830" xr:uid="{00000000-0005-0000-0000-0000A0120000}"/>
    <cellStyle name="Normal 10 2 10 28 4 3" xfId="4831" xr:uid="{00000000-0005-0000-0000-0000A1120000}"/>
    <cellStyle name="Normal 10 2 10 28 4 4" xfId="4832" xr:uid="{00000000-0005-0000-0000-0000A2120000}"/>
    <cellStyle name="Normal 10 2 10 28 4 5" xfId="4833" xr:uid="{00000000-0005-0000-0000-0000A3120000}"/>
    <cellStyle name="Normal 10 2 10 28 4 6" xfId="4834" xr:uid="{00000000-0005-0000-0000-0000A4120000}"/>
    <cellStyle name="Normal 10 2 10 28 4 7" xfId="4835" xr:uid="{00000000-0005-0000-0000-0000A5120000}"/>
    <cellStyle name="Normal 10 2 10 28 4 8" xfId="4836" xr:uid="{00000000-0005-0000-0000-0000A6120000}"/>
    <cellStyle name="Normal 10 2 10 28 4 9" xfId="4837" xr:uid="{00000000-0005-0000-0000-0000A7120000}"/>
    <cellStyle name="Normal 10 2 10 28 5" xfId="4838" xr:uid="{00000000-0005-0000-0000-0000A8120000}"/>
    <cellStyle name="Normal 10 2 10 28 5 10" xfId="4839" xr:uid="{00000000-0005-0000-0000-0000A9120000}"/>
    <cellStyle name="Normal 10 2 10 28 5 2" xfId="4840" xr:uid="{00000000-0005-0000-0000-0000AA120000}"/>
    <cellStyle name="Normal 10 2 10 28 5 3" xfId="4841" xr:uid="{00000000-0005-0000-0000-0000AB120000}"/>
    <cellStyle name="Normal 10 2 10 28 5 4" xfId="4842" xr:uid="{00000000-0005-0000-0000-0000AC120000}"/>
    <cellStyle name="Normal 10 2 10 28 5 5" xfId="4843" xr:uid="{00000000-0005-0000-0000-0000AD120000}"/>
    <cellStyle name="Normal 10 2 10 28 5 6" xfId="4844" xr:uid="{00000000-0005-0000-0000-0000AE120000}"/>
    <cellStyle name="Normal 10 2 10 28 5 7" xfId="4845" xr:uid="{00000000-0005-0000-0000-0000AF120000}"/>
    <cellStyle name="Normal 10 2 10 28 5 8" xfId="4846" xr:uid="{00000000-0005-0000-0000-0000B0120000}"/>
    <cellStyle name="Normal 10 2 10 28 5 9" xfId="4847" xr:uid="{00000000-0005-0000-0000-0000B1120000}"/>
    <cellStyle name="Normal 10 2 10 28 6" xfId="4848" xr:uid="{00000000-0005-0000-0000-0000B2120000}"/>
    <cellStyle name="Normal 10 2 10 28 7" xfId="4849" xr:uid="{00000000-0005-0000-0000-0000B3120000}"/>
    <cellStyle name="Normal 10 2 10 28 8" xfId="4850" xr:uid="{00000000-0005-0000-0000-0000B4120000}"/>
    <cellStyle name="Normal 10 2 10 28 9" xfId="4851" xr:uid="{00000000-0005-0000-0000-0000B5120000}"/>
    <cellStyle name="Normal 10 2 10 29" xfId="4852" xr:uid="{00000000-0005-0000-0000-0000B6120000}"/>
    <cellStyle name="Normal 10 2 10 29 10" xfId="4853" xr:uid="{00000000-0005-0000-0000-0000B7120000}"/>
    <cellStyle name="Normal 10 2 10 29 11" xfId="4854" xr:uid="{00000000-0005-0000-0000-0000B8120000}"/>
    <cellStyle name="Normal 10 2 10 29 12" xfId="4855" xr:uid="{00000000-0005-0000-0000-0000B9120000}"/>
    <cellStyle name="Normal 10 2 10 29 13" xfId="4856" xr:uid="{00000000-0005-0000-0000-0000BA120000}"/>
    <cellStyle name="Normal 10 2 10 29 14" xfId="4857" xr:uid="{00000000-0005-0000-0000-0000BB120000}"/>
    <cellStyle name="Normal 10 2 10 29 2" xfId="4858" xr:uid="{00000000-0005-0000-0000-0000BC120000}"/>
    <cellStyle name="Normal 10 2 10 29 2 10" xfId="4859" xr:uid="{00000000-0005-0000-0000-0000BD120000}"/>
    <cellStyle name="Normal 10 2 10 29 2 2" xfId="4860" xr:uid="{00000000-0005-0000-0000-0000BE120000}"/>
    <cellStyle name="Normal 10 2 10 29 2 3" xfId="4861" xr:uid="{00000000-0005-0000-0000-0000BF120000}"/>
    <cellStyle name="Normal 10 2 10 29 2 4" xfId="4862" xr:uid="{00000000-0005-0000-0000-0000C0120000}"/>
    <cellStyle name="Normal 10 2 10 29 2 5" xfId="4863" xr:uid="{00000000-0005-0000-0000-0000C1120000}"/>
    <cellStyle name="Normal 10 2 10 29 2 6" xfId="4864" xr:uid="{00000000-0005-0000-0000-0000C2120000}"/>
    <cellStyle name="Normal 10 2 10 29 2 7" xfId="4865" xr:uid="{00000000-0005-0000-0000-0000C3120000}"/>
    <cellStyle name="Normal 10 2 10 29 2 8" xfId="4866" xr:uid="{00000000-0005-0000-0000-0000C4120000}"/>
    <cellStyle name="Normal 10 2 10 29 2 9" xfId="4867" xr:uid="{00000000-0005-0000-0000-0000C5120000}"/>
    <cellStyle name="Normal 10 2 10 29 3" xfId="4868" xr:uid="{00000000-0005-0000-0000-0000C6120000}"/>
    <cellStyle name="Normal 10 2 10 29 3 10" xfId="4869" xr:uid="{00000000-0005-0000-0000-0000C7120000}"/>
    <cellStyle name="Normal 10 2 10 29 3 2" xfId="4870" xr:uid="{00000000-0005-0000-0000-0000C8120000}"/>
    <cellStyle name="Normal 10 2 10 29 3 3" xfId="4871" xr:uid="{00000000-0005-0000-0000-0000C9120000}"/>
    <cellStyle name="Normal 10 2 10 29 3 4" xfId="4872" xr:uid="{00000000-0005-0000-0000-0000CA120000}"/>
    <cellStyle name="Normal 10 2 10 29 3 5" xfId="4873" xr:uid="{00000000-0005-0000-0000-0000CB120000}"/>
    <cellStyle name="Normal 10 2 10 29 3 6" xfId="4874" xr:uid="{00000000-0005-0000-0000-0000CC120000}"/>
    <cellStyle name="Normal 10 2 10 29 3 7" xfId="4875" xr:uid="{00000000-0005-0000-0000-0000CD120000}"/>
    <cellStyle name="Normal 10 2 10 29 3 8" xfId="4876" xr:uid="{00000000-0005-0000-0000-0000CE120000}"/>
    <cellStyle name="Normal 10 2 10 29 3 9" xfId="4877" xr:uid="{00000000-0005-0000-0000-0000CF120000}"/>
    <cellStyle name="Normal 10 2 10 29 4" xfId="4878" xr:uid="{00000000-0005-0000-0000-0000D0120000}"/>
    <cellStyle name="Normal 10 2 10 29 4 10" xfId="4879" xr:uid="{00000000-0005-0000-0000-0000D1120000}"/>
    <cellStyle name="Normal 10 2 10 29 4 2" xfId="4880" xr:uid="{00000000-0005-0000-0000-0000D2120000}"/>
    <cellStyle name="Normal 10 2 10 29 4 3" xfId="4881" xr:uid="{00000000-0005-0000-0000-0000D3120000}"/>
    <cellStyle name="Normal 10 2 10 29 4 4" xfId="4882" xr:uid="{00000000-0005-0000-0000-0000D4120000}"/>
    <cellStyle name="Normal 10 2 10 29 4 5" xfId="4883" xr:uid="{00000000-0005-0000-0000-0000D5120000}"/>
    <cellStyle name="Normal 10 2 10 29 4 6" xfId="4884" xr:uid="{00000000-0005-0000-0000-0000D6120000}"/>
    <cellStyle name="Normal 10 2 10 29 4 7" xfId="4885" xr:uid="{00000000-0005-0000-0000-0000D7120000}"/>
    <cellStyle name="Normal 10 2 10 29 4 8" xfId="4886" xr:uid="{00000000-0005-0000-0000-0000D8120000}"/>
    <cellStyle name="Normal 10 2 10 29 4 9" xfId="4887" xr:uid="{00000000-0005-0000-0000-0000D9120000}"/>
    <cellStyle name="Normal 10 2 10 29 5" xfId="4888" xr:uid="{00000000-0005-0000-0000-0000DA120000}"/>
    <cellStyle name="Normal 10 2 10 29 5 10" xfId="4889" xr:uid="{00000000-0005-0000-0000-0000DB120000}"/>
    <cellStyle name="Normal 10 2 10 29 5 2" xfId="4890" xr:uid="{00000000-0005-0000-0000-0000DC120000}"/>
    <cellStyle name="Normal 10 2 10 29 5 3" xfId="4891" xr:uid="{00000000-0005-0000-0000-0000DD120000}"/>
    <cellStyle name="Normal 10 2 10 29 5 4" xfId="4892" xr:uid="{00000000-0005-0000-0000-0000DE120000}"/>
    <cellStyle name="Normal 10 2 10 29 5 5" xfId="4893" xr:uid="{00000000-0005-0000-0000-0000DF120000}"/>
    <cellStyle name="Normal 10 2 10 29 5 6" xfId="4894" xr:uid="{00000000-0005-0000-0000-0000E0120000}"/>
    <cellStyle name="Normal 10 2 10 29 5 7" xfId="4895" xr:uid="{00000000-0005-0000-0000-0000E1120000}"/>
    <cellStyle name="Normal 10 2 10 29 5 8" xfId="4896" xr:uid="{00000000-0005-0000-0000-0000E2120000}"/>
    <cellStyle name="Normal 10 2 10 29 5 9" xfId="4897" xr:uid="{00000000-0005-0000-0000-0000E3120000}"/>
    <cellStyle name="Normal 10 2 10 29 6" xfId="4898" xr:uid="{00000000-0005-0000-0000-0000E4120000}"/>
    <cellStyle name="Normal 10 2 10 29 7" xfId="4899" xr:uid="{00000000-0005-0000-0000-0000E5120000}"/>
    <cellStyle name="Normal 10 2 10 29 8" xfId="4900" xr:uid="{00000000-0005-0000-0000-0000E6120000}"/>
    <cellStyle name="Normal 10 2 10 29 9" xfId="4901" xr:uid="{00000000-0005-0000-0000-0000E7120000}"/>
    <cellStyle name="Normal 10 2 10 3" xfId="35" xr:uid="{00000000-0005-0000-0000-0000E8120000}"/>
    <cellStyle name="Normal 10 2 10 3 10" xfId="4903" xr:uid="{00000000-0005-0000-0000-0000E9120000}"/>
    <cellStyle name="Normal 10 2 10 3 11" xfId="4904" xr:uid="{00000000-0005-0000-0000-0000EA120000}"/>
    <cellStyle name="Normal 10 2 10 3 12" xfId="4905" xr:uid="{00000000-0005-0000-0000-0000EB120000}"/>
    <cellStyle name="Normal 10 2 10 3 13" xfId="4906" xr:uid="{00000000-0005-0000-0000-0000EC120000}"/>
    <cellStyle name="Normal 10 2 10 3 14" xfId="4907" xr:uid="{00000000-0005-0000-0000-0000ED120000}"/>
    <cellStyle name="Normal 10 2 10 3 15" xfId="4908" xr:uid="{00000000-0005-0000-0000-0000EE120000}"/>
    <cellStyle name="Normal 10 2 10 3 16" xfId="4902" xr:uid="{00000000-0005-0000-0000-0000EF120000}"/>
    <cellStyle name="Normal 10 2 10 3 2" xfId="4909" xr:uid="{00000000-0005-0000-0000-0000F0120000}"/>
    <cellStyle name="Normal 10 2 10 3 2 10" xfId="4910" xr:uid="{00000000-0005-0000-0000-0000F1120000}"/>
    <cellStyle name="Normal 10 2 10 3 2 2" xfId="4911" xr:uid="{00000000-0005-0000-0000-0000F2120000}"/>
    <cellStyle name="Normal 10 2 10 3 2 3" xfId="4912" xr:uid="{00000000-0005-0000-0000-0000F3120000}"/>
    <cellStyle name="Normal 10 2 10 3 2 4" xfId="4913" xr:uid="{00000000-0005-0000-0000-0000F4120000}"/>
    <cellStyle name="Normal 10 2 10 3 2 5" xfId="4914" xr:uid="{00000000-0005-0000-0000-0000F5120000}"/>
    <cellStyle name="Normal 10 2 10 3 2 6" xfId="4915" xr:uid="{00000000-0005-0000-0000-0000F6120000}"/>
    <cellStyle name="Normal 10 2 10 3 2 7" xfId="4916" xr:uid="{00000000-0005-0000-0000-0000F7120000}"/>
    <cellStyle name="Normal 10 2 10 3 2 8" xfId="4917" xr:uid="{00000000-0005-0000-0000-0000F8120000}"/>
    <cellStyle name="Normal 10 2 10 3 2 9" xfId="4918" xr:uid="{00000000-0005-0000-0000-0000F9120000}"/>
    <cellStyle name="Normal 10 2 10 3 3" xfId="4919" xr:uid="{00000000-0005-0000-0000-0000FA120000}"/>
    <cellStyle name="Normal 10 2 10 3 3 10" xfId="4920" xr:uid="{00000000-0005-0000-0000-0000FB120000}"/>
    <cellStyle name="Normal 10 2 10 3 3 2" xfId="4921" xr:uid="{00000000-0005-0000-0000-0000FC120000}"/>
    <cellStyle name="Normal 10 2 10 3 3 3" xfId="4922" xr:uid="{00000000-0005-0000-0000-0000FD120000}"/>
    <cellStyle name="Normal 10 2 10 3 3 4" xfId="4923" xr:uid="{00000000-0005-0000-0000-0000FE120000}"/>
    <cellStyle name="Normal 10 2 10 3 3 5" xfId="4924" xr:uid="{00000000-0005-0000-0000-0000FF120000}"/>
    <cellStyle name="Normal 10 2 10 3 3 6" xfId="4925" xr:uid="{00000000-0005-0000-0000-000000130000}"/>
    <cellStyle name="Normal 10 2 10 3 3 7" xfId="4926" xr:uid="{00000000-0005-0000-0000-000001130000}"/>
    <cellStyle name="Normal 10 2 10 3 3 8" xfId="4927" xr:uid="{00000000-0005-0000-0000-000002130000}"/>
    <cellStyle name="Normal 10 2 10 3 3 9" xfId="4928" xr:uid="{00000000-0005-0000-0000-000003130000}"/>
    <cellStyle name="Normal 10 2 10 3 4" xfId="4929" xr:uid="{00000000-0005-0000-0000-000004130000}"/>
    <cellStyle name="Normal 10 2 10 3 4 10" xfId="4930" xr:uid="{00000000-0005-0000-0000-000005130000}"/>
    <cellStyle name="Normal 10 2 10 3 4 2" xfId="4931" xr:uid="{00000000-0005-0000-0000-000006130000}"/>
    <cellStyle name="Normal 10 2 10 3 4 3" xfId="4932" xr:uid="{00000000-0005-0000-0000-000007130000}"/>
    <cellStyle name="Normal 10 2 10 3 4 4" xfId="4933" xr:uid="{00000000-0005-0000-0000-000008130000}"/>
    <cellStyle name="Normal 10 2 10 3 4 5" xfId="4934" xr:uid="{00000000-0005-0000-0000-000009130000}"/>
    <cellStyle name="Normal 10 2 10 3 4 6" xfId="4935" xr:uid="{00000000-0005-0000-0000-00000A130000}"/>
    <cellStyle name="Normal 10 2 10 3 4 7" xfId="4936" xr:uid="{00000000-0005-0000-0000-00000B130000}"/>
    <cellStyle name="Normal 10 2 10 3 4 8" xfId="4937" xr:uid="{00000000-0005-0000-0000-00000C130000}"/>
    <cellStyle name="Normal 10 2 10 3 4 9" xfId="4938" xr:uid="{00000000-0005-0000-0000-00000D130000}"/>
    <cellStyle name="Normal 10 2 10 3 5" xfId="4939" xr:uid="{00000000-0005-0000-0000-00000E130000}"/>
    <cellStyle name="Normal 10 2 10 3 5 10" xfId="4940" xr:uid="{00000000-0005-0000-0000-00000F130000}"/>
    <cellStyle name="Normal 10 2 10 3 5 2" xfId="4941" xr:uid="{00000000-0005-0000-0000-000010130000}"/>
    <cellStyle name="Normal 10 2 10 3 5 3" xfId="4942" xr:uid="{00000000-0005-0000-0000-000011130000}"/>
    <cellStyle name="Normal 10 2 10 3 5 4" xfId="4943" xr:uid="{00000000-0005-0000-0000-000012130000}"/>
    <cellStyle name="Normal 10 2 10 3 5 5" xfId="4944" xr:uid="{00000000-0005-0000-0000-000013130000}"/>
    <cellStyle name="Normal 10 2 10 3 5 6" xfId="4945" xr:uid="{00000000-0005-0000-0000-000014130000}"/>
    <cellStyle name="Normal 10 2 10 3 5 7" xfId="4946" xr:uid="{00000000-0005-0000-0000-000015130000}"/>
    <cellStyle name="Normal 10 2 10 3 5 8" xfId="4947" xr:uid="{00000000-0005-0000-0000-000016130000}"/>
    <cellStyle name="Normal 10 2 10 3 5 9" xfId="4948" xr:uid="{00000000-0005-0000-0000-000017130000}"/>
    <cellStyle name="Normal 10 2 10 3 6" xfId="4949" xr:uid="{00000000-0005-0000-0000-000018130000}"/>
    <cellStyle name="Normal 10 2 10 3 7" xfId="4950" xr:uid="{00000000-0005-0000-0000-000019130000}"/>
    <cellStyle name="Normal 10 2 10 3 8" xfId="4951" xr:uid="{00000000-0005-0000-0000-00001A130000}"/>
    <cellStyle name="Normal 10 2 10 3 9" xfId="4952" xr:uid="{00000000-0005-0000-0000-00001B130000}"/>
    <cellStyle name="Normal 10 2 10 30" xfId="4953" xr:uid="{00000000-0005-0000-0000-00001C130000}"/>
    <cellStyle name="Normal 10 2 10 30 10" xfId="4954" xr:uid="{00000000-0005-0000-0000-00001D130000}"/>
    <cellStyle name="Normal 10 2 10 30 11" xfId="4955" xr:uid="{00000000-0005-0000-0000-00001E130000}"/>
    <cellStyle name="Normal 10 2 10 30 12" xfId="4956" xr:uid="{00000000-0005-0000-0000-00001F130000}"/>
    <cellStyle name="Normal 10 2 10 30 13" xfId="4957" xr:uid="{00000000-0005-0000-0000-000020130000}"/>
    <cellStyle name="Normal 10 2 10 30 14" xfId="4958" xr:uid="{00000000-0005-0000-0000-000021130000}"/>
    <cellStyle name="Normal 10 2 10 30 2" xfId="4959" xr:uid="{00000000-0005-0000-0000-000022130000}"/>
    <cellStyle name="Normal 10 2 10 30 2 10" xfId="4960" xr:uid="{00000000-0005-0000-0000-000023130000}"/>
    <cellStyle name="Normal 10 2 10 30 2 2" xfId="4961" xr:uid="{00000000-0005-0000-0000-000024130000}"/>
    <cellStyle name="Normal 10 2 10 30 2 3" xfId="4962" xr:uid="{00000000-0005-0000-0000-000025130000}"/>
    <cellStyle name="Normal 10 2 10 30 2 4" xfId="4963" xr:uid="{00000000-0005-0000-0000-000026130000}"/>
    <cellStyle name="Normal 10 2 10 30 2 5" xfId="4964" xr:uid="{00000000-0005-0000-0000-000027130000}"/>
    <cellStyle name="Normal 10 2 10 30 2 6" xfId="4965" xr:uid="{00000000-0005-0000-0000-000028130000}"/>
    <cellStyle name="Normal 10 2 10 30 2 7" xfId="4966" xr:uid="{00000000-0005-0000-0000-000029130000}"/>
    <cellStyle name="Normal 10 2 10 30 2 8" xfId="4967" xr:uid="{00000000-0005-0000-0000-00002A130000}"/>
    <cellStyle name="Normal 10 2 10 30 2 9" xfId="4968" xr:uid="{00000000-0005-0000-0000-00002B130000}"/>
    <cellStyle name="Normal 10 2 10 30 3" xfId="4969" xr:uid="{00000000-0005-0000-0000-00002C130000}"/>
    <cellStyle name="Normal 10 2 10 30 3 10" xfId="4970" xr:uid="{00000000-0005-0000-0000-00002D130000}"/>
    <cellStyle name="Normal 10 2 10 30 3 2" xfId="4971" xr:uid="{00000000-0005-0000-0000-00002E130000}"/>
    <cellStyle name="Normal 10 2 10 30 3 3" xfId="4972" xr:uid="{00000000-0005-0000-0000-00002F130000}"/>
    <cellStyle name="Normal 10 2 10 30 3 4" xfId="4973" xr:uid="{00000000-0005-0000-0000-000030130000}"/>
    <cellStyle name="Normal 10 2 10 30 3 5" xfId="4974" xr:uid="{00000000-0005-0000-0000-000031130000}"/>
    <cellStyle name="Normal 10 2 10 30 3 6" xfId="4975" xr:uid="{00000000-0005-0000-0000-000032130000}"/>
    <cellStyle name="Normal 10 2 10 30 3 7" xfId="4976" xr:uid="{00000000-0005-0000-0000-000033130000}"/>
    <cellStyle name="Normal 10 2 10 30 3 8" xfId="4977" xr:uid="{00000000-0005-0000-0000-000034130000}"/>
    <cellStyle name="Normal 10 2 10 30 3 9" xfId="4978" xr:uid="{00000000-0005-0000-0000-000035130000}"/>
    <cellStyle name="Normal 10 2 10 30 4" xfId="4979" xr:uid="{00000000-0005-0000-0000-000036130000}"/>
    <cellStyle name="Normal 10 2 10 30 4 10" xfId="4980" xr:uid="{00000000-0005-0000-0000-000037130000}"/>
    <cellStyle name="Normal 10 2 10 30 4 2" xfId="4981" xr:uid="{00000000-0005-0000-0000-000038130000}"/>
    <cellStyle name="Normal 10 2 10 30 4 3" xfId="4982" xr:uid="{00000000-0005-0000-0000-000039130000}"/>
    <cellStyle name="Normal 10 2 10 30 4 4" xfId="4983" xr:uid="{00000000-0005-0000-0000-00003A130000}"/>
    <cellStyle name="Normal 10 2 10 30 4 5" xfId="4984" xr:uid="{00000000-0005-0000-0000-00003B130000}"/>
    <cellStyle name="Normal 10 2 10 30 4 6" xfId="4985" xr:uid="{00000000-0005-0000-0000-00003C130000}"/>
    <cellStyle name="Normal 10 2 10 30 4 7" xfId="4986" xr:uid="{00000000-0005-0000-0000-00003D130000}"/>
    <cellStyle name="Normal 10 2 10 30 4 8" xfId="4987" xr:uid="{00000000-0005-0000-0000-00003E130000}"/>
    <cellStyle name="Normal 10 2 10 30 4 9" xfId="4988" xr:uid="{00000000-0005-0000-0000-00003F130000}"/>
    <cellStyle name="Normal 10 2 10 30 5" xfId="4989" xr:uid="{00000000-0005-0000-0000-000040130000}"/>
    <cellStyle name="Normal 10 2 10 30 5 10" xfId="4990" xr:uid="{00000000-0005-0000-0000-000041130000}"/>
    <cellStyle name="Normal 10 2 10 30 5 2" xfId="4991" xr:uid="{00000000-0005-0000-0000-000042130000}"/>
    <cellStyle name="Normal 10 2 10 30 5 3" xfId="4992" xr:uid="{00000000-0005-0000-0000-000043130000}"/>
    <cellStyle name="Normal 10 2 10 30 5 4" xfId="4993" xr:uid="{00000000-0005-0000-0000-000044130000}"/>
    <cellStyle name="Normal 10 2 10 30 5 5" xfId="4994" xr:uid="{00000000-0005-0000-0000-000045130000}"/>
    <cellStyle name="Normal 10 2 10 30 5 6" xfId="4995" xr:uid="{00000000-0005-0000-0000-000046130000}"/>
    <cellStyle name="Normal 10 2 10 30 5 7" xfId="4996" xr:uid="{00000000-0005-0000-0000-000047130000}"/>
    <cellStyle name="Normal 10 2 10 30 5 8" xfId="4997" xr:uid="{00000000-0005-0000-0000-000048130000}"/>
    <cellStyle name="Normal 10 2 10 30 5 9" xfId="4998" xr:uid="{00000000-0005-0000-0000-000049130000}"/>
    <cellStyle name="Normal 10 2 10 30 6" xfId="4999" xr:uid="{00000000-0005-0000-0000-00004A130000}"/>
    <cellStyle name="Normal 10 2 10 30 7" xfId="5000" xr:uid="{00000000-0005-0000-0000-00004B130000}"/>
    <cellStyle name="Normal 10 2 10 30 8" xfId="5001" xr:uid="{00000000-0005-0000-0000-00004C130000}"/>
    <cellStyle name="Normal 10 2 10 30 9" xfId="5002" xr:uid="{00000000-0005-0000-0000-00004D130000}"/>
    <cellStyle name="Normal 10 2 10 31" xfId="5003" xr:uid="{00000000-0005-0000-0000-00004E130000}"/>
    <cellStyle name="Normal 10 2 10 31 10" xfId="5004" xr:uid="{00000000-0005-0000-0000-00004F130000}"/>
    <cellStyle name="Normal 10 2 10 31 11" xfId="5005" xr:uid="{00000000-0005-0000-0000-000050130000}"/>
    <cellStyle name="Normal 10 2 10 31 12" xfId="5006" xr:uid="{00000000-0005-0000-0000-000051130000}"/>
    <cellStyle name="Normal 10 2 10 31 13" xfId="5007" xr:uid="{00000000-0005-0000-0000-000052130000}"/>
    <cellStyle name="Normal 10 2 10 31 14" xfId="5008" xr:uid="{00000000-0005-0000-0000-000053130000}"/>
    <cellStyle name="Normal 10 2 10 31 2" xfId="5009" xr:uid="{00000000-0005-0000-0000-000054130000}"/>
    <cellStyle name="Normal 10 2 10 31 2 10" xfId="5010" xr:uid="{00000000-0005-0000-0000-000055130000}"/>
    <cellStyle name="Normal 10 2 10 31 2 2" xfId="5011" xr:uid="{00000000-0005-0000-0000-000056130000}"/>
    <cellStyle name="Normal 10 2 10 31 2 3" xfId="5012" xr:uid="{00000000-0005-0000-0000-000057130000}"/>
    <cellStyle name="Normal 10 2 10 31 2 4" xfId="5013" xr:uid="{00000000-0005-0000-0000-000058130000}"/>
    <cellStyle name="Normal 10 2 10 31 2 5" xfId="5014" xr:uid="{00000000-0005-0000-0000-000059130000}"/>
    <cellStyle name="Normal 10 2 10 31 2 6" xfId="5015" xr:uid="{00000000-0005-0000-0000-00005A130000}"/>
    <cellStyle name="Normal 10 2 10 31 2 7" xfId="5016" xr:uid="{00000000-0005-0000-0000-00005B130000}"/>
    <cellStyle name="Normal 10 2 10 31 2 8" xfId="5017" xr:uid="{00000000-0005-0000-0000-00005C130000}"/>
    <cellStyle name="Normal 10 2 10 31 2 9" xfId="5018" xr:uid="{00000000-0005-0000-0000-00005D130000}"/>
    <cellStyle name="Normal 10 2 10 31 3" xfId="5019" xr:uid="{00000000-0005-0000-0000-00005E130000}"/>
    <cellStyle name="Normal 10 2 10 31 3 10" xfId="5020" xr:uid="{00000000-0005-0000-0000-00005F130000}"/>
    <cellStyle name="Normal 10 2 10 31 3 2" xfId="5021" xr:uid="{00000000-0005-0000-0000-000060130000}"/>
    <cellStyle name="Normal 10 2 10 31 3 3" xfId="5022" xr:uid="{00000000-0005-0000-0000-000061130000}"/>
    <cellStyle name="Normal 10 2 10 31 3 4" xfId="5023" xr:uid="{00000000-0005-0000-0000-000062130000}"/>
    <cellStyle name="Normal 10 2 10 31 3 5" xfId="5024" xr:uid="{00000000-0005-0000-0000-000063130000}"/>
    <cellStyle name="Normal 10 2 10 31 3 6" xfId="5025" xr:uid="{00000000-0005-0000-0000-000064130000}"/>
    <cellStyle name="Normal 10 2 10 31 3 7" xfId="5026" xr:uid="{00000000-0005-0000-0000-000065130000}"/>
    <cellStyle name="Normal 10 2 10 31 3 8" xfId="5027" xr:uid="{00000000-0005-0000-0000-000066130000}"/>
    <cellStyle name="Normal 10 2 10 31 3 9" xfId="5028" xr:uid="{00000000-0005-0000-0000-000067130000}"/>
    <cellStyle name="Normal 10 2 10 31 4" xfId="5029" xr:uid="{00000000-0005-0000-0000-000068130000}"/>
    <cellStyle name="Normal 10 2 10 31 4 10" xfId="5030" xr:uid="{00000000-0005-0000-0000-000069130000}"/>
    <cellStyle name="Normal 10 2 10 31 4 2" xfId="5031" xr:uid="{00000000-0005-0000-0000-00006A130000}"/>
    <cellStyle name="Normal 10 2 10 31 4 3" xfId="5032" xr:uid="{00000000-0005-0000-0000-00006B130000}"/>
    <cellStyle name="Normal 10 2 10 31 4 4" xfId="5033" xr:uid="{00000000-0005-0000-0000-00006C130000}"/>
    <cellStyle name="Normal 10 2 10 31 4 5" xfId="5034" xr:uid="{00000000-0005-0000-0000-00006D130000}"/>
    <cellStyle name="Normal 10 2 10 31 4 6" xfId="5035" xr:uid="{00000000-0005-0000-0000-00006E130000}"/>
    <cellStyle name="Normal 10 2 10 31 4 7" xfId="5036" xr:uid="{00000000-0005-0000-0000-00006F130000}"/>
    <cellStyle name="Normal 10 2 10 31 4 8" xfId="5037" xr:uid="{00000000-0005-0000-0000-000070130000}"/>
    <cellStyle name="Normal 10 2 10 31 4 9" xfId="5038" xr:uid="{00000000-0005-0000-0000-000071130000}"/>
    <cellStyle name="Normal 10 2 10 31 5" xfId="5039" xr:uid="{00000000-0005-0000-0000-000072130000}"/>
    <cellStyle name="Normal 10 2 10 31 5 10" xfId="5040" xr:uid="{00000000-0005-0000-0000-000073130000}"/>
    <cellStyle name="Normal 10 2 10 31 5 2" xfId="5041" xr:uid="{00000000-0005-0000-0000-000074130000}"/>
    <cellStyle name="Normal 10 2 10 31 5 3" xfId="5042" xr:uid="{00000000-0005-0000-0000-000075130000}"/>
    <cellStyle name="Normal 10 2 10 31 5 4" xfId="5043" xr:uid="{00000000-0005-0000-0000-000076130000}"/>
    <cellStyle name="Normal 10 2 10 31 5 5" xfId="5044" xr:uid="{00000000-0005-0000-0000-000077130000}"/>
    <cellStyle name="Normal 10 2 10 31 5 6" xfId="5045" xr:uid="{00000000-0005-0000-0000-000078130000}"/>
    <cellStyle name="Normal 10 2 10 31 5 7" xfId="5046" xr:uid="{00000000-0005-0000-0000-000079130000}"/>
    <cellStyle name="Normal 10 2 10 31 5 8" xfId="5047" xr:uid="{00000000-0005-0000-0000-00007A130000}"/>
    <cellStyle name="Normal 10 2 10 31 5 9" xfId="5048" xr:uid="{00000000-0005-0000-0000-00007B130000}"/>
    <cellStyle name="Normal 10 2 10 31 6" xfId="5049" xr:uid="{00000000-0005-0000-0000-00007C130000}"/>
    <cellStyle name="Normal 10 2 10 31 7" xfId="5050" xr:uid="{00000000-0005-0000-0000-00007D130000}"/>
    <cellStyle name="Normal 10 2 10 31 8" xfId="5051" xr:uid="{00000000-0005-0000-0000-00007E130000}"/>
    <cellStyle name="Normal 10 2 10 31 9" xfId="5052" xr:uid="{00000000-0005-0000-0000-00007F130000}"/>
    <cellStyle name="Normal 10 2 10 32" xfId="5053" xr:uid="{00000000-0005-0000-0000-000080130000}"/>
    <cellStyle name="Normal 10 2 10 32 10" xfId="5054" xr:uid="{00000000-0005-0000-0000-000081130000}"/>
    <cellStyle name="Normal 10 2 10 32 11" xfId="5055" xr:uid="{00000000-0005-0000-0000-000082130000}"/>
    <cellStyle name="Normal 10 2 10 32 12" xfId="5056" xr:uid="{00000000-0005-0000-0000-000083130000}"/>
    <cellStyle name="Normal 10 2 10 32 13" xfId="5057" xr:uid="{00000000-0005-0000-0000-000084130000}"/>
    <cellStyle name="Normal 10 2 10 32 14" xfId="5058" xr:uid="{00000000-0005-0000-0000-000085130000}"/>
    <cellStyle name="Normal 10 2 10 32 2" xfId="5059" xr:uid="{00000000-0005-0000-0000-000086130000}"/>
    <cellStyle name="Normal 10 2 10 32 2 10" xfId="5060" xr:uid="{00000000-0005-0000-0000-000087130000}"/>
    <cellStyle name="Normal 10 2 10 32 2 2" xfId="5061" xr:uid="{00000000-0005-0000-0000-000088130000}"/>
    <cellStyle name="Normal 10 2 10 32 2 3" xfId="5062" xr:uid="{00000000-0005-0000-0000-000089130000}"/>
    <cellStyle name="Normal 10 2 10 32 2 4" xfId="5063" xr:uid="{00000000-0005-0000-0000-00008A130000}"/>
    <cellStyle name="Normal 10 2 10 32 2 5" xfId="5064" xr:uid="{00000000-0005-0000-0000-00008B130000}"/>
    <cellStyle name="Normal 10 2 10 32 2 6" xfId="5065" xr:uid="{00000000-0005-0000-0000-00008C130000}"/>
    <cellStyle name="Normal 10 2 10 32 2 7" xfId="5066" xr:uid="{00000000-0005-0000-0000-00008D130000}"/>
    <cellStyle name="Normal 10 2 10 32 2 8" xfId="5067" xr:uid="{00000000-0005-0000-0000-00008E130000}"/>
    <cellStyle name="Normal 10 2 10 32 2 9" xfId="5068" xr:uid="{00000000-0005-0000-0000-00008F130000}"/>
    <cellStyle name="Normal 10 2 10 32 3" xfId="5069" xr:uid="{00000000-0005-0000-0000-000090130000}"/>
    <cellStyle name="Normal 10 2 10 32 3 10" xfId="5070" xr:uid="{00000000-0005-0000-0000-000091130000}"/>
    <cellStyle name="Normal 10 2 10 32 3 2" xfId="5071" xr:uid="{00000000-0005-0000-0000-000092130000}"/>
    <cellStyle name="Normal 10 2 10 32 3 3" xfId="5072" xr:uid="{00000000-0005-0000-0000-000093130000}"/>
    <cellStyle name="Normal 10 2 10 32 3 4" xfId="5073" xr:uid="{00000000-0005-0000-0000-000094130000}"/>
    <cellStyle name="Normal 10 2 10 32 3 5" xfId="5074" xr:uid="{00000000-0005-0000-0000-000095130000}"/>
    <cellStyle name="Normal 10 2 10 32 3 6" xfId="5075" xr:uid="{00000000-0005-0000-0000-000096130000}"/>
    <cellStyle name="Normal 10 2 10 32 3 7" xfId="5076" xr:uid="{00000000-0005-0000-0000-000097130000}"/>
    <cellStyle name="Normal 10 2 10 32 3 8" xfId="5077" xr:uid="{00000000-0005-0000-0000-000098130000}"/>
    <cellStyle name="Normal 10 2 10 32 3 9" xfId="5078" xr:uid="{00000000-0005-0000-0000-000099130000}"/>
    <cellStyle name="Normal 10 2 10 32 4" xfId="5079" xr:uid="{00000000-0005-0000-0000-00009A130000}"/>
    <cellStyle name="Normal 10 2 10 32 4 10" xfId="5080" xr:uid="{00000000-0005-0000-0000-00009B130000}"/>
    <cellStyle name="Normal 10 2 10 32 4 2" xfId="5081" xr:uid="{00000000-0005-0000-0000-00009C130000}"/>
    <cellStyle name="Normal 10 2 10 32 4 3" xfId="5082" xr:uid="{00000000-0005-0000-0000-00009D130000}"/>
    <cellStyle name="Normal 10 2 10 32 4 4" xfId="5083" xr:uid="{00000000-0005-0000-0000-00009E130000}"/>
    <cellStyle name="Normal 10 2 10 32 4 5" xfId="5084" xr:uid="{00000000-0005-0000-0000-00009F130000}"/>
    <cellStyle name="Normal 10 2 10 32 4 6" xfId="5085" xr:uid="{00000000-0005-0000-0000-0000A0130000}"/>
    <cellStyle name="Normal 10 2 10 32 4 7" xfId="5086" xr:uid="{00000000-0005-0000-0000-0000A1130000}"/>
    <cellStyle name="Normal 10 2 10 32 4 8" xfId="5087" xr:uid="{00000000-0005-0000-0000-0000A2130000}"/>
    <cellStyle name="Normal 10 2 10 32 4 9" xfId="5088" xr:uid="{00000000-0005-0000-0000-0000A3130000}"/>
    <cellStyle name="Normal 10 2 10 32 5" xfId="5089" xr:uid="{00000000-0005-0000-0000-0000A4130000}"/>
    <cellStyle name="Normal 10 2 10 32 5 10" xfId="5090" xr:uid="{00000000-0005-0000-0000-0000A5130000}"/>
    <cellStyle name="Normal 10 2 10 32 5 2" xfId="5091" xr:uid="{00000000-0005-0000-0000-0000A6130000}"/>
    <cellStyle name="Normal 10 2 10 32 5 3" xfId="5092" xr:uid="{00000000-0005-0000-0000-0000A7130000}"/>
    <cellStyle name="Normal 10 2 10 32 5 4" xfId="5093" xr:uid="{00000000-0005-0000-0000-0000A8130000}"/>
    <cellStyle name="Normal 10 2 10 32 5 5" xfId="5094" xr:uid="{00000000-0005-0000-0000-0000A9130000}"/>
    <cellStyle name="Normal 10 2 10 32 5 6" xfId="5095" xr:uid="{00000000-0005-0000-0000-0000AA130000}"/>
    <cellStyle name="Normal 10 2 10 32 5 7" xfId="5096" xr:uid="{00000000-0005-0000-0000-0000AB130000}"/>
    <cellStyle name="Normal 10 2 10 32 5 8" xfId="5097" xr:uid="{00000000-0005-0000-0000-0000AC130000}"/>
    <cellStyle name="Normal 10 2 10 32 5 9" xfId="5098" xr:uid="{00000000-0005-0000-0000-0000AD130000}"/>
    <cellStyle name="Normal 10 2 10 32 6" xfId="5099" xr:uid="{00000000-0005-0000-0000-0000AE130000}"/>
    <cellStyle name="Normal 10 2 10 32 7" xfId="5100" xr:uid="{00000000-0005-0000-0000-0000AF130000}"/>
    <cellStyle name="Normal 10 2 10 32 8" xfId="5101" xr:uid="{00000000-0005-0000-0000-0000B0130000}"/>
    <cellStyle name="Normal 10 2 10 32 9" xfId="5102" xr:uid="{00000000-0005-0000-0000-0000B1130000}"/>
    <cellStyle name="Normal 10 2 10 33" xfId="5103" xr:uid="{00000000-0005-0000-0000-0000B2130000}"/>
    <cellStyle name="Normal 10 2 10 33 10" xfId="5104" xr:uid="{00000000-0005-0000-0000-0000B3130000}"/>
    <cellStyle name="Normal 10 2 10 33 11" xfId="5105" xr:uid="{00000000-0005-0000-0000-0000B4130000}"/>
    <cellStyle name="Normal 10 2 10 33 12" xfId="5106" xr:uid="{00000000-0005-0000-0000-0000B5130000}"/>
    <cellStyle name="Normal 10 2 10 33 13" xfId="5107" xr:uid="{00000000-0005-0000-0000-0000B6130000}"/>
    <cellStyle name="Normal 10 2 10 33 14" xfId="5108" xr:uid="{00000000-0005-0000-0000-0000B7130000}"/>
    <cellStyle name="Normal 10 2 10 33 2" xfId="5109" xr:uid="{00000000-0005-0000-0000-0000B8130000}"/>
    <cellStyle name="Normal 10 2 10 33 2 10" xfId="5110" xr:uid="{00000000-0005-0000-0000-0000B9130000}"/>
    <cellStyle name="Normal 10 2 10 33 2 2" xfId="5111" xr:uid="{00000000-0005-0000-0000-0000BA130000}"/>
    <cellStyle name="Normal 10 2 10 33 2 3" xfId="5112" xr:uid="{00000000-0005-0000-0000-0000BB130000}"/>
    <cellStyle name="Normal 10 2 10 33 2 4" xfId="5113" xr:uid="{00000000-0005-0000-0000-0000BC130000}"/>
    <cellStyle name="Normal 10 2 10 33 2 5" xfId="5114" xr:uid="{00000000-0005-0000-0000-0000BD130000}"/>
    <cellStyle name="Normal 10 2 10 33 2 6" xfId="5115" xr:uid="{00000000-0005-0000-0000-0000BE130000}"/>
    <cellStyle name="Normal 10 2 10 33 2 7" xfId="5116" xr:uid="{00000000-0005-0000-0000-0000BF130000}"/>
    <cellStyle name="Normal 10 2 10 33 2 8" xfId="5117" xr:uid="{00000000-0005-0000-0000-0000C0130000}"/>
    <cellStyle name="Normal 10 2 10 33 2 9" xfId="5118" xr:uid="{00000000-0005-0000-0000-0000C1130000}"/>
    <cellStyle name="Normal 10 2 10 33 3" xfId="5119" xr:uid="{00000000-0005-0000-0000-0000C2130000}"/>
    <cellStyle name="Normal 10 2 10 33 3 10" xfId="5120" xr:uid="{00000000-0005-0000-0000-0000C3130000}"/>
    <cellStyle name="Normal 10 2 10 33 3 2" xfId="5121" xr:uid="{00000000-0005-0000-0000-0000C4130000}"/>
    <cellStyle name="Normal 10 2 10 33 3 3" xfId="5122" xr:uid="{00000000-0005-0000-0000-0000C5130000}"/>
    <cellStyle name="Normal 10 2 10 33 3 4" xfId="5123" xr:uid="{00000000-0005-0000-0000-0000C6130000}"/>
    <cellStyle name="Normal 10 2 10 33 3 5" xfId="5124" xr:uid="{00000000-0005-0000-0000-0000C7130000}"/>
    <cellStyle name="Normal 10 2 10 33 3 6" xfId="5125" xr:uid="{00000000-0005-0000-0000-0000C8130000}"/>
    <cellStyle name="Normal 10 2 10 33 3 7" xfId="5126" xr:uid="{00000000-0005-0000-0000-0000C9130000}"/>
    <cellStyle name="Normal 10 2 10 33 3 8" xfId="5127" xr:uid="{00000000-0005-0000-0000-0000CA130000}"/>
    <cellStyle name="Normal 10 2 10 33 3 9" xfId="5128" xr:uid="{00000000-0005-0000-0000-0000CB130000}"/>
    <cellStyle name="Normal 10 2 10 33 4" xfId="5129" xr:uid="{00000000-0005-0000-0000-0000CC130000}"/>
    <cellStyle name="Normal 10 2 10 33 4 10" xfId="5130" xr:uid="{00000000-0005-0000-0000-0000CD130000}"/>
    <cellStyle name="Normal 10 2 10 33 4 2" xfId="5131" xr:uid="{00000000-0005-0000-0000-0000CE130000}"/>
    <cellStyle name="Normal 10 2 10 33 4 3" xfId="5132" xr:uid="{00000000-0005-0000-0000-0000CF130000}"/>
    <cellStyle name="Normal 10 2 10 33 4 4" xfId="5133" xr:uid="{00000000-0005-0000-0000-0000D0130000}"/>
    <cellStyle name="Normal 10 2 10 33 4 5" xfId="5134" xr:uid="{00000000-0005-0000-0000-0000D1130000}"/>
    <cellStyle name="Normal 10 2 10 33 4 6" xfId="5135" xr:uid="{00000000-0005-0000-0000-0000D2130000}"/>
    <cellStyle name="Normal 10 2 10 33 4 7" xfId="5136" xr:uid="{00000000-0005-0000-0000-0000D3130000}"/>
    <cellStyle name="Normal 10 2 10 33 4 8" xfId="5137" xr:uid="{00000000-0005-0000-0000-0000D4130000}"/>
    <cellStyle name="Normal 10 2 10 33 4 9" xfId="5138" xr:uid="{00000000-0005-0000-0000-0000D5130000}"/>
    <cellStyle name="Normal 10 2 10 33 5" xfId="5139" xr:uid="{00000000-0005-0000-0000-0000D6130000}"/>
    <cellStyle name="Normal 10 2 10 33 5 10" xfId="5140" xr:uid="{00000000-0005-0000-0000-0000D7130000}"/>
    <cellStyle name="Normal 10 2 10 33 5 2" xfId="5141" xr:uid="{00000000-0005-0000-0000-0000D8130000}"/>
    <cellStyle name="Normal 10 2 10 33 5 3" xfId="5142" xr:uid="{00000000-0005-0000-0000-0000D9130000}"/>
    <cellStyle name="Normal 10 2 10 33 5 4" xfId="5143" xr:uid="{00000000-0005-0000-0000-0000DA130000}"/>
    <cellStyle name="Normal 10 2 10 33 5 5" xfId="5144" xr:uid="{00000000-0005-0000-0000-0000DB130000}"/>
    <cellStyle name="Normal 10 2 10 33 5 6" xfId="5145" xr:uid="{00000000-0005-0000-0000-0000DC130000}"/>
    <cellStyle name="Normal 10 2 10 33 5 7" xfId="5146" xr:uid="{00000000-0005-0000-0000-0000DD130000}"/>
    <cellStyle name="Normal 10 2 10 33 5 8" xfId="5147" xr:uid="{00000000-0005-0000-0000-0000DE130000}"/>
    <cellStyle name="Normal 10 2 10 33 5 9" xfId="5148" xr:uid="{00000000-0005-0000-0000-0000DF130000}"/>
    <cellStyle name="Normal 10 2 10 33 6" xfId="5149" xr:uid="{00000000-0005-0000-0000-0000E0130000}"/>
    <cellStyle name="Normal 10 2 10 33 7" xfId="5150" xr:uid="{00000000-0005-0000-0000-0000E1130000}"/>
    <cellStyle name="Normal 10 2 10 33 8" xfId="5151" xr:uid="{00000000-0005-0000-0000-0000E2130000}"/>
    <cellStyle name="Normal 10 2 10 33 9" xfId="5152" xr:uid="{00000000-0005-0000-0000-0000E3130000}"/>
    <cellStyle name="Normal 10 2 10 34" xfId="5153" xr:uid="{00000000-0005-0000-0000-0000E4130000}"/>
    <cellStyle name="Normal 10 2 10 34 10" xfId="5154" xr:uid="{00000000-0005-0000-0000-0000E5130000}"/>
    <cellStyle name="Normal 10 2 10 34 11" xfId="5155" xr:uid="{00000000-0005-0000-0000-0000E6130000}"/>
    <cellStyle name="Normal 10 2 10 34 12" xfId="5156" xr:uid="{00000000-0005-0000-0000-0000E7130000}"/>
    <cellStyle name="Normal 10 2 10 34 13" xfId="5157" xr:uid="{00000000-0005-0000-0000-0000E8130000}"/>
    <cellStyle name="Normal 10 2 10 34 14" xfId="5158" xr:uid="{00000000-0005-0000-0000-0000E9130000}"/>
    <cellStyle name="Normal 10 2 10 34 2" xfId="5159" xr:uid="{00000000-0005-0000-0000-0000EA130000}"/>
    <cellStyle name="Normal 10 2 10 34 2 10" xfId="5160" xr:uid="{00000000-0005-0000-0000-0000EB130000}"/>
    <cellStyle name="Normal 10 2 10 34 2 2" xfId="5161" xr:uid="{00000000-0005-0000-0000-0000EC130000}"/>
    <cellStyle name="Normal 10 2 10 34 2 3" xfId="5162" xr:uid="{00000000-0005-0000-0000-0000ED130000}"/>
    <cellStyle name="Normal 10 2 10 34 2 4" xfId="5163" xr:uid="{00000000-0005-0000-0000-0000EE130000}"/>
    <cellStyle name="Normal 10 2 10 34 2 5" xfId="5164" xr:uid="{00000000-0005-0000-0000-0000EF130000}"/>
    <cellStyle name="Normal 10 2 10 34 2 6" xfId="5165" xr:uid="{00000000-0005-0000-0000-0000F0130000}"/>
    <cellStyle name="Normal 10 2 10 34 2 7" xfId="5166" xr:uid="{00000000-0005-0000-0000-0000F1130000}"/>
    <cellStyle name="Normal 10 2 10 34 2 8" xfId="5167" xr:uid="{00000000-0005-0000-0000-0000F2130000}"/>
    <cellStyle name="Normal 10 2 10 34 2 9" xfId="5168" xr:uid="{00000000-0005-0000-0000-0000F3130000}"/>
    <cellStyle name="Normal 10 2 10 34 3" xfId="5169" xr:uid="{00000000-0005-0000-0000-0000F4130000}"/>
    <cellStyle name="Normal 10 2 10 34 3 10" xfId="5170" xr:uid="{00000000-0005-0000-0000-0000F5130000}"/>
    <cellStyle name="Normal 10 2 10 34 3 2" xfId="5171" xr:uid="{00000000-0005-0000-0000-0000F6130000}"/>
    <cellStyle name="Normal 10 2 10 34 3 3" xfId="5172" xr:uid="{00000000-0005-0000-0000-0000F7130000}"/>
    <cellStyle name="Normal 10 2 10 34 3 4" xfId="5173" xr:uid="{00000000-0005-0000-0000-0000F8130000}"/>
    <cellStyle name="Normal 10 2 10 34 3 5" xfId="5174" xr:uid="{00000000-0005-0000-0000-0000F9130000}"/>
    <cellStyle name="Normal 10 2 10 34 3 6" xfId="5175" xr:uid="{00000000-0005-0000-0000-0000FA130000}"/>
    <cellStyle name="Normal 10 2 10 34 3 7" xfId="5176" xr:uid="{00000000-0005-0000-0000-0000FB130000}"/>
    <cellStyle name="Normal 10 2 10 34 3 8" xfId="5177" xr:uid="{00000000-0005-0000-0000-0000FC130000}"/>
    <cellStyle name="Normal 10 2 10 34 3 9" xfId="5178" xr:uid="{00000000-0005-0000-0000-0000FD130000}"/>
    <cellStyle name="Normal 10 2 10 34 4" xfId="5179" xr:uid="{00000000-0005-0000-0000-0000FE130000}"/>
    <cellStyle name="Normal 10 2 10 34 4 10" xfId="5180" xr:uid="{00000000-0005-0000-0000-0000FF130000}"/>
    <cellStyle name="Normal 10 2 10 34 4 2" xfId="5181" xr:uid="{00000000-0005-0000-0000-000000140000}"/>
    <cellStyle name="Normal 10 2 10 34 4 3" xfId="5182" xr:uid="{00000000-0005-0000-0000-000001140000}"/>
    <cellStyle name="Normal 10 2 10 34 4 4" xfId="5183" xr:uid="{00000000-0005-0000-0000-000002140000}"/>
    <cellStyle name="Normal 10 2 10 34 4 5" xfId="5184" xr:uid="{00000000-0005-0000-0000-000003140000}"/>
    <cellStyle name="Normal 10 2 10 34 4 6" xfId="5185" xr:uid="{00000000-0005-0000-0000-000004140000}"/>
    <cellStyle name="Normal 10 2 10 34 4 7" xfId="5186" xr:uid="{00000000-0005-0000-0000-000005140000}"/>
    <cellStyle name="Normal 10 2 10 34 4 8" xfId="5187" xr:uid="{00000000-0005-0000-0000-000006140000}"/>
    <cellStyle name="Normal 10 2 10 34 4 9" xfId="5188" xr:uid="{00000000-0005-0000-0000-000007140000}"/>
    <cellStyle name="Normal 10 2 10 34 5" xfId="5189" xr:uid="{00000000-0005-0000-0000-000008140000}"/>
    <cellStyle name="Normal 10 2 10 34 5 10" xfId="5190" xr:uid="{00000000-0005-0000-0000-000009140000}"/>
    <cellStyle name="Normal 10 2 10 34 5 2" xfId="5191" xr:uid="{00000000-0005-0000-0000-00000A140000}"/>
    <cellStyle name="Normal 10 2 10 34 5 3" xfId="5192" xr:uid="{00000000-0005-0000-0000-00000B140000}"/>
    <cellStyle name="Normal 10 2 10 34 5 4" xfId="5193" xr:uid="{00000000-0005-0000-0000-00000C140000}"/>
    <cellStyle name="Normal 10 2 10 34 5 5" xfId="5194" xr:uid="{00000000-0005-0000-0000-00000D140000}"/>
    <cellStyle name="Normal 10 2 10 34 5 6" xfId="5195" xr:uid="{00000000-0005-0000-0000-00000E140000}"/>
    <cellStyle name="Normal 10 2 10 34 5 7" xfId="5196" xr:uid="{00000000-0005-0000-0000-00000F140000}"/>
    <cellStyle name="Normal 10 2 10 34 5 8" xfId="5197" xr:uid="{00000000-0005-0000-0000-000010140000}"/>
    <cellStyle name="Normal 10 2 10 34 5 9" xfId="5198" xr:uid="{00000000-0005-0000-0000-000011140000}"/>
    <cellStyle name="Normal 10 2 10 34 6" xfId="5199" xr:uid="{00000000-0005-0000-0000-000012140000}"/>
    <cellStyle name="Normal 10 2 10 34 7" xfId="5200" xr:uid="{00000000-0005-0000-0000-000013140000}"/>
    <cellStyle name="Normal 10 2 10 34 8" xfId="5201" xr:uid="{00000000-0005-0000-0000-000014140000}"/>
    <cellStyle name="Normal 10 2 10 34 9" xfId="5202" xr:uid="{00000000-0005-0000-0000-000015140000}"/>
    <cellStyle name="Normal 10 2 10 35" xfId="5203" xr:uid="{00000000-0005-0000-0000-000016140000}"/>
    <cellStyle name="Normal 10 2 10 35 10" xfId="5204" xr:uid="{00000000-0005-0000-0000-000017140000}"/>
    <cellStyle name="Normal 10 2 10 35 2" xfId="5205" xr:uid="{00000000-0005-0000-0000-000018140000}"/>
    <cellStyle name="Normal 10 2 10 35 3" xfId="5206" xr:uid="{00000000-0005-0000-0000-000019140000}"/>
    <cellStyle name="Normal 10 2 10 35 4" xfId="5207" xr:uid="{00000000-0005-0000-0000-00001A140000}"/>
    <cellStyle name="Normal 10 2 10 35 5" xfId="5208" xr:uid="{00000000-0005-0000-0000-00001B140000}"/>
    <cellStyle name="Normal 10 2 10 35 6" xfId="5209" xr:uid="{00000000-0005-0000-0000-00001C140000}"/>
    <cellStyle name="Normal 10 2 10 35 7" xfId="5210" xr:uid="{00000000-0005-0000-0000-00001D140000}"/>
    <cellStyle name="Normal 10 2 10 35 8" xfId="5211" xr:uid="{00000000-0005-0000-0000-00001E140000}"/>
    <cellStyle name="Normal 10 2 10 35 9" xfId="5212" xr:uid="{00000000-0005-0000-0000-00001F140000}"/>
    <cellStyle name="Normal 10 2 10 36" xfId="5213" xr:uid="{00000000-0005-0000-0000-000020140000}"/>
    <cellStyle name="Normal 10 2 10 36 10" xfId="5214" xr:uid="{00000000-0005-0000-0000-000021140000}"/>
    <cellStyle name="Normal 10 2 10 36 2" xfId="5215" xr:uid="{00000000-0005-0000-0000-000022140000}"/>
    <cellStyle name="Normal 10 2 10 36 3" xfId="5216" xr:uid="{00000000-0005-0000-0000-000023140000}"/>
    <cellStyle name="Normal 10 2 10 36 4" xfId="5217" xr:uid="{00000000-0005-0000-0000-000024140000}"/>
    <cellStyle name="Normal 10 2 10 36 5" xfId="5218" xr:uid="{00000000-0005-0000-0000-000025140000}"/>
    <cellStyle name="Normal 10 2 10 36 6" xfId="5219" xr:uid="{00000000-0005-0000-0000-000026140000}"/>
    <cellStyle name="Normal 10 2 10 36 7" xfId="5220" xr:uid="{00000000-0005-0000-0000-000027140000}"/>
    <cellStyle name="Normal 10 2 10 36 8" xfId="5221" xr:uid="{00000000-0005-0000-0000-000028140000}"/>
    <cellStyle name="Normal 10 2 10 36 9" xfId="5222" xr:uid="{00000000-0005-0000-0000-000029140000}"/>
    <cellStyle name="Normal 10 2 10 37" xfId="5223" xr:uid="{00000000-0005-0000-0000-00002A140000}"/>
    <cellStyle name="Normal 10 2 10 37 10" xfId="5224" xr:uid="{00000000-0005-0000-0000-00002B140000}"/>
    <cellStyle name="Normal 10 2 10 37 2" xfId="5225" xr:uid="{00000000-0005-0000-0000-00002C140000}"/>
    <cellStyle name="Normal 10 2 10 37 3" xfId="5226" xr:uid="{00000000-0005-0000-0000-00002D140000}"/>
    <cellStyle name="Normal 10 2 10 37 4" xfId="5227" xr:uid="{00000000-0005-0000-0000-00002E140000}"/>
    <cellStyle name="Normal 10 2 10 37 5" xfId="5228" xr:uid="{00000000-0005-0000-0000-00002F140000}"/>
    <cellStyle name="Normal 10 2 10 37 6" xfId="5229" xr:uid="{00000000-0005-0000-0000-000030140000}"/>
    <cellStyle name="Normal 10 2 10 37 7" xfId="5230" xr:uid="{00000000-0005-0000-0000-000031140000}"/>
    <cellStyle name="Normal 10 2 10 37 8" xfId="5231" xr:uid="{00000000-0005-0000-0000-000032140000}"/>
    <cellStyle name="Normal 10 2 10 37 9" xfId="5232" xr:uid="{00000000-0005-0000-0000-000033140000}"/>
    <cellStyle name="Normal 10 2 10 38" xfId="5233" xr:uid="{00000000-0005-0000-0000-000034140000}"/>
    <cellStyle name="Normal 10 2 10 38 10" xfId="5234" xr:uid="{00000000-0005-0000-0000-000035140000}"/>
    <cellStyle name="Normal 10 2 10 38 2" xfId="5235" xr:uid="{00000000-0005-0000-0000-000036140000}"/>
    <cellStyle name="Normal 10 2 10 38 3" xfId="5236" xr:uid="{00000000-0005-0000-0000-000037140000}"/>
    <cellStyle name="Normal 10 2 10 38 4" xfId="5237" xr:uid="{00000000-0005-0000-0000-000038140000}"/>
    <cellStyle name="Normal 10 2 10 38 5" xfId="5238" xr:uid="{00000000-0005-0000-0000-000039140000}"/>
    <cellStyle name="Normal 10 2 10 38 6" xfId="5239" xr:uid="{00000000-0005-0000-0000-00003A140000}"/>
    <cellStyle name="Normal 10 2 10 38 7" xfId="5240" xr:uid="{00000000-0005-0000-0000-00003B140000}"/>
    <cellStyle name="Normal 10 2 10 38 8" xfId="5241" xr:uid="{00000000-0005-0000-0000-00003C140000}"/>
    <cellStyle name="Normal 10 2 10 38 9" xfId="5242" xr:uid="{00000000-0005-0000-0000-00003D140000}"/>
    <cellStyle name="Normal 10 2 10 39" xfId="5243" xr:uid="{00000000-0005-0000-0000-00003E140000}"/>
    <cellStyle name="Normal 10 2 10 4" xfId="5244" xr:uid="{00000000-0005-0000-0000-00003F140000}"/>
    <cellStyle name="Normal 10 2 10 4 10" xfId="5245" xr:uid="{00000000-0005-0000-0000-000040140000}"/>
    <cellStyle name="Normal 10 2 10 4 11" xfId="5246" xr:uid="{00000000-0005-0000-0000-000041140000}"/>
    <cellStyle name="Normal 10 2 10 4 12" xfId="5247" xr:uid="{00000000-0005-0000-0000-000042140000}"/>
    <cellStyle name="Normal 10 2 10 4 13" xfId="5248" xr:uid="{00000000-0005-0000-0000-000043140000}"/>
    <cellStyle name="Normal 10 2 10 4 14" xfId="5249" xr:uid="{00000000-0005-0000-0000-000044140000}"/>
    <cellStyle name="Normal 10 2 10 4 2" xfId="5250" xr:uid="{00000000-0005-0000-0000-000045140000}"/>
    <cellStyle name="Normal 10 2 10 4 2 10" xfId="5251" xr:uid="{00000000-0005-0000-0000-000046140000}"/>
    <cellStyle name="Normal 10 2 10 4 2 2" xfId="5252" xr:uid="{00000000-0005-0000-0000-000047140000}"/>
    <cellStyle name="Normal 10 2 10 4 2 3" xfId="5253" xr:uid="{00000000-0005-0000-0000-000048140000}"/>
    <cellStyle name="Normal 10 2 10 4 2 4" xfId="5254" xr:uid="{00000000-0005-0000-0000-000049140000}"/>
    <cellStyle name="Normal 10 2 10 4 2 5" xfId="5255" xr:uid="{00000000-0005-0000-0000-00004A140000}"/>
    <cellStyle name="Normal 10 2 10 4 2 6" xfId="5256" xr:uid="{00000000-0005-0000-0000-00004B140000}"/>
    <cellStyle name="Normal 10 2 10 4 2 7" xfId="5257" xr:uid="{00000000-0005-0000-0000-00004C140000}"/>
    <cellStyle name="Normal 10 2 10 4 2 8" xfId="5258" xr:uid="{00000000-0005-0000-0000-00004D140000}"/>
    <cellStyle name="Normal 10 2 10 4 2 9" xfId="5259" xr:uid="{00000000-0005-0000-0000-00004E140000}"/>
    <cellStyle name="Normal 10 2 10 4 3" xfId="5260" xr:uid="{00000000-0005-0000-0000-00004F140000}"/>
    <cellStyle name="Normal 10 2 10 4 3 10" xfId="5261" xr:uid="{00000000-0005-0000-0000-000050140000}"/>
    <cellStyle name="Normal 10 2 10 4 3 2" xfId="5262" xr:uid="{00000000-0005-0000-0000-000051140000}"/>
    <cellStyle name="Normal 10 2 10 4 3 3" xfId="5263" xr:uid="{00000000-0005-0000-0000-000052140000}"/>
    <cellStyle name="Normal 10 2 10 4 3 4" xfId="5264" xr:uid="{00000000-0005-0000-0000-000053140000}"/>
    <cellStyle name="Normal 10 2 10 4 3 5" xfId="5265" xr:uid="{00000000-0005-0000-0000-000054140000}"/>
    <cellStyle name="Normal 10 2 10 4 3 6" xfId="5266" xr:uid="{00000000-0005-0000-0000-000055140000}"/>
    <cellStyle name="Normal 10 2 10 4 3 7" xfId="5267" xr:uid="{00000000-0005-0000-0000-000056140000}"/>
    <cellStyle name="Normal 10 2 10 4 3 8" xfId="5268" xr:uid="{00000000-0005-0000-0000-000057140000}"/>
    <cellStyle name="Normal 10 2 10 4 3 9" xfId="5269" xr:uid="{00000000-0005-0000-0000-000058140000}"/>
    <cellStyle name="Normal 10 2 10 4 4" xfId="5270" xr:uid="{00000000-0005-0000-0000-000059140000}"/>
    <cellStyle name="Normal 10 2 10 4 4 10" xfId="5271" xr:uid="{00000000-0005-0000-0000-00005A140000}"/>
    <cellStyle name="Normal 10 2 10 4 4 2" xfId="5272" xr:uid="{00000000-0005-0000-0000-00005B140000}"/>
    <cellStyle name="Normal 10 2 10 4 4 3" xfId="5273" xr:uid="{00000000-0005-0000-0000-00005C140000}"/>
    <cellStyle name="Normal 10 2 10 4 4 4" xfId="5274" xr:uid="{00000000-0005-0000-0000-00005D140000}"/>
    <cellStyle name="Normal 10 2 10 4 4 5" xfId="5275" xr:uid="{00000000-0005-0000-0000-00005E140000}"/>
    <cellStyle name="Normal 10 2 10 4 4 6" xfId="5276" xr:uid="{00000000-0005-0000-0000-00005F140000}"/>
    <cellStyle name="Normal 10 2 10 4 4 7" xfId="5277" xr:uid="{00000000-0005-0000-0000-000060140000}"/>
    <cellStyle name="Normal 10 2 10 4 4 8" xfId="5278" xr:uid="{00000000-0005-0000-0000-000061140000}"/>
    <cellStyle name="Normal 10 2 10 4 4 9" xfId="5279" xr:uid="{00000000-0005-0000-0000-000062140000}"/>
    <cellStyle name="Normal 10 2 10 4 5" xfId="5280" xr:uid="{00000000-0005-0000-0000-000063140000}"/>
    <cellStyle name="Normal 10 2 10 4 5 10" xfId="5281" xr:uid="{00000000-0005-0000-0000-000064140000}"/>
    <cellStyle name="Normal 10 2 10 4 5 2" xfId="5282" xr:uid="{00000000-0005-0000-0000-000065140000}"/>
    <cellStyle name="Normal 10 2 10 4 5 3" xfId="5283" xr:uid="{00000000-0005-0000-0000-000066140000}"/>
    <cellStyle name="Normal 10 2 10 4 5 4" xfId="5284" xr:uid="{00000000-0005-0000-0000-000067140000}"/>
    <cellStyle name="Normal 10 2 10 4 5 5" xfId="5285" xr:uid="{00000000-0005-0000-0000-000068140000}"/>
    <cellStyle name="Normal 10 2 10 4 5 6" xfId="5286" xr:uid="{00000000-0005-0000-0000-000069140000}"/>
    <cellStyle name="Normal 10 2 10 4 5 7" xfId="5287" xr:uid="{00000000-0005-0000-0000-00006A140000}"/>
    <cellStyle name="Normal 10 2 10 4 5 8" xfId="5288" xr:uid="{00000000-0005-0000-0000-00006B140000}"/>
    <cellStyle name="Normal 10 2 10 4 5 9" xfId="5289" xr:uid="{00000000-0005-0000-0000-00006C140000}"/>
    <cellStyle name="Normal 10 2 10 4 6" xfId="5290" xr:uid="{00000000-0005-0000-0000-00006D140000}"/>
    <cellStyle name="Normal 10 2 10 4 7" xfId="5291" xr:uid="{00000000-0005-0000-0000-00006E140000}"/>
    <cellStyle name="Normal 10 2 10 4 8" xfId="5292" xr:uid="{00000000-0005-0000-0000-00006F140000}"/>
    <cellStyle name="Normal 10 2 10 4 9" xfId="5293" xr:uid="{00000000-0005-0000-0000-000070140000}"/>
    <cellStyle name="Normal 10 2 10 40" xfId="5294" xr:uid="{00000000-0005-0000-0000-000071140000}"/>
    <cellStyle name="Normal 10 2 10 41" xfId="5295" xr:uid="{00000000-0005-0000-0000-000072140000}"/>
    <cellStyle name="Normal 10 2 10 42" xfId="5296" xr:uid="{00000000-0005-0000-0000-000073140000}"/>
    <cellStyle name="Normal 10 2 10 43" xfId="5297" xr:uid="{00000000-0005-0000-0000-000074140000}"/>
    <cellStyle name="Normal 10 2 10 44" xfId="5298" xr:uid="{00000000-0005-0000-0000-000075140000}"/>
    <cellStyle name="Normal 10 2 10 45" xfId="5299" xr:uid="{00000000-0005-0000-0000-000076140000}"/>
    <cellStyle name="Normal 10 2 10 46" xfId="5300" xr:uid="{00000000-0005-0000-0000-000077140000}"/>
    <cellStyle name="Normal 10 2 10 47" xfId="5301" xr:uid="{00000000-0005-0000-0000-000078140000}"/>
    <cellStyle name="Normal 10 2 10 48" xfId="5302" xr:uid="{00000000-0005-0000-0000-000079140000}"/>
    <cellStyle name="Normal 10 2 10 49" xfId="5303" xr:uid="{00000000-0005-0000-0000-00007A140000}"/>
    <cellStyle name="Normal 10 2 10 5" xfId="5304" xr:uid="{00000000-0005-0000-0000-00007B140000}"/>
    <cellStyle name="Normal 10 2 10 5 10" xfId="5305" xr:uid="{00000000-0005-0000-0000-00007C140000}"/>
    <cellStyle name="Normal 10 2 10 5 11" xfId="5306" xr:uid="{00000000-0005-0000-0000-00007D140000}"/>
    <cellStyle name="Normal 10 2 10 5 12" xfId="5307" xr:uid="{00000000-0005-0000-0000-00007E140000}"/>
    <cellStyle name="Normal 10 2 10 5 13" xfId="5308" xr:uid="{00000000-0005-0000-0000-00007F140000}"/>
    <cellStyle name="Normal 10 2 10 5 14" xfId="5309" xr:uid="{00000000-0005-0000-0000-000080140000}"/>
    <cellStyle name="Normal 10 2 10 5 2" xfId="5310" xr:uid="{00000000-0005-0000-0000-000081140000}"/>
    <cellStyle name="Normal 10 2 10 5 2 10" xfId="5311" xr:uid="{00000000-0005-0000-0000-000082140000}"/>
    <cellStyle name="Normal 10 2 10 5 2 2" xfId="5312" xr:uid="{00000000-0005-0000-0000-000083140000}"/>
    <cellStyle name="Normal 10 2 10 5 2 3" xfId="5313" xr:uid="{00000000-0005-0000-0000-000084140000}"/>
    <cellStyle name="Normal 10 2 10 5 2 4" xfId="5314" xr:uid="{00000000-0005-0000-0000-000085140000}"/>
    <cellStyle name="Normal 10 2 10 5 2 5" xfId="5315" xr:uid="{00000000-0005-0000-0000-000086140000}"/>
    <cellStyle name="Normal 10 2 10 5 2 6" xfId="5316" xr:uid="{00000000-0005-0000-0000-000087140000}"/>
    <cellStyle name="Normal 10 2 10 5 2 7" xfId="5317" xr:uid="{00000000-0005-0000-0000-000088140000}"/>
    <cellStyle name="Normal 10 2 10 5 2 8" xfId="5318" xr:uid="{00000000-0005-0000-0000-000089140000}"/>
    <cellStyle name="Normal 10 2 10 5 2 9" xfId="5319" xr:uid="{00000000-0005-0000-0000-00008A140000}"/>
    <cellStyle name="Normal 10 2 10 5 3" xfId="5320" xr:uid="{00000000-0005-0000-0000-00008B140000}"/>
    <cellStyle name="Normal 10 2 10 5 3 10" xfId="5321" xr:uid="{00000000-0005-0000-0000-00008C140000}"/>
    <cellStyle name="Normal 10 2 10 5 3 2" xfId="5322" xr:uid="{00000000-0005-0000-0000-00008D140000}"/>
    <cellStyle name="Normal 10 2 10 5 3 3" xfId="5323" xr:uid="{00000000-0005-0000-0000-00008E140000}"/>
    <cellStyle name="Normal 10 2 10 5 3 4" xfId="5324" xr:uid="{00000000-0005-0000-0000-00008F140000}"/>
    <cellStyle name="Normal 10 2 10 5 3 5" xfId="5325" xr:uid="{00000000-0005-0000-0000-000090140000}"/>
    <cellStyle name="Normal 10 2 10 5 3 6" xfId="5326" xr:uid="{00000000-0005-0000-0000-000091140000}"/>
    <cellStyle name="Normal 10 2 10 5 3 7" xfId="5327" xr:uid="{00000000-0005-0000-0000-000092140000}"/>
    <cellStyle name="Normal 10 2 10 5 3 8" xfId="5328" xr:uid="{00000000-0005-0000-0000-000093140000}"/>
    <cellStyle name="Normal 10 2 10 5 3 9" xfId="5329" xr:uid="{00000000-0005-0000-0000-000094140000}"/>
    <cellStyle name="Normal 10 2 10 5 4" xfId="5330" xr:uid="{00000000-0005-0000-0000-000095140000}"/>
    <cellStyle name="Normal 10 2 10 5 4 10" xfId="5331" xr:uid="{00000000-0005-0000-0000-000096140000}"/>
    <cellStyle name="Normal 10 2 10 5 4 2" xfId="5332" xr:uid="{00000000-0005-0000-0000-000097140000}"/>
    <cellStyle name="Normal 10 2 10 5 4 3" xfId="5333" xr:uid="{00000000-0005-0000-0000-000098140000}"/>
    <cellStyle name="Normal 10 2 10 5 4 4" xfId="5334" xr:uid="{00000000-0005-0000-0000-000099140000}"/>
    <cellStyle name="Normal 10 2 10 5 4 5" xfId="5335" xr:uid="{00000000-0005-0000-0000-00009A140000}"/>
    <cellStyle name="Normal 10 2 10 5 4 6" xfId="5336" xr:uid="{00000000-0005-0000-0000-00009B140000}"/>
    <cellStyle name="Normal 10 2 10 5 4 7" xfId="5337" xr:uid="{00000000-0005-0000-0000-00009C140000}"/>
    <cellStyle name="Normal 10 2 10 5 4 8" xfId="5338" xr:uid="{00000000-0005-0000-0000-00009D140000}"/>
    <cellStyle name="Normal 10 2 10 5 4 9" xfId="5339" xr:uid="{00000000-0005-0000-0000-00009E140000}"/>
    <cellStyle name="Normal 10 2 10 5 5" xfId="5340" xr:uid="{00000000-0005-0000-0000-00009F140000}"/>
    <cellStyle name="Normal 10 2 10 5 5 10" xfId="5341" xr:uid="{00000000-0005-0000-0000-0000A0140000}"/>
    <cellStyle name="Normal 10 2 10 5 5 2" xfId="5342" xr:uid="{00000000-0005-0000-0000-0000A1140000}"/>
    <cellStyle name="Normal 10 2 10 5 5 3" xfId="5343" xr:uid="{00000000-0005-0000-0000-0000A2140000}"/>
    <cellStyle name="Normal 10 2 10 5 5 4" xfId="5344" xr:uid="{00000000-0005-0000-0000-0000A3140000}"/>
    <cellStyle name="Normal 10 2 10 5 5 5" xfId="5345" xr:uid="{00000000-0005-0000-0000-0000A4140000}"/>
    <cellStyle name="Normal 10 2 10 5 5 6" xfId="5346" xr:uid="{00000000-0005-0000-0000-0000A5140000}"/>
    <cellStyle name="Normal 10 2 10 5 5 7" xfId="5347" xr:uid="{00000000-0005-0000-0000-0000A6140000}"/>
    <cellStyle name="Normal 10 2 10 5 5 8" xfId="5348" xr:uid="{00000000-0005-0000-0000-0000A7140000}"/>
    <cellStyle name="Normal 10 2 10 5 5 9" xfId="5349" xr:uid="{00000000-0005-0000-0000-0000A8140000}"/>
    <cellStyle name="Normal 10 2 10 5 6" xfId="5350" xr:uid="{00000000-0005-0000-0000-0000A9140000}"/>
    <cellStyle name="Normal 10 2 10 5 7" xfId="5351" xr:uid="{00000000-0005-0000-0000-0000AA140000}"/>
    <cellStyle name="Normal 10 2 10 5 8" xfId="5352" xr:uid="{00000000-0005-0000-0000-0000AB140000}"/>
    <cellStyle name="Normal 10 2 10 5 9" xfId="5353" xr:uid="{00000000-0005-0000-0000-0000AC140000}"/>
    <cellStyle name="Normal 10 2 10 50" xfId="22" xr:uid="{00000000-0005-0000-0000-0000AD140000}"/>
    <cellStyle name="Normal 10 2 10 50 2" xfId="51" xr:uid="{00000000-0005-0000-0000-0000AE140000}"/>
    <cellStyle name="Normal 10 2 10 50 3" xfId="5354" xr:uid="{00000000-0005-0000-0000-0000AF140000}"/>
    <cellStyle name="Normal 10 2 10 51" xfId="2249" xr:uid="{00000000-0005-0000-0000-0000B0140000}"/>
    <cellStyle name="Normal 10 2 10 6" xfId="5355" xr:uid="{00000000-0005-0000-0000-0000B1140000}"/>
    <cellStyle name="Normal 10 2 10 6 10" xfId="5356" xr:uid="{00000000-0005-0000-0000-0000B2140000}"/>
    <cellStyle name="Normal 10 2 10 6 11" xfId="5357" xr:uid="{00000000-0005-0000-0000-0000B3140000}"/>
    <cellStyle name="Normal 10 2 10 6 12" xfId="5358" xr:uid="{00000000-0005-0000-0000-0000B4140000}"/>
    <cellStyle name="Normal 10 2 10 6 13" xfId="5359" xr:uid="{00000000-0005-0000-0000-0000B5140000}"/>
    <cellStyle name="Normal 10 2 10 6 14" xfId="5360" xr:uid="{00000000-0005-0000-0000-0000B6140000}"/>
    <cellStyle name="Normal 10 2 10 6 2" xfId="5361" xr:uid="{00000000-0005-0000-0000-0000B7140000}"/>
    <cellStyle name="Normal 10 2 10 6 2 10" xfId="5362" xr:uid="{00000000-0005-0000-0000-0000B8140000}"/>
    <cellStyle name="Normal 10 2 10 6 2 2" xfId="5363" xr:uid="{00000000-0005-0000-0000-0000B9140000}"/>
    <cellStyle name="Normal 10 2 10 6 2 3" xfId="5364" xr:uid="{00000000-0005-0000-0000-0000BA140000}"/>
    <cellStyle name="Normal 10 2 10 6 2 4" xfId="5365" xr:uid="{00000000-0005-0000-0000-0000BB140000}"/>
    <cellStyle name="Normal 10 2 10 6 2 5" xfId="5366" xr:uid="{00000000-0005-0000-0000-0000BC140000}"/>
    <cellStyle name="Normal 10 2 10 6 2 6" xfId="5367" xr:uid="{00000000-0005-0000-0000-0000BD140000}"/>
    <cellStyle name="Normal 10 2 10 6 2 7" xfId="5368" xr:uid="{00000000-0005-0000-0000-0000BE140000}"/>
    <cellStyle name="Normal 10 2 10 6 2 8" xfId="5369" xr:uid="{00000000-0005-0000-0000-0000BF140000}"/>
    <cellStyle name="Normal 10 2 10 6 2 9" xfId="5370" xr:uid="{00000000-0005-0000-0000-0000C0140000}"/>
    <cellStyle name="Normal 10 2 10 6 3" xfId="5371" xr:uid="{00000000-0005-0000-0000-0000C1140000}"/>
    <cellStyle name="Normal 10 2 10 6 3 10" xfId="5372" xr:uid="{00000000-0005-0000-0000-0000C2140000}"/>
    <cellStyle name="Normal 10 2 10 6 3 2" xfId="5373" xr:uid="{00000000-0005-0000-0000-0000C3140000}"/>
    <cellStyle name="Normal 10 2 10 6 3 3" xfId="5374" xr:uid="{00000000-0005-0000-0000-0000C4140000}"/>
    <cellStyle name="Normal 10 2 10 6 3 4" xfId="5375" xr:uid="{00000000-0005-0000-0000-0000C5140000}"/>
    <cellStyle name="Normal 10 2 10 6 3 5" xfId="5376" xr:uid="{00000000-0005-0000-0000-0000C6140000}"/>
    <cellStyle name="Normal 10 2 10 6 3 6" xfId="5377" xr:uid="{00000000-0005-0000-0000-0000C7140000}"/>
    <cellStyle name="Normal 10 2 10 6 3 7" xfId="5378" xr:uid="{00000000-0005-0000-0000-0000C8140000}"/>
    <cellStyle name="Normal 10 2 10 6 3 8" xfId="5379" xr:uid="{00000000-0005-0000-0000-0000C9140000}"/>
    <cellStyle name="Normal 10 2 10 6 3 9" xfId="5380" xr:uid="{00000000-0005-0000-0000-0000CA140000}"/>
    <cellStyle name="Normal 10 2 10 6 4" xfId="5381" xr:uid="{00000000-0005-0000-0000-0000CB140000}"/>
    <cellStyle name="Normal 10 2 10 6 4 10" xfId="5382" xr:uid="{00000000-0005-0000-0000-0000CC140000}"/>
    <cellStyle name="Normal 10 2 10 6 4 2" xfId="5383" xr:uid="{00000000-0005-0000-0000-0000CD140000}"/>
    <cellStyle name="Normal 10 2 10 6 4 3" xfId="5384" xr:uid="{00000000-0005-0000-0000-0000CE140000}"/>
    <cellStyle name="Normal 10 2 10 6 4 4" xfId="5385" xr:uid="{00000000-0005-0000-0000-0000CF140000}"/>
    <cellStyle name="Normal 10 2 10 6 4 5" xfId="5386" xr:uid="{00000000-0005-0000-0000-0000D0140000}"/>
    <cellStyle name="Normal 10 2 10 6 4 6" xfId="5387" xr:uid="{00000000-0005-0000-0000-0000D1140000}"/>
    <cellStyle name="Normal 10 2 10 6 4 7" xfId="5388" xr:uid="{00000000-0005-0000-0000-0000D2140000}"/>
    <cellStyle name="Normal 10 2 10 6 4 8" xfId="5389" xr:uid="{00000000-0005-0000-0000-0000D3140000}"/>
    <cellStyle name="Normal 10 2 10 6 4 9" xfId="5390" xr:uid="{00000000-0005-0000-0000-0000D4140000}"/>
    <cellStyle name="Normal 10 2 10 6 5" xfId="5391" xr:uid="{00000000-0005-0000-0000-0000D5140000}"/>
    <cellStyle name="Normal 10 2 10 6 5 10" xfId="5392" xr:uid="{00000000-0005-0000-0000-0000D6140000}"/>
    <cellStyle name="Normal 10 2 10 6 5 2" xfId="5393" xr:uid="{00000000-0005-0000-0000-0000D7140000}"/>
    <cellStyle name="Normal 10 2 10 6 5 3" xfId="5394" xr:uid="{00000000-0005-0000-0000-0000D8140000}"/>
    <cellStyle name="Normal 10 2 10 6 5 4" xfId="5395" xr:uid="{00000000-0005-0000-0000-0000D9140000}"/>
    <cellStyle name="Normal 10 2 10 6 5 5" xfId="5396" xr:uid="{00000000-0005-0000-0000-0000DA140000}"/>
    <cellStyle name="Normal 10 2 10 6 5 6" xfId="5397" xr:uid="{00000000-0005-0000-0000-0000DB140000}"/>
    <cellStyle name="Normal 10 2 10 6 5 7" xfId="5398" xr:uid="{00000000-0005-0000-0000-0000DC140000}"/>
    <cellStyle name="Normal 10 2 10 6 5 8" xfId="5399" xr:uid="{00000000-0005-0000-0000-0000DD140000}"/>
    <cellStyle name="Normal 10 2 10 6 5 9" xfId="5400" xr:uid="{00000000-0005-0000-0000-0000DE140000}"/>
    <cellStyle name="Normal 10 2 10 6 6" xfId="5401" xr:uid="{00000000-0005-0000-0000-0000DF140000}"/>
    <cellStyle name="Normal 10 2 10 6 7" xfId="5402" xr:uid="{00000000-0005-0000-0000-0000E0140000}"/>
    <cellStyle name="Normal 10 2 10 6 8" xfId="5403" xr:uid="{00000000-0005-0000-0000-0000E1140000}"/>
    <cellStyle name="Normal 10 2 10 6 9" xfId="5404" xr:uid="{00000000-0005-0000-0000-0000E2140000}"/>
    <cellStyle name="Normal 10 2 10 7" xfId="5405" xr:uid="{00000000-0005-0000-0000-0000E3140000}"/>
    <cellStyle name="Normal 10 2 10 7 10" xfId="5406" xr:uid="{00000000-0005-0000-0000-0000E4140000}"/>
    <cellStyle name="Normal 10 2 10 7 11" xfId="5407" xr:uid="{00000000-0005-0000-0000-0000E5140000}"/>
    <cellStyle name="Normal 10 2 10 7 12" xfId="5408" xr:uid="{00000000-0005-0000-0000-0000E6140000}"/>
    <cellStyle name="Normal 10 2 10 7 13" xfId="5409" xr:uid="{00000000-0005-0000-0000-0000E7140000}"/>
    <cellStyle name="Normal 10 2 10 7 14" xfId="5410" xr:uid="{00000000-0005-0000-0000-0000E8140000}"/>
    <cellStyle name="Normal 10 2 10 7 2" xfId="5411" xr:uid="{00000000-0005-0000-0000-0000E9140000}"/>
    <cellStyle name="Normal 10 2 10 7 2 10" xfId="5412" xr:uid="{00000000-0005-0000-0000-0000EA140000}"/>
    <cellStyle name="Normal 10 2 10 7 2 2" xfId="5413" xr:uid="{00000000-0005-0000-0000-0000EB140000}"/>
    <cellStyle name="Normal 10 2 10 7 2 3" xfId="5414" xr:uid="{00000000-0005-0000-0000-0000EC140000}"/>
    <cellStyle name="Normal 10 2 10 7 2 4" xfId="5415" xr:uid="{00000000-0005-0000-0000-0000ED140000}"/>
    <cellStyle name="Normal 10 2 10 7 2 5" xfId="5416" xr:uid="{00000000-0005-0000-0000-0000EE140000}"/>
    <cellStyle name="Normal 10 2 10 7 2 6" xfId="5417" xr:uid="{00000000-0005-0000-0000-0000EF140000}"/>
    <cellStyle name="Normal 10 2 10 7 2 7" xfId="5418" xr:uid="{00000000-0005-0000-0000-0000F0140000}"/>
    <cellStyle name="Normal 10 2 10 7 2 8" xfId="5419" xr:uid="{00000000-0005-0000-0000-0000F1140000}"/>
    <cellStyle name="Normal 10 2 10 7 2 9" xfId="5420" xr:uid="{00000000-0005-0000-0000-0000F2140000}"/>
    <cellStyle name="Normal 10 2 10 7 3" xfId="5421" xr:uid="{00000000-0005-0000-0000-0000F3140000}"/>
    <cellStyle name="Normal 10 2 10 7 3 10" xfId="5422" xr:uid="{00000000-0005-0000-0000-0000F4140000}"/>
    <cellStyle name="Normal 10 2 10 7 3 2" xfId="5423" xr:uid="{00000000-0005-0000-0000-0000F5140000}"/>
    <cellStyle name="Normal 10 2 10 7 3 3" xfId="5424" xr:uid="{00000000-0005-0000-0000-0000F6140000}"/>
    <cellStyle name="Normal 10 2 10 7 3 4" xfId="5425" xr:uid="{00000000-0005-0000-0000-0000F7140000}"/>
    <cellStyle name="Normal 10 2 10 7 3 5" xfId="5426" xr:uid="{00000000-0005-0000-0000-0000F8140000}"/>
    <cellStyle name="Normal 10 2 10 7 3 6" xfId="5427" xr:uid="{00000000-0005-0000-0000-0000F9140000}"/>
    <cellStyle name="Normal 10 2 10 7 3 7" xfId="5428" xr:uid="{00000000-0005-0000-0000-0000FA140000}"/>
    <cellStyle name="Normal 10 2 10 7 3 8" xfId="5429" xr:uid="{00000000-0005-0000-0000-0000FB140000}"/>
    <cellStyle name="Normal 10 2 10 7 3 9" xfId="5430" xr:uid="{00000000-0005-0000-0000-0000FC140000}"/>
    <cellStyle name="Normal 10 2 10 7 4" xfId="5431" xr:uid="{00000000-0005-0000-0000-0000FD140000}"/>
    <cellStyle name="Normal 10 2 10 7 4 10" xfId="5432" xr:uid="{00000000-0005-0000-0000-0000FE140000}"/>
    <cellStyle name="Normal 10 2 10 7 4 2" xfId="5433" xr:uid="{00000000-0005-0000-0000-0000FF140000}"/>
    <cellStyle name="Normal 10 2 10 7 4 3" xfId="5434" xr:uid="{00000000-0005-0000-0000-000000150000}"/>
    <cellStyle name="Normal 10 2 10 7 4 4" xfId="5435" xr:uid="{00000000-0005-0000-0000-000001150000}"/>
    <cellStyle name="Normal 10 2 10 7 4 5" xfId="5436" xr:uid="{00000000-0005-0000-0000-000002150000}"/>
    <cellStyle name="Normal 10 2 10 7 4 6" xfId="5437" xr:uid="{00000000-0005-0000-0000-000003150000}"/>
    <cellStyle name="Normal 10 2 10 7 4 7" xfId="5438" xr:uid="{00000000-0005-0000-0000-000004150000}"/>
    <cellStyle name="Normal 10 2 10 7 4 8" xfId="5439" xr:uid="{00000000-0005-0000-0000-000005150000}"/>
    <cellStyle name="Normal 10 2 10 7 4 9" xfId="5440" xr:uid="{00000000-0005-0000-0000-000006150000}"/>
    <cellStyle name="Normal 10 2 10 7 5" xfId="5441" xr:uid="{00000000-0005-0000-0000-000007150000}"/>
    <cellStyle name="Normal 10 2 10 7 5 10" xfId="5442" xr:uid="{00000000-0005-0000-0000-000008150000}"/>
    <cellStyle name="Normal 10 2 10 7 5 2" xfId="5443" xr:uid="{00000000-0005-0000-0000-000009150000}"/>
    <cellStyle name="Normal 10 2 10 7 5 3" xfId="5444" xr:uid="{00000000-0005-0000-0000-00000A150000}"/>
    <cellStyle name="Normal 10 2 10 7 5 4" xfId="5445" xr:uid="{00000000-0005-0000-0000-00000B150000}"/>
    <cellStyle name="Normal 10 2 10 7 5 5" xfId="5446" xr:uid="{00000000-0005-0000-0000-00000C150000}"/>
    <cellStyle name="Normal 10 2 10 7 5 6" xfId="5447" xr:uid="{00000000-0005-0000-0000-00000D150000}"/>
    <cellStyle name="Normal 10 2 10 7 5 7" xfId="5448" xr:uid="{00000000-0005-0000-0000-00000E150000}"/>
    <cellStyle name="Normal 10 2 10 7 5 8" xfId="5449" xr:uid="{00000000-0005-0000-0000-00000F150000}"/>
    <cellStyle name="Normal 10 2 10 7 5 9" xfId="5450" xr:uid="{00000000-0005-0000-0000-000010150000}"/>
    <cellStyle name="Normal 10 2 10 7 6" xfId="5451" xr:uid="{00000000-0005-0000-0000-000011150000}"/>
    <cellStyle name="Normal 10 2 10 7 7" xfId="5452" xr:uid="{00000000-0005-0000-0000-000012150000}"/>
    <cellStyle name="Normal 10 2 10 7 8" xfId="5453" xr:uid="{00000000-0005-0000-0000-000013150000}"/>
    <cellStyle name="Normal 10 2 10 7 9" xfId="5454" xr:uid="{00000000-0005-0000-0000-000014150000}"/>
    <cellStyle name="Normal 10 2 10 8" xfId="5455" xr:uid="{00000000-0005-0000-0000-000015150000}"/>
    <cellStyle name="Normal 10 2 10 8 10" xfId="5456" xr:uid="{00000000-0005-0000-0000-000016150000}"/>
    <cellStyle name="Normal 10 2 10 8 11" xfId="5457" xr:uid="{00000000-0005-0000-0000-000017150000}"/>
    <cellStyle name="Normal 10 2 10 8 12" xfId="5458" xr:uid="{00000000-0005-0000-0000-000018150000}"/>
    <cellStyle name="Normal 10 2 10 8 13" xfId="5459" xr:uid="{00000000-0005-0000-0000-000019150000}"/>
    <cellStyle name="Normal 10 2 10 8 14" xfId="5460" xr:uid="{00000000-0005-0000-0000-00001A150000}"/>
    <cellStyle name="Normal 10 2 10 8 2" xfId="5461" xr:uid="{00000000-0005-0000-0000-00001B150000}"/>
    <cellStyle name="Normal 10 2 10 8 2 10" xfId="5462" xr:uid="{00000000-0005-0000-0000-00001C150000}"/>
    <cellStyle name="Normal 10 2 10 8 2 2" xfId="5463" xr:uid="{00000000-0005-0000-0000-00001D150000}"/>
    <cellStyle name="Normal 10 2 10 8 2 3" xfId="5464" xr:uid="{00000000-0005-0000-0000-00001E150000}"/>
    <cellStyle name="Normal 10 2 10 8 2 4" xfId="5465" xr:uid="{00000000-0005-0000-0000-00001F150000}"/>
    <cellStyle name="Normal 10 2 10 8 2 5" xfId="5466" xr:uid="{00000000-0005-0000-0000-000020150000}"/>
    <cellStyle name="Normal 10 2 10 8 2 6" xfId="5467" xr:uid="{00000000-0005-0000-0000-000021150000}"/>
    <cellStyle name="Normal 10 2 10 8 2 7" xfId="5468" xr:uid="{00000000-0005-0000-0000-000022150000}"/>
    <cellStyle name="Normal 10 2 10 8 2 8" xfId="5469" xr:uid="{00000000-0005-0000-0000-000023150000}"/>
    <cellStyle name="Normal 10 2 10 8 2 9" xfId="5470" xr:uid="{00000000-0005-0000-0000-000024150000}"/>
    <cellStyle name="Normal 10 2 10 8 3" xfId="5471" xr:uid="{00000000-0005-0000-0000-000025150000}"/>
    <cellStyle name="Normal 10 2 10 8 3 10" xfId="5472" xr:uid="{00000000-0005-0000-0000-000026150000}"/>
    <cellStyle name="Normal 10 2 10 8 3 2" xfId="5473" xr:uid="{00000000-0005-0000-0000-000027150000}"/>
    <cellStyle name="Normal 10 2 10 8 3 3" xfId="5474" xr:uid="{00000000-0005-0000-0000-000028150000}"/>
    <cellStyle name="Normal 10 2 10 8 3 4" xfId="5475" xr:uid="{00000000-0005-0000-0000-000029150000}"/>
    <cellStyle name="Normal 10 2 10 8 3 5" xfId="5476" xr:uid="{00000000-0005-0000-0000-00002A150000}"/>
    <cellStyle name="Normal 10 2 10 8 3 6" xfId="5477" xr:uid="{00000000-0005-0000-0000-00002B150000}"/>
    <cellStyle name="Normal 10 2 10 8 3 7" xfId="5478" xr:uid="{00000000-0005-0000-0000-00002C150000}"/>
    <cellStyle name="Normal 10 2 10 8 3 8" xfId="5479" xr:uid="{00000000-0005-0000-0000-00002D150000}"/>
    <cellStyle name="Normal 10 2 10 8 3 9" xfId="5480" xr:uid="{00000000-0005-0000-0000-00002E150000}"/>
    <cellStyle name="Normal 10 2 10 8 4" xfId="5481" xr:uid="{00000000-0005-0000-0000-00002F150000}"/>
    <cellStyle name="Normal 10 2 10 8 4 10" xfId="5482" xr:uid="{00000000-0005-0000-0000-000030150000}"/>
    <cellStyle name="Normal 10 2 10 8 4 2" xfId="5483" xr:uid="{00000000-0005-0000-0000-000031150000}"/>
    <cellStyle name="Normal 10 2 10 8 4 3" xfId="5484" xr:uid="{00000000-0005-0000-0000-000032150000}"/>
    <cellStyle name="Normal 10 2 10 8 4 4" xfId="5485" xr:uid="{00000000-0005-0000-0000-000033150000}"/>
    <cellStyle name="Normal 10 2 10 8 4 5" xfId="5486" xr:uid="{00000000-0005-0000-0000-000034150000}"/>
    <cellStyle name="Normal 10 2 10 8 4 6" xfId="5487" xr:uid="{00000000-0005-0000-0000-000035150000}"/>
    <cellStyle name="Normal 10 2 10 8 4 7" xfId="5488" xr:uid="{00000000-0005-0000-0000-000036150000}"/>
    <cellStyle name="Normal 10 2 10 8 4 8" xfId="5489" xr:uid="{00000000-0005-0000-0000-000037150000}"/>
    <cellStyle name="Normal 10 2 10 8 4 9" xfId="5490" xr:uid="{00000000-0005-0000-0000-000038150000}"/>
    <cellStyle name="Normal 10 2 10 8 5" xfId="5491" xr:uid="{00000000-0005-0000-0000-000039150000}"/>
    <cellStyle name="Normal 10 2 10 8 5 10" xfId="5492" xr:uid="{00000000-0005-0000-0000-00003A150000}"/>
    <cellStyle name="Normal 10 2 10 8 5 2" xfId="5493" xr:uid="{00000000-0005-0000-0000-00003B150000}"/>
    <cellStyle name="Normal 10 2 10 8 5 3" xfId="5494" xr:uid="{00000000-0005-0000-0000-00003C150000}"/>
    <cellStyle name="Normal 10 2 10 8 5 4" xfId="5495" xr:uid="{00000000-0005-0000-0000-00003D150000}"/>
    <cellStyle name="Normal 10 2 10 8 5 5" xfId="5496" xr:uid="{00000000-0005-0000-0000-00003E150000}"/>
    <cellStyle name="Normal 10 2 10 8 5 6" xfId="5497" xr:uid="{00000000-0005-0000-0000-00003F150000}"/>
    <cellStyle name="Normal 10 2 10 8 5 7" xfId="5498" xr:uid="{00000000-0005-0000-0000-000040150000}"/>
    <cellStyle name="Normal 10 2 10 8 5 8" xfId="5499" xr:uid="{00000000-0005-0000-0000-000041150000}"/>
    <cellStyle name="Normal 10 2 10 8 5 9" xfId="5500" xr:uid="{00000000-0005-0000-0000-000042150000}"/>
    <cellStyle name="Normal 10 2 10 8 6" xfId="5501" xr:uid="{00000000-0005-0000-0000-000043150000}"/>
    <cellStyle name="Normal 10 2 10 8 7" xfId="5502" xr:uid="{00000000-0005-0000-0000-000044150000}"/>
    <cellStyle name="Normal 10 2 10 8 8" xfId="5503" xr:uid="{00000000-0005-0000-0000-000045150000}"/>
    <cellStyle name="Normal 10 2 10 8 9" xfId="5504" xr:uid="{00000000-0005-0000-0000-000046150000}"/>
    <cellStyle name="Normal 10 2 10 9" xfId="5505" xr:uid="{00000000-0005-0000-0000-000047150000}"/>
    <cellStyle name="Normal 10 2 10 9 10" xfId="5506" xr:uid="{00000000-0005-0000-0000-000048150000}"/>
    <cellStyle name="Normal 10 2 10 9 11" xfId="5507" xr:uid="{00000000-0005-0000-0000-000049150000}"/>
    <cellStyle name="Normal 10 2 10 9 12" xfId="5508" xr:uid="{00000000-0005-0000-0000-00004A150000}"/>
    <cellStyle name="Normal 10 2 10 9 13" xfId="5509" xr:uid="{00000000-0005-0000-0000-00004B150000}"/>
    <cellStyle name="Normal 10 2 10 9 14" xfId="5510" xr:uid="{00000000-0005-0000-0000-00004C150000}"/>
    <cellStyle name="Normal 10 2 10 9 2" xfId="5511" xr:uid="{00000000-0005-0000-0000-00004D150000}"/>
    <cellStyle name="Normal 10 2 10 9 2 10" xfId="5512" xr:uid="{00000000-0005-0000-0000-00004E150000}"/>
    <cellStyle name="Normal 10 2 10 9 2 2" xfId="5513" xr:uid="{00000000-0005-0000-0000-00004F150000}"/>
    <cellStyle name="Normal 10 2 10 9 2 3" xfId="5514" xr:uid="{00000000-0005-0000-0000-000050150000}"/>
    <cellStyle name="Normal 10 2 10 9 2 4" xfId="5515" xr:uid="{00000000-0005-0000-0000-000051150000}"/>
    <cellStyle name="Normal 10 2 10 9 2 5" xfId="5516" xr:uid="{00000000-0005-0000-0000-000052150000}"/>
    <cellStyle name="Normal 10 2 10 9 2 6" xfId="5517" xr:uid="{00000000-0005-0000-0000-000053150000}"/>
    <cellStyle name="Normal 10 2 10 9 2 7" xfId="5518" xr:uid="{00000000-0005-0000-0000-000054150000}"/>
    <cellStyle name="Normal 10 2 10 9 2 8" xfId="5519" xr:uid="{00000000-0005-0000-0000-000055150000}"/>
    <cellStyle name="Normal 10 2 10 9 2 9" xfId="5520" xr:uid="{00000000-0005-0000-0000-000056150000}"/>
    <cellStyle name="Normal 10 2 10 9 3" xfId="5521" xr:uid="{00000000-0005-0000-0000-000057150000}"/>
    <cellStyle name="Normal 10 2 10 9 3 10" xfId="5522" xr:uid="{00000000-0005-0000-0000-000058150000}"/>
    <cellStyle name="Normal 10 2 10 9 3 2" xfId="5523" xr:uid="{00000000-0005-0000-0000-000059150000}"/>
    <cellStyle name="Normal 10 2 10 9 3 3" xfId="5524" xr:uid="{00000000-0005-0000-0000-00005A150000}"/>
    <cellStyle name="Normal 10 2 10 9 3 4" xfId="5525" xr:uid="{00000000-0005-0000-0000-00005B150000}"/>
    <cellStyle name="Normal 10 2 10 9 3 5" xfId="5526" xr:uid="{00000000-0005-0000-0000-00005C150000}"/>
    <cellStyle name="Normal 10 2 10 9 3 6" xfId="5527" xr:uid="{00000000-0005-0000-0000-00005D150000}"/>
    <cellStyle name="Normal 10 2 10 9 3 7" xfId="5528" xr:uid="{00000000-0005-0000-0000-00005E150000}"/>
    <cellStyle name="Normal 10 2 10 9 3 8" xfId="5529" xr:uid="{00000000-0005-0000-0000-00005F150000}"/>
    <cellStyle name="Normal 10 2 10 9 3 9" xfId="5530" xr:uid="{00000000-0005-0000-0000-000060150000}"/>
    <cellStyle name="Normal 10 2 10 9 4" xfId="5531" xr:uid="{00000000-0005-0000-0000-000061150000}"/>
    <cellStyle name="Normal 10 2 10 9 4 10" xfId="5532" xr:uid="{00000000-0005-0000-0000-000062150000}"/>
    <cellStyle name="Normal 10 2 10 9 4 2" xfId="5533" xr:uid="{00000000-0005-0000-0000-000063150000}"/>
    <cellStyle name="Normal 10 2 10 9 4 3" xfId="5534" xr:uid="{00000000-0005-0000-0000-000064150000}"/>
    <cellStyle name="Normal 10 2 10 9 4 4" xfId="5535" xr:uid="{00000000-0005-0000-0000-000065150000}"/>
    <cellStyle name="Normal 10 2 10 9 4 5" xfId="5536" xr:uid="{00000000-0005-0000-0000-000066150000}"/>
    <cellStyle name="Normal 10 2 10 9 4 6" xfId="5537" xr:uid="{00000000-0005-0000-0000-000067150000}"/>
    <cellStyle name="Normal 10 2 10 9 4 7" xfId="5538" xr:uid="{00000000-0005-0000-0000-000068150000}"/>
    <cellStyle name="Normal 10 2 10 9 4 8" xfId="5539" xr:uid="{00000000-0005-0000-0000-000069150000}"/>
    <cellStyle name="Normal 10 2 10 9 4 9" xfId="5540" xr:uid="{00000000-0005-0000-0000-00006A150000}"/>
    <cellStyle name="Normal 10 2 10 9 5" xfId="5541" xr:uid="{00000000-0005-0000-0000-00006B150000}"/>
    <cellStyle name="Normal 10 2 10 9 5 10" xfId="5542" xr:uid="{00000000-0005-0000-0000-00006C150000}"/>
    <cellStyle name="Normal 10 2 10 9 5 2" xfId="5543" xr:uid="{00000000-0005-0000-0000-00006D150000}"/>
    <cellStyle name="Normal 10 2 10 9 5 3" xfId="5544" xr:uid="{00000000-0005-0000-0000-00006E150000}"/>
    <cellStyle name="Normal 10 2 10 9 5 4" xfId="5545" xr:uid="{00000000-0005-0000-0000-00006F150000}"/>
    <cellStyle name="Normal 10 2 10 9 5 5" xfId="5546" xr:uid="{00000000-0005-0000-0000-000070150000}"/>
    <cellStyle name="Normal 10 2 10 9 5 6" xfId="5547" xr:uid="{00000000-0005-0000-0000-000071150000}"/>
    <cellStyle name="Normal 10 2 10 9 5 7" xfId="5548" xr:uid="{00000000-0005-0000-0000-000072150000}"/>
    <cellStyle name="Normal 10 2 10 9 5 8" xfId="5549" xr:uid="{00000000-0005-0000-0000-000073150000}"/>
    <cellStyle name="Normal 10 2 10 9 5 9" xfId="5550" xr:uid="{00000000-0005-0000-0000-000074150000}"/>
    <cellStyle name="Normal 10 2 10 9 6" xfId="5551" xr:uid="{00000000-0005-0000-0000-000075150000}"/>
    <cellStyle name="Normal 10 2 10 9 7" xfId="5552" xr:uid="{00000000-0005-0000-0000-000076150000}"/>
    <cellStyle name="Normal 10 2 10 9 8" xfId="5553" xr:uid="{00000000-0005-0000-0000-000077150000}"/>
    <cellStyle name="Normal 10 2 10 9 9" xfId="5554" xr:uid="{00000000-0005-0000-0000-000078150000}"/>
    <cellStyle name="Normal 10 2 11" xfId="5555" xr:uid="{00000000-0005-0000-0000-000079150000}"/>
    <cellStyle name="Normal 10 2 12" xfId="5556" xr:uid="{00000000-0005-0000-0000-00007A150000}"/>
    <cellStyle name="Normal 10 2 13" xfId="5557" xr:uid="{00000000-0005-0000-0000-00007B150000}"/>
    <cellStyle name="Normal 10 2 14" xfId="5558" xr:uid="{00000000-0005-0000-0000-00007C150000}"/>
    <cellStyle name="Normal 10 2 15" xfId="5559" xr:uid="{00000000-0005-0000-0000-00007D150000}"/>
    <cellStyle name="Normal 10 2 16" xfId="5560" xr:uid="{00000000-0005-0000-0000-00007E150000}"/>
    <cellStyle name="Normal 10 2 17" xfId="5561" xr:uid="{00000000-0005-0000-0000-00007F150000}"/>
    <cellStyle name="Normal 10 2 18" xfId="5562" xr:uid="{00000000-0005-0000-0000-000080150000}"/>
    <cellStyle name="Normal 10 2 19" xfId="5563" xr:uid="{00000000-0005-0000-0000-000081150000}"/>
    <cellStyle name="Normal 10 2 2" xfId="5564" xr:uid="{00000000-0005-0000-0000-000082150000}"/>
    <cellStyle name="Normal 10 2 2 2" xfId="5565" xr:uid="{00000000-0005-0000-0000-000083150000}"/>
    <cellStyle name="Normal 10 2 2 2 2" xfId="5566" xr:uid="{00000000-0005-0000-0000-000084150000}"/>
    <cellStyle name="Normal 10 2 20" xfId="5567" xr:uid="{00000000-0005-0000-0000-000085150000}"/>
    <cellStyle name="Normal 10 2 21" xfId="5568" xr:uid="{00000000-0005-0000-0000-000086150000}"/>
    <cellStyle name="Normal 10 2 22" xfId="5569" xr:uid="{00000000-0005-0000-0000-000087150000}"/>
    <cellStyle name="Normal 10 2 23" xfId="5570" xr:uid="{00000000-0005-0000-0000-000088150000}"/>
    <cellStyle name="Normal 10 2 24" xfId="5571" xr:uid="{00000000-0005-0000-0000-000089150000}"/>
    <cellStyle name="Normal 10 2 25" xfId="5572" xr:uid="{00000000-0005-0000-0000-00008A150000}"/>
    <cellStyle name="Normal 10 2 26" xfId="5573" xr:uid="{00000000-0005-0000-0000-00008B150000}"/>
    <cellStyle name="Normal 10 2 27" xfId="5574" xr:uid="{00000000-0005-0000-0000-00008C150000}"/>
    <cellStyle name="Normal 10 2 28" xfId="5575" xr:uid="{00000000-0005-0000-0000-00008D150000}"/>
    <cellStyle name="Normal 10 2 29" xfId="5576" xr:uid="{00000000-0005-0000-0000-00008E150000}"/>
    <cellStyle name="Normal 10 2 3" xfId="5577" xr:uid="{00000000-0005-0000-0000-00008F150000}"/>
    <cellStyle name="Normal 10 2 30" xfId="5578" xr:uid="{00000000-0005-0000-0000-000090150000}"/>
    <cellStyle name="Normal 10 2 31" xfId="5579" xr:uid="{00000000-0005-0000-0000-000091150000}"/>
    <cellStyle name="Normal 10 2 32" xfId="5580" xr:uid="{00000000-0005-0000-0000-000092150000}"/>
    <cellStyle name="Normal 10 2 33" xfId="5581" xr:uid="{00000000-0005-0000-0000-000093150000}"/>
    <cellStyle name="Normal 10 2 34" xfId="5582" xr:uid="{00000000-0005-0000-0000-000094150000}"/>
    <cellStyle name="Normal 10 2 35" xfId="5583" xr:uid="{00000000-0005-0000-0000-000095150000}"/>
    <cellStyle name="Normal 10 2 36" xfId="5584" xr:uid="{00000000-0005-0000-0000-000096150000}"/>
    <cellStyle name="Normal 10 2 37" xfId="5585" xr:uid="{00000000-0005-0000-0000-000097150000}"/>
    <cellStyle name="Normal 10 2 38" xfId="5586" xr:uid="{00000000-0005-0000-0000-000098150000}"/>
    <cellStyle name="Normal 10 2 39" xfId="5587" xr:uid="{00000000-0005-0000-0000-000099150000}"/>
    <cellStyle name="Normal 10 2 4" xfId="5588" xr:uid="{00000000-0005-0000-0000-00009A150000}"/>
    <cellStyle name="Normal 10 2 40" xfId="5589" xr:uid="{00000000-0005-0000-0000-00009B150000}"/>
    <cellStyle name="Normal 10 2 41" xfId="5590" xr:uid="{00000000-0005-0000-0000-00009C150000}"/>
    <cellStyle name="Normal 10 2 42" xfId="5591" xr:uid="{00000000-0005-0000-0000-00009D150000}"/>
    <cellStyle name="Normal 10 2 43" xfId="5592" xr:uid="{00000000-0005-0000-0000-00009E150000}"/>
    <cellStyle name="Normal 10 2 44" xfId="5593" xr:uid="{00000000-0005-0000-0000-00009F150000}"/>
    <cellStyle name="Normal 10 2 45" xfId="5594" xr:uid="{00000000-0005-0000-0000-0000A0150000}"/>
    <cellStyle name="Normal 10 2 46" xfId="5595" xr:uid="{00000000-0005-0000-0000-0000A1150000}"/>
    <cellStyle name="Normal 10 2 47" xfId="5596" xr:uid="{00000000-0005-0000-0000-0000A2150000}"/>
    <cellStyle name="Normal 10 2 48" xfId="5597" xr:uid="{00000000-0005-0000-0000-0000A3150000}"/>
    <cellStyle name="Normal 10 2 49" xfId="5598" xr:uid="{00000000-0005-0000-0000-0000A4150000}"/>
    <cellStyle name="Normal 10 2 5" xfId="5599" xr:uid="{00000000-0005-0000-0000-0000A5150000}"/>
    <cellStyle name="Normal 10 2 50" xfId="5600" xr:uid="{00000000-0005-0000-0000-0000A6150000}"/>
    <cellStyle name="Normal 10 2 51" xfId="5601" xr:uid="{00000000-0005-0000-0000-0000A7150000}"/>
    <cellStyle name="Normal 10 2 52" xfId="5602" xr:uid="{00000000-0005-0000-0000-0000A8150000}"/>
    <cellStyle name="Normal 10 2 53" xfId="5603" xr:uid="{00000000-0005-0000-0000-0000A9150000}"/>
    <cellStyle name="Normal 10 2 54" xfId="5604" xr:uid="{00000000-0005-0000-0000-0000AA150000}"/>
    <cellStyle name="Normal 10 2 55" xfId="5605" xr:uid="{00000000-0005-0000-0000-0000AB150000}"/>
    <cellStyle name="Normal 10 2 56" xfId="5606" xr:uid="{00000000-0005-0000-0000-0000AC150000}"/>
    <cellStyle name="Normal 10 2 57" xfId="5607" xr:uid="{00000000-0005-0000-0000-0000AD150000}"/>
    <cellStyle name="Normal 10 2 58" xfId="5608" xr:uid="{00000000-0005-0000-0000-0000AE150000}"/>
    <cellStyle name="Normal 10 2 59" xfId="5609" xr:uid="{00000000-0005-0000-0000-0000AF150000}"/>
    <cellStyle name="Normal 10 2 6" xfId="5610" xr:uid="{00000000-0005-0000-0000-0000B0150000}"/>
    <cellStyle name="Normal 10 2 60" xfId="5611" xr:uid="{00000000-0005-0000-0000-0000B1150000}"/>
    <cellStyle name="Normal 10 2 61" xfId="5612" xr:uid="{00000000-0005-0000-0000-0000B2150000}"/>
    <cellStyle name="Normal 10 2 62" xfId="5613" xr:uid="{00000000-0005-0000-0000-0000B3150000}"/>
    <cellStyle name="Normal 10 2 63" xfId="5614" xr:uid="{00000000-0005-0000-0000-0000B4150000}"/>
    <cellStyle name="Normal 10 2 64" xfId="5615" xr:uid="{00000000-0005-0000-0000-0000B5150000}"/>
    <cellStyle name="Normal 10 2 65" xfId="5616" xr:uid="{00000000-0005-0000-0000-0000B6150000}"/>
    <cellStyle name="Normal 10 2 66" xfId="5617" xr:uid="{00000000-0005-0000-0000-0000B7150000}"/>
    <cellStyle name="Normal 10 2 67" xfId="5618" xr:uid="{00000000-0005-0000-0000-0000B8150000}"/>
    <cellStyle name="Normal 10 2 68" xfId="5619" xr:uid="{00000000-0005-0000-0000-0000B9150000}"/>
    <cellStyle name="Normal 10 2 69" xfId="5620" xr:uid="{00000000-0005-0000-0000-0000BA150000}"/>
    <cellStyle name="Normal 10 2 7" xfId="5621" xr:uid="{00000000-0005-0000-0000-0000BB150000}"/>
    <cellStyle name="Normal 10 2 70" xfId="5622" xr:uid="{00000000-0005-0000-0000-0000BC150000}"/>
    <cellStyle name="Normal 10 2 71" xfId="5623" xr:uid="{00000000-0005-0000-0000-0000BD150000}"/>
    <cellStyle name="Normal 10 2 72" xfId="5624" xr:uid="{00000000-0005-0000-0000-0000BE150000}"/>
    <cellStyle name="Normal 10 2 73" xfId="5625" xr:uid="{00000000-0005-0000-0000-0000BF150000}"/>
    <cellStyle name="Normal 10 2 74" xfId="5626" xr:uid="{00000000-0005-0000-0000-0000C0150000}"/>
    <cellStyle name="Normal 10 2 75" xfId="5627" xr:uid="{00000000-0005-0000-0000-0000C1150000}"/>
    <cellStyle name="Normal 10 2 76" xfId="5628" xr:uid="{00000000-0005-0000-0000-0000C2150000}"/>
    <cellStyle name="Normal 10 2 77" xfId="5629" xr:uid="{00000000-0005-0000-0000-0000C3150000}"/>
    <cellStyle name="Normal 10 2 78" xfId="5630" xr:uid="{00000000-0005-0000-0000-0000C4150000}"/>
    <cellStyle name="Normal 10 2 79" xfId="5631" xr:uid="{00000000-0005-0000-0000-0000C5150000}"/>
    <cellStyle name="Normal 10 2 8" xfId="5632" xr:uid="{00000000-0005-0000-0000-0000C6150000}"/>
    <cellStyle name="Normal 10 2 9" xfId="5633" xr:uid="{00000000-0005-0000-0000-0000C7150000}"/>
    <cellStyle name="Normal 10 2_Enlaces" xfId="5634" xr:uid="{00000000-0005-0000-0000-0000C8150000}"/>
    <cellStyle name="Normal 10 20" xfId="5635" xr:uid="{00000000-0005-0000-0000-0000C9150000}"/>
    <cellStyle name="Normal 10 21" xfId="5636" xr:uid="{00000000-0005-0000-0000-0000CA150000}"/>
    <cellStyle name="Normal 10 22" xfId="5637" xr:uid="{00000000-0005-0000-0000-0000CB150000}"/>
    <cellStyle name="Normal 10 23" xfId="5638" xr:uid="{00000000-0005-0000-0000-0000CC150000}"/>
    <cellStyle name="Normal 10 24" xfId="5639" xr:uid="{00000000-0005-0000-0000-0000CD150000}"/>
    <cellStyle name="Normal 10 25" xfId="5640" xr:uid="{00000000-0005-0000-0000-0000CE150000}"/>
    <cellStyle name="Normal 10 26" xfId="5641" xr:uid="{00000000-0005-0000-0000-0000CF150000}"/>
    <cellStyle name="Normal 10 27" xfId="5642" xr:uid="{00000000-0005-0000-0000-0000D0150000}"/>
    <cellStyle name="Normal 10 28" xfId="5643" xr:uid="{00000000-0005-0000-0000-0000D1150000}"/>
    <cellStyle name="Normal 10 29" xfId="5644" xr:uid="{00000000-0005-0000-0000-0000D2150000}"/>
    <cellStyle name="Normal 10 3" xfId="5645" xr:uid="{00000000-0005-0000-0000-0000D3150000}"/>
    <cellStyle name="Normal 10 3 2" xfId="5646" xr:uid="{00000000-0005-0000-0000-0000D4150000}"/>
    <cellStyle name="Normal 10 3 3" xfId="5647" xr:uid="{00000000-0005-0000-0000-0000D5150000}"/>
    <cellStyle name="Normal 10 3 4" xfId="5648" xr:uid="{00000000-0005-0000-0000-0000D6150000}"/>
    <cellStyle name="Normal 10 3 4 2" xfId="5649" xr:uid="{00000000-0005-0000-0000-0000D7150000}"/>
    <cellStyle name="Normal 10 3 4 2 2" xfId="5650" xr:uid="{00000000-0005-0000-0000-0000D8150000}"/>
    <cellStyle name="Normal 10 3 4 3" xfId="5651" xr:uid="{00000000-0005-0000-0000-0000D9150000}"/>
    <cellStyle name="Normal 10 3 5" xfId="5652" xr:uid="{00000000-0005-0000-0000-0000DA150000}"/>
    <cellStyle name="Normal 10 3 6" xfId="5653" xr:uid="{00000000-0005-0000-0000-0000DB150000}"/>
    <cellStyle name="Normal 10 3 7" xfId="5654" xr:uid="{00000000-0005-0000-0000-0000DC150000}"/>
    <cellStyle name="Normal 10 3 7 2" xfId="5655" xr:uid="{00000000-0005-0000-0000-0000DD150000}"/>
    <cellStyle name="Normal 10 3 8" xfId="5656" xr:uid="{00000000-0005-0000-0000-0000DE150000}"/>
    <cellStyle name="Normal 10 3 9" xfId="5657" xr:uid="{00000000-0005-0000-0000-0000DF150000}"/>
    <cellStyle name="Normal 10 3_Implem" xfId="5658" xr:uid="{00000000-0005-0000-0000-0000E0150000}"/>
    <cellStyle name="Normal 10 30" xfId="5659" xr:uid="{00000000-0005-0000-0000-0000E1150000}"/>
    <cellStyle name="Normal 10 31" xfId="5660" xr:uid="{00000000-0005-0000-0000-0000E2150000}"/>
    <cellStyle name="Normal 10 32" xfId="2237" xr:uid="{00000000-0005-0000-0000-0000E3150000}"/>
    <cellStyle name="Normal 10 4" xfId="5661" xr:uid="{00000000-0005-0000-0000-0000E4150000}"/>
    <cellStyle name="Normal 10 5" xfId="5662" xr:uid="{00000000-0005-0000-0000-0000E5150000}"/>
    <cellStyle name="Normal 10 6" xfId="5663" xr:uid="{00000000-0005-0000-0000-0000E6150000}"/>
    <cellStyle name="Normal 10 7" xfId="5664" xr:uid="{00000000-0005-0000-0000-0000E7150000}"/>
    <cellStyle name="Normal 10 8" xfId="5665" xr:uid="{00000000-0005-0000-0000-0000E8150000}"/>
    <cellStyle name="Normal 10 9" xfId="5666" xr:uid="{00000000-0005-0000-0000-0000E9150000}"/>
    <cellStyle name="Normal 100" xfId="5667" xr:uid="{00000000-0005-0000-0000-0000EA150000}"/>
    <cellStyle name="Normal 100 2" xfId="5668" xr:uid="{00000000-0005-0000-0000-0000EB150000}"/>
    <cellStyle name="Normal 100 3" xfId="5669" xr:uid="{00000000-0005-0000-0000-0000EC150000}"/>
    <cellStyle name="Normal 101" xfId="5670" xr:uid="{00000000-0005-0000-0000-0000ED150000}"/>
    <cellStyle name="Normal 101 2" xfId="5671" xr:uid="{00000000-0005-0000-0000-0000EE150000}"/>
    <cellStyle name="Normal 101 3" xfId="5672" xr:uid="{00000000-0005-0000-0000-0000EF150000}"/>
    <cellStyle name="Normal 102" xfId="5673" xr:uid="{00000000-0005-0000-0000-0000F0150000}"/>
    <cellStyle name="Normal 102 2" xfId="5674" xr:uid="{00000000-0005-0000-0000-0000F1150000}"/>
    <cellStyle name="Normal 102 3" xfId="5675" xr:uid="{00000000-0005-0000-0000-0000F2150000}"/>
    <cellStyle name="Normal 103" xfId="5676" xr:uid="{00000000-0005-0000-0000-0000F3150000}"/>
    <cellStyle name="Normal 103 2" xfId="5677" xr:uid="{00000000-0005-0000-0000-0000F4150000}"/>
    <cellStyle name="Normal 104" xfId="5678" xr:uid="{00000000-0005-0000-0000-0000F5150000}"/>
    <cellStyle name="Normal 104 2" xfId="5679" xr:uid="{00000000-0005-0000-0000-0000F6150000}"/>
    <cellStyle name="Normal 105" xfId="5680" xr:uid="{00000000-0005-0000-0000-0000F7150000}"/>
    <cellStyle name="Normal 105 2" xfId="5681" xr:uid="{00000000-0005-0000-0000-0000F8150000}"/>
    <cellStyle name="Normal 106" xfId="5682" xr:uid="{00000000-0005-0000-0000-0000F9150000}"/>
    <cellStyle name="Normal 106 2" xfId="5683" xr:uid="{00000000-0005-0000-0000-0000FA150000}"/>
    <cellStyle name="Normal 107" xfId="5684" xr:uid="{00000000-0005-0000-0000-0000FB150000}"/>
    <cellStyle name="Normal 107 2" xfId="5685" xr:uid="{00000000-0005-0000-0000-0000FC150000}"/>
    <cellStyle name="Normal 108" xfId="5686" xr:uid="{00000000-0005-0000-0000-0000FD150000}"/>
    <cellStyle name="Normal 108 2" xfId="5687" xr:uid="{00000000-0005-0000-0000-0000FE150000}"/>
    <cellStyle name="Normal 109" xfId="5688" xr:uid="{00000000-0005-0000-0000-0000FF150000}"/>
    <cellStyle name="Normal 109 2" xfId="5689" xr:uid="{00000000-0005-0000-0000-000000160000}"/>
    <cellStyle name="Normal 11" xfId="70" xr:uid="{00000000-0005-0000-0000-000001160000}"/>
    <cellStyle name="Normal 11 10" xfId="5691" xr:uid="{00000000-0005-0000-0000-000002160000}"/>
    <cellStyle name="Normal 11 11" xfId="5692" xr:uid="{00000000-0005-0000-0000-000003160000}"/>
    <cellStyle name="Normal 11 12" xfId="5693" xr:uid="{00000000-0005-0000-0000-000004160000}"/>
    <cellStyle name="Normal 11 13" xfId="5694" xr:uid="{00000000-0005-0000-0000-000005160000}"/>
    <cellStyle name="Normal 11 14" xfId="5695" xr:uid="{00000000-0005-0000-0000-000006160000}"/>
    <cellStyle name="Normal 11 15" xfId="5696" xr:uid="{00000000-0005-0000-0000-000007160000}"/>
    <cellStyle name="Normal 11 16" xfId="5697" xr:uid="{00000000-0005-0000-0000-000008160000}"/>
    <cellStyle name="Normal 11 17" xfId="5698" xr:uid="{00000000-0005-0000-0000-000009160000}"/>
    <cellStyle name="Normal 11 18" xfId="5699" xr:uid="{00000000-0005-0000-0000-00000A160000}"/>
    <cellStyle name="Normal 11 19" xfId="5700" xr:uid="{00000000-0005-0000-0000-00000B160000}"/>
    <cellStyle name="Normal 11 2" xfId="5701" xr:uid="{00000000-0005-0000-0000-00000C160000}"/>
    <cellStyle name="Normal 11 2 2" xfId="5702" xr:uid="{00000000-0005-0000-0000-00000D160000}"/>
    <cellStyle name="Normal 11 2 3" xfId="5703" xr:uid="{00000000-0005-0000-0000-00000E160000}"/>
    <cellStyle name="Normal 11 20" xfId="5704" xr:uid="{00000000-0005-0000-0000-00000F160000}"/>
    <cellStyle name="Normal 11 21" xfId="5705" xr:uid="{00000000-0005-0000-0000-000010160000}"/>
    <cellStyle name="Normal 11 22" xfId="5706" xr:uid="{00000000-0005-0000-0000-000011160000}"/>
    <cellStyle name="Normal 11 23" xfId="5707" xr:uid="{00000000-0005-0000-0000-000012160000}"/>
    <cellStyle name="Normal 11 24" xfId="5708" xr:uid="{00000000-0005-0000-0000-000013160000}"/>
    <cellStyle name="Normal 11 25" xfId="5709" xr:uid="{00000000-0005-0000-0000-000014160000}"/>
    <cellStyle name="Normal 11 26" xfId="5690" xr:uid="{00000000-0005-0000-0000-000015160000}"/>
    <cellStyle name="Normal 11 3" xfId="5710" xr:uid="{00000000-0005-0000-0000-000016160000}"/>
    <cellStyle name="Normal 11 3 2" xfId="5711" xr:uid="{00000000-0005-0000-0000-000017160000}"/>
    <cellStyle name="Normal 11 3 3" xfId="5712" xr:uid="{00000000-0005-0000-0000-000018160000}"/>
    <cellStyle name="Normal 11 4" xfId="5713" xr:uid="{00000000-0005-0000-0000-000019160000}"/>
    <cellStyle name="Normal 11 5" xfId="5714" xr:uid="{00000000-0005-0000-0000-00001A160000}"/>
    <cellStyle name="Normal 11 6" xfId="5715" xr:uid="{00000000-0005-0000-0000-00001B160000}"/>
    <cellStyle name="Normal 11 7" xfId="5716" xr:uid="{00000000-0005-0000-0000-00001C160000}"/>
    <cellStyle name="Normal 11 8" xfId="5717" xr:uid="{00000000-0005-0000-0000-00001D160000}"/>
    <cellStyle name="Normal 11 9" xfId="5718" xr:uid="{00000000-0005-0000-0000-00001E160000}"/>
    <cellStyle name="Normal 110" xfId="5719" xr:uid="{00000000-0005-0000-0000-00001F160000}"/>
    <cellStyle name="Normal 110 2" xfId="5720" xr:uid="{00000000-0005-0000-0000-000020160000}"/>
    <cellStyle name="Normal 111" xfId="5721" xr:uid="{00000000-0005-0000-0000-000021160000}"/>
    <cellStyle name="Normal 111 2" xfId="5722" xr:uid="{00000000-0005-0000-0000-000022160000}"/>
    <cellStyle name="Normal 112" xfId="5723" xr:uid="{00000000-0005-0000-0000-000023160000}"/>
    <cellStyle name="Normal 112 2" xfId="5724" xr:uid="{00000000-0005-0000-0000-000024160000}"/>
    <cellStyle name="Normal 113" xfId="5725" xr:uid="{00000000-0005-0000-0000-000025160000}"/>
    <cellStyle name="Normal 113 2" xfId="5726" xr:uid="{00000000-0005-0000-0000-000026160000}"/>
    <cellStyle name="Normal 114" xfId="5727" xr:uid="{00000000-0005-0000-0000-000027160000}"/>
    <cellStyle name="Normal 114 2" xfId="5728" xr:uid="{00000000-0005-0000-0000-000028160000}"/>
    <cellStyle name="Normal 115" xfId="5729" xr:uid="{00000000-0005-0000-0000-000029160000}"/>
    <cellStyle name="Normal 115 2" xfId="5730" xr:uid="{00000000-0005-0000-0000-00002A160000}"/>
    <cellStyle name="Normal 116" xfId="5731" xr:uid="{00000000-0005-0000-0000-00002B160000}"/>
    <cellStyle name="Normal 116 2" xfId="5732" xr:uid="{00000000-0005-0000-0000-00002C160000}"/>
    <cellStyle name="Normal 117" xfId="5733" xr:uid="{00000000-0005-0000-0000-00002D160000}"/>
    <cellStyle name="Normal 117 2" xfId="5734" xr:uid="{00000000-0005-0000-0000-00002E160000}"/>
    <cellStyle name="Normal 118" xfId="5735" xr:uid="{00000000-0005-0000-0000-00002F160000}"/>
    <cellStyle name="Normal 118 2" xfId="5736" xr:uid="{00000000-0005-0000-0000-000030160000}"/>
    <cellStyle name="Normal 119" xfId="5737" xr:uid="{00000000-0005-0000-0000-000031160000}"/>
    <cellStyle name="Normal 119 2" xfId="5738" xr:uid="{00000000-0005-0000-0000-000032160000}"/>
    <cellStyle name="Normal 12" xfId="72" xr:uid="{00000000-0005-0000-0000-000033160000}"/>
    <cellStyle name="Normal 12 10" xfId="5740" xr:uid="{00000000-0005-0000-0000-000034160000}"/>
    <cellStyle name="Normal 12 11" xfId="5741" xr:uid="{00000000-0005-0000-0000-000035160000}"/>
    <cellStyle name="Normal 12 12" xfId="5742" xr:uid="{00000000-0005-0000-0000-000036160000}"/>
    <cellStyle name="Normal 12 13" xfId="5743" xr:uid="{00000000-0005-0000-0000-000037160000}"/>
    <cellStyle name="Normal 12 14" xfId="5744" xr:uid="{00000000-0005-0000-0000-000038160000}"/>
    <cellStyle name="Normal 12 15" xfId="5745" xr:uid="{00000000-0005-0000-0000-000039160000}"/>
    <cellStyle name="Normal 12 16" xfId="5746" xr:uid="{00000000-0005-0000-0000-00003A160000}"/>
    <cellStyle name="Normal 12 17" xfId="5747" xr:uid="{00000000-0005-0000-0000-00003B160000}"/>
    <cellStyle name="Normal 12 18" xfId="5748" xr:uid="{00000000-0005-0000-0000-00003C160000}"/>
    <cellStyle name="Normal 12 19" xfId="5749" xr:uid="{00000000-0005-0000-0000-00003D160000}"/>
    <cellStyle name="Normal 12 2" xfId="5750" xr:uid="{00000000-0005-0000-0000-00003E160000}"/>
    <cellStyle name="Normal 12 2 2" xfId="5751" xr:uid="{00000000-0005-0000-0000-00003F160000}"/>
    <cellStyle name="Normal 12 2 3" xfId="5752" xr:uid="{00000000-0005-0000-0000-000040160000}"/>
    <cellStyle name="Normal 12 20" xfId="5753" xr:uid="{00000000-0005-0000-0000-000041160000}"/>
    <cellStyle name="Normal 12 21" xfId="5754" xr:uid="{00000000-0005-0000-0000-000042160000}"/>
    <cellStyle name="Normal 12 22" xfId="5755" xr:uid="{00000000-0005-0000-0000-000043160000}"/>
    <cellStyle name="Normal 12 23" xfId="5756" xr:uid="{00000000-0005-0000-0000-000044160000}"/>
    <cellStyle name="Normal 12 24" xfId="5757" xr:uid="{00000000-0005-0000-0000-000045160000}"/>
    <cellStyle name="Normal 12 25" xfId="5758" xr:uid="{00000000-0005-0000-0000-000046160000}"/>
    <cellStyle name="Normal 12 26" xfId="5739" xr:uid="{00000000-0005-0000-0000-000047160000}"/>
    <cellStyle name="Normal 12 3" xfId="5759" xr:uid="{00000000-0005-0000-0000-000048160000}"/>
    <cellStyle name="Normal 12 3 2" xfId="5760" xr:uid="{00000000-0005-0000-0000-000049160000}"/>
    <cellStyle name="Normal 12 3 3" xfId="5761" xr:uid="{00000000-0005-0000-0000-00004A160000}"/>
    <cellStyle name="Normal 12 4" xfId="5762" xr:uid="{00000000-0005-0000-0000-00004B160000}"/>
    <cellStyle name="Normal 12 5" xfId="5763" xr:uid="{00000000-0005-0000-0000-00004C160000}"/>
    <cellStyle name="Normal 12 6" xfId="5764" xr:uid="{00000000-0005-0000-0000-00004D160000}"/>
    <cellStyle name="Normal 12 7" xfId="5765" xr:uid="{00000000-0005-0000-0000-00004E160000}"/>
    <cellStyle name="Normal 12 8" xfId="5766" xr:uid="{00000000-0005-0000-0000-00004F160000}"/>
    <cellStyle name="Normal 12 9" xfId="5767" xr:uid="{00000000-0005-0000-0000-000050160000}"/>
    <cellStyle name="Normal 120" xfId="5768" xr:uid="{00000000-0005-0000-0000-000051160000}"/>
    <cellStyle name="Normal 120 2" xfId="5769" xr:uid="{00000000-0005-0000-0000-000052160000}"/>
    <cellStyle name="Normal 121" xfId="5770" xr:uid="{00000000-0005-0000-0000-000053160000}"/>
    <cellStyle name="Normal 121 2" xfId="5771" xr:uid="{00000000-0005-0000-0000-000054160000}"/>
    <cellStyle name="Normal 122" xfId="5772" xr:uid="{00000000-0005-0000-0000-000055160000}"/>
    <cellStyle name="Normal 122 2" xfId="5773" xr:uid="{00000000-0005-0000-0000-000056160000}"/>
    <cellStyle name="Normal 123" xfId="5774" xr:uid="{00000000-0005-0000-0000-000057160000}"/>
    <cellStyle name="Normal 123 2" xfId="5775" xr:uid="{00000000-0005-0000-0000-000058160000}"/>
    <cellStyle name="Normal 124" xfId="5776" xr:uid="{00000000-0005-0000-0000-000059160000}"/>
    <cellStyle name="Normal 124 2" xfId="5777" xr:uid="{00000000-0005-0000-0000-00005A160000}"/>
    <cellStyle name="Normal 125" xfId="5778" xr:uid="{00000000-0005-0000-0000-00005B160000}"/>
    <cellStyle name="Normal 125 2" xfId="5779" xr:uid="{00000000-0005-0000-0000-00005C160000}"/>
    <cellStyle name="Normal 126" xfId="5780" xr:uid="{00000000-0005-0000-0000-00005D160000}"/>
    <cellStyle name="Normal 126 2" xfId="5781" xr:uid="{00000000-0005-0000-0000-00005E160000}"/>
    <cellStyle name="Normal 127" xfId="5782" xr:uid="{00000000-0005-0000-0000-00005F160000}"/>
    <cellStyle name="Normal 127 2" xfId="5783" xr:uid="{00000000-0005-0000-0000-000060160000}"/>
    <cellStyle name="Normal 128" xfId="5784" xr:uid="{00000000-0005-0000-0000-000061160000}"/>
    <cellStyle name="Normal 128 2" xfId="5785" xr:uid="{00000000-0005-0000-0000-000062160000}"/>
    <cellStyle name="Normal 129" xfId="5786" xr:uid="{00000000-0005-0000-0000-000063160000}"/>
    <cellStyle name="Normal 129 2" xfId="5787" xr:uid="{00000000-0005-0000-0000-000064160000}"/>
    <cellStyle name="Normal 13" xfId="79" xr:uid="{00000000-0005-0000-0000-000065160000}"/>
    <cellStyle name="Normal 13 10" xfId="5789" xr:uid="{00000000-0005-0000-0000-000066160000}"/>
    <cellStyle name="Normal 13 11" xfId="5790" xr:uid="{00000000-0005-0000-0000-000067160000}"/>
    <cellStyle name="Normal 13 12" xfId="5791" xr:uid="{00000000-0005-0000-0000-000068160000}"/>
    <cellStyle name="Normal 13 13" xfId="5792" xr:uid="{00000000-0005-0000-0000-000069160000}"/>
    <cellStyle name="Normal 13 14" xfId="5793" xr:uid="{00000000-0005-0000-0000-00006A160000}"/>
    <cellStyle name="Normal 13 15" xfId="5794" xr:uid="{00000000-0005-0000-0000-00006B160000}"/>
    <cellStyle name="Normal 13 16" xfId="5795" xr:uid="{00000000-0005-0000-0000-00006C160000}"/>
    <cellStyle name="Normal 13 17" xfId="5796" xr:uid="{00000000-0005-0000-0000-00006D160000}"/>
    <cellStyle name="Normal 13 18" xfId="5797" xr:uid="{00000000-0005-0000-0000-00006E160000}"/>
    <cellStyle name="Normal 13 19" xfId="5798" xr:uid="{00000000-0005-0000-0000-00006F160000}"/>
    <cellStyle name="Normal 13 2" xfId="5799" xr:uid="{00000000-0005-0000-0000-000070160000}"/>
    <cellStyle name="Normal 13 2 2" xfId="5800" xr:uid="{00000000-0005-0000-0000-000071160000}"/>
    <cellStyle name="Normal 13 2 3" xfId="5801" xr:uid="{00000000-0005-0000-0000-000072160000}"/>
    <cellStyle name="Normal 13 20" xfId="5802" xr:uid="{00000000-0005-0000-0000-000073160000}"/>
    <cellStyle name="Normal 13 21" xfId="5803" xr:uid="{00000000-0005-0000-0000-000074160000}"/>
    <cellStyle name="Normal 13 22" xfId="5804" xr:uid="{00000000-0005-0000-0000-000075160000}"/>
    <cellStyle name="Normal 13 23" xfId="5805" xr:uid="{00000000-0005-0000-0000-000076160000}"/>
    <cellStyle name="Normal 13 24" xfId="5806" xr:uid="{00000000-0005-0000-0000-000077160000}"/>
    <cellStyle name="Normal 13 25" xfId="5807" xr:uid="{00000000-0005-0000-0000-000078160000}"/>
    <cellStyle name="Normal 13 26" xfId="5808" xr:uid="{00000000-0005-0000-0000-000079160000}"/>
    <cellStyle name="Normal 13 27" xfId="5788" xr:uid="{00000000-0005-0000-0000-00007A160000}"/>
    <cellStyle name="Normal 13 3" xfId="5809" xr:uid="{00000000-0005-0000-0000-00007B160000}"/>
    <cellStyle name="Normal 13 3 2" xfId="5810" xr:uid="{00000000-0005-0000-0000-00007C160000}"/>
    <cellStyle name="Normal 13 3 3" xfId="5811" xr:uid="{00000000-0005-0000-0000-00007D160000}"/>
    <cellStyle name="Normal 13 4" xfId="5812" xr:uid="{00000000-0005-0000-0000-00007E160000}"/>
    <cellStyle name="Normal 13 5" xfId="5813" xr:uid="{00000000-0005-0000-0000-00007F160000}"/>
    <cellStyle name="Normal 13 6" xfId="5814" xr:uid="{00000000-0005-0000-0000-000080160000}"/>
    <cellStyle name="Normal 13 7" xfId="5815" xr:uid="{00000000-0005-0000-0000-000081160000}"/>
    <cellStyle name="Normal 13 8" xfId="5816" xr:uid="{00000000-0005-0000-0000-000082160000}"/>
    <cellStyle name="Normal 13 9" xfId="5817" xr:uid="{00000000-0005-0000-0000-000083160000}"/>
    <cellStyle name="Normal 130" xfId="5818" xr:uid="{00000000-0005-0000-0000-000084160000}"/>
    <cellStyle name="Normal 130 2" xfId="5819" xr:uid="{00000000-0005-0000-0000-000085160000}"/>
    <cellStyle name="Normal 131" xfId="5820" xr:uid="{00000000-0005-0000-0000-000086160000}"/>
    <cellStyle name="Normal 131 2" xfId="5821" xr:uid="{00000000-0005-0000-0000-000087160000}"/>
    <cellStyle name="Normal 132" xfId="5822" xr:uid="{00000000-0005-0000-0000-000088160000}"/>
    <cellStyle name="Normal 132 2" xfId="5823" xr:uid="{00000000-0005-0000-0000-000089160000}"/>
    <cellStyle name="Normal 133" xfId="5824" xr:uid="{00000000-0005-0000-0000-00008A160000}"/>
    <cellStyle name="Normal 133 2" xfId="5825" xr:uid="{00000000-0005-0000-0000-00008B160000}"/>
    <cellStyle name="Normal 134" xfId="5826" xr:uid="{00000000-0005-0000-0000-00008C160000}"/>
    <cellStyle name="Normal 134 2" xfId="5827" xr:uid="{00000000-0005-0000-0000-00008D160000}"/>
    <cellStyle name="Normal 135" xfId="5828" xr:uid="{00000000-0005-0000-0000-00008E160000}"/>
    <cellStyle name="Normal 135 2" xfId="5829" xr:uid="{00000000-0005-0000-0000-00008F160000}"/>
    <cellStyle name="Normal 136" xfId="5830" xr:uid="{00000000-0005-0000-0000-000090160000}"/>
    <cellStyle name="Normal 136 2" xfId="5831" xr:uid="{00000000-0005-0000-0000-000091160000}"/>
    <cellStyle name="Normal 137" xfId="5832" xr:uid="{00000000-0005-0000-0000-000092160000}"/>
    <cellStyle name="Normal 137 2" xfId="5833" xr:uid="{00000000-0005-0000-0000-000093160000}"/>
    <cellStyle name="Normal 138" xfId="5834" xr:uid="{00000000-0005-0000-0000-000094160000}"/>
    <cellStyle name="Normal 138 2" xfId="5835" xr:uid="{00000000-0005-0000-0000-000095160000}"/>
    <cellStyle name="Normal 139" xfId="5836" xr:uid="{00000000-0005-0000-0000-000096160000}"/>
    <cellStyle name="Normal 139 2" xfId="5837" xr:uid="{00000000-0005-0000-0000-000097160000}"/>
    <cellStyle name="Normal 14" xfId="5838" xr:uid="{00000000-0005-0000-0000-000098160000}"/>
    <cellStyle name="Normal 14 2" xfId="5839" xr:uid="{00000000-0005-0000-0000-000099160000}"/>
    <cellStyle name="Normal 14 3" xfId="5840" xr:uid="{00000000-0005-0000-0000-00009A160000}"/>
    <cellStyle name="Normal 14 3 2" xfId="5841" xr:uid="{00000000-0005-0000-0000-00009B160000}"/>
    <cellStyle name="Normal 14 4" xfId="5842" xr:uid="{00000000-0005-0000-0000-00009C160000}"/>
    <cellStyle name="Normal 14 5" xfId="5843" xr:uid="{00000000-0005-0000-0000-00009D160000}"/>
    <cellStyle name="Normal 140" xfId="5844" xr:uid="{00000000-0005-0000-0000-00009E160000}"/>
    <cellStyle name="Normal 140 2" xfId="5845" xr:uid="{00000000-0005-0000-0000-00009F160000}"/>
    <cellStyle name="Normal 141" xfId="5846" xr:uid="{00000000-0005-0000-0000-0000A0160000}"/>
    <cellStyle name="Normal 141 2" xfId="5847" xr:uid="{00000000-0005-0000-0000-0000A1160000}"/>
    <cellStyle name="Normal 142" xfId="5848" xr:uid="{00000000-0005-0000-0000-0000A2160000}"/>
    <cellStyle name="Normal 142 2" xfId="5849" xr:uid="{00000000-0005-0000-0000-0000A3160000}"/>
    <cellStyle name="Normal 143" xfId="5850" xr:uid="{00000000-0005-0000-0000-0000A4160000}"/>
    <cellStyle name="Normal 143 2" xfId="5851" xr:uid="{00000000-0005-0000-0000-0000A5160000}"/>
    <cellStyle name="Normal 144" xfId="5852" xr:uid="{00000000-0005-0000-0000-0000A6160000}"/>
    <cellStyle name="Normal 144 2" xfId="5853" xr:uid="{00000000-0005-0000-0000-0000A7160000}"/>
    <cellStyle name="Normal 145" xfId="5854" xr:uid="{00000000-0005-0000-0000-0000A8160000}"/>
    <cellStyle name="Normal 145 2" xfId="5855" xr:uid="{00000000-0005-0000-0000-0000A9160000}"/>
    <cellStyle name="Normal 146" xfId="5856" xr:uid="{00000000-0005-0000-0000-0000AA160000}"/>
    <cellStyle name="Normal 146 2" xfId="5857" xr:uid="{00000000-0005-0000-0000-0000AB160000}"/>
    <cellStyle name="Normal 147" xfId="5858" xr:uid="{00000000-0005-0000-0000-0000AC160000}"/>
    <cellStyle name="Normal 147 2" xfId="5859" xr:uid="{00000000-0005-0000-0000-0000AD160000}"/>
    <cellStyle name="Normal 148" xfId="5860" xr:uid="{00000000-0005-0000-0000-0000AE160000}"/>
    <cellStyle name="Normal 148 2" xfId="5861" xr:uid="{00000000-0005-0000-0000-0000AF160000}"/>
    <cellStyle name="Normal 149" xfId="5862" xr:uid="{00000000-0005-0000-0000-0000B0160000}"/>
    <cellStyle name="Normal 149 2" xfId="5863" xr:uid="{00000000-0005-0000-0000-0000B1160000}"/>
    <cellStyle name="Normal 15" xfId="18" xr:uid="{00000000-0005-0000-0000-0000B2160000}"/>
    <cellStyle name="Normal 15 10" xfId="5864" xr:uid="{00000000-0005-0000-0000-0000B3160000}"/>
    <cellStyle name="Normal 15 11" xfId="5865" xr:uid="{00000000-0005-0000-0000-0000B4160000}"/>
    <cellStyle name="Normal 15 12" xfId="5866" xr:uid="{00000000-0005-0000-0000-0000B5160000}"/>
    <cellStyle name="Normal 15 13" xfId="5867" xr:uid="{00000000-0005-0000-0000-0000B6160000}"/>
    <cellStyle name="Normal 15 14" xfId="5868" xr:uid="{00000000-0005-0000-0000-0000B7160000}"/>
    <cellStyle name="Normal 15 15" xfId="5869" xr:uid="{00000000-0005-0000-0000-0000B8160000}"/>
    <cellStyle name="Normal 15 16" xfId="5870" xr:uid="{00000000-0005-0000-0000-0000B9160000}"/>
    <cellStyle name="Normal 15 17" xfId="5871" xr:uid="{00000000-0005-0000-0000-0000BA160000}"/>
    <cellStyle name="Normal 15 18" xfId="5872" xr:uid="{00000000-0005-0000-0000-0000BB160000}"/>
    <cellStyle name="Normal 15 19" xfId="5873" xr:uid="{00000000-0005-0000-0000-0000BC160000}"/>
    <cellStyle name="Normal 15 2" xfId="5874" xr:uid="{00000000-0005-0000-0000-0000BD160000}"/>
    <cellStyle name="Normal 15 2 2" xfId="5875" xr:uid="{00000000-0005-0000-0000-0000BE160000}"/>
    <cellStyle name="Normal 15 2 3" xfId="5876" xr:uid="{00000000-0005-0000-0000-0000BF160000}"/>
    <cellStyle name="Normal 15 20" xfId="5877" xr:uid="{00000000-0005-0000-0000-0000C0160000}"/>
    <cellStyle name="Normal 15 21" xfId="5878" xr:uid="{00000000-0005-0000-0000-0000C1160000}"/>
    <cellStyle name="Normal 15 22" xfId="5879" xr:uid="{00000000-0005-0000-0000-0000C2160000}"/>
    <cellStyle name="Normal 15 23" xfId="5880" xr:uid="{00000000-0005-0000-0000-0000C3160000}"/>
    <cellStyle name="Normal 15 24" xfId="5881" xr:uid="{00000000-0005-0000-0000-0000C4160000}"/>
    <cellStyle name="Normal 15 25" xfId="5882" xr:uid="{00000000-0005-0000-0000-0000C5160000}"/>
    <cellStyle name="Normal 15 3" xfId="5883" xr:uid="{00000000-0005-0000-0000-0000C6160000}"/>
    <cellStyle name="Normal 15 3 2" xfId="5884" xr:uid="{00000000-0005-0000-0000-0000C7160000}"/>
    <cellStyle name="Normal 15 3 3" xfId="5885" xr:uid="{00000000-0005-0000-0000-0000C8160000}"/>
    <cellStyle name="Normal 15 4" xfId="5886" xr:uid="{00000000-0005-0000-0000-0000C9160000}"/>
    <cellStyle name="Normal 15 5" xfId="5887" xr:uid="{00000000-0005-0000-0000-0000CA160000}"/>
    <cellStyle name="Normal 15 6" xfId="5888" xr:uid="{00000000-0005-0000-0000-0000CB160000}"/>
    <cellStyle name="Normal 15 7" xfId="5889" xr:uid="{00000000-0005-0000-0000-0000CC160000}"/>
    <cellStyle name="Normal 15 8" xfId="5890" xr:uid="{00000000-0005-0000-0000-0000CD160000}"/>
    <cellStyle name="Normal 15 9" xfId="5891" xr:uid="{00000000-0005-0000-0000-0000CE160000}"/>
    <cellStyle name="Normal 150" xfId="5892" xr:uid="{00000000-0005-0000-0000-0000CF160000}"/>
    <cellStyle name="Normal 150 2" xfId="5893" xr:uid="{00000000-0005-0000-0000-0000D0160000}"/>
    <cellStyle name="Normal 151" xfId="5894" xr:uid="{00000000-0005-0000-0000-0000D1160000}"/>
    <cellStyle name="Normal 151 2" xfId="5895" xr:uid="{00000000-0005-0000-0000-0000D2160000}"/>
    <cellStyle name="Normal 152" xfId="5896" xr:uid="{00000000-0005-0000-0000-0000D3160000}"/>
    <cellStyle name="Normal 152 2" xfId="5897" xr:uid="{00000000-0005-0000-0000-0000D4160000}"/>
    <cellStyle name="Normal 153" xfId="5898" xr:uid="{00000000-0005-0000-0000-0000D5160000}"/>
    <cellStyle name="Normal 153 2" xfId="5899" xr:uid="{00000000-0005-0000-0000-0000D6160000}"/>
    <cellStyle name="Normal 154" xfId="5900" xr:uid="{00000000-0005-0000-0000-0000D7160000}"/>
    <cellStyle name="Normal 154 2" xfId="5901" xr:uid="{00000000-0005-0000-0000-0000D8160000}"/>
    <cellStyle name="Normal 155" xfId="5902" xr:uid="{00000000-0005-0000-0000-0000D9160000}"/>
    <cellStyle name="Normal 155 2" xfId="5903" xr:uid="{00000000-0005-0000-0000-0000DA160000}"/>
    <cellStyle name="Normal 156" xfId="5904" xr:uid="{00000000-0005-0000-0000-0000DB160000}"/>
    <cellStyle name="Normal 156 2" xfId="5905" xr:uid="{00000000-0005-0000-0000-0000DC160000}"/>
    <cellStyle name="Normal 157" xfId="5906" xr:uid="{00000000-0005-0000-0000-0000DD160000}"/>
    <cellStyle name="Normal 157 2" xfId="5907" xr:uid="{00000000-0005-0000-0000-0000DE160000}"/>
    <cellStyle name="Normal 158" xfId="5908" xr:uid="{00000000-0005-0000-0000-0000DF160000}"/>
    <cellStyle name="Normal 158 2" xfId="5909" xr:uid="{00000000-0005-0000-0000-0000E0160000}"/>
    <cellStyle name="Normal 159" xfId="5910" xr:uid="{00000000-0005-0000-0000-0000E1160000}"/>
    <cellStyle name="Normal 159 2" xfId="5911" xr:uid="{00000000-0005-0000-0000-0000E2160000}"/>
    <cellStyle name="Normal 16" xfId="5912" xr:uid="{00000000-0005-0000-0000-0000E3160000}"/>
    <cellStyle name="Normal 16 10" xfId="5913" xr:uid="{00000000-0005-0000-0000-0000E4160000}"/>
    <cellStyle name="Normal 16 11" xfId="5914" xr:uid="{00000000-0005-0000-0000-0000E5160000}"/>
    <cellStyle name="Normal 16 12" xfId="5915" xr:uid="{00000000-0005-0000-0000-0000E6160000}"/>
    <cellStyle name="Normal 16 13" xfId="5916" xr:uid="{00000000-0005-0000-0000-0000E7160000}"/>
    <cellStyle name="Normal 16 14" xfId="5917" xr:uid="{00000000-0005-0000-0000-0000E8160000}"/>
    <cellStyle name="Normal 16 15" xfId="5918" xr:uid="{00000000-0005-0000-0000-0000E9160000}"/>
    <cellStyle name="Normal 16 16" xfId="5919" xr:uid="{00000000-0005-0000-0000-0000EA160000}"/>
    <cellStyle name="Normal 16 17" xfId="5920" xr:uid="{00000000-0005-0000-0000-0000EB160000}"/>
    <cellStyle name="Normal 16 18" xfId="5921" xr:uid="{00000000-0005-0000-0000-0000EC160000}"/>
    <cellStyle name="Normal 16 19" xfId="5922" xr:uid="{00000000-0005-0000-0000-0000ED160000}"/>
    <cellStyle name="Normal 16 2" xfId="5923" xr:uid="{00000000-0005-0000-0000-0000EE160000}"/>
    <cellStyle name="Normal 16 2 2" xfId="5924" xr:uid="{00000000-0005-0000-0000-0000EF160000}"/>
    <cellStyle name="Normal 16 2 3" xfId="5925" xr:uid="{00000000-0005-0000-0000-0000F0160000}"/>
    <cellStyle name="Normal 16 20" xfId="5926" xr:uid="{00000000-0005-0000-0000-0000F1160000}"/>
    <cellStyle name="Normal 16 21" xfId="5927" xr:uid="{00000000-0005-0000-0000-0000F2160000}"/>
    <cellStyle name="Normal 16 22" xfId="5928" xr:uid="{00000000-0005-0000-0000-0000F3160000}"/>
    <cellStyle name="Normal 16 23" xfId="5929" xr:uid="{00000000-0005-0000-0000-0000F4160000}"/>
    <cellStyle name="Normal 16 24" xfId="5930" xr:uid="{00000000-0005-0000-0000-0000F5160000}"/>
    <cellStyle name="Normal 16 25" xfId="5931" xr:uid="{00000000-0005-0000-0000-0000F6160000}"/>
    <cellStyle name="Normal 16 26" xfId="5932" xr:uid="{00000000-0005-0000-0000-0000F7160000}"/>
    <cellStyle name="Normal 16 3" xfId="5933" xr:uid="{00000000-0005-0000-0000-0000F8160000}"/>
    <cellStyle name="Normal 16 3 2" xfId="5934" xr:uid="{00000000-0005-0000-0000-0000F9160000}"/>
    <cellStyle name="Normal 16 3 3" xfId="5935" xr:uid="{00000000-0005-0000-0000-0000FA160000}"/>
    <cellStyle name="Normal 16 4" xfId="5936" xr:uid="{00000000-0005-0000-0000-0000FB160000}"/>
    <cellStyle name="Normal 16 5" xfId="5937" xr:uid="{00000000-0005-0000-0000-0000FC160000}"/>
    <cellStyle name="Normal 16 6" xfId="5938" xr:uid="{00000000-0005-0000-0000-0000FD160000}"/>
    <cellStyle name="Normal 16 7" xfId="5939" xr:uid="{00000000-0005-0000-0000-0000FE160000}"/>
    <cellStyle name="Normal 16 8" xfId="5940" xr:uid="{00000000-0005-0000-0000-0000FF160000}"/>
    <cellStyle name="Normal 16 9" xfId="5941" xr:uid="{00000000-0005-0000-0000-000000170000}"/>
    <cellStyle name="Normal 160" xfId="5942" xr:uid="{00000000-0005-0000-0000-000001170000}"/>
    <cellStyle name="Normal 160 2" xfId="5943" xr:uid="{00000000-0005-0000-0000-000002170000}"/>
    <cellStyle name="Normal 161" xfId="5944" xr:uid="{00000000-0005-0000-0000-000003170000}"/>
    <cellStyle name="Normal 161 2" xfId="5945" xr:uid="{00000000-0005-0000-0000-000004170000}"/>
    <cellStyle name="Normal 162" xfId="5946" xr:uid="{00000000-0005-0000-0000-000005170000}"/>
    <cellStyle name="Normal 162 2" xfId="5947" xr:uid="{00000000-0005-0000-0000-000006170000}"/>
    <cellStyle name="Normal 163" xfId="5948" xr:uid="{00000000-0005-0000-0000-000007170000}"/>
    <cellStyle name="Normal 163 2" xfId="5949" xr:uid="{00000000-0005-0000-0000-000008170000}"/>
    <cellStyle name="Normal 164" xfId="5950" xr:uid="{00000000-0005-0000-0000-000009170000}"/>
    <cellStyle name="Normal 164 2" xfId="5951" xr:uid="{00000000-0005-0000-0000-00000A170000}"/>
    <cellStyle name="Normal 165" xfId="5952" xr:uid="{00000000-0005-0000-0000-00000B170000}"/>
    <cellStyle name="Normal 165 2" xfId="5953" xr:uid="{00000000-0005-0000-0000-00000C170000}"/>
    <cellStyle name="Normal 166" xfId="5954" xr:uid="{00000000-0005-0000-0000-00000D170000}"/>
    <cellStyle name="Normal 166 2" xfId="5955" xr:uid="{00000000-0005-0000-0000-00000E170000}"/>
    <cellStyle name="Normal 167" xfId="5956" xr:uid="{00000000-0005-0000-0000-00000F170000}"/>
    <cellStyle name="Normal 167 2" xfId="5957" xr:uid="{00000000-0005-0000-0000-000010170000}"/>
    <cellStyle name="Normal 168" xfId="5958" xr:uid="{00000000-0005-0000-0000-000011170000}"/>
    <cellStyle name="Normal 168 2" xfId="5959" xr:uid="{00000000-0005-0000-0000-000012170000}"/>
    <cellStyle name="Normal 169" xfId="5960" xr:uid="{00000000-0005-0000-0000-000013170000}"/>
    <cellStyle name="Normal 169 2" xfId="5961" xr:uid="{00000000-0005-0000-0000-000014170000}"/>
    <cellStyle name="Normal 17" xfId="19" xr:uid="{00000000-0005-0000-0000-000015170000}"/>
    <cellStyle name="Normal 17 10" xfId="5963" xr:uid="{00000000-0005-0000-0000-000016170000}"/>
    <cellStyle name="Normal 17 11" xfId="5964" xr:uid="{00000000-0005-0000-0000-000017170000}"/>
    <cellStyle name="Normal 17 12" xfId="5965" xr:uid="{00000000-0005-0000-0000-000018170000}"/>
    <cellStyle name="Normal 17 13" xfId="5966" xr:uid="{00000000-0005-0000-0000-000019170000}"/>
    <cellStyle name="Normal 17 14" xfId="5967" xr:uid="{00000000-0005-0000-0000-00001A170000}"/>
    <cellStyle name="Normal 17 15" xfId="5968" xr:uid="{00000000-0005-0000-0000-00001B170000}"/>
    <cellStyle name="Normal 17 16" xfId="5969" xr:uid="{00000000-0005-0000-0000-00001C170000}"/>
    <cellStyle name="Normal 17 17" xfId="5970" xr:uid="{00000000-0005-0000-0000-00001D170000}"/>
    <cellStyle name="Normal 17 18" xfId="5971" xr:uid="{00000000-0005-0000-0000-00001E170000}"/>
    <cellStyle name="Normal 17 19" xfId="5972" xr:uid="{00000000-0005-0000-0000-00001F170000}"/>
    <cellStyle name="Normal 17 2" xfId="5973" xr:uid="{00000000-0005-0000-0000-000020170000}"/>
    <cellStyle name="Normal 17 2 2" xfId="5974" xr:uid="{00000000-0005-0000-0000-000021170000}"/>
    <cellStyle name="Normal 17 2 3" xfId="5975" xr:uid="{00000000-0005-0000-0000-000022170000}"/>
    <cellStyle name="Normal 17 20" xfId="5976" xr:uid="{00000000-0005-0000-0000-000023170000}"/>
    <cellStyle name="Normal 17 21" xfId="5977" xr:uid="{00000000-0005-0000-0000-000024170000}"/>
    <cellStyle name="Normal 17 22" xfId="5978" xr:uid="{00000000-0005-0000-0000-000025170000}"/>
    <cellStyle name="Normal 17 23" xfId="5979" xr:uid="{00000000-0005-0000-0000-000026170000}"/>
    <cellStyle name="Normal 17 24" xfId="5980" xr:uid="{00000000-0005-0000-0000-000027170000}"/>
    <cellStyle name="Normal 17 25" xfId="5981" xr:uid="{00000000-0005-0000-0000-000028170000}"/>
    <cellStyle name="Normal 17 26" xfId="5982" xr:uid="{00000000-0005-0000-0000-000029170000}"/>
    <cellStyle name="Normal 17 27" xfId="5983" xr:uid="{00000000-0005-0000-0000-00002A170000}"/>
    <cellStyle name="Normal 17 28" xfId="5984" xr:uid="{00000000-0005-0000-0000-00002B170000}"/>
    <cellStyle name="Normal 17 29" xfId="5985" xr:uid="{00000000-0005-0000-0000-00002C170000}"/>
    <cellStyle name="Normal 17 3" xfId="5986" xr:uid="{00000000-0005-0000-0000-00002D170000}"/>
    <cellStyle name="Normal 17 3 2" xfId="5987" xr:uid="{00000000-0005-0000-0000-00002E170000}"/>
    <cellStyle name="Normal 17 3 3" xfId="5988" xr:uid="{00000000-0005-0000-0000-00002F170000}"/>
    <cellStyle name="Normal 17 3 4" xfId="5989" xr:uid="{00000000-0005-0000-0000-000030170000}"/>
    <cellStyle name="Normal 17 3 5" xfId="5990" xr:uid="{00000000-0005-0000-0000-000031170000}"/>
    <cellStyle name="Normal 17 30" xfId="5962" xr:uid="{00000000-0005-0000-0000-000032170000}"/>
    <cellStyle name="Normal 17 4" xfId="5991" xr:uid="{00000000-0005-0000-0000-000033170000}"/>
    <cellStyle name="Normal 17 5" xfId="5992" xr:uid="{00000000-0005-0000-0000-000034170000}"/>
    <cellStyle name="Normal 17 6" xfId="5993" xr:uid="{00000000-0005-0000-0000-000035170000}"/>
    <cellStyle name="Normal 17 7" xfId="5994" xr:uid="{00000000-0005-0000-0000-000036170000}"/>
    <cellStyle name="Normal 17 8" xfId="5995" xr:uid="{00000000-0005-0000-0000-000037170000}"/>
    <cellStyle name="Normal 17 9" xfId="5996" xr:uid="{00000000-0005-0000-0000-000038170000}"/>
    <cellStyle name="Normal 170" xfId="5997" xr:uid="{00000000-0005-0000-0000-000039170000}"/>
    <cellStyle name="Normal 171" xfId="5998" xr:uid="{00000000-0005-0000-0000-00003A170000}"/>
    <cellStyle name="Normal 172" xfId="69" xr:uid="{00000000-0005-0000-0000-00003B170000}"/>
    <cellStyle name="Normal 172 2" xfId="39188" xr:uid="{00000000-0005-0000-0000-00003C170000}"/>
    <cellStyle name="Normal 173" xfId="81" xr:uid="{00000000-0005-0000-0000-00003D170000}"/>
    <cellStyle name="Normal 174" xfId="5999" xr:uid="{00000000-0005-0000-0000-00003E170000}"/>
    <cellStyle name="Normal 175" xfId="6000" xr:uid="{00000000-0005-0000-0000-00003F170000}"/>
    <cellStyle name="Normal 176" xfId="6001" xr:uid="{00000000-0005-0000-0000-000040170000}"/>
    <cellStyle name="Normal 177" xfId="39209" xr:uid="{863E2430-35F2-4A7A-A69B-88494B9BBC7F}"/>
    <cellStyle name="Normal 178" xfId="39210" xr:uid="{765E4576-B5C1-484F-9BFE-07A2379C846E}"/>
    <cellStyle name="Normal 179" xfId="39211" xr:uid="{1907FC12-0E0A-4312-9A24-BD28EAB47C71}"/>
    <cellStyle name="Normal 18" xfId="6002" xr:uid="{00000000-0005-0000-0000-000041170000}"/>
    <cellStyle name="Normal 18 10" xfId="6003" xr:uid="{00000000-0005-0000-0000-000042170000}"/>
    <cellStyle name="Normal 18 11" xfId="6004" xr:uid="{00000000-0005-0000-0000-000043170000}"/>
    <cellStyle name="Normal 18 12" xfId="6005" xr:uid="{00000000-0005-0000-0000-000044170000}"/>
    <cellStyle name="Normal 18 13" xfId="6006" xr:uid="{00000000-0005-0000-0000-000045170000}"/>
    <cellStyle name="Normal 18 14" xfId="6007" xr:uid="{00000000-0005-0000-0000-000046170000}"/>
    <cellStyle name="Normal 18 15" xfId="6008" xr:uid="{00000000-0005-0000-0000-000047170000}"/>
    <cellStyle name="Normal 18 16" xfId="6009" xr:uid="{00000000-0005-0000-0000-000048170000}"/>
    <cellStyle name="Normal 18 17" xfId="6010" xr:uid="{00000000-0005-0000-0000-000049170000}"/>
    <cellStyle name="Normal 18 18" xfId="6011" xr:uid="{00000000-0005-0000-0000-00004A170000}"/>
    <cellStyle name="Normal 18 19" xfId="6012" xr:uid="{00000000-0005-0000-0000-00004B170000}"/>
    <cellStyle name="Normal 18 2" xfId="6013" xr:uid="{00000000-0005-0000-0000-00004C170000}"/>
    <cellStyle name="Normal 18 2 2" xfId="6014" xr:uid="{00000000-0005-0000-0000-00004D170000}"/>
    <cellStyle name="Normal 18 2 3" xfId="6015" xr:uid="{00000000-0005-0000-0000-00004E170000}"/>
    <cellStyle name="Normal 18 20" xfId="6016" xr:uid="{00000000-0005-0000-0000-00004F170000}"/>
    <cellStyle name="Normal 18 21" xfId="6017" xr:uid="{00000000-0005-0000-0000-000050170000}"/>
    <cellStyle name="Normal 18 22" xfId="6018" xr:uid="{00000000-0005-0000-0000-000051170000}"/>
    <cellStyle name="Normal 18 23" xfId="6019" xr:uid="{00000000-0005-0000-0000-000052170000}"/>
    <cellStyle name="Normal 18 24" xfId="6020" xr:uid="{00000000-0005-0000-0000-000053170000}"/>
    <cellStyle name="Normal 18 25" xfId="6021" xr:uid="{00000000-0005-0000-0000-000054170000}"/>
    <cellStyle name="Normal 18 3" xfId="6022" xr:uid="{00000000-0005-0000-0000-000055170000}"/>
    <cellStyle name="Normal 18 3 2" xfId="6023" xr:uid="{00000000-0005-0000-0000-000056170000}"/>
    <cellStyle name="Normal 18 3 3" xfId="6024" xr:uid="{00000000-0005-0000-0000-000057170000}"/>
    <cellStyle name="Normal 18 3 4" xfId="6025" xr:uid="{00000000-0005-0000-0000-000058170000}"/>
    <cellStyle name="Normal 18 3 5" xfId="6026" xr:uid="{00000000-0005-0000-0000-000059170000}"/>
    <cellStyle name="Normal 18 4" xfId="6027" xr:uid="{00000000-0005-0000-0000-00005A170000}"/>
    <cellStyle name="Normal 18 5" xfId="6028" xr:uid="{00000000-0005-0000-0000-00005B170000}"/>
    <cellStyle name="Normal 18 6" xfId="6029" xr:uid="{00000000-0005-0000-0000-00005C170000}"/>
    <cellStyle name="Normal 18 7" xfId="6030" xr:uid="{00000000-0005-0000-0000-00005D170000}"/>
    <cellStyle name="Normal 18 8" xfId="6031" xr:uid="{00000000-0005-0000-0000-00005E170000}"/>
    <cellStyle name="Normal 18 9" xfId="6032" xr:uid="{00000000-0005-0000-0000-00005F170000}"/>
    <cellStyle name="Normal 180" xfId="39212" xr:uid="{4AB87A41-B7A7-4AC1-A194-D14BFBD4D033}"/>
    <cellStyle name="Normal 181" xfId="39213" xr:uid="{76849C3A-2503-42FC-A5FA-0E2D52B85C03}"/>
    <cellStyle name="Normal 182" xfId="39214" xr:uid="{97D7DF95-1382-4C44-A030-C0EFB469B8C8}"/>
    <cellStyle name="Normal 183" xfId="39215" xr:uid="{F975256D-BCA1-4D30-BE26-47E6C8D696F2}"/>
    <cellStyle name="Normal 184" xfId="39216" xr:uid="{6173132F-6954-4B41-A115-DDE1A6892BF9}"/>
    <cellStyle name="Normal 185" xfId="39217" xr:uid="{F1C93F53-2F6E-4847-B175-104196EF8B49}"/>
    <cellStyle name="Normal 186" xfId="39218" xr:uid="{4BB4B454-CF2E-4706-B5D1-0E97233C5082}"/>
    <cellStyle name="Normal 187" xfId="39219" xr:uid="{D563389A-3F7F-404A-98F2-65013BE0E11A}"/>
    <cellStyle name="Normal 188" xfId="39220" xr:uid="{331BFD2B-A875-4C6A-B4F4-2161FD65154A}"/>
    <cellStyle name="Normal 189" xfId="39221" xr:uid="{1D6E10DC-908C-4645-9A4F-CE0BCBBB64E2}"/>
    <cellStyle name="Normal 19" xfId="6033" xr:uid="{00000000-0005-0000-0000-000060170000}"/>
    <cellStyle name="Normal 19 10" xfId="6034" xr:uid="{00000000-0005-0000-0000-000061170000}"/>
    <cellStyle name="Normal 19 11" xfId="6035" xr:uid="{00000000-0005-0000-0000-000062170000}"/>
    <cellStyle name="Normal 19 12" xfId="6036" xr:uid="{00000000-0005-0000-0000-000063170000}"/>
    <cellStyle name="Normal 19 13" xfId="6037" xr:uid="{00000000-0005-0000-0000-000064170000}"/>
    <cellStyle name="Normal 19 14" xfId="6038" xr:uid="{00000000-0005-0000-0000-000065170000}"/>
    <cellStyle name="Normal 19 15" xfId="6039" xr:uid="{00000000-0005-0000-0000-000066170000}"/>
    <cellStyle name="Normal 19 16" xfId="6040" xr:uid="{00000000-0005-0000-0000-000067170000}"/>
    <cellStyle name="Normal 19 17" xfId="6041" xr:uid="{00000000-0005-0000-0000-000068170000}"/>
    <cellStyle name="Normal 19 18" xfId="6042" xr:uid="{00000000-0005-0000-0000-000069170000}"/>
    <cellStyle name="Normal 19 19" xfId="6043" xr:uid="{00000000-0005-0000-0000-00006A170000}"/>
    <cellStyle name="Normal 19 2" xfId="6044" xr:uid="{00000000-0005-0000-0000-00006B170000}"/>
    <cellStyle name="Normal 19 2 2" xfId="6045" xr:uid="{00000000-0005-0000-0000-00006C170000}"/>
    <cellStyle name="Normal 19 2 3" xfId="6046" xr:uid="{00000000-0005-0000-0000-00006D170000}"/>
    <cellStyle name="Normal 19 20" xfId="6047" xr:uid="{00000000-0005-0000-0000-00006E170000}"/>
    <cellStyle name="Normal 19 21" xfId="6048" xr:uid="{00000000-0005-0000-0000-00006F170000}"/>
    <cellStyle name="Normal 19 22" xfId="6049" xr:uid="{00000000-0005-0000-0000-000070170000}"/>
    <cellStyle name="Normal 19 23" xfId="6050" xr:uid="{00000000-0005-0000-0000-000071170000}"/>
    <cellStyle name="Normal 19 24" xfId="6051" xr:uid="{00000000-0005-0000-0000-000072170000}"/>
    <cellStyle name="Normal 19 25" xfId="6052" xr:uid="{00000000-0005-0000-0000-000073170000}"/>
    <cellStyle name="Normal 19 3" xfId="6053" xr:uid="{00000000-0005-0000-0000-000074170000}"/>
    <cellStyle name="Normal 19 3 2" xfId="6054" xr:uid="{00000000-0005-0000-0000-000075170000}"/>
    <cellStyle name="Normal 19 3 3" xfId="6055" xr:uid="{00000000-0005-0000-0000-000076170000}"/>
    <cellStyle name="Normal 19 3 4" xfId="6056" xr:uid="{00000000-0005-0000-0000-000077170000}"/>
    <cellStyle name="Normal 19 3 5" xfId="6057" xr:uid="{00000000-0005-0000-0000-000078170000}"/>
    <cellStyle name="Normal 19 4" xfId="6058" xr:uid="{00000000-0005-0000-0000-000079170000}"/>
    <cellStyle name="Normal 19 5" xfId="6059" xr:uid="{00000000-0005-0000-0000-00007A170000}"/>
    <cellStyle name="Normal 19 6" xfId="6060" xr:uid="{00000000-0005-0000-0000-00007B170000}"/>
    <cellStyle name="Normal 19 7" xfId="6061" xr:uid="{00000000-0005-0000-0000-00007C170000}"/>
    <cellStyle name="Normal 19 8" xfId="6062" xr:uid="{00000000-0005-0000-0000-00007D170000}"/>
    <cellStyle name="Normal 19 9" xfId="6063" xr:uid="{00000000-0005-0000-0000-00007E170000}"/>
    <cellStyle name="Normal 190" xfId="39222" xr:uid="{2C496D13-EC99-4267-A157-98CA1BFEE4B7}"/>
    <cellStyle name="Normal 191" xfId="39223" xr:uid="{96244954-9739-4E8B-80D8-92960EBCD641}"/>
    <cellStyle name="Normal 192" xfId="39224" xr:uid="{B4BDB30D-C35E-4548-9E97-479762C70C8E}"/>
    <cellStyle name="Normal 193" xfId="39225" xr:uid="{A2EE7842-B040-4248-81DC-B54EC58E2D09}"/>
    <cellStyle name="Normal 194" xfId="39226" xr:uid="{6F9F307F-5595-4F8F-B70A-C8C8822C2766}"/>
    <cellStyle name="Normal 195" xfId="39227" xr:uid="{372266A6-36F8-40EA-A392-2AB63C0B640E}"/>
    <cellStyle name="Normal 196" xfId="39228" xr:uid="{509BD7B5-BD65-46D6-84FD-277BE8AC6670}"/>
    <cellStyle name="Normal 197" xfId="39229" xr:uid="{7C89211D-F15B-4E66-B2D3-530E26BC1DB8}"/>
    <cellStyle name="Normal 198" xfId="39230" xr:uid="{49E7C0EE-E402-435D-B452-21A6CF823CF3}"/>
    <cellStyle name="Normal 199" xfId="39231" xr:uid="{B22934AC-A265-43C0-849A-52C6EA5B3538}"/>
    <cellStyle name="Normal 2" xfId="4" xr:uid="{00000000-0005-0000-0000-00007F170000}"/>
    <cellStyle name="Normal 2 10" xfId="14" xr:uid="{00000000-0005-0000-0000-000080170000}"/>
    <cellStyle name="Normal 2 10 10" xfId="6064" xr:uid="{00000000-0005-0000-0000-000081170000}"/>
    <cellStyle name="Normal 2 10 2" xfId="71" xr:uid="{00000000-0005-0000-0000-000082170000}"/>
    <cellStyle name="Normal 2 10 3" xfId="6065" xr:uid="{00000000-0005-0000-0000-000083170000}"/>
    <cellStyle name="Normal 2 10 4" xfId="6066" xr:uid="{00000000-0005-0000-0000-000084170000}"/>
    <cellStyle name="Normal 2 10_Enlaces" xfId="6067" xr:uid="{00000000-0005-0000-0000-000085170000}"/>
    <cellStyle name="Normal 2 100" xfId="6068" xr:uid="{00000000-0005-0000-0000-000086170000}"/>
    <cellStyle name="Normal 2 100 2" xfId="6069" xr:uid="{00000000-0005-0000-0000-000087170000}"/>
    <cellStyle name="Normal 2 101" xfId="6070" xr:uid="{00000000-0005-0000-0000-000088170000}"/>
    <cellStyle name="Normal 2 101 2" xfId="6071" xr:uid="{00000000-0005-0000-0000-000089170000}"/>
    <cellStyle name="Normal 2 102" xfId="6072" xr:uid="{00000000-0005-0000-0000-00008A170000}"/>
    <cellStyle name="Normal 2 102 2" xfId="6073" xr:uid="{00000000-0005-0000-0000-00008B170000}"/>
    <cellStyle name="Normal 2 103" xfId="6074" xr:uid="{00000000-0005-0000-0000-00008C170000}"/>
    <cellStyle name="Normal 2 103 2" xfId="6075" xr:uid="{00000000-0005-0000-0000-00008D170000}"/>
    <cellStyle name="Normal 2 104" xfId="6076" xr:uid="{00000000-0005-0000-0000-00008E170000}"/>
    <cellStyle name="Normal 2 104 2" xfId="6077" xr:uid="{00000000-0005-0000-0000-00008F170000}"/>
    <cellStyle name="Normal 2 105" xfId="6078" xr:uid="{00000000-0005-0000-0000-000090170000}"/>
    <cellStyle name="Normal 2 106" xfId="6079" xr:uid="{00000000-0005-0000-0000-000091170000}"/>
    <cellStyle name="Normal 2 107" xfId="6080" xr:uid="{00000000-0005-0000-0000-000092170000}"/>
    <cellStyle name="Normal 2 108" xfId="6081" xr:uid="{00000000-0005-0000-0000-000093170000}"/>
    <cellStyle name="Normal 2 109" xfId="6082" xr:uid="{00000000-0005-0000-0000-000094170000}"/>
    <cellStyle name="Normal 2 11" xfId="6083" xr:uid="{00000000-0005-0000-0000-000095170000}"/>
    <cellStyle name="Normal 2 11 2" xfId="6084" xr:uid="{00000000-0005-0000-0000-000096170000}"/>
    <cellStyle name="Normal 2 11 3" xfId="6085" xr:uid="{00000000-0005-0000-0000-000097170000}"/>
    <cellStyle name="Normal 2 11 4" xfId="6086" xr:uid="{00000000-0005-0000-0000-000098170000}"/>
    <cellStyle name="Normal 2 11 5" xfId="6087" xr:uid="{00000000-0005-0000-0000-000099170000}"/>
    <cellStyle name="Normal 2 110" xfId="6088" xr:uid="{00000000-0005-0000-0000-00009A170000}"/>
    <cellStyle name="Normal 2 111" xfId="6089" xr:uid="{00000000-0005-0000-0000-00009B170000}"/>
    <cellStyle name="Normal 2 112" xfId="6090" xr:uid="{00000000-0005-0000-0000-00009C170000}"/>
    <cellStyle name="Normal 2 113" xfId="6091" xr:uid="{00000000-0005-0000-0000-00009D170000}"/>
    <cellStyle name="Normal 2 114" xfId="6092" xr:uid="{00000000-0005-0000-0000-00009E170000}"/>
    <cellStyle name="Normal 2 115" xfId="6093" xr:uid="{00000000-0005-0000-0000-00009F170000}"/>
    <cellStyle name="Normal 2 116" xfId="6094" xr:uid="{00000000-0005-0000-0000-0000A0170000}"/>
    <cellStyle name="Normal 2 117" xfId="6095" xr:uid="{00000000-0005-0000-0000-0000A1170000}"/>
    <cellStyle name="Normal 2 118" xfId="6096" xr:uid="{00000000-0005-0000-0000-0000A2170000}"/>
    <cellStyle name="Normal 2 119" xfId="6097" xr:uid="{00000000-0005-0000-0000-0000A3170000}"/>
    <cellStyle name="Normal 2 12" xfId="6098" xr:uid="{00000000-0005-0000-0000-0000A4170000}"/>
    <cellStyle name="Normal 2 12 2" xfId="6099" xr:uid="{00000000-0005-0000-0000-0000A5170000}"/>
    <cellStyle name="Normal 2 12 3" xfId="6100" xr:uid="{00000000-0005-0000-0000-0000A6170000}"/>
    <cellStyle name="Normal 2 12 4" xfId="6101" xr:uid="{00000000-0005-0000-0000-0000A7170000}"/>
    <cellStyle name="Normal 2 12 5" xfId="6102" xr:uid="{00000000-0005-0000-0000-0000A8170000}"/>
    <cellStyle name="Normal 2 12 6" xfId="6103" xr:uid="{00000000-0005-0000-0000-0000A9170000}"/>
    <cellStyle name="Normal 2 120" xfId="6104" xr:uid="{00000000-0005-0000-0000-0000AA170000}"/>
    <cellStyle name="Normal 2 121" xfId="6105" xr:uid="{00000000-0005-0000-0000-0000AB170000}"/>
    <cellStyle name="Normal 2 122" xfId="6106" xr:uid="{00000000-0005-0000-0000-0000AC170000}"/>
    <cellStyle name="Normal 2 123" xfId="6107" xr:uid="{00000000-0005-0000-0000-0000AD170000}"/>
    <cellStyle name="Normal 2 124" xfId="6108" xr:uid="{00000000-0005-0000-0000-0000AE170000}"/>
    <cellStyle name="Normal 2 125" xfId="6109" xr:uid="{00000000-0005-0000-0000-0000AF170000}"/>
    <cellStyle name="Normal 2 126" xfId="6110" xr:uid="{00000000-0005-0000-0000-0000B0170000}"/>
    <cellStyle name="Normal 2 127" xfId="6111" xr:uid="{00000000-0005-0000-0000-0000B1170000}"/>
    <cellStyle name="Normal 2 128" xfId="6112" xr:uid="{00000000-0005-0000-0000-0000B2170000}"/>
    <cellStyle name="Normal 2 129" xfId="6113" xr:uid="{00000000-0005-0000-0000-0000B3170000}"/>
    <cellStyle name="Normal 2 13" xfId="6114" xr:uid="{00000000-0005-0000-0000-0000B4170000}"/>
    <cellStyle name="Normal 2 13 2" xfId="6115" xr:uid="{00000000-0005-0000-0000-0000B5170000}"/>
    <cellStyle name="Normal 2 13 3" xfId="6116" xr:uid="{00000000-0005-0000-0000-0000B6170000}"/>
    <cellStyle name="Normal 2 13 4" xfId="6117" xr:uid="{00000000-0005-0000-0000-0000B7170000}"/>
    <cellStyle name="Normal 2 13 5" xfId="6118" xr:uid="{00000000-0005-0000-0000-0000B8170000}"/>
    <cellStyle name="Normal 2 13 6" xfId="6119" xr:uid="{00000000-0005-0000-0000-0000B9170000}"/>
    <cellStyle name="Normal 2 130" xfId="6120" xr:uid="{00000000-0005-0000-0000-0000BA170000}"/>
    <cellStyle name="Normal 2 131" xfId="6121" xr:uid="{00000000-0005-0000-0000-0000BB170000}"/>
    <cellStyle name="Normal 2 132" xfId="6122" xr:uid="{00000000-0005-0000-0000-0000BC170000}"/>
    <cellStyle name="Normal 2 133" xfId="6123" xr:uid="{00000000-0005-0000-0000-0000BD170000}"/>
    <cellStyle name="Normal 2 134" xfId="6124" xr:uid="{00000000-0005-0000-0000-0000BE170000}"/>
    <cellStyle name="Normal 2 135" xfId="6125" xr:uid="{00000000-0005-0000-0000-0000BF170000}"/>
    <cellStyle name="Normal 2 136" xfId="6126" xr:uid="{00000000-0005-0000-0000-0000C0170000}"/>
    <cellStyle name="Normal 2 137" xfId="6127" xr:uid="{00000000-0005-0000-0000-0000C1170000}"/>
    <cellStyle name="Normal 2 138" xfId="6128" xr:uid="{00000000-0005-0000-0000-0000C2170000}"/>
    <cellStyle name="Normal 2 139" xfId="6129" xr:uid="{00000000-0005-0000-0000-0000C3170000}"/>
    <cellStyle name="Normal 2 14" xfId="6130" xr:uid="{00000000-0005-0000-0000-0000C4170000}"/>
    <cellStyle name="Normal 2 14 2" xfId="6131" xr:uid="{00000000-0005-0000-0000-0000C5170000}"/>
    <cellStyle name="Normal 2 14 3" xfId="6132" xr:uid="{00000000-0005-0000-0000-0000C6170000}"/>
    <cellStyle name="Normal 2 14 4" xfId="6133" xr:uid="{00000000-0005-0000-0000-0000C7170000}"/>
    <cellStyle name="Normal 2 14 5" xfId="6134" xr:uid="{00000000-0005-0000-0000-0000C8170000}"/>
    <cellStyle name="Normal 2 140" xfId="6135" xr:uid="{00000000-0005-0000-0000-0000C9170000}"/>
    <cellStyle name="Normal 2 141" xfId="6136" xr:uid="{00000000-0005-0000-0000-0000CA170000}"/>
    <cellStyle name="Normal 2 142" xfId="6137" xr:uid="{00000000-0005-0000-0000-0000CB170000}"/>
    <cellStyle name="Normal 2 143" xfId="6138" xr:uid="{00000000-0005-0000-0000-0000CC170000}"/>
    <cellStyle name="Normal 2 144" xfId="6139" xr:uid="{00000000-0005-0000-0000-0000CD170000}"/>
    <cellStyle name="Normal 2 145" xfId="6140" xr:uid="{00000000-0005-0000-0000-0000CE170000}"/>
    <cellStyle name="Normal 2 146" xfId="6141" xr:uid="{00000000-0005-0000-0000-0000CF170000}"/>
    <cellStyle name="Normal 2 147" xfId="6142" xr:uid="{00000000-0005-0000-0000-0000D0170000}"/>
    <cellStyle name="Normal 2 148" xfId="6143" xr:uid="{00000000-0005-0000-0000-0000D1170000}"/>
    <cellStyle name="Normal 2 149" xfId="6144" xr:uid="{00000000-0005-0000-0000-0000D2170000}"/>
    <cellStyle name="Normal 2 15" xfId="6145" xr:uid="{00000000-0005-0000-0000-0000D3170000}"/>
    <cellStyle name="Normal 2 15 2" xfId="6146" xr:uid="{00000000-0005-0000-0000-0000D4170000}"/>
    <cellStyle name="Normal 2 15 3" xfId="6147" xr:uid="{00000000-0005-0000-0000-0000D5170000}"/>
    <cellStyle name="Normal 2 15 4" xfId="6148" xr:uid="{00000000-0005-0000-0000-0000D6170000}"/>
    <cellStyle name="Normal 2 15 5" xfId="6149" xr:uid="{00000000-0005-0000-0000-0000D7170000}"/>
    <cellStyle name="Normal 2 15 6" xfId="6150" xr:uid="{00000000-0005-0000-0000-0000D8170000}"/>
    <cellStyle name="Normal 2 150" xfId="6151" xr:uid="{00000000-0005-0000-0000-0000D9170000}"/>
    <cellStyle name="Normal 2 151" xfId="6152" xr:uid="{00000000-0005-0000-0000-0000DA170000}"/>
    <cellStyle name="Normal 2 152" xfId="6153" xr:uid="{00000000-0005-0000-0000-0000DB170000}"/>
    <cellStyle name="Normal 2 153" xfId="6154" xr:uid="{00000000-0005-0000-0000-0000DC170000}"/>
    <cellStyle name="Normal 2 154" xfId="6155" xr:uid="{00000000-0005-0000-0000-0000DD170000}"/>
    <cellStyle name="Normal 2 155" xfId="6156" xr:uid="{00000000-0005-0000-0000-0000DE170000}"/>
    <cellStyle name="Normal 2 156" xfId="6157" xr:uid="{00000000-0005-0000-0000-0000DF170000}"/>
    <cellStyle name="Normal 2 157" xfId="6158" xr:uid="{00000000-0005-0000-0000-0000E0170000}"/>
    <cellStyle name="Normal 2 158" xfId="6159" xr:uid="{00000000-0005-0000-0000-0000E1170000}"/>
    <cellStyle name="Normal 2 159" xfId="6160" xr:uid="{00000000-0005-0000-0000-0000E2170000}"/>
    <cellStyle name="Normal 2 16" xfId="6161" xr:uid="{00000000-0005-0000-0000-0000E3170000}"/>
    <cellStyle name="Normal 2 16 2" xfId="6162" xr:uid="{00000000-0005-0000-0000-0000E4170000}"/>
    <cellStyle name="Normal 2 16 3" xfId="6163" xr:uid="{00000000-0005-0000-0000-0000E5170000}"/>
    <cellStyle name="Normal 2 16 4" xfId="6164" xr:uid="{00000000-0005-0000-0000-0000E6170000}"/>
    <cellStyle name="Normal 2 16 5" xfId="6165" xr:uid="{00000000-0005-0000-0000-0000E7170000}"/>
    <cellStyle name="Normal 2 160" xfId="6166" xr:uid="{00000000-0005-0000-0000-0000E8170000}"/>
    <cellStyle name="Normal 2 161" xfId="6167" xr:uid="{00000000-0005-0000-0000-0000E9170000}"/>
    <cellStyle name="Normal 2 162" xfId="6168" xr:uid="{00000000-0005-0000-0000-0000EA170000}"/>
    <cellStyle name="Normal 2 163" xfId="6169" xr:uid="{00000000-0005-0000-0000-0000EB170000}"/>
    <cellStyle name="Normal 2 164" xfId="6170" xr:uid="{00000000-0005-0000-0000-0000EC170000}"/>
    <cellStyle name="Normal 2 165" xfId="6171" xr:uid="{00000000-0005-0000-0000-0000ED170000}"/>
    <cellStyle name="Normal 2 166" xfId="6172" xr:uid="{00000000-0005-0000-0000-0000EE170000}"/>
    <cellStyle name="Normal 2 167" xfId="6173" xr:uid="{00000000-0005-0000-0000-0000EF170000}"/>
    <cellStyle name="Normal 2 168" xfId="6174" xr:uid="{00000000-0005-0000-0000-0000F0170000}"/>
    <cellStyle name="Normal 2 169" xfId="6175" xr:uid="{00000000-0005-0000-0000-0000F1170000}"/>
    <cellStyle name="Normal 2 17" xfId="6176" xr:uid="{00000000-0005-0000-0000-0000F2170000}"/>
    <cellStyle name="Normal 2 17 2" xfId="6177" xr:uid="{00000000-0005-0000-0000-0000F3170000}"/>
    <cellStyle name="Normal 2 17 3" xfId="6178" xr:uid="{00000000-0005-0000-0000-0000F4170000}"/>
    <cellStyle name="Normal 2 17 4" xfId="6179" xr:uid="{00000000-0005-0000-0000-0000F5170000}"/>
    <cellStyle name="Normal 2 17 5" xfId="6180" xr:uid="{00000000-0005-0000-0000-0000F6170000}"/>
    <cellStyle name="Normal 2 170" xfId="6181" xr:uid="{00000000-0005-0000-0000-0000F7170000}"/>
    <cellStyle name="Normal 2 171" xfId="6182" xr:uid="{00000000-0005-0000-0000-0000F8170000}"/>
    <cellStyle name="Normal 2 172" xfId="6183" xr:uid="{00000000-0005-0000-0000-0000F9170000}"/>
    <cellStyle name="Normal 2 173" xfId="6184" xr:uid="{00000000-0005-0000-0000-0000FA170000}"/>
    <cellStyle name="Normal 2 174" xfId="6185" xr:uid="{00000000-0005-0000-0000-0000FB170000}"/>
    <cellStyle name="Normal 2 175" xfId="6186" xr:uid="{00000000-0005-0000-0000-0000FC170000}"/>
    <cellStyle name="Normal 2 176" xfId="6187" xr:uid="{00000000-0005-0000-0000-0000FD170000}"/>
    <cellStyle name="Normal 2 177" xfId="6188" xr:uid="{00000000-0005-0000-0000-0000FE170000}"/>
    <cellStyle name="Normal 2 178" xfId="6189" xr:uid="{00000000-0005-0000-0000-0000FF170000}"/>
    <cellStyle name="Normal 2 179" xfId="6190" xr:uid="{00000000-0005-0000-0000-000000180000}"/>
    <cellStyle name="Normal 2 18" xfId="6191" xr:uid="{00000000-0005-0000-0000-000001180000}"/>
    <cellStyle name="Normal 2 18 2" xfId="6192" xr:uid="{00000000-0005-0000-0000-000002180000}"/>
    <cellStyle name="Normal 2 18 3" xfId="6193" xr:uid="{00000000-0005-0000-0000-000003180000}"/>
    <cellStyle name="Normal 2 18 4" xfId="6194" xr:uid="{00000000-0005-0000-0000-000004180000}"/>
    <cellStyle name="Normal 2 18 5" xfId="6195" xr:uid="{00000000-0005-0000-0000-000005180000}"/>
    <cellStyle name="Normal 2 19" xfId="6196" xr:uid="{00000000-0005-0000-0000-000006180000}"/>
    <cellStyle name="Normal 2 19 2" xfId="6197" xr:uid="{00000000-0005-0000-0000-000007180000}"/>
    <cellStyle name="Normal 2 19 3" xfId="6198" xr:uid="{00000000-0005-0000-0000-000008180000}"/>
    <cellStyle name="Normal 2 19 4" xfId="6199" xr:uid="{00000000-0005-0000-0000-000009180000}"/>
    <cellStyle name="Normal 2 19 5" xfId="6200" xr:uid="{00000000-0005-0000-0000-00000A180000}"/>
    <cellStyle name="Normal 2 2" xfId="8" xr:uid="{00000000-0005-0000-0000-00000B180000}"/>
    <cellStyle name="Normal 2 2 10" xfId="6202" xr:uid="{00000000-0005-0000-0000-00000C180000}"/>
    <cellStyle name="Normal 2 2 10 10" xfId="6203" xr:uid="{00000000-0005-0000-0000-00000D180000}"/>
    <cellStyle name="Normal 2 2 10 10 10" xfId="6204" xr:uid="{00000000-0005-0000-0000-00000E180000}"/>
    <cellStyle name="Normal 2 2 10 10 11" xfId="6205" xr:uid="{00000000-0005-0000-0000-00000F180000}"/>
    <cellStyle name="Normal 2 2 10 10 12" xfId="6206" xr:uid="{00000000-0005-0000-0000-000010180000}"/>
    <cellStyle name="Normal 2 2 10 10 13" xfId="6207" xr:uid="{00000000-0005-0000-0000-000011180000}"/>
    <cellStyle name="Normal 2 2 10 10 14" xfId="6208" xr:uid="{00000000-0005-0000-0000-000012180000}"/>
    <cellStyle name="Normal 2 2 10 10 2" xfId="6209" xr:uid="{00000000-0005-0000-0000-000013180000}"/>
    <cellStyle name="Normal 2 2 10 10 2 10" xfId="6210" xr:uid="{00000000-0005-0000-0000-000014180000}"/>
    <cellStyle name="Normal 2 2 10 10 2 2" xfId="6211" xr:uid="{00000000-0005-0000-0000-000015180000}"/>
    <cellStyle name="Normal 2 2 10 10 2 3" xfId="6212" xr:uid="{00000000-0005-0000-0000-000016180000}"/>
    <cellStyle name="Normal 2 2 10 10 2 4" xfId="6213" xr:uid="{00000000-0005-0000-0000-000017180000}"/>
    <cellStyle name="Normal 2 2 10 10 2 5" xfId="6214" xr:uid="{00000000-0005-0000-0000-000018180000}"/>
    <cellStyle name="Normal 2 2 10 10 2 6" xfId="6215" xr:uid="{00000000-0005-0000-0000-000019180000}"/>
    <cellStyle name="Normal 2 2 10 10 2 7" xfId="6216" xr:uid="{00000000-0005-0000-0000-00001A180000}"/>
    <cellStyle name="Normal 2 2 10 10 2 8" xfId="6217" xr:uid="{00000000-0005-0000-0000-00001B180000}"/>
    <cellStyle name="Normal 2 2 10 10 2 9" xfId="6218" xr:uid="{00000000-0005-0000-0000-00001C180000}"/>
    <cellStyle name="Normal 2 2 10 10 3" xfId="6219" xr:uid="{00000000-0005-0000-0000-00001D180000}"/>
    <cellStyle name="Normal 2 2 10 10 3 10" xfId="6220" xr:uid="{00000000-0005-0000-0000-00001E180000}"/>
    <cellStyle name="Normal 2 2 10 10 3 2" xfId="6221" xr:uid="{00000000-0005-0000-0000-00001F180000}"/>
    <cellStyle name="Normal 2 2 10 10 3 3" xfId="6222" xr:uid="{00000000-0005-0000-0000-000020180000}"/>
    <cellStyle name="Normal 2 2 10 10 3 4" xfId="6223" xr:uid="{00000000-0005-0000-0000-000021180000}"/>
    <cellStyle name="Normal 2 2 10 10 3 5" xfId="6224" xr:uid="{00000000-0005-0000-0000-000022180000}"/>
    <cellStyle name="Normal 2 2 10 10 3 6" xfId="6225" xr:uid="{00000000-0005-0000-0000-000023180000}"/>
    <cellStyle name="Normal 2 2 10 10 3 7" xfId="6226" xr:uid="{00000000-0005-0000-0000-000024180000}"/>
    <cellStyle name="Normal 2 2 10 10 3 8" xfId="6227" xr:uid="{00000000-0005-0000-0000-000025180000}"/>
    <cellStyle name="Normal 2 2 10 10 3 9" xfId="6228" xr:uid="{00000000-0005-0000-0000-000026180000}"/>
    <cellStyle name="Normal 2 2 10 10 4" xfId="6229" xr:uid="{00000000-0005-0000-0000-000027180000}"/>
    <cellStyle name="Normal 2 2 10 10 4 10" xfId="6230" xr:uid="{00000000-0005-0000-0000-000028180000}"/>
    <cellStyle name="Normal 2 2 10 10 4 2" xfId="6231" xr:uid="{00000000-0005-0000-0000-000029180000}"/>
    <cellStyle name="Normal 2 2 10 10 4 3" xfId="6232" xr:uid="{00000000-0005-0000-0000-00002A180000}"/>
    <cellStyle name="Normal 2 2 10 10 4 4" xfId="6233" xr:uid="{00000000-0005-0000-0000-00002B180000}"/>
    <cellStyle name="Normal 2 2 10 10 4 5" xfId="6234" xr:uid="{00000000-0005-0000-0000-00002C180000}"/>
    <cellStyle name="Normal 2 2 10 10 4 6" xfId="6235" xr:uid="{00000000-0005-0000-0000-00002D180000}"/>
    <cellStyle name="Normal 2 2 10 10 4 7" xfId="6236" xr:uid="{00000000-0005-0000-0000-00002E180000}"/>
    <cellStyle name="Normal 2 2 10 10 4 8" xfId="6237" xr:uid="{00000000-0005-0000-0000-00002F180000}"/>
    <cellStyle name="Normal 2 2 10 10 4 9" xfId="6238" xr:uid="{00000000-0005-0000-0000-000030180000}"/>
    <cellStyle name="Normal 2 2 10 10 5" xfId="6239" xr:uid="{00000000-0005-0000-0000-000031180000}"/>
    <cellStyle name="Normal 2 2 10 10 5 10" xfId="6240" xr:uid="{00000000-0005-0000-0000-000032180000}"/>
    <cellStyle name="Normal 2 2 10 10 5 2" xfId="6241" xr:uid="{00000000-0005-0000-0000-000033180000}"/>
    <cellStyle name="Normal 2 2 10 10 5 3" xfId="6242" xr:uid="{00000000-0005-0000-0000-000034180000}"/>
    <cellStyle name="Normal 2 2 10 10 5 4" xfId="6243" xr:uid="{00000000-0005-0000-0000-000035180000}"/>
    <cellStyle name="Normal 2 2 10 10 5 5" xfId="6244" xr:uid="{00000000-0005-0000-0000-000036180000}"/>
    <cellStyle name="Normal 2 2 10 10 5 6" xfId="6245" xr:uid="{00000000-0005-0000-0000-000037180000}"/>
    <cellStyle name="Normal 2 2 10 10 5 7" xfId="6246" xr:uid="{00000000-0005-0000-0000-000038180000}"/>
    <cellStyle name="Normal 2 2 10 10 5 8" xfId="6247" xr:uid="{00000000-0005-0000-0000-000039180000}"/>
    <cellStyle name="Normal 2 2 10 10 5 9" xfId="6248" xr:uid="{00000000-0005-0000-0000-00003A180000}"/>
    <cellStyle name="Normal 2 2 10 10 6" xfId="6249" xr:uid="{00000000-0005-0000-0000-00003B180000}"/>
    <cellStyle name="Normal 2 2 10 10 7" xfId="6250" xr:uid="{00000000-0005-0000-0000-00003C180000}"/>
    <cellStyle name="Normal 2 2 10 10 8" xfId="6251" xr:uid="{00000000-0005-0000-0000-00003D180000}"/>
    <cellStyle name="Normal 2 2 10 10 9" xfId="6252" xr:uid="{00000000-0005-0000-0000-00003E180000}"/>
    <cellStyle name="Normal 2 2 10 11" xfId="6253" xr:uid="{00000000-0005-0000-0000-00003F180000}"/>
    <cellStyle name="Normal 2 2 10 11 10" xfId="6254" xr:uid="{00000000-0005-0000-0000-000040180000}"/>
    <cellStyle name="Normal 2 2 10 11 11" xfId="6255" xr:uid="{00000000-0005-0000-0000-000041180000}"/>
    <cellStyle name="Normal 2 2 10 11 12" xfId="6256" xr:uid="{00000000-0005-0000-0000-000042180000}"/>
    <cellStyle name="Normal 2 2 10 11 13" xfId="6257" xr:uid="{00000000-0005-0000-0000-000043180000}"/>
    <cellStyle name="Normal 2 2 10 11 14" xfId="6258" xr:uid="{00000000-0005-0000-0000-000044180000}"/>
    <cellStyle name="Normal 2 2 10 11 2" xfId="6259" xr:uid="{00000000-0005-0000-0000-000045180000}"/>
    <cellStyle name="Normal 2 2 10 11 2 10" xfId="6260" xr:uid="{00000000-0005-0000-0000-000046180000}"/>
    <cellStyle name="Normal 2 2 10 11 2 2" xfId="6261" xr:uid="{00000000-0005-0000-0000-000047180000}"/>
    <cellStyle name="Normal 2 2 10 11 2 3" xfId="6262" xr:uid="{00000000-0005-0000-0000-000048180000}"/>
    <cellStyle name="Normal 2 2 10 11 2 4" xfId="6263" xr:uid="{00000000-0005-0000-0000-000049180000}"/>
    <cellStyle name="Normal 2 2 10 11 2 5" xfId="6264" xr:uid="{00000000-0005-0000-0000-00004A180000}"/>
    <cellStyle name="Normal 2 2 10 11 2 6" xfId="6265" xr:uid="{00000000-0005-0000-0000-00004B180000}"/>
    <cellStyle name="Normal 2 2 10 11 2 7" xfId="6266" xr:uid="{00000000-0005-0000-0000-00004C180000}"/>
    <cellStyle name="Normal 2 2 10 11 2 8" xfId="6267" xr:uid="{00000000-0005-0000-0000-00004D180000}"/>
    <cellStyle name="Normal 2 2 10 11 2 9" xfId="6268" xr:uid="{00000000-0005-0000-0000-00004E180000}"/>
    <cellStyle name="Normal 2 2 10 11 3" xfId="6269" xr:uid="{00000000-0005-0000-0000-00004F180000}"/>
    <cellStyle name="Normal 2 2 10 11 3 10" xfId="6270" xr:uid="{00000000-0005-0000-0000-000050180000}"/>
    <cellStyle name="Normal 2 2 10 11 3 2" xfId="6271" xr:uid="{00000000-0005-0000-0000-000051180000}"/>
    <cellStyle name="Normal 2 2 10 11 3 3" xfId="6272" xr:uid="{00000000-0005-0000-0000-000052180000}"/>
    <cellStyle name="Normal 2 2 10 11 3 4" xfId="6273" xr:uid="{00000000-0005-0000-0000-000053180000}"/>
    <cellStyle name="Normal 2 2 10 11 3 5" xfId="6274" xr:uid="{00000000-0005-0000-0000-000054180000}"/>
    <cellStyle name="Normal 2 2 10 11 3 6" xfId="6275" xr:uid="{00000000-0005-0000-0000-000055180000}"/>
    <cellStyle name="Normal 2 2 10 11 3 7" xfId="6276" xr:uid="{00000000-0005-0000-0000-000056180000}"/>
    <cellStyle name="Normal 2 2 10 11 3 8" xfId="6277" xr:uid="{00000000-0005-0000-0000-000057180000}"/>
    <cellStyle name="Normal 2 2 10 11 3 9" xfId="6278" xr:uid="{00000000-0005-0000-0000-000058180000}"/>
    <cellStyle name="Normal 2 2 10 11 4" xfId="6279" xr:uid="{00000000-0005-0000-0000-000059180000}"/>
    <cellStyle name="Normal 2 2 10 11 4 10" xfId="6280" xr:uid="{00000000-0005-0000-0000-00005A180000}"/>
    <cellStyle name="Normal 2 2 10 11 4 2" xfId="6281" xr:uid="{00000000-0005-0000-0000-00005B180000}"/>
    <cellStyle name="Normal 2 2 10 11 4 3" xfId="6282" xr:uid="{00000000-0005-0000-0000-00005C180000}"/>
    <cellStyle name="Normal 2 2 10 11 4 4" xfId="6283" xr:uid="{00000000-0005-0000-0000-00005D180000}"/>
    <cellStyle name="Normal 2 2 10 11 4 5" xfId="6284" xr:uid="{00000000-0005-0000-0000-00005E180000}"/>
    <cellStyle name="Normal 2 2 10 11 4 6" xfId="6285" xr:uid="{00000000-0005-0000-0000-00005F180000}"/>
    <cellStyle name="Normal 2 2 10 11 4 7" xfId="6286" xr:uid="{00000000-0005-0000-0000-000060180000}"/>
    <cellStyle name="Normal 2 2 10 11 4 8" xfId="6287" xr:uid="{00000000-0005-0000-0000-000061180000}"/>
    <cellStyle name="Normal 2 2 10 11 4 9" xfId="6288" xr:uid="{00000000-0005-0000-0000-000062180000}"/>
    <cellStyle name="Normal 2 2 10 11 5" xfId="6289" xr:uid="{00000000-0005-0000-0000-000063180000}"/>
    <cellStyle name="Normal 2 2 10 11 5 10" xfId="6290" xr:uid="{00000000-0005-0000-0000-000064180000}"/>
    <cellStyle name="Normal 2 2 10 11 5 2" xfId="6291" xr:uid="{00000000-0005-0000-0000-000065180000}"/>
    <cellStyle name="Normal 2 2 10 11 5 3" xfId="6292" xr:uid="{00000000-0005-0000-0000-000066180000}"/>
    <cellStyle name="Normal 2 2 10 11 5 4" xfId="6293" xr:uid="{00000000-0005-0000-0000-000067180000}"/>
    <cellStyle name="Normal 2 2 10 11 5 5" xfId="6294" xr:uid="{00000000-0005-0000-0000-000068180000}"/>
    <cellStyle name="Normal 2 2 10 11 5 6" xfId="6295" xr:uid="{00000000-0005-0000-0000-000069180000}"/>
    <cellStyle name="Normal 2 2 10 11 5 7" xfId="6296" xr:uid="{00000000-0005-0000-0000-00006A180000}"/>
    <cellStyle name="Normal 2 2 10 11 5 8" xfId="6297" xr:uid="{00000000-0005-0000-0000-00006B180000}"/>
    <cellStyle name="Normal 2 2 10 11 5 9" xfId="6298" xr:uid="{00000000-0005-0000-0000-00006C180000}"/>
    <cellStyle name="Normal 2 2 10 11 6" xfId="6299" xr:uid="{00000000-0005-0000-0000-00006D180000}"/>
    <cellStyle name="Normal 2 2 10 11 7" xfId="6300" xr:uid="{00000000-0005-0000-0000-00006E180000}"/>
    <cellStyle name="Normal 2 2 10 11 8" xfId="6301" xr:uid="{00000000-0005-0000-0000-00006F180000}"/>
    <cellStyle name="Normal 2 2 10 11 9" xfId="6302" xr:uid="{00000000-0005-0000-0000-000070180000}"/>
    <cellStyle name="Normal 2 2 10 12" xfId="6303" xr:uid="{00000000-0005-0000-0000-000071180000}"/>
    <cellStyle name="Normal 2 2 10 12 10" xfId="6304" xr:uid="{00000000-0005-0000-0000-000072180000}"/>
    <cellStyle name="Normal 2 2 10 12 11" xfId="6305" xr:uid="{00000000-0005-0000-0000-000073180000}"/>
    <cellStyle name="Normal 2 2 10 12 12" xfId="6306" xr:uid="{00000000-0005-0000-0000-000074180000}"/>
    <cellStyle name="Normal 2 2 10 12 13" xfId="6307" xr:uid="{00000000-0005-0000-0000-000075180000}"/>
    <cellStyle name="Normal 2 2 10 12 14" xfId="6308" xr:uid="{00000000-0005-0000-0000-000076180000}"/>
    <cellStyle name="Normal 2 2 10 12 2" xfId="6309" xr:uid="{00000000-0005-0000-0000-000077180000}"/>
    <cellStyle name="Normal 2 2 10 12 2 10" xfId="6310" xr:uid="{00000000-0005-0000-0000-000078180000}"/>
    <cellStyle name="Normal 2 2 10 12 2 2" xfId="6311" xr:uid="{00000000-0005-0000-0000-000079180000}"/>
    <cellStyle name="Normal 2 2 10 12 2 3" xfId="6312" xr:uid="{00000000-0005-0000-0000-00007A180000}"/>
    <cellStyle name="Normal 2 2 10 12 2 4" xfId="6313" xr:uid="{00000000-0005-0000-0000-00007B180000}"/>
    <cellStyle name="Normal 2 2 10 12 2 5" xfId="6314" xr:uid="{00000000-0005-0000-0000-00007C180000}"/>
    <cellStyle name="Normal 2 2 10 12 2 6" xfId="6315" xr:uid="{00000000-0005-0000-0000-00007D180000}"/>
    <cellStyle name="Normal 2 2 10 12 2 7" xfId="6316" xr:uid="{00000000-0005-0000-0000-00007E180000}"/>
    <cellStyle name="Normal 2 2 10 12 2 8" xfId="6317" xr:uid="{00000000-0005-0000-0000-00007F180000}"/>
    <cellStyle name="Normal 2 2 10 12 2 9" xfId="6318" xr:uid="{00000000-0005-0000-0000-000080180000}"/>
    <cellStyle name="Normal 2 2 10 12 3" xfId="6319" xr:uid="{00000000-0005-0000-0000-000081180000}"/>
    <cellStyle name="Normal 2 2 10 12 3 10" xfId="6320" xr:uid="{00000000-0005-0000-0000-000082180000}"/>
    <cellStyle name="Normal 2 2 10 12 3 2" xfId="6321" xr:uid="{00000000-0005-0000-0000-000083180000}"/>
    <cellStyle name="Normal 2 2 10 12 3 3" xfId="6322" xr:uid="{00000000-0005-0000-0000-000084180000}"/>
    <cellStyle name="Normal 2 2 10 12 3 4" xfId="6323" xr:uid="{00000000-0005-0000-0000-000085180000}"/>
    <cellStyle name="Normal 2 2 10 12 3 5" xfId="6324" xr:uid="{00000000-0005-0000-0000-000086180000}"/>
    <cellStyle name="Normal 2 2 10 12 3 6" xfId="6325" xr:uid="{00000000-0005-0000-0000-000087180000}"/>
    <cellStyle name="Normal 2 2 10 12 3 7" xfId="6326" xr:uid="{00000000-0005-0000-0000-000088180000}"/>
    <cellStyle name="Normal 2 2 10 12 3 8" xfId="6327" xr:uid="{00000000-0005-0000-0000-000089180000}"/>
    <cellStyle name="Normal 2 2 10 12 3 9" xfId="6328" xr:uid="{00000000-0005-0000-0000-00008A180000}"/>
    <cellStyle name="Normal 2 2 10 12 4" xfId="6329" xr:uid="{00000000-0005-0000-0000-00008B180000}"/>
    <cellStyle name="Normal 2 2 10 12 4 10" xfId="6330" xr:uid="{00000000-0005-0000-0000-00008C180000}"/>
    <cellStyle name="Normal 2 2 10 12 4 2" xfId="6331" xr:uid="{00000000-0005-0000-0000-00008D180000}"/>
    <cellStyle name="Normal 2 2 10 12 4 3" xfId="6332" xr:uid="{00000000-0005-0000-0000-00008E180000}"/>
    <cellStyle name="Normal 2 2 10 12 4 4" xfId="6333" xr:uid="{00000000-0005-0000-0000-00008F180000}"/>
    <cellStyle name="Normal 2 2 10 12 4 5" xfId="6334" xr:uid="{00000000-0005-0000-0000-000090180000}"/>
    <cellStyle name="Normal 2 2 10 12 4 6" xfId="6335" xr:uid="{00000000-0005-0000-0000-000091180000}"/>
    <cellStyle name="Normal 2 2 10 12 4 7" xfId="6336" xr:uid="{00000000-0005-0000-0000-000092180000}"/>
    <cellStyle name="Normal 2 2 10 12 4 8" xfId="6337" xr:uid="{00000000-0005-0000-0000-000093180000}"/>
    <cellStyle name="Normal 2 2 10 12 4 9" xfId="6338" xr:uid="{00000000-0005-0000-0000-000094180000}"/>
    <cellStyle name="Normal 2 2 10 12 5" xfId="6339" xr:uid="{00000000-0005-0000-0000-000095180000}"/>
    <cellStyle name="Normal 2 2 10 12 5 10" xfId="6340" xr:uid="{00000000-0005-0000-0000-000096180000}"/>
    <cellStyle name="Normal 2 2 10 12 5 2" xfId="6341" xr:uid="{00000000-0005-0000-0000-000097180000}"/>
    <cellStyle name="Normal 2 2 10 12 5 3" xfId="6342" xr:uid="{00000000-0005-0000-0000-000098180000}"/>
    <cellStyle name="Normal 2 2 10 12 5 4" xfId="6343" xr:uid="{00000000-0005-0000-0000-000099180000}"/>
    <cellStyle name="Normal 2 2 10 12 5 5" xfId="6344" xr:uid="{00000000-0005-0000-0000-00009A180000}"/>
    <cellStyle name="Normal 2 2 10 12 5 6" xfId="6345" xr:uid="{00000000-0005-0000-0000-00009B180000}"/>
    <cellStyle name="Normal 2 2 10 12 5 7" xfId="6346" xr:uid="{00000000-0005-0000-0000-00009C180000}"/>
    <cellStyle name="Normal 2 2 10 12 5 8" xfId="6347" xr:uid="{00000000-0005-0000-0000-00009D180000}"/>
    <cellStyle name="Normal 2 2 10 12 5 9" xfId="6348" xr:uid="{00000000-0005-0000-0000-00009E180000}"/>
    <cellStyle name="Normal 2 2 10 12 6" xfId="6349" xr:uid="{00000000-0005-0000-0000-00009F180000}"/>
    <cellStyle name="Normal 2 2 10 12 7" xfId="6350" xr:uid="{00000000-0005-0000-0000-0000A0180000}"/>
    <cellStyle name="Normal 2 2 10 12 8" xfId="6351" xr:uid="{00000000-0005-0000-0000-0000A1180000}"/>
    <cellStyle name="Normal 2 2 10 12 9" xfId="6352" xr:uid="{00000000-0005-0000-0000-0000A2180000}"/>
    <cellStyle name="Normal 2 2 10 13" xfId="6353" xr:uid="{00000000-0005-0000-0000-0000A3180000}"/>
    <cellStyle name="Normal 2 2 10 13 10" xfId="6354" xr:uid="{00000000-0005-0000-0000-0000A4180000}"/>
    <cellStyle name="Normal 2 2 10 13 11" xfId="6355" xr:uid="{00000000-0005-0000-0000-0000A5180000}"/>
    <cellStyle name="Normal 2 2 10 13 12" xfId="6356" xr:uid="{00000000-0005-0000-0000-0000A6180000}"/>
    <cellStyle name="Normal 2 2 10 13 13" xfId="6357" xr:uid="{00000000-0005-0000-0000-0000A7180000}"/>
    <cellStyle name="Normal 2 2 10 13 14" xfId="6358" xr:uid="{00000000-0005-0000-0000-0000A8180000}"/>
    <cellStyle name="Normal 2 2 10 13 2" xfId="6359" xr:uid="{00000000-0005-0000-0000-0000A9180000}"/>
    <cellStyle name="Normal 2 2 10 13 2 10" xfId="6360" xr:uid="{00000000-0005-0000-0000-0000AA180000}"/>
    <cellStyle name="Normal 2 2 10 13 2 2" xfId="6361" xr:uid="{00000000-0005-0000-0000-0000AB180000}"/>
    <cellStyle name="Normal 2 2 10 13 2 3" xfId="6362" xr:uid="{00000000-0005-0000-0000-0000AC180000}"/>
    <cellStyle name="Normal 2 2 10 13 2 4" xfId="6363" xr:uid="{00000000-0005-0000-0000-0000AD180000}"/>
    <cellStyle name="Normal 2 2 10 13 2 5" xfId="6364" xr:uid="{00000000-0005-0000-0000-0000AE180000}"/>
    <cellStyle name="Normal 2 2 10 13 2 6" xfId="6365" xr:uid="{00000000-0005-0000-0000-0000AF180000}"/>
    <cellStyle name="Normal 2 2 10 13 2 7" xfId="6366" xr:uid="{00000000-0005-0000-0000-0000B0180000}"/>
    <cellStyle name="Normal 2 2 10 13 2 8" xfId="6367" xr:uid="{00000000-0005-0000-0000-0000B1180000}"/>
    <cellStyle name="Normal 2 2 10 13 2 9" xfId="6368" xr:uid="{00000000-0005-0000-0000-0000B2180000}"/>
    <cellStyle name="Normal 2 2 10 13 3" xfId="6369" xr:uid="{00000000-0005-0000-0000-0000B3180000}"/>
    <cellStyle name="Normal 2 2 10 13 3 10" xfId="6370" xr:uid="{00000000-0005-0000-0000-0000B4180000}"/>
    <cellStyle name="Normal 2 2 10 13 3 2" xfId="6371" xr:uid="{00000000-0005-0000-0000-0000B5180000}"/>
    <cellStyle name="Normal 2 2 10 13 3 3" xfId="6372" xr:uid="{00000000-0005-0000-0000-0000B6180000}"/>
    <cellStyle name="Normal 2 2 10 13 3 4" xfId="6373" xr:uid="{00000000-0005-0000-0000-0000B7180000}"/>
    <cellStyle name="Normal 2 2 10 13 3 5" xfId="6374" xr:uid="{00000000-0005-0000-0000-0000B8180000}"/>
    <cellStyle name="Normal 2 2 10 13 3 6" xfId="6375" xr:uid="{00000000-0005-0000-0000-0000B9180000}"/>
    <cellStyle name="Normal 2 2 10 13 3 7" xfId="6376" xr:uid="{00000000-0005-0000-0000-0000BA180000}"/>
    <cellStyle name="Normal 2 2 10 13 3 8" xfId="6377" xr:uid="{00000000-0005-0000-0000-0000BB180000}"/>
    <cellStyle name="Normal 2 2 10 13 3 9" xfId="6378" xr:uid="{00000000-0005-0000-0000-0000BC180000}"/>
    <cellStyle name="Normal 2 2 10 13 4" xfId="6379" xr:uid="{00000000-0005-0000-0000-0000BD180000}"/>
    <cellStyle name="Normal 2 2 10 13 4 10" xfId="6380" xr:uid="{00000000-0005-0000-0000-0000BE180000}"/>
    <cellStyle name="Normal 2 2 10 13 4 2" xfId="6381" xr:uid="{00000000-0005-0000-0000-0000BF180000}"/>
    <cellStyle name="Normal 2 2 10 13 4 3" xfId="6382" xr:uid="{00000000-0005-0000-0000-0000C0180000}"/>
    <cellStyle name="Normal 2 2 10 13 4 4" xfId="6383" xr:uid="{00000000-0005-0000-0000-0000C1180000}"/>
    <cellStyle name="Normal 2 2 10 13 4 5" xfId="6384" xr:uid="{00000000-0005-0000-0000-0000C2180000}"/>
    <cellStyle name="Normal 2 2 10 13 4 6" xfId="6385" xr:uid="{00000000-0005-0000-0000-0000C3180000}"/>
    <cellStyle name="Normal 2 2 10 13 4 7" xfId="6386" xr:uid="{00000000-0005-0000-0000-0000C4180000}"/>
    <cellStyle name="Normal 2 2 10 13 4 8" xfId="6387" xr:uid="{00000000-0005-0000-0000-0000C5180000}"/>
    <cellStyle name="Normal 2 2 10 13 4 9" xfId="6388" xr:uid="{00000000-0005-0000-0000-0000C6180000}"/>
    <cellStyle name="Normal 2 2 10 13 5" xfId="6389" xr:uid="{00000000-0005-0000-0000-0000C7180000}"/>
    <cellStyle name="Normal 2 2 10 13 5 10" xfId="6390" xr:uid="{00000000-0005-0000-0000-0000C8180000}"/>
    <cellStyle name="Normal 2 2 10 13 5 2" xfId="6391" xr:uid="{00000000-0005-0000-0000-0000C9180000}"/>
    <cellStyle name="Normal 2 2 10 13 5 3" xfId="6392" xr:uid="{00000000-0005-0000-0000-0000CA180000}"/>
    <cellStyle name="Normal 2 2 10 13 5 4" xfId="6393" xr:uid="{00000000-0005-0000-0000-0000CB180000}"/>
    <cellStyle name="Normal 2 2 10 13 5 5" xfId="6394" xr:uid="{00000000-0005-0000-0000-0000CC180000}"/>
    <cellStyle name="Normal 2 2 10 13 5 6" xfId="6395" xr:uid="{00000000-0005-0000-0000-0000CD180000}"/>
    <cellStyle name="Normal 2 2 10 13 5 7" xfId="6396" xr:uid="{00000000-0005-0000-0000-0000CE180000}"/>
    <cellStyle name="Normal 2 2 10 13 5 8" xfId="6397" xr:uid="{00000000-0005-0000-0000-0000CF180000}"/>
    <cellStyle name="Normal 2 2 10 13 5 9" xfId="6398" xr:uid="{00000000-0005-0000-0000-0000D0180000}"/>
    <cellStyle name="Normal 2 2 10 13 6" xfId="6399" xr:uid="{00000000-0005-0000-0000-0000D1180000}"/>
    <cellStyle name="Normal 2 2 10 13 7" xfId="6400" xr:uid="{00000000-0005-0000-0000-0000D2180000}"/>
    <cellStyle name="Normal 2 2 10 13 8" xfId="6401" xr:uid="{00000000-0005-0000-0000-0000D3180000}"/>
    <cellStyle name="Normal 2 2 10 13 9" xfId="6402" xr:uid="{00000000-0005-0000-0000-0000D4180000}"/>
    <cellStyle name="Normal 2 2 10 14" xfId="6403" xr:uid="{00000000-0005-0000-0000-0000D5180000}"/>
    <cellStyle name="Normal 2 2 10 14 10" xfId="6404" xr:uid="{00000000-0005-0000-0000-0000D6180000}"/>
    <cellStyle name="Normal 2 2 10 14 11" xfId="6405" xr:uid="{00000000-0005-0000-0000-0000D7180000}"/>
    <cellStyle name="Normal 2 2 10 14 12" xfId="6406" xr:uid="{00000000-0005-0000-0000-0000D8180000}"/>
    <cellStyle name="Normal 2 2 10 14 13" xfId="6407" xr:uid="{00000000-0005-0000-0000-0000D9180000}"/>
    <cellStyle name="Normal 2 2 10 14 14" xfId="6408" xr:uid="{00000000-0005-0000-0000-0000DA180000}"/>
    <cellStyle name="Normal 2 2 10 14 2" xfId="6409" xr:uid="{00000000-0005-0000-0000-0000DB180000}"/>
    <cellStyle name="Normal 2 2 10 14 2 10" xfId="6410" xr:uid="{00000000-0005-0000-0000-0000DC180000}"/>
    <cellStyle name="Normal 2 2 10 14 2 2" xfId="6411" xr:uid="{00000000-0005-0000-0000-0000DD180000}"/>
    <cellStyle name="Normal 2 2 10 14 2 3" xfId="6412" xr:uid="{00000000-0005-0000-0000-0000DE180000}"/>
    <cellStyle name="Normal 2 2 10 14 2 4" xfId="6413" xr:uid="{00000000-0005-0000-0000-0000DF180000}"/>
    <cellStyle name="Normal 2 2 10 14 2 5" xfId="6414" xr:uid="{00000000-0005-0000-0000-0000E0180000}"/>
    <cellStyle name="Normal 2 2 10 14 2 6" xfId="6415" xr:uid="{00000000-0005-0000-0000-0000E1180000}"/>
    <cellStyle name="Normal 2 2 10 14 2 7" xfId="6416" xr:uid="{00000000-0005-0000-0000-0000E2180000}"/>
    <cellStyle name="Normal 2 2 10 14 2 8" xfId="6417" xr:uid="{00000000-0005-0000-0000-0000E3180000}"/>
    <cellStyle name="Normal 2 2 10 14 2 9" xfId="6418" xr:uid="{00000000-0005-0000-0000-0000E4180000}"/>
    <cellStyle name="Normal 2 2 10 14 3" xfId="6419" xr:uid="{00000000-0005-0000-0000-0000E5180000}"/>
    <cellStyle name="Normal 2 2 10 14 3 10" xfId="6420" xr:uid="{00000000-0005-0000-0000-0000E6180000}"/>
    <cellStyle name="Normal 2 2 10 14 3 2" xfId="6421" xr:uid="{00000000-0005-0000-0000-0000E7180000}"/>
    <cellStyle name="Normal 2 2 10 14 3 3" xfId="6422" xr:uid="{00000000-0005-0000-0000-0000E8180000}"/>
    <cellStyle name="Normal 2 2 10 14 3 4" xfId="6423" xr:uid="{00000000-0005-0000-0000-0000E9180000}"/>
    <cellStyle name="Normal 2 2 10 14 3 5" xfId="6424" xr:uid="{00000000-0005-0000-0000-0000EA180000}"/>
    <cellStyle name="Normal 2 2 10 14 3 6" xfId="6425" xr:uid="{00000000-0005-0000-0000-0000EB180000}"/>
    <cellStyle name="Normal 2 2 10 14 3 7" xfId="6426" xr:uid="{00000000-0005-0000-0000-0000EC180000}"/>
    <cellStyle name="Normal 2 2 10 14 3 8" xfId="6427" xr:uid="{00000000-0005-0000-0000-0000ED180000}"/>
    <cellStyle name="Normal 2 2 10 14 3 9" xfId="6428" xr:uid="{00000000-0005-0000-0000-0000EE180000}"/>
    <cellStyle name="Normal 2 2 10 14 4" xfId="6429" xr:uid="{00000000-0005-0000-0000-0000EF180000}"/>
    <cellStyle name="Normal 2 2 10 14 4 10" xfId="6430" xr:uid="{00000000-0005-0000-0000-0000F0180000}"/>
    <cellStyle name="Normal 2 2 10 14 4 2" xfId="6431" xr:uid="{00000000-0005-0000-0000-0000F1180000}"/>
    <cellStyle name="Normal 2 2 10 14 4 3" xfId="6432" xr:uid="{00000000-0005-0000-0000-0000F2180000}"/>
    <cellStyle name="Normal 2 2 10 14 4 4" xfId="6433" xr:uid="{00000000-0005-0000-0000-0000F3180000}"/>
    <cellStyle name="Normal 2 2 10 14 4 5" xfId="6434" xr:uid="{00000000-0005-0000-0000-0000F4180000}"/>
    <cellStyle name="Normal 2 2 10 14 4 6" xfId="6435" xr:uid="{00000000-0005-0000-0000-0000F5180000}"/>
    <cellStyle name="Normal 2 2 10 14 4 7" xfId="6436" xr:uid="{00000000-0005-0000-0000-0000F6180000}"/>
    <cellStyle name="Normal 2 2 10 14 4 8" xfId="6437" xr:uid="{00000000-0005-0000-0000-0000F7180000}"/>
    <cellStyle name="Normal 2 2 10 14 4 9" xfId="6438" xr:uid="{00000000-0005-0000-0000-0000F8180000}"/>
    <cellStyle name="Normal 2 2 10 14 5" xfId="6439" xr:uid="{00000000-0005-0000-0000-0000F9180000}"/>
    <cellStyle name="Normal 2 2 10 14 5 10" xfId="6440" xr:uid="{00000000-0005-0000-0000-0000FA180000}"/>
    <cellStyle name="Normal 2 2 10 14 5 2" xfId="6441" xr:uid="{00000000-0005-0000-0000-0000FB180000}"/>
    <cellStyle name="Normal 2 2 10 14 5 3" xfId="6442" xr:uid="{00000000-0005-0000-0000-0000FC180000}"/>
    <cellStyle name="Normal 2 2 10 14 5 4" xfId="6443" xr:uid="{00000000-0005-0000-0000-0000FD180000}"/>
    <cellStyle name="Normal 2 2 10 14 5 5" xfId="6444" xr:uid="{00000000-0005-0000-0000-0000FE180000}"/>
    <cellStyle name="Normal 2 2 10 14 5 6" xfId="6445" xr:uid="{00000000-0005-0000-0000-0000FF180000}"/>
    <cellStyle name="Normal 2 2 10 14 5 7" xfId="6446" xr:uid="{00000000-0005-0000-0000-000000190000}"/>
    <cellStyle name="Normal 2 2 10 14 5 8" xfId="6447" xr:uid="{00000000-0005-0000-0000-000001190000}"/>
    <cellStyle name="Normal 2 2 10 14 5 9" xfId="6448" xr:uid="{00000000-0005-0000-0000-000002190000}"/>
    <cellStyle name="Normal 2 2 10 14 6" xfId="6449" xr:uid="{00000000-0005-0000-0000-000003190000}"/>
    <cellStyle name="Normal 2 2 10 14 7" xfId="6450" xr:uid="{00000000-0005-0000-0000-000004190000}"/>
    <cellStyle name="Normal 2 2 10 14 8" xfId="6451" xr:uid="{00000000-0005-0000-0000-000005190000}"/>
    <cellStyle name="Normal 2 2 10 14 9" xfId="6452" xr:uid="{00000000-0005-0000-0000-000006190000}"/>
    <cellStyle name="Normal 2 2 10 15" xfId="6453" xr:uid="{00000000-0005-0000-0000-000007190000}"/>
    <cellStyle name="Normal 2 2 10 15 10" xfId="6454" xr:uid="{00000000-0005-0000-0000-000008190000}"/>
    <cellStyle name="Normal 2 2 10 15 11" xfId="6455" xr:uid="{00000000-0005-0000-0000-000009190000}"/>
    <cellStyle name="Normal 2 2 10 15 12" xfId="6456" xr:uid="{00000000-0005-0000-0000-00000A190000}"/>
    <cellStyle name="Normal 2 2 10 15 13" xfId="6457" xr:uid="{00000000-0005-0000-0000-00000B190000}"/>
    <cellStyle name="Normal 2 2 10 15 14" xfId="6458" xr:uid="{00000000-0005-0000-0000-00000C190000}"/>
    <cellStyle name="Normal 2 2 10 15 2" xfId="6459" xr:uid="{00000000-0005-0000-0000-00000D190000}"/>
    <cellStyle name="Normal 2 2 10 15 2 10" xfId="6460" xr:uid="{00000000-0005-0000-0000-00000E190000}"/>
    <cellStyle name="Normal 2 2 10 15 2 2" xfId="6461" xr:uid="{00000000-0005-0000-0000-00000F190000}"/>
    <cellStyle name="Normal 2 2 10 15 2 3" xfId="6462" xr:uid="{00000000-0005-0000-0000-000010190000}"/>
    <cellStyle name="Normal 2 2 10 15 2 4" xfId="6463" xr:uid="{00000000-0005-0000-0000-000011190000}"/>
    <cellStyle name="Normal 2 2 10 15 2 5" xfId="6464" xr:uid="{00000000-0005-0000-0000-000012190000}"/>
    <cellStyle name="Normal 2 2 10 15 2 6" xfId="6465" xr:uid="{00000000-0005-0000-0000-000013190000}"/>
    <cellStyle name="Normal 2 2 10 15 2 7" xfId="6466" xr:uid="{00000000-0005-0000-0000-000014190000}"/>
    <cellStyle name="Normal 2 2 10 15 2 8" xfId="6467" xr:uid="{00000000-0005-0000-0000-000015190000}"/>
    <cellStyle name="Normal 2 2 10 15 2 9" xfId="6468" xr:uid="{00000000-0005-0000-0000-000016190000}"/>
    <cellStyle name="Normal 2 2 10 15 3" xfId="6469" xr:uid="{00000000-0005-0000-0000-000017190000}"/>
    <cellStyle name="Normal 2 2 10 15 3 10" xfId="6470" xr:uid="{00000000-0005-0000-0000-000018190000}"/>
    <cellStyle name="Normal 2 2 10 15 3 2" xfId="6471" xr:uid="{00000000-0005-0000-0000-000019190000}"/>
    <cellStyle name="Normal 2 2 10 15 3 3" xfId="6472" xr:uid="{00000000-0005-0000-0000-00001A190000}"/>
    <cellStyle name="Normal 2 2 10 15 3 4" xfId="6473" xr:uid="{00000000-0005-0000-0000-00001B190000}"/>
    <cellStyle name="Normal 2 2 10 15 3 5" xfId="6474" xr:uid="{00000000-0005-0000-0000-00001C190000}"/>
    <cellStyle name="Normal 2 2 10 15 3 6" xfId="6475" xr:uid="{00000000-0005-0000-0000-00001D190000}"/>
    <cellStyle name="Normal 2 2 10 15 3 7" xfId="6476" xr:uid="{00000000-0005-0000-0000-00001E190000}"/>
    <cellStyle name="Normal 2 2 10 15 3 8" xfId="6477" xr:uid="{00000000-0005-0000-0000-00001F190000}"/>
    <cellStyle name="Normal 2 2 10 15 3 9" xfId="6478" xr:uid="{00000000-0005-0000-0000-000020190000}"/>
    <cellStyle name="Normal 2 2 10 15 4" xfId="6479" xr:uid="{00000000-0005-0000-0000-000021190000}"/>
    <cellStyle name="Normal 2 2 10 15 4 10" xfId="6480" xr:uid="{00000000-0005-0000-0000-000022190000}"/>
    <cellStyle name="Normal 2 2 10 15 4 2" xfId="6481" xr:uid="{00000000-0005-0000-0000-000023190000}"/>
    <cellStyle name="Normal 2 2 10 15 4 3" xfId="6482" xr:uid="{00000000-0005-0000-0000-000024190000}"/>
    <cellStyle name="Normal 2 2 10 15 4 4" xfId="6483" xr:uid="{00000000-0005-0000-0000-000025190000}"/>
    <cellStyle name="Normal 2 2 10 15 4 5" xfId="6484" xr:uid="{00000000-0005-0000-0000-000026190000}"/>
    <cellStyle name="Normal 2 2 10 15 4 6" xfId="6485" xr:uid="{00000000-0005-0000-0000-000027190000}"/>
    <cellStyle name="Normal 2 2 10 15 4 7" xfId="6486" xr:uid="{00000000-0005-0000-0000-000028190000}"/>
    <cellStyle name="Normal 2 2 10 15 4 8" xfId="6487" xr:uid="{00000000-0005-0000-0000-000029190000}"/>
    <cellStyle name="Normal 2 2 10 15 4 9" xfId="6488" xr:uid="{00000000-0005-0000-0000-00002A190000}"/>
    <cellStyle name="Normal 2 2 10 15 5" xfId="6489" xr:uid="{00000000-0005-0000-0000-00002B190000}"/>
    <cellStyle name="Normal 2 2 10 15 5 10" xfId="6490" xr:uid="{00000000-0005-0000-0000-00002C190000}"/>
    <cellStyle name="Normal 2 2 10 15 5 2" xfId="6491" xr:uid="{00000000-0005-0000-0000-00002D190000}"/>
    <cellStyle name="Normal 2 2 10 15 5 3" xfId="6492" xr:uid="{00000000-0005-0000-0000-00002E190000}"/>
    <cellStyle name="Normal 2 2 10 15 5 4" xfId="6493" xr:uid="{00000000-0005-0000-0000-00002F190000}"/>
    <cellStyle name="Normal 2 2 10 15 5 5" xfId="6494" xr:uid="{00000000-0005-0000-0000-000030190000}"/>
    <cellStyle name="Normal 2 2 10 15 5 6" xfId="6495" xr:uid="{00000000-0005-0000-0000-000031190000}"/>
    <cellStyle name="Normal 2 2 10 15 5 7" xfId="6496" xr:uid="{00000000-0005-0000-0000-000032190000}"/>
    <cellStyle name="Normal 2 2 10 15 5 8" xfId="6497" xr:uid="{00000000-0005-0000-0000-000033190000}"/>
    <cellStyle name="Normal 2 2 10 15 5 9" xfId="6498" xr:uid="{00000000-0005-0000-0000-000034190000}"/>
    <cellStyle name="Normal 2 2 10 15 6" xfId="6499" xr:uid="{00000000-0005-0000-0000-000035190000}"/>
    <cellStyle name="Normal 2 2 10 15 7" xfId="6500" xr:uid="{00000000-0005-0000-0000-000036190000}"/>
    <cellStyle name="Normal 2 2 10 15 8" xfId="6501" xr:uid="{00000000-0005-0000-0000-000037190000}"/>
    <cellStyle name="Normal 2 2 10 15 9" xfId="6502" xr:uid="{00000000-0005-0000-0000-000038190000}"/>
    <cellStyle name="Normal 2 2 10 16" xfId="6503" xr:uid="{00000000-0005-0000-0000-000039190000}"/>
    <cellStyle name="Normal 2 2 10 16 10" xfId="6504" xr:uid="{00000000-0005-0000-0000-00003A190000}"/>
    <cellStyle name="Normal 2 2 10 16 11" xfId="6505" xr:uid="{00000000-0005-0000-0000-00003B190000}"/>
    <cellStyle name="Normal 2 2 10 16 12" xfId="6506" xr:uid="{00000000-0005-0000-0000-00003C190000}"/>
    <cellStyle name="Normal 2 2 10 16 13" xfId="6507" xr:uid="{00000000-0005-0000-0000-00003D190000}"/>
    <cellStyle name="Normal 2 2 10 16 14" xfId="6508" xr:uid="{00000000-0005-0000-0000-00003E190000}"/>
    <cellStyle name="Normal 2 2 10 16 2" xfId="6509" xr:uid="{00000000-0005-0000-0000-00003F190000}"/>
    <cellStyle name="Normal 2 2 10 16 2 10" xfId="6510" xr:uid="{00000000-0005-0000-0000-000040190000}"/>
    <cellStyle name="Normal 2 2 10 16 2 2" xfId="6511" xr:uid="{00000000-0005-0000-0000-000041190000}"/>
    <cellStyle name="Normal 2 2 10 16 2 3" xfId="6512" xr:uid="{00000000-0005-0000-0000-000042190000}"/>
    <cellStyle name="Normal 2 2 10 16 2 4" xfId="6513" xr:uid="{00000000-0005-0000-0000-000043190000}"/>
    <cellStyle name="Normal 2 2 10 16 2 5" xfId="6514" xr:uid="{00000000-0005-0000-0000-000044190000}"/>
    <cellStyle name="Normal 2 2 10 16 2 6" xfId="6515" xr:uid="{00000000-0005-0000-0000-000045190000}"/>
    <cellStyle name="Normal 2 2 10 16 2 7" xfId="6516" xr:uid="{00000000-0005-0000-0000-000046190000}"/>
    <cellStyle name="Normal 2 2 10 16 2 8" xfId="6517" xr:uid="{00000000-0005-0000-0000-000047190000}"/>
    <cellStyle name="Normal 2 2 10 16 2 9" xfId="6518" xr:uid="{00000000-0005-0000-0000-000048190000}"/>
    <cellStyle name="Normal 2 2 10 16 3" xfId="6519" xr:uid="{00000000-0005-0000-0000-000049190000}"/>
    <cellStyle name="Normal 2 2 10 16 3 10" xfId="6520" xr:uid="{00000000-0005-0000-0000-00004A190000}"/>
    <cellStyle name="Normal 2 2 10 16 3 2" xfId="6521" xr:uid="{00000000-0005-0000-0000-00004B190000}"/>
    <cellStyle name="Normal 2 2 10 16 3 3" xfId="6522" xr:uid="{00000000-0005-0000-0000-00004C190000}"/>
    <cellStyle name="Normal 2 2 10 16 3 4" xfId="6523" xr:uid="{00000000-0005-0000-0000-00004D190000}"/>
    <cellStyle name="Normal 2 2 10 16 3 5" xfId="6524" xr:uid="{00000000-0005-0000-0000-00004E190000}"/>
    <cellStyle name="Normal 2 2 10 16 3 6" xfId="6525" xr:uid="{00000000-0005-0000-0000-00004F190000}"/>
    <cellStyle name="Normal 2 2 10 16 3 7" xfId="6526" xr:uid="{00000000-0005-0000-0000-000050190000}"/>
    <cellStyle name="Normal 2 2 10 16 3 8" xfId="6527" xr:uid="{00000000-0005-0000-0000-000051190000}"/>
    <cellStyle name="Normal 2 2 10 16 3 9" xfId="6528" xr:uid="{00000000-0005-0000-0000-000052190000}"/>
    <cellStyle name="Normal 2 2 10 16 4" xfId="6529" xr:uid="{00000000-0005-0000-0000-000053190000}"/>
    <cellStyle name="Normal 2 2 10 16 4 10" xfId="6530" xr:uid="{00000000-0005-0000-0000-000054190000}"/>
    <cellStyle name="Normal 2 2 10 16 4 2" xfId="6531" xr:uid="{00000000-0005-0000-0000-000055190000}"/>
    <cellStyle name="Normal 2 2 10 16 4 3" xfId="6532" xr:uid="{00000000-0005-0000-0000-000056190000}"/>
    <cellStyle name="Normal 2 2 10 16 4 4" xfId="6533" xr:uid="{00000000-0005-0000-0000-000057190000}"/>
    <cellStyle name="Normal 2 2 10 16 4 5" xfId="6534" xr:uid="{00000000-0005-0000-0000-000058190000}"/>
    <cellStyle name="Normal 2 2 10 16 4 6" xfId="6535" xr:uid="{00000000-0005-0000-0000-000059190000}"/>
    <cellStyle name="Normal 2 2 10 16 4 7" xfId="6536" xr:uid="{00000000-0005-0000-0000-00005A190000}"/>
    <cellStyle name="Normal 2 2 10 16 4 8" xfId="6537" xr:uid="{00000000-0005-0000-0000-00005B190000}"/>
    <cellStyle name="Normal 2 2 10 16 4 9" xfId="6538" xr:uid="{00000000-0005-0000-0000-00005C190000}"/>
    <cellStyle name="Normal 2 2 10 16 5" xfId="6539" xr:uid="{00000000-0005-0000-0000-00005D190000}"/>
    <cellStyle name="Normal 2 2 10 16 5 10" xfId="6540" xr:uid="{00000000-0005-0000-0000-00005E190000}"/>
    <cellStyle name="Normal 2 2 10 16 5 2" xfId="6541" xr:uid="{00000000-0005-0000-0000-00005F190000}"/>
    <cellStyle name="Normal 2 2 10 16 5 3" xfId="6542" xr:uid="{00000000-0005-0000-0000-000060190000}"/>
    <cellStyle name="Normal 2 2 10 16 5 4" xfId="6543" xr:uid="{00000000-0005-0000-0000-000061190000}"/>
    <cellStyle name="Normal 2 2 10 16 5 5" xfId="6544" xr:uid="{00000000-0005-0000-0000-000062190000}"/>
    <cellStyle name="Normal 2 2 10 16 5 6" xfId="6545" xr:uid="{00000000-0005-0000-0000-000063190000}"/>
    <cellStyle name="Normal 2 2 10 16 5 7" xfId="6546" xr:uid="{00000000-0005-0000-0000-000064190000}"/>
    <cellStyle name="Normal 2 2 10 16 5 8" xfId="6547" xr:uid="{00000000-0005-0000-0000-000065190000}"/>
    <cellStyle name="Normal 2 2 10 16 5 9" xfId="6548" xr:uid="{00000000-0005-0000-0000-000066190000}"/>
    <cellStyle name="Normal 2 2 10 16 6" xfId="6549" xr:uid="{00000000-0005-0000-0000-000067190000}"/>
    <cellStyle name="Normal 2 2 10 16 7" xfId="6550" xr:uid="{00000000-0005-0000-0000-000068190000}"/>
    <cellStyle name="Normal 2 2 10 16 8" xfId="6551" xr:uid="{00000000-0005-0000-0000-000069190000}"/>
    <cellStyle name="Normal 2 2 10 16 9" xfId="6552" xr:uid="{00000000-0005-0000-0000-00006A190000}"/>
    <cellStyle name="Normal 2 2 10 17" xfId="6553" xr:uid="{00000000-0005-0000-0000-00006B190000}"/>
    <cellStyle name="Normal 2 2 10 17 10" xfId="6554" xr:uid="{00000000-0005-0000-0000-00006C190000}"/>
    <cellStyle name="Normal 2 2 10 17 11" xfId="6555" xr:uid="{00000000-0005-0000-0000-00006D190000}"/>
    <cellStyle name="Normal 2 2 10 17 12" xfId="6556" xr:uid="{00000000-0005-0000-0000-00006E190000}"/>
    <cellStyle name="Normal 2 2 10 17 13" xfId="6557" xr:uid="{00000000-0005-0000-0000-00006F190000}"/>
    <cellStyle name="Normal 2 2 10 17 14" xfId="6558" xr:uid="{00000000-0005-0000-0000-000070190000}"/>
    <cellStyle name="Normal 2 2 10 17 2" xfId="6559" xr:uid="{00000000-0005-0000-0000-000071190000}"/>
    <cellStyle name="Normal 2 2 10 17 2 10" xfId="6560" xr:uid="{00000000-0005-0000-0000-000072190000}"/>
    <cellStyle name="Normal 2 2 10 17 2 2" xfId="6561" xr:uid="{00000000-0005-0000-0000-000073190000}"/>
    <cellStyle name="Normal 2 2 10 17 2 3" xfId="6562" xr:uid="{00000000-0005-0000-0000-000074190000}"/>
    <cellStyle name="Normal 2 2 10 17 2 4" xfId="6563" xr:uid="{00000000-0005-0000-0000-000075190000}"/>
    <cellStyle name="Normal 2 2 10 17 2 5" xfId="6564" xr:uid="{00000000-0005-0000-0000-000076190000}"/>
    <cellStyle name="Normal 2 2 10 17 2 6" xfId="6565" xr:uid="{00000000-0005-0000-0000-000077190000}"/>
    <cellStyle name="Normal 2 2 10 17 2 7" xfId="6566" xr:uid="{00000000-0005-0000-0000-000078190000}"/>
    <cellStyle name="Normal 2 2 10 17 2 8" xfId="6567" xr:uid="{00000000-0005-0000-0000-000079190000}"/>
    <cellStyle name="Normal 2 2 10 17 2 9" xfId="6568" xr:uid="{00000000-0005-0000-0000-00007A190000}"/>
    <cellStyle name="Normal 2 2 10 17 3" xfId="6569" xr:uid="{00000000-0005-0000-0000-00007B190000}"/>
    <cellStyle name="Normal 2 2 10 17 3 10" xfId="6570" xr:uid="{00000000-0005-0000-0000-00007C190000}"/>
    <cellStyle name="Normal 2 2 10 17 3 2" xfId="6571" xr:uid="{00000000-0005-0000-0000-00007D190000}"/>
    <cellStyle name="Normal 2 2 10 17 3 3" xfId="6572" xr:uid="{00000000-0005-0000-0000-00007E190000}"/>
    <cellStyle name="Normal 2 2 10 17 3 4" xfId="6573" xr:uid="{00000000-0005-0000-0000-00007F190000}"/>
    <cellStyle name="Normal 2 2 10 17 3 5" xfId="6574" xr:uid="{00000000-0005-0000-0000-000080190000}"/>
    <cellStyle name="Normal 2 2 10 17 3 6" xfId="6575" xr:uid="{00000000-0005-0000-0000-000081190000}"/>
    <cellStyle name="Normal 2 2 10 17 3 7" xfId="6576" xr:uid="{00000000-0005-0000-0000-000082190000}"/>
    <cellStyle name="Normal 2 2 10 17 3 8" xfId="6577" xr:uid="{00000000-0005-0000-0000-000083190000}"/>
    <cellStyle name="Normal 2 2 10 17 3 9" xfId="6578" xr:uid="{00000000-0005-0000-0000-000084190000}"/>
    <cellStyle name="Normal 2 2 10 17 4" xfId="6579" xr:uid="{00000000-0005-0000-0000-000085190000}"/>
    <cellStyle name="Normal 2 2 10 17 4 10" xfId="6580" xr:uid="{00000000-0005-0000-0000-000086190000}"/>
    <cellStyle name="Normal 2 2 10 17 4 2" xfId="6581" xr:uid="{00000000-0005-0000-0000-000087190000}"/>
    <cellStyle name="Normal 2 2 10 17 4 3" xfId="6582" xr:uid="{00000000-0005-0000-0000-000088190000}"/>
    <cellStyle name="Normal 2 2 10 17 4 4" xfId="6583" xr:uid="{00000000-0005-0000-0000-000089190000}"/>
    <cellStyle name="Normal 2 2 10 17 4 5" xfId="6584" xr:uid="{00000000-0005-0000-0000-00008A190000}"/>
    <cellStyle name="Normal 2 2 10 17 4 6" xfId="6585" xr:uid="{00000000-0005-0000-0000-00008B190000}"/>
    <cellStyle name="Normal 2 2 10 17 4 7" xfId="6586" xr:uid="{00000000-0005-0000-0000-00008C190000}"/>
    <cellStyle name="Normal 2 2 10 17 4 8" xfId="6587" xr:uid="{00000000-0005-0000-0000-00008D190000}"/>
    <cellStyle name="Normal 2 2 10 17 4 9" xfId="6588" xr:uid="{00000000-0005-0000-0000-00008E190000}"/>
    <cellStyle name="Normal 2 2 10 17 5" xfId="6589" xr:uid="{00000000-0005-0000-0000-00008F190000}"/>
    <cellStyle name="Normal 2 2 10 17 5 10" xfId="6590" xr:uid="{00000000-0005-0000-0000-000090190000}"/>
    <cellStyle name="Normal 2 2 10 17 5 2" xfId="6591" xr:uid="{00000000-0005-0000-0000-000091190000}"/>
    <cellStyle name="Normal 2 2 10 17 5 3" xfId="6592" xr:uid="{00000000-0005-0000-0000-000092190000}"/>
    <cellStyle name="Normal 2 2 10 17 5 4" xfId="6593" xr:uid="{00000000-0005-0000-0000-000093190000}"/>
    <cellStyle name="Normal 2 2 10 17 5 5" xfId="6594" xr:uid="{00000000-0005-0000-0000-000094190000}"/>
    <cellStyle name="Normal 2 2 10 17 5 6" xfId="6595" xr:uid="{00000000-0005-0000-0000-000095190000}"/>
    <cellStyle name="Normal 2 2 10 17 5 7" xfId="6596" xr:uid="{00000000-0005-0000-0000-000096190000}"/>
    <cellStyle name="Normal 2 2 10 17 5 8" xfId="6597" xr:uid="{00000000-0005-0000-0000-000097190000}"/>
    <cellStyle name="Normal 2 2 10 17 5 9" xfId="6598" xr:uid="{00000000-0005-0000-0000-000098190000}"/>
    <cellStyle name="Normal 2 2 10 17 6" xfId="6599" xr:uid="{00000000-0005-0000-0000-000099190000}"/>
    <cellStyle name="Normal 2 2 10 17 7" xfId="6600" xr:uid="{00000000-0005-0000-0000-00009A190000}"/>
    <cellStyle name="Normal 2 2 10 17 8" xfId="6601" xr:uid="{00000000-0005-0000-0000-00009B190000}"/>
    <cellStyle name="Normal 2 2 10 17 9" xfId="6602" xr:uid="{00000000-0005-0000-0000-00009C190000}"/>
    <cellStyle name="Normal 2 2 10 18" xfId="6603" xr:uid="{00000000-0005-0000-0000-00009D190000}"/>
    <cellStyle name="Normal 2 2 10 18 10" xfId="6604" xr:uid="{00000000-0005-0000-0000-00009E190000}"/>
    <cellStyle name="Normal 2 2 10 18 11" xfId="6605" xr:uid="{00000000-0005-0000-0000-00009F190000}"/>
    <cellStyle name="Normal 2 2 10 18 12" xfId="6606" xr:uid="{00000000-0005-0000-0000-0000A0190000}"/>
    <cellStyle name="Normal 2 2 10 18 13" xfId="6607" xr:uid="{00000000-0005-0000-0000-0000A1190000}"/>
    <cellStyle name="Normal 2 2 10 18 14" xfId="6608" xr:uid="{00000000-0005-0000-0000-0000A2190000}"/>
    <cellStyle name="Normal 2 2 10 18 2" xfId="6609" xr:uid="{00000000-0005-0000-0000-0000A3190000}"/>
    <cellStyle name="Normal 2 2 10 18 2 10" xfId="6610" xr:uid="{00000000-0005-0000-0000-0000A4190000}"/>
    <cellStyle name="Normal 2 2 10 18 2 2" xfId="6611" xr:uid="{00000000-0005-0000-0000-0000A5190000}"/>
    <cellStyle name="Normal 2 2 10 18 2 3" xfId="6612" xr:uid="{00000000-0005-0000-0000-0000A6190000}"/>
    <cellStyle name="Normal 2 2 10 18 2 4" xfId="6613" xr:uid="{00000000-0005-0000-0000-0000A7190000}"/>
    <cellStyle name="Normal 2 2 10 18 2 5" xfId="6614" xr:uid="{00000000-0005-0000-0000-0000A8190000}"/>
    <cellStyle name="Normal 2 2 10 18 2 6" xfId="6615" xr:uid="{00000000-0005-0000-0000-0000A9190000}"/>
    <cellStyle name="Normal 2 2 10 18 2 7" xfId="6616" xr:uid="{00000000-0005-0000-0000-0000AA190000}"/>
    <cellStyle name="Normal 2 2 10 18 2 8" xfId="6617" xr:uid="{00000000-0005-0000-0000-0000AB190000}"/>
    <cellStyle name="Normal 2 2 10 18 2 9" xfId="6618" xr:uid="{00000000-0005-0000-0000-0000AC190000}"/>
    <cellStyle name="Normal 2 2 10 18 3" xfId="6619" xr:uid="{00000000-0005-0000-0000-0000AD190000}"/>
    <cellStyle name="Normal 2 2 10 18 3 10" xfId="6620" xr:uid="{00000000-0005-0000-0000-0000AE190000}"/>
    <cellStyle name="Normal 2 2 10 18 3 2" xfId="6621" xr:uid="{00000000-0005-0000-0000-0000AF190000}"/>
    <cellStyle name="Normal 2 2 10 18 3 3" xfId="6622" xr:uid="{00000000-0005-0000-0000-0000B0190000}"/>
    <cellStyle name="Normal 2 2 10 18 3 4" xfId="6623" xr:uid="{00000000-0005-0000-0000-0000B1190000}"/>
    <cellStyle name="Normal 2 2 10 18 3 5" xfId="6624" xr:uid="{00000000-0005-0000-0000-0000B2190000}"/>
    <cellStyle name="Normal 2 2 10 18 3 6" xfId="6625" xr:uid="{00000000-0005-0000-0000-0000B3190000}"/>
    <cellStyle name="Normal 2 2 10 18 3 7" xfId="6626" xr:uid="{00000000-0005-0000-0000-0000B4190000}"/>
    <cellStyle name="Normal 2 2 10 18 3 8" xfId="6627" xr:uid="{00000000-0005-0000-0000-0000B5190000}"/>
    <cellStyle name="Normal 2 2 10 18 3 9" xfId="6628" xr:uid="{00000000-0005-0000-0000-0000B6190000}"/>
    <cellStyle name="Normal 2 2 10 18 4" xfId="6629" xr:uid="{00000000-0005-0000-0000-0000B7190000}"/>
    <cellStyle name="Normal 2 2 10 18 4 10" xfId="6630" xr:uid="{00000000-0005-0000-0000-0000B8190000}"/>
    <cellStyle name="Normal 2 2 10 18 4 2" xfId="6631" xr:uid="{00000000-0005-0000-0000-0000B9190000}"/>
    <cellStyle name="Normal 2 2 10 18 4 3" xfId="6632" xr:uid="{00000000-0005-0000-0000-0000BA190000}"/>
    <cellStyle name="Normal 2 2 10 18 4 4" xfId="6633" xr:uid="{00000000-0005-0000-0000-0000BB190000}"/>
    <cellStyle name="Normal 2 2 10 18 4 5" xfId="6634" xr:uid="{00000000-0005-0000-0000-0000BC190000}"/>
    <cellStyle name="Normal 2 2 10 18 4 6" xfId="6635" xr:uid="{00000000-0005-0000-0000-0000BD190000}"/>
    <cellStyle name="Normal 2 2 10 18 4 7" xfId="6636" xr:uid="{00000000-0005-0000-0000-0000BE190000}"/>
    <cellStyle name="Normal 2 2 10 18 4 8" xfId="6637" xr:uid="{00000000-0005-0000-0000-0000BF190000}"/>
    <cellStyle name="Normal 2 2 10 18 4 9" xfId="6638" xr:uid="{00000000-0005-0000-0000-0000C0190000}"/>
    <cellStyle name="Normal 2 2 10 18 5" xfId="6639" xr:uid="{00000000-0005-0000-0000-0000C1190000}"/>
    <cellStyle name="Normal 2 2 10 18 5 10" xfId="6640" xr:uid="{00000000-0005-0000-0000-0000C2190000}"/>
    <cellStyle name="Normal 2 2 10 18 5 2" xfId="6641" xr:uid="{00000000-0005-0000-0000-0000C3190000}"/>
    <cellStyle name="Normal 2 2 10 18 5 3" xfId="6642" xr:uid="{00000000-0005-0000-0000-0000C4190000}"/>
    <cellStyle name="Normal 2 2 10 18 5 4" xfId="6643" xr:uid="{00000000-0005-0000-0000-0000C5190000}"/>
    <cellStyle name="Normal 2 2 10 18 5 5" xfId="6644" xr:uid="{00000000-0005-0000-0000-0000C6190000}"/>
    <cellStyle name="Normal 2 2 10 18 5 6" xfId="6645" xr:uid="{00000000-0005-0000-0000-0000C7190000}"/>
    <cellStyle name="Normal 2 2 10 18 5 7" xfId="6646" xr:uid="{00000000-0005-0000-0000-0000C8190000}"/>
    <cellStyle name="Normal 2 2 10 18 5 8" xfId="6647" xr:uid="{00000000-0005-0000-0000-0000C9190000}"/>
    <cellStyle name="Normal 2 2 10 18 5 9" xfId="6648" xr:uid="{00000000-0005-0000-0000-0000CA190000}"/>
    <cellStyle name="Normal 2 2 10 18 6" xfId="6649" xr:uid="{00000000-0005-0000-0000-0000CB190000}"/>
    <cellStyle name="Normal 2 2 10 18 7" xfId="6650" xr:uid="{00000000-0005-0000-0000-0000CC190000}"/>
    <cellStyle name="Normal 2 2 10 18 8" xfId="6651" xr:uid="{00000000-0005-0000-0000-0000CD190000}"/>
    <cellStyle name="Normal 2 2 10 18 9" xfId="6652" xr:uid="{00000000-0005-0000-0000-0000CE190000}"/>
    <cellStyle name="Normal 2 2 10 19" xfId="6653" xr:uid="{00000000-0005-0000-0000-0000CF190000}"/>
    <cellStyle name="Normal 2 2 10 19 10" xfId="6654" xr:uid="{00000000-0005-0000-0000-0000D0190000}"/>
    <cellStyle name="Normal 2 2 10 19 11" xfId="6655" xr:uid="{00000000-0005-0000-0000-0000D1190000}"/>
    <cellStyle name="Normal 2 2 10 19 12" xfId="6656" xr:uid="{00000000-0005-0000-0000-0000D2190000}"/>
    <cellStyle name="Normal 2 2 10 19 13" xfId="6657" xr:uid="{00000000-0005-0000-0000-0000D3190000}"/>
    <cellStyle name="Normal 2 2 10 19 14" xfId="6658" xr:uid="{00000000-0005-0000-0000-0000D4190000}"/>
    <cellStyle name="Normal 2 2 10 19 2" xfId="6659" xr:uid="{00000000-0005-0000-0000-0000D5190000}"/>
    <cellStyle name="Normal 2 2 10 19 2 10" xfId="6660" xr:uid="{00000000-0005-0000-0000-0000D6190000}"/>
    <cellStyle name="Normal 2 2 10 19 2 2" xfId="6661" xr:uid="{00000000-0005-0000-0000-0000D7190000}"/>
    <cellStyle name="Normal 2 2 10 19 2 3" xfId="6662" xr:uid="{00000000-0005-0000-0000-0000D8190000}"/>
    <cellStyle name="Normal 2 2 10 19 2 4" xfId="6663" xr:uid="{00000000-0005-0000-0000-0000D9190000}"/>
    <cellStyle name="Normal 2 2 10 19 2 5" xfId="6664" xr:uid="{00000000-0005-0000-0000-0000DA190000}"/>
    <cellStyle name="Normal 2 2 10 19 2 6" xfId="6665" xr:uid="{00000000-0005-0000-0000-0000DB190000}"/>
    <cellStyle name="Normal 2 2 10 19 2 7" xfId="6666" xr:uid="{00000000-0005-0000-0000-0000DC190000}"/>
    <cellStyle name="Normal 2 2 10 19 2 8" xfId="6667" xr:uid="{00000000-0005-0000-0000-0000DD190000}"/>
    <cellStyle name="Normal 2 2 10 19 2 9" xfId="6668" xr:uid="{00000000-0005-0000-0000-0000DE190000}"/>
    <cellStyle name="Normal 2 2 10 19 3" xfId="6669" xr:uid="{00000000-0005-0000-0000-0000DF190000}"/>
    <cellStyle name="Normal 2 2 10 19 3 10" xfId="6670" xr:uid="{00000000-0005-0000-0000-0000E0190000}"/>
    <cellStyle name="Normal 2 2 10 19 3 2" xfId="6671" xr:uid="{00000000-0005-0000-0000-0000E1190000}"/>
    <cellStyle name="Normal 2 2 10 19 3 3" xfId="6672" xr:uid="{00000000-0005-0000-0000-0000E2190000}"/>
    <cellStyle name="Normal 2 2 10 19 3 4" xfId="6673" xr:uid="{00000000-0005-0000-0000-0000E3190000}"/>
    <cellStyle name="Normal 2 2 10 19 3 5" xfId="6674" xr:uid="{00000000-0005-0000-0000-0000E4190000}"/>
    <cellStyle name="Normal 2 2 10 19 3 6" xfId="6675" xr:uid="{00000000-0005-0000-0000-0000E5190000}"/>
    <cellStyle name="Normal 2 2 10 19 3 7" xfId="6676" xr:uid="{00000000-0005-0000-0000-0000E6190000}"/>
    <cellStyle name="Normal 2 2 10 19 3 8" xfId="6677" xr:uid="{00000000-0005-0000-0000-0000E7190000}"/>
    <cellStyle name="Normal 2 2 10 19 3 9" xfId="6678" xr:uid="{00000000-0005-0000-0000-0000E8190000}"/>
    <cellStyle name="Normal 2 2 10 19 4" xfId="6679" xr:uid="{00000000-0005-0000-0000-0000E9190000}"/>
    <cellStyle name="Normal 2 2 10 19 4 10" xfId="6680" xr:uid="{00000000-0005-0000-0000-0000EA190000}"/>
    <cellStyle name="Normal 2 2 10 19 4 2" xfId="6681" xr:uid="{00000000-0005-0000-0000-0000EB190000}"/>
    <cellStyle name="Normal 2 2 10 19 4 3" xfId="6682" xr:uid="{00000000-0005-0000-0000-0000EC190000}"/>
    <cellStyle name="Normal 2 2 10 19 4 4" xfId="6683" xr:uid="{00000000-0005-0000-0000-0000ED190000}"/>
    <cellStyle name="Normal 2 2 10 19 4 5" xfId="6684" xr:uid="{00000000-0005-0000-0000-0000EE190000}"/>
    <cellStyle name="Normal 2 2 10 19 4 6" xfId="6685" xr:uid="{00000000-0005-0000-0000-0000EF190000}"/>
    <cellStyle name="Normal 2 2 10 19 4 7" xfId="6686" xr:uid="{00000000-0005-0000-0000-0000F0190000}"/>
    <cellStyle name="Normal 2 2 10 19 4 8" xfId="6687" xr:uid="{00000000-0005-0000-0000-0000F1190000}"/>
    <cellStyle name="Normal 2 2 10 19 4 9" xfId="6688" xr:uid="{00000000-0005-0000-0000-0000F2190000}"/>
    <cellStyle name="Normal 2 2 10 19 5" xfId="6689" xr:uid="{00000000-0005-0000-0000-0000F3190000}"/>
    <cellStyle name="Normal 2 2 10 19 5 10" xfId="6690" xr:uid="{00000000-0005-0000-0000-0000F4190000}"/>
    <cellStyle name="Normal 2 2 10 19 5 2" xfId="6691" xr:uid="{00000000-0005-0000-0000-0000F5190000}"/>
    <cellStyle name="Normal 2 2 10 19 5 3" xfId="6692" xr:uid="{00000000-0005-0000-0000-0000F6190000}"/>
    <cellStyle name="Normal 2 2 10 19 5 4" xfId="6693" xr:uid="{00000000-0005-0000-0000-0000F7190000}"/>
    <cellStyle name="Normal 2 2 10 19 5 5" xfId="6694" xr:uid="{00000000-0005-0000-0000-0000F8190000}"/>
    <cellStyle name="Normal 2 2 10 19 5 6" xfId="6695" xr:uid="{00000000-0005-0000-0000-0000F9190000}"/>
    <cellStyle name="Normal 2 2 10 19 5 7" xfId="6696" xr:uid="{00000000-0005-0000-0000-0000FA190000}"/>
    <cellStyle name="Normal 2 2 10 19 5 8" xfId="6697" xr:uid="{00000000-0005-0000-0000-0000FB190000}"/>
    <cellStyle name="Normal 2 2 10 19 5 9" xfId="6698" xr:uid="{00000000-0005-0000-0000-0000FC190000}"/>
    <cellStyle name="Normal 2 2 10 19 6" xfId="6699" xr:uid="{00000000-0005-0000-0000-0000FD190000}"/>
    <cellStyle name="Normal 2 2 10 19 7" xfId="6700" xr:uid="{00000000-0005-0000-0000-0000FE190000}"/>
    <cellStyle name="Normal 2 2 10 19 8" xfId="6701" xr:uid="{00000000-0005-0000-0000-0000FF190000}"/>
    <cellStyle name="Normal 2 2 10 19 9" xfId="6702" xr:uid="{00000000-0005-0000-0000-0000001A0000}"/>
    <cellStyle name="Normal 2 2 10 2" xfId="6703" xr:uid="{00000000-0005-0000-0000-0000011A0000}"/>
    <cellStyle name="Normal 2 2 10 2 10" xfId="6704" xr:uid="{00000000-0005-0000-0000-0000021A0000}"/>
    <cellStyle name="Normal 2 2 10 2 10 10" xfId="6705" xr:uid="{00000000-0005-0000-0000-0000031A0000}"/>
    <cellStyle name="Normal 2 2 10 2 10 11" xfId="6706" xr:uid="{00000000-0005-0000-0000-0000041A0000}"/>
    <cellStyle name="Normal 2 2 10 2 10 12" xfId="6707" xr:uid="{00000000-0005-0000-0000-0000051A0000}"/>
    <cellStyle name="Normal 2 2 10 2 10 13" xfId="6708" xr:uid="{00000000-0005-0000-0000-0000061A0000}"/>
    <cellStyle name="Normal 2 2 10 2 10 14" xfId="6709" xr:uid="{00000000-0005-0000-0000-0000071A0000}"/>
    <cellStyle name="Normal 2 2 10 2 10 2" xfId="6710" xr:uid="{00000000-0005-0000-0000-0000081A0000}"/>
    <cellStyle name="Normal 2 2 10 2 10 2 10" xfId="6711" xr:uid="{00000000-0005-0000-0000-0000091A0000}"/>
    <cellStyle name="Normal 2 2 10 2 10 2 2" xfId="6712" xr:uid="{00000000-0005-0000-0000-00000A1A0000}"/>
    <cellStyle name="Normal 2 2 10 2 10 2 3" xfId="6713" xr:uid="{00000000-0005-0000-0000-00000B1A0000}"/>
    <cellStyle name="Normal 2 2 10 2 10 2 4" xfId="6714" xr:uid="{00000000-0005-0000-0000-00000C1A0000}"/>
    <cellStyle name="Normal 2 2 10 2 10 2 5" xfId="6715" xr:uid="{00000000-0005-0000-0000-00000D1A0000}"/>
    <cellStyle name="Normal 2 2 10 2 10 2 6" xfId="6716" xr:uid="{00000000-0005-0000-0000-00000E1A0000}"/>
    <cellStyle name="Normal 2 2 10 2 10 2 7" xfId="6717" xr:uid="{00000000-0005-0000-0000-00000F1A0000}"/>
    <cellStyle name="Normal 2 2 10 2 10 2 8" xfId="6718" xr:uid="{00000000-0005-0000-0000-0000101A0000}"/>
    <cellStyle name="Normal 2 2 10 2 10 2 9" xfId="6719" xr:uid="{00000000-0005-0000-0000-0000111A0000}"/>
    <cellStyle name="Normal 2 2 10 2 10 3" xfId="6720" xr:uid="{00000000-0005-0000-0000-0000121A0000}"/>
    <cellStyle name="Normal 2 2 10 2 10 3 10" xfId="6721" xr:uid="{00000000-0005-0000-0000-0000131A0000}"/>
    <cellStyle name="Normal 2 2 10 2 10 3 2" xfId="6722" xr:uid="{00000000-0005-0000-0000-0000141A0000}"/>
    <cellStyle name="Normal 2 2 10 2 10 3 3" xfId="6723" xr:uid="{00000000-0005-0000-0000-0000151A0000}"/>
    <cellStyle name="Normal 2 2 10 2 10 3 4" xfId="6724" xr:uid="{00000000-0005-0000-0000-0000161A0000}"/>
    <cellStyle name="Normal 2 2 10 2 10 3 5" xfId="6725" xr:uid="{00000000-0005-0000-0000-0000171A0000}"/>
    <cellStyle name="Normal 2 2 10 2 10 3 6" xfId="6726" xr:uid="{00000000-0005-0000-0000-0000181A0000}"/>
    <cellStyle name="Normal 2 2 10 2 10 3 7" xfId="6727" xr:uid="{00000000-0005-0000-0000-0000191A0000}"/>
    <cellStyle name="Normal 2 2 10 2 10 3 8" xfId="6728" xr:uid="{00000000-0005-0000-0000-00001A1A0000}"/>
    <cellStyle name="Normal 2 2 10 2 10 3 9" xfId="6729" xr:uid="{00000000-0005-0000-0000-00001B1A0000}"/>
    <cellStyle name="Normal 2 2 10 2 10 4" xfId="6730" xr:uid="{00000000-0005-0000-0000-00001C1A0000}"/>
    <cellStyle name="Normal 2 2 10 2 10 4 10" xfId="6731" xr:uid="{00000000-0005-0000-0000-00001D1A0000}"/>
    <cellStyle name="Normal 2 2 10 2 10 4 2" xfId="6732" xr:uid="{00000000-0005-0000-0000-00001E1A0000}"/>
    <cellStyle name="Normal 2 2 10 2 10 4 3" xfId="6733" xr:uid="{00000000-0005-0000-0000-00001F1A0000}"/>
    <cellStyle name="Normal 2 2 10 2 10 4 4" xfId="6734" xr:uid="{00000000-0005-0000-0000-0000201A0000}"/>
    <cellStyle name="Normal 2 2 10 2 10 4 5" xfId="6735" xr:uid="{00000000-0005-0000-0000-0000211A0000}"/>
    <cellStyle name="Normal 2 2 10 2 10 4 6" xfId="6736" xr:uid="{00000000-0005-0000-0000-0000221A0000}"/>
    <cellStyle name="Normal 2 2 10 2 10 4 7" xfId="6737" xr:uid="{00000000-0005-0000-0000-0000231A0000}"/>
    <cellStyle name="Normal 2 2 10 2 10 4 8" xfId="6738" xr:uid="{00000000-0005-0000-0000-0000241A0000}"/>
    <cellStyle name="Normal 2 2 10 2 10 4 9" xfId="6739" xr:uid="{00000000-0005-0000-0000-0000251A0000}"/>
    <cellStyle name="Normal 2 2 10 2 10 5" xfId="6740" xr:uid="{00000000-0005-0000-0000-0000261A0000}"/>
    <cellStyle name="Normal 2 2 10 2 10 5 10" xfId="6741" xr:uid="{00000000-0005-0000-0000-0000271A0000}"/>
    <cellStyle name="Normal 2 2 10 2 10 5 2" xfId="6742" xr:uid="{00000000-0005-0000-0000-0000281A0000}"/>
    <cellStyle name="Normal 2 2 10 2 10 5 3" xfId="6743" xr:uid="{00000000-0005-0000-0000-0000291A0000}"/>
    <cellStyle name="Normal 2 2 10 2 10 5 4" xfId="6744" xr:uid="{00000000-0005-0000-0000-00002A1A0000}"/>
    <cellStyle name="Normal 2 2 10 2 10 5 5" xfId="6745" xr:uid="{00000000-0005-0000-0000-00002B1A0000}"/>
    <cellStyle name="Normal 2 2 10 2 10 5 6" xfId="6746" xr:uid="{00000000-0005-0000-0000-00002C1A0000}"/>
    <cellStyle name="Normal 2 2 10 2 10 5 7" xfId="6747" xr:uid="{00000000-0005-0000-0000-00002D1A0000}"/>
    <cellStyle name="Normal 2 2 10 2 10 5 8" xfId="6748" xr:uid="{00000000-0005-0000-0000-00002E1A0000}"/>
    <cellStyle name="Normal 2 2 10 2 10 5 9" xfId="6749" xr:uid="{00000000-0005-0000-0000-00002F1A0000}"/>
    <cellStyle name="Normal 2 2 10 2 10 6" xfId="6750" xr:uid="{00000000-0005-0000-0000-0000301A0000}"/>
    <cellStyle name="Normal 2 2 10 2 10 7" xfId="6751" xr:uid="{00000000-0005-0000-0000-0000311A0000}"/>
    <cellStyle name="Normal 2 2 10 2 10 8" xfId="6752" xr:uid="{00000000-0005-0000-0000-0000321A0000}"/>
    <cellStyle name="Normal 2 2 10 2 10 9" xfId="6753" xr:uid="{00000000-0005-0000-0000-0000331A0000}"/>
    <cellStyle name="Normal 2 2 10 2 11" xfId="6754" xr:uid="{00000000-0005-0000-0000-0000341A0000}"/>
    <cellStyle name="Normal 2 2 10 2 11 10" xfId="6755" xr:uid="{00000000-0005-0000-0000-0000351A0000}"/>
    <cellStyle name="Normal 2 2 10 2 11 11" xfId="6756" xr:uid="{00000000-0005-0000-0000-0000361A0000}"/>
    <cellStyle name="Normal 2 2 10 2 11 12" xfId="6757" xr:uid="{00000000-0005-0000-0000-0000371A0000}"/>
    <cellStyle name="Normal 2 2 10 2 11 13" xfId="6758" xr:uid="{00000000-0005-0000-0000-0000381A0000}"/>
    <cellStyle name="Normal 2 2 10 2 11 14" xfId="6759" xr:uid="{00000000-0005-0000-0000-0000391A0000}"/>
    <cellStyle name="Normal 2 2 10 2 11 2" xfId="6760" xr:uid="{00000000-0005-0000-0000-00003A1A0000}"/>
    <cellStyle name="Normal 2 2 10 2 11 2 10" xfId="6761" xr:uid="{00000000-0005-0000-0000-00003B1A0000}"/>
    <cellStyle name="Normal 2 2 10 2 11 2 2" xfId="6762" xr:uid="{00000000-0005-0000-0000-00003C1A0000}"/>
    <cellStyle name="Normal 2 2 10 2 11 2 3" xfId="6763" xr:uid="{00000000-0005-0000-0000-00003D1A0000}"/>
    <cellStyle name="Normal 2 2 10 2 11 2 4" xfId="6764" xr:uid="{00000000-0005-0000-0000-00003E1A0000}"/>
    <cellStyle name="Normal 2 2 10 2 11 2 5" xfId="6765" xr:uid="{00000000-0005-0000-0000-00003F1A0000}"/>
    <cellStyle name="Normal 2 2 10 2 11 2 6" xfId="6766" xr:uid="{00000000-0005-0000-0000-0000401A0000}"/>
    <cellStyle name="Normal 2 2 10 2 11 2 7" xfId="6767" xr:uid="{00000000-0005-0000-0000-0000411A0000}"/>
    <cellStyle name="Normal 2 2 10 2 11 2 8" xfId="6768" xr:uid="{00000000-0005-0000-0000-0000421A0000}"/>
    <cellStyle name="Normal 2 2 10 2 11 2 9" xfId="6769" xr:uid="{00000000-0005-0000-0000-0000431A0000}"/>
    <cellStyle name="Normal 2 2 10 2 11 3" xfId="6770" xr:uid="{00000000-0005-0000-0000-0000441A0000}"/>
    <cellStyle name="Normal 2 2 10 2 11 3 10" xfId="6771" xr:uid="{00000000-0005-0000-0000-0000451A0000}"/>
    <cellStyle name="Normal 2 2 10 2 11 3 2" xfId="6772" xr:uid="{00000000-0005-0000-0000-0000461A0000}"/>
    <cellStyle name="Normal 2 2 10 2 11 3 3" xfId="6773" xr:uid="{00000000-0005-0000-0000-0000471A0000}"/>
    <cellStyle name="Normal 2 2 10 2 11 3 4" xfId="6774" xr:uid="{00000000-0005-0000-0000-0000481A0000}"/>
    <cellStyle name="Normal 2 2 10 2 11 3 5" xfId="6775" xr:uid="{00000000-0005-0000-0000-0000491A0000}"/>
    <cellStyle name="Normal 2 2 10 2 11 3 6" xfId="6776" xr:uid="{00000000-0005-0000-0000-00004A1A0000}"/>
    <cellStyle name="Normal 2 2 10 2 11 3 7" xfId="6777" xr:uid="{00000000-0005-0000-0000-00004B1A0000}"/>
    <cellStyle name="Normal 2 2 10 2 11 3 8" xfId="6778" xr:uid="{00000000-0005-0000-0000-00004C1A0000}"/>
    <cellStyle name="Normal 2 2 10 2 11 3 9" xfId="6779" xr:uid="{00000000-0005-0000-0000-00004D1A0000}"/>
    <cellStyle name="Normal 2 2 10 2 11 4" xfId="6780" xr:uid="{00000000-0005-0000-0000-00004E1A0000}"/>
    <cellStyle name="Normal 2 2 10 2 11 4 10" xfId="6781" xr:uid="{00000000-0005-0000-0000-00004F1A0000}"/>
    <cellStyle name="Normal 2 2 10 2 11 4 2" xfId="6782" xr:uid="{00000000-0005-0000-0000-0000501A0000}"/>
    <cellStyle name="Normal 2 2 10 2 11 4 3" xfId="6783" xr:uid="{00000000-0005-0000-0000-0000511A0000}"/>
    <cellStyle name="Normal 2 2 10 2 11 4 4" xfId="6784" xr:uid="{00000000-0005-0000-0000-0000521A0000}"/>
    <cellStyle name="Normal 2 2 10 2 11 4 5" xfId="6785" xr:uid="{00000000-0005-0000-0000-0000531A0000}"/>
    <cellStyle name="Normal 2 2 10 2 11 4 6" xfId="6786" xr:uid="{00000000-0005-0000-0000-0000541A0000}"/>
    <cellStyle name="Normal 2 2 10 2 11 4 7" xfId="6787" xr:uid="{00000000-0005-0000-0000-0000551A0000}"/>
    <cellStyle name="Normal 2 2 10 2 11 4 8" xfId="6788" xr:uid="{00000000-0005-0000-0000-0000561A0000}"/>
    <cellStyle name="Normal 2 2 10 2 11 4 9" xfId="6789" xr:uid="{00000000-0005-0000-0000-0000571A0000}"/>
    <cellStyle name="Normal 2 2 10 2 11 5" xfId="6790" xr:uid="{00000000-0005-0000-0000-0000581A0000}"/>
    <cellStyle name="Normal 2 2 10 2 11 5 10" xfId="6791" xr:uid="{00000000-0005-0000-0000-0000591A0000}"/>
    <cellStyle name="Normal 2 2 10 2 11 5 2" xfId="6792" xr:uid="{00000000-0005-0000-0000-00005A1A0000}"/>
    <cellStyle name="Normal 2 2 10 2 11 5 3" xfId="6793" xr:uid="{00000000-0005-0000-0000-00005B1A0000}"/>
    <cellStyle name="Normal 2 2 10 2 11 5 4" xfId="6794" xr:uid="{00000000-0005-0000-0000-00005C1A0000}"/>
    <cellStyle name="Normal 2 2 10 2 11 5 5" xfId="6795" xr:uid="{00000000-0005-0000-0000-00005D1A0000}"/>
    <cellStyle name="Normal 2 2 10 2 11 5 6" xfId="6796" xr:uid="{00000000-0005-0000-0000-00005E1A0000}"/>
    <cellStyle name="Normal 2 2 10 2 11 5 7" xfId="6797" xr:uid="{00000000-0005-0000-0000-00005F1A0000}"/>
    <cellStyle name="Normal 2 2 10 2 11 5 8" xfId="6798" xr:uid="{00000000-0005-0000-0000-0000601A0000}"/>
    <cellStyle name="Normal 2 2 10 2 11 5 9" xfId="6799" xr:uid="{00000000-0005-0000-0000-0000611A0000}"/>
    <cellStyle name="Normal 2 2 10 2 11 6" xfId="6800" xr:uid="{00000000-0005-0000-0000-0000621A0000}"/>
    <cellStyle name="Normal 2 2 10 2 11 7" xfId="6801" xr:uid="{00000000-0005-0000-0000-0000631A0000}"/>
    <cellStyle name="Normal 2 2 10 2 11 8" xfId="6802" xr:uid="{00000000-0005-0000-0000-0000641A0000}"/>
    <cellStyle name="Normal 2 2 10 2 11 9" xfId="6803" xr:uid="{00000000-0005-0000-0000-0000651A0000}"/>
    <cellStyle name="Normal 2 2 10 2 12" xfId="6804" xr:uid="{00000000-0005-0000-0000-0000661A0000}"/>
    <cellStyle name="Normal 2 2 10 2 12 10" xfId="6805" xr:uid="{00000000-0005-0000-0000-0000671A0000}"/>
    <cellStyle name="Normal 2 2 10 2 12 11" xfId="6806" xr:uid="{00000000-0005-0000-0000-0000681A0000}"/>
    <cellStyle name="Normal 2 2 10 2 12 12" xfId="6807" xr:uid="{00000000-0005-0000-0000-0000691A0000}"/>
    <cellStyle name="Normal 2 2 10 2 12 13" xfId="6808" xr:uid="{00000000-0005-0000-0000-00006A1A0000}"/>
    <cellStyle name="Normal 2 2 10 2 12 14" xfId="6809" xr:uid="{00000000-0005-0000-0000-00006B1A0000}"/>
    <cellStyle name="Normal 2 2 10 2 12 2" xfId="6810" xr:uid="{00000000-0005-0000-0000-00006C1A0000}"/>
    <cellStyle name="Normal 2 2 10 2 12 2 10" xfId="6811" xr:uid="{00000000-0005-0000-0000-00006D1A0000}"/>
    <cellStyle name="Normal 2 2 10 2 12 2 2" xfId="6812" xr:uid="{00000000-0005-0000-0000-00006E1A0000}"/>
    <cellStyle name="Normal 2 2 10 2 12 2 3" xfId="6813" xr:uid="{00000000-0005-0000-0000-00006F1A0000}"/>
    <cellStyle name="Normal 2 2 10 2 12 2 4" xfId="6814" xr:uid="{00000000-0005-0000-0000-0000701A0000}"/>
    <cellStyle name="Normal 2 2 10 2 12 2 5" xfId="6815" xr:uid="{00000000-0005-0000-0000-0000711A0000}"/>
    <cellStyle name="Normal 2 2 10 2 12 2 6" xfId="6816" xr:uid="{00000000-0005-0000-0000-0000721A0000}"/>
    <cellStyle name="Normal 2 2 10 2 12 2 7" xfId="6817" xr:uid="{00000000-0005-0000-0000-0000731A0000}"/>
    <cellStyle name="Normal 2 2 10 2 12 2 8" xfId="6818" xr:uid="{00000000-0005-0000-0000-0000741A0000}"/>
    <cellStyle name="Normal 2 2 10 2 12 2 9" xfId="6819" xr:uid="{00000000-0005-0000-0000-0000751A0000}"/>
    <cellStyle name="Normal 2 2 10 2 12 3" xfId="6820" xr:uid="{00000000-0005-0000-0000-0000761A0000}"/>
    <cellStyle name="Normal 2 2 10 2 12 3 10" xfId="6821" xr:uid="{00000000-0005-0000-0000-0000771A0000}"/>
    <cellStyle name="Normal 2 2 10 2 12 3 2" xfId="6822" xr:uid="{00000000-0005-0000-0000-0000781A0000}"/>
    <cellStyle name="Normal 2 2 10 2 12 3 3" xfId="6823" xr:uid="{00000000-0005-0000-0000-0000791A0000}"/>
    <cellStyle name="Normal 2 2 10 2 12 3 4" xfId="6824" xr:uid="{00000000-0005-0000-0000-00007A1A0000}"/>
    <cellStyle name="Normal 2 2 10 2 12 3 5" xfId="6825" xr:uid="{00000000-0005-0000-0000-00007B1A0000}"/>
    <cellStyle name="Normal 2 2 10 2 12 3 6" xfId="6826" xr:uid="{00000000-0005-0000-0000-00007C1A0000}"/>
    <cellStyle name="Normal 2 2 10 2 12 3 7" xfId="6827" xr:uid="{00000000-0005-0000-0000-00007D1A0000}"/>
    <cellStyle name="Normal 2 2 10 2 12 3 8" xfId="6828" xr:uid="{00000000-0005-0000-0000-00007E1A0000}"/>
    <cellStyle name="Normal 2 2 10 2 12 3 9" xfId="6829" xr:uid="{00000000-0005-0000-0000-00007F1A0000}"/>
    <cellStyle name="Normal 2 2 10 2 12 4" xfId="6830" xr:uid="{00000000-0005-0000-0000-0000801A0000}"/>
    <cellStyle name="Normal 2 2 10 2 12 4 10" xfId="6831" xr:uid="{00000000-0005-0000-0000-0000811A0000}"/>
    <cellStyle name="Normal 2 2 10 2 12 4 2" xfId="6832" xr:uid="{00000000-0005-0000-0000-0000821A0000}"/>
    <cellStyle name="Normal 2 2 10 2 12 4 3" xfId="6833" xr:uid="{00000000-0005-0000-0000-0000831A0000}"/>
    <cellStyle name="Normal 2 2 10 2 12 4 4" xfId="6834" xr:uid="{00000000-0005-0000-0000-0000841A0000}"/>
    <cellStyle name="Normal 2 2 10 2 12 4 5" xfId="6835" xr:uid="{00000000-0005-0000-0000-0000851A0000}"/>
    <cellStyle name="Normal 2 2 10 2 12 4 6" xfId="6836" xr:uid="{00000000-0005-0000-0000-0000861A0000}"/>
    <cellStyle name="Normal 2 2 10 2 12 4 7" xfId="6837" xr:uid="{00000000-0005-0000-0000-0000871A0000}"/>
    <cellStyle name="Normal 2 2 10 2 12 4 8" xfId="6838" xr:uid="{00000000-0005-0000-0000-0000881A0000}"/>
    <cellStyle name="Normal 2 2 10 2 12 4 9" xfId="6839" xr:uid="{00000000-0005-0000-0000-0000891A0000}"/>
    <cellStyle name="Normal 2 2 10 2 12 5" xfId="6840" xr:uid="{00000000-0005-0000-0000-00008A1A0000}"/>
    <cellStyle name="Normal 2 2 10 2 12 5 10" xfId="6841" xr:uid="{00000000-0005-0000-0000-00008B1A0000}"/>
    <cellStyle name="Normal 2 2 10 2 12 5 2" xfId="6842" xr:uid="{00000000-0005-0000-0000-00008C1A0000}"/>
    <cellStyle name="Normal 2 2 10 2 12 5 3" xfId="6843" xr:uid="{00000000-0005-0000-0000-00008D1A0000}"/>
    <cellStyle name="Normal 2 2 10 2 12 5 4" xfId="6844" xr:uid="{00000000-0005-0000-0000-00008E1A0000}"/>
    <cellStyle name="Normal 2 2 10 2 12 5 5" xfId="6845" xr:uid="{00000000-0005-0000-0000-00008F1A0000}"/>
    <cellStyle name="Normal 2 2 10 2 12 5 6" xfId="6846" xr:uid="{00000000-0005-0000-0000-0000901A0000}"/>
    <cellStyle name="Normal 2 2 10 2 12 5 7" xfId="6847" xr:uid="{00000000-0005-0000-0000-0000911A0000}"/>
    <cellStyle name="Normal 2 2 10 2 12 5 8" xfId="6848" xr:uid="{00000000-0005-0000-0000-0000921A0000}"/>
    <cellStyle name="Normal 2 2 10 2 12 5 9" xfId="6849" xr:uid="{00000000-0005-0000-0000-0000931A0000}"/>
    <cellStyle name="Normal 2 2 10 2 12 6" xfId="6850" xr:uid="{00000000-0005-0000-0000-0000941A0000}"/>
    <cellStyle name="Normal 2 2 10 2 12 7" xfId="6851" xr:uid="{00000000-0005-0000-0000-0000951A0000}"/>
    <cellStyle name="Normal 2 2 10 2 12 8" xfId="6852" xr:uid="{00000000-0005-0000-0000-0000961A0000}"/>
    <cellStyle name="Normal 2 2 10 2 12 9" xfId="6853" xr:uid="{00000000-0005-0000-0000-0000971A0000}"/>
    <cellStyle name="Normal 2 2 10 2 13" xfId="6854" xr:uid="{00000000-0005-0000-0000-0000981A0000}"/>
    <cellStyle name="Normal 2 2 10 2 13 10" xfId="6855" xr:uid="{00000000-0005-0000-0000-0000991A0000}"/>
    <cellStyle name="Normal 2 2 10 2 13 11" xfId="6856" xr:uid="{00000000-0005-0000-0000-00009A1A0000}"/>
    <cellStyle name="Normal 2 2 10 2 13 12" xfId="6857" xr:uid="{00000000-0005-0000-0000-00009B1A0000}"/>
    <cellStyle name="Normal 2 2 10 2 13 13" xfId="6858" xr:uid="{00000000-0005-0000-0000-00009C1A0000}"/>
    <cellStyle name="Normal 2 2 10 2 13 14" xfId="6859" xr:uid="{00000000-0005-0000-0000-00009D1A0000}"/>
    <cellStyle name="Normal 2 2 10 2 13 2" xfId="6860" xr:uid="{00000000-0005-0000-0000-00009E1A0000}"/>
    <cellStyle name="Normal 2 2 10 2 13 2 10" xfId="6861" xr:uid="{00000000-0005-0000-0000-00009F1A0000}"/>
    <cellStyle name="Normal 2 2 10 2 13 2 2" xfId="6862" xr:uid="{00000000-0005-0000-0000-0000A01A0000}"/>
    <cellStyle name="Normal 2 2 10 2 13 2 3" xfId="6863" xr:uid="{00000000-0005-0000-0000-0000A11A0000}"/>
    <cellStyle name="Normal 2 2 10 2 13 2 4" xfId="6864" xr:uid="{00000000-0005-0000-0000-0000A21A0000}"/>
    <cellStyle name="Normal 2 2 10 2 13 2 5" xfId="6865" xr:uid="{00000000-0005-0000-0000-0000A31A0000}"/>
    <cellStyle name="Normal 2 2 10 2 13 2 6" xfId="6866" xr:uid="{00000000-0005-0000-0000-0000A41A0000}"/>
    <cellStyle name="Normal 2 2 10 2 13 2 7" xfId="6867" xr:uid="{00000000-0005-0000-0000-0000A51A0000}"/>
    <cellStyle name="Normal 2 2 10 2 13 2 8" xfId="6868" xr:uid="{00000000-0005-0000-0000-0000A61A0000}"/>
    <cellStyle name="Normal 2 2 10 2 13 2 9" xfId="6869" xr:uid="{00000000-0005-0000-0000-0000A71A0000}"/>
    <cellStyle name="Normal 2 2 10 2 13 3" xfId="6870" xr:uid="{00000000-0005-0000-0000-0000A81A0000}"/>
    <cellStyle name="Normal 2 2 10 2 13 3 10" xfId="6871" xr:uid="{00000000-0005-0000-0000-0000A91A0000}"/>
    <cellStyle name="Normal 2 2 10 2 13 3 2" xfId="6872" xr:uid="{00000000-0005-0000-0000-0000AA1A0000}"/>
    <cellStyle name="Normal 2 2 10 2 13 3 3" xfId="6873" xr:uid="{00000000-0005-0000-0000-0000AB1A0000}"/>
    <cellStyle name="Normal 2 2 10 2 13 3 4" xfId="6874" xr:uid="{00000000-0005-0000-0000-0000AC1A0000}"/>
    <cellStyle name="Normal 2 2 10 2 13 3 5" xfId="6875" xr:uid="{00000000-0005-0000-0000-0000AD1A0000}"/>
    <cellStyle name="Normal 2 2 10 2 13 3 6" xfId="6876" xr:uid="{00000000-0005-0000-0000-0000AE1A0000}"/>
    <cellStyle name="Normal 2 2 10 2 13 3 7" xfId="6877" xr:uid="{00000000-0005-0000-0000-0000AF1A0000}"/>
    <cellStyle name="Normal 2 2 10 2 13 3 8" xfId="6878" xr:uid="{00000000-0005-0000-0000-0000B01A0000}"/>
    <cellStyle name="Normal 2 2 10 2 13 3 9" xfId="6879" xr:uid="{00000000-0005-0000-0000-0000B11A0000}"/>
    <cellStyle name="Normal 2 2 10 2 13 4" xfId="6880" xr:uid="{00000000-0005-0000-0000-0000B21A0000}"/>
    <cellStyle name="Normal 2 2 10 2 13 4 10" xfId="6881" xr:uid="{00000000-0005-0000-0000-0000B31A0000}"/>
    <cellStyle name="Normal 2 2 10 2 13 4 2" xfId="6882" xr:uid="{00000000-0005-0000-0000-0000B41A0000}"/>
    <cellStyle name="Normal 2 2 10 2 13 4 3" xfId="6883" xr:uid="{00000000-0005-0000-0000-0000B51A0000}"/>
    <cellStyle name="Normal 2 2 10 2 13 4 4" xfId="6884" xr:uid="{00000000-0005-0000-0000-0000B61A0000}"/>
    <cellStyle name="Normal 2 2 10 2 13 4 5" xfId="6885" xr:uid="{00000000-0005-0000-0000-0000B71A0000}"/>
    <cellStyle name="Normal 2 2 10 2 13 4 6" xfId="6886" xr:uid="{00000000-0005-0000-0000-0000B81A0000}"/>
    <cellStyle name="Normal 2 2 10 2 13 4 7" xfId="6887" xr:uid="{00000000-0005-0000-0000-0000B91A0000}"/>
    <cellStyle name="Normal 2 2 10 2 13 4 8" xfId="6888" xr:uid="{00000000-0005-0000-0000-0000BA1A0000}"/>
    <cellStyle name="Normal 2 2 10 2 13 4 9" xfId="6889" xr:uid="{00000000-0005-0000-0000-0000BB1A0000}"/>
    <cellStyle name="Normal 2 2 10 2 13 5" xfId="6890" xr:uid="{00000000-0005-0000-0000-0000BC1A0000}"/>
    <cellStyle name="Normal 2 2 10 2 13 5 10" xfId="6891" xr:uid="{00000000-0005-0000-0000-0000BD1A0000}"/>
    <cellStyle name="Normal 2 2 10 2 13 5 2" xfId="6892" xr:uid="{00000000-0005-0000-0000-0000BE1A0000}"/>
    <cellStyle name="Normal 2 2 10 2 13 5 3" xfId="6893" xr:uid="{00000000-0005-0000-0000-0000BF1A0000}"/>
    <cellStyle name="Normal 2 2 10 2 13 5 4" xfId="6894" xr:uid="{00000000-0005-0000-0000-0000C01A0000}"/>
    <cellStyle name="Normal 2 2 10 2 13 5 5" xfId="6895" xr:uid="{00000000-0005-0000-0000-0000C11A0000}"/>
    <cellStyle name="Normal 2 2 10 2 13 5 6" xfId="6896" xr:uid="{00000000-0005-0000-0000-0000C21A0000}"/>
    <cellStyle name="Normal 2 2 10 2 13 5 7" xfId="6897" xr:uid="{00000000-0005-0000-0000-0000C31A0000}"/>
    <cellStyle name="Normal 2 2 10 2 13 5 8" xfId="6898" xr:uid="{00000000-0005-0000-0000-0000C41A0000}"/>
    <cellStyle name="Normal 2 2 10 2 13 5 9" xfId="6899" xr:uid="{00000000-0005-0000-0000-0000C51A0000}"/>
    <cellStyle name="Normal 2 2 10 2 13 6" xfId="6900" xr:uid="{00000000-0005-0000-0000-0000C61A0000}"/>
    <cellStyle name="Normal 2 2 10 2 13 7" xfId="6901" xr:uid="{00000000-0005-0000-0000-0000C71A0000}"/>
    <cellStyle name="Normal 2 2 10 2 13 8" xfId="6902" xr:uid="{00000000-0005-0000-0000-0000C81A0000}"/>
    <cellStyle name="Normal 2 2 10 2 13 9" xfId="6903" xr:uid="{00000000-0005-0000-0000-0000C91A0000}"/>
    <cellStyle name="Normal 2 2 10 2 14" xfId="6904" xr:uid="{00000000-0005-0000-0000-0000CA1A0000}"/>
    <cellStyle name="Normal 2 2 10 2 14 10" xfId="6905" xr:uid="{00000000-0005-0000-0000-0000CB1A0000}"/>
    <cellStyle name="Normal 2 2 10 2 14 11" xfId="6906" xr:uid="{00000000-0005-0000-0000-0000CC1A0000}"/>
    <cellStyle name="Normal 2 2 10 2 14 12" xfId="6907" xr:uid="{00000000-0005-0000-0000-0000CD1A0000}"/>
    <cellStyle name="Normal 2 2 10 2 14 13" xfId="6908" xr:uid="{00000000-0005-0000-0000-0000CE1A0000}"/>
    <cellStyle name="Normal 2 2 10 2 14 14" xfId="6909" xr:uid="{00000000-0005-0000-0000-0000CF1A0000}"/>
    <cellStyle name="Normal 2 2 10 2 14 2" xfId="6910" xr:uid="{00000000-0005-0000-0000-0000D01A0000}"/>
    <cellStyle name="Normal 2 2 10 2 14 2 10" xfId="6911" xr:uid="{00000000-0005-0000-0000-0000D11A0000}"/>
    <cellStyle name="Normal 2 2 10 2 14 2 2" xfId="6912" xr:uid="{00000000-0005-0000-0000-0000D21A0000}"/>
    <cellStyle name="Normal 2 2 10 2 14 2 3" xfId="6913" xr:uid="{00000000-0005-0000-0000-0000D31A0000}"/>
    <cellStyle name="Normal 2 2 10 2 14 2 4" xfId="6914" xr:uid="{00000000-0005-0000-0000-0000D41A0000}"/>
    <cellStyle name="Normal 2 2 10 2 14 2 5" xfId="6915" xr:uid="{00000000-0005-0000-0000-0000D51A0000}"/>
    <cellStyle name="Normal 2 2 10 2 14 2 6" xfId="6916" xr:uid="{00000000-0005-0000-0000-0000D61A0000}"/>
    <cellStyle name="Normal 2 2 10 2 14 2 7" xfId="6917" xr:uid="{00000000-0005-0000-0000-0000D71A0000}"/>
    <cellStyle name="Normal 2 2 10 2 14 2 8" xfId="6918" xr:uid="{00000000-0005-0000-0000-0000D81A0000}"/>
    <cellStyle name="Normal 2 2 10 2 14 2 9" xfId="6919" xr:uid="{00000000-0005-0000-0000-0000D91A0000}"/>
    <cellStyle name="Normal 2 2 10 2 14 3" xfId="6920" xr:uid="{00000000-0005-0000-0000-0000DA1A0000}"/>
    <cellStyle name="Normal 2 2 10 2 14 3 10" xfId="6921" xr:uid="{00000000-0005-0000-0000-0000DB1A0000}"/>
    <cellStyle name="Normal 2 2 10 2 14 3 2" xfId="6922" xr:uid="{00000000-0005-0000-0000-0000DC1A0000}"/>
    <cellStyle name="Normal 2 2 10 2 14 3 3" xfId="6923" xr:uid="{00000000-0005-0000-0000-0000DD1A0000}"/>
    <cellStyle name="Normal 2 2 10 2 14 3 4" xfId="6924" xr:uid="{00000000-0005-0000-0000-0000DE1A0000}"/>
    <cellStyle name="Normal 2 2 10 2 14 3 5" xfId="6925" xr:uid="{00000000-0005-0000-0000-0000DF1A0000}"/>
    <cellStyle name="Normal 2 2 10 2 14 3 6" xfId="6926" xr:uid="{00000000-0005-0000-0000-0000E01A0000}"/>
    <cellStyle name="Normal 2 2 10 2 14 3 7" xfId="6927" xr:uid="{00000000-0005-0000-0000-0000E11A0000}"/>
    <cellStyle name="Normal 2 2 10 2 14 3 8" xfId="6928" xr:uid="{00000000-0005-0000-0000-0000E21A0000}"/>
    <cellStyle name="Normal 2 2 10 2 14 3 9" xfId="6929" xr:uid="{00000000-0005-0000-0000-0000E31A0000}"/>
    <cellStyle name="Normal 2 2 10 2 14 4" xfId="6930" xr:uid="{00000000-0005-0000-0000-0000E41A0000}"/>
    <cellStyle name="Normal 2 2 10 2 14 4 10" xfId="6931" xr:uid="{00000000-0005-0000-0000-0000E51A0000}"/>
    <cellStyle name="Normal 2 2 10 2 14 4 2" xfId="6932" xr:uid="{00000000-0005-0000-0000-0000E61A0000}"/>
    <cellStyle name="Normal 2 2 10 2 14 4 3" xfId="6933" xr:uid="{00000000-0005-0000-0000-0000E71A0000}"/>
    <cellStyle name="Normal 2 2 10 2 14 4 4" xfId="6934" xr:uid="{00000000-0005-0000-0000-0000E81A0000}"/>
    <cellStyle name="Normal 2 2 10 2 14 4 5" xfId="6935" xr:uid="{00000000-0005-0000-0000-0000E91A0000}"/>
    <cellStyle name="Normal 2 2 10 2 14 4 6" xfId="6936" xr:uid="{00000000-0005-0000-0000-0000EA1A0000}"/>
    <cellStyle name="Normal 2 2 10 2 14 4 7" xfId="6937" xr:uid="{00000000-0005-0000-0000-0000EB1A0000}"/>
    <cellStyle name="Normal 2 2 10 2 14 4 8" xfId="6938" xr:uid="{00000000-0005-0000-0000-0000EC1A0000}"/>
    <cellStyle name="Normal 2 2 10 2 14 4 9" xfId="6939" xr:uid="{00000000-0005-0000-0000-0000ED1A0000}"/>
    <cellStyle name="Normal 2 2 10 2 14 5" xfId="6940" xr:uid="{00000000-0005-0000-0000-0000EE1A0000}"/>
    <cellStyle name="Normal 2 2 10 2 14 5 10" xfId="6941" xr:uid="{00000000-0005-0000-0000-0000EF1A0000}"/>
    <cellStyle name="Normal 2 2 10 2 14 5 2" xfId="6942" xr:uid="{00000000-0005-0000-0000-0000F01A0000}"/>
    <cellStyle name="Normal 2 2 10 2 14 5 3" xfId="6943" xr:uid="{00000000-0005-0000-0000-0000F11A0000}"/>
    <cellStyle name="Normal 2 2 10 2 14 5 4" xfId="6944" xr:uid="{00000000-0005-0000-0000-0000F21A0000}"/>
    <cellStyle name="Normal 2 2 10 2 14 5 5" xfId="6945" xr:uid="{00000000-0005-0000-0000-0000F31A0000}"/>
    <cellStyle name="Normal 2 2 10 2 14 5 6" xfId="6946" xr:uid="{00000000-0005-0000-0000-0000F41A0000}"/>
    <cellStyle name="Normal 2 2 10 2 14 5 7" xfId="6947" xr:uid="{00000000-0005-0000-0000-0000F51A0000}"/>
    <cellStyle name="Normal 2 2 10 2 14 5 8" xfId="6948" xr:uid="{00000000-0005-0000-0000-0000F61A0000}"/>
    <cellStyle name="Normal 2 2 10 2 14 5 9" xfId="6949" xr:uid="{00000000-0005-0000-0000-0000F71A0000}"/>
    <cellStyle name="Normal 2 2 10 2 14 6" xfId="6950" xr:uid="{00000000-0005-0000-0000-0000F81A0000}"/>
    <cellStyle name="Normal 2 2 10 2 14 7" xfId="6951" xr:uid="{00000000-0005-0000-0000-0000F91A0000}"/>
    <cellStyle name="Normal 2 2 10 2 14 8" xfId="6952" xr:uid="{00000000-0005-0000-0000-0000FA1A0000}"/>
    <cellStyle name="Normal 2 2 10 2 14 9" xfId="6953" xr:uid="{00000000-0005-0000-0000-0000FB1A0000}"/>
    <cellStyle name="Normal 2 2 10 2 15" xfId="6954" xr:uid="{00000000-0005-0000-0000-0000FC1A0000}"/>
    <cellStyle name="Normal 2 2 10 2 15 10" xfId="6955" xr:uid="{00000000-0005-0000-0000-0000FD1A0000}"/>
    <cellStyle name="Normal 2 2 10 2 15 11" xfId="6956" xr:uid="{00000000-0005-0000-0000-0000FE1A0000}"/>
    <cellStyle name="Normal 2 2 10 2 15 12" xfId="6957" xr:uid="{00000000-0005-0000-0000-0000FF1A0000}"/>
    <cellStyle name="Normal 2 2 10 2 15 13" xfId="6958" xr:uid="{00000000-0005-0000-0000-0000001B0000}"/>
    <cellStyle name="Normal 2 2 10 2 15 14" xfId="6959" xr:uid="{00000000-0005-0000-0000-0000011B0000}"/>
    <cellStyle name="Normal 2 2 10 2 15 2" xfId="6960" xr:uid="{00000000-0005-0000-0000-0000021B0000}"/>
    <cellStyle name="Normal 2 2 10 2 15 2 10" xfId="6961" xr:uid="{00000000-0005-0000-0000-0000031B0000}"/>
    <cellStyle name="Normal 2 2 10 2 15 2 2" xfId="6962" xr:uid="{00000000-0005-0000-0000-0000041B0000}"/>
    <cellStyle name="Normal 2 2 10 2 15 2 3" xfId="6963" xr:uid="{00000000-0005-0000-0000-0000051B0000}"/>
    <cellStyle name="Normal 2 2 10 2 15 2 4" xfId="6964" xr:uid="{00000000-0005-0000-0000-0000061B0000}"/>
    <cellStyle name="Normal 2 2 10 2 15 2 5" xfId="6965" xr:uid="{00000000-0005-0000-0000-0000071B0000}"/>
    <cellStyle name="Normal 2 2 10 2 15 2 6" xfId="6966" xr:uid="{00000000-0005-0000-0000-0000081B0000}"/>
    <cellStyle name="Normal 2 2 10 2 15 2 7" xfId="6967" xr:uid="{00000000-0005-0000-0000-0000091B0000}"/>
    <cellStyle name="Normal 2 2 10 2 15 2 8" xfId="6968" xr:uid="{00000000-0005-0000-0000-00000A1B0000}"/>
    <cellStyle name="Normal 2 2 10 2 15 2 9" xfId="6969" xr:uid="{00000000-0005-0000-0000-00000B1B0000}"/>
    <cellStyle name="Normal 2 2 10 2 15 3" xfId="6970" xr:uid="{00000000-0005-0000-0000-00000C1B0000}"/>
    <cellStyle name="Normal 2 2 10 2 15 3 10" xfId="6971" xr:uid="{00000000-0005-0000-0000-00000D1B0000}"/>
    <cellStyle name="Normal 2 2 10 2 15 3 2" xfId="6972" xr:uid="{00000000-0005-0000-0000-00000E1B0000}"/>
    <cellStyle name="Normal 2 2 10 2 15 3 3" xfId="6973" xr:uid="{00000000-0005-0000-0000-00000F1B0000}"/>
    <cellStyle name="Normal 2 2 10 2 15 3 4" xfId="6974" xr:uid="{00000000-0005-0000-0000-0000101B0000}"/>
    <cellStyle name="Normal 2 2 10 2 15 3 5" xfId="6975" xr:uid="{00000000-0005-0000-0000-0000111B0000}"/>
    <cellStyle name="Normal 2 2 10 2 15 3 6" xfId="6976" xr:uid="{00000000-0005-0000-0000-0000121B0000}"/>
    <cellStyle name="Normal 2 2 10 2 15 3 7" xfId="6977" xr:uid="{00000000-0005-0000-0000-0000131B0000}"/>
    <cellStyle name="Normal 2 2 10 2 15 3 8" xfId="6978" xr:uid="{00000000-0005-0000-0000-0000141B0000}"/>
    <cellStyle name="Normal 2 2 10 2 15 3 9" xfId="6979" xr:uid="{00000000-0005-0000-0000-0000151B0000}"/>
    <cellStyle name="Normal 2 2 10 2 15 4" xfId="6980" xr:uid="{00000000-0005-0000-0000-0000161B0000}"/>
    <cellStyle name="Normal 2 2 10 2 15 4 10" xfId="6981" xr:uid="{00000000-0005-0000-0000-0000171B0000}"/>
    <cellStyle name="Normal 2 2 10 2 15 4 2" xfId="6982" xr:uid="{00000000-0005-0000-0000-0000181B0000}"/>
    <cellStyle name="Normal 2 2 10 2 15 4 3" xfId="6983" xr:uid="{00000000-0005-0000-0000-0000191B0000}"/>
    <cellStyle name="Normal 2 2 10 2 15 4 4" xfId="6984" xr:uid="{00000000-0005-0000-0000-00001A1B0000}"/>
    <cellStyle name="Normal 2 2 10 2 15 4 5" xfId="6985" xr:uid="{00000000-0005-0000-0000-00001B1B0000}"/>
    <cellStyle name="Normal 2 2 10 2 15 4 6" xfId="6986" xr:uid="{00000000-0005-0000-0000-00001C1B0000}"/>
    <cellStyle name="Normal 2 2 10 2 15 4 7" xfId="6987" xr:uid="{00000000-0005-0000-0000-00001D1B0000}"/>
    <cellStyle name="Normal 2 2 10 2 15 4 8" xfId="6988" xr:uid="{00000000-0005-0000-0000-00001E1B0000}"/>
    <cellStyle name="Normal 2 2 10 2 15 4 9" xfId="6989" xr:uid="{00000000-0005-0000-0000-00001F1B0000}"/>
    <cellStyle name="Normal 2 2 10 2 15 5" xfId="6990" xr:uid="{00000000-0005-0000-0000-0000201B0000}"/>
    <cellStyle name="Normal 2 2 10 2 15 5 10" xfId="6991" xr:uid="{00000000-0005-0000-0000-0000211B0000}"/>
    <cellStyle name="Normal 2 2 10 2 15 5 2" xfId="6992" xr:uid="{00000000-0005-0000-0000-0000221B0000}"/>
    <cellStyle name="Normal 2 2 10 2 15 5 3" xfId="6993" xr:uid="{00000000-0005-0000-0000-0000231B0000}"/>
    <cellStyle name="Normal 2 2 10 2 15 5 4" xfId="6994" xr:uid="{00000000-0005-0000-0000-0000241B0000}"/>
    <cellStyle name="Normal 2 2 10 2 15 5 5" xfId="6995" xr:uid="{00000000-0005-0000-0000-0000251B0000}"/>
    <cellStyle name="Normal 2 2 10 2 15 5 6" xfId="6996" xr:uid="{00000000-0005-0000-0000-0000261B0000}"/>
    <cellStyle name="Normal 2 2 10 2 15 5 7" xfId="6997" xr:uid="{00000000-0005-0000-0000-0000271B0000}"/>
    <cellStyle name="Normal 2 2 10 2 15 5 8" xfId="6998" xr:uid="{00000000-0005-0000-0000-0000281B0000}"/>
    <cellStyle name="Normal 2 2 10 2 15 5 9" xfId="6999" xr:uid="{00000000-0005-0000-0000-0000291B0000}"/>
    <cellStyle name="Normal 2 2 10 2 15 6" xfId="7000" xr:uid="{00000000-0005-0000-0000-00002A1B0000}"/>
    <cellStyle name="Normal 2 2 10 2 15 7" xfId="7001" xr:uid="{00000000-0005-0000-0000-00002B1B0000}"/>
    <cellStyle name="Normal 2 2 10 2 15 8" xfId="7002" xr:uid="{00000000-0005-0000-0000-00002C1B0000}"/>
    <cellStyle name="Normal 2 2 10 2 15 9" xfId="7003" xr:uid="{00000000-0005-0000-0000-00002D1B0000}"/>
    <cellStyle name="Normal 2 2 10 2 16" xfId="7004" xr:uid="{00000000-0005-0000-0000-00002E1B0000}"/>
    <cellStyle name="Normal 2 2 10 2 16 10" xfId="7005" xr:uid="{00000000-0005-0000-0000-00002F1B0000}"/>
    <cellStyle name="Normal 2 2 10 2 16 11" xfId="7006" xr:uid="{00000000-0005-0000-0000-0000301B0000}"/>
    <cellStyle name="Normal 2 2 10 2 16 12" xfId="7007" xr:uid="{00000000-0005-0000-0000-0000311B0000}"/>
    <cellStyle name="Normal 2 2 10 2 16 13" xfId="7008" xr:uid="{00000000-0005-0000-0000-0000321B0000}"/>
    <cellStyle name="Normal 2 2 10 2 16 14" xfId="7009" xr:uid="{00000000-0005-0000-0000-0000331B0000}"/>
    <cellStyle name="Normal 2 2 10 2 16 2" xfId="7010" xr:uid="{00000000-0005-0000-0000-0000341B0000}"/>
    <cellStyle name="Normal 2 2 10 2 16 2 10" xfId="7011" xr:uid="{00000000-0005-0000-0000-0000351B0000}"/>
    <cellStyle name="Normal 2 2 10 2 16 2 2" xfId="7012" xr:uid="{00000000-0005-0000-0000-0000361B0000}"/>
    <cellStyle name="Normal 2 2 10 2 16 2 3" xfId="7013" xr:uid="{00000000-0005-0000-0000-0000371B0000}"/>
    <cellStyle name="Normal 2 2 10 2 16 2 4" xfId="7014" xr:uid="{00000000-0005-0000-0000-0000381B0000}"/>
    <cellStyle name="Normal 2 2 10 2 16 2 5" xfId="7015" xr:uid="{00000000-0005-0000-0000-0000391B0000}"/>
    <cellStyle name="Normal 2 2 10 2 16 2 6" xfId="7016" xr:uid="{00000000-0005-0000-0000-00003A1B0000}"/>
    <cellStyle name="Normal 2 2 10 2 16 2 7" xfId="7017" xr:uid="{00000000-0005-0000-0000-00003B1B0000}"/>
    <cellStyle name="Normal 2 2 10 2 16 2 8" xfId="7018" xr:uid="{00000000-0005-0000-0000-00003C1B0000}"/>
    <cellStyle name="Normal 2 2 10 2 16 2 9" xfId="7019" xr:uid="{00000000-0005-0000-0000-00003D1B0000}"/>
    <cellStyle name="Normal 2 2 10 2 16 3" xfId="7020" xr:uid="{00000000-0005-0000-0000-00003E1B0000}"/>
    <cellStyle name="Normal 2 2 10 2 16 3 10" xfId="7021" xr:uid="{00000000-0005-0000-0000-00003F1B0000}"/>
    <cellStyle name="Normal 2 2 10 2 16 3 2" xfId="7022" xr:uid="{00000000-0005-0000-0000-0000401B0000}"/>
    <cellStyle name="Normal 2 2 10 2 16 3 3" xfId="7023" xr:uid="{00000000-0005-0000-0000-0000411B0000}"/>
    <cellStyle name="Normal 2 2 10 2 16 3 4" xfId="7024" xr:uid="{00000000-0005-0000-0000-0000421B0000}"/>
    <cellStyle name="Normal 2 2 10 2 16 3 5" xfId="7025" xr:uid="{00000000-0005-0000-0000-0000431B0000}"/>
    <cellStyle name="Normal 2 2 10 2 16 3 6" xfId="7026" xr:uid="{00000000-0005-0000-0000-0000441B0000}"/>
    <cellStyle name="Normal 2 2 10 2 16 3 7" xfId="7027" xr:uid="{00000000-0005-0000-0000-0000451B0000}"/>
    <cellStyle name="Normal 2 2 10 2 16 3 8" xfId="7028" xr:uid="{00000000-0005-0000-0000-0000461B0000}"/>
    <cellStyle name="Normal 2 2 10 2 16 3 9" xfId="7029" xr:uid="{00000000-0005-0000-0000-0000471B0000}"/>
    <cellStyle name="Normal 2 2 10 2 16 4" xfId="7030" xr:uid="{00000000-0005-0000-0000-0000481B0000}"/>
    <cellStyle name="Normal 2 2 10 2 16 4 10" xfId="7031" xr:uid="{00000000-0005-0000-0000-0000491B0000}"/>
    <cellStyle name="Normal 2 2 10 2 16 4 2" xfId="7032" xr:uid="{00000000-0005-0000-0000-00004A1B0000}"/>
    <cellStyle name="Normal 2 2 10 2 16 4 3" xfId="7033" xr:uid="{00000000-0005-0000-0000-00004B1B0000}"/>
    <cellStyle name="Normal 2 2 10 2 16 4 4" xfId="7034" xr:uid="{00000000-0005-0000-0000-00004C1B0000}"/>
    <cellStyle name="Normal 2 2 10 2 16 4 5" xfId="7035" xr:uid="{00000000-0005-0000-0000-00004D1B0000}"/>
    <cellStyle name="Normal 2 2 10 2 16 4 6" xfId="7036" xr:uid="{00000000-0005-0000-0000-00004E1B0000}"/>
    <cellStyle name="Normal 2 2 10 2 16 4 7" xfId="7037" xr:uid="{00000000-0005-0000-0000-00004F1B0000}"/>
    <cellStyle name="Normal 2 2 10 2 16 4 8" xfId="7038" xr:uid="{00000000-0005-0000-0000-0000501B0000}"/>
    <cellStyle name="Normal 2 2 10 2 16 4 9" xfId="7039" xr:uid="{00000000-0005-0000-0000-0000511B0000}"/>
    <cellStyle name="Normal 2 2 10 2 16 5" xfId="7040" xr:uid="{00000000-0005-0000-0000-0000521B0000}"/>
    <cellStyle name="Normal 2 2 10 2 16 5 10" xfId="7041" xr:uid="{00000000-0005-0000-0000-0000531B0000}"/>
    <cellStyle name="Normal 2 2 10 2 16 5 2" xfId="7042" xr:uid="{00000000-0005-0000-0000-0000541B0000}"/>
    <cellStyle name="Normal 2 2 10 2 16 5 3" xfId="7043" xr:uid="{00000000-0005-0000-0000-0000551B0000}"/>
    <cellStyle name="Normal 2 2 10 2 16 5 4" xfId="7044" xr:uid="{00000000-0005-0000-0000-0000561B0000}"/>
    <cellStyle name="Normal 2 2 10 2 16 5 5" xfId="7045" xr:uid="{00000000-0005-0000-0000-0000571B0000}"/>
    <cellStyle name="Normal 2 2 10 2 16 5 6" xfId="7046" xr:uid="{00000000-0005-0000-0000-0000581B0000}"/>
    <cellStyle name="Normal 2 2 10 2 16 5 7" xfId="7047" xr:uid="{00000000-0005-0000-0000-0000591B0000}"/>
    <cellStyle name="Normal 2 2 10 2 16 5 8" xfId="7048" xr:uid="{00000000-0005-0000-0000-00005A1B0000}"/>
    <cellStyle name="Normal 2 2 10 2 16 5 9" xfId="7049" xr:uid="{00000000-0005-0000-0000-00005B1B0000}"/>
    <cellStyle name="Normal 2 2 10 2 16 6" xfId="7050" xr:uid="{00000000-0005-0000-0000-00005C1B0000}"/>
    <cellStyle name="Normal 2 2 10 2 16 7" xfId="7051" xr:uid="{00000000-0005-0000-0000-00005D1B0000}"/>
    <cellStyle name="Normal 2 2 10 2 16 8" xfId="7052" xr:uid="{00000000-0005-0000-0000-00005E1B0000}"/>
    <cellStyle name="Normal 2 2 10 2 16 9" xfId="7053" xr:uid="{00000000-0005-0000-0000-00005F1B0000}"/>
    <cellStyle name="Normal 2 2 10 2 17" xfId="7054" xr:uid="{00000000-0005-0000-0000-0000601B0000}"/>
    <cellStyle name="Normal 2 2 10 2 17 10" xfId="7055" xr:uid="{00000000-0005-0000-0000-0000611B0000}"/>
    <cellStyle name="Normal 2 2 10 2 17 11" xfId="7056" xr:uid="{00000000-0005-0000-0000-0000621B0000}"/>
    <cellStyle name="Normal 2 2 10 2 17 12" xfId="7057" xr:uid="{00000000-0005-0000-0000-0000631B0000}"/>
    <cellStyle name="Normal 2 2 10 2 17 13" xfId="7058" xr:uid="{00000000-0005-0000-0000-0000641B0000}"/>
    <cellStyle name="Normal 2 2 10 2 17 14" xfId="7059" xr:uid="{00000000-0005-0000-0000-0000651B0000}"/>
    <cellStyle name="Normal 2 2 10 2 17 2" xfId="7060" xr:uid="{00000000-0005-0000-0000-0000661B0000}"/>
    <cellStyle name="Normal 2 2 10 2 17 2 10" xfId="7061" xr:uid="{00000000-0005-0000-0000-0000671B0000}"/>
    <cellStyle name="Normal 2 2 10 2 17 2 2" xfId="7062" xr:uid="{00000000-0005-0000-0000-0000681B0000}"/>
    <cellStyle name="Normal 2 2 10 2 17 2 3" xfId="7063" xr:uid="{00000000-0005-0000-0000-0000691B0000}"/>
    <cellStyle name="Normal 2 2 10 2 17 2 4" xfId="7064" xr:uid="{00000000-0005-0000-0000-00006A1B0000}"/>
    <cellStyle name="Normal 2 2 10 2 17 2 5" xfId="7065" xr:uid="{00000000-0005-0000-0000-00006B1B0000}"/>
    <cellStyle name="Normal 2 2 10 2 17 2 6" xfId="7066" xr:uid="{00000000-0005-0000-0000-00006C1B0000}"/>
    <cellStyle name="Normal 2 2 10 2 17 2 7" xfId="7067" xr:uid="{00000000-0005-0000-0000-00006D1B0000}"/>
    <cellStyle name="Normal 2 2 10 2 17 2 8" xfId="7068" xr:uid="{00000000-0005-0000-0000-00006E1B0000}"/>
    <cellStyle name="Normal 2 2 10 2 17 2 9" xfId="7069" xr:uid="{00000000-0005-0000-0000-00006F1B0000}"/>
    <cellStyle name="Normal 2 2 10 2 17 3" xfId="7070" xr:uid="{00000000-0005-0000-0000-0000701B0000}"/>
    <cellStyle name="Normal 2 2 10 2 17 3 10" xfId="7071" xr:uid="{00000000-0005-0000-0000-0000711B0000}"/>
    <cellStyle name="Normal 2 2 10 2 17 3 2" xfId="7072" xr:uid="{00000000-0005-0000-0000-0000721B0000}"/>
    <cellStyle name="Normal 2 2 10 2 17 3 3" xfId="7073" xr:uid="{00000000-0005-0000-0000-0000731B0000}"/>
    <cellStyle name="Normal 2 2 10 2 17 3 4" xfId="7074" xr:uid="{00000000-0005-0000-0000-0000741B0000}"/>
    <cellStyle name="Normal 2 2 10 2 17 3 5" xfId="7075" xr:uid="{00000000-0005-0000-0000-0000751B0000}"/>
    <cellStyle name="Normal 2 2 10 2 17 3 6" xfId="7076" xr:uid="{00000000-0005-0000-0000-0000761B0000}"/>
    <cellStyle name="Normal 2 2 10 2 17 3 7" xfId="7077" xr:uid="{00000000-0005-0000-0000-0000771B0000}"/>
    <cellStyle name="Normal 2 2 10 2 17 3 8" xfId="7078" xr:uid="{00000000-0005-0000-0000-0000781B0000}"/>
    <cellStyle name="Normal 2 2 10 2 17 3 9" xfId="7079" xr:uid="{00000000-0005-0000-0000-0000791B0000}"/>
    <cellStyle name="Normal 2 2 10 2 17 4" xfId="7080" xr:uid="{00000000-0005-0000-0000-00007A1B0000}"/>
    <cellStyle name="Normal 2 2 10 2 17 4 10" xfId="7081" xr:uid="{00000000-0005-0000-0000-00007B1B0000}"/>
    <cellStyle name="Normal 2 2 10 2 17 4 2" xfId="7082" xr:uid="{00000000-0005-0000-0000-00007C1B0000}"/>
    <cellStyle name="Normal 2 2 10 2 17 4 3" xfId="7083" xr:uid="{00000000-0005-0000-0000-00007D1B0000}"/>
    <cellStyle name="Normal 2 2 10 2 17 4 4" xfId="7084" xr:uid="{00000000-0005-0000-0000-00007E1B0000}"/>
    <cellStyle name="Normal 2 2 10 2 17 4 5" xfId="7085" xr:uid="{00000000-0005-0000-0000-00007F1B0000}"/>
    <cellStyle name="Normal 2 2 10 2 17 4 6" xfId="7086" xr:uid="{00000000-0005-0000-0000-0000801B0000}"/>
    <cellStyle name="Normal 2 2 10 2 17 4 7" xfId="7087" xr:uid="{00000000-0005-0000-0000-0000811B0000}"/>
    <cellStyle name="Normal 2 2 10 2 17 4 8" xfId="7088" xr:uid="{00000000-0005-0000-0000-0000821B0000}"/>
    <cellStyle name="Normal 2 2 10 2 17 4 9" xfId="7089" xr:uid="{00000000-0005-0000-0000-0000831B0000}"/>
    <cellStyle name="Normal 2 2 10 2 17 5" xfId="7090" xr:uid="{00000000-0005-0000-0000-0000841B0000}"/>
    <cellStyle name="Normal 2 2 10 2 17 5 10" xfId="7091" xr:uid="{00000000-0005-0000-0000-0000851B0000}"/>
    <cellStyle name="Normal 2 2 10 2 17 5 2" xfId="7092" xr:uid="{00000000-0005-0000-0000-0000861B0000}"/>
    <cellStyle name="Normal 2 2 10 2 17 5 3" xfId="7093" xr:uid="{00000000-0005-0000-0000-0000871B0000}"/>
    <cellStyle name="Normal 2 2 10 2 17 5 4" xfId="7094" xr:uid="{00000000-0005-0000-0000-0000881B0000}"/>
    <cellStyle name="Normal 2 2 10 2 17 5 5" xfId="7095" xr:uid="{00000000-0005-0000-0000-0000891B0000}"/>
    <cellStyle name="Normal 2 2 10 2 17 5 6" xfId="7096" xr:uid="{00000000-0005-0000-0000-00008A1B0000}"/>
    <cellStyle name="Normal 2 2 10 2 17 5 7" xfId="7097" xr:uid="{00000000-0005-0000-0000-00008B1B0000}"/>
    <cellStyle name="Normal 2 2 10 2 17 5 8" xfId="7098" xr:uid="{00000000-0005-0000-0000-00008C1B0000}"/>
    <cellStyle name="Normal 2 2 10 2 17 5 9" xfId="7099" xr:uid="{00000000-0005-0000-0000-00008D1B0000}"/>
    <cellStyle name="Normal 2 2 10 2 17 6" xfId="7100" xr:uid="{00000000-0005-0000-0000-00008E1B0000}"/>
    <cellStyle name="Normal 2 2 10 2 17 7" xfId="7101" xr:uid="{00000000-0005-0000-0000-00008F1B0000}"/>
    <cellStyle name="Normal 2 2 10 2 17 8" xfId="7102" xr:uid="{00000000-0005-0000-0000-0000901B0000}"/>
    <cellStyle name="Normal 2 2 10 2 17 9" xfId="7103" xr:uid="{00000000-0005-0000-0000-0000911B0000}"/>
    <cellStyle name="Normal 2 2 10 2 18" xfId="7104" xr:uid="{00000000-0005-0000-0000-0000921B0000}"/>
    <cellStyle name="Normal 2 2 10 2 18 10" xfId="7105" xr:uid="{00000000-0005-0000-0000-0000931B0000}"/>
    <cellStyle name="Normal 2 2 10 2 18 11" xfId="7106" xr:uid="{00000000-0005-0000-0000-0000941B0000}"/>
    <cellStyle name="Normal 2 2 10 2 18 12" xfId="7107" xr:uid="{00000000-0005-0000-0000-0000951B0000}"/>
    <cellStyle name="Normal 2 2 10 2 18 13" xfId="7108" xr:uid="{00000000-0005-0000-0000-0000961B0000}"/>
    <cellStyle name="Normal 2 2 10 2 18 14" xfId="7109" xr:uid="{00000000-0005-0000-0000-0000971B0000}"/>
    <cellStyle name="Normal 2 2 10 2 18 2" xfId="7110" xr:uid="{00000000-0005-0000-0000-0000981B0000}"/>
    <cellStyle name="Normal 2 2 10 2 18 2 10" xfId="7111" xr:uid="{00000000-0005-0000-0000-0000991B0000}"/>
    <cellStyle name="Normal 2 2 10 2 18 2 2" xfId="7112" xr:uid="{00000000-0005-0000-0000-00009A1B0000}"/>
    <cellStyle name="Normal 2 2 10 2 18 2 3" xfId="7113" xr:uid="{00000000-0005-0000-0000-00009B1B0000}"/>
    <cellStyle name="Normal 2 2 10 2 18 2 4" xfId="7114" xr:uid="{00000000-0005-0000-0000-00009C1B0000}"/>
    <cellStyle name="Normal 2 2 10 2 18 2 5" xfId="7115" xr:uid="{00000000-0005-0000-0000-00009D1B0000}"/>
    <cellStyle name="Normal 2 2 10 2 18 2 6" xfId="7116" xr:uid="{00000000-0005-0000-0000-00009E1B0000}"/>
    <cellStyle name="Normal 2 2 10 2 18 2 7" xfId="7117" xr:uid="{00000000-0005-0000-0000-00009F1B0000}"/>
    <cellStyle name="Normal 2 2 10 2 18 2 8" xfId="7118" xr:uid="{00000000-0005-0000-0000-0000A01B0000}"/>
    <cellStyle name="Normal 2 2 10 2 18 2 9" xfId="7119" xr:uid="{00000000-0005-0000-0000-0000A11B0000}"/>
    <cellStyle name="Normal 2 2 10 2 18 3" xfId="7120" xr:uid="{00000000-0005-0000-0000-0000A21B0000}"/>
    <cellStyle name="Normal 2 2 10 2 18 3 10" xfId="7121" xr:uid="{00000000-0005-0000-0000-0000A31B0000}"/>
    <cellStyle name="Normal 2 2 10 2 18 3 2" xfId="7122" xr:uid="{00000000-0005-0000-0000-0000A41B0000}"/>
    <cellStyle name="Normal 2 2 10 2 18 3 3" xfId="7123" xr:uid="{00000000-0005-0000-0000-0000A51B0000}"/>
    <cellStyle name="Normal 2 2 10 2 18 3 4" xfId="7124" xr:uid="{00000000-0005-0000-0000-0000A61B0000}"/>
    <cellStyle name="Normal 2 2 10 2 18 3 5" xfId="7125" xr:uid="{00000000-0005-0000-0000-0000A71B0000}"/>
    <cellStyle name="Normal 2 2 10 2 18 3 6" xfId="7126" xr:uid="{00000000-0005-0000-0000-0000A81B0000}"/>
    <cellStyle name="Normal 2 2 10 2 18 3 7" xfId="7127" xr:uid="{00000000-0005-0000-0000-0000A91B0000}"/>
    <cellStyle name="Normal 2 2 10 2 18 3 8" xfId="7128" xr:uid="{00000000-0005-0000-0000-0000AA1B0000}"/>
    <cellStyle name="Normal 2 2 10 2 18 3 9" xfId="7129" xr:uid="{00000000-0005-0000-0000-0000AB1B0000}"/>
    <cellStyle name="Normal 2 2 10 2 18 4" xfId="7130" xr:uid="{00000000-0005-0000-0000-0000AC1B0000}"/>
    <cellStyle name="Normal 2 2 10 2 18 4 10" xfId="7131" xr:uid="{00000000-0005-0000-0000-0000AD1B0000}"/>
    <cellStyle name="Normal 2 2 10 2 18 4 2" xfId="7132" xr:uid="{00000000-0005-0000-0000-0000AE1B0000}"/>
    <cellStyle name="Normal 2 2 10 2 18 4 3" xfId="7133" xr:uid="{00000000-0005-0000-0000-0000AF1B0000}"/>
    <cellStyle name="Normal 2 2 10 2 18 4 4" xfId="7134" xr:uid="{00000000-0005-0000-0000-0000B01B0000}"/>
    <cellStyle name="Normal 2 2 10 2 18 4 5" xfId="7135" xr:uid="{00000000-0005-0000-0000-0000B11B0000}"/>
    <cellStyle name="Normal 2 2 10 2 18 4 6" xfId="7136" xr:uid="{00000000-0005-0000-0000-0000B21B0000}"/>
    <cellStyle name="Normal 2 2 10 2 18 4 7" xfId="7137" xr:uid="{00000000-0005-0000-0000-0000B31B0000}"/>
    <cellStyle name="Normal 2 2 10 2 18 4 8" xfId="7138" xr:uid="{00000000-0005-0000-0000-0000B41B0000}"/>
    <cellStyle name="Normal 2 2 10 2 18 4 9" xfId="7139" xr:uid="{00000000-0005-0000-0000-0000B51B0000}"/>
    <cellStyle name="Normal 2 2 10 2 18 5" xfId="7140" xr:uid="{00000000-0005-0000-0000-0000B61B0000}"/>
    <cellStyle name="Normal 2 2 10 2 18 5 10" xfId="7141" xr:uid="{00000000-0005-0000-0000-0000B71B0000}"/>
    <cellStyle name="Normal 2 2 10 2 18 5 2" xfId="7142" xr:uid="{00000000-0005-0000-0000-0000B81B0000}"/>
    <cellStyle name="Normal 2 2 10 2 18 5 3" xfId="7143" xr:uid="{00000000-0005-0000-0000-0000B91B0000}"/>
    <cellStyle name="Normal 2 2 10 2 18 5 4" xfId="7144" xr:uid="{00000000-0005-0000-0000-0000BA1B0000}"/>
    <cellStyle name="Normal 2 2 10 2 18 5 5" xfId="7145" xr:uid="{00000000-0005-0000-0000-0000BB1B0000}"/>
    <cellStyle name="Normal 2 2 10 2 18 5 6" xfId="7146" xr:uid="{00000000-0005-0000-0000-0000BC1B0000}"/>
    <cellStyle name="Normal 2 2 10 2 18 5 7" xfId="7147" xr:uid="{00000000-0005-0000-0000-0000BD1B0000}"/>
    <cellStyle name="Normal 2 2 10 2 18 5 8" xfId="7148" xr:uid="{00000000-0005-0000-0000-0000BE1B0000}"/>
    <cellStyle name="Normal 2 2 10 2 18 5 9" xfId="7149" xr:uid="{00000000-0005-0000-0000-0000BF1B0000}"/>
    <cellStyle name="Normal 2 2 10 2 18 6" xfId="7150" xr:uid="{00000000-0005-0000-0000-0000C01B0000}"/>
    <cellStyle name="Normal 2 2 10 2 18 7" xfId="7151" xr:uid="{00000000-0005-0000-0000-0000C11B0000}"/>
    <cellStyle name="Normal 2 2 10 2 18 8" xfId="7152" xr:uid="{00000000-0005-0000-0000-0000C21B0000}"/>
    <cellStyle name="Normal 2 2 10 2 18 9" xfId="7153" xr:uid="{00000000-0005-0000-0000-0000C31B0000}"/>
    <cellStyle name="Normal 2 2 10 2 19" xfId="7154" xr:uid="{00000000-0005-0000-0000-0000C41B0000}"/>
    <cellStyle name="Normal 2 2 10 2 19 10" xfId="7155" xr:uid="{00000000-0005-0000-0000-0000C51B0000}"/>
    <cellStyle name="Normal 2 2 10 2 19 11" xfId="7156" xr:uid="{00000000-0005-0000-0000-0000C61B0000}"/>
    <cellStyle name="Normal 2 2 10 2 19 12" xfId="7157" xr:uid="{00000000-0005-0000-0000-0000C71B0000}"/>
    <cellStyle name="Normal 2 2 10 2 19 13" xfId="7158" xr:uid="{00000000-0005-0000-0000-0000C81B0000}"/>
    <cellStyle name="Normal 2 2 10 2 19 14" xfId="7159" xr:uid="{00000000-0005-0000-0000-0000C91B0000}"/>
    <cellStyle name="Normal 2 2 10 2 19 2" xfId="7160" xr:uid="{00000000-0005-0000-0000-0000CA1B0000}"/>
    <cellStyle name="Normal 2 2 10 2 19 2 10" xfId="7161" xr:uid="{00000000-0005-0000-0000-0000CB1B0000}"/>
    <cellStyle name="Normal 2 2 10 2 19 2 2" xfId="7162" xr:uid="{00000000-0005-0000-0000-0000CC1B0000}"/>
    <cellStyle name="Normal 2 2 10 2 19 2 3" xfId="7163" xr:uid="{00000000-0005-0000-0000-0000CD1B0000}"/>
    <cellStyle name="Normal 2 2 10 2 19 2 4" xfId="7164" xr:uid="{00000000-0005-0000-0000-0000CE1B0000}"/>
    <cellStyle name="Normal 2 2 10 2 19 2 5" xfId="7165" xr:uid="{00000000-0005-0000-0000-0000CF1B0000}"/>
    <cellStyle name="Normal 2 2 10 2 19 2 6" xfId="7166" xr:uid="{00000000-0005-0000-0000-0000D01B0000}"/>
    <cellStyle name="Normal 2 2 10 2 19 2 7" xfId="7167" xr:uid="{00000000-0005-0000-0000-0000D11B0000}"/>
    <cellStyle name="Normal 2 2 10 2 19 2 8" xfId="7168" xr:uid="{00000000-0005-0000-0000-0000D21B0000}"/>
    <cellStyle name="Normal 2 2 10 2 19 2 9" xfId="7169" xr:uid="{00000000-0005-0000-0000-0000D31B0000}"/>
    <cellStyle name="Normal 2 2 10 2 19 3" xfId="7170" xr:uid="{00000000-0005-0000-0000-0000D41B0000}"/>
    <cellStyle name="Normal 2 2 10 2 19 3 10" xfId="7171" xr:uid="{00000000-0005-0000-0000-0000D51B0000}"/>
    <cellStyle name="Normal 2 2 10 2 19 3 2" xfId="7172" xr:uid="{00000000-0005-0000-0000-0000D61B0000}"/>
    <cellStyle name="Normal 2 2 10 2 19 3 3" xfId="7173" xr:uid="{00000000-0005-0000-0000-0000D71B0000}"/>
    <cellStyle name="Normal 2 2 10 2 19 3 4" xfId="7174" xr:uid="{00000000-0005-0000-0000-0000D81B0000}"/>
    <cellStyle name="Normal 2 2 10 2 19 3 5" xfId="7175" xr:uid="{00000000-0005-0000-0000-0000D91B0000}"/>
    <cellStyle name="Normal 2 2 10 2 19 3 6" xfId="7176" xr:uid="{00000000-0005-0000-0000-0000DA1B0000}"/>
    <cellStyle name="Normal 2 2 10 2 19 3 7" xfId="7177" xr:uid="{00000000-0005-0000-0000-0000DB1B0000}"/>
    <cellStyle name="Normal 2 2 10 2 19 3 8" xfId="7178" xr:uid="{00000000-0005-0000-0000-0000DC1B0000}"/>
    <cellStyle name="Normal 2 2 10 2 19 3 9" xfId="7179" xr:uid="{00000000-0005-0000-0000-0000DD1B0000}"/>
    <cellStyle name="Normal 2 2 10 2 19 4" xfId="7180" xr:uid="{00000000-0005-0000-0000-0000DE1B0000}"/>
    <cellStyle name="Normal 2 2 10 2 19 4 10" xfId="7181" xr:uid="{00000000-0005-0000-0000-0000DF1B0000}"/>
    <cellStyle name="Normal 2 2 10 2 19 4 2" xfId="7182" xr:uid="{00000000-0005-0000-0000-0000E01B0000}"/>
    <cellStyle name="Normal 2 2 10 2 19 4 3" xfId="7183" xr:uid="{00000000-0005-0000-0000-0000E11B0000}"/>
    <cellStyle name="Normal 2 2 10 2 19 4 4" xfId="7184" xr:uid="{00000000-0005-0000-0000-0000E21B0000}"/>
    <cellStyle name="Normal 2 2 10 2 19 4 5" xfId="7185" xr:uid="{00000000-0005-0000-0000-0000E31B0000}"/>
    <cellStyle name="Normal 2 2 10 2 19 4 6" xfId="7186" xr:uid="{00000000-0005-0000-0000-0000E41B0000}"/>
    <cellStyle name="Normal 2 2 10 2 19 4 7" xfId="7187" xr:uid="{00000000-0005-0000-0000-0000E51B0000}"/>
    <cellStyle name="Normal 2 2 10 2 19 4 8" xfId="7188" xr:uid="{00000000-0005-0000-0000-0000E61B0000}"/>
    <cellStyle name="Normal 2 2 10 2 19 4 9" xfId="7189" xr:uid="{00000000-0005-0000-0000-0000E71B0000}"/>
    <cellStyle name="Normal 2 2 10 2 19 5" xfId="7190" xr:uid="{00000000-0005-0000-0000-0000E81B0000}"/>
    <cellStyle name="Normal 2 2 10 2 19 5 10" xfId="7191" xr:uid="{00000000-0005-0000-0000-0000E91B0000}"/>
    <cellStyle name="Normal 2 2 10 2 19 5 2" xfId="7192" xr:uid="{00000000-0005-0000-0000-0000EA1B0000}"/>
    <cellStyle name="Normal 2 2 10 2 19 5 3" xfId="7193" xr:uid="{00000000-0005-0000-0000-0000EB1B0000}"/>
    <cellStyle name="Normal 2 2 10 2 19 5 4" xfId="7194" xr:uid="{00000000-0005-0000-0000-0000EC1B0000}"/>
    <cellStyle name="Normal 2 2 10 2 19 5 5" xfId="7195" xr:uid="{00000000-0005-0000-0000-0000ED1B0000}"/>
    <cellStyle name="Normal 2 2 10 2 19 5 6" xfId="7196" xr:uid="{00000000-0005-0000-0000-0000EE1B0000}"/>
    <cellStyle name="Normal 2 2 10 2 19 5 7" xfId="7197" xr:uid="{00000000-0005-0000-0000-0000EF1B0000}"/>
    <cellStyle name="Normal 2 2 10 2 19 5 8" xfId="7198" xr:uid="{00000000-0005-0000-0000-0000F01B0000}"/>
    <cellStyle name="Normal 2 2 10 2 19 5 9" xfId="7199" xr:uid="{00000000-0005-0000-0000-0000F11B0000}"/>
    <cellStyle name="Normal 2 2 10 2 19 6" xfId="7200" xr:uid="{00000000-0005-0000-0000-0000F21B0000}"/>
    <cellStyle name="Normal 2 2 10 2 19 7" xfId="7201" xr:uid="{00000000-0005-0000-0000-0000F31B0000}"/>
    <cellStyle name="Normal 2 2 10 2 19 8" xfId="7202" xr:uid="{00000000-0005-0000-0000-0000F41B0000}"/>
    <cellStyle name="Normal 2 2 10 2 19 9" xfId="7203" xr:uid="{00000000-0005-0000-0000-0000F51B0000}"/>
    <cellStyle name="Normal 2 2 10 2 2" xfId="7204" xr:uid="{00000000-0005-0000-0000-0000F61B0000}"/>
    <cellStyle name="Normal 2 2 10 2 2 10" xfId="7205" xr:uid="{00000000-0005-0000-0000-0000F71B0000}"/>
    <cellStyle name="Normal 2 2 10 2 2 11" xfId="7206" xr:uid="{00000000-0005-0000-0000-0000F81B0000}"/>
    <cellStyle name="Normal 2 2 10 2 2 12" xfId="7207" xr:uid="{00000000-0005-0000-0000-0000F91B0000}"/>
    <cellStyle name="Normal 2 2 10 2 2 13" xfId="7208" xr:uid="{00000000-0005-0000-0000-0000FA1B0000}"/>
    <cellStyle name="Normal 2 2 10 2 2 14" xfId="7209" xr:uid="{00000000-0005-0000-0000-0000FB1B0000}"/>
    <cellStyle name="Normal 2 2 10 2 2 2" xfId="7210" xr:uid="{00000000-0005-0000-0000-0000FC1B0000}"/>
    <cellStyle name="Normal 2 2 10 2 2 2 10" xfId="7211" xr:uid="{00000000-0005-0000-0000-0000FD1B0000}"/>
    <cellStyle name="Normal 2 2 10 2 2 2 2" xfId="7212" xr:uid="{00000000-0005-0000-0000-0000FE1B0000}"/>
    <cellStyle name="Normal 2 2 10 2 2 2 3" xfId="7213" xr:uid="{00000000-0005-0000-0000-0000FF1B0000}"/>
    <cellStyle name="Normal 2 2 10 2 2 2 4" xfId="7214" xr:uid="{00000000-0005-0000-0000-0000001C0000}"/>
    <cellStyle name="Normal 2 2 10 2 2 2 5" xfId="7215" xr:uid="{00000000-0005-0000-0000-0000011C0000}"/>
    <cellStyle name="Normal 2 2 10 2 2 2 6" xfId="7216" xr:uid="{00000000-0005-0000-0000-0000021C0000}"/>
    <cellStyle name="Normal 2 2 10 2 2 2 7" xfId="7217" xr:uid="{00000000-0005-0000-0000-0000031C0000}"/>
    <cellStyle name="Normal 2 2 10 2 2 2 8" xfId="7218" xr:uid="{00000000-0005-0000-0000-0000041C0000}"/>
    <cellStyle name="Normal 2 2 10 2 2 2 9" xfId="7219" xr:uid="{00000000-0005-0000-0000-0000051C0000}"/>
    <cellStyle name="Normal 2 2 10 2 2 3" xfId="7220" xr:uid="{00000000-0005-0000-0000-0000061C0000}"/>
    <cellStyle name="Normal 2 2 10 2 2 3 10" xfId="7221" xr:uid="{00000000-0005-0000-0000-0000071C0000}"/>
    <cellStyle name="Normal 2 2 10 2 2 3 2" xfId="7222" xr:uid="{00000000-0005-0000-0000-0000081C0000}"/>
    <cellStyle name="Normal 2 2 10 2 2 3 3" xfId="7223" xr:uid="{00000000-0005-0000-0000-0000091C0000}"/>
    <cellStyle name="Normal 2 2 10 2 2 3 4" xfId="7224" xr:uid="{00000000-0005-0000-0000-00000A1C0000}"/>
    <cellStyle name="Normal 2 2 10 2 2 3 5" xfId="7225" xr:uid="{00000000-0005-0000-0000-00000B1C0000}"/>
    <cellStyle name="Normal 2 2 10 2 2 3 6" xfId="7226" xr:uid="{00000000-0005-0000-0000-00000C1C0000}"/>
    <cellStyle name="Normal 2 2 10 2 2 3 7" xfId="7227" xr:uid="{00000000-0005-0000-0000-00000D1C0000}"/>
    <cellStyle name="Normal 2 2 10 2 2 3 8" xfId="7228" xr:uid="{00000000-0005-0000-0000-00000E1C0000}"/>
    <cellStyle name="Normal 2 2 10 2 2 3 9" xfId="7229" xr:uid="{00000000-0005-0000-0000-00000F1C0000}"/>
    <cellStyle name="Normal 2 2 10 2 2 4" xfId="7230" xr:uid="{00000000-0005-0000-0000-0000101C0000}"/>
    <cellStyle name="Normal 2 2 10 2 2 4 10" xfId="7231" xr:uid="{00000000-0005-0000-0000-0000111C0000}"/>
    <cellStyle name="Normal 2 2 10 2 2 4 2" xfId="7232" xr:uid="{00000000-0005-0000-0000-0000121C0000}"/>
    <cellStyle name="Normal 2 2 10 2 2 4 3" xfId="7233" xr:uid="{00000000-0005-0000-0000-0000131C0000}"/>
    <cellStyle name="Normal 2 2 10 2 2 4 4" xfId="7234" xr:uid="{00000000-0005-0000-0000-0000141C0000}"/>
    <cellStyle name="Normal 2 2 10 2 2 4 5" xfId="7235" xr:uid="{00000000-0005-0000-0000-0000151C0000}"/>
    <cellStyle name="Normal 2 2 10 2 2 4 6" xfId="7236" xr:uid="{00000000-0005-0000-0000-0000161C0000}"/>
    <cellStyle name="Normal 2 2 10 2 2 4 7" xfId="7237" xr:uid="{00000000-0005-0000-0000-0000171C0000}"/>
    <cellStyle name="Normal 2 2 10 2 2 4 8" xfId="7238" xr:uid="{00000000-0005-0000-0000-0000181C0000}"/>
    <cellStyle name="Normal 2 2 10 2 2 4 9" xfId="7239" xr:uid="{00000000-0005-0000-0000-0000191C0000}"/>
    <cellStyle name="Normal 2 2 10 2 2 5" xfId="7240" xr:uid="{00000000-0005-0000-0000-00001A1C0000}"/>
    <cellStyle name="Normal 2 2 10 2 2 5 10" xfId="7241" xr:uid="{00000000-0005-0000-0000-00001B1C0000}"/>
    <cellStyle name="Normal 2 2 10 2 2 5 2" xfId="7242" xr:uid="{00000000-0005-0000-0000-00001C1C0000}"/>
    <cellStyle name="Normal 2 2 10 2 2 5 3" xfId="7243" xr:uid="{00000000-0005-0000-0000-00001D1C0000}"/>
    <cellStyle name="Normal 2 2 10 2 2 5 4" xfId="7244" xr:uid="{00000000-0005-0000-0000-00001E1C0000}"/>
    <cellStyle name="Normal 2 2 10 2 2 5 5" xfId="7245" xr:uid="{00000000-0005-0000-0000-00001F1C0000}"/>
    <cellStyle name="Normal 2 2 10 2 2 5 6" xfId="7246" xr:uid="{00000000-0005-0000-0000-0000201C0000}"/>
    <cellStyle name="Normal 2 2 10 2 2 5 7" xfId="7247" xr:uid="{00000000-0005-0000-0000-0000211C0000}"/>
    <cellStyle name="Normal 2 2 10 2 2 5 8" xfId="7248" xr:uid="{00000000-0005-0000-0000-0000221C0000}"/>
    <cellStyle name="Normal 2 2 10 2 2 5 9" xfId="7249" xr:uid="{00000000-0005-0000-0000-0000231C0000}"/>
    <cellStyle name="Normal 2 2 10 2 2 6" xfId="7250" xr:uid="{00000000-0005-0000-0000-0000241C0000}"/>
    <cellStyle name="Normal 2 2 10 2 2 7" xfId="7251" xr:uid="{00000000-0005-0000-0000-0000251C0000}"/>
    <cellStyle name="Normal 2 2 10 2 2 8" xfId="7252" xr:uid="{00000000-0005-0000-0000-0000261C0000}"/>
    <cellStyle name="Normal 2 2 10 2 2 9" xfId="7253" xr:uid="{00000000-0005-0000-0000-0000271C0000}"/>
    <cellStyle name="Normal 2 2 10 2 20" xfId="7254" xr:uid="{00000000-0005-0000-0000-0000281C0000}"/>
    <cellStyle name="Normal 2 2 10 2 20 10" xfId="7255" xr:uid="{00000000-0005-0000-0000-0000291C0000}"/>
    <cellStyle name="Normal 2 2 10 2 20 11" xfId="7256" xr:uid="{00000000-0005-0000-0000-00002A1C0000}"/>
    <cellStyle name="Normal 2 2 10 2 20 12" xfId="7257" xr:uid="{00000000-0005-0000-0000-00002B1C0000}"/>
    <cellStyle name="Normal 2 2 10 2 20 13" xfId="7258" xr:uid="{00000000-0005-0000-0000-00002C1C0000}"/>
    <cellStyle name="Normal 2 2 10 2 20 14" xfId="7259" xr:uid="{00000000-0005-0000-0000-00002D1C0000}"/>
    <cellStyle name="Normal 2 2 10 2 20 2" xfId="7260" xr:uid="{00000000-0005-0000-0000-00002E1C0000}"/>
    <cellStyle name="Normal 2 2 10 2 20 2 10" xfId="7261" xr:uid="{00000000-0005-0000-0000-00002F1C0000}"/>
    <cellStyle name="Normal 2 2 10 2 20 2 2" xfId="7262" xr:uid="{00000000-0005-0000-0000-0000301C0000}"/>
    <cellStyle name="Normal 2 2 10 2 20 2 3" xfId="7263" xr:uid="{00000000-0005-0000-0000-0000311C0000}"/>
    <cellStyle name="Normal 2 2 10 2 20 2 4" xfId="7264" xr:uid="{00000000-0005-0000-0000-0000321C0000}"/>
    <cellStyle name="Normal 2 2 10 2 20 2 5" xfId="7265" xr:uid="{00000000-0005-0000-0000-0000331C0000}"/>
    <cellStyle name="Normal 2 2 10 2 20 2 6" xfId="7266" xr:uid="{00000000-0005-0000-0000-0000341C0000}"/>
    <cellStyle name="Normal 2 2 10 2 20 2 7" xfId="7267" xr:uid="{00000000-0005-0000-0000-0000351C0000}"/>
    <cellStyle name="Normal 2 2 10 2 20 2 8" xfId="7268" xr:uid="{00000000-0005-0000-0000-0000361C0000}"/>
    <cellStyle name="Normal 2 2 10 2 20 2 9" xfId="7269" xr:uid="{00000000-0005-0000-0000-0000371C0000}"/>
    <cellStyle name="Normal 2 2 10 2 20 3" xfId="7270" xr:uid="{00000000-0005-0000-0000-0000381C0000}"/>
    <cellStyle name="Normal 2 2 10 2 20 3 10" xfId="7271" xr:uid="{00000000-0005-0000-0000-0000391C0000}"/>
    <cellStyle name="Normal 2 2 10 2 20 3 2" xfId="7272" xr:uid="{00000000-0005-0000-0000-00003A1C0000}"/>
    <cellStyle name="Normal 2 2 10 2 20 3 3" xfId="7273" xr:uid="{00000000-0005-0000-0000-00003B1C0000}"/>
    <cellStyle name="Normal 2 2 10 2 20 3 4" xfId="7274" xr:uid="{00000000-0005-0000-0000-00003C1C0000}"/>
    <cellStyle name="Normal 2 2 10 2 20 3 5" xfId="7275" xr:uid="{00000000-0005-0000-0000-00003D1C0000}"/>
    <cellStyle name="Normal 2 2 10 2 20 3 6" xfId="7276" xr:uid="{00000000-0005-0000-0000-00003E1C0000}"/>
    <cellStyle name="Normal 2 2 10 2 20 3 7" xfId="7277" xr:uid="{00000000-0005-0000-0000-00003F1C0000}"/>
    <cellStyle name="Normal 2 2 10 2 20 3 8" xfId="7278" xr:uid="{00000000-0005-0000-0000-0000401C0000}"/>
    <cellStyle name="Normal 2 2 10 2 20 3 9" xfId="7279" xr:uid="{00000000-0005-0000-0000-0000411C0000}"/>
    <cellStyle name="Normal 2 2 10 2 20 4" xfId="7280" xr:uid="{00000000-0005-0000-0000-0000421C0000}"/>
    <cellStyle name="Normal 2 2 10 2 20 4 10" xfId="7281" xr:uid="{00000000-0005-0000-0000-0000431C0000}"/>
    <cellStyle name="Normal 2 2 10 2 20 4 2" xfId="7282" xr:uid="{00000000-0005-0000-0000-0000441C0000}"/>
    <cellStyle name="Normal 2 2 10 2 20 4 3" xfId="7283" xr:uid="{00000000-0005-0000-0000-0000451C0000}"/>
    <cellStyle name="Normal 2 2 10 2 20 4 4" xfId="7284" xr:uid="{00000000-0005-0000-0000-0000461C0000}"/>
    <cellStyle name="Normal 2 2 10 2 20 4 5" xfId="7285" xr:uid="{00000000-0005-0000-0000-0000471C0000}"/>
    <cellStyle name="Normal 2 2 10 2 20 4 6" xfId="7286" xr:uid="{00000000-0005-0000-0000-0000481C0000}"/>
    <cellStyle name="Normal 2 2 10 2 20 4 7" xfId="7287" xr:uid="{00000000-0005-0000-0000-0000491C0000}"/>
    <cellStyle name="Normal 2 2 10 2 20 4 8" xfId="7288" xr:uid="{00000000-0005-0000-0000-00004A1C0000}"/>
    <cellStyle name="Normal 2 2 10 2 20 4 9" xfId="7289" xr:uid="{00000000-0005-0000-0000-00004B1C0000}"/>
    <cellStyle name="Normal 2 2 10 2 20 5" xfId="7290" xr:uid="{00000000-0005-0000-0000-00004C1C0000}"/>
    <cellStyle name="Normal 2 2 10 2 20 5 10" xfId="7291" xr:uid="{00000000-0005-0000-0000-00004D1C0000}"/>
    <cellStyle name="Normal 2 2 10 2 20 5 2" xfId="7292" xr:uid="{00000000-0005-0000-0000-00004E1C0000}"/>
    <cellStyle name="Normal 2 2 10 2 20 5 3" xfId="7293" xr:uid="{00000000-0005-0000-0000-00004F1C0000}"/>
    <cellStyle name="Normal 2 2 10 2 20 5 4" xfId="7294" xr:uid="{00000000-0005-0000-0000-0000501C0000}"/>
    <cellStyle name="Normal 2 2 10 2 20 5 5" xfId="7295" xr:uid="{00000000-0005-0000-0000-0000511C0000}"/>
    <cellStyle name="Normal 2 2 10 2 20 5 6" xfId="7296" xr:uid="{00000000-0005-0000-0000-0000521C0000}"/>
    <cellStyle name="Normal 2 2 10 2 20 5 7" xfId="7297" xr:uid="{00000000-0005-0000-0000-0000531C0000}"/>
    <cellStyle name="Normal 2 2 10 2 20 5 8" xfId="7298" xr:uid="{00000000-0005-0000-0000-0000541C0000}"/>
    <cellStyle name="Normal 2 2 10 2 20 5 9" xfId="7299" xr:uid="{00000000-0005-0000-0000-0000551C0000}"/>
    <cellStyle name="Normal 2 2 10 2 20 6" xfId="7300" xr:uid="{00000000-0005-0000-0000-0000561C0000}"/>
    <cellStyle name="Normal 2 2 10 2 20 7" xfId="7301" xr:uid="{00000000-0005-0000-0000-0000571C0000}"/>
    <cellStyle name="Normal 2 2 10 2 20 8" xfId="7302" xr:uid="{00000000-0005-0000-0000-0000581C0000}"/>
    <cellStyle name="Normal 2 2 10 2 20 9" xfId="7303" xr:uid="{00000000-0005-0000-0000-0000591C0000}"/>
    <cellStyle name="Normal 2 2 10 2 21" xfId="7304" xr:uid="{00000000-0005-0000-0000-00005A1C0000}"/>
    <cellStyle name="Normal 2 2 10 2 21 10" xfId="7305" xr:uid="{00000000-0005-0000-0000-00005B1C0000}"/>
    <cellStyle name="Normal 2 2 10 2 21 11" xfId="7306" xr:uid="{00000000-0005-0000-0000-00005C1C0000}"/>
    <cellStyle name="Normal 2 2 10 2 21 12" xfId="7307" xr:uid="{00000000-0005-0000-0000-00005D1C0000}"/>
    <cellStyle name="Normal 2 2 10 2 21 13" xfId="7308" xr:uid="{00000000-0005-0000-0000-00005E1C0000}"/>
    <cellStyle name="Normal 2 2 10 2 21 14" xfId="7309" xr:uid="{00000000-0005-0000-0000-00005F1C0000}"/>
    <cellStyle name="Normal 2 2 10 2 21 2" xfId="7310" xr:uid="{00000000-0005-0000-0000-0000601C0000}"/>
    <cellStyle name="Normal 2 2 10 2 21 2 10" xfId="7311" xr:uid="{00000000-0005-0000-0000-0000611C0000}"/>
    <cellStyle name="Normal 2 2 10 2 21 2 2" xfId="7312" xr:uid="{00000000-0005-0000-0000-0000621C0000}"/>
    <cellStyle name="Normal 2 2 10 2 21 2 3" xfId="7313" xr:uid="{00000000-0005-0000-0000-0000631C0000}"/>
    <cellStyle name="Normal 2 2 10 2 21 2 4" xfId="7314" xr:uid="{00000000-0005-0000-0000-0000641C0000}"/>
    <cellStyle name="Normal 2 2 10 2 21 2 5" xfId="7315" xr:uid="{00000000-0005-0000-0000-0000651C0000}"/>
    <cellStyle name="Normal 2 2 10 2 21 2 6" xfId="7316" xr:uid="{00000000-0005-0000-0000-0000661C0000}"/>
    <cellStyle name="Normal 2 2 10 2 21 2 7" xfId="7317" xr:uid="{00000000-0005-0000-0000-0000671C0000}"/>
    <cellStyle name="Normal 2 2 10 2 21 2 8" xfId="7318" xr:uid="{00000000-0005-0000-0000-0000681C0000}"/>
    <cellStyle name="Normal 2 2 10 2 21 2 9" xfId="7319" xr:uid="{00000000-0005-0000-0000-0000691C0000}"/>
    <cellStyle name="Normal 2 2 10 2 21 3" xfId="7320" xr:uid="{00000000-0005-0000-0000-00006A1C0000}"/>
    <cellStyle name="Normal 2 2 10 2 21 3 10" xfId="7321" xr:uid="{00000000-0005-0000-0000-00006B1C0000}"/>
    <cellStyle name="Normal 2 2 10 2 21 3 2" xfId="7322" xr:uid="{00000000-0005-0000-0000-00006C1C0000}"/>
    <cellStyle name="Normal 2 2 10 2 21 3 3" xfId="7323" xr:uid="{00000000-0005-0000-0000-00006D1C0000}"/>
    <cellStyle name="Normal 2 2 10 2 21 3 4" xfId="7324" xr:uid="{00000000-0005-0000-0000-00006E1C0000}"/>
    <cellStyle name="Normal 2 2 10 2 21 3 5" xfId="7325" xr:uid="{00000000-0005-0000-0000-00006F1C0000}"/>
    <cellStyle name="Normal 2 2 10 2 21 3 6" xfId="7326" xr:uid="{00000000-0005-0000-0000-0000701C0000}"/>
    <cellStyle name="Normal 2 2 10 2 21 3 7" xfId="7327" xr:uid="{00000000-0005-0000-0000-0000711C0000}"/>
    <cellStyle name="Normal 2 2 10 2 21 3 8" xfId="7328" xr:uid="{00000000-0005-0000-0000-0000721C0000}"/>
    <cellStyle name="Normal 2 2 10 2 21 3 9" xfId="7329" xr:uid="{00000000-0005-0000-0000-0000731C0000}"/>
    <cellStyle name="Normal 2 2 10 2 21 4" xfId="7330" xr:uid="{00000000-0005-0000-0000-0000741C0000}"/>
    <cellStyle name="Normal 2 2 10 2 21 4 10" xfId="7331" xr:uid="{00000000-0005-0000-0000-0000751C0000}"/>
    <cellStyle name="Normal 2 2 10 2 21 4 2" xfId="7332" xr:uid="{00000000-0005-0000-0000-0000761C0000}"/>
    <cellStyle name="Normal 2 2 10 2 21 4 3" xfId="7333" xr:uid="{00000000-0005-0000-0000-0000771C0000}"/>
    <cellStyle name="Normal 2 2 10 2 21 4 4" xfId="7334" xr:uid="{00000000-0005-0000-0000-0000781C0000}"/>
    <cellStyle name="Normal 2 2 10 2 21 4 5" xfId="7335" xr:uid="{00000000-0005-0000-0000-0000791C0000}"/>
    <cellStyle name="Normal 2 2 10 2 21 4 6" xfId="7336" xr:uid="{00000000-0005-0000-0000-00007A1C0000}"/>
    <cellStyle name="Normal 2 2 10 2 21 4 7" xfId="7337" xr:uid="{00000000-0005-0000-0000-00007B1C0000}"/>
    <cellStyle name="Normal 2 2 10 2 21 4 8" xfId="7338" xr:uid="{00000000-0005-0000-0000-00007C1C0000}"/>
    <cellStyle name="Normal 2 2 10 2 21 4 9" xfId="7339" xr:uid="{00000000-0005-0000-0000-00007D1C0000}"/>
    <cellStyle name="Normal 2 2 10 2 21 5" xfId="7340" xr:uid="{00000000-0005-0000-0000-00007E1C0000}"/>
    <cellStyle name="Normal 2 2 10 2 21 5 10" xfId="7341" xr:uid="{00000000-0005-0000-0000-00007F1C0000}"/>
    <cellStyle name="Normal 2 2 10 2 21 5 2" xfId="7342" xr:uid="{00000000-0005-0000-0000-0000801C0000}"/>
    <cellStyle name="Normal 2 2 10 2 21 5 3" xfId="7343" xr:uid="{00000000-0005-0000-0000-0000811C0000}"/>
    <cellStyle name="Normal 2 2 10 2 21 5 4" xfId="7344" xr:uid="{00000000-0005-0000-0000-0000821C0000}"/>
    <cellStyle name="Normal 2 2 10 2 21 5 5" xfId="7345" xr:uid="{00000000-0005-0000-0000-0000831C0000}"/>
    <cellStyle name="Normal 2 2 10 2 21 5 6" xfId="7346" xr:uid="{00000000-0005-0000-0000-0000841C0000}"/>
    <cellStyle name="Normal 2 2 10 2 21 5 7" xfId="7347" xr:uid="{00000000-0005-0000-0000-0000851C0000}"/>
    <cellStyle name="Normal 2 2 10 2 21 5 8" xfId="7348" xr:uid="{00000000-0005-0000-0000-0000861C0000}"/>
    <cellStyle name="Normal 2 2 10 2 21 5 9" xfId="7349" xr:uid="{00000000-0005-0000-0000-0000871C0000}"/>
    <cellStyle name="Normal 2 2 10 2 21 6" xfId="7350" xr:uid="{00000000-0005-0000-0000-0000881C0000}"/>
    <cellStyle name="Normal 2 2 10 2 21 7" xfId="7351" xr:uid="{00000000-0005-0000-0000-0000891C0000}"/>
    <cellStyle name="Normal 2 2 10 2 21 8" xfId="7352" xr:uid="{00000000-0005-0000-0000-00008A1C0000}"/>
    <cellStyle name="Normal 2 2 10 2 21 9" xfId="7353" xr:uid="{00000000-0005-0000-0000-00008B1C0000}"/>
    <cellStyle name="Normal 2 2 10 2 22" xfId="7354" xr:uid="{00000000-0005-0000-0000-00008C1C0000}"/>
    <cellStyle name="Normal 2 2 10 2 22 10" xfId="7355" xr:uid="{00000000-0005-0000-0000-00008D1C0000}"/>
    <cellStyle name="Normal 2 2 10 2 22 11" xfId="7356" xr:uid="{00000000-0005-0000-0000-00008E1C0000}"/>
    <cellStyle name="Normal 2 2 10 2 22 12" xfId="7357" xr:uid="{00000000-0005-0000-0000-00008F1C0000}"/>
    <cellStyle name="Normal 2 2 10 2 22 13" xfId="7358" xr:uid="{00000000-0005-0000-0000-0000901C0000}"/>
    <cellStyle name="Normal 2 2 10 2 22 14" xfId="7359" xr:uid="{00000000-0005-0000-0000-0000911C0000}"/>
    <cellStyle name="Normal 2 2 10 2 22 2" xfId="7360" xr:uid="{00000000-0005-0000-0000-0000921C0000}"/>
    <cellStyle name="Normal 2 2 10 2 22 2 10" xfId="7361" xr:uid="{00000000-0005-0000-0000-0000931C0000}"/>
    <cellStyle name="Normal 2 2 10 2 22 2 2" xfId="7362" xr:uid="{00000000-0005-0000-0000-0000941C0000}"/>
    <cellStyle name="Normal 2 2 10 2 22 2 3" xfId="7363" xr:uid="{00000000-0005-0000-0000-0000951C0000}"/>
    <cellStyle name="Normal 2 2 10 2 22 2 4" xfId="7364" xr:uid="{00000000-0005-0000-0000-0000961C0000}"/>
    <cellStyle name="Normal 2 2 10 2 22 2 5" xfId="7365" xr:uid="{00000000-0005-0000-0000-0000971C0000}"/>
    <cellStyle name="Normal 2 2 10 2 22 2 6" xfId="7366" xr:uid="{00000000-0005-0000-0000-0000981C0000}"/>
    <cellStyle name="Normal 2 2 10 2 22 2 7" xfId="7367" xr:uid="{00000000-0005-0000-0000-0000991C0000}"/>
    <cellStyle name="Normal 2 2 10 2 22 2 8" xfId="7368" xr:uid="{00000000-0005-0000-0000-00009A1C0000}"/>
    <cellStyle name="Normal 2 2 10 2 22 2 9" xfId="7369" xr:uid="{00000000-0005-0000-0000-00009B1C0000}"/>
    <cellStyle name="Normal 2 2 10 2 22 3" xfId="7370" xr:uid="{00000000-0005-0000-0000-00009C1C0000}"/>
    <cellStyle name="Normal 2 2 10 2 22 3 10" xfId="7371" xr:uid="{00000000-0005-0000-0000-00009D1C0000}"/>
    <cellStyle name="Normal 2 2 10 2 22 3 2" xfId="7372" xr:uid="{00000000-0005-0000-0000-00009E1C0000}"/>
    <cellStyle name="Normal 2 2 10 2 22 3 3" xfId="7373" xr:uid="{00000000-0005-0000-0000-00009F1C0000}"/>
    <cellStyle name="Normal 2 2 10 2 22 3 4" xfId="7374" xr:uid="{00000000-0005-0000-0000-0000A01C0000}"/>
    <cellStyle name="Normal 2 2 10 2 22 3 5" xfId="7375" xr:uid="{00000000-0005-0000-0000-0000A11C0000}"/>
    <cellStyle name="Normal 2 2 10 2 22 3 6" xfId="7376" xr:uid="{00000000-0005-0000-0000-0000A21C0000}"/>
    <cellStyle name="Normal 2 2 10 2 22 3 7" xfId="7377" xr:uid="{00000000-0005-0000-0000-0000A31C0000}"/>
    <cellStyle name="Normal 2 2 10 2 22 3 8" xfId="7378" xr:uid="{00000000-0005-0000-0000-0000A41C0000}"/>
    <cellStyle name="Normal 2 2 10 2 22 3 9" xfId="7379" xr:uid="{00000000-0005-0000-0000-0000A51C0000}"/>
    <cellStyle name="Normal 2 2 10 2 22 4" xfId="7380" xr:uid="{00000000-0005-0000-0000-0000A61C0000}"/>
    <cellStyle name="Normal 2 2 10 2 22 4 10" xfId="7381" xr:uid="{00000000-0005-0000-0000-0000A71C0000}"/>
    <cellStyle name="Normal 2 2 10 2 22 4 2" xfId="7382" xr:uid="{00000000-0005-0000-0000-0000A81C0000}"/>
    <cellStyle name="Normal 2 2 10 2 22 4 3" xfId="7383" xr:uid="{00000000-0005-0000-0000-0000A91C0000}"/>
    <cellStyle name="Normal 2 2 10 2 22 4 4" xfId="7384" xr:uid="{00000000-0005-0000-0000-0000AA1C0000}"/>
    <cellStyle name="Normal 2 2 10 2 22 4 5" xfId="7385" xr:uid="{00000000-0005-0000-0000-0000AB1C0000}"/>
    <cellStyle name="Normal 2 2 10 2 22 4 6" xfId="7386" xr:uid="{00000000-0005-0000-0000-0000AC1C0000}"/>
    <cellStyle name="Normal 2 2 10 2 22 4 7" xfId="7387" xr:uid="{00000000-0005-0000-0000-0000AD1C0000}"/>
    <cellStyle name="Normal 2 2 10 2 22 4 8" xfId="7388" xr:uid="{00000000-0005-0000-0000-0000AE1C0000}"/>
    <cellStyle name="Normal 2 2 10 2 22 4 9" xfId="7389" xr:uid="{00000000-0005-0000-0000-0000AF1C0000}"/>
    <cellStyle name="Normal 2 2 10 2 22 5" xfId="7390" xr:uid="{00000000-0005-0000-0000-0000B01C0000}"/>
    <cellStyle name="Normal 2 2 10 2 22 5 10" xfId="7391" xr:uid="{00000000-0005-0000-0000-0000B11C0000}"/>
    <cellStyle name="Normal 2 2 10 2 22 5 2" xfId="7392" xr:uid="{00000000-0005-0000-0000-0000B21C0000}"/>
    <cellStyle name="Normal 2 2 10 2 22 5 3" xfId="7393" xr:uid="{00000000-0005-0000-0000-0000B31C0000}"/>
    <cellStyle name="Normal 2 2 10 2 22 5 4" xfId="7394" xr:uid="{00000000-0005-0000-0000-0000B41C0000}"/>
    <cellStyle name="Normal 2 2 10 2 22 5 5" xfId="7395" xr:uid="{00000000-0005-0000-0000-0000B51C0000}"/>
    <cellStyle name="Normal 2 2 10 2 22 5 6" xfId="7396" xr:uid="{00000000-0005-0000-0000-0000B61C0000}"/>
    <cellStyle name="Normal 2 2 10 2 22 5 7" xfId="7397" xr:uid="{00000000-0005-0000-0000-0000B71C0000}"/>
    <cellStyle name="Normal 2 2 10 2 22 5 8" xfId="7398" xr:uid="{00000000-0005-0000-0000-0000B81C0000}"/>
    <cellStyle name="Normal 2 2 10 2 22 5 9" xfId="7399" xr:uid="{00000000-0005-0000-0000-0000B91C0000}"/>
    <cellStyle name="Normal 2 2 10 2 22 6" xfId="7400" xr:uid="{00000000-0005-0000-0000-0000BA1C0000}"/>
    <cellStyle name="Normal 2 2 10 2 22 7" xfId="7401" xr:uid="{00000000-0005-0000-0000-0000BB1C0000}"/>
    <cellStyle name="Normal 2 2 10 2 22 8" xfId="7402" xr:uid="{00000000-0005-0000-0000-0000BC1C0000}"/>
    <cellStyle name="Normal 2 2 10 2 22 9" xfId="7403" xr:uid="{00000000-0005-0000-0000-0000BD1C0000}"/>
    <cellStyle name="Normal 2 2 10 2 23" xfId="7404" xr:uid="{00000000-0005-0000-0000-0000BE1C0000}"/>
    <cellStyle name="Normal 2 2 10 2 23 10" xfId="7405" xr:uid="{00000000-0005-0000-0000-0000BF1C0000}"/>
    <cellStyle name="Normal 2 2 10 2 23 11" xfId="7406" xr:uid="{00000000-0005-0000-0000-0000C01C0000}"/>
    <cellStyle name="Normal 2 2 10 2 23 12" xfId="7407" xr:uid="{00000000-0005-0000-0000-0000C11C0000}"/>
    <cellStyle name="Normal 2 2 10 2 23 13" xfId="7408" xr:uid="{00000000-0005-0000-0000-0000C21C0000}"/>
    <cellStyle name="Normal 2 2 10 2 23 14" xfId="7409" xr:uid="{00000000-0005-0000-0000-0000C31C0000}"/>
    <cellStyle name="Normal 2 2 10 2 23 2" xfId="7410" xr:uid="{00000000-0005-0000-0000-0000C41C0000}"/>
    <cellStyle name="Normal 2 2 10 2 23 2 10" xfId="7411" xr:uid="{00000000-0005-0000-0000-0000C51C0000}"/>
    <cellStyle name="Normal 2 2 10 2 23 2 2" xfId="7412" xr:uid="{00000000-0005-0000-0000-0000C61C0000}"/>
    <cellStyle name="Normal 2 2 10 2 23 2 3" xfId="7413" xr:uid="{00000000-0005-0000-0000-0000C71C0000}"/>
    <cellStyle name="Normal 2 2 10 2 23 2 4" xfId="7414" xr:uid="{00000000-0005-0000-0000-0000C81C0000}"/>
    <cellStyle name="Normal 2 2 10 2 23 2 5" xfId="7415" xr:uid="{00000000-0005-0000-0000-0000C91C0000}"/>
    <cellStyle name="Normal 2 2 10 2 23 2 6" xfId="7416" xr:uid="{00000000-0005-0000-0000-0000CA1C0000}"/>
    <cellStyle name="Normal 2 2 10 2 23 2 7" xfId="7417" xr:uid="{00000000-0005-0000-0000-0000CB1C0000}"/>
    <cellStyle name="Normal 2 2 10 2 23 2 8" xfId="7418" xr:uid="{00000000-0005-0000-0000-0000CC1C0000}"/>
    <cellStyle name="Normal 2 2 10 2 23 2 9" xfId="7419" xr:uid="{00000000-0005-0000-0000-0000CD1C0000}"/>
    <cellStyle name="Normal 2 2 10 2 23 3" xfId="7420" xr:uid="{00000000-0005-0000-0000-0000CE1C0000}"/>
    <cellStyle name="Normal 2 2 10 2 23 3 10" xfId="7421" xr:uid="{00000000-0005-0000-0000-0000CF1C0000}"/>
    <cellStyle name="Normal 2 2 10 2 23 3 2" xfId="7422" xr:uid="{00000000-0005-0000-0000-0000D01C0000}"/>
    <cellStyle name="Normal 2 2 10 2 23 3 3" xfId="7423" xr:uid="{00000000-0005-0000-0000-0000D11C0000}"/>
    <cellStyle name="Normal 2 2 10 2 23 3 4" xfId="7424" xr:uid="{00000000-0005-0000-0000-0000D21C0000}"/>
    <cellStyle name="Normal 2 2 10 2 23 3 5" xfId="7425" xr:uid="{00000000-0005-0000-0000-0000D31C0000}"/>
    <cellStyle name="Normal 2 2 10 2 23 3 6" xfId="7426" xr:uid="{00000000-0005-0000-0000-0000D41C0000}"/>
    <cellStyle name="Normal 2 2 10 2 23 3 7" xfId="7427" xr:uid="{00000000-0005-0000-0000-0000D51C0000}"/>
    <cellStyle name="Normal 2 2 10 2 23 3 8" xfId="7428" xr:uid="{00000000-0005-0000-0000-0000D61C0000}"/>
    <cellStyle name="Normal 2 2 10 2 23 3 9" xfId="7429" xr:uid="{00000000-0005-0000-0000-0000D71C0000}"/>
    <cellStyle name="Normal 2 2 10 2 23 4" xfId="7430" xr:uid="{00000000-0005-0000-0000-0000D81C0000}"/>
    <cellStyle name="Normal 2 2 10 2 23 4 10" xfId="7431" xr:uid="{00000000-0005-0000-0000-0000D91C0000}"/>
    <cellStyle name="Normal 2 2 10 2 23 4 2" xfId="7432" xr:uid="{00000000-0005-0000-0000-0000DA1C0000}"/>
    <cellStyle name="Normal 2 2 10 2 23 4 3" xfId="7433" xr:uid="{00000000-0005-0000-0000-0000DB1C0000}"/>
    <cellStyle name="Normal 2 2 10 2 23 4 4" xfId="7434" xr:uid="{00000000-0005-0000-0000-0000DC1C0000}"/>
    <cellStyle name="Normal 2 2 10 2 23 4 5" xfId="7435" xr:uid="{00000000-0005-0000-0000-0000DD1C0000}"/>
    <cellStyle name="Normal 2 2 10 2 23 4 6" xfId="7436" xr:uid="{00000000-0005-0000-0000-0000DE1C0000}"/>
    <cellStyle name="Normal 2 2 10 2 23 4 7" xfId="7437" xr:uid="{00000000-0005-0000-0000-0000DF1C0000}"/>
    <cellStyle name="Normal 2 2 10 2 23 4 8" xfId="7438" xr:uid="{00000000-0005-0000-0000-0000E01C0000}"/>
    <cellStyle name="Normal 2 2 10 2 23 4 9" xfId="7439" xr:uid="{00000000-0005-0000-0000-0000E11C0000}"/>
    <cellStyle name="Normal 2 2 10 2 23 5" xfId="7440" xr:uid="{00000000-0005-0000-0000-0000E21C0000}"/>
    <cellStyle name="Normal 2 2 10 2 23 5 10" xfId="7441" xr:uid="{00000000-0005-0000-0000-0000E31C0000}"/>
    <cellStyle name="Normal 2 2 10 2 23 5 2" xfId="7442" xr:uid="{00000000-0005-0000-0000-0000E41C0000}"/>
    <cellStyle name="Normal 2 2 10 2 23 5 3" xfId="7443" xr:uid="{00000000-0005-0000-0000-0000E51C0000}"/>
    <cellStyle name="Normal 2 2 10 2 23 5 4" xfId="7444" xr:uid="{00000000-0005-0000-0000-0000E61C0000}"/>
    <cellStyle name="Normal 2 2 10 2 23 5 5" xfId="7445" xr:uid="{00000000-0005-0000-0000-0000E71C0000}"/>
    <cellStyle name="Normal 2 2 10 2 23 5 6" xfId="7446" xr:uid="{00000000-0005-0000-0000-0000E81C0000}"/>
    <cellStyle name="Normal 2 2 10 2 23 5 7" xfId="7447" xr:uid="{00000000-0005-0000-0000-0000E91C0000}"/>
    <cellStyle name="Normal 2 2 10 2 23 5 8" xfId="7448" xr:uid="{00000000-0005-0000-0000-0000EA1C0000}"/>
    <cellStyle name="Normal 2 2 10 2 23 5 9" xfId="7449" xr:uid="{00000000-0005-0000-0000-0000EB1C0000}"/>
    <cellStyle name="Normal 2 2 10 2 23 6" xfId="7450" xr:uid="{00000000-0005-0000-0000-0000EC1C0000}"/>
    <cellStyle name="Normal 2 2 10 2 23 7" xfId="7451" xr:uid="{00000000-0005-0000-0000-0000ED1C0000}"/>
    <cellStyle name="Normal 2 2 10 2 23 8" xfId="7452" xr:uid="{00000000-0005-0000-0000-0000EE1C0000}"/>
    <cellStyle name="Normal 2 2 10 2 23 9" xfId="7453" xr:uid="{00000000-0005-0000-0000-0000EF1C0000}"/>
    <cellStyle name="Normal 2 2 10 2 24" xfId="7454" xr:uid="{00000000-0005-0000-0000-0000F01C0000}"/>
    <cellStyle name="Normal 2 2 10 2 24 10" xfId="7455" xr:uid="{00000000-0005-0000-0000-0000F11C0000}"/>
    <cellStyle name="Normal 2 2 10 2 24 11" xfId="7456" xr:uid="{00000000-0005-0000-0000-0000F21C0000}"/>
    <cellStyle name="Normal 2 2 10 2 24 12" xfId="7457" xr:uid="{00000000-0005-0000-0000-0000F31C0000}"/>
    <cellStyle name="Normal 2 2 10 2 24 13" xfId="7458" xr:uid="{00000000-0005-0000-0000-0000F41C0000}"/>
    <cellStyle name="Normal 2 2 10 2 24 14" xfId="7459" xr:uid="{00000000-0005-0000-0000-0000F51C0000}"/>
    <cellStyle name="Normal 2 2 10 2 24 2" xfId="7460" xr:uid="{00000000-0005-0000-0000-0000F61C0000}"/>
    <cellStyle name="Normal 2 2 10 2 24 2 10" xfId="7461" xr:uid="{00000000-0005-0000-0000-0000F71C0000}"/>
    <cellStyle name="Normal 2 2 10 2 24 2 2" xfId="7462" xr:uid="{00000000-0005-0000-0000-0000F81C0000}"/>
    <cellStyle name="Normal 2 2 10 2 24 2 3" xfId="7463" xr:uid="{00000000-0005-0000-0000-0000F91C0000}"/>
    <cellStyle name="Normal 2 2 10 2 24 2 4" xfId="7464" xr:uid="{00000000-0005-0000-0000-0000FA1C0000}"/>
    <cellStyle name="Normal 2 2 10 2 24 2 5" xfId="7465" xr:uid="{00000000-0005-0000-0000-0000FB1C0000}"/>
    <cellStyle name="Normal 2 2 10 2 24 2 6" xfId="7466" xr:uid="{00000000-0005-0000-0000-0000FC1C0000}"/>
    <cellStyle name="Normal 2 2 10 2 24 2 7" xfId="7467" xr:uid="{00000000-0005-0000-0000-0000FD1C0000}"/>
    <cellStyle name="Normal 2 2 10 2 24 2 8" xfId="7468" xr:uid="{00000000-0005-0000-0000-0000FE1C0000}"/>
    <cellStyle name="Normal 2 2 10 2 24 2 9" xfId="7469" xr:uid="{00000000-0005-0000-0000-0000FF1C0000}"/>
    <cellStyle name="Normal 2 2 10 2 24 3" xfId="7470" xr:uid="{00000000-0005-0000-0000-0000001D0000}"/>
    <cellStyle name="Normal 2 2 10 2 24 3 10" xfId="7471" xr:uid="{00000000-0005-0000-0000-0000011D0000}"/>
    <cellStyle name="Normal 2 2 10 2 24 3 2" xfId="7472" xr:uid="{00000000-0005-0000-0000-0000021D0000}"/>
    <cellStyle name="Normal 2 2 10 2 24 3 3" xfId="7473" xr:uid="{00000000-0005-0000-0000-0000031D0000}"/>
    <cellStyle name="Normal 2 2 10 2 24 3 4" xfId="7474" xr:uid="{00000000-0005-0000-0000-0000041D0000}"/>
    <cellStyle name="Normal 2 2 10 2 24 3 5" xfId="7475" xr:uid="{00000000-0005-0000-0000-0000051D0000}"/>
    <cellStyle name="Normal 2 2 10 2 24 3 6" xfId="7476" xr:uid="{00000000-0005-0000-0000-0000061D0000}"/>
    <cellStyle name="Normal 2 2 10 2 24 3 7" xfId="7477" xr:uid="{00000000-0005-0000-0000-0000071D0000}"/>
    <cellStyle name="Normal 2 2 10 2 24 3 8" xfId="7478" xr:uid="{00000000-0005-0000-0000-0000081D0000}"/>
    <cellStyle name="Normal 2 2 10 2 24 3 9" xfId="7479" xr:uid="{00000000-0005-0000-0000-0000091D0000}"/>
    <cellStyle name="Normal 2 2 10 2 24 4" xfId="7480" xr:uid="{00000000-0005-0000-0000-00000A1D0000}"/>
    <cellStyle name="Normal 2 2 10 2 24 4 10" xfId="7481" xr:uid="{00000000-0005-0000-0000-00000B1D0000}"/>
    <cellStyle name="Normal 2 2 10 2 24 4 2" xfId="7482" xr:uid="{00000000-0005-0000-0000-00000C1D0000}"/>
    <cellStyle name="Normal 2 2 10 2 24 4 3" xfId="7483" xr:uid="{00000000-0005-0000-0000-00000D1D0000}"/>
    <cellStyle name="Normal 2 2 10 2 24 4 4" xfId="7484" xr:uid="{00000000-0005-0000-0000-00000E1D0000}"/>
    <cellStyle name="Normal 2 2 10 2 24 4 5" xfId="7485" xr:uid="{00000000-0005-0000-0000-00000F1D0000}"/>
    <cellStyle name="Normal 2 2 10 2 24 4 6" xfId="7486" xr:uid="{00000000-0005-0000-0000-0000101D0000}"/>
    <cellStyle name="Normal 2 2 10 2 24 4 7" xfId="7487" xr:uid="{00000000-0005-0000-0000-0000111D0000}"/>
    <cellStyle name="Normal 2 2 10 2 24 4 8" xfId="7488" xr:uid="{00000000-0005-0000-0000-0000121D0000}"/>
    <cellStyle name="Normal 2 2 10 2 24 4 9" xfId="7489" xr:uid="{00000000-0005-0000-0000-0000131D0000}"/>
    <cellStyle name="Normal 2 2 10 2 24 5" xfId="7490" xr:uid="{00000000-0005-0000-0000-0000141D0000}"/>
    <cellStyle name="Normal 2 2 10 2 24 5 10" xfId="7491" xr:uid="{00000000-0005-0000-0000-0000151D0000}"/>
    <cellStyle name="Normal 2 2 10 2 24 5 2" xfId="7492" xr:uid="{00000000-0005-0000-0000-0000161D0000}"/>
    <cellStyle name="Normal 2 2 10 2 24 5 3" xfId="7493" xr:uid="{00000000-0005-0000-0000-0000171D0000}"/>
    <cellStyle name="Normal 2 2 10 2 24 5 4" xfId="7494" xr:uid="{00000000-0005-0000-0000-0000181D0000}"/>
    <cellStyle name="Normal 2 2 10 2 24 5 5" xfId="7495" xr:uid="{00000000-0005-0000-0000-0000191D0000}"/>
    <cellStyle name="Normal 2 2 10 2 24 5 6" xfId="7496" xr:uid="{00000000-0005-0000-0000-00001A1D0000}"/>
    <cellStyle name="Normal 2 2 10 2 24 5 7" xfId="7497" xr:uid="{00000000-0005-0000-0000-00001B1D0000}"/>
    <cellStyle name="Normal 2 2 10 2 24 5 8" xfId="7498" xr:uid="{00000000-0005-0000-0000-00001C1D0000}"/>
    <cellStyle name="Normal 2 2 10 2 24 5 9" xfId="7499" xr:uid="{00000000-0005-0000-0000-00001D1D0000}"/>
    <cellStyle name="Normal 2 2 10 2 24 6" xfId="7500" xr:uid="{00000000-0005-0000-0000-00001E1D0000}"/>
    <cellStyle name="Normal 2 2 10 2 24 7" xfId="7501" xr:uid="{00000000-0005-0000-0000-00001F1D0000}"/>
    <cellStyle name="Normal 2 2 10 2 24 8" xfId="7502" xr:uid="{00000000-0005-0000-0000-0000201D0000}"/>
    <cellStyle name="Normal 2 2 10 2 24 9" xfId="7503" xr:uid="{00000000-0005-0000-0000-0000211D0000}"/>
    <cellStyle name="Normal 2 2 10 2 25" xfId="7504" xr:uid="{00000000-0005-0000-0000-0000221D0000}"/>
    <cellStyle name="Normal 2 2 10 2 25 10" xfId="7505" xr:uid="{00000000-0005-0000-0000-0000231D0000}"/>
    <cellStyle name="Normal 2 2 10 2 25 11" xfId="7506" xr:uid="{00000000-0005-0000-0000-0000241D0000}"/>
    <cellStyle name="Normal 2 2 10 2 25 12" xfId="7507" xr:uid="{00000000-0005-0000-0000-0000251D0000}"/>
    <cellStyle name="Normal 2 2 10 2 25 13" xfId="7508" xr:uid="{00000000-0005-0000-0000-0000261D0000}"/>
    <cellStyle name="Normal 2 2 10 2 25 14" xfId="7509" xr:uid="{00000000-0005-0000-0000-0000271D0000}"/>
    <cellStyle name="Normal 2 2 10 2 25 2" xfId="7510" xr:uid="{00000000-0005-0000-0000-0000281D0000}"/>
    <cellStyle name="Normal 2 2 10 2 25 2 10" xfId="7511" xr:uid="{00000000-0005-0000-0000-0000291D0000}"/>
    <cellStyle name="Normal 2 2 10 2 25 2 2" xfId="7512" xr:uid="{00000000-0005-0000-0000-00002A1D0000}"/>
    <cellStyle name="Normal 2 2 10 2 25 2 3" xfId="7513" xr:uid="{00000000-0005-0000-0000-00002B1D0000}"/>
    <cellStyle name="Normal 2 2 10 2 25 2 4" xfId="7514" xr:uid="{00000000-0005-0000-0000-00002C1D0000}"/>
    <cellStyle name="Normal 2 2 10 2 25 2 5" xfId="7515" xr:uid="{00000000-0005-0000-0000-00002D1D0000}"/>
    <cellStyle name="Normal 2 2 10 2 25 2 6" xfId="7516" xr:uid="{00000000-0005-0000-0000-00002E1D0000}"/>
    <cellStyle name="Normal 2 2 10 2 25 2 7" xfId="7517" xr:uid="{00000000-0005-0000-0000-00002F1D0000}"/>
    <cellStyle name="Normal 2 2 10 2 25 2 8" xfId="7518" xr:uid="{00000000-0005-0000-0000-0000301D0000}"/>
    <cellStyle name="Normal 2 2 10 2 25 2 9" xfId="7519" xr:uid="{00000000-0005-0000-0000-0000311D0000}"/>
    <cellStyle name="Normal 2 2 10 2 25 3" xfId="7520" xr:uid="{00000000-0005-0000-0000-0000321D0000}"/>
    <cellStyle name="Normal 2 2 10 2 25 3 10" xfId="7521" xr:uid="{00000000-0005-0000-0000-0000331D0000}"/>
    <cellStyle name="Normal 2 2 10 2 25 3 2" xfId="7522" xr:uid="{00000000-0005-0000-0000-0000341D0000}"/>
    <cellStyle name="Normal 2 2 10 2 25 3 3" xfId="7523" xr:uid="{00000000-0005-0000-0000-0000351D0000}"/>
    <cellStyle name="Normal 2 2 10 2 25 3 4" xfId="7524" xr:uid="{00000000-0005-0000-0000-0000361D0000}"/>
    <cellStyle name="Normal 2 2 10 2 25 3 5" xfId="7525" xr:uid="{00000000-0005-0000-0000-0000371D0000}"/>
    <cellStyle name="Normal 2 2 10 2 25 3 6" xfId="7526" xr:uid="{00000000-0005-0000-0000-0000381D0000}"/>
    <cellStyle name="Normal 2 2 10 2 25 3 7" xfId="7527" xr:uid="{00000000-0005-0000-0000-0000391D0000}"/>
    <cellStyle name="Normal 2 2 10 2 25 3 8" xfId="7528" xr:uid="{00000000-0005-0000-0000-00003A1D0000}"/>
    <cellStyle name="Normal 2 2 10 2 25 3 9" xfId="7529" xr:uid="{00000000-0005-0000-0000-00003B1D0000}"/>
    <cellStyle name="Normal 2 2 10 2 25 4" xfId="7530" xr:uid="{00000000-0005-0000-0000-00003C1D0000}"/>
    <cellStyle name="Normal 2 2 10 2 25 4 10" xfId="7531" xr:uid="{00000000-0005-0000-0000-00003D1D0000}"/>
    <cellStyle name="Normal 2 2 10 2 25 4 2" xfId="7532" xr:uid="{00000000-0005-0000-0000-00003E1D0000}"/>
    <cellStyle name="Normal 2 2 10 2 25 4 3" xfId="7533" xr:uid="{00000000-0005-0000-0000-00003F1D0000}"/>
    <cellStyle name="Normal 2 2 10 2 25 4 4" xfId="7534" xr:uid="{00000000-0005-0000-0000-0000401D0000}"/>
    <cellStyle name="Normal 2 2 10 2 25 4 5" xfId="7535" xr:uid="{00000000-0005-0000-0000-0000411D0000}"/>
    <cellStyle name="Normal 2 2 10 2 25 4 6" xfId="7536" xr:uid="{00000000-0005-0000-0000-0000421D0000}"/>
    <cellStyle name="Normal 2 2 10 2 25 4 7" xfId="7537" xr:uid="{00000000-0005-0000-0000-0000431D0000}"/>
    <cellStyle name="Normal 2 2 10 2 25 4 8" xfId="7538" xr:uid="{00000000-0005-0000-0000-0000441D0000}"/>
    <cellStyle name="Normal 2 2 10 2 25 4 9" xfId="7539" xr:uid="{00000000-0005-0000-0000-0000451D0000}"/>
    <cellStyle name="Normal 2 2 10 2 25 5" xfId="7540" xr:uid="{00000000-0005-0000-0000-0000461D0000}"/>
    <cellStyle name="Normal 2 2 10 2 25 5 10" xfId="7541" xr:uid="{00000000-0005-0000-0000-0000471D0000}"/>
    <cellStyle name="Normal 2 2 10 2 25 5 2" xfId="7542" xr:uid="{00000000-0005-0000-0000-0000481D0000}"/>
    <cellStyle name="Normal 2 2 10 2 25 5 3" xfId="7543" xr:uid="{00000000-0005-0000-0000-0000491D0000}"/>
    <cellStyle name="Normal 2 2 10 2 25 5 4" xfId="7544" xr:uid="{00000000-0005-0000-0000-00004A1D0000}"/>
    <cellStyle name="Normal 2 2 10 2 25 5 5" xfId="7545" xr:uid="{00000000-0005-0000-0000-00004B1D0000}"/>
    <cellStyle name="Normal 2 2 10 2 25 5 6" xfId="7546" xr:uid="{00000000-0005-0000-0000-00004C1D0000}"/>
    <cellStyle name="Normal 2 2 10 2 25 5 7" xfId="7547" xr:uid="{00000000-0005-0000-0000-00004D1D0000}"/>
    <cellStyle name="Normal 2 2 10 2 25 5 8" xfId="7548" xr:uid="{00000000-0005-0000-0000-00004E1D0000}"/>
    <cellStyle name="Normal 2 2 10 2 25 5 9" xfId="7549" xr:uid="{00000000-0005-0000-0000-00004F1D0000}"/>
    <cellStyle name="Normal 2 2 10 2 25 6" xfId="7550" xr:uid="{00000000-0005-0000-0000-0000501D0000}"/>
    <cellStyle name="Normal 2 2 10 2 25 7" xfId="7551" xr:uid="{00000000-0005-0000-0000-0000511D0000}"/>
    <cellStyle name="Normal 2 2 10 2 25 8" xfId="7552" xr:uid="{00000000-0005-0000-0000-0000521D0000}"/>
    <cellStyle name="Normal 2 2 10 2 25 9" xfId="7553" xr:uid="{00000000-0005-0000-0000-0000531D0000}"/>
    <cellStyle name="Normal 2 2 10 2 26" xfId="7554" xr:uid="{00000000-0005-0000-0000-0000541D0000}"/>
    <cellStyle name="Normal 2 2 10 2 26 10" xfId="7555" xr:uid="{00000000-0005-0000-0000-0000551D0000}"/>
    <cellStyle name="Normal 2 2 10 2 26 11" xfId="7556" xr:uid="{00000000-0005-0000-0000-0000561D0000}"/>
    <cellStyle name="Normal 2 2 10 2 26 12" xfId="7557" xr:uid="{00000000-0005-0000-0000-0000571D0000}"/>
    <cellStyle name="Normal 2 2 10 2 26 13" xfId="7558" xr:uid="{00000000-0005-0000-0000-0000581D0000}"/>
    <cellStyle name="Normal 2 2 10 2 26 14" xfId="7559" xr:uid="{00000000-0005-0000-0000-0000591D0000}"/>
    <cellStyle name="Normal 2 2 10 2 26 2" xfId="7560" xr:uid="{00000000-0005-0000-0000-00005A1D0000}"/>
    <cellStyle name="Normal 2 2 10 2 26 2 10" xfId="7561" xr:uid="{00000000-0005-0000-0000-00005B1D0000}"/>
    <cellStyle name="Normal 2 2 10 2 26 2 2" xfId="7562" xr:uid="{00000000-0005-0000-0000-00005C1D0000}"/>
    <cellStyle name="Normal 2 2 10 2 26 2 3" xfId="7563" xr:uid="{00000000-0005-0000-0000-00005D1D0000}"/>
    <cellStyle name="Normal 2 2 10 2 26 2 4" xfId="7564" xr:uid="{00000000-0005-0000-0000-00005E1D0000}"/>
    <cellStyle name="Normal 2 2 10 2 26 2 5" xfId="7565" xr:uid="{00000000-0005-0000-0000-00005F1D0000}"/>
    <cellStyle name="Normal 2 2 10 2 26 2 6" xfId="7566" xr:uid="{00000000-0005-0000-0000-0000601D0000}"/>
    <cellStyle name="Normal 2 2 10 2 26 2 7" xfId="7567" xr:uid="{00000000-0005-0000-0000-0000611D0000}"/>
    <cellStyle name="Normal 2 2 10 2 26 2 8" xfId="7568" xr:uid="{00000000-0005-0000-0000-0000621D0000}"/>
    <cellStyle name="Normal 2 2 10 2 26 2 9" xfId="7569" xr:uid="{00000000-0005-0000-0000-0000631D0000}"/>
    <cellStyle name="Normal 2 2 10 2 26 3" xfId="7570" xr:uid="{00000000-0005-0000-0000-0000641D0000}"/>
    <cellStyle name="Normal 2 2 10 2 26 3 10" xfId="7571" xr:uid="{00000000-0005-0000-0000-0000651D0000}"/>
    <cellStyle name="Normal 2 2 10 2 26 3 2" xfId="7572" xr:uid="{00000000-0005-0000-0000-0000661D0000}"/>
    <cellStyle name="Normal 2 2 10 2 26 3 3" xfId="7573" xr:uid="{00000000-0005-0000-0000-0000671D0000}"/>
    <cellStyle name="Normal 2 2 10 2 26 3 4" xfId="7574" xr:uid="{00000000-0005-0000-0000-0000681D0000}"/>
    <cellStyle name="Normal 2 2 10 2 26 3 5" xfId="7575" xr:uid="{00000000-0005-0000-0000-0000691D0000}"/>
    <cellStyle name="Normal 2 2 10 2 26 3 6" xfId="7576" xr:uid="{00000000-0005-0000-0000-00006A1D0000}"/>
    <cellStyle name="Normal 2 2 10 2 26 3 7" xfId="7577" xr:uid="{00000000-0005-0000-0000-00006B1D0000}"/>
    <cellStyle name="Normal 2 2 10 2 26 3 8" xfId="7578" xr:uid="{00000000-0005-0000-0000-00006C1D0000}"/>
    <cellStyle name="Normal 2 2 10 2 26 3 9" xfId="7579" xr:uid="{00000000-0005-0000-0000-00006D1D0000}"/>
    <cellStyle name="Normal 2 2 10 2 26 4" xfId="7580" xr:uid="{00000000-0005-0000-0000-00006E1D0000}"/>
    <cellStyle name="Normal 2 2 10 2 26 4 10" xfId="7581" xr:uid="{00000000-0005-0000-0000-00006F1D0000}"/>
    <cellStyle name="Normal 2 2 10 2 26 4 2" xfId="7582" xr:uid="{00000000-0005-0000-0000-0000701D0000}"/>
    <cellStyle name="Normal 2 2 10 2 26 4 3" xfId="7583" xr:uid="{00000000-0005-0000-0000-0000711D0000}"/>
    <cellStyle name="Normal 2 2 10 2 26 4 4" xfId="7584" xr:uid="{00000000-0005-0000-0000-0000721D0000}"/>
    <cellStyle name="Normal 2 2 10 2 26 4 5" xfId="7585" xr:uid="{00000000-0005-0000-0000-0000731D0000}"/>
    <cellStyle name="Normal 2 2 10 2 26 4 6" xfId="7586" xr:uid="{00000000-0005-0000-0000-0000741D0000}"/>
    <cellStyle name="Normal 2 2 10 2 26 4 7" xfId="7587" xr:uid="{00000000-0005-0000-0000-0000751D0000}"/>
    <cellStyle name="Normal 2 2 10 2 26 4 8" xfId="7588" xr:uid="{00000000-0005-0000-0000-0000761D0000}"/>
    <cellStyle name="Normal 2 2 10 2 26 4 9" xfId="7589" xr:uid="{00000000-0005-0000-0000-0000771D0000}"/>
    <cellStyle name="Normal 2 2 10 2 26 5" xfId="7590" xr:uid="{00000000-0005-0000-0000-0000781D0000}"/>
    <cellStyle name="Normal 2 2 10 2 26 5 10" xfId="7591" xr:uid="{00000000-0005-0000-0000-0000791D0000}"/>
    <cellStyle name="Normal 2 2 10 2 26 5 2" xfId="7592" xr:uid="{00000000-0005-0000-0000-00007A1D0000}"/>
    <cellStyle name="Normal 2 2 10 2 26 5 3" xfId="7593" xr:uid="{00000000-0005-0000-0000-00007B1D0000}"/>
    <cellStyle name="Normal 2 2 10 2 26 5 4" xfId="7594" xr:uid="{00000000-0005-0000-0000-00007C1D0000}"/>
    <cellStyle name="Normal 2 2 10 2 26 5 5" xfId="7595" xr:uid="{00000000-0005-0000-0000-00007D1D0000}"/>
    <cellStyle name="Normal 2 2 10 2 26 5 6" xfId="7596" xr:uid="{00000000-0005-0000-0000-00007E1D0000}"/>
    <cellStyle name="Normal 2 2 10 2 26 5 7" xfId="7597" xr:uid="{00000000-0005-0000-0000-00007F1D0000}"/>
    <cellStyle name="Normal 2 2 10 2 26 5 8" xfId="7598" xr:uid="{00000000-0005-0000-0000-0000801D0000}"/>
    <cellStyle name="Normal 2 2 10 2 26 5 9" xfId="7599" xr:uid="{00000000-0005-0000-0000-0000811D0000}"/>
    <cellStyle name="Normal 2 2 10 2 26 6" xfId="7600" xr:uid="{00000000-0005-0000-0000-0000821D0000}"/>
    <cellStyle name="Normal 2 2 10 2 26 7" xfId="7601" xr:uid="{00000000-0005-0000-0000-0000831D0000}"/>
    <cellStyle name="Normal 2 2 10 2 26 8" xfId="7602" xr:uid="{00000000-0005-0000-0000-0000841D0000}"/>
    <cellStyle name="Normal 2 2 10 2 26 9" xfId="7603" xr:uid="{00000000-0005-0000-0000-0000851D0000}"/>
    <cellStyle name="Normal 2 2 10 2 27" xfId="7604" xr:uid="{00000000-0005-0000-0000-0000861D0000}"/>
    <cellStyle name="Normal 2 2 10 2 27 10" xfId="7605" xr:uid="{00000000-0005-0000-0000-0000871D0000}"/>
    <cellStyle name="Normal 2 2 10 2 27 11" xfId="7606" xr:uid="{00000000-0005-0000-0000-0000881D0000}"/>
    <cellStyle name="Normal 2 2 10 2 27 12" xfId="7607" xr:uid="{00000000-0005-0000-0000-0000891D0000}"/>
    <cellStyle name="Normal 2 2 10 2 27 13" xfId="7608" xr:uid="{00000000-0005-0000-0000-00008A1D0000}"/>
    <cellStyle name="Normal 2 2 10 2 27 14" xfId="7609" xr:uid="{00000000-0005-0000-0000-00008B1D0000}"/>
    <cellStyle name="Normal 2 2 10 2 27 2" xfId="7610" xr:uid="{00000000-0005-0000-0000-00008C1D0000}"/>
    <cellStyle name="Normal 2 2 10 2 27 2 10" xfId="7611" xr:uid="{00000000-0005-0000-0000-00008D1D0000}"/>
    <cellStyle name="Normal 2 2 10 2 27 2 2" xfId="7612" xr:uid="{00000000-0005-0000-0000-00008E1D0000}"/>
    <cellStyle name="Normal 2 2 10 2 27 2 3" xfId="7613" xr:uid="{00000000-0005-0000-0000-00008F1D0000}"/>
    <cellStyle name="Normal 2 2 10 2 27 2 4" xfId="7614" xr:uid="{00000000-0005-0000-0000-0000901D0000}"/>
    <cellStyle name="Normal 2 2 10 2 27 2 5" xfId="7615" xr:uid="{00000000-0005-0000-0000-0000911D0000}"/>
    <cellStyle name="Normal 2 2 10 2 27 2 6" xfId="7616" xr:uid="{00000000-0005-0000-0000-0000921D0000}"/>
    <cellStyle name="Normal 2 2 10 2 27 2 7" xfId="7617" xr:uid="{00000000-0005-0000-0000-0000931D0000}"/>
    <cellStyle name="Normal 2 2 10 2 27 2 8" xfId="7618" xr:uid="{00000000-0005-0000-0000-0000941D0000}"/>
    <cellStyle name="Normal 2 2 10 2 27 2 9" xfId="7619" xr:uid="{00000000-0005-0000-0000-0000951D0000}"/>
    <cellStyle name="Normal 2 2 10 2 27 3" xfId="7620" xr:uid="{00000000-0005-0000-0000-0000961D0000}"/>
    <cellStyle name="Normal 2 2 10 2 27 3 10" xfId="7621" xr:uid="{00000000-0005-0000-0000-0000971D0000}"/>
    <cellStyle name="Normal 2 2 10 2 27 3 2" xfId="7622" xr:uid="{00000000-0005-0000-0000-0000981D0000}"/>
    <cellStyle name="Normal 2 2 10 2 27 3 3" xfId="7623" xr:uid="{00000000-0005-0000-0000-0000991D0000}"/>
    <cellStyle name="Normal 2 2 10 2 27 3 4" xfId="7624" xr:uid="{00000000-0005-0000-0000-00009A1D0000}"/>
    <cellStyle name="Normal 2 2 10 2 27 3 5" xfId="7625" xr:uid="{00000000-0005-0000-0000-00009B1D0000}"/>
    <cellStyle name="Normal 2 2 10 2 27 3 6" xfId="7626" xr:uid="{00000000-0005-0000-0000-00009C1D0000}"/>
    <cellStyle name="Normal 2 2 10 2 27 3 7" xfId="7627" xr:uid="{00000000-0005-0000-0000-00009D1D0000}"/>
    <cellStyle name="Normal 2 2 10 2 27 3 8" xfId="7628" xr:uid="{00000000-0005-0000-0000-00009E1D0000}"/>
    <cellStyle name="Normal 2 2 10 2 27 3 9" xfId="7629" xr:uid="{00000000-0005-0000-0000-00009F1D0000}"/>
    <cellStyle name="Normal 2 2 10 2 27 4" xfId="7630" xr:uid="{00000000-0005-0000-0000-0000A01D0000}"/>
    <cellStyle name="Normal 2 2 10 2 27 4 10" xfId="7631" xr:uid="{00000000-0005-0000-0000-0000A11D0000}"/>
    <cellStyle name="Normal 2 2 10 2 27 4 2" xfId="7632" xr:uid="{00000000-0005-0000-0000-0000A21D0000}"/>
    <cellStyle name="Normal 2 2 10 2 27 4 3" xfId="7633" xr:uid="{00000000-0005-0000-0000-0000A31D0000}"/>
    <cellStyle name="Normal 2 2 10 2 27 4 4" xfId="7634" xr:uid="{00000000-0005-0000-0000-0000A41D0000}"/>
    <cellStyle name="Normal 2 2 10 2 27 4 5" xfId="7635" xr:uid="{00000000-0005-0000-0000-0000A51D0000}"/>
    <cellStyle name="Normal 2 2 10 2 27 4 6" xfId="7636" xr:uid="{00000000-0005-0000-0000-0000A61D0000}"/>
    <cellStyle name="Normal 2 2 10 2 27 4 7" xfId="7637" xr:uid="{00000000-0005-0000-0000-0000A71D0000}"/>
    <cellStyle name="Normal 2 2 10 2 27 4 8" xfId="7638" xr:uid="{00000000-0005-0000-0000-0000A81D0000}"/>
    <cellStyle name="Normal 2 2 10 2 27 4 9" xfId="7639" xr:uid="{00000000-0005-0000-0000-0000A91D0000}"/>
    <cellStyle name="Normal 2 2 10 2 27 5" xfId="7640" xr:uid="{00000000-0005-0000-0000-0000AA1D0000}"/>
    <cellStyle name="Normal 2 2 10 2 27 5 10" xfId="7641" xr:uid="{00000000-0005-0000-0000-0000AB1D0000}"/>
    <cellStyle name="Normal 2 2 10 2 27 5 2" xfId="7642" xr:uid="{00000000-0005-0000-0000-0000AC1D0000}"/>
    <cellStyle name="Normal 2 2 10 2 27 5 3" xfId="7643" xr:uid="{00000000-0005-0000-0000-0000AD1D0000}"/>
    <cellStyle name="Normal 2 2 10 2 27 5 4" xfId="7644" xr:uid="{00000000-0005-0000-0000-0000AE1D0000}"/>
    <cellStyle name="Normal 2 2 10 2 27 5 5" xfId="7645" xr:uid="{00000000-0005-0000-0000-0000AF1D0000}"/>
    <cellStyle name="Normal 2 2 10 2 27 5 6" xfId="7646" xr:uid="{00000000-0005-0000-0000-0000B01D0000}"/>
    <cellStyle name="Normal 2 2 10 2 27 5 7" xfId="7647" xr:uid="{00000000-0005-0000-0000-0000B11D0000}"/>
    <cellStyle name="Normal 2 2 10 2 27 5 8" xfId="7648" xr:uid="{00000000-0005-0000-0000-0000B21D0000}"/>
    <cellStyle name="Normal 2 2 10 2 27 5 9" xfId="7649" xr:uid="{00000000-0005-0000-0000-0000B31D0000}"/>
    <cellStyle name="Normal 2 2 10 2 27 6" xfId="7650" xr:uid="{00000000-0005-0000-0000-0000B41D0000}"/>
    <cellStyle name="Normal 2 2 10 2 27 7" xfId="7651" xr:uid="{00000000-0005-0000-0000-0000B51D0000}"/>
    <cellStyle name="Normal 2 2 10 2 27 8" xfId="7652" xr:uid="{00000000-0005-0000-0000-0000B61D0000}"/>
    <cellStyle name="Normal 2 2 10 2 27 9" xfId="7653" xr:uid="{00000000-0005-0000-0000-0000B71D0000}"/>
    <cellStyle name="Normal 2 2 10 2 28" xfId="7654" xr:uid="{00000000-0005-0000-0000-0000B81D0000}"/>
    <cellStyle name="Normal 2 2 10 2 28 10" xfId="7655" xr:uid="{00000000-0005-0000-0000-0000B91D0000}"/>
    <cellStyle name="Normal 2 2 10 2 28 11" xfId="7656" xr:uid="{00000000-0005-0000-0000-0000BA1D0000}"/>
    <cellStyle name="Normal 2 2 10 2 28 12" xfId="7657" xr:uid="{00000000-0005-0000-0000-0000BB1D0000}"/>
    <cellStyle name="Normal 2 2 10 2 28 13" xfId="7658" xr:uid="{00000000-0005-0000-0000-0000BC1D0000}"/>
    <cellStyle name="Normal 2 2 10 2 28 14" xfId="7659" xr:uid="{00000000-0005-0000-0000-0000BD1D0000}"/>
    <cellStyle name="Normal 2 2 10 2 28 2" xfId="7660" xr:uid="{00000000-0005-0000-0000-0000BE1D0000}"/>
    <cellStyle name="Normal 2 2 10 2 28 2 10" xfId="7661" xr:uid="{00000000-0005-0000-0000-0000BF1D0000}"/>
    <cellStyle name="Normal 2 2 10 2 28 2 2" xfId="7662" xr:uid="{00000000-0005-0000-0000-0000C01D0000}"/>
    <cellStyle name="Normal 2 2 10 2 28 2 3" xfId="7663" xr:uid="{00000000-0005-0000-0000-0000C11D0000}"/>
    <cellStyle name="Normal 2 2 10 2 28 2 4" xfId="7664" xr:uid="{00000000-0005-0000-0000-0000C21D0000}"/>
    <cellStyle name="Normal 2 2 10 2 28 2 5" xfId="7665" xr:uid="{00000000-0005-0000-0000-0000C31D0000}"/>
    <cellStyle name="Normal 2 2 10 2 28 2 6" xfId="7666" xr:uid="{00000000-0005-0000-0000-0000C41D0000}"/>
    <cellStyle name="Normal 2 2 10 2 28 2 7" xfId="7667" xr:uid="{00000000-0005-0000-0000-0000C51D0000}"/>
    <cellStyle name="Normal 2 2 10 2 28 2 8" xfId="7668" xr:uid="{00000000-0005-0000-0000-0000C61D0000}"/>
    <cellStyle name="Normal 2 2 10 2 28 2 9" xfId="7669" xr:uid="{00000000-0005-0000-0000-0000C71D0000}"/>
    <cellStyle name="Normal 2 2 10 2 28 3" xfId="7670" xr:uid="{00000000-0005-0000-0000-0000C81D0000}"/>
    <cellStyle name="Normal 2 2 10 2 28 3 10" xfId="7671" xr:uid="{00000000-0005-0000-0000-0000C91D0000}"/>
    <cellStyle name="Normal 2 2 10 2 28 3 2" xfId="7672" xr:uid="{00000000-0005-0000-0000-0000CA1D0000}"/>
    <cellStyle name="Normal 2 2 10 2 28 3 3" xfId="7673" xr:uid="{00000000-0005-0000-0000-0000CB1D0000}"/>
    <cellStyle name="Normal 2 2 10 2 28 3 4" xfId="7674" xr:uid="{00000000-0005-0000-0000-0000CC1D0000}"/>
    <cellStyle name="Normal 2 2 10 2 28 3 5" xfId="7675" xr:uid="{00000000-0005-0000-0000-0000CD1D0000}"/>
    <cellStyle name="Normal 2 2 10 2 28 3 6" xfId="7676" xr:uid="{00000000-0005-0000-0000-0000CE1D0000}"/>
    <cellStyle name="Normal 2 2 10 2 28 3 7" xfId="7677" xr:uid="{00000000-0005-0000-0000-0000CF1D0000}"/>
    <cellStyle name="Normal 2 2 10 2 28 3 8" xfId="7678" xr:uid="{00000000-0005-0000-0000-0000D01D0000}"/>
    <cellStyle name="Normal 2 2 10 2 28 3 9" xfId="7679" xr:uid="{00000000-0005-0000-0000-0000D11D0000}"/>
    <cellStyle name="Normal 2 2 10 2 28 4" xfId="7680" xr:uid="{00000000-0005-0000-0000-0000D21D0000}"/>
    <cellStyle name="Normal 2 2 10 2 28 4 10" xfId="7681" xr:uid="{00000000-0005-0000-0000-0000D31D0000}"/>
    <cellStyle name="Normal 2 2 10 2 28 4 2" xfId="7682" xr:uid="{00000000-0005-0000-0000-0000D41D0000}"/>
    <cellStyle name="Normal 2 2 10 2 28 4 3" xfId="7683" xr:uid="{00000000-0005-0000-0000-0000D51D0000}"/>
    <cellStyle name="Normal 2 2 10 2 28 4 4" xfId="7684" xr:uid="{00000000-0005-0000-0000-0000D61D0000}"/>
    <cellStyle name="Normal 2 2 10 2 28 4 5" xfId="7685" xr:uid="{00000000-0005-0000-0000-0000D71D0000}"/>
    <cellStyle name="Normal 2 2 10 2 28 4 6" xfId="7686" xr:uid="{00000000-0005-0000-0000-0000D81D0000}"/>
    <cellStyle name="Normal 2 2 10 2 28 4 7" xfId="7687" xr:uid="{00000000-0005-0000-0000-0000D91D0000}"/>
    <cellStyle name="Normal 2 2 10 2 28 4 8" xfId="7688" xr:uid="{00000000-0005-0000-0000-0000DA1D0000}"/>
    <cellStyle name="Normal 2 2 10 2 28 4 9" xfId="7689" xr:uid="{00000000-0005-0000-0000-0000DB1D0000}"/>
    <cellStyle name="Normal 2 2 10 2 28 5" xfId="7690" xr:uid="{00000000-0005-0000-0000-0000DC1D0000}"/>
    <cellStyle name="Normal 2 2 10 2 28 5 10" xfId="7691" xr:uid="{00000000-0005-0000-0000-0000DD1D0000}"/>
    <cellStyle name="Normal 2 2 10 2 28 5 2" xfId="7692" xr:uid="{00000000-0005-0000-0000-0000DE1D0000}"/>
    <cellStyle name="Normal 2 2 10 2 28 5 3" xfId="7693" xr:uid="{00000000-0005-0000-0000-0000DF1D0000}"/>
    <cellStyle name="Normal 2 2 10 2 28 5 4" xfId="7694" xr:uid="{00000000-0005-0000-0000-0000E01D0000}"/>
    <cellStyle name="Normal 2 2 10 2 28 5 5" xfId="7695" xr:uid="{00000000-0005-0000-0000-0000E11D0000}"/>
    <cellStyle name="Normal 2 2 10 2 28 5 6" xfId="7696" xr:uid="{00000000-0005-0000-0000-0000E21D0000}"/>
    <cellStyle name="Normal 2 2 10 2 28 5 7" xfId="7697" xr:uid="{00000000-0005-0000-0000-0000E31D0000}"/>
    <cellStyle name="Normal 2 2 10 2 28 5 8" xfId="7698" xr:uid="{00000000-0005-0000-0000-0000E41D0000}"/>
    <cellStyle name="Normal 2 2 10 2 28 5 9" xfId="7699" xr:uid="{00000000-0005-0000-0000-0000E51D0000}"/>
    <cellStyle name="Normal 2 2 10 2 28 6" xfId="7700" xr:uid="{00000000-0005-0000-0000-0000E61D0000}"/>
    <cellStyle name="Normal 2 2 10 2 28 7" xfId="7701" xr:uid="{00000000-0005-0000-0000-0000E71D0000}"/>
    <cellStyle name="Normal 2 2 10 2 28 8" xfId="7702" xr:uid="{00000000-0005-0000-0000-0000E81D0000}"/>
    <cellStyle name="Normal 2 2 10 2 28 9" xfId="7703" xr:uid="{00000000-0005-0000-0000-0000E91D0000}"/>
    <cellStyle name="Normal 2 2 10 2 29" xfId="7704" xr:uid="{00000000-0005-0000-0000-0000EA1D0000}"/>
    <cellStyle name="Normal 2 2 10 2 29 10" xfId="7705" xr:uid="{00000000-0005-0000-0000-0000EB1D0000}"/>
    <cellStyle name="Normal 2 2 10 2 29 11" xfId="7706" xr:uid="{00000000-0005-0000-0000-0000EC1D0000}"/>
    <cellStyle name="Normal 2 2 10 2 29 12" xfId="7707" xr:uid="{00000000-0005-0000-0000-0000ED1D0000}"/>
    <cellStyle name="Normal 2 2 10 2 29 13" xfId="7708" xr:uid="{00000000-0005-0000-0000-0000EE1D0000}"/>
    <cellStyle name="Normal 2 2 10 2 29 14" xfId="7709" xr:uid="{00000000-0005-0000-0000-0000EF1D0000}"/>
    <cellStyle name="Normal 2 2 10 2 29 2" xfId="7710" xr:uid="{00000000-0005-0000-0000-0000F01D0000}"/>
    <cellStyle name="Normal 2 2 10 2 29 2 10" xfId="7711" xr:uid="{00000000-0005-0000-0000-0000F11D0000}"/>
    <cellStyle name="Normal 2 2 10 2 29 2 2" xfId="7712" xr:uid="{00000000-0005-0000-0000-0000F21D0000}"/>
    <cellStyle name="Normal 2 2 10 2 29 2 3" xfId="7713" xr:uid="{00000000-0005-0000-0000-0000F31D0000}"/>
    <cellStyle name="Normal 2 2 10 2 29 2 4" xfId="7714" xr:uid="{00000000-0005-0000-0000-0000F41D0000}"/>
    <cellStyle name="Normal 2 2 10 2 29 2 5" xfId="7715" xr:uid="{00000000-0005-0000-0000-0000F51D0000}"/>
    <cellStyle name="Normal 2 2 10 2 29 2 6" xfId="7716" xr:uid="{00000000-0005-0000-0000-0000F61D0000}"/>
    <cellStyle name="Normal 2 2 10 2 29 2 7" xfId="7717" xr:uid="{00000000-0005-0000-0000-0000F71D0000}"/>
    <cellStyle name="Normal 2 2 10 2 29 2 8" xfId="7718" xr:uid="{00000000-0005-0000-0000-0000F81D0000}"/>
    <cellStyle name="Normal 2 2 10 2 29 2 9" xfId="7719" xr:uid="{00000000-0005-0000-0000-0000F91D0000}"/>
    <cellStyle name="Normal 2 2 10 2 29 3" xfId="7720" xr:uid="{00000000-0005-0000-0000-0000FA1D0000}"/>
    <cellStyle name="Normal 2 2 10 2 29 3 10" xfId="7721" xr:uid="{00000000-0005-0000-0000-0000FB1D0000}"/>
    <cellStyle name="Normal 2 2 10 2 29 3 2" xfId="7722" xr:uid="{00000000-0005-0000-0000-0000FC1D0000}"/>
    <cellStyle name="Normal 2 2 10 2 29 3 3" xfId="7723" xr:uid="{00000000-0005-0000-0000-0000FD1D0000}"/>
    <cellStyle name="Normal 2 2 10 2 29 3 4" xfId="7724" xr:uid="{00000000-0005-0000-0000-0000FE1D0000}"/>
    <cellStyle name="Normal 2 2 10 2 29 3 5" xfId="7725" xr:uid="{00000000-0005-0000-0000-0000FF1D0000}"/>
    <cellStyle name="Normal 2 2 10 2 29 3 6" xfId="7726" xr:uid="{00000000-0005-0000-0000-0000001E0000}"/>
    <cellStyle name="Normal 2 2 10 2 29 3 7" xfId="7727" xr:uid="{00000000-0005-0000-0000-0000011E0000}"/>
    <cellStyle name="Normal 2 2 10 2 29 3 8" xfId="7728" xr:uid="{00000000-0005-0000-0000-0000021E0000}"/>
    <cellStyle name="Normal 2 2 10 2 29 3 9" xfId="7729" xr:uid="{00000000-0005-0000-0000-0000031E0000}"/>
    <cellStyle name="Normal 2 2 10 2 29 4" xfId="7730" xr:uid="{00000000-0005-0000-0000-0000041E0000}"/>
    <cellStyle name="Normal 2 2 10 2 29 4 10" xfId="7731" xr:uid="{00000000-0005-0000-0000-0000051E0000}"/>
    <cellStyle name="Normal 2 2 10 2 29 4 2" xfId="7732" xr:uid="{00000000-0005-0000-0000-0000061E0000}"/>
    <cellStyle name="Normal 2 2 10 2 29 4 3" xfId="7733" xr:uid="{00000000-0005-0000-0000-0000071E0000}"/>
    <cellStyle name="Normal 2 2 10 2 29 4 4" xfId="7734" xr:uid="{00000000-0005-0000-0000-0000081E0000}"/>
    <cellStyle name="Normal 2 2 10 2 29 4 5" xfId="7735" xr:uid="{00000000-0005-0000-0000-0000091E0000}"/>
    <cellStyle name="Normal 2 2 10 2 29 4 6" xfId="7736" xr:uid="{00000000-0005-0000-0000-00000A1E0000}"/>
    <cellStyle name="Normal 2 2 10 2 29 4 7" xfId="7737" xr:uid="{00000000-0005-0000-0000-00000B1E0000}"/>
    <cellStyle name="Normal 2 2 10 2 29 4 8" xfId="7738" xr:uid="{00000000-0005-0000-0000-00000C1E0000}"/>
    <cellStyle name="Normal 2 2 10 2 29 4 9" xfId="7739" xr:uid="{00000000-0005-0000-0000-00000D1E0000}"/>
    <cellStyle name="Normal 2 2 10 2 29 5" xfId="7740" xr:uid="{00000000-0005-0000-0000-00000E1E0000}"/>
    <cellStyle name="Normal 2 2 10 2 29 5 10" xfId="7741" xr:uid="{00000000-0005-0000-0000-00000F1E0000}"/>
    <cellStyle name="Normal 2 2 10 2 29 5 2" xfId="7742" xr:uid="{00000000-0005-0000-0000-0000101E0000}"/>
    <cellStyle name="Normal 2 2 10 2 29 5 3" xfId="7743" xr:uid="{00000000-0005-0000-0000-0000111E0000}"/>
    <cellStyle name="Normal 2 2 10 2 29 5 4" xfId="7744" xr:uid="{00000000-0005-0000-0000-0000121E0000}"/>
    <cellStyle name="Normal 2 2 10 2 29 5 5" xfId="7745" xr:uid="{00000000-0005-0000-0000-0000131E0000}"/>
    <cellStyle name="Normal 2 2 10 2 29 5 6" xfId="7746" xr:uid="{00000000-0005-0000-0000-0000141E0000}"/>
    <cellStyle name="Normal 2 2 10 2 29 5 7" xfId="7747" xr:uid="{00000000-0005-0000-0000-0000151E0000}"/>
    <cellStyle name="Normal 2 2 10 2 29 5 8" xfId="7748" xr:uid="{00000000-0005-0000-0000-0000161E0000}"/>
    <cellStyle name="Normal 2 2 10 2 29 5 9" xfId="7749" xr:uid="{00000000-0005-0000-0000-0000171E0000}"/>
    <cellStyle name="Normal 2 2 10 2 29 6" xfId="7750" xr:uid="{00000000-0005-0000-0000-0000181E0000}"/>
    <cellStyle name="Normal 2 2 10 2 29 7" xfId="7751" xr:uid="{00000000-0005-0000-0000-0000191E0000}"/>
    <cellStyle name="Normal 2 2 10 2 29 8" xfId="7752" xr:uid="{00000000-0005-0000-0000-00001A1E0000}"/>
    <cellStyle name="Normal 2 2 10 2 29 9" xfId="7753" xr:uid="{00000000-0005-0000-0000-00001B1E0000}"/>
    <cellStyle name="Normal 2 2 10 2 3" xfId="7754" xr:uid="{00000000-0005-0000-0000-00001C1E0000}"/>
    <cellStyle name="Normal 2 2 10 2 3 10" xfId="7755" xr:uid="{00000000-0005-0000-0000-00001D1E0000}"/>
    <cellStyle name="Normal 2 2 10 2 3 11" xfId="7756" xr:uid="{00000000-0005-0000-0000-00001E1E0000}"/>
    <cellStyle name="Normal 2 2 10 2 3 12" xfId="7757" xr:uid="{00000000-0005-0000-0000-00001F1E0000}"/>
    <cellStyle name="Normal 2 2 10 2 3 13" xfId="7758" xr:uid="{00000000-0005-0000-0000-0000201E0000}"/>
    <cellStyle name="Normal 2 2 10 2 3 14" xfId="7759" xr:uid="{00000000-0005-0000-0000-0000211E0000}"/>
    <cellStyle name="Normal 2 2 10 2 3 2" xfId="7760" xr:uid="{00000000-0005-0000-0000-0000221E0000}"/>
    <cellStyle name="Normal 2 2 10 2 3 2 10" xfId="7761" xr:uid="{00000000-0005-0000-0000-0000231E0000}"/>
    <cellStyle name="Normal 2 2 10 2 3 2 2" xfId="7762" xr:uid="{00000000-0005-0000-0000-0000241E0000}"/>
    <cellStyle name="Normal 2 2 10 2 3 2 3" xfId="7763" xr:uid="{00000000-0005-0000-0000-0000251E0000}"/>
    <cellStyle name="Normal 2 2 10 2 3 2 4" xfId="7764" xr:uid="{00000000-0005-0000-0000-0000261E0000}"/>
    <cellStyle name="Normal 2 2 10 2 3 2 5" xfId="7765" xr:uid="{00000000-0005-0000-0000-0000271E0000}"/>
    <cellStyle name="Normal 2 2 10 2 3 2 6" xfId="7766" xr:uid="{00000000-0005-0000-0000-0000281E0000}"/>
    <cellStyle name="Normal 2 2 10 2 3 2 7" xfId="7767" xr:uid="{00000000-0005-0000-0000-0000291E0000}"/>
    <cellStyle name="Normal 2 2 10 2 3 2 8" xfId="7768" xr:uid="{00000000-0005-0000-0000-00002A1E0000}"/>
    <cellStyle name="Normal 2 2 10 2 3 2 9" xfId="7769" xr:uid="{00000000-0005-0000-0000-00002B1E0000}"/>
    <cellStyle name="Normal 2 2 10 2 3 3" xfId="7770" xr:uid="{00000000-0005-0000-0000-00002C1E0000}"/>
    <cellStyle name="Normal 2 2 10 2 3 3 10" xfId="7771" xr:uid="{00000000-0005-0000-0000-00002D1E0000}"/>
    <cellStyle name="Normal 2 2 10 2 3 3 2" xfId="7772" xr:uid="{00000000-0005-0000-0000-00002E1E0000}"/>
    <cellStyle name="Normal 2 2 10 2 3 3 3" xfId="7773" xr:uid="{00000000-0005-0000-0000-00002F1E0000}"/>
    <cellStyle name="Normal 2 2 10 2 3 3 4" xfId="7774" xr:uid="{00000000-0005-0000-0000-0000301E0000}"/>
    <cellStyle name="Normal 2 2 10 2 3 3 5" xfId="7775" xr:uid="{00000000-0005-0000-0000-0000311E0000}"/>
    <cellStyle name="Normal 2 2 10 2 3 3 6" xfId="7776" xr:uid="{00000000-0005-0000-0000-0000321E0000}"/>
    <cellStyle name="Normal 2 2 10 2 3 3 7" xfId="7777" xr:uid="{00000000-0005-0000-0000-0000331E0000}"/>
    <cellStyle name="Normal 2 2 10 2 3 3 8" xfId="7778" xr:uid="{00000000-0005-0000-0000-0000341E0000}"/>
    <cellStyle name="Normal 2 2 10 2 3 3 9" xfId="7779" xr:uid="{00000000-0005-0000-0000-0000351E0000}"/>
    <cellStyle name="Normal 2 2 10 2 3 4" xfId="7780" xr:uid="{00000000-0005-0000-0000-0000361E0000}"/>
    <cellStyle name="Normal 2 2 10 2 3 4 10" xfId="7781" xr:uid="{00000000-0005-0000-0000-0000371E0000}"/>
    <cellStyle name="Normal 2 2 10 2 3 4 2" xfId="7782" xr:uid="{00000000-0005-0000-0000-0000381E0000}"/>
    <cellStyle name="Normal 2 2 10 2 3 4 3" xfId="7783" xr:uid="{00000000-0005-0000-0000-0000391E0000}"/>
    <cellStyle name="Normal 2 2 10 2 3 4 4" xfId="7784" xr:uid="{00000000-0005-0000-0000-00003A1E0000}"/>
    <cellStyle name="Normal 2 2 10 2 3 4 5" xfId="7785" xr:uid="{00000000-0005-0000-0000-00003B1E0000}"/>
    <cellStyle name="Normal 2 2 10 2 3 4 6" xfId="7786" xr:uid="{00000000-0005-0000-0000-00003C1E0000}"/>
    <cellStyle name="Normal 2 2 10 2 3 4 7" xfId="7787" xr:uid="{00000000-0005-0000-0000-00003D1E0000}"/>
    <cellStyle name="Normal 2 2 10 2 3 4 8" xfId="7788" xr:uid="{00000000-0005-0000-0000-00003E1E0000}"/>
    <cellStyle name="Normal 2 2 10 2 3 4 9" xfId="7789" xr:uid="{00000000-0005-0000-0000-00003F1E0000}"/>
    <cellStyle name="Normal 2 2 10 2 3 5" xfId="7790" xr:uid="{00000000-0005-0000-0000-0000401E0000}"/>
    <cellStyle name="Normal 2 2 10 2 3 5 10" xfId="7791" xr:uid="{00000000-0005-0000-0000-0000411E0000}"/>
    <cellStyle name="Normal 2 2 10 2 3 5 2" xfId="7792" xr:uid="{00000000-0005-0000-0000-0000421E0000}"/>
    <cellStyle name="Normal 2 2 10 2 3 5 3" xfId="7793" xr:uid="{00000000-0005-0000-0000-0000431E0000}"/>
    <cellStyle name="Normal 2 2 10 2 3 5 4" xfId="7794" xr:uid="{00000000-0005-0000-0000-0000441E0000}"/>
    <cellStyle name="Normal 2 2 10 2 3 5 5" xfId="7795" xr:uid="{00000000-0005-0000-0000-0000451E0000}"/>
    <cellStyle name="Normal 2 2 10 2 3 5 6" xfId="7796" xr:uid="{00000000-0005-0000-0000-0000461E0000}"/>
    <cellStyle name="Normal 2 2 10 2 3 5 7" xfId="7797" xr:uid="{00000000-0005-0000-0000-0000471E0000}"/>
    <cellStyle name="Normal 2 2 10 2 3 5 8" xfId="7798" xr:uid="{00000000-0005-0000-0000-0000481E0000}"/>
    <cellStyle name="Normal 2 2 10 2 3 5 9" xfId="7799" xr:uid="{00000000-0005-0000-0000-0000491E0000}"/>
    <cellStyle name="Normal 2 2 10 2 3 6" xfId="7800" xr:uid="{00000000-0005-0000-0000-00004A1E0000}"/>
    <cellStyle name="Normal 2 2 10 2 3 7" xfId="7801" xr:uid="{00000000-0005-0000-0000-00004B1E0000}"/>
    <cellStyle name="Normal 2 2 10 2 3 8" xfId="7802" xr:uid="{00000000-0005-0000-0000-00004C1E0000}"/>
    <cellStyle name="Normal 2 2 10 2 3 9" xfId="7803" xr:uid="{00000000-0005-0000-0000-00004D1E0000}"/>
    <cellStyle name="Normal 2 2 10 2 30" xfId="7804" xr:uid="{00000000-0005-0000-0000-00004E1E0000}"/>
    <cellStyle name="Normal 2 2 10 2 30 10" xfId="7805" xr:uid="{00000000-0005-0000-0000-00004F1E0000}"/>
    <cellStyle name="Normal 2 2 10 2 30 11" xfId="7806" xr:uid="{00000000-0005-0000-0000-0000501E0000}"/>
    <cellStyle name="Normal 2 2 10 2 30 12" xfId="7807" xr:uid="{00000000-0005-0000-0000-0000511E0000}"/>
    <cellStyle name="Normal 2 2 10 2 30 13" xfId="7808" xr:uid="{00000000-0005-0000-0000-0000521E0000}"/>
    <cellStyle name="Normal 2 2 10 2 30 14" xfId="7809" xr:uid="{00000000-0005-0000-0000-0000531E0000}"/>
    <cellStyle name="Normal 2 2 10 2 30 2" xfId="7810" xr:uid="{00000000-0005-0000-0000-0000541E0000}"/>
    <cellStyle name="Normal 2 2 10 2 30 2 10" xfId="7811" xr:uid="{00000000-0005-0000-0000-0000551E0000}"/>
    <cellStyle name="Normal 2 2 10 2 30 2 2" xfId="7812" xr:uid="{00000000-0005-0000-0000-0000561E0000}"/>
    <cellStyle name="Normal 2 2 10 2 30 2 3" xfId="7813" xr:uid="{00000000-0005-0000-0000-0000571E0000}"/>
    <cellStyle name="Normal 2 2 10 2 30 2 4" xfId="7814" xr:uid="{00000000-0005-0000-0000-0000581E0000}"/>
    <cellStyle name="Normal 2 2 10 2 30 2 5" xfId="7815" xr:uid="{00000000-0005-0000-0000-0000591E0000}"/>
    <cellStyle name="Normal 2 2 10 2 30 2 6" xfId="7816" xr:uid="{00000000-0005-0000-0000-00005A1E0000}"/>
    <cellStyle name="Normal 2 2 10 2 30 2 7" xfId="7817" xr:uid="{00000000-0005-0000-0000-00005B1E0000}"/>
    <cellStyle name="Normal 2 2 10 2 30 2 8" xfId="7818" xr:uid="{00000000-0005-0000-0000-00005C1E0000}"/>
    <cellStyle name="Normal 2 2 10 2 30 2 9" xfId="7819" xr:uid="{00000000-0005-0000-0000-00005D1E0000}"/>
    <cellStyle name="Normal 2 2 10 2 30 3" xfId="7820" xr:uid="{00000000-0005-0000-0000-00005E1E0000}"/>
    <cellStyle name="Normal 2 2 10 2 30 3 10" xfId="7821" xr:uid="{00000000-0005-0000-0000-00005F1E0000}"/>
    <cellStyle name="Normal 2 2 10 2 30 3 2" xfId="7822" xr:uid="{00000000-0005-0000-0000-0000601E0000}"/>
    <cellStyle name="Normal 2 2 10 2 30 3 3" xfId="7823" xr:uid="{00000000-0005-0000-0000-0000611E0000}"/>
    <cellStyle name="Normal 2 2 10 2 30 3 4" xfId="7824" xr:uid="{00000000-0005-0000-0000-0000621E0000}"/>
    <cellStyle name="Normal 2 2 10 2 30 3 5" xfId="7825" xr:uid="{00000000-0005-0000-0000-0000631E0000}"/>
    <cellStyle name="Normal 2 2 10 2 30 3 6" xfId="7826" xr:uid="{00000000-0005-0000-0000-0000641E0000}"/>
    <cellStyle name="Normal 2 2 10 2 30 3 7" xfId="7827" xr:uid="{00000000-0005-0000-0000-0000651E0000}"/>
    <cellStyle name="Normal 2 2 10 2 30 3 8" xfId="7828" xr:uid="{00000000-0005-0000-0000-0000661E0000}"/>
    <cellStyle name="Normal 2 2 10 2 30 3 9" xfId="7829" xr:uid="{00000000-0005-0000-0000-0000671E0000}"/>
    <cellStyle name="Normal 2 2 10 2 30 4" xfId="7830" xr:uid="{00000000-0005-0000-0000-0000681E0000}"/>
    <cellStyle name="Normal 2 2 10 2 30 4 10" xfId="7831" xr:uid="{00000000-0005-0000-0000-0000691E0000}"/>
    <cellStyle name="Normal 2 2 10 2 30 4 2" xfId="7832" xr:uid="{00000000-0005-0000-0000-00006A1E0000}"/>
    <cellStyle name="Normal 2 2 10 2 30 4 3" xfId="7833" xr:uid="{00000000-0005-0000-0000-00006B1E0000}"/>
    <cellStyle name="Normal 2 2 10 2 30 4 4" xfId="7834" xr:uid="{00000000-0005-0000-0000-00006C1E0000}"/>
    <cellStyle name="Normal 2 2 10 2 30 4 5" xfId="7835" xr:uid="{00000000-0005-0000-0000-00006D1E0000}"/>
    <cellStyle name="Normal 2 2 10 2 30 4 6" xfId="7836" xr:uid="{00000000-0005-0000-0000-00006E1E0000}"/>
    <cellStyle name="Normal 2 2 10 2 30 4 7" xfId="7837" xr:uid="{00000000-0005-0000-0000-00006F1E0000}"/>
    <cellStyle name="Normal 2 2 10 2 30 4 8" xfId="7838" xr:uid="{00000000-0005-0000-0000-0000701E0000}"/>
    <cellStyle name="Normal 2 2 10 2 30 4 9" xfId="7839" xr:uid="{00000000-0005-0000-0000-0000711E0000}"/>
    <cellStyle name="Normal 2 2 10 2 30 5" xfId="7840" xr:uid="{00000000-0005-0000-0000-0000721E0000}"/>
    <cellStyle name="Normal 2 2 10 2 30 5 10" xfId="7841" xr:uid="{00000000-0005-0000-0000-0000731E0000}"/>
    <cellStyle name="Normal 2 2 10 2 30 5 2" xfId="7842" xr:uid="{00000000-0005-0000-0000-0000741E0000}"/>
    <cellStyle name="Normal 2 2 10 2 30 5 3" xfId="7843" xr:uid="{00000000-0005-0000-0000-0000751E0000}"/>
    <cellStyle name="Normal 2 2 10 2 30 5 4" xfId="7844" xr:uid="{00000000-0005-0000-0000-0000761E0000}"/>
    <cellStyle name="Normal 2 2 10 2 30 5 5" xfId="7845" xr:uid="{00000000-0005-0000-0000-0000771E0000}"/>
    <cellStyle name="Normal 2 2 10 2 30 5 6" xfId="7846" xr:uid="{00000000-0005-0000-0000-0000781E0000}"/>
    <cellStyle name="Normal 2 2 10 2 30 5 7" xfId="7847" xr:uid="{00000000-0005-0000-0000-0000791E0000}"/>
    <cellStyle name="Normal 2 2 10 2 30 5 8" xfId="7848" xr:uid="{00000000-0005-0000-0000-00007A1E0000}"/>
    <cellStyle name="Normal 2 2 10 2 30 5 9" xfId="7849" xr:uid="{00000000-0005-0000-0000-00007B1E0000}"/>
    <cellStyle name="Normal 2 2 10 2 30 6" xfId="7850" xr:uid="{00000000-0005-0000-0000-00007C1E0000}"/>
    <cellStyle name="Normal 2 2 10 2 30 7" xfId="7851" xr:uid="{00000000-0005-0000-0000-00007D1E0000}"/>
    <cellStyle name="Normal 2 2 10 2 30 8" xfId="7852" xr:uid="{00000000-0005-0000-0000-00007E1E0000}"/>
    <cellStyle name="Normal 2 2 10 2 30 9" xfId="7853" xr:uid="{00000000-0005-0000-0000-00007F1E0000}"/>
    <cellStyle name="Normal 2 2 10 2 31" xfId="7854" xr:uid="{00000000-0005-0000-0000-0000801E0000}"/>
    <cellStyle name="Normal 2 2 10 2 31 10" xfId="7855" xr:uid="{00000000-0005-0000-0000-0000811E0000}"/>
    <cellStyle name="Normal 2 2 10 2 31 11" xfId="7856" xr:uid="{00000000-0005-0000-0000-0000821E0000}"/>
    <cellStyle name="Normal 2 2 10 2 31 12" xfId="7857" xr:uid="{00000000-0005-0000-0000-0000831E0000}"/>
    <cellStyle name="Normal 2 2 10 2 31 13" xfId="7858" xr:uid="{00000000-0005-0000-0000-0000841E0000}"/>
    <cellStyle name="Normal 2 2 10 2 31 14" xfId="7859" xr:uid="{00000000-0005-0000-0000-0000851E0000}"/>
    <cellStyle name="Normal 2 2 10 2 31 2" xfId="7860" xr:uid="{00000000-0005-0000-0000-0000861E0000}"/>
    <cellStyle name="Normal 2 2 10 2 31 2 10" xfId="7861" xr:uid="{00000000-0005-0000-0000-0000871E0000}"/>
    <cellStyle name="Normal 2 2 10 2 31 2 2" xfId="7862" xr:uid="{00000000-0005-0000-0000-0000881E0000}"/>
    <cellStyle name="Normal 2 2 10 2 31 2 3" xfId="7863" xr:uid="{00000000-0005-0000-0000-0000891E0000}"/>
    <cellStyle name="Normal 2 2 10 2 31 2 4" xfId="7864" xr:uid="{00000000-0005-0000-0000-00008A1E0000}"/>
    <cellStyle name="Normal 2 2 10 2 31 2 5" xfId="7865" xr:uid="{00000000-0005-0000-0000-00008B1E0000}"/>
    <cellStyle name="Normal 2 2 10 2 31 2 6" xfId="7866" xr:uid="{00000000-0005-0000-0000-00008C1E0000}"/>
    <cellStyle name="Normal 2 2 10 2 31 2 7" xfId="7867" xr:uid="{00000000-0005-0000-0000-00008D1E0000}"/>
    <cellStyle name="Normal 2 2 10 2 31 2 8" xfId="7868" xr:uid="{00000000-0005-0000-0000-00008E1E0000}"/>
    <cellStyle name="Normal 2 2 10 2 31 2 9" xfId="7869" xr:uid="{00000000-0005-0000-0000-00008F1E0000}"/>
    <cellStyle name="Normal 2 2 10 2 31 3" xfId="7870" xr:uid="{00000000-0005-0000-0000-0000901E0000}"/>
    <cellStyle name="Normal 2 2 10 2 31 3 10" xfId="7871" xr:uid="{00000000-0005-0000-0000-0000911E0000}"/>
    <cellStyle name="Normal 2 2 10 2 31 3 2" xfId="7872" xr:uid="{00000000-0005-0000-0000-0000921E0000}"/>
    <cellStyle name="Normal 2 2 10 2 31 3 3" xfId="7873" xr:uid="{00000000-0005-0000-0000-0000931E0000}"/>
    <cellStyle name="Normal 2 2 10 2 31 3 4" xfId="7874" xr:uid="{00000000-0005-0000-0000-0000941E0000}"/>
    <cellStyle name="Normal 2 2 10 2 31 3 5" xfId="7875" xr:uid="{00000000-0005-0000-0000-0000951E0000}"/>
    <cellStyle name="Normal 2 2 10 2 31 3 6" xfId="7876" xr:uid="{00000000-0005-0000-0000-0000961E0000}"/>
    <cellStyle name="Normal 2 2 10 2 31 3 7" xfId="7877" xr:uid="{00000000-0005-0000-0000-0000971E0000}"/>
    <cellStyle name="Normal 2 2 10 2 31 3 8" xfId="7878" xr:uid="{00000000-0005-0000-0000-0000981E0000}"/>
    <cellStyle name="Normal 2 2 10 2 31 3 9" xfId="7879" xr:uid="{00000000-0005-0000-0000-0000991E0000}"/>
    <cellStyle name="Normal 2 2 10 2 31 4" xfId="7880" xr:uid="{00000000-0005-0000-0000-00009A1E0000}"/>
    <cellStyle name="Normal 2 2 10 2 31 4 10" xfId="7881" xr:uid="{00000000-0005-0000-0000-00009B1E0000}"/>
    <cellStyle name="Normal 2 2 10 2 31 4 2" xfId="7882" xr:uid="{00000000-0005-0000-0000-00009C1E0000}"/>
    <cellStyle name="Normal 2 2 10 2 31 4 3" xfId="7883" xr:uid="{00000000-0005-0000-0000-00009D1E0000}"/>
    <cellStyle name="Normal 2 2 10 2 31 4 4" xfId="7884" xr:uid="{00000000-0005-0000-0000-00009E1E0000}"/>
    <cellStyle name="Normal 2 2 10 2 31 4 5" xfId="7885" xr:uid="{00000000-0005-0000-0000-00009F1E0000}"/>
    <cellStyle name="Normal 2 2 10 2 31 4 6" xfId="7886" xr:uid="{00000000-0005-0000-0000-0000A01E0000}"/>
    <cellStyle name="Normal 2 2 10 2 31 4 7" xfId="7887" xr:uid="{00000000-0005-0000-0000-0000A11E0000}"/>
    <cellStyle name="Normal 2 2 10 2 31 4 8" xfId="7888" xr:uid="{00000000-0005-0000-0000-0000A21E0000}"/>
    <cellStyle name="Normal 2 2 10 2 31 4 9" xfId="7889" xr:uid="{00000000-0005-0000-0000-0000A31E0000}"/>
    <cellStyle name="Normal 2 2 10 2 31 5" xfId="7890" xr:uid="{00000000-0005-0000-0000-0000A41E0000}"/>
    <cellStyle name="Normal 2 2 10 2 31 5 10" xfId="7891" xr:uid="{00000000-0005-0000-0000-0000A51E0000}"/>
    <cellStyle name="Normal 2 2 10 2 31 5 2" xfId="7892" xr:uid="{00000000-0005-0000-0000-0000A61E0000}"/>
    <cellStyle name="Normal 2 2 10 2 31 5 3" xfId="7893" xr:uid="{00000000-0005-0000-0000-0000A71E0000}"/>
    <cellStyle name="Normal 2 2 10 2 31 5 4" xfId="7894" xr:uid="{00000000-0005-0000-0000-0000A81E0000}"/>
    <cellStyle name="Normal 2 2 10 2 31 5 5" xfId="7895" xr:uid="{00000000-0005-0000-0000-0000A91E0000}"/>
    <cellStyle name="Normal 2 2 10 2 31 5 6" xfId="7896" xr:uid="{00000000-0005-0000-0000-0000AA1E0000}"/>
    <cellStyle name="Normal 2 2 10 2 31 5 7" xfId="7897" xr:uid="{00000000-0005-0000-0000-0000AB1E0000}"/>
    <cellStyle name="Normal 2 2 10 2 31 5 8" xfId="7898" xr:uid="{00000000-0005-0000-0000-0000AC1E0000}"/>
    <cellStyle name="Normal 2 2 10 2 31 5 9" xfId="7899" xr:uid="{00000000-0005-0000-0000-0000AD1E0000}"/>
    <cellStyle name="Normal 2 2 10 2 31 6" xfId="7900" xr:uid="{00000000-0005-0000-0000-0000AE1E0000}"/>
    <cellStyle name="Normal 2 2 10 2 31 7" xfId="7901" xr:uid="{00000000-0005-0000-0000-0000AF1E0000}"/>
    <cellStyle name="Normal 2 2 10 2 31 8" xfId="7902" xr:uid="{00000000-0005-0000-0000-0000B01E0000}"/>
    <cellStyle name="Normal 2 2 10 2 31 9" xfId="7903" xr:uid="{00000000-0005-0000-0000-0000B11E0000}"/>
    <cellStyle name="Normal 2 2 10 2 32" xfId="7904" xr:uid="{00000000-0005-0000-0000-0000B21E0000}"/>
    <cellStyle name="Normal 2 2 10 2 32 10" xfId="7905" xr:uid="{00000000-0005-0000-0000-0000B31E0000}"/>
    <cellStyle name="Normal 2 2 10 2 32 11" xfId="7906" xr:uid="{00000000-0005-0000-0000-0000B41E0000}"/>
    <cellStyle name="Normal 2 2 10 2 32 12" xfId="7907" xr:uid="{00000000-0005-0000-0000-0000B51E0000}"/>
    <cellStyle name="Normal 2 2 10 2 32 13" xfId="7908" xr:uid="{00000000-0005-0000-0000-0000B61E0000}"/>
    <cellStyle name="Normal 2 2 10 2 32 14" xfId="7909" xr:uid="{00000000-0005-0000-0000-0000B71E0000}"/>
    <cellStyle name="Normal 2 2 10 2 32 2" xfId="7910" xr:uid="{00000000-0005-0000-0000-0000B81E0000}"/>
    <cellStyle name="Normal 2 2 10 2 32 2 10" xfId="7911" xr:uid="{00000000-0005-0000-0000-0000B91E0000}"/>
    <cellStyle name="Normal 2 2 10 2 32 2 2" xfId="7912" xr:uid="{00000000-0005-0000-0000-0000BA1E0000}"/>
    <cellStyle name="Normal 2 2 10 2 32 2 3" xfId="7913" xr:uid="{00000000-0005-0000-0000-0000BB1E0000}"/>
    <cellStyle name="Normal 2 2 10 2 32 2 4" xfId="7914" xr:uid="{00000000-0005-0000-0000-0000BC1E0000}"/>
    <cellStyle name="Normal 2 2 10 2 32 2 5" xfId="7915" xr:uid="{00000000-0005-0000-0000-0000BD1E0000}"/>
    <cellStyle name="Normal 2 2 10 2 32 2 6" xfId="7916" xr:uid="{00000000-0005-0000-0000-0000BE1E0000}"/>
    <cellStyle name="Normal 2 2 10 2 32 2 7" xfId="7917" xr:uid="{00000000-0005-0000-0000-0000BF1E0000}"/>
    <cellStyle name="Normal 2 2 10 2 32 2 8" xfId="7918" xr:uid="{00000000-0005-0000-0000-0000C01E0000}"/>
    <cellStyle name="Normal 2 2 10 2 32 2 9" xfId="7919" xr:uid="{00000000-0005-0000-0000-0000C11E0000}"/>
    <cellStyle name="Normal 2 2 10 2 32 3" xfId="7920" xr:uid="{00000000-0005-0000-0000-0000C21E0000}"/>
    <cellStyle name="Normal 2 2 10 2 32 3 10" xfId="7921" xr:uid="{00000000-0005-0000-0000-0000C31E0000}"/>
    <cellStyle name="Normal 2 2 10 2 32 3 2" xfId="7922" xr:uid="{00000000-0005-0000-0000-0000C41E0000}"/>
    <cellStyle name="Normal 2 2 10 2 32 3 3" xfId="7923" xr:uid="{00000000-0005-0000-0000-0000C51E0000}"/>
    <cellStyle name="Normal 2 2 10 2 32 3 4" xfId="7924" xr:uid="{00000000-0005-0000-0000-0000C61E0000}"/>
    <cellStyle name="Normal 2 2 10 2 32 3 5" xfId="7925" xr:uid="{00000000-0005-0000-0000-0000C71E0000}"/>
    <cellStyle name="Normal 2 2 10 2 32 3 6" xfId="7926" xr:uid="{00000000-0005-0000-0000-0000C81E0000}"/>
    <cellStyle name="Normal 2 2 10 2 32 3 7" xfId="7927" xr:uid="{00000000-0005-0000-0000-0000C91E0000}"/>
    <cellStyle name="Normal 2 2 10 2 32 3 8" xfId="7928" xr:uid="{00000000-0005-0000-0000-0000CA1E0000}"/>
    <cellStyle name="Normal 2 2 10 2 32 3 9" xfId="7929" xr:uid="{00000000-0005-0000-0000-0000CB1E0000}"/>
    <cellStyle name="Normal 2 2 10 2 32 4" xfId="7930" xr:uid="{00000000-0005-0000-0000-0000CC1E0000}"/>
    <cellStyle name="Normal 2 2 10 2 32 4 10" xfId="7931" xr:uid="{00000000-0005-0000-0000-0000CD1E0000}"/>
    <cellStyle name="Normal 2 2 10 2 32 4 2" xfId="7932" xr:uid="{00000000-0005-0000-0000-0000CE1E0000}"/>
    <cellStyle name="Normal 2 2 10 2 32 4 3" xfId="7933" xr:uid="{00000000-0005-0000-0000-0000CF1E0000}"/>
    <cellStyle name="Normal 2 2 10 2 32 4 4" xfId="7934" xr:uid="{00000000-0005-0000-0000-0000D01E0000}"/>
    <cellStyle name="Normal 2 2 10 2 32 4 5" xfId="7935" xr:uid="{00000000-0005-0000-0000-0000D11E0000}"/>
    <cellStyle name="Normal 2 2 10 2 32 4 6" xfId="7936" xr:uid="{00000000-0005-0000-0000-0000D21E0000}"/>
    <cellStyle name="Normal 2 2 10 2 32 4 7" xfId="7937" xr:uid="{00000000-0005-0000-0000-0000D31E0000}"/>
    <cellStyle name="Normal 2 2 10 2 32 4 8" xfId="7938" xr:uid="{00000000-0005-0000-0000-0000D41E0000}"/>
    <cellStyle name="Normal 2 2 10 2 32 4 9" xfId="7939" xr:uid="{00000000-0005-0000-0000-0000D51E0000}"/>
    <cellStyle name="Normal 2 2 10 2 32 5" xfId="7940" xr:uid="{00000000-0005-0000-0000-0000D61E0000}"/>
    <cellStyle name="Normal 2 2 10 2 32 5 10" xfId="7941" xr:uid="{00000000-0005-0000-0000-0000D71E0000}"/>
    <cellStyle name="Normal 2 2 10 2 32 5 2" xfId="7942" xr:uid="{00000000-0005-0000-0000-0000D81E0000}"/>
    <cellStyle name="Normal 2 2 10 2 32 5 3" xfId="7943" xr:uid="{00000000-0005-0000-0000-0000D91E0000}"/>
    <cellStyle name="Normal 2 2 10 2 32 5 4" xfId="7944" xr:uid="{00000000-0005-0000-0000-0000DA1E0000}"/>
    <cellStyle name="Normal 2 2 10 2 32 5 5" xfId="7945" xr:uid="{00000000-0005-0000-0000-0000DB1E0000}"/>
    <cellStyle name="Normal 2 2 10 2 32 5 6" xfId="7946" xr:uid="{00000000-0005-0000-0000-0000DC1E0000}"/>
    <cellStyle name="Normal 2 2 10 2 32 5 7" xfId="7947" xr:uid="{00000000-0005-0000-0000-0000DD1E0000}"/>
    <cellStyle name="Normal 2 2 10 2 32 5 8" xfId="7948" xr:uid="{00000000-0005-0000-0000-0000DE1E0000}"/>
    <cellStyle name="Normal 2 2 10 2 32 5 9" xfId="7949" xr:uid="{00000000-0005-0000-0000-0000DF1E0000}"/>
    <cellStyle name="Normal 2 2 10 2 32 6" xfId="7950" xr:uid="{00000000-0005-0000-0000-0000E01E0000}"/>
    <cellStyle name="Normal 2 2 10 2 32 7" xfId="7951" xr:uid="{00000000-0005-0000-0000-0000E11E0000}"/>
    <cellStyle name="Normal 2 2 10 2 32 8" xfId="7952" xr:uid="{00000000-0005-0000-0000-0000E21E0000}"/>
    <cellStyle name="Normal 2 2 10 2 32 9" xfId="7953" xr:uid="{00000000-0005-0000-0000-0000E31E0000}"/>
    <cellStyle name="Normal 2 2 10 2 33" xfId="7954" xr:uid="{00000000-0005-0000-0000-0000E41E0000}"/>
    <cellStyle name="Normal 2 2 10 2 33 10" xfId="7955" xr:uid="{00000000-0005-0000-0000-0000E51E0000}"/>
    <cellStyle name="Normal 2 2 10 2 33 11" xfId="7956" xr:uid="{00000000-0005-0000-0000-0000E61E0000}"/>
    <cellStyle name="Normal 2 2 10 2 33 12" xfId="7957" xr:uid="{00000000-0005-0000-0000-0000E71E0000}"/>
    <cellStyle name="Normal 2 2 10 2 33 13" xfId="7958" xr:uid="{00000000-0005-0000-0000-0000E81E0000}"/>
    <cellStyle name="Normal 2 2 10 2 33 14" xfId="7959" xr:uid="{00000000-0005-0000-0000-0000E91E0000}"/>
    <cellStyle name="Normal 2 2 10 2 33 2" xfId="7960" xr:uid="{00000000-0005-0000-0000-0000EA1E0000}"/>
    <cellStyle name="Normal 2 2 10 2 33 2 10" xfId="7961" xr:uid="{00000000-0005-0000-0000-0000EB1E0000}"/>
    <cellStyle name="Normal 2 2 10 2 33 2 2" xfId="7962" xr:uid="{00000000-0005-0000-0000-0000EC1E0000}"/>
    <cellStyle name="Normal 2 2 10 2 33 2 3" xfId="7963" xr:uid="{00000000-0005-0000-0000-0000ED1E0000}"/>
    <cellStyle name="Normal 2 2 10 2 33 2 4" xfId="7964" xr:uid="{00000000-0005-0000-0000-0000EE1E0000}"/>
    <cellStyle name="Normal 2 2 10 2 33 2 5" xfId="7965" xr:uid="{00000000-0005-0000-0000-0000EF1E0000}"/>
    <cellStyle name="Normal 2 2 10 2 33 2 6" xfId="7966" xr:uid="{00000000-0005-0000-0000-0000F01E0000}"/>
    <cellStyle name="Normal 2 2 10 2 33 2 7" xfId="7967" xr:uid="{00000000-0005-0000-0000-0000F11E0000}"/>
    <cellStyle name="Normal 2 2 10 2 33 2 8" xfId="7968" xr:uid="{00000000-0005-0000-0000-0000F21E0000}"/>
    <cellStyle name="Normal 2 2 10 2 33 2 9" xfId="7969" xr:uid="{00000000-0005-0000-0000-0000F31E0000}"/>
    <cellStyle name="Normal 2 2 10 2 33 3" xfId="7970" xr:uid="{00000000-0005-0000-0000-0000F41E0000}"/>
    <cellStyle name="Normal 2 2 10 2 33 3 10" xfId="7971" xr:uid="{00000000-0005-0000-0000-0000F51E0000}"/>
    <cellStyle name="Normal 2 2 10 2 33 3 2" xfId="7972" xr:uid="{00000000-0005-0000-0000-0000F61E0000}"/>
    <cellStyle name="Normal 2 2 10 2 33 3 3" xfId="7973" xr:uid="{00000000-0005-0000-0000-0000F71E0000}"/>
    <cellStyle name="Normal 2 2 10 2 33 3 4" xfId="7974" xr:uid="{00000000-0005-0000-0000-0000F81E0000}"/>
    <cellStyle name="Normal 2 2 10 2 33 3 5" xfId="7975" xr:uid="{00000000-0005-0000-0000-0000F91E0000}"/>
    <cellStyle name="Normal 2 2 10 2 33 3 6" xfId="7976" xr:uid="{00000000-0005-0000-0000-0000FA1E0000}"/>
    <cellStyle name="Normal 2 2 10 2 33 3 7" xfId="7977" xr:uid="{00000000-0005-0000-0000-0000FB1E0000}"/>
    <cellStyle name="Normal 2 2 10 2 33 3 8" xfId="7978" xr:uid="{00000000-0005-0000-0000-0000FC1E0000}"/>
    <cellStyle name="Normal 2 2 10 2 33 3 9" xfId="7979" xr:uid="{00000000-0005-0000-0000-0000FD1E0000}"/>
    <cellStyle name="Normal 2 2 10 2 33 4" xfId="7980" xr:uid="{00000000-0005-0000-0000-0000FE1E0000}"/>
    <cellStyle name="Normal 2 2 10 2 33 4 10" xfId="7981" xr:uid="{00000000-0005-0000-0000-0000FF1E0000}"/>
    <cellStyle name="Normal 2 2 10 2 33 4 2" xfId="7982" xr:uid="{00000000-0005-0000-0000-0000001F0000}"/>
    <cellStyle name="Normal 2 2 10 2 33 4 3" xfId="7983" xr:uid="{00000000-0005-0000-0000-0000011F0000}"/>
    <cellStyle name="Normal 2 2 10 2 33 4 4" xfId="7984" xr:uid="{00000000-0005-0000-0000-0000021F0000}"/>
    <cellStyle name="Normal 2 2 10 2 33 4 5" xfId="7985" xr:uid="{00000000-0005-0000-0000-0000031F0000}"/>
    <cellStyle name="Normal 2 2 10 2 33 4 6" xfId="7986" xr:uid="{00000000-0005-0000-0000-0000041F0000}"/>
    <cellStyle name="Normal 2 2 10 2 33 4 7" xfId="7987" xr:uid="{00000000-0005-0000-0000-0000051F0000}"/>
    <cellStyle name="Normal 2 2 10 2 33 4 8" xfId="7988" xr:uid="{00000000-0005-0000-0000-0000061F0000}"/>
    <cellStyle name="Normal 2 2 10 2 33 4 9" xfId="7989" xr:uid="{00000000-0005-0000-0000-0000071F0000}"/>
    <cellStyle name="Normal 2 2 10 2 33 5" xfId="7990" xr:uid="{00000000-0005-0000-0000-0000081F0000}"/>
    <cellStyle name="Normal 2 2 10 2 33 5 10" xfId="7991" xr:uid="{00000000-0005-0000-0000-0000091F0000}"/>
    <cellStyle name="Normal 2 2 10 2 33 5 2" xfId="7992" xr:uid="{00000000-0005-0000-0000-00000A1F0000}"/>
    <cellStyle name="Normal 2 2 10 2 33 5 3" xfId="7993" xr:uid="{00000000-0005-0000-0000-00000B1F0000}"/>
    <cellStyle name="Normal 2 2 10 2 33 5 4" xfId="7994" xr:uid="{00000000-0005-0000-0000-00000C1F0000}"/>
    <cellStyle name="Normal 2 2 10 2 33 5 5" xfId="7995" xr:uid="{00000000-0005-0000-0000-00000D1F0000}"/>
    <cellStyle name="Normal 2 2 10 2 33 5 6" xfId="7996" xr:uid="{00000000-0005-0000-0000-00000E1F0000}"/>
    <cellStyle name="Normal 2 2 10 2 33 5 7" xfId="7997" xr:uid="{00000000-0005-0000-0000-00000F1F0000}"/>
    <cellStyle name="Normal 2 2 10 2 33 5 8" xfId="7998" xr:uid="{00000000-0005-0000-0000-0000101F0000}"/>
    <cellStyle name="Normal 2 2 10 2 33 5 9" xfId="7999" xr:uid="{00000000-0005-0000-0000-0000111F0000}"/>
    <cellStyle name="Normal 2 2 10 2 33 6" xfId="8000" xr:uid="{00000000-0005-0000-0000-0000121F0000}"/>
    <cellStyle name="Normal 2 2 10 2 33 7" xfId="8001" xr:uid="{00000000-0005-0000-0000-0000131F0000}"/>
    <cellStyle name="Normal 2 2 10 2 33 8" xfId="8002" xr:uid="{00000000-0005-0000-0000-0000141F0000}"/>
    <cellStyle name="Normal 2 2 10 2 33 9" xfId="8003" xr:uid="{00000000-0005-0000-0000-0000151F0000}"/>
    <cellStyle name="Normal 2 2 10 2 34" xfId="8004" xr:uid="{00000000-0005-0000-0000-0000161F0000}"/>
    <cellStyle name="Normal 2 2 10 2 34 10" xfId="8005" xr:uid="{00000000-0005-0000-0000-0000171F0000}"/>
    <cellStyle name="Normal 2 2 10 2 34 2" xfId="8006" xr:uid="{00000000-0005-0000-0000-0000181F0000}"/>
    <cellStyle name="Normal 2 2 10 2 34 3" xfId="8007" xr:uid="{00000000-0005-0000-0000-0000191F0000}"/>
    <cellStyle name="Normal 2 2 10 2 34 4" xfId="8008" xr:uid="{00000000-0005-0000-0000-00001A1F0000}"/>
    <cellStyle name="Normal 2 2 10 2 34 5" xfId="8009" xr:uid="{00000000-0005-0000-0000-00001B1F0000}"/>
    <cellStyle name="Normal 2 2 10 2 34 6" xfId="8010" xr:uid="{00000000-0005-0000-0000-00001C1F0000}"/>
    <cellStyle name="Normal 2 2 10 2 34 7" xfId="8011" xr:uid="{00000000-0005-0000-0000-00001D1F0000}"/>
    <cellStyle name="Normal 2 2 10 2 34 8" xfId="8012" xr:uid="{00000000-0005-0000-0000-00001E1F0000}"/>
    <cellStyle name="Normal 2 2 10 2 34 9" xfId="8013" xr:uid="{00000000-0005-0000-0000-00001F1F0000}"/>
    <cellStyle name="Normal 2 2 10 2 35" xfId="8014" xr:uid="{00000000-0005-0000-0000-0000201F0000}"/>
    <cellStyle name="Normal 2 2 10 2 35 10" xfId="8015" xr:uid="{00000000-0005-0000-0000-0000211F0000}"/>
    <cellStyle name="Normal 2 2 10 2 35 2" xfId="8016" xr:uid="{00000000-0005-0000-0000-0000221F0000}"/>
    <cellStyle name="Normal 2 2 10 2 35 3" xfId="8017" xr:uid="{00000000-0005-0000-0000-0000231F0000}"/>
    <cellStyle name="Normal 2 2 10 2 35 4" xfId="8018" xr:uid="{00000000-0005-0000-0000-0000241F0000}"/>
    <cellStyle name="Normal 2 2 10 2 35 5" xfId="8019" xr:uid="{00000000-0005-0000-0000-0000251F0000}"/>
    <cellStyle name="Normal 2 2 10 2 35 6" xfId="8020" xr:uid="{00000000-0005-0000-0000-0000261F0000}"/>
    <cellStyle name="Normal 2 2 10 2 35 7" xfId="8021" xr:uid="{00000000-0005-0000-0000-0000271F0000}"/>
    <cellStyle name="Normal 2 2 10 2 35 8" xfId="8022" xr:uid="{00000000-0005-0000-0000-0000281F0000}"/>
    <cellStyle name="Normal 2 2 10 2 35 9" xfId="8023" xr:uid="{00000000-0005-0000-0000-0000291F0000}"/>
    <cellStyle name="Normal 2 2 10 2 36" xfId="8024" xr:uid="{00000000-0005-0000-0000-00002A1F0000}"/>
    <cellStyle name="Normal 2 2 10 2 36 10" xfId="8025" xr:uid="{00000000-0005-0000-0000-00002B1F0000}"/>
    <cellStyle name="Normal 2 2 10 2 36 2" xfId="8026" xr:uid="{00000000-0005-0000-0000-00002C1F0000}"/>
    <cellStyle name="Normal 2 2 10 2 36 3" xfId="8027" xr:uid="{00000000-0005-0000-0000-00002D1F0000}"/>
    <cellStyle name="Normal 2 2 10 2 36 4" xfId="8028" xr:uid="{00000000-0005-0000-0000-00002E1F0000}"/>
    <cellStyle name="Normal 2 2 10 2 36 5" xfId="8029" xr:uid="{00000000-0005-0000-0000-00002F1F0000}"/>
    <cellStyle name="Normal 2 2 10 2 36 6" xfId="8030" xr:uid="{00000000-0005-0000-0000-0000301F0000}"/>
    <cellStyle name="Normal 2 2 10 2 36 7" xfId="8031" xr:uid="{00000000-0005-0000-0000-0000311F0000}"/>
    <cellStyle name="Normal 2 2 10 2 36 8" xfId="8032" xr:uid="{00000000-0005-0000-0000-0000321F0000}"/>
    <cellStyle name="Normal 2 2 10 2 36 9" xfId="8033" xr:uid="{00000000-0005-0000-0000-0000331F0000}"/>
    <cellStyle name="Normal 2 2 10 2 37" xfId="8034" xr:uid="{00000000-0005-0000-0000-0000341F0000}"/>
    <cellStyle name="Normal 2 2 10 2 37 10" xfId="8035" xr:uid="{00000000-0005-0000-0000-0000351F0000}"/>
    <cellStyle name="Normal 2 2 10 2 37 2" xfId="8036" xr:uid="{00000000-0005-0000-0000-0000361F0000}"/>
    <cellStyle name="Normal 2 2 10 2 37 3" xfId="8037" xr:uid="{00000000-0005-0000-0000-0000371F0000}"/>
    <cellStyle name="Normal 2 2 10 2 37 4" xfId="8038" xr:uid="{00000000-0005-0000-0000-0000381F0000}"/>
    <cellStyle name="Normal 2 2 10 2 37 5" xfId="8039" xr:uid="{00000000-0005-0000-0000-0000391F0000}"/>
    <cellStyle name="Normal 2 2 10 2 37 6" xfId="8040" xr:uid="{00000000-0005-0000-0000-00003A1F0000}"/>
    <cellStyle name="Normal 2 2 10 2 37 7" xfId="8041" xr:uid="{00000000-0005-0000-0000-00003B1F0000}"/>
    <cellStyle name="Normal 2 2 10 2 37 8" xfId="8042" xr:uid="{00000000-0005-0000-0000-00003C1F0000}"/>
    <cellStyle name="Normal 2 2 10 2 37 9" xfId="8043" xr:uid="{00000000-0005-0000-0000-00003D1F0000}"/>
    <cellStyle name="Normal 2 2 10 2 38" xfId="8044" xr:uid="{00000000-0005-0000-0000-00003E1F0000}"/>
    <cellStyle name="Normal 2 2 10 2 39" xfId="8045" xr:uid="{00000000-0005-0000-0000-00003F1F0000}"/>
    <cellStyle name="Normal 2 2 10 2 4" xfId="8046" xr:uid="{00000000-0005-0000-0000-0000401F0000}"/>
    <cellStyle name="Normal 2 2 10 2 4 10" xfId="8047" xr:uid="{00000000-0005-0000-0000-0000411F0000}"/>
    <cellStyle name="Normal 2 2 10 2 4 11" xfId="8048" xr:uid="{00000000-0005-0000-0000-0000421F0000}"/>
    <cellStyle name="Normal 2 2 10 2 4 12" xfId="8049" xr:uid="{00000000-0005-0000-0000-0000431F0000}"/>
    <cellStyle name="Normal 2 2 10 2 4 13" xfId="8050" xr:uid="{00000000-0005-0000-0000-0000441F0000}"/>
    <cellStyle name="Normal 2 2 10 2 4 14" xfId="8051" xr:uid="{00000000-0005-0000-0000-0000451F0000}"/>
    <cellStyle name="Normal 2 2 10 2 4 2" xfId="8052" xr:uid="{00000000-0005-0000-0000-0000461F0000}"/>
    <cellStyle name="Normal 2 2 10 2 4 2 10" xfId="8053" xr:uid="{00000000-0005-0000-0000-0000471F0000}"/>
    <cellStyle name="Normal 2 2 10 2 4 2 2" xfId="8054" xr:uid="{00000000-0005-0000-0000-0000481F0000}"/>
    <cellStyle name="Normal 2 2 10 2 4 2 3" xfId="8055" xr:uid="{00000000-0005-0000-0000-0000491F0000}"/>
    <cellStyle name="Normal 2 2 10 2 4 2 4" xfId="8056" xr:uid="{00000000-0005-0000-0000-00004A1F0000}"/>
    <cellStyle name="Normal 2 2 10 2 4 2 5" xfId="8057" xr:uid="{00000000-0005-0000-0000-00004B1F0000}"/>
    <cellStyle name="Normal 2 2 10 2 4 2 6" xfId="8058" xr:uid="{00000000-0005-0000-0000-00004C1F0000}"/>
    <cellStyle name="Normal 2 2 10 2 4 2 7" xfId="8059" xr:uid="{00000000-0005-0000-0000-00004D1F0000}"/>
    <cellStyle name="Normal 2 2 10 2 4 2 8" xfId="8060" xr:uid="{00000000-0005-0000-0000-00004E1F0000}"/>
    <cellStyle name="Normal 2 2 10 2 4 2 9" xfId="8061" xr:uid="{00000000-0005-0000-0000-00004F1F0000}"/>
    <cellStyle name="Normal 2 2 10 2 4 3" xfId="8062" xr:uid="{00000000-0005-0000-0000-0000501F0000}"/>
    <cellStyle name="Normal 2 2 10 2 4 3 10" xfId="8063" xr:uid="{00000000-0005-0000-0000-0000511F0000}"/>
    <cellStyle name="Normal 2 2 10 2 4 3 2" xfId="8064" xr:uid="{00000000-0005-0000-0000-0000521F0000}"/>
    <cellStyle name="Normal 2 2 10 2 4 3 3" xfId="8065" xr:uid="{00000000-0005-0000-0000-0000531F0000}"/>
    <cellStyle name="Normal 2 2 10 2 4 3 4" xfId="8066" xr:uid="{00000000-0005-0000-0000-0000541F0000}"/>
    <cellStyle name="Normal 2 2 10 2 4 3 5" xfId="8067" xr:uid="{00000000-0005-0000-0000-0000551F0000}"/>
    <cellStyle name="Normal 2 2 10 2 4 3 6" xfId="8068" xr:uid="{00000000-0005-0000-0000-0000561F0000}"/>
    <cellStyle name="Normal 2 2 10 2 4 3 7" xfId="8069" xr:uid="{00000000-0005-0000-0000-0000571F0000}"/>
    <cellStyle name="Normal 2 2 10 2 4 3 8" xfId="8070" xr:uid="{00000000-0005-0000-0000-0000581F0000}"/>
    <cellStyle name="Normal 2 2 10 2 4 3 9" xfId="8071" xr:uid="{00000000-0005-0000-0000-0000591F0000}"/>
    <cellStyle name="Normal 2 2 10 2 4 4" xfId="8072" xr:uid="{00000000-0005-0000-0000-00005A1F0000}"/>
    <cellStyle name="Normal 2 2 10 2 4 4 10" xfId="8073" xr:uid="{00000000-0005-0000-0000-00005B1F0000}"/>
    <cellStyle name="Normal 2 2 10 2 4 4 2" xfId="8074" xr:uid="{00000000-0005-0000-0000-00005C1F0000}"/>
    <cellStyle name="Normal 2 2 10 2 4 4 3" xfId="8075" xr:uid="{00000000-0005-0000-0000-00005D1F0000}"/>
    <cellStyle name="Normal 2 2 10 2 4 4 4" xfId="8076" xr:uid="{00000000-0005-0000-0000-00005E1F0000}"/>
    <cellStyle name="Normal 2 2 10 2 4 4 5" xfId="8077" xr:uid="{00000000-0005-0000-0000-00005F1F0000}"/>
    <cellStyle name="Normal 2 2 10 2 4 4 6" xfId="8078" xr:uid="{00000000-0005-0000-0000-0000601F0000}"/>
    <cellStyle name="Normal 2 2 10 2 4 4 7" xfId="8079" xr:uid="{00000000-0005-0000-0000-0000611F0000}"/>
    <cellStyle name="Normal 2 2 10 2 4 4 8" xfId="8080" xr:uid="{00000000-0005-0000-0000-0000621F0000}"/>
    <cellStyle name="Normal 2 2 10 2 4 4 9" xfId="8081" xr:uid="{00000000-0005-0000-0000-0000631F0000}"/>
    <cellStyle name="Normal 2 2 10 2 4 5" xfId="8082" xr:uid="{00000000-0005-0000-0000-0000641F0000}"/>
    <cellStyle name="Normal 2 2 10 2 4 5 10" xfId="8083" xr:uid="{00000000-0005-0000-0000-0000651F0000}"/>
    <cellStyle name="Normal 2 2 10 2 4 5 2" xfId="8084" xr:uid="{00000000-0005-0000-0000-0000661F0000}"/>
    <cellStyle name="Normal 2 2 10 2 4 5 3" xfId="8085" xr:uid="{00000000-0005-0000-0000-0000671F0000}"/>
    <cellStyle name="Normal 2 2 10 2 4 5 4" xfId="8086" xr:uid="{00000000-0005-0000-0000-0000681F0000}"/>
    <cellStyle name="Normal 2 2 10 2 4 5 5" xfId="8087" xr:uid="{00000000-0005-0000-0000-0000691F0000}"/>
    <cellStyle name="Normal 2 2 10 2 4 5 6" xfId="8088" xr:uid="{00000000-0005-0000-0000-00006A1F0000}"/>
    <cellStyle name="Normal 2 2 10 2 4 5 7" xfId="8089" xr:uid="{00000000-0005-0000-0000-00006B1F0000}"/>
    <cellStyle name="Normal 2 2 10 2 4 5 8" xfId="8090" xr:uid="{00000000-0005-0000-0000-00006C1F0000}"/>
    <cellStyle name="Normal 2 2 10 2 4 5 9" xfId="8091" xr:uid="{00000000-0005-0000-0000-00006D1F0000}"/>
    <cellStyle name="Normal 2 2 10 2 4 6" xfId="8092" xr:uid="{00000000-0005-0000-0000-00006E1F0000}"/>
    <cellStyle name="Normal 2 2 10 2 4 7" xfId="8093" xr:uid="{00000000-0005-0000-0000-00006F1F0000}"/>
    <cellStyle name="Normal 2 2 10 2 4 8" xfId="8094" xr:uid="{00000000-0005-0000-0000-0000701F0000}"/>
    <cellStyle name="Normal 2 2 10 2 4 9" xfId="8095" xr:uid="{00000000-0005-0000-0000-0000711F0000}"/>
    <cellStyle name="Normal 2 2 10 2 40" xfId="8096" xr:uid="{00000000-0005-0000-0000-0000721F0000}"/>
    <cellStyle name="Normal 2 2 10 2 41" xfId="8097" xr:uid="{00000000-0005-0000-0000-0000731F0000}"/>
    <cellStyle name="Normal 2 2 10 2 42" xfId="8098" xr:uid="{00000000-0005-0000-0000-0000741F0000}"/>
    <cellStyle name="Normal 2 2 10 2 43" xfId="8099" xr:uid="{00000000-0005-0000-0000-0000751F0000}"/>
    <cellStyle name="Normal 2 2 10 2 44" xfId="8100" xr:uid="{00000000-0005-0000-0000-0000761F0000}"/>
    <cellStyle name="Normal 2 2 10 2 45" xfId="8101" xr:uid="{00000000-0005-0000-0000-0000771F0000}"/>
    <cellStyle name="Normal 2 2 10 2 46" xfId="8102" xr:uid="{00000000-0005-0000-0000-0000781F0000}"/>
    <cellStyle name="Normal 2 2 10 2 5" xfId="8103" xr:uid="{00000000-0005-0000-0000-0000791F0000}"/>
    <cellStyle name="Normal 2 2 10 2 5 10" xfId="8104" xr:uid="{00000000-0005-0000-0000-00007A1F0000}"/>
    <cellStyle name="Normal 2 2 10 2 5 11" xfId="8105" xr:uid="{00000000-0005-0000-0000-00007B1F0000}"/>
    <cellStyle name="Normal 2 2 10 2 5 12" xfId="8106" xr:uid="{00000000-0005-0000-0000-00007C1F0000}"/>
    <cellStyle name="Normal 2 2 10 2 5 13" xfId="8107" xr:uid="{00000000-0005-0000-0000-00007D1F0000}"/>
    <cellStyle name="Normal 2 2 10 2 5 14" xfId="8108" xr:uid="{00000000-0005-0000-0000-00007E1F0000}"/>
    <cellStyle name="Normal 2 2 10 2 5 2" xfId="8109" xr:uid="{00000000-0005-0000-0000-00007F1F0000}"/>
    <cellStyle name="Normal 2 2 10 2 5 2 10" xfId="8110" xr:uid="{00000000-0005-0000-0000-0000801F0000}"/>
    <cellStyle name="Normal 2 2 10 2 5 2 2" xfId="8111" xr:uid="{00000000-0005-0000-0000-0000811F0000}"/>
    <cellStyle name="Normal 2 2 10 2 5 2 3" xfId="8112" xr:uid="{00000000-0005-0000-0000-0000821F0000}"/>
    <cellStyle name="Normal 2 2 10 2 5 2 4" xfId="8113" xr:uid="{00000000-0005-0000-0000-0000831F0000}"/>
    <cellStyle name="Normal 2 2 10 2 5 2 5" xfId="8114" xr:uid="{00000000-0005-0000-0000-0000841F0000}"/>
    <cellStyle name="Normal 2 2 10 2 5 2 6" xfId="8115" xr:uid="{00000000-0005-0000-0000-0000851F0000}"/>
    <cellStyle name="Normal 2 2 10 2 5 2 7" xfId="8116" xr:uid="{00000000-0005-0000-0000-0000861F0000}"/>
    <cellStyle name="Normal 2 2 10 2 5 2 8" xfId="8117" xr:uid="{00000000-0005-0000-0000-0000871F0000}"/>
    <cellStyle name="Normal 2 2 10 2 5 2 9" xfId="8118" xr:uid="{00000000-0005-0000-0000-0000881F0000}"/>
    <cellStyle name="Normal 2 2 10 2 5 3" xfId="8119" xr:uid="{00000000-0005-0000-0000-0000891F0000}"/>
    <cellStyle name="Normal 2 2 10 2 5 3 10" xfId="8120" xr:uid="{00000000-0005-0000-0000-00008A1F0000}"/>
    <cellStyle name="Normal 2 2 10 2 5 3 2" xfId="8121" xr:uid="{00000000-0005-0000-0000-00008B1F0000}"/>
    <cellStyle name="Normal 2 2 10 2 5 3 3" xfId="8122" xr:uid="{00000000-0005-0000-0000-00008C1F0000}"/>
    <cellStyle name="Normal 2 2 10 2 5 3 4" xfId="8123" xr:uid="{00000000-0005-0000-0000-00008D1F0000}"/>
    <cellStyle name="Normal 2 2 10 2 5 3 5" xfId="8124" xr:uid="{00000000-0005-0000-0000-00008E1F0000}"/>
    <cellStyle name="Normal 2 2 10 2 5 3 6" xfId="8125" xr:uid="{00000000-0005-0000-0000-00008F1F0000}"/>
    <cellStyle name="Normal 2 2 10 2 5 3 7" xfId="8126" xr:uid="{00000000-0005-0000-0000-0000901F0000}"/>
    <cellStyle name="Normal 2 2 10 2 5 3 8" xfId="8127" xr:uid="{00000000-0005-0000-0000-0000911F0000}"/>
    <cellStyle name="Normal 2 2 10 2 5 3 9" xfId="8128" xr:uid="{00000000-0005-0000-0000-0000921F0000}"/>
    <cellStyle name="Normal 2 2 10 2 5 4" xfId="8129" xr:uid="{00000000-0005-0000-0000-0000931F0000}"/>
    <cellStyle name="Normal 2 2 10 2 5 4 10" xfId="8130" xr:uid="{00000000-0005-0000-0000-0000941F0000}"/>
    <cellStyle name="Normal 2 2 10 2 5 4 2" xfId="8131" xr:uid="{00000000-0005-0000-0000-0000951F0000}"/>
    <cellStyle name="Normal 2 2 10 2 5 4 3" xfId="8132" xr:uid="{00000000-0005-0000-0000-0000961F0000}"/>
    <cellStyle name="Normal 2 2 10 2 5 4 4" xfId="8133" xr:uid="{00000000-0005-0000-0000-0000971F0000}"/>
    <cellStyle name="Normal 2 2 10 2 5 4 5" xfId="8134" xr:uid="{00000000-0005-0000-0000-0000981F0000}"/>
    <cellStyle name="Normal 2 2 10 2 5 4 6" xfId="8135" xr:uid="{00000000-0005-0000-0000-0000991F0000}"/>
    <cellStyle name="Normal 2 2 10 2 5 4 7" xfId="8136" xr:uid="{00000000-0005-0000-0000-00009A1F0000}"/>
    <cellStyle name="Normal 2 2 10 2 5 4 8" xfId="8137" xr:uid="{00000000-0005-0000-0000-00009B1F0000}"/>
    <cellStyle name="Normal 2 2 10 2 5 4 9" xfId="8138" xr:uid="{00000000-0005-0000-0000-00009C1F0000}"/>
    <cellStyle name="Normal 2 2 10 2 5 5" xfId="8139" xr:uid="{00000000-0005-0000-0000-00009D1F0000}"/>
    <cellStyle name="Normal 2 2 10 2 5 5 10" xfId="8140" xr:uid="{00000000-0005-0000-0000-00009E1F0000}"/>
    <cellStyle name="Normal 2 2 10 2 5 5 2" xfId="8141" xr:uid="{00000000-0005-0000-0000-00009F1F0000}"/>
    <cellStyle name="Normal 2 2 10 2 5 5 3" xfId="8142" xr:uid="{00000000-0005-0000-0000-0000A01F0000}"/>
    <cellStyle name="Normal 2 2 10 2 5 5 4" xfId="8143" xr:uid="{00000000-0005-0000-0000-0000A11F0000}"/>
    <cellStyle name="Normal 2 2 10 2 5 5 5" xfId="8144" xr:uid="{00000000-0005-0000-0000-0000A21F0000}"/>
    <cellStyle name="Normal 2 2 10 2 5 5 6" xfId="8145" xr:uid="{00000000-0005-0000-0000-0000A31F0000}"/>
    <cellStyle name="Normal 2 2 10 2 5 5 7" xfId="8146" xr:uid="{00000000-0005-0000-0000-0000A41F0000}"/>
    <cellStyle name="Normal 2 2 10 2 5 5 8" xfId="8147" xr:uid="{00000000-0005-0000-0000-0000A51F0000}"/>
    <cellStyle name="Normal 2 2 10 2 5 5 9" xfId="8148" xr:uid="{00000000-0005-0000-0000-0000A61F0000}"/>
    <cellStyle name="Normal 2 2 10 2 5 6" xfId="8149" xr:uid="{00000000-0005-0000-0000-0000A71F0000}"/>
    <cellStyle name="Normal 2 2 10 2 5 7" xfId="8150" xr:uid="{00000000-0005-0000-0000-0000A81F0000}"/>
    <cellStyle name="Normal 2 2 10 2 5 8" xfId="8151" xr:uid="{00000000-0005-0000-0000-0000A91F0000}"/>
    <cellStyle name="Normal 2 2 10 2 5 9" xfId="8152" xr:uid="{00000000-0005-0000-0000-0000AA1F0000}"/>
    <cellStyle name="Normal 2 2 10 2 6" xfId="8153" xr:uid="{00000000-0005-0000-0000-0000AB1F0000}"/>
    <cellStyle name="Normal 2 2 10 2 6 10" xfId="8154" xr:uid="{00000000-0005-0000-0000-0000AC1F0000}"/>
    <cellStyle name="Normal 2 2 10 2 6 11" xfId="8155" xr:uid="{00000000-0005-0000-0000-0000AD1F0000}"/>
    <cellStyle name="Normal 2 2 10 2 6 12" xfId="8156" xr:uid="{00000000-0005-0000-0000-0000AE1F0000}"/>
    <cellStyle name="Normal 2 2 10 2 6 13" xfId="8157" xr:uid="{00000000-0005-0000-0000-0000AF1F0000}"/>
    <cellStyle name="Normal 2 2 10 2 6 14" xfId="8158" xr:uid="{00000000-0005-0000-0000-0000B01F0000}"/>
    <cellStyle name="Normal 2 2 10 2 6 2" xfId="8159" xr:uid="{00000000-0005-0000-0000-0000B11F0000}"/>
    <cellStyle name="Normal 2 2 10 2 6 2 10" xfId="8160" xr:uid="{00000000-0005-0000-0000-0000B21F0000}"/>
    <cellStyle name="Normal 2 2 10 2 6 2 2" xfId="8161" xr:uid="{00000000-0005-0000-0000-0000B31F0000}"/>
    <cellStyle name="Normal 2 2 10 2 6 2 3" xfId="8162" xr:uid="{00000000-0005-0000-0000-0000B41F0000}"/>
    <cellStyle name="Normal 2 2 10 2 6 2 4" xfId="8163" xr:uid="{00000000-0005-0000-0000-0000B51F0000}"/>
    <cellStyle name="Normal 2 2 10 2 6 2 5" xfId="8164" xr:uid="{00000000-0005-0000-0000-0000B61F0000}"/>
    <cellStyle name="Normal 2 2 10 2 6 2 6" xfId="8165" xr:uid="{00000000-0005-0000-0000-0000B71F0000}"/>
    <cellStyle name="Normal 2 2 10 2 6 2 7" xfId="8166" xr:uid="{00000000-0005-0000-0000-0000B81F0000}"/>
    <cellStyle name="Normal 2 2 10 2 6 2 8" xfId="8167" xr:uid="{00000000-0005-0000-0000-0000B91F0000}"/>
    <cellStyle name="Normal 2 2 10 2 6 2 9" xfId="8168" xr:uid="{00000000-0005-0000-0000-0000BA1F0000}"/>
    <cellStyle name="Normal 2 2 10 2 6 3" xfId="8169" xr:uid="{00000000-0005-0000-0000-0000BB1F0000}"/>
    <cellStyle name="Normal 2 2 10 2 6 3 10" xfId="8170" xr:uid="{00000000-0005-0000-0000-0000BC1F0000}"/>
    <cellStyle name="Normal 2 2 10 2 6 3 2" xfId="8171" xr:uid="{00000000-0005-0000-0000-0000BD1F0000}"/>
    <cellStyle name="Normal 2 2 10 2 6 3 3" xfId="8172" xr:uid="{00000000-0005-0000-0000-0000BE1F0000}"/>
    <cellStyle name="Normal 2 2 10 2 6 3 4" xfId="8173" xr:uid="{00000000-0005-0000-0000-0000BF1F0000}"/>
    <cellStyle name="Normal 2 2 10 2 6 3 5" xfId="8174" xr:uid="{00000000-0005-0000-0000-0000C01F0000}"/>
    <cellStyle name="Normal 2 2 10 2 6 3 6" xfId="8175" xr:uid="{00000000-0005-0000-0000-0000C11F0000}"/>
    <cellStyle name="Normal 2 2 10 2 6 3 7" xfId="8176" xr:uid="{00000000-0005-0000-0000-0000C21F0000}"/>
    <cellStyle name="Normal 2 2 10 2 6 3 8" xfId="8177" xr:uid="{00000000-0005-0000-0000-0000C31F0000}"/>
    <cellStyle name="Normal 2 2 10 2 6 3 9" xfId="8178" xr:uid="{00000000-0005-0000-0000-0000C41F0000}"/>
    <cellStyle name="Normal 2 2 10 2 6 4" xfId="8179" xr:uid="{00000000-0005-0000-0000-0000C51F0000}"/>
    <cellStyle name="Normal 2 2 10 2 6 4 10" xfId="8180" xr:uid="{00000000-0005-0000-0000-0000C61F0000}"/>
    <cellStyle name="Normal 2 2 10 2 6 4 2" xfId="8181" xr:uid="{00000000-0005-0000-0000-0000C71F0000}"/>
    <cellStyle name="Normal 2 2 10 2 6 4 3" xfId="8182" xr:uid="{00000000-0005-0000-0000-0000C81F0000}"/>
    <cellStyle name="Normal 2 2 10 2 6 4 4" xfId="8183" xr:uid="{00000000-0005-0000-0000-0000C91F0000}"/>
    <cellStyle name="Normal 2 2 10 2 6 4 5" xfId="8184" xr:uid="{00000000-0005-0000-0000-0000CA1F0000}"/>
    <cellStyle name="Normal 2 2 10 2 6 4 6" xfId="8185" xr:uid="{00000000-0005-0000-0000-0000CB1F0000}"/>
    <cellStyle name="Normal 2 2 10 2 6 4 7" xfId="8186" xr:uid="{00000000-0005-0000-0000-0000CC1F0000}"/>
    <cellStyle name="Normal 2 2 10 2 6 4 8" xfId="8187" xr:uid="{00000000-0005-0000-0000-0000CD1F0000}"/>
    <cellStyle name="Normal 2 2 10 2 6 4 9" xfId="8188" xr:uid="{00000000-0005-0000-0000-0000CE1F0000}"/>
    <cellStyle name="Normal 2 2 10 2 6 5" xfId="8189" xr:uid="{00000000-0005-0000-0000-0000CF1F0000}"/>
    <cellStyle name="Normal 2 2 10 2 6 5 10" xfId="8190" xr:uid="{00000000-0005-0000-0000-0000D01F0000}"/>
    <cellStyle name="Normal 2 2 10 2 6 5 2" xfId="8191" xr:uid="{00000000-0005-0000-0000-0000D11F0000}"/>
    <cellStyle name="Normal 2 2 10 2 6 5 3" xfId="8192" xr:uid="{00000000-0005-0000-0000-0000D21F0000}"/>
    <cellStyle name="Normal 2 2 10 2 6 5 4" xfId="8193" xr:uid="{00000000-0005-0000-0000-0000D31F0000}"/>
    <cellStyle name="Normal 2 2 10 2 6 5 5" xfId="8194" xr:uid="{00000000-0005-0000-0000-0000D41F0000}"/>
    <cellStyle name="Normal 2 2 10 2 6 5 6" xfId="8195" xr:uid="{00000000-0005-0000-0000-0000D51F0000}"/>
    <cellStyle name="Normal 2 2 10 2 6 5 7" xfId="8196" xr:uid="{00000000-0005-0000-0000-0000D61F0000}"/>
    <cellStyle name="Normal 2 2 10 2 6 5 8" xfId="8197" xr:uid="{00000000-0005-0000-0000-0000D71F0000}"/>
    <cellStyle name="Normal 2 2 10 2 6 5 9" xfId="8198" xr:uid="{00000000-0005-0000-0000-0000D81F0000}"/>
    <cellStyle name="Normal 2 2 10 2 6 6" xfId="8199" xr:uid="{00000000-0005-0000-0000-0000D91F0000}"/>
    <cellStyle name="Normal 2 2 10 2 6 7" xfId="8200" xr:uid="{00000000-0005-0000-0000-0000DA1F0000}"/>
    <cellStyle name="Normal 2 2 10 2 6 8" xfId="8201" xr:uid="{00000000-0005-0000-0000-0000DB1F0000}"/>
    <cellStyle name="Normal 2 2 10 2 6 9" xfId="8202" xr:uid="{00000000-0005-0000-0000-0000DC1F0000}"/>
    <cellStyle name="Normal 2 2 10 2 7" xfId="8203" xr:uid="{00000000-0005-0000-0000-0000DD1F0000}"/>
    <cellStyle name="Normal 2 2 10 2 7 10" xfId="8204" xr:uid="{00000000-0005-0000-0000-0000DE1F0000}"/>
    <cellStyle name="Normal 2 2 10 2 7 11" xfId="8205" xr:uid="{00000000-0005-0000-0000-0000DF1F0000}"/>
    <cellStyle name="Normal 2 2 10 2 7 12" xfId="8206" xr:uid="{00000000-0005-0000-0000-0000E01F0000}"/>
    <cellStyle name="Normal 2 2 10 2 7 13" xfId="8207" xr:uid="{00000000-0005-0000-0000-0000E11F0000}"/>
    <cellStyle name="Normal 2 2 10 2 7 14" xfId="8208" xr:uid="{00000000-0005-0000-0000-0000E21F0000}"/>
    <cellStyle name="Normal 2 2 10 2 7 2" xfId="8209" xr:uid="{00000000-0005-0000-0000-0000E31F0000}"/>
    <cellStyle name="Normal 2 2 10 2 7 2 10" xfId="8210" xr:uid="{00000000-0005-0000-0000-0000E41F0000}"/>
    <cellStyle name="Normal 2 2 10 2 7 2 2" xfId="8211" xr:uid="{00000000-0005-0000-0000-0000E51F0000}"/>
    <cellStyle name="Normal 2 2 10 2 7 2 3" xfId="8212" xr:uid="{00000000-0005-0000-0000-0000E61F0000}"/>
    <cellStyle name="Normal 2 2 10 2 7 2 4" xfId="8213" xr:uid="{00000000-0005-0000-0000-0000E71F0000}"/>
    <cellStyle name="Normal 2 2 10 2 7 2 5" xfId="8214" xr:uid="{00000000-0005-0000-0000-0000E81F0000}"/>
    <cellStyle name="Normal 2 2 10 2 7 2 6" xfId="8215" xr:uid="{00000000-0005-0000-0000-0000E91F0000}"/>
    <cellStyle name="Normal 2 2 10 2 7 2 7" xfId="8216" xr:uid="{00000000-0005-0000-0000-0000EA1F0000}"/>
    <cellStyle name="Normal 2 2 10 2 7 2 8" xfId="8217" xr:uid="{00000000-0005-0000-0000-0000EB1F0000}"/>
    <cellStyle name="Normal 2 2 10 2 7 2 9" xfId="8218" xr:uid="{00000000-0005-0000-0000-0000EC1F0000}"/>
    <cellStyle name="Normal 2 2 10 2 7 3" xfId="8219" xr:uid="{00000000-0005-0000-0000-0000ED1F0000}"/>
    <cellStyle name="Normal 2 2 10 2 7 3 10" xfId="8220" xr:uid="{00000000-0005-0000-0000-0000EE1F0000}"/>
    <cellStyle name="Normal 2 2 10 2 7 3 2" xfId="8221" xr:uid="{00000000-0005-0000-0000-0000EF1F0000}"/>
    <cellStyle name="Normal 2 2 10 2 7 3 3" xfId="8222" xr:uid="{00000000-0005-0000-0000-0000F01F0000}"/>
    <cellStyle name="Normal 2 2 10 2 7 3 4" xfId="8223" xr:uid="{00000000-0005-0000-0000-0000F11F0000}"/>
    <cellStyle name="Normal 2 2 10 2 7 3 5" xfId="8224" xr:uid="{00000000-0005-0000-0000-0000F21F0000}"/>
    <cellStyle name="Normal 2 2 10 2 7 3 6" xfId="8225" xr:uid="{00000000-0005-0000-0000-0000F31F0000}"/>
    <cellStyle name="Normal 2 2 10 2 7 3 7" xfId="8226" xr:uid="{00000000-0005-0000-0000-0000F41F0000}"/>
    <cellStyle name="Normal 2 2 10 2 7 3 8" xfId="8227" xr:uid="{00000000-0005-0000-0000-0000F51F0000}"/>
    <cellStyle name="Normal 2 2 10 2 7 3 9" xfId="8228" xr:uid="{00000000-0005-0000-0000-0000F61F0000}"/>
    <cellStyle name="Normal 2 2 10 2 7 4" xfId="8229" xr:uid="{00000000-0005-0000-0000-0000F71F0000}"/>
    <cellStyle name="Normal 2 2 10 2 7 4 10" xfId="8230" xr:uid="{00000000-0005-0000-0000-0000F81F0000}"/>
    <cellStyle name="Normal 2 2 10 2 7 4 2" xfId="8231" xr:uid="{00000000-0005-0000-0000-0000F91F0000}"/>
    <cellStyle name="Normal 2 2 10 2 7 4 3" xfId="8232" xr:uid="{00000000-0005-0000-0000-0000FA1F0000}"/>
    <cellStyle name="Normal 2 2 10 2 7 4 4" xfId="8233" xr:uid="{00000000-0005-0000-0000-0000FB1F0000}"/>
    <cellStyle name="Normal 2 2 10 2 7 4 5" xfId="8234" xr:uid="{00000000-0005-0000-0000-0000FC1F0000}"/>
    <cellStyle name="Normal 2 2 10 2 7 4 6" xfId="8235" xr:uid="{00000000-0005-0000-0000-0000FD1F0000}"/>
    <cellStyle name="Normal 2 2 10 2 7 4 7" xfId="8236" xr:uid="{00000000-0005-0000-0000-0000FE1F0000}"/>
    <cellStyle name="Normal 2 2 10 2 7 4 8" xfId="8237" xr:uid="{00000000-0005-0000-0000-0000FF1F0000}"/>
    <cellStyle name="Normal 2 2 10 2 7 4 9" xfId="8238" xr:uid="{00000000-0005-0000-0000-000000200000}"/>
    <cellStyle name="Normal 2 2 10 2 7 5" xfId="8239" xr:uid="{00000000-0005-0000-0000-000001200000}"/>
    <cellStyle name="Normal 2 2 10 2 7 5 10" xfId="8240" xr:uid="{00000000-0005-0000-0000-000002200000}"/>
    <cellStyle name="Normal 2 2 10 2 7 5 2" xfId="8241" xr:uid="{00000000-0005-0000-0000-000003200000}"/>
    <cellStyle name="Normal 2 2 10 2 7 5 3" xfId="8242" xr:uid="{00000000-0005-0000-0000-000004200000}"/>
    <cellStyle name="Normal 2 2 10 2 7 5 4" xfId="8243" xr:uid="{00000000-0005-0000-0000-000005200000}"/>
    <cellStyle name="Normal 2 2 10 2 7 5 5" xfId="8244" xr:uid="{00000000-0005-0000-0000-000006200000}"/>
    <cellStyle name="Normal 2 2 10 2 7 5 6" xfId="8245" xr:uid="{00000000-0005-0000-0000-000007200000}"/>
    <cellStyle name="Normal 2 2 10 2 7 5 7" xfId="8246" xr:uid="{00000000-0005-0000-0000-000008200000}"/>
    <cellStyle name="Normal 2 2 10 2 7 5 8" xfId="8247" xr:uid="{00000000-0005-0000-0000-000009200000}"/>
    <cellStyle name="Normal 2 2 10 2 7 5 9" xfId="8248" xr:uid="{00000000-0005-0000-0000-00000A200000}"/>
    <cellStyle name="Normal 2 2 10 2 7 6" xfId="8249" xr:uid="{00000000-0005-0000-0000-00000B200000}"/>
    <cellStyle name="Normal 2 2 10 2 7 7" xfId="8250" xr:uid="{00000000-0005-0000-0000-00000C200000}"/>
    <cellStyle name="Normal 2 2 10 2 7 8" xfId="8251" xr:uid="{00000000-0005-0000-0000-00000D200000}"/>
    <cellStyle name="Normal 2 2 10 2 7 9" xfId="8252" xr:uid="{00000000-0005-0000-0000-00000E200000}"/>
    <cellStyle name="Normal 2 2 10 2 8" xfId="8253" xr:uid="{00000000-0005-0000-0000-00000F200000}"/>
    <cellStyle name="Normal 2 2 10 2 8 10" xfId="8254" xr:uid="{00000000-0005-0000-0000-000010200000}"/>
    <cellStyle name="Normal 2 2 10 2 8 11" xfId="8255" xr:uid="{00000000-0005-0000-0000-000011200000}"/>
    <cellStyle name="Normal 2 2 10 2 8 12" xfId="8256" xr:uid="{00000000-0005-0000-0000-000012200000}"/>
    <cellStyle name="Normal 2 2 10 2 8 13" xfId="8257" xr:uid="{00000000-0005-0000-0000-000013200000}"/>
    <cellStyle name="Normal 2 2 10 2 8 14" xfId="8258" xr:uid="{00000000-0005-0000-0000-000014200000}"/>
    <cellStyle name="Normal 2 2 10 2 8 2" xfId="8259" xr:uid="{00000000-0005-0000-0000-000015200000}"/>
    <cellStyle name="Normal 2 2 10 2 8 2 10" xfId="8260" xr:uid="{00000000-0005-0000-0000-000016200000}"/>
    <cellStyle name="Normal 2 2 10 2 8 2 2" xfId="8261" xr:uid="{00000000-0005-0000-0000-000017200000}"/>
    <cellStyle name="Normal 2 2 10 2 8 2 3" xfId="8262" xr:uid="{00000000-0005-0000-0000-000018200000}"/>
    <cellStyle name="Normal 2 2 10 2 8 2 4" xfId="8263" xr:uid="{00000000-0005-0000-0000-000019200000}"/>
    <cellStyle name="Normal 2 2 10 2 8 2 5" xfId="8264" xr:uid="{00000000-0005-0000-0000-00001A200000}"/>
    <cellStyle name="Normal 2 2 10 2 8 2 6" xfId="8265" xr:uid="{00000000-0005-0000-0000-00001B200000}"/>
    <cellStyle name="Normal 2 2 10 2 8 2 7" xfId="8266" xr:uid="{00000000-0005-0000-0000-00001C200000}"/>
    <cellStyle name="Normal 2 2 10 2 8 2 8" xfId="8267" xr:uid="{00000000-0005-0000-0000-00001D200000}"/>
    <cellStyle name="Normal 2 2 10 2 8 2 9" xfId="8268" xr:uid="{00000000-0005-0000-0000-00001E200000}"/>
    <cellStyle name="Normal 2 2 10 2 8 3" xfId="8269" xr:uid="{00000000-0005-0000-0000-00001F200000}"/>
    <cellStyle name="Normal 2 2 10 2 8 3 10" xfId="8270" xr:uid="{00000000-0005-0000-0000-000020200000}"/>
    <cellStyle name="Normal 2 2 10 2 8 3 2" xfId="8271" xr:uid="{00000000-0005-0000-0000-000021200000}"/>
    <cellStyle name="Normal 2 2 10 2 8 3 3" xfId="8272" xr:uid="{00000000-0005-0000-0000-000022200000}"/>
    <cellStyle name="Normal 2 2 10 2 8 3 4" xfId="8273" xr:uid="{00000000-0005-0000-0000-000023200000}"/>
    <cellStyle name="Normal 2 2 10 2 8 3 5" xfId="8274" xr:uid="{00000000-0005-0000-0000-000024200000}"/>
    <cellStyle name="Normal 2 2 10 2 8 3 6" xfId="8275" xr:uid="{00000000-0005-0000-0000-000025200000}"/>
    <cellStyle name="Normal 2 2 10 2 8 3 7" xfId="8276" xr:uid="{00000000-0005-0000-0000-000026200000}"/>
    <cellStyle name="Normal 2 2 10 2 8 3 8" xfId="8277" xr:uid="{00000000-0005-0000-0000-000027200000}"/>
    <cellStyle name="Normal 2 2 10 2 8 3 9" xfId="8278" xr:uid="{00000000-0005-0000-0000-000028200000}"/>
    <cellStyle name="Normal 2 2 10 2 8 4" xfId="8279" xr:uid="{00000000-0005-0000-0000-000029200000}"/>
    <cellStyle name="Normal 2 2 10 2 8 4 10" xfId="8280" xr:uid="{00000000-0005-0000-0000-00002A200000}"/>
    <cellStyle name="Normal 2 2 10 2 8 4 2" xfId="8281" xr:uid="{00000000-0005-0000-0000-00002B200000}"/>
    <cellStyle name="Normal 2 2 10 2 8 4 3" xfId="8282" xr:uid="{00000000-0005-0000-0000-00002C200000}"/>
    <cellStyle name="Normal 2 2 10 2 8 4 4" xfId="8283" xr:uid="{00000000-0005-0000-0000-00002D200000}"/>
    <cellStyle name="Normal 2 2 10 2 8 4 5" xfId="8284" xr:uid="{00000000-0005-0000-0000-00002E200000}"/>
    <cellStyle name="Normal 2 2 10 2 8 4 6" xfId="8285" xr:uid="{00000000-0005-0000-0000-00002F200000}"/>
    <cellStyle name="Normal 2 2 10 2 8 4 7" xfId="8286" xr:uid="{00000000-0005-0000-0000-000030200000}"/>
    <cellStyle name="Normal 2 2 10 2 8 4 8" xfId="8287" xr:uid="{00000000-0005-0000-0000-000031200000}"/>
    <cellStyle name="Normal 2 2 10 2 8 4 9" xfId="8288" xr:uid="{00000000-0005-0000-0000-000032200000}"/>
    <cellStyle name="Normal 2 2 10 2 8 5" xfId="8289" xr:uid="{00000000-0005-0000-0000-000033200000}"/>
    <cellStyle name="Normal 2 2 10 2 8 5 10" xfId="8290" xr:uid="{00000000-0005-0000-0000-000034200000}"/>
    <cellStyle name="Normal 2 2 10 2 8 5 2" xfId="8291" xr:uid="{00000000-0005-0000-0000-000035200000}"/>
    <cellStyle name="Normal 2 2 10 2 8 5 3" xfId="8292" xr:uid="{00000000-0005-0000-0000-000036200000}"/>
    <cellStyle name="Normal 2 2 10 2 8 5 4" xfId="8293" xr:uid="{00000000-0005-0000-0000-000037200000}"/>
    <cellStyle name="Normal 2 2 10 2 8 5 5" xfId="8294" xr:uid="{00000000-0005-0000-0000-000038200000}"/>
    <cellStyle name="Normal 2 2 10 2 8 5 6" xfId="8295" xr:uid="{00000000-0005-0000-0000-000039200000}"/>
    <cellStyle name="Normal 2 2 10 2 8 5 7" xfId="8296" xr:uid="{00000000-0005-0000-0000-00003A200000}"/>
    <cellStyle name="Normal 2 2 10 2 8 5 8" xfId="8297" xr:uid="{00000000-0005-0000-0000-00003B200000}"/>
    <cellStyle name="Normal 2 2 10 2 8 5 9" xfId="8298" xr:uid="{00000000-0005-0000-0000-00003C200000}"/>
    <cellStyle name="Normal 2 2 10 2 8 6" xfId="8299" xr:uid="{00000000-0005-0000-0000-00003D200000}"/>
    <cellStyle name="Normal 2 2 10 2 8 7" xfId="8300" xr:uid="{00000000-0005-0000-0000-00003E200000}"/>
    <cellStyle name="Normal 2 2 10 2 8 8" xfId="8301" xr:uid="{00000000-0005-0000-0000-00003F200000}"/>
    <cellStyle name="Normal 2 2 10 2 8 9" xfId="8302" xr:uid="{00000000-0005-0000-0000-000040200000}"/>
    <cellStyle name="Normal 2 2 10 2 9" xfId="8303" xr:uid="{00000000-0005-0000-0000-000041200000}"/>
    <cellStyle name="Normal 2 2 10 2 9 10" xfId="8304" xr:uid="{00000000-0005-0000-0000-000042200000}"/>
    <cellStyle name="Normal 2 2 10 2 9 11" xfId="8305" xr:uid="{00000000-0005-0000-0000-000043200000}"/>
    <cellStyle name="Normal 2 2 10 2 9 12" xfId="8306" xr:uid="{00000000-0005-0000-0000-000044200000}"/>
    <cellStyle name="Normal 2 2 10 2 9 13" xfId="8307" xr:uid="{00000000-0005-0000-0000-000045200000}"/>
    <cellStyle name="Normal 2 2 10 2 9 14" xfId="8308" xr:uid="{00000000-0005-0000-0000-000046200000}"/>
    <cellStyle name="Normal 2 2 10 2 9 2" xfId="8309" xr:uid="{00000000-0005-0000-0000-000047200000}"/>
    <cellStyle name="Normal 2 2 10 2 9 2 10" xfId="8310" xr:uid="{00000000-0005-0000-0000-000048200000}"/>
    <cellStyle name="Normal 2 2 10 2 9 2 2" xfId="8311" xr:uid="{00000000-0005-0000-0000-000049200000}"/>
    <cellStyle name="Normal 2 2 10 2 9 2 3" xfId="8312" xr:uid="{00000000-0005-0000-0000-00004A200000}"/>
    <cellStyle name="Normal 2 2 10 2 9 2 4" xfId="8313" xr:uid="{00000000-0005-0000-0000-00004B200000}"/>
    <cellStyle name="Normal 2 2 10 2 9 2 5" xfId="8314" xr:uid="{00000000-0005-0000-0000-00004C200000}"/>
    <cellStyle name="Normal 2 2 10 2 9 2 6" xfId="8315" xr:uid="{00000000-0005-0000-0000-00004D200000}"/>
    <cellStyle name="Normal 2 2 10 2 9 2 7" xfId="8316" xr:uid="{00000000-0005-0000-0000-00004E200000}"/>
    <cellStyle name="Normal 2 2 10 2 9 2 8" xfId="8317" xr:uid="{00000000-0005-0000-0000-00004F200000}"/>
    <cellStyle name="Normal 2 2 10 2 9 2 9" xfId="8318" xr:uid="{00000000-0005-0000-0000-000050200000}"/>
    <cellStyle name="Normal 2 2 10 2 9 3" xfId="8319" xr:uid="{00000000-0005-0000-0000-000051200000}"/>
    <cellStyle name="Normal 2 2 10 2 9 3 10" xfId="8320" xr:uid="{00000000-0005-0000-0000-000052200000}"/>
    <cellStyle name="Normal 2 2 10 2 9 3 2" xfId="8321" xr:uid="{00000000-0005-0000-0000-000053200000}"/>
    <cellStyle name="Normal 2 2 10 2 9 3 3" xfId="8322" xr:uid="{00000000-0005-0000-0000-000054200000}"/>
    <cellStyle name="Normal 2 2 10 2 9 3 4" xfId="8323" xr:uid="{00000000-0005-0000-0000-000055200000}"/>
    <cellStyle name="Normal 2 2 10 2 9 3 5" xfId="8324" xr:uid="{00000000-0005-0000-0000-000056200000}"/>
    <cellStyle name="Normal 2 2 10 2 9 3 6" xfId="8325" xr:uid="{00000000-0005-0000-0000-000057200000}"/>
    <cellStyle name="Normal 2 2 10 2 9 3 7" xfId="8326" xr:uid="{00000000-0005-0000-0000-000058200000}"/>
    <cellStyle name="Normal 2 2 10 2 9 3 8" xfId="8327" xr:uid="{00000000-0005-0000-0000-000059200000}"/>
    <cellStyle name="Normal 2 2 10 2 9 3 9" xfId="8328" xr:uid="{00000000-0005-0000-0000-00005A200000}"/>
    <cellStyle name="Normal 2 2 10 2 9 4" xfId="8329" xr:uid="{00000000-0005-0000-0000-00005B200000}"/>
    <cellStyle name="Normal 2 2 10 2 9 4 10" xfId="8330" xr:uid="{00000000-0005-0000-0000-00005C200000}"/>
    <cellStyle name="Normal 2 2 10 2 9 4 2" xfId="8331" xr:uid="{00000000-0005-0000-0000-00005D200000}"/>
    <cellStyle name="Normal 2 2 10 2 9 4 3" xfId="8332" xr:uid="{00000000-0005-0000-0000-00005E200000}"/>
    <cellStyle name="Normal 2 2 10 2 9 4 4" xfId="8333" xr:uid="{00000000-0005-0000-0000-00005F200000}"/>
    <cellStyle name="Normal 2 2 10 2 9 4 5" xfId="8334" xr:uid="{00000000-0005-0000-0000-000060200000}"/>
    <cellStyle name="Normal 2 2 10 2 9 4 6" xfId="8335" xr:uid="{00000000-0005-0000-0000-000061200000}"/>
    <cellStyle name="Normal 2 2 10 2 9 4 7" xfId="8336" xr:uid="{00000000-0005-0000-0000-000062200000}"/>
    <cellStyle name="Normal 2 2 10 2 9 4 8" xfId="8337" xr:uid="{00000000-0005-0000-0000-000063200000}"/>
    <cellStyle name="Normal 2 2 10 2 9 4 9" xfId="8338" xr:uid="{00000000-0005-0000-0000-000064200000}"/>
    <cellStyle name="Normal 2 2 10 2 9 5" xfId="8339" xr:uid="{00000000-0005-0000-0000-000065200000}"/>
    <cellStyle name="Normal 2 2 10 2 9 5 10" xfId="8340" xr:uid="{00000000-0005-0000-0000-000066200000}"/>
    <cellStyle name="Normal 2 2 10 2 9 5 2" xfId="8341" xr:uid="{00000000-0005-0000-0000-000067200000}"/>
    <cellStyle name="Normal 2 2 10 2 9 5 3" xfId="8342" xr:uid="{00000000-0005-0000-0000-000068200000}"/>
    <cellStyle name="Normal 2 2 10 2 9 5 4" xfId="8343" xr:uid="{00000000-0005-0000-0000-000069200000}"/>
    <cellStyle name="Normal 2 2 10 2 9 5 5" xfId="8344" xr:uid="{00000000-0005-0000-0000-00006A200000}"/>
    <cellStyle name="Normal 2 2 10 2 9 5 6" xfId="8345" xr:uid="{00000000-0005-0000-0000-00006B200000}"/>
    <cellStyle name="Normal 2 2 10 2 9 5 7" xfId="8346" xr:uid="{00000000-0005-0000-0000-00006C200000}"/>
    <cellStyle name="Normal 2 2 10 2 9 5 8" xfId="8347" xr:uid="{00000000-0005-0000-0000-00006D200000}"/>
    <cellStyle name="Normal 2 2 10 2 9 5 9" xfId="8348" xr:uid="{00000000-0005-0000-0000-00006E200000}"/>
    <cellStyle name="Normal 2 2 10 2 9 6" xfId="8349" xr:uid="{00000000-0005-0000-0000-00006F200000}"/>
    <cellStyle name="Normal 2 2 10 2 9 7" xfId="8350" xr:uid="{00000000-0005-0000-0000-000070200000}"/>
    <cellStyle name="Normal 2 2 10 2 9 8" xfId="8351" xr:uid="{00000000-0005-0000-0000-000071200000}"/>
    <cellStyle name="Normal 2 2 10 2 9 9" xfId="8352" xr:uid="{00000000-0005-0000-0000-000072200000}"/>
    <cellStyle name="Normal 2 2 10 20" xfId="8353" xr:uid="{00000000-0005-0000-0000-000073200000}"/>
    <cellStyle name="Normal 2 2 10 20 10" xfId="8354" xr:uid="{00000000-0005-0000-0000-000074200000}"/>
    <cellStyle name="Normal 2 2 10 20 11" xfId="8355" xr:uid="{00000000-0005-0000-0000-000075200000}"/>
    <cellStyle name="Normal 2 2 10 20 12" xfId="8356" xr:uid="{00000000-0005-0000-0000-000076200000}"/>
    <cellStyle name="Normal 2 2 10 20 13" xfId="8357" xr:uid="{00000000-0005-0000-0000-000077200000}"/>
    <cellStyle name="Normal 2 2 10 20 14" xfId="8358" xr:uid="{00000000-0005-0000-0000-000078200000}"/>
    <cellStyle name="Normal 2 2 10 20 2" xfId="8359" xr:uid="{00000000-0005-0000-0000-000079200000}"/>
    <cellStyle name="Normal 2 2 10 20 2 10" xfId="8360" xr:uid="{00000000-0005-0000-0000-00007A200000}"/>
    <cellStyle name="Normal 2 2 10 20 2 2" xfId="8361" xr:uid="{00000000-0005-0000-0000-00007B200000}"/>
    <cellStyle name="Normal 2 2 10 20 2 3" xfId="8362" xr:uid="{00000000-0005-0000-0000-00007C200000}"/>
    <cellStyle name="Normal 2 2 10 20 2 4" xfId="8363" xr:uid="{00000000-0005-0000-0000-00007D200000}"/>
    <cellStyle name="Normal 2 2 10 20 2 5" xfId="8364" xr:uid="{00000000-0005-0000-0000-00007E200000}"/>
    <cellStyle name="Normal 2 2 10 20 2 6" xfId="8365" xr:uid="{00000000-0005-0000-0000-00007F200000}"/>
    <cellStyle name="Normal 2 2 10 20 2 7" xfId="8366" xr:uid="{00000000-0005-0000-0000-000080200000}"/>
    <cellStyle name="Normal 2 2 10 20 2 8" xfId="8367" xr:uid="{00000000-0005-0000-0000-000081200000}"/>
    <cellStyle name="Normal 2 2 10 20 2 9" xfId="8368" xr:uid="{00000000-0005-0000-0000-000082200000}"/>
    <cellStyle name="Normal 2 2 10 20 3" xfId="8369" xr:uid="{00000000-0005-0000-0000-000083200000}"/>
    <cellStyle name="Normal 2 2 10 20 3 10" xfId="8370" xr:uid="{00000000-0005-0000-0000-000084200000}"/>
    <cellStyle name="Normal 2 2 10 20 3 2" xfId="8371" xr:uid="{00000000-0005-0000-0000-000085200000}"/>
    <cellStyle name="Normal 2 2 10 20 3 3" xfId="8372" xr:uid="{00000000-0005-0000-0000-000086200000}"/>
    <cellStyle name="Normal 2 2 10 20 3 4" xfId="8373" xr:uid="{00000000-0005-0000-0000-000087200000}"/>
    <cellStyle name="Normal 2 2 10 20 3 5" xfId="8374" xr:uid="{00000000-0005-0000-0000-000088200000}"/>
    <cellStyle name="Normal 2 2 10 20 3 6" xfId="8375" xr:uid="{00000000-0005-0000-0000-000089200000}"/>
    <cellStyle name="Normal 2 2 10 20 3 7" xfId="8376" xr:uid="{00000000-0005-0000-0000-00008A200000}"/>
    <cellStyle name="Normal 2 2 10 20 3 8" xfId="8377" xr:uid="{00000000-0005-0000-0000-00008B200000}"/>
    <cellStyle name="Normal 2 2 10 20 3 9" xfId="8378" xr:uid="{00000000-0005-0000-0000-00008C200000}"/>
    <cellStyle name="Normal 2 2 10 20 4" xfId="8379" xr:uid="{00000000-0005-0000-0000-00008D200000}"/>
    <cellStyle name="Normal 2 2 10 20 4 10" xfId="8380" xr:uid="{00000000-0005-0000-0000-00008E200000}"/>
    <cellStyle name="Normal 2 2 10 20 4 2" xfId="8381" xr:uid="{00000000-0005-0000-0000-00008F200000}"/>
    <cellStyle name="Normal 2 2 10 20 4 3" xfId="8382" xr:uid="{00000000-0005-0000-0000-000090200000}"/>
    <cellStyle name="Normal 2 2 10 20 4 4" xfId="8383" xr:uid="{00000000-0005-0000-0000-000091200000}"/>
    <cellStyle name="Normal 2 2 10 20 4 5" xfId="8384" xr:uid="{00000000-0005-0000-0000-000092200000}"/>
    <cellStyle name="Normal 2 2 10 20 4 6" xfId="8385" xr:uid="{00000000-0005-0000-0000-000093200000}"/>
    <cellStyle name="Normal 2 2 10 20 4 7" xfId="8386" xr:uid="{00000000-0005-0000-0000-000094200000}"/>
    <cellStyle name="Normal 2 2 10 20 4 8" xfId="8387" xr:uid="{00000000-0005-0000-0000-000095200000}"/>
    <cellStyle name="Normal 2 2 10 20 4 9" xfId="8388" xr:uid="{00000000-0005-0000-0000-000096200000}"/>
    <cellStyle name="Normal 2 2 10 20 5" xfId="8389" xr:uid="{00000000-0005-0000-0000-000097200000}"/>
    <cellStyle name="Normal 2 2 10 20 5 10" xfId="8390" xr:uid="{00000000-0005-0000-0000-000098200000}"/>
    <cellStyle name="Normal 2 2 10 20 5 2" xfId="8391" xr:uid="{00000000-0005-0000-0000-000099200000}"/>
    <cellStyle name="Normal 2 2 10 20 5 3" xfId="8392" xr:uid="{00000000-0005-0000-0000-00009A200000}"/>
    <cellStyle name="Normal 2 2 10 20 5 4" xfId="8393" xr:uid="{00000000-0005-0000-0000-00009B200000}"/>
    <cellStyle name="Normal 2 2 10 20 5 5" xfId="8394" xr:uid="{00000000-0005-0000-0000-00009C200000}"/>
    <cellStyle name="Normal 2 2 10 20 5 6" xfId="8395" xr:uid="{00000000-0005-0000-0000-00009D200000}"/>
    <cellStyle name="Normal 2 2 10 20 5 7" xfId="8396" xr:uid="{00000000-0005-0000-0000-00009E200000}"/>
    <cellStyle name="Normal 2 2 10 20 5 8" xfId="8397" xr:uid="{00000000-0005-0000-0000-00009F200000}"/>
    <cellStyle name="Normal 2 2 10 20 5 9" xfId="8398" xr:uid="{00000000-0005-0000-0000-0000A0200000}"/>
    <cellStyle name="Normal 2 2 10 20 6" xfId="8399" xr:uid="{00000000-0005-0000-0000-0000A1200000}"/>
    <cellStyle name="Normal 2 2 10 20 7" xfId="8400" xr:uid="{00000000-0005-0000-0000-0000A2200000}"/>
    <cellStyle name="Normal 2 2 10 20 8" xfId="8401" xr:uid="{00000000-0005-0000-0000-0000A3200000}"/>
    <cellStyle name="Normal 2 2 10 20 9" xfId="8402" xr:uid="{00000000-0005-0000-0000-0000A4200000}"/>
    <cellStyle name="Normal 2 2 10 21" xfId="8403" xr:uid="{00000000-0005-0000-0000-0000A5200000}"/>
    <cellStyle name="Normal 2 2 10 21 10" xfId="8404" xr:uid="{00000000-0005-0000-0000-0000A6200000}"/>
    <cellStyle name="Normal 2 2 10 21 11" xfId="8405" xr:uid="{00000000-0005-0000-0000-0000A7200000}"/>
    <cellStyle name="Normal 2 2 10 21 12" xfId="8406" xr:uid="{00000000-0005-0000-0000-0000A8200000}"/>
    <cellStyle name="Normal 2 2 10 21 13" xfId="8407" xr:uid="{00000000-0005-0000-0000-0000A9200000}"/>
    <cellStyle name="Normal 2 2 10 21 14" xfId="8408" xr:uid="{00000000-0005-0000-0000-0000AA200000}"/>
    <cellStyle name="Normal 2 2 10 21 2" xfId="8409" xr:uid="{00000000-0005-0000-0000-0000AB200000}"/>
    <cellStyle name="Normal 2 2 10 21 2 10" xfId="8410" xr:uid="{00000000-0005-0000-0000-0000AC200000}"/>
    <cellStyle name="Normal 2 2 10 21 2 2" xfId="8411" xr:uid="{00000000-0005-0000-0000-0000AD200000}"/>
    <cellStyle name="Normal 2 2 10 21 2 3" xfId="8412" xr:uid="{00000000-0005-0000-0000-0000AE200000}"/>
    <cellStyle name="Normal 2 2 10 21 2 4" xfId="8413" xr:uid="{00000000-0005-0000-0000-0000AF200000}"/>
    <cellStyle name="Normal 2 2 10 21 2 5" xfId="8414" xr:uid="{00000000-0005-0000-0000-0000B0200000}"/>
    <cellStyle name="Normal 2 2 10 21 2 6" xfId="8415" xr:uid="{00000000-0005-0000-0000-0000B1200000}"/>
    <cellStyle name="Normal 2 2 10 21 2 7" xfId="8416" xr:uid="{00000000-0005-0000-0000-0000B2200000}"/>
    <cellStyle name="Normal 2 2 10 21 2 8" xfId="8417" xr:uid="{00000000-0005-0000-0000-0000B3200000}"/>
    <cellStyle name="Normal 2 2 10 21 2 9" xfId="8418" xr:uid="{00000000-0005-0000-0000-0000B4200000}"/>
    <cellStyle name="Normal 2 2 10 21 3" xfId="8419" xr:uid="{00000000-0005-0000-0000-0000B5200000}"/>
    <cellStyle name="Normal 2 2 10 21 3 10" xfId="8420" xr:uid="{00000000-0005-0000-0000-0000B6200000}"/>
    <cellStyle name="Normal 2 2 10 21 3 2" xfId="8421" xr:uid="{00000000-0005-0000-0000-0000B7200000}"/>
    <cellStyle name="Normal 2 2 10 21 3 3" xfId="8422" xr:uid="{00000000-0005-0000-0000-0000B8200000}"/>
    <cellStyle name="Normal 2 2 10 21 3 4" xfId="8423" xr:uid="{00000000-0005-0000-0000-0000B9200000}"/>
    <cellStyle name="Normal 2 2 10 21 3 5" xfId="8424" xr:uid="{00000000-0005-0000-0000-0000BA200000}"/>
    <cellStyle name="Normal 2 2 10 21 3 6" xfId="8425" xr:uid="{00000000-0005-0000-0000-0000BB200000}"/>
    <cellStyle name="Normal 2 2 10 21 3 7" xfId="8426" xr:uid="{00000000-0005-0000-0000-0000BC200000}"/>
    <cellStyle name="Normal 2 2 10 21 3 8" xfId="8427" xr:uid="{00000000-0005-0000-0000-0000BD200000}"/>
    <cellStyle name="Normal 2 2 10 21 3 9" xfId="8428" xr:uid="{00000000-0005-0000-0000-0000BE200000}"/>
    <cellStyle name="Normal 2 2 10 21 4" xfId="8429" xr:uid="{00000000-0005-0000-0000-0000BF200000}"/>
    <cellStyle name="Normal 2 2 10 21 4 10" xfId="8430" xr:uid="{00000000-0005-0000-0000-0000C0200000}"/>
    <cellStyle name="Normal 2 2 10 21 4 2" xfId="8431" xr:uid="{00000000-0005-0000-0000-0000C1200000}"/>
    <cellStyle name="Normal 2 2 10 21 4 3" xfId="8432" xr:uid="{00000000-0005-0000-0000-0000C2200000}"/>
    <cellStyle name="Normal 2 2 10 21 4 4" xfId="8433" xr:uid="{00000000-0005-0000-0000-0000C3200000}"/>
    <cellStyle name="Normal 2 2 10 21 4 5" xfId="8434" xr:uid="{00000000-0005-0000-0000-0000C4200000}"/>
    <cellStyle name="Normal 2 2 10 21 4 6" xfId="8435" xr:uid="{00000000-0005-0000-0000-0000C5200000}"/>
    <cellStyle name="Normal 2 2 10 21 4 7" xfId="8436" xr:uid="{00000000-0005-0000-0000-0000C6200000}"/>
    <cellStyle name="Normal 2 2 10 21 4 8" xfId="8437" xr:uid="{00000000-0005-0000-0000-0000C7200000}"/>
    <cellStyle name="Normal 2 2 10 21 4 9" xfId="8438" xr:uid="{00000000-0005-0000-0000-0000C8200000}"/>
    <cellStyle name="Normal 2 2 10 21 5" xfId="8439" xr:uid="{00000000-0005-0000-0000-0000C9200000}"/>
    <cellStyle name="Normal 2 2 10 21 5 10" xfId="8440" xr:uid="{00000000-0005-0000-0000-0000CA200000}"/>
    <cellStyle name="Normal 2 2 10 21 5 2" xfId="8441" xr:uid="{00000000-0005-0000-0000-0000CB200000}"/>
    <cellStyle name="Normal 2 2 10 21 5 3" xfId="8442" xr:uid="{00000000-0005-0000-0000-0000CC200000}"/>
    <cellStyle name="Normal 2 2 10 21 5 4" xfId="8443" xr:uid="{00000000-0005-0000-0000-0000CD200000}"/>
    <cellStyle name="Normal 2 2 10 21 5 5" xfId="8444" xr:uid="{00000000-0005-0000-0000-0000CE200000}"/>
    <cellStyle name="Normal 2 2 10 21 5 6" xfId="8445" xr:uid="{00000000-0005-0000-0000-0000CF200000}"/>
    <cellStyle name="Normal 2 2 10 21 5 7" xfId="8446" xr:uid="{00000000-0005-0000-0000-0000D0200000}"/>
    <cellStyle name="Normal 2 2 10 21 5 8" xfId="8447" xr:uid="{00000000-0005-0000-0000-0000D1200000}"/>
    <cellStyle name="Normal 2 2 10 21 5 9" xfId="8448" xr:uid="{00000000-0005-0000-0000-0000D2200000}"/>
    <cellStyle name="Normal 2 2 10 21 6" xfId="8449" xr:uid="{00000000-0005-0000-0000-0000D3200000}"/>
    <cellStyle name="Normal 2 2 10 21 7" xfId="8450" xr:uid="{00000000-0005-0000-0000-0000D4200000}"/>
    <cellStyle name="Normal 2 2 10 21 8" xfId="8451" xr:uid="{00000000-0005-0000-0000-0000D5200000}"/>
    <cellStyle name="Normal 2 2 10 21 9" xfId="8452" xr:uid="{00000000-0005-0000-0000-0000D6200000}"/>
    <cellStyle name="Normal 2 2 10 22" xfId="8453" xr:uid="{00000000-0005-0000-0000-0000D7200000}"/>
    <cellStyle name="Normal 2 2 10 22 10" xfId="8454" xr:uid="{00000000-0005-0000-0000-0000D8200000}"/>
    <cellStyle name="Normal 2 2 10 22 11" xfId="8455" xr:uid="{00000000-0005-0000-0000-0000D9200000}"/>
    <cellStyle name="Normal 2 2 10 22 12" xfId="8456" xr:uid="{00000000-0005-0000-0000-0000DA200000}"/>
    <cellStyle name="Normal 2 2 10 22 13" xfId="8457" xr:uid="{00000000-0005-0000-0000-0000DB200000}"/>
    <cellStyle name="Normal 2 2 10 22 14" xfId="8458" xr:uid="{00000000-0005-0000-0000-0000DC200000}"/>
    <cellStyle name="Normal 2 2 10 22 2" xfId="8459" xr:uid="{00000000-0005-0000-0000-0000DD200000}"/>
    <cellStyle name="Normal 2 2 10 22 2 10" xfId="8460" xr:uid="{00000000-0005-0000-0000-0000DE200000}"/>
    <cellStyle name="Normal 2 2 10 22 2 2" xfId="8461" xr:uid="{00000000-0005-0000-0000-0000DF200000}"/>
    <cellStyle name="Normal 2 2 10 22 2 3" xfId="8462" xr:uid="{00000000-0005-0000-0000-0000E0200000}"/>
    <cellStyle name="Normal 2 2 10 22 2 4" xfId="8463" xr:uid="{00000000-0005-0000-0000-0000E1200000}"/>
    <cellStyle name="Normal 2 2 10 22 2 5" xfId="8464" xr:uid="{00000000-0005-0000-0000-0000E2200000}"/>
    <cellStyle name="Normal 2 2 10 22 2 6" xfId="8465" xr:uid="{00000000-0005-0000-0000-0000E3200000}"/>
    <cellStyle name="Normal 2 2 10 22 2 7" xfId="8466" xr:uid="{00000000-0005-0000-0000-0000E4200000}"/>
    <cellStyle name="Normal 2 2 10 22 2 8" xfId="8467" xr:uid="{00000000-0005-0000-0000-0000E5200000}"/>
    <cellStyle name="Normal 2 2 10 22 2 9" xfId="8468" xr:uid="{00000000-0005-0000-0000-0000E6200000}"/>
    <cellStyle name="Normal 2 2 10 22 3" xfId="8469" xr:uid="{00000000-0005-0000-0000-0000E7200000}"/>
    <cellStyle name="Normal 2 2 10 22 3 10" xfId="8470" xr:uid="{00000000-0005-0000-0000-0000E8200000}"/>
    <cellStyle name="Normal 2 2 10 22 3 2" xfId="8471" xr:uid="{00000000-0005-0000-0000-0000E9200000}"/>
    <cellStyle name="Normal 2 2 10 22 3 3" xfId="8472" xr:uid="{00000000-0005-0000-0000-0000EA200000}"/>
    <cellStyle name="Normal 2 2 10 22 3 4" xfId="8473" xr:uid="{00000000-0005-0000-0000-0000EB200000}"/>
    <cellStyle name="Normal 2 2 10 22 3 5" xfId="8474" xr:uid="{00000000-0005-0000-0000-0000EC200000}"/>
    <cellStyle name="Normal 2 2 10 22 3 6" xfId="8475" xr:uid="{00000000-0005-0000-0000-0000ED200000}"/>
    <cellStyle name="Normal 2 2 10 22 3 7" xfId="8476" xr:uid="{00000000-0005-0000-0000-0000EE200000}"/>
    <cellStyle name="Normal 2 2 10 22 3 8" xfId="8477" xr:uid="{00000000-0005-0000-0000-0000EF200000}"/>
    <cellStyle name="Normal 2 2 10 22 3 9" xfId="8478" xr:uid="{00000000-0005-0000-0000-0000F0200000}"/>
    <cellStyle name="Normal 2 2 10 22 4" xfId="8479" xr:uid="{00000000-0005-0000-0000-0000F1200000}"/>
    <cellStyle name="Normal 2 2 10 22 4 10" xfId="8480" xr:uid="{00000000-0005-0000-0000-0000F2200000}"/>
    <cellStyle name="Normal 2 2 10 22 4 2" xfId="8481" xr:uid="{00000000-0005-0000-0000-0000F3200000}"/>
    <cellStyle name="Normal 2 2 10 22 4 3" xfId="8482" xr:uid="{00000000-0005-0000-0000-0000F4200000}"/>
    <cellStyle name="Normal 2 2 10 22 4 4" xfId="8483" xr:uid="{00000000-0005-0000-0000-0000F5200000}"/>
    <cellStyle name="Normal 2 2 10 22 4 5" xfId="8484" xr:uid="{00000000-0005-0000-0000-0000F6200000}"/>
    <cellStyle name="Normal 2 2 10 22 4 6" xfId="8485" xr:uid="{00000000-0005-0000-0000-0000F7200000}"/>
    <cellStyle name="Normal 2 2 10 22 4 7" xfId="8486" xr:uid="{00000000-0005-0000-0000-0000F8200000}"/>
    <cellStyle name="Normal 2 2 10 22 4 8" xfId="8487" xr:uid="{00000000-0005-0000-0000-0000F9200000}"/>
    <cellStyle name="Normal 2 2 10 22 4 9" xfId="8488" xr:uid="{00000000-0005-0000-0000-0000FA200000}"/>
    <cellStyle name="Normal 2 2 10 22 5" xfId="8489" xr:uid="{00000000-0005-0000-0000-0000FB200000}"/>
    <cellStyle name="Normal 2 2 10 22 5 10" xfId="8490" xr:uid="{00000000-0005-0000-0000-0000FC200000}"/>
    <cellStyle name="Normal 2 2 10 22 5 2" xfId="8491" xr:uid="{00000000-0005-0000-0000-0000FD200000}"/>
    <cellStyle name="Normal 2 2 10 22 5 3" xfId="8492" xr:uid="{00000000-0005-0000-0000-0000FE200000}"/>
    <cellStyle name="Normal 2 2 10 22 5 4" xfId="8493" xr:uid="{00000000-0005-0000-0000-0000FF200000}"/>
    <cellStyle name="Normal 2 2 10 22 5 5" xfId="8494" xr:uid="{00000000-0005-0000-0000-000000210000}"/>
    <cellStyle name="Normal 2 2 10 22 5 6" xfId="8495" xr:uid="{00000000-0005-0000-0000-000001210000}"/>
    <cellStyle name="Normal 2 2 10 22 5 7" xfId="8496" xr:uid="{00000000-0005-0000-0000-000002210000}"/>
    <cellStyle name="Normal 2 2 10 22 5 8" xfId="8497" xr:uid="{00000000-0005-0000-0000-000003210000}"/>
    <cellStyle name="Normal 2 2 10 22 5 9" xfId="8498" xr:uid="{00000000-0005-0000-0000-000004210000}"/>
    <cellStyle name="Normal 2 2 10 22 6" xfId="8499" xr:uid="{00000000-0005-0000-0000-000005210000}"/>
    <cellStyle name="Normal 2 2 10 22 7" xfId="8500" xr:uid="{00000000-0005-0000-0000-000006210000}"/>
    <cellStyle name="Normal 2 2 10 22 8" xfId="8501" xr:uid="{00000000-0005-0000-0000-000007210000}"/>
    <cellStyle name="Normal 2 2 10 22 9" xfId="8502" xr:uid="{00000000-0005-0000-0000-000008210000}"/>
    <cellStyle name="Normal 2 2 10 23" xfId="8503" xr:uid="{00000000-0005-0000-0000-000009210000}"/>
    <cellStyle name="Normal 2 2 10 23 10" xfId="8504" xr:uid="{00000000-0005-0000-0000-00000A210000}"/>
    <cellStyle name="Normal 2 2 10 23 11" xfId="8505" xr:uid="{00000000-0005-0000-0000-00000B210000}"/>
    <cellStyle name="Normal 2 2 10 23 12" xfId="8506" xr:uid="{00000000-0005-0000-0000-00000C210000}"/>
    <cellStyle name="Normal 2 2 10 23 13" xfId="8507" xr:uid="{00000000-0005-0000-0000-00000D210000}"/>
    <cellStyle name="Normal 2 2 10 23 14" xfId="8508" xr:uid="{00000000-0005-0000-0000-00000E210000}"/>
    <cellStyle name="Normal 2 2 10 23 2" xfId="8509" xr:uid="{00000000-0005-0000-0000-00000F210000}"/>
    <cellStyle name="Normal 2 2 10 23 2 10" xfId="8510" xr:uid="{00000000-0005-0000-0000-000010210000}"/>
    <cellStyle name="Normal 2 2 10 23 2 2" xfId="8511" xr:uid="{00000000-0005-0000-0000-000011210000}"/>
    <cellStyle name="Normal 2 2 10 23 2 3" xfId="8512" xr:uid="{00000000-0005-0000-0000-000012210000}"/>
    <cellStyle name="Normal 2 2 10 23 2 4" xfId="8513" xr:uid="{00000000-0005-0000-0000-000013210000}"/>
    <cellStyle name="Normal 2 2 10 23 2 5" xfId="8514" xr:uid="{00000000-0005-0000-0000-000014210000}"/>
    <cellStyle name="Normal 2 2 10 23 2 6" xfId="8515" xr:uid="{00000000-0005-0000-0000-000015210000}"/>
    <cellStyle name="Normal 2 2 10 23 2 7" xfId="8516" xr:uid="{00000000-0005-0000-0000-000016210000}"/>
    <cellStyle name="Normal 2 2 10 23 2 8" xfId="8517" xr:uid="{00000000-0005-0000-0000-000017210000}"/>
    <cellStyle name="Normal 2 2 10 23 2 9" xfId="8518" xr:uid="{00000000-0005-0000-0000-000018210000}"/>
    <cellStyle name="Normal 2 2 10 23 3" xfId="8519" xr:uid="{00000000-0005-0000-0000-000019210000}"/>
    <cellStyle name="Normal 2 2 10 23 3 10" xfId="8520" xr:uid="{00000000-0005-0000-0000-00001A210000}"/>
    <cellStyle name="Normal 2 2 10 23 3 2" xfId="8521" xr:uid="{00000000-0005-0000-0000-00001B210000}"/>
    <cellStyle name="Normal 2 2 10 23 3 3" xfId="8522" xr:uid="{00000000-0005-0000-0000-00001C210000}"/>
    <cellStyle name="Normal 2 2 10 23 3 4" xfId="8523" xr:uid="{00000000-0005-0000-0000-00001D210000}"/>
    <cellStyle name="Normal 2 2 10 23 3 5" xfId="8524" xr:uid="{00000000-0005-0000-0000-00001E210000}"/>
    <cellStyle name="Normal 2 2 10 23 3 6" xfId="8525" xr:uid="{00000000-0005-0000-0000-00001F210000}"/>
    <cellStyle name="Normal 2 2 10 23 3 7" xfId="8526" xr:uid="{00000000-0005-0000-0000-000020210000}"/>
    <cellStyle name="Normal 2 2 10 23 3 8" xfId="8527" xr:uid="{00000000-0005-0000-0000-000021210000}"/>
    <cellStyle name="Normal 2 2 10 23 3 9" xfId="8528" xr:uid="{00000000-0005-0000-0000-000022210000}"/>
    <cellStyle name="Normal 2 2 10 23 4" xfId="8529" xr:uid="{00000000-0005-0000-0000-000023210000}"/>
    <cellStyle name="Normal 2 2 10 23 4 10" xfId="8530" xr:uid="{00000000-0005-0000-0000-000024210000}"/>
    <cellStyle name="Normal 2 2 10 23 4 2" xfId="8531" xr:uid="{00000000-0005-0000-0000-000025210000}"/>
    <cellStyle name="Normal 2 2 10 23 4 3" xfId="8532" xr:uid="{00000000-0005-0000-0000-000026210000}"/>
    <cellStyle name="Normal 2 2 10 23 4 4" xfId="8533" xr:uid="{00000000-0005-0000-0000-000027210000}"/>
    <cellStyle name="Normal 2 2 10 23 4 5" xfId="8534" xr:uid="{00000000-0005-0000-0000-000028210000}"/>
    <cellStyle name="Normal 2 2 10 23 4 6" xfId="8535" xr:uid="{00000000-0005-0000-0000-000029210000}"/>
    <cellStyle name="Normal 2 2 10 23 4 7" xfId="8536" xr:uid="{00000000-0005-0000-0000-00002A210000}"/>
    <cellStyle name="Normal 2 2 10 23 4 8" xfId="8537" xr:uid="{00000000-0005-0000-0000-00002B210000}"/>
    <cellStyle name="Normal 2 2 10 23 4 9" xfId="8538" xr:uid="{00000000-0005-0000-0000-00002C210000}"/>
    <cellStyle name="Normal 2 2 10 23 5" xfId="8539" xr:uid="{00000000-0005-0000-0000-00002D210000}"/>
    <cellStyle name="Normal 2 2 10 23 5 10" xfId="8540" xr:uid="{00000000-0005-0000-0000-00002E210000}"/>
    <cellStyle name="Normal 2 2 10 23 5 2" xfId="8541" xr:uid="{00000000-0005-0000-0000-00002F210000}"/>
    <cellStyle name="Normal 2 2 10 23 5 3" xfId="8542" xr:uid="{00000000-0005-0000-0000-000030210000}"/>
    <cellStyle name="Normal 2 2 10 23 5 4" xfId="8543" xr:uid="{00000000-0005-0000-0000-000031210000}"/>
    <cellStyle name="Normal 2 2 10 23 5 5" xfId="8544" xr:uid="{00000000-0005-0000-0000-000032210000}"/>
    <cellStyle name="Normal 2 2 10 23 5 6" xfId="8545" xr:uid="{00000000-0005-0000-0000-000033210000}"/>
    <cellStyle name="Normal 2 2 10 23 5 7" xfId="8546" xr:uid="{00000000-0005-0000-0000-000034210000}"/>
    <cellStyle name="Normal 2 2 10 23 5 8" xfId="8547" xr:uid="{00000000-0005-0000-0000-000035210000}"/>
    <cellStyle name="Normal 2 2 10 23 5 9" xfId="8548" xr:uid="{00000000-0005-0000-0000-000036210000}"/>
    <cellStyle name="Normal 2 2 10 23 6" xfId="8549" xr:uid="{00000000-0005-0000-0000-000037210000}"/>
    <cellStyle name="Normal 2 2 10 23 7" xfId="8550" xr:uid="{00000000-0005-0000-0000-000038210000}"/>
    <cellStyle name="Normal 2 2 10 23 8" xfId="8551" xr:uid="{00000000-0005-0000-0000-000039210000}"/>
    <cellStyle name="Normal 2 2 10 23 9" xfId="8552" xr:uid="{00000000-0005-0000-0000-00003A210000}"/>
    <cellStyle name="Normal 2 2 10 24" xfId="8553" xr:uid="{00000000-0005-0000-0000-00003B210000}"/>
    <cellStyle name="Normal 2 2 10 24 10" xfId="8554" xr:uid="{00000000-0005-0000-0000-00003C210000}"/>
    <cellStyle name="Normal 2 2 10 24 11" xfId="8555" xr:uid="{00000000-0005-0000-0000-00003D210000}"/>
    <cellStyle name="Normal 2 2 10 24 12" xfId="8556" xr:uid="{00000000-0005-0000-0000-00003E210000}"/>
    <cellStyle name="Normal 2 2 10 24 13" xfId="8557" xr:uid="{00000000-0005-0000-0000-00003F210000}"/>
    <cellStyle name="Normal 2 2 10 24 14" xfId="8558" xr:uid="{00000000-0005-0000-0000-000040210000}"/>
    <cellStyle name="Normal 2 2 10 24 2" xfId="8559" xr:uid="{00000000-0005-0000-0000-000041210000}"/>
    <cellStyle name="Normal 2 2 10 24 2 10" xfId="8560" xr:uid="{00000000-0005-0000-0000-000042210000}"/>
    <cellStyle name="Normal 2 2 10 24 2 2" xfId="8561" xr:uid="{00000000-0005-0000-0000-000043210000}"/>
    <cellStyle name="Normal 2 2 10 24 2 3" xfId="8562" xr:uid="{00000000-0005-0000-0000-000044210000}"/>
    <cellStyle name="Normal 2 2 10 24 2 4" xfId="8563" xr:uid="{00000000-0005-0000-0000-000045210000}"/>
    <cellStyle name="Normal 2 2 10 24 2 5" xfId="8564" xr:uid="{00000000-0005-0000-0000-000046210000}"/>
    <cellStyle name="Normal 2 2 10 24 2 6" xfId="8565" xr:uid="{00000000-0005-0000-0000-000047210000}"/>
    <cellStyle name="Normal 2 2 10 24 2 7" xfId="8566" xr:uid="{00000000-0005-0000-0000-000048210000}"/>
    <cellStyle name="Normal 2 2 10 24 2 8" xfId="8567" xr:uid="{00000000-0005-0000-0000-000049210000}"/>
    <cellStyle name="Normal 2 2 10 24 2 9" xfId="8568" xr:uid="{00000000-0005-0000-0000-00004A210000}"/>
    <cellStyle name="Normal 2 2 10 24 3" xfId="8569" xr:uid="{00000000-0005-0000-0000-00004B210000}"/>
    <cellStyle name="Normal 2 2 10 24 3 10" xfId="8570" xr:uid="{00000000-0005-0000-0000-00004C210000}"/>
    <cellStyle name="Normal 2 2 10 24 3 2" xfId="8571" xr:uid="{00000000-0005-0000-0000-00004D210000}"/>
    <cellStyle name="Normal 2 2 10 24 3 3" xfId="8572" xr:uid="{00000000-0005-0000-0000-00004E210000}"/>
    <cellStyle name="Normal 2 2 10 24 3 4" xfId="8573" xr:uid="{00000000-0005-0000-0000-00004F210000}"/>
    <cellStyle name="Normal 2 2 10 24 3 5" xfId="8574" xr:uid="{00000000-0005-0000-0000-000050210000}"/>
    <cellStyle name="Normal 2 2 10 24 3 6" xfId="8575" xr:uid="{00000000-0005-0000-0000-000051210000}"/>
    <cellStyle name="Normal 2 2 10 24 3 7" xfId="8576" xr:uid="{00000000-0005-0000-0000-000052210000}"/>
    <cellStyle name="Normal 2 2 10 24 3 8" xfId="8577" xr:uid="{00000000-0005-0000-0000-000053210000}"/>
    <cellStyle name="Normal 2 2 10 24 3 9" xfId="8578" xr:uid="{00000000-0005-0000-0000-000054210000}"/>
    <cellStyle name="Normal 2 2 10 24 4" xfId="8579" xr:uid="{00000000-0005-0000-0000-000055210000}"/>
    <cellStyle name="Normal 2 2 10 24 4 10" xfId="8580" xr:uid="{00000000-0005-0000-0000-000056210000}"/>
    <cellStyle name="Normal 2 2 10 24 4 2" xfId="8581" xr:uid="{00000000-0005-0000-0000-000057210000}"/>
    <cellStyle name="Normal 2 2 10 24 4 3" xfId="8582" xr:uid="{00000000-0005-0000-0000-000058210000}"/>
    <cellStyle name="Normal 2 2 10 24 4 4" xfId="8583" xr:uid="{00000000-0005-0000-0000-000059210000}"/>
    <cellStyle name="Normal 2 2 10 24 4 5" xfId="8584" xr:uid="{00000000-0005-0000-0000-00005A210000}"/>
    <cellStyle name="Normal 2 2 10 24 4 6" xfId="8585" xr:uid="{00000000-0005-0000-0000-00005B210000}"/>
    <cellStyle name="Normal 2 2 10 24 4 7" xfId="8586" xr:uid="{00000000-0005-0000-0000-00005C210000}"/>
    <cellStyle name="Normal 2 2 10 24 4 8" xfId="8587" xr:uid="{00000000-0005-0000-0000-00005D210000}"/>
    <cellStyle name="Normal 2 2 10 24 4 9" xfId="8588" xr:uid="{00000000-0005-0000-0000-00005E210000}"/>
    <cellStyle name="Normal 2 2 10 24 5" xfId="8589" xr:uid="{00000000-0005-0000-0000-00005F210000}"/>
    <cellStyle name="Normal 2 2 10 24 5 10" xfId="8590" xr:uid="{00000000-0005-0000-0000-000060210000}"/>
    <cellStyle name="Normal 2 2 10 24 5 2" xfId="8591" xr:uid="{00000000-0005-0000-0000-000061210000}"/>
    <cellStyle name="Normal 2 2 10 24 5 3" xfId="8592" xr:uid="{00000000-0005-0000-0000-000062210000}"/>
    <cellStyle name="Normal 2 2 10 24 5 4" xfId="8593" xr:uid="{00000000-0005-0000-0000-000063210000}"/>
    <cellStyle name="Normal 2 2 10 24 5 5" xfId="8594" xr:uid="{00000000-0005-0000-0000-000064210000}"/>
    <cellStyle name="Normal 2 2 10 24 5 6" xfId="8595" xr:uid="{00000000-0005-0000-0000-000065210000}"/>
    <cellStyle name="Normal 2 2 10 24 5 7" xfId="8596" xr:uid="{00000000-0005-0000-0000-000066210000}"/>
    <cellStyle name="Normal 2 2 10 24 5 8" xfId="8597" xr:uid="{00000000-0005-0000-0000-000067210000}"/>
    <cellStyle name="Normal 2 2 10 24 5 9" xfId="8598" xr:uid="{00000000-0005-0000-0000-000068210000}"/>
    <cellStyle name="Normal 2 2 10 24 6" xfId="8599" xr:uid="{00000000-0005-0000-0000-000069210000}"/>
    <cellStyle name="Normal 2 2 10 24 7" xfId="8600" xr:uid="{00000000-0005-0000-0000-00006A210000}"/>
    <cellStyle name="Normal 2 2 10 24 8" xfId="8601" xr:uid="{00000000-0005-0000-0000-00006B210000}"/>
    <cellStyle name="Normal 2 2 10 24 9" xfId="8602" xr:uid="{00000000-0005-0000-0000-00006C210000}"/>
    <cellStyle name="Normal 2 2 10 25" xfId="8603" xr:uid="{00000000-0005-0000-0000-00006D210000}"/>
    <cellStyle name="Normal 2 2 10 25 10" xfId="8604" xr:uid="{00000000-0005-0000-0000-00006E210000}"/>
    <cellStyle name="Normal 2 2 10 25 11" xfId="8605" xr:uid="{00000000-0005-0000-0000-00006F210000}"/>
    <cellStyle name="Normal 2 2 10 25 12" xfId="8606" xr:uid="{00000000-0005-0000-0000-000070210000}"/>
    <cellStyle name="Normal 2 2 10 25 13" xfId="8607" xr:uid="{00000000-0005-0000-0000-000071210000}"/>
    <cellStyle name="Normal 2 2 10 25 14" xfId="8608" xr:uid="{00000000-0005-0000-0000-000072210000}"/>
    <cellStyle name="Normal 2 2 10 25 2" xfId="8609" xr:uid="{00000000-0005-0000-0000-000073210000}"/>
    <cellStyle name="Normal 2 2 10 25 2 10" xfId="8610" xr:uid="{00000000-0005-0000-0000-000074210000}"/>
    <cellStyle name="Normal 2 2 10 25 2 2" xfId="8611" xr:uid="{00000000-0005-0000-0000-000075210000}"/>
    <cellStyle name="Normal 2 2 10 25 2 3" xfId="8612" xr:uid="{00000000-0005-0000-0000-000076210000}"/>
    <cellStyle name="Normal 2 2 10 25 2 4" xfId="8613" xr:uid="{00000000-0005-0000-0000-000077210000}"/>
    <cellStyle name="Normal 2 2 10 25 2 5" xfId="8614" xr:uid="{00000000-0005-0000-0000-000078210000}"/>
    <cellStyle name="Normal 2 2 10 25 2 6" xfId="8615" xr:uid="{00000000-0005-0000-0000-000079210000}"/>
    <cellStyle name="Normal 2 2 10 25 2 7" xfId="8616" xr:uid="{00000000-0005-0000-0000-00007A210000}"/>
    <cellStyle name="Normal 2 2 10 25 2 8" xfId="8617" xr:uid="{00000000-0005-0000-0000-00007B210000}"/>
    <cellStyle name="Normal 2 2 10 25 2 9" xfId="8618" xr:uid="{00000000-0005-0000-0000-00007C210000}"/>
    <cellStyle name="Normal 2 2 10 25 3" xfId="8619" xr:uid="{00000000-0005-0000-0000-00007D210000}"/>
    <cellStyle name="Normal 2 2 10 25 3 10" xfId="8620" xr:uid="{00000000-0005-0000-0000-00007E210000}"/>
    <cellStyle name="Normal 2 2 10 25 3 2" xfId="8621" xr:uid="{00000000-0005-0000-0000-00007F210000}"/>
    <cellStyle name="Normal 2 2 10 25 3 3" xfId="8622" xr:uid="{00000000-0005-0000-0000-000080210000}"/>
    <cellStyle name="Normal 2 2 10 25 3 4" xfId="8623" xr:uid="{00000000-0005-0000-0000-000081210000}"/>
    <cellStyle name="Normal 2 2 10 25 3 5" xfId="8624" xr:uid="{00000000-0005-0000-0000-000082210000}"/>
    <cellStyle name="Normal 2 2 10 25 3 6" xfId="8625" xr:uid="{00000000-0005-0000-0000-000083210000}"/>
    <cellStyle name="Normal 2 2 10 25 3 7" xfId="8626" xr:uid="{00000000-0005-0000-0000-000084210000}"/>
    <cellStyle name="Normal 2 2 10 25 3 8" xfId="8627" xr:uid="{00000000-0005-0000-0000-000085210000}"/>
    <cellStyle name="Normal 2 2 10 25 3 9" xfId="8628" xr:uid="{00000000-0005-0000-0000-000086210000}"/>
    <cellStyle name="Normal 2 2 10 25 4" xfId="8629" xr:uid="{00000000-0005-0000-0000-000087210000}"/>
    <cellStyle name="Normal 2 2 10 25 4 10" xfId="8630" xr:uid="{00000000-0005-0000-0000-000088210000}"/>
    <cellStyle name="Normal 2 2 10 25 4 2" xfId="8631" xr:uid="{00000000-0005-0000-0000-000089210000}"/>
    <cellStyle name="Normal 2 2 10 25 4 3" xfId="8632" xr:uid="{00000000-0005-0000-0000-00008A210000}"/>
    <cellStyle name="Normal 2 2 10 25 4 4" xfId="8633" xr:uid="{00000000-0005-0000-0000-00008B210000}"/>
    <cellStyle name="Normal 2 2 10 25 4 5" xfId="8634" xr:uid="{00000000-0005-0000-0000-00008C210000}"/>
    <cellStyle name="Normal 2 2 10 25 4 6" xfId="8635" xr:uid="{00000000-0005-0000-0000-00008D210000}"/>
    <cellStyle name="Normal 2 2 10 25 4 7" xfId="8636" xr:uid="{00000000-0005-0000-0000-00008E210000}"/>
    <cellStyle name="Normal 2 2 10 25 4 8" xfId="8637" xr:uid="{00000000-0005-0000-0000-00008F210000}"/>
    <cellStyle name="Normal 2 2 10 25 4 9" xfId="8638" xr:uid="{00000000-0005-0000-0000-000090210000}"/>
    <cellStyle name="Normal 2 2 10 25 5" xfId="8639" xr:uid="{00000000-0005-0000-0000-000091210000}"/>
    <cellStyle name="Normal 2 2 10 25 5 10" xfId="8640" xr:uid="{00000000-0005-0000-0000-000092210000}"/>
    <cellStyle name="Normal 2 2 10 25 5 2" xfId="8641" xr:uid="{00000000-0005-0000-0000-000093210000}"/>
    <cellStyle name="Normal 2 2 10 25 5 3" xfId="8642" xr:uid="{00000000-0005-0000-0000-000094210000}"/>
    <cellStyle name="Normal 2 2 10 25 5 4" xfId="8643" xr:uid="{00000000-0005-0000-0000-000095210000}"/>
    <cellStyle name="Normal 2 2 10 25 5 5" xfId="8644" xr:uid="{00000000-0005-0000-0000-000096210000}"/>
    <cellStyle name="Normal 2 2 10 25 5 6" xfId="8645" xr:uid="{00000000-0005-0000-0000-000097210000}"/>
    <cellStyle name="Normal 2 2 10 25 5 7" xfId="8646" xr:uid="{00000000-0005-0000-0000-000098210000}"/>
    <cellStyle name="Normal 2 2 10 25 5 8" xfId="8647" xr:uid="{00000000-0005-0000-0000-000099210000}"/>
    <cellStyle name="Normal 2 2 10 25 5 9" xfId="8648" xr:uid="{00000000-0005-0000-0000-00009A210000}"/>
    <cellStyle name="Normal 2 2 10 25 6" xfId="8649" xr:uid="{00000000-0005-0000-0000-00009B210000}"/>
    <cellStyle name="Normal 2 2 10 25 7" xfId="8650" xr:uid="{00000000-0005-0000-0000-00009C210000}"/>
    <cellStyle name="Normal 2 2 10 25 8" xfId="8651" xr:uid="{00000000-0005-0000-0000-00009D210000}"/>
    <cellStyle name="Normal 2 2 10 25 9" xfId="8652" xr:uid="{00000000-0005-0000-0000-00009E210000}"/>
    <cellStyle name="Normal 2 2 10 26" xfId="8653" xr:uid="{00000000-0005-0000-0000-00009F210000}"/>
    <cellStyle name="Normal 2 2 10 26 10" xfId="8654" xr:uid="{00000000-0005-0000-0000-0000A0210000}"/>
    <cellStyle name="Normal 2 2 10 26 11" xfId="8655" xr:uid="{00000000-0005-0000-0000-0000A1210000}"/>
    <cellStyle name="Normal 2 2 10 26 12" xfId="8656" xr:uid="{00000000-0005-0000-0000-0000A2210000}"/>
    <cellStyle name="Normal 2 2 10 26 13" xfId="8657" xr:uid="{00000000-0005-0000-0000-0000A3210000}"/>
    <cellStyle name="Normal 2 2 10 26 14" xfId="8658" xr:uid="{00000000-0005-0000-0000-0000A4210000}"/>
    <cellStyle name="Normal 2 2 10 26 2" xfId="8659" xr:uid="{00000000-0005-0000-0000-0000A5210000}"/>
    <cellStyle name="Normal 2 2 10 26 2 10" xfId="8660" xr:uid="{00000000-0005-0000-0000-0000A6210000}"/>
    <cellStyle name="Normal 2 2 10 26 2 2" xfId="8661" xr:uid="{00000000-0005-0000-0000-0000A7210000}"/>
    <cellStyle name="Normal 2 2 10 26 2 3" xfId="8662" xr:uid="{00000000-0005-0000-0000-0000A8210000}"/>
    <cellStyle name="Normal 2 2 10 26 2 4" xfId="8663" xr:uid="{00000000-0005-0000-0000-0000A9210000}"/>
    <cellStyle name="Normal 2 2 10 26 2 5" xfId="8664" xr:uid="{00000000-0005-0000-0000-0000AA210000}"/>
    <cellStyle name="Normal 2 2 10 26 2 6" xfId="8665" xr:uid="{00000000-0005-0000-0000-0000AB210000}"/>
    <cellStyle name="Normal 2 2 10 26 2 7" xfId="8666" xr:uid="{00000000-0005-0000-0000-0000AC210000}"/>
    <cellStyle name="Normal 2 2 10 26 2 8" xfId="8667" xr:uid="{00000000-0005-0000-0000-0000AD210000}"/>
    <cellStyle name="Normal 2 2 10 26 2 9" xfId="8668" xr:uid="{00000000-0005-0000-0000-0000AE210000}"/>
    <cellStyle name="Normal 2 2 10 26 3" xfId="8669" xr:uid="{00000000-0005-0000-0000-0000AF210000}"/>
    <cellStyle name="Normal 2 2 10 26 3 10" xfId="8670" xr:uid="{00000000-0005-0000-0000-0000B0210000}"/>
    <cellStyle name="Normal 2 2 10 26 3 2" xfId="8671" xr:uid="{00000000-0005-0000-0000-0000B1210000}"/>
    <cellStyle name="Normal 2 2 10 26 3 3" xfId="8672" xr:uid="{00000000-0005-0000-0000-0000B2210000}"/>
    <cellStyle name="Normal 2 2 10 26 3 4" xfId="8673" xr:uid="{00000000-0005-0000-0000-0000B3210000}"/>
    <cellStyle name="Normal 2 2 10 26 3 5" xfId="8674" xr:uid="{00000000-0005-0000-0000-0000B4210000}"/>
    <cellStyle name="Normal 2 2 10 26 3 6" xfId="8675" xr:uid="{00000000-0005-0000-0000-0000B5210000}"/>
    <cellStyle name="Normal 2 2 10 26 3 7" xfId="8676" xr:uid="{00000000-0005-0000-0000-0000B6210000}"/>
    <cellStyle name="Normal 2 2 10 26 3 8" xfId="8677" xr:uid="{00000000-0005-0000-0000-0000B7210000}"/>
    <cellStyle name="Normal 2 2 10 26 3 9" xfId="8678" xr:uid="{00000000-0005-0000-0000-0000B8210000}"/>
    <cellStyle name="Normal 2 2 10 26 4" xfId="8679" xr:uid="{00000000-0005-0000-0000-0000B9210000}"/>
    <cellStyle name="Normal 2 2 10 26 4 10" xfId="8680" xr:uid="{00000000-0005-0000-0000-0000BA210000}"/>
    <cellStyle name="Normal 2 2 10 26 4 2" xfId="8681" xr:uid="{00000000-0005-0000-0000-0000BB210000}"/>
    <cellStyle name="Normal 2 2 10 26 4 3" xfId="8682" xr:uid="{00000000-0005-0000-0000-0000BC210000}"/>
    <cellStyle name="Normal 2 2 10 26 4 4" xfId="8683" xr:uid="{00000000-0005-0000-0000-0000BD210000}"/>
    <cellStyle name="Normal 2 2 10 26 4 5" xfId="8684" xr:uid="{00000000-0005-0000-0000-0000BE210000}"/>
    <cellStyle name="Normal 2 2 10 26 4 6" xfId="8685" xr:uid="{00000000-0005-0000-0000-0000BF210000}"/>
    <cellStyle name="Normal 2 2 10 26 4 7" xfId="8686" xr:uid="{00000000-0005-0000-0000-0000C0210000}"/>
    <cellStyle name="Normal 2 2 10 26 4 8" xfId="8687" xr:uid="{00000000-0005-0000-0000-0000C1210000}"/>
    <cellStyle name="Normal 2 2 10 26 4 9" xfId="8688" xr:uid="{00000000-0005-0000-0000-0000C2210000}"/>
    <cellStyle name="Normal 2 2 10 26 5" xfId="8689" xr:uid="{00000000-0005-0000-0000-0000C3210000}"/>
    <cellStyle name="Normal 2 2 10 26 5 10" xfId="8690" xr:uid="{00000000-0005-0000-0000-0000C4210000}"/>
    <cellStyle name="Normal 2 2 10 26 5 2" xfId="8691" xr:uid="{00000000-0005-0000-0000-0000C5210000}"/>
    <cellStyle name="Normal 2 2 10 26 5 3" xfId="8692" xr:uid="{00000000-0005-0000-0000-0000C6210000}"/>
    <cellStyle name="Normal 2 2 10 26 5 4" xfId="8693" xr:uid="{00000000-0005-0000-0000-0000C7210000}"/>
    <cellStyle name="Normal 2 2 10 26 5 5" xfId="8694" xr:uid="{00000000-0005-0000-0000-0000C8210000}"/>
    <cellStyle name="Normal 2 2 10 26 5 6" xfId="8695" xr:uid="{00000000-0005-0000-0000-0000C9210000}"/>
    <cellStyle name="Normal 2 2 10 26 5 7" xfId="8696" xr:uid="{00000000-0005-0000-0000-0000CA210000}"/>
    <cellStyle name="Normal 2 2 10 26 5 8" xfId="8697" xr:uid="{00000000-0005-0000-0000-0000CB210000}"/>
    <cellStyle name="Normal 2 2 10 26 5 9" xfId="8698" xr:uid="{00000000-0005-0000-0000-0000CC210000}"/>
    <cellStyle name="Normal 2 2 10 26 6" xfId="8699" xr:uid="{00000000-0005-0000-0000-0000CD210000}"/>
    <cellStyle name="Normal 2 2 10 26 7" xfId="8700" xr:uid="{00000000-0005-0000-0000-0000CE210000}"/>
    <cellStyle name="Normal 2 2 10 26 8" xfId="8701" xr:uid="{00000000-0005-0000-0000-0000CF210000}"/>
    <cellStyle name="Normal 2 2 10 26 9" xfId="8702" xr:uid="{00000000-0005-0000-0000-0000D0210000}"/>
    <cellStyle name="Normal 2 2 10 27" xfId="8703" xr:uid="{00000000-0005-0000-0000-0000D1210000}"/>
    <cellStyle name="Normal 2 2 10 27 10" xfId="8704" xr:uid="{00000000-0005-0000-0000-0000D2210000}"/>
    <cellStyle name="Normal 2 2 10 27 11" xfId="8705" xr:uid="{00000000-0005-0000-0000-0000D3210000}"/>
    <cellStyle name="Normal 2 2 10 27 12" xfId="8706" xr:uid="{00000000-0005-0000-0000-0000D4210000}"/>
    <cellStyle name="Normal 2 2 10 27 13" xfId="8707" xr:uid="{00000000-0005-0000-0000-0000D5210000}"/>
    <cellStyle name="Normal 2 2 10 27 14" xfId="8708" xr:uid="{00000000-0005-0000-0000-0000D6210000}"/>
    <cellStyle name="Normal 2 2 10 27 2" xfId="8709" xr:uid="{00000000-0005-0000-0000-0000D7210000}"/>
    <cellStyle name="Normal 2 2 10 27 2 10" xfId="8710" xr:uid="{00000000-0005-0000-0000-0000D8210000}"/>
    <cellStyle name="Normal 2 2 10 27 2 2" xfId="8711" xr:uid="{00000000-0005-0000-0000-0000D9210000}"/>
    <cellStyle name="Normal 2 2 10 27 2 3" xfId="8712" xr:uid="{00000000-0005-0000-0000-0000DA210000}"/>
    <cellStyle name="Normal 2 2 10 27 2 4" xfId="8713" xr:uid="{00000000-0005-0000-0000-0000DB210000}"/>
    <cellStyle name="Normal 2 2 10 27 2 5" xfId="8714" xr:uid="{00000000-0005-0000-0000-0000DC210000}"/>
    <cellStyle name="Normal 2 2 10 27 2 6" xfId="8715" xr:uid="{00000000-0005-0000-0000-0000DD210000}"/>
    <cellStyle name="Normal 2 2 10 27 2 7" xfId="8716" xr:uid="{00000000-0005-0000-0000-0000DE210000}"/>
    <cellStyle name="Normal 2 2 10 27 2 8" xfId="8717" xr:uid="{00000000-0005-0000-0000-0000DF210000}"/>
    <cellStyle name="Normal 2 2 10 27 2 9" xfId="8718" xr:uid="{00000000-0005-0000-0000-0000E0210000}"/>
    <cellStyle name="Normal 2 2 10 27 3" xfId="8719" xr:uid="{00000000-0005-0000-0000-0000E1210000}"/>
    <cellStyle name="Normal 2 2 10 27 3 10" xfId="8720" xr:uid="{00000000-0005-0000-0000-0000E2210000}"/>
    <cellStyle name="Normal 2 2 10 27 3 2" xfId="8721" xr:uid="{00000000-0005-0000-0000-0000E3210000}"/>
    <cellStyle name="Normal 2 2 10 27 3 3" xfId="8722" xr:uid="{00000000-0005-0000-0000-0000E4210000}"/>
    <cellStyle name="Normal 2 2 10 27 3 4" xfId="8723" xr:uid="{00000000-0005-0000-0000-0000E5210000}"/>
    <cellStyle name="Normal 2 2 10 27 3 5" xfId="8724" xr:uid="{00000000-0005-0000-0000-0000E6210000}"/>
    <cellStyle name="Normal 2 2 10 27 3 6" xfId="8725" xr:uid="{00000000-0005-0000-0000-0000E7210000}"/>
    <cellStyle name="Normal 2 2 10 27 3 7" xfId="8726" xr:uid="{00000000-0005-0000-0000-0000E8210000}"/>
    <cellStyle name="Normal 2 2 10 27 3 8" xfId="8727" xr:uid="{00000000-0005-0000-0000-0000E9210000}"/>
    <cellStyle name="Normal 2 2 10 27 3 9" xfId="8728" xr:uid="{00000000-0005-0000-0000-0000EA210000}"/>
    <cellStyle name="Normal 2 2 10 27 4" xfId="8729" xr:uid="{00000000-0005-0000-0000-0000EB210000}"/>
    <cellStyle name="Normal 2 2 10 27 4 10" xfId="8730" xr:uid="{00000000-0005-0000-0000-0000EC210000}"/>
    <cellStyle name="Normal 2 2 10 27 4 2" xfId="8731" xr:uid="{00000000-0005-0000-0000-0000ED210000}"/>
    <cellStyle name="Normal 2 2 10 27 4 3" xfId="8732" xr:uid="{00000000-0005-0000-0000-0000EE210000}"/>
    <cellStyle name="Normal 2 2 10 27 4 4" xfId="8733" xr:uid="{00000000-0005-0000-0000-0000EF210000}"/>
    <cellStyle name="Normal 2 2 10 27 4 5" xfId="8734" xr:uid="{00000000-0005-0000-0000-0000F0210000}"/>
    <cellStyle name="Normal 2 2 10 27 4 6" xfId="8735" xr:uid="{00000000-0005-0000-0000-0000F1210000}"/>
    <cellStyle name="Normal 2 2 10 27 4 7" xfId="8736" xr:uid="{00000000-0005-0000-0000-0000F2210000}"/>
    <cellStyle name="Normal 2 2 10 27 4 8" xfId="8737" xr:uid="{00000000-0005-0000-0000-0000F3210000}"/>
    <cellStyle name="Normal 2 2 10 27 4 9" xfId="8738" xr:uid="{00000000-0005-0000-0000-0000F4210000}"/>
    <cellStyle name="Normal 2 2 10 27 5" xfId="8739" xr:uid="{00000000-0005-0000-0000-0000F5210000}"/>
    <cellStyle name="Normal 2 2 10 27 5 10" xfId="8740" xr:uid="{00000000-0005-0000-0000-0000F6210000}"/>
    <cellStyle name="Normal 2 2 10 27 5 2" xfId="8741" xr:uid="{00000000-0005-0000-0000-0000F7210000}"/>
    <cellStyle name="Normal 2 2 10 27 5 3" xfId="8742" xr:uid="{00000000-0005-0000-0000-0000F8210000}"/>
    <cellStyle name="Normal 2 2 10 27 5 4" xfId="8743" xr:uid="{00000000-0005-0000-0000-0000F9210000}"/>
    <cellStyle name="Normal 2 2 10 27 5 5" xfId="8744" xr:uid="{00000000-0005-0000-0000-0000FA210000}"/>
    <cellStyle name="Normal 2 2 10 27 5 6" xfId="8745" xr:uid="{00000000-0005-0000-0000-0000FB210000}"/>
    <cellStyle name="Normal 2 2 10 27 5 7" xfId="8746" xr:uid="{00000000-0005-0000-0000-0000FC210000}"/>
    <cellStyle name="Normal 2 2 10 27 5 8" xfId="8747" xr:uid="{00000000-0005-0000-0000-0000FD210000}"/>
    <cellStyle name="Normal 2 2 10 27 5 9" xfId="8748" xr:uid="{00000000-0005-0000-0000-0000FE210000}"/>
    <cellStyle name="Normal 2 2 10 27 6" xfId="8749" xr:uid="{00000000-0005-0000-0000-0000FF210000}"/>
    <cellStyle name="Normal 2 2 10 27 7" xfId="8750" xr:uid="{00000000-0005-0000-0000-000000220000}"/>
    <cellStyle name="Normal 2 2 10 27 8" xfId="8751" xr:uid="{00000000-0005-0000-0000-000001220000}"/>
    <cellStyle name="Normal 2 2 10 27 9" xfId="8752" xr:uid="{00000000-0005-0000-0000-000002220000}"/>
    <cellStyle name="Normal 2 2 10 28" xfId="8753" xr:uid="{00000000-0005-0000-0000-000003220000}"/>
    <cellStyle name="Normal 2 2 10 28 10" xfId="8754" xr:uid="{00000000-0005-0000-0000-000004220000}"/>
    <cellStyle name="Normal 2 2 10 28 11" xfId="8755" xr:uid="{00000000-0005-0000-0000-000005220000}"/>
    <cellStyle name="Normal 2 2 10 28 12" xfId="8756" xr:uid="{00000000-0005-0000-0000-000006220000}"/>
    <cellStyle name="Normal 2 2 10 28 13" xfId="8757" xr:uid="{00000000-0005-0000-0000-000007220000}"/>
    <cellStyle name="Normal 2 2 10 28 14" xfId="8758" xr:uid="{00000000-0005-0000-0000-000008220000}"/>
    <cellStyle name="Normal 2 2 10 28 2" xfId="8759" xr:uid="{00000000-0005-0000-0000-000009220000}"/>
    <cellStyle name="Normal 2 2 10 28 2 10" xfId="8760" xr:uid="{00000000-0005-0000-0000-00000A220000}"/>
    <cellStyle name="Normal 2 2 10 28 2 2" xfId="8761" xr:uid="{00000000-0005-0000-0000-00000B220000}"/>
    <cellStyle name="Normal 2 2 10 28 2 3" xfId="8762" xr:uid="{00000000-0005-0000-0000-00000C220000}"/>
    <cellStyle name="Normal 2 2 10 28 2 4" xfId="8763" xr:uid="{00000000-0005-0000-0000-00000D220000}"/>
    <cellStyle name="Normal 2 2 10 28 2 5" xfId="8764" xr:uid="{00000000-0005-0000-0000-00000E220000}"/>
    <cellStyle name="Normal 2 2 10 28 2 6" xfId="8765" xr:uid="{00000000-0005-0000-0000-00000F220000}"/>
    <cellStyle name="Normal 2 2 10 28 2 7" xfId="8766" xr:uid="{00000000-0005-0000-0000-000010220000}"/>
    <cellStyle name="Normal 2 2 10 28 2 8" xfId="8767" xr:uid="{00000000-0005-0000-0000-000011220000}"/>
    <cellStyle name="Normal 2 2 10 28 2 9" xfId="8768" xr:uid="{00000000-0005-0000-0000-000012220000}"/>
    <cellStyle name="Normal 2 2 10 28 3" xfId="8769" xr:uid="{00000000-0005-0000-0000-000013220000}"/>
    <cellStyle name="Normal 2 2 10 28 3 10" xfId="8770" xr:uid="{00000000-0005-0000-0000-000014220000}"/>
    <cellStyle name="Normal 2 2 10 28 3 2" xfId="8771" xr:uid="{00000000-0005-0000-0000-000015220000}"/>
    <cellStyle name="Normal 2 2 10 28 3 3" xfId="8772" xr:uid="{00000000-0005-0000-0000-000016220000}"/>
    <cellStyle name="Normal 2 2 10 28 3 4" xfId="8773" xr:uid="{00000000-0005-0000-0000-000017220000}"/>
    <cellStyle name="Normal 2 2 10 28 3 5" xfId="8774" xr:uid="{00000000-0005-0000-0000-000018220000}"/>
    <cellStyle name="Normal 2 2 10 28 3 6" xfId="8775" xr:uid="{00000000-0005-0000-0000-000019220000}"/>
    <cellStyle name="Normal 2 2 10 28 3 7" xfId="8776" xr:uid="{00000000-0005-0000-0000-00001A220000}"/>
    <cellStyle name="Normal 2 2 10 28 3 8" xfId="8777" xr:uid="{00000000-0005-0000-0000-00001B220000}"/>
    <cellStyle name="Normal 2 2 10 28 3 9" xfId="8778" xr:uid="{00000000-0005-0000-0000-00001C220000}"/>
    <cellStyle name="Normal 2 2 10 28 4" xfId="8779" xr:uid="{00000000-0005-0000-0000-00001D220000}"/>
    <cellStyle name="Normal 2 2 10 28 4 10" xfId="8780" xr:uid="{00000000-0005-0000-0000-00001E220000}"/>
    <cellStyle name="Normal 2 2 10 28 4 2" xfId="8781" xr:uid="{00000000-0005-0000-0000-00001F220000}"/>
    <cellStyle name="Normal 2 2 10 28 4 3" xfId="8782" xr:uid="{00000000-0005-0000-0000-000020220000}"/>
    <cellStyle name="Normal 2 2 10 28 4 4" xfId="8783" xr:uid="{00000000-0005-0000-0000-000021220000}"/>
    <cellStyle name="Normal 2 2 10 28 4 5" xfId="8784" xr:uid="{00000000-0005-0000-0000-000022220000}"/>
    <cellStyle name="Normal 2 2 10 28 4 6" xfId="8785" xr:uid="{00000000-0005-0000-0000-000023220000}"/>
    <cellStyle name="Normal 2 2 10 28 4 7" xfId="8786" xr:uid="{00000000-0005-0000-0000-000024220000}"/>
    <cellStyle name="Normal 2 2 10 28 4 8" xfId="8787" xr:uid="{00000000-0005-0000-0000-000025220000}"/>
    <cellStyle name="Normal 2 2 10 28 4 9" xfId="8788" xr:uid="{00000000-0005-0000-0000-000026220000}"/>
    <cellStyle name="Normal 2 2 10 28 5" xfId="8789" xr:uid="{00000000-0005-0000-0000-000027220000}"/>
    <cellStyle name="Normal 2 2 10 28 5 10" xfId="8790" xr:uid="{00000000-0005-0000-0000-000028220000}"/>
    <cellStyle name="Normal 2 2 10 28 5 2" xfId="8791" xr:uid="{00000000-0005-0000-0000-000029220000}"/>
    <cellStyle name="Normal 2 2 10 28 5 3" xfId="8792" xr:uid="{00000000-0005-0000-0000-00002A220000}"/>
    <cellStyle name="Normal 2 2 10 28 5 4" xfId="8793" xr:uid="{00000000-0005-0000-0000-00002B220000}"/>
    <cellStyle name="Normal 2 2 10 28 5 5" xfId="8794" xr:uid="{00000000-0005-0000-0000-00002C220000}"/>
    <cellStyle name="Normal 2 2 10 28 5 6" xfId="8795" xr:uid="{00000000-0005-0000-0000-00002D220000}"/>
    <cellStyle name="Normal 2 2 10 28 5 7" xfId="8796" xr:uid="{00000000-0005-0000-0000-00002E220000}"/>
    <cellStyle name="Normal 2 2 10 28 5 8" xfId="8797" xr:uid="{00000000-0005-0000-0000-00002F220000}"/>
    <cellStyle name="Normal 2 2 10 28 5 9" xfId="8798" xr:uid="{00000000-0005-0000-0000-000030220000}"/>
    <cellStyle name="Normal 2 2 10 28 6" xfId="8799" xr:uid="{00000000-0005-0000-0000-000031220000}"/>
    <cellStyle name="Normal 2 2 10 28 7" xfId="8800" xr:uid="{00000000-0005-0000-0000-000032220000}"/>
    <cellStyle name="Normal 2 2 10 28 8" xfId="8801" xr:uid="{00000000-0005-0000-0000-000033220000}"/>
    <cellStyle name="Normal 2 2 10 28 9" xfId="8802" xr:uid="{00000000-0005-0000-0000-000034220000}"/>
    <cellStyle name="Normal 2 2 10 29" xfId="8803" xr:uid="{00000000-0005-0000-0000-000035220000}"/>
    <cellStyle name="Normal 2 2 10 29 10" xfId="8804" xr:uid="{00000000-0005-0000-0000-000036220000}"/>
    <cellStyle name="Normal 2 2 10 29 11" xfId="8805" xr:uid="{00000000-0005-0000-0000-000037220000}"/>
    <cellStyle name="Normal 2 2 10 29 12" xfId="8806" xr:uid="{00000000-0005-0000-0000-000038220000}"/>
    <cellStyle name="Normal 2 2 10 29 13" xfId="8807" xr:uid="{00000000-0005-0000-0000-000039220000}"/>
    <cellStyle name="Normal 2 2 10 29 14" xfId="8808" xr:uid="{00000000-0005-0000-0000-00003A220000}"/>
    <cellStyle name="Normal 2 2 10 29 2" xfId="8809" xr:uid="{00000000-0005-0000-0000-00003B220000}"/>
    <cellStyle name="Normal 2 2 10 29 2 10" xfId="8810" xr:uid="{00000000-0005-0000-0000-00003C220000}"/>
    <cellStyle name="Normal 2 2 10 29 2 2" xfId="8811" xr:uid="{00000000-0005-0000-0000-00003D220000}"/>
    <cellStyle name="Normal 2 2 10 29 2 3" xfId="8812" xr:uid="{00000000-0005-0000-0000-00003E220000}"/>
    <cellStyle name="Normal 2 2 10 29 2 4" xfId="8813" xr:uid="{00000000-0005-0000-0000-00003F220000}"/>
    <cellStyle name="Normal 2 2 10 29 2 5" xfId="8814" xr:uid="{00000000-0005-0000-0000-000040220000}"/>
    <cellStyle name="Normal 2 2 10 29 2 6" xfId="8815" xr:uid="{00000000-0005-0000-0000-000041220000}"/>
    <cellStyle name="Normal 2 2 10 29 2 7" xfId="8816" xr:uid="{00000000-0005-0000-0000-000042220000}"/>
    <cellStyle name="Normal 2 2 10 29 2 8" xfId="8817" xr:uid="{00000000-0005-0000-0000-000043220000}"/>
    <cellStyle name="Normal 2 2 10 29 2 9" xfId="8818" xr:uid="{00000000-0005-0000-0000-000044220000}"/>
    <cellStyle name="Normal 2 2 10 29 3" xfId="8819" xr:uid="{00000000-0005-0000-0000-000045220000}"/>
    <cellStyle name="Normal 2 2 10 29 3 10" xfId="8820" xr:uid="{00000000-0005-0000-0000-000046220000}"/>
    <cellStyle name="Normal 2 2 10 29 3 2" xfId="8821" xr:uid="{00000000-0005-0000-0000-000047220000}"/>
    <cellStyle name="Normal 2 2 10 29 3 3" xfId="8822" xr:uid="{00000000-0005-0000-0000-000048220000}"/>
    <cellStyle name="Normal 2 2 10 29 3 4" xfId="8823" xr:uid="{00000000-0005-0000-0000-000049220000}"/>
    <cellStyle name="Normal 2 2 10 29 3 5" xfId="8824" xr:uid="{00000000-0005-0000-0000-00004A220000}"/>
    <cellStyle name="Normal 2 2 10 29 3 6" xfId="8825" xr:uid="{00000000-0005-0000-0000-00004B220000}"/>
    <cellStyle name="Normal 2 2 10 29 3 7" xfId="8826" xr:uid="{00000000-0005-0000-0000-00004C220000}"/>
    <cellStyle name="Normal 2 2 10 29 3 8" xfId="8827" xr:uid="{00000000-0005-0000-0000-00004D220000}"/>
    <cellStyle name="Normal 2 2 10 29 3 9" xfId="8828" xr:uid="{00000000-0005-0000-0000-00004E220000}"/>
    <cellStyle name="Normal 2 2 10 29 4" xfId="8829" xr:uid="{00000000-0005-0000-0000-00004F220000}"/>
    <cellStyle name="Normal 2 2 10 29 4 10" xfId="8830" xr:uid="{00000000-0005-0000-0000-000050220000}"/>
    <cellStyle name="Normal 2 2 10 29 4 2" xfId="8831" xr:uid="{00000000-0005-0000-0000-000051220000}"/>
    <cellStyle name="Normal 2 2 10 29 4 3" xfId="8832" xr:uid="{00000000-0005-0000-0000-000052220000}"/>
    <cellStyle name="Normal 2 2 10 29 4 4" xfId="8833" xr:uid="{00000000-0005-0000-0000-000053220000}"/>
    <cellStyle name="Normal 2 2 10 29 4 5" xfId="8834" xr:uid="{00000000-0005-0000-0000-000054220000}"/>
    <cellStyle name="Normal 2 2 10 29 4 6" xfId="8835" xr:uid="{00000000-0005-0000-0000-000055220000}"/>
    <cellStyle name="Normal 2 2 10 29 4 7" xfId="8836" xr:uid="{00000000-0005-0000-0000-000056220000}"/>
    <cellStyle name="Normal 2 2 10 29 4 8" xfId="8837" xr:uid="{00000000-0005-0000-0000-000057220000}"/>
    <cellStyle name="Normal 2 2 10 29 4 9" xfId="8838" xr:uid="{00000000-0005-0000-0000-000058220000}"/>
    <cellStyle name="Normal 2 2 10 29 5" xfId="8839" xr:uid="{00000000-0005-0000-0000-000059220000}"/>
    <cellStyle name="Normal 2 2 10 29 5 10" xfId="8840" xr:uid="{00000000-0005-0000-0000-00005A220000}"/>
    <cellStyle name="Normal 2 2 10 29 5 2" xfId="8841" xr:uid="{00000000-0005-0000-0000-00005B220000}"/>
    <cellStyle name="Normal 2 2 10 29 5 3" xfId="8842" xr:uid="{00000000-0005-0000-0000-00005C220000}"/>
    <cellStyle name="Normal 2 2 10 29 5 4" xfId="8843" xr:uid="{00000000-0005-0000-0000-00005D220000}"/>
    <cellStyle name="Normal 2 2 10 29 5 5" xfId="8844" xr:uid="{00000000-0005-0000-0000-00005E220000}"/>
    <cellStyle name="Normal 2 2 10 29 5 6" xfId="8845" xr:uid="{00000000-0005-0000-0000-00005F220000}"/>
    <cellStyle name="Normal 2 2 10 29 5 7" xfId="8846" xr:uid="{00000000-0005-0000-0000-000060220000}"/>
    <cellStyle name="Normal 2 2 10 29 5 8" xfId="8847" xr:uid="{00000000-0005-0000-0000-000061220000}"/>
    <cellStyle name="Normal 2 2 10 29 5 9" xfId="8848" xr:uid="{00000000-0005-0000-0000-000062220000}"/>
    <cellStyle name="Normal 2 2 10 29 6" xfId="8849" xr:uid="{00000000-0005-0000-0000-000063220000}"/>
    <cellStyle name="Normal 2 2 10 29 7" xfId="8850" xr:uid="{00000000-0005-0000-0000-000064220000}"/>
    <cellStyle name="Normal 2 2 10 29 8" xfId="8851" xr:uid="{00000000-0005-0000-0000-000065220000}"/>
    <cellStyle name="Normal 2 2 10 29 9" xfId="8852" xr:uid="{00000000-0005-0000-0000-000066220000}"/>
    <cellStyle name="Normal 2 2 10 3" xfId="8853" xr:uid="{00000000-0005-0000-0000-000067220000}"/>
    <cellStyle name="Normal 2 2 10 3 10" xfId="8854" xr:uid="{00000000-0005-0000-0000-000068220000}"/>
    <cellStyle name="Normal 2 2 10 3 11" xfId="8855" xr:uid="{00000000-0005-0000-0000-000069220000}"/>
    <cellStyle name="Normal 2 2 10 3 12" xfId="8856" xr:uid="{00000000-0005-0000-0000-00006A220000}"/>
    <cellStyle name="Normal 2 2 10 3 13" xfId="8857" xr:uid="{00000000-0005-0000-0000-00006B220000}"/>
    <cellStyle name="Normal 2 2 10 3 14" xfId="8858" xr:uid="{00000000-0005-0000-0000-00006C220000}"/>
    <cellStyle name="Normal 2 2 10 3 2" xfId="8859" xr:uid="{00000000-0005-0000-0000-00006D220000}"/>
    <cellStyle name="Normal 2 2 10 3 2 10" xfId="8860" xr:uid="{00000000-0005-0000-0000-00006E220000}"/>
    <cellStyle name="Normal 2 2 10 3 2 2" xfId="8861" xr:uid="{00000000-0005-0000-0000-00006F220000}"/>
    <cellStyle name="Normal 2 2 10 3 2 3" xfId="8862" xr:uid="{00000000-0005-0000-0000-000070220000}"/>
    <cellStyle name="Normal 2 2 10 3 2 4" xfId="8863" xr:uid="{00000000-0005-0000-0000-000071220000}"/>
    <cellStyle name="Normal 2 2 10 3 2 5" xfId="8864" xr:uid="{00000000-0005-0000-0000-000072220000}"/>
    <cellStyle name="Normal 2 2 10 3 2 6" xfId="8865" xr:uid="{00000000-0005-0000-0000-000073220000}"/>
    <cellStyle name="Normal 2 2 10 3 2 7" xfId="8866" xr:uid="{00000000-0005-0000-0000-000074220000}"/>
    <cellStyle name="Normal 2 2 10 3 2 8" xfId="8867" xr:uid="{00000000-0005-0000-0000-000075220000}"/>
    <cellStyle name="Normal 2 2 10 3 2 9" xfId="8868" xr:uid="{00000000-0005-0000-0000-000076220000}"/>
    <cellStyle name="Normal 2 2 10 3 3" xfId="8869" xr:uid="{00000000-0005-0000-0000-000077220000}"/>
    <cellStyle name="Normal 2 2 10 3 3 10" xfId="8870" xr:uid="{00000000-0005-0000-0000-000078220000}"/>
    <cellStyle name="Normal 2 2 10 3 3 2" xfId="8871" xr:uid="{00000000-0005-0000-0000-000079220000}"/>
    <cellStyle name="Normal 2 2 10 3 3 3" xfId="8872" xr:uid="{00000000-0005-0000-0000-00007A220000}"/>
    <cellStyle name="Normal 2 2 10 3 3 4" xfId="8873" xr:uid="{00000000-0005-0000-0000-00007B220000}"/>
    <cellStyle name="Normal 2 2 10 3 3 5" xfId="8874" xr:uid="{00000000-0005-0000-0000-00007C220000}"/>
    <cellStyle name="Normal 2 2 10 3 3 6" xfId="8875" xr:uid="{00000000-0005-0000-0000-00007D220000}"/>
    <cellStyle name="Normal 2 2 10 3 3 7" xfId="8876" xr:uid="{00000000-0005-0000-0000-00007E220000}"/>
    <cellStyle name="Normal 2 2 10 3 3 8" xfId="8877" xr:uid="{00000000-0005-0000-0000-00007F220000}"/>
    <cellStyle name="Normal 2 2 10 3 3 9" xfId="8878" xr:uid="{00000000-0005-0000-0000-000080220000}"/>
    <cellStyle name="Normal 2 2 10 3 4" xfId="8879" xr:uid="{00000000-0005-0000-0000-000081220000}"/>
    <cellStyle name="Normal 2 2 10 3 4 10" xfId="8880" xr:uid="{00000000-0005-0000-0000-000082220000}"/>
    <cellStyle name="Normal 2 2 10 3 4 2" xfId="8881" xr:uid="{00000000-0005-0000-0000-000083220000}"/>
    <cellStyle name="Normal 2 2 10 3 4 3" xfId="8882" xr:uid="{00000000-0005-0000-0000-000084220000}"/>
    <cellStyle name="Normal 2 2 10 3 4 4" xfId="8883" xr:uid="{00000000-0005-0000-0000-000085220000}"/>
    <cellStyle name="Normal 2 2 10 3 4 5" xfId="8884" xr:uid="{00000000-0005-0000-0000-000086220000}"/>
    <cellStyle name="Normal 2 2 10 3 4 6" xfId="8885" xr:uid="{00000000-0005-0000-0000-000087220000}"/>
    <cellStyle name="Normal 2 2 10 3 4 7" xfId="8886" xr:uid="{00000000-0005-0000-0000-000088220000}"/>
    <cellStyle name="Normal 2 2 10 3 4 8" xfId="8887" xr:uid="{00000000-0005-0000-0000-000089220000}"/>
    <cellStyle name="Normal 2 2 10 3 4 9" xfId="8888" xr:uid="{00000000-0005-0000-0000-00008A220000}"/>
    <cellStyle name="Normal 2 2 10 3 5" xfId="8889" xr:uid="{00000000-0005-0000-0000-00008B220000}"/>
    <cellStyle name="Normal 2 2 10 3 5 10" xfId="8890" xr:uid="{00000000-0005-0000-0000-00008C220000}"/>
    <cellStyle name="Normal 2 2 10 3 5 2" xfId="8891" xr:uid="{00000000-0005-0000-0000-00008D220000}"/>
    <cellStyle name="Normal 2 2 10 3 5 3" xfId="8892" xr:uid="{00000000-0005-0000-0000-00008E220000}"/>
    <cellStyle name="Normal 2 2 10 3 5 4" xfId="8893" xr:uid="{00000000-0005-0000-0000-00008F220000}"/>
    <cellStyle name="Normal 2 2 10 3 5 5" xfId="8894" xr:uid="{00000000-0005-0000-0000-000090220000}"/>
    <cellStyle name="Normal 2 2 10 3 5 6" xfId="8895" xr:uid="{00000000-0005-0000-0000-000091220000}"/>
    <cellStyle name="Normal 2 2 10 3 5 7" xfId="8896" xr:uid="{00000000-0005-0000-0000-000092220000}"/>
    <cellStyle name="Normal 2 2 10 3 5 8" xfId="8897" xr:uid="{00000000-0005-0000-0000-000093220000}"/>
    <cellStyle name="Normal 2 2 10 3 5 9" xfId="8898" xr:uid="{00000000-0005-0000-0000-000094220000}"/>
    <cellStyle name="Normal 2 2 10 3 6" xfId="8899" xr:uid="{00000000-0005-0000-0000-000095220000}"/>
    <cellStyle name="Normal 2 2 10 3 7" xfId="8900" xr:uid="{00000000-0005-0000-0000-000096220000}"/>
    <cellStyle name="Normal 2 2 10 3 8" xfId="8901" xr:uid="{00000000-0005-0000-0000-000097220000}"/>
    <cellStyle name="Normal 2 2 10 3 9" xfId="8902" xr:uid="{00000000-0005-0000-0000-000098220000}"/>
    <cellStyle name="Normal 2 2 10 30" xfId="8903" xr:uid="{00000000-0005-0000-0000-000099220000}"/>
    <cellStyle name="Normal 2 2 10 30 10" xfId="8904" xr:uid="{00000000-0005-0000-0000-00009A220000}"/>
    <cellStyle name="Normal 2 2 10 30 11" xfId="8905" xr:uid="{00000000-0005-0000-0000-00009B220000}"/>
    <cellStyle name="Normal 2 2 10 30 12" xfId="8906" xr:uid="{00000000-0005-0000-0000-00009C220000}"/>
    <cellStyle name="Normal 2 2 10 30 13" xfId="8907" xr:uid="{00000000-0005-0000-0000-00009D220000}"/>
    <cellStyle name="Normal 2 2 10 30 14" xfId="8908" xr:uid="{00000000-0005-0000-0000-00009E220000}"/>
    <cellStyle name="Normal 2 2 10 30 2" xfId="8909" xr:uid="{00000000-0005-0000-0000-00009F220000}"/>
    <cellStyle name="Normal 2 2 10 30 2 10" xfId="8910" xr:uid="{00000000-0005-0000-0000-0000A0220000}"/>
    <cellStyle name="Normal 2 2 10 30 2 2" xfId="8911" xr:uid="{00000000-0005-0000-0000-0000A1220000}"/>
    <cellStyle name="Normal 2 2 10 30 2 3" xfId="8912" xr:uid="{00000000-0005-0000-0000-0000A2220000}"/>
    <cellStyle name="Normal 2 2 10 30 2 4" xfId="8913" xr:uid="{00000000-0005-0000-0000-0000A3220000}"/>
    <cellStyle name="Normal 2 2 10 30 2 5" xfId="8914" xr:uid="{00000000-0005-0000-0000-0000A4220000}"/>
    <cellStyle name="Normal 2 2 10 30 2 6" xfId="8915" xr:uid="{00000000-0005-0000-0000-0000A5220000}"/>
    <cellStyle name="Normal 2 2 10 30 2 7" xfId="8916" xr:uid="{00000000-0005-0000-0000-0000A6220000}"/>
    <cellStyle name="Normal 2 2 10 30 2 8" xfId="8917" xr:uid="{00000000-0005-0000-0000-0000A7220000}"/>
    <cellStyle name="Normal 2 2 10 30 2 9" xfId="8918" xr:uid="{00000000-0005-0000-0000-0000A8220000}"/>
    <cellStyle name="Normal 2 2 10 30 3" xfId="8919" xr:uid="{00000000-0005-0000-0000-0000A9220000}"/>
    <cellStyle name="Normal 2 2 10 30 3 10" xfId="8920" xr:uid="{00000000-0005-0000-0000-0000AA220000}"/>
    <cellStyle name="Normal 2 2 10 30 3 2" xfId="8921" xr:uid="{00000000-0005-0000-0000-0000AB220000}"/>
    <cellStyle name="Normal 2 2 10 30 3 3" xfId="8922" xr:uid="{00000000-0005-0000-0000-0000AC220000}"/>
    <cellStyle name="Normal 2 2 10 30 3 4" xfId="8923" xr:uid="{00000000-0005-0000-0000-0000AD220000}"/>
    <cellStyle name="Normal 2 2 10 30 3 5" xfId="8924" xr:uid="{00000000-0005-0000-0000-0000AE220000}"/>
    <cellStyle name="Normal 2 2 10 30 3 6" xfId="8925" xr:uid="{00000000-0005-0000-0000-0000AF220000}"/>
    <cellStyle name="Normal 2 2 10 30 3 7" xfId="8926" xr:uid="{00000000-0005-0000-0000-0000B0220000}"/>
    <cellStyle name="Normal 2 2 10 30 3 8" xfId="8927" xr:uid="{00000000-0005-0000-0000-0000B1220000}"/>
    <cellStyle name="Normal 2 2 10 30 3 9" xfId="8928" xr:uid="{00000000-0005-0000-0000-0000B2220000}"/>
    <cellStyle name="Normal 2 2 10 30 4" xfId="8929" xr:uid="{00000000-0005-0000-0000-0000B3220000}"/>
    <cellStyle name="Normal 2 2 10 30 4 10" xfId="8930" xr:uid="{00000000-0005-0000-0000-0000B4220000}"/>
    <cellStyle name="Normal 2 2 10 30 4 2" xfId="8931" xr:uid="{00000000-0005-0000-0000-0000B5220000}"/>
    <cellStyle name="Normal 2 2 10 30 4 3" xfId="8932" xr:uid="{00000000-0005-0000-0000-0000B6220000}"/>
    <cellStyle name="Normal 2 2 10 30 4 4" xfId="8933" xr:uid="{00000000-0005-0000-0000-0000B7220000}"/>
    <cellStyle name="Normal 2 2 10 30 4 5" xfId="8934" xr:uid="{00000000-0005-0000-0000-0000B8220000}"/>
    <cellStyle name="Normal 2 2 10 30 4 6" xfId="8935" xr:uid="{00000000-0005-0000-0000-0000B9220000}"/>
    <cellStyle name="Normal 2 2 10 30 4 7" xfId="8936" xr:uid="{00000000-0005-0000-0000-0000BA220000}"/>
    <cellStyle name="Normal 2 2 10 30 4 8" xfId="8937" xr:uid="{00000000-0005-0000-0000-0000BB220000}"/>
    <cellStyle name="Normal 2 2 10 30 4 9" xfId="8938" xr:uid="{00000000-0005-0000-0000-0000BC220000}"/>
    <cellStyle name="Normal 2 2 10 30 5" xfId="8939" xr:uid="{00000000-0005-0000-0000-0000BD220000}"/>
    <cellStyle name="Normal 2 2 10 30 5 10" xfId="8940" xr:uid="{00000000-0005-0000-0000-0000BE220000}"/>
    <cellStyle name="Normal 2 2 10 30 5 2" xfId="8941" xr:uid="{00000000-0005-0000-0000-0000BF220000}"/>
    <cellStyle name="Normal 2 2 10 30 5 3" xfId="8942" xr:uid="{00000000-0005-0000-0000-0000C0220000}"/>
    <cellStyle name="Normal 2 2 10 30 5 4" xfId="8943" xr:uid="{00000000-0005-0000-0000-0000C1220000}"/>
    <cellStyle name="Normal 2 2 10 30 5 5" xfId="8944" xr:uid="{00000000-0005-0000-0000-0000C2220000}"/>
    <cellStyle name="Normal 2 2 10 30 5 6" xfId="8945" xr:uid="{00000000-0005-0000-0000-0000C3220000}"/>
    <cellStyle name="Normal 2 2 10 30 5 7" xfId="8946" xr:uid="{00000000-0005-0000-0000-0000C4220000}"/>
    <cellStyle name="Normal 2 2 10 30 5 8" xfId="8947" xr:uid="{00000000-0005-0000-0000-0000C5220000}"/>
    <cellStyle name="Normal 2 2 10 30 5 9" xfId="8948" xr:uid="{00000000-0005-0000-0000-0000C6220000}"/>
    <cellStyle name="Normal 2 2 10 30 6" xfId="8949" xr:uid="{00000000-0005-0000-0000-0000C7220000}"/>
    <cellStyle name="Normal 2 2 10 30 7" xfId="8950" xr:uid="{00000000-0005-0000-0000-0000C8220000}"/>
    <cellStyle name="Normal 2 2 10 30 8" xfId="8951" xr:uid="{00000000-0005-0000-0000-0000C9220000}"/>
    <cellStyle name="Normal 2 2 10 30 9" xfId="8952" xr:uid="{00000000-0005-0000-0000-0000CA220000}"/>
    <cellStyle name="Normal 2 2 10 31" xfId="8953" xr:uid="{00000000-0005-0000-0000-0000CB220000}"/>
    <cellStyle name="Normal 2 2 10 31 10" xfId="8954" xr:uid="{00000000-0005-0000-0000-0000CC220000}"/>
    <cellStyle name="Normal 2 2 10 31 11" xfId="8955" xr:uid="{00000000-0005-0000-0000-0000CD220000}"/>
    <cellStyle name="Normal 2 2 10 31 12" xfId="8956" xr:uid="{00000000-0005-0000-0000-0000CE220000}"/>
    <cellStyle name="Normal 2 2 10 31 13" xfId="8957" xr:uid="{00000000-0005-0000-0000-0000CF220000}"/>
    <cellStyle name="Normal 2 2 10 31 14" xfId="8958" xr:uid="{00000000-0005-0000-0000-0000D0220000}"/>
    <cellStyle name="Normal 2 2 10 31 2" xfId="8959" xr:uid="{00000000-0005-0000-0000-0000D1220000}"/>
    <cellStyle name="Normal 2 2 10 31 2 10" xfId="8960" xr:uid="{00000000-0005-0000-0000-0000D2220000}"/>
    <cellStyle name="Normal 2 2 10 31 2 2" xfId="8961" xr:uid="{00000000-0005-0000-0000-0000D3220000}"/>
    <cellStyle name="Normal 2 2 10 31 2 3" xfId="8962" xr:uid="{00000000-0005-0000-0000-0000D4220000}"/>
    <cellStyle name="Normal 2 2 10 31 2 4" xfId="8963" xr:uid="{00000000-0005-0000-0000-0000D5220000}"/>
    <cellStyle name="Normal 2 2 10 31 2 5" xfId="8964" xr:uid="{00000000-0005-0000-0000-0000D6220000}"/>
    <cellStyle name="Normal 2 2 10 31 2 6" xfId="8965" xr:uid="{00000000-0005-0000-0000-0000D7220000}"/>
    <cellStyle name="Normal 2 2 10 31 2 7" xfId="8966" xr:uid="{00000000-0005-0000-0000-0000D8220000}"/>
    <cellStyle name="Normal 2 2 10 31 2 8" xfId="8967" xr:uid="{00000000-0005-0000-0000-0000D9220000}"/>
    <cellStyle name="Normal 2 2 10 31 2 9" xfId="8968" xr:uid="{00000000-0005-0000-0000-0000DA220000}"/>
    <cellStyle name="Normal 2 2 10 31 3" xfId="8969" xr:uid="{00000000-0005-0000-0000-0000DB220000}"/>
    <cellStyle name="Normal 2 2 10 31 3 10" xfId="8970" xr:uid="{00000000-0005-0000-0000-0000DC220000}"/>
    <cellStyle name="Normal 2 2 10 31 3 2" xfId="8971" xr:uid="{00000000-0005-0000-0000-0000DD220000}"/>
    <cellStyle name="Normal 2 2 10 31 3 3" xfId="8972" xr:uid="{00000000-0005-0000-0000-0000DE220000}"/>
    <cellStyle name="Normal 2 2 10 31 3 4" xfId="8973" xr:uid="{00000000-0005-0000-0000-0000DF220000}"/>
    <cellStyle name="Normal 2 2 10 31 3 5" xfId="8974" xr:uid="{00000000-0005-0000-0000-0000E0220000}"/>
    <cellStyle name="Normal 2 2 10 31 3 6" xfId="8975" xr:uid="{00000000-0005-0000-0000-0000E1220000}"/>
    <cellStyle name="Normal 2 2 10 31 3 7" xfId="8976" xr:uid="{00000000-0005-0000-0000-0000E2220000}"/>
    <cellStyle name="Normal 2 2 10 31 3 8" xfId="8977" xr:uid="{00000000-0005-0000-0000-0000E3220000}"/>
    <cellStyle name="Normal 2 2 10 31 3 9" xfId="8978" xr:uid="{00000000-0005-0000-0000-0000E4220000}"/>
    <cellStyle name="Normal 2 2 10 31 4" xfId="8979" xr:uid="{00000000-0005-0000-0000-0000E5220000}"/>
    <cellStyle name="Normal 2 2 10 31 4 10" xfId="8980" xr:uid="{00000000-0005-0000-0000-0000E6220000}"/>
    <cellStyle name="Normal 2 2 10 31 4 2" xfId="8981" xr:uid="{00000000-0005-0000-0000-0000E7220000}"/>
    <cellStyle name="Normal 2 2 10 31 4 3" xfId="8982" xr:uid="{00000000-0005-0000-0000-0000E8220000}"/>
    <cellStyle name="Normal 2 2 10 31 4 4" xfId="8983" xr:uid="{00000000-0005-0000-0000-0000E9220000}"/>
    <cellStyle name="Normal 2 2 10 31 4 5" xfId="8984" xr:uid="{00000000-0005-0000-0000-0000EA220000}"/>
    <cellStyle name="Normal 2 2 10 31 4 6" xfId="8985" xr:uid="{00000000-0005-0000-0000-0000EB220000}"/>
    <cellStyle name="Normal 2 2 10 31 4 7" xfId="8986" xr:uid="{00000000-0005-0000-0000-0000EC220000}"/>
    <cellStyle name="Normal 2 2 10 31 4 8" xfId="8987" xr:uid="{00000000-0005-0000-0000-0000ED220000}"/>
    <cellStyle name="Normal 2 2 10 31 4 9" xfId="8988" xr:uid="{00000000-0005-0000-0000-0000EE220000}"/>
    <cellStyle name="Normal 2 2 10 31 5" xfId="8989" xr:uid="{00000000-0005-0000-0000-0000EF220000}"/>
    <cellStyle name="Normal 2 2 10 31 5 10" xfId="8990" xr:uid="{00000000-0005-0000-0000-0000F0220000}"/>
    <cellStyle name="Normal 2 2 10 31 5 2" xfId="8991" xr:uid="{00000000-0005-0000-0000-0000F1220000}"/>
    <cellStyle name="Normal 2 2 10 31 5 3" xfId="8992" xr:uid="{00000000-0005-0000-0000-0000F2220000}"/>
    <cellStyle name="Normal 2 2 10 31 5 4" xfId="8993" xr:uid="{00000000-0005-0000-0000-0000F3220000}"/>
    <cellStyle name="Normal 2 2 10 31 5 5" xfId="8994" xr:uid="{00000000-0005-0000-0000-0000F4220000}"/>
    <cellStyle name="Normal 2 2 10 31 5 6" xfId="8995" xr:uid="{00000000-0005-0000-0000-0000F5220000}"/>
    <cellStyle name="Normal 2 2 10 31 5 7" xfId="8996" xr:uid="{00000000-0005-0000-0000-0000F6220000}"/>
    <cellStyle name="Normal 2 2 10 31 5 8" xfId="8997" xr:uid="{00000000-0005-0000-0000-0000F7220000}"/>
    <cellStyle name="Normal 2 2 10 31 5 9" xfId="8998" xr:uid="{00000000-0005-0000-0000-0000F8220000}"/>
    <cellStyle name="Normal 2 2 10 31 6" xfId="8999" xr:uid="{00000000-0005-0000-0000-0000F9220000}"/>
    <cellStyle name="Normal 2 2 10 31 7" xfId="9000" xr:uid="{00000000-0005-0000-0000-0000FA220000}"/>
    <cellStyle name="Normal 2 2 10 31 8" xfId="9001" xr:uid="{00000000-0005-0000-0000-0000FB220000}"/>
    <cellStyle name="Normal 2 2 10 31 9" xfId="9002" xr:uid="{00000000-0005-0000-0000-0000FC220000}"/>
    <cellStyle name="Normal 2 2 10 32" xfId="9003" xr:uid="{00000000-0005-0000-0000-0000FD220000}"/>
    <cellStyle name="Normal 2 2 10 32 10" xfId="9004" xr:uid="{00000000-0005-0000-0000-0000FE220000}"/>
    <cellStyle name="Normal 2 2 10 32 11" xfId="9005" xr:uid="{00000000-0005-0000-0000-0000FF220000}"/>
    <cellStyle name="Normal 2 2 10 32 12" xfId="9006" xr:uid="{00000000-0005-0000-0000-000000230000}"/>
    <cellStyle name="Normal 2 2 10 32 13" xfId="9007" xr:uid="{00000000-0005-0000-0000-000001230000}"/>
    <cellStyle name="Normal 2 2 10 32 14" xfId="9008" xr:uid="{00000000-0005-0000-0000-000002230000}"/>
    <cellStyle name="Normal 2 2 10 32 2" xfId="9009" xr:uid="{00000000-0005-0000-0000-000003230000}"/>
    <cellStyle name="Normal 2 2 10 32 2 10" xfId="9010" xr:uid="{00000000-0005-0000-0000-000004230000}"/>
    <cellStyle name="Normal 2 2 10 32 2 2" xfId="9011" xr:uid="{00000000-0005-0000-0000-000005230000}"/>
    <cellStyle name="Normal 2 2 10 32 2 3" xfId="9012" xr:uid="{00000000-0005-0000-0000-000006230000}"/>
    <cellStyle name="Normal 2 2 10 32 2 4" xfId="9013" xr:uid="{00000000-0005-0000-0000-000007230000}"/>
    <cellStyle name="Normal 2 2 10 32 2 5" xfId="9014" xr:uid="{00000000-0005-0000-0000-000008230000}"/>
    <cellStyle name="Normal 2 2 10 32 2 6" xfId="9015" xr:uid="{00000000-0005-0000-0000-000009230000}"/>
    <cellStyle name="Normal 2 2 10 32 2 7" xfId="9016" xr:uid="{00000000-0005-0000-0000-00000A230000}"/>
    <cellStyle name="Normal 2 2 10 32 2 8" xfId="9017" xr:uid="{00000000-0005-0000-0000-00000B230000}"/>
    <cellStyle name="Normal 2 2 10 32 2 9" xfId="9018" xr:uid="{00000000-0005-0000-0000-00000C230000}"/>
    <cellStyle name="Normal 2 2 10 32 3" xfId="9019" xr:uid="{00000000-0005-0000-0000-00000D230000}"/>
    <cellStyle name="Normal 2 2 10 32 3 10" xfId="9020" xr:uid="{00000000-0005-0000-0000-00000E230000}"/>
    <cellStyle name="Normal 2 2 10 32 3 2" xfId="9021" xr:uid="{00000000-0005-0000-0000-00000F230000}"/>
    <cellStyle name="Normal 2 2 10 32 3 3" xfId="9022" xr:uid="{00000000-0005-0000-0000-000010230000}"/>
    <cellStyle name="Normal 2 2 10 32 3 4" xfId="9023" xr:uid="{00000000-0005-0000-0000-000011230000}"/>
    <cellStyle name="Normal 2 2 10 32 3 5" xfId="9024" xr:uid="{00000000-0005-0000-0000-000012230000}"/>
    <cellStyle name="Normal 2 2 10 32 3 6" xfId="9025" xr:uid="{00000000-0005-0000-0000-000013230000}"/>
    <cellStyle name="Normal 2 2 10 32 3 7" xfId="9026" xr:uid="{00000000-0005-0000-0000-000014230000}"/>
    <cellStyle name="Normal 2 2 10 32 3 8" xfId="9027" xr:uid="{00000000-0005-0000-0000-000015230000}"/>
    <cellStyle name="Normal 2 2 10 32 3 9" xfId="9028" xr:uid="{00000000-0005-0000-0000-000016230000}"/>
    <cellStyle name="Normal 2 2 10 32 4" xfId="9029" xr:uid="{00000000-0005-0000-0000-000017230000}"/>
    <cellStyle name="Normal 2 2 10 32 4 10" xfId="9030" xr:uid="{00000000-0005-0000-0000-000018230000}"/>
    <cellStyle name="Normal 2 2 10 32 4 2" xfId="9031" xr:uid="{00000000-0005-0000-0000-000019230000}"/>
    <cellStyle name="Normal 2 2 10 32 4 3" xfId="9032" xr:uid="{00000000-0005-0000-0000-00001A230000}"/>
    <cellStyle name="Normal 2 2 10 32 4 4" xfId="9033" xr:uid="{00000000-0005-0000-0000-00001B230000}"/>
    <cellStyle name="Normal 2 2 10 32 4 5" xfId="9034" xr:uid="{00000000-0005-0000-0000-00001C230000}"/>
    <cellStyle name="Normal 2 2 10 32 4 6" xfId="9035" xr:uid="{00000000-0005-0000-0000-00001D230000}"/>
    <cellStyle name="Normal 2 2 10 32 4 7" xfId="9036" xr:uid="{00000000-0005-0000-0000-00001E230000}"/>
    <cellStyle name="Normal 2 2 10 32 4 8" xfId="9037" xr:uid="{00000000-0005-0000-0000-00001F230000}"/>
    <cellStyle name="Normal 2 2 10 32 4 9" xfId="9038" xr:uid="{00000000-0005-0000-0000-000020230000}"/>
    <cellStyle name="Normal 2 2 10 32 5" xfId="9039" xr:uid="{00000000-0005-0000-0000-000021230000}"/>
    <cellStyle name="Normal 2 2 10 32 5 10" xfId="9040" xr:uid="{00000000-0005-0000-0000-000022230000}"/>
    <cellStyle name="Normal 2 2 10 32 5 2" xfId="9041" xr:uid="{00000000-0005-0000-0000-000023230000}"/>
    <cellStyle name="Normal 2 2 10 32 5 3" xfId="9042" xr:uid="{00000000-0005-0000-0000-000024230000}"/>
    <cellStyle name="Normal 2 2 10 32 5 4" xfId="9043" xr:uid="{00000000-0005-0000-0000-000025230000}"/>
    <cellStyle name="Normal 2 2 10 32 5 5" xfId="9044" xr:uid="{00000000-0005-0000-0000-000026230000}"/>
    <cellStyle name="Normal 2 2 10 32 5 6" xfId="9045" xr:uid="{00000000-0005-0000-0000-000027230000}"/>
    <cellStyle name="Normal 2 2 10 32 5 7" xfId="9046" xr:uid="{00000000-0005-0000-0000-000028230000}"/>
    <cellStyle name="Normal 2 2 10 32 5 8" xfId="9047" xr:uid="{00000000-0005-0000-0000-000029230000}"/>
    <cellStyle name="Normal 2 2 10 32 5 9" xfId="9048" xr:uid="{00000000-0005-0000-0000-00002A230000}"/>
    <cellStyle name="Normal 2 2 10 32 6" xfId="9049" xr:uid="{00000000-0005-0000-0000-00002B230000}"/>
    <cellStyle name="Normal 2 2 10 32 7" xfId="9050" xr:uid="{00000000-0005-0000-0000-00002C230000}"/>
    <cellStyle name="Normal 2 2 10 32 8" xfId="9051" xr:uid="{00000000-0005-0000-0000-00002D230000}"/>
    <cellStyle name="Normal 2 2 10 32 9" xfId="9052" xr:uid="{00000000-0005-0000-0000-00002E230000}"/>
    <cellStyle name="Normal 2 2 10 33" xfId="9053" xr:uid="{00000000-0005-0000-0000-00002F230000}"/>
    <cellStyle name="Normal 2 2 10 33 10" xfId="9054" xr:uid="{00000000-0005-0000-0000-000030230000}"/>
    <cellStyle name="Normal 2 2 10 33 11" xfId="9055" xr:uid="{00000000-0005-0000-0000-000031230000}"/>
    <cellStyle name="Normal 2 2 10 33 12" xfId="9056" xr:uid="{00000000-0005-0000-0000-000032230000}"/>
    <cellStyle name="Normal 2 2 10 33 13" xfId="9057" xr:uid="{00000000-0005-0000-0000-000033230000}"/>
    <cellStyle name="Normal 2 2 10 33 14" xfId="9058" xr:uid="{00000000-0005-0000-0000-000034230000}"/>
    <cellStyle name="Normal 2 2 10 33 2" xfId="9059" xr:uid="{00000000-0005-0000-0000-000035230000}"/>
    <cellStyle name="Normal 2 2 10 33 2 10" xfId="9060" xr:uid="{00000000-0005-0000-0000-000036230000}"/>
    <cellStyle name="Normal 2 2 10 33 2 2" xfId="9061" xr:uid="{00000000-0005-0000-0000-000037230000}"/>
    <cellStyle name="Normal 2 2 10 33 2 3" xfId="9062" xr:uid="{00000000-0005-0000-0000-000038230000}"/>
    <cellStyle name="Normal 2 2 10 33 2 4" xfId="9063" xr:uid="{00000000-0005-0000-0000-000039230000}"/>
    <cellStyle name="Normal 2 2 10 33 2 5" xfId="9064" xr:uid="{00000000-0005-0000-0000-00003A230000}"/>
    <cellStyle name="Normal 2 2 10 33 2 6" xfId="9065" xr:uid="{00000000-0005-0000-0000-00003B230000}"/>
    <cellStyle name="Normal 2 2 10 33 2 7" xfId="9066" xr:uid="{00000000-0005-0000-0000-00003C230000}"/>
    <cellStyle name="Normal 2 2 10 33 2 8" xfId="9067" xr:uid="{00000000-0005-0000-0000-00003D230000}"/>
    <cellStyle name="Normal 2 2 10 33 2 9" xfId="9068" xr:uid="{00000000-0005-0000-0000-00003E230000}"/>
    <cellStyle name="Normal 2 2 10 33 3" xfId="9069" xr:uid="{00000000-0005-0000-0000-00003F230000}"/>
    <cellStyle name="Normal 2 2 10 33 3 10" xfId="9070" xr:uid="{00000000-0005-0000-0000-000040230000}"/>
    <cellStyle name="Normal 2 2 10 33 3 2" xfId="9071" xr:uid="{00000000-0005-0000-0000-000041230000}"/>
    <cellStyle name="Normal 2 2 10 33 3 3" xfId="9072" xr:uid="{00000000-0005-0000-0000-000042230000}"/>
    <cellStyle name="Normal 2 2 10 33 3 4" xfId="9073" xr:uid="{00000000-0005-0000-0000-000043230000}"/>
    <cellStyle name="Normal 2 2 10 33 3 5" xfId="9074" xr:uid="{00000000-0005-0000-0000-000044230000}"/>
    <cellStyle name="Normal 2 2 10 33 3 6" xfId="9075" xr:uid="{00000000-0005-0000-0000-000045230000}"/>
    <cellStyle name="Normal 2 2 10 33 3 7" xfId="9076" xr:uid="{00000000-0005-0000-0000-000046230000}"/>
    <cellStyle name="Normal 2 2 10 33 3 8" xfId="9077" xr:uid="{00000000-0005-0000-0000-000047230000}"/>
    <cellStyle name="Normal 2 2 10 33 3 9" xfId="9078" xr:uid="{00000000-0005-0000-0000-000048230000}"/>
    <cellStyle name="Normal 2 2 10 33 4" xfId="9079" xr:uid="{00000000-0005-0000-0000-000049230000}"/>
    <cellStyle name="Normal 2 2 10 33 4 10" xfId="9080" xr:uid="{00000000-0005-0000-0000-00004A230000}"/>
    <cellStyle name="Normal 2 2 10 33 4 2" xfId="9081" xr:uid="{00000000-0005-0000-0000-00004B230000}"/>
    <cellStyle name="Normal 2 2 10 33 4 3" xfId="9082" xr:uid="{00000000-0005-0000-0000-00004C230000}"/>
    <cellStyle name="Normal 2 2 10 33 4 4" xfId="9083" xr:uid="{00000000-0005-0000-0000-00004D230000}"/>
    <cellStyle name="Normal 2 2 10 33 4 5" xfId="9084" xr:uid="{00000000-0005-0000-0000-00004E230000}"/>
    <cellStyle name="Normal 2 2 10 33 4 6" xfId="9085" xr:uid="{00000000-0005-0000-0000-00004F230000}"/>
    <cellStyle name="Normal 2 2 10 33 4 7" xfId="9086" xr:uid="{00000000-0005-0000-0000-000050230000}"/>
    <cellStyle name="Normal 2 2 10 33 4 8" xfId="9087" xr:uid="{00000000-0005-0000-0000-000051230000}"/>
    <cellStyle name="Normal 2 2 10 33 4 9" xfId="9088" xr:uid="{00000000-0005-0000-0000-000052230000}"/>
    <cellStyle name="Normal 2 2 10 33 5" xfId="9089" xr:uid="{00000000-0005-0000-0000-000053230000}"/>
    <cellStyle name="Normal 2 2 10 33 5 10" xfId="9090" xr:uid="{00000000-0005-0000-0000-000054230000}"/>
    <cellStyle name="Normal 2 2 10 33 5 2" xfId="9091" xr:uid="{00000000-0005-0000-0000-000055230000}"/>
    <cellStyle name="Normal 2 2 10 33 5 3" xfId="9092" xr:uid="{00000000-0005-0000-0000-000056230000}"/>
    <cellStyle name="Normal 2 2 10 33 5 4" xfId="9093" xr:uid="{00000000-0005-0000-0000-000057230000}"/>
    <cellStyle name="Normal 2 2 10 33 5 5" xfId="9094" xr:uid="{00000000-0005-0000-0000-000058230000}"/>
    <cellStyle name="Normal 2 2 10 33 5 6" xfId="9095" xr:uid="{00000000-0005-0000-0000-000059230000}"/>
    <cellStyle name="Normal 2 2 10 33 5 7" xfId="9096" xr:uid="{00000000-0005-0000-0000-00005A230000}"/>
    <cellStyle name="Normal 2 2 10 33 5 8" xfId="9097" xr:uid="{00000000-0005-0000-0000-00005B230000}"/>
    <cellStyle name="Normal 2 2 10 33 5 9" xfId="9098" xr:uid="{00000000-0005-0000-0000-00005C230000}"/>
    <cellStyle name="Normal 2 2 10 33 6" xfId="9099" xr:uid="{00000000-0005-0000-0000-00005D230000}"/>
    <cellStyle name="Normal 2 2 10 33 7" xfId="9100" xr:uid="{00000000-0005-0000-0000-00005E230000}"/>
    <cellStyle name="Normal 2 2 10 33 8" xfId="9101" xr:uid="{00000000-0005-0000-0000-00005F230000}"/>
    <cellStyle name="Normal 2 2 10 33 9" xfId="9102" xr:uid="{00000000-0005-0000-0000-000060230000}"/>
    <cellStyle name="Normal 2 2 10 34" xfId="9103" xr:uid="{00000000-0005-0000-0000-000061230000}"/>
    <cellStyle name="Normal 2 2 10 34 10" xfId="9104" xr:uid="{00000000-0005-0000-0000-000062230000}"/>
    <cellStyle name="Normal 2 2 10 34 11" xfId="9105" xr:uid="{00000000-0005-0000-0000-000063230000}"/>
    <cellStyle name="Normal 2 2 10 34 12" xfId="9106" xr:uid="{00000000-0005-0000-0000-000064230000}"/>
    <cellStyle name="Normal 2 2 10 34 13" xfId="9107" xr:uid="{00000000-0005-0000-0000-000065230000}"/>
    <cellStyle name="Normal 2 2 10 34 14" xfId="9108" xr:uid="{00000000-0005-0000-0000-000066230000}"/>
    <cellStyle name="Normal 2 2 10 34 2" xfId="9109" xr:uid="{00000000-0005-0000-0000-000067230000}"/>
    <cellStyle name="Normal 2 2 10 34 2 10" xfId="9110" xr:uid="{00000000-0005-0000-0000-000068230000}"/>
    <cellStyle name="Normal 2 2 10 34 2 2" xfId="9111" xr:uid="{00000000-0005-0000-0000-000069230000}"/>
    <cellStyle name="Normal 2 2 10 34 2 3" xfId="9112" xr:uid="{00000000-0005-0000-0000-00006A230000}"/>
    <cellStyle name="Normal 2 2 10 34 2 4" xfId="9113" xr:uid="{00000000-0005-0000-0000-00006B230000}"/>
    <cellStyle name="Normal 2 2 10 34 2 5" xfId="9114" xr:uid="{00000000-0005-0000-0000-00006C230000}"/>
    <cellStyle name="Normal 2 2 10 34 2 6" xfId="9115" xr:uid="{00000000-0005-0000-0000-00006D230000}"/>
    <cellStyle name="Normal 2 2 10 34 2 7" xfId="9116" xr:uid="{00000000-0005-0000-0000-00006E230000}"/>
    <cellStyle name="Normal 2 2 10 34 2 8" xfId="9117" xr:uid="{00000000-0005-0000-0000-00006F230000}"/>
    <cellStyle name="Normal 2 2 10 34 2 9" xfId="9118" xr:uid="{00000000-0005-0000-0000-000070230000}"/>
    <cellStyle name="Normal 2 2 10 34 3" xfId="9119" xr:uid="{00000000-0005-0000-0000-000071230000}"/>
    <cellStyle name="Normal 2 2 10 34 3 10" xfId="9120" xr:uid="{00000000-0005-0000-0000-000072230000}"/>
    <cellStyle name="Normal 2 2 10 34 3 2" xfId="9121" xr:uid="{00000000-0005-0000-0000-000073230000}"/>
    <cellStyle name="Normal 2 2 10 34 3 3" xfId="9122" xr:uid="{00000000-0005-0000-0000-000074230000}"/>
    <cellStyle name="Normal 2 2 10 34 3 4" xfId="9123" xr:uid="{00000000-0005-0000-0000-000075230000}"/>
    <cellStyle name="Normal 2 2 10 34 3 5" xfId="9124" xr:uid="{00000000-0005-0000-0000-000076230000}"/>
    <cellStyle name="Normal 2 2 10 34 3 6" xfId="9125" xr:uid="{00000000-0005-0000-0000-000077230000}"/>
    <cellStyle name="Normal 2 2 10 34 3 7" xfId="9126" xr:uid="{00000000-0005-0000-0000-000078230000}"/>
    <cellStyle name="Normal 2 2 10 34 3 8" xfId="9127" xr:uid="{00000000-0005-0000-0000-000079230000}"/>
    <cellStyle name="Normal 2 2 10 34 3 9" xfId="9128" xr:uid="{00000000-0005-0000-0000-00007A230000}"/>
    <cellStyle name="Normal 2 2 10 34 4" xfId="9129" xr:uid="{00000000-0005-0000-0000-00007B230000}"/>
    <cellStyle name="Normal 2 2 10 34 4 10" xfId="9130" xr:uid="{00000000-0005-0000-0000-00007C230000}"/>
    <cellStyle name="Normal 2 2 10 34 4 2" xfId="9131" xr:uid="{00000000-0005-0000-0000-00007D230000}"/>
    <cellStyle name="Normal 2 2 10 34 4 3" xfId="9132" xr:uid="{00000000-0005-0000-0000-00007E230000}"/>
    <cellStyle name="Normal 2 2 10 34 4 4" xfId="9133" xr:uid="{00000000-0005-0000-0000-00007F230000}"/>
    <cellStyle name="Normal 2 2 10 34 4 5" xfId="9134" xr:uid="{00000000-0005-0000-0000-000080230000}"/>
    <cellStyle name="Normal 2 2 10 34 4 6" xfId="9135" xr:uid="{00000000-0005-0000-0000-000081230000}"/>
    <cellStyle name="Normal 2 2 10 34 4 7" xfId="9136" xr:uid="{00000000-0005-0000-0000-000082230000}"/>
    <cellStyle name="Normal 2 2 10 34 4 8" xfId="9137" xr:uid="{00000000-0005-0000-0000-000083230000}"/>
    <cellStyle name="Normal 2 2 10 34 4 9" xfId="9138" xr:uid="{00000000-0005-0000-0000-000084230000}"/>
    <cellStyle name="Normal 2 2 10 34 5" xfId="9139" xr:uid="{00000000-0005-0000-0000-000085230000}"/>
    <cellStyle name="Normal 2 2 10 34 5 10" xfId="9140" xr:uid="{00000000-0005-0000-0000-000086230000}"/>
    <cellStyle name="Normal 2 2 10 34 5 2" xfId="9141" xr:uid="{00000000-0005-0000-0000-000087230000}"/>
    <cellStyle name="Normal 2 2 10 34 5 3" xfId="9142" xr:uid="{00000000-0005-0000-0000-000088230000}"/>
    <cellStyle name="Normal 2 2 10 34 5 4" xfId="9143" xr:uid="{00000000-0005-0000-0000-000089230000}"/>
    <cellStyle name="Normal 2 2 10 34 5 5" xfId="9144" xr:uid="{00000000-0005-0000-0000-00008A230000}"/>
    <cellStyle name="Normal 2 2 10 34 5 6" xfId="9145" xr:uid="{00000000-0005-0000-0000-00008B230000}"/>
    <cellStyle name="Normal 2 2 10 34 5 7" xfId="9146" xr:uid="{00000000-0005-0000-0000-00008C230000}"/>
    <cellStyle name="Normal 2 2 10 34 5 8" xfId="9147" xr:uid="{00000000-0005-0000-0000-00008D230000}"/>
    <cellStyle name="Normal 2 2 10 34 5 9" xfId="9148" xr:uid="{00000000-0005-0000-0000-00008E230000}"/>
    <cellStyle name="Normal 2 2 10 34 6" xfId="9149" xr:uid="{00000000-0005-0000-0000-00008F230000}"/>
    <cellStyle name="Normal 2 2 10 34 7" xfId="9150" xr:uid="{00000000-0005-0000-0000-000090230000}"/>
    <cellStyle name="Normal 2 2 10 34 8" xfId="9151" xr:uid="{00000000-0005-0000-0000-000091230000}"/>
    <cellStyle name="Normal 2 2 10 34 9" xfId="9152" xr:uid="{00000000-0005-0000-0000-000092230000}"/>
    <cellStyle name="Normal 2 2 10 35" xfId="9153" xr:uid="{00000000-0005-0000-0000-000093230000}"/>
    <cellStyle name="Normal 2 2 10 35 10" xfId="9154" xr:uid="{00000000-0005-0000-0000-000094230000}"/>
    <cellStyle name="Normal 2 2 10 35 2" xfId="9155" xr:uid="{00000000-0005-0000-0000-000095230000}"/>
    <cellStyle name="Normal 2 2 10 35 3" xfId="9156" xr:uid="{00000000-0005-0000-0000-000096230000}"/>
    <cellStyle name="Normal 2 2 10 35 4" xfId="9157" xr:uid="{00000000-0005-0000-0000-000097230000}"/>
    <cellStyle name="Normal 2 2 10 35 5" xfId="9158" xr:uid="{00000000-0005-0000-0000-000098230000}"/>
    <cellStyle name="Normal 2 2 10 35 6" xfId="9159" xr:uid="{00000000-0005-0000-0000-000099230000}"/>
    <cellStyle name="Normal 2 2 10 35 7" xfId="9160" xr:uid="{00000000-0005-0000-0000-00009A230000}"/>
    <cellStyle name="Normal 2 2 10 35 8" xfId="9161" xr:uid="{00000000-0005-0000-0000-00009B230000}"/>
    <cellStyle name="Normal 2 2 10 35 9" xfId="9162" xr:uid="{00000000-0005-0000-0000-00009C230000}"/>
    <cellStyle name="Normal 2 2 10 36" xfId="9163" xr:uid="{00000000-0005-0000-0000-00009D230000}"/>
    <cellStyle name="Normal 2 2 10 36 10" xfId="9164" xr:uid="{00000000-0005-0000-0000-00009E230000}"/>
    <cellStyle name="Normal 2 2 10 36 2" xfId="9165" xr:uid="{00000000-0005-0000-0000-00009F230000}"/>
    <cellStyle name="Normal 2 2 10 36 3" xfId="9166" xr:uid="{00000000-0005-0000-0000-0000A0230000}"/>
    <cellStyle name="Normal 2 2 10 36 4" xfId="9167" xr:uid="{00000000-0005-0000-0000-0000A1230000}"/>
    <cellStyle name="Normal 2 2 10 36 5" xfId="9168" xr:uid="{00000000-0005-0000-0000-0000A2230000}"/>
    <cellStyle name="Normal 2 2 10 36 6" xfId="9169" xr:uid="{00000000-0005-0000-0000-0000A3230000}"/>
    <cellStyle name="Normal 2 2 10 36 7" xfId="9170" xr:uid="{00000000-0005-0000-0000-0000A4230000}"/>
    <cellStyle name="Normal 2 2 10 36 8" xfId="9171" xr:uid="{00000000-0005-0000-0000-0000A5230000}"/>
    <cellStyle name="Normal 2 2 10 36 9" xfId="9172" xr:uid="{00000000-0005-0000-0000-0000A6230000}"/>
    <cellStyle name="Normal 2 2 10 37" xfId="9173" xr:uid="{00000000-0005-0000-0000-0000A7230000}"/>
    <cellStyle name="Normal 2 2 10 37 10" xfId="9174" xr:uid="{00000000-0005-0000-0000-0000A8230000}"/>
    <cellStyle name="Normal 2 2 10 37 2" xfId="9175" xr:uid="{00000000-0005-0000-0000-0000A9230000}"/>
    <cellStyle name="Normal 2 2 10 37 3" xfId="9176" xr:uid="{00000000-0005-0000-0000-0000AA230000}"/>
    <cellStyle name="Normal 2 2 10 37 4" xfId="9177" xr:uid="{00000000-0005-0000-0000-0000AB230000}"/>
    <cellStyle name="Normal 2 2 10 37 5" xfId="9178" xr:uid="{00000000-0005-0000-0000-0000AC230000}"/>
    <cellStyle name="Normal 2 2 10 37 6" xfId="9179" xr:uid="{00000000-0005-0000-0000-0000AD230000}"/>
    <cellStyle name="Normal 2 2 10 37 7" xfId="9180" xr:uid="{00000000-0005-0000-0000-0000AE230000}"/>
    <cellStyle name="Normal 2 2 10 37 8" xfId="9181" xr:uid="{00000000-0005-0000-0000-0000AF230000}"/>
    <cellStyle name="Normal 2 2 10 37 9" xfId="9182" xr:uid="{00000000-0005-0000-0000-0000B0230000}"/>
    <cellStyle name="Normal 2 2 10 38" xfId="9183" xr:uid="{00000000-0005-0000-0000-0000B1230000}"/>
    <cellStyle name="Normal 2 2 10 38 10" xfId="9184" xr:uid="{00000000-0005-0000-0000-0000B2230000}"/>
    <cellStyle name="Normal 2 2 10 38 2" xfId="9185" xr:uid="{00000000-0005-0000-0000-0000B3230000}"/>
    <cellStyle name="Normal 2 2 10 38 3" xfId="9186" xr:uid="{00000000-0005-0000-0000-0000B4230000}"/>
    <cellStyle name="Normal 2 2 10 38 4" xfId="9187" xr:uid="{00000000-0005-0000-0000-0000B5230000}"/>
    <cellStyle name="Normal 2 2 10 38 5" xfId="9188" xr:uid="{00000000-0005-0000-0000-0000B6230000}"/>
    <cellStyle name="Normal 2 2 10 38 6" xfId="9189" xr:uid="{00000000-0005-0000-0000-0000B7230000}"/>
    <cellStyle name="Normal 2 2 10 38 7" xfId="9190" xr:uid="{00000000-0005-0000-0000-0000B8230000}"/>
    <cellStyle name="Normal 2 2 10 38 8" xfId="9191" xr:uid="{00000000-0005-0000-0000-0000B9230000}"/>
    <cellStyle name="Normal 2 2 10 38 9" xfId="9192" xr:uid="{00000000-0005-0000-0000-0000BA230000}"/>
    <cellStyle name="Normal 2 2 10 39" xfId="9193" xr:uid="{00000000-0005-0000-0000-0000BB230000}"/>
    <cellStyle name="Normal 2 2 10 4" xfId="9194" xr:uid="{00000000-0005-0000-0000-0000BC230000}"/>
    <cellStyle name="Normal 2 2 10 4 10" xfId="9195" xr:uid="{00000000-0005-0000-0000-0000BD230000}"/>
    <cellStyle name="Normal 2 2 10 4 11" xfId="9196" xr:uid="{00000000-0005-0000-0000-0000BE230000}"/>
    <cellStyle name="Normal 2 2 10 4 12" xfId="9197" xr:uid="{00000000-0005-0000-0000-0000BF230000}"/>
    <cellStyle name="Normal 2 2 10 4 13" xfId="9198" xr:uid="{00000000-0005-0000-0000-0000C0230000}"/>
    <cellStyle name="Normal 2 2 10 4 14" xfId="9199" xr:uid="{00000000-0005-0000-0000-0000C1230000}"/>
    <cellStyle name="Normal 2 2 10 4 2" xfId="9200" xr:uid="{00000000-0005-0000-0000-0000C2230000}"/>
    <cellStyle name="Normal 2 2 10 4 2 10" xfId="9201" xr:uid="{00000000-0005-0000-0000-0000C3230000}"/>
    <cellStyle name="Normal 2 2 10 4 2 2" xfId="9202" xr:uid="{00000000-0005-0000-0000-0000C4230000}"/>
    <cellStyle name="Normal 2 2 10 4 2 3" xfId="9203" xr:uid="{00000000-0005-0000-0000-0000C5230000}"/>
    <cellStyle name="Normal 2 2 10 4 2 4" xfId="9204" xr:uid="{00000000-0005-0000-0000-0000C6230000}"/>
    <cellStyle name="Normal 2 2 10 4 2 5" xfId="9205" xr:uid="{00000000-0005-0000-0000-0000C7230000}"/>
    <cellStyle name="Normal 2 2 10 4 2 6" xfId="9206" xr:uid="{00000000-0005-0000-0000-0000C8230000}"/>
    <cellStyle name="Normal 2 2 10 4 2 7" xfId="9207" xr:uid="{00000000-0005-0000-0000-0000C9230000}"/>
    <cellStyle name="Normal 2 2 10 4 2 8" xfId="9208" xr:uid="{00000000-0005-0000-0000-0000CA230000}"/>
    <cellStyle name="Normal 2 2 10 4 2 9" xfId="9209" xr:uid="{00000000-0005-0000-0000-0000CB230000}"/>
    <cellStyle name="Normal 2 2 10 4 3" xfId="9210" xr:uid="{00000000-0005-0000-0000-0000CC230000}"/>
    <cellStyle name="Normal 2 2 10 4 3 10" xfId="9211" xr:uid="{00000000-0005-0000-0000-0000CD230000}"/>
    <cellStyle name="Normal 2 2 10 4 3 2" xfId="9212" xr:uid="{00000000-0005-0000-0000-0000CE230000}"/>
    <cellStyle name="Normal 2 2 10 4 3 3" xfId="9213" xr:uid="{00000000-0005-0000-0000-0000CF230000}"/>
    <cellStyle name="Normal 2 2 10 4 3 4" xfId="9214" xr:uid="{00000000-0005-0000-0000-0000D0230000}"/>
    <cellStyle name="Normal 2 2 10 4 3 5" xfId="9215" xr:uid="{00000000-0005-0000-0000-0000D1230000}"/>
    <cellStyle name="Normal 2 2 10 4 3 6" xfId="9216" xr:uid="{00000000-0005-0000-0000-0000D2230000}"/>
    <cellStyle name="Normal 2 2 10 4 3 7" xfId="9217" xr:uid="{00000000-0005-0000-0000-0000D3230000}"/>
    <cellStyle name="Normal 2 2 10 4 3 8" xfId="9218" xr:uid="{00000000-0005-0000-0000-0000D4230000}"/>
    <cellStyle name="Normal 2 2 10 4 3 9" xfId="9219" xr:uid="{00000000-0005-0000-0000-0000D5230000}"/>
    <cellStyle name="Normal 2 2 10 4 4" xfId="9220" xr:uid="{00000000-0005-0000-0000-0000D6230000}"/>
    <cellStyle name="Normal 2 2 10 4 4 10" xfId="9221" xr:uid="{00000000-0005-0000-0000-0000D7230000}"/>
    <cellStyle name="Normal 2 2 10 4 4 2" xfId="9222" xr:uid="{00000000-0005-0000-0000-0000D8230000}"/>
    <cellStyle name="Normal 2 2 10 4 4 3" xfId="9223" xr:uid="{00000000-0005-0000-0000-0000D9230000}"/>
    <cellStyle name="Normal 2 2 10 4 4 4" xfId="9224" xr:uid="{00000000-0005-0000-0000-0000DA230000}"/>
    <cellStyle name="Normal 2 2 10 4 4 5" xfId="9225" xr:uid="{00000000-0005-0000-0000-0000DB230000}"/>
    <cellStyle name="Normal 2 2 10 4 4 6" xfId="9226" xr:uid="{00000000-0005-0000-0000-0000DC230000}"/>
    <cellStyle name="Normal 2 2 10 4 4 7" xfId="9227" xr:uid="{00000000-0005-0000-0000-0000DD230000}"/>
    <cellStyle name="Normal 2 2 10 4 4 8" xfId="9228" xr:uid="{00000000-0005-0000-0000-0000DE230000}"/>
    <cellStyle name="Normal 2 2 10 4 4 9" xfId="9229" xr:uid="{00000000-0005-0000-0000-0000DF230000}"/>
    <cellStyle name="Normal 2 2 10 4 5" xfId="9230" xr:uid="{00000000-0005-0000-0000-0000E0230000}"/>
    <cellStyle name="Normal 2 2 10 4 5 10" xfId="9231" xr:uid="{00000000-0005-0000-0000-0000E1230000}"/>
    <cellStyle name="Normal 2 2 10 4 5 2" xfId="9232" xr:uid="{00000000-0005-0000-0000-0000E2230000}"/>
    <cellStyle name="Normal 2 2 10 4 5 3" xfId="9233" xr:uid="{00000000-0005-0000-0000-0000E3230000}"/>
    <cellStyle name="Normal 2 2 10 4 5 4" xfId="9234" xr:uid="{00000000-0005-0000-0000-0000E4230000}"/>
    <cellStyle name="Normal 2 2 10 4 5 5" xfId="9235" xr:uid="{00000000-0005-0000-0000-0000E5230000}"/>
    <cellStyle name="Normal 2 2 10 4 5 6" xfId="9236" xr:uid="{00000000-0005-0000-0000-0000E6230000}"/>
    <cellStyle name="Normal 2 2 10 4 5 7" xfId="9237" xr:uid="{00000000-0005-0000-0000-0000E7230000}"/>
    <cellStyle name="Normal 2 2 10 4 5 8" xfId="9238" xr:uid="{00000000-0005-0000-0000-0000E8230000}"/>
    <cellStyle name="Normal 2 2 10 4 5 9" xfId="9239" xr:uid="{00000000-0005-0000-0000-0000E9230000}"/>
    <cellStyle name="Normal 2 2 10 4 6" xfId="9240" xr:uid="{00000000-0005-0000-0000-0000EA230000}"/>
    <cellStyle name="Normal 2 2 10 4 7" xfId="9241" xr:uid="{00000000-0005-0000-0000-0000EB230000}"/>
    <cellStyle name="Normal 2 2 10 4 8" xfId="9242" xr:uid="{00000000-0005-0000-0000-0000EC230000}"/>
    <cellStyle name="Normal 2 2 10 4 9" xfId="9243" xr:uid="{00000000-0005-0000-0000-0000ED230000}"/>
    <cellStyle name="Normal 2 2 10 40" xfId="9244" xr:uid="{00000000-0005-0000-0000-0000EE230000}"/>
    <cellStyle name="Normal 2 2 10 41" xfId="9245" xr:uid="{00000000-0005-0000-0000-0000EF230000}"/>
    <cellStyle name="Normal 2 2 10 42" xfId="9246" xr:uid="{00000000-0005-0000-0000-0000F0230000}"/>
    <cellStyle name="Normal 2 2 10 43" xfId="9247" xr:uid="{00000000-0005-0000-0000-0000F1230000}"/>
    <cellStyle name="Normal 2 2 10 44" xfId="9248" xr:uid="{00000000-0005-0000-0000-0000F2230000}"/>
    <cellStyle name="Normal 2 2 10 45" xfId="9249" xr:uid="{00000000-0005-0000-0000-0000F3230000}"/>
    <cellStyle name="Normal 2 2 10 46" xfId="9250" xr:uid="{00000000-0005-0000-0000-0000F4230000}"/>
    <cellStyle name="Normal 2 2 10 47" xfId="9251" xr:uid="{00000000-0005-0000-0000-0000F5230000}"/>
    <cellStyle name="Normal 2 2 10 5" xfId="9252" xr:uid="{00000000-0005-0000-0000-0000F6230000}"/>
    <cellStyle name="Normal 2 2 10 5 10" xfId="9253" xr:uid="{00000000-0005-0000-0000-0000F7230000}"/>
    <cellStyle name="Normal 2 2 10 5 11" xfId="9254" xr:uid="{00000000-0005-0000-0000-0000F8230000}"/>
    <cellStyle name="Normal 2 2 10 5 12" xfId="9255" xr:uid="{00000000-0005-0000-0000-0000F9230000}"/>
    <cellStyle name="Normal 2 2 10 5 13" xfId="9256" xr:uid="{00000000-0005-0000-0000-0000FA230000}"/>
    <cellStyle name="Normal 2 2 10 5 14" xfId="9257" xr:uid="{00000000-0005-0000-0000-0000FB230000}"/>
    <cellStyle name="Normal 2 2 10 5 2" xfId="9258" xr:uid="{00000000-0005-0000-0000-0000FC230000}"/>
    <cellStyle name="Normal 2 2 10 5 2 10" xfId="9259" xr:uid="{00000000-0005-0000-0000-0000FD230000}"/>
    <cellStyle name="Normal 2 2 10 5 2 2" xfId="9260" xr:uid="{00000000-0005-0000-0000-0000FE230000}"/>
    <cellStyle name="Normal 2 2 10 5 2 3" xfId="9261" xr:uid="{00000000-0005-0000-0000-0000FF230000}"/>
    <cellStyle name="Normal 2 2 10 5 2 4" xfId="9262" xr:uid="{00000000-0005-0000-0000-000000240000}"/>
    <cellStyle name="Normal 2 2 10 5 2 5" xfId="9263" xr:uid="{00000000-0005-0000-0000-000001240000}"/>
    <cellStyle name="Normal 2 2 10 5 2 6" xfId="9264" xr:uid="{00000000-0005-0000-0000-000002240000}"/>
    <cellStyle name="Normal 2 2 10 5 2 7" xfId="9265" xr:uid="{00000000-0005-0000-0000-000003240000}"/>
    <cellStyle name="Normal 2 2 10 5 2 8" xfId="9266" xr:uid="{00000000-0005-0000-0000-000004240000}"/>
    <cellStyle name="Normal 2 2 10 5 2 9" xfId="9267" xr:uid="{00000000-0005-0000-0000-000005240000}"/>
    <cellStyle name="Normal 2 2 10 5 3" xfId="9268" xr:uid="{00000000-0005-0000-0000-000006240000}"/>
    <cellStyle name="Normal 2 2 10 5 3 10" xfId="9269" xr:uid="{00000000-0005-0000-0000-000007240000}"/>
    <cellStyle name="Normal 2 2 10 5 3 2" xfId="9270" xr:uid="{00000000-0005-0000-0000-000008240000}"/>
    <cellStyle name="Normal 2 2 10 5 3 3" xfId="9271" xr:uid="{00000000-0005-0000-0000-000009240000}"/>
    <cellStyle name="Normal 2 2 10 5 3 4" xfId="9272" xr:uid="{00000000-0005-0000-0000-00000A240000}"/>
    <cellStyle name="Normal 2 2 10 5 3 5" xfId="9273" xr:uid="{00000000-0005-0000-0000-00000B240000}"/>
    <cellStyle name="Normal 2 2 10 5 3 6" xfId="9274" xr:uid="{00000000-0005-0000-0000-00000C240000}"/>
    <cellStyle name="Normal 2 2 10 5 3 7" xfId="9275" xr:uid="{00000000-0005-0000-0000-00000D240000}"/>
    <cellStyle name="Normal 2 2 10 5 3 8" xfId="9276" xr:uid="{00000000-0005-0000-0000-00000E240000}"/>
    <cellStyle name="Normal 2 2 10 5 3 9" xfId="9277" xr:uid="{00000000-0005-0000-0000-00000F240000}"/>
    <cellStyle name="Normal 2 2 10 5 4" xfId="9278" xr:uid="{00000000-0005-0000-0000-000010240000}"/>
    <cellStyle name="Normal 2 2 10 5 4 10" xfId="9279" xr:uid="{00000000-0005-0000-0000-000011240000}"/>
    <cellStyle name="Normal 2 2 10 5 4 2" xfId="9280" xr:uid="{00000000-0005-0000-0000-000012240000}"/>
    <cellStyle name="Normal 2 2 10 5 4 3" xfId="9281" xr:uid="{00000000-0005-0000-0000-000013240000}"/>
    <cellStyle name="Normal 2 2 10 5 4 4" xfId="9282" xr:uid="{00000000-0005-0000-0000-000014240000}"/>
    <cellStyle name="Normal 2 2 10 5 4 5" xfId="9283" xr:uid="{00000000-0005-0000-0000-000015240000}"/>
    <cellStyle name="Normal 2 2 10 5 4 6" xfId="9284" xr:uid="{00000000-0005-0000-0000-000016240000}"/>
    <cellStyle name="Normal 2 2 10 5 4 7" xfId="9285" xr:uid="{00000000-0005-0000-0000-000017240000}"/>
    <cellStyle name="Normal 2 2 10 5 4 8" xfId="9286" xr:uid="{00000000-0005-0000-0000-000018240000}"/>
    <cellStyle name="Normal 2 2 10 5 4 9" xfId="9287" xr:uid="{00000000-0005-0000-0000-000019240000}"/>
    <cellStyle name="Normal 2 2 10 5 5" xfId="9288" xr:uid="{00000000-0005-0000-0000-00001A240000}"/>
    <cellStyle name="Normal 2 2 10 5 5 10" xfId="9289" xr:uid="{00000000-0005-0000-0000-00001B240000}"/>
    <cellStyle name="Normal 2 2 10 5 5 2" xfId="9290" xr:uid="{00000000-0005-0000-0000-00001C240000}"/>
    <cellStyle name="Normal 2 2 10 5 5 3" xfId="9291" xr:uid="{00000000-0005-0000-0000-00001D240000}"/>
    <cellStyle name="Normal 2 2 10 5 5 4" xfId="9292" xr:uid="{00000000-0005-0000-0000-00001E240000}"/>
    <cellStyle name="Normal 2 2 10 5 5 5" xfId="9293" xr:uid="{00000000-0005-0000-0000-00001F240000}"/>
    <cellStyle name="Normal 2 2 10 5 5 6" xfId="9294" xr:uid="{00000000-0005-0000-0000-000020240000}"/>
    <cellStyle name="Normal 2 2 10 5 5 7" xfId="9295" xr:uid="{00000000-0005-0000-0000-000021240000}"/>
    <cellStyle name="Normal 2 2 10 5 5 8" xfId="9296" xr:uid="{00000000-0005-0000-0000-000022240000}"/>
    <cellStyle name="Normal 2 2 10 5 5 9" xfId="9297" xr:uid="{00000000-0005-0000-0000-000023240000}"/>
    <cellStyle name="Normal 2 2 10 5 6" xfId="9298" xr:uid="{00000000-0005-0000-0000-000024240000}"/>
    <cellStyle name="Normal 2 2 10 5 7" xfId="9299" xr:uid="{00000000-0005-0000-0000-000025240000}"/>
    <cellStyle name="Normal 2 2 10 5 8" xfId="9300" xr:uid="{00000000-0005-0000-0000-000026240000}"/>
    <cellStyle name="Normal 2 2 10 5 9" xfId="9301" xr:uid="{00000000-0005-0000-0000-000027240000}"/>
    <cellStyle name="Normal 2 2 10 6" xfId="9302" xr:uid="{00000000-0005-0000-0000-000028240000}"/>
    <cellStyle name="Normal 2 2 10 6 10" xfId="9303" xr:uid="{00000000-0005-0000-0000-000029240000}"/>
    <cellStyle name="Normal 2 2 10 6 11" xfId="9304" xr:uid="{00000000-0005-0000-0000-00002A240000}"/>
    <cellStyle name="Normal 2 2 10 6 12" xfId="9305" xr:uid="{00000000-0005-0000-0000-00002B240000}"/>
    <cellStyle name="Normal 2 2 10 6 13" xfId="9306" xr:uid="{00000000-0005-0000-0000-00002C240000}"/>
    <cellStyle name="Normal 2 2 10 6 14" xfId="9307" xr:uid="{00000000-0005-0000-0000-00002D240000}"/>
    <cellStyle name="Normal 2 2 10 6 2" xfId="9308" xr:uid="{00000000-0005-0000-0000-00002E240000}"/>
    <cellStyle name="Normal 2 2 10 6 2 10" xfId="9309" xr:uid="{00000000-0005-0000-0000-00002F240000}"/>
    <cellStyle name="Normal 2 2 10 6 2 2" xfId="9310" xr:uid="{00000000-0005-0000-0000-000030240000}"/>
    <cellStyle name="Normal 2 2 10 6 2 3" xfId="9311" xr:uid="{00000000-0005-0000-0000-000031240000}"/>
    <cellStyle name="Normal 2 2 10 6 2 4" xfId="9312" xr:uid="{00000000-0005-0000-0000-000032240000}"/>
    <cellStyle name="Normal 2 2 10 6 2 5" xfId="9313" xr:uid="{00000000-0005-0000-0000-000033240000}"/>
    <cellStyle name="Normal 2 2 10 6 2 6" xfId="9314" xr:uid="{00000000-0005-0000-0000-000034240000}"/>
    <cellStyle name="Normal 2 2 10 6 2 7" xfId="9315" xr:uid="{00000000-0005-0000-0000-000035240000}"/>
    <cellStyle name="Normal 2 2 10 6 2 8" xfId="9316" xr:uid="{00000000-0005-0000-0000-000036240000}"/>
    <cellStyle name="Normal 2 2 10 6 2 9" xfId="9317" xr:uid="{00000000-0005-0000-0000-000037240000}"/>
    <cellStyle name="Normal 2 2 10 6 3" xfId="9318" xr:uid="{00000000-0005-0000-0000-000038240000}"/>
    <cellStyle name="Normal 2 2 10 6 3 10" xfId="9319" xr:uid="{00000000-0005-0000-0000-000039240000}"/>
    <cellStyle name="Normal 2 2 10 6 3 2" xfId="9320" xr:uid="{00000000-0005-0000-0000-00003A240000}"/>
    <cellStyle name="Normal 2 2 10 6 3 3" xfId="9321" xr:uid="{00000000-0005-0000-0000-00003B240000}"/>
    <cellStyle name="Normal 2 2 10 6 3 4" xfId="9322" xr:uid="{00000000-0005-0000-0000-00003C240000}"/>
    <cellStyle name="Normal 2 2 10 6 3 5" xfId="9323" xr:uid="{00000000-0005-0000-0000-00003D240000}"/>
    <cellStyle name="Normal 2 2 10 6 3 6" xfId="9324" xr:uid="{00000000-0005-0000-0000-00003E240000}"/>
    <cellStyle name="Normal 2 2 10 6 3 7" xfId="9325" xr:uid="{00000000-0005-0000-0000-00003F240000}"/>
    <cellStyle name="Normal 2 2 10 6 3 8" xfId="9326" xr:uid="{00000000-0005-0000-0000-000040240000}"/>
    <cellStyle name="Normal 2 2 10 6 3 9" xfId="9327" xr:uid="{00000000-0005-0000-0000-000041240000}"/>
    <cellStyle name="Normal 2 2 10 6 4" xfId="9328" xr:uid="{00000000-0005-0000-0000-000042240000}"/>
    <cellStyle name="Normal 2 2 10 6 4 10" xfId="9329" xr:uid="{00000000-0005-0000-0000-000043240000}"/>
    <cellStyle name="Normal 2 2 10 6 4 2" xfId="9330" xr:uid="{00000000-0005-0000-0000-000044240000}"/>
    <cellStyle name="Normal 2 2 10 6 4 3" xfId="9331" xr:uid="{00000000-0005-0000-0000-000045240000}"/>
    <cellStyle name="Normal 2 2 10 6 4 4" xfId="9332" xr:uid="{00000000-0005-0000-0000-000046240000}"/>
    <cellStyle name="Normal 2 2 10 6 4 5" xfId="9333" xr:uid="{00000000-0005-0000-0000-000047240000}"/>
    <cellStyle name="Normal 2 2 10 6 4 6" xfId="9334" xr:uid="{00000000-0005-0000-0000-000048240000}"/>
    <cellStyle name="Normal 2 2 10 6 4 7" xfId="9335" xr:uid="{00000000-0005-0000-0000-000049240000}"/>
    <cellStyle name="Normal 2 2 10 6 4 8" xfId="9336" xr:uid="{00000000-0005-0000-0000-00004A240000}"/>
    <cellStyle name="Normal 2 2 10 6 4 9" xfId="9337" xr:uid="{00000000-0005-0000-0000-00004B240000}"/>
    <cellStyle name="Normal 2 2 10 6 5" xfId="9338" xr:uid="{00000000-0005-0000-0000-00004C240000}"/>
    <cellStyle name="Normal 2 2 10 6 5 10" xfId="9339" xr:uid="{00000000-0005-0000-0000-00004D240000}"/>
    <cellStyle name="Normal 2 2 10 6 5 2" xfId="9340" xr:uid="{00000000-0005-0000-0000-00004E240000}"/>
    <cellStyle name="Normal 2 2 10 6 5 3" xfId="9341" xr:uid="{00000000-0005-0000-0000-00004F240000}"/>
    <cellStyle name="Normal 2 2 10 6 5 4" xfId="9342" xr:uid="{00000000-0005-0000-0000-000050240000}"/>
    <cellStyle name="Normal 2 2 10 6 5 5" xfId="9343" xr:uid="{00000000-0005-0000-0000-000051240000}"/>
    <cellStyle name="Normal 2 2 10 6 5 6" xfId="9344" xr:uid="{00000000-0005-0000-0000-000052240000}"/>
    <cellStyle name="Normal 2 2 10 6 5 7" xfId="9345" xr:uid="{00000000-0005-0000-0000-000053240000}"/>
    <cellStyle name="Normal 2 2 10 6 5 8" xfId="9346" xr:uid="{00000000-0005-0000-0000-000054240000}"/>
    <cellStyle name="Normal 2 2 10 6 5 9" xfId="9347" xr:uid="{00000000-0005-0000-0000-000055240000}"/>
    <cellStyle name="Normal 2 2 10 6 6" xfId="9348" xr:uid="{00000000-0005-0000-0000-000056240000}"/>
    <cellStyle name="Normal 2 2 10 6 7" xfId="9349" xr:uid="{00000000-0005-0000-0000-000057240000}"/>
    <cellStyle name="Normal 2 2 10 6 8" xfId="9350" xr:uid="{00000000-0005-0000-0000-000058240000}"/>
    <cellStyle name="Normal 2 2 10 6 9" xfId="9351" xr:uid="{00000000-0005-0000-0000-000059240000}"/>
    <cellStyle name="Normal 2 2 10 7" xfId="9352" xr:uid="{00000000-0005-0000-0000-00005A240000}"/>
    <cellStyle name="Normal 2 2 10 7 10" xfId="9353" xr:uid="{00000000-0005-0000-0000-00005B240000}"/>
    <cellStyle name="Normal 2 2 10 7 11" xfId="9354" xr:uid="{00000000-0005-0000-0000-00005C240000}"/>
    <cellStyle name="Normal 2 2 10 7 12" xfId="9355" xr:uid="{00000000-0005-0000-0000-00005D240000}"/>
    <cellStyle name="Normal 2 2 10 7 13" xfId="9356" xr:uid="{00000000-0005-0000-0000-00005E240000}"/>
    <cellStyle name="Normal 2 2 10 7 14" xfId="9357" xr:uid="{00000000-0005-0000-0000-00005F240000}"/>
    <cellStyle name="Normal 2 2 10 7 2" xfId="9358" xr:uid="{00000000-0005-0000-0000-000060240000}"/>
    <cellStyle name="Normal 2 2 10 7 2 10" xfId="9359" xr:uid="{00000000-0005-0000-0000-000061240000}"/>
    <cellStyle name="Normal 2 2 10 7 2 2" xfId="9360" xr:uid="{00000000-0005-0000-0000-000062240000}"/>
    <cellStyle name="Normal 2 2 10 7 2 3" xfId="9361" xr:uid="{00000000-0005-0000-0000-000063240000}"/>
    <cellStyle name="Normal 2 2 10 7 2 4" xfId="9362" xr:uid="{00000000-0005-0000-0000-000064240000}"/>
    <cellStyle name="Normal 2 2 10 7 2 5" xfId="9363" xr:uid="{00000000-0005-0000-0000-000065240000}"/>
    <cellStyle name="Normal 2 2 10 7 2 6" xfId="9364" xr:uid="{00000000-0005-0000-0000-000066240000}"/>
    <cellStyle name="Normal 2 2 10 7 2 7" xfId="9365" xr:uid="{00000000-0005-0000-0000-000067240000}"/>
    <cellStyle name="Normal 2 2 10 7 2 8" xfId="9366" xr:uid="{00000000-0005-0000-0000-000068240000}"/>
    <cellStyle name="Normal 2 2 10 7 2 9" xfId="9367" xr:uid="{00000000-0005-0000-0000-000069240000}"/>
    <cellStyle name="Normal 2 2 10 7 3" xfId="9368" xr:uid="{00000000-0005-0000-0000-00006A240000}"/>
    <cellStyle name="Normal 2 2 10 7 3 10" xfId="9369" xr:uid="{00000000-0005-0000-0000-00006B240000}"/>
    <cellStyle name="Normal 2 2 10 7 3 2" xfId="9370" xr:uid="{00000000-0005-0000-0000-00006C240000}"/>
    <cellStyle name="Normal 2 2 10 7 3 3" xfId="9371" xr:uid="{00000000-0005-0000-0000-00006D240000}"/>
    <cellStyle name="Normal 2 2 10 7 3 4" xfId="9372" xr:uid="{00000000-0005-0000-0000-00006E240000}"/>
    <cellStyle name="Normal 2 2 10 7 3 5" xfId="9373" xr:uid="{00000000-0005-0000-0000-00006F240000}"/>
    <cellStyle name="Normal 2 2 10 7 3 6" xfId="9374" xr:uid="{00000000-0005-0000-0000-000070240000}"/>
    <cellStyle name="Normal 2 2 10 7 3 7" xfId="9375" xr:uid="{00000000-0005-0000-0000-000071240000}"/>
    <cellStyle name="Normal 2 2 10 7 3 8" xfId="9376" xr:uid="{00000000-0005-0000-0000-000072240000}"/>
    <cellStyle name="Normal 2 2 10 7 3 9" xfId="9377" xr:uid="{00000000-0005-0000-0000-000073240000}"/>
    <cellStyle name="Normal 2 2 10 7 4" xfId="9378" xr:uid="{00000000-0005-0000-0000-000074240000}"/>
    <cellStyle name="Normal 2 2 10 7 4 10" xfId="9379" xr:uid="{00000000-0005-0000-0000-000075240000}"/>
    <cellStyle name="Normal 2 2 10 7 4 2" xfId="9380" xr:uid="{00000000-0005-0000-0000-000076240000}"/>
    <cellStyle name="Normal 2 2 10 7 4 3" xfId="9381" xr:uid="{00000000-0005-0000-0000-000077240000}"/>
    <cellStyle name="Normal 2 2 10 7 4 4" xfId="9382" xr:uid="{00000000-0005-0000-0000-000078240000}"/>
    <cellStyle name="Normal 2 2 10 7 4 5" xfId="9383" xr:uid="{00000000-0005-0000-0000-000079240000}"/>
    <cellStyle name="Normal 2 2 10 7 4 6" xfId="9384" xr:uid="{00000000-0005-0000-0000-00007A240000}"/>
    <cellStyle name="Normal 2 2 10 7 4 7" xfId="9385" xr:uid="{00000000-0005-0000-0000-00007B240000}"/>
    <cellStyle name="Normal 2 2 10 7 4 8" xfId="9386" xr:uid="{00000000-0005-0000-0000-00007C240000}"/>
    <cellStyle name="Normal 2 2 10 7 4 9" xfId="9387" xr:uid="{00000000-0005-0000-0000-00007D240000}"/>
    <cellStyle name="Normal 2 2 10 7 5" xfId="9388" xr:uid="{00000000-0005-0000-0000-00007E240000}"/>
    <cellStyle name="Normal 2 2 10 7 5 10" xfId="9389" xr:uid="{00000000-0005-0000-0000-00007F240000}"/>
    <cellStyle name="Normal 2 2 10 7 5 2" xfId="9390" xr:uid="{00000000-0005-0000-0000-000080240000}"/>
    <cellStyle name="Normal 2 2 10 7 5 3" xfId="9391" xr:uid="{00000000-0005-0000-0000-000081240000}"/>
    <cellStyle name="Normal 2 2 10 7 5 4" xfId="9392" xr:uid="{00000000-0005-0000-0000-000082240000}"/>
    <cellStyle name="Normal 2 2 10 7 5 5" xfId="9393" xr:uid="{00000000-0005-0000-0000-000083240000}"/>
    <cellStyle name="Normal 2 2 10 7 5 6" xfId="9394" xr:uid="{00000000-0005-0000-0000-000084240000}"/>
    <cellStyle name="Normal 2 2 10 7 5 7" xfId="9395" xr:uid="{00000000-0005-0000-0000-000085240000}"/>
    <cellStyle name="Normal 2 2 10 7 5 8" xfId="9396" xr:uid="{00000000-0005-0000-0000-000086240000}"/>
    <cellStyle name="Normal 2 2 10 7 5 9" xfId="9397" xr:uid="{00000000-0005-0000-0000-000087240000}"/>
    <cellStyle name="Normal 2 2 10 7 6" xfId="9398" xr:uid="{00000000-0005-0000-0000-000088240000}"/>
    <cellStyle name="Normal 2 2 10 7 7" xfId="9399" xr:uid="{00000000-0005-0000-0000-000089240000}"/>
    <cellStyle name="Normal 2 2 10 7 8" xfId="9400" xr:uid="{00000000-0005-0000-0000-00008A240000}"/>
    <cellStyle name="Normal 2 2 10 7 9" xfId="9401" xr:uid="{00000000-0005-0000-0000-00008B240000}"/>
    <cellStyle name="Normal 2 2 10 8" xfId="9402" xr:uid="{00000000-0005-0000-0000-00008C240000}"/>
    <cellStyle name="Normal 2 2 10 8 10" xfId="9403" xr:uid="{00000000-0005-0000-0000-00008D240000}"/>
    <cellStyle name="Normal 2 2 10 8 11" xfId="9404" xr:uid="{00000000-0005-0000-0000-00008E240000}"/>
    <cellStyle name="Normal 2 2 10 8 12" xfId="9405" xr:uid="{00000000-0005-0000-0000-00008F240000}"/>
    <cellStyle name="Normal 2 2 10 8 13" xfId="9406" xr:uid="{00000000-0005-0000-0000-000090240000}"/>
    <cellStyle name="Normal 2 2 10 8 14" xfId="9407" xr:uid="{00000000-0005-0000-0000-000091240000}"/>
    <cellStyle name="Normal 2 2 10 8 2" xfId="9408" xr:uid="{00000000-0005-0000-0000-000092240000}"/>
    <cellStyle name="Normal 2 2 10 8 2 10" xfId="9409" xr:uid="{00000000-0005-0000-0000-000093240000}"/>
    <cellStyle name="Normal 2 2 10 8 2 2" xfId="9410" xr:uid="{00000000-0005-0000-0000-000094240000}"/>
    <cellStyle name="Normal 2 2 10 8 2 3" xfId="9411" xr:uid="{00000000-0005-0000-0000-000095240000}"/>
    <cellStyle name="Normal 2 2 10 8 2 4" xfId="9412" xr:uid="{00000000-0005-0000-0000-000096240000}"/>
    <cellStyle name="Normal 2 2 10 8 2 5" xfId="9413" xr:uid="{00000000-0005-0000-0000-000097240000}"/>
    <cellStyle name="Normal 2 2 10 8 2 6" xfId="9414" xr:uid="{00000000-0005-0000-0000-000098240000}"/>
    <cellStyle name="Normal 2 2 10 8 2 7" xfId="9415" xr:uid="{00000000-0005-0000-0000-000099240000}"/>
    <cellStyle name="Normal 2 2 10 8 2 8" xfId="9416" xr:uid="{00000000-0005-0000-0000-00009A240000}"/>
    <cellStyle name="Normal 2 2 10 8 2 9" xfId="9417" xr:uid="{00000000-0005-0000-0000-00009B240000}"/>
    <cellStyle name="Normal 2 2 10 8 3" xfId="9418" xr:uid="{00000000-0005-0000-0000-00009C240000}"/>
    <cellStyle name="Normal 2 2 10 8 3 10" xfId="9419" xr:uid="{00000000-0005-0000-0000-00009D240000}"/>
    <cellStyle name="Normal 2 2 10 8 3 2" xfId="9420" xr:uid="{00000000-0005-0000-0000-00009E240000}"/>
    <cellStyle name="Normal 2 2 10 8 3 3" xfId="9421" xr:uid="{00000000-0005-0000-0000-00009F240000}"/>
    <cellStyle name="Normal 2 2 10 8 3 4" xfId="9422" xr:uid="{00000000-0005-0000-0000-0000A0240000}"/>
    <cellStyle name="Normal 2 2 10 8 3 5" xfId="9423" xr:uid="{00000000-0005-0000-0000-0000A1240000}"/>
    <cellStyle name="Normal 2 2 10 8 3 6" xfId="9424" xr:uid="{00000000-0005-0000-0000-0000A2240000}"/>
    <cellStyle name="Normal 2 2 10 8 3 7" xfId="9425" xr:uid="{00000000-0005-0000-0000-0000A3240000}"/>
    <cellStyle name="Normal 2 2 10 8 3 8" xfId="9426" xr:uid="{00000000-0005-0000-0000-0000A4240000}"/>
    <cellStyle name="Normal 2 2 10 8 3 9" xfId="9427" xr:uid="{00000000-0005-0000-0000-0000A5240000}"/>
    <cellStyle name="Normal 2 2 10 8 4" xfId="9428" xr:uid="{00000000-0005-0000-0000-0000A6240000}"/>
    <cellStyle name="Normal 2 2 10 8 4 10" xfId="9429" xr:uid="{00000000-0005-0000-0000-0000A7240000}"/>
    <cellStyle name="Normal 2 2 10 8 4 2" xfId="9430" xr:uid="{00000000-0005-0000-0000-0000A8240000}"/>
    <cellStyle name="Normal 2 2 10 8 4 3" xfId="9431" xr:uid="{00000000-0005-0000-0000-0000A9240000}"/>
    <cellStyle name="Normal 2 2 10 8 4 4" xfId="9432" xr:uid="{00000000-0005-0000-0000-0000AA240000}"/>
    <cellStyle name="Normal 2 2 10 8 4 5" xfId="9433" xr:uid="{00000000-0005-0000-0000-0000AB240000}"/>
    <cellStyle name="Normal 2 2 10 8 4 6" xfId="9434" xr:uid="{00000000-0005-0000-0000-0000AC240000}"/>
    <cellStyle name="Normal 2 2 10 8 4 7" xfId="9435" xr:uid="{00000000-0005-0000-0000-0000AD240000}"/>
    <cellStyle name="Normal 2 2 10 8 4 8" xfId="9436" xr:uid="{00000000-0005-0000-0000-0000AE240000}"/>
    <cellStyle name="Normal 2 2 10 8 4 9" xfId="9437" xr:uid="{00000000-0005-0000-0000-0000AF240000}"/>
    <cellStyle name="Normal 2 2 10 8 5" xfId="9438" xr:uid="{00000000-0005-0000-0000-0000B0240000}"/>
    <cellStyle name="Normal 2 2 10 8 5 10" xfId="9439" xr:uid="{00000000-0005-0000-0000-0000B1240000}"/>
    <cellStyle name="Normal 2 2 10 8 5 2" xfId="9440" xr:uid="{00000000-0005-0000-0000-0000B2240000}"/>
    <cellStyle name="Normal 2 2 10 8 5 3" xfId="9441" xr:uid="{00000000-0005-0000-0000-0000B3240000}"/>
    <cellStyle name="Normal 2 2 10 8 5 4" xfId="9442" xr:uid="{00000000-0005-0000-0000-0000B4240000}"/>
    <cellStyle name="Normal 2 2 10 8 5 5" xfId="9443" xr:uid="{00000000-0005-0000-0000-0000B5240000}"/>
    <cellStyle name="Normal 2 2 10 8 5 6" xfId="9444" xr:uid="{00000000-0005-0000-0000-0000B6240000}"/>
    <cellStyle name="Normal 2 2 10 8 5 7" xfId="9445" xr:uid="{00000000-0005-0000-0000-0000B7240000}"/>
    <cellStyle name="Normal 2 2 10 8 5 8" xfId="9446" xr:uid="{00000000-0005-0000-0000-0000B8240000}"/>
    <cellStyle name="Normal 2 2 10 8 5 9" xfId="9447" xr:uid="{00000000-0005-0000-0000-0000B9240000}"/>
    <cellStyle name="Normal 2 2 10 8 6" xfId="9448" xr:uid="{00000000-0005-0000-0000-0000BA240000}"/>
    <cellStyle name="Normal 2 2 10 8 7" xfId="9449" xr:uid="{00000000-0005-0000-0000-0000BB240000}"/>
    <cellStyle name="Normal 2 2 10 8 8" xfId="9450" xr:uid="{00000000-0005-0000-0000-0000BC240000}"/>
    <cellStyle name="Normal 2 2 10 8 9" xfId="9451" xr:uid="{00000000-0005-0000-0000-0000BD240000}"/>
    <cellStyle name="Normal 2 2 10 9" xfId="9452" xr:uid="{00000000-0005-0000-0000-0000BE240000}"/>
    <cellStyle name="Normal 2 2 10 9 10" xfId="9453" xr:uid="{00000000-0005-0000-0000-0000BF240000}"/>
    <cellStyle name="Normal 2 2 10 9 11" xfId="9454" xr:uid="{00000000-0005-0000-0000-0000C0240000}"/>
    <cellStyle name="Normal 2 2 10 9 12" xfId="9455" xr:uid="{00000000-0005-0000-0000-0000C1240000}"/>
    <cellStyle name="Normal 2 2 10 9 13" xfId="9456" xr:uid="{00000000-0005-0000-0000-0000C2240000}"/>
    <cellStyle name="Normal 2 2 10 9 14" xfId="9457" xr:uid="{00000000-0005-0000-0000-0000C3240000}"/>
    <cellStyle name="Normal 2 2 10 9 2" xfId="9458" xr:uid="{00000000-0005-0000-0000-0000C4240000}"/>
    <cellStyle name="Normal 2 2 10 9 2 10" xfId="9459" xr:uid="{00000000-0005-0000-0000-0000C5240000}"/>
    <cellStyle name="Normal 2 2 10 9 2 2" xfId="9460" xr:uid="{00000000-0005-0000-0000-0000C6240000}"/>
    <cellStyle name="Normal 2 2 10 9 2 3" xfId="9461" xr:uid="{00000000-0005-0000-0000-0000C7240000}"/>
    <cellStyle name="Normal 2 2 10 9 2 4" xfId="9462" xr:uid="{00000000-0005-0000-0000-0000C8240000}"/>
    <cellStyle name="Normal 2 2 10 9 2 5" xfId="9463" xr:uid="{00000000-0005-0000-0000-0000C9240000}"/>
    <cellStyle name="Normal 2 2 10 9 2 6" xfId="9464" xr:uid="{00000000-0005-0000-0000-0000CA240000}"/>
    <cellStyle name="Normal 2 2 10 9 2 7" xfId="9465" xr:uid="{00000000-0005-0000-0000-0000CB240000}"/>
    <cellStyle name="Normal 2 2 10 9 2 8" xfId="9466" xr:uid="{00000000-0005-0000-0000-0000CC240000}"/>
    <cellStyle name="Normal 2 2 10 9 2 9" xfId="9467" xr:uid="{00000000-0005-0000-0000-0000CD240000}"/>
    <cellStyle name="Normal 2 2 10 9 3" xfId="9468" xr:uid="{00000000-0005-0000-0000-0000CE240000}"/>
    <cellStyle name="Normal 2 2 10 9 3 10" xfId="9469" xr:uid="{00000000-0005-0000-0000-0000CF240000}"/>
    <cellStyle name="Normal 2 2 10 9 3 2" xfId="9470" xr:uid="{00000000-0005-0000-0000-0000D0240000}"/>
    <cellStyle name="Normal 2 2 10 9 3 3" xfId="9471" xr:uid="{00000000-0005-0000-0000-0000D1240000}"/>
    <cellStyle name="Normal 2 2 10 9 3 4" xfId="9472" xr:uid="{00000000-0005-0000-0000-0000D2240000}"/>
    <cellStyle name="Normal 2 2 10 9 3 5" xfId="9473" xr:uid="{00000000-0005-0000-0000-0000D3240000}"/>
    <cellStyle name="Normal 2 2 10 9 3 6" xfId="9474" xr:uid="{00000000-0005-0000-0000-0000D4240000}"/>
    <cellStyle name="Normal 2 2 10 9 3 7" xfId="9475" xr:uid="{00000000-0005-0000-0000-0000D5240000}"/>
    <cellStyle name="Normal 2 2 10 9 3 8" xfId="9476" xr:uid="{00000000-0005-0000-0000-0000D6240000}"/>
    <cellStyle name="Normal 2 2 10 9 3 9" xfId="9477" xr:uid="{00000000-0005-0000-0000-0000D7240000}"/>
    <cellStyle name="Normal 2 2 10 9 4" xfId="9478" xr:uid="{00000000-0005-0000-0000-0000D8240000}"/>
    <cellStyle name="Normal 2 2 10 9 4 10" xfId="9479" xr:uid="{00000000-0005-0000-0000-0000D9240000}"/>
    <cellStyle name="Normal 2 2 10 9 4 2" xfId="9480" xr:uid="{00000000-0005-0000-0000-0000DA240000}"/>
    <cellStyle name="Normal 2 2 10 9 4 3" xfId="9481" xr:uid="{00000000-0005-0000-0000-0000DB240000}"/>
    <cellStyle name="Normal 2 2 10 9 4 4" xfId="9482" xr:uid="{00000000-0005-0000-0000-0000DC240000}"/>
    <cellStyle name="Normal 2 2 10 9 4 5" xfId="9483" xr:uid="{00000000-0005-0000-0000-0000DD240000}"/>
    <cellStyle name="Normal 2 2 10 9 4 6" xfId="9484" xr:uid="{00000000-0005-0000-0000-0000DE240000}"/>
    <cellStyle name="Normal 2 2 10 9 4 7" xfId="9485" xr:uid="{00000000-0005-0000-0000-0000DF240000}"/>
    <cellStyle name="Normal 2 2 10 9 4 8" xfId="9486" xr:uid="{00000000-0005-0000-0000-0000E0240000}"/>
    <cellStyle name="Normal 2 2 10 9 4 9" xfId="9487" xr:uid="{00000000-0005-0000-0000-0000E1240000}"/>
    <cellStyle name="Normal 2 2 10 9 5" xfId="9488" xr:uid="{00000000-0005-0000-0000-0000E2240000}"/>
    <cellStyle name="Normal 2 2 10 9 5 10" xfId="9489" xr:uid="{00000000-0005-0000-0000-0000E3240000}"/>
    <cellStyle name="Normal 2 2 10 9 5 2" xfId="9490" xr:uid="{00000000-0005-0000-0000-0000E4240000}"/>
    <cellStyle name="Normal 2 2 10 9 5 3" xfId="9491" xr:uid="{00000000-0005-0000-0000-0000E5240000}"/>
    <cellStyle name="Normal 2 2 10 9 5 4" xfId="9492" xr:uid="{00000000-0005-0000-0000-0000E6240000}"/>
    <cellStyle name="Normal 2 2 10 9 5 5" xfId="9493" xr:uid="{00000000-0005-0000-0000-0000E7240000}"/>
    <cellStyle name="Normal 2 2 10 9 5 6" xfId="9494" xr:uid="{00000000-0005-0000-0000-0000E8240000}"/>
    <cellStyle name="Normal 2 2 10 9 5 7" xfId="9495" xr:uid="{00000000-0005-0000-0000-0000E9240000}"/>
    <cellStyle name="Normal 2 2 10 9 5 8" xfId="9496" xr:uid="{00000000-0005-0000-0000-0000EA240000}"/>
    <cellStyle name="Normal 2 2 10 9 5 9" xfId="9497" xr:uid="{00000000-0005-0000-0000-0000EB240000}"/>
    <cellStyle name="Normal 2 2 10 9 6" xfId="9498" xr:uid="{00000000-0005-0000-0000-0000EC240000}"/>
    <cellStyle name="Normal 2 2 10 9 7" xfId="9499" xr:uid="{00000000-0005-0000-0000-0000ED240000}"/>
    <cellStyle name="Normal 2 2 10 9 8" xfId="9500" xr:uid="{00000000-0005-0000-0000-0000EE240000}"/>
    <cellStyle name="Normal 2 2 10 9 9" xfId="9501" xr:uid="{00000000-0005-0000-0000-0000EF240000}"/>
    <cellStyle name="Normal 2 2 11" xfId="9502" xr:uid="{00000000-0005-0000-0000-0000F0240000}"/>
    <cellStyle name="Normal 2 2 12" xfId="9503" xr:uid="{00000000-0005-0000-0000-0000F1240000}"/>
    <cellStyle name="Normal 2 2 13" xfId="9504" xr:uid="{00000000-0005-0000-0000-0000F2240000}"/>
    <cellStyle name="Normal 2 2 14" xfId="9505" xr:uid="{00000000-0005-0000-0000-0000F3240000}"/>
    <cellStyle name="Normal 2 2 15" xfId="9506" xr:uid="{00000000-0005-0000-0000-0000F4240000}"/>
    <cellStyle name="Normal 2 2 16" xfId="9507" xr:uid="{00000000-0005-0000-0000-0000F5240000}"/>
    <cellStyle name="Normal 2 2 17" xfId="9508" xr:uid="{00000000-0005-0000-0000-0000F6240000}"/>
    <cellStyle name="Normal 2 2 18" xfId="9509" xr:uid="{00000000-0005-0000-0000-0000F7240000}"/>
    <cellStyle name="Normal 2 2 19" xfId="9510" xr:uid="{00000000-0005-0000-0000-0000F8240000}"/>
    <cellStyle name="Normal 2 2 2" xfId="10" xr:uid="{00000000-0005-0000-0000-0000F9240000}"/>
    <cellStyle name="Normal 2 2 2 10" xfId="9511" xr:uid="{00000000-0005-0000-0000-0000FA240000}"/>
    <cellStyle name="Normal 2 2 2 10 10" xfId="9512" xr:uid="{00000000-0005-0000-0000-0000FB240000}"/>
    <cellStyle name="Normal 2 2 2 10 11" xfId="9513" xr:uid="{00000000-0005-0000-0000-0000FC240000}"/>
    <cellStyle name="Normal 2 2 2 10 12" xfId="9514" xr:uid="{00000000-0005-0000-0000-0000FD240000}"/>
    <cellStyle name="Normal 2 2 2 10 13" xfId="9515" xr:uid="{00000000-0005-0000-0000-0000FE240000}"/>
    <cellStyle name="Normal 2 2 2 10 14" xfId="9516" xr:uid="{00000000-0005-0000-0000-0000FF240000}"/>
    <cellStyle name="Normal 2 2 2 10 2" xfId="9517" xr:uid="{00000000-0005-0000-0000-000000250000}"/>
    <cellStyle name="Normal 2 2 2 10 2 10" xfId="9518" xr:uid="{00000000-0005-0000-0000-000001250000}"/>
    <cellStyle name="Normal 2 2 2 10 2 2" xfId="9519" xr:uid="{00000000-0005-0000-0000-000002250000}"/>
    <cellStyle name="Normal 2 2 2 10 2 3" xfId="9520" xr:uid="{00000000-0005-0000-0000-000003250000}"/>
    <cellStyle name="Normal 2 2 2 10 2 4" xfId="9521" xr:uid="{00000000-0005-0000-0000-000004250000}"/>
    <cellStyle name="Normal 2 2 2 10 2 5" xfId="9522" xr:uid="{00000000-0005-0000-0000-000005250000}"/>
    <cellStyle name="Normal 2 2 2 10 2 6" xfId="9523" xr:uid="{00000000-0005-0000-0000-000006250000}"/>
    <cellStyle name="Normal 2 2 2 10 2 7" xfId="9524" xr:uid="{00000000-0005-0000-0000-000007250000}"/>
    <cellStyle name="Normal 2 2 2 10 2 8" xfId="9525" xr:uid="{00000000-0005-0000-0000-000008250000}"/>
    <cellStyle name="Normal 2 2 2 10 2 9" xfId="9526" xr:uid="{00000000-0005-0000-0000-000009250000}"/>
    <cellStyle name="Normal 2 2 2 10 3" xfId="9527" xr:uid="{00000000-0005-0000-0000-00000A250000}"/>
    <cellStyle name="Normal 2 2 2 10 3 10" xfId="9528" xr:uid="{00000000-0005-0000-0000-00000B250000}"/>
    <cellStyle name="Normal 2 2 2 10 3 2" xfId="9529" xr:uid="{00000000-0005-0000-0000-00000C250000}"/>
    <cellStyle name="Normal 2 2 2 10 3 3" xfId="9530" xr:uid="{00000000-0005-0000-0000-00000D250000}"/>
    <cellStyle name="Normal 2 2 2 10 3 4" xfId="9531" xr:uid="{00000000-0005-0000-0000-00000E250000}"/>
    <cellStyle name="Normal 2 2 2 10 3 5" xfId="9532" xr:uid="{00000000-0005-0000-0000-00000F250000}"/>
    <cellStyle name="Normal 2 2 2 10 3 6" xfId="9533" xr:uid="{00000000-0005-0000-0000-000010250000}"/>
    <cellStyle name="Normal 2 2 2 10 3 7" xfId="9534" xr:uid="{00000000-0005-0000-0000-000011250000}"/>
    <cellStyle name="Normal 2 2 2 10 3 8" xfId="9535" xr:uid="{00000000-0005-0000-0000-000012250000}"/>
    <cellStyle name="Normal 2 2 2 10 3 9" xfId="9536" xr:uid="{00000000-0005-0000-0000-000013250000}"/>
    <cellStyle name="Normal 2 2 2 10 4" xfId="9537" xr:uid="{00000000-0005-0000-0000-000014250000}"/>
    <cellStyle name="Normal 2 2 2 10 4 10" xfId="9538" xr:uid="{00000000-0005-0000-0000-000015250000}"/>
    <cellStyle name="Normal 2 2 2 10 4 2" xfId="9539" xr:uid="{00000000-0005-0000-0000-000016250000}"/>
    <cellStyle name="Normal 2 2 2 10 4 3" xfId="9540" xr:uid="{00000000-0005-0000-0000-000017250000}"/>
    <cellStyle name="Normal 2 2 2 10 4 4" xfId="9541" xr:uid="{00000000-0005-0000-0000-000018250000}"/>
    <cellStyle name="Normal 2 2 2 10 4 5" xfId="9542" xr:uid="{00000000-0005-0000-0000-000019250000}"/>
    <cellStyle name="Normal 2 2 2 10 4 6" xfId="9543" xr:uid="{00000000-0005-0000-0000-00001A250000}"/>
    <cellStyle name="Normal 2 2 2 10 4 7" xfId="9544" xr:uid="{00000000-0005-0000-0000-00001B250000}"/>
    <cellStyle name="Normal 2 2 2 10 4 8" xfId="9545" xr:uid="{00000000-0005-0000-0000-00001C250000}"/>
    <cellStyle name="Normal 2 2 2 10 4 9" xfId="9546" xr:uid="{00000000-0005-0000-0000-00001D250000}"/>
    <cellStyle name="Normal 2 2 2 10 5" xfId="9547" xr:uid="{00000000-0005-0000-0000-00001E250000}"/>
    <cellStyle name="Normal 2 2 2 10 5 10" xfId="9548" xr:uid="{00000000-0005-0000-0000-00001F250000}"/>
    <cellStyle name="Normal 2 2 2 10 5 2" xfId="9549" xr:uid="{00000000-0005-0000-0000-000020250000}"/>
    <cellStyle name="Normal 2 2 2 10 5 3" xfId="9550" xr:uid="{00000000-0005-0000-0000-000021250000}"/>
    <cellStyle name="Normal 2 2 2 10 5 4" xfId="9551" xr:uid="{00000000-0005-0000-0000-000022250000}"/>
    <cellStyle name="Normal 2 2 2 10 5 5" xfId="9552" xr:uid="{00000000-0005-0000-0000-000023250000}"/>
    <cellStyle name="Normal 2 2 2 10 5 6" xfId="9553" xr:uid="{00000000-0005-0000-0000-000024250000}"/>
    <cellStyle name="Normal 2 2 2 10 5 7" xfId="9554" xr:uid="{00000000-0005-0000-0000-000025250000}"/>
    <cellStyle name="Normal 2 2 2 10 5 8" xfId="9555" xr:uid="{00000000-0005-0000-0000-000026250000}"/>
    <cellStyle name="Normal 2 2 2 10 5 9" xfId="9556" xr:uid="{00000000-0005-0000-0000-000027250000}"/>
    <cellStyle name="Normal 2 2 2 10 6" xfId="9557" xr:uid="{00000000-0005-0000-0000-000028250000}"/>
    <cellStyle name="Normal 2 2 2 10 7" xfId="9558" xr:uid="{00000000-0005-0000-0000-000029250000}"/>
    <cellStyle name="Normal 2 2 2 10 8" xfId="9559" xr:uid="{00000000-0005-0000-0000-00002A250000}"/>
    <cellStyle name="Normal 2 2 2 10 9" xfId="9560" xr:uid="{00000000-0005-0000-0000-00002B250000}"/>
    <cellStyle name="Normal 2 2 2 11" xfId="9561" xr:uid="{00000000-0005-0000-0000-00002C250000}"/>
    <cellStyle name="Normal 2 2 2 11 10" xfId="9562" xr:uid="{00000000-0005-0000-0000-00002D250000}"/>
    <cellStyle name="Normal 2 2 2 11 11" xfId="9563" xr:uid="{00000000-0005-0000-0000-00002E250000}"/>
    <cellStyle name="Normal 2 2 2 11 12" xfId="9564" xr:uid="{00000000-0005-0000-0000-00002F250000}"/>
    <cellStyle name="Normal 2 2 2 11 13" xfId="9565" xr:uid="{00000000-0005-0000-0000-000030250000}"/>
    <cellStyle name="Normal 2 2 2 11 14" xfId="9566" xr:uid="{00000000-0005-0000-0000-000031250000}"/>
    <cellStyle name="Normal 2 2 2 11 2" xfId="9567" xr:uid="{00000000-0005-0000-0000-000032250000}"/>
    <cellStyle name="Normal 2 2 2 11 2 10" xfId="9568" xr:uid="{00000000-0005-0000-0000-000033250000}"/>
    <cellStyle name="Normal 2 2 2 11 2 2" xfId="9569" xr:uid="{00000000-0005-0000-0000-000034250000}"/>
    <cellStyle name="Normal 2 2 2 11 2 3" xfId="9570" xr:uid="{00000000-0005-0000-0000-000035250000}"/>
    <cellStyle name="Normal 2 2 2 11 2 4" xfId="9571" xr:uid="{00000000-0005-0000-0000-000036250000}"/>
    <cellStyle name="Normal 2 2 2 11 2 5" xfId="9572" xr:uid="{00000000-0005-0000-0000-000037250000}"/>
    <cellStyle name="Normal 2 2 2 11 2 6" xfId="9573" xr:uid="{00000000-0005-0000-0000-000038250000}"/>
    <cellStyle name="Normal 2 2 2 11 2 7" xfId="9574" xr:uid="{00000000-0005-0000-0000-000039250000}"/>
    <cellStyle name="Normal 2 2 2 11 2 8" xfId="9575" xr:uid="{00000000-0005-0000-0000-00003A250000}"/>
    <cellStyle name="Normal 2 2 2 11 2 9" xfId="9576" xr:uid="{00000000-0005-0000-0000-00003B250000}"/>
    <cellStyle name="Normal 2 2 2 11 3" xfId="9577" xr:uid="{00000000-0005-0000-0000-00003C250000}"/>
    <cellStyle name="Normal 2 2 2 11 3 10" xfId="9578" xr:uid="{00000000-0005-0000-0000-00003D250000}"/>
    <cellStyle name="Normal 2 2 2 11 3 2" xfId="9579" xr:uid="{00000000-0005-0000-0000-00003E250000}"/>
    <cellStyle name="Normal 2 2 2 11 3 3" xfId="9580" xr:uid="{00000000-0005-0000-0000-00003F250000}"/>
    <cellStyle name="Normal 2 2 2 11 3 4" xfId="9581" xr:uid="{00000000-0005-0000-0000-000040250000}"/>
    <cellStyle name="Normal 2 2 2 11 3 5" xfId="9582" xr:uid="{00000000-0005-0000-0000-000041250000}"/>
    <cellStyle name="Normal 2 2 2 11 3 6" xfId="9583" xr:uid="{00000000-0005-0000-0000-000042250000}"/>
    <cellStyle name="Normal 2 2 2 11 3 7" xfId="9584" xr:uid="{00000000-0005-0000-0000-000043250000}"/>
    <cellStyle name="Normal 2 2 2 11 3 8" xfId="9585" xr:uid="{00000000-0005-0000-0000-000044250000}"/>
    <cellStyle name="Normal 2 2 2 11 3 9" xfId="9586" xr:uid="{00000000-0005-0000-0000-000045250000}"/>
    <cellStyle name="Normal 2 2 2 11 4" xfId="9587" xr:uid="{00000000-0005-0000-0000-000046250000}"/>
    <cellStyle name="Normal 2 2 2 11 4 10" xfId="9588" xr:uid="{00000000-0005-0000-0000-000047250000}"/>
    <cellStyle name="Normal 2 2 2 11 4 2" xfId="9589" xr:uid="{00000000-0005-0000-0000-000048250000}"/>
    <cellStyle name="Normal 2 2 2 11 4 3" xfId="9590" xr:uid="{00000000-0005-0000-0000-000049250000}"/>
    <cellStyle name="Normal 2 2 2 11 4 4" xfId="9591" xr:uid="{00000000-0005-0000-0000-00004A250000}"/>
    <cellStyle name="Normal 2 2 2 11 4 5" xfId="9592" xr:uid="{00000000-0005-0000-0000-00004B250000}"/>
    <cellStyle name="Normal 2 2 2 11 4 6" xfId="9593" xr:uid="{00000000-0005-0000-0000-00004C250000}"/>
    <cellStyle name="Normal 2 2 2 11 4 7" xfId="9594" xr:uid="{00000000-0005-0000-0000-00004D250000}"/>
    <cellStyle name="Normal 2 2 2 11 4 8" xfId="9595" xr:uid="{00000000-0005-0000-0000-00004E250000}"/>
    <cellStyle name="Normal 2 2 2 11 4 9" xfId="9596" xr:uid="{00000000-0005-0000-0000-00004F250000}"/>
    <cellStyle name="Normal 2 2 2 11 5" xfId="9597" xr:uid="{00000000-0005-0000-0000-000050250000}"/>
    <cellStyle name="Normal 2 2 2 11 5 10" xfId="9598" xr:uid="{00000000-0005-0000-0000-000051250000}"/>
    <cellStyle name="Normal 2 2 2 11 5 2" xfId="9599" xr:uid="{00000000-0005-0000-0000-000052250000}"/>
    <cellStyle name="Normal 2 2 2 11 5 3" xfId="9600" xr:uid="{00000000-0005-0000-0000-000053250000}"/>
    <cellStyle name="Normal 2 2 2 11 5 4" xfId="9601" xr:uid="{00000000-0005-0000-0000-000054250000}"/>
    <cellStyle name="Normal 2 2 2 11 5 5" xfId="9602" xr:uid="{00000000-0005-0000-0000-000055250000}"/>
    <cellStyle name="Normal 2 2 2 11 5 6" xfId="9603" xr:uid="{00000000-0005-0000-0000-000056250000}"/>
    <cellStyle name="Normal 2 2 2 11 5 7" xfId="9604" xr:uid="{00000000-0005-0000-0000-000057250000}"/>
    <cellStyle name="Normal 2 2 2 11 5 8" xfId="9605" xr:uid="{00000000-0005-0000-0000-000058250000}"/>
    <cellStyle name="Normal 2 2 2 11 5 9" xfId="9606" xr:uid="{00000000-0005-0000-0000-000059250000}"/>
    <cellStyle name="Normal 2 2 2 11 6" xfId="9607" xr:uid="{00000000-0005-0000-0000-00005A250000}"/>
    <cellStyle name="Normal 2 2 2 11 7" xfId="9608" xr:uid="{00000000-0005-0000-0000-00005B250000}"/>
    <cellStyle name="Normal 2 2 2 11 8" xfId="9609" xr:uid="{00000000-0005-0000-0000-00005C250000}"/>
    <cellStyle name="Normal 2 2 2 11 9" xfId="9610" xr:uid="{00000000-0005-0000-0000-00005D250000}"/>
    <cellStyle name="Normal 2 2 2 12" xfId="9611" xr:uid="{00000000-0005-0000-0000-00005E250000}"/>
    <cellStyle name="Normal 2 2 2 12 10" xfId="9612" xr:uid="{00000000-0005-0000-0000-00005F250000}"/>
    <cellStyle name="Normal 2 2 2 12 11" xfId="9613" xr:uid="{00000000-0005-0000-0000-000060250000}"/>
    <cellStyle name="Normal 2 2 2 12 12" xfId="9614" xr:uid="{00000000-0005-0000-0000-000061250000}"/>
    <cellStyle name="Normal 2 2 2 12 13" xfId="9615" xr:uid="{00000000-0005-0000-0000-000062250000}"/>
    <cellStyle name="Normal 2 2 2 12 14" xfId="9616" xr:uid="{00000000-0005-0000-0000-000063250000}"/>
    <cellStyle name="Normal 2 2 2 12 2" xfId="9617" xr:uid="{00000000-0005-0000-0000-000064250000}"/>
    <cellStyle name="Normal 2 2 2 12 2 10" xfId="9618" xr:uid="{00000000-0005-0000-0000-000065250000}"/>
    <cellStyle name="Normal 2 2 2 12 2 2" xfId="9619" xr:uid="{00000000-0005-0000-0000-000066250000}"/>
    <cellStyle name="Normal 2 2 2 12 2 3" xfId="9620" xr:uid="{00000000-0005-0000-0000-000067250000}"/>
    <cellStyle name="Normal 2 2 2 12 2 4" xfId="9621" xr:uid="{00000000-0005-0000-0000-000068250000}"/>
    <cellStyle name="Normal 2 2 2 12 2 5" xfId="9622" xr:uid="{00000000-0005-0000-0000-000069250000}"/>
    <cellStyle name="Normal 2 2 2 12 2 6" xfId="9623" xr:uid="{00000000-0005-0000-0000-00006A250000}"/>
    <cellStyle name="Normal 2 2 2 12 2 7" xfId="9624" xr:uid="{00000000-0005-0000-0000-00006B250000}"/>
    <cellStyle name="Normal 2 2 2 12 2 8" xfId="9625" xr:uid="{00000000-0005-0000-0000-00006C250000}"/>
    <cellStyle name="Normal 2 2 2 12 2 9" xfId="9626" xr:uid="{00000000-0005-0000-0000-00006D250000}"/>
    <cellStyle name="Normal 2 2 2 12 3" xfId="9627" xr:uid="{00000000-0005-0000-0000-00006E250000}"/>
    <cellStyle name="Normal 2 2 2 12 3 10" xfId="9628" xr:uid="{00000000-0005-0000-0000-00006F250000}"/>
    <cellStyle name="Normal 2 2 2 12 3 2" xfId="9629" xr:uid="{00000000-0005-0000-0000-000070250000}"/>
    <cellStyle name="Normal 2 2 2 12 3 3" xfId="9630" xr:uid="{00000000-0005-0000-0000-000071250000}"/>
    <cellStyle name="Normal 2 2 2 12 3 4" xfId="9631" xr:uid="{00000000-0005-0000-0000-000072250000}"/>
    <cellStyle name="Normal 2 2 2 12 3 5" xfId="9632" xr:uid="{00000000-0005-0000-0000-000073250000}"/>
    <cellStyle name="Normal 2 2 2 12 3 6" xfId="9633" xr:uid="{00000000-0005-0000-0000-000074250000}"/>
    <cellStyle name="Normal 2 2 2 12 3 7" xfId="9634" xr:uid="{00000000-0005-0000-0000-000075250000}"/>
    <cellStyle name="Normal 2 2 2 12 3 8" xfId="9635" xr:uid="{00000000-0005-0000-0000-000076250000}"/>
    <cellStyle name="Normal 2 2 2 12 3 9" xfId="9636" xr:uid="{00000000-0005-0000-0000-000077250000}"/>
    <cellStyle name="Normal 2 2 2 12 4" xfId="9637" xr:uid="{00000000-0005-0000-0000-000078250000}"/>
    <cellStyle name="Normal 2 2 2 12 4 10" xfId="9638" xr:uid="{00000000-0005-0000-0000-000079250000}"/>
    <cellStyle name="Normal 2 2 2 12 4 2" xfId="9639" xr:uid="{00000000-0005-0000-0000-00007A250000}"/>
    <cellStyle name="Normal 2 2 2 12 4 3" xfId="9640" xr:uid="{00000000-0005-0000-0000-00007B250000}"/>
    <cellStyle name="Normal 2 2 2 12 4 4" xfId="9641" xr:uid="{00000000-0005-0000-0000-00007C250000}"/>
    <cellStyle name="Normal 2 2 2 12 4 5" xfId="9642" xr:uid="{00000000-0005-0000-0000-00007D250000}"/>
    <cellStyle name="Normal 2 2 2 12 4 6" xfId="9643" xr:uid="{00000000-0005-0000-0000-00007E250000}"/>
    <cellStyle name="Normal 2 2 2 12 4 7" xfId="9644" xr:uid="{00000000-0005-0000-0000-00007F250000}"/>
    <cellStyle name="Normal 2 2 2 12 4 8" xfId="9645" xr:uid="{00000000-0005-0000-0000-000080250000}"/>
    <cellStyle name="Normal 2 2 2 12 4 9" xfId="9646" xr:uid="{00000000-0005-0000-0000-000081250000}"/>
    <cellStyle name="Normal 2 2 2 12 5" xfId="9647" xr:uid="{00000000-0005-0000-0000-000082250000}"/>
    <cellStyle name="Normal 2 2 2 12 5 10" xfId="9648" xr:uid="{00000000-0005-0000-0000-000083250000}"/>
    <cellStyle name="Normal 2 2 2 12 5 2" xfId="9649" xr:uid="{00000000-0005-0000-0000-000084250000}"/>
    <cellStyle name="Normal 2 2 2 12 5 3" xfId="9650" xr:uid="{00000000-0005-0000-0000-000085250000}"/>
    <cellStyle name="Normal 2 2 2 12 5 4" xfId="9651" xr:uid="{00000000-0005-0000-0000-000086250000}"/>
    <cellStyle name="Normal 2 2 2 12 5 5" xfId="9652" xr:uid="{00000000-0005-0000-0000-000087250000}"/>
    <cellStyle name="Normal 2 2 2 12 5 6" xfId="9653" xr:uid="{00000000-0005-0000-0000-000088250000}"/>
    <cellStyle name="Normal 2 2 2 12 5 7" xfId="9654" xr:uid="{00000000-0005-0000-0000-000089250000}"/>
    <cellStyle name="Normal 2 2 2 12 5 8" xfId="9655" xr:uid="{00000000-0005-0000-0000-00008A250000}"/>
    <cellStyle name="Normal 2 2 2 12 5 9" xfId="9656" xr:uid="{00000000-0005-0000-0000-00008B250000}"/>
    <cellStyle name="Normal 2 2 2 12 6" xfId="9657" xr:uid="{00000000-0005-0000-0000-00008C250000}"/>
    <cellStyle name="Normal 2 2 2 12 7" xfId="9658" xr:uid="{00000000-0005-0000-0000-00008D250000}"/>
    <cellStyle name="Normal 2 2 2 12 8" xfId="9659" xr:uid="{00000000-0005-0000-0000-00008E250000}"/>
    <cellStyle name="Normal 2 2 2 12 9" xfId="9660" xr:uid="{00000000-0005-0000-0000-00008F250000}"/>
    <cellStyle name="Normal 2 2 2 13" xfId="9661" xr:uid="{00000000-0005-0000-0000-000090250000}"/>
    <cellStyle name="Normal 2 2 2 13 10" xfId="9662" xr:uid="{00000000-0005-0000-0000-000091250000}"/>
    <cellStyle name="Normal 2 2 2 13 11" xfId="9663" xr:uid="{00000000-0005-0000-0000-000092250000}"/>
    <cellStyle name="Normal 2 2 2 13 12" xfId="9664" xr:uid="{00000000-0005-0000-0000-000093250000}"/>
    <cellStyle name="Normal 2 2 2 13 13" xfId="9665" xr:uid="{00000000-0005-0000-0000-000094250000}"/>
    <cellStyle name="Normal 2 2 2 13 14" xfId="9666" xr:uid="{00000000-0005-0000-0000-000095250000}"/>
    <cellStyle name="Normal 2 2 2 13 2" xfId="9667" xr:uid="{00000000-0005-0000-0000-000096250000}"/>
    <cellStyle name="Normal 2 2 2 13 2 10" xfId="9668" xr:uid="{00000000-0005-0000-0000-000097250000}"/>
    <cellStyle name="Normal 2 2 2 13 2 2" xfId="9669" xr:uid="{00000000-0005-0000-0000-000098250000}"/>
    <cellStyle name="Normal 2 2 2 13 2 3" xfId="9670" xr:uid="{00000000-0005-0000-0000-000099250000}"/>
    <cellStyle name="Normal 2 2 2 13 2 4" xfId="9671" xr:uid="{00000000-0005-0000-0000-00009A250000}"/>
    <cellStyle name="Normal 2 2 2 13 2 5" xfId="9672" xr:uid="{00000000-0005-0000-0000-00009B250000}"/>
    <cellStyle name="Normal 2 2 2 13 2 6" xfId="9673" xr:uid="{00000000-0005-0000-0000-00009C250000}"/>
    <cellStyle name="Normal 2 2 2 13 2 7" xfId="9674" xr:uid="{00000000-0005-0000-0000-00009D250000}"/>
    <cellStyle name="Normal 2 2 2 13 2 8" xfId="9675" xr:uid="{00000000-0005-0000-0000-00009E250000}"/>
    <cellStyle name="Normal 2 2 2 13 2 9" xfId="9676" xr:uid="{00000000-0005-0000-0000-00009F250000}"/>
    <cellStyle name="Normal 2 2 2 13 3" xfId="9677" xr:uid="{00000000-0005-0000-0000-0000A0250000}"/>
    <cellStyle name="Normal 2 2 2 13 3 10" xfId="9678" xr:uid="{00000000-0005-0000-0000-0000A1250000}"/>
    <cellStyle name="Normal 2 2 2 13 3 2" xfId="9679" xr:uid="{00000000-0005-0000-0000-0000A2250000}"/>
    <cellStyle name="Normal 2 2 2 13 3 3" xfId="9680" xr:uid="{00000000-0005-0000-0000-0000A3250000}"/>
    <cellStyle name="Normal 2 2 2 13 3 4" xfId="9681" xr:uid="{00000000-0005-0000-0000-0000A4250000}"/>
    <cellStyle name="Normal 2 2 2 13 3 5" xfId="9682" xr:uid="{00000000-0005-0000-0000-0000A5250000}"/>
    <cellStyle name="Normal 2 2 2 13 3 6" xfId="9683" xr:uid="{00000000-0005-0000-0000-0000A6250000}"/>
    <cellStyle name="Normal 2 2 2 13 3 7" xfId="9684" xr:uid="{00000000-0005-0000-0000-0000A7250000}"/>
    <cellStyle name="Normal 2 2 2 13 3 8" xfId="9685" xr:uid="{00000000-0005-0000-0000-0000A8250000}"/>
    <cellStyle name="Normal 2 2 2 13 3 9" xfId="9686" xr:uid="{00000000-0005-0000-0000-0000A9250000}"/>
    <cellStyle name="Normal 2 2 2 13 4" xfId="9687" xr:uid="{00000000-0005-0000-0000-0000AA250000}"/>
    <cellStyle name="Normal 2 2 2 13 4 10" xfId="9688" xr:uid="{00000000-0005-0000-0000-0000AB250000}"/>
    <cellStyle name="Normal 2 2 2 13 4 2" xfId="9689" xr:uid="{00000000-0005-0000-0000-0000AC250000}"/>
    <cellStyle name="Normal 2 2 2 13 4 3" xfId="9690" xr:uid="{00000000-0005-0000-0000-0000AD250000}"/>
    <cellStyle name="Normal 2 2 2 13 4 4" xfId="9691" xr:uid="{00000000-0005-0000-0000-0000AE250000}"/>
    <cellStyle name="Normal 2 2 2 13 4 5" xfId="9692" xr:uid="{00000000-0005-0000-0000-0000AF250000}"/>
    <cellStyle name="Normal 2 2 2 13 4 6" xfId="9693" xr:uid="{00000000-0005-0000-0000-0000B0250000}"/>
    <cellStyle name="Normal 2 2 2 13 4 7" xfId="9694" xr:uid="{00000000-0005-0000-0000-0000B1250000}"/>
    <cellStyle name="Normal 2 2 2 13 4 8" xfId="9695" xr:uid="{00000000-0005-0000-0000-0000B2250000}"/>
    <cellStyle name="Normal 2 2 2 13 4 9" xfId="9696" xr:uid="{00000000-0005-0000-0000-0000B3250000}"/>
    <cellStyle name="Normal 2 2 2 13 5" xfId="9697" xr:uid="{00000000-0005-0000-0000-0000B4250000}"/>
    <cellStyle name="Normal 2 2 2 13 5 10" xfId="9698" xr:uid="{00000000-0005-0000-0000-0000B5250000}"/>
    <cellStyle name="Normal 2 2 2 13 5 2" xfId="9699" xr:uid="{00000000-0005-0000-0000-0000B6250000}"/>
    <cellStyle name="Normal 2 2 2 13 5 3" xfId="9700" xr:uid="{00000000-0005-0000-0000-0000B7250000}"/>
    <cellStyle name="Normal 2 2 2 13 5 4" xfId="9701" xr:uid="{00000000-0005-0000-0000-0000B8250000}"/>
    <cellStyle name="Normal 2 2 2 13 5 5" xfId="9702" xr:uid="{00000000-0005-0000-0000-0000B9250000}"/>
    <cellStyle name="Normal 2 2 2 13 5 6" xfId="9703" xr:uid="{00000000-0005-0000-0000-0000BA250000}"/>
    <cellStyle name="Normal 2 2 2 13 5 7" xfId="9704" xr:uid="{00000000-0005-0000-0000-0000BB250000}"/>
    <cellStyle name="Normal 2 2 2 13 5 8" xfId="9705" xr:uid="{00000000-0005-0000-0000-0000BC250000}"/>
    <cellStyle name="Normal 2 2 2 13 5 9" xfId="9706" xr:uid="{00000000-0005-0000-0000-0000BD250000}"/>
    <cellStyle name="Normal 2 2 2 13 6" xfId="9707" xr:uid="{00000000-0005-0000-0000-0000BE250000}"/>
    <cellStyle name="Normal 2 2 2 13 7" xfId="9708" xr:uid="{00000000-0005-0000-0000-0000BF250000}"/>
    <cellStyle name="Normal 2 2 2 13 8" xfId="9709" xr:uid="{00000000-0005-0000-0000-0000C0250000}"/>
    <cellStyle name="Normal 2 2 2 13 9" xfId="9710" xr:uid="{00000000-0005-0000-0000-0000C1250000}"/>
    <cellStyle name="Normal 2 2 2 14" xfId="9711" xr:uid="{00000000-0005-0000-0000-0000C2250000}"/>
    <cellStyle name="Normal 2 2 2 14 10" xfId="9712" xr:uid="{00000000-0005-0000-0000-0000C3250000}"/>
    <cellStyle name="Normal 2 2 2 14 11" xfId="9713" xr:uid="{00000000-0005-0000-0000-0000C4250000}"/>
    <cellStyle name="Normal 2 2 2 14 12" xfId="9714" xr:uid="{00000000-0005-0000-0000-0000C5250000}"/>
    <cellStyle name="Normal 2 2 2 14 13" xfId="9715" xr:uid="{00000000-0005-0000-0000-0000C6250000}"/>
    <cellStyle name="Normal 2 2 2 14 14" xfId="9716" xr:uid="{00000000-0005-0000-0000-0000C7250000}"/>
    <cellStyle name="Normal 2 2 2 14 2" xfId="9717" xr:uid="{00000000-0005-0000-0000-0000C8250000}"/>
    <cellStyle name="Normal 2 2 2 14 2 10" xfId="9718" xr:uid="{00000000-0005-0000-0000-0000C9250000}"/>
    <cellStyle name="Normal 2 2 2 14 2 2" xfId="9719" xr:uid="{00000000-0005-0000-0000-0000CA250000}"/>
    <cellStyle name="Normal 2 2 2 14 2 3" xfId="9720" xr:uid="{00000000-0005-0000-0000-0000CB250000}"/>
    <cellStyle name="Normal 2 2 2 14 2 4" xfId="9721" xr:uid="{00000000-0005-0000-0000-0000CC250000}"/>
    <cellStyle name="Normal 2 2 2 14 2 5" xfId="9722" xr:uid="{00000000-0005-0000-0000-0000CD250000}"/>
    <cellStyle name="Normal 2 2 2 14 2 6" xfId="9723" xr:uid="{00000000-0005-0000-0000-0000CE250000}"/>
    <cellStyle name="Normal 2 2 2 14 2 7" xfId="9724" xr:uid="{00000000-0005-0000-0000-0000CF250000}"/>
    <cellStyle name="Normal 2 2 2 14 2 8" xfId="9725" xr:uid="{00000000-0005-0000-0000-0000D0250000}"/>
    <cellStyle name="Normal 2 2 2 14 2 9" xfId="9726" xr:uid="{00000000-0005-0000-0000-0000D1250000}"/>
    <cellStyle name="Normal 2 2 2 14 3" xfId="9727" xr:uid="{00000000-0005-0000-0000-0000D2250000}"/>
    <cellStyle name="Normal 2 2 2 14 3 10" xfId="9728" xr:uid="{00000000-0005-0000-0000-0000D3250000}"/>
    <cellStyle name="Normal 2 2 2 14 3 2" xfId="9729" xr:uid="{00000000-0005-0000-0000-0000D4250000}"/>
    <cellStyle name="Normal 2 2 2 14 3 3" xfId="9730" xr:uid="{00000000-0005-0000-0000-0000D5250000}"/>
    <cellStyle name="Normal 2 2 2 14 3 4" xfId="9731" xr:uid="{00000000-0005-0000-0000-0000D6250000}"/>
    <cellStyle name="Normal 2 2 2 14 3 5" xfId="9732" xr:uid="{00000000-0005-0000-0000-0000D7250000}"/>
    <cellStyle name="Normal 2 2 2 14 3 6" xfId="9733" xr:uid="{00000000-0005-0000-0000-0000D8250000}"/>
    <cellStyle name="Normal 2 2 2 14 3 7" xfId="9734" xr:uid="{00000000-0005-0000-0000-0000D9250000}"/>
    <cellStyle name="Normal 2 2 2 14 3 8" xfId="9735" xr:uid="{00000000-0005-0000-0000-0000DA250000}"/>
    <cellStyle name="Normal 2 2 2 14 3 9" xfId="9736" xr:uid="{00000000-0005-0000-0000-0000DB250000}"/>
    <cellStyle name="Normal 2 2 2 14 4" xfId="9737" xr:uid="{00000000-0005-0000-0000-0000DC250000}"/>
    <cellStyle name="Normal 2 2 2 14 4 10" xfId="9738" xr:uid="{00000000-0005-0000-0000-0000DD250000}"/>
    <cellStyle name="Normal 2 2 2 14 4 2" xfId="9739" xr:uid="{00000000-0005-0000-0000-0000DE250000}"/>
    <cellStyle name="Normal 2 2 2 14 4 3" xfId="9740" xr:uid="{00000000-0005-0000-0000-0000DF250000}"/>
    <cellStyle name="Normal 2 2 2 14 4 4" xfId="9741" xr:uid="{00000000-0005-0000-0000-0000E0250000}"/>
    <cellStyle name="Normal 2 2 2 14 4 5" xfId="9742" xr:uid="{00000000-0005-0000-0000-0000E1250000}"/>
    <cellStyle name="Normal 2 2 2 14 4 6" xfId="9743" xr:uid="{00000000-0005-0000-0000-0000E2250000}"/>
    <cellStyle name="Normal 2 2 2 14 4 7" xfId="9744" xr:uid="{00000000-0005-0000-0000-0000E3250000}"/>
    <cellStyle name="Normal 2 2 2 14 4 8" xfId="9745" xr:uid="{00000000-0005-0000-0000-0000E4250000}"/>
    <cellStyle name="Normal 2 2 2 14 4 9" xfId="9746" xr:uid="{00000000-0005-0000-0000-0000E5250000}"/>
    <cellStyle name="Normal 2 2 2 14 5" xfId="9747" xr:uid="{00000000-0005-0000-0000-0000E6250000}"/>
    <cellStyle name="Normal 2 2 2 14 5 10" xfId="9748" xr:uid="{00000000-0005-0000-0000-0000E7250000}"/>
    <cellStyle name="Normal 2 2 2 14 5 2" xfId="9749" xr:uid="{00000000-0005-0000-0000-0000E8250000}"/>
    <cellStyle name="Normal 2 2 2 14 5 3" xfId="9750" xr:uid="{00000000-0005-0000-0000-0000E9250000}"/>
    <cellStyle name="Normal 2 2 2 14 5 4" xfId="9751" xr:uid="{00000000-0005-0000-0000-0000EA250000}"/>
    <cellStyle name="Normal 2 2 2 14 5 5" xfId="9752" xr:uid="{00000000-0005-0000-0000-0000EB250000}"/>
    <cellStyle name="Normal 2 2 2 14 5 6" xfId="9753" xr:uid="{00000000-0005-0000-0000-0000EC250000}"/>
    <cellStyle name="Normal 2 2 2 14 5 7" xfId="9754" xr:uid="{00000000-0005-0000-0000-0000ED250000}"/>
    <cellStyle name="Normal 2 2 2 14 5 8" xfId="9755" xr:uid="{00000000-0005-0000-0000-0000EE250000}"/>
    <cellStyle name="Normal 2 2 2 14 5 9" xfId="9756" xr:uid="{00000000-0005-0000-0000-0000EF250000}"/>
    <cellStyle name="Normal 2 2 2 14 6" xfId="9757" xr:uid="{00000000-0005-0000-0000-0000F0250000}"/>
    <cellStyle name="Normal 2 2 2 14 7" xfId="9758" xr:uid="{00000000-0005-0000-0000-0000F1250000}"/>
    <cellStyle name="Normal 2 2 2 14 8" xfId="9759" xr:uid="{00000000-0005-0000-0000-0000F2250000}"/>
    <cellStyle name="Normal 2 2 2 14 9" xfId="9760" xr:uid="{00000000-0005-0000-0000-0000F3250000}"/>
    <cellStyle name="Normal 2 2 2 15" xfId="9761" xr:uid="{00000000-0005-0000-0000-0000F4250000}"/>
    <cellStyle name="Normal 2 2 2 15 10" xfId="9762" xr:uid="{00000000-0005-0000-0000-0000F5250000}"/>
    <cellStyle name="Normal 2 2 2 15 11" xfId="9763" xr:uid="{00000000-0005-0000-0000-0000F6250000}"/>
    <cellStyle name="Normal 2 2 2 15 12" xfId="9764" xr:uid="{00000000-0005-0000-0000-0000F7250000}"/>
    <cellStyle name="Normal 2 2 2 15 13" xfId="9765" xr:uid="{00000000-0005-0000-0000-0000F8250000}"/>
    <cellStyle name="Normal 2 2 2 15 14" xfId="9766" xr:uid="{00000000-0005-0000-0000-0000F9250000}"/>
    <cellStyle name="Normal 2 2 2 15 2" xfId="9767" xr:uid="{00000000-0005-0000-0000-0000FA250000}"/>
    <cellStyle name="Normal 2 2 2 15 2 10" xfId="9768" xr:uid="{00000000-0005-0000-0000-0000FB250000}"/>
    <cellStyle name="Normal 2 2 2 15 2 2" xfId="9769" xr:uid="{00000000-0005-0000-0000-0000FC250000}"/>
    <cellStyle name="Normal 2 2 2 15 2 3" xfId="9770" xr:uid="{00000000-0005-0000-0000-0000FD250000}"/>
    <cellStyle name="Normal 2 2 2 15 2 4" xfId="9771" xr:uid="{00000000-0005-0000-0000-0000FE250000}"/>
    <cellStyle name="Normal 2 2 2 15 2 5" xfId="9772" xr:uid="{00000000-0005-0000-0000-0000FF250000}"/>
    <cellStyle name="Normal 2 2 2 15 2 6" xfId="9773" xr:uid="{00000000-0005-0000-0000-000000260000}"/>
    <cellStyle name="Normal 2 2 2 15 2 7" xfId="9774" xr:uid="{00000000-0005-0000-0000-000001260000}"/>
    <cellStyle name="Normal 2 2 2 15 2 8" xfId="9775" xr:uid="{00000000-0005-0000-0000-000002260000}"/>
    <cellStyle name="Normal 2 2 2 15 2 9" xfId="9776" xr:uid="{00000000-0005-0000-0000-000003260000}"/>
    <cellStyle name="Normal 2 2 2 15 3" xfId="9777" xr:uid="{00000000-0005-0000-0000-000004260000}"/>
    <cellStyle name="Normal 2 2 2 15 3 10" xfId="9778" xr:uid="{00000000-0005-0000-0000-000005260000}"/>
    <cellStyle name="Normal 2 2 2 15 3 2" xfId="9779" xr:uid="{00000000-0005-0000-0000-000006260000}"/>
    <cellStyle name="Normal 2 2 2 15 3 3" xfId="9780" xr:uid="{00000000-0005-0000-0000-000007260000}"/>
    <cellStyle name="Normal 2 2 2 15 3 4" xfId="9781" xr:uid="{00000000-0005-0000-0000-000008260000}"/>
    <cellStyle name="Normal 2 2 2 15 3 5" xfId="9782" xr:uid="{00000000-0005-0000-0000-000009260000}"/>
    <cellStyle name="Normal 2 2 2 15 3 6" xfId="9783" xr:uid="{00000000-0005-0000-0000-00000A260000}"/>
    <cellStyle name="Normal 2 2 2 15 3 7" xfId="9784" xr:uid="{00000000-0005-0000-0000-00000B260000}"/>
    <cellStyle name="Normal 2 2 2 15 3 8" xfId="9785" xr:uid="{00000000-0005-0000-0000-00000C260000}"/>
    <cellStyle name="Normal 2 2 2 15 3 9" xfId="9786" xr:uid="{00000000-0005-0000-0000-00000D260000}"/>
    <cellStyle name="Normal 2 2 2 15 4" xfId="9787" xr:uid="{00000000-0005-0000-0000-00000E260000}"/>
    <cellStyle name="Normal 2 2 2 15 4 10" xfId="9788" xr:uid="{00000000-0005-0000-0000-00000F260000}"/>
    <cellStyle name="Normal 2 2 2 15 4 2" xfId="9789" xr:uid="{00000000-0005-0000-0000-000010260000}"/>
    <cellStyle name="Normal 2 2 2 15 4 3" xfId="9790" xr:uid="{00000000-0005-0000-0000-000011260000}"/>
    <cellStyle name="Normal 2 2 2 15 4 4" xfId="9791" xr:uid="{00000000-0005-0000-0000-000012260000}"/>
    <cellStyle name="Normal 2 2 2 15 4 5" xfId="9792" xr:uid="{00000000-0005-0000-0000-000013260000}"/>
    <cellStyle name="Normal 2 2 2 15 4 6" xfId="9793" xr:uid="{00000000-0005-0000-0000-000014260000}"/>
    <cellStyle name="Normal 2 2 2 15 4 7" xfId="9794" xr:uid="{00000000-0005-0000-0000-000015260000}"/>
    <cellStyle name="Normal 2 2 2 15 4 8" xfId="9795" xr:uid="{00000000-0005-0000-0000-000016260000}"/>
    <cellStyle name="Normal 2 2 2 15 4 9" xfId="9796" xr:uid="{00000000-0005-0000-0000-000017260000}"/>
    <cellStyle name="Normal 2 2 2 15 5" xfId="9797" xr:uid="{00000000-0005-0000-0000-000018260000}"/>
    <cellStyle name="Normal 2 2 2 15 5 10" xfId="9798" xr:uid="{00000000-0005-0000-0000-000019260000}"/>
    <cellStyle name="Normal 2 2 2 15 5 2" xfId="9799" xr:uid="{00000000-0005-0000-0000-00001A260000}"/>
    <cellStyle name="Normal 2 2 2 15 5 3" xfId="9800" xr:uid="{00000000-0005-0000-0000-00001B260000}"/>
    <cellStyle name="Normal 2 2 2 15 5 4" xfId="9801" xr:uid="{00000000-0005-0000-0000-00001C260000}"/>
    <cellStyle name="Normal 2 2 2 15 5 5" xfId="9802" xr:uid="{00000000-0005-0000-0000-00001D260000}"/>
    <cellStyle name="Normal 2 2 2 15 5 6" xfId="9803" xr:uid="{00000000-0005-0000-0000-00001E260000}"/>
    <cellStyle name="Normal 2 2 2 15 5 7" xfId="9804" xr:uid="{00000000-0005-0000-0000-00001F260000}"/>
    <cellStyle name="Normal 2 2 2 15 5 8" xfId="9805" xr:uid="{00000000-0005-0000-0000-000020260000}"/>
    <cellStyle name="Normal 2 2 2 15 5 9" xfId="9806" xr:uid="{00000000-0005-0000-0000-000021260000}"/>
    <cellStyle name="Normal 2 2 2 15 6" xfId="9807" xr:uid="{00000000-0005-0000-0000-000022260000}"/>
    <cellStyle name="Normal 2 2 2 15 7" xfId="9808" xr:uid="{00000000-0005-0000-0000-000023260000}"/>
    <cellStyle name="Normal 2 2 2 15 8" xfId="9809" xr:uid="{00000000-0005-0000-0000-000024260000}"/>
    <cellStyle name="Normal 2 2 2 15 9" xfId="9810" xr:uid="{00000000-0005-0000-0000-000025260000}"/>
    <cellStyle name="Normal 2 2 2 16" xfId="9811" xr:uid="{00000000-0005-0000-0000-000026260000}"/>
    <cellStyle name="Normal 2 2 2 16 10" xfId="9812" xr:uid="{00000000-0005-0000-0000-000027260000}"/>
    <cellStyle name="Normal 2 2 2 16 11" xfId="9813" xr:uid="{00000000-0005-0000-0000-000028260000}"/>
    <cellStyle name="Normal 2 2 2 16 12" xfId="9814" xr:uid="{00000000-0005-0000-0000-000029260000}"/>
    <cellStyle name="Normal 2 2 2 16 13" xfId="9815" xr:uid="{00000000-0005-0000-0000-00002A260000}"/>
    <cellStyle name="Normal 2 2 2 16 14" xfId="9816" xr:uid="{00000000-0005-0000-0000-00002B260000}"/>
    <cellStyle name="Normal 2 2 2 16 2" xfId="9817" xr:uid="{00000000-0005-0000-0000-00002C260000}"/>
    <cellStyle name="Normal 2 2 2 16 2 10" xfId="9818" xr:uid="{00000000-0005-0000-0000-00002D260000}"/>
    <cellStyle name="Normal 2 2 2 16 2 2" xfId="9819" xr:uid="{00000000-0005-0000-0000-00002E260000}"/>
    <cellStyle name="Normal 2 2 2 16 2 3" xfId="9820" xr:uid="{00000000-0005-0000-0000-00002F260000}"/>
    <cellStyle name="Normal 2 2 2 16 2 4" xfId="9821" xr:uid="{00000000-0005-0000-0000-000030260000}"/>
    <cellStyle name="Normal 2 2 2 16 2 5" xfId="9822" xr:uid="{00000000-0005-0000-0000-000031260000}"/>
    <cellStyle name="Normal 2 2 2 16 2 6" xfId="9823" xr:uid="{00000000-0005-0000-0000-000032260000}"/>
    <cellStyle name="Normal 2 2 2 16 2 7" xfId="9824" xr:uid="{00000000-0005-0000-0000-000033260000}"/>
    <cellStyle name="Normal 2 2 2 16 2 8" xfId="9825" xr:uid="{00000000-0005-0000-0000-000034260000}"/>
    <cellStyle name="Normal 2 2 2 16 2 9" xfId="9826" xr:uid="{00000000-0005-0000-0000-000035260000}"/>
    <cellStyle name="Normal 2 2 2 16 3" xfId="9827" xr:uid="{00000000-0005-0000-0000-000036260000}"/>
    <cellStyle name="Normal 2 2 2 16 3 10" xfId="9828" xr:uid="{00000000-0005-0000-0000-000037260000}"/>
    <cellStyle name="Normal 2 2 2 16 3 2" xfId="9829" xr:uid="{00000000-0005-0000-0000-000038260000}"/>
    <cellStyle name="Normal 2 2 2 16 3 3" xfId="9830" xr:uid="{00000000-0005-0000-0000-000039260000}"/>
    <cellStyle name="Normal 2 2 2 16 3 4" xfId="9831" xr:uid="{00000000-0005-0000-0000-00003A260000}"/>
    <cellStyle name="Normal 2 2 2 16 3 5" xfId="9832" xr:uid="{00000000-0005-0000-0000-00003B260000}"/>
    <cellStyle name="Normal 2 2 2 16 3 6" xfId="9833" xr:uid="{00000000-0005-0000-0000-00003C260000}"/>
    <cellStyle name="Normal 2 2 2 16 3 7" xfId="9834" xr:uid="{00000000-0005-0000-0000-00003D260000}"/>
    <cellStyle name="Normal 2 2 2 16 3 8" xfId="9835" xr:uid="{00000000-0005-0000-0000-00003E260000}"/>
    <cellStyle name="Normal 2 2 2 16 3 9" xfId="9836" xr:uid="{00000000-0005-0000-0000-00003F260000}"/>
    <cellStyle name="Normal 2 2 2 16 4" xfId="9837" xr:uid="{00000000-0005-0000-0000-000040260000}"/>
    <cellStyle name="Normal 2 2 2 16 4 10" xfId="9838" xr:uid="{00000000-0005-0000-0000-000041260000}"/>
    <cellStyle name="Normal 2 2 2 16 4 2" xfId="9839" xr:uid="{00000000-0005-0000-0000-000042260000}"/>
    <cellStyle name="Normal 2 2 2 16 4 3" xfId="9840" xr:uid="{00000000-0005-0000-0000-000043260000}"/>
    <cellStyle name="Normal 2 2 2 16 4 4" xfId="9841" xr:uid="{00000000-0005-0000-0000-000044260000}"/>
    <cellStyle name="Normal 2 2 2 16 4 5" xfId="9842" xr:uid="{00000000-0005-0000-0000-000045260000}"/>
    <cellStyle name="Normal 2 2 2 16 4 6" xfId="9843" xr:uid="{00000000-0005-0000-0000-000046260000}"/>
    <cellStyle name="Normal 2 2 2 16 4 7" xfId="9844" xr:uid="{00000000-0005-0000-0000-000047260000}"/>
    <cellStyle name="Normal 2 2 2 16 4 8" xfId="9845" xr:uid="{00000000-0005-0000-0000-000048260000}"/>
    <cellStyle name="Normal 2 2 2 16 4 9" xfId="9846" xr:uid="{00000000-0005-0000-0000-000049260000}"/>
    <cellStyle name="Normal 2 2 2 16 5" xfId="9847" xr:uid="{00000000-0005-0000-0000-00004A260000}"/>
    <cellStyle name="Normal 2 2 2 16 5 10" xfId="9848" xr:uid="{00000000-0005-0000-0000-00004B260000}"/>
    <cellStyle name="Normal 2 2 2 16 5 2" xfId="9849" xr:uid="{00000000-0005-0000-0000-00004C260000}"/>
    <cellStyle name="Normal 2 2 2 16 5 3" xfId="9850" xr:uid="{00000000-0005-0000-0000-00004D260000}"/>
    <cellStyle name="Normal 2 2 2 16 5 4" xfId="9851" xr:uid="{00000000-0005-0000-0000-00004E260000}"/>
    <cellStyle name="Normal 2 2 2 16 5 5" xfId="9852" xr:uid="{00000000-0005-0000-0000-00004F260000}"/>
    <cellStyle name="Normal 2 2 2 16 5 6" xfId="9853" xr:uid="{00000000-0005-0000-0000-000050260000}"/>
    <cellStyle name="Normal 2 2 2 16 5 7" xfId="9854" xr:uid="{00000000-0005-0000-0000-000051260000}"/>
    <cellStyle name="Normal 2 2 2 16 5 8" xfId="9855" xr:uid="{00000000-0005-0000-0000-000052260000}"/>
    <cellStyle name="Normal 2 2 2 16 5 9" xfId="9856" xr:uid="{00000000-0005-0000-0000-000053260000}"/>
    <cellStyle name="Normal 2 2 2 16 6" xfId="9857" xr:uid="{00000000-0005-0000-0000-000054260000}"/>
    <cellStyle name="Normal 2 2 2 16 7" xfId="9858" xr:uid="{00000000-0005-0000-0000-000055260000}"/>
    <cellStyle name="Normal 2 2 2 16 8" xfId="9859" xr:uid="{00000000-0005-0000-0000-000056260000}"/>
    <cellStyle name="Normal 2 2 2 16 9" xfId="9860" xr:uid="{00000000-0005-0000-0000-000057260000}"/>
    <cellStyle name="Normal 2 2 2 17" xfId="9861" xr:uid="{00000000-0005-0000-0000-000058260000}"/>
    <cellStyle name="Normal 2 2 2 17 10" xfId="9862" xr:uid="{00000000-0005-0000-0000-000059260000}"/>
    <cellStyle name="Normal 2 2 2 17 11" xfId="9863" xr:uid="{00000000-0005-0000-0000-00005A260000}"/>
    <cellStyle name="Normal 2 2 2 17 12" xfId="9864" xr:uid="{00000000-0005-0000-0000-00005B260000}"/>
    <cellStyle name="Normal 2 2 2 17 13" xfId="9865" xr:uid="{00000000-0005-0000-0000-00005C260000}"/>
    <cellStyle name="Normal 2 2 2 17 14" xfId="9866" xr:uid="{00000000-0005-0000-0000-00005D260000}"/>
    <cellStyle name="Normal 2 2 2 17 2" xfId="9867" xr:uid="{00000000-0005-0000-0000-00005E260000}"/>
    <cellStyle name="Normal 2 2 2 17 2 10" xfId="9868" xr:uid="{00000000-0005-0000-0000-00005F260000}"/>
    <cellStyle name="Normal 2 2 2 17 2 2" xfId="9869" xr:uid="{00000000-0005-0000-0000-000060260000}"/>
    <cellStyle name="Normal 2 2 2 17 2 3" xfId="9870" xr:uid="{00000000-0005-0000-0000-000061260000}"/>
    <cellStyle name="Normal 2 2 2 17 2 4" xfId="9871" xr:uid="{00000000-0005-0000-0000-000062260000}"/>
    <cellStyle name="Normal 2 2 2 17 2 5" xfId="9872" xr:uid="{00000000-0005-0000-0000-000063260000}"/>
    <cellStyle name="Normal 2 2 2 17 2 6" xfId="9873" xr:uid="{00000000-0005-0000-0000-000064260000}"/>
    <cellStyle name="Normal 2 2 2 17 2 7" xfId="9874" xr:uid="{00000000-0005-0000-0000-000065260000}"/>
    <cellStyle name="Normal 2 2 2 17 2 8" xfId="9875" xr:uid="{00000000-0005-0000-0000-000066260000}"/>
    <cellStyle name="Normal 2 2 2 17 2 9" xfId="9876" xr:uid="{00000000-0005-0000-0000-000067260000}"/>
    <cellStyle name="Normal 2 2 2 17 3" xfId="9877" xr:uid="{00000000-0005-0000-0000-000068260000}"/>
    <cellStyle name="Normal 2 2 2 17 3 10" xfId="9878" xr:uid="{00000000-0005-0000-0000-000069260000}"/>
    <cellStyle name="Normal 2 2 2 17 3 2" xfId="9879" xr:uid="{00000000-0005-0000-0000-00006A260000}"/>
    <cellStyle name="Normal 2 2 2 17 3 3" xfId="9880" xr:uid="{00000000-0005-0000-0000-00006B260000}"/>
    <cellStyle name="Normal 2 2 2 17 3 4" xfId="9881" xr:uid="{00000000-0005-0000-0000-00006C260000}"/>
    <cellStyle name="Normal 2 2 2 17 3 5" xfId="9882" xr:uid="{00000000-0005-0000-0000-00006D260000}"/>
    <cellStyle name="Normal 2 2 2 17 3 6" xfId="9883" xr:uid="{00000000-0005-0000-0000-00006E260000}"/>
    <cellStyle name="Normal 2 2 2 17 3 7" xfId="9884" xr:uid="{00000000-0005-0000-0000-00006F260000}"/>
    <cellStyle name="Normal 2 2 2 17 3 8" xfId="9885" xr:uid="{00000000-0005-0000-0000-000070260000}"/>
    <cellStyle name="Normal 2 2 2 17 3 9" xfId="9886" xr:uid="{00000000-0005-0000-0000-000071260000}"/>
    <cellStyle name="Normal 2 2 2 17 4" xfId="9887" xr:uid="{00000000-0005-0000-0000-000072260000}"/>
    <cellStyle name="Normal 2 2 2 17 4 10" xfId="9888" xr:uid="{00000000-0005-0000-0000-000073260000}"/>
    <cellStyle name="Normal 2 2 2 17 4 2" xfId="9889" xr:uid="{00000000-0005-0000-0000-000074260000}"/>
    <cellStyle name="Normal 2 2 2 17 4 3" xfId="9890" xr:uid="{00000000-0005-0000-0000-000075260000}"/>
    <cellStyle name="Normal 2 2 2 17 4 4" xfId="9891" xr:uid="{00000000-0005-0000-0000-000076260000}"/>
    <cellStyle name="Normal 2 2 2 17 4 5" xfId="9892" xr:uid="{00000000-0005-0000-0000-000077260000}"/>
    <cellStyle name="Normal 2 2 2 17 4 6" xfId="9893" xr:uid="{00000000-0005-0000-0000-000078260000}"/>
    <cellStyle name="Normal 2 2 2 17 4 7" xfId="9894" xr:uid="{00000000-0005-0000-0000-000079260000}"/>
    <cellStyle name="Normal 2 2 2 17 4 8" xfId="9895" xr:uid="{00000000-0005-0000-0000-00007A260000}"/>
    <cellStyle name="Normal 2 2 2 17 4 9" xfId="9896" xr:uid="{00000000-0005-0000-0000-00007B260000}"/>
    <cellStyle name="Normal 2 2 2 17 5" xfId="9897" xr:uid="{00000000-0005-0000-0000-00007C260000}"/>
    <cellStyle name="Normal 2 2 2 17 5 10" xfId="9898" xr:uid="{00000000-0005-0000-0000-00007D260000}"/>
    <cellStyle name="Normal 2 2 2 17 5 2" xfId="9899" xr:uid="{00000000-0005-0000-0000-00007E260000}"/>
    <cellStyle name="Normal 2 2 2 17 5 3" xfId="9900" xr:uid="{00000000-0005-0000-0000-00007F260000}"/>
    <cellStyle name="Normal 2 2 2 17 5 4" xfId="9901" xr:uid="{00000000-0005-0000-0000-000080260000}"/>
    <cellStyle name="Normal 2 2 2 17 5 5" xfId="9902" xr:uid="{00000000-0005-0000-0000-000081260000}"/>
    <cellStyle name="Normal 2 2 2 17 5 6" xfId="9903" xr:uid="{00000000-0005-0000-0000-000082260000}"/>
    <cellStyle name="Normal 2 2 2 17 5 7" xfId="9904" xr:uid="{00000000-0005-0000-0000-000083260000}"/>
    <cellStyle name="Normal 2 2 2 17 5 8" xfId="9905" xr:uid="{00000000-0005-0000-0000-000084260000}"/>
    <cellStyle name="Normal 2 2 2 17 5 9" xfId="9906" xr:uid="{00000000-0005-0000-0000-000085260000}"/>
    <cellStyle name="Normal 2 2 2 17 6" xfId="9907" xr:uid="{00000000-0005-0000-0000-000086260000}"/>
    <cellStyle name="Normal 2 2 2 17 7" xfId="9908" xr:uid="{00000000-0005-0000-0000-000087260000}"/>
    <cellStyle name="Normal 2 2 2 17 8" xfId="9909" xr:uid="{00000000-0005-0000-0000-000088260000}"/>
    <cellStyle name="Normal 2 2 2 17 9" xfId="9910" xr:uid="{00000000-0005-0000-0000-000089260000}"/>
    <cellStyle name="Normal 2 2 2 18" xfId="9911" xr:uid="{00000000-0005-0000-0000-00008A260000}"/>
    <cellStyle name="Normal 2 2 2 18 10" xfId="9912" xr:uid="{00000000-0005-0000-0000-00008B260000}"/>
    <cellStyle name="Normal 2 2 2 18 11" xfId="9913" xr:uid="{00000000-0005-0000-0000-00008C260000}"/>
    <cellStyle name="Normal 2 2 2 18 12" xfId="9914" xr:uid="{00000000-0005-0000-0000-00008D260000}"/>
    <cellStyle name="Normal 2 2 2 18 13" xfId="9915" xr:uid="{00000000-0005-0000-0000-00008E260000}"/>
    <cellStyle name="Normal 2 2 2 18 14" xfId="9916" xr:uid="{00000000-0005-0000-0000-00008F260000}"/>
    <cellStyle name="Normal 2 2 2 18 2" xfId="9917" xr:uid="{00000000-0005-0000-0000-000090260000}"/>
    <cellStyle name="Normal 2 2 2 18 2 10" xfId="9918" xr:uid="{00000000-0005-0000-0000-000091260000}"/>
    <cellStyle name="Normal 2 2 2 18 2 2" xfId="9919" xr:uid="{00000000-0005-0000-0000-000092260000}"/>
    <cellStyle name="Normal 2 2 2 18 2 3" xfId="9920" xr:uid="{00000000-0005-0000-0000-000093260000}"/>
    <cellStyle name="Normal 2 2 2 18 2 4" xfId="9921" xr:uid="{00000000-0005-0000-0000-000094260000}"/>
    <cellStyle name="Normal 2 2 2 18 2 5" xfId="9922" xr:uid="{00000000-0005-0000-0000-000095260000}"/>
    <cellStyle name="Normal 2 2 2 18 2 6" xfId="9923" xr:uid="{00000000-0005-0000-0000-000096260000}"/>
    <cellStyle name="Normal 2 2 2 18 2 7" xfId="9924" xr:uid="{00000000-0005-0000-0000-000097260000}"/>
    <cellStyle name="Normal 2 2 2 18 2 8" xfId="9925" xr:uid="{00000000-0005-0000-0000-000098260000}"/>
    <cellStyle name="Normal 2 2 2 18 2 9" xfId="9926" xr:uid="{00000000-0005-0000-0000-000099260000}"/>
    <cellStyle name="Normal 2 2 2 18 3" xfId="9927" xr:uid="{00000000-0005-0000-0000-00009A260000}"/>
    <cellStyle name="Normal 2 2 2 18 3 10" xfId="9928" xr:uid="{00000000-0005-0000-0000-00009B260000}"/>
    <cellStyle name="Normal 2 2 2 18 3 2" xfId="9929" xr:uid="{00000000-0005-0000-0000-00009C260000}"/>
    <cellStyle name="Normal 2 2 2 18 3 3" xfId="9930" xr:uid="{00000000-0005-0000-0000-00009D260000}"/>
    <cellStyle name="Normal 2 2 2 18 3 4" xfId="9931" xr:uid="{00000000-0005-0000-0000-00009E260000}"/>
    <cellStyle name="Normal 2 2 2 18 3 5" xfId="9932" xr:uid="{00000000-0005-0000-0000-00009F260000}"/>
    <cellStyle name="Normal 2 2 2 18 3 6" xfId="9933" xr:uid="{00000000-0005-0000-0000-0000A0260000}"/>
    <cellStyle name="Normal 2 2 2 18 3 7" xfId="9934" xr:uid="{00000000-0005-0000-0000-0000A1260000}"/>
    <cellStyle name="Normal 2 2 2 18 3 8" xfId="9935" xr:uid="{00000000-0005-0000-0000-0000A2260000}"/>
    <cellStyle name="Normal 2 2 2 18 3 9" xfId="9936" xr:uid="{00000000-0005-0000-0000-0000A3260000}"/>
    <cellStyle name="Normal 2 2 2 18 4" xfId="9937" xr:uid="{00000000-0005-0000-0000-0000A4260000}"/>
    <cellStyle name="Normal 2 2 2 18 4 10" xfId="9938" xr:uid="{00000000-0005-0000-0000-0000A5260000}"/>
    <cellStyle name="Normal 2 2 2 18 4 2" xfId="9939" xr:uid="{00000000-0005-0000-0000-0000A6260000}"/>
    <cellStyle name="Normal 2 2 2 18 4 3" xfId="9940" xr:uid="{00000000-0005-0000-0000-0000A7260000}"/>
    <cellStyle name="Normal 2 2 2 18 4 4" xfId="9941" xr:uid="{00000000-0005-0000-0000-0000A8260000}"/>
    <cellStyle name="Normal 2 2 2 18 4 5" xfId="9942" xr:uid="{00000000-0005-0000-0000-0000A9260000}"/>
    <cellStyle name="Normal 2 2 2 18 4 6" xfId="9943" xr:uid="{00000000-0005-0000-0000-0000AA260000}"/>
    <cellStyle name="Normal 2 2 2 18 4 7" xfId="9944" xr:uid="{00000000-0005-0000-0000-0000AB260000}"/>
    <cellStyle name="Normal 2 2 2 18 4 8" xfId="9945" xr:uid="{00000000-0005-0000-0000-0000AC260000}"/>
    <cellStyle name="Normal 2 2 2 18 4 9" xfId="9946" xr:uid="{00000000-0005-0000-0000-0000AD260000}"/>
    <cellStyle name="Normal 2 2 2 18 5" xfId="9947" xr:uid="{00000000-0005-0000-0000-0000AE260000}"/>
    <cellStyle name="Normal 2 2 2 18 5 10" xfId="9948" xr:uid="{00000000-0005-0000-0000-0000AF260000}"/>
    <cellStyle name="Normal 2 2 2 18 5 2" xfId="9949" xr:uid="{00000000-0005-0000-0000-0000B0260000}"/>
    <cellStyle name="Normal 2 2 2 18 5 3" xfId="9950" xr:uid="{00000000-0005-0000-0000-0000B1260000}"/>
    <cellStyle name="Normal 2 2 2 18 5 4" xfId="9951" xr:uid="{00000000-0005-0000-0000-0000B2260000}"/>
    <cellStyle name="Normal 2 2 2 18 5 5" xfId="9952" xr:uid="{00000000-0005-0000-0000-0000B3260000}"/>
    <cellStyle name="Normal 2 2 2 18 5 6" xfId="9953" xr:uid="{00000000-0005-0000-0000-0000B4260000}"/>
    <cellStyle name="Normal 2 2 2 18 5 7" xfId="9954" xr:uid="{00000000-0005-0000-0000-0000B5260000}"/>
    <cellStyle name="Normal 2 2 2 18 5 8" xfId="9955" xr:uid="{00000000-0005-0000-0000-0000B6260000}"/>
    <cellStyle name="Normal 2 2 2 18 5 9" xfId="9956" xr:uid="{00000000-0005-0000-0000-0000B7260000}"/>
    <cellStyle name="Normal 2 2 2 18 6" xfId="9957" xr:uid="{00000000-0005-0000-0000-0000B8260000}"/>
    <cellStyle name="Normal 2 2 2 18 7" xfId="9958" xr:uid="{00000000-0005-0000-0000-0000B9260000}"/>
    <cellStyle name="Normal 2 2 2 18 8" xfId="9959" xr:uid="{00000000-0005-0000-0000-0000BA260000}"/>
    <cellStyle name="Normal 2 2 2 18 9" xfId="9960" xr:uid="{00000000-0005-0000-0000-0000BB260000}"/>
    <cellStyle name="Normal 2 2 2 19" xfId="9961" xr:uid="{00000000-0005-0000-0000-0000BC260000}"/>
    <cellStyle name="Normal 2 2 2 19 10" xfId="9962" xr:uid="{00000000-0005-0000-0000-0000BD260000}"/>
    <cellStyle name="Normal 2 2 2 19 11" xfId="9963" xr:uid="{00000000-0005-0000-0000-0000BE260000}"/>
    <cellStyle name="Normal 2 2 2 19 12" xfId="9964" xr:uid="{00000000-0005-0000-0000-0000BF260000}"/>
    <cellStyle name="Normal 2 2 2 19 13" xfId="9965" xr:uid="{00000000-0005-0000-0000-0000C0260000}"/>
    <cellStyle name="Normal 2 2 2 19 14" xfId="9966" xr:uid="{00000000-0005-0000-0000-0000C1260000}"/>
    <cellStyle name="Normal 2 2 2 19 2" xfId="9967" xr:uid="{00000000-0005-0000-0000-0000C2260000}"/>
    <cellStyle name="Normal 2 2 2 19 2 10" xfId="9968" xr:uid="{00000000-0005-0000-0000-0000C3260000}"/>
    <cellStyle name="Normal 2 2 2 19 2 2" xfId="9969" xr:uid="{00000000-0005-0000-0000-0000C4260000}"/>
    <cellStyle name="Normal 2 2 2 19 2 3" xfId="9970" xr:uid="{00000000-0005-0000-0000-0000C5260000}"/>
    <cellStyle name="Normal 2 2 2 19 2 4" xfId="9971" xr:uid="{00000000-0005-0000-0000-0000C6260000}"/>
    <cellStyle name="Normal 2 2 2 19 2 5" xfId="9972" xr:uid="{00000000-0005-0000-0000-0000C7260000}"/>
    <cellStyle name="Normal 2 2 2 19 2 6" xfId="9973" xr:uid="{00000000-0005-0000-0000-0000C8260000}"/>
    <cellStyle name="Normal 2 2 2 19 2 7" xfId="9974" xr:uid="{00000000-0005-0000-0000-0000C9260000}"/>
    <cellStyle name="Normal 2 2 2 19 2 8" xfId="9975" xr:uid="{00000000-0005-0000-0000-0000CA260000}"/>
    <cellStyle name="Normal 2 2 2 19 2 9" xfId="9976" xr:uid="{00000000-0005-0000-0000-0000CB260000}"/>
    <cellStyle name="Normal 2 2 2 19 3" xfId="9977" xr:uid="{00000000-0005-0000-0000-0000CC260000}"/>
    <cellStyle name="Normal 2 2 2 19 3 10" xfId="9978" xr:uid="{00000000-0005-0000-0000-0000CD260000}"/>
    <cellStyle name="Normal 2 2 2 19 3 2" xfId="9979" xr:uid="{00000000-0005-0000-0000-0000CE260000}"/>
    <cellStyle name="Normal 2 2 2 19 3 3" xfId="9980" xr:uid="{00000000-0005-0000-0000-0000CF260000}"/>
    <cellStyle name="Normal 2 2 2 19 3 4" xfId="9981" xr:uid="{00000000-0005-0000-0000-0000D0260000}"/>
    <cellStyle name="Normal 2 2 2 19 3 5" xfId="9982" xr:uid="{00000000-0005-0000-0000-0000D1260000}"/>
    <cellStyle name="Normal 2 2 2 19 3 6" xfId="9983" xr:uid="{00000000-0005-0000-0000-0000D2260000}"/>
    <cellStyle name="Normal 2 2 2 19 3 7" xfId="9984" xr:uid="{00000000-0005-0000-0000-0000D3260000}"/>
    <cellStyle name="Normal 2 2 2 19 3 8" xfId="9985" xr:uid="{00000000-0005-0000-0000-0000D4260000}"/>
    <cellStyle name="Normal 2 2 2 19 3 9" xfId="9986" xr:uid="{00000000-0005-0000-0000-0000D5260000}"/>
    <cellStyle name="Normal 2 2 2 19 4" xfId="9987" xr:uid="{00000000-0005-0000-0000-0000D6260000}"/>
    <cellStyle name="Normal 2 2 2 19 4 10" xfId="9988" xr:uid="{00000000-0005-0000-0000-0000D7260000}"/>
    <cellStyle name="Normal 2 2 2 19 4 2" xfId="9989" xr:uid="{00000000-0005-0000-0000-0000D8260000}"/>
    <cellStyle name="Normal 2 2 2 19 4 3" xfId="9990" xr:uid="{00000000-0005-0000-0000-0000D9260000}"/>
    <cellStyle name="Normal 2 2 2 19 4 4" xfId="9991" xr:uid="{00000000-0005-0000-0000-0000DA260000}"/>
    <cellStyle name="Normal 2 2 2 19 4 5" xfId="9992" xr:uid="{00000000-0005-0000-0000-0000DB260000}"/>
    <cellStyle name="Normal 2 2 2 19 4 6" xfId="9993" xr:uid="{00000000-0005-0000-0000-0000DC260000}"/>
    <cellStyle name="Normal 2 2 2 19 4 7" xfId="9994" xr:uid="{00000000-0005-0000-0000-0000DD260000}"/>
    <cellStyle name="Normal 2 2 2 19 4 8" xfId="9995" xr:uid="{00000000-0005-0000-0000-0000DE260000}"/>
    <cellStyle name="Normal 2 2 2 19 4 9" xfId="9996" xr:uid="{00000000-0005-0000-0000-0000DF260000}"/>
    <cellStyle name="Normal 2 2 2 19 5" xfId="9997" xr:uid="{00000000-0005-0000-0000-0000E0260000}"/>
    <cellStyle name="Normal 2 2 2 19 5 10" xfId="9998" xr:uid="{00000000-0005-0000-0000-0000E1260000}"/>
    <cellStyle name="Normal 2 2 2 19 5 2" xfId="9999" xr:uid="{00000000-0005-0000-0000-0000E2260000}"/>
    <cellStyle name="Normal 2 2 2 19 5 3" xfId="10000" xr:uid="{00000000-0005-0000-0000-0000E3260000}"/>
    <cellStyle name="Normal 2 2 2 19 5 4" xfId="10001" xr:uid="{00000000-0005-0000-0000-0000E4260000}"/>
    <cellStyle name="Normal 2 2 2 19 5 5" xfId="10002" xr:uid="{00000000-0005-0000-0000-0000E5260000}"/>
    <cellStyle name="Normal 2 2 2 19 5 6" xfId="10003" xr:uid="{00000000-0005-0000-0000-0000E6260000}"/>
    <cellStyle name="Normal 2 2 2 19 5 7" xfId="10004" xr:uid="{00000000-0005-0000-0000-0000E7260000}"/>
    <cellStyle name="Normal 2 2 2 19 5 8" xfId="10005" xr:uid="{00000000-0005-0000-0000-0000E8260000}"/>
    <cellStyle name="Normal 2 2 2 19 5 9" xfId="10006" xr:uid="{00000000-0005-0000-0000-0000E9260000}"/>
    <cellStyle name="Normal 2 2 2 19 6" xfId="10007" xr:uid="{00000000-0005-0000-0000-0000EA260000}"/>
    <cellStyle name="Normal 2 2 2 19 7" xfId="10008" xr:uid="{00000000-0005-0000-0000-0000EB260000}"/>
    <cellStyle name="Normal 2 2 2 19 8" xfId="10009" xr:uid="{00000000-0005-0000-0000-0000EC260000}"/>
    <cellStyle name="Normal 2 2 2 19 9" xfId="10010" xr:uid="{00000000-0005-0000-0000-0000ED260000}"/>
    <cellStyle name="Normal 2 2 2 2" xfId="25" xr:uid="{00000000-0005-0000-0000-0000EE260000}"/>
    <cellStyle name="Normal 2 2 2 2 10" xfId="10011" xr:uid="{00000000-0005-0000-0000-0000EF260000}"/>
    <cellStyle name="Normal 2 2 2 2 11" xfId="10012" xr:uid="{00000000-0005-0000-0000-0000F0260000}"/>
    <cellStyle name="Normal 2 2 2 2 12" xfId="10013" xr:uid="{00000000-0005-0000-0000-0000F1260000}"/>
    <cellStyle name="Normal 2 2 2 2 13" xfId="10014" xr:uid="{00000000-0005-0000-0000-0000F2260000}"/>
    <cellStyle name="Normal 2 2 2 2 14" xfId="10015" xr:uid="{00000000-0005-0000-0000-0000F3260000}"/>
    <cellStyle name="Normal 2 2 2 2 15" xfId="10016" xr:uid="{00000000-0005-0000-0000-0000F4260000}"/>
    <cellStyle name="Normal 2 2 2 2 16" xfId="10017" xr:uid="{00000000-0005-0000-0000-0000F5260000}"/>
    <cellStyle name="Normal 2 2 2 2 17" xfId="10018" xr:uid="{00000000-0005-0000-0000-0000F6260000}"/>
    <cellStyle name="Normal 2 2 2 2 18" xfId="10019" xr:uid="{00000000-0005-0000-0000-0000F7260000}"/>
    <cellStyle name="Normal 2 2 2 2 19" xfId="10020" xr:uid="{00000000-0005-0000-0000-0000F8260000}"/>
    <cellStyle name="Normal 2 2 2 2 2" xfId="23" xr:uid="{00000000-0005-0000-0000-0000F9260000}"/>
    <cellStyle name="Normal 2 2 2 2 2 10" xfId="10021" xr:uid="{00000000-0005-0000-0000-0000FA260000}"/>
    <cellStyle name="Normal 2 2 2 2 2 10 10" xfId="10022" xr:uid="{00000000-0005-0000-0000-0000FB260000}"/>
    <cellStyle name="Normal 2 2 2 2 2 10 11" xfId="10023" xr:uid="{00000000-0005-0000-0000-0000FC260000}"/>
    <cellStyle name="Normal 2 2 2 2 2 10 12" xfId="10024" xr:uid="{00000000-0005-0000-0000-0000FD260000}"/>
    <cellStyle name="Normal 2 2 2 2 2 10 13" xfId="10025" xr:uid="{00000000-0005-0000-0000-0000FE260000}"/>
    <cellStyle name="Normal 2 2 2 2 2 10 14" xfId="10026" xr:uid="{00000000-0005-0000-0000-0000FF260000}"/>
    <cellStyle name="Normal 2 2 2 2 2 10 2" xfId="10027" xr:uid="{00000000-0005-0000-0000-000000270000}"/>
    <cellStyle name="Normal 2 2 2 2 2 10 2 10" xfId="10028" xr:uid="{00000000-0005-0000-0000-000001270000}"/>
    <cellStyle name="Normal 2 2 2 2 2 10 2 2" xfId="10029" xr:uid="{00000000-0005-0000-0000-000002270000}"/>
    <cellStyle name="Normal 2 2 2 2 2 10 2 3" xfId="10030" xr:uid="{00000000-0005-0000-0000-000003270000}"/>
    <cellStyle name="Normal 2 2 2 2 2 10 2 4" xfId="10031" xr:uid="{00000000-0005-0000-0000-000004270000}"/>
    <cellStyle name="Normal 2 2 2 2 2 10 2 5" xfId="10032" xr:uid="{00000000-0005-0000-0000-000005270000}"/>
    <cellStyle name="Normal 2 2 2 2 2 10 2 6" xfId="10033" xr:uid="{00000000-0005-0000-0000-000006270000}"/>
    <cellStyle name="Normal 2 2 2 2 2 10 2 7" xfId="10034" xr:uid="{00000000-0005-0000-0000-000007270000}"/>
    <cellStyle name="Normal 2 2 2 2 2 10 2 8" xfId="10035" xr:uid="{00000000-0005-0000-0000-000008270000}"/>
    <cellStyle name="Normal 2 2 2 2 2 10 2 9" xfId="10036" xr:uid="{00000000-0005-0000-0000-000009270000}"/>
    <cellStyle name="Normal 2 2 2 2 2 10 3" xfId="10037" xr:uid="{00000000-0005-0000-0000-00000A270000}"/>
    <cellStyle name="Normal 2 2 2 2 2 10 3 10" xfId="10038" xr:uid="{00000000-0005-0000-0000-00000B270000}"/>
    <cellStyle name="Normal 2 2 2 2 2 10 3 2" xfId="10039" xr:uid="{00000000-0005-0000-0000-00000C270000}"/>
    <cellStyle name="Normal 2 2 2 2 2 10 3 3" xfId="10040" xr:uid="{00000000-0005-0000-0000-00000D270000}"/>
    <cellStyle name="Normal 2 2 2 2 2 10 3 4" xfId="10041" xr:uid="{00000000-0005-0000-0000-00000E270000}"/>
    <cellStyle name="Normal 2 2 2 2 2 10 3 5" xfId="10042" xr:uid="{00000000-0005-0000-0000-00000F270000}"/>
    <cellStyle name="Normal 2 2 2 2 2 10 3 6" xfId="10043" xr:uid="{00000000-0005-0000-0000-000010270000}"/>
    <cellStyle name="Normal 2 2 2 2 2 10 3 7" xfId="10044" xr:uid="{00000000-0005-0000-0000-000011270000}"/>
    <cellStyle name="Normal 2 2 2 2 2 10 3 8" xfId="10045" xr:uid="{00000000-0005-0000-0000-000012270000}"/>
    <cellStyle name="Normal 2 2 2 2 2 10 3 9" xfId="10046" xr:uid="{00000000-0005-0000-0000-000013270000}"/>
    <cellStyle name="Normal 2 2 2 2 2 10 4" xfId="10047" xr:uid="{00000000-0005-0000-0000-000014270000}"/>
    <cellStyle name="Normal 2 2 2 2 2 10 4 10" xfId="10048" xr:uid="{00000000-0005-0000-0000-000015270000}"/>
    <cellStyle name="Normal 2 2 2 2 2 10 4 2" xfId="10049" xr:uid="{00000000-0005-0000-0000-000016270000}"/>
    <cellStyle name="Normal 2 2 2 2 2 10 4 3" xfId="10050" xr:uid="{00000000-0005-0000-0000-000017270000}"/>
    <cellStyle name="Normal 2 2 2 2 2 10 4 4" xfId="10051" xr:uid="{00000000-0005-0000-0000-000018270000}"/>
    <cellStyle name="Normal 2 2 2 2 2 10 4 5" xfId="10052" xr:uid="{00000000-0005-0000-0000-000019270000}"/>
    <cellStyle name="Normal 2 2 2 2 2 10 4 6" xfId="10053" xr:uid="{00000000-0005-0000-0000-00001A270000}"/>
    <cellStyle name="Normal 2 2 2 2 2 10 4 7" xfId="10054" xr:uid="{00000000-0005-0000-0000-00001B270000}"/>
    <cellStyle name="Normal 2 2 2 2 2 10 4 8" xfId="10055" xr:uid="{00000000-0005-0000-0000-00001C270000}"/>
    <cellStyle name="Normal 2 2 2 2 2 10 4 9" xfId="10056" xr:uid="{00000000-0005-0000-0000-00001D270000}"/>
    <cellStyle name="Normal 2 2 2 2 2 10 5" xfId="10057" xr:uid="{00000000-0005-0000-0000-00001E270000}"/>
    <cellStyle name="Normal 2 2 2 2 2 10 5 10" xfId="10058" xr:uid="{00000000-0005-0000-0000-00001F270000}"/>
    <cellStyle name="Normal 2 2 2 2 2 10 5 2" xfId="10059" xr:uid="{00000000-0005-0000-0000-000020270000}"/>
    <cellStyle name="Normal 2 2 2 2 2 10 5 3" xfId="10060" xr:uid="{00000000-0005-0000-0000-000021270000}"/>
    <cellStyle name="Normal 2 2 2 2 2 10 5 4" xfId="10061" xr:uid="{00000000-0005-0000-0000-000022270000}"/>
    <cellStyle name="Normal 2 2 2 2 2 10 5 5" xfId="10062" xr:uid="{00000000-0005-0000-0000-000023270000}"/>
    <cellStyle name="Normal 2 2 2 2 2 10 5 6" xfId="10063" xr:uid="{00000000-0005-0000-0000-000024270000}"/>
    <cellStyle name="Normal 2 2 2 2 2 10 5 7" xfId="10064" xr:uid="{00000000-0005-0000-0000-000025270000}"/>
    <cellStyle name="Normal 2 2 2 2 2 10 5 8" xfId="10065" xr:uid="{00000000-0005-0000-0000-000026270000}"/>
    <cellStyle name="Normal 2 2 2 2 2 10 5 9" xfId="10066" xr:uid="{00000000-0005-0000-0000-000027270000}"/>
    <cellStyle name="Normal 2 2 2 2 2 10 6" xfId="10067" xr:uid="{00000000-0005-0000-0000-000028270000}"/>
    <cellStyle name="Normal 2 2 2 2 2 10 7" xfId="10068" xr:uid="{00000000-0005-0000-0000-000029270000}"/>
    <cellStyle name="Normal 2 2 2 2 2 10 8" xfId="10069" xr:uid="{00000000-0005-0000-0000-00002A270000}"/>
    <cellStyle name="Normal 2 2 2 2 2 10 9" xfId="10070" xr:uid="{00000000-0005-0000-0000-00002B270000}"/>
    <cellStyle name="Normal 2 2 2 2 2 11" xfId="10071" xr:uid="{00000000-0005-0000-0000-00002C270000}"/>
    <cellStyle name="Normal 2 2 2 2 2 11 10" xfId="10072" xr:uid="{00000000-0005-0000-0000-00002D270000}"/>
    <cellStyle name="Normal 2 2 2 2 2 11 11" xfId="10073" xr:uid="{00000000-0005-0000-0000-00002E270000}"/>
    <cellStyle name="Normal 2 2 2 2 2 11 12" xfId="10074" xr:uid="{00000000-0005-0000-0000-00002F270000}"/>
    <cellStyle name="Normal 2 2 2 2 2 11 13" xfId="10075" xr:uid="{00000000-0005-0000-0000-000030270000}"/>
    <cellStyle name="Normal 2 2 2 2 2 11 14" xfId="10076" xr:uid="{00000000-0005-0000-0000-000031270000}"/>
    <cellStyle name="Normal 2 2 2 2 2 11 2" xfId="10077" xr:uid="{00000000-0005-0000-0000-000032270000}"/>
    <cellStyle name="Normal 2 2 2 2 2 11 2 10" xfId="10078" xr:uid="{00000000-0005-0000-0000-000033270000}"/>
    <cellStyle name="Normal 2 2 2 2 2 11 2 2" xfId="10079" xr:uid="{00000000-0005-0000-0000-000034270000}"/>
    <cellStyle name="Normal 2 2 2 2 2 11 2 3" xfId="10080" xr:uid="{00000000-0005-0000-0000-000035270000}"/>
    <cellStyle name="Normal 2 2 2 2 2 11 2 4" xfId="10081" xr:uid="{00000000-0005-0000-0000-000036270000}"/>
    <cellStyle name="Normal 2 2 2 2 2 11 2 5" xfId="10082" xr:uid="{00000000-0005-0000-0000-000037270000}"/>
    <cellStyle name="Normal 2 2 2 2 2 11 2 6" xfId="10083" xr:uid="{00000000-0005-0000-0000-000038270000}"/>
    <cellStyle name="Normal 2 2 2 2 2 11 2 7" xfId="10084" xr:uid="{00000000-0005-0000-0000-000039270000}"/>
    <cellStyle name="Normal 2 2 2 2 2 11 2 8" xfId="10085" xr:uid="{00000000-0005-0000-0000-00003A270000}"/>
    <cellStyle name="Normal 2 2 2 2 2 11 2 9" xfId="10086" xr:uid="{00000000-0005-0000-0000-00003B270000}"/>
    <cellStyle name="Normal 2 2 2 2 2 11 3" xfId="10087" xr:uid="{00000000-0005-0000-0000-00003C270000}"/>
    <cellStyle name="Normal 2 2 2 2 2 11 3 10" xfId="10088" xr:uid="{00000000-0005-0000-0000-00003D270000}"/>
    <cellStyle name="Normal 2 2 2 2 2 11 3 2" xfId="10089" xr:uid="{00000000-0005-0000-0000-00003E270000}"/>
    <cellStyle name="Normal 2 2 2 2 2 11 3 3" xfId="10090" xr:uid="{00000000-0005-0000-0000-00003F270000}"/>
    <cellStyle name="Normal 2 2 2 2 2 11 3 4" xfId="10091" xr:uid="{00000000-0005-0000-0000-000040270000}"/>
    <cellStyle name="Normal 2 2 2 2 2 11 3 5" xfId="10092" xr:uid="{00000000-0005-0000-0000-000041270000}"/>
    <cellStyle name="Normal 2 2 2 2 2 11 3 6" xfId="10093" xr:uid="{00000000-0005-0000-0000-000042270000}"/>
    <cellStyle name="Normal 2 2 2 2 2 11 3 7" xfId="10094" xr:uid="{00000000-0005-0000-0000-000043270000}"/>
    <cellStyle name="Normal 2 2 2 2 2 11 3 8" xfId="10095" xr:uid="{00000000-0005-0000-0000-000044270000}"/>
    <cellStyle name="Normal 2 2 2 2 2 11 3 9" xfId="10096" xr:uid="{00000000-0005-0000-0000-000045270000}"/>
    <cellStyle name="Normal 2 2 2 2 2 11 4" xfId="10097" xr:uid="{00000000-0005-0000-0000-000046270000}"/>
    <cellStyle name="Normal 2 2 2 2 2 11 4 10" xfId="10098" xr:uid="{00000000-0005-0000-0000-000047270000}"/>
    <cellStyle name="Normal 2 2 2 2 2 11 4 2" xfId="10099" xr:uid="{00000000-0005-0000-0000-000048270000}"/>
    <cellStyle name="Normal 2 2 2 2 2 11 4 3" xfId="10100" xr:uid="{00000000-0005-0000-0000-000049270000}"/>
    <cellStyle name="Normal 2 2 2 2 2 11 4 4" xfId="10101" xr:uid="{00000000-0005-0000-0000-00004A270000}"/>
    <cellStyle name="Normal 2 2 2 2 2 11 4 5" xfId="10102" xr:uid="{00000000-0005-0000-0000-00004B270000}"/>
    <cellStyle name="Normal 2 2 2 2 2 11 4 6" xfId="10103" xr:uid="{00000000-0005-0000-0000-00004C270000}"/>
    <cellStyle name="Normal 2 2 2 2 2 11 4 7" xfId="10104" xr:uid="{00000000-0005-0000-0000-00004D270000}"/>
    <cellStyle name="Normal 2 2 2 2 2 11 4 8" xfId="10105" xr:uid="{00000000-0005-0000-0000-00004E270000}"/>
    <cellStyle name="Normal 2 2 2 2 2 11 4 9" xfId="10106" xr:uid="{00000000-0005-0000-0000-00004F270000}"/>
    <cellStyle name="Normal 2 2 2 2 2 11 5" xfId="10107" xr:uid="{00000000-0005-0000-0000-000050270000}"/>
    <cellStyle name="Normal 2 2 2 2 2 11 5 10" xfId="10108" xr:uid="{00000000-0005-0000-0000-000051270000}"/>
    <cellStyle name="Normal 2 2 2 2 2 11 5 2" xfId="10109" xr:uid="{00000000-0005-0000-0000-000052270000}"/>
    <cellStyle name="Normal 2 2 2 2 2 11 5 3" xfId="10110" xr:uid="{00000000-0005-0000-0000-000053270000}"/>
    <cellStyle name="Normal 2 2 2 2 2 11 5 4" xfId="10111" xr:uid="{00000000-0005-0000-0000-000054270000}"/>
    <cellStyle name="Normal 2 2 2 2 2 11 5 5" xfId="10112" xr:uid="{00000000-0005-0000-0000-000055270000}"/>
    <cellStyle name="Normal 2 2 2 2 2 11 5 6" xfId="10113" xr:uid="{00000000-0005-0000-0000-000056270000}"/>
    <cellStyle name="Normal 2 2 2 2 2 11 5 7" xfId="10114" xr:uid="{00000000-0005-0000-0000-000057270000}"/>
    <cellStyle name="Normal 2 2 2 2 2 11 5 8" xfId="10115" xr:uid="{00000000-0005-0000-0000-000058270000}"/>
    <cellStyle name="Normal 2 2 2 2 2 11 5 9" xfId="10116" xr:uid="{00000000-0005-0000-0000-000059270000}"/>
    <cellStyle name="Normal 2 2 2 2 2 11 6" xfId="10117" xr:uid="{00000000-0005-0000-0000-00005A270000}"/>
    <cellStyle name="Normal 2 2 2 2 2 11 7" xfId="10118" xr:uid="{00000000-0005-0000-0000-00005B270000}"/>
    <cellStyle name="Normal 2 2 2 2 2 11 8" xfId="10119" xr:uid="{00000000-0005-0000-0000-00005C270000}"/>
    <cellStyle name="Normal 2 2 2 2 2 11 9" xfId="10120" xr:uid="{00000000-0005-0000-0000-00005D270000}"/>
    <cellStyle name="Normal 2 2 2 2 2 12" xfId="10121" xr:uid="{00000000-0005-0000-0000-00005E270000}"/>
    <cellStyle name="Normal 2 2 2 2 2 12 10" xfId="10122" xr:uid="{00000000-0005-0000-0000-00005F270000}"/>
    <cellStyle name="Normal 2 2 2 2 2 12 11" xfId="10123" xr:uid="{00000000-0005-0000-0000-000060270000}"/>
    <cellStyle name="Normal 2 2 2 2 2 12 12" xfId="10124" xr:uid="{00000000-0005-0000-0000-000061270000}"/>
    <cellStyle name="Normal 2 2 2 2 2 12 13" xfId="10125" xr:uid="{00000000-0005-0000-0000-000062270000}"/>
    <cellStyle name="Normal 2 2 2 2 2 12 14" xfId="10126" xr:uid="{00000000-0005-0000-0000-000063270000}"/>
    <cellStyle name="Normal 2 2 2 2 2 12 2" xfId="10127" xr:uid="{00000000-0005-0000-0000-000064270000}"/>
    <cellStyle name="Normal 2 2 2 2 2 12 2 10" xfId="10128" xr:uid="{00000000-0005-0000-0000-000065270000}"/>
    <cellStyle name="Normal 2 2 2 2 2 12 2 2" xfId="10129" xr:uid="{00000000-0005-0000-0000-000066270000}"/>
    <cellStyle name="Normal 2 2 2 2 2 12 2 3" xfId="10130" xr:uid="{00000000-0005-0000-0000-000067270000}"/>
    <cellStyle name="Normal 2 2 2 2 2 12 2 4" xfId="10131" xr:uid="{00000000-0005-0000-0000-000068270000}"/>
    <cellStyle name="Normal 2 2 2 2 2 12 2 5" xfId="10132" xr:uid="{00000000-0005-0000-0000-000069270000}"/>
    <cellStyle name="Normal 2 2 2 2 2 12 2 6" xfId="10133" xr:uid="{00000000-0005-0000-0000-00006A270000}"/>
    <cellStyle name="Normal 2 2 2 2 2 12 2 7" xfId="10134" xr:uid="{00000000-0005-0000-0000-00006B270000}"/>
    <cellStyle name="Normal 2 2 2 2 2 12 2 8" xfId="10135" xr:uid="{00000000-0005-0000-0000-00006C270000}"/>
    <cellStyle name="Normal 2 2 2 2 2 12 2 9" xfId="10136" xr:uid="{00000000-0005-0000-0000-00006D270000}"/>
    <cellStyle name="Normal 2 2 2 2 2 12 3" xfId="10137" xr:uid="{00000000-0005-0000-0000-00006E270000}"/>
    <cellStyle name="Normal 2 2 2 2 2 12 3 10" xfId="10138" xr:uid="{00000000-0005-0000-0000-00006F270000}"/>
    <cellStyle name="Normal 2 2 2 2 2 12 3 2" xfId="10139" xr:uid="{00000000-0005-0000-0000-000070270000}"/>
    <cellStyle name="Normal 2 2 2 2 2 12 3 3" xfId="10140" xr:uid="{00000000-0005-0000-0000-000071270000}"/>
    <cellStyle name="Normal 2 2 2 2 2 12 3 4" xfId="10141" xr:uid="{00000000-0005-0000-0000-000072270000}"/>
    <cellStyle name="Normal 2 2 2 2 2 12 3 5" xfId="10142" xr:uid="{00000000-0005-0000-0000-000073270000}"/>
    <cellStyle name="Normal 2 2 2 2 2 12 3 6" xfId="10143" xr:uid="{00000000-0005-0000-0000-000074270000}"/>
    <cellStyle name="Normal 2 2 2 2 2 12 3 7" xfId="10144" xr:uid="{00000000-0005-0000-0000-000075270000}"/>
    <cellStyle name="Normal 2 2 2 2 2 12 3 8" xfId="10145" xr:uid="{00000000-0005-0000-0000-000076270000}"/>
    <cellStyle name="Normal 2 2 2 2 2 12 3 9" xfId="10146" xr:uid="{00000000-0005-0000-0000-000077270000}"/>
    <cellStyle name="Normal 2 2 2 2 2 12 4" xfId="10147" xr:uid="{00000000-0005-0000-0000-000078270000}"/>
    <cellStyle name="Normal 2 2 2 2 2 12 4 10" xfId="10148" xr:uid="{00000000-0005-0000-0000-000079270000}"/>
    <cellStyle name="Normal 2 2 2 2 2 12 4 2" xfId="10149" xr:uid="{00000000-0005-0000-0000-00007A270000}"/>
    <cellStyle name="Normal 2 2 2 2 2 12 4 3" xfId="10150" xr:uid="{00000000-0005-0000-0000-00007B270000}"/>
    <cellStyle name="Normal 2 2 2 2 2 12 4 4" xfId="10151" xr:uid="{00000000-0005-0000-0000-00007C270000}"/>
    <cellStyle name="Normal 2 2 2 2 2 12 4 5" xfId="10152" xr:uid="{00000000-0005-0000-0000-00007D270000}"/>
    <cellStyle name="Normal 2 2 2 2 2 12 4 6" xfId="10153" xr:uid="{00000000-0005-0000-0000-00007E270000}"/>
    <cellStyle name="Normal 2 2 2 2 2 12 4 7" xfId="10154" xr:uid="{00000000-0005-0000-0000-00007F270000}"/>
    <cellStyle name="Normal 2 2 2 2 2 12 4 8" xfId="10155" xr:uid="{00000000-0005-0000-0000-000080270000}"/>
    <cellStyle name="Normal 2 2 2 2 2 12 4 9" xfId="10156" xr:uid="{00000000-0005-0000-0000-000081270000}"/>
    <cellStyle name="Normal 2 2 2 2 2 12 5" xfId="10157" xr:uid="{00000000-0005-0000-0000-000082270000}"/>
    <cellStyle name="Normal 2 2 2 2 2 12 5 10" xfId="10158" xr:uid="{00000000-0005-0000-0000-000083270000}"/>
    <cellStyle name="Normal 2 2 2 2 2 12 5 2" xfId="10159" xr:uid="{00000000-0005-0000-0000-000084270000}"/>
    <cellStyle name="Normal 2 2 2 2 2 12 5 3" xfId="10160" xr:uid="{00000000-0005-0000-0000-000085270000}"/>
    <cellStyle name="Normal 2 2 2 2 2 12 5 4" xfId="10161" xr:uid="{00000000-0005-0000-0000-000086270000}"/>
    <cellStyle name="Normal 2 2 2 2 2 12 5 5" xfId="10162" xr:uid="{00000000-0005-0000-0000-000087270000}"/>
    <cellStyle name="Normal 2 2 2 2 2 12 5 6" xfId="10163" xr:uid="{00000000-0005-0000-0000-000088270000}"/>
    <cellStyle name="Normal 2 2 2 2 2 12 5 7" xfId="10164" xr:uid="{00000000-0005-0000-0000-000089270000}"/>
    <cellStyle name="Normal 2 2 2 2 2 12 5 8" xfId="10165" xr:uid="{00000000-0005-0000-0000-00008A270000}"/>
    <cellStyle name="Normal 2 2 2 2 2 12 5 9" xfId="10166" xr:uid="{00000000-0005-0000-0000-00008B270000}"/>
    <cellStyle name="Normal 2 2 2 2 2 12 6" xfId="10167" xr:uid="{00000000-0005-0000-0000-00008C270000}"/>
    <cellStyle name="Normal 2 2 2 2 2 12 7" xfId="10168" xr:uid="{00000000-0005-0000-0000-00008D270000}"/>
    <cellStyle name="Normal 2 2 2 2 2 12 8" xfId="10169" xr:uid="{00000000-0005-0000-0000-00008E270000}"/>
    <cellStyle name="Normal 2 2 2 2 2 12 9" xfId="10170" xr:uid="{00000000-0005-0000-0000-00008F270000}"/>
    <cellStyle name="Normal 2 2 2 2 2 13" xfId="10171" xr:uid="{00000000-0005-0000-0000-000090270000}"/>
    <cellStyle name="Normal 2 2 2 2 2 13 10" xfId="10172" xr:uid="{00000000-0005-0000-0000-000091270000}"/>
    <cellStyle name="Normal 2 2 2 2 2 13 11" xfId="10173" xr:uid="{00000000-0005-0000-0000-000092270000}"/>
    <cellStyle name="Normal 2 2 2 2 2 13 12" xfId="10174" xr:uid="{00000000-0005-0000-0000-000093270000}"/>
    <cellStyle name="Normal 2 2 2 2 2 13 13" xfId="10175" xr:uid="{00000000-0005-0000-0000-000094270000}"/>
    <cellStyle name="Normal 2 2 2 2 2 13 14" xfId="10176" xr:uid="{00000000-0005-0000-0000-000095270000}"/>
    <cellStyle name="Normal 2 2 2 2 2 13 2" xfId="10177" xr:uid="{00000000-0005-0000-0000-000096270000}"/>
    <cellStyle name="Normal 2 2 2 2 2 13 2 10" xfId="10178" xr:uid="{00000000-0005-0000-0000-000097270000}"/>
    <cellStyle name="Normal 2 2 2 2 2 13 2 2" xfId="10179" xr:uid="{00000000-0005-0000-0000-000098270000}"/>
    <cellStyle name="Normal 2 2 2 2 2 13 2 3" xfId="10180" xr:uid="{00000000-0005-0000-0000-000099270000}"/>
    <cellStyle name="Normal 2 2 2 2 2 13 2 4" xfId="10181" xr:uid="{00000000-0005-0000-0000-00009A270000}"/>
    <cellStyle name="Normal 2 2 2 2 2 13 2 5" xfId="10182" xr:uid="{00000000-0005-0000-0000-00009B270000}"/>
    <cellStyle name="Normal 2 2 2 2 2 13 2 6" xfId="10183" xr:uid="{00000000-0005-0000-0000-00009C270000}"/>
    <cellStyle name="Normal 2 2 2 2 2 13 2 7" xfId="10184" xr:uid="{00000000-0005-0000-0000-00009D270000}"/>
    <cellStyle name="Normal 2 2 2 2 2 13 2 8" xfId="10185" xr:uid="{00000000-0005-0000-0000-00009E270000}"/>
    <cellStyle name="Normal 2 2 2 2 2 13 2 9" xfId="10186" xr:uid="{00000000-0005-0000-0000-00009F270000}"/>
    <cellStyle name="Normal 2 2 2 2 2 13 3" xfId="10187" xr:uid="{00000000-0005-0000-0000-0000A0270000}"/>
    <cellStyle name="Normal 2 2 2 2 2 13 3 10" xfId="10188" xr:uid="{00000000-0005-0000-0000-0000A1270000}"/>
    <cellStyle name="Normal 2 2 2 2 2 13 3 2" xfId="10189" xr:uid="{00000000-0005-0000-0000-0000A2270000}"/>
    <cellStyle name="Normal 2 2 2 2 2 13 3 3" xfId="10190" xr:uid="{00000000-0005-0000-0000-0000A3270000}"/>
    <cellStyle name="Normal 2 2 2 2 2 13 3 4" xfId="10191" xr:uid="{00000000-0005-0000-0000-0000A4270000}"/>
    <cellStyle name="Normal 2 2 2 2 2 13 3 5" xfId="10192" xr:uid="{00000000-0005-0000-0000-0000A5270000}"/>
    <cellStyle name="Normal 2 2 2 2 2 13 3 6" xfId="10193" xr:uid="{00000000-0005-0000-0000-0000A6270000}"/>
    <cellStyle name="Normal 2 2 2 2 2 13 3 7" xfId="10194" xr:uid="{00000000-0005-0000-0000-0000A7270000}"/>
    <cellStyle name="Normal 2 2 2 2 2 13 3 8" xfId="10195" xr:uid="{00000000-0005-0000-0000-0000A8270000}"/>
    <cellStyle name="Normal 2 2 2 2 2 13 3 9" xfId="10196" xr:uid="{00000000-0005-0000-0000-0000A9270000}"/>
    <cellStyle name="Normal 2 2 2 2 2 13 4" xfId="10197" xr:uid="{00000000-0005-0000-0000-0000AA270000}"/>
    <cellStyle name="Normal 2 2 2 2 2 13 4 10" xfId="10198" xr:uid="{00000000-0005-0000-0000-0000AB270000}"/>
    <cellStyle name="Normal 2 2 2 2 2 13 4 2" xfId="10199" xr:uid="{00000000-0005-0000-0000-0000AC270000}"/>
    <cellStyle name="Normal 2 2 2 2 2 13 4 3" xfId="10200" xr:uid="{00000000-0005-0000-0000-0000AD270000}"/>
    <cellStyle name="Normal 2 2 2 2 2 13 4 4" xfId="10201" xr:uid="{00000000-0005-0000-0000-0000AE270000}"/>
    <cellStyle name="Normal 2 2 2 2 2 13 4 5" xfId="10202" xr:uid="{00000000-0005-0000-0000-0000AF270000}"/>
    <cellStyle name="Normal 2 2 2 2 2 13 4 6" xfId="10203" xr:uid="{00000000-0005-0000-0000-0000B0270000}"/>
    <cellStyle name="Normal 2 2 2 2 2 13 4 7" xfId="10204" xr:uid="{00000000-0005-0000-0000-0000B1270000}"/>
    <cellStyle name="Normal 2 2 2 2 2 13 4 8" xfId="10205" xr:uid="{00000000-0005-0000-0000-0000B2270000}"/>
    <cellStyle name="Normal 2 2 2 2 2 13 4 9" xfId="10206" xr:uid="{00000000-0005-0000-0000-0000B3270000}"/>
    <cellStyle name="Normal 2 2 2 2 2 13 5" xfId="10207" xr:uid="{00000000-0005-0000-0000-0000B4270000}"/>
    <cellStyle name="Normal 2 2 2 2 2 13 5 10" xfId="10208" xr:uid="{00000000-0005-0000-0000-0000B5270000}"/>
    <cellStyle name="Normal 2 2 2 2 2 13 5 2" xfId="10209" xr:uid="{00000000-0005-0000-0000-0000B6270000}"/>
    <cellStyle name="Normal 2 2 2 2 2 13 5 3" xfId="10210" xr:uid="{00000000-0005-0000-0000-0000B7270000}"/>
    <cellStyle name="Normal 2 2 2 2 2 13 5 4" xfId="10211" xr:uid="{00000000-0005-0000-0000-0000B8270000}"/>
    <cellStyle name="Normal 2 2 2 2 2 13 5 5" xfId="10212" xr:uid="{00000000-0005-0000-0000-0000B9270000}"/>
    <cellStyle name="Normal 2 2 2 2 2 13 5 6" xfId="10213" xr:uid="{00000000-0005-0000-0000-0000BA270000}"/>
    <cellStyle name="Normal 2 2 2 2 2 13 5 7" xfId="10214" xr:uid="{00000000-0005-0000-0000-0000BB270000}"/>
    <cellStyle name="Normal 2 2 2 2 2 13 5 8" xfId="10215" xr:uid="{00000000-0005-0000-0000-0000BC270000}"/>
    <cellStyle name="Normal 2 2 2 2 2 13 5 9" xfId="10216" xr:uid="{00000000-0005-0000-0000-0000BD270000}"/>
    <cellStyle name="Normal 2 2 2 2 2 13 6" xfId="10217" xr:uid="{00000000-0005-0000-0000-0000BE270000}"/>
    <cellStyle name="Normal 2 2 2 2 2 13 7" xfId="10218" xr:uid="{00000000-0005-0000-0000-0000BF270000}"/>
    <cellStyle name="Normal 2 2 2 2 2 13 8" xfId="10219" xr:uid="{00000000-0005-0000-0000-0000C0270000}"/>
    <cellStyle name="Normal 2 2 2 2 2 13 9" xfId="10220" xr:uid="{00000000-0005-0000-0000-0000C1270000}"/>
    <cellStyle name="Normal 2 2 2 2 2 14" xfId="10221" xr:uid="{00000000-0005-0000-0000-0000C2270000}"/>
    <cellStyle name="Normal 2 2 2 2 2 14 10" xfId="10222" xr:uid="{00000000-0005-0000-0000-0000C3270000}"/>
    <cellStyle name="Normal 2 2 2 2 2 14 11" xfId="10223" xr:uid="{00000000-0005-0000-0000-0000C4270000}"/>
    <cellStyle name="Normal 2 2 2 2 2 14 12" xfId="10224" xr:uid="{00000000-0005-0000-0000-0000C5270000}"/>
    <cellStyle name="Normal 2 2 2 2 2 14 13" xfId="10225" xr:uid="{00000000-0005-0000-0000-0000C6270000}"/>
    <cellStyle name="Normal 2 2 2 2 2 14 14" xfId="10226" xr:uid="{00000000-0005-0000-0000-0000C7270000}"/>
    <cellStyle name="Normal 2 2 2 2 2 14 2" xfId="10227" xr:uid="{00000000-0005-0000-0000-0000C8270000}"/>
    <cellStyle name="Normal 2 2 2 2 2 14 2 10" xfId="10228" xr:uid="{00000000-0005-0000-0000-0000C9270000}"/>
    <cellStyle name="Normal 2 2 2 2 2 14 2 2" xfId="10229" xr:uid="{00000000-0005-0000-0000-0000CA270000}"/>
    <cellStyle name="Normal 2 2 2 2 2 14 2 3" xfId="10230" xr:uid="{00000000-0005-0000-0000-0000CB270000}"/>
    <cellStyle name="Normal 2 2 2 2 2 14 2 4" xfId="10231" xr:uid="{00000000-0005-0000-0000-0000CC270000}"/>
    <cellStyle name="Normal 2 2 2 2 2 14 2 5" xfId="10232" xr:uid="{00000000-0005-0000-0000-0000CD270000}"/>
    <cellStyle name="Normal 2 2 2 2 2 14 2 6" xfId="10233" xr:uid="{00000000-0005-0000-0000-0000CE270000}"/>
    <cellStyle name="Normal 2 2 2 2 2 14 2 7" xfId="10234" xr:uid="{00000000-0005-0000-0000-0000CF270000}"/>
    <cellStyle name="Normal 2 2 2 2 2 14 2 8" xfId="10235" xr:uid="{00000000-0005-0000-0000-0000D0270000}"/>
    <cellStyle name="Normal 2 2 2 2 2 14 2 9" xfId="10236" xr:uid="{00000000-0005-0000-0000-0000D1270000}"/>
    <cellStyle name="Normal 2 2 2 2 2 14 3" xfId="10237" xr:uid="{00000000-0005-0000-0000-0000D2270000}"/>
    <cellStyle name="Normal 2 2 2 2 2 14 3 10" xfId="10238" xr:uid="{00000000-0005-0000-0000-0000D3270000}"/>
    <cellStyle name="Normal 2 2 2 2 2 14 3 2" xfId="10239" xr:uid="{00000000-0005-0000-0000-0000D4270000}"/>
    <cellStyle name="Normal 2 2 2 2 2 14 3 3" xfId="10240" xr:uid="{00000000-0005-0000-0000-0000D5270000}"/>
    <cellStyle name="Normal 2 2 2 2 2 14 3 4" xfId="10241" xr:uid="{00000000-0005-0000-0000-0000D6270000}"/>
    <cellStyle name="Normal 2 2 2 2 2 14 3 5" xfId="10242" xr:uid="{00000000-0005-0000-0000-0000D7270000}"/>
    <cellStyle name="Normal 2 2 2 2 2 14 3 6" xfId="10243" xr:uid="{00000000-0005-0000-0000-0000D8270000}"/>
    <cellStyle name="Normal 2 2 2 2 2 14 3 7" xfId="10244" xr:uid="{00000000-0005-0000-0000-0000D9270000}"/>
    <cellStyle name="Normal 2 2 2 2 2 14 3 8" xfId="10245" xr:uid="{00000000-0005-0000-0000-0000DA270000}"/>
    <cellStyle name="Normal 2 2 2 2 2 14 3 9" xfId="10246" xr:uid="{00000000-0005-0000-0000-0000DB270000}"/>
    <cellStyle name="Normal 2 2 2 2 2 14 4" xfId="10247" xr:uid="{00000000-0005-0000-0000-0000DC270000}"/>
    <cellStyle name="Normal 2 2 2 2 2 14 4 10" xfId="10248" xr:uid="{00000000-0005-0000-0000-0000DD270000}"/>
    <cellStyle name="Normal 2 2 2 2 2 14 4 2" xfId="10249" xr:uid="{00000000-0005-0000-0000-0000DE270000}"/>
    <cellStyle name="Normal 2 2 2 2 2 14 4 3" xfId="10250" xr:uid="{00000000-0005-0000-0000-0000DF270000}"/>
    <cellStyle name="Normal 2 2 2 2 2 14 4 4" xfId="10251" xr:uid="{00000000-0005-0000-0000-0000E0270000}"/>
    <cellStyle name="Normal 2 2 2 2 2 14 4 5" xfId="10252" xr:uid="{00000000-0005-0000-0000-0000E1270000}"/>
    <cellStyle name="Normal 2 2 2 2 2 14 4 6" xfId="10253" xr:uid="{00000000-0005-0000-0000-0000E2270000}"/>
    <cellStyle name="Normal 2 2 2 2 2 14 4 7" xfId="10254" xr:uid="{00000000-0005-0000-0000-0000E3270000}"/>
    <cellStyle name="Normal 2 2 2 2 2 14 4 8" xfId="10255" xr:uid="{00000000-0005-0000-0000-0000E4270000}"/>
    <cellStyle name="Normal 2 2 2 2 2 14 4 9" xfId="10256" xr:uid="{00000000-0005-0000-0000-0000E5270000}"/>
    <cellStyle name="Normal 2 2 2 2 2 14 5" xfId="10257" xr:uid="{00000000-0005-0000-0000-0000E6270000}"/>
    <cellStyle name="Normal 2 2 2 2 2 14 5 10" xfId="10258" xr:uid="{00000000-0005-0000-0000-0000E7270000}"/>
    <cellStyle name="Normal 2 2 2 2 2 14 5 2" xfId="10259" xr:uid="{00000000-0005-0000-0000-0000E8270000}"/>
    <cellStyle name="Normal 2 2 2 2 2 14 5 3" xfId="10260" xr:uid="{00000000-0005-0000-0000-0000E9270000}"/>
    <cellStyle name="Normal 2 2 2 2 2 14 5 4" xfId="10261" xr:uid="{00000000-0005-0000-0000-0000EA270000}"/>
    <cellStyle name="Normal 2 2 2 2 2 14 5 5" xfId="10262" xr:uid="{00000000-0005-0000-0000-0000EB270000}"/>
    <cellStyle name="Normal 2 2 2 2 2 14 5 6" xfId="10263" xr:uid="{00000000-0005-0000-0000-0000EC270000}"/>
    <cellStyle name="Normal 2 2 2 2 2 14 5 7" xfId="10264" xr:uid="{00000000-0005-0000-0000-0000ED270000}"/>
    <cellStyle name="Normal 2 2 2 2 2 14 5 8" xfId="10265" xr:uid="{00000000-0005-0000-0000-0000EE270000}"/>
    <cellStyle name="Normal 2 2 2 2 2 14 5 9" xfId="10266" xr:uid="{00000000-0005-0000-0000-0000EF270000}"/>
    <cellStyle name="Normal 2 2 2 2 2 14 6" xfId="10267" xr:uid="{00000000-0005-0000-0000-0000F0270000}"/>
    <cellStyle name="Normal 2 2 2 2 2 14 7" xfId="10268" xr:uid="{00000000-0005-0000-0000-0000F1270000}"/>
    <cellStyle name="Normal 2 2 2 2 2 14 8" xfId="10269" xr:uid="{00000000-0005-0000-0000-0000F2270000}"/>
    <cellStyle name="Normal 2 2 2 2 2 14 9" xfId="10270" xr:uid="{00000000-0005-0000-0000-0000F3270000}"/>
    <cellStyle name="Normal 2 2 2 2 2 15" xfId="10271" xr:uid="{00000000-0005-0000-0000-0000F4270000}"/>
    <cellStyle name="Normal 2 2 2 2 2 15 10" xfId="10272" xr:uid="{00000000-0005-0000-0000-0000F5270000}"/>
    <cellStyle name="Normal 2 2 2 2 2 15 11" xfId="10273" xr:uid="{00000000-0005-0000-0000-0000F6270000}"/>
    <cellStyle name="Normal 2 2 2 2 2 15 12" xfId="10274" xr:uid="{00000000-0005-0000-0000-0000F7270000}"/>
    <cellStyle name="Normal 2 2 2 2 2 15 13" xfId="10275" xr:uid="{00000000-0005-0000-0000-0000F8270000}"/>
    <cellStyle name="Normal 2 2 2 2 2 15 14" xfId="10276" xr:uid="{00000000-0005-0000-0000-0000F9270000}"/>
    <cellStyle name="Normal 2 2 2 2 2 15 2" xfId="10277" xr:uid="{00000000-0005-0000-0000-0000FA270000}"/>
    <cellStyle name="Normal 2 2 2 2 2 15 2 10" xfId="10278" xr:uid="{00000000-0005-0000-0000-0000FB270000}"/>
    <cellStyle name="Normal 2 2 2 2 2 15 2 2" xfId="10279" xr:uid="{00000000-0005-0000-0000-0000FC270000}"/>
    <cellStyle name="Normal 2 2 2 2 2 15 2 3" xfId="10280" xr:uid="{00000000-0005-0000-0000-0000FD270000}"/>
    <cellStyle name="Normal 2 2 2 2 2 15 2 4" xfId="10281" xr:uid="{00000000-0005-0000-0000-0000FE270000}"/>
    <cellStyle name="Normal 2 2 2 2 2 15 2 5" xfId="10282" xr:uid="{00000000-0005-0000-0000-0000FF270000}"/>
    <cellStyle name="Normal 2 2 2 2 2 15 2 6" xfId="10283" xr:uid="{00000000-0005-0000-0000-000000280000}"/>
    <cellStyle name="Normal 2 2 2 2 2 15 2 7" xfId="10284" xr:uid="{00000000-0005-0000-0000-000001280000}"/>
    <cellStyle name="Normal 2 2 2 2 2 15 2 8" xfId="10285" xr:uid="{00000000-0005-0000-0000-000002280000}"/>
    <cellStyle name="Normal 2 2 2 2 2 15 2 9" xfId="10286" xr:uid="{00000000-0005-0000-0000-000003280000}"/>
    <cellStyle name="Normal 2 2 2 2 2 15 3" xfId="10287" xr:uid="{00000000-0005-0000-0000-000004280000}"/>
    <cellStyle name="Normal 2 2 2 2 2 15 3 10" xfId="10288" xr:uid="{00000000-0005-0000-0000-000005280000}"/>
    <cellStyle name="Normal 2 2 2 2 2 15 3 2" xfId="10289" xr:uid="{00000000-0005-0000-0000-000006280000}"/>
    <cellStyle name="Normal 2 2 2 2 2 15 3 3" xfId="10290" xr:uid="{00000000-0005-0000-0000-000007280000}"/>
    <cellStyle name="Normal 2 2 2 2 2 15 3 4" xfId="10291" xr:uid="{00000000-0005-0000-0000-000008280000}"/>
    <cellStyle name="Normal 2 2 2 2 2 15 3 5" xfId="10292" xr:uid="{00000000-0005-0000-0000-000009280000}"/>
    <cellStyle name="Normal 2 2 2 2 2 15 3 6" xfId="10293" xr:uid="{00000000-0005-0000-0000-00000A280000}"/>
    <cellStyle name="Normal 2 2 2 2 2 15 3 7" xfId="10294" xr:uid="{00000000-0005-0000-0000-00000B280000}"/>
    <cellStyle name="Normal 2 2 2 2 2 15 3 8" xfId="10295" xr:uid="{00000000-0005-0000-0000-00000C280000}"/>
    <cellStyle name="Normal 2 2 2 2 2 15 3 9" xfId="10296" xr:uid="{00000000-0005-0000-0000-00000D280000}"/>
    <cellStyle name="Normal 2 2 2 2 2 15 4" xfId="10297" xr:uid="{00000000-0005-0000-0000-00000E280000}"/>
    <cellStyle name="Normal 2 2 2 2 2 15 4 10" xfId="10298" xr:uid="{00000000-0005-0000-0000-00000F280000}"/>
    <cellStyle name="Normal 2 2 2 2 2 15 4 2" xfId="10299" xr:uid="{00000000-0005-0000-0000-000010280000}"/>
    <cellStyle name="Normal 2 2 2 2 2 15 4 3" xfId="10300" xr:uid="{00000000-0005-0000-0000-000011280000}"/>
    <cellStyle name="Normal 2 2 2 2 2 15 4 4" xfId="10301" xr:uid="{00000000-0005-0000-0000-000012280000}"/>
    <cellStyle name="Normal 2 2 2 2 2 15 4 5" xfId="10302" xr:uid="{00000000-0005-0000-0000-000013280000}"/>
    <cellStyle name="Normal 2 2 2 2 2 15 4 6" xfId="10303" xr:uid="{00000000-0005-0000-0000-000014280000}"/>
    <cellStyle name="Normal 2 2 2 2 2 15 4 7" xfId="10304" xr:uid="{00000000-0005-0000-0000-000015280000}"/>
    <cellStyle name="Normal 2 2 2 2 2 15 4 8" xfId="10305" xr:uid="{00000000-0005-0000-0000-000016280000}"/>
    <cellStyle name="Normal 2 2 2 2 2 15 4 9" xfId="10306" xr:uid="{00000000-0005-0000-0000-000017280000}"/>
    <cellStyle name="Normal 2 2 2 2 2 15 5" xfId="10307" xr:uid="{00000000-0005-0000-0000-000018280000}"/>
    <cellStyle name="Normal 2 2 2 2 2 15 5 10" xfId="10308" xr:uid="{00000000-0005-0000-0000-000019280000}"/>
    <cellStyle name="Normal 2 2 2 2 2 15 5 2" xfId="10309" xr:uid="{00000000-0005-0000-0000-00001A280000}"/>
    <cellStyle name="Normal 2 2 2 2 2 15 5 3" xfId="10310" xr:uid="{00000000-0005-0000-0000-00001B280000}"/>
    <cellStyle name="Normal 2 2 2 2 2 15 5 4" xfId="10311" xr:uid="{00000000-0005-0000-0000-00001C280000}"/>
    <cellStyle name="Normal 2 2 2 2 2 15 5 5" xfId="10312" xr:uid="{00000000-0005-0000-0000-00001D280000}"/>
    <cellStyle name="Normal 2 2 2 2 2 15 5 6" xfId="10313" xr:uid="{00000000-0005-0000-0000-00001E280000}"/>
    <cellStyle name="Normal 2 2 2 2 2 15 5 7" xfId="10314" xr:uid="{00000000-0005-0000-0000-00001F280000}"/>
    <cellStyle name="Normal 2 2 2 2 2 15 5 8" xfId="10315" xr:uid="{00000000-0005-0000-0000-000020280000}"/>
    <cellStyle name="Normal 2 2 2 2 2 15 5 9" xfId="10316" xr:uid="{00000000-0005-0000-0000-000021280000}"/>
    <cellStyle name="Normal 2 2 2 2 2 15 6" xfId="10317" xr:uid="{00000000-0005-0000-0000-000022280000}"/>
    <cellStyle name="Normal 2 2 2 2 2 15 7" xfId="10318" xr:uid="{00000000-0005-0000-0000-000023280000}"/>
    <cellStyle name="Normal 2 2 2 2 2 15 8" xfId="10319" xr:uid="{00000000-0005-0000-0000-000024280000}"/>
    <cellStyle name="Normal 2 2 2 2 2 15 9" xfId="10320" xr:uid="{00000000-0005-0000-0000-000025280000}"/>
    <cellStyle name="Normal 2 2 2 2 2 16" xfId="10321" xr:uid="{00000000-0005-0000-0000-000026280000}"/>
    <cellStyle name="Normal 2 2 2 2 2 16 10" xfId="10322" xr:uid="{00000000-0005-0000-0000-000027280000}"/>
    <cellStyle name="Normal 2 2 2 2 2 16 11" xfId="10323" xr:uid="{00000000-0005-0000-0000-000028280000}"/>
    <cellStyle name="Normal 2 2 2 2 2 16 12" xfId="10324" xr:uid="{00000000-0005-0000-0000-000029280000}"/>
    <cellStyle name="Normal 2 2 2 2 2 16 13" xfId="10325" xr:uid="{00000000-0005-0000-0000-00002A280000}"/>
    <cellStyle name="Normal 2 2 2 2 2 16 14" xfId="10326" xr:uid="{00000000-0005-0000-0000-00002B280000}"/>
    <cellStyle name="Normal 2 2 2 2 2 16 2" xfId="10327" xr:uid="{00000000-0005-0000-0000-00002C280000}"/>
    <cellStyle name="Normal 2 2 2 2 2 16 2 10" xfId="10328" xr:uid="{00000000-0005-0000-0000-00002D280000}"/>
    <cellStyle name="Normal 2 2 2 2 2 16 2 2" xfId="10329" xr:uid="{00000000-0005-0000-0000-00002E280000}"/>
    <cellStyle name="Normal 2 2 2 2 2 16 2 3" xfId="10330" xr:uid="{00000000-0005-0000-0000-00002F280000}"/>
    <cellStyle name="Normal 2 2 2 2 2 16 2 4" xfId="10331" xr:uid="{00000000-0005-0000-0000-000030280000}"/>
    <cellStyle name="Normal 2 2 2 2 2 16 2 5" xfId="10332" xr:uid="{00000000-0005-0000-0000-000031280000}"/>
    <cellStyle name="Normal 2 2 2 2 2 16 2 6" xfId="10333" xr:uid="{00000000-0005-0000-0000-000032280000}"/>
    <cellStyle name="Normal 2 2 2 2 2 16 2 7" xfId="10334" xr:uid="{00000000-0005-0000-0000-000033280000}"/>
    <cellStyle name="Normal 2 2 2 2 2 16 2 8" xfId="10335" xr:uid="{00000000-0005-0000-0000-000034280000}"/>
    <cellStyle name="Normal 2 2 2 2 2 16 2 9" xfId="10336" xr:uid="{00000000-0005-0000-0000-000035280000}"/>
    <cellStyle name="Normal 2 2 2 2 2 16 3" xfId="10337" xr:uid="{00000000-0005-0000-0000-000036280000}"/>
    <cellStyle name="Normal 2 2 2 2 2 16 3 10" xfId="10338" xr:uid="{00000000-0005-0000-0000-000037280000}"/>
    <cellStyle name="Normal 2 2 2 2 2 16 3 2" xfId="10339" xr:uid="{00000000-0005-0000-0000-000038280000}"/>
    <cellStyle name="Normal 2 2 2 2 2 16 3 3" xfId="10340" xr:uid="{00000000-0005-0000-0000-000039280000}"/>
    <cellStyle name="Normal 2 2 2 2 2 16 3 4" xfId="10341" xr:uid="{00000000-0005-0000-0000-00003A280000}"/>
    <cellStyle name="Normal 2 2 2 2 2 16 3 5" xfId="10342" xr:uid="{00000000-0005-0000-0000-00003B280000}"/>
    <cellStyle name="Normal 2 2 2 2 2 16 3 6" xfId="10343" xr:uid="{00000000-0005-0000-0000-00003C280000}"/>
    <cellStyle name="Normal 2 2 2 2 2 16 3 7" xfId="10344" xr:uid="{00000000-0005-0000-0000-00003D280000}"/>
    <cellStyle name="Normal 2 2 2 2 2 16 3 8" xfId="10345" xr:uid="{00000000-0005-0000-0000-00003E280000}"/>
    <cellStyle name="Normal 2 2 2 2 2 16 3 9" xfId="10346" xr:uid="{00000000-0005-0000-0000-00003F280000}"/>
    <cellStyle name="Normal 2 2 2 2 2 16 4" xfId="10347" xr:uid="{00000000-0005-0000-0000-000040280000}"/>
    <cellStyle name="Normal 2 2 2 2 2 16 4 10" xfId="10348" xr:uid="{00000000-0005-0000-0000-000041280000}"/>
    <cellStyle name="Normal 2 2 2 2 2 16 4 2" xfId="10349" xr:uid="{00000000-0005-0000-0000-000042280000}"/>
    <cellStyle name="Normal 2 2 2 2 2 16 4 3" xfId="10350" xr:uid="{00000000-0005-0000-0000-000043280000}"/>
    <cellStyle name="Normal 2 2 2 2 2 16 4 4" xfId="10351" xr:uid="{00000000-0005-0000-0000-000044280000}"/>
    <cellStyle name="Normal 2 2 2 2 2 16 4 5" xfId="10352" xr:uid="{00000000-0005-0000-0000-000045280000}"/>
    <cellStyle name="Normal 2 2 2 2 2 16 4 6" xfId="10353" xr:uid="{00000000-0005-0000-0000-000046280000}"/>
    <cellStyle name="Normal 2 2 2 2 2 16 4 7" xfId="10354" xr:uid="{00000000-0005-0000-0000-000047280000}"/>
    <cellStyle name="Normal 2 2 2 2 2 16 4 8" xfId="10355" xr:uid="{00000000-0005-0000-0000-000048280000}"/>
    <cellStyle name="Normal 2 2 2 2 2 16 4 9" xfId="10356" xr:uid="{00000000-0005-0000-0000-000049280000}"/>
    <cellStyle name="Normal 2 2 2 2 2 16 5" xfId="10357" xr:uid="{00000000-0005-0000-0000-00004A280000}"/>
    <cellStyle name="Normal 2 2 2 2 2 16 5 10" xfId="10358" xr:uid="{00000000-0005-0000-0000-00004B280000}"/>
    <cellStyle name="Normal 2 2 2 2 2 16 5 2" xfId="10359" xr:uid="{00000000-0005-0000-0000-00004C280000}"/>
    <cellStyle name="Normal 2 2 2 2 2 16 5 3" xfId="10360" xr:uid="{00000000-0005-0000-0000-00004D280000}"/>
    <cellStyle name="Normal 2 2 2 2 2 16 5 4" xfId="10361" xr:uid="{00000000-0005-0000-0000-00004E280000}"/>
    <cellStyle name="Normal 2 2 2 2 2 16 5 5" xfId="10362" xr:uid="{00000000-0005-0000-0000-00004F280000}"/>
    <cellStyle name="Normal 2 2 2 2 2 16 5 6" xfId="10363" xr:uid="{00000000-0005-0000-0000-000050280000}"/>
    <cellStyle name="Normal 2 2 2 2 2 16 5 7" xfId="10364" xr:uid="{00000000-0005-0000-0000-000051280000}"/>
    <cellStyle name="Normal 2 2 2 2 2 16 5 8" xfId="10365" xr:uid="{00000000-0005-0000-0000-000052280000}"/>
    <cellStyle name="Normal 2 2 2 2 2 16 5 9" xfId="10366" xr:uid="{00000000-0005-0000-0000-000053280000}"/>
    <cellStyle name="Normal 2 2 2 2 2 16 6" xfId="10367" xr:uid="{00000000-0005-0000-0000-000054280000}"/>
    <cellStyle name="Normal 2 2 2 2 2 16 7" xfId="10368" xr:uid="{00000000-0005-0000-0000-000055280000}"/>
    <cellStyle name="Normal 2 2 2 2 2 16 8" xfId="10369" xr:uid="{00000000-0005-0000-0000-000056280000}"/>
    <cellStyle name="Normal 2 2 2 2 2 16 9" xfId="10370" xr:uid="{00000000-0005-0000-0000-000057280000}"/>
    <cellStyle name="Normal 2 2 2 2 2 17" xfId="10371" xr:uid="{00000000-0005-0000-0000-000058280000}"/>
    <cellStyle name="Normal 2 2 2 2 2 17 10" xfId="10372" xr:uid="{00000000-0005-0000-0000-000059280000}"/>
    <cellStyle name="Normal 2 2 2 2 2 17 11" xfId="10373" xr:uid="{00000000-0005-0000-0000-00005A280000}"/>
    <cellStyle name="Normal 2 2 2 2 2 17 12" xfId="10374" xr:uid="{00000000-0005-0000-0000-00005B280000}"/>
    <cellStyle name="Normal 2 2 2 2 2 17 13" xfId="10375" xr:uid="{00000000-0005-0000-0000-00005C280000}"/>
    <cellStyle name="Normal 2 2 2 2 2 17 14" xfId="10376" xr:uid="{00000000-0005-0000-0000-00005D280000}"/>
    <cellStyle name="Normal 2 2 2 2 2 17 2" xfId="10377" xr:uid="{00000000-0005-0000-0000-00005E280000}"/>
    <cellStyle name="Normal 2 2 2 2 2 17 2 10" xfId="10378" xr:uid="{00000000-0005-0000-0000-00005F280000}"/>
    <cellStyle name="Normal 2 2 2 2 2 17 2 2" xfId="10379" xr:uid="{00000000-0005-0000-0000-000060280000}"/>
    <cellStyle name="Normal 2 2 2 2 2 17 2 3" xfId="10380" xr:uid="{00000000-0005-0000-0000-000061280000}"/>
    <cellStyle name="Normal 2 2 2 2 2 17 2 4" xfId="10381" xr:uid="{00000000-0005-0000-0000-000062280000}"/>
    <cellStyle name="Normal 2 2 2 2 2 17 2 5" xfId="10382" xr:uid="{00000000-0005-0000-0000-000063280000}"/>
    <cellStyle name="Normal 2 2 2 2 2 17 2 6" xfId="10383" xr:uid="{00000000-0005-0000-0000-000064280000}"/>
    <cellStyle name="Normal 2 2 2 2 2 17 2 7" xfId="10384" xr:uid="{00000000-0005-0000-0000-000065280000}"/>
    <cellStyle name="Normal 2 2 2 2 2 17 2 8" xfId="10385" xr:uid="{00000000-0005-0000-0000-000066280000}"/>
    <cellStyle name="Normal 2 2 2 2 2 17 2 9" xfId="10386" xr:uid="{00000000-0005-0000-0000-000067280000}"/>
    <cellStyle name="Normal 2 2 2 2 2 17 3" xfId="10387" xr:uid="{00000000-0005-0000-0000-000068280000}"/>
    <cellStyle name="Normal 2 2 2 2 2 17 3 10" xfId="10388" xr:uid="{00000000-0005-0000-0000-000069280000}"/>
    <cellStyle name="Normal 2 2 2 2 2 17 3 2" xfId="10389" xr:uid="{00000000-0005-0000-0000-00006A280000}"/>
    <cellStyle name="Normal 2 2 2 2 2 17 3 3" xfId="10390" xr:uid="{00000000-0005-0000-0000-00006B280000}"/>
    <cellStyle name="Normal 2 2 2 2 2 17 3 4" xfId="10391" xr:uid="{00000000-0005-0000-0000-00006C280000}"/>
    <cellStyle name="Normal 2 2 2 2 2 17 3 5" xfId="10392" xr:uid="{00000000-0005-0000-0000-00006D280000}"/>
    <cellStyle name="Normal 2 2 2 2 2 17 3 6" xfId="10393" xr:uid="{00000000-0005-0000-0000-00006E280000}"/>
    <cellStyle name="Normal 2 2 2 2 2 17 3 7" xfId="10394" xr:uid="{00000000-0005-0000-0000-00006F280000}"/>
    <cellStyle name="Normal 2 2 2 2 2 17 3 8" xfId="10395" xr:uid="{00000000-0005-0000-0000-000070280000}"/>
    <cellStyle name="Normal 2 2 2 2 2 17 3 9" xfId="10396" xr:uid="{00000000-0005-0000-0000-000071280000}"/>
    <cellStyle name="Normal 2 2 2 2 2 17 4" xfId="10397" xr:uid="{00000000-0005-0000-0000-000072280000}"/>
    <cellStyle name="Normal 2 2 2 2 2 17 4 10" xfId="10398" xr:uid="{00000000-0005-0000-0000-000073280000}"/>
    <cellStyle name="Normal 2 2 2 2 2 17 4 2" xfId="10399" xr:uid="{00000000-0005-0000-0000-000074280000}"/>
    <cellStyle name="Normal 2 2 2 2 2 17 4 3" xfId="10400" xr:uid="{00000000-0005-0000-0000-000075280000}"/>
    <cellStyle name="Normal 2 2 2 2 2 17 4 4" xfId="10401" xr:uid="{00000000-0005-0000-0000-000076280000}"/>
    <cellStyle name="Normal 2 2 2 2 2 17 4 5" xfId="10402" xr:uid="{00000000-0005-0000-0000-000077280000}"/>
    <cellStyle name="Normal 2 2 2 2 2 17 4 6" xfId="10403" xr:uid="{00000000-0005-0000-0000-000078280000}"/>
    <cellStyle name="Normal 2 2 2 2 2 17 4 7" xfId="10404" xr:uid="{00000000-0005-0000-0000-000079280000}"/>
    <cellStyle name="Normal 2 2 2 2 2 17 4 8" xfId="10405" xr:uid="{00000000-0005-0000-0000-00007A280000}"/>
    <cellStyle name="Normal 2 2 2 2 2 17 4 9" xfId="10406" xr:uid="{00000000-0005-0000-0000-00007B280000}"/>
    <cellStyle name="Normal 2 2 2 2 2 17 5" xfId="10407" xr:uid="{00000000-0005-0000-0000-00007C280000}"/>
    <cellStyle name="Normal 2 2 2 2 2 17 5 10" xfId="10408" xr:uid="{00000000-0005-0000-0000-00007D280000}"/>
    <cellStyle name="Normal 2 2 2 2 2 17 5 2" xfId="10409" xr:uid="{00000000-0005-0000-0000-00007E280000}"/>
    <cellStyle name="Normal 2 2 2 2 2 17 5 3" xfId="10410" xr:uid="{00000000-0005-0000-0000-00007F280000}"/>
    <cellStyle name="Normal 2 2 2 2 2 17 5 4" xfId="10411" xr:uid="{00000000-0005-0000-0000-000080280000}"/>
    <cellStyle name="Normal 2 2 2 2 2 17 5 5" xfId="10412" xr:uid="{00000000-0005-0000-0000-000081280000}"/>
    <cellStyle name="Normal 2 2 2 2 2 17 5 6" xfId="10413" xr:uid="{00000000-0005-0000-0000-000082280000}"/>
    <cellStyle name="Normal 2 2 2 2 2 17 5 7" xfId="10414" xr:uid="{00000000-0005-0000-0000-000083280000}"/>
    <cellStyle name="Normal 2 2 2 2 2 17 5 8" xfId="10415" xr:uid="{00000000-0005-0000-0000-000084280000}"/>
    <cellStyle name="Normal 2 2 2 2 2 17 5 9" xfId="10416" xr:uid="{00000000-0005-0000-0000-000085280000}"/>
    <cellStyle name="Normal 2 2 2 2 2 17 6" xfId="10417" xr:uid="{00000000-0005-0000-0000-000086280000}"/>
    <cellStyle name="Normal 2 2 2 2 2 17 7" xfId="10418" xr:uid="{00000000-0005-0000-0000-000087280000}"/>
    <cellStyle name="Normal 2 2 2 2 2 17 8" xfId="10419" xr:uid="{00000000-0005-0000-0000-000088280000}"/>
    <cellStyle name="Normal 2 2 2 2 2 17 9" xfId="10420" xr:uid="{00000000-0005-0000-0000-000089280000}"/>
    <cellStyle name="Normal 2 2 2 2 2 18" xfId="10421" xr:uid="{00000000-0005-0000-0000-00008A280000}"/>
    <cellStyle name="Normal 2 2 2 2 2 18 10" xfId="10422" xr:uid="{00000000-0005-0000-0000-00008B280000}"/>
    <cellStyle name="Normal 2 2 2 2 2 18 11" xfId="10423" xr:uid="{00000000-0005-0000-0000-00008C280000}"/>
    <cellStyle name="Normal 2 2 2 2 2 18 12" xfId="10424" xr:uid="{00000000-0005-0000-0000-00008D280000}"/>
    <cellStyle name="Normal 2 2 2 2 2 18 13" xfId="10425" xr:uid="{00000000-0005-0000-0000-00008E280000}"/>
    <cellStyle name="Normal 2 2 2 2 2 18 14" xfId="10426" xr:uid="{00000000-0005-0000-0000-00008F280000}"/>
    <cellStyle name="Normal 2 2 2 2 2 18 2" xfId="10427" xr:uid="{00000000-0005-0000-0000-000090280000}"/>
    <cellStyle name="Normal 2 2 2 2 2 18 2 10" xfId="10428" xr:uid="{00000000-0005-0000-0000-000091280000}"/>
    <cellStyle name="Normal 2 2 2 2 2 18 2 2" xfId="10429" xr:uid="{00000000-0005-0000-0000-000092280000}"/>
    <cellStyle name="Normal 2 2 2 2 2 18 2 3" xfId="10430" xr:uid="{00000000-0005-0000-0000-000093280000}"/>
    <cellStyle name="Normal 2 2 2 2 2 18 2 4" xfId="10431" xr:uid="{00000000-0005-0000-0000-000094280000}"/>
    <cellStyle name="Normal 2 2 2 2 2 18 2 5" xfId="10432" xr:uid="{00000000-0005-0000-0000-000095280000}"/>
    <cellStyle name="Normal 2 2 2 2 2 18 2 6" xfId="10433" xr:uid="{00000000-0005-0000-0000-000096280000}"/>
    <cellStyle name="Normal 2 2 2 2 2 18 2 7" xfId="10434" xr:uid="{00000000-0005-0000-0000-000097280000}"/>
    <cellStyle name="Normal 2 2 2 2 2 18 2 8" xfId="10435" xr:uid="{00000000-0005-0000-0000-000098280000}"/>
    <cellStyle name="Normal 2 2 2 2 2 18 2 9" xfId="10436" xr:uid="{00000000-0005-0000-0000-000099280000}"/>
    <cellStyle name="Normal 2 2 2 2 2 18 3" xfId="10437" xr:uid="{00000000-0005-0000-0000-00009A280000}"/>
    <cellStyle name="Normal 2 2 2 2 2 18 3 10" xfId="10438" xr:uid="{00000000-0005-0000-0000-00009B280000}"/>
    <cellStyle name="Normal 2 2 2 2 2 18 3 2" xfId="10439" xr:uid="{00000000-0005-0000-0000-00009C280000}"/>
    <cellStyle name="Normal 2 2 2 2 2 18 3 3" xfId="10440" xr:uid="{00000000-0005-0000-0000-00009D280000}"/>
    <cellStyle name="Normal 2 2 2 2 2 18 3 4" xfId="10441" xr:uid="{00000000-0005-0000-0000-00009E280000}"/>
    <cellStyle name="Normal 2 2 2 2 2 18 3 5" xfId="10442" xr:uid="{00000000-0005-0000-0000-00009F280000}"/>
    <cellStyle name="Normal 2 2 2 2 2 18 3 6" xfId="10443" xr:uid="{00000000-0005-0000-0000-0000A0280000}"/>
    <cellStyle name="Normal 2 2 2 2 2 18 3 7" xfId="10444" xr:uid="{00000000-0005-0000-0000-0000A1280000}"/>
    <cellStyle name="Normal 2 2 2 2 2 18 3 8" xfId="10445" xr:uid="{00000000-0005-0000-0000-0000A2280000}"/>
    <cellStyle name="Normal 2 2 2 2 2 18 3 9" xfId="10446" xr:uid="{00000000-0005-0000-0000-0000A3280000}"/>
    <cellStyle name="Normal 2 2 2 2 2 18 4" xfId="10447" xr:uid="{00000000-0005-0000-0000-0000A4280000}"/>
    <cellStyle name="Normal 2 2 2 2 2 18 4 10" xfId="10448" xr:uid="{00000000-0005-0000-0000-0000A5280000}"/>
    <cellStyle name="Normal 2 2 2 2 2 18 4 2" xfId="10449" xr:uid="{00000000-0005-0000-0000-0000A6280000}"/>
    <cellStyle name="Normal 2 2 2 2 2 18 4 3" xfId="10450" xr:uid="{00000000-0005-0000-0000-0000A7280000}"/>
    <cellStyle name="Normal 2 2 2 2 2 18 4 4" xfId="10451" xr:uid="{00000000-0005-0000-0000-0000A8280000}"/>
    <cellStyle name="Normal 2 2 2 2 2 18 4 5" xfId="10452" xr:uid="{00000000-0005-0000-0000-0000A9280000}"/>
    <cellStyle name="Normal 2 2 2 2 2 18 4 6" xfId="10453" xr:uid="{00000000-0005-0000-0000-0000AA280000}"/>
    <cellStyle name="Normal 2 2 2 2 2 18 4 7" xfId="10454" xr:uid="{00000000-0005-0000-0000-0000AB280000}"/>
    <cellStyle name="Normal 2 2 2 2 2 18 4 8" xfId="10455" xr:uid="{00000000-0005-0000-0000-0000AC280000}"/>
    <cellStyle name="Normal 2 2 2 2 2 18 4 9" xfId="10456" xr:uid="{00000000-0005-0000-0000-0000AD280000}"/>
    <cellStyle name="Normal 2 2 2 2 2 18 5" xfId="10457" xr:uid="{00000000-0005-0000-0000-0000AE280000}"/>
    <cellStyle name="Normal 2 2 2 2 2 18 5 10" xfId="10458" xr:uid="{00000000-0005-0000-0000-0000AF280000}"/>
    <cellStyle name="Normal 2 2 2 2 2 18 5 2" xfId="10459" xr:uid="{00000000-0005-0000-0000-0000B0280000}"/>
    <cellStyle name="Normal 2 2 2 2 2 18 5 3" xfId="10460" xr:uid="{00000000-0005-0000-0000-0000B1280000}"/>
    <cellStyle name="Normal 2 2 2 2 2 18 5 4" xfId="10461" xr:uid="{00000000-0005-0000-0000-0000B2280000}"/>
    <cellStyle name="Normal 2 2 2 2 2 18 5 5" xfId="10462" xr:uid="{00000000-0005-0000-0000-0000B3280000}"/>
    <cellStyle name="Normal 2 2 2 2 2 18 5 6" xfId="10463" xr:uid="{00000000-0005-0000-0000-0000B4280000}"/>
    <cellStyle name="Normal 2 2 2 2 2 18 5 7" xfId="10464" xr:uid="{00000000-0005-0000-0000-0000B5280000}"/>
    <cellStyle name="Normal 2 2 2 2 2 18 5 8" xfId="10465" xr:uid="{00000000-0005-0000-0000-0000B6280000}"/>
    <cellStyle name="Normal 2 2 2 2 2 18 5 9" xfId="10466" xr:uid="{00000000-0005-0000-0000-0000B7280000}"/>
    <cellStyle name="Normal 2 2 2 2 2 18 6" xfId="10467" xr:uid="{00000000-0005-0000-0000-0000B8280000}"/>
    <cellStyle name="Normal 2 2 2 2 2 18 7" xfId="10468" xr:uid="{00000000-0005-0000-0000-0000B9280000}"/>
    <cellStyle name="Normal 2 2 2 2 2 18 8" xfId="10469" xr:uid="{00000000-0005-0000-0000-0000BA280000}"/>
    <cellStyle name="Normal 2 2 2 2 2 18 9" xfId="10470" xr:uid="{00000000-0005-0000-0000-0000BB280000}"/>
    <cellStyle name="Normal 2 2 2 2 2 19" xfId="10471" xr:uid="{00000000-0005-0000-0000-0000BC280000}"/>
    <cellStyle name="Normal 2 2 2 2 2 19 10" xfId="10472" xr:uid="{00000000-0005-0000-0000-0000BD280000}"/>
    <cellStyle name="Normal 2 2 2 2 2 19 11" xfId="10473" xr:uid="{00000000-0005-0000-0000-0000BE280000}"/>
    <cellStyle name="Normal 2 2 2 2 2 19 12" xfId="10474" xr:uid="{00000000-0005-0000-0000-0000BF280000}"/>
    <cellStyle name="Normal 2 2 2 2 2 19 13" xfId="10475" xr:uid="{00000000-0005-0000-0000-0000C0280000}"/>
    <cellStyle name="Normal 2 2 2 2 2 19 14" xfId="10476" xr:uid="{00000000-0005-0000-0000-0000C1280000}"/>
    <cellStyle name="Normal 2 2 2 2 2 19 2" xfId="10477" xr:uid="{00000000-0005-0000-0000-0000C2280000}"/>
    <cellStyle name="Normal 2 2 2 2 2 19 2 10" xfId="10478" xr:uid="{00000000-0005-0000-0000-0000C3280000}"/>
    <cellStyle name="Normal 2 2 2 2 2 19 2 2" xfId="10479" xr:uid="{00000000-0005-0000-0000-0000C4280000}"/>
    <cellStyle name="Normal 2 2 2 2 2 19 2 3" xfId="10480" xr:uid="{00000000-0005-0000-0000-0000C5280000}"/>
    <cellStyle name="Normal 2 2 2 2 2 19 2 4" xfId="10481" xr:uid="{00000000-0005-0000-0000-0000C6280000}"/>
    <cellStyle name="Normal 2 2 2 2 2 19 2 5" xfId="10482" xr:uid="{00000000-0005-0000-0000-0000C7280000}"/>
    <cellStyle name="Normal 2 2 2 2 2 19 2 6" xfId="10483" xr:uid="{00000000-0005-0000-0000-0000C8280000}"/>
    <cellStyle name="Normal 2 2 2 2 2 19 2 7" xfId="10484" xr:uid="{00000000-0005-0000-0000-0000C9280000}"/>
    <cellStyle name="Normal 2 2 2 2 2 19 2 8" xfId="10485" xr:uid="{00000000-0005-0000-0000-0000CA280000}"/>
    <cellStyle name="Normal 2 2 2 2 2 19 2 9" xfId="10486" xr:uid="{00000000-0005-0000-0000-0000CB280000}"/>
    <cellStyle name="Normal 2 2 2 2 2 19 3" xfId="10487" xr:uid="{00000000-0005-0000-0000-0000CC280000}"/>
    <cellStyle name="Normal 2 2 2 2 2 19 3 10" xfId="10488" xr:uid="{00000000-0005-0000-0000-0000CD280000}"/>
    <cellStyle name="Normal 2 2 2 2 2 19 3 2" xfId="10489" xr:uid="{00000000-0005-0000-0000-0000CE280000}"/>
    <cellStyle name="Normal 2 2 2 2 2 19 3 3" xfId="10490" xr:uid="{00000000-0005-0000-0000-0000CF280000}"/>
    <cellStyle name="Normal 2 2 2 2 2 19 3 4" xfId="10491" xr:uid="{00000000-0005-0000-0000-0000D0280000}"/>
    <cellStyle name="Normal 2 2 2 2 2 19 3 5" xfId="10492" xr:uid="{00000000-0005-0000-0000-0000D1280000}"/>
    <cellStyle name="Normal 2 2 2 2 2 19 3 6" xfId="10493" xr:uid="{00000000-0005-0000-0000-0000D2280000}"/>
    <cellStyle name="Normal 2 2 2 2 2 19 3 7" xfId="10494" xr:uid="{00000000-0005-0000-0000-0000D3280000}"/>
    <cellStyle name="Normal 2 2 2 2 2 19 3 8" xfId="10495" xr:uid="{00000000-0005-0000-0000-0000D4280000}"/>
    <cellStyle name="Normal 2 2 2 2 2 19 3 9" xfId="10496" xr:uid="{00000000-0005-0000-0000-0000D5280000}"/>
    <cellStyle name="Normal 2 2 2 2 2 19 4" xfId="10497" xr:uid="{00000000-0005-0000-0000-0000D6280000}"/>
    <cellStyle name="Normal 2 2 2 2 2 19 4 10" xfId="10498" xr:uid="{00000000-0005-0000-0000-0000D7280000}"/>
    <cellStyle name="Normal 2 2 2 2 2 19 4 2" xfId="10499" xr:uid="{00000000-0005-0000-0000-0000D8280000}"/>
    <cellStyle name="Normal 2 2 2 2 2 19 4 3" xfId="10500" xr:uid="{00000000-0005-0000-0000-0000D9280000}"/>
    <cellStyle name="Normal 2 2 2 2 2 19 4 4" xfId="10501" xr:uid="{00000000-0005-0000-0000-0000DA280000}"/>
    <cellStyle name="Normal 2 2 2 2 2 19 4 5" xfId="10502" xr:uid="{00000000-0005-0000-0000-0000DB280000}"/>
    <cellStyle name="Normal 2 2 2 2 2 19 4 6" xfId="10503" xr:uid="{00000000-0005-0000-0000-0000DC280000}"/>
    <cellStyle name="Normal 2 2 2 2 2 19 4 7" xfId="10504" xr:uid="{00000000-0005-0000-0000-0000DD280000}"/>
    <cellStyle name="Normal 2 2 2 2 2 19 4 8" xfId="10505" xr:uid="{00000000-0005-0000-0000-0000DE280000}"/>
    <cellStyle name="Normal 2 2 2 2 2 19 4 9" xfId="10506" xr:uid="{00000000-0005-0000-0000-0000DF280000}"/>
    <cellStyle name="Normal 2 2 2 2 2 19 5" xfId="10507" xr:uid="{00000000-0005-0000-0000-0000E0280000}"/>
    <cellStyle name="Normal 2 2 2 2 2 19 5 10" xfId="10508" xr:uid="{00000000-0005-0000-0000-0000E1280000}"/>
    <cellStyle name="Normal 2 2 2 2 2 19 5 2" xfId="10509" xr:uid="{00000000-0005-0000-0000-0000E2280000}"/>
    <cellStyle name="Normal 2 2 2 2 2 19 5 3" xfId="10510" xr:uid="{00000000-0005-0000-0000-0000E3280000}"/>
    <cellStyle name="Normal 2 2 2 2 2 19 5 4" xfId="10511" xr:uid="{00000000-0005-0000-0000-0000E4280000}"/>
    <cellStyle name="Normal 2 2 2 2 2 19 5 5" xfId="10512" xr:uid="{00000000-0005-0000-0000-0000E5280000}"/>
    <cellStyle name="Normal 2 2 2 2 2 19 5 6" xfId="10513" xr:uid="{00000000-0005-0000-0000-0000E6280000}"/>
    <cellStyle name="Normal 2 2 2 2 2 19 5 7" xfId="10514" xr:uid="{00000000-0005-0000-0000-0000E7280000}"/>
    <cellStyle name="Normal 2 2 2 2 2 19 5 8" xfId="10515" xr:uid="{00000000-0005-0000-0000-0000E8280000}"/>
    <cellStyle name="Normal 2 2 2 2 2 19 5 9" xfId="10516" xr:uid="{00000000-0005-0000-0000-0000E9280000}"/>
    <cellStyle name="Normal 2 2 2 2 2 19 6" xfId="10517" xr:uid="{00000000-0005-0000-0000-0000EA280000}"/>
    <cellStyle name="Normal 2 2 2 2 2 19 7" xfId="10518" xr:uid="{00000000-0005-0000-0000-0000EB280000}"/>
    <cellStyle name="Normal 2 2 2 2 2 19 8" xfId="10519" xr:uid="{00000000-0005-0000-0000-0000EC280000}"/>
    <cellStyle name="Normal 2 2 2 2 2 19 9" xfId="10520" xr:uid="{00000000-0005-0000-0000-0000ED280000}"/>
    <cellStyle name="Normal 2 2 2 2 2 2" xfId="10521" xr:uid="{00000000-0005-0000-0000-0000EE280000}"/>
    <cellStyle name="Normal 2 2 2 2 2 2 10" xfId="10522" xr:uid="{00000000-0005-0000-0000-0000EF280000}"/>
    <cellStyle name="Normal 2 2 2 2 2 2 10 10" xfId="10523" xr:uid="{00000000-0005-0000-0000-0000F0280000}"/>
    <cellStyle name="Normal 2 2 2 2 2 2 10 11" xfId="10524" xr:uid="{00000000-0005-0000-0000-0000F1280000}"/>
    <cellStyle name="Normal 2 2 2 2 2 2 10 12" xfId="10525" xr:uid="{00000000-0005-0000-0000-0000F2280000}"/>
    <cellStyle name="Normal 2 2 2 2 2 2 10 13" xfId="10526" xr:uid="{00000000-0005-0000-0000-0000F3280000}"/>
    <cellStyle name="Normal 2 2 2 2 2 2 10 14" xfId="10527" xr:uid="{00000000-0005-0000-0000-0000F4280000}"/>
    <cellStyle name="Normal 2 2 2 2 2 2 10 2" xfId="10528" xr:uid="{00000000-0005-0000-0000-0000F5280000}"/>
    <cellStyle name="Normal 2 2 2 2 2 2 10 2 10" xfId="10529" xr:uid="{00000000-0005-0000-0000-0000F6280000}"/>
    <cellStyle name="Normal 2 2 2 2 2 2 10 2 2" xfId="10530" xr:uid="{00000000-0005-0000-0000-0000F7280000}"/>
    <cellStyle name="Normal 2 2 2 2 2 2 10 2 3" xfId="10531" xr:uid="{00000000-0005-0000-0000-0000F8280000}"/>
    <cellStyle name="Normal 2 2 2 2 2 2 10 2 4" xfId="10532" xr:uid="{00000000-0005-0000-0000-0000F9280000}"/>
    <cellStyle name="Normal 2 2 2 2 2 2 10 2 5" xfId="10533" xr:uid="{00000000-0005-0000-0000-0000FA280000}"/>
    <cellStyle name="Normal 2 2 2 2 2 2 10 2 6" xfId="10534" xr:uid="{00000000-0005-0000-0000-0000FB280000}"/>
    <cellStyle name="Normal 2 2 2 2 2 2 10 2 7" xfId="10535" xr:uid="{00000000-0005-0000-0000-0000FC280000}"/>
    <cellStyle name="Normal 2 2 2 2 2 2 10 2 8" xfId="10536" xr:uid="{00000000-0005-0000-0000-0000FD280000}"/>
    <cellStyle name="Normal 2 2 2 2 2 2 10 2 9" xfId="10537" xr:uid="{00000000-0005-0000-0000-0000FE280000}"/>
    <cellStyle name="Normal 2 2 2 2 2 2 10 3" xfId="10538" xr:uid="{00000000-0005-0000-0000-0000FF280000}"/>
    <cellStyle name="Normal 2 2 2 2 2 2 10 3 10" xfId="10539" xr:uid="{00000000-0005-0000-0000-000000290000}"/>
    <cellStyle name="Normal 2 2 2 2 2 2 10 3 2" xfId="10540" xr:uid="{00000000-0005-0000-0000-000001290000}"/>
    <cellStyle name="Normal 2 2 2 2 2 2 10 3 3" xfId="10541" xr:uid="{00000000-0005-0000-0000-000002290000}"/>
    <cellStyle name="Normal 2 2 2 2 2 2 10 3 4" xfId="10542" xr:uid="{00000000-0005-0000-0000-000003290000}"/>
    <cellStyle name="Normal 2 2 2 2 2 2 10 3 5" xfId="10543" xr:uid="{00000000-0005-0000-0000-000004290000}"/>
    <cellStyle name="Normal 2 2 2 2 2 2 10 3 6" xfId="10544" xr:uid="{00000000-0005-0000-0000-000005290000}"/>
    <cellStyle name="Normal 2 2 2 2 2 2 10 3 7" xfId="10545" xr:uid="{00000000-0005-0000-0000-000006290000}"/>
    <cellStyle name="Normal 2 2 2 2 2 2 10 3 8" xfId="10546" xr:uid="{00000000-0005-0000-0000-000007290000}"/>
    <cellStyle name="Normal 2 2 2 2 2 2 10 3 9" xfId="10547" xr:uid="{00000000-0005-0000-0000-000008290000}"/>
    <cellStyle name="Normal 2 2 2 2 2 2 10 4" xfId="10548" xr:uid="{00000000-0005-0000-0000-000009290000}"/>
    <cellStyle name="Normal 2 2 2 2 2 2 10 4 10" xfId="10549" xr:uid="{00000000-0005-0000-0000-00000A290000}"/>
    <cellStyle name="Normal 2 2 2 2 2 2 10 4 2" xfId="10550" xr:uid="{00000000-0005-0000-0000-00000B290000}"/>
    <cellStyle name="Normal 2 2 2 2 2 2 10 4 3" xfId="10551" xr:uid="{00000000-0005-0000-0000-00000C290000}"/>
    <cellStyle name="Normal 2 2 2 2 2 2 10 4 4" xfId="10552" xr:uid="{00000000-0005-0000-0000-00000D290000}"/>
    <cellStyle name="Normal 2 2 2 2 2 2 10 4 5" xfId="10553" xr:uid="{00000000-0005-0000-0000-00000E290000}"/>
    <cellStyle name="Normal 2 2 2 2 2 2 10 4 6" xfId="10554" xr:uid="{00000000-0005-0000-0000-00000F290000}"/>
    <cellStyle name="Normal 2 2 2 2 2 2 10 4 7" xfId="10555" xr:uid="{00000000-0005-0000-0000-000010290000}"/>
    <cellStyle name="Normal 2 2 2 2 2 2 10 4 8" xfId="10556" xr:uid="{00000000-0005-0000-0000-000011290000}"/>
    <cellStyle name="Normal 2 2 2 2 2 2 10 4 9" xfId="10557" xr:uid="{00000000-0005-0000-0000-000012290000}"/>
    <cellStyle name="Normal 2 2 2 2 2 2 10 5" xfId="10558" xr:uid="{00000000-0005-0000-0000-000013290000}"/>
    <cellStyle name="Normal 2 2 2 2 2 2 10 5 10" xfId="10559" xr:uid="{00000000-0005-0000-0000-000014290000}"/>
    <cellStyle name="Normal 2 2 2 2 2 2 10 5 2" xfId="10560" xr:uid="{00000000-0005-0000-0000-000015290000}"/>
    <cellStyle name="Normal 2 2 2 2 2 2 10 5 3" xfId="10561" xr:uid="{00000000-0005-0000-0000-000016290000}"/>
    <cellStyle name="Normal 2 2 2 2 2 2 10 5 4" xfId="10562" xr:uid="{00000000-0005-0000-0000-000017290000}"/>
    <cellStyle name="Normal 2 2 2 2 2 2 10 5 5" xfId="10563" xr:uid="{00000000-0005-0000-0000-000018290000}"/>
    <cellStyle name="Normal 2 2 2 2 2 2 10 5 6" xfId="10564" xr:uid="{00000000-0005-0000-0000-000019290000}"/>
    <cellStyle name="Normal 2 2 2 2 2 2 10 5 7" xfId="10565" xr:uid="{00000000-0005-0000-0000-00001A290000}"/>
    <cellStyle name="Normal 2 2 2 2 2 2 10 5 8" xfId="10566" xr:uid="{00000000-0005-0000-0000-00001B290000}"/>
    <cellStyle name="Normal 2 2 2 2 2 2 10 5 9" xfId="10567" xr:uid="{00000000-0005-0000-0000-00001C290000}"/>
    <cellStyle name="Normal 2 2 2 2 2 2 10 6" xfId="10568" xr:uid="{00000000-0005-0000-0000-00001D290000}"/>
    <cellStyle name="Normal 2 2 2 2 2 2 10 7" xfId="10569" xr:uid="{00000000-0005-0000-0000-00001E290000}"/>
    <cellStyle name="Normal 2 2 2 2 2 2 10 8" xfId="10570" xr:uid="{00000000-0005-0000-0000-00001F290000}"/>
    <cellStyle name="Normal 2 2 2 2 2 2 10 9" xfId="10571" xr:uid="{00000000-0005-0000-0000-000020290000}"/>
    <cellStyle name="Normal 2 2 2 2 2 2 11" xfId="10572" xr:uid="{00000000-0005-0000-0000-000021290000}"/>
    <cellStyle name="Normal 2 2 2 2 2 2 11 10" xfId="10573" xr:uid="{00000000-0005-0000-0000-000022290000}"/>
    <cellStyle name="Normal 2 2 2 2 2 2 11 11" xfId="10574" xr:uid="{00000000-0005-0000-0000-000023290000}"/>
    <cellStyle name="Normal 2 2 2 2 2 2 11 12" xfId="10575" xr:uid="{00000000-0005-0000-0000-000024290000}"/>
    <cellStyle name="Normal 2 2 2 2 2 2 11 13" xfId="10576" xr:uid="{00000000-0005-0000-0000-000025290000}"/>
    <cellStyle name="Normal 2 2 2 2 2 2 11 14" xfId="10577" xr:uid="{00000000-0005-0000-0000-000026290000}"/>
    <cellStyle name="Normal 2 2 2 2 2 2 11 2" xfId="10578" xr:uid="{00000000-0005-0000-0000-000027290000}"/>
    <cellStyle name="Normal 2 2 2 2 2 2 11 2 10" xfId="10579" xr:uid="{00000000-0005-0000-0000-000028290000}"/>
    <cellStyle name="Normal 2 2 2 2 2 2 11 2 2" xfId="10580" xr:uid="{00000000-0005-0000-0000-000029290000}"/>
    <cellStyle name="Normal 2 2 2 2 2 2 11 2 3" xfId="10581" xr:uid="{00000000-0005-0000-0000-00002A290000}"/>
    <cellStyle name="Normal 2 2 2 2 2 2 11 2 4" xfId="10582" xr:uid="{00000000-0005-0000-0000-00002B290000}"/>
    <cellStyle name="Normal 2 2 2 2 2 2 11 2 5" xfId="10583" xr:uid="{00000000-0005-0000-0000-00002C290000}"/>
    <cellStyle name="Normal 2 2 2 2 2 2 11 2 6" xfId="10584" xr:uid="{00000000-0005-0000-0000-00002D290000}"/>
    <cellStyle name="Normal 2 2 2 2 2 2 11 2 7" xfId="10585" xr:uid="{00000000-0005-0000-0000-00002E290000}"/>
    <cellStyle name="Normal 2 2 2 2 2 2 11 2 8" xfId="10586" xr:uid="{00000000-0005-0000-0000-00002F290000}"/>
    <cellStyle name="Normal 2 2 2 2 2 2 11 2 9" xfId="10587" xr:uid="{00000000-0005-0000-0000-000030290000}"/>
    <cellStyle name="Normal 2 2 2 2 2 2 11 3" xfId="10588" xr:uid="{00000000-0005-0000-0000-000031290000}"/>
    <cellStyle name="Normal 2 2 2 2 2 2 11 3 10" xfId="10589" xr:uid="{00000000-0005-0000-0000-000032290000}"/>
    <cellStyle name="Normal 2 2 2 2 2 2 11 3 2" xfId="10590" xr:uid="{00000000-0005-0000-0000-000033290000}"/>
    <cellStyle name="Normal 2 2 2 2 2 2 11 3 3" xfId="10591" xr:uid="{00000000-0005-0000-0000-000034290000}"/>
    <cellStyle name="Normal 2 2 2 2 2 2 11 3 4" xfId="10592" xr:uid="{00000000-0005-0000-0000-000035290000}"/>
    <cellStyle name="Normal 2 2 2 2 2 2 11 3 5" xfId="10593" xr:uid="{00000000-0005-0000-0000-000036290000}"/>
    <cellStyle name="Normal 2 2 2 2 2 2 11 3 6" xfId="10594" xr:uid="{00000000-0005-0000-0000-000037290000}"/>
    <cellStyle name="Normal 2 2 2 2 2 2 11 3 7" xfId="10595" xr:uid="{00000000-0005-0000-0000-000038290000}"/>
    <cellStyle name="Normal 2 2 2 2 2 2 11 3 8" xfId="10596" xr:uid="{00000000-0005-0000-0000-000039290000}"/>
    <cellStyle name="Normal 2 2 2 2 2 2 11 3 9" xfId="10597" xr:uid="{00000000-0005-0000-0000-00003A290000}"/>
    <cellStyle name="Normal 2 2 2 2 2 2 11 4" xfId="10598" xr:uid="{00000000-0005-0000-0000-00003B290000}"/>
    <cellStyle name="Normal 2 2 2 2 2 2 11 4 10" xfId="10599" xr:uid="{00000000-0005-0000-0000-00003C290000}"/>
    <cellStyle name="Normal 2 2 2 2 2 2 11 4 2" xfId="10600" xr:uid="{00000000-0005-0000-0000-00003D290000}"/>
    <cellStyle name="Normal 2 2 2 2 2 2 11 4 3" xfId="10601" xr:uid="{00000000-0005-0000-0000-00003E290000}"/>
    <cellStyle name="Normal 2 2 2 2 2 2 11 4 4" xfId="10602" xr:uid="{00000000-0005-0000-0000-00003F290000}"/>
    <cellStyle name="Normal 2 2 2 2 2 2 11 4 5" xfId="10603" xr:uid="{00000000-0005-0000-0000-000040290000}"/>
    <cellStyle name="Normal 2 2 2 2 2 2 11 4 6" xfId="10604" xr:uid="{00000000-0005-0000-0000-000041290000}"/>
    <cellStyle name="Normal 2 2 2 2 2 2 11 4 7" xfId="10605" xr:uid="{00000000-0005-0000-0000-000042290000}"/>
    <cellStyle name="Normal 2 2 2 2 2 2 11 4 8" xfId="10606" xr:uid="{00000000-0005-0000-0000-000043290000}"/>
    <cellStyle name="Normal 2 2 2 2 2 2 11 4 9" xfId="10607" xr:uid="{00000000-0005-0000-0000-000044290000}"/>
    <cellStyle name="Normal 2 2 2 2 2 2 11 5" xfId="10608" xr:uid="{00000000-0005-0000-0000-000045290000}"/>
    <cellStyle name="Normal 2 2 2 2 2 2 11 5 10" xfId="10609" xr:uid="{00000000-0005-0000-0000-000046290000}"/>
    <cellStyle name="Normal 2 2 2 2 2 2 11 5 2" xfId="10610" xr:uid="{00000000-0005-0000-0000-000047290000}"/>
    <cellStyle name="Normal 2 2 2 2 2 2 11 5 3" xfId="10611" xr:uid="{00000000-0005-0000-0000-000048290000}"/>
    <cellStyle name="Normal 2 2 2 2 2 2 11 5 4" xfId="10612" xr:uid="{00000000-0005-0000-0000-000049290000}"/>
    <cellStyle name="Normal 2 2 2 2 2 2 11 5 5" xfId="10613" xr:uid="{00000000-0005-0000-0000-00004A290000}"/>
    <cellStyle name="Normal 2 2 2 2 2 2 11 5 6" xfId="10614" xr:uid="{00000000-0005-0000-0000-00004B290000}"/>
    <cellStyle name="Normal 2 2 2 2 2 2 11 5 7" xfId="10615" xr:uid="{00000000-0005-0000-0000-00004C290000}"/>
    <cellStyle name="Normal 2 2 2 2 2 2 11 5 8" xfId="10616" xr:uid="{00000000-0005-0000-0000-00004D290000}"/>
    <cellStyle name="Normal 2 2 2 2 2 2 11 5 9" xfId="10617" xr:uid="{00000000-0005-0000-0000-00004E290000}"/>
    <cellStyle name="Normal 2 2 2 2 2 2 11 6" xfId="10618" xr:uid="{00000000-0005-0000-0000-00004F290000}"/>
    <cellStyle name="Normal 2 2 2 2 2 2 11 7" xfId="10619" xr:uid="{00000000-0005-0000-0000-000050290000}"/>
    <cellStyle name="Normal 2 2 2 2 2 2 11 8" xfId="10620" xr:uid="{00000000-0005-0000-0000-000051290000}"/>
    <cellStyle name="Normal 2 2 2 2 2 2 11 9" xfId="10621" xr:uid="{00000000-0005-0000-0000-000052290000}"/>
    <cellStyle name="Normal 2 2 2 2 2 2 12" xfId="10622" xr:uid="{00000000-0005-0000-0000-000053290000}"/>
    <cellStyle name="Normal 2 2 2 2 2 2 12 10" xfId="10623" xr:uid="{00000000-0005-0000-0000-000054290000}"/>
    <cellStyle name="Normal 2 2 2 2 2 2 12 11" xfId="10624" xr:uid="{00000000-0005-0000-0000-000055290000}"/>
    <cellStyle name="Normal 2 2 2 2 2 2 12 12" xfId="10625" xr:uid="{00000000-0005-0000-0000-000056290000}"/>
    <cellStyle name="Normal 2 2 2 2 2 2 12 13" xfId="10626" xr:uid="{00000000-0005-0000-0000-000057290000}"/>
    <cellStyle name="Normal 2 2 2 2 2 2 12 14" xfId="10627" xr:uid="{00000000-0005-0000-0000-000058290000}"/>
    <cellStyle name="Normal 2 2 2 2 2 2 12 2" xfId="10628" xr:uid="{00000000-0005-0000-0000-000059290000}"/>
    <cellStyle name="Normal 2 2 2 2 2 2 12 2 10" xfId="10629" xr:uid="{00000000-0005-0000-0000-00005A290000}"/>
    <cellStyle name="Normal 2 2 2 2 2 2 12 2 2" xfId="10630" xr:uid="{00000000-0005-0000-0000-00005B290000}"/>
    <cellStyle name="Normal 2 2 2 2 2 2 12 2 3" xfId="10631" xr:uid="{00000000-0005-0000-0000-00005C290000}"/>
    <cellStyle name="Normal 2 2 2 2 2 2 12 2 4" xfId="10632" xr:uid="{00000000-0005-0000-0000-00005D290000}"/>
    <cellStyle name="Normal 2 2 2 2 2 2 12 2 5" xfId="10633" xr:uid="{00000000-0005-0000-0000-00005E290000}"/>
    <cellStyle name="Normal 2 2 2 2 2 2 12 2 6" xfId="10634" xr:uid="{00000000-0005-0000-0000-00005F290000}"/>
    <cellStyle name="Normal 2 2 2 2 2 2 12 2 7" xfId="10635" xr:uid="{00000000-0005-0000-0000-000060290000}"/>
    <cellStyle name="Normal 2 2 2 2 2 2 12 2 8" xfId="10636" xr:uid="{00000000-0005-0000-0000-000061290000}"/>
    <cellStyle name="Normal 2 2 2 2 2 2 12 2 9" xfId="10637" xr:uid="{00000000-0005-0000-0000-000062290000}"/>
    <cellStyle name="Normal 2 2 2 2 2 2 12 3" xfId="10638" xr:uid="{00000000-0005-0000-0000-000063290000}"/>
    <cellStyle name="Normal 2 2 2 2 2 2 12 3 10" xfId="10639" xr:uid="{00000000-0005-0000-0000-000064290000}"/>
    <cellStyle name="Normal 2 2 2 2 2 2 12 3 2" xfId="10640" xr:uid="{00000000-0005-0000-0000-000065290000}"/>
    <cellStyle name="Normal 2 2 2 2 2 2 12 3 3" xfId="10641" xr:uid="{00000000-0005-0000-0000-000066290000}"/>
    <cellStyle name="Normal 2 2 2 2 2 2 12 3 4" xfId="10642" xr:uid="{00000000-0005-0000-0000-000067290000}"/>
    <cellStyle name="Normal 2 2 2 2 2 2 12 3 5" xfId="10643" xr:uid="{00000000-0005-0000-0000-000068290000}"/>
    <cellStyle name="Normal 2 2 2 2 2 2 12 3 6" xfId="10644" xr:uid="{00000000-0005-0000-0000-000069290000}"/>
    <cellStyle name="Normal 2 2 2 2 2 2 12 3 7" xfId="10645" xr:uid="{00000000-0005-0000-0000-00006A290000}"/>
    <cellStyle name="Normal 2 2 2 2 2 2 12 3 8" xfId="10646" xr:uid="{00000000-0005-0000-0000-00006B290000}"/>
    <cellStyle name="Normal 2 2 2 2 2 2 12 3 9" xfId="10647" xr:uid="{00000000-0005-0000-0000-00006C290000}"/>
    <cellStyle name="Normal 2 2 2 2 2 2 12 4" xfId="10648" xr:uid="{00000000-0005-0000-0000-00006D290000}"/>
    <cellStyle name="Normal 2 2 2 2 2 2 12 4 10" xfId="10649" xr:uid="{00000000-0005-0000-0000-00006E290000}"/>
    <cellStyle name="Normal 2 2 2 2 2 2 12 4 2" xfId="10650" xr:uid="{00000000-0005-0000-0000-00006F290000}"/>
    <cellStyle name="Normal 2 2 2 2 2 2 12 4 3" xfId="10651" xr:uid="{00000000-0005-0000-0000-000070290000}"/>
    <cellStyle name="Normal 2 2 2 2 2 2 12 4 4" xfId="10652" xr:uid="{00000000-0005-0000-0000-000071290000}"/>
    <cellStyle name="Normal 2 2 2 2 2 2 12 4 5" xfId="10653" xr:uid="{00000000-0005-0000-0000-000072290000}"/>
    <cellStyle name="Normal 2 2 2 2 2 2 12 4 6" xfId="10654" xr:uid="{00000000-0005-0000-0000-000073290000}"/>
    <cellStyle name="Normal 2 2 2 2 2 2 12 4 7" xfId="10655" xr:uid="{00000000-0005-0000-0000-000074290000}"/>
    <cellStyle name="Normal 2 2 2 2 2 2 12 4 8" xfId="10656" xr:uid="{00000000-0005-0000-0000-000075290000}"/>
    <cellStyle name="Normal 2 2 2 2 2 2 12 4 9" xfId="10657" xr:uid="{00000000-0005-0000-0000-000076290000}"/>
    <cellStyle name="Normal 2 2 2 2 2 2 12 5" xfId="10658" xr:uid="{00000000-0005-0000-0000-000077290000}"/>
    <cellStyle name="Normal 2 2 2 2 2 2 12 5 10" xfId="10659" xr:uid="{00000000-0005-0000-0000-000078290000}"/>
    <cellStyle name="Normal 2 2 2 2 2 2 12 5 2" xfId="10660" xr:uid="{00000000-0005-0000-0000-000079290000}"/>
    <cellStyle name="Normal 2 2 2 2 2 2 12 5 3" xfId="10661" xr:uid="{00000000-0005-0000-0000-00007A290000}"/>
    <cellStyle name="Normal 2 2 2 2 2 2 12 5 4" xfId="10662" xr:uid="{00000000-0005-0000-0000-00007B290000}"/>
    <cellStyle name="Normal 2 2 2 2 2 2 12 5 5" xfId="10663" xr:uid="{00000000-0005-0000-0000-00007C290000}"/>
    <cellStyle name="Normal 2 2 2 2 2 2 12 5 6" xfId="10664" xr:uid="{00000000-0005-0000-0000-00007D290000}"/>
    <cellStyle name="Normal 2 2 2 2 2 2 12 5 7" xfId="10665" xr:uid="{00000000-0005-0000-0000-00007E290000}"/>
    <cellStyle name="Normal 2 2 2 2 2 2 12 5 8" xfId="10666" xr:uid="{00000000-0005-0000-0000-00007F290000}"/>
    <cellStyle name="Normal 2 2 2 2 2 2 12 5 9" xfId="10667" xr:uid="{00000000-0005-0000-0000-000080290000}"/>
    <cellStyle name="Normal 2 2 2 2 2 2 12 6" xfId="10668" xr:uid="{00000000-0005-0000-0000-000081290000}"/>
    <cellStyle name="Normal 2 2 2 2 2 2 12 7" xfId="10669" xr:uid="{00000000-0005-0000-0000-000082290000}"/>
    <cellStyle name="Normal 2 2 2 2 2 2 12 8" xfId="10670" xr:uid="{00000000-0005-0000-0000-000083290000}"/>
    <cellStyle name="Normal 2 2 2 2 2 2 12 9" xfId="10671" xr:uid="{00000000-0005-0000-0000-000084290000}"/>
    <cellStyle name="Normal 2 2 2 2 2 2 13" xfId="10672" xr:uid="{00000000-0005-0000-0000-000085290000}"/>
    <cellStyle name="Normal 2 2 2 2 2 2 13 10" xfId="10673" xr:uid="{00000000-0005-0000-0000-000086290000}"/>
    <cellStyle name="Normal 2 2 2 2 2 2 13 11" xfId="10674" xr:uid="{00000000-0005-0000-0000-000087290000}"/>
    <cellStyle name="Normal 2 2 2 2 2 2 13 12" xfId="10675" xr:uid="{00000000-0005-0000-0000-000088290000}"/>
    <cellStyle name="Normal 2 2 2 2 2 2 13 13" xfId="10676" xr:uid="{00000000-0005-0000-0000-000089290000}"/>
    <cellStyle name="Normal 2 2 2 2 2 2 13 14" xfId="10677" xr:uid="{00000000-0005-0000-0000-00008A290000}"/>
    <cellStyle name="Normal 2 2 2 2 2 2 13 2" xfId="10678" xr:uid="{00000000-0005-0000-0000-00008B290000}"/>
    <cellStyle name="Normal 2 2 2 2 2 2 13 2 10" xfId="10679" xr:uid="{00000000-0005-0000-0000-00008C290000}"/>
    <cellStyle name="Normal 2 2 2 2 2 2 13 2 2" xfId="10680" xr:uid="{00000000-0005-0000-0000-00008D290000}"/>
    <cellStyle name="Normal 2 2 2 2 2 2 13 2 3" xfId="10681" xr:uid="{00000000-0005-0000-0000-00008E290000}"/>
    <cellStyle name="Normal 2 2 2 2 2 2 13 2 4" xfId="10682" xr:uid="{00000000-0005-0000-0000-00008F290000}"/>
    <cellStyle name="Normal 2 2 2 2 2 2 13 2 5" xfId="10683" xr:uid="{00000000-0005-0000-0000-000090290000}"/>
    <cellStyle name="Normal 2 2 2 2 2 2 13 2 6" xfId="10684" xr:uid="{00000000-0005-0000-0000-000091290000}"/>
    <cellStyle name="Normal 2 2 2 2 2 2 13 2 7" xfId="10685" xr:uid="{00000000-0005-0000-0000-000092290000}"/>
    <cellStyle name="Normal 2 2 2 2 2 2 13 2 8" xfId="10686" xr:uid="{00000000-0005-0000-0000-000093290000}"/>
    <cellStyle name="Normal 2 2 2 2 2 2 13 2 9" xfId="10687" xr:uid="{00000000-0005-0000-0000-000094290000}"/>
    <cellStyle name="Normal 2 2 2 2 2 2 13 3" xfId="10688" xr:uid="{00000000-0005-0000-0000-000095290000}"/>
    <cellStyle name="Normal 2 2 2 2 2 2 13 3 10" xfId="10689" xr:uid="{00000000-0005-0000-0000-000096290000}"/>
    <cellStyle name="Normal 2 2 2 2 2 2 13 3 2" xfId="10690" xr:uid="{00000000-0005-0000-0000-000097290000}"/>
    <cellStyle name="Normal 2 2 2 2 2 2 13 3 3" xfId="10691" xr:uid="{00000000-0005-0000-0000-000098290000}"/>
    <cellStyle name="Normal 2 2 2 2 2 2 13 3 4" xfId="10692" xr:uid="{00000000-0005-0000-0000-000099290000}"/>
    <cellStyle name="Normal 2 2 2 2 2 2 13 3 5" xfId="10693" xr:uid="{00000000-0005-0000-0000-00009A290000}"/>
    <cellStyle name="Normal 2 2 2 2 2 2 13 3 6" xfId="10694" xr:uid="{00000000-0005-0000-0000-00009B290000}"/>
    <cellStyle name="Normal 2 2 2 2 2 2 13 3 7" xfId="10695" xr:uid="{00000000-0005-0000-0000-00009C290000}"/>
    <cellStyle name="Normal 2 2 2 2 2 2 13 3 8" xfId="10696" xr:uid="{00000000-0005-0000-0000-00009D290000}"/>
    <cellStyle name="Normal 2 2 2 2 2 2 13 3 9" xfId="10697" xr:uid="{00000000-0005-0000-0000-00009E290000}"/>
    <cellStyle name="Normal 2 2 2 2 2 2 13 4" xfId="10698" xr:uid="{00000000-0005-0000-0000-00009F290000}"/>
    <cellStyle name="Normal 2 2 2 2 2 2 13 4 10" xfId="10699" xr:uid="{00000000-0005-0000-0000-0000A0290000}"/>
    <cellStyle name="Normal 2 2 2 2 2 2 13 4 2" xfId="10700" xr:uid="{00000000-0005-0000-0000-0000A1290000}"/>
    <cellStyle name="Normal 2 2 2 2 2 2 13 4 3" xfId="10701" xr:uid="{00000000-0005-0000-0000-0000A2290000}"/>
    <cellStyle name="Normal 2 2 2 2 2 2 13 4 4" xfId="10702" xr:uid="{00000000-0005-0000-0000-0000A3290000}"/>
    <cellStyle name="Normal 2 2 2 2 2 2 13 4 5" xfId="10703" xr:uid="{00000000-0005-0000-0000-0000A4290000}"/>
    <cellStyle name="Normal 2 2 2 2 2 2 13 4 6" xfId="10704" xr:uid="{00000000-0005-0000-0000-0000A5290000}"/>
    <cellStyle name="Normal 2 2 2 2 2 2 13 4 7" xfId="10705" xr:uid="{00000000-0005-0000-0000-0000A6290000}"/>
    <cellStyle name="Normal 2 2 2 2 2 2 13 4 8" xfId="10706" xr:uid="{00000000-0005-0000-0000-0000A7290000}"/>
    <cellStyle name="Normal 2 2 2 2 2 2 13 4 9" xfId="10707" xr:uid="{00000000-0005-0000-0000-0000A8290000}"/>
    <cellStyle name="Normal 2 2 2 2 2 2 13 5" xfId="10708" xr:uid="{00000000-0005-0000-0000-0000A9290000}"/>
    <cellStyle name="Normal 2 2 2 2 2 2 13 5 10" xfId="10709" xr:uid="{00000000-0005-0000-0000-0000AA290000}"/>
    <cellStyle name="Normal 2 2 2 2 2 2 13 5 2" xfId="10710" xr:uid="{00000000-0005-0000-0000-0000AB290000}"/>
    <cellStyle name="Normal 2 2 2 2 2 2 13 5 3" xfId="10711" xr:uid="{00000000-0005-0000-0000-0000AC290000}"/>
    <cellStyle name="Normal 2 2 2 2 2 2 13 5 4" xfId="10712" xr:uid="{00000000-0005-0000-0000-0000AD290000}"/>
    <cellStyle name="Normal 2 2 2 2 2 2 13 5 5" xfId="10713" xr:uid="{00000000-0005-0000-0000-0000AE290000}"/>
    <cellStyle name="Normal 2 2 2 2 2 2 13 5 6" xfId="10714" xr:uid="{00000000-0005-0000-0000-0000AF290000}"/>
    <cellStyle name="Normal 2 2 2 2 2 2 13 5 7" xfId="10715" xr:uid="{00000000-0005-0000-0000-0000B0290000}"/>
    <cellStyle name="Normal 2 2 2 2 2 2 13 5 8" xfId="10716" xr:uid="{00000000-0005-0000-0000-0000B1290000}"/>
    <cellStyle name="Normal 2 2 2 2 2 2 13 5 9" xfId="10717" xr:uid="{00000000-0005-0000-0000-0000B2290000}"/>
    <cellStyle name="Normal 2 2 2 2 2 2 13 6" xfId="10718" xr:uid="{00000000-0005-0000-0000-0000B3290000}"/>
    <cellStyle name="Normal 2 2 2 2 2 2 13 7" xfId="10719" xr:uid="{00000000-0005-0000-0000-0000B4290000}"/>
    <cellStyle name="Normal 2 2 2 2 2 2 13 8" xfId="10720" xr:uid="{00000000-0005-0000-0000-0000B5290000}"/>
    <cellStyle name="Normal 2 2 2 2 2 2 13 9" xfId="10721" xr:uid="{00000000-0005-0000-0000-0000B6290000}"/>
    <cellStyle name="Normal 2 2 2 2 2 2 14" xfId="10722" xr:uid="{00000000-0005-0000-0000-0000B7290000}"/>
    <cellStyle name="Normal 2 2 2 2 2 2 14 10" xfId="10723" xr:uid="{00000000-0005-0000-0000-0000B8290000}"/>
    <cellStyle name="Normal 2 2 2 2 2 2 14 11" xfId="10724" xr:uid="{00000000-0005-0000-0000-0000B9290000}"/>
    <cellStyle name="Normal 2 2 2 2 2 2 14 12" xfId="10725" xr:uid="{00000000-0005-0000-0000-0000BA290000}"/>
    <cellStyle name="Normal 2 2 2 2 2 2 14 13" xfId="10726" xr:uid="{00000000-0005-0000-0000-0000BB290000}"/>
    <cellStyle name="Normal 2 2 2 2 2 2 14 14" xfId="10727" xr:uid="{00000000-0005-0000-0000-0000BC290000}"/>
    <cellStyle name="Normal 2 2 2 2 2 2 14 2" xfId="10728" xr:uid="{00000000-0005-0000-0000-0000BD290000}"/>
    <cellStyle name="Normal 2 2 2 2 2 2 14 2 10" xfId="10729" xr:uid="{00000000-0005-0000-0000-0000BE290000}"/>
    <cellStyle name="Normal 2 2 2 2 2 2 14 2 2" xfId="10730" xr:uid="{00000000-0005-0000-0000-0000BF290000}"/>
    <cellStyle name="Normal 2 2 2 2 2 2 14 2 3" xfId="10731" xr:uid="{00000000-0005-0000-0000-0000C0290000}"/>
    <cellStyle name="Normal 2 2 2 2 2 2 14 2 4" xfId="10732" xr:uid="{00000000-0005-0000-0000-0000C1290000}"/>
    <cellStyle name="Normal 2 2 2 2 2 2 14 2 5" xfId="10733" xr:uid="{00000000-0005-0000-0000-0000C2290000}"/>
    <cellStyle name="Normal 2 2 2 2 2 2 14 2 6" xfId="10734" xr:uid="{00000000-0005-0000-0000-0000C3290000}"/>
    <cellStyle name="Normal 2 2 2 2 2 2 14 2 7" xfId="10735" xr:uid="{00000000-0005-0000-0000-0000C4290000}"/>
    <cellStyle name="Normal 2 2 2 2 2 2 14 2 8" xfId="10736" xr:uid="{00000000-0005-0000-0000-0000C5290000}"/>
    <cellStyle name="Normal 2 2 2 2 2 2 14 2 9" xfId="10737" xr:uid="{00000000-0005-0000-0000-0000C6290000}"/>
    <cellStyle name="Normal 2 2 2 2 2 2 14 3" xfId="10738" xr:uid="{00000000-0005-0000-0000-0000C7290000}"/>
    <cellStyle name="Normal 2 2 2 2 2 2 14 3 10" xfId="10739" xr:uid="{00000000-0005-0000-0000-0000C8290000}"/>
    <cellStyle name="Normal 2 2 2 2 2 2 14 3 2" xfId="10740" xr:uid="{00000000-0005-0000-0000-0000C9290000}"/>
    <cellStyle name="Normal 2 2 2 2 2 2 14 3 3" xfId="10741" xr:uid="{00000000-0005-0000-0000-0000CA290000}"/>
    <cellStyle name="Normal 2 2 2 2 2 2 14 3 4" xfId="10742" xr:uid="{00000000-0005-0000-0000-0000CB290000}"/>
    <cellStyle name="Normal 2 2 2 2 2 2 14 3 5" xfId="10743" xr:uid="{00000000-0005-0000-0000-0000CC290000}"/>
    <cellStyle name="Normal 2 2 2 2 2 2 14 3 6" xfId="10744" xr:uid="{00000000-0005-0000-0000-0000CD290000}"/>
    <cellStyle name="Normal 2 2 2 2 2 2 14 3 7" xfId="10745" xr:uid="{00000000-0005-0000-0000-0000CE290000}"/>
    <cellStyle name="Normal 2 2 2 2 2 2 14 3 8" xfId="10746" xr:uid="{00000000-0005-0000-0000-0000CF290000}"/>
    <cellStyle name="Normal 2 2 2 2 2 2 14 3 9" xfId="10747" xr:uid="{00000000-0005-0000-0000-0000D0290000}"/>
    <cellStyle name="Normal 2 2 2 2 2 2 14 4" xfId="10748" xr:uid="{00000000-0005-0000-0000-0000D1290000}"/>
    <cellStyle name="Normal 2 2 2 2 2 2 14 4 10" xfId="10749" xr:uid="{00000000-0005-0000-0000-0000D2290000}"/>
    <cellStyle name="Normal 2 2 2 2 2 2 14 4 2" xfId="10750" xr:uid="{00000000-0005-0000-0000-0000D3290000}"/>
    <cellStyle name="Normal 2 2 2 2 2 2 14 4 3" xfId="10751" xr:uid="{00000000-0005-0000-0000-0000D4290000}"/>
    <cellStyle name="Normal 2 2 2 2 2 2 14 4 4" xfId="10752" xr:uid="{00000000-0005-0000-0000-0000D5290000}"/>
    <cellStyle name="Normal 2 2 2 2 2 2 14 4 5" xfId="10753" xr:uid="{00000000-0005-0000-0000-0000D6290000}"/>
    <cellStyle name="Normal 2 2 2 2 2 2 14 4 6" xfId="10754" xr:uid="{00000000-0005-0000-0000-0000D7290000}"/>
    <cellStyle name="Normal 2 2 2 2 2 2 14 4 7" xfId="10755" xr:uid="{00000000-0005-0000-0000-0000D8290000}"/>
    <cellStyle name="Normal 2 2 2 2 2 2 14 4 8" xfId="10756" xr:uid="{00000000-0005-0000-0000-0000D9290000}"/>
    <cellStyle name="Normal 2 2 2 2 2 2 14 4 9" xfId="10757" xr:uid="{00000000-0005-0000-0000-0000DA290000}"/>
    <cellStyle name="Normal 2 2 2 2 2 2 14 5" xfId="10758" xr:uid="{00000000-0005-0000-0000-0000DB290000}"/>
    <cellStyle name="Normal 2 2 2 2 2 2 14 5 10" xfId="10759" xr:uid="{00000000-0005-0000-0000-0000DC290000}"/>
    <cellStyle name="Normal 2 2 2 2 2 2 14 5 2" xfId="10760" xr:uid="{00000000-0005-0000-0000-0000DD290000}"/>
    <cellStyle name="Normal 2 2 2 2 2 2 14 5 3" xfId="10761" xr:uid="{00000000-0005-0000-0000-0000DE290000}"/>
    <cellStyle name="Normal 2 2 2 2 2 2 14 5 4" xfId="10762" xr:uid="{00000000-0005-0000-0000-0000DF290000}"/>
    <cellStyle name="Normal 2 2 2 2 2 2 14 5 5" xfId="10763" xr:uid="{00000000-0005-0000-0000-0000E0290000}"/>
    <cellStyle name="Normal 2 2 2 2 2 2 14 5 6" xfId="10764" xr:uid="{00000000-0005-0000-0000-0000E1290000}"/>
    <cellStyle name="Normal 2 2 2 2 2 2 14 5 7" xfId="10765" xr:uid="{00000000-0005-0000-0000-0000E2290000}"/>
    <cellStyle name="Normal 2 2 2 2 2 2 14 5 8" xfId="10766" xr:uid="{00000000-0005-0000-0000-0000E3290000}"/>
    <cellStyle name="Normal 2 2 2 2 2 2 14 5 9" xfId="10767" xr:uid="{00000000-0005-0000-0000-0000E4290000}"/>
    <cellStyle name="Normal 2 2 2 2 2 2 14 6" xfId="10768" xr:uid="{00000000-0005-0000-0000-0000E5290000}"/>
    <cellStyle name="Normal 2 2 2 2 2 2 14 7" xfId="10769" xr:uid="{00000000-0005-0000-0000-0000E6290000}"/>
    <cellStyle name="Normal 2 2 2 2 2 2 14 8" xfId="10770" xr:uid="{00000000-0005-0000-0000-0000E7290000}"/>
    <cellStyle name="Normal 2 2 2 2 2 2 14 9" xfId="10771" xr:uid="{00000000-0005-0000-0000-0000E8290000}"/>
    <cellStyle name="Normal 2 2 2 2 2 2 15" xfId="10772" xr:uid="{00000000-0005-0000-0000-0000E9290000}"/>
    <cellStyle name="Normal 2 2 2 2 2 2 15 10" xfId="10773" xr:uid="{00000000-0005-0000-0000-0000EA290000}"/>
    <cellStyle name="Normal 2 2 2 2 2 2 15 11" xfId="10774" xr:uid="{00000000-0005-0000-0000-0000EB290000}"/>
    <cellStyle name="Normal 2 2 2 2 2 2 15 12" xfId="10775" xr:uid="{00000000-0005-0000-0000-0000EC290000}"/>
    <cellStyle name="Normal 2 2 2 2 2 2 15 13" xfId="10776" xr:uid="{00000000-0005-0000-0000-0000ED290000}"/>
    <cellStyle name="Normal 2 2 2 2 2 2 15 14" xfId="10777" xr:uid="{00000000-0005-0000-0000-0000EE290000}"/>
    <cellStyle name="Normal 2 2 2 2 2 2 15 2" xfId="10778" xr:uid="{00000000-0005-0000-0000-0000EF290000}"/>
    <cellStyle name="Normal 2 2 2 2 2 2 15 2 10" xfId="10779" xr:uid="{00000000-0005-0000-0000-0000F0290000}"/>
    <cellStyle name="Normal 2 2 2 2 2 2 15 2 2" xfId="10780" xr:uid="{00000000-0005-0000-0000-0000F1290000}"/>
    <cellStyle name="Normal 2 2 2 2 2 2 15 2 3" xfId="10781" xr:uid="{00000000-0005-0000-0000-0000F2290000}"/>
    <cellStyle name="Normal 2 2 2 2 2 2 15 2 4" xfId="10782" xr:uid="{00000000-0005-0000-0000-0000F3290000}"/>
    <cellStyle name="Normal 2 2 2 2 2 2 15 2 5" xfId="10783" xr:uid="{00000000-0005-0000-0000-0000F4290000}"/>
    <cellStyle name="Normal 2 2 2 2 2 2 15 2 6" xfId="10784" xr:uid="{00000000-0005-0000-0000-0000F5290000}"/>
    <cellStyle name="Normal 2 2 2 2 2 2 15 2 7" xfId="10785" xr:uid="{00000000-0005-0000-0000-0000F6290000}"/>
    <cellStyle name="Normal 2 2 2 2 2 2 15 2 8" xfId="10786" xr:uid="{00000000-0005-0000-0000-0000F7290000}"/>
    <cellStyle name="Normal 2 2 2 2 2 2 15 2 9" xfId="10787" xr:uid="{00000000-0005-0000-0000-0000F8290000}"/>
    <cellStyle name="Normal 2 2 2 2 2 2 15 3" xfId="10788" xr:uid="{00000000-0005-0000-0000-0000F9290000}"/>
    <cellStyle name="Normal 2 2 2 2 2 2 15 3 10" xfId="10789" xr:uid="{00000000-0005-0000-0000-0000FA290000}"/>
    <cellStyle name="Normal 2 2 2 2 2 2 15 3 2" xfId="10790" xr:uid="{00000000-0005-0000-0000-0000FB290000}"/>
    <cellStyle name="Normal 2 2 2 2 2 2 15 3 3" xfId="10791" xr:uid="{00000000-0005-0000-0000-0000FC290000}"/>
    <cellStyle name="Normal 2 2 2 2 2 2 15 3 4" xfId="10792" xr:uid="{00000000-0005-0000-0000-0000FD290000}"/>
    <cellStyle name="Normal 2 2 2 2 2 2 15 3 5" xfId="10793" xr:uid="{00000000-0005-0000-0000-0000FE290000}"/>
    <cellStyle name="Normal 2 2 2 2 2 2 15 3 6" xfId="10794" xr:uid="{00000000-0005-0000-0000-0000FF290000}"/>
    <cellStyle name="Normal 2 2 2 2 2 2 15 3 7" xfId="10795" xr:uid="{00000000-0005-0000-0000-0000002A0000}"/>
    <cellStyle name="Normal 2 2 2 2 2 2 15 3 8" xfId="10796" xr:uid="{00000000-0005-0000-0000-0000012A0000}"/>
    <cellStyle name="Normal 2 2 2 2 2 2 15 3 9" xfId="10797" xr:uid="{00000000-0005-0000-0000-0000022A0000}"/>
    <cellStyle name="Normal 2 2 2 2 2 2 15 4" xfId="10798" xr:uid="{00000000-0005-0000-0000-0000032A0000}"/>
    <cellStyle name="Normal 2 2 2 2 2 2 15 4 10" xfId="10799" xr:uid="{00000000-0005-0000-0000-0000042A0000}"/>
    <cellStyle name="Normal 2 2 2 2 2 2 15 4 2" xfId="10800" xr:uid="{00000000-0005-0000-0000-0000052A0000}"/>
    <cellStyle name="Normal 2 2 2 2 2 2 15 4 3" xfId="10801" xr:uid="{00000000-0005-0000-0000-0000062A0000}"/>
    <cellStyle name="Normal 2 2 2 2 2 2 15 4 4" xfId="10802" xr:uid="{00000000-0005-0000-0000-0000072A0000}"/>
    <cellStyle name="Normal 2 2 2 2 2 2 15 4 5" xfId="10803" xr:uid="{00000000-0005-0000-0000-0000082A0000}"/>
    <cellStyle name="Normal 2 2 2 2 2 2 15 4 6" xfId="10804" xr:uid="{00000000-0005-0000-0000-0000092A0000}"/>
    <cellStyle name="Normal 2 2 2 2 2 2 15 4 7" xfId="10805" xr:uid="{00000000-0005-0000-0000-00000A2A0000}"/>
    <cellStyle name="Normal 2 2 2 2 2 2 15 4 8" xfId="10806" xr:uid="{00000000-0005-0000-0000-00000B2A0000}"/>
    <cellStyle name="Normal 2 2 2 2 2 2 15 4 9" xfId="10807" xr:uid="{00000000-0005-0000-0000-00000C2A0000}"/>
    <cellStyle name="Normal 2 2 2 2 2 2 15 5" xfId="10808" xr:uid="{00000000-0005-0000-0000-00000D2A0000}"/>
    <cellStyle name="Normal 2 2 2 2 2 2 15 5 10" xfId="10809" xr:uid="{00000000-0005-0000-0000-00000E2A0000}"/>
    <cellStyle name="Normal 2 2 2 2 2 2 15 5 2" xfId="10810" xr:uid="{00000000-0005-0000-0000-00000F2A0000}"/>
    <cellStyle name="Normal 2 2 2 2 2 2 15 5 3" xfId="10811" xr:uid="{00000000-0005-0000-0000-0000102A0000}"/>
    <cellStyle name="Normal 2 2 2 2 2 2 15 5 4" xfId="10812" xr:uid="{00000000-0005-0000-0000-0000112A0000}"/>
    <cellStyle name="Normal 2 2 2 2 2 2 15 5 5" xfId="10813" xr:uid="{00000000-0005-0000-0000-0000122A0000}"/>
    <cellStyle name="Normal 2 2 2 2 2 2 15 5 6" xfId="10814" xr:uid="{00000000-0005-0000-0000-0000132A0000}"/>
    <cellStyle name="Normal 2 2 2 2 2 2 15 5 7" xfId="10815" xr:uid="{00000000-0005-0000-0000-0000142A0000}"/>
    <cellStyle name="Normal 2 2 2 2 2 2 15 5 8" xfId="10816" xr:uid="{00000000-0005-0000-0000-0000152A0000}"/>
    <cellStyle name="Normal 2 2 2 2 2 2 15 5 9" xfId="10817" xr:uid="{00000000-0005-0000-0000-0000162A0000}"/>
    <cellStyle name="Normal 2 2 2 2 2 2 15 6" xfId="10818" xr:uid="{00000000-0005-0000-0000-0000172A0000}"/>
    <cellStyle name="Normal 2 2 2 2 2 2 15 7" xfId="10819" xr:uid="{00000000-0005-0000-0000-0000182A0000}"/>
    <cellStyle name="Normal 2 2 2 2 2 2 15 8" xfId="10820" xr:uid="{00000000-0005-0000-0000-0000192A0000}"/>
    <cellStyle name="Normal 2 2 2 2 2 2 15 9" xfId="10821" xr:uid="{00000000-0005-0000-0000-00001A2A0000}"/>
    <cellStyle name="Normal 2 2 2 2 2 2 16" xfId="10822" xr:uid="{00000000-0005-0000-0000-00001B2A0000}"/>
    <cellStyle name="Normal 2 2 2 2 2 2 16 10" xfId="10823" xr:uid="{00000000-0005-0000-0000-00001C2A0000}"/>
    <cellStyle name="Normal 2 2 2 2 2 2 16 11" xfId="10824" xr:uid="{00000000-0005-0000-0000-00001D2A0000}"/>
    <cellStyle name="Normal 2 2 2 2 2 2 16 12" xfId="10825" xr:uid="{00000000-0005-0000-0000-00001E2A0000}"/>
    <cellStyle name="Normal 2 2 2 2 2 2 16 13" xfId="10826" xr:uid="{00000000-0005-0000-0000-00001F2A0000}"/>
    <cellStyle name="Normal 2 2 2 2 2 2 16 14" xfId="10827" xr:uid="{00000000-0005-0000-0000-0000202A0000}"/>
    <cellStyle name="Normal 2 2 2 2 2 2 16 2" xfId="10828" xr:uid="{00000000-0005-0000-0000-0000212A0000}"/>
    <cellStyle name="Normal 2 2 2 2 2 2 16 2 10" xfId="10829" xr:uid="{00000000-0005-0000-0000-0000222A0000}"/>
    <cellStyle name="Normal 2 2 2 2 2 2 16 2 2" xfId="10830" xr:uid="{00000000-0005-0000-0000-0000232A0000}"/>
    <cellStyle name="Normal 2 2 2 2 2 2 16 2 3" xfId="10831" xr:uid="{00000000-0005-0000-0000-0000242A0000}"/>
    <cellStyle name="Normal 2 2 2 2 2 2 16 2 4" xfId="10832" xr:uid="{00000000-0005-0000-0000-0000252A0000}"/>
    <cellStyle name="Normal 2 2 2 2 2 2 16 2 5" xfId="10833" xr:uid="{00000000-0005-0000-0000-0000262A0000}"/>
    <cellStyle name="Normal 2 2 2 2 2 2 16 2 6" xfId="10834" xr:uid="{00000000-0005-0000-0000-0000272A0000}"/>
    <cellStyle name="Normal 2 2 2 2 2 2 16 2 7" xfId="10835" xr:uid="{00000000-0005-0000-0000-0000282A0000}"/>
    <cellStyle name="Normal 2 2 2 2 2 2 16 2 8" xfId="10836" xr:uid="{00000000-0005-0000-0000-0000292A0000}"/>
    <cellStyle name="Normal 2 2 2 2 2 2 16 2 9" xfId="10837" xr:uid="{00000000-0005-0000-0000-00002A2A0000}"/>
    <cellStyle name="Normal 2 2 2 2 2 2 16 3" xfId="10838" xr:uid="{00000000-0005-0000-0000-00002B2A0000}"/>
    <cellStyle name="Normal 2 2 2 2 2 2 16 3 10" xfId="10839" xr:uid="{00000000-0005-0000-0000-00002C2A0000}"/>
    <cellStyle name="Normal 2 2 2 2 2 2 16 3 2" xfId="10840" xr:uid="{00000000-0005-0000-0000-00002D2A0000}"/>
    <cellStyle name="Normal 2 2 2 2 2 2 16 3 3" xfId="10841" xr:uid="{00000000-0005-0000-0000-00002E2A0000}"/>
    <cellStyle name="Normal 2 2 2 2 2 2 16 3 4" xfId="10842" xr:uid="{00000000-0005-0000-0000-00002F2A0000}"/>
    <cellStyle name="Normal 2 2 2 2 2 2 16 3 5" xfId="10843" xr:uid="{00000000-0005-0000-0000-0000302A0000}"/>
    <cellStyle name="Normal 2 2 2 2 2 2 16 3 6" xfId="10844" xr:uid="{00000000-0005-0000-0000-0000312A0000}"/>
    <cellStyle name="Normal 2 2 2 2 2 2 16 3 7" xfId="10845" xr:uid="{00000000-0005-0000-0000-0000322A0000}"/>
    <cellStyle name="Normal 2 2 2 2 2 2 16 3 8" xfId="10846" xr:uid="{00000000-0005-0000-0000-0000332A0000}"/>
    <cellStyle name="Normal 2 2 2 2 2 2 16 3 9" xfId="10847" xr:uid="{00000000-0005-0000-0000-0000342A0000}"/>
    <cellStyle name="Normal 2 2 2 2 2 2 16 4" xfId="10848" xr:uid="{00000000-0005-0000-0000-0000352A0000}"/>
    <cellStyle name="Normal 2 2 2 2 2 2 16 4 10" xfId="10849" xr:uid="{00000000-0005-0000-0000-0000362A0000}"/>
    <cellStyle name="Normal 2 2 2 2 2 2 16 4 2" xfId="10850" xr:uid="{00000000-0005-0000-0000-0000372A0000}"/>
    <cellStyle name="Normal 2 2 2 2 2 2 16 4 3" xfId="10851" xr:uid="{00000000-0005-0000-0000-0000382A0000}"/>
    <cellStyle name="Normal 2 2 2 2 2 2 16 4 4" xfId="10852" xr:uid="{00000000-0005-0000-0000-0000392A0000}"/>
    <cellStyle name="Normal 2 2 2 2 2 2 16 4 5" xfId="10853" xr:uid="{00000000-0005-0000-0000-00003A2A0000}"/>
    <cellStyle name="Normal 2 2 2 2 2 2 16 4 6" xfId="10854" xr:uid="{00000000-0005-0000-0000-00003B2A0000}"/>
    <cellStyle name="Normal 2 2 2 2 2 2 16 4 7" xfId="10855" xr:uid="{00000000-0005-0000-0000-00003C2A0000}"/>
    <cellStyle name="Normal 2 2 2 2 2 2 16 4 8" xfId="10856" xr:uid="{00000000-0005-0000-0000-00003D2A0000}"/>
    <cellStyle name="Normal 2 2 2 2 2 2 16 4 9" xfId="10857" xr:uid="{00000000-0005-0000-0000-00003E2A0000}"/>
    <cellStyle name="Normal 2 2 2 2 2 2 16 5" xfId="10858" xr:uid="{00000000-0005-0000-0000-00003F2A0000}"/>
    <cellStyle name="Normal 2 2 2 2 2 2 16 5 10" xfId="10859" xr:uid="{00000000-0005-0000-0000-0000402A0000}"/>
    <cellStyle name="Normal 2 2 2 2 2 2 16 5 2" xfId="10860" xr:uid="{00000000-0005-0000-0000-0000412A0000}"/>
    <cellStyle name="Normal 2 2 2 2 2 2 16 5 3" xfId="10861" xr:uid="{00000000-0005-0000-0000-0000422A0000}"/>
    <cellStyle name="Normal 2 2 2 2 2 2 16 5 4" xfId="10862" xr:uid="{00000000-0005-0000-0000-0000432A0000}"/>
    <cellStyle name="Normal 2 2 2 2 2 2 16 5 5" xfId="10863" xr:uid="{00000000-0005-0000-0000-0000442A0000}"/>
    <cellStyle name="Normal 2 2 2 2 2 2 16 5 6" xfId="10864" xr:uid="{00000000-0005-0000-0000-0000452A0000}"/>
    <cellStyle name="Normal 2 2 2 2 2 2 16 5 7" xfId="10865" xr:uid="{00000000-0005-0000-0000-0000462A0000}"/>
    <cellStyle name="Normal 2 2 2 2 2 2 16 5 8" xfId="10866" xr:uid="{00000000-0005-0000-0000-0000472A0000}"/>
    <cellStyle name="Normal 2 2 2 2 2 2 16 5 9" xfId="10867" xr:uid="{00000000-0005-0000-0000-0000482A0000}"/>
    <cellStyle name="Normal 2 2 2 2 2 2 16 6" xfId="10868" xr:uid="{00000000-0005-0000-0000-0000492A0000}"/>
    <cellStyle name="Normal 2 2 2 2 2 2 16 7" xfId="10869" xr:uid="{00000000-0005-0000-0000-00004A2A0000}"/>
    <cellStyle name="Normal 2 2 2 2 2 2 16 8" xfId="10870" xr:uid="{00000000-0005-0000-0000-00004B2A0000}"/>
    <cellStyle name="Normal 2 2 2 2 2 2 16 9" xfId="10871" xr:uid="{00000000-0005-0000-0000-00004C2A0000}"/>
    <cellStyle name="Normal 2 2 2 2 2 2 17" xfId="10872" xr:uid="{00000000-0005-0000-0000-00004D2A0000}"/>
    <cellStyle name="Normal 2 2 2 2 2 2 17 10" xfId="10873" xr:uid="{00000000-0005-0000-0000-00004E2A0000}"/>
    <cellStyle name="Normal 2 2 2 2 2 2 17 11" xfId="10874" xr:uid="{00000000-0005-0000-0000-00004F2A0000}"/>
    <cellStyle name="Normal 2 2 2 2 2 2 17 12" xfId="10875" xr:uid="{00000000-0005-0000-0000-0000502A0000}"/>
    <cellStyle name="Normal 2 2 2 2 2 2 17 13" xfId="10876" xr:uid="{00000000-0005-0000-0000-0000512A0000}"/>
    <cellStyle name="Normal 2 2 2 2 2 2 17 14" xfId="10877" xr:uid="{00000000-0005-0000-0000-0000522A0000}"/>
    <cellStyle name="Normal 2 2 2 2 2 2 17 2" xfId="10878" xr:uid="{00000000-0005-0000-0000-0000532A0000}"/>
    <cellStyle name="Normal 2 2 2 2 2 2 17 2 10" xfId="10879" xr:uid="{00000000-0005-0000-0000-0000542A0000}"/>
    <cellStyle name="Normal 2 2 2 2 2 2 17 2 2" xfId="10880" xr:uid="{00000000-0005-0000-0000-0000552A0000}"/>
    <cellStyle name="Normal 2 2 2 2 2 2 17 2 3" xfId="10881" xr:uid="{00000000-0005-0000-0000-0000562A0000}"/>
    <cellStyle name="Normal 2 2 2 2 2 2 17 2 4" xfId="10882" xr:uid="{00000000-0005-0000-0000-0000572A0000}"/>
    <cellStyle name="Normal 2 2 2 2 2 2 17 2 5" xfId="10883" xr:uid="{00000000-0005-0000-0000-0000582A0000}"/>
    <cellStyle name="Normal 2 2 2 2 2 2 17 2 6" xfId="10884" xr:uid="{00000000-0005-0000-0000-0000592A0000}"/>
    <cellStyle name="Normal 2 2 2 2 2 2 17 2 7" xfId="10885" xr:uid="{00000000-0005-0000-0000-00005A2A0000}"/>
    <cellStyle name="Normal 2 2 2 2 2 2 17 2 8" xfId="10886" xr:uid="{00000000-0005-0000-0000-00005B2A0000}"/>
    <cellStyle name="Normal 2 2 2 2 2 2 17 2 9" xfId="10887" xr:uid="{00000000-0005-0000-0000-00005C2A0000}"/>
    <cellStyle name="Normal 2 2 2 2 2 2 17 3" xfId="10888" xr:uid="{00000000-0005-0000-0000-00005D2A0000}"/>
    <cellStyle name="Normal 2 2 2 2 2 2 17 3 10" xfId="10889" xr:uid="{00000000-0005-0000-0000-00005E2A0000}"/>
    <cellStyle name="Normal 2 2 2 2 2 2 17 3 2" xfId="10890" xr:uid="{00000000-0005-0000-0000-00005F2A0000}"/>
    <cellStyle name="Normal 2 2 2 2 2 2 17 3 3" xfId="10891" xr:uid="{00000000-0005-0000-0000-0000602A0000}"/>
    <cellStyle name="Normal 2 2 2 2 2 2 17 3 4" xfId="10892" xr:uid="{00000000-0005-0000-0000-0000612A0000}"/>
    <cellStyle name="Normal 2 2 2 2 2 2 17 3 5" xfId="10893" xr:uid="{00000000-0005-0000-0000-0000622A0000}"/>
    <cellStyle name="Normal 2 2 2 2 2 2 17 3 6" xfId="10894" xr:uid="{00000000-0005-0000-0000-0000632A0000}"/>
    <cellStyle name="Normal 2 2 2 2 2 2 17 3 7" xfId="10895" xr:uid="{00000000-0005-0000-0000-0000642A0000}"/>
    <cellStyle name="Normal 2 2 2 2 2 2 17 3 8" xfId="10896" xr:uid="{00000000-0005-0000-0000-0000652A0000}"/>
    <cellStyle name="Normal 2 2 2 2 2 2 17 3 9" xfId="10897" xr:uid="{00000000-0005-0000-0000-0000662A0000}"/>
    <cellStyle name="Normal 2 2 2 2 2 2 17 4" xfId="10898" xr:uid="{00000000-0005-0000-0000-0000672A0000}"/>
    <cellStyle name="Normal 2 2 2 2 2 2 17 4 10" xfId="10899" xr:uid="{00000000-0005-0000-0000-0000682A0000}"/>
    <cellStyle name="Normal 2 2 2 2 2 2 17 4 2" xfId="10900" xr:uid="{00000000-0005-0000-0000-0000692A0000}"/>
    <cellStyle name="Normal 2 2 2 2 2 2 17 4 3" xfId="10901" xr:uid="{00000000-0005-0000-0000-00006A2A0000}"/>
    <cellStyle name="Normal 2 2 2 2 2 2 17 4 4" xfId="10902" xr:uid="{00000000-0005-0000-0000-00006B2A0000}"/>
    <cellStyle name="Normal 2 2 2 2 2 2 17 4 5" xfId="10903" xr:uid="{00000000-0005-0000-0000-00006C2A0000}"/>
    <cellStyle name="Normal 2 2 2 2 2 2 17 4 6" xfId="10904" xr:uid="{00000000-0005-0000-0000-00006D2A0000}"/>
    <cellStyle name="Normal 2 2 2 2 2 2 17 4 7" xfId="10905" xr:uid="{00000000-0005-0000-0000-00006E2A0000}"/>
    <cellStyle name="Normal 2 2 2 2 2 2 17 4 8" xfId="10906" xr:uid="{00000000-0005-0000-0000-00006F2A0000}"/>
    <cellStyle name="Normal 2 2 2 2 2 2 17 4 9" xfId="10907" xr:uid="{00000000-0005-0000-0000-0000702A0000}"/>
    <cellStyle name="Normal 2 2 2 2 2 2 17 5" xfId="10908" xr:uid="{00000000-0005-0000-0000-0000712A0000}"/>
    <cellStyle name="Normal 2 2 2 2 2 2 17 5 10" xfId="10909" xr:uid="{00000000-0005-0000-0000-0000722A0000}"/>
    <cellStyle name="Normal 2 2 2 2 2 2 17 5 2" xfId="10910" xr:uid="{00000000-0005-0000-0000-0000732A0000}"/>
    <cellStyle name="Normal 2 2 2 2 2 2 17 5 3" xfId="10911" xr:uid="{00000000-0005-0000-0000-0000742A0000}"/>
    <cellStyle name="Normal 2 2 2 2 2 2 17 5 4" xfId="10912" xr:uid="{00000000-0005-0000-0000-0000752A0000}"/>
    <cellStyle name="Normal 2 2 2 2 2 2 17 5 5" xfId="10913" xr:uid="{00000000-0005-0000-0000-0000762A0000}"/>
    <cellStyle name="Normal 2 2 2 2 2 2 17 5 6" xfId="10914" xr:uid="{00000000-0005-0000-0000-0000772A0000}"/>
    <cellStyle name="Normal 2 2 2 2 2 2 17 5 7" xfId="10915" xr:uid="{00000000-0005-0000-0000-0000782A0000}"/>
    <cellStyle name="Normal 2 2 2 2 2 2 17 5 8" xfId="10916" xr:uid="{00000000-0005-0000-0000-0000792A0000}"/>
    <cellStyle name="Normal 2 2 2 2 2 2 17 5 9" xfId="10917" xr:uid="{00000000-0005-0000-0000-00007A2A0000}"/>
    <cellStyle name="Normal 2 2 2 2 2 2 17 6" xfId="10918" xr:uid="{00000000-0005-0000-0000-00007B2A0000}"/>
    <cellStyle name="Normal 2 2 2 2 2 2 17 7" xfId="10919" xr:uid="{00000000-0005-0000-0000-00007C2A0000}"/>
    <cellStyle name="Normal 2 2 2 2 2 2 17 8" xfId="10920" xr:uid="{00000000-0005-0000-0000-00007D2A0000}"/>
    <cellStyle name="Normal 2 2 2 2 2 2 17 9" xfId="10921" xr:uid="{00000000-0005-0000-0000-00007E2A0000}"/>
    <cellStyle name="Normal 2 2 2 2 2 2 18" xfId="10922" xr:uid="{00000000-0005-0000-0000-00007F2A0000}"/>
    <cellStyle name="Normal 2 2 2 2 2 2 18 10" xfId="10923" xr:uid="{00000000-0005-0000-0000-0000802A0000}"/>
    <cellStyle name="Normal 2 2 2 2 2 2 18 11" xfId="10924" xr:uid="{00000000-0005-0000-0000-0000812A0000}"/>
    <cellStyle name="Normal 2 2 2 2 2 2 18 12" xfId="10925" xr:uid="{00000000-0005-0000-0000-0000822A0000}"/>
    <cellStyle name="Normal 2 2 2 2 2 2 18 13" xfId="10926" xr:uid="{00000000-0005-0000-0000-0000832A0000}"/>
    <cellStyle name="Normal 2 2 2 2 2 2 18 14" xfId="10927" xr:uid="{00000000-0005-0000-0000-0000842A0000}"/>
    <cellStyle name="Normal 2 2 2 2 2 2 18 2" xfId="10928" xr:uid="{00000000-0005-0000-0000-0000852A0000}"/>
    <cellStyle name="Normal 2 2 2 2 2 2 18 2 10" xfId="10929" xr:uid="{00000000-0005-0000-0000-0000862A0000}"/>
    <cellStyle name="Normal 2 2 2 2 2 2 18 2 2" xfId="10930" xr:uid="{00000000-0005-0000-0000-0000872A0000}"/>
    <cellStyle name="Normal 2 2 2 2 2 2 18 2 3" xfId="10931" xr:uid="{00000000-0005-0000-0000-0000882A0000}"/>
    <cellStyle name="Normal 2 2 2 2 2 2 18 2 4" xfId="10932" xr:uid="{00000000-0005-0000-0000-0000892A0000}"/>
    <cellStyle name="Normal 2 2 2 2 2 2 18 2 5" xfId="10933" xr:uid="{00000000-0005-0000-0000-00008A2A0000}"/>
    <cellStyle name="Normal 2 2 2 2 2 2 18 2 6" xfId="10934" xr:uid="{00000000-0005-0000-0000-00008B2A0000}"/>
    <cellStyle name="Normal 2 2 2 2 2 2 18 2 7" xfId="10935" xr:uid="{00000000-0005-0000-0000-00008C2A0000}"/>
    <cellStyle name="Normal 2 2 2 2 2 2 18 2 8" xfId="10936" xr:uid="{00000000-0005-0000-0000-00008D2A0000}"/>
    <cellStyle name="Normal 2 2 2 2 2 2 18 2 9" xfId="10937" xr:uid="{00000000-0005-0000-0000-00008E2A0000}"/>
    <cellStyle name="Normal 2 2 2 2 2 2 18 3" xfId="10938" xr:uid="{00000000-0005-0000-0000-00008F2A0000}"/>
    <cellStyle name="Normal 2 2 2 2 2 2 18 3 10" xfId="10939" xr:uid="{00000000-0005-0000-0000-0000902A0000}"/>
    <cellStyle name="Normal 2 2 2 2 2 2 18 3 2" xfId="10940" xr:uid="{00000000-0005-0000-0000-0000912A0000}"/>
    <cellStyle name="Normal 2 2 2 2 2 2 18 3 3" xfId="10941" xr:uid="{00000000-0005-0000-0000-0000922A0000}"/>
    <cellStyle name="Normal 2 2 2 2 2 2 18 3 4" xfId="10942" xr:uid="{00000000-0005-0000-0000-0000932A0000}"/>
    <cellStyle name="Normal 2 2 2 2 2 2 18 3 5" xfId="10943" xr:uid="{00000000-0005-0000-0000-0000942A0000}"/>
    <cellStyle name="Normal 2 2 2 2 2 2 18 3 6" xfId="10944" xr:uid="{00000000-0005-0000-0000-0000952A0000}"/>
    <cellStyle name="Normal 2 2 2 2 2 2 18 3 7" xfId="10945" xr:uid="{00000000-0005-0000-0000-0000962A0000}"/>
    <cellStyle name="Normal 2 2 2 2 2 2 18 3 8" xfId="10946" xr:uid="{00000000-0005-0000-0000-0000972A0000}"/>
    <cellStyle name="Normal 2 2 2 2 2 2 18 3 9" xfId="10947" xr:uid="{00000000-0005-0000-0000-0000982A0000}"/>
    <cellStyle name="Normal 2 2 2 2 2 2 18 4" xfId="10948" xr:uid="{00000000-0005-0000-0000-0000992A0000}"/>
    <cellStyle name="Normal 2 2 2 2 2 2 18 4 10" xfId="10949" xr:uid="{00000000-0005-0000-0000-00009A2A0000}"/>
    <cellStyle name="Normal 2 2 2 2 2 2 18 4 2" xfId="10950" xr:uid="{00000000-0005-0000-0000-00009B2A0000}"/>
    <cellStyle name="Normal 2 2 2 2 2 2 18 4 3" xfId="10951" xr:uid="{00000000-0005-0000-0000-00009C2A0000}"/>
    <cellStyle name="Normal 2 2 2 2 2 2 18 4 4" xfId="10952" xr:uid="{00000000-0005-0000-0000-00009D2A0000}"/>
    <cellStyle name="Normal 2 2 2 2 2 2 18 4 5" xfId="10953" xr:uid="{00000000-0005-0000-0000-00009E2A0000}"/>
    <cellStyle name="Normal 2 2 2 2 2 2 18 4 6" xfId="10954" xr:uid="{00000000-0005-0000-0000-00009F2A0000}"/>
    <cellStyle name="Normal 2 2 2 2 2 2 18 4 7" xfId="10955" xr:uid="{00000000-0005-0000-0000-0000A02A0000}"/>
    <cellStyle name="Normal 2 2 2 2 2 2 18 4 8" xfId="10956" xr:uid="{00000000-0005-0000-0000-0000A12A0000}"/>
    <cellStyle name="Normal 2 2 2 2 2 2 18 4 9" xfId="10957" xr:uid="{00000000-0005-0000-0000-0000A22A0000}"/>
    <cellStyle name="Normal 2 2 2 2 2 2 18 5" xfId="10958" xr:uid="{00000000-0005-0000-0000-0000A32A0000}"/>
    <cellStyle name="Normal 2 2 2 2 2 2 18 5 10" xfId="10959" xr:uid="{00000000-0005-0000-0000-0000A42A0000}"/>
    <cellStyle name="Normal 2 2 2 2 2 2 18 5 2" xfId="10960" xr:uid="{00000000-0005-0000-0000-0000A52A0000}"/>
    <cellStyle name="Normal 2 2 2 2 2 2 18 5 3" xfId="10961" xr:uid="{00000000-0005-0000-0000-0000A62A0000}"/>
    <cellStyle name="Normal 2 2 2 2 2 2 18 5 4" xfId="10962" xr:uid="{00000000-0005-0000-0000-0000A72A0000}"/>
    <cellStyle name="Normal 2 2 2 2 2 2 18 5 5" xfId="10963" xr:uid="{00000000-0005-0000-0000-0000A82A0000}"/>
    <cellStyle name="Normal 2 2 2 2 2 2 18 5 6" xfId="10964" xr:uid="{00000000-0005-0000-0000-0000A92A0000}"/>
    <cellStyle name="Normal 2 2 2 2 2 2 18 5 7" xfId="10965" xr:uid="{00000000-0005-0000-0000-0000AA2A0000}"/>
    <cellStyle name="Normal 2 2 2 2 2 2 18 5 8" xfId="10966" xr:uid="{00000000-0005-0000-0000-0000AB2A0000}"/>
    <cellStyle name="Normal 2 2 2 2 2 2 18 5 9" xfId="10967" xr:uid="{00000000-0005-0000-0000-0000AC2A0000}"/>
    <cellStyle name="Normal 2 2 2 2 2 2 18 6" xfId="10968" xr:uid="{00000000-0005-0000-0000-0000AD2A0000}"/>
    <cellStyle name="Normal 2 2 2 2 2 2 18 7" xfId="10969" xr:uid="{00000000-0005-0000-0000-0000AE2A0000}"/>
    <cellStyle name="Normal 2 2 2 2 2 2 18 8" xfId="10970" xr:uid="{00000000-0005-0000-0000-0000AF2A0000}"/>
    <cellStyle name="Normal 2 2 2 2 2 2 18 9" xfId="10971" xr:uid="{00000000-0005-0000-0000-0000B02A0000}"/>
    <cellStyle name="Normal 2 2 2 2 2 2 19" xfId="10972" xr:uid="{00000000-0005-0000-0000-0000B12A0000}"/>
    <cellStyle name="Normal 2 2 2 2 2 2 19 10" xfId="10973" xr:uid="{00000000-0005-0000-0000-0000B22A0000}"/>
    <cellStyle name="Normal 2 2 2 2 2 2 19 11" xfId="10974" xr:uid="{00000000-0005-0000-0000-0000B32A0000}"/>
    <cellStyle name="Normal 2 2 2 2 2 2 19 12" xfId="10975" xr:uid="{00000000-0005-0000-0000-0000B42A0000}"/>
    <cellStyle name="Normal 2 2 2 2 2 2 19 13" xfId="10976" xr:uid="{00000000-0005-0000-0000-0000B52A0000}"/>
    <cellStyle name="Normal 2 2 2 2 2 2 19 14" xfId="10977" xr:uid="{00000000-0005-0000-0000-0000B62A0000}"/>
    <cellStyle name="Normal 2 2 2 2 2 2 19 2" xfId="10978" xr:uid="{00000000-0005-0000-0000-0000B72A0000}"/>
    <cellStyle name="Normal 2 2 2 2 2 2 19 2 10" xfId="10979" xr:uid="{00000000-0005-0000-0000-0000B82A0000}"/>
    <cellStyle name="Normal 2 2 2 2 2 2 19 2 2" xfId="10980" xr:uid="{00000000-0005-0000-0000-0000B92A0000}"/>
    <cellStyle name="Normal 2 2 2 2 2 2 19 2 3" xfId="10981" xr:uid="{00000000-0005-0000-0000-0000BA2A0000}"/>
    <cellStyle name="Normal 2 2 2 2 2 2 19 2 4" xfId="10982" xr:uid="{00000000-0005-0000-0000-0000BB2A0000}"/>
    <cellStyle name="Normal 2 2 2 2 2 2 19 2 5" xfId="10983" xr:uid="{00000000-0005-0000-0000-0000BC2A0000}"/>
    <cellStyle name="Normal 2 2 2 2 2 2 19 2 6" xfId="10984" xr:uid="{00000000-0005-0000-0000-0000BD2A0000}"/>
    <cellStyle name="Normal 2 2 2 2 2 2 19 2 7" xfId="10985" xr:uid="{00000000-0005-0000-0000-0000BE2A0000}"/>
    <cellStyle name="Normal 2 2 2 2 2 2 19 2 8" xfId="10986" xr:uid="{00000000-0005-0000-0000-0000BF2A0000}"/>
    <cellStyle name="Normal 2 2 2 2 2 2 19 2 9" xfId="10987" xr:uid="{00000000-0005-0000-0000-0000C02A0000}"/>
    <cellStyle name="Normal 2 2 2 2 2 2 19 3" xfId="10988" xr:uid="{00000000-0005-0000-0000-0000C12A0000}"/>
    <cellStyle name="Normal 2 2 2 2 2 2 19 3 10" xfId="10989" xr:uid="{00000000-0005-0000-0000-0000C22A0000}"/>
    <cellStyle name="Normal 2 2 2 2 2 2 19 3 2" xfId="10990" xr:uid="{00000000-0005-0000-0000-0000C32A0000}"/>
    <cellStyle name="Normal 2 2 2 2 2 2 19 3 3" xfId="10991" xr:uid="{00000000-0005-0000-0000-0000C42A0000}"/>
    <cellStyle name="Normal 2 2 2 2 2 2 19 3 4" xfId="10992" xr:uid="{00000000-0005-0000-0000-0000C52A0000}"/>
    <cellStyle name="Normal 2 2 2 2 2 2 19 3 5" xfId="10993" xr:uid="{00000000-0005-0000-0000-0000C62A0000}"/>
    <cellStyle name="Normal 2 2 2 2 2 2 19 3 6" xfId="10994" xr:uid="{00000000-0005-0000-0000-0000C72A0000}"/>
    <cellStyle name="Normal 2 2 2 2 2 2 19 3 7" xfId="10995" xr:uid="{00000000-0005-0000-0000-0000C82A0000}"/>
    <cellStyle name="Normal 2 2 2 2 2 2 19 3 8" xfId="10996" xr:uid="{00000000-0005-0000-0000-0000C92A0000}"/>
    <cellStyle name="Normal 2 2 2 2 2 2 19 3 9" xfId="10997" xr:uid="{00000000-0005-0000-0000-0000CA2A0000}"/>
    <cellStyle name="Normal 2 2 2 2 2 2 19 4" xfId="10998" xr:uid="{00000000-0005-0000-0000-0000CB2A0000}"/>
    <cellStyle name="Normal 2 2 2 2 2 2 19 4 10" xfId="10999" xr:uid="{00000000-0005-0000-0000-0000CC2A0000}"/>
    <cellStyle name="Normal 2 2 2 2 2 2 19 4 2" xfId="11000" xr:uid="{00000000-0005-0000-0000-0000CD2A0000}"/>
    <cellStyle name="Normal 2 2 2 2 2 2 19 4 3" xfId="11001" xr:uid="{00000000-0005-0000-0000-0000CE2A0000}"/>
    <cellStyle name="Normal 2 2 2 2 2 2 19 4 4" xfId="11002" xr:uid="{00000000-0005-0000-0000-0000CF2A0000}"/>
    <cellStyle name="Normal 2 2 2 2 2 2 19 4 5" xfId="11003" xr:uid="{00000000-0005-0000-0000-0000D02A0000}"/>
    <cellStyle name="Normal 2 2 2 2 2 2 19 4 6" xfId="11004" xr:uid="{00000000-0005-0000-0000-0000D12A0000}"/>
    <cellStyle name="Normal 2 2 2 2 2 2 19 4 7" xfId="11005" xr:uid="{00000000-0005-0000-0000-0000D22A0000}"/>
    <cellStyle name="Normal 2 2 2 2 2 2 19 4 8" xfId="11006" xr:uid="{00000000-0005-0000-0000-0000D32A0000}"/>
    <cellStyle name="Normal 2 2 2 2 2 2 19 4 9" xfId="11007" xr:uid="{00000000-0005-0000-0000-0000D42A0000}"/>
    <cellStyle name="Normal 2 2 2 2 2 2 19 5" xfId="11008" xr:uid="{00000000-0005-0000-0000-0000D52A0000}"/>
    <cellStyle name="Normal 2 2 2 2 2 2 19 5 10" xfId="11009" xr:uid="{00000000-0005-0000-0000-0000D62A0000}"/>
    <cellStyle name="Normal 2 2 2 2 2 2 19 5 2" xfId="11010" xr:uid="{00000000-0005-0000-0000-0000D72A0000}"/>
    <cellStyle name="Normal 2 2 2 2 2 2 19 5 3" xfId="11011" xr:uid="{00000000-0005-0000-0000-0000D82A0000}"/>
    <cellStyle name="Normal 2 2 2 2 2 2 19 5 4" xfId="11012" xr:uid="{00000000-0005-0000-0000-0000D92A0000}"/>
    <cellStyle name="Normal 2 2 2 2 2 2 19 5 5" xfId="11013" xr:uid="{00000000-0005-0000-0000-0000DA2A0000}"/>
    <cellStyle name="Normal 2 2 2 2 2 2 19 5 6" xfId="11014" xr:uid="{00000000-0005-0000-0000-0000DB2A0000}"/>
    <cellStyle name="Normal 2 2 2 2 2 2 19 5 7" xfId="11015" xr:uid="{00000000-0005-0000-0000-0000DC2A0000}"/>
    <cellStyle name="Normal 2 2 2 2 2 2 19 5 8" xfId="11016" xr:uid="{00000000-0005-0000-0000-0000DD2A0000}"/>
    <cellStyle name="Normal 2 2 2 2 2 2 19 5 9" xfId="11017" xr:uid="{00000000-0005-0000-0000-0000DE2A0000}"/>
    <cellStyle name="Normal 2 2 2 2 2 2 19 6" xfId="11018" xr:uid="{00000000-0005-0000-0000-0000DF2A0000}"/>
    <cellStyle name="Normal 2 2 2 2 2 2 19 7" xfId="11019" xr:uid="{00000000-0005-0000-0000-0000E02A0000}"/>
    <cellStyle name="Normal 2 2 2 2 2 2 19 8" xfId="11020" xr:uid="{00000000-0005-0000-0000-0000E12A0000}"/>
    <cellStyle name="Normal 2 2 2 2 2 2 19 9" xfId="11021" xr:uid="{00000000-0005-0000-0000-0000E22A0000}"/>
    <cellStyle name="Normal 2 2 2 2 2 2 2" xfId="11022" xr:uid="{00000000-0005-0000-0000-0000E32A0000}"/>
    <cellStyle name="Normal 2 2 2 2 2 2 2 10" xfId="11023" xr:uid="{00000000-0005-0000-0000-0000E42A0000}"/>
    <cellStyle name="Normal 2 2 2 2 2 2 2 11" xfId="11024" xr:uid="{00000000-0005-0000-0000-0000E52A0000}"/>
    <cellStyle name="Normal 2 2 2 2 2 2 2 12" xfId="11025" xr:uid="{00000000-0005-0000-0000-0000E62A0000}"/>
    <cellStyle name="Normal 2 2 2 2 2 2 2 13" xfId="11026" xr:uid="{00000000-0005-0000-0000-0000E72A0000}"/>
    <cellStyle name="Normal 2 2 2 2 2 2 2 14" xfId="11027" xr:uid="{00000000-0005-0000-0000-0000E82A0000}"/>
    <cellStyle name="Normal 2 2 2 2 2 2 2 15" xfId="11028" xr:uid="{00000000-0005-0000-0000-0000E92A0000}"/>
    <cellStyle name="Normal 2 2 2 2 2 2 2 16" xfId="11029" xr:uid="{00000000-0005-0000-0000-0000EA2A0000}"/>
    <cellStyle name="Normal 2 2 2 2 2 2 2 2" xfId="11030" xr:uid="{00000000-0005-0000-0000-0000EB2A0000}"/>
    <cellStyle name="Normal 2 2 2 2 2 2 2 2 10" xfId="11031" xr:uid="{00000000-0005-0000-0000-0000EC2A0000}"/>
    <cellStyle name="Normal 2 2 2 2 2 2 2 2 11" xfId="11032" xr:uid="{00000000-0005-0000-0000-0000ED2A0000}"/>
    <cellStyle name="Normal 2 2 2 2 2 2 2 2 12" xfId="11033" xr:uid="{00000000-0005-0000-0000-0000EE2A0000}"/>
    <cellStyle name="Normal 2 2 2 2 2 2 2 2 2" xfId="11034" xr:uid="{00000000-0005-0000-0000-0000EF2A0000}"/>
    <cellStyle name="Normal 2 2 2 2 2 2 2 2 3" xfId="11035" xr:uid="{00000000-0005-0000-0000-0000F02A0000}"/>
    <cellStyle name="Normal 2 2 2 2 2 2 2 2 4" xfId="11036" xr:uid="{00000000-0005-0000-0000-0000F12A0000}"/>
    <cellStyle name="Normal 2 2 2 2 2 2 2 2 5" xfId="11037" xr:uid="{00000000-0005-0000-0000-0000F22A0000}"/>
    <cellStyle name="Normal 2 2 2 2 2 2 2 2 6" xfId="11038" xr:uid="{00000000-0005-0000-0000-0000F32A0000}"/>
    <cellStyle name="Normal 2 2 2 2 2 2 2 2 7" xfId="11039" xr:uid="{00000000-0005-0000-0000-0000F42A0000}"/>
    <cellStyle name="Normal 2 2 2 2 2 2 2 2 8" xfId="11040" xr:uid="{00000000-0005-0000-0000-0000F52A0000}"/>
    <cellStyle name="Normal 2 2 2 2 2 2 2 2 9" xfId="11041" xr:uid="{00000000-0005-0000-0000-0000F62A0000}"/>
    <cellStyle name="Normal 2 2 2 2 2 2 2 3" xfId="11042" xr:uid="{00000000-0005-0000-0000-0000F72A0000}"/>
    <cellStyle name="Normal 2 2 2 2 2 2 2 3 10" xfId="11043" xr:uid="{00000000-0005-0000-0000-0000F82A0000}"/>
    <cellStyle name="Normal 2 2 2 2 2 2 2 3 2" xfId="11044" xr:uid="{00000000-0005-0000-0000-0000F92A0000}"/>
    <cellStyle name="Normal 2 2 2 2 2 2 2 3 3" xfId="11045" xr:uid="{00000000-0005-0000-0000-0000FA2A0000}"/>
    <cellStyle name="Normal 2 2 2 2 2 2 2 3 4" xfId="11046" xr:uid="{00000000-0005-0000-0000-0000FB2A0000}"/>
    <cellStyle name="Normal 2 2 2 2 2 2 2 3 5" xfId="11047" xr:uid="{00000000-0005-0000-0000-0000FC2A0000}"/>
    <cellStyle name="Normal 2 2 2 2 2 2 2 3 6" xfId="11048" xr:uid="{00000000-0005-0000-0000-0000FD2A0000}"/>
    <cellStyle name="Normal 2 2 2 2 2 2 2 3 7" xfId="11049" xr:uid="{00000000-0005-0000-0000-0000FE2A0000}"/>
    <cellStyle name="Normal 2 2 2 2 2 2 2 3 8" xfId="11050" xr:uid="{00000000-0005-0000-0000-0000FF2A0000}"/>
    <cellStyle name="Normal 2 2 2 2 2 2 2 3 9" xfId="11051" xr:uid="{00000000-0005-0000-0000-0000002B0000}"/>
    <cellStyle name="Normal 2 2 2 2 2 2 2 4" xfId="11052" xr:uid="{00000000-0005-0000-0000-0000012B0000}"/>
    <cellStyle name="Normal 2 2 2 2 2 2 2 4 10" xfId="11053" xr:uid="{00000000-0005-0000-0000-0000022B0000}"/>
    <cellStyle name="Normal 2 2 2 2 2 2 2 4 2" xfId="11054" xr:uid="{00000000-0005-0000-0000-0000032B0000}"/>
    <cellStyle name="Normal 2 2 2 2 2 2 2 4 3" xfId="11055" xr:uid="{00000000-0005-0000-0000-0000042B0000}"/>
    <cellStyle name="Normal 2 2 2 2 2 2 2 4 4" xfId="11056" xr:uid="{00000000-0005-0000-0000-0000052B0000}"/>
    <cellStyle name="Normal 2 2 2 2 2 2 2 4 5" xfId="11057" xr:uid="{00000000-0005-0000-0000-0000062B0000}"/>
    <cellStyle name="Normal 2 2 2 2 2 2 2 4 6" xfId="11058" xr:uid="{00000000-0005-0000-0000-0000072B0000}"/>
    <cellStyle name="Normal 2 2 2 2 2 2 2 4 7" xfId="11059" xr:uid="{00000000-0005-0000-0000-0000082B0000}"/>
    <cellStyle name="Normal 2 2 2 2 2 2 2 4 8" xfId="11060" xr:uid="{00000000-0005-0000-0000-0000092B0000}"/>
    <cellStyle name="Normal 2 2 2 2 2 2 2 4 9" xfId="11061" xr:uid="{00000000-0005-0000-0000-00000A2B0000}"/>
    <cellStyle name="Normal 2 2 2 2 2 2 2 5" xfId="11062" xr:uid="{00000000-0005-0000-0000-00000B2B0000}"/>
    <cellStyle name="Normal 2 2 2 2 2 2 2 5 10" xfId="11063" xr:uid="{00000000-0005-0000-0000-00000C2B0000}"/>
    <cellStyle name="Normal 2 2 2 2 2 2 2 5 2" xfId="11064" xr:uid="{00000000-0005-0000-0000-00000D2B0000}"/>
    <cellStyle name="Normal 2 2 2 2 2 2 2 5 3" xfId="11065" xr:uid="{00000000-0005-0000-0000-00000E2B0000}"/>
    <cellStyle name="Normal 2 2 2 2 2 2 2 5 4" xfId="11066" xr:uid="{00000000-0005-0000-0000-00000F2B0000}"/>
    <cellStyle name="Normal 2 2 2 2 2 2 2 5 5" xfId="11067" xr:uid="{00000000-0005-0000-0000-0000102B0000}"/>
    <cellStyle name="Normal 2 2 2 2 2 2 2 5 6" xfId="11068" xr:uid="{00000000-0005-0000-0000-0000112B0000}"/>
    <cellStyle name="Normal 2 2 2 2 2 2 2 5 7" xfId="11069" xr:uid="{00000000-0005-0000-0000-0000122B0000}"/>
    <cellStyle name="Normal 2 2 2 2 2 2 2 5 8" xfId="11070" xr:uid="{00000000-0005-0000-0000-0000132B0000}"/>
    <cellStyle name="Normal 2 2 2 2 2 2 2 5 9" xfId="11071" xr:uid="{00000000-0005-0000-0000-0000142B0000}"/>
    <cellStyle name="Normal 2 2 2 2 2 2 2 6" xfId="11072" xr:uid="{00000000-0005-0000-0000-0000152B0000}"/>
    <cellStyle name="Normal 2 2 2 2 2 2 2 7" xfId="11073" xr:uid="{00000000-0005-0000-0000-0000162B0000}"/>
    <cellStyle name="Normal 2 2 2 2 2 2 2 8" xfId="11074" xr:uid="{00000000-0005-0000-0000-0000172B0000}"/>
    <cellStyle name="Normal 2 2 2 2 2 2 2 9" xfId="11075" xr:uid="{00000000-0005-0000-0000-0000182B0000}"/>
    <cellStyle name="Normal 2 2 2 2 2 2 20" xfId="11076" xr:uid="{00000000-0005-0000-0000-0000192B0000}"/>
    <cellStyle name="Normal 2 2 2 2 2 2 20 10" xfId="11077" xr:uid="{00000000-0005-0000-0000-00001A2B0000}"/>
    <cellStyle name="Normal 2 2 2 2 2 2 20 11" xfId="11078" xr:uid="{00000000-0005-0000-0000-00001B2B0000}"/>
    <cellStyle name="Normal 2 2 2 2 2 2 20 12" xfId="11079" xr:uid="{00000000-0005-0000-0000-00001C2B0000}"/>
    <cellStyle name="Normal 2 2 2 2 2 2 20 13" xfId="11080" xr:uid="{00000000-0005-0000-0000-00001D2B0000}"/>
    <cellStyle name="Normal 2 2 2 2 2 2 20 14" xfId="11081" xr:uid="{00000000-0005-0000-0000-00001E2B0000}"/>
    <cellStyle name="Normal 2 2 2 2 2 2 20 2" xfId="11082" xr:uid="{00000000-0005-0000-0000-00001F2B0000}"/>
    <cellStyle name="Normal 2 2 2 2 2 2 20 2 10" xfId="11083" xr:uid="{00000000-0005-0000-0000-0000202B0000}"/>
    <cellStyle name="Normal 2 2 2 2 2 2 20 2 2" xfId="11084" xr:uid="{00000000-0005-0000-0000-0000212B0000}"/>
    <cellStyle name="Normal 2 2 2 2 2 2 20 2 3" xfId="11085" xr:uid="{00000000-0005-0000-0000-0000222B0000}"/>
    <cellStyle name="Normal 2 2 2 2 2 2 20 2 4" xfId="11086" xr:uid="{00000000-0005-0000-0000-0000232B0000}"/>
    <cellStyle name="Normal 2 2 2 2 2 2 20 2 5" xfId="11087" xr:uid="{00000000-0005-0000-0000-0000242B0000}"/>
    <cellStyle name="Normal 2 2 2 2 2 2 20 2 6" xfId="11088" xr:uid="{00000000-0005-0000-0000-0000252B0000}"/>
    <cellStyle name="Normal 2 2 2 2 2 2 20 2 7" xfId="11089" xr:uid="{00000000-0005-0000-0000-0000262B0000}"/>
    <cellStyle name="Normal 2 2 2 2 2 2 20 2 8" xfId="11090" xr:uid="{00000000-0005-0000-0000-0000272B0000}"/>
    <cellStyle name="Normal 2 2 2 2 2 2 20 2 9" xfId="11091" xr:uid="{00000000-0005-0000-0000-0000282B0000}"/>
    <cellStyle name="Normal 2 2 2 2 2 2 20 3" xfId="11092" xr:uid="{00000000-0005-0000-0000-0000292B0000}"/>
    <cellStyle name="Normal 2 2 2 2 2 2 20 3 10" xfId="11093" xr:uid="{00000000-0005-0000-0000-00002A2B0000}"/>
    <cellStyle name="Normal 2 2 2 2 2 2 20 3 2" xfId="11094" xr:uid="{00000000-0005-0000-0000-00002B2B0000}"/>
    <cellStyle name="Normal 2 2 2 2 2 2 20 3 3" xfId="11095" xr:uid="{00000000-0005-0000-0000-00002C2B0000}"/>
    <cellStyle name="Normal 2 2 2 2 2 2 20 3 4" xfId="11096" xr:uid="{00000000-0005-0000-0000-00002D2B0000}"/>
    <cellStyle name="Normal 2 2 2 2 2 2 20 3 5" xfId="11097" xr:uid="{00000000-0005-0000-0000-00002E2B0000}"/>
    <cellStyle name="Normal 2 2 2 2 2 2 20 3 6" xfId="11098" xr:uid="{00000000-0005-0000-0000-00002F2B0000}"/>
    <cellStyle name="Normal 2 2 2 2 2 2 20 3 7" xfId="11099" xr:uid="{00000000-0005-0000-0000-0000302B0000}"/>
    <cellStyle name="Normal 2 2 2 2 2 2 20 3 8" xfId="11100" xr:uid="{00000000-0005-0000-0000-0000312B0000}"/>
    <cellStyle name="Normal 2 2 2 2 2 2 20 3 9" xfId="11101" xr:uid="{00000000-0005-0000-0000-0000322B0000}"/>
    <cellStyle name="Normal 2 2 2 2 2 2 20 4" xfId="11102" xr:uid="{00000000-0005-0000-0000-0000332B0000}"/>
    <cellStyle name="Normal 2 2 2 2 2 2 20 4 10" xfId="11103" xr:uid="{00000000-0005-0000-0000-0000342B0000}"/>
    <cellStyle name="Normal 2 2 2 2 2 2 20 4 2" xfId="11104" xr:uid="{00000000-0005-0000-0000-0000352B0000}"/>
    <cellStyle name="Normal 2 2 2 2 2 2 20 4 3" xfId="11105" xr:uid="{00000000-0005-0000-0000-0000362B0000}"/>
    <cellStyle name="Normal 2 2 2 2 2 2 20 4 4" xfId="11106" xr:uid="{00000000-0005-0000-0000-0000372B0000}"/>
    <cellStyle name="Normal 2 2 2 2 2 2 20 4 5" xfId="11107" xr:uid="{00000000-0005-0000-0000-0000382B0000}"/>
    <cellStyle name="Normal 2 2 2 2 2 2 20 4 6" xfId="11108" xr:uid="{00000000-0005-0000-0000-0000392B0000}"/>
    <cellStyle name="Normal 2 2 2 2 2 2 20 4 7" xfId="11109" xr:uid="{00000000-0005-0000-0000-00003A2B0000}"/>
    <cellStyle name="Normal 2 2 2 2 2 2 20 4 8" xfId="11110" xr:uid="{00000000-0005-0000-0000-00003B2B0000}"/>
    <cellStyle name="Normal 2 2 2 2 2 2 20 4 9" xfId="11111" xr:uid="{00000000-0005-0000-0000-00003C2B0000}"/>
    <cellStyle name="Normal 2 2 2 2 2 2 20 5" xfId="11112" xr:uid="{00000000-0005-0000-0000-00003D2B0000}"/>
    <cellStyle name="Normal 2 2 2 2 2 2 20 5 10" xfId="11113" xr:uid="{00000000-0005-0000-0000-00003E2B0000}"/>
    <cellStyle name="Normal 2 2 2 2 2 2 20 5 2" xfId="11114" xr:uid="{00000000-0005-0000-0000-00003F2B0000}"/>
    <cellStyle name="Normal 2 2 2 2 2 2 20 5 3" xfId="11115" xr:uid="{00000000-0005-0000-0000-0000402B0000}"/>
    <cellStyle name="Normal 2 2 2 2 2 2 20 5 4" xfId="11116" xr:uid="{00000000-0005-0000-0000-0000412B0000}"/>
    <cellStyle name="Normal 2 2 2 2 2 2 20 5 5" xfId="11117" xr:uid="{00000000-0005-0000-0000-0000422B0000}"/>
    <cellStyle name="Normal 2 2 2 2 2 2 20 5 6" xfId="11118" xr:uid="{00000000-0005-0000-0000-0000432B0000}"/>
    <cellStyle name="Normal 2 2 2 2 2 2 20 5 7" xfId="11119" xr:uid="{00000000-0005-0000-0000-0000442B0000}"/>
    <cellStyle name="Normal 2 2 2 2 2 2 20 5 8" xfId="11120" xr:uid="{00000000-0005-0000-0000-0000452B0000}"/>
    <cellStyle name="Normal 2 2 2 2 2 2 20 5 9" xfId="11121" xr:uid="{00000000-0005-0000-0000-0000462B0000}"/>
    <cellStyle name="Normal 2 2 2 2 2 2 20 6" xfId="11122" xr:uid="{00000000-0005-0000-0000-0000472B0000}"/>
    <cellStyle name="Normal 2 2 2 2 2 2 20 7" xfId="11123" xr:uid="{00000000-0005-0000-0000-0000482B0000}"/>
    <cellStyle name="Normal 2 2 2 2 2 2 20 8" xfId="11124" xr:uid="{00000000-0005-0000-0000-0000492B0000}"/>
    <cellStyle name="Normal 2 2 2 2 2 2 20 9" xfId="11125" xr:uid="{00000000-0005-0000-0000-00004A2B0000}"/>
    <cellStyle name="Normal 2 2 2 2 2 2 21" xfId="11126" xr:uid="{00000000-0005-0000-0000-00004B2B0000}"/>
    <cellStyle name="Normal 2 2 2 2 2 2 21 10" xfId="11127" xr:uid="{00000000-0005-0000-0000-00004C2B0000}"/>
    <cellStyle name="Normal 2 2 2 2 2 2 21 11" xfId="11128" xr:uid="{00000000-0005-0000-0000-00004D2B0000}"/>
    <cellStyle name="Normal 2 2 2 2 2 2 21 12" xfId="11129" xr:uid="{00000000-0005-0000-0000-00004E2B0000}"/>
    <cellStyle name="Normal 2 2 2 2 2 2 21 13" xfId="11130" xr:uid="{00000000-0005-0000-0000-00004F2B0000}"/>
    <cellStyle name="Normal 2 2 2 2 2 2 21 14" xfId="11131" xr:uid="{00000000-0005-0000-0000-0000502B0000}"/>
    <cellStyle name="Normal 2 2 2 2 2 2 21 2" xfId="11132" xr:uid="{00000000-0005-0000-0000-0000512B0000}"/>
    <cellStyle name="Normal 2 2 2 2 2 2 21 2 10" xfId="11133" xr:uid="{00000000-0005-0000-0000-0000522B0000}"/>
    <cellStyle name="Normal 2 2 2 2 2 2 21 2 2" xfId="11134" xr:uid="{00000000-0005-0000-0000-0000532B0000}"/>
    <cellStyle name="Normal 2 2 2 2 2 2 21 2 3" xfId="11135" xr:uid="{00000000-0005-0000-0000-0000542B0000}"/>
    <cellStyle name="Normal 2 2 2 2 2 2 21 2 4" xfId="11136" xr:uid="{00000000-0005-0000-0000-0000552B0000}"/>
    <cellStyle name="Normal 2 2 2 2 2 2 21 2 5" xfId="11137" xr:uid="{00000000-0005-0000-0000-0000562B0000}"/>
    <cellStyle name="Normal 2 2 2 2 2 2 21 2 6" xfId="11138" xr:uid="{00000000-0005-0000-0000-0000572B0000}"/>
    <cellStyle name="Normal 2 2 2 2 2 2 21 2 7" xfId="11139" xr:uid="{00000000-0005-0000-0000-0000582B0000}"/>
    <cellStyle name="Normal 2 2 2 2 2 2 21 2 8" xfId="11140" xr:uid="{00000000-0005-0000-0000-0000592B0000}"/>
    <cellStyle name="Normal 2 2 2 2 2 2 21 2 9" xfId="11141" xr:uid="{00000000-0005-0000-0000-00005A2B0000}"/>
    <cellStyle name="Normal 2 2 2 2 2 2 21 3" xfId="11142" xr:uid="{00000000-0005-0000-0000-00005B2B0000}"/>
    <cellStyle name="Normal 2 2 2 2 2 2 21 3 10" xfId="11143" xr:uid="{00000000-0005-0000-0000-00005C2B0000}"/>
    <cellStyle name="Normal 2 2 2 2 2 2 21 3 2" xfId="11144" xr:uid="{00000000-0005-0000-0000-00005D2B0000}"/>
    <cellStyle name="Normal 2 2 2 2 2 2 21 3 3" xfId="11145" xr:uid="{00000000-0005-0000-0000-00005E2B0000}"/>
    <cellStyle name="Normal 2 2 2 2 2 2 21 3 4" xfId="11146" xr:uid="{00000000-0005-0000-0000-00005F2B0000}"/>
    <cellStyle name="Normal 2 2 2 2 2 2 21 3 5" xfId="11147" xr:uid="{00000000-0005-0000-0000-0000602B0000}"/>
    <cellStyle name="Normal 2 2 2 2 2 2 21 3 6" xfId="11148" xr:uid="{00000000-0005-0000-0000-0000612B0000}"/>
    <cellStyle name="Normal 2 2 2 2 2 2 21 3 7" xfId="11149" xr:uid="{00000000-0005-0000-0000-0000622B0000}"/>
    <cellStyle name="Normal 2 2 2 2 2 2 21 3 8" xfId="11150" xr:uid="{00000000-0005-0000-0000-0000632B0000}"/>
    <cellStyle name="Normal 2 2 2 2 2 2 21 3 9" xfId="11151" xr:uid="{00000000-0005-0000-0000-0000642B0000}"/>
    <cellStyle name="Normal 2 2 2 2 2 2 21 4" xfId="11152" xr:uid="{00000000-0005-0000-0000-0000652B0000}"/>
    <cellStyle name="Normal 2 2 2 2 2 2 21 4 10" xfId="11153" xr:uid="{00000000-0005-0000-0000-0000662B0000}"/>
    <cellStyle name="Normal 2 2 2 2 2 2 21 4 2" xfId="11154" xr:uid="{00000000-0005-0000-0000-0000672B0000}"/>
    <cellStyle name="Normal 2 2 2 2 2 2 21 4 3" xfId="11155" xr:uid="{00000000-0005-0000-0000-0000682B0000}"/>
    <cellStyle name="Normal 2 2 2 2 2 2 21 4 4" xfId="11156" xr:uid="{00000000-0005-0000-0000-0000692B0000}"/>
    <cellStyle name="Normal 2 2 2 2 2 2 21 4 5" xfId="11157" xr:uid="{00000000-0005-0000-0000-00006A2B0000}"/>
    <cellStyle name="Normal 2 2 2 2 2 2 21 4 6" xfId="11158" xr:uid="{00000000-0005-0000-0000-00006B2B0000}"/>
    <cellStyle name="Normal 2 2 2 2 2 2 21 4 7" xfId="11159" xr:uid="{00000000-0005-0000-0000-00006C2B0000}"/>
    <cellStyle name="Normal 2 2 2 2 2 2 21 4 8" xfId="11160" xr:uid="{00000000-0005-0000-0000-00006D2B0000}"/>
    <cellStyle name="Normal 2 2 2 2 2 2 21 4 9" xfId="11161" xr:uid="{00000000-0005-0000-0000-00006E2B0000}"/>
    <cellStyle name="Normal 2 2 2 2 2 2 21 5" xfId="11162" xr:uid="{00000000-0005-0000-0000-00006F2B0000}"/>
    <cellStyle name="Normal 2 2 2 2 2 2 21 5 10" xfId="11163" xr:uid="{00000000-0005-0000-0000-0000702B0000}"/>
    <cellStyle name="Normal 2 2 2 2 2 2 21 5 2" xfId="11164" xr:uid="{00000000-0005-0000-0000-0000712B0000}"/>
    <cellStyle name="Normal 2 2 2 2 2 2 21 5 3" xfId="11165" xr:uid="{00000000-0005-0000-0000-0000722B0000}"/>
    <cellStyle name="Normal 2 2 2 2 2 2 21 5 4" xfId="11166" xr:uid="{00000000-0005-0000-0000-0000732B0000}"/>
    <cellStyle name="Normal 2 2 2 2 2 2 21 5 5" xfId="11167" xr:uid="{00000000-0005-0000-0000-0000742B0000}"/>
    <cellStyle name="Normal 2 2 2 2 2 2 21 5 6" xfId="11168" xr:uid="{00000000-0005-0000-0000-0000752B0000}"/>
    <cellStyle name="Normal 2 2 2 2 2 2 21 5 7" xfId="11169" xr:uid="{00000000-0005-0000-0000-0000762B0000}"/>
    <cellStyle name="Normal 2 2 2 2 2 2 21 5 8" xfId="11170" xr:uid="{00000000-0005-0000-0000-0000772B0000}"/>
    <cellStyle name="Normal 2 2 2 2 2 2 21 5 9" xfId="11171" xr:uid="{00000000-0005-0000-0000-0000782B0000}"/>
    <cellStyle name="Normal 2 2 2 2 2 2 21 6" xfId="11172" xr:uid="{00000000-0005-0000-0000-0000792B0000}"/>
    <cellStyle name="Normal 2 2 2 2 2 2 21 7" xfId="11173" xr:uid="{00000000-0005-0000-0000-00007A2B0000}"/>
    <cellStyle name="Normal 2 2 2 2 2 2 21 8" xfId="11174" xr:uid="{00000000-0005-0000-0000-00007B2B0000}"/>
    <cellStyle name="Normal 2 2 2 2 2 2 21 9" xfId="11175" xr:uid="{00000000-0005-0000-0000-00007C2B0000}"/>
    <cellStyle name="Normal 2 2 2 2 2 2 22" xfId="11176" xr:uid="{00000000-0005-0000-0000-00007D2B0000}"/>
    <cellStyle name="Normal 2 2 2 2 2 2 22 10" xfId="11177" xr:uid="{00000000-0005-0000-0000-00007E2B0000}"/>
    <cellStyle name="Normal 2 2 2 2 2 2 22 11" xfId="11178" xr:uid="{00000000-0005-0000-0000-00007F2B0000}"/>
    <cellStyle name="Normal 2 2 2 2 2 2 22 12" xfId="11179" xr:uid="{00000000-0005-0000-0000-0000802B0000}"/>
    <cellStyle name="Normal 2 2 2 2 2 2 22 13" xfId="11180" xr:uid="{00000000-0005-0000-0000-0000812B0000}"/>
    <cellStyle name="Normal 2 2 2 2 2 2 22 14" xfId="11181" xr:uid="{00000000-0005-0000-0000-0000822B0000}"/>
    <cellStyle name="Normal 2 2 2 2 2 2 22 2" xfId="11182" xr:uid="{00000000-0005-0000-0000-0000832B0000}"/>
    <cellStyle name="Normal 2 2 2 2 2 2 22 2 10" xfId="11183" xr:uid="{00000000-0005-0000-0000-0000842B0000}"/>
    <cellStyle name="Normal 2 2 2 2 2 2 22 2 2" xfId="11184" xr:uid="{00000000-0005-0000-0000-0000852B0000}"/>
    <cellStyle name="Normal 2 2 2 2 2 2 22 2 3" xfId="11185" xr:uid="{00000000-0005-0000-0000-0000862B0000}"/>
    <cellStyle name="Normal 2 2 2 2 2 2 22 2 4" xfId="11186" xr:uid="{00000000-0005-0000-0000-0000872B0000}"/>
    <cellStyle name="Normal 2 2 2 2 2 2 22 2 5" xfId="11187" xr:uid="{00000000-0005-0000-0000-0000882B0000}"/>
    <cellStyle name="Normal 2 2 2 2 2 2 22 2 6" xfId="11188" xr:uid="{00000000-0005-0000-0000-0000892B0000}"/>
    <cellStyle name="Normal 2 2 2 2 2 2 22 2 7" xfId="11189" xr:uid="{00000000-0005-0000-0000-00008A2B0000}"/>
    <cellStyle name="Normal 2 2 2 2 2 2 22 2 8" xfId="11190" xr:uid="{00000000-0005-0000-0000-00008B2B0000}"/>
    <cellStyle name="Normal 2 2 2 2 2 2 22 2 9" xfId="11191" xr:uid="{00000000-0005-0000-0000-00008C2B0000}"/>
    <cellStyle name="Normal 2 2 2 2 2 2 22 3" xfId="11192" xr:uid="{00000000-0005-0000-0000-00008D2B0000}"/>
    <cellStyle name="Normal 2 2 2 2 2 2 22 3 10" xfId="11193" xr:uid="{00000000-0005-0000-0000-00008E2B0000}"/>
    <cellStyle name="Normal 2 2 2 2 2 2 22 3 2" xfId="11194" xr:uid="{00000000-0005-0000-0000-00008F2B0000}"/>
    <cellStyle name="Normal 2 2 2 2 2 2 22 3 3" xfId="11195" xr:uid="{00000000-0005-0000-0000-0000902B0000}"/>
    <cellStyle name="Normal 2 2 2 2 2 2 22 3 4" xfId="11196" xr:uid="{00000000-0005-0000-0000-0000912B0000}"/>
    <cellStyle name="Normal 2 2 2 2 2 2 22 3 5" xfId="11197" xr:uid="{00000000-0005-0000-0000-0000922B0000}"/>
    <cellStyle name="Normal 2 2 2 2 2 2 22 3 6" xfId="11198" xr:uid="{00000000-0005-0000-0000-0000932B0000}"/>
    <cellStyle name="Normal 2 2 2 2 2 2 22 3 7" xfId="11199" xr:uid="{00000000-0005-0000-0000-0000942B0000}"/>
    <cellStyle name="Normal 2 2 2 2 2 2 22 3 8" xfId="11200" xr:uid="{00000000-0005-0000-0000-0000952B0000}"/>
    <cellStyle name="Normal 2 2 2 2 2 2 22 3 9" xfId="11201" xr:uid="{00000000-0005-0000-0000-0000962B0000}"/>
    <cellStyle name="Normal 2 2 2 2 2 2 22 4" xfId="11202" xr:uid="{00000000-0005-0000-0000-0000972B0000}"/>
    <cellStyle name="Normal 2 2 2 2 2 2 22 4 10" xfId="11203" xr:uid="{00000000-0005-0000-0000-0000982B0000}"/>
    <cellStyle name="Normal 2 2 2 2 2 2 22 4 2" xfId="11204" xr:uid="{00000000-0005-0000-0000-0000992B0000}"/>
    <cellStyle name="Normal 2 2 2 2 2 2 22 4 3" xfId="11205" xr:uid="{00000000-0005-0000-0000-00009A2B0000}"/>
    <cellStyle name="Normal 2 2 2 2 2 2 22 4 4" xfId="11206" xr:uid="{00000000-0005-0000-0000-00009B2B0000}"/>
    <cellStyle name="Normal 2 2 2 2 2 2 22 4 5" xfId="11207" xr:uid="{00000000-0005-0000-0000-00009C2B0000}"/>
    <cellStyle name="Normal 2 2 2 2 2 2 22 4 6" xfId="11208" xr:uid="{00000000-0005-0000-0000-00009D2B0000}"/>
    <cellStyle name="Normal 2 2 2 2 2 2 22 4 7" xfId="11209" xr:uid="{00000000-0005-0000-0000-00009E2B0000}"/>
    <cellStyle name="Normal 2 2 2 2 2 2 22 4 8" xfId="11210" xr:uid="{00000000-0005-0000-0000-00009F2B0000}"/>
    <cellStyle name="Normal 2 2 2 2 2 2 22 4 9" xfId="11211" xr:uid="{00000000-0005-0000-0000-0000A02B0000}"/>
    <cellStyle name="Normal 2 2 2 2 2 2 22 5" xfId="11212" xr:uid="{00000000-0005-0000-0000-0000A12B0000}"/>
    <cellStyle name="Normal 2 2 2 2 2 2 22 5 10" xfId="11213" xr:uid="{00000000-0005-0000-0000-0000A22B0000}"/>
    <cellStyle name="Normal 2 2 2 2 2 2 22 5 2" xfId="11214" xr:uid="{00000000-0005-0000-0000-0000A32B0000}"/>
    <cellStyle name="Normal 2 2 2 2 2 2 22 5 3" xfId="11215" xr:uid="{00000000-0005-0000-0000-0000A42B0000}"/>
    <cellStyle name="Normal 2 2 2 2 2 2 22 5 4" xfId="11216" xr:uid="{00000000-0005-0000-0000-0000A52B0000}"/>
    <cellStyle name="Normal 2 2 2 2 2 2 22 5 5" xfId="11217" xr:uid="{00000000-0005-0000-0000-0000A62B0000}"/>
    <cellStyle name="Normal 2 2 2 2 2 2 22 5 6" xfId="11218" xr:uid="{00000000-0005-0000-0000-0000A72B0000}"/>
    <cellStyle name="Normal 2 2 2 2 2 2 22 5 7" xfId="11219" xr:uid="{00000000-0005-0000-0000-0000A82B0000}"/>
    <cellStyle name="Normal 2 2 2 2 2 2 22 5 8" xfId="11220" xr:uid="{00000000-0005-0000-0000-0000A92B0000}"/>
    <cellStyle name="Normal 2 2 2 2 2 2 22 5 9" xfId="11221" xr:uid="{00000000-0005-0000-0000-0000AA2B0000}"/>
    <cellStyle name="Normal 2 2 2 2 2 2 22 6" xfId="11222" xr:uid="{00000000-0005-0000-0000-0000AB2B0000}"/>
    <cellStyle name="Normal 2 2 2 2 2 2 22 7" xfId="11223" xr:uid="{00000000-0005-0000-0000-0000AC2B0000}"/>
    <cellStyle name="Normal 2 2 2 2 2 2 22 8" xfId="11224" xr:uid="{00000000-0005-0000-0000-0000AD2B0000}"/>
    <cellStyle name="Normal 2 2 2 2 2 2 22 9" xfId="11225" xr:uid="{00000000-0005-0000-0000-0000AE2B0000}"/>
    <cellStyle name="Normal 2 2 2 2 2 2 23" xfId="11226" xr:uid="{00000000-0005-0000-0000-0000AF2B0000}"/>
    <cellStyle name="Normal 2 2 2 2 2 2 23 10" xfId="11227" xr:uid="{00000000-0005-0000-0000-0000B02B0000}"/>
    <cellStyle name="Normal 2 2 2 2 2 2 23 11" xfId="11228" xr:uid="{00000000-0005-0000-0000-0000B12B0000}"/>
    <cellStyle name="Normal 2 2 2 2 2 2 23 12" xfId="11229" xr:uid="{00000000-0005-0000-0000-0000B22B0000}"/>
    <cellStyle name="Normal 2 2 2 2 2 2 23 13" xfId="11230" xr:uid="{00000000-0005-0000-0000-0000B32B0000}"/>
    <cellStyle name="Normal 2 2 2 2 2 2 23 14" xfId="11231" xr:uid="{00000000-0005-0000-0000-0000B42B0000}"/>
    <cellStyle name="Normal 2 2 2 2 2 2 23 2" xfId="11232" xr:uid="{00000000-0005-0000-0000-0000B52B0000}"/>
    <cellStyle name="Normal 2 2 2 2 2 2 23 2 10" xfId="11233" xr:uid="{00000000-0005-0000-0000-0000B62B0000}"/>
    <cellStyle name="Normal 2 2 2 2 2 2 23 2 2" xfId="11234" xr:uid="{00000000-0005-0000-0000-0000B72B0000}"/>
    <cellStyle name="Normal 2 2 2 2 2 2 23 2 3" xfId="11235" xr:uid="{00000000-0005-0000-0000-0000B82B0000}"/>
    <cellStyle name="Normal 2 2 2 2 2 2 23 2 4" xfId="11236" xr:uid="{00000000-0005-0000-0000-0000B92B0000}"/>
    <cellStyle name="Normal 2 2 2 2 2 2 23 2 5" xfId="11237" xr:uid="{00000000-0005-0000-0000-0000BA2B0000}"/>
    <cellStyle name="Normal 2 2 2 2 2 2 23 2 6" xfId="11238" xr:uid="{00000000-0005-0000-0000-0000BB2B0000}"/>
    <cellStyle name="Normal 2 2 2 2 2 2 23 2 7" xfId="11239" xr:uid="{00000000-0005-0000-0000-0000BC2B0000}"/>
    <cellStyle name="Normal 2 2 2 2 2 2 23 2 8" xfId="11240" xr:uid="{00000000-0005-0000-0000-0000BD2B0000}"/>
    <cellStyle name="Normal 2 2 2 2 2 2 23 2 9" xfId="11241" xr:uid="{00000000-0005-0000-0000-0000BE2B0000}"/>
    <cellStyle name="Normal 2 2 2 2 2 2 23 3" xfId="11242" xr:uid="{00000000-0005-0000-0000-0000BF2B0000}"/>
    <cellStyle name="Normal 2 2 2 2 2 2 23 3 10" xfId="11243" xr:uid="{00000000-0005-0000-0000-0000C02B0000}"/>
    <cellStyle name="Normal 2 2 2 2 2 2 23 3 2" xfId="11244" xr:uid="{00000000-0005-0000-0000-0000C12B0000}"/>
    <cellStyle name="Normal 2 2 2 2 2 2 23 3 3" xfId="11245" xr:uid="{00000000-0005-0000-0000-0000C22B0000}"/>
    <cellStyle name="Normal 2 2 2 2 2 2 23 3 4" xfId="11246" xr:uid="{00000000-0005-0000-0000-0000C32B0000}"/>
    <cellStyle name="Normal 2 2 2 2 2 2 23 3 5" xfId="11247" xr:uid="{00000000-0005-0000-0000-0000C42B0000}"/>
    <cellStyle name="Normal 2 2 2 2 2 2 23 3 6" xfId="11248" xr:uid="{00000000-0005-0000-0000-0000C52B0000}"/>
    <cellStyle name="Normal 2 2 2 2 2 2 23 3 7" xfId="11249" xr:uid="{00000000-0005-0000-0000-0000C62B0000}"/>
    <cellStyle name="Normal 2 2 2 2 2 2 23 3 8" xfId="11250" xr:uid="{00000000-0005-0000-0000-0000C72B0000}"/>
    <cellStyle name="Normal 2 2 2 2 2 2 23 3 9" xfId="11251" xr:uid="{00000000-0005-0000-0000-0000C82B0000}"/>
    <cellStyle name="Normal 2 2 2 2 2 2 23 4" xfId="11252" xr:uid="{00000000-0005-0000-0000-0000C92B0000}"/>
    <cellStyle name="Normal 2 2 2 2 2 2 23 4 10" xfId="11253" xr:uid="{00000000-0005-0000-0000-0000CA2B0000}"/>
    <cellStyle name="Normal 2 2 2 2 2 2 23 4 2" xfId="11254" xr:uid="{00000000-0005-0000-0000-0000CB2B0000}"/>
    <cellStyle name="Normal 2 2 2 2 2 2 23 4 3" xfId="11255" xr:uid="{00000000-0005-0000-0000-0000CC2B0000}"/>
    <cellStyle name="Normal 2 2 2 2 2 2 23 4 4" xfId="11256" xr:uid="{00000000-0005-0000-0000-0000CD2B0000}"/>
    <cellStyle name="Normal 2 2 2 2 2 2 23 4 5" xfId="11257" xr:uid="{00000000-0005-0000-0000-0000CE2B0000}"/>
    <cellStyle name="Normal 2 2 2 2 2 2 23 4 6" xfId="11258" xr:uid="{00000000-0005-0000-0000-0000CF2B0000}"/>
    <cellStyle name="Normal 2 2 2 2 2 2 23 4 7" xfId="11259" xr:uid="{00000000-0005-0000-0000-0000D02B0000}"/>
    <cellStyle name="Normal 2 2 2 2 2 2 23 4 8" xfId="11260" xr:uid="{00000000-0005-0000-0000-0000D12B0000}"/>
    <cellStyle name="Normal 2 2 2 2 2 2 23 4 9" xfId="11261" xr:uid="{00000000-0005-0000-0000-0000D22B0000}"/>
    <cellStyle name="Normal 2 2 2 2 2 2 23 5" xfId="11262" xr:uid="{00000000-0005-0000-0000-0000D32B0000}"/>
    <cellStyle name="Normal 2 2 2 2 2 2 23 5 10" xfId="11263" xr:uid="{00000000-0005-0000-0000-0000D42B0000}"/>
    <cellStyle name="Normal 2 2 2 2 2 2 23 5 2" xfId="11264" xr:uid="{00000000-0005-0000-0000-0000D52B0000}"/>
    <cellStyle name="Normal 2 2 2 2 2 2 23 5 3" xfId="11265" xr:uid="{00000000-0005-0000-0000-0000D62B0000}"/>
    <cellStyle name="Normal 2 2 2 2 2 2 23 5 4" xfId="11266" xr:uid="{00000000-0005-0000-0000-0000D72B0000}"/>
    <cellStyle name="Normal 2 2 2 2 2 2 23 5 5" xfId="11267" xr:uid="{00000000-0005-0000-0000-0000D82B0000}"/>
    <cellStyle name="Normal 2 2 2 2 2 2 23 5 6" xfId="11268" xr:uid="{00000000-0005-0000-0000-0000D92B0000}"/>
    <cellStyle name="Normal 2 2 2 2 2 2 23 5 7" xfId="11269" xr:uid="{00000000-0005-0000-0000-0000DA2B0000}"/>
    <cellStyle name="Normal 2 2 2 2 2 2 23 5 8" xfId="11270" xr:uid="{00000000-0005-0000-0000-0000DB2B0000}"/>
    <cellStyle name="Normal 2 2 2 2 2 2 23 5 9" xfId="11271" xr:uid="{00000000-0005-0000-0000-0000DC2B0000}"/>
    <cellStyle name="Normal 2 2 2 2 2 2 23 6" xfId="11272" xr:uid="{00000000-0005-0000-0000-0000DD2B0000}"/>
    <cellStyle name="Normal 2 2 2 2 2 2 23 7" xfId="11273" xr:uid="{00000000-0005-0000-0000-0000DE2B0000}"/>
    <cellStyle name="Normal 2 2 2 2 2 2 23 8" xfId="11274" xr:uid="{00000000-0005-0000-0000-0000DF2B0000}"/>
    <cellStyle name="Normal 2 2 2 2 2 2 23 9" xfId="11275" xr:uid="{00000000-0005-0000-0000-0000E02B0000}"/>
    <cellStyle name="Normal 2 2 2 2 2 2 24" xfId="11276" xr:uid="{00000000-0005-0000-0000-0000E12B0000}"/>
    <cellStyle name="Normal 2 2 2 2 2 2 24 10" xfId="11277" xr:uid="{00000000-0005-0000-0000-0000E22B0000}"/>
    <cellStyle name="Normal 2 2 2 2 2 2 24 11" xfId="11278" xr:uid="{00000000-0005-0000-0000-0000E32B0000}"/>
    <cellStyle name="Normal 2 2 2 2 2 2 24 12" xfId="11279" xr:uid="{00000000-0005-0000-0000-0000E42B0000}"/>
    <cellStyle name="Normal 2 2 2 2 2 2 24 13" xfId="11280" xr:uid="{00000000-0005-0000-0000-0000E52B0000}"/>
    <cellStyle name="Normal 2 2 2 2 2 2 24 14" xfId="11281" xr:uid="{00000000-0005-0000-0000-0000E62B0000}"/>
    <cellStyle name="Normal 2 2 2 2 2 2 24 2" xfId="11282" xr:uid="{00000000-0005-0000-0000-0000E72B0000}"/>
    <cellStyle name="Normal 2 2 2 2 2 2 24 2 10" xfId="11283" xr:uid="{00000000-0005-0000-0000-0000E82B0000}"/>
    <cellStyle name="Normal 2 2 2 2 2 2 24 2 2" xfId="11284" xr:uid="{00000000-0005-0000-0000-0000E92B0000}"/>
    <cellStyle name="Normal 2 2 2 2 2 2 24 2 3" xfId="11285" xr:uid="{00000000-0005-0000-0000-0000EA2B0000}"/>
    <cellStyle name="Normal 2 2 2 2 2 2 24 2 4" xfId="11286" xr:uid="{00000000-0005-0000-0000-0000EB2B0000}"/>
    <cellStyle name="Normal 2 2 2 2 2 2 24 2 5" xfId="11287" xr:uid="{00000000-0005-0000-0000-0000EC2B0000}"/>
    <cellStyle name="Normal 2 2 2 2 2 2 24 2 6" xfId="11288" xr:uid="{00000000-0005-0000-0000-0000ED2B0000}"/>
    <cellStyle name="Normal 2 2 2 2 2 2 24 2 7" xfId="11289" xr:uid="{00000000-0005-0000-0000-0000EE2B0000}"/>
    <cellStyle name="Normal 2 2 2 2 2 2 24 2 8" xfId="11290" xr:uid="{00000000-0005-0000-0000-0000EF2B0000}"/>
    <cellStyle name="Normal 2 2 2 2 2 2 24 2 9" xfId="11291" xr:uid="{00000000-0005-0000-0000-0000F02B0000}"/>
    <cellStyle name="Normal 2 2 2 2 2 2 24 3" xfId="11292" xr:uid="{00000000-0005-0000-0000-0000F12B0000}"/>
    <cellStyle name="Normal 2 2 2 2 2 2 24 3 10" xfId="11293" xr:uid="{00000000-0005-0000-0000-0000F22B0000}"/>
    <cellStyle name="Normal 2 2 2 2 2 2 24 3 2" xfId="11294" xr:uid="{00000000-0005-0000-0000-0000F32B0000}"/>
    <cellStyle name="Normal 2 2 2 2 2 2 24 3 3" xfId="11295" xr:uid="{00000000-0005-0000-0000-0000F42B0000}"/>
    <cellStyle name="Normal 2 2 2 2 2 2 24 3 4" xfId="11296" xr:uid="{00000000-0005-0000-0000-0000F52B0000}"/>
    <cellStyle name="Normal 2 2 2 2 2 2 24 3 5" xfId="11297" xr:uid="{00000000-0005-0000-0000-0000F62B0000}"/>
    <cellStyle name="Normal 2 2 2 2 2 2 24 3 6" xfId="11298" xr:uid="{00000000-0005-0000-0000-0000F72B0000}"/>
    <cellStyle name="Normal 2 2 2 2 2 2 24 3 7" xfId="11299" xr:uid="{00000000-0005-0000-0000-0000F82B0000}"/>
    <cellStyle name="Normal 2 2 2 2 2 2 24 3 8" xfId="11300" xr:uid="{00000000-0005-0000-0000-0000F92B0000}"/>
    <cellStyle name="Normal 2 2 2 2 2 2 24 3 9" xfId="11301" xr:uid="{00000000-0005-0000-0000-0000FA2B0000}"/>
    <cellStyle name="Normal 2 2 2 2 2 2 24 4" xfId="11302" xr:uid="{00000000-0005-0000-0000-0000FB2B0000}"/>
    <cellStyle name="Normal 2 2 2 2 2 2 24 4 10" xfId="11303" xr:uid="{00000000-0005-0000-0000-0000FC2B0000}"/>
    <cellStyle name="Normal 2 2 2 2 2 2 24 4 2" xfId="11304" xr:uid="{00000000-0005-0000-0000-0000FD2B0000}"/>
    <cellStyle name="Normal 2 2 2 2 2 2 24 4 3" xfId="11305" xr:uid="{00000000-0005-0000-0000-0000FE2B0000}"/>
    <cellStyle name="Normal 2 2 2 2 2 2 24 4 4" xfId="11306" xr:uid="{00000000-0005-0000-0000-0000FF2B0000}"/>
    <cellStyle name="Normal 2 2 2 2 2 2 24 4 5" xfId="11307" xr:uid="{00000000-0005-0000-0000-0000002C0000}"/>
    <cellStyle name="Normal 2 2 2 2 2 2 24 4 6" xfId="11308" xr:uid="{00000000-0005-0000-0000-0000012C0000}"/>
    <cellStyle name="Normal 2 2 2 2 2 2 24 4 7" xfId="11309" xr:uid="{00000000-0005-0000-0000-0000022C0000}"/>
    <cellStyle name="Normal 2 2 2 2 2 2 24 4 8" xfId="11310" xr:uid="{00000000-0005-0000-0000-0000032C0000}"/>
    <cellStyle name="Normal 2 2 2 2 2 2 24 4 9" xfId="11311" xr:uid="{00000000-0005-0000-0000-0000042C0000}"/>
    <cellStyle name="Normal 2 2 2 2 2 2 24 5" xfId="11312" xr:uid="{00000000-0005-0000-0000-0000052C0000}"/>
    <cellStyle name="Normal 2 2 2 2 2 2 24 5 10" xfId="11313" xr:uid="{00000000-0005-0000-0000-0000062C0000}"/>
    <cellStyle name="Normal 2 2 2 2 2 2 24 5 2" xfId="11314" xr:uid="{00000000-0005-0000-0000-0000072C0000}"/>
    <cellStyle name="Normal 2 2 2 2 2 2 24 5 3" xfId="11315" xr:uid="{00000000-0005-0000-0000-0000082C0000}"/>
    <cellStyle name="Normal 2 2 2 2 2 2 24 5 4" xfId="11316" xr:uid="{00000000-0005-0000-0000-0000092C0000}"/>
    <cellStyle name="Normal 2 2 2 2 2 2 24 5 5" xfId="11317" xr:uid="{00000000-0005-0000-0000-00000A2C0000}"/>
    <cellStyle name="Normal 2 2 2 2 2 2 24 5 6" xfId="11318" xr:uid="{00000000-0005-0000-0000-00000B2C0000}"/>
    <cellStyle name="Normal 2 2 2 2 2 2 24 5 7" xfId="11319" xr:uid="{00000000-0005-0000-0000-00000C2C0000}"/>
    <cellStyle name="Normal 2 2 2 2 2 2 24 5 8" xfId="11320" xr:uid="{00000000-0005-0000-0000-00000D2C0000}"/>
    <cellStyle name="Normal 2 2 2 2 2 2 24 5 9" xfId="11321" xr:uid="{00000000-0005-0000-0000-00000E2C0000}"/>
    <cellStyle name="Normal 2 2 2 2 2 2 24 6" xfId="11322" xr:uid="{00000000-0005-0000-0000-00000F2C0000}"/>
    <cellStyle name="Normal 2 2 2 2 2 2 24 7" xfId="11323" xr:uid="{00000000-0005-0000-0000-0000102C0000}"/>
    <cellStyle name="Normal 2 2 2 2 2 2 24 8" xfId="11324" xr:uid="{00000000-0005-0000-0000-0000112C0000}"/>
    <cellStyle name="Normal 2 2 2 2 2 2 24 9" xfId="11325" xr:uid="{00000000-0005-0000-0000-0000122C0000}"/>
    <cellStyle name="Normal 2 2 2 2 2 2 25" xfId="11326" xr:uid="{00000000-0005-0000-0000-0000132C0000}"/>
    <cellStyle name="Normal 2 2 2 2 2 2 25 10" xfId="11327" xr:uid="{00000000-0005-0000-0000-0000142C0000}"/>
    <cellStyle name="Normal 2 2 2 2 2 2 25 11" xfId="11328" xr:uid="{00000000-0005-0000-0000-0000152C0000}"/>
    <cellStyle name="Normal 2 2 2 2 2 2 25 12" xfId="11329" xr:uid="{00000000-0005-0000-0000-0000162C0000}"/>
    <cellStyle name="Normal 2 2 2 2 2 2 25 13" xfId="11330" xr:uid="{00000000-0005-0000-0000-0000172C0000}"/>
    <cellStyle name="Normal 2 2 2 2 2 2 25 14" xfId="11331" xr:uid="{00000000-0005-0000-0000-0000182C0000}"/>
    <cellStyle name="Normal 2 2 2 2 2 2 25 2" xfId="11332" xr:uid="{00000000-0005-0000-0000-0000192C0000}"/>
    <cellStyle name="Normal 2 2 2 2 2 2 25 2 10" xfId="11333" xr:uid="{00000000-0005-0000-0000-00001A2C0000}"/>
    <cellStyle name="Normal 2 2 2 2 2 2 25 2 2" xfId="11334" xr:uid="{00000000-0005-0000-0000-00001B2C0000}"/>
    <cellStyle name="Normal 2 2 2 2 2 2 25 2 3" xfId="11335" xr:uid="{00000000-0005-0000-0000-00001C2C0000}"/>
    <cellStyle name="Normal 2 2 2 2 2 2 25 2 4" xfId="11336" xr:uid="{00000000-0005-0000-0000-00001D2C0000}"/>
    <cellStyle name="Normal 2 2 2 2 2 2 25 2 5" xfId="11337" xr:uid="{00000000-0005-0000-0000-00001E2C0000}"/>
    <cellStyle name="Normal 2 2 2 2 2 2 25 2 6" xfId="11338" xr:uid="{00000000-0005-0000-0000-00001F2C0000}"/>
    <cellStyle name="Normal 2 2 2 2 2 2 25 2 7" xfId="11339" xr:uid="{00000000-0005-0000-0000-0000202C0000}"/>
    <cellStyle name="Normal 2 2 2 2 2 2 25 2 8" xfId="11340" xr:uid="{00000000-0005-0000-0000-0000212C0000}"/>
    <cellStyle name="Normal 2 2 2 2 2 2 25 2 9" xfId="11341" xr:uid="{00000000-0005-0000-0000-0000222C0000}"/>
    <cellStyle name="Normal 2 2 2 2 2 2 25 3" xfId="11342" xr:uid="{00000000-0005-0000-0000-0000232C0000}"/>
    <cellStyle name="Normal 2 2 2 2 2 2 25 3 10" xfId="11343" xr:uid="{00000000-0005-0000-0000-0000242C0000}"/>
    <cellStyle name="Normal 2 2 2 2 2 2 25 3 2" xfId="11344" xr:uid="{00000000-0005-0000-0000-0000252C0000}"/>
    <cellStyle name="Normal 2 2 2 2 2 2 25 3 3" xfId="11345" xr:uid="{00000000-0005-0000-0000-0000262C0000}"/>
    <cellStyle name="Normal 2 2 2 2 2 2 25 3 4" xfId="11346" xr:uid="{00000000-0005-0000-0000-0000272C0000}"/>
    <cellStyle name="Normal 2 2 2 2 2 2 25 3 5" xfId="11347" xr:uid="{00000000-0005-0000-0000-0000282C0000}"/>
    <cellStyle name="Normal 2 2 2 2 2 2 25 3 6" xfId="11348" xr:uid="{00000000-0005-0000-0000-0000292C0000}"/>
    <cellStyle name="Normal 2 2 2 2 2 2 25 3 7" xfId="11349" xr:uid="{00000000-0005-0000-0000-00002A2C0000}"/>
    <cellStyle name="Normal 2 2 2 2 2 2 25 3 8" xfId="11350" xr:uid="{00000000-0005-0000-0000-00002B2C0000}"/>
    <cellStyle name="Normal 2 2 2 2 2 2 25 3 9" xfId="11351" xr:uid="{00000000-0005-0000-0000-00002C2C0000}"/>
    <cellStyle name="Normal 2 2 2 2 2 2 25 4" xfId="11352" xr:uid="{00000000-0005-0000-0000-00002D2C0000}"/>
    <cellStyle name="Normal 2 2 2 2 2 2 25 4 10" xfId="11353" xr:uid="{00000000-0005-0000-0000-00002E2C0000}"/>
    <cellStyle name="Normal 2 2 2 2 2 2 25 4 2" xfId="11354" xr:uid="{00000000-0005-0000-0000-00002F2C0000}"/>
    <cellStyle name="Normal 2 2 2 2 2 2 25 4 3" xfId="11355" xr:uid="{00000000-0005-0000-0000-0000302C0000}"/>
    <cellStyle name="Normal 2 2 2 2 2 2 25 4 4" xfId="11356" xr:uid="{00000000-0005-0000-0000-0000312C0000}"/>
    <cellStyle name="Normal 2 2 2 2 2 2 25 4 5" xfId="11357" xr:uid="{00000000-0005-0000-0000-0000322C0000}"/>
    <cellStyle name="Normal 2 2 2 2 2 2 25 4 6" xfId="11358" xr:uid="{00000000-0005-0000-0000-0000332C0000}"/>
    <cellStyle name="Normal 2 2 2 2 2 2 25 4 7" xfId="11359" xr:uid="{00000000-0005-0000-0000-0000342C0000}"/>
    <cellStyle name="Normal 2 2 2 2 2 2 25 4 8" xfId="11360" xr:uid="{00000000-0005-0000-0000-0000352C0000}"/>
    <cellStyle name="Normal 2 2 2 2 2 2 25 4 9" xfId="11361" xr:uid="{00000000-0005-0000-0000-0000362C0000}"/>
    <cellStyle name="Normal 2 2 2 2 2 2 25 5" xfId="11362" xr:uid="{00000000-0005-0000-0000-0000372C0000}"/>
    <cellStyle name="Normal 2 2 2 2 2 2 25 5 10" xfId="11363" xr:uid="{00000000-0005-0000-0000-0000382C0000}"/>
    <cellStyle name="Normal 2 2 2 2 2 2 25 5 2" xfId="11364" xr:uid="{00000000-0005-0000-0000-0000392C0000}"/>
    <cellStyle name="Normal 2 2 2 2 2 2 25 5 3" xfId="11365" xr:uid="{00000000-0005-0000-0000-00003A2C0000}"/>
    <cellStyle name="Normal 2 2 2 2 2 2 25 5 4" xfId="11366" xr:uid="{00000000-0005-0000-0000-00003B2C0000}"/>
    <cellStyle name="Normal 2 2 2 2 2 2 25 5 5" xfId="11367" xr:uid="{00000000-0005-0000-0000-00003C2C0000}"/>
    <cellStyle name="Normal 2 2 2 2 2 2 25 5 6" xfId="11368" xr:uid="{00000000-0005-0000-0000-00003D2C0000}"/>
    <cellStyle name="Normal 2 2 2 2 2 2 25 5 7" xfId="11369" xr:uid="{00000000-0005-0000-0000-00003E2C0000}"/>
    <cellStyle name="Normal 2 2 2 2 2 2 25 5 8" xfId="11370" xr:uid="{00000000-0005-0000-0000-00003F2C0000}"/>
    <cellStyle name="Normal 2 2 2 2 2 2 25 5 9" xfId="11371" xr:uid="{00000000-0005-0000-0000-0000402C0000}"/>
    <cellStyle name="Normal 2 2 2 2 2 2 25 6" xfId="11372" xr:uid="{00000000-0005-0000-0000-0000412C0000}"/>
    <cellStyle name="Normal 2 2 2 2 2 2 25 7" xfId="11373" xr:uid="{00000000-0005-0000-0000-0000422C0000}"/>
    <cellStyle name="Normal 2 2 2 2 2 2 25 8" xfId="11374" xr:uid="{00000000-0005-0000-0000-0000432C0000}"/>
    <cellStyle name="Normal 2 2 2 2 2 2 25 9" xfId="11375" xr:uid="{00000000-0005-0000-0000-0000442C0000}"/>
    <cellStyle name="Normal 2 2 2 2 2 2 26" xfId="11376" xr:uid="{00000000-0005-0000-0000-0000452C0000}"/>
    <cellStyle name="Normal 2 2 2 2 2 2 26 10" xfId="11377" xr:uid="{00000000-0005-0000-0000-0000462C0000}"/>
    <cellStyle name="Normal 2 2 2 2 2 2 26 11" xfId="11378" xr:uid="{00000000-0005-0000-0000-0000472C0000}"/>
    <cellStyle name="Normal 2 2 2 2 2 2 26 12" xfId="11379" xr:uid="{00000000-0005-0000-0000-0000482C0000}"/>
    <cellStyle name="Normal 2 2 2 2 2 2 26 13" xfId="11380" xr:uid="{00000000-0005-0000-0000-0000492C0000}"/>
    <cellStyle name="Normal 2 2 2 2 2 2 26 14" xfId="11381" xr:uid="{00000000-0005-0000-0000-00004A2C0000}"/>
    <cellStyle name="Normal 2 2 2 2 2 2 26 2" xfId="11382" xr:uid="{00000000-0005-0000-0000-00004B2C0000}"/>
    <cellStyle name="Normal 2 2 2 2 2 2 26 2 10" xfId="11383" xr:uid="{00000000-0005-0000-0000-00004C2C0000}"/>
    <cellStyle name="Normal 2 2 2 2 2 2 26 2 2" xfId="11384" xr:uid="{00000000-0005-0000-0000-00004D2C0000}"/>
    <cellStyle name="Normal 2 2 2 2 2 2 26 2 3" xfId="11385" xr:uid="{00000000-0005-0000-0000-00004E2C0000}"/>
    <cellStyle name="Normal 2 2 2 2 2 2 26 2 4" xfId="11386" xr:uid="{00000000-0005-0000-0000-00004F2C0000}"/>
    <cellStyle name="Normal 2 2 2 2 2 2 26 2 5" xfId="11387" xr:uid="{00000000-0005-0000-0000-0000502C0000}"/>
    <cellStyle name="Normal 2 2 2 2 2 2 26 2 6" xfId="11388" xr:uid="{00000000-0005-0000-0000-0000512C0000}"/>
    <cellStyle name="Normal 2 2 2 2 2 2 26 2 7" xfId="11389" xr:uid="{00000000-0005-0000-0000-0000522C0000}"/>
    <cellStyle name="Normal 2 2 2 2 2 2 26 2 8" xfId="11390" xr:uid="{00000000-0005-0000-0000-0000532C0000}"/>
    <cellStyle name="Normal 2 2 2 2 2 2 26 2 9" xfId="11391" xr:uid="{00000000-0005-0000-0000-0000542C0000}"/>
    <cellStyle name="Normal 2 2 2 2 2 2 26 3" xfId="11392" xr:uid="{00000000-0005-0000-0000-0000552C0000}"/>
    <cellStyle name="Normal 2 2 2 2 2 2 26 3 10" xfId="11393" xr:uid="{00000000-0005-0000-0000-0000562C0000}"/>
    <cellStyle name="Normal 2 2 2 2 2 2 26 3 2" xfId="11394" xr:uid="{00000000-0005-0000-0000-0000572C0000}"/>
    <cellStyle name="Normal 2 2 2 2 2 2 26 3 3" xfId="11395" xr:uid="{00000000-0005-0000-0000-0000582C0000}"/>
    <cellStyle name="Normal 2 2 2 2 2 2 26 3 4" xfId="11396" xr:uid="{00000000-0005-0000-0000-0000592C0000}"/>
    <cellStyle name="Normal 2 2 2 2 2 2 26 3 5" xfId="11397" xr:uid="{00000000-0005-0000-0000-00005A2C0000}"/>
    <cellStyle name="Normal 2 2 2 2 2 2 26 3 6" xfId="11398" xr:uid="{00000000-0005-0000-0000-00005B2C0000}"/>
    <cellStyle name="Normal 2 2 2 2 2 2 26 3 7" xfId="11399" xr:uid="{00000000-0005-0000-0000-00005C2C0000}"/>
    <cellStyle name="Normal 2 2 2 2 2 2 26 3 8" xfId="11400" xr:uid="{00000000-0005-0000-0000-00005D2C0000}"/>
    <cellStyle name="Normal 2 2 2 2 2 2 26 3 9" xfId="11401" xr:uid="{00000000-0005-0000-0000-00005E2C0000}"/>
    <cellStyle name="Normal 2 2 2 2 2 2 26 4" xfId="11402" xr:uid="{00000000-0005-0000-0000-00005F2C0000}"/>
    <cellStyle name="Normal 2 2 2 2 2 2 26 4 10" xfId="11403" xr:uid="{00000000-0005-0000-0000-0000602C0000}"/>
    <cellStyle name="Normal 2 2 2 2 2 2 26 4 2" xfId="11404" xr:uid="{00000000-0005-0000-0000-0000612C0000}"/>
    <cellStyle name="Normal 2 2 2 2 2 2 26 4 3" xfId="11405" xr:uid="{00000000-0005-0000-0000-0000622C0000}"/>
    <cellStyle name="Normal 2 2 2 2 2 2 26 4 4" xfId="11406" xr:uid="{00000000-0005-0000-0000-0000632C0000}"/>
    <cellStyle name="Normal 2 2 2 2 2 2 26 4 5" xfId="11407" xr:uid="{00000000-0005-0000-0000-0000642C0000}"/>
    <cellStyle name="Normal 2 2 2 2 2 2 26 4 6" xfId="11408" xr:uid="{00000000-0005-0000-0000-0000652C0000}"/>
    <cellStyle name="Normal 2 2 2 2 2 2 26 4 7" xfId="11409" xr:uid="{00000000-0005-0000-0000-0000662C0000}"/>
    <cellStyle name="Normal 2 2 2 2 2 2 26 4 8" xfId="11410" xr:uid="{00000000-0005-0000-0000-0000672C0000}"/>
    <cellStyle name="Normal 2 2 2 2 2 2 26 4 9" xfId="11411" xr:uid="{00000000-0005-0000-0000-0000682C0000}"/>
    <cellStyle name="Normal 2 2 2 2 2 2 26 5" xfId="11412" xr:uid="{00000000-0005-0000-0000-0000692C0000}"/>
    <cellStyle name="Normal 2 2 2 2 2 2 26 5 10" xfId="11413" xr:uid="{00000000-0005-0000-0000-00006A2C0000}"/>
    <cellStyle name="Normal 2 2 2 2 2 2 26 5 2" xfId="11414" xr:uid="{00000000-0005-0000-0000-00006B2C0000}"/>
    <cellStyle name="Normal 2 2 2 2 2 2 26 5 3" xfId="11415" xr:uid="{00000000-0005-0000-0000-00006C2C0000}"/>
    <cellStyle name="Normal 2 2 2 2 2 2 26 5 4" xfId="11416" xr:uid="{00000000-0005-0000-0000-00006D2C0000}"/>
    <cellStyle name="Normal 2 2 2 2 2 2 26 5 5" xfId="11417" xr:uid="{00000000-0005-0000-0000-00006E2C0000}"/>
    <cellStyle name="Normal 2 2 2 2 2 2 26 5 6" xfId="11418" xr:uid="{00000000-0005-0000-0000-00006F2C0000}"/>
    <cellStyle name="Normal 2 2 2 2 2 2 26 5 7" xfId="11419" xr:uid="{00000000-0005-0000-0000-0000702C0000}"/>
    <cellStyle name="Normal 2 2 2 2 2 2 26 5 8" xfId="11420" xr:uid="{00000000-0005-0000-0000-0000712C0000}"/>
    <cellStyle name="Normal 2 2 2 2 2 2 26 5 9" xfId="11421" xr:uid="{00000000-0005-0000-0000-0000722C0000}"/>
    <cellStyle name="Normal 2 2 2 2 2 2 26 6" xfId="11422" xr:uid="{00000000-0005-0000-0000-0000732C0000}"/>
    <cellStyle name="Normal 2 2 2 2 2 2 26 7" xfId="11423" xr:uid="{00000000-0005-0000-0000-0000742C0000}"/>
    <cellStyle name="Normal 2 2 2 2 2 2 26 8" xfId="11424" xr:uid="{00000000-0005-0000-0000-0000752C0000}"/>
    <cellStyle name="Normal 2 2 2 2 2 2 26 9" xfId="11425" xr:uid="{00000000-0005-0000-0000-0000762C0000}"/>
    <cellStyle name="Normal 2 2 2 2 2 2 27" xfId="11426" xr:uid="{00000000-0005-0000-0000-0000772C0000}"/>
    <cellStyle name="Normal 2 2 2 2 2 2 27 10" xfId="11427" xr:uid="{00000000-0005-0000-0000-0000782C0000}"/>
    <cellStyle name="Normal 2 2 2 2 2 2 27 11" xfId="11428" xr:uid="{00000000-0005-0000-0000-0000792C0000}"/>
    <cellStyle name="Normal 2 2 2 2 2 2 27 12" xfId="11429" xr:uid="{00000000-0005-0000-0000-00007A2C0000}"/>
    <cellStyle name="Normal 2 2 2 2 2 2 27 13" xfId="11430" xr:uid="{00000000-0005-0000-0000-00007B2C0000}"/>
    <cellStyle name="Normal 2 2 2 2 2 2 27 14" xfId="11431" xr:uid="{00000000-0005-0000-0000-00007C2C0000}"/>
    <cellStyle name="Normal 2 2 2 2 2 2 27 2" xfId="11432" xr:uid="{00000000-0005-0000-0000-00007D2C0000}"/>
    <cellStyle name="Normal 2 2 2 2 2 2 27 2 10" xfId="11433" xr:uid="{00000000-0005-0000-0000-00007E2C0000}"/>
    <cellStyle name="Normal 2 2 2 2 2 2 27 2 2" xfId="11434" xr:uid="{00000000-0005-0000-0000-00007F2C0000}"/>
    <cellStyle name="Normal 2 2 2 2 2 2 27 2 3" xfId="11435" xr:uid="{00000000-0005-0000-0000-0000802C0000}"/>
    <cellStyle name="Normal 2 2 2 2 2 2 27 2 4" xfId="11436" xr:uid="{00000000-0005-0000-0000-0000812C0000}"/>
    <cellStyle name="Normal 2 2 2 2 2 2 27 2 5" xfId="11437" xr:uid="{00000000-0005-0000-0000-0000822C0000}"/>
    <cellStyle name="Normal 2 2 2 2 2 2 27 2 6" xfId="11438" xr:uid="{00000000-0005-0000-0000-0000832C0000}"/>
    <cellStyle name="Normal 2 2 2 2 2 2 27 2 7" xfId="11439" xr:uid="{00000000-0005-0000-0000-0000842C0000}"/>
    <cellStyle name="Normal 2 2 2 2 2 2 27 2 8" xfId="11440" xr:uid="{00000000-0005-0000-0000-0000852C0000}"/>
    <cellStyle name="Normal 2 2 2 2 2 2 27 2 9" xfId="11441" xr:uid="{00000000-0005-0000-0000-0000862C0000}"/>
    <cellStyle name="Normal 2 2 2 2 2 2 27 3" xfId="11442" xr:uid="{00000000-0005-0000-0000-0000872C0000}"/>
    <cellStyle name="Normal 2 2 2 2 2 2 27 3 10" xfId="11443" xr:uid="{00000000-0005-0000-0000-0000882C0000}"/>
    <cellStyle name="Normal 2 2 2 2 2 2 27 3 2" xfId="11444" xr:uid="{00000000-0005-0000-0000-0000892C0000}"/>
    <cellStyle name="Normal 2 2 2 2 2 2 27 3 3" xfId="11445" xr:uid="{00000000-0005-0000-0000-00008A2C0000}"/>
    <cellStyle name="Normal 2 2 2 2 2 2 27 3 4" xfId="11446" xr:uid="{00000000-0005-0000-0000-00008B2C0000}"/>
    <cellStyle name="Normal 2 2 2 2 2 2 27 3 5" xfId="11447" xr:uid="{00000000-0005-0000-0000-00008C2C0000}"/>
    <cellStyle name="Normal 2 2 2 2 2 2 27 3 6" xfId="11448" xr:uid="{00000000-0005-0000-0000-00008D2C0000}"/>
    <cellStyle name="Normal 2 2 2 2 2 2 27 3 7" xfId="11449" xr:uid="{00000000-0005-0000-0000-00008E2C0000}"/>
    <cellStyle name="Normal 2 2 2 2 2 2 27 3 8" xfId="11450" xr:uid="{00000000-0005-0000-0000-00008F2C0000}"/>
    <cellStyle name="Normal 2 2 2 2 2 2 27 3 9" xfId="11451" xr:uid="{00000000-0005-0000-0000-0000902C0000}"/>
    <cellStyle name="Normal 2 2 2 2 2 2 27 4" xfId="11452" xr:uid="{00000000-0005-0000-0000-0000912C0000}"/>
    <cellStyle name="Normal 2 2 2 2 2 2 27 4 10" xfId="11453" xr:uid="{00000000-0005-0000-0000-0000922C0000}"/>
    <cellStyle name="Normal 2 2 2 2 2 2 27 4 2" xfId="11454" xr:uid="{00000000-0005-0000-0000-0000932C0000}"/>
    <cellStyle name="Normal 2 2 2 2 2 2 27 4 3" xfId="11455" xr:uid="{00000000-0005-0000-0000-0000942C0000}"/>
    <cellStyle name="Normal 2 2 2 2 2 2 27 4 4" xfId="11456" xr:uid="{00000000-0005-0000-0000-0000952C0000}"/>
    <cellStyle name="Normal 2 2 2 2 2 2 27 4 5" xfId="11457" xr:uid="{00000000-0005-0000-0000-0000962C0000}"/>
    <cellStyle name="Normal 2 2 2 2 2 2 27 4 6" xfId="11458" xr:uid="{00000000-0005-0000-0000-0000972C0000}"/>
    <cellStyle name="Normal 2 2 2 2 2 2 27 4 7" xfId="11459" xr:uid="{00000000-0005-0000-0000-0000982C0000}"/>
    <cellStyle name="Normal 2 2 2 2 2 2 27 4 8" xfId="11460" xr:uid="{00000000-0005-0000-0000-0000992C0000}"/>
    <cellStyle name="Normal 2 2 2 2 2 2 27 4 9" xfId="11461" xr:uid="{00000000-0005-0000-0000-00009A2C0000}"/>
    <cellStyle name="Normal 2 2 2 2 2 2 27 5" xfId="11462" xr:uid="{00000000-0005-0000-0000-00009B2C0000}"/>
    <cellStyle name="Normal 2 2 2 2 2 2 27 5 10" xfId="11463" xr:uid="{00000000-0005-0000-0000-00009C2C0000}"/>
    <cellStyle name="Normal 2 2 2 2 2 2 27 5 2" xfId="11464" xr:uid="{00000000-0005-0000-0000-00009D2C0000}"/>
    <cellStyle name="Normal 2 2 2 2 2 2 27 5 3" xfId="11465" xr:uid="{00000000-0005-0000-0000-00009E2C0000}"/>
    <cellStyle name="Normal 2 2 2 2 2 2 27 5 4" xfId="11466" xr:uid="{00000000-0005-0000-0000-00009F2C0000}"/>
    <cellStyle name="Normal 2 2 2 2 2 2 27 5 5" xfId="11467" xr:uid="{00000000-0005-0000-0000-0000A02C0000}"/>
    <cellStyle name="Normal 2 2 2 2 2 2 27 5 6" xfId="11468" xr:uid="{00000000-0005-0000-0000-0000A12C0000}"/>
    <cellStyle name="Normal 2 2 2 2 2 2 27 5 7" xfId="11469" xr:uid="{00000000-0005-0000-0000-0000A22C0000}"/>
    <cellStyle name="Normal 2 2 2 2 2 2 27 5 8" xfId="11470" xr:uid="{00000000-0005-0000-0000-0000A32C0000}"/>
    <cellStyle name="Normal 2 2 2 2 2 2 27 5 9" xfId="11471" xr:uid="{00000000-0005-0000-0000-0000A42C0000}"/>
    <cellStyle name="Normal 2 2 2 2 2 2 27 6" xfId="11472" xr:uid="{00000000-0005-0000-0000-0000A52C0000}"/>
    <cellStyle name="Normal 2 2 2 2 2 2 27 7" xfId="11473" xr:uid="{00000000-0005-0000-0000-0000A62C0000}"/>
    <cellStyle name="Normal 2 2 2 2 2 2 27 8" xfId="11474" xr:uid="{00000000-0005-0000-0000-0000A72C0000}"/>
    <cellStyle name="Normal 2 2 2 2 2 2 27 9" xfId="11475" xr:uid="{00000000-0005-0000-0000-0000A82C0000}"/>
    <cellStyle name="Normal 2 2 2 2 2 2 28" xfId="11476" xr:uid="{00000000-0005-0000-0000-0000A92C0000}"/>
    <cellStyle name="Normal 2 2 2 2 2 2 28 10" xfId="11477" xr:uid="{00000000-0005-0000-0000-0000AA2C0000}"/>
    <cellStyle name="Normal 2 2 2 2 2 2 28 11" xfId="11478" xr:uid="{00000000-0005-0000-0000-0000AB2C0000}"/>
    <cellStyle name="Normal 2 2 2 2 2 2 28 12" xfId="11479" xr:uid="{00000000-0005-0000-0000-0000AC2C0000}"/>
    <cellStyle name="Normal 2 2 2 2 2 2 28 13" xfId="11480" xr:uid="{00000000-0005-0000-0000-0000AD2C0000}"/>
    <cellStyle name="Normal 2 2 2 2 2 2 28 14" xfId="11481" xr:uid="{00000000-0005-0000-0000-0000AE2C0000}"/>
    <cellStyle name="Normal 2 2 2 2 2 2 28 2" xfId="11482" xr:uid="{00000000-0005-0000-0000-0000AF2C0000}"/>
    <cellStyle name="Normal 2 2 2 2 2 2 28 2 10" xfId="11483" xr:uid="{00000000-0005-0000-0000-0000B02C0000}"/>
    <cellStyle name="Normal 2 2 2 2 2 2 28 2 2" xfId="11484" xr:uid="{00000000-0005-0000-0000-0000B12C0000}"/>
    <cellStyle name="Normal 2 2 2 2 2 2 28 2 3" xfId="11485" xr:uid="{00000000-0005-0000-0000-0000B22C0000}"/>
    <cellStyle name="Normal 2 2 2 2 2 2 28 2 4" xfId="11486" xr:uid="{00000000-0005-0000-0000-0000B32C0000}"/>
    <cellStyle name="Normal 2 2 2 2 2 2 28 2 5" xfId="11487" xr:uid="{00000000-0005-0000-0000-0000B42C0000}"/>
    <cellStyle name="Normal 2 2 2 2 2 2 28 2 6" xfId="11488" xr:uid="{00000000-0005-0000-0000-0000B52C0000}"/>
    <cellStyle name="Normal 2 2 2 2 2 2 28 2 7" xfId="11489" xr:uid="{00000000-0005-0000-0000-0000B62C0000}"/>
    <cellStyle name="Normal 2 2 2 2 2 2 28 2 8" xfId="11490" xr:uid="{00000000-0005-0000-0000-0000B72C0000}"/>
    <cellStyle name="Normal 2 2 2 2 2 2 28 2 9" xfId="11491" xr:uid="{00000000-0005-0000-0000-0000B82C0000}"/>
    <cellStyle name="Normal 2 2 2 2 2 2 28 3" xfId="11492" xr:uid="{00000000-0005-0000-0000-0000B92C0000}"/>
    <cellStyle name="Normal 2 2 2 2 2 2 28 3 10" xfId="11493" xr:uid="{00000000-0005-0000-0000-0000BA2C0000}"/>
    <cellStyle name="Normal 2 2 2 2 2 2 28 3 2" xfId="11494" xr:uid="{00000000-0005-0000-0000-0000BB2C0000}"/>
    <cellStyle name="Normal 2 2 2 2 2 2 28 3 3" xfId="11495" xr:uid="{00000000-0005-0000-0000-0000BC2C0000}"/>
    <cellStyle name="Normal 2 2 2 2 2 2 28 3 4" xfId="11496" xr:uid="{00000000-0005-0000-0000-0000BD2C0000}"/>
    <cellStyle name="Normal 2 2 2 2 2 2 28 3 5" xfId="11497" xr:uid="{00000000-0005-0000-0000-0000BE2C0000}"/>
    <cellStyle name="Normal 2 2 2 2 2 2 28 3 6" xfId="11498" xr:uid="{00000000-0005-0000-0000-0000BF2C0000}"/>
    <cellStyle name="Normal 2 2 2 2 2 2 28 3 7" xfId="11499" xr:uid="{00000000-0005-0000-0000-0000C02C0000}"/>
    <cellStyle name="Normal 2 2 2 2 2 2 28 3 8" xfId="11500" xr:uid="{00000000-0005-0000-0000-0000C12C0000}"/>
    <cellStyle name="Normal 2 2 2 2 2 2 28 3 9" xfId="11501" xr:uid="{00000000-0005-0000-0000-0000C22C0000}"/>
    <cellStyle name="Normal 2 2 2 2 2 2 28 4" xfId="11502" xr:uid="{00000000-0005-0000-0000-0000C32C0000}"/>
    <cellStyle name="Normal 2 2 2 2 2 2 28 4 10" xfId="11503" xr:uid="{00000000-0005-0000-0000-0000C42C0000}"/>
    <cellStyle name="Normal 2 2 2 2 2 2 28 4 2" xfId="11504" xr:uid="{00000000-0005-0000-0000-0000C52C0000}"/>
    <cellStyle name="Normal 2 2 2 2 2 2 28 4 3" xfId="11505" xr:uid="{00000000-0005-0000-0000-0000C62C0000}"/>
    <cellStyle name="Normal 2 2 2 2 2 2 28 4 4" xfId="11506" xr:uid="{00000000-0005-0000-0000-0000C72C0000}"/>
    <cellStyle name="Normal 2 2 2 2 2 2 28 4 5" xfId="11507" xr:uid="{00000000-0005-0000-0000-0000C82C0000}"/>
    <cellStyle name="Normal 2 2 2 2 2 2 28 4 6" xfId="11508" xr:uid="{00000000-0005-0000-0000-0000C92C0000}"/>
    <cellStyle name="Normal 2 2 2 2 2 2 28 4 7" xfId="11509" xr:uid="{00000000-0005-0000-0000-0000CA2C0000}"/>
    <cellStyle name="Normal 2 2 2 2 2 2 28 4 8" xfId="11510" xr:uid="{00000000-0005-0000-0000-0000CB2C0000}"/>
    <cellStyle name="Normal 2 2 2 2 2 2 28 4 9" xfId="11511" xr:uid="{00000000-0005-0000-0000-0000CC2C0000}"/>
    <cellStyle name="Normal 2 2 2 2 2 2 28 5" xfId="11512" xr:uid="{00000000-0005-0000-0000-0000CD2C0000}"/>
    <cellStyle name="Normal 2 2 2 2 2 2 28 5 10" xfId="11513" xr:uid="{00000000-0005-0000-0000-0000CE2C0000}"/>
    <cellStyle name="Normal 2 2 2 2 2 2 28 5 2" xfId="11514" xr:uid="{00000000-0005-0000-0000-0000CF2C0000}"/>
    <cellStyle name="Normal 2 2 2 2 2 2 28 5 3" xfId="11515" xr:uid="{00000000-0005-0000-0000-0000D02C0000}"/>
    <cellStyle name="Normal 2 2 2 2 2 2 28 5 4" xfId="11516" xr:uid="{00000000-0005-0000-0000-0000D12C0000}"/>
    <cellStyle name="Normal 2 2 2 2 2 2 28 5 5" xfId="11517" xr:uid="{00000000-0005-0000-0000-0000D22C0000}"/>
    <cellStyle name="Normal 2 2 2 2 2 2 28 5 6" xfId="11518" xr:uid="{00000000-0005-0000-0000-0000D32C0000}"/>
    <cellStyle name="Normal 2 2 2 2 2 2 28 5 7" xfId="11519" xr:uid="{00000000-0005-0000-0000-0000D42C0000}"/>
    <cellStyle name="Normal 2 2 2 2 2 2 28 5 8" xfId="11520" xr:uid="{00000000-0005-0000-0000-0000D52C0000}"/>
    <cellStyle name="Normal 2 2 2 2 2 2 28 5 9" xfId="11521" xr:uid="{00000000-0005-0000-0000-0000D62C0000}"/>
    <cellStyle name="Normal 2 2 2 2 2 2 28 6" xfId="11522" xr:uid="{00000000-0005-0000-0000-0000D72C0000}"/>
    <cellStyle name="Normal 2 2 2 2 2 2 28 7" xfId="11523" xr:uid="{00000000-0005-0000-0000-0000D82C0000}"/>
    <cellStyle name="Normal 2 2 2 2 2 2 28 8" xfId="11524" xr:uid="{00000000-0005-0000-0000-0000D92C0000}"/>
    <cellStyle name="Normal 2 2 2 2 2 2 28 9" xfId="11525" xr:uid="{00000000-0005-0000-0000-0000DA2C0000}"/>
    <cellStyle name="Normal 2 2 2 2 2 2 29" xfId="11526" xr:uid="{00000000-0005-0000-0000-0000DB2C0000}"/>
    <cellStyle name="Normal 2 2 2 2 2 2 29 10" xfId="11527" xr:uid="{00000000-0005-0000-0000-0000DC2C0000}"/>
    <cellStyle name="Normal 2 2 2 2 2 2 29 11" xfId="11528" xr:uid="{00000000-0005-0000-0000-0000DD2C0000}"/>
    <cellStyle name="Normal 2 2 2 2 2 2 29 12" xfId="11529" xr:uid="{00000000-0005-0000-0000-0000DE2C0000}"/>
    <cellStyle name="Normal 2 2 2 2 2 2 29 13" xfId="11530" xr:uid="{00000000-0005-0000-0000-0000DF2C0000}"/>
    <cellStyle name="Normal 2 2 2 2 2 2 29 14" xfId="11531" xr:uid="{00000000-0005-0000-0000-0000E02C0000}"/>
    <cellStyle name="Normal 2 2 2 2 2 2 29 2" xfId="11532" xr:uid="{00000000-0005-0000-0000-0000E12C0000}"/>
    <cellStyle name="Normal 2 2 2 2 2 2 29 2 10" xfId="11533" xr:uid="{00000000-0005-0000-0000-0000E22C0000}"/>
    <cellStyle name="Normal 2 2 2 2 2 2 29 2 2" xfId="11534" xr:uid="{00000000-0005-0000-0000-0000E32C0000}"/>
    <cellStyle name="Normal 2 2 2 2 2 2 29 2 3" xfId="11535" xr:uid="{00000000-0005-0000-0000-0000E42C0000}"/>
    <cellStyle name="Normal 2 2 2 2 2 2 29 2 4" xfId="11536" xr:uid="{00000000-0005-0000-0000-0000E52C0000}"/>
    <cellStyle name="Normal 2 2 2 2 2 2 29 2 5" xfId="11537" xr:uid="{00000000-0005-0000-0000-0000E62C0000}"/>
    <cellStyle name="Normal 2 2 2 2 2 2 29 2 6" xfId="11538" xr:uid="{00000000-0005-0000-0000-0000E72C0000}"/>
    <cellStyle name="Normal 2 2 2 2 2 2 29 2 7" xfId="11539" xr:uid="{00000000-0005-0000-0000-0000E82C0000}"/>
    <cellStyle name="Normal 2 2 2 2 2 2 29 2 8" xfId="11540" xr:uid="{00000000-0005-0000-0000-0000E92C0000}"/>
    <cellStyle name="Normal 2 2 2 2 2 2 29 2 9" xfId="11541" xr:uid="{00000000-0005-0000-0000-0000EA2C0000}"/>
    <cellStyle name="Normal 2 2 2 2 2 2 29 3" xfId="11542" xr:uid="{00000000-0005-0000-0000-0000EB2C0000}"/>
    <cellStyle name="Normal 2 2 2 2 2 2 29 3 10" xfId="11543" xr:uid="{00000000-0005-0000-0000-0000EC2C0000}"/>
    <cellStyle name="Normal 2 2 2 2 2 2 29 3 2" xfId="11544" xr:uid="{00000000-0005-0000-0000-0000ED2C0000}"/>
    <cellStyle name="Normal 2 2 2 2 2 2 29 3 3" xfId="11545" xr:uid="{00000000-0005-0000-0000-0000EE2C0000}"/>
    <cellStyle name="Normal 2 2 2 2 2 2 29 3 4" xfId="11546" xr:uid="{00000000-0005-0000-0000-0000EF2C0000}"/>
    <cellStyle name="Normal 2 2 2 2 2 2 29 3 5" xfId="11547" xr:uid="{00000000-0005-0000-0000-0000F02C0000}"/>
    <cellStyle name="Normal 2 2 2 2 2 2 29 3 6" xfId="11548" xr:uid="{00000000-0005-0000-0000-0000F12C0000}"/>
    <cellStyle name="Normal 2 2 2 2 2 2 29 3 7" xfId="11549" xr:uid="{00000000-0005-0000-0000-0000F22C0000}"/>
    <cellStyle name="Normal 2 2 2 2 2 2 29 3 8" xfId="11550" xr:uid="{00000000-0005-0000-0000-0000F32C0000}"/>
    <cellStyle name="Normal 2 2 2 2 2 2 29 3 9" xfId="11551" xr:uid="{00000000-0005-0000-0000-0000F42C0000}"/>
    <cellStyle name="Normal 2 2 2 2 2 2 29 4" xfId="11552" xr:uid="{00000000-0005-0000-0000-0000F52C0000}"/>
    <cellStyle name="Normal 2 2 2 2 2 2 29 4 10" xfId="11553" xr:uid="{00000000-0005-0000-0000-0000F62C0000}"/>
    <cellStyle name="Normal 2 2 2 2 2 2 29 4 2" xfId="11554" xr:uid="{00000000-0005-0000-0000-0000F72C0000}"/>
    <cellStyle name="Normal 2 2 2 2 2 2 29 4 3" xfId="11555" xr:uid="{00000000-0005-0000-0000-0000F82C0000}"/>
    <cellStyle name="Normal 2 2 2 2 2 2 29 4 4" xfId="11556" xr:uid="{00000000-0005-0000-0000-0000F92C0000}"/>
    <cellStyle name="Normal 2 2 2 2 2 2 29 4 5" xfId="11557" xr:uid="{00000000-0005-0000-0000-0000FA2C0000}"/>
    <cellStyle name="Normal 2 2 2 2 2 2 29 4 6" xfId="11558" xr:uid="{00000000-0005-0000-0000-0000FB2C0000}"/>
    <cellStyle name="Normal 2 2 2 2 2 2 29 4 7" xfId="11559" xr:uid="{00000000-0005-0000-0000-0000FC2C0000}"/>
    <cellStyle name="Normal 2 2 2 2 2 2 29 4 8" xfId="11560" xr:uid="{00000000-0005-0000-0000-0000FD2C0000}"/>
    <cellStyle name="Normal 2 2 2 2 2 2 29 4 9" xfId="11561" xr:uid="{00000000-0005-0000-0000-0000FE2C0000}"/>
    <cellStyle name="Normal 2 2 2 2 2 2 29 5" xfId="11562" xr:uid="{00000000-0005-0000-0000-0000FF2C0000}"/>
    <cellStyle name="Normal 2 2 2 2 2 2 29 5 10" xfId="11563" xr:uid="{00000000-0005-0000-0000-0000002D0000}"/>
    <cellStyle name="Normal 2 2 2 2 2 2 29 5 2" xfId="11564" xr:uid="{00000000-0005-0000-0000-0000012D0000}"/>
    <cellStyle name="Normal 2 2 2 2 2 2 29 5 3" xfId="11565" xr:uid="{00000000-0005-0000-0000-0000022D0000}"/>
    <cellStyle name="Normal 2 2 2 2 2 2 29 5 4" xfId="11566" xr:uid="{00000000-0005-0000-0000-0000032D0000}"/>
    <cellStyle name="Normal 2 2 2 2 2 2 29 5 5" xfId="11567" xr:uid="{00000000-0005-0000-0000-0000042D0000}"/>
    <cellStyle name="Normal 2 2 2 2 2 2 29 5 6" xfId="11568" xr:uid="{00000000-0005-0000-0000-0000052D0000}"/>
    <cellStyle name="Normal 2 2 2 2 2 2 29 5 7" xfId="11569" xr:uid="{00000000-0005-0000-0000-0000062D0000}"/>
    <cellStyle name="Normal 2 2 2 2 2 2 29 5 8" xfId="11570" xr:uid="{00000000-0005-0000-0000-0000072D0000}"/>
    <cellStyle name="Normal 2 2 2 2 2 2 29 5 9" xfId="11571" xr:uid="{00000000-0005-0000-0000-0000082D0000}"/>
    <cellStyle name="Normal 2 2 2 2 2 2 29 6" xfId="11572" xr:uid="{00000000-0005-0000-0000-0000092D0000}"/>
    <cellStyle name="Normal 2 2 2 2 2 2 29 7" xfId="11573" xr:uid="{00000000-0005-0000-0000-00000A2D0000}"/>
    <cellStyle name="Normal 2 2 2 2 2 2 29 8" xfId="11574" xr:uid="{00000000-0005-0000-0000-00000B2D0000}"/>
    <cellStyle name="Normal 2 2 2 2 2 2 29 9" xfId="11575" xr:uid="{00000000-0005-0000-0000-00000C2D0000}"/>
    <cellStyle name="Normal 2 2 2 2 2 2 3" xfId="11576" xr:uid="{00000000-0005-0000-0000-00000D2D0000}"/>
    <cellStyle name="Normal 2 2 2 2 2 2 3 10" xfId="11577" xr:uid="{00000000-0005-0000-0000-00000E2D0000}"/>
    <cellStyle name="Normal 2 2 2 2 2 2 3 11" xfId="11578" xr:uid="{00000000-0005-0000-0000-00000F2D0000}"/>
    <cellStyle name="Normal 2 2 2 2 2 2 3 12" xfId="11579" xr:uid="{00000000-0005-0000-0000-0000102D0000}"/>
    <cellStyle name="Normal 2 2 2 2 2 2 3 13" xfId="11580" xr:uid="{00000000-0005-0000-0000-0000112D0000}"/>
    <cellStyle name="Normal 2 2 2 2 2 2 3 14" xfId="11581" xr:uid="{00000000-0005-0000-0000-0000122D0000}"/>
    <cellStyle name="Normal 2 2 2 2 2 2 3 15" xfId="11582" xr:uid="{00000000-0005-0000-0000-0000132D0000}"/>
    <cellStyle name="Normal 2 2 2 2 2 2 3 16" xfId="11583" xr:uid="{00000000-0005-0000-0000-0000142D0000}"/>
    <cellStyle name="Normal 2 2 2 2 2 2 3 2" xfId="11584" xr:uid="{00000000-0005-0000-0000-0000152D0000}"/>
    <cellStyle name="Normal 2 2 2 2 2 2 3 2 10" xfId="11585" xr:uid="{00000000-0005-0000-0000-0000162D0000}"/>
    <cellStyle name="Normal 2 2 2 2 2 2 3 2 2" xfId="11586" xr:uid="{00000000-0005-0000-0000-0000172D0000}"/>
    <cellStyle name="Normal 2 2 2 2 2 2 3 2 3" xfId="11587" xr:uid="{00000000-0005-0000-0000-0000182D0000}"/>
    <cellStyle name="Normal 2 2 2 2 2 2 3 2 4" xfId="11588" xr:uid="{00000000-0005-0000-0000-0000192D0000}"/>
    <cellStyle name="Normal 2 2 2 2 2 2 3 2 5" xfId="11589" xr:uid="{00000000-0005-0000-0000-00001A2D0000}"/>
    <cellStyle name="Normal 2 2 2 2 2 2 3 2 6" xfId="11590" xr:uid="{00000000-0005-0000-0000-00001B2D0000}"/>
    <cellStyle name="Normal 2 2 2 2 2 2 3 2 7" xfId="11591" xr:uid="{00000000-0005-0000-0000-00001C2D0000}"/>
    <cellStyle name="Normal 2 2 2 2 2 2 3 2 8" xfId="11592" xr:uid="{00000000-0005-0000-0000-00001D2D0000}"/>
    <cellStyle name="Normal 2 2 2 2 2 2 3 2 9" xfId="11593" xr:uid="{00000000-0005-0000-0000-00001E2D0000}"/>
    <cellStyle name="Normal 2 2 2 2 2 2 3 3" xfId="11594" xr:uid="{00000000-0005-0000-0000-00001F2D0000}"/>
    <cellStyle name="Normal 2 2 2 2 2 2 3 3 10" xfId="11595" xr:uid="{00000000-0005-0000-0000-0000202D0000}"/>
    <cellStyle name="Normal 2 2 2 2 2 2 3 3 2" xfId="11596" xr:uid="{00000000-0005-0000-0000-0000212D0000}"/>
    <cellStyle name="Normal 2 2 2 2 2 2 3 3 3" xfId="11597" xr:uid="{00000000-0005-0000-0000-0000222D0000}"/>
    <cellStyle name="Normal 2 2 2 2 2 2 3 3 4" xfId="11598" xr:uid="{00000000-0005-0000-0000-0000232D0000}"/>
    <cellStyle name="Normal 2 2 2 2 2 2 3 3 5" xfId="11599" xr:uid="{00000000-0005-0000-0000-0000242D0000}"/>
    <cellStyle name="Normal 2 2 2 2 2 2 3 3 6" xfId="11600" xr:uid="{00000000-0005-0000-0000-0000252D0000}"/>
    <cellStyle name="Normal 2 2 2 2 2 2 3 3 7" xfId="11601" xr:uid="{00000000-0005-0000-0000-0000262D0000}"/>
    <cellStyle name="Normal 2 2 2 2 2 2 3 3 8" xfId="11602" xr:uid="{00000000-0005-0000-0000-0000272D0000}"/>
    <cellStyle name="Normal 2 2 2 2 2 2 3 3 9" xfId="11603" xr:uid="{00000000-0005-0000-0000-0000282D0000}"/>
    <cellStyle name="Normal 2 2 2 2 2 2 3 4" xfId="11604" xr:uid="{00000000-0005-0000-0000-0000292D0000}"/>
    <cellStyle name="Normal 2 2 2 2 2 2 3 4 10" xfId="11605" xr:uid="{00000000-0005-0000-0000-00002A2D0000}"/>
    <cellStyle name="Normal 2 2 2 2 2 2 3 4 2" xfId="11606" xr:uid="{00000000-0005-0000-0000-00002B2D0000}"/>
    <cellStyle name="Normal 2 2 2 2 2 2 3 4 3" xfId="11607" xr:uid="{00000000-0005-0000-0000-00002C2D0000}"/>
    <cellStyle name="Normal 2 2 2 2 2 2 3 4 4" xfId="11608" xr:uid="{00000000-0005-0000-0000-00002D2D0000}"/>
    <cellStyle name="Normal 2 2 2 2 2 2 3 4 5" xfId="11609" xr:uid="{00000000-0005-0000-0000-00002E2D0000}"/>
    <cellStyle name="Normal 2 2 2 2 2 2 3 4 6" xfId="11610" xr:uid="{00000000-0005-0000-0000-00002F2D0000}"/>
    <cellStyle name="Normal 2 2 2 2 2 2 3 4 7" xfId="11611" xr:uid="{00000000-0005-0000-0000-0000302D0000}"/>
    <cellStyle name="Normal 2 2 2 2 2 2 3 4 8" xfId="11612" xr:uid="{00000000-0005-0000-0000-0000312D0000}"/>
    <cellStyle name="Normal 2 2 2 2 2 2 3 4 9" xfId="11613" xr:uid="{00000000-0005-0000-0000-0000322D0000}"/>
    <cellStyle name="Normal 2 2 2 2 2 2 3 5" xfId="11614" xr:uid="{00000000-0005-0000-0000-0000332D0000}"/>
    <cellStyle name="Normal 2 2 2 2 2 2 3 5 10" xfId="11615" xr:uid="{00000000-0005-0000-0000-0000342D0000}"/>
    <cellStyle name="Normal 2 2 2 2 2 2 3 5 2" xfId="11616" xr:uid="{00000000-0005-0000-0000-0000352D0000}"/>
    <cellStyle name="Normal 2 2 2 2 2 2 3 5 3" xfId="11617" xr:uid="{00000000-0005-0000-0000-0000362D0000}"/>
    <cellStyle name="Normal 2 2 2 2 2 2 3 5 4" xfId="11618" xr:uid="{00000000-0005-0000-0000-0000372D0000}"/>
    <cellStyle name="Normal 2 2 2 2 2 2 3 5 5" xfId="11619" xr:uid="{00000000-0005-0000-0000-0000382D0000}"/>
    <cellStyle name="Normal 2 2 2 2 2 2 3 5 6" xfId="11620" xr:uid="{00000000-0005-0000-0000-0000392D0000}"/>
    <cellStyle name="Normal 2 2 2 2 2 2 3 5 7" xfId="11621" xr:uid="{00000000-0005-0000-0000-00003A2D0000}"/>
    <cellStyle name="Normal 2 2 2 2 2 2 3 5 8" xfId="11622" xr:uid="{00000000-0005-0000-0000-00003B2D0000}"/>
    <cellStyle name="Normal 2 2 2 2 2 2 3 5 9" xfId="11623" xr:uid="{00000000-0005-0000-0000-00003C2D0000}"/>
    <cellStyle name="Normal 2 2 2 2 2 2 3 6" xfId="11624" xr:uid="{00000000-0005-0000-0000-00003D2D0000}"/>
    <cellStyle name="Normal 2 2 2 2 2 2 3 7" xfId="11625" xr:uid="{00000000-0005-0000-0000-00003E2D0000}"/>
    <cellStyle name="Normal 2 2 2 2 2 2 3 8" xfId="11626" xr:uid="{00000000-0005-0000-0000-00003F2D0000}"/>
    <cellStyle name="Normal 2 2 2 2 2 2 3 9" xfId="11627" xr:uid="{00000000-0005-0000-0000-0000402D0000}"/>
    <cellStyle name="Normal 2 2 2 2 2 2 30" xfId="11628" xr:uid="{00000000-0005-0000-0000-0000412D0000}"/>
    <cellStyle name="Normal 2 2 2 2 2 2 30 10" xfId="11629" xr:uid="{00000000-0005-0000-0000-0000422D0000}"/>
    <cellStyle name="Normal 2 2 2 2 2 2 30 11" xfId="11630" xr:uid="{00000000-0005-0000-0000-0000432D0000}"/>
    <cellStyle name="Normal 2 2 2 2 2 2 30 12" xfId="11631" xr:uid="{00000000-0005-0000-0000-0000442D0000}"/>
    <cellStyle name="Normal 2 2 2 2 2 2 30 13" xfId="11632" xr:uid="{00000000-0005-0000-0000-0000452D0000}"/>
    <cellStyle name="Normal 2 2 2 2 2 2 30 14" xfId="11633" xr:uid="{00000000-0005-0000-0000-0000462D0000}"/>
    <cellStyle name="Normal 2 2 2 2 2 2 30 2" xfId="11634" xr:uid="{00000000-0005-0000-0000-0000472D0000}"/>
    <cellStyle name="Normal 2 2 2 2 2 2 30 2 10" xfId="11635" xr:uid="{00000000-0005-0000-0000-0000482D0000}"/>
    <cellStyle name="Normal 2 2 2 2 2 2 30 2 2" xfId="11636" xr:uid="{00000000-0005-0000-0000-0000492D0000}"/>
    <cellStyle name="Normal 2 2 2 2 2 2 30 2 3" xfId="11637" xr:uid="{00000000-0005-0000-0000-00004A2D0000}"/>
    <cellStyle name="Normal 2 2 2 2 2 2 30 2 4" xfId="11638" xr:uid="{00000000-0005-0000-0000-00004B2D0000}"/>
    <cellStyle name="Normal 2 2 2 2 2 2 30 2 5" xfId="11639" xr:uid="{00000000-0005-0000-0000-00004C2D0000}"/>
    <cellStyle name="Normal 2 2 2 2 2 2 30 2 6" xfId="11640" xr:uid="{00000000-0005-0000-0000-00004D2D0000}"/>
    <cellStyle name="Normal 2 2 2 2 2 2 30 2 7" xfId="11641" xr:uid="{00000000-0005-0000-0000-00004E2D0000}"/>
    <cellStyle name="Normal 2 2 2 2 2 2 30 2 8" xfId="11642" xr:uid="{00000000-0005-0000-0000-00004F2D0000}"/>
    <cellStyle name="Normal 2 2 2 2 2 2 30 2 9" xfId="11643" xr:uid="{00000000-0005-0000-0000-0000502D0000}"/>
    <cellStyle name="Normal 2 2 2 2 2 2 30 3" xfId="11644" xr:uid="{00000000-0005-0000-0000-0000512D0000}"/>
    <cellStyle name="Normal 2 2 2 2 2 2 30 3 10" xfId="11645" xr:uid="{00000000-0005-0000-0000-0000522D0000}"/>
    <cellStyle name="Normal 2 2 2 2 2 2 30 3 2" xfId="11646" xr:uid="{00000000-0005-0000-0000-0000532D0000}"/>
    <cellStyle name="Normal 2 2 2 2 2 2 30 3 3" xfId="11647" xr:uid="{00000000-0005-0000-0000-0000542D0000}"/>
    <cellStyle name="Normal 2 2 2 2 2 2 30 3 4" xfId="11648" xr:uid="{00000000-0005-0000-0000-0000552D0000}"/>
    <cellStyle name="Normal 2 2 2 2 2 2 30 3 5" xfId="11649" xr:uid="{00000000-0005-0000-0000-0000562D0000}"/>
    <cellStyle name="Normal 2 2 2 2 2 2 30 3 6" xfId="11650" xr:uid="{00000000-0005-0000-0000-0000572D0000}"/>
    <cellStyle name="Normal 2 2 2 2 2 2 30 3 7" xfId="11651" xr:uid="{00000000-0005-0000-0000-0000582D0000}"/>
    <cellStyle name="Normal 2 2 2 2 2 2 30 3 8" xfId="11652" xr:uid="{00000000-0005-0000-0000-0000592D0000}"/>
    <cellStyle name="Normal 2 2 2 2 2 2 30 3 9" xfId="11653" xr:uid="{00000000-0005-0000-0000-00005A2D0000}"/>
    <cellStyle name="Normal 2 2 2 2 2 2 30 4" xfId="11654" xr:uid="{00000000-0005-0000-0000-00005B2D0000}"/>
    <cellStyle name="Normal 2 2 2 2 2 2 30 4 10" xfId="11655" xr:uid="{00000000-0005-0000-0000-00005C2D0000}"/>
    <cellStyle name="Normal 2 2 2 2 2 2 30 4 2" xfId="11656" xr:uid="{00000000-0005-0000-0000-00005D2D0000}"/>
    <cellStyle name="Normal 2 2 2 2 2 2 30 4 3" xfId="11657" xr:uid="{00000000-0005-0000-0000-00005E2D0000}"/>
    <cellStyle name="Normal 2 2 2 2 2 2 30 4 4" xfId="11658" xr:uid="{00000000-0005-0000-0000-00005F2D0000}"/>
    <cellStyle name="Normal 2 2 2 2 2 2 30 4 5" xfId="11659" xr:uid="{00000000-0005-0000-0000-0000602D0000}"/>
    <cellStyle name="Normal 2 2 2 2 2 2 30 4 6" xfId="11660" xr:uid="{00000000-0005-0000-0000-0000612D0000}"/>
    <cellStyle name="Normal 2 2 2 2 2 2 30 4 7" xfId="11661" xr:uid="{00000000-0005-0000-0000-0000622D0000}"/>
    <cellStyle name="Normal 2 2 2 2 2 2 30 4 8" xfId="11662" xr:uid="{00000000-0005-0000-0000-0000632D0000}"/>
    <cellStyle name="Normal 2 2 2 2 2 2 30 4 9" xfId="11663" xr:uid="{00000000-0005-0000-0000-0000642D0000}"/>
    <cellStyle name="Normal 2 2 2 2 2 2 30 5" xfId="11664" xr:uid="{00000000-0005-0000-0000-0000652D0000}"/>
    <cellStyle name="Normal 2 2 2 2 2 2 30 5 10" xfId="11665" xr:uid="{00000000-0005-0000-0000-0000662D0000}"/>
    <cellStyle name="Normal 2 2 2 2 2 2 30 5 2" xfId="11666" xr:uid="{00000000-0005-0000-0000-0000672D0000}"/>
    <cellStyle name="Normal 2 2 2 2 2 2 30 5 3" xfId="11667" xr:uid="{00000000-0005-0000-0000-0000682D0000}"/>
    <cellStyle name="Normal 2 2 2 2 2 2 30 5 4" xfId="11668" xr:uid="{00000000-0005-0000-0000-0000692D0000}"/>
    <cellStyle name="Normal 2 2 2 2 2 2 30 5 5" xfId="11669" xr:uid="{00000000-0005-0000-0000-00006A2D0000}"/>
    <cellStyle name="Normal 2 2 2 2 2 2 30 5 6" xfId="11670" xr:uid="{00000000-0005-0000-0000-00006B2D0000}"/>
    <cellStyle name="Normal 2 2 2 2 2 2 30 5 7" xfId="11671" xr:uid="{00000000-0005-0000-0000-00006C2D0000}"/>
    <cellStyle name="Normal 2 2 2 2 2 2 30 5 8" xfId="11672" xr:uid="{00000000-0005-0000-0000-00006D2D0000}"/>
    <cellStyle name="Normal 2 2 2 2 2 2 30 5 9" xfId="11673" xr:uid="{00000000-0005-0000-0000-00006E2D0000}"/>
    <cellStyle name="Normal 2 2 2 2 2 2 30 6" xfId="11674" xr:uid="{00000000-0005-0000-0000-00006F2D0000}"/>
    <cellStyle name="Normal 2 2 2 2 2 2 30 7" xfId="11675" xr:uid="{00000000-0005-0000-0000-0000702D0000}"/>
    <cellStyle name="Normal 2 2 2 2 2 2 30 8" xfId="11676" xr:uid="{00000000-0005-0000-0000-0000712D0000}"/>
    <cellStyle name="Normal 2 2 2 2 2 2 30 9" xfId="11677" xr:uid="{00000000-0005-0000-0000-0000722D0000}"/>
    <cellStyle name="Normal 2 2 2 2 2 2 31" xfId="11678" xr:uid="{00000000-0005-0000-0000-0000732D0000}"/>
    <cellStyle name="Normal 2 2 2 2 2 2 31 10" xfId="11679" xr:uid="{00000000-0005-0000-0000-0000742D0000}"/>
    <cellStyle name="Normal 2 2 2 2 2 2 31 11" xfId="11680" xr:uid="{00000000-0005-0000-0000-0000752D0000}"/>
    <cellStyle name="Normal 2 2 2 2 2 2 31 12" xfId="11681" xr:uid="{00000000-0005-0000-0000-0000762D0000}"/>
    <cellStyle name="Normal 2 2 2 2 2 2 31 13" xfId="11682" xr:uid="{00000000-0005-0000-0000-0000772D0000}"/>
    <cellStyle name="Normal 2 2 2 2 2 2 31 14" xfId="11683" xr:uid="{00000000-0005-0000-0000-0000782D0000}"/>
    <cellStyle name="Normal 2 2 2 2 2 2 31 2" xfId="11684" xr:uid="{00000000-0005-0000-0000-0000792D0000}"/>
    <cellStyle name="Normal 2 2 2 2 2 2 31 2 10" xfId="11685" xr:uid="{00000000-0005-0000-0000-00007A2D0000}"/>
    <cellStyle name="Normal 2 2 2 2 2 2 31 2 2" xfId="11686" xr:uid="{00000000-0005-0000-0000-00007B2D0000}"/>
    <cellStyle name="Normal 2 2 2 2 2 2 31 2 3" xfId="11687" xr:uid="{00000000-0005-0000-0000-00007C2D0000}"/>
    <cellStyle name="Normal 2 2 2 2 2 2 31 2 4" xfId="11688" xr:uid="{00000000-0005-0000-0000-00007D2D0000}"/>
    <cellStyle name="Normal 2 2 2 2 2 2 31 2 5" xfId="11689" xr:uid="{00000000-0005-0000-0000-00007E2D0000}"/>
    <cellStyle name="Normal 2 2 2 2 2 2 31 2 6" xfId="11690" xr:uid="{00000000-0005-0000-0000-00007F2D0000}"/>
    <cellStyle name="Normal 2 2 2 2 2 2 31 2 7" xfId="11691" xr:uid="{00000000-0005-0000-0000-0000802D0000}"/>
    <cellStyle name="Normal 2 2 2 2 2 2 31 2 8" xfId="11692" xr:uid="{00000000-0005-0000-0000-0000812D0000}"/>
    <cellStyle name="Normal 2 2 2 2 2 2 31 2 9" xfId="11693" xr:uid="{00000000-0005-0000-0000-0000822D0000}"/>
    <cellStyle name="Normal 2 2 2 2 2 2 31 3" xfId="11694" xr:uid="{00000000-0005-0000-0000-0000832D0000}"/>
    <cellStyle name="Normal 2 2 2 2 2 2 31 3 10" xfId="11695" xr:uid="{00000000-0005-0000-0000-0000842D0000}"/>
    <cellStyle name="Normal 2 2 2 2 2 2 31 3 2" xfId="11696" xr:uid="{00000000-0005-0000-0000-0000852D0000}"/>
    <cellStyle name="Normal 2 2 2 2 2 2 31 3 3" xfId="11697" xr:uid="{00000000-0005-0000-0000-0000862D0000}"/>
    <cellStyle name="Normal 2 2 2 2 2 2 31 3 4" xfId="11698" xr:uid="{00000000-0005-0000-0000-0000872D0000}"/>
    <cellStyle name="Normal 2 2 2 2 2 2 31 3 5" xfId="11699" xr:uid="{00000000-0005-0000-0000-0000882D0000}"/>
    <cellStyle name="Normal 2 2 2 2 2 2 31 3 6" xfId="11700" xr:uid="{00000000-0005-0000-0000-0000892D0000}"/>
    <cellStyle name="Normal 2 2 2 2 2 2 31 3 7" xfId="11701" xr:uid="{00000000-0005-0000-0000-00008A2D0000}"/>
    <cellStyle name="Normal 2 2 2 2 2 2 31 3 8" xfId="11702" xr:uid="{00000000-0005-0000-0000-00008B2D0000}"/>
    <cellStyle name="Normal 2 2 2 2 2 2 31 3 9" xfId="11703" xr:uid="{00000000-0005-0000-0000-00008C2D0000}"/>
    <cellStyle name="Normal 2 2 2 2 2 2 31 4" xfId="11704" xr:uid="{00000000-0005-0000-0000-00008D2D0000}"/>
    <cellStyle name="Normal 2 2 2 2 2 2 31 4 10" xfId="11705" xr:uid="{00000000-0005-0000-0000-00008E2D0000}"/>
    <cellStyle name="Normal 2 2 2 2 2 2 31 4 2" xfId="11706" xr:uid="{00000000-0005-0000-0000-00008F2D0000}"/>
    <cellStyle name="Normal 2 2 2 2 2 2 31 4 3" xfId="11707" xr:uid="{00000000-0005-0000-0000-0000902D0000}"/>
    <cellStyle name="Normal 2 2 2 2 2 2 31 4 4" xfId="11708" xr:uid="{00000000-0005-0000-0000-0000912D0000}"/>
    <cellStyle name="Normal 2 2 2 2 2 2 31 4 5" xfId="11709" xr:uid="{00000000-0005-0000-0000-0000922D0000}"/>
    <cellStyle name="Normal 2 2 2 2 2 2 31 4 6" xfId="11710" xr:uid="{00000000-0005-0000-0000-0000932D0000}"/>
    <cellStyle name="Normal 2 2 2 2 2 2 31 4 7" xfId="11711" xr:uid="{00000000-0005-0000-0000-0000942D0000}"/>
    <cellStyle name="Normal 2 2 2 2 2 2 31 4 8" xfId="11712" xr:uid="{00000000-0005-0000-0000-0000952D0000}"/>
    <cellStyle name="Normal 2 2 2 2 2 2 31 4 9" xfId="11713" xr:uid="{00000000-0005-0000-0000-0000962D0000}"/>
    <cellStyle name="Normal 2 2 2 2 2 2 31 5" xfId="11714" xr:uid="{00000000-0005-0000-0000-0000972D0000}"/>
    <cellStyle name="Normal 2 2 2 2 2 2 31 5 10" xfId="11715" xr:uid="{00000000-0005-0000-0000-0000982D0000}"/>
    <cellStyle name="Normal 2 2 2 2 2 2 31 5 2" xfId="11716" xr:uid="{00000000-0005-0000-0000-0000992D0000}"/>
    <cellStyle name="Normal 2 2 2 2 2 2 31 5 3" xfId="11717" xr:uid="{00000000-0005-0000-0000-00009A2D0000}"/>
    <cellStyle name="Normal 2 2 2 2 2 2 31 5 4" xfId="11718" xr:uid="{00000000-0005-0000-0000-00009B2D0000}"/>
    <cellStyle name="Normal 2 2 2 2 2 2 31 5 5" xfId="11719" xr:uid="{00000000-0005-0000-0000-00009C2D0000}"/>
    <cellStyle name="Normal 2 2 2 2 2 2 31 5 6" xfId="11720" xr:uid="{00000000-0005-0000-0000-00009D2D0000}"/>
    <cellStyle name="Normal 2 2 2 2 2 2 31 5 7" xfId="11721" xr:uid="{00000000-0005-0000-0000-00009E2D0000}"/>
    <cellStyle name="Normal 2 2 2 2 2 2 31 5 8" xfId="11722" xr:uid="{00000000-0005-0000-0000-00009F2D0000}"/>
    <cellStyle name="Normal 2 2 2 2 2 2 31 5 9" xfId="11723" xr:uid="{00000000-0005-0000-0000-0000A02D0000}"/>
    <cellStyle name="Normal 2 2 2 2 2 2 31 6" xfId="11724" xr:uid="{00000000-0005-0000-0000-0000A12D0000}"/>
    <cellStyle name="Normal 2 2 2 2 2 2 31 7" xfId="11725" xr:uid="{00000000-0005-0000-0000-0000A22D0000}"/>
    <cellStyle name="Normal 2 2 2 2 2 2 31 8" xfId="11726" xr:uid="{00000000-0005-0000-0000-0000A32D0000}"/>
    <cellStyle name="Normal 2 2 2 2 2 2 31 9" xfId="11727" xr:uid="{00000000-0005-0000-0000-0000A42D0000}"/>
    <cellStyle name="Normal 2 2 2 2 2 2 32" xfId="11728" xr:uid="{00000000-0005-0000-0000-0000A52D0000}"/>
    <cellStyle name="Normal 2 2 2 2 2 2 32 10" xfId="11729" xr:uid="{00000000-0005-0000-0000-0000A62D0000}"/>
    <cellStyle name="Normal 2 2 2 2 2 2 32 11" xfId="11730" xr:uid="{00000000-0005-0000-0000-0000A72D0000}"/>
    <cellStyle name="Normal 2 2 2 2 2 2 32 12" xfId="11731" xr:uid="{00000000-0005-0000-0000-0000A82D0000}"/>
    <cellStyle name="Normal 2 2 2 2 2 2 32 13" xfId="11732" xr:uid="{00000000-0005-0000-0000-0000A92D0000}"/>
    <cellStyle name="Normal 2 2 2 2 2 2 32 14" xfId="11733" xr:uid="{00000000-0005-0000-0000-0000AA2D0000}"/>
    <cellStyle name="Normal 2 2 2 2 2 2 32 2" xfId="11734" xr:uid="{00000000-0005-0000-0000-0000AB2D0000}"/>
    <cellStyle name="Normal 2 2 2 2 2 2 32 2 10" xfId="11735" xr:uid="{00000000-0005-0000-0000-0000AC2D0000}"/>
    <cellStyle name="Normal 2 2 2 2 2 2 32 2 2" xfId="11736" xr:uid="{00000000-0005-0000-0000-0000AD2D0000}"/>
    <cellStyle name="Normal 2 2 2 2 2 2 32 2 3" xfId="11737" xr:uid="{00000000-0005-0000-0000-0000AE2D0000}"/>
    <cellStyle name="Normal 2 2 2 2 2 2 32 2 4" xfId="11738" xr:uid="{00000000-0005-0000-0000-0000AF2D0000}"/>
    <cellStyle name="Normal 2 2 2 2 2 2 32 2 5" xfId="11739" xr:uid="{00000000-0005-0000-0000-0000B02D0000}"/>
    <cellStyle name="Normal 2 2 2 2 2 2 32 2 6" xfId="11740" xr:uid="{00000000-0005-0000-0000-0000B12D0000}"/>
    <cellStyle name="Normal 2 2 2 2 2 2 32 2 7" xfId="11741" xr:uid="{00000000-0005-0000-0000-0000B22D0000}"/>
    <cellStyle name="Normal 2 2 2 2 2 2 32 2 8" xfId="11742" xr:uid="{00000000-0005-0000-0000-0000B32D0000}"/>
    <cellStyle name="Normal 2 2 2 2 2 2 32 2 9" xfId="11743" xr:uid="{00000000-0005-0000-0000-0000B42D0000}"/>
    <cellStyle name="Normal 2 2 2 2 2 2 32 3" xfId="11744" xr:uid="{00000000-0005-0000-0000-0000B52D0000}"/>
    <cellStyle name="Normal 2 2 2 2 2 2 32 3 10" xfId="11745" xr:uid="{00000000-0005-0000-0000-0000B62D0000}"/>
    <cellStyle name="Normal 2 2 2 2 2 2 32 3 2" xfId="11746" xr:uid="{00000000-0005-0000-0000-0000B72D0000}"/>
    <cellStyle name="Normal 2 2 2 2 2 2 32 3 3" xfId="11747" xr:uid="{00000000-0005-0000-0000-0000B82D0000}"/>
    <cellStyle name="Normal 2 2 2 2 2 2 32 3 4" xfId="11748" xr:uid="{00000000-0005-0000-0000-0000B92D0000}"/>
    <cellStyle name="Normal 2 2 2 2 2 2 32 3 5" xfId="11749" xr:uid="{00000000-0005-0000-0000-0000BA2D0000}"/>
    <cellStyle name="Normal 2 2 2 2 2 2 32 3 6" xfId="11750" xr:uid="{00000000-0005-0000-0000-0000BB2D0000}"/>
    <cellStyle name="Normal 2 2 2 2 2 2 32 3 7" xfId="11751" xr:uid="{00000000-0005-0000-0000-0000BC2D0000}"/>
    <cellStyle name="Normal 2 2 2 2 2 2 32 3 8" xfId="11752" xr:uid="{00000000-0005-0000-0000-0000BD2D0000}"/>
    <cellStyle name="Normal 2 2 2 2 2 2 32 3 9" xfId="11753" xr:uid="{00000000-0005-0000-0000-0000BE2D0000}"/>
    <cellStyle name="Normal 2 2 2 2 2 2 32 4" xfId="11754" xr:uid="{00000000-0005-0000-0000-0000BF2D0000}"/>
    <cellStyle name="Normal 2 2 2 2 2 2 32 4 10" xfId="11755" xr:uid="{00000000-0005-0000-0000-0000C02D0000}"/>
    <cellStyle name="Normal 2 2 2 2 2 2 32 4 2" xfId="11756" xr:uid="{00000000-0005-0000-0000-0000C12D0000}"/>
    <cellStyle name="Normal 2 2 2 2 2 2 32 4 3" xfId="11757" xr:uid="{00000000-0005-0000-0000-0000C22D0000}"/>
    <cellStyle name="Normal 2 2 2 2 2 2 32 4 4" xfId="11758" xr:uid="{00000000-0005-0000-0000-0000C32D0000}"/>
    <cellStyle name="Normal 2 2 2 2 2 2 32 4 5" xfId="11759" xr:uid="{00000000-0005-0000-0000-0000C42D0000}"/>
    <cellStyle name="Normal 2 2 2 2 2 2 32 4 6" xfId="11760" xr:uid="{00000000-0005-0000-0000-0000C52D0000}"/>
    <cellStyle name="Normal 2 2 2 2 2 2 32 4 7" xfId="11761" xr:uid="{00000000-0005-0000-0000-0000C62D0000}"/>
    <cellStyle name="Normal 2 2 2 2 2 2 32 4 8" xfId="11762" xr:uid="{00000000-0005-0000-0000-0000C72D0000}"/>
    <cellStyle name="Normal 2 2 2 2 2 2 32 4 9" xfId="11763" xr:uid="{00000000-0005-0000-0000-0000C82D0000}"/>
    <cellStyle name="Normal 2 2 2 2 2 2 32 5" xfId="11764" xr:uid="{00000000-0005-0000-0000-0000C92D0000}"/>
    <cellStyle name="Normal 2 2 2 2 2 2 32 5 10" xfId="11765" xr:uid="{00000000-0005-0000-0000-0000CA2D0000}"/>
    <cellStyle name="Normal 2 2 2 2 2 2 32 5 2" xfId="11766" xr:uid="{00000000-0005-0000-0000-0000CB2D0000}"/>
    <cellStyle name="Normal 2 2 2 2 2 2 32 5 3" xfId="11767" xr:uid="{00000000-0005-0000-0000-0000CC2D0000}"/>
    <cellStyle name="Normal 2 2 2 2 2 2 32 5 4" xfId="11768" xr:uid="{00000000-0005-0000-0000-0000CD2D0000}"/>
    <cellStyle name="Normal 2 2 2 2 2 2 32 5 5" xfId="11769" xr:uid="{00000000-0005-0000-0000-0000CE2D0000}"/>
    <cellStyle name="Normal 2 2 2 2 2 2 32 5 6" xfId="11770" xr:uid="{00000000-0005-0000-0000-0000CF2D0000}"/>
    <cellStyle name="Normal 2 2 2 2 2 2 32 5 7" xfId="11771" xr:uid="{00000000-0005-0000-0000-0000D02D0000}"/>
    <cellStyle name="Normal 2 2 2 2 2 2 32 5 8" xfId="11772" xr:uid="{00000000-0005-0000-0000-0000D12D0000}"/>
    <cellStyle name="Normal 2 2 2 2 2 2 32 5 9" xfId="11773" xr:uid="{00000000-0005-0000-0000-0000D22D0000}"/>
    <cellStyle name="Normal 2 2 2 2 2 2 32 6" xfId="11774" xr:uid="{00000000-0005-0000-0000-0000D32D0000}"/>
    <cellStyle name="Normal 2 2 2 2 2 2 32 7" xfId="11775" xr:uid="{00000000-0005-0000-0000-0000D42D0000}"/>
    <cellStyle name="Normal 2 2 2 2 2 2 32 8" xfId="11776" xr:uid="{00000000-0005-0000-0000-0000D52D0000}"/>
    <cellStyle name="Normal 2 2 2 2 2 2 32 9" xfId="11777" xr:uid="{00000000-0005-0000-0000-0000D62D0000}"/>
    <cellStyle name="Normal 2 2 2 2 2 2 33" xfId="11778" xr:uid="{00000000-0005-0000-0000-0000D72D0000}"/>
    <cellStyle name="Normal 2 2 2 2 2 2 33 10" xfId="11779" xr:uid="{00000000-0005-0000-0000-0000D82D0000}"/>
    <cellStyle name="Normal 2 2 2 2 2 2 33 11" xfId="11780" xr:uid="{00000000-0005-0000-0000-0000D92D0000}"/>
    <cellStyle name="Normal 2 2 2 2 2 2 33 12" xfId="11781" xr:uid="{00000000-0005-0000-0000-0000DA2D0000}"/>
    <cellStyle name="Normal 2 2 2 2 2 2 33 13" xfId="11782" xr:uid="{00000000-0005-0000-0000-0000DB2D0000}"/>
    <cellStyle name="Normal 2 2 2 2 2 2 33 14" xfId="11783" xr:uid="{00000000-0005-0000-0000-0000DC2D0000}"/>
    <cellStyle name="Normal 2 2 2 2 2 2 33 2" xfId="11784" xr:uid="{00000000-0005-0000-0000-0000DD2D0000}"/>
    <cellStyle name="Normal 2 2 2 2 2 2 33 2 10" xfId="11785" xr:uid="{00000000-0005-0000-0000-0000DE2D0000}"/>
    <cellStyle name="Normal 2 2 2 2 2 2 33 2 2" xfId="11786" xr:uid="{00000000-0005-0000-0000-0000DF2D0000}"/>
    <cellStyle name="Normal 2 2 2 2 2 2 33 2 3" xfId="11787" xr:uid="{00000000-0005-0000-0000-0000E02D0000}"/>
    <cellStyle name="Normal 2 2 2 2 2 2 33 2 4" xfId="11788" xr:uid="{00000000-0005-0000-0000-0000E12D0000}"/>
    <cellStyle name="Normal 2 2 2 2 2 2 33 2 5" xfId="11789" xr:uid="{00000000-0005-0000-0000-0000E22D0000}"/>
    <cellStyle name="Normal 2 2 2 2 2 2 33 2 6" xfId="11790" xr:uid="{00000000-0005-0000-0000-0000E32D0000}"/>
    <cellStyle name="Normal 2 2 2 2 2 2 33 2 7" xfId="11791" xr:uid="{00000000-0005-0000-0000-0000E42D0000}"/>
    <cellStyle name="Normal 2 2 2 2 2 2 33 2 8" xfId="11792" xr:uid="{00000000-0005-0000-0000-0000E52D0000}"/>
    <cellStyle name="Normal 2 2 2 2 2 2 33 2 9" xfId="11793" xr:uid="{00000000-0005-0000-0000-0000E62D0000}"/>
    <cellStyle name="Normal 2 2 2 2 2 2 33 3" xfId="11794" xr:uid="{00000000-0005-0000-0000-0000E72D0000}"/>
    <cellStyle name="Normal 2 2 2 2 2 2 33 3 10" xfId="11795" xr:uid="{00000000-0005-0000-0000-0000E82D0000}"/>
    <cellStyle name="Normal 2 2 2 2 2 2 33 3 2" xfId="11796" xr:uid="{00000000-0005-0000-0000-0000E92D0000}"/>
    <cellStyle name="Normal 2 2 2 2 2 2 33 3 3" xfId="11797" xr:uid="{00000000-0005-0000-0000-0000EA2D0000}"/>
    <cellStyle name="Normal 2 2 2 2 2 2 33 3 4" xfId="11798" xr:uid="{00000000-0005-0000-0000-0000EB2D0000}"/>
    <cellStyle name="Normal 2 2 2 2 2 2 33 3 5" xfId="11799" xr:uid="{00000000-0005-0000-0000-0000EC2D0000}"/>
    <cellStyle name="Normal 2 2 2 2 2 2 33 3 6" xfId="11800" xr:uid="{00000000-0005-0000-0000-0000ED2D0000}"/>
    <cellStyle name="Normal 2 2 2 2 2 2 33 3 7" xfId="11801" xr:uid="{00000000-0005-0000-0000-0000EE2D0000}"/>
    <cellStyle name="Normal 2 2 2 2 2 2 33 3 8" xfId="11802" xr:uid="{00000000-0005-0000-0000-0000EF2D0000}"/>
    <cellStyle name="Normal 2 2 2 2 2 2 33 3 9" xfId="11803" xr:uid="{00000000-0005-0000-0000-0000F02D0000}"/>
    <cellStyle name="Normal 2 2 2 2 2 2 33 4" xfId="11804" xr:uid="{00000000-0005-0000-0000-0000F12D0000}"/>
    <cellStyle name="Normal 2 2 2 2 2 2 33 4 10" xfId="11805" xr:uid="{00000000-0005-0000-0000-0000F22D0000}"/>
    <cellStyle name="Normal 2 2 2 2 2 2 33 4 2" xfId="11806" xr:uid="{00000000-0005-0000-0000-0000F32D0000}"/>
    <cellStyle name="Normal 2 2 2 2 2 2 33 4 3" xfId="11807" xr:uid="{00000000-0005-0000-0000-0000F42D0000}"/>
    <cellStyle name="Normal 2 2 2 2 2 2 33 4 4" xfId="11808" xr:uid="{00000000-0005-0000-0000-0000F52D0000}"/>
    <cellStyle name="Normal 2 2 2 2 2 2 33 4 5" xfId="11809" xr:uid="{00000000-0005-0000-0000-0000F62D0000}"/>
    <cellStyle name="Normal 2 2 2 2 2 2 33 4 6" xfId="11810" xr:uid="{00000000-0005-0000-0000-0000F72D0000}"/>
    <cellStyle name="Normal 2 2 2 2 2 2 33 4 7" xfId="11811" xr:uid="{00000000-0005-0000-0000-0000F82D0000}"/>
    <cellStyle name="Normal 2 2 2 2 2 2 33 4 8" xfId="11812" xr:uid="{00000000-0005-0000-0000-0000F92D0000}"/>
    <cellStyle name="Normal 2 2 2 2 2 2 33 4 9" xfId="11813" xr:uid="{00000000-0005-0000-0000-0000FA2D0000}"/>
    <cellStyle name="Normal 2 2 2 2 2 2 33 5" xfId="11814" xr:uid="{00000000-0005-0000-0000-0000FB2D0000}"/>
    <cellStyle name="Normal 2 2 2 2 2 2 33 5 10" xfId="11815" xr:uid="{00000000-0005-0000-0000-0000FC2D0000}"/>
    <cellStyle name="Normal 2 2 2 2 2 2 33 5 2" xfId="11816" xr:uid="{00000000-0005-0000-0000-0000FD2D0000}"/>
    <cellStyle name="Normal 2 2 2 2 2 2 33 5 3" xfId="11817" xr:uid="{00000000-0005-0000-0000-0000FE2D0000}"/>
    <cellStyle name="Normal 2 2 2 2 2 2 33 5 4" xfId="11818" xr:uid="{00000000-0005-0000-0000-0000FF2D0000}"/>
    <cellStyle name="Normal 2 2 2 2 2 2 33 5 5" xfId="11819" xr:uid="{00000000-0005-0000-0000-0000002E0000}"/>
    <cellStyle name="Normal 2 2 2 2 2 2 33 5 6" xfId="11820" xr:uid="{00000000-0005-0000-0000-0000012E0000}"/>
    <cellStyle name="Normal 2 2 2 2 2 2 33 5 7" xfId="11821" xr:uid="{00000000-0005-0000-0000-0000022E0000}"/>
    <cellStyle name="Normal 2 2 2 2 2 2 33 5 8" xfId="11822" xr:uid="{00000000-0005-0000-0000-0000032E0000}"/>
    <cellStyle name="Normal 2 2 2 2 2 2 33 5 9" xfId="11823" xr:uid="{00000000-0005-0000-0000-0000042E0000}"/>
    <cellStyle name="Normal 2 2 2 2 2 2 33 6" xfId="11824" xr:uid="{00000000-0005-0000-0000-0000052E0000}"/>
    <cellStyle name="Normal 2 2 2 2 2 2 33 7" xfId="11825" xr:uid="{00000000-0005-0000-0000-0000062E0000}"/>
    <cellStyle name="Normal 2 2 2 2 2 2 33 8" xfId="11826" xr:uid="{00000000-0005-0000-0000-0000072E0000}"/>
    <cellStyle name="Normal 2 2 2 2 2 2 33 9" xfId="11827" xr:uid="{00000000-0005-0000-0000-0000082E0000}"/>
    <cellStyle name="Normal 2 2 2 2 2 2 34" xfId="11828" xr:uid="{00000000-0005-0000-0000-0000092E0000}"/>
    <cellStyle name="Normal 2 2 2 2 2 2 34 10" xfId="11829" xr:uid="{00000000-0005-0000-0000-00000A2E0000}"/>
    <cellStyle name="Normal 2 2 2 2 2 2 34 2" xfId="11830" xr:uid="{00000000-0005-0000-0000-00000B2E0000}"/>
    <cellStyle name="Normal 2 2 2 2 2 2 34 3" xfId="11831" xr:uid="{00000000-0005-0000-0000-00000C2E0000}"/>
    <cellStyle name="Normal 2 2 2 2 2 2 34 4" xfId="11832" xr:uid="{00000000-0005-0000-0000-00000D2E0000}"/>
    <cellStyle name="Normal 2 2 2 2 2 2 34 5" xfId="11833" xr:uid="{00000000-0005-0000-0000-00000E2E0000}"/>
    <cellStyle name="Normal 2 2 2 2 2 2 34 6" xfId="11834" xr:uid="{00000000-0005-0000-0000-00000F2E0000}"/>
    <cellStyle name="Normal 2 2 2 2 2 2 34 7" xfId="11835" xr:uid="{00000000-0005-0000-0000-0000102E0000}"/>
    <cellStyle name="Normal 2 2 2 2 2 2 34 8" xfId="11836" xr:uid="{00000000-0005-0000-0000-0000112E0000}"/>
    <cellStyle name="Normal 2 2 2 2 2 2 34 9" xfId="11837" xr:uid="{00000000-0005-0000-0000-0000122E0000}"/>
    <cellStyle name="Normal 2 2 2 2 2 2 35" xfId="11838" xr:uid="{00000000-0005-0000-0000-0000132E0000}"/>
    <cellStyle name="Normal 2 2 2 2 2 2 35 10" xfId="11839" xr:uid="{00000000-0005-0000-0000-0000142E0000}"/>
    <cellStyle name="Normal 2 2 2 2 2 2 35 2" xfId="11840" xr:uid="{00000000-0005-0000-0000-0000152E0000}"/>
    <cellStyle name="Normal 2 2 2 2 2 2 35 3" xfId="11841" xr:uid="{00000000-0005-0000-0000-0000162E0000}"/>
    <cellStyle name="Normal 2 2 2 2 2 2 35 4" xfId="11842" xr:uid="{00000000-0005-0000-0000-0000172E0000}"/>
    <cellStyle name="Normal 2 2 2 2 2 2 35 5" xfId="11843" xr:uid="{00000000-0005-0000-0000-0000182E0000}"/>
    <cellStyle name="Normal 2 2 2 2 2 2 35 6" xfId="11844" xr:uid="{00000000-0005-0000-0000-0000192E0000}"/>
    <cellStyle name="Normal 2 2 2 2 2 2 35 7" xfId="11845" xr:uid="{00000000-0005-0000-0000-00001A2E0000}"/>
    <cellStyle name="Normal 2 2 2 2 2 2 35 8" xfId="11846" xr:uid="{00000000-0005-0000-0000-00001B2E0000}"/>
    <cellStyle name="Normal 2 2 2 2 2 2 35 9" xfId="11847" xr:uid="{00000000-0005-0000-0000-00001C2E0000}"/>
    <cellStyle name="Normal 2 2 2 2 2 2 36" xfId="11848" xr:uid="{00000000-0005-0000-0000-00001D2E0000}"/>
    <cellStyle name="Normal 2 2 2 2 2 2 36 10" xfId="11849" xr:uid="{00000000-0005-0000-0000-00001E2E0000}"/>
    <cellStyle name="Normal 2 2 2 2 2 2 36 2" xfId="11850" xr:uid="{00000000-0005-0000-0000-00001F2E0000}"/>
    <cellStyle name="Normal 2 2 2 2 2 2 36 3" xfId="11851" xr:uid="{00000000-0005-0000-0000-0000202E0000}"/>
    <cellStyle name="Normal 2 2 2 2 2 2 36 4" xfId="11852" xr:uid="{00000000-0005-0000-0000-0000212E0000}"/>
    <cellStyle name="Normal 2 2 2 2 2 2 36 5" xfId="11853" xr:uid="{00000000-0005-0000-0000-0000222E0000}"/>
    <cellStyle name="Normal 2 2 2 2 2 2 36 6" xfId="11854" xr:uid="{00000000-0005-0000-0000-0000232E0000}"/>
    <cellStyle name="Normal 2 2 2 2 2 2 36 7" xfId="11855" xr:uid="{00000000-0005-0000-0000-0000242E0000}"/>
    <cellStyle name="Normal 2 2 2 2 2 2 36 8" xfId="11856" xr:uid="{00000000-0005-0000-0000-0000252E0000}"/>
    <cellStyle name="Normal 2 2 2 2 2 2 36 9" xfId="11857" xr:uid="{00000000-0005-0000-0000-0000262E0000}"/>
    <cellStyle name="Normal 2 2 2 2 2 2 37" xfId="11858" xr:uid="{00000000-0005-0000-0000-0000272E0000}"/>
    <cellStyle name="Normal 2 2 2 2 2 2 37 10" xfId="11859" xr:uid="{00000000-0005-0000-0000-0000282E0000}"/>
    <cellStyle name="Normal 2 2 2 2 2 2 37 2" xfId="11860" xr:uid="{00000000-0005-0000-0000-0000292E0000}"/>
    <cellStyle name="Normal 2 2 2 2 2 2 37 3" xfId="11861" xr:uid="{00000000-0005-0000-0000-00002A2E0000}"/>
    <cellStyle name="Normal 2 2 2 2 2 2 37 4" xfId="11862" xr:uid="{00000000-0005-0000-0000-00002B2E0000}"/>
    <cellStyle name="Normal 2 2 2 2 2 2 37 5" xfId="11863" xr:uid="{00000000-0005-0000-0000-00002C2E0000}"/>
    <cellStyle name="Normal 2 2 2 2 2 2 37 6" xfId="11864" xr:uid="{00000000-0005-0000-0000-00002D2E0000}"/>
    <cellStyle name="Normal 2 2 2 2 2 2 37 7" xfId="11865" xr:uid="{00000000-0005-0000-0000-00002E2E0000}"/>
    <cellStyle name="Normal 2 2 2 2 2 2 37 8" xfId="11866" xr:uid="{00000000-0005-0000-0000-00002F2E0000}"/>
    <cellStyle name="Normal 2 2 2 2 2 2 37 9" xfId="11867" xr:uid="{00000000-0005-0000-0000-0000302E0000}"/>
    <cellStyle name="Normal 2 2 2 2 2 2 38" xfId="11868" xr:uid="{00000000-0005-0000-0000-0000312E0000}"/>
    <cellStyle name="Normal 2 2 2 2 2 2 39" xfId="11869" xr:uid="{00000000-0005-0000-0000-0000322E0000}"/>
    <cellStyle name="Normal 2 2 2 2 2 2 4" xfId="11870" xr:uid="{00000000-0005-0000-0000-0000332E0000}"/>
    <cellStyle name="Normal 2 2 2 2 2 2 4 10" xfId="11871" xr:uid="{00000000-0005-0000-0000-0000342E0000}"/>
    <cellStyle name="Normal 2 2 2 2 2 2 4 11" xfId="11872" xr:uid="{00000000-0005-0000-0000-0000352E0000}"/>
    <cellStyle name="Normal 2 2 2 2 2 2 4 12" xfId="11873" xr:uid="{00000000-0005-0000-0000-0000362E0000}"/>
    <cellStyle name="Normal 2 2 2 2 2 2 4 13" xfId="11874" xr:uid="{00000000-0005-0000-0000-0000372E0000}"/>
    <cellStyle name="Normal 2 2 2 2 2 2 4 14" xfId="11875" xr:uid="{00000000-0005-0000-0000-0000382E0000}"/>
    <cellStyle name="Normal 2 2 2 2 2 2 4 2" xfId="11876" xr:uid="{00000000-0005-0000-0000-0000392E0000}"/>
    <cellStyle name="Normal 2 2 2 2 2 2 4 2 10" xfId="11877" xr:uid="{00000000-0005-0000-0000-00003A2E0000}"/>
    <cellStyle name="Normal 2 2 2 2 2 2 4 2 2" xfId="11878" xr:uid="{00000000-0005-0000-0000-00003B2E0000}"/>
    <cellStyle name="Normal 2 2 2 2 2 2 4 2 3" xfId="11879" xr:uid="{00000000-0005-0000-0000-00003C2E0000}"/>
    <cellStyle name="Normal 2 2 2 2 2 2 4 2 4" xfId="11880" xr:uid="{00000000-0005-0000-0000-00003D2E0000}"/>
    <cellStyle name="Normal 2 2 2 2 2 2 4 2 5" xfId="11881" xr:uid="{00000000-0005-0000-0000-00003E2E0000}"/>
    <cellStyle name="Normal 2 2 2 2 2 2 4 2 6" xfId="11882" xr:uid="{00000000-0005-0000-0000-00003F2E0000}"/>
    <cellStyle name="Normal 2 2 2 2 2 2 4 2 7" xfId="11883" xr:uid="{00000000-0005-0000-0000-0000402E0000}"/>
    <cellStyle name="Normal 2 2 2 2 2 2 4 2 8" xfId="11884" xr:uid="{00000000-0005-0000-0000-0000412E0000}"/>
    <cellStyle name="Normal 2 2 2 2 2 2 4 2 9" xfId="11885" xr:uid="{00000000-0005-0000-0000-0000422E0000}"/>
    <cellStyle name="Normal 2 2 2 2 2 2 4 3" xfId="11886" xr:uid="{00000000-0005-0000-0000-0000432E0000}"/>
    <cellStyle name="Normal 2 2 2 2 2 2 4 3 10" xfId="11887" xr:uid="{00000000-0005-0000-0000-0000442E0000}"/>
    <cellStyle name="Normal 2 2 2 2 2 2 4 3 2" xfId="11888" xr:uid="{00000000-0005-0000-0000-0000452E0000}"/>
    <cellStyle name="Normal 2 2 2 2 2 2 4 3 3" xfId="11889" xr:uid="{00000000-0005-0000-0000-0000462E0000}"/>
    <cellStyle name="Normal 2 2 2 2 2 2 4 3 4" xfId="11890" xr:uid="{00000000-0005-0000-0000-0000472E0000}"/>
    <cellStyle name="Normal 2 2 2 2 2 2 4 3 5" xfId="11891" xr:uid="{00000000-0005-0000-0000-0000482E0000}"/>
    <cellStyle name="Normal 2 2 2 2 2 2 4 3 6" xfId="11892" xr:uid="{00000000-0005-0000-0000-0000492E0000}"/>
    <cellStyle name="Normal 2 2 2 2 2 2 4 3 7" xfId="11893" xr:uid="{00000000-0005-0000-0000-00004A2E0000}"/>
    <cellStyle name="Normal 2 2 2 2 2 2 4 3 8" xfId="11894" xr:uid="{00000000-0005-0000-0000-00004B2E0000}"/>
    <cellStyle name="Normal 2 2 2 2 2 2 4 3 9" xfId="11895" xr:uid="{00000000-0005-0000-0000-00004C2E0000}"/>
    <cellStyle name="Normal 2 2 2 2 2 2 4 4" xfId="11896" xr:uid="{00000000-0005-0000-0000-00004D2E0000}"/>
    <cellStyle name="Normal 2 2 2 2 2 2 4 4 10" xfId="11897" xr:uid="{00000000-0005-0000-0000-00004E2E0000}"/>
    <cellStyle name="Normal 2 2 2 2 2 2 4 4 2" xfId="11898" xr:uid="{00000000-0005-0000-0000-00004F2E0000}"/>
    <cellStyle name="Normal 2 2 2 2 2 2 4 4 3" xfId="11899" xr:uid="{00000000-0005-0000-0000-0000502E0000}"/>
    <cellStyle name="Normal 2 2 2 2 2 2 4 4 4" xfId="11900" xr:uid="{00000000-0005-0000-0000-0000512E0000}"/>
    <cellStyle name="Normal 2 2 2 2 2 2 4 4 5" xfId="11901" xr:uid="{00000000-0005-0000-0000-0000522E0000}"/>
    <cellStyle name="Normal 2 2 2 2 2 2 4 4 6" xfId="11902" xr:uid="{00000000-0005-0000-0000-0000532E0000}"/>
    <cellStyle name="Normal 2 2 2 2 2 2 4 4 7" xfId="11903" xr:uid="{00000000-0005-0000-0000-0000542E0000}"/>
    <cellStyle name="Normal 2 2 2 2 2 2 4 4 8" xfId="11904" xr:uid="{00000000-0005-0000-0000-0000552E0000}"/>
    <cellStyle name="Normal 2 2 2 2 2 2 4 4 9" xfId="11905" xr:uid="{00000000-0005-0000-0000-0000562E0000}"/>
    <cellStyle name="Normal 2 2 2 2 2 2 4 5" xfId="11906" xr:uid="{00000000-0005-0000-0000-0000572E0000}"/>
    <cellStyle name="Normal 2 2 2 2 2 2 4 5 10" xfId="11907" xr:uid="{00000000-0005-0000-0000-0000582E0000}"/>
    <cellStyle name="Normal 2 2 2 2 2 2 4 5 2" xfId="11908" xr:uid="{00000000-0005-0000-0000-0000592E0000}"/>
    <cellStyle name="Normal 2 2 2 2 2 2 4 5 3" xfId="11909" xr:uid="{00000000-0005-0000-0000-00005A2E0000}"/>
    <cellStyle name="Normal 2 2 2 2 2 2 4 5 4" xfId="11910" xr:uid="{00000000-0005-0000-0000-00005B2E0000}"/>
    <cellStyle name="Normal 2 2 2 2 2 2 4 5 5" xfId="11911" xr:uid="{00000000-0005-0000-0000-00005C2E0000}"/>
    <cellStyle name="Normal 2 2 2 2 2 2 4 5 6" xfId="11912" xr:uid="{00000000-0005-0000-0000-00005D2E0000}"/>
    <cellStyle name="Normal 2 2 2 2 2 2 4 5 7" xfId="11913" xr:uid="{00000000-0005-0000-0000-00005E2E0000}"/>
    <cellStyle name="Normal 2 2 2 2 2 2 4 5 8" xfId="11914" xr:uid="{00000000-0005-0000-0000-00005F2E0000}"/>
    <cellStyle name="Normal 2 2 2 2 2 2 4 5 9" xfId="11915" xr:uid="{00000000-0005-0000-0000-0000602E0000}"/>
    <cellStyle name="Normal 2 2 2 2 2 2 4 6" xfId="11916" xr:uid="{00000000-0005-0000-0000-0000612E0000}"/>
    <cellStyle name="Normal 2 2 2 2 2 2 4 7" xfId="11917" xr:uid="{00000000-0005-0000-0000-0000622E0000}"/>
    <cellStyle name="Normal 2 2 2 2 2 2 4 8" xfId="11918" xr:uid="{00000000-0005-0000-0000-0000632E0000}"/>
    <cellStyle name="Normal 2 2 2 2 2 2 4 9" xfId="11919" xr:uid="{00000000-0005-0000-0000-0000642E0000}"/>
    <cellStyle name="Normal 2 2 2 2 2 2 40" xfId="11920" xr:uid="{00000000-0005-0000-0000-0000652E0000}"/>
    <cellStyle name="Normal 2 2 2 2 2 2 41" xfId="11921" xr:uid="{00000000-0005-0000-0000-0000662E0000}"/>
    <cellStyle name="Normal 2 2 2 2 2 2 42" xfId="11922" xr:uid="{00000000-0005-0000-0000-0000672E0000}"/>
    <cellStyle name="Normal 2 2 2 2 2 2 43" xfId="11923" xr:uid="{00000000-0005-0000-0000-0000682E0000}"/>
    <cellStyle name="Normal 2 2 2 2 2 2 44" xfId="11924" xr:uid="{00000000-0005-0000-0000-0000692E0000}"/>
    <cellStyle name="Normal 2 2 2 2 2 2 45" xfId="11925" xr:uid="{00000000-0005-0000-0000-00006A2E0000}"/>
    <cellStyle name="Normal 2 2 2 2 2 2 46" xfId="11926" xr:uid="{00000000-0005-0000-0000-00006B2E0000}"/>
    <cellStyle name="Normal 2 2 2 2 2 2 47" xfId="11927" xr:uid="{00000000-0005-0000-0000-00006C2E0000}"/>
    <cellStyle name="Normal 2 2 2 2 2 2 48" xfId="11928" xr:uid="{00000000-0005-0000-0000-00006D2E0000}"/>
    <cellStyle name="Normal 2 2 2 2 2 2 5" xfId="11929" xr:uid="{00000000-0005-0000-0000-00006E2E0000}"/>
    <cellStyle name="Normal 2 2 2 2 2 2 5 10" xfId="11930" xr:uid="{00000000-0005-0000-0000-00006F2E0000}"/>
    <cellStyle name="Normal 2 2 2 2 2 2 5 11" xfId="11931" xr:uid="{00000000-0005-0000-0000-0000702E0000}"/>
    <cellStyle name="Normal 2 2 2 2 2 2 5 12" xfId="11932" xr:uid="{00000000-0005-0000-0000-0000712E0000}"/>
    <cellStyle name="Normal 2 2 2 2 2 2 5 13" xfId="11933" xr:uid="{00000000-0005-0000-0000-0000722E0000}"/>
    <cellStyle name="Normal 2 2 2 2 2 2 5 14" xfId="11934" xr:uid="{00000000-0005-0000-0000-0000732E0000}"/>
    <cellStyle name="Normal 2 2 2 2 2 2 5 2" xfId="11935" xr:uid="{00000000-0005-0000-0000-0000742E0000}"/>
    <cellStyle name="Normal 2 2 2 2 2 2 5 2 10" xfId="11936" xr:uid="{00000000-0005-0000-0000-0000752E0000}"/>
    <cellStyle name="Normal 2 2 2 2 2 2 5 2 2" xfId="11937" xr:uid="{00000000-0005-0000-0000-0000762E0000}"/>
    <cellStyle name="Normal 2 2 2 2 2 2 5 2 3" xfId="11938" xr:uid="{00000000-0005-0000-0000-0000772E0000}"/>
    <cellStyle name="Normal 2 2 2 2 2 2 5 2 4" xfId="11939" xr:uid="{00000000-0005-0000-0000-0000782E0000}"/>
    <cellStyle name="Normal 2 2 2 2 2 2 5 2 5" xfId="11940" xr:uid="{00000000-0005-0000-0000-0000792E0000}"/>
    <cellStyle name="Normal 2 2 2 2 2 2 5 2 6" xfId="11941" xr:uid="{00000000-0005-0000-0000-00007A2E0000}"/>
    <cellStyle name="Normal 2 2 2 2 2 2 5 2 7" xfId="11942" xr:uid="{00000000-0005-0000-0000-00007B2E0000}"/>
    <cellStyle name="Normal 2 2 2 2 2 2 5 2 8" xfId="11943" xr:uid="{00000000-0005-0000-0000-00007C2E0000}"/>
    <cellStyle name="Normal 2 2 2 2 2 2 5 2 9" xfId="11944" xr:uid="{00000000-0005-0000-0000-00007D2E0000}"/>
    <cellStyle name="Normal 2 2 2 2 2 2 5 3" xfId="11945" xr:uid="{00000000-0005-0000-0000-00007E2E0000}"/>
    <cellStyle name="Normal 2 2 2 2 2 2 5 3 10" xfId="11946" xr:uid="{00000000-0005-0000-0000-00007F2E0000}"/>
    <cellStyle name="Normal 2 2 2 2 2 2 5 3 2" xfId="11947" xr:uid="{00000000-0005-0000-0000-0000802E0000}"/>
    <cellStyle name="Normal 2 2 2 2 2 2 5 3 3" xfId="11948" xr:uid="{00000000-0005-0000-0000-0000812E0000}"/>
    <cellStyle name="Normal 2 2 2 2 2 2 5 3 4" xfId="11949" xr:uid="{00000000-0005-0000-0000-0000822E0000}"/>
    <cellStyle name="Normal 2 2 2 2 2 2 5 3 5" xfId="11950" xr:uid="{00000000-0005-0000-0000-0000832E0000}"/>
    <cellStyle name="Normal 2 2 2 2 2 2 5 3 6" xfId="11951" xr:uid="{00000000-0005-0000-0000-0000842E0000}"/>
    <cellStyle name="Normal 2 2 2 2 2 2 5 3 7" xfId="11952" xr:uid="{00000000-0005-0000-0000-0000852E0000}"/>
    <cellStyle name="Normal 2 2 2 2 2 2 5 3 8" xfId="11953" xr:uid="{00000000-0005-0000-0000-0000862E0000}"/>
    <cellStyle name="Normal 2 2 2 2 2 2 5 3 9" xfId="11954" xr:uid="{00000000-0005-0000-0000-0000872E0000}"/>
    <cellStyle name="Normal 2 2 2 2 2 2 5 4" xfId="11955" xr:uid="{00000000-0005-0000-0000-0000882E0000}"/>
    <cellStyle name="Normal 2 2 2 2 2 2 5 4 10" xfId="11956" xr:uid="{00000000-0005-0000-0000-0000892E0000}"/>
    <cellStyle name="Normal 2 2 2 2 2 2 5 4 2" xfId="11957" xr:uid="{00000000-0005-0000-0000-00008A2E0000}"/>
    <cellStyle name="Normal 2 2 2 2 2 2 5 4 3" xfId="11958" xr:uid="{00000000-0005-0000-0000-00008B2E0000}"/>
    <cellStyle name="Normal 2 2 2 2 2 2 5 4 4" xfId="11959" xr:uid="{00000000-0005-0000-0000-00008C2E0000}"/>
    <cellStyle name="Normal 2 2 2 2 2 2 5 4 5" xfId="11960" xr:uid="{00000000-0005-0000-0000-00008D2E0000}"/>
    <cellStyle name="Normal 2 2 2 2 2 2 5 4 6" xfId="11961" xr:uid="{00000000-0005-0000-0000-00008E2E0000}"/>
    <cellStyle name="Normal 2 2 2 2 2 2 5 4 7" xfId="11962" xr:uid="{00000000-0005-0000-0000-00008F2E0000}"/>
    <cellStyle name="Normal 2 2 2 2 2 2 5 4 8" xfId="11963" xr:uid="{00000000-0005-0000-0000-0000902E0000}"/>
    <cellStyle name="Normal 2 2 2 2 2 2 5 4 9" xfId="11964" xr:uid="{00000000-0005-0000-0000-0000912E0000}"/>
    <cellStyle name="Normal 2 2 2 2 2 2 5 5" xfId="11965" xr:uid="{00000000-0005-0000-0000-0000922E0000}"/>
    <cellStyle name="Normal 2 2 2 2 2 2 5 5 10" xfId="11966" xr:uid="{00000000-0005-0000-0000-0000932E0000}"/>
    <cellStyle name="Normal 2 2 2 2 2 2 5 5 2" xfId="11967" xr:uid="{00000000-0005-0000-0000-0000942E0000}"/>
    <cellStyle name="Normal 2 2 2 2 2 2 5 5 3" xfId="11968" xr:uid="{00000000-0005-0000-0000-0000952E0000}"/>
    <cellStyle name="Normal 2 2 2 2 2 2 5 5 4" xfId="11969" xr:uid="{00000000-0005-0000-0000-0000962E0000}"/>
    <cellStyle name="Normal 2 2 2 2 2 2 5 5 5" xfId="11970" xr:uid="{00000000-0005-0000-0000-0000972E0000}"/>
    <cellStyle name="Normal 2 2 2 2 2 2 5 5 6" xfId="11971" xr:uid="{00000000-0005-0000-0000-0000982E0000}"/>
    <cellStyle name="Normal 2 2 2 2 2 2 5 5 7" xfId="11972" xr:uid="{00000000-0005-0000-0000-0000992E0000}"/>
    <cellStyle name="Normal 2 2 2 2 2 2 5 5 8" xfId="11973" xr:uid="{00000000-0005-0000-0000-00009A2E0000}"/>
    <cellStyle name="Normal 2 2 2 2 2 2 5 5 9" xfId="11974" xr:uid="{00000000-0005-0000-0000-00009B2E0000}"/>
    <cellStyle name="Normal 2 2 2 2 2 2 5 6" xfId="11975" xr:uid="{00000000-0005-0000-0000-00009C2E0000}"/>
    <cellStyle name="Normal 2 2 2 2 2 2 5 7" xfId="11976" xr:uid="{00000000-0005-0000-0000-00009D2E0000}"/>
    <cellStyle name="Normal 2 2 2 2 2 2 5 8" xfId="11977" xr:uid="{00000000-0005-0000-0000-00009E2E0000}"/>
    <cellStyle name="Normal 2 2 2 2 2 2 5 9" xfId="11978" xr:uid="{00000000-0005-0000-0000-00009F2E0000}"/>
    <cellStyle name="Normal 2 2 2 2 2 2 6" xfId="11979" xr:uid="{00000000-0005-0000-0000-0000A02E0000}"/>
    <cellStyle name="Normal 2 2 2 2 2 2 6 10" xfId="11980" xr:uid="{00000000-0005-0000-0000-0000A12E0000}"/>
    <cellStyle name="Normal 2 2 2 2 2 2 6 11" xfId="11981" xr:uid="{00000000-0005-0000-0000-0000A22E0000}"/>
    <cellStyle name="Normal 2 2 2 2 2 2 6 12" xfId="11982" xr:uid="{00000000-0005-0000-0000-0000A32E0000}"/>
    <cellStyle name="Normal 2 2 2 2 2 2 6 13" xfId="11983" xr:uid="{00000000-0005-0000-0000-0000A42E0000}"/>
    <cellStyle name="Normal 2 2 2 2 2 2 6 14" xfId="11984" xr:uid="{00000000-0005-0000-0000-0000A52E0000}"/>
    <cellStyle name="Normal 2 2 2 2 2 2 6 2" xfId="11985" xr:uid="{00000000-0005-0000-0000-0000A62E0000}"/>
    <cellStyle name="Normal 2 2 2 2 2 2 6 2 10" xfId="11986" xr:uid="{00000000-0005-0000-0000-0000A72E0000}"/>
    <cellStyle name="Normal 2 2 2 2 2 2 6 2 2" xfId="11987" xr:uid="{00000000-0005-0000-0000-0000A82E0000}"/>
    <cellStyle name="Normal 2 2 2 2 2 2 6 2 3" xfId="11988" xr:uid="{00000000-0005-0000-0000-0000A92E0000}"/>
    <cellStyle name="Normal 2 2 2 2 2 2 6 2 4" xfId="11989" xr:uid="{00000000-0005-0000-0000-0000AA2E0000}"/>
    <cellStyle name="Normal 2 2 2 2 2 2 6 2 5" xfId="11990" xr:uid="{00000000-0005-0000-0000-0000AB2E0000}"/>
    <cellStyle name="Normal 2 2 2 2 2 2 6 2 6" xfId="11991" xr:uid="{00000000-0005-0000-0000-0000AC2E0000}"/>
    <cellStyle name="Normal 2 2 2 2 2 2 6 2 7" xfId="11992" xr:uid="{00000000-0005-0000-0000-0000AD2E0000}"/>
    <cellStyle name="Normal 2 2 2 2 2 2 6 2 8" xfId="11993" xr:uid="{00000000-0005-0000-0000-0000AE2E0000}"/>
    <cellStyle name="Normal 2 2 2 2 2 2 6 2 9" xfId="11994" xr:uid="{00000000-0005-0000-0000-0000AF2E0000}"/>
    <cellStyle name="Normal 2 2 2 2 2 2 6 3" xfId="11995" xr:uid="{00000000-0005-0000-0000-0000B02E0000}"/>
    <cellStyle name="Normal 2 2 2 2 2 2 6 3 10" xfId="11996" xr:uid="{00000000-0005-0000-0000-0000B12E0000}"/>
    <cellStyle name="Normal 2 2 2 2 2 2 6 3 2" xfId="11997" xr:uid="{00000000-0005-0000-0000-0000B22E0000}"/>
    <cellStyle name="Normal 2 2 2 2 2 2 6 3 3" xfId="11998" xr:uid="{00000000-0005-0000-0000-0000B32E0000}"/>
    <cellStyle name="Normal 2 2 2 2 2 2 6 3 4" xfId="11999" xr:uid="{00000000-0005-0000-0000-0000B42E0000}"/>
    <cellStyle name="Normal 2 2 2 2 2 2 6 3 5" xfId="12000" xr:uid="{00000000-0005-0000-0000-0000B52E0000}"/>
    <cellStyle name="Normal 2 2 2 2 2 2 6 3 6" xfId="12001" xr:uid="{00000000-0005-0000-0000-0000B62E0000}"/>
    <cellStyle name="Normal 2 2 2 2 2 2 6 3 7" xfId="12002" xr:uid="{00000000-0005-0000-0000-0000B72E0000}"/>
    <cellStyle name="Normal 2 2 2 2 2 2 6 3 8" xfId="12003" xr:uid="{00000000-0005-0000-0000-0000B82E0000}"/>
    <cellStyle name="Normal 2 2 2 2 2 2 6 3 9" xfId="12004" xr:uid="{00000000-0005-0000-0000-0000B92E0000}"/>
    <cellStyle name="Normal 2 2 2 2 2 2 6 4" xfId="12005" xr:uid="{00000000-0005-0000-0000-0000BA2E0000}"/>
    <cellStyle name="Normal 2 2 2 2 2 2 6 4 10" xfId="12006" xr:uid="{00000000-0005-0000-0000-0000BB2E0000}"/>
    <cellStyle name="Normal 2 2 2 2 2 2 6 4 2" xfId="12007" xr:uid="{00000000-0005-0000-0000-0000BC2E0000}"/>
    <cellStyle name="Normal 2 2 2 2 2 2 6 4 3" xfId="12008" xr:uid="{00000000-0005-0000-0000-0000BD2E0000}"/>
    <cellStyle name="Normal 2 2 2 2 2 2 6 4 4" xfId="12009" xr:uid="{00000000-0005-0000-0000-0000BE2E0000}"/>
    <cellStyle name="Normal 2 2 2 2 2 2 6 4 5" xfId="12010" xr:uid="{00000000-0005-0000-0000-0000BF2E0000}"/>
    <cellStyle name="Normal 2 2 2 2 2 2 6 4 6" xfId="12011" xr:uid="{00000000-0005-0000-0000-0000C02E0000}"/>
    <cellStyle name="Normal 2 2 2 2 2 2 6 4 7" xfId="12012" xr:uid="{00000000-0005-0000-0000-0000C12E0000}"/>
    <cellStyle name="Normal 2 2 2 2 2 2 6 4 8" xfId="12013" xr:uid="{00000000-0005-0000-0000-0000C22E0000}"/>
    <cellStyle name="Normal 2 2 2 2 2 2 6 4 9" xfId="12014" xr:uid="{00000000-0005-0000-0000-0000C32E0000}"/>
    <cellStyle name="Normal 2 2 2 2 2 2 6 5" xfId="12015" xr:uid="{00000000-0005-0000-0000-0000C42E0000}"/>
    <cellStyle name="Normal 2 2 2 2 2 2 6 5 10" xfId="12016" xr:uid="{00000000-0005-0000-0000-0000C52E0000}"/>
    <cellStyle name="Normal 2 2 2 2 2 2 6 5 2" xfId="12017" xr:uid="{00000000-0005-0000-0000-0000C62E0000}"/>
    <cellStyle name="Normal 2 2 2 2 2 2 6 5 3" xfId="12018" xr:uid="{00000000-0005-0000-0000-0000C72E0000}"/>
    <cellStyle name="Normal 2 2 2 2 2 2 6 5 4" xfId="12019" xr:uid="{00000000-0005-0000-0000-0000C82E0000}"/>
    <cellStyle name="Normal 2 2 2 2 2 2 6 5 5" xfId="12020" xr:uid="{00000000-0005-0000-0000-0000C92E0000}"/>
    <cellStyle name="Normal 2 2 2 2 2 2 6 5 6" xfId="12021" xr:uid="{00000000-0005-0000-0000-0000CA2E0000}"/>
    <cellStyle name="Normal 2 2 2 2 2 2 6 5 7" xfId="12022" xr:uid="{00000000-0005-0000-0000-0000CB2E0000}"/>
    <cellStyle name="Normal 2 2 2 2 2 2 6 5 8" xfId="12023" xr:uid="{00000000-0005-0000-0000-0000CC2E0000}"/>
    <cellStyle name="Normal 2 2 2 2 2 2 6 5 9" xfId="12024" xr:uid="{00000000-0005-0000-0000-0000CD2E0000}"/>
    <cellStyle name="Normal 2 2 2 2 2 2 6 6" xfId="12025" xr:uid="{00000000-0005-0000-0000-0000CE2E0000}"/>
    <cellStyle name="Normal 2 2 2 2 2 2 6 7" xfId="12026" xr:uid="{00000000-0005-0000-0000-0000CF2E0000}"/>
    <cellStyle name="Normal 2 2 2 2 2 2 6 8" xfId="12027" xr:uid="{00000000-0005-0000-0000-0000D02E0000}"/>
    <cellStyle name="Normal 2 2 2 2 2 2 6 9" xfId="12028" xr:uid="{00000000-0005-0000-0000-0000D12E0000}"/>
    <cellStyle name="Normal 2 2 2 2 2 2 7" xfId="12029" xr:uid="{00000000-0005-0000-0000-0000D22E0000}"/>
    <cellStyle name="Normal 2 2 2 2 2 2 7 10" xfId="12030" xr:uid="{00000000-0005-0000-0000-0000D32E0000}"/>
    <cellStyle name="Normal 2 2 2 2 2 2 7 11" xfId="12031" xr:uid="{00000000-0005-0000-0000-0000D42E0000}"/>
    <cellStyle name="Normal 2 2 2 2 2 2 7 12" xfId="12032" xr:uid="{00000000-0005-0000-0000-0000D52E0000}"/>
    <cellStyle name="Normal 2 2 2 2 2 2 7 13" xfId="12033" xr:uid="{00000000-0005-0000-0000-0000D62E0000}"/>
    <cellStyle name="Normal 2 2 2 2 2 2 7 14" xfId="12034" xr:uid="{00000000-0005-0000-0000-0000D72E0000}"/>
    <cellStyle name="Normal 2 2 2 2 2 2 7 2" xfId="12035" xr:uid="{00000000-0005-0000-0000-0000D82E0000}"/>
    <cellStyle name="Normal 2 2 2 2 2 2 7 2 10" xfId="12036" xr:uid="{00000000-0005-0000-0000-0000D92E0000}"/>
    <cellStyle name="Normal 2 2 2 2 2 2 7 2 2" xfId="12037" xr:uid="{00000000-0005-0000-0000-0000DA2E0000}"/>
    <cellStyle name="Normal 2 2 2 2 2 2 7 2 3" xfId="12038" xr:uid="{00000000-0005-0000-0000-0000DB2E0000}"/>
    <cellStyle name="Normal 2 2 2 2 2 2 7 2 4" xfId="12039" xr:uid="{00000000-0005-0000-0000-0000DC2E0000}"/>
    <cellStyle name="Normal 2 2 2 2 2 2 7 2 5" xfId="12040" xr:uid="{00000000-0005-0000-0000-0000DD2E0000}"/>
    <cellStyle name="Normal 2 2 2 2 2 2 7 2 6" xfId="12041" xr:uid="{00000000-0005-0000-0000-0000DE2E0000}"/>
    <cellStyle name="Normal 2 2 2 2 2 2 7 2 7" xfId="12042" xr:uid="{00000000-0005-0000-0000-0000DF2E0000}"/>
    <cellStyle name="Normal 2 2 2 2 2 2 7 2 8" xfId="12043" xr:uid="{00000000-0005-0000-0000-0000E02E0000}"/>
    <cellStyle name="Normal 2 2 2 2 2 2 7 2 9" xfId="12044" xr:uid="{00000000-0005-0000-0000-0000E12E0000}"/>
    <cellStyle name="Normal 2 2 2 2 2 2 7 3" xfId="12045" xr:uid="{00000000-0005-0000-0000-0000E22E0000}"/>
    <cellStyle name="Normal 2 2 2 2 2 2 7 3 10" xfId="12046" xr:uid="{00000000-0005-0000-0000-0000E32E0000}"/>
    <cellStyle name="Normal 2 2 2 2 2 2 7 3 2" xfId="12047" xr:uid="{00000000-0005-0000-0000-0000E42E0000}"/>
    <cellStyle name="Normal 2 2 2 2 2 2 7 3 3" xfId="12048" xr:uid="{00000000-0005-0000-0000-0000E52E0000}"/>
    <cellStyle name="Normal 2 2 2 2 2 2 7 3 4" xfId="12049" xr:uid="{00000000-0005-0000-0000-0000E62E0000}"/>
    <cellStyle name="Normal 2 2 2 2 2 2 7 3 5" xfId="12050" xr:uid="{00000000-0005-0000-0000-0000E72E0000}"/>
    <cellStyle name="Normal 2 2 2 2 2 2 7 3 6" xfId="12051" xr:uid="{00000000-0005-0000-0000-0000E82E0000}"/>
    <cellStyle name="Normal 2 2 2 2 2 2 7 3 7" xfId="12052" xr:uid="{00000000-0005-0000-0000-0000E92E0000}"/>
    <cellStyle name="Normal 2 2 2 2 2 2 7 3 8" xfId="12053" xr:uid="{00000000-0005-0000-0000-0000EA2E0000}"/>
    <cellStyle name="Normal 2 2 2 2 2 2 7 3 9" xfId="12054" xr:uid="{00000000-0005-0000-0000-0000EB2E0000}"/>
    <cellStyle name="Normal 2 2 2 2 2 2 7 4" xfId="12055" xr:uid="{00000000-0005-0000-0000-0000EC2E0000}"/>
    <cellStyle name="Normal 2 2 2 2 2 2 7 4 10" xfId="12056" xr:uid="{00000000-0005-0000-0000-0000ED2E0000}"/>
    <cellStyle name="Normal 2 2 2 2 2 2 7 4 2" xfId="12057" xr:uid="{00000000-0005-0000-0000-0000EE2E0000}"/>
    <cellStyle name="Normal 2 2 2 2 2 2 7 4 3" xfId="12058" xr:uid="{00000000-0005-0000-0000-0000EF2E0000}"/>
    <cellStyle name="Normal 2 2 2 2 2 2 7 4 4" xfId="12059" xr:uid="{00000000-0005-0000-0000-0000F02E0000}"/>
    <cellStyle name="Normal 2 2 2 2 2 2 7 4 5" xfId="12060" xr:uid="{00000000-0005-0000-0000-0000F12E0000}"/>
    <cellStyle name="Normal 2 2 2 2 2 2 7 4 6" xfId="12061" xr:uid="{00000000-0005-0000-0000-0000F22E0000}"/>
    <cellStyle name="Normal 2 2 2 2 2 2 7 4 7" xfId="12062" xr:uid="{00000000-0005-0000-0000-0000F32E0000}"/>
    <cellStyle name="Normal 2 2 2 2 2 2 7 4 8" xfId="12063" xr:uid="{00000000-0005-0000-0000-0000F42E0000}"/>
    <cellStyle name="Normal 2 2 2 2 2 2 7 4 9" xfId="12064" xr:uid="{00000000-0005-0000-0000-0000F52E0000}"/>
    <cellStyle name="Normal 2 2 2 2 2 2 7 5" xfId="12065" xr:uid="{00000000-0005-0000-0000-0000F62E0000}"/>
    <cellStyle name="Normal 2 2 2 2 2 2 7 5 10" xfId="12066" xr:uid="{00000000-0005-0000-0000-0000F72E0000}"/>
    <cellStyle name="Normal 2 2 2 2 2 2 7 5 2" xfId="12067" xr:uid="{00000000-0005-0000-0000-0000F82E0000}"/>
    <cellStyle name="Normal 2 2 2 2 2 2 7 5 3" xfId="12068" xr:uid="{00000000-0005-0000-0000-0000F92E0000}"/>
    <cellStyle name="Normal 2 2 2 2 2 2 7 5 4" xfId="12069" xr:uid="{00000000-0005-0000-0000-0000FA2E0000}"/>
    <cellStyle name="Normal 2 2 2 2 2 2 7 5 5" xfId="12070" xr:uid="{00000000-0005-0000-0000-0000FB2E0000}"/>
    <cellStyle name="Normal 2 2 2 2 2 2 7 5 6" xfId="12071" xr:uid="{00000000-0005-0000-0000-0000FC2E0000}"/>
    <cellStyle name="Normal 2 2 2 2 2 2 7 5 7" xfId="12072" xr:uid="{00000000-0005-0000-0000-0000FD2E0000}"/>
    <cellStyle name="Normal 2 2 2 2 2 2 7 5 8" xfId="12073" xr:uid="{00000000-0005-0000-0000-0000FE2E0000}"/>
    <cellStyle name="Normal 2 2 2 2 2 2 7 5 9" xfId="12074" xr:uid="{00000000-0005-0000-0000-0000FF2E0000}"/>
    <cellStyle name="Normal 2 2 2 2 2 2 7 6" xfId="12075" xr:uid="{00000000-0005-0000-0000-0000002F0000}"/>
    <cellStyle name="Normal 2 2 2 2 2 2 7 7" xfId="12076" xr:uid="{00000000-0005-0000-0000-0000012F0000}"/>
    <cellStyle name="Normal 2 2 2 2 2 2 7 8" xfId="12077" xr:uid="{00000000-0005-0000-0000-0000022F0000}"/>
    <cellStyle name="Normal 2 2 2 2 2 2 7 9" xfId="12078" xr:uid="{00000000-0005-0000-0000-0000032F0000}"/>
    <cellStyle name="Normal 2 2 2 2 2 2 8" xfId="12079" xr:uid="{00000000-0005-0000-0000-0000042F0000}"/>
    <cellStyle name="Normal 2 2 2 2 2 2 8 10" xfId="12080" xr:uid="{00000000-0005-0000-0000-0000052F0000}"/>
    <cellStyle name="Normal 2 2 2 2 2 2 8 11" xfId="12081" xr:uid="{00000000-0005-0000-0000-0000062F0000}"/>
    <cellStyle name="Normal 2 2 2 2 2 2 8 12" xfId="12082" xr:uid="{00000000-0005-0000-0000-0000072F0000}"/>
    <cellStyle name="Normal 2 2 2 2 2 2 8 13" xfId="12083" xr:uid="{00000000-0005-0000-0000-0000082F0000}"/>
    <cellStyle name="Normal 2 2 2 2 2 2 8 14" xfId="12084" xr:uid="{00000000-0005-0000-0000-0000092F0000}"/>
    <cellStyle name="Normal 2 2 2 2 2 2 8 2" xfId="12085" xr:uid="{00000000-0005-0000-0000-00000A2F0000}"/>
    <cellStyle name="Normal 2 2 2 2 2 2 8 2 10" xfId="12086" xr:uid="{00000000-0005-0000-0000-00000B2F0000}"/>
    <cellStyle name="Normal 2 2 2 2 2 2 8 2 2" xfId="12087" xr:uid="{00000000-0005-0000-0000-00000C2F0000}"/>
    <cellStyle name="Normal 2 2 2 2 2 2 8 2 3" xfId="12088" xr:uid="{00000000-0005-0000-0000-00000D2F0000}"/>
    <cellStyle name="Normal 2 2 2 2 2 2 8 2 4" xfId="12089" xr:uid="{00000000-0005-0000-0000-00000E2F0000}"/>
    <cellStyle name="Normal 2 2 2 2 2 2 8 2 5" xfId="12090" xr:uid="{00000000-0005-0000-0000-00000F2F0000}"/>
    <cellStyle name="Normal 2 2 2 2 2 2 8 2 6" xfId="12091" xr:uid="{00000000-0005-0000-0000-0000102F0000}"/>
    <cellStyle name="Normal 2 2 2 2 2 2 8 2 7" xfId="12092" xr:uid="{00000000-0005-0000-0000-0000112F0000}"/>
    <cellStyle name="Normal 2 2 2 2 2 2 8 2 8" xfId="12093" xr:uid="{00000000-0005-0000-0000-0000122F0000}"/>
    <cellStyle name="Normal 2 2 2 2 2 2 8 2 9" xfId="12094" xr:uid="{00000000-0005-0000-0000-0000132F0000}"/>
    <cellStyle name="Normal 2 2 2 2 2 2 8 3" xfId="12095" xr:uid="{00000000-0005-0000-0000-0000142F0000}"/>
    <cellStyle name="Normal 2 2 2 2 2 2 8 3 10" xfId="12096" xr:uid="{00000000-0005-0000-0000-0000152F0000}"/>
    <cellStyle name="Normal 2 2 2 2 2 2 8 3 2" xfId="12097" xr:uid="{00000000-0005-0000-0000-0000162F0000}"/>
    <cellStyle name="Normal 2 2 2 2 2 2 8 3 3" xfId="12098" xr:uid="{00000000-0005-0000-0000-0000172F0000}"/>
    <cellStyle name="Normal 2 2 2 2 2 2 8 3 4" xfId="12099" xr:uid="{00000000-0005-0000-0000-0000182F0000}"/>
    <cellStyle name="Normal 2 2 2 2 2 2 8 3 5" xfId="12100" xr:uid="{00000000-0005-0000-0000-0000192F0000}"/>
    <cellStyle name="Normal 2 2 2 2 2 2 8 3 6" xfId="12101" xr:uid="{00000000-0005-0000-0000-00001A2F0000}"/>
    <cellStyle name="Normal 2 2 2 2 2 2 8 3 7" xfId="12102" xr:uid="{00000000-0005-0000-0000-00001B2F0000}"/>
    <cellStyle name="Normal 2 2 2 2 2 2 8 3 8" xfId="12103" xr:uid="{00000000-0005-0000-0000-00001C2F0000}"/>
    <cellStyle name="Normal 2 2 2 2 2 2 8 3 9" xfId="12104" xr:uid="{00000000-0005-0000-0000-00001D2F0000}"/>
    <cellStyle name="Normal 2 2 2 2 2 2 8 4" xfId="12105" xr:uid="{00000000-0005-0000-0000-00001E2F0000}"/>
    <cellStyle name="Normal 2 2 2 2 2 2 8 4 10" xfId="12106" xr:uid="{00000000-0005-0000-0000-00001F2F0000}"/>
    <cellStyle name="Normal 2 2 2 2 2 2 8 4 2" xfId="12107" xr:uid="{00000000-0005-0000-0000-0000202F0000}"/>
    <cellStyle name="Normal 2 2 2 2 2 2 8 4 3" xfId="12108" xr:uid="{00000000-0005-0000-0000-0000212F0000}"/>
    <cellStyle name="Normal 2 2 2 2 2 2 8 4 4" xfId="12109" xr:uid="{00000000-0005-0000-0000-0000222F0000}"/>
    <cellStyle name="Normal 2 2 2 2 2 2 8 4 5" xfId="12110" xr:uid="{00000000-0005-0000-0000-0000232F0000}"/>
    <cellStyle name="Normal 2 2 2 2 2 2 8 4 6" xfId="12111" xr:uid="{00000000-0005-0000-0000-0000242F0000}"/>
    <cellStyle name="Normal 2 2 2 2 2 2 8 4 7" xfId="12112" xr:uid="{00000000-0005-0000-0000-0000252F0000}"/>
    <cellStyle name="Normal 2 2 2 2 2 2 8 4 8" xfId="12113" xr:uid="{00000000-0005-0000-0000-0000262F0000}"/>
    <cellStyle name="Normal 2 2 2 2 2 2 8 4 9" xfId="12114" xr:uid="{00000000-0005-0000-0000-0000272F0000}"/>
    <cellStyle name="Normal 2 2 2 2 2 2 8 5" xfId="12115" xr:uid="{00000000-0005-0000-0000-0000282F0000}"/>
    <cellStyle name="Normal 2 2 2 2 2 2 8 5 10" xfId="12116" xr:uid="{00000000-0005-0000-0000-0000292F0000}"/>
    <cellStyle name="Normal 2 2 2 2 2 2 8 5 2" xfId="12117" xr:uid="{00000000-0005-0000-0000-00002A2F0000}"/>
    <cellStyle name="Normal 2 2 2 2 2 2 8 5 3" xfId="12118" xr:uid="{00000000-0005-0000-0000-00002B2F0000}"/>
    <cellStyle name="Normal 2 2 2 2 2 2 8 5 4" xfId="12119" xr:uid="{00000000-0005-0000-0000-00002C2F0000}"/>
    <cellStyle name="Normal 2 2 2 2 2 2 8 5 5" xfId="12120" xr:uid="{00000000-0005-0000-0000-00002D2F0000}"/>
    <cellStyle name="Normal 2 2 2 2 2 2 8 5 6" xfId="12121" xr:uid="{00000000-0005-0000-0000-00002E2F0000}"/>
    <cellStyle name="Normal 2 2 2 2 2 2 8 5 7" xfId="12122" xr:uid="{00000000-0005-0000-0000-00002F2F0000}"/>
    <cellStyle name="Normal 2 2 2 2 2 2 8 5 8" xfId="12123" xr:uid="{00000000-0005-0000-0000-0000302F0000}"/>
    <cellStyle name="Normal 2 2 2 2 2 2 8 5 9" xfId="12124" xr:uid="{00000000-0005-0000-0000-0000312F0000}"/>
    <cellStyle name="Normal 2 2 2 2 2 2 8 6" xfId="12125" xr:uid="{00000000-0005-0000-0000-0000322F0000}"/>
    <cellStyle name="Normal 2 2 2 2 2 2 8 7" xfId="12126" xr:uid="{00000000-0005-0000-0000-0000332F0000}"/>
    <cellStyle name="Normal 2 2 2 2 2 2 8 8" xfId="12127" xr:uid="{00000000-0005-0000-0000-0000342F0000}"/>
    <cellStyle name="Normal 2 2 2 2 2 2 8 9" xfId="12128" xr:uid="{00000000-0005-0000-0000-0000352F0000}"/>
    <cellStyle name="Normal 2 2 2 2 2 2 9" xfId="12129" xr:uid="{00000000-0005-0000-0000-0000362F0000}"/>
    <cellStyle name="Normal 2 2 2 2 2 2 9 10" xfId="12130" xr:uid="{00000000-0005-0000-0000-0000372F0000}"/>
    <cellStyle name="Normal 2 2 2 2 2 2 9 11" xfId="12131" xr:uid="{00000000-0005-0000-0000-0000382F0000}"/>
    <cellStyle name="Normal 2 2 2 2 2 2 9 12" xfId="12132" xr:uid="{00000000-0005-0000-0000-0000392F0000}"/>
    <cellStyle name="Normal 2 2 2 2 2 2 9 13" xfId="12133" xr:uid="{00000000-0005-0000-0000-00003A2F0000}"/>
    <cellStyle name="Normal 2 2 2 2 2 2 9 14" xfId="12134" xr:uid="{00000000-0005-0000-0000-00003B2F0000}"/>
    <cellStyle name="Normal 2 2 2 2 2 2 9 2" xfId="12135" xr:uid="{00000000-0005-0000-0000-00003C2F0000}"/>
    <cellStyle name="Normal 2 2 2 2 2 2 9 2 10" xfId="12136" xr:uid="{00000000-0005-0000-0000-00003D2F0000}"/>
    <cellStyle name="Normal 2 2 2 2 2 2 9 2 2" xfId="12137" xr:uid="{00000000-0005-0000-0000-00003E2F0000}"/>
    <cellStyle name="Normal 2 2 2 2 2 2 9 2 3" xfId="12138" xr:uid="{00000000-0005-0000-0000-00003F2F0000}"/>
    <cellStyle name="Normal 2 2 2 2 2 2 9 2 4" xfId="12139" xr:uid="{00000000-0005-0000-0000-0000402F0000}"/>
    <cellStyle name="Normal 2 2 2 2 2 2 9 2 5" xfId="12140" xr:uid="{00000000-0005-0000-0000-0000412F0000}"/>
    <cellStyle name="Normal 2 2 2 2 2 2 9 2 6" xfId="12141" xr:uid="{00000000-0005-0000-0000-0000422F0000}"/>
    <cellStyle name="Normal 2 2 2 2 2 2 9 2 7" xfId="12142" xr:uid="{00000000-0005-0000-0000-0000432F0000}"/>
    <cellStyle name="Normal 2 2 2 2 2 2 9 2 8" xfId="12143" xr:uid="{00000000-0005-0000-0000-0000442F0000}"/>
    <cellStyle name="Normal 2 2 2 2 2 2 9 2 9" xfId="12144" xr:uid="{00000000-0005-0000-0000-0000452F0000}"/>
    <cellStyle name="Normal 2 2 2 2 2 2 9 3" xfId="12145" xr:uid="{00000000-0005-0000-0000-0000462F0000}"/>
    <cellStyle name="Normal 2 2 2 2 2 2 9 3 10" xfId="12146" xr:uid="{00000000-0005-0000-0000-0000472F0000}"/>
    <cellStyle name="Normal 2 2 2 2 2 2 9 3 2" xfId="12147" xr:uid="{00000000-0005-0000-0000-0000482F0000}"/>
    <cellStyle name="Normal 2 2 2 2 2 2 9 3 3" xfId="12148" xr:uid="{00000000-0005-0000-0000-0000492F0000}"/>
    <cellStyle name="Normal 2 2 2 2 2 2 9 3 4" xfId="12149" xr:uid="{00000000-0005-0000-0000-00004A2F0000}"/>
    <cellStyle name="Normal 2 2 2 2 2 2 9 3 5" xfId="12150" xr:uid="{00000000-0005-0000-0000-00004B2F0000}"/>
    <cellStyle name="Normal 2 2 2 2 2 2 9 3 6" xfId="12151" xr:uid="{00000000-0005-0000-0000-00004C2F0000}"/>
    <cellStyle name="Normal 2 2 2 2 2 2 9 3 7" xfId="12152" xr:uid="{00000000-0005-0000-0000-00004D2F0000}"/>
    <cellStyle name="Normal 2 2 2 2 2 2 9 3 8" xfId="12153" xr:uid="{00000000-0005-0000-0000-00004E2F0000}"/>
    <cellStyle name="Normal 2 2 2 2 2 2 9 3 9" xfId="12154" xr:uid="{00000000-0005-0000-0000-00004F2F0000}"/>
    <cellStyle name="Normal 2 2 2 2 2 2 9 4" xfId="12155" xr:uid="{00000000-0005-0000-0000-0000502F0000}"/>
    <cellStyle name="Normal 2 2 2 2 2 2 9 4 10" xfId="12156" xr:uid="{00000000-0005-0000-0000-0000512F0000}"/>
    <cellStyle name="Normal 2 2 2 2 2 2 9 4 2" xfId="12157" xr:uid="{00000000-0005-0000-0000-0000522F0000}"/>
    <cellStyle name="Normal 2 2 2 2 2 2 9 4 3" xfId="12158" xr:uid="{00000000-0005-0000-0000-0000532F0000}"/>
    <cellStyle name="Normal 2 2 2 2 2 2 9 4 4" xfId="12159" xr:uid="{00000000-0005-0000-0000-0000542F0000}"/>
    <cellStyle name="Normal 2 2 2 2 2 2 9 4 5" xfId="12160" xr:uid="{00000000-0005-0000-0000-0000552F0000}"/>
    <cellStyle name="Normal 2 2 2 2 2 2 9 4 6" xfId="12161" xr:uid="{00000000-0005-0000-0000-0000562F0000}"/>
    <cellStyle name="Normal 2 2 2 2 2 2 9 4 7" xfId="12162" xr:uid="{00000000-0005-0000-0000-0000572F0000}"/>
    <cellStyle name="Normal 2 2 2 2 2 2 9 4 8" xfId="12163" xr:uid="{00000000-0005-0000-0000-0000582F0000}"/>
    <cellStyle name="Normal 2 2 2 2 2 2 9 4 9" xfId="12164" xr:uid="{00000000-0005-0000-0000-0000592F0000}"/>
    <cellStyle name="Normal 2 2 2 2 2 2 9 5" xfId="12165" xr:uid="{00000000-0005-0000-0000-00005A2F0000}"/>
    <cellStyle name="Normal 2 2 2 2 2 2 9 5 10" xfId="12166" xr:uid="{00000000-0005-0000-0000-00005B2F0000}"/>
    <cellStyle name="Normal 2 2 2 2 2 2 9 5 2" xfId="12167" xr:uid="{00000000-0005-0000-0000-00005C2F0000}"/>
    <cellStyle name="Normal 2 2 2 2 2 2 9 5 3" xfId="12168" xr:uid="{00000000-0005-0000-0000-00005D2F0000}"/>
    <cellStyle name="Normal 2 2 2 2 2 2 9 5 4" xfId="12169" xr:uid="{00000000-0005-0000-0000-00005E2F0000}"/>
    <cellStyle name="Normal 2 2 2 2 2 2 9 5 5" xfId="12170" xr:uid="{00000000-0005-0000-0000-00005F2F0000}"/>
    <cellStyle name="Normal 2 2 2 2 2 2 9 5 6" xfId="12171" xr:uid="{00000000-0005-0000-0000-0000602F0000}"/>
    <cellStyle name="Normal 2 2 2 2 2 2 9 5 7" xfId="12172" xr:uid="{00000000-0005-0000-0000-0000612F0000}"/>
    <cellStyle name="Normal 2 2 2 2 2 2 9 5 8" xfId="12173" xr:uid="{00000000-0005-0000-0000-0000622F0000}"/>
    <cellStyle name="Normal 2 2 2 2 2 2 9 5 9" xfId="12174" xr:uid="{00000000-0005-0000-0000-0000632F0000}"/>
    <cellStyle name="Normal 2 2 2 2 2 2 9 6" xfId="12175" xr:uid="{00000000-0005-0000-0000-0000642F0000}"/>
    <cellStyle name="Normal 2 2 2 2 2 2 9 7" xfId="12176" xr:uid="{00000000-0005-0000-0000-0000652F0000}"/>
    <cellStyle name="Normal 2 2 2 2 2 2 9 8" xfId="12177" xr:uid="{00000000-0005-0000-0000-0000662F0000}"/>
    <cellStyle name="Normal 2 2 2 2 2 2 9 9" xfId="12178" xr:uid="{00000000-0005-0000-0000-0000672F0000}"/>
    <cellStyle name="Normal 2 2 2 2 2 20" xfId="12179" xr:uid="{00000000-0005-0000-0000-0000682F0000}"/>
    <cellStyle name="Normal 2 2 2 2 2 20 10" xfId="12180" xr:uid="{00000000-0005-0000-0000-0000692F0000}"/>
    <cellStyle name="Normal 2 2 2 2 2 20 11" xfId="12181" xr:uid="{00000000-0005-0000-0000-00006A2F0000}"/>
    <cellStyle name="Normal 2 2 2 2 2 20 12" xfId="12182" xr:uid="{00000000-0005-0000-0000-00006B2F0000}"/>
    <cellStyle name="Normal 2 2 2 2 2 20 13" xfId="12183" xr:uid="{00000000-0005-0000-0000-00006C2F0000}"/>
    <cellStyle name="Normal 2 2 2 2 2 20 14" xfId="12184" xr:uid="{00000000-0005-0000-0000-00006D2F0000}"/>
    <cellStyle name="Normal 2 2 2 2 2 20 2" xfId="12185" xr:uid="{00000000-0005-0000-0000-00006E2F0000}"/>
    <cellStyle name="Normal 2 2 2 2 2 20 2 10" xfId="12186" xr:uid="{00000000-0005-0000-0000-00006F2F0000}"/>
    <cellStyle name="Normal 2 2 2 2 2 20 2 2" xfId="12187" xr:uid="{00000000-0005-0000-0000-0000702F0000}"/>
    <cellStyle name="Normal 2 2 2 2 2 20 2 3" xfId="12188" xr:uid="{00000000-0005-0000-0000-0000712F0000}"/>
    <cellStyle name="Normal 2 2 2 2 2 20 2 4" xfId="12189" xr:uid="{00000000-0005-0000-0000-0000722F0000}"/>
    <cellStyle name="Normal 2 2 2 2 2 20 2 5" xfId="12190" xr:uid="{00000000-0005-0000-0000-0000732F0000}"/>
    <cellStyle name="Normal 2 2 2 2 2 20 2 6" xfId="12191" xr:uid="{00000000-0005-0000-0000-0000742F0000}"/>
    <cellStyle name="Normal 2 2 2 2 2 20 2 7" xfId="12192" xr:uid="{00000000-0005-0000-0000-0000752F0000}"/>
    <cellStyle name="Normal 2 2 2 2 2 20 2 8" xfId="12193" xr:uid="{00000000-0005-0000-0000-0000762F0000}"/>
    <cellStyle name="Normal 2 2 2 2 2 20 2 9" xfId="12194" xr:uid="{00000000-0005-0000-0000-0000772F0000}"/>
    <cellStyle name="Normal 2 2 2 2 2 20 3" xfId="12195" xr:uid="{00000000-0005-0000-0000-0000782F0000}"/>
    <cellStyle name="Normal 2 2 2 2 2 20 3 10" xfId="12196" xr:uid="{00000000-0005-0000-0000-0000792F0000}"/>
    <cellStyle name="Normal 2 2 2 2 2 20 3 2" xfId="12197" xr:uid="{00000000-0005-0000-0000-00007A2F0000}"/>
    <cellStyle name="Normal 2 2 2 2 2 20 3 3" xfId="12198" xr:uid="{00000000-0005-0000-0000-00007B2F0000}"/>
    <cellStyle name="Normal 2 2 2 2 2 20 3 4" xfId="12199" xr:uid="{00000000-0005-0000-0000-00007C2F0000}"/>
    <cellStyle name="Normal 2 2 2 2 2 20 3 5" xfId="12200" xr:uid="{00000000-0005-0000-0000-00007D2F0000}"/>
    <cellStyle name="Normal 2 2 2 2 2 20 3 6" xfId="12201" xr:uid="{00000000-0005-0000-0000-00007E2F0000}"/>
    <cellStyle name="Normal 2 2 2 2 2 20 3 7" xfId="12202" xr:uid="{00000000-0005-0000-0000-00007F2F0000}"/>
    <cellStyle name="Normal 2 2 2 2 2 20 3 8" xfId="12203" xr:uid="{00000000-0005-0000-0000-0000802F0000}"/>
    <cellStyle name="Normal 2 2 2 2 2 20 3 9" xfId="12204" xr:uid="{00000000-0005-0000-0000-0000812F0000}"/>
    <cellStyle name="Normal 2 2 2 2 2 20 4" xfId="12205" xr:uid="{00000000-0005-0000-0000-0000822F0000}"/>
    <cellStyle name="Normal 2 2 2 2 2 20 4 10" xfId="12206" xr:uid="{00000000-0005-0000-0000-0000832F0000}"/>
    <cellStyle name="Normal 2 2 2 2 2 20 4 2" xfId="12207" xr:uid="{00000000-0005-0000-0000-0000842F0000}"/>
    <cellStyle name="Normal 2 2 2 2 2 20 4 3" xfId="12208" xr:uid="{00000000-0005-0000-0000-0000852F0000}"/>
    <cellStyle name="Normal 2 2 2 2 2 20 4 4" xfId="12209" xr:uid="{00000000-0005-0000-0000-0000862F0000}"/>
    <cellStyle name="Normal 2 2 2 2 2 20 4 5" xfId="12210" xr:uid="{00000000-0005-0000-0000-0000872F0000}"/>
    <cellStyle name="Normal 2 2 2 2 2 20 4 6" xfId="12211" xr:uid="{00000000-0005-0000-0000-0000882F0000}"/>
    <cellStyle name="Normal 2 2 2 2 2 20 4 7" xfId="12212" xr:uid="{00000000-0005-0000-0000-0000892F0000}"/>
    <cellStyle name="Normal 2 2 2 2 2 20 4 8" xfId="12213" xr:uid="{00000000-0005-0000-0000-00008A2F0000}"/>
    <cellStyle name="Normal 2 2 2 2 2 20 4 9" xfId="12214" xr:uid="{00000000-0005-0000-0000-00008B2F0000}"/>
    <cellStyle name="Normal 2 2 2 2 2 20 5" xfId="12215" xr:uid="{00000000-0005-0000-0000-00008C2F0000}"/>
    <cellStyle name="Normal 2 2 2 2 2 20 5 10" xfId="12216" xr:uid="{00000000-0005-0000-0000-00008D2F0000}"/>
    <cellStyle name="Normal 2 2 2 2 2 20 5 2" xfId="12217" xr:uid="{00000000-0005-0000-0000-00008E2F0000}"/>
    <cellStyle name="Normal 2 2 2 2 2 20 5 3" xfId="12218" xr:uid="{00000000-0005-0000-0000-00008F2F0000}"/>
    <cellStyle name="Normal 2 2 2 2 2 20 5 4" xfId="12219" xr:uid="{00000000-0005-0000-0000-0000902F0000}"/>
    <cellStyle name="Normal 2 2 2 2 2 20 5 5" xfId="12220" xr:uid="{00000000-0005-0000-0000-0000912F0000}"/>
    <cellStyle name="Normal 2 2 2 2 2 20 5 6" xfId="12221" xr:uid="{00000000-0005-0000-0000-0000922F0000}"/>
    <cellStyle name="Normal 2 2 2 2 2 20 5 7" xfId="12222" xr:uid="{00000000-0005-0000-0000-0000932F0000}"/>
    <cellStyle name="Normal 2 2 2 2 2 20 5 8" xfId="12223" xr:uid="{00000000-0005-0000-0000-0000942F0000}"/>
    <cellStyle name="Normal 2 2 2 2 2 20 5 9" xfId="12224" xr:uid="{00000000-0005-0000-0000-0000952F0000}"/>
    <cellStyle name="Normal 2 2 2 2 2 20 6" xfId="12225" xr:uid="{00000000-0005-0000-0000-0000962F0000}"/>
    <cellStyle name="Normal 2 2 2 2 2 20 7" xfId="12226" xr:uid="{00000000-0005-0000-0000-0000972F0000}"/>
    <cellStyle name="Normal 2 2 2 2 2 20 8" xfId="12227" xr:uid="{00000000-0005-0000-0000-0000982F0000}"/>
    <cellStyle name="Normal 2 2 2 2 2 20 9" xfId="12228" xr:uid="{00000000-0005-0000-0000-0000992F0000}"/>
    <cellStyle name="Normal 2 2 2 2 2 21" xfId="12229" xr:uid="{00000000-0005-0000-0000-00009A2F0000}"/>
    <cellStyle name="Normal 2 2 2 2 2 21 10" xfId="12230" xr:uid="{00000000-0005-0000-0000-00009B2F0000}"/>
    <cellStyle name="Normal 2 2 2 2 2 21 11" xfId="12231" xr:uid="{00000000-0005-0000-0000-00009C2F0000}"/>
    <cellStyle name="Normal 2 2 2 2 2 21 12" xfId="12232" xr:uid="{00000000-0005-0000-0000-00009D2F0000}"/>
    <cellStyle name="Normal 2 2 2 2 2 21 13" xfId="12233" xr:uid="{00000000-0005-0000-0000-00009E2F0000}"/>
    <cellStyle name="Normal 2 2 2 2 2 21 14" xfId="12234" xr:uid="{00000000-0005-0000-0000-00009F2F0000}"/>
    <cellStyle name="Normal 2 2 2 2 2 21 2" xfId="12235" xr:uid="{00000000-0005-0000-0000-0000A02F0000}"/>
    <cellStyle name="Normal 2 2 2 2 2 21 2 10" xfId="12236" xr:uid="{00000000-0005-0000-0000-0000A12F0000}"/>
    <cellStyle name="Normal 2 2 2 2 2 21 2 2" xfId="12237" xr:uid="{00000000-0005-0000-0000-0000A22F0000}"/>
    <cellStyle name="Normal 2 2 2 2 2 21 2 3" xfId="12238" xr:uid="{00000000-0005-0000-0000-0000A32F0000}"/>
    <cellStyle name="Normal 2 2 2 2 2 21 2 4" xfId="12239" xr:uid="{00000000-0005-0000-0000-0000A42F0000}"/>
    <cellStyle name="Normal 2 2 2 2 2 21 2 5" xfId="12240" xr:uid="{00000000-0005-0000-0000-0000A52F0000}"/>
    <cellStyle name="Normal 2 2 2 2 2 21 2 6" xfId="12241" xr:uid="{00000000-0005-0000-0000-0000A62F0000}"/>
    <cellStyle name="Normal 2 2 2 2 2 21 2 7" xfId="12242" xr:uid="{00000000-0005-0000-0000-0000A72F0000}"/>
    <cellStyle name="Normal 2 2 2 2 2 21 2 8" xfId="12243" xr:uid="{00000000-0005-0000-0000-0000A82F0000}"/>
    <cellStyle name="Normal 2 2 2 2 2 21 2 9" xfId="12244" xr:uid="{00000000-0005-0000-0000-0000A92F0000}"/>
    <cellStyle name="Normal 2 2 2 2 2 21 3" xfId="12245" xr:uid="{00000000-0005-0000-0000-0000AA2F0000}"/>
    <cellStyle name="Normal 2 2 2 2 2 21 3 10" xfId="12246" xr:uid="{00000000-0005-0000-0000-0000AB2F0000}"/>
    <cellStyle name="Normal 2 2 2 2 2 21 3 2" xfId="12247" xr:uid="{00000000-0005-0000-0000-0000AC2F0000}"/>
    <cellStyle name="Normal 2 2 2 2 2 21 3 3" xfId="12248" xr:uid="{00000000-0005-0000-0000-0000AD2F0000}"/>
    <cellStyle name="Normal 2 2 2 2 2 21 3 4" xfId="12249" xr:uid="{00000000-0005-0000-0000-0000AE2F0000}"/>
    <cellStyle name="Normal 2 2 2 2 2 21 3 5" xfId="12250" xr:uid="{00000000-0005-0000-0000-0000AF2F0000}"/>
    <cellStyle name="Normal 2 2 2 2 2 21 3 6" xfId="12251" xr:uid="{00000000-0005-0000-0000-0000B02F0000}"/>
    <cellStyle name="Normal 2 2 2 2 2 21 3 7" xfId="12252" xr:uid="{00000000-0005-0000-0000-0000B12F0000}"/>
    <cellStyle name="Normal 2 2 2 2 2 21 3 8" xfId="12253" xr:uid="{00000000-0005-0000-0000-0000B22F0000}"/>
    <cellStyle name="Normal 2 2 2 2 2 21 3 9" xfId="12254" xr:uid="{00000000-0005-0000-0000-0000B32F0000}"/>
    <cellStyle name="Normal 2 2 2 2 2 21 4" xfId="12255" xr:uid="{00000000-0005-0000-0000-0000B42F0000}"/>
    <cellStyle name="Normal 2 2 2 2 2 21 4 10" xfId="12256" xr:uid="{00000000-0005-0000-0000-0000B52F0000}"/>
    <cellStyle name="Normal 2 2 2 2 2 21 4 2" xfId="12257" xr:uid="{00000000-0005-0000-0000-0000B62F0000}"/>
    <cellStyle name="Normal 2 2 2 2 2 21 4 3" xfId="12258" xr:uid="{00000000-0005-0000-0000-0000B72F0000}"/>
    <cellStyle name="Normal 2 2 2 2 2 21 4 4" xfId="12259" xr:uid="{00000000-0005-0000-0000-0000B82F0000}"/>
    <cellStyle name="Normal 2 2 2 2 2 21 4 5" xfId="12260" xr:uid="{00000000-0005-0000-0000-0000B92F0000}"/>
    <cellStyle name="Normal 2 2 2 2 2 21 4 6" xfId="12261" xr:uid="{00000000-0005-0000-0000-0000BA2F0000}"/>
    <cellStyle name="Normal 2 2 2 2 2 21 4 7" xfId="12262" xr:uid="{00000000-0005-0000-0000-0000BB2F0000}"/>
    <cellStyle name="Normal 2 2 2 2 2 21 4 8" xfId="12263" xr:uid="{00000000-0005-0000-0000-0000BC2F0000}"/>
    <cellStyle name="Normal 2 2 2 2 2 21 4 9" xfId="12264" xr:uid="{00000000-0005-0000-0000-0000BD2F0000}"/>
    <cellStyle name="Normal 2 2 2 2 2 21 5" xfId="12265" xr:uid="{00000000-0005-0000-0000-0000BE2F0000}"/>
    <cellStyle name="Normal 2 2 2 2 2 21 5 10" xfId="12266" xr:uid="{00000000-0005-0000-0000-0000BF2F0000}"/>
    <cellStyle name="Normal 2 2 2 2 2 21 5 2" xfId="12267" xr:uid="{00000000-0005-0000-0000-0000C02F0000}"/>
    <cellStyle name="Normal 2 2 2 2 2 21 5 3" xfId="12268" xr:uid="{00000000-0005-0000-0000-0000C12F0000}"/>
    <cellStyle name="Normal 2 2 2 2 2 21 5 4" xfId="12269" xr:uid="{00000000-0005-0000-0000-0000C22F0000}"/>
    <cellStyle name="Normal 2 2 2 2 2 21 5 5" xfId="12270" xr:uid="{00000000-0005-0000-0000-0000C32F0000}"/>
    <cellStyle name="Normal 2 2 2 2 2 21 5 6" xfId="12271" xr:uid="{00000000-0005-0000-0000-0000C42F0000}"/>
    <cellStyle name="Normal 2 2 2 2 2 21 5 7" xfId="12272" xr:uid="{00000000-0005-0000-0000-0000C52F0000}"/>
    <cellStyle name="Normal 2 2 2 2 2 21 5 8" xfId="12273" xr:uid="{00000000-0005-0000-0000-0000C62F0000}"/>
    <cellStyle name="Normal 2 2 2 2 2 21 5 9" xfId="12274" xr:uid="{00000000-0005-0000-0000-0000C72F0000}"/>
    <cellStyle name="Normal 2 2 2 2 2 21 6" xfId="12275" xr:uid="{00000000-0005-0000-0000-0000C82F0000}"/>
    <cellStyle name="Normal 2 2 2 2 2 21 7" xfId="12276" xr:uid="{00000000-0005-0000-0000-0000C92F0000}"/>
    <cellStyle name="Normal 2 2 2 2 2 21 8" xfId="12277" xr:uid="{00000000-0005-0000-0000-0000CA2F0000}"/>
    <cellStyle name="Normal 2 2 2 2 2 21 9" xfId="12278" xr:uid="{00000000-0005-0000-0000-0000CB2F0000}"/>
    <cellStyle name="Normal 2 2 2 2 2 22" xfId="12279" xr:uid="{00000000-0005-0000-0000-0000CC2F0000}"/>
    <cellStyle name="Normal 2 2 2 2 2 22 10" xfId="12280" xr:uid="{00000000-0005-0000-0000-0000CD2F0000}"/>
    <cellStyle name="Normal 2 2 2 2 2 22 11" xfId="12281" xr:uid="{00000000-0005-0000-0000-0000CE2F0000}"/>
    <cellStyle name="Normal 2 2 2 2 2 22 12" xfId="12282" xr:uid="{00000000-0005-0000-0000-0000CF2F0000}"/>
    <cellStyle name="Normal 2 2 2 2 2 22 13" xfId="12283" xr:uid="{00000000-0005-0000-0000-0000D02F0000}"/>
    <cellStyle name="Normal 2 2 2 2 2 22 14" xfId="12284" xr:uid="{00000000-0005-0000-0000-0000D12F0000}"/>
    <cellStyle name="Normal 2 2 2 2 2 22 2" xfId="12285" xr:uid="{00000000-0005-0000-0000-0000D22F0000}"/>
    <cellStyle name="Normal 2 2 2 2 2 22 2 10" xfId="12286" xr:uid="{00000000-0005-0000-0000-0000D32F0000}"/>
    <cellStyle name="Normal 2 2 2 2 2 22 2 2" xfId="12287" xr:uid="{00000000-0005-0000-0000-0000D42F0000}"/>
    <cellStyle name="Normal 2 2 2 2 2 22 2 3" xfId="12288" xr:uid="{00000000-0005-0000-0000-0000D52F0000}"/>
    <cellStyle name="Normal 2 2 2 2 2 22 2 4" xfId="12289" xr:uid="{00000000-0005-0000-0000-0000D62F0000}"/>
    <cellStyle name="Normal 2 2 2 2 2 22 2 5" xfId="12290" xr:uid="{00000000-0005-0000-0000-0000D72F0000}"/>
    <cellStyle name="Normal 2 2 2 2 2 22 2 6" xfId="12291" xr:uid="{00000000-0005-0000-0000-0000D82F0000}"/>
    <cellStyle name="Normal 2 2 2 2 2 22 2 7" xfId="12292" xr:uid="{00000000-0005-0000-0000-0000D92F0000}"/>
    <cellStyle name="Normal 2 2 2 2 2 22 2 8" xfId="12293" xr:uid="{00000000-0005-0000-0000-0000DA2F0000}"/>
    <cellStyle name="Normal 2 2 2 2 2 22 2 9" xfId="12294" xr:uid="{00000000-0005-0000-0000-0000DB2F0000}"/>
    <cellStyle name="Normal 2 2 2 2 2 22 3" xfId="12295" xr:uid="{00000000-0005-0000-0000-0000DC2F0000}"/>
    <cellStyle name="Normal 2 2 2 2 2 22 3 10" xfId="12296" xr:uid="{00000000-0005-0000-0000-0000DD2F0000}"/>
    <cellStyle name="Normal 2 2 2 2 2 22 3 2" xfId="12297" xr:uid="{00000000-0005-0000-0000-0000DE2F0000}"/>
    <cellStyle name="Normal 2 2 2 2 2 22 3 3" xfId="12298" xr:uid="{00000000-0005-0000-0000-0000DF2F0000}"/>
    <cellStyle name="Normal 2 2 2 2 2 22 3 4" xfId="12299" xr:uid="{00000000-0005-0000-0000-0000E02F0000}"/>
    <cellStyle name="Normal 2 2 2 2 2 22 3 5" xfId="12300" xr:uid="{00000000-0005-0000-0000-0000E12F0000}"/>
    <cellStyle name="Normal 2 2 2 2 2 22 3 6" xfId="12301" xr:uid="{00000000-0005-0000-0000-0000E22F0000}"/>
    <cellStyle name="Normal 2 2 2 2 2 22 3 7" xfId="12302" xr:uid="{00000000-0005-0000-0000-0000E32F0000}"/>
    <cellStyle name="Normal 2 2 2 2 2 22 3 8" xfId="12303" xr:uid="{00000000-0005-0000-0000-0000E42F0000}"/>
    <cellStyle name="Normal 2 2 2 2 2 22 3 9" xfId="12304" xr:uid="{00000000-0005-0000-0000-0000E52F0000}"/>
    <cellStyle name="Normal 2 2 2 2 2 22 4" xfId="12305" xr:uid="{00000000-0005-0000-0000-0000E62F0000}"/>
    <cellStyle name="Normal 2 2 2 2 2 22 4 10" xfId="12306" xr:uid="{00000000-0005-0000-0000-0000E72F0000}"/>
    <cellStyle name="Normal 2 2 2 2 2 22 4 2" xfId="12307" xr:uid="{00000000-0005-0000-0000-0000E82F0000}"/>
    <cellStyle name="Normal 2 2 2 2 2 22 4 3" xfId="12308" xr:uid="{00000000-0005-0000-0000-0000E92F0000}"/>
    <cellStyle name="Normal 2 2 2 2 2 22 4 4" xfId="12309" xr:uid="{00000000-0005-0000-0000-0000EA2F0000}"/>
    <cellStyle name="Normal 2 2 2 2 2 22 4 5" xfId="12310" xr:uid="{00000000-0005-0000-0000-0000EB2F0000}"/>
    <cellStyle name="Normal 2 2 2 2 2 22 4 6" xfId="12311" xr:uid="{00000000-0005-0000-0000-0000EC2F0000}"/>
    <cellStyle name="Normal 2 2 2 2 2 22 4 7" xfId="12312" xr:uid="{00000000-0005-0000-0000-0000ED2F0000}"/>
    <cellStyle name="Normal 2 2 2 2 2 22 4 8" xfId="12313" xr:uid="{00000000-0005-0000-0000-0000EE2F0000}"/>
    <cellStyle name="Normal 2 2 2 2 2 22 4 9" xfId="12314" xr:uid="{00000000-0005-0000-0000-0000EF2F0000}"/>
    <cellStyle name="Normal 2 2 2 2 2 22 5" xfId="12315" xr:uid="{00000000-0005-0000-0000-0000F02F0000}"/>
    <cellStyle name="Normal 2 2 2 2 2 22 5 10" xfId="12316" xr:uid="{00000000-0005-0000-0000-0000F12F0000}"/>
    <cellStyle name="Normal 2 2 2 2 2 22 5 2" xfId="12317" xr:uid="{00000000-0005-0000-0000-0000F22F0000}"/>
    <cellStyle name="Normal 2 2 2 2 2 22 5 3" xfId="12318" xr:uid="{00000000-0005-0000-0000-0000F32F0000}"/>
    <cellStyle name="Normal 2 2 2 2 2 22 5 4" xfId="12319" xr:uid="{00000000-0005-0000-0000-0000F42F0000}"/>
    <cellStyle name="Normal 2 2 2 2 2 22 5 5" xfId="12320" xr:uid="{00000000-0005-0000-0000-0000F52F0000}"/>
    <cellStyle name="Normal 2 2 2 2 2 22 5 6" xfId="12321" xr:uid="{00000000-0005-0000-0000-0000F62F0000}"/>
    <cellStyle name="Normal 2 2 2 2 2 22 5 7" xfId="12322" xr:uid="{00000000-0005-0000-0000-0000F72F0000}"/>
    <cellStyle name="Normal 2 2 2 2 2 22 5 8" xfId="12323" xr:uid="{00000000-0005-0000-0000-0000F82F0000}"/>
    <cellStyle name="Normal 2 2 2 2 2 22 5 9" xfId="12324" xr:uid="{00000000-0005-0000-0000-0000F92F0000}"/>
    <cellStyle name="Normal 2 2 2 2 2 22 6" xfId="12325" xr:uid="{00000000-0005-0000-0000-0000FA2F0000}"/>
    <cellStyle name="Normal 2 2 2 2 2 22 7" xfId="12326" xr:uid="{00000000-0005-0000-0000-0000FB2F0000}"/>
    <cellStyle name="Normal 2 2 2 2 2 22 8" xfId="12327" xr:uid="{00000000-0005-0000-0000-0000FC2F0000}"/>
    <cellStyle name="Normal 2 2 2 2 2 22 9" xfId="12328" xr:uid="{00000000-0005-0000-0000-0000FD2F0000}"/>
    <cellStyle name="Normal 2 2 2 2 2 23" xfId="12329" xr:uid="{00000000-0005-0000-0000-0000FE2F0000}"/>
    <cellStyle name="Normal 2 2 2 2 2 23 10" xfId="12330" xr:uid="{00000000-0005-0000-0000-0000FF2F0000}"/>
    <cellStyle name="Normal 2 2 2 2 2 23 11" xfId="12331" xr:uid="{00000000-0005-0000-0000-000000300000}"/>
    <cellStyle name="Normal 2 2 2 2 2 23 12" xfId="12332" xr:uid="{00000000-0005-0000-0000-000001300000}"/>
    <cellStyle name="Normal 2 2 2 2 2 23 13" xfId="12333" xr:uid="{00000000-0005-0000-0000-000002300000}"/>
    <cellStyle name="Normal 2 2 2 2 2 23 14" xfId="12334" xr:uid="{00000000-0005-0000-0000-000003300000}"/>
    <cellStyle name="Normal 2 2 2 2 2 23 2" xfId="12335" xr:uid="{00000000-0005-0000-0000-000004300000}"/>
    <cellStyle name="Normal 2 2 2 2 2 23 2 10" xfId="12336" xr:uid="{00000000-0005-0000-0000-000005300000}"/>
    <cellStyle name="Normal 2 2 2 2 2 23 2 2" xfId="12337" xr:uid="{00000000-0005-0000-0000-000006300000}"/>
    <cellStyle name="Normal 2 2 2 2 2 23 2 3" xfId="12338" xr:uid="{00000000-0005-0000-0000-000007300000}"/>
    <cellStyle name="Normal 2 2 2 2 2 23 2 4" xfId="12339" xr:uid="{00000000-0005-0000-0000-000008300000}"/>
    <cellStyle name="Normal 2 2 2 2 2 23 2 5" xfId="12340" xr:uid="{00000000-0005-0000-0000-000009300000}"/>
    <cellStyle name="Normal 2 2 2 2 2 23 2 6" xfId="12341" xr:uid="{00000000-0005-0000-0000-00000A300000}"/>
    <cellStyle name="Normal 2 2 2 2 2 23 2 7" xfId="12342" xr:uid="{00000000-0005-0000-0000-00000B300000}"/>
    <cellStyle name="Normal 2 2 2 2 2 23 2 8" xfId="12343" xr:uid="{00000000-0005-0000-0000-00000C300000}"/>
    <cellStyle name="Normal 2 2 2 2 2 23 2 9" xfId="12344" xr:uid="{00000000-0005-0000-0000-00000D300000}"/>
    <cellStyle name="Normal 2 2 2 2 2 23 3" xfId="12345" xr:uid="{00000000-0005-0000-0000-00000E300000}"/>
    <cellStyle name="Normal 2 2 2 2 2 23 3 10" xfId="12346" xr:uid="{00000000-0005-0000-0000-00000F300000}"/>
    <cellStyle name="Normal 2 2 2 2 2 23 3 2" xfId="12347" xr:uid="{00000000-0005-0000-0000-000010300000}"/>
    <cellStyle name="Normal 2 2 2 2 2 23 3 3" xfId="12348" xr:uid="{00000000-0005-0000-0000-000011300000}"/>
    <cellStyle name="Normal 2 2 2 2 2 23 3 4" xfId="12349" xr:uid="{00000000-0005-0000-0000-000012300000}"/>
    <cellStyle name="Normal 2 2 2 2 2 23 3 5" xfId="12350" xr:uid="{00000000-0005-0000-0000-000013300000}"/>
    <cellStyle name="Normal 2 2 2 2 2 23 3 6" xfId="12351" xr:uid="{00000000-0005-0000-0000-000014300000}"/>
    <cellStyle name="Normal 2 2 2 2 2 23 3 7" xfId="12352" xr:uid="{00000000-0005-0000-0000-000015300000}"/>
    <cellStyle name="Normal 2 2 2 2 2 23 3 8" xfId="12353" xr:uid="{00000000-0005-0000-0000-000016300000}"/>
    <cellStyle name="Normal 2 2 2 2 2 23 3 9" xfId="12354" xr:uid="{00000000-0005-0000-0000-000017300000}"/>
    <cellStyle name="Normal 2 2 2 2 2 23 4" xfId="12355" xr:uid="{00000000-0005-0000-0000-000018300000}"/>
    <cellStyle name="Normal 2 2 2 2 2 23 4 10" xfId="12356" xr:uid="{00000000-0005-0000-0000-000019300000}"/>
    <cellStyle name="Normal 2 2 2 2 2 23 4 2" xfId="12357" xr:uid="{00000000-0005-0000-0000-00001A300000}"/>
    <cellStyle name="Normal 2 2 2 2 2 23 4 3" xfId="12358" xr:uid="{00000000-0005-0000-0000-00001B300000}"/>
    <cellStyle name="Normal 2 2 2 2 2 23 4 4" xfId="12359" xr:uid="{00000000-0005-0000-0000-00001C300000}"/>
    <cellStyle name="Normal 2 2 2 2 2 23 4 5" xfId="12360" xr:uid="{00000000-0005-0000-0000-00001D300000}"/>
    <cellStyle name="Normal 2 2 2 2 2 23 4 6" xfId="12361" xr:uid="{00000000-0005-0000-0000-00001E300000}"/>
    <cellStyle name="Normal 2 2 2 2 2 23 4 7" xfId="12362" xr:uid="{00000000-0005-0000-0000-00001F300000}"/>
    <cellStyle name="Normal 2 2 2 2 2 23 4 8" xfId="12363" xr:uid="{00000000-0005-0000-0000-000020300000}"/>
    <cellStyle name="Normal 2 2 2 2 2 23 4 9" xfId="12364" xr:uid="{00000000-0005-0000-0000-000021300000}"/>
    <cellStyle name="Normal 2 2 2 2 2 23 5" xfId="12365" xr:uid="{00000000-0005-0000-0000-000022300000}"/>
    <cellStyle name="Normal 2 2 2 2 2 23 5 10" xfId="12366" xr:uid="{00000000-0005-0000-0000-000023300000}"/>
    <cellStyle name="Normal 2 2 2 2 2 23 5 2" xfId="12367" xr:uid="{00000000-0005-0000-0000-000024300000}"/>
    <cellStyle name="Normal 2 2 2 2 2 23 5 3" xfId="12368" xr:uid="{00000000-0005-0000-0000-000025300000}"/>
    <cellStyle name="Normal 2 2 2 2 2 23 5 4" xfId="12369" xr:uid="{00000000-0005-0000-0000-000026300000}"/>
    <cellStyle name="Normal 2 2 2 2 2 23 5 5" xfId="12370" xr:uid="{00000000-0005-0000-0000-000027300000}"/>
    <cellStyle name="Normal 2 2 2 2 2 23 5 6" xfId="12371" xr:uid="{00000000-0005-0000-0000-000028300000}"/>
    <cellStyle name="Normal 2 2 2 2 2 23 5 7" xfId="12372" xr:uid="{00000000-0005-0000-0000-000029300000}"/>
    <cellStyle name="Normal 2 2 2 2 2 23 5 8" xfId="12373" xr:uid="{00000000-0005-0000-0000-00002A300000}"/>
    <cellStyle name="Normal 2 2 2 2 2 23 5 9" xfId="12374" xr:uid="{00000000-0005-0000-0000-00002B300000}"/>
    <cellStyle name="Normal 2 2 2 2 2 23 6" xfId="12375" xr:uid="{00000000-0005-0000-0000-00002C300000}"/>
    <cellStyle name="Normal 2 2 2 2 2 23 7" xfId="12376" xr:uid="{00000000-0005-0000-0000-00002D300000}"/>
    <cellStyle name="Normal 2 2 2 2 2 23 8" xfId="12377" xr:uid="{00000000-0005-0000-0000-00002E300000}"/>
    <cellStyle name="Normal 2 2 2 2 2 23 9" xfId="12378" xr:uid="{00000000-0005-0000-0000-00002F300000}"/>
    <cellStyle name="Normal 2 2 2 2 2 24" xfId="12379" xr:uid="{00000000-0005-0000-0000-000030300000}"/>
    <cellStyle name="Normal 2 2 2 2 2 24 10" xfId="12380" xr:uid="{00000000-0005-0000-0000-000031300000}"/>
    <cellStyle name="Normal 2 2 2 2 2 24 11" xfId="12381" xr:uid="{00000000-0005-0000-0000-000032300000}"/>
    <cellStyle name="Normal 2 2 2 2 2 24 12" xfId="12382" xr:uid="{00000000-0005-0000-0000-000033300000}"/>
    <cellStyle name="Normal 2 2 2 2 2 24 13" xfId="12383" xr:uid="{00000000-0005-0000-0000-000034300000}"/>
    <cellStyle name="Normal 2 2 2 2 2 24 14" xfId="12384" xr:uid="{00000000-0005-0000-0000-000035300000}"/>
    <cellStyle name="Normal 2 2 2 2 2 24 2" xfId="12385" xr:uid="{00000000-0005-0000-0000-000036300000}"/>
    <cellStyle name="Normal 2 2 2 2 2 24 2 10" xfId="12386" xr:uid="{00000000-0005-0000-0000-000037300000}"/>
    <cellStyle name="Normal 2 2 2 2 2 24 2 2" xfId="12387" xr:uid="{00000000-0005-0000-0000-000038300000}"/>
    <cellStyle name="Normal 2 2 2 2 2 24 2 3" xfId="12388" xr:uid="{00000000-0005-0000-0000-000039300000}"/>
    <cellStyle name="Normal 2 2 2 2 2 24 2 4" xfId="12389" xr:uid="{00000000-0005-0000-0000-00003A300000}"/>
    <cellStyle name="Normal 2 2 2 2 2 24 2 5" xfId="12390" xr:uid="{00000000-0005-0000-0000-00003B300000}"/>
    <cellStyle name="Normal 2 2 2 2 2 24 2 6" xfId="12391" xr:uid="{00000000-0005-0000-0000-00003C300000}"/>
    <cellStyle name="Normal 2 2 2 2 2 24 2 7" xfId="12392" xr:uid="{00000000-0005-0000-0000-00003D300000}"/>
    <cellStyle name="Normal 2 2 2 2 2 24 2 8" xfId="12393" xr:uid="{00000000-0005-0000-0000-00003E300000}"/>
    <cellStyle name="Normal 2 2 2 2 2 24 2 9" xfId="12394" xr:uid="{00000000-0005-0000-0000-00003F300000}"/>
    <cellStyle name="Normal 2 2 2 2 2 24 3" xfId="12395" xr:uid="{00000000-0005-0000-0000-000040300000}"/>
    <cellStyle name="Normal 2 2 2 2 2 24 3 10" xfId="12396" xr:uid="{00000000-0005-0000-0000-000041300000}"/>
    <cellStyle name="Normal 2 2 2 2 2 24 3 2" xfId="12397" xr:uid="{00000000-0005-0000-0000-000042300000}"/>
    <cellStyle name="Normal 2 2 2 2 2 24 3 3" xfId="12398" xr:uid="{00000000-0005-0000-0000-000043300000}"/>
    <cellStyle name="Normal 2 2 2 2 2 24 3 4" xfId="12399" xr:uid="{00000000-0005-0000-0000-000044300000}"/>
    <cellStyle name="Normal 2 2 2 2 2 24 3 5" xfId="12400" xr:uid="{00000000-0005-0000-0000-000045300000}"/>
    <cellStyle name="Normal 2 2 2 2 2 24 3 6" xfId="12401" xr:uid="{00000000-0005-0000-0000-000046300000}"/>
    <cellStyle name="Normal 2 2 2 2 2 24 3 7" xfId="12402" xr:uid="{00000000-0005-0000-0000-000047300000}"/>
    <cellStyle name="Normal 2 2 2 2 2 24 3 8" xfId="12403" xr:uid="{00000000-0005-0000-0000-000048300000}"/>
    <cellStyle name="Normal 2 2 2 2 2 24 3 9" xfId="12404" xr:uid="{00000000-0005-0000-0000-000049300000}"/>
    <cellStyle name="Normal 2 2 2 2 2 24 4" xfId="12405" xr:uid="{00000000-0005-0000-0000-00004A300000}"/>
    <cellStyle name="Normal 2 2 2 2 2 24 4 10" xfId="12406" xr:uid="{00000000-0005-0000-0000-00004B300000}"/>
    <cellStyle name="Normal 2 2 2 2 2 24 4 2" xfId="12407" xr:uid="{00000000-0005-0000-0000-00004C300000}"/>
    <cellStyle name="Normal 2 2 2 2 2 24 4 3" xfId="12408" xr:uid="{00000000-0005-0000-0000-00004D300000}"/>
    <cellStyle name="Normal 2 2 2 2 2 24 4 4" xfId="12409" xr:uid="{00000000-0005-0000-0000-00004E300000}"/>
    <cellStyle name="Normal 2 2 2 2 2 24 4 5" xfId="12410" xr:uid="{00000000-0005-0000-0000-00004F300000}"/>
    <cellStyle name="Normal 2 2 2 2 2 24 4 6" xfId="12411" xr:uid="{00000000-0005-0000-0000-000050300000}"/>
    <cellStyle name="Normal 2 2 2 2 2 24 4 7" xfId="12412" xr:uid="{00000000-0005-0000-0000-000051300000}"/>
    <cellStyle name="Normal 2 2 2 2 2 24 4 8" xfId="12413" xr:uid="{00000000-0005-0000-0000-000052300000}"/>
    <cellStyle name="Normal 2 2 2 2 2 24 4 9" xfId="12414" xr:uid="{00000000-0005-0000-0000-000053300000}"/>
    <cellStyle name="Normal 2 2 2 2 2 24 5" xfId="12415" xr:uid="{00000000-0005-0000-0000-000054300000}"/>
    <cellStyle name="Normal 2 2 2 2 2 24 5 10" xfId="12416" xr:uid="{00000000-0005-0000-0000-000055300000}"/>
    <cellStyle name="Normal 2 2 2 2 2 24 5 2" xfId="12417" xr:uid="{00000000-0005-0000-0000-000056300000}"/>
    <cellStyle name="Normal 2 2 2 2 2 24 5 3" xfId="12418" xr:uid="{00000000-0005-0000-0000-000057300000}"/>
    <cellStyle name="Normal 2 2 2 2 2 24 5 4" xfId="12419" xr:uid="{00000000-0005-0000-0000-000058300000}"/>
    <cellStyle name="Normal 2 2 2 2 2 24 5 5" xfId="12420" xr:uid="{00000000-0005-0000-0000-000059300000}"/>
    <cellStyle name="Normal 2 2 2 2 2 24 5 6" xfId="12421" xr:uid="{00000000-0005-0000-0000-00005A300000}"/>
    <cellStyle name="Normal 2 2 2 2 2 24 5 7" xfId="12422" xr:uid="{00000000-0005-0000-0000-00005B300000}"/>
    <cellStyle name="Normal 2 2 2 2 2 24 5 8" xfId="12423" xr:uid="{00000000-0005-0000-0000-00005C300000}"/>
    <cellStyle name="Normal 2 2 2 2 2 24 5 9" xfId="12424" xr:uid="{00000000-0005-0000-0000-00005D300000}"/>
    <cellStyle name="Normal 2 2 2 2 2 24 6" xfId="12425" xr:uid="{00000000-0005-0000-0000-00005E300000}"/>
    <cellStyle name="Normal 2 2 2 2 2 24 7" xfId="12426" xr:uid="{00000000-0005-0000-0000-00005F300000}"/>
    <cellStyle name="Normal 2 2 2 2 2 24 8" xfId="12427" xr:uid="{00000000-0005-0000-0000-000060300000}"/>
    <cellStyle name="Normal 2 2 2 2 2 24 9" xfId="12428" xr:uid="{00000000-0005-0000-0000-000061300000}"/>
    <cellStyle name="Normal 2 2 2 2 2 25" xfId="12429" xr:uid="{00000000-0005-0000-0000-000062300000}"/>
    <cellStyle name="Normal 2 2 2 2 2 25 10" xfId="12430" xr:uid="{00000000-0005-0000-0000-000063300000}"/>
    <cellStyle name="Normal 2 2 2 2 2 25 11" xfId="12431" xr:uid="{00000000-0005-0000-0000-000064300000}"/>
    <cellStyle name="Normal 2 2 2 2 2 25 12" xfId="12432" xr:uid="{00000000-0005-0000-0000-000065300000}"/>
    <cellStyle name="Normal 2 2 2 2 2 25 13" xfId="12433" xr:uid="{00000000-0005-0000-0000-000066300000}"/>
    <cellStyle name="Normal 2 2 2 2 2 25 14" xfId="12434" xr:uid="{00000000-0005-0000-0000-000067300000}"/>
    <cellStyle name="Normal 2 2 2 2 2 25 2" xfId="12435" xr:uid="{00000000-0005-0000-0000-000068300000}"/>
    <cellStyle name="Normal 2 2 2 2 2 25 2 10" xfId="12436" xr:uid="{00000000-0005-0000-0000-000069300000}"/>
    <cellStyle name="Normal 2 2 2 2 2 25 2 2" xfId="12437" xr:uid="{00000000-0005-0000-0000-00006A300000}"/>
    <cellStyle name="Normal 2 2 2 2 2 25 2 3" xfId="12438" xr:uid="{00000000-0005-0000-0000-00006B300000}"/>
    <cellStyle name="Normal 2 2 2 2 2 25 2 4" xfId="12439" xr:uid="{00000000-0005-0000-0000-00006C300000}"/>
    <cellStyle name="Normal 2 2 2 2 2 25 2 5" xfId="12440" xr:uid="{00000000-0005-0000-0000-00006D300000}"/>
    <cellStyle name="Normal 2 2 2 2 2 25 2 6" xfId="12441" xr:uid="{00000000-0005-0000-0000-00006E300000}"/>
    <cellStyle name="Normal 2 2 2 2 2 25 2 7" xfId="12442" xr:uid="{00000000-0005-0000-0000-00006F300000}"/>
    <cellStyle name="Normal 2 2 2 2 2 25 2 8" xfId="12443" xr:uid="{00000000-0005-0000-0000-000070300000}"/>
    <cellStyle name="Normal 2 2 2 2 2 25 2 9" xfId="12444" xr:uid="{00000000-0005-0000-0000-000071300000}"/>
    <cellStyle name="Normal 2 2 2 2 2 25 3" xfId="12445" xr:uid="{00000000-0005-0000-0000-000072300000}"/>
    <cellStyle name="Normal 2 2 2 2 2 25 3 10" xfId="12446" xr:uid="{00000000-0005-0000-0000-000073300000}"/>
    <cellStyle name="Normal 2 2 2 2 2 25 3 2" xfId="12447" xr:uid="{00000000-0005-0000-0000-000074300000}"/>
    <cellStyle name="Normal 2 2 2 2 2 25 3 3" xfId="12448" xr:uid="{00000000-0005-0000-0000-000075300000}"/>
    <cellStyle name="Normal 2 2 2 2 2 25 3 4" xfId="12449" xr:uid="{00000000-0005-0000-0000-000076300000}"/>
    <cellStyle name="Normal 2 2 2 2 2 25 3 5" xfId="12450" xr:uid="{00000000-0005-0000-0000-000077300000}"/>
    <cellStyle name="Normal 2 2 2 2 2 25 3 6" xfId="12451" xr:uid="{00000000-0005-0000-0000-000078300000}"/>
    <cellStyle name="Normal 2 2 2 2 2 25 3 7" xfId="12452" xr:uid="{00000000-0005-0000-0000-000079300000}"/>
    <cellStyle name="Normal 2 2 2 2 2 25 3 8" xfId="12453" xr:uid="{00000000-0005-0000-0000-00007A300000}"/>
    <cellStyle name="Normal 2 2 2 2 2 25 3 9" xfId="12454" xr:uid="{00000000-0005-0000-0000-00007B300000}"/>
    <cellStyle name="Normal 2 2 2 2 2 25 4" xfId="12455" xr:uid="{00000000-0005-0000-0000-00007C300000}"/>
    <cellStyle name="Normal 2 2 2 2 2 25 4 10" xfId="12456" xr:uid="{00000000-0005-0000-0000-00007D300000}"/>
    <cellStyle name="Normal 2 2 2 2 2 25 4 2" xfId="12457" xr:uid="{00000000-0005-0000-0000-00007E300000}"/>
    <cellStyle name="Normal 2 2 2 2 2 25 4 3" xfId="12458" xr:uid="{00000000-0005-0000-0000-00007F300000}"/>
    <cellStyle name="Normal 2 2 2 2 2 25 4 4" xfId="12459" xr:uid="{00000000-0005-0000-0000-000080300000}"/>
    <cellStyle name="Normal 2 2 2 2 2 25 4 5" xfId="12460" xr:uid="{00000000-0005-0000-0000-000081300000}"/>
    <cellStyle name="Normal 2 2 2 2 2 25 4 6" xfId="12461" xr:uid="{00000000-0005-0000-0000-000082300000}"/>
    <cellStyle name="Normal 2 2 2 2 2 25 4 7" xfId="12462" xr:uid="{00000000-0005-0000-0000-000083300000}"/>
    <cellStyle name="Normal 2 2 2 2 2 25 4 8" xfId="12463" xr:uid="{00000000-0005-0000-0000-000084300000}"/>
    <cellStyle name="Normal 2 2 2 2 2 25 4 9" xfId="12464" xr:uid="{00000000-0005-0000-0000-000085300000}"/>
    <cellStyle name="Normal 2 2 2 2 2 25 5" xfId="12465" xr:uid="{00000000-0005-0000-0000-000086300000}"/>
    <cellStyle name="Normal 2 2 2 2 2 25 5 10" xfId="12466" xr:uid="{00000000-0005-0000-0000-000087300000}"/>
    <cellStyle name="Normal 2 2 2 2 2 25 5 2" xfId="12467" xr:uid="{00000000-0005-0000-0000-000088300000}"/>
    <cellStyle name="Normal 2 2 2 2 2 25 5 3" xfId="12468" xr:uid="{00000000-0005-0000-0000-000089300000}"/>
    <cellStyle name="Normal 2 2 2 2 2 25 5 4" xfId="12469" xr:uid="{00000000-0005-0000-0000-00008A300000}"/>
    <cellStyle name="Normal 2 2 2 2 2 25 5 5" xfId="12470" xr:uid="{00000000-0005-0000-0000-00008B300000}"/>
    <cellStyle name="Normal 2 2 2 2 2 25 5 6" xfId="12471" xr:uid="{00000000-0005-0000-0000-00008C300000}"/>
    <cellStyle name="Normal 2 2 2 2 2 25 5 7" xfId="12472" xr:uid="{00000000-0005-0000-0000-00008D300000}"/>
    <cellStyle name="Normal 2 2 2 2 2 25 5 8" xfId="12473" xr:uid="{00000000-0005-0000-0000-00008E300000}"/>
    <cellStyle name="Normal 2 2 2 2 2 25 5 9" xfId="12474" xr:uid="{00000000-0005-0000-0000-00008F300000}"/>
    <cellStyle name="Normal 2 2 2 2 2 25 6" xfId="12475" xr:uid="{00000000-0005-0000-0000-000090300000}"/>
    <cellStyle name="Normal 2 2 2 2 2 25 7" xfId="12476" xr:uid="{00000000-0005-0000-0000-000091300000}"/>
    <cellStyle name="Normal 2 2 2 2 2 25 8" xfId="12477" xr:uid="{00000000-0005-0000-0000-000092300000}"/>
    <cellStyle name="Normal 2 2 2 2 2 25 9" xfId="12478" xr:uid="{00000000-0005-0000-0000-000093300000}"/>
    <cellStyle name="Normal 2 2 2 2 2 26" xfId="12479" xr:uid="{00000000-0005-0000-0000-000094300000}"/>
    <cellStyle name="Normal 2 2 2 2 2 26 10" xfId="12480" xr:uid="{00000000-0005-0000-0000-000095300000}"/>
    <cellStyle name="Normal 2 2 2 2 2 26 11" xfId="12481" xr:uid="{00000000-0005-0000-0000-000096300000}"/>
    <cellStyle name="Normal 2 2 2 2 2 26 12" xfId="12482" xr:uid="{00000000-0005-0000-0000-000097300000}"/>
    <cellStyle name="Normal 2 2 2 2 2 26 13" xfId="12483" xr:uid="{00000000-0005-0000-0000-000098300000}"/>
    <cellStyle name="Normal 2 2 2 2 2 26 14" xfId="12484" xr:uid="{00000000-0005-0000-0000-000099300000}"/>
    <cellStyle name="Normal 2 2 2 2 2 26 2" xfId="12485" xr:uid="{00000000-0005-0000-0000-00009A300000}"/>
    <cellStyle name="Normal 2 2 2 2 2 26 2 10" xfId="12486" xr:uid="{00000000-0005-0000-0000-00009B300000}"/>
    <cellStyle name="Normal 2 2 2 2 2 26 2 2" xfId="12487" xr:uid="{00000000-0005-0000-0000-00009C300000}"/>
    <cellStyle name="Normal 2 2 2 2 2 26 2 3" xfId="12488" xr:uid="{00000000-0005-0000-0000-00009D300000}"/>
    <cellStyle name="Normal 2 2 2 2 2 26 2 4" xfId="12489" xr:uid="{00000000-0005-0000-0000-00009E300000}"/>
    <cellStyle name="Normal 2 2 2 2 2 26 2 5" xfId="12490" xr:uid="{00000000-0005-0000-0000-00009F300000}"/>
    <cellStyle name="Normal 2 2 2 2 2 26 2 6" xfId="12491" xr:uid="{00000000-0005-0000-0000-0000A0300000}"/>
    <cellStyle name="Normal 2 2 2 2 2 26 2 7" xfId="12492" xr:uid="{00000000-0005-0000-0000-0000A1300000}"/>
    <cellStyle name="Normal 2 2 2 2 2 26 2 8" xfId="12493" xr:uid="{00000000-0005-0000-0000-0000A2300000}"/>
    <cellStyle name="Normal 2 2 2 2 2 26 2 9" xfId="12494" xr:uid="{00000000-0005-0000-0000-0000A3300000}"/>
    <cellStyle name="Normal 2 2 2 2 2 26 3" xfId="12495" xr:uid="{00000000-0005-0000-0000-0000A4300000}"/>
    <cellStyle name="Normal 2 2 2 2 2 26 3 10" xfId="12496" xr:uid="{00000000-0005-0000-0000-0000A5300000}"/>
    <cellStyle name="Normal 2 2 2 2 2 26 3 2" xfId="12497" xr:uid="{00000000-0005-0000-0000-0000A6300000}"/>
    <cellStyle name="Normal 2 2 2 2 2 26 3 3" xfId="12498" xr:uid="{00000000-0005-0000-0000-0000A7300000}"/>
    <cellStyle name="Normal 2 2 2 2 2 26 3 4" xfId="12499" xr:uid="{00000000-0005-0000-0000-0000A8300000}"/>
    <cellStyle name="Normal 2 2 2 2 2 26 3 5" xfId="12500" xr:uid="{00000000-0005-0000-0000-0000A9300000}"/>
    <cellStyle name="Normal 2 2 2 2 2 26 3 6" xfId="12501" xr:uid="{00000000-0005-0000-0000-0000AA300000}"/>
    <cellStyle name="Normal 2 2 2 2 2 26 3 7" xfId="12502" xr:uid="{00000000-0005-0000-0000-0000AB300000}"/>
    <cellStyle name="Normal 2 2 2 2 2 26 3 8" xfId="12503" xr:uid="{00000000-0005-0000-0000-0000AC300000}"/>
    <cellStyle name="Normal 2 2 2 2 2 26 3 9" xfId="12504" xr:uid="{00000000-0005-0000-0000-0000AD300000}"/>
    <cellStyle name="Normal 2 2 2 2 2 26 4" xfId="12505" xr:uid="{00000000-0005-0000-0000-0000AE300000}"/>
    <cellStyle name="Normal 2 2 2 2 2 26 4 10" xfId="12506" xr:uid="{00000000-0005-0000-0000-0000AF300000}"/>
    <cellStyle name="Normal 2 2 2 2 2 26 4 2" xfId="12507" xr:uid="{00000000-0005-0000-0000-0000B0300000}"/>
    <cellStyle name="Normal 2 2 2 2 2 26 4 3" xfId="12508" xr:uid="{00000000-0005-0000-0000-0000B1300000}"/>
    <cellStyle name="Normal 2 2 2 2 2 26 4 4" xfId="12509" xr:uid="{00000000-0005-0000-0000-0000B2300000}"/>
    <cellStyle name="Normal 2 2 2 2 2 26 4 5" xfId="12510" xr:uid="{00000000-0005-0000-0000-0000B3300000}"/>
    <cellStyle name="Normal 2 2 2 2 2 26 4 6" xfId="12511" xr:uid="{00000000-0005-0000-0000-0000B4300000}"/>
    <cellStyle name="Normal 2 2 2 2 2 26 4 7" xfId="12512" xr:uid="{00000000-0005-0000-0000-0000B5300000}"/>
    <cellStyle name="Normal 2 2 2 2 2 26 4 8" xfId="12513" xr:uid="{00000000-0005-0000-0000-0000B6300000}"/>
    <cellStyle name="Normal 2 2 2 2 2 26 4 9" xfId="12514" xr:uid="{00000000-0005-0000-0000-0000B7300000}"/>
    <cellStyle name="Normal 2 2 2 2 2 26 5" xfId="12515" xr:uid="{00000000-0005-0000-0000-0000B8300000}"/>
    <cellStyle name="Normal 2 2 2 2 2 26 5 10" xfId="12516" xr:uid="{00000000-0005-0000-0000-0000B9300000}"/>
    <cellStyle name="Normal 2 2 2 2 2 26 5 2" xfId="12517" xr:uid="{00000000-0005-0000-0000-0000BA300000}"/>
    <cellStyle name="Normal 2 2 2 2 2 26 5 3" xfId="12518" xr:uid="{00000000-0005-0000-0000-0000BB300000}"/>
    <cellStyle name="Normal 2 2 2 2 2 26 5 4" xfId="12519" xr:uid="{00000000-0005-0000-0000-0000BC300000}"/>
    <cellStyle name="Normal 2 2 2 2 2 26 5 5" xfId="12520" xr:uid="{00000000-0005-0000-0000-0000BD300000}"/>
    <cellStyle name="Normal 2 2 2 2 2 26 5 6" xfId="12521" xr:uid="{00000000-0005-0000-0000-0000BE300000}"/>
    <cellStyle name="Normal 2 2 2 2 2 26 5 7" xfId="12522" xr:uid="{00000000-0005-0000-0000-0000BF300000}"/>
    <cellStyle name="Normal 2 2 2 2 2 26 5 8" xfId="12523" xr:uid="{00000000-0005-0000-0000-0000C0300000}"/>
    <cellStyle name="Normal 2 2 2 2 2 26 5 9" xfId="12524" xr:uid="{00000000-0005-0000-0000-0000C1300000}"/>
    <cellStyle name="Normal 2 2 2 2 2 26 6" xfId="12525" xr:uid="{00000000-0005-0000-0000-0000C2300000}"/>
    <cellStyle name="Normal 2 2 2 2 2 26 7" xfId="12526" xr:uid="{00000000-0005-0000-0000-0000C3300000}"/>
    <cellStyle name="Normal 2 2 2 2 2 26 8" xfId="12527" xr:uid="{00000000-0005-0000-0000-0000C4300000}"/>
    <cellStyle name="Normal 2 2 2 2 2 26 9" xfId="12528" xr:uid="{00000000-0005-0000-0000-0000C5300000}"/>
    <cellStyle name="Normal 2 2 2 2 2 27" xfId="12529" xr:uid="{00000000-0005-0000-0000-0000C6300000}"/>
    <cellStyle name="Normal 2 2 2 2 2 27 10" xfId="12530" xr:uid="{00000000-0005-0000-0000-0000C7300000}"/>
    <cellStyle name="Normal 2 2 2 2 2 27 11" xfId="12531" xr:uid="{00000000-0005-0000-0000-0000C8300000}"/>
    <cellStyle name="Normal 2 2 2 2 2 27 12" xfId="12532" xr:uid="{00000000-0005-0000-0000-0000C9300000}"/>
    <cellStyle name="Normal 2 2 2 2 2 27 13" xfId="12533" xr:uid="{00000000-0005-0000-0000-0000CA300000}"/>
    <cellStyle name="Normal 2 2 2 2 2 27 14" xfId="12534" xr:uid="{00000000-0005-0000-0000-0000CB300000}"/>
    <cellStyle name="Normal 2 2 2 2 2 27 2" xfId="12535" xr:uid="{00000000-0005-0000-0000-0000CC300000}"/>
    <cellStyle name="Normal 2 2 2 2 2 27 2 10" xfId="12536" xr:uid="{00000000-0005-0000-0000-0000CD300000}"/>
    <cellStyle name="Normal 2 2 2 2 2 27 2 2" xfId="12537" xr:uid="{00000000-0005-0000-0000-0000CE300000}"/>
    <cellStyle name="Normal 2 2 2 2 2 27 2 3" xfId="12538" xr:uid="{00000000-0005-0000-0000-0000CF300000}"/>
    <cellStyle name="Normal 2 2 2 2 2 27 2 4" xfId="12539" xr:uid="{00000000-0005-0000-0000-0000D0300000}"/>
    <cellStyle name="Normal 2 2 2 2 2 27 2 5" xfId="12540" xr:uid="{00000000-0005-0000-0000-0000D1300000}"/>
    <cellStyle name="Normal 2 2 2 2 2 27 2 6" xfId="12541" xr:uid="{00000000-0005-0000-0000-0000D2300000}"/>
    <cellStyle name="Normal 2 2 2 2 2 27 2 7" xfId="12542" xr:uid="{00000000-0005-0000-0000-0000D3300000}"/>
    <cellStyle name="Normal 2 2 2 2 2 27 2 8" xfId="12543" xr:uid="{00000000-0005-0000-0000-0000D4300000}"/>
    <cellStyle name="Normal 2 2 2 2 2 27 2 9" xfId="12544" xr:uid="{00000000-0005-0000-0000-0000D5300000}"/>
    <cellStyle name="Normal 2 2 2 2 2 27 3" xfId="12545" xr:uid="{00000000-0005-0000-0000-0000D6300000}"/>
    <cellStyle name="Normal 2 2 2 2 2 27 3 10" xfId="12546" xr:uid="{00000000-0005-0000-0000-0000D7300000}"/>
    <cellStyle name="Normal 2 2 2 2 2 27 3 2" xfId="12547" xr:uid="{00000000-0005-0000-0000-0000D8300000}"/>
    <cellStyle name="Normal 2 2 2 2 2 27 3 3" xfId="12548" xr:uid="{00000000-0005-0000-0000-0000D9300000}"/>
    <cellStyle name="Normal 2 2 2 2 2 27 3 4" xfId="12549" xr:uid="{00000000-0005-0000-0000-0000DA300000}"/>
    <cellStyle name="Normal 2 2 2 2 2 27 3 5" xfId="12550" xr:uid="{00000000-0005-0000-0000-0000DB300000}"/>
    <cellStyle name="Normal 2 2 2 2 2 27 3 6" xfId="12551" xr:uid="{00000000-0005-0000-0000-0000DC300000}"/>
    <cellStyle name="Normal 2 2 2 2 2 27 3 7" xfId="12552" xr:uid="{00000000-0005-0000-0000-0000DD300000}"/>
    <cellStyle name="Normal 2 2 2 2 2 27 3 8" xfId="12553" xr:uid="{00000000-0005-0000-0000-0000DE300000}"/>
    <cellStyle name="Normal 2 2 2 2 2 27 3 9" xfId="12554" xr:uid="{00000000-0005-0000-0000-0000DF300000}"/>
    <cellStyle name="Normal 2 2 2 2 2 27 4" xfId="12555" xr:uid="{00000000-0005-0000-0000-0000E0300000}"/>
    <cellStyle name="Normal 2 2 2 2 2 27 4 10" xfId="12556" xr:uid="{00000000-0005-0000-0000-0000E1300000}"/>
    <cellStyle name="Normal 2 2 2 2 2 27 4 2" xfId="12557" xr:uid="{00000000-0005-0000-0000-0000E2300000}"/>
    <cellStyle name="Normal 2 2 2 2 2 27 4 3" xfId="12558" xr:uid="{00000000-0005-0000-0000-0000E3300000}"/>
    <cellStyle name="Normal 2 2 2 2 2 27 4 4" xfId="12559" xr:uid="{00000000-0005-0000-0000-0000E4300000}"/>
    <cellStyle name="Normal 2 2 2 2 2 27 4 5" xfId="12560" xr:uid="{00000000-0005-0000-0000-0000E5300000}"/>
    <cellStyle name="Normal 2 2 2 2 2 27 4 6" xfId="12561" xr:uid="{00000000-0005-0000-0000-0000E6300000}"/>
    <cellStyle name="Normal 2 2 2 2 2 27 4 7" xfId="12562" xr:uid="{00000000-0005-0000-0000-0000E7300000}"/>
    <cellStyle name="Normal 2 2 2 2 2 27 4 8" xfId="12563" xr:uid="{00000000-0005-0000-0000-0000E8300000}"/>
    <cellStyle name="Normal 2 2 2 2 2 27 4 9" xfId="12564" xr:uid="{00000000-0005-0000-0000-0000E9300000}"/>
    <cellStyle name="Normal 2 2 2 2 2 27 5" xfId="12565" xr:uid="{00000000-0005-0000-0000-0000EA300000}"/>
    <cellStyle name="Normal 2 2 2 2 2 27 5 10" xfId="12566" xr:uid="{00000000-0005-0000-0000-0000EB300000}"/>
    <cellStyle name="Normal 2 2 2 2 2 27 5 2" xfId="12567" xr:uid="{00000000-0005-0000-0000-0000EC300000}"/>
    <cellStyle name="Normal 2 2 2 2 2 27 5 3" xfId="12568" xr:uid="{00000000-0005-0000-0000-0000ED300000}"/>
    <cellStyle name="Normal 2 2 2 2 2 27 5 4" xfId="12569" xr:uid="{00000000-0005-0000-0000-0000EE300000}"/>
    <cellStyle name="Normal 2 2 2 2 2 27 5 5" xfId="12570" xr:uid="{00000000-0005-0000-0000-0000EF300000}"/>
    <cellStyle name="Normal 2 2 2 2 2 27 5 6" xfId="12571" xr:uid="{00000000-0005-0000-0000-0000F0300000}"/>
    <cellStyle name="Normal 2 2 2 2 2 27 5 7" xfId="12572" xr:uid="{00000000-0005-0000-0000-0000F1300000}"/>
    <cellStyle name="Normal 2 2 2 2 2 27 5 8" xfId="12573" xr:uid="{00000000-0005-0000-0000-0000F2300000}"/>
    <cellStyle name="Normal 2 2 2 2 2 27 5 9" xfId="12574" xr:uid="{00000000-0005-0000-0000-0000F3300000}"/>
    <cellStyle name="Normal 2 2 2 2 2 27 6" xfId="12575" xr:uid="{00000000-0005-0000-0000-0000F4300000}"/>
    <cellStyle name="Normal 2 2 2 2 2 27 7" xfId="12576" xr:uid="{00000000-0005-0000-0000-0000F5300000}"/>
    <cellStyle name="Normal 2 2 2 2 2 27 8" xfId="12577" xr:uid="{00000000-0005-0000-0000-0000F6300000}"/>
    <cellStyle name="Normal 2 2 2 2 2 27 9" xfId="12578" xr:uid="{00000000-0005-0000-0000-0000F7300000}"/>
    <cellStyle name="Normal 2 2 2 2 2 28" xfId="12579" xr:uid="{00000000-0005-0000-0000-0000F8300000}"/>
    <cellStyle name="Normal 2 2 2 2 2 28 10" xfId="12580" xr:uid="{00000000-0005-0000-0000-0000F9300000}"/>
    <cellStyle name="Normal 2 2 2 2 2 28 11" xfId="12581" xr:uid="{00000000-0005-0000-0000-0000FA300000}"/>
    <cellStyle name="Normal 2 2 2 2 2 28 12" xfId="12582" xr:uid="{00000000-0005-0000-0000-0000FB300000}"/>
    <cellStyle name="Normal 2 2 2 2 2 28 13" xfId="12583" xr:uid="{00000000-0005-0000-0000-0000FC300000}"/>
    <cellStyle name="Normal 2 2 2 2 2 28 14" xfId="12584" xr:uid="{00000000-0005-0000-0000-0000FD300000}"/>
    <cellStyle name="Normal 2 2 2 2 2 28 2" xfId="12585" xr:uid="{00000000-0005-0000-0000-0000FE300000}"/>
    <cellStyle name="Normal 2 2 2 2 2 28 2 10" xfId="12586" xr:uid="{00000000-0005-0000-0000-0000FF300000}"/>
    <cellStyle name="Normal 2 2 2 2 2 28 2 2" xfId="12587" xr:uid="{00000000-0005-0000-0000-000000310000}"/>
    <cellStyle name="Normal 2 2 2 2 2 28 2 3" xfId="12588" xr:uid="{00000000-0005-0000-0000-000001310000}"/>
    <cellStyle name="Normal 2 2 2 2 2 28 2 4" xfId="12589" xr:uid="{00000000-0005-0000-0000-000002310000}"/>
    <cellStyle name="Normal 2 2 2 2 2 28 2 5" xfId="12590" xr:uid="{00000000-0005-0000-0000-000003310000}"/>
    <cellStyle name="Normal 2 2 2 2 2 28 2 6" xfId="12591" xr:uid="{00000000-0005-0000-0000-000004310000}"/>
    <cellStyle name="Normal 2 2 2 2 2 28 2 7" xfId="12592" xr:uid="{00000000-0005-0000-0000-000005310000}"/>
    <cellStyle name="Normal 2 2 2 2 2 28 2 8" xfId="12593" xr:uid="{00000000-0005-0000-0000-000006310000}"/>
    <cellStyle name="Normal 2 2 2 2 2 28 2 9" xfId="12594" xr:uid="{00000000-0005-0000-0000-000007310000}"/>
    <cellStyle name="Normal 2 2 2 2 2 28 3" xfId="12595" xr:uid="{00000000-0005-0000-0000-000008310000}"/>
    <cellStyle name="Normal 2 2 2 2 2 28 3 10" xfId="12596" xr:uid="{00000000-0005-0000-0000-000009310000}"/>
    <cellStyle name="Normal 2 2 2 2 2 28 3 2" xfId="12597" xr:uid="{00000000-0005-0000-0000-00000A310000}"/>
    <cellStyle name="Normal 2 2 2 2 2 28 3 3" xfId="12598" xr:uid="{00000000-0005-0000-0000-00000B310000}"/>
    <cellStyle name="Normal 2 2 2 2 2 28 3 4" xfId="12599" xr:uid="{00000000-0005-0000-0000-00000C310000}"/>
    <cellStyle name="Normal 2 2 2 2 2 28 3 5" xfId="12600" xr:uid="{00000000-0005-0000-0000-00000D310000}"/>
    <cellStyle name="Normal 2 2 2 2 2 28 3 6" xfId="12601" xr:uid="{00000000-0005-0000-0000-00000E310000}"/>
    <cellStyle name="Normal 2 2 2 2 2 28 3 7" xfId="12602" xr:uid="{00000000-0005-0000-0000-00000F310000}"/>
    <cellStyle name="Normal 2 2 2 2 2 28 3 8" xfId="12603" xr:uid="{00000000-0005-0000-0000-000010310000}"/>
    <cellStyle name="Normal 2 2 2 2 2 28 3 9" xfId="12604" xr:uid="{00000000-0005-0000-0000-000011310000}"/>
    <cellStyle name="Normal 2 2 2 2 2 28 4" xfId="12605" xr:uid="{00000000-0005-0000-0000-000012310000}"/>
    <cellStyle name="Normal 2 2 2 2 2 28 4 10" xfId="12606" xr:uid="{00000000-0005-0000-0000-000013310000}"/>
    <cellStyle name="Normal 2 2 2 2 2 28 4 2" xfId="12607" xr:uid="{00000000-0005-0000-0000-000014310000}"/>
    <cellStyle name="Normal 2 2 2 2 2 28 4 3" xfId="12608" xr:uid="{00000000-0005-0000-0000-000015310000}"/>
    <cellStyle name="Normal 2 2 2 2 2 28 4 4" xfId="12609" xr:uid="{00000000-0005-0000-0000-000016310000}"/>
    <cellStyle name="Normal 2 2 2 2 2 28 4 5" xfId="12610" xr:uid="{00000000-0005-0000-0000-000017310000}"/>
    <cellStyle name="Normal 2 2 2 2 2 28 4 6" xfId="12611" xr:uid="{00000000-0005-0000-0000-000018310000}"/>
    <cellStyle name="Normal 2 2 2 2 2 28 4 7" xfId="12612" xr:uid="{00000000-0005-0000-0000-000019310000}"/>
    <cellStyle name="Normal 2 2 2 2 2 28 4 8" xfId="12613" xr:uid="{00000000-0005-0000-0000-00001A310000}"/>
    <cellStyle name="Normal 2 2 2 2 2 28 4 9" xfId="12614" xr:uid="{00000000-0005-0000-0000-00001B310000}"/>
    <cellStyle name="Normal 2 2 2 2 2 28 5" xfId="12615" xr:uid="{00000000-0005-0000-0000-00001C310000}"/>
    <cellStyle name="Normal 2 2 2 2 2 28 5 10" xfId="12616" xr:uid="{00000000-0005-0000-0000-00001D310000}"/>
    <cellStyle name="Normal 2 2 2 2 2 28 5 2" xfId="12617" xr:uid="{00000000-0005-0000-0000-00001E310000}"/>
    <cellStyle name="Normal 2 2 2 2 2 28 5 3" xfId="12618" xr:uid="{00000000-0005-0000-0000-00001F310000}"/>
    <cellStyle name="Normal 2 2 2 2 2 28 5 4" xfId="12619" xr:uid="{00000000-0005-0000-0000-000020310000}"/>
    <cellStyle name="Normal 2 2 2 2 2 28 5 5" xfId="12620" xr:uid="{00000000-0005-0000-0000-000021310000}"/>
    <cellStyle name="Normal 2 2 2 2 2 28 5 6" xfId="12621" xr:uid="{00000000-0005-0000-0000-000022310000}"/>
    <cellStyle name="Normal 2 2 2 2 2 28 5 7" xfId="12622" xr:uid="{00000000-0005-0000-0000-000023310000}"/>
    <cellStyle name="Normal 2 2 2 2 2 28 5 8" xfId="12623" xr:uid="{00000000-0005-0000-0000-000024310000}"/>
    <cellStyle name="Normal 2 2 2 2 2 28 5 9" xfId="12624" xr:uid="{00000000-0005-0000-0000-000025310000}"/>
    <cellStyle name="Normal 2 2 2 2 2 28 6" xfId="12625" xr:uid="{00000000-0005-0000-0000-000026310000}"/>
    <cellStyle name="Normal 2 2 2 2 2 28 7" xfId="12626" xr:uid="{00000000-0005-0000-0000-000027310000}"/>
    <cellStyle name="Normal 2 2 2 2 2 28 8" xfId="12627" xr:uid="{00000000-0005-0000-0000-000028310000}"/>
    <cellStyle name="Normal 2 2 2 2 2 28 9" xfId="12628" xr:uid="{00000000-0005-0000-0000-000029310000}"/>
    <cellStyle name="Normal 2 2 2 2 2 29" xfId="12629" xr:uid="{00000000-0005-0000-0000-00002A310000}"/>
    <cellStyle name="Normal 2 2 2 2 2 29 10" xfId="12630" xr:uid="{00000000-0005-0000-0000-00002B310000}"/>
    <cellStyle name="Normal 2 2 2 2 2 29 11" xfId="12631" xr:uid="{00000000-0005-0000-0000-00002C310000}"/>
    <cellStyle name="Normal 2 2 2 2 2 29 12" xfId="12632" xr:uid="{00000000-0005-0000-0000-00002D310000}"/>
    <cellStyle name="Normal 2 2 2 2 2 29 13" xfId="12633" xr:uid="{00000000-0005-0000-0000-00002E310000}"/>
    <cellStyle name="Normal 2 2 2 2 2 29 14" xfId="12634" xr:uid="{00000000-0005-0000-0000-00002F310000}"/>
    <cellStyle name="Normal 2 2 2 2 2 29 2" xfId="12635" xr:uid="{00000000-0005-0000-0000-000030310000}"/>
    <cellStyle name="Normal 2 2 2 2 2 29 2 10" xfId="12636" xr:uid="{00000000-0005-0000-0000-000031310000}"/>
    <cellStyle name="Normal 2 2 2 2 2 29 2 2" xfId="12637" xr:uid="{00000000-0005-0000-0000-000032310000}"/>
    <cellStyle name="Normal 2 2 2 2 2 29 2 3" xfId="12638" xr:uid="{00000000-0005-0000-0000-000033310000}"/>
    <cellStyle name="Normal 2 2 2 2 2 29 2 4" xfId="12639" xr:uid="{00000000-0005-0000-0000-000034310000}"/>
    <cellStyle name="Normal 2 2 2 2 2 29 2 5" xfId="12640" xr:uid="{00000000-0005-0000-0000-000035310000}"/>
    <cellStyle name="Normal 2 2 2 2 2 29 2 6" xfId="12641" xr:uid="{00000000-0005-0000-0000-000036310000}"/>
    <cellStyle name="Normal 2 2 2 2 2 29 2 7" xfId="12642" xr:uid="{00000000-0005-0000-0000-000037310000}"/>
    <cellStyle name="Normal 2 2 2 2 2 29 2 8" xfId="12643" xr:uid="{00000000-0005-0000-0000-000038310000}"/>
    <cellStyle name="Normal 2 2 2 2 2 29 2 9" xfId="12644" xr:uid="{00000000-0005-0000-0000-000039310000}"/>
    <cellStyle name="Normal 2 2 2 2 2 29 3" xfId="12645" xr:uid="{00000000-0005-0000-0000-00003A310000}"/>
    <cellStyle name="Normal 2 2 2 2 2 29 3 10" xfId="12646" xr:uid="{00000000-0005-0000-0000-00003B310000}"/>
    <cellStyle name="Normal 2 2 2 2 2 29 3 2" xfId="12647" xr:uid="{00000000-0005-0000-0000-00003C310000}"/>
    <cellStyle name="Normal 2 2 2 2 2 29 3 3" xfId="12648" xr:uid="{00000000-0005-0000-0000-00003D310000}"/>
    <cellStyle name="Normal 2 2 2 2 2 29 3 4" xfId="12649" xr:uid="{00000000-0005-0000-0000-00003E310000}"/>
    <cellStyle name="Normal 2 2 2 2 2 29 3 5" xfId="12650" xr:uid="{00000000-0005-0000-0000-00003F310000}"/>
    <cellStyle name="Normal 2 2 2 2 2 29 3 6" xfId="12651" xr:uid="{00000000-0005-0000-0000-000040310000}"/>
    <cellStyle name="Normal 2 2 2 2 2 29 3 7" xfId="12652" xr:uid="{00000000-0005-0000-0000-000041310000}"/>
    <cellStyle name="Normal 2 2 2 2 2 29 3 8" xfId="12653" xr:uid="{00000000-0005-0000-0000-000042310000}"/>
    <cellStyle name="Normal 2 2 2 2 2 29 3 9" xfId="12654" xr:uid="{00000000-0005-0000-0000-000043310000}"/>
    <cellStyle name="Normal 2 2 2 2 2 29 4" xfId="12655" xr:uid="{00000000-0005-0000-0000-000044310000}"/>
    <cellStyle name="Normal 2 2 2 2 2 29 4 10" xfId="12656" xr:uid="{00000000-0005-0000-0000-000045310000}"/>
    <cellStyle name="Normal 2 2 2 2 2 29 4 2" xfId="12657" xr:uid="{00000000-0005-0000-0000-000046310000}"/>
    <cellStyle name="Normal 2 2 2 2 2 29 4 3" xfId="12658" xr:uid="{00000000-0005-0000-0000-000047310000}"/>
    <cellStyle name="Normal 2 2 2 2 2 29 4 4" xfId="12659" xr:uid="{00000000-0005-0000-0000-000048310000}"/>
    <cellStyle name="Normal 2 2 2 2 2 29 4 5" xfId="12660" xr:uid="{00000000-0005-0000-0000-000049310000}"/>
    <cellStyle name="Normal 2 2 2 2 2 29 4 6" xfId="12661" xr:uid="{00000000-0005-0000-0000-00004A310000}"/>
    <cellStyle name="Normal 2 2 2 2 2 29 4 7" xfId="12662" xr:uid="{00000000-0005-0000-0000-00004B310000}"/>
    <cellStyle name="Normal 2 2 2 2 2 29 4 8" xfId="12663" xr:uid="{00000000-0005-0000-0000-00004C310000}"/>
    <cellStyle name="Normal 2 2 2 2 2 29 4 9" xfId="12664" xr:uid="{00000000-0005-0000-0000-00004D310000}"/>
    <cellStyle name="Normal 2 2 2 2 2 29 5" xfId="12665" xr:uid="{00000000-0005-0000-0000-00004E310000}"/>
    <cellStyle name="Normal 2 2 2 2 2 29 5 10" xfId="12666" xr:uid="{00000000-0005-0000-0000-00004F310000}"/>
    <cellStyle name="Normal 2 2 2 2 2 29 5 2" xfId="12667" xr:uid="{00000000-0005-0000-0000-000050310000}"/>
    <cellStyle name="Normal 2 2 2 2 2 29 5 3" xfId="12668" xr:uid="{00000000-0005-0000-0000-000051310000}"/>
    <cellStyle name="Normal 2 2 2 2 2 29 5 4" xfId="12669" xr:uid="{00000000-0005-0000-0000-000052310000}"/>
    <cellStyle name="Normal 2 2 2 2 2 29 5 5" xfId="12670" xr:uid="{00000000-0005-0000-0000-000053310000}"/>
    <cellStyle name="Normal 2 2 2 2 2 29 5 6" xfId="12671" xr:uid="{00000000-0005-0000-0000-000054310000}"/>
    <cellStyle name="Normal 2 2 2 2 2 29 5 7" xfId="12672" xr:uid="{00000000-0005-0000-0000-000055310000}"/>
    <cellStyle name="Normal 2 2 2 2 2 29 5 8" xfId="12673" xr:uid="{00000000-0005-0000-0000-000056310000}"/>
    <cellStyle name="Normal 2 2 2 2 2 29 5 9" xfId="12674" xr:uid="{00000000-0005-0000-0000-000057310000}"/>
    <cellStyle name="Normal 2 2 2 2 2 29 6" xfId="12675" xr:uid="{00000000-0005-0000-0000-000058310000}"/>
    <cellStyle name="Normal 2 2 2 2 2 29 7" xfId="12676" xr:uid="{00000000-0005-0000-0000-000059310000}"/>
    <cellStyle name="Normal 2 2 2 2 2 29 8" xfId="12677" xr:uid="{00000000-0005-0000-0000-00005A310000}"/>
    <cellStyle name="Normal 2 2 2 2 2 29 9" xfId="12678" xr:uid="{00000000-0005-0000-0000-00005B310000}"/>
    <cellStyle name="Normal 2 2 2 2 2 3" xfId="12679" xr:uid="{00000000-0005-0000-0000-00005C310000}"/>
    <cellStyle name="Normal 2 2 2 2 2 3 10" xfId="12680" xr:uid="{00000000-0005-0000-0000-00005D310000}"/>
    <cellStyle name="Normal 2 2 2 2 2 3 11" xfId="12681" xr:uid="{00000000-0005-0000-0000-00005E310000}"/>
    <cellStyle name="Normal 2 2 2 2 2 3 12" xfId="12682" xr:uid="{00000000-0005-0000-0000-00005F310000}"/>
    <cellStyle name="Normal 2 2 2 2 2 3 13" xfId="12683" xr:uid="{00000000-0005-0000-0000-000060310000}"/>
    <cellStyle name="Normal 2 2 2 2 2 3 14" xfId="12684" xr:uid="{00000000-0005-0000-0000-000061310000}"/>
    <cellStyle name="Normal 2 2 2 2 2 3 15" xfId="12685" xr:uid="{00000000-0005-0000-0000-000062310000}"/>
    <cellStyle name="Normal 2 2 2 2 2 3 16" xfId="12686" xr:uid="{00000000-0005-0000-0000-000063310000}"/>
    <cellStyle name="Normal 2 2 2 2 2 3 2" xfId="12687" xr:uid="{00000000-0005-0000-0000-000064310000}"/>
    <cellStyle name="Normal 2 2 2 2 2 3 2 10" xfId="12688" xr:uid="{00000000-0005-0000-0000-000065310000}"/>
    <cellStyle name="Normal 2 2 2 2 2 3 2 11" xfId="12689" xr:uid="{00000000-0005-0000-0000-000066310000}"/>
    <cellStyle name="Normal 2 2 2 2 2 3 2 12" xfId="12690" xr:uid="{00000000-0005-0000-0000-000067310000}"/>
    <cellStyle name="Normal 2 2 2 2 2 3 2 2" xfId="12691" xr:uid="{00000000-0005-0000-0000-000068310000}"/>
    <cellStyle name="Normal 2 2 2 2 2 3 2 3" xfId="12692" xr:uid="{00000000-0005-0000-0000-000069310000}"/>
    <cellStyle name="Normal 2 2 2 2 2 3 2 4" xfId="12693" xr:uid="{00000000-0005-0000-0000-00006A310000}"/>
    <cellStyle name="Normal 2 2 2 2 2 3 2 5" xfId="12694" xr:uid="{00000000-0005-0000-0000-00006B310000}"/>
    <cellStyle name="Normal 2 2 2 2 2 3 2 6" xfId="12695" xr:uid="{00000000-0005-0000-0000-00006C310000}"/>
    <cellStyle name="Normal 2 2 2 2 2 3 2 7" xfId="12696" xr:uid="{00000000-0005-0000-0000-00006D310000}"/>
    <cellStyle name="Normal 2 2 2 2 2 3 2 8" xfId="12697" xr:uid="{00000000-0005-0000-0000-00006E310000}"/>
    <cellStyle name="Normal 2 2 2 2 2 3 2 9" xfId="12698" xr:uid="{00000000-0005-0000-0000-00006F310000}"/>
    <cellStyle name="Normal 2 2 2 2 2 3 3" xfId="12699" xr:uid="{00000000-0005-0000-0000-000070310000}"/>
    <cellStyle name="Normal 2 2 2 2 2 3 3 10" xfId="12700" xr:uid="{00000000-0005-0000-0000-000071310000}"/>
    <cellStyle name="Normal 2 2 2 2 2 3 3 2" xfId="12701" xr:uid="{00000000-0005-0000-0000-000072310000}"/>
    <cellStyle name="Normal 2 2 2 2 2 3 3 3" xfId="12702" xr:uid="{00000000-0005-0000-0000-000073310000}"/>
    <cellStyle name="Normal 2 2 2 2 2 3 3 4" xfId="12703" xr:uid="{00000000-0005-0000-0000-000074310000}"/>
    <cellStyle name="Normal 2 2 2 2 2 3 3 5" xfId="12704" xr:uid="{00000000-0005-0000-0000-000075310000}"/>
    <cellStyle name="Normal 2 2 2 2 2 3 3 6" xfId="12705" xr:uid="{00000000-0005-0000-0000-000076310000}"/>
    <cellStyle name="Normal 2 2 2 2 2 3 3 7" xfId="12706" xr:uid="{00000000-0005-0000-0000-000077310000}"/>
    <cellStyle name="Normal 2 2 2 2 2 3 3 8" xfId="12707" xr:uid="{00000000-0005-0000-0000-000078310000}"/>
    <cellStyle name="Normal 2 2 2 2 2 3 3 9" xfId="12708" xr:uid="{00000000-0005-0000-0000-000079310000}"/>
    <cellStyle name="Normal 2 2 2 2 2 3 4" xfId="12709" xr:uid="{00000000-0005-0000-0000-00007A310000}"/>
    <cellStyle name="Normal 2 2 2 2 2 3 4 10" xfId="12710" xr:uid="{00000000-0005-0000-0000-00007B310000}"/>
    <cellStyle name="Normal 2 2 2 2 2 3 4 2" xfId="12711" xr:uid="{00000000-0005-0000-0000-00007C310000}"/>
    <cellStyle name="Normal 2 2 2 2 2 3 4 3" xfId="12712" xr:uid="{00000000-0005-0000-0000-00007D310000}"/>
    <cellStyle name="Normal 2 2 2 2 2 3 4 4" xfId="12713" xr:uid="{00000000-0005-0000-0000-00007E310000}"/>
    <cellStyle name="Normal 2 2 2 2 2 3 4 5" xfId="12714" xr:uid="{00000000-0005-0000-0000-00007F310000}"/>
    <cellStyle name="Normal 2 2 2 2 2 3 4 6" xfId="12715" xr:uid="{00000000-0005-0000-0000-000080310000}"/>
    <cellStyle name="Normal 2 2 2 2 2 3 4 7" xfId="12716" xr:uid="{00000000-0005-0000-0000-000081310000}"/>
    <cellStyle name="Normal 2 2 2 2 2 3 4 8" xfId="12717" xr:uid="{00000000-0005-0000-0000-000082310000}"/>
    <cellStyle name="Normal 2 2 2 2 2 3 4 9" xfId="12718" xr:uid="{00000000-0005-0000-0000-000083310000}"/>
    <cellStyle name="Normal 2 2 2 2 2 3 5" xfId="12719" xr:uid="{00000000-0005-0000-0000-000084310000}"/>
    <cellStyle name="Normal 2 2 2 2 2 3 5 10" xfId="12720" xr:uid="{00000000-0005-0000-0000-000085310000}"/>
    <cellStyle name="Normal 2 2 2 2 2 3 5 2" xfId="12721" xr:uid="{00000000-0005-0000-0000-000086310000}"/>
    <cellStyle name="Normal 2 2 2 2 2 3 5 3" xfId="12722" xr:uid="{00000000-0005-0000-0000-000087310000}"/>
    <cellStyle name="Normal 2 2 2 2 2 3 5 4" xfId="12723" xr:uid="{00000000-0005-0000-0000-000088310000}"/>
    <cellStyle name="Normal 2 2 2 2 2 3 5 5" xfId="12724" xr:uid="{00000000-0005-0000-0000-000089310000}"/>
    <cellStyle name="Normal 2 2 2 2 2 3 5 6" xfId="12725" xr:uid="{00000000-0005-0000-0000-00008A310000}"/>
    <cellStyle name="Normal 2 2 2 2 2 3 5 7" xfId="12726" xr:uid="{00000000-0005-0000-0000-00008B310000}"/>
    <cellStyle name="Normal 2 2 2 2 2 3 5 8" xfId="12727" xr:uid="{00000000-0005-0000-0000-00008C310000}"/>
    <cellStyle name="Normal 2 2 2 2 2 3 5 9" xfId="12728" xr:uid="{00000000-0005-0000-0000-00008D310000}"/>
    <cellStyle name="Normal 2 2 2 2 2 3 6" xfId="12729" xr:uid="{00000000-0005-0000-0000-00008E310000}"/>
    <cellStyle name="Normal 2 2 2 2 2 3 7" xfId="12730" xr:uid="{00000000-0005-0000-0000-00008F310000}"/>
    <cellStyle name="Normal 2 2 2 2 2 3 8" xfId="12731" xr:uid="{00000000-0005-0000-0000-000090310000}"/>
    <cellStyle name="Normal 2 2 2 2 2 3 9" xfId="12732" xr:uid="{00000000-0005-0000-0000-000091310000}"/>
    <cellStyle name="Normal 2 2 2 2 2 30" xfId="12733" xr:uid="{00000000-0005-0000-0000-000092310000}"/>
    <cellStyle name="Normal 2 2 2 2 2 30 10" xfId="12734" xr:uid="{00000000-0005-0000-0000-000093310000}"/>
    <cellStyle name="Normal 2 2 2 2 2 30 11" xfId="12735" xr:uid="{00000000-0005-0000-0000-000094310000}"/>
    <cellStyle name="Normal 2 2 2 2 2 30 12" xfId="12736" xr:uid="{00000000-0005-0000-0000-000095310000}"/>
    <cellStyle name="Normal 2 2 2 2 2 30 13" xfId="12737" xr:uid="{00000000-0005-0000-0000-000096310000}"/>
    <cellStyle name="Normal 2 2 2 2 2 30 14" xfId="12738" xr:uid="{00000000-0005-0000-0000-000097310000}"/>
    <cellStyle name="Normal 2 2 2 2 2 30 2" xfId="12739" xr:uid="{00000000-0005-0000-0000-000098310000}"/>
    <cellStyle name="Normal 2 2 2 2 2 30 2 10" xfId="12740" xr:uid="{00000000-0005-0000-0000-000099310000}"/>
    <cellStyle name="Normal 2 2 2 2 2 30 2 2" xfId="12741" xr:uid="{00000000-0005-0000-0000-00009A310000}"/>
    <cellStyle name="Normal 2 2 2 2 2 30 2 3" xfId="12742" xr:uid="{00000000-0005-0000-0000-00009B310000}"/>
    <cellStyle name="Normal 2 2 2 2 2 30 2 4" xfId="12743" xr:uid="{00000000-0005-0000-0000-00009C310000}"/>
    <cellStyle name="Normal 2 2 2 2 2 30 2 5" xfId="12744" xr:uid="{00000000-0005-0000-0000-00009D310000}"/>
    <cellStyle name="Normal 2 2 2 2 2 30 2 6" xfId="12745" xr:uid="{00000000-0005-0000-0000-00009E310000}"/>
    <cellStyle name="Normal 2 2 2 2 2 30 2 7" xfId="12746" xr:uid="{00000000-0005-0000-0000-00009F310000}"/>
    <cellStyle name="Normal 2 2 2 2 2 30 2 8" xfId="12747" xr:uid="{00000000-0005-0000-0000-0000A0310000}"/>
    <cellStyle name="Normal 2 2 2 2 2 30 2 9" xfId="12748" xr:uid="{00000000-0005-0000-0000-0000A1310000}"/>
    <cellStyle name="Normal 2 2 2 2 2 30 3" xfId="12749" xr:uid="{00000000-0005-0000-0000-0000A2310000}"/>
    <cellStyle name="Normal 2 2 2 2 2 30 3 10" xfId="12750" xr:uid="{00000000-0005-0000-0000-0000A3310000}"/>
    <cellStyle name="Normal 2 2 2 2 2 30 3 2" xfId="12751" xr:uid="{00000000-0005-0000-0000-0000A4310000}"/>
    <cellStyle name="Normal 2 2 2 2 2 30 3 3" xfId="12752" xr:uid="{00000000-0005-0000-0000-0000A5310000}"/>
    <cellStyle name="Normal 2 2 2 2 2 30 3 4" xfId="12753" xr:uid="{00000000-0005-0000-0000-0000A6310000}"/>
    <cellStyle name="Normal 2 2 2 2 2 30 3 5" xfId="12754" xr:uid="{00000000-0005-0000-0000-0000A7310000}"/>
    <cellStyle name="Normal 2 2 2 2 2 30 3 6" xfId="12755" xr:uid="{00000000-0005-0000-0000-0000A8310000}"/>
    <cellStyle name="Normal 2 2 2 2 2 30 3 7" xfId="12756" xr:uid="{00000000-0005-0000-0000-0000A9310000}"/>
    <cellStyle name="Normal 2 2 2 2 2 30 3 8" xfId="12757" xr:uid="{00000000-0005-0000-0000-0000AA310000}"/>
    <cellStyle name="Normal 2 2 2 2 2 30 3 9" xfId="12758" xr:uid="{00000000-0005-0000-0000-0000AB310000}"/>
    <cellStyle name="Normal 2 2 2 2 2 30 4" xfId="12759" xr:uid="{00000000-0005-0000-0000-0000AC310000}"/>
    <cellStyle name="Normal 2 2 2 2 2 30 4 10" xfId="12760" xr:uid="{00000000-0005-0000-0000-0000AD310000}"/>
    <cellStyle name="Normal 2 2 2 2 2 30 4 2" xfId="12761" xr:uid="{00000000-0005-0000-0000-0000AE310000}"/>
    <cellStyle name="Normal 2 2 2 2 2 30 4 3" xfId="12762" xr:uid="{00000000-0005-0000-0000-0000AF310000}"/>
    <cellStyle name="Normal 2 2 2 2 2 30 4 4" xfId="12763" xr:uid="{00000000-0005-0000-0000-0000B0310000}"/>
    <cellStyle name="Normal 2 2 2 2 2 30 4 5" xfId="12764" xr:uid="{00000000-0005-0000-0000-0000B1310000}"/>
    <cellStyle name="Normal 2 2 2 2 2 30 4 6" xfId="12765" xr:uid="{00000000-0005-0000-0000-0000B2310000}"/>
    <cellStyle name="Normal 2 2 2 2 2 30 4 7" xfId="12766" xr:uid="{00000000-0005-0000-0000-0000B3310000}"/>
    <cellStyle name="Normal 2 2 2 2 2 30 4 8" xfId="12767" xr:uid="{00000000-0005-0000-0000-0000B4310000}"/>
    <cellStyle name="Normal 2 2 2 2 2 30 4 9" xfId="12768" xr:uid="{00000000-0005-0000-0000-0000B5310000}"/>
    <cellStyle name="Normal 2 2 2 2 2 30 5" xfId="12769" xr:uid="{00000000-0005-0000-0000-0000B6310000}"/>
    <cellStyle name="Normal 2 2 2 2 2 30 5 10" xfId="12770" xr:uid="{00000000-0005-0000-0000-0000B7310000}"/>
    <cellStyle name="Normal 2 2 2 2 2 30 5 2" xfId="12771" xr:uid="{00000000-0005-0000-0000-0000B8310000}"/>
    <cellStyle name="Normal 2 2 2 2 2 30 5 3" xfId="12772" xr:uid="{00000000-0005-0000-0000-0000B9310000}"/>
    <cellStyle name="Normal 2 2 2 2 2 30 5 4" xfId="12773" xr:uid="{00000000-0005-0000-0000-0000BA310000}"/>
    <cellStyle name="Normal 2 2 2 2 2 30 5 5" xfId="12774" xr:uid="{00000000-0005-0000-0000-0000BB310000}"/>
    <cellStyle name="Normal 2 2 2 2 2 30 5 6" xfId="12775" xr:uid="{00000000-0005-0000-0000-0000BC310000}"/>
    <cellStyle name="Normal 2 2 2 2 2 30 5 7" xfId="12776" xr:uid="{00000000-0005-0000-0000-0000BD310000}"/>
    <cellStyle name="Normal 2 2 2 2 2 30 5 8" xfId="12777" xr:uid="{00000000-0005-0000-0000-0000BE310000}"/>
    <cellStyle name="Normal 2 2 2 2 2 30 5 9" xfId="12778" xr:uid="{00000000-0005-0000-0000-0000BF310000}"/>
    <cellStyle name="Normal 2 2 2 2 2 30 6" xfId="12779" xr:uid="{00000000-0005-0000-0000-0000C0310000}"/>
    <cellStyle name="Normal 2 2 2 2 2 30 7" xfId="12780" xr:uid="{00000000-0005-0000-0000-0000C1310000}"/>
    <cellStyle name="Normal 2 2 2 2 2 30 8" xfId="12781" xr:uid="{00000000-0005-0000-0000-0000C2310000}"/>
    <cellStyle name="Normal 2 2 2 2 2 30 9" xfId="12782" xr:uid="{00000000-0005-0000-0000-0000C3310000}"/>
    <cellStyle name="Normal 2 2 2 2 2 31" xfId="12783" xr:uid="{00000000-0005-0000-0000-0000C4310000}"/>
    <cellStyle name="Normal 2 2 2 2 2 31 10" xfId="12784" xr:uid="{00000000-0005-0000-0000-0000C5310000}"/>
    <cellStyle name="Normal 2 2 2 2 2 31 11" xfId="12785" xr:uid="{00000000-0005-0000-0000-0000C6310000}"/>
    <cellStyle name="Normal 2 2 2 2 2 31 12" xfId="12786" xr:uid="{00000000-0005-0000-0000-0000C7310000}"/>
    <cellStyle name="Normal 2 2 2 2 2 31 13" xfId="12787" xr:uid="{00000000-0005-0000-0000-0000C8310000}"/>
    <cellStyle name="Normal 2 2 2 2 2 31 14" xfId="12788" xr:uid="{00000000-0005-0000-0000-0000C9310000}"/>
    <cellStyle name="Normal 2 2 2 2 2 31 2" xfId="12789" xr:uid="{00000000-0005-0000-0000-0000CA310000}"/>
    <cellStyle name="Normal 2 2 2 2 2 31 2 10" xfId="12790" xr:uid="{00000000-0005-0000-0000-0000CB310000}"/>
    <cellStyle name="Normal 2 2 2 2 2 31 2 2" xfId="12791" xr:uid="{00000000-0005-0000-0000-0000CC310000}"/>
    <cellStyle name="Normal 2 2 2 2 2 31 2 3" xfId="12792" xr:uid="{00000000-0005-0000-0000-0000CD310000}"/>
    <cellStyle name="Normal 2 2 2 2 2 31 2 4" xfId="12793" xr:uid="{00000000-0005-0000-0000-0000CE310000}"/>
    <cellStyle name="Normal 2 2 2 2 2 31 2 5" xfId="12794" xr:uid="{00000000-0005-0000-0000-0000CF310000}"/>
    <cellStyle name="Normal 2 2 2 2 2 31 2 6" xfId="12795" xr:uid="{00000000-0005-0000-0000-0000D0310000}"/>
    <cellStyle name="Normal 2 2 2 2 2 31 2 7" xfId="12796" xr:uid="{00000000-0005-0000-0000-0000D1310000}"/>
    <cellStyle name="Normal 2 2 2 2 2 31 2 8" xfId="12797" xr:uid="{00000000-0005-0000-0000-0000D2310000}"/>
    <cellStyle name="Normal 2 2 2 2 2 31 2 9" xfId="12798" xr:uid="{00000000-0005-0000-0000-0000D3310000}"/>
    <cellStyle name="Normal 2 2 2 2 2 31 3" xfId="12799" xr:uid="{00000000-0005-0000-0000-0000D4310000}"/>
    <cellStyle name="Normal 2 2 2 2 2 31 3 10" xfId="12800" xr:uid="{00000000-0005-0000-0000-0000D5310000}"/>
    <cellStyle name="Normal 2 2 2 2 2 31 3 2" xfId="12801" xr:uid="{00000000-0005-0000-0000-0000D6310000}"/>
    <cellStyle name="Normal 2 2 2 2 2 31 3 3" xfId="12802" xr:uid="{00000000-0005-0000-0000-0000D7310000}"/>
    <cellStyle name="Normal 2 2 2 2 2 31 3 4" xfId="12803" xr:uid="{00000000-0005-0000-0000-0000D8310000}"/>
    <cellStyle name="Normal 2 2 2 2 2 31 3 5" xfId="12804" xr:uid="{00000000-0005-0000-0000-0000D9310000}"/>
    <cellStyle name="Normal 2 2 2 2 2 31 3 6" xfId="12805" xr:uid="{00000000-0005-0000-0000-0000DA310000}"/>
    <cellStyle name="Normal 2 2 2 2 2 31 3 7" xfId="12806" xr:uid="{00000000-0005-0000-0000-0000DB310000}"/>
    <cellStyle name="Normal 2 2 2 2 2 31 3 8" xfId="12807" xr:uid="{00000000-0005-0000-0000-0000DC310000}"/>
    <cellStyle name="Normal 2 2 2 2 2 31 3 9" xfId="12808" xr:uid="{00000000-0005-0000-0000-0000DD310000}"/>
    <cellStyle name="Normal 2 2 2 2 2 31 4" xfId="12809" xr:uid="{00000000-0005-0000-0000-0000DE310000}"/>
    <cellStyle name="Normal 2 2 2 2 2 31 4 10" xfId="12810" xr:uid="{00000000-0005-0000-0000-0000DF310000}"/>
    <cellStyle name="Normal 2 2 2 2 2 31 4 2" xfId="12811" xr:uid="{00000000-0005-0000-0000-0000E0310000}"/>
    <cellStyle name="Normal 2 2 2 2 2 31 4 3" xfId="12812" xr:uid="{00000000-0005-0000-0000-0000E1310000}"/>
    <cellStyle name="Normal 2 2 2 2 2 31 4 4" xfId="12813" xr:uid="{00000000-0005-0000-0000-0000E2310000}"/>
    <cellStyle name="Normal 2 2 2 2 2 31 4 5" xfId="12814" xr:uid="{00000000-0005-0000-0000-0000E3310000}"/>
    <cellStyle name="Normal 2 2 2 2 2 31 4 6" xfId="12815" xr:uid="{00000000-0005-0000-0000-0000E4310000}"/>
    <cellStyle name="Normal 2 2 2 2 2 31 4 7" xfId="12816" xr:uid="{00000000-0005-0000-0000-0000E5310000}"/>
    <cellStyle name="Normal 2 2 2 2 2 31 4 8" xfId="12817" xr:uid="{00000000-0005-0000-0000-0000E6310000}"/>
    <cellStyle name="Normal 2 2 2 2 2 31 4 9" xfId="12818" xr:uid="{00000000-0005-0000-0000-0000E7310000}"/>
    <cellStyle name="Normal 2 2 2 2 2 31 5" xfId="12819" xr:uid="{00000000-0005-0000-0000-0000E8310000}"/>
    <cellStyle name="Normal 2 2 2 2 2 31 5 10" xfId="12820" xr:uid="{00000000-0005-0000-0000-0000E9310000}"/>
    <cellStyle name="Normal 2 2 2 2 2 31 5 2" xfId="12821" xr:uid="{00000000-0005-0000-0000-0000EA310000}"/>
    <cellStyle name="Normal 2 2 2 2 2 31 5 3" xfId="12822" xr:uid="{00000000-0005-0000-0000-0000EB310000}"/>
    <cellStyle name="Normal 2 2 2 2 2 31 5 4" xfId="12823" xr:uid="{00000000-0005-0000-0000-0000EC310000}"/>
    <cellStyle name="Normal 2 2 2 2 2 31 5 5" xfId="12824" xr:uid="{00000000-0005-0000-0000-0000ED310000}"/>
    <cellStyle name="Normal 2 2 2 2 2 31 5 6" xfId="12825" xr:uid="{00000000-0005-0000-0000-0000EE310000}"/>
    <cellStyle name="Normal 2 2 2 2 2 31 5 7" xfId="12826" xr:uid="{00000000-0005-0000-0000-0000EF310000}"/>
    <cellStyle name="Normal 2 2 2 2 2 31 5 8" xfId="12827" xr:uid="{00000000-0005-0000-0000-0000F0310000}"/>
    <cellStyle name="Normal 2 2 2 2 2 31 5 9" xfId="12828" xr:uid="{00000000-0005-0000-0000-0000F1310000}"/>
    <cellStyle name="Normal 2 2 2 2 2 31 6" xfId="12829" xr:uid="{00000000-0005-0000-0000-0000F2310000}"/>
    <cellStyle name="Normal 2 2 2 2 2 31 7" xfId="12830" xr:uid="{00000000-0005-0000-0000-0000F3310000}"/>
    <cellStyle name="Normal 2 2 2 2 2 31 8" xfId="12831" xr:uid="{00000000-0005-0000-0000-0000F4310000}"/>
    <cellStyle name="Normal 2 2 2 2 2 31 9" xfId="12832" xr:uid="{00000000-0005-0000-0000-0000F5310000}"/>
    <cellStyle name="Normal 2 2 2 2 2 32" xfId="12833" xr:uid="{00000000-0005-0000-0000-0000F6310000}"/>
    <cellStyle name="Normal 2 2 2 2 2 32 10" xfId="12834" xr:uid="{00000000-0005-0000-0000-0000F7310000}"/>
    <cellStyle name="Normal 2 2 2 2 2 32 11" xfId="12835" xr:uid="{00000000-0005-0000-0000-0000F8310000}"/>
    <cellStyle name="Normal 2 2 2 2 2 32 12" xfId="12836" xr:uid="{00000000-0005-0000-0000-0000F9310000}"/>
    <cellStyle name="Normal 2 2 2 2 2 32 13" xfId="12837" xr:uid="{00000000-0005-0000-0000-0000FA310000}"/>
    <cellStyle name="Normal 2 2 2 2 2 32 14" xfId="12838" xr:uid="{00000000-0005-0000-0000-0000FB310000}"/>
    <cellStyle name="Normal 2 2 2 2 2 32 2" xfId="12839" xr:uid="{00000000-0005-0000-0000-0000FC310000}"/>
    <cellStyle name="Normal 2 2 2 2 2 32 2 10" xfId="12840" xr:uid="{00000000-0005-0000-0000-0000FD310000}"/>
    <cellStyle name="Normal 2 2 2 2 2 32 2 2" xfId="12841" xr:uid="{00000000-0005-0000-0000-0000FE310000}"/>
    <cellStyle name="Normal 2 2 2 2 2 32 2 3" xfId="12842" xr:uid="{00000000-0005-0000-0000-0000FF310000}"/>
    <cellStyle name="Normal 2 2 2 2 2 32 2 4" xfId="12843" xr:uid="{00000000-0005-0000-0000-000000320000}"/>
    <cellStyle name="Normal 2 2 2 2 2 32 2 5" xfId="12844" xr:uid="{00000000-0005-0000-0000-000001320000}"/>
    <cellStyle name="Normal 2 2 2 2 2 32 2 6" xfId="12845" xr:uid="{00000000-0005-0000-0000-000002320000}"/>
    <cellStyle name="Normal 2 2 2 2 2 32 2 7" xfId="12846" xr:uid="{00000000-0005-0000-0000-000003320000}"/>
    <cellStyle name="Normal 2 2 2 2 2 32 2 8" xfId="12847" xr:uid="{00000000-0005-0000-0000-000004320000}"/>
    <cellStyle name="Normal 2 2 2 2 2 32 2 9" xfId="12848" xr:uid="{00000000-0005-0000-0000-000005320000}"/>
    <cellStyle name="Normal 2 2 2 2 2 32 3" xfId="12849" xr:uid="{00000000-0005-0000-0000-000006320000}"/>
    <cellStyle name="Normal 2 2 2 2 2 32 3 10" xfId="12850" xr:uid="{00000000-0005-0000-0000-000007320000}"/>
    <cellStyle name="Normal 2 2 2 2 2 32 3 2" xfId="12851" xr:uid="{00000000-0005-0000-0000-000008320000}"/>
    <cellStyle name="Normal 2 2 2 2 2 32 3 3" xfId="12852" xr:uid="{00000000-0005-0000-0000-000009320000}"/>
    <cellStyle name="Normal 2 2 2 2 2 32 3 4" xfId="12853" xr:uid="{00000000-0005-0000-0000-00000A320000}"/>
    <cellStyle name="Normal 2 2 2 2 2 32 3 5" xfId="12854" xr:uid="{00000000-0005-0000-0000-00000B320000}"/>
    <cellStyle name="Normal 2 2 2 2 2 32 3 6" xfId="12855" xr:uid="{00000000-0005-0000-0000-00000C320000}"/>
    <cellStyle name="Normal 2 2 2 2 2 32 3 7" xfId="12856" xr:uid="{00000000-0005-0000-0000-00000D320000}"/>
    <cellStyle name="Normal 2 2 2 2 2 32 3 8" xfId="12857" xr:uid="{00000000-0005-0000-0000-00000E320000}"/>
    <cellStyle name="Normal 2 2 2 2 2 32 3 9" xfId="12858" xr:uid="{00000000-0005-0000-0000-00000F320000}"/>
    <cellStyle name="Normal 2 2 2 2 2 32 4" xfId="12859" xr:uid="{00000000-0005-0000-0000-000010320000}"/>
    <cellStyle name="Normal 2 2 2 2 2 32 4 10" xfId="12860" xr:uid="{00000000-0005-0000-0000-000011320000}"/>
    <cellStyle name="Normal 2 2 2 2 2 32 4 2" xfId="12861" xr:uid="{00000000-0005-0000-0000-000012320000}"/>
    <cellStyle name="Normal 2 2 2 2 2 32 4 3" xfId="12862" xr:uid="{00000000-0005-0000-0000-000013320000}"/>
    <cellStyle name="Normal 2 2 2 2 2 32 4 4" xfId="12863" xr:uid="{00000000-0005-0000-0000-000014320000}"/>
    <cellStyle name="Normal 2 2 2 2 2 32 4 5" xfId="12864" xr:uid="{00000000-0005-0000-0000-000015320000}"/>
    <cellStyle name="Normal 2 2 2 2 2 32 4 6" xfId="12865" xr:uid="{00000000-0005-0000-0000-000016320000}"/>
    <cellStyle name="Normal 2 2 2 2 2 32 4 7" xfId="12866" xr:uid="{00000000-0005-0000-0000-000017320000}"/>
    <cellStyle name="Normal 2 2 2 2 2 32 4 8" xfId="12867" xr:uid="{00000000-0005-0000-0000-000018320000}"/>
    <cellStyle name="Normal 2 2 2 2 2 32 4 9" xfId="12868" xr:uid="{00000000-0005-0000-0000-000019320000}"/>
    <cellStyle name="Normal 2 2 2 2 2 32 5" xfId="12869" xr:uid="{00000000-0005-0000-0000-00001A320000}"/>
    <cellStyle name="Normal 2 2 2 2 2 32 5 10" xfId="12870" xr:uid="{00000000-0005-0000-0000-00001B320000}"/>
    <cellStyle name="Normal 2 2 2 2 2 32 5 2" xfId="12871" xr:uid="{00000000-0005-0000-0000-00001C320000}"/>
    <cellStyle name="Normal 2 2 2 2 2 32 5 3" xfId="12872" xr:uid="{00000000-0005-0000-0000-00001D320000}"/>
    <cellStyle name="Normal 2 2 2 2 2 32 5 4" xfId="12873" xr:uid="{00000000-0005-0000-0000-00001E320000}"/>
    <cellStyle name="Normal 2 2 2 2 2 32 5 5" xfId="12874" xr:uid="{00000000-0005-0000-0000-00001F320000}"/>
    <cellStyle name="Normal 2 2 2 2 2 32 5 6" xfId="12875" xr:uid="{00000000-0005-0000-0000-000020320000}"/>
    <cellStyle name="Normal 2 2 2 2 2 32 5 7" xfId="12876" xr:uid="{00000000-0005-0000-0000-000021320000}"/>
    <cellStyle name="Normal 2 2 2 2 2 32 5 8" xfId="12877" xr:uid="{00000000-0005-0000-0000-000022320000}"/>
    <cellStyle name="Normal 2 2 2 2 2 32 5 9" xfId="12878" xr:uid="{00000000-0005-0000-0000-000023320000}"/>
    <cellStyle name="Normal 2 2 2 2 2 32 6" xfId="12879" xr:uid="{00000000-0005-0000-0000-000024320000}"/>
    <cellStyle name="Normal 2 2 2 2 2 32 7" xfId="12880" xr:uid="{00000000-0005-0000-0000-000025320000}"/>
    <cellStyle name="Normal 2 2 2 2 2 32 8" xfId="12881" xr:uid="{00000000-0005-0000-0000-000026320000}"/>
    <cellStyle name="Normal 2 2 2 2 2 32 9" xfId="12882" xr:uid="{00000000-0005-0000-0000-000027320000}"/>
    <cellStyle name="Normal 2 2 2 2 2 33" xfId="12883" xr:uid="{00000000-0005-0000-0000-000028320000}"/>
    <cellStyle name="Normal 2 2 2 2 2 33 10" xfId="12884" xr:uid="{00000000-0005-0000-0000-000029320000}"/>
    <cellStyle name="Normal 2 2 2 2 2 33 11" xfId="12885" xr:uid="{00000000-0005-0000-0000-00002A320000}"/>
    <cellStyle name="Normal 2 2 2 2 2 33 12" xfId="12886" xr:uid="{00000000-0005-0000-0000-00002B320000}"/>
    <cellStyle name="Normal 2 2 2 2 2 33 13" xfId="12887" xr:uid="{00000000-0005-0000-0000-00002C320000}"/>
    <cellStyle name="Normal 2 2 2 2 2 33 14" xfId="12888" xr:uid="{00000000-0005-0000-0000-00002D320000}"/>
    <cellStyle name="Normal 2 2 2 2 2 33 2" xfId="12889" xr:uid="{00000000-0005-0000-0000-00002E320000}"/>
    <cellStyle name="Normal 2 2 2 2 2 33 2 10" xfId="12890" xr:uid="{00000000-0005-0000-0000-00002F320000}"/>
    <cellStyle name="Normal 2 2 2 2 2 33 2 2" xfId="12891" xr:uid="{00000000-0005-0000-0000-000030320000}"/>
    <cellStyle name="Normal 2 2 2 2 2 33 2 3" xfId="12892" xr:uid="{00000000-0005-0000-0000-000031320000}"/>
    <cellStyle name="Normal 2 2 2 2 2 33 2 4" xfId="12893" xr:uid="{00000000-0005-0000-0000-000032320000}"/>
    <cellStyle name="Normal 2 2 2 2 2 33 2 5" xfId="12894" xr:uid="{00000000-0005-0000-0000-000033320000}"/>
    <cellStyle name="Normal 2 2 2 2 2 33 2 6" xfId="12895" xr:uid="{00000000-0005-0000-0000-000034320000}"/>
    <cellStyle name="Normal 2 2 2 2 2 33 2 7" xfId="12896" xr:uid="{00000000-0005-0000-0000-000035320000}"/>
    <cellStyle name="Normal 2 2 2 2 2 33 2 8" xfId="12897" xr:uid="{00000000-0005-0000-0000-000036320000}"/>
    <cellStyle name="Normal 2 2 2 2 2 33 2 9" xfId="12898" xr:uid="{00000000-0005-0000-0000-000037320000}"/>
    <cellStyle name="Normal 2 2 2 2 2 33 3" xfId="12899" xr:uid="{00000000-0005-0000-0000-000038320000}"/>
    <cellStyle name="Normal 2 2 2 2 2 33 3 10" xfId="12900" xr:uid="{00000000-0005-0000-0000-000039320000}"/>
    <cellStyle name="Normal 2 2 2 2 2 33 3 2" xfId="12901" xr:uid="{00000000-0005-0000-0000-00003A320000}"/>
    <cellStyle name="Normal 2 2 2 2 2 33 3 3" xfId="12902" xr:uid="{00000000-0005-0000-0000-00003B320000}"/>
    <cellStyle name="Normal 2 2 2 2 2 33 3 4" xfId="12903" xr:uid="{00000000-0005-0000-0000-00003C320000}"/>
    <cellStyle name="Normal 2 2 2 2 2 33 3 5" xfId="12904" xr:uid="{00000000-0005-0000-0000-00003D320000}"/>
    <cellStyle name="Normal 2 2 2 2 2 33 3 6" xfId="12905" xr:uid="{00000000-0005-0000-0000-00003E320000}"/>
    <cellStyle name="Normal 2 2 2 2 2 33 3 7" xfId="12906" xr:uid="{00000000-0005-0000-0000-00003F320000}"/>
    <cellStyle name="Normal 2 2 2 2 2 33 3 8" xfId="12907" xr:uid="{00000000-0005-0000-0000-000040320000}"/>
    <cellStyle name="Normal 2 2 2 2 2 33 3 9" xfId="12908" xr:uid="{00000000-0005-0000-0000-000041320000}"/>
    <cellStyle name="Normal 2 2 2 2 2 33 4" xfId="12909" xr:uid="{00000000-0005-0000-0000-000042320000}"/>
    <cellStyle name="Normal 2 2 2 2 2 33 4 10" xfId="12910" xr:uid="{00000000-0005-0000-0000-000043320000}"/>
    <cellStyle name="Normal 2 2 2 2 2 33 4 2" xfId="12911" xr:uid="{00000000-0005-0000-0000-000044320000}"/>
    <cellStyle name="Normal 2 2 2 2 2 33 4 3" xfId="12912" xr:uid="{00000000-0005-0000-0000-000045320000}"/>
    <cellStyle name="Normal 2 2 2 2 2 33 4 4" xfId="12913" xr:uid="{00000000-0005-0000-0000-000046320000}"/>
    <cellStyle name="Normal 2 2 2 2 2 33 4 5" xfId="12914" xr:uid="{00000000-0005-0000-0000-000047320000}"/>
    <cellStyle name="Normal 2 2 2 2 2 33 4 6" xfId="12915" xr:uid="{00000000-0005-0000-0000-000048320000}"/>
    <cellStyle name="Normal 2 2 2 2 2 33 4 7" xfId="12916" xr:uid="{00000000-0005-0000-0000-000049320000}"/>
    <cellStyle name="Normal 2 2 2 2 2 33 4 8" xfId="12917" xr:uid="{00000000-0005-0000-0000-00004A320000}"/>
    <cellStyle name="Normal 2 2 2 2 2 33 4 9" xfId="12918" xr:uid="{00000000-0005-0000-0000-00004B320000}"/>
    <cellStyle name="Normal 2 2 2 2 2 33 5" xfId="12919" xr:uid="{00000000-0005-0000-0000-00004C320000}"/>
    <cellStyle name="Normal 2 2 2 2 2 33 5 10" xfId="12920" xr:uid="{00000000-0005-0000-0000-00004D320000}"/>
    <cellStyle name="Normal 2 2 2 2 2 33 5 2" xfId="12921" xr:uid="{00000000-0005-0000-0000-00004E320000}"/>
    <cellStyle name="Normal 2 2 2 2 2 33 5 3" xfId="12922" xr:uid="{00000000-0005-0000-0000-00004F320000}"/>
    <cellStyle name="Normal 2 2 2 2 2 33 5 4" xfId="12923" xr:uid="{00000000-0005-0000-0000-000050320000}"/>
    <cellStyle name="Normal 2 2 2 2 2 33 5 5" xfId="12924" xr:uid="{00000000-0005-0000-0000-000051320000}"/>
    <cellStyle name="Normal 2 2 2 2 2 33 5 6" xfId="12925" xr:uid="{00000000-0005-0000-0000-000052320000}"/>
    <cellStyle name="Normal 2 2 2 2 2 33 5 7" xfId="12926" xr:uid="{00000000-0005-0000-0000-000053320000}"/>
    <cellStyle name="Normal 2 2 2 2 2 33 5 8" xfId="12927" xr:uid="{00000000-0005-0000-0000-000054320000}"/>
    <cellStyle name="Normal 2 2 2 2 2 33 5 9" xfId="12928" xr:uid="{00000000-0005-0000-0000-000055320000}"/>
    <cellStyle name="Normal 2 2 2 2 2 33 6" xfId="12929" xr:uid="{00000000-0005-0000-0000-000056320000}"/>
    <cellStyle name="Normal 2 2 2 2 2 33 7" xfId="12930" xr:uid="{00000000-0005-0000-0000-000057320000}"/>
    <cellStyle name="Normal 2 2 2 2 2 33 8" xfId="12931" xr:uid="{00000000-0005-0000-0000-000058320000}"/>
    <cellStyle name="Normal 2 2 2 2 2 33 9" xfId="12932" xr:uid="{00000000-0005-0000-0000-000059320000}"/>
    <cellStyle name="Normal 2 2 2 2 2 34" xfId="12933" xr:uid="{00000000-0005-0000-0000-00005A320000}"/>
    <cellStyle name="Normal 2 2 2 2 2 34 10" xfId="12934" xr:uid="{00000000-0005-0000-0000-00005B320000}"/>
    <cellStyle name="Normal 2 2 2 2 2 34 11" xfId="12935" xr:uid="{00000000-0005-0000-0000-00005C320000}"/>
    <cellStyle name="Normal 2 2 2 2 2 34 12" xfId="12936" xr:uid="{00000000-0005-0000-0000-00005D320000}"/>
    <cellStyle name="Normal 2 2 2 2 2 34 13" xfId="12937" xr:uid="{00000000-0005-0000-0000-00005E320000}"/>
    <cellStyle name="Normal 2 2 2 2 2 34 14" xfId="12938" xr:uid="{00000000-0005-0000-0000-00005F320000}"/>
    <cellStyle name="Normal 2 2 2 2 2 34 2" xfId="12939" xr:uid="{00000000-0005-0000-0000-000060320000}"/>
    <cellStyle name="Normal 2 2 2 2 2 34 2 10" xfId="12940" xr:uid="{00000000-0005-0000-0000-000061320000}"/>
    <cellStyle name="Normal 2 2 2 2 2 34 2 2" xfId="12941" xr:uid="{00000000-0005-0000-0000-000062320000}"/>
    <cellStyle name="Normal 2 2 2 2 2 34 2 3" xfId="12942" xr:uid="{00000000-0005-0000-0000-000063320000}"/>
    <cellStyle name="Normal 2 2 2 2 2 34 2 4" xfId="12943" xr:uid="{00000000-0005-0000-0000-000064320000}"/>
    <cellStyle name="Normal 2 2 2 2 2 34 2 5" xfId="12944" xr:uid="{00000000-0005-0000-0000-000065320000}"/>
    <cellStyle name="Normal 2 2 2 2 2 34 2 6" xfId="12945" xr:uid="{00000000-0005-0000-0000-000066320000}"/>
    <cellStyle name="Normal 2 2 2 2 2 34 2 7" xfId="12946" xr:uid="{00000000-0005-0000-0000-000067320000}"/>
    <cellStyle name="Normal 2 2 2 2 2 34 2 8" xfId="12947" xr:uid="{00000000-0005-0000-0000-000068320000}"/>
    <cellStyle name="Normal 2 2 2 2 2 34 2 9" xfId="12948" xr:uid="{00000000-0005-0000-0000-000069320000}"/>
    <cellStyle name="Normal 2 2 2 2 2 34 3" xfId="12949" xr:uid="{00000000-0005-0000-0000-00006A320000}"/>
    <cellStyle name="Normal 2 2 2 2 2 34 3 10" xfId="12950" xr:uid="{00000000-0005-0000-0000-00006B320000}"/>
    <cellStyle name="Normal 2 2 2 2 2 34 3 2" xfId="12951" xr:uid="{00000000-0005-0000-0000-00006C320000}"/>
    <cellStyle name="Normal 2 2 2 2 2 34 3 3" xfId="12952" xr:uid="{00000000-0005-0000-0000-00006D320000}"/>
    <cellStyle name="Normal 2 2 2 2 2 34 3 4" xfId="12953" xr:uid="{00000000-0005-0000-0000-00006E320000}"/>
    <cellStyle name="Normal 2 2 2 2 2 34 3 5" xfId="12954" xr:uid="{00000000-0005-0000-0000-00006F320000}"/>
    <cellStyle name="Normal 2 2 2 2 2 34 3 6" xfId="12955" xr:uid="{00000000-0005-0000-0000-000070320000}"/>
    <cellStyle name="Normal 2 2 2 2 2 34 3 7" xfId="12956" xr:uid="{00000000-0005-0000-0000-000071320000}"/>
    <cellStyle name="Normal 2 2 2 2 2 34 3 8" xfId="12957" xr:uid="{00000000-0005-0000-0000-000072320000}"/>
    <cellStyle name="Normal 2 2 2 2 2 34 3 9" xfId="12958" xr:uid="{00000000-0005-0000-0000-000073320000}"/>
    <cellStyle name="Normal 2 2 2 2 2 34 4" xfId="12959" xr:uid="{00000000-0005-0000-0000-000074320000}"/>
    <cellStyle name="Normal 2 2 2 2 2 34 4 10" xfId="12960" xr:uid="{00000000-0005-0000-0000-000075320000}"/>
    <cellStyle name="Normal 2 2 2 2 2 34 4 2" xfId="12961" xr:uid="{00000000-0005-0000-0000-000076320000}"/>
    <cellStyle name="Normal 2 2 2 2 2 34 4 3" xfId="12962" xr:uid="{00000000-0005-0000-0000-000077320000}"/>
    <cellStyle name="Normal 2 2 2 2 2 34 4 4" xfId="12963" xr:uid="{00000000-0005-0000-0000-000078320000}"/>
    <cellStyle name="Normal 2 2 2 2 2 34 4 5" xfId="12964" xr:uid="{00000000-0005-0000-0000-000079320000}"/>
    <cellStyle name="Normal 2 2 2 2 2 34 4 6" xfId="12965" xr:uid="{00000000-0005-0000-0000-00007A320000}"/>
    <cellStyle name="Normal 2 2 2 2 2 34 4 7" xfId="12966" xr:uid="{00000000-0005-0000-0000-00007B320000}"/>
    <cellStyle name="Normal 2 2 2 2 2 34 4 8" xfId="12967" xr:uid="{00000000-0005-0000-0000-00007C320000}"/>
    <cellStyle name="Normal 2 2 2 2 2 34 4 9" xfId="12968" xr:uid="{00000000-0005-0000-0000-00007D320000}"/>
    <cellStyle name="Normal 2 2 2 2 2 34 5" xfId="12969" xr:uid="{00000000-0005-0000-0000-00007E320000}"/>
    <cellStyle name="Normal 2 2 2 2 2 34 5 10" xfId="12970" xr:uid="{00000000-0005-0000-0000-00007F320000}"/>
    <cellStyle name="Normal 2 2 2 2 2 34 5 2" xfId="12971" xr:uid="{00000000-0005-0000-0000-000080320000}"/>
    <cellStyle name="Normal 2 2 2 2 2 34 5 3" xfId="12972" xr:uid="{00000000-0005-0000-0000-000081320000}"/>
    <cellStyle name="Normal 2 2 2 2 2 34 5 4" xfId="12973" xr:uid="{00000000-0005-0000-0000-000082320000}"/>
    <cellStyle name="Normal 2 2 2 2 2 34 5 5" xfId="12974" xr:uid="{00000000-0005-0000-0000-000083320000}"/>
    <cellStyle name="Normal 2 2 2 2 2 34 5 6" xfId="12975" xr:uid="{00000000-0005-0000-0000-000084320000}"/>
    <cellStyle name="Normal 2 2 2 2 2 34 5 7" xfId="12976" xr:uid="{00000000-0005-0000-0000-000085320000}"/>
    <cellStyle name="Normal 2 2 2 2 2 34 5 8" xfId="12977" xr:uid="{00000000-0005-0000-0000-000086320000}"/>
    <cellStyle name="Normal 2 2 2 2 2 34 5 9" xfId="12978" xr:uid="{00000000-0005-0000-0000-000087320000}"/>
    <cellStyle name="Normal 2 2 2 2 2 34 6" xfId="12979" xr:uid="{00000000-0005-0000-0000-000088320000}"/>
    <cellStyle name="Normal 2 2 2 2 2 34 7" xfId="12980" xr:uid="{00000000-0005-0000-0000-000089320000}"/>
    <cellStyle name="Normal 2 2 2 2 2 34 8" xfId="12981" xr:uid="{00000000-0005-0000-0000-00008A320000}"/>
    <cellStyle name="Normal 2 2 2 2 2 34 9" xfId="12982" xr:uid="{00000000-0005-0000-0000-00008B320000}"/>
    <cellStyle name="Normal 2 2 2 2 2 35" xfId="12983" xr:uid="{00000000-0005-0000-0000-00008C320000}"/>
    <cellStyle name="Normal 2 2 2 2 2 35 10" xfId="12984" xr:uid="{00000000-0005-0000-0000-00008D320000}"/>
    <cellStyle name="Normal 2 2 2 2 2 35 2" xfId="12985" xr:uid="{00000000-0005-0000-0000-00008E320000}"/>
    <cellStyle name="Normal 2 2 2 2 2 35 3" xfId="12986" xr:uid="{00000000-0005-0000-0000-00008F320000}"/>
    <cellStyle name="Normal 2 2 2 2 2 35 4" xfId="12987" xr:uid="{00000000-0005-0000-0000-000090320000}"/>
    <cellStyle name="Normal 2 2 2 2 2 35 5" xfId="12988" xr:uid="{00000000-0005-0000-0000-000091320000}"/>
    <cellStyle name="Normal 2 2 2 2 2 35 6" xfId="12989" xr:uid="{00000000-0005-0000-0000-000092320000}"/>
    <cellStyle name="Normal 2 2 2 2 2 35 7" xfId="12990" xr:uid="{00000000-0005-0000-0000-000093320000}"/>
    <cellStyle name="Normal 2 2 2 2 2 35 8" xfId="12991" xr:uid="{00000000-0005-0000-0000-000094320000}"/>
    <cellStyle name="Normal 2 2 2 2 2 35 9" xfId="12992" xr:uid="{00000000-0005-0000-0000-000095320000}"/>
    <cellStyle name="Normal 2 2 2 2 2 36" xfId="12993" xr:uid="{00000000-0005-0000-0000-000096320000}"/>
    <cellStyle name="Normal 2 2 2 2 2 36 10" xfId="12994" xr:uid="{00000000-0005-0000-0000-000097320000}"/>
    <cellStyle name="Normal 2 2 2 2 2 36 2" xfId="12995" xr:uid="{00000000-0005-0000-0000-000098320000}"/>
    <cellStyle name="Normal 2 2 2 2 2 36 3" xfId="12996" xr:uid="{00000000-0005-0000-0000-000099320000}"/>
    <cellStyle name="Normal 2 2 2 2 2 36 4" xfId="12997" xr:uid="{00000000-0005-0000-0000-00009A320000}"/>
    <cellStyle name="Normal 2 2 2 2 2 36 5" xfId="12998" xr:uid="{00000000-0005-0000-0000-00009B320000}"/>
    <cellStyle name="Normal 2 2 2 2 2 36 6" xfId="12999" xr:uid="{00000000-0005-0000-0000-00009C320000}"/>
    <cellStyle name="Normal 2 2 2 2 2 36 7" xfId="13000" xr:uid="{00000000-0005-0000-0000-00009D320000}"/>
    <cellStyle name="Normal 2 2 2 2 2 36 8" xfId="13001" xr:uid="{00000000-0005-0000-0000-00009E320000}"/>
    <cellStyle name="Normal 2 2 2 2 2 36 9" xfId="13002" xr:uid="{00000000-0005-0000-0000-00009F320000}"/>
    <cellStyle name="Normal 2 2 2 2 2 37" xfId="13003" xr:uid="{00000000-0005-0000-0000-0000A0320000}"/>
    <cellStyle name="Normal 2 2 2 2 2 37 10" xfId="13004" xr:uid="{00000000-0005-0000-0000-0000A1320000}"/>
    <cellStyle name="Normal 2 2 2 2 2 37 2" xfId="13005" xr:uid="{00000000-0005-0000-0000-0000A2320000}"/>
    <cellStyle name="Normal 2 2 2 2 2 37 3" xfId="13006" xr:uid="{00000000-0005-0000-0000-0000A3320000}"/>
    <cellStyle name="Normal 2 2 2 2 2 37 4" xfId="13007" xr:uid="{00000000-0005-0000-0000-0000A4320000}"/>
    <cellStyle name="Normal 2 2 2 2 2 37 5" xfId="13008" xr:uid="{00000000-0005-0000-0000-0000A5320000}"/>
    <cellStyle name="Normal 2 2 2 2 2 37 6" xfId="13009" xr:uid="{00000000-0005-0000-0000-0000A6320000}"/>
    <cellStyle name="Normal 2 2 2 2 2 37 7" xfId="13010" xr:uid="{00000000-0005-0000-0000-0000A7320000}"/>
    <cellStyle name="Normal 2 2 2 2 2 37 8" xfId="13011" xr:uid="{00000000-0005-0000-0000-0000A8320000}"/>
    <cellStyle name="Normal 2 2 2 2 2 37 9" xfId="13012" xr:uid="{00000000-0005-0000-0000-0000A9320000}"/>
    <cellStyle name="Normal 2 2 2 2 2 38" xfId="13013" xr:uid="{00000000-0005-0000-0000-0000AA320000}"/>
    <cellStyle name="Normal 2 2 2 2 2 38 10" xfId="13014" xr:uid="{00000000-0005-0000-0000-0000AB320000}"/>
    <cellStyle name="Normal 2 2 2 2 2 38 2" xfId="13015" xr:uid="{00000000-0005-0000-0000-0000AC320000}"/>
    <cellStyle name="Normal 2 2 2 2 2 38 3" xfId="13016" xr:uid="{00000000-0005-0000-0000-0000AD320000}"/>
    <cellStyle name="Normal 2 2 2 2 2 38 4" xfId="13017" xr:uid="{00000000-0005-0000-0000-0000AE320000}"/>
    <cellStyle name="Normal 2 2 2 2 2 38 5" xfId="13018" xr:uid="{00000000-0005-0000-0000-0000AF320000}"/>
    <cellStyle name="Normal 2 2 2 2 2 38 6" xfId="13019" xr:uid="{00000000-0005-0000-0000-0000B0320000}"/>
    <cellStyle name="Normal 2 2 2 2 2 38 7" xfId="13020" xr:uid="{00000000-0005-0000-0000-0000B1320000}"/>
    <cellStyle name="Normal 2 2 2 2 2 38 8" xfId="13021" xr:uid="{00000000-0005-0000-0000-0000B2320000}"/>
    <cellStyle name="Normal 2 2 2 2 2 38 9" xfId="13022" xr:uid="{00000000-0005-0000-0000-0000B3320000}"/>
    <cellStyle name="Normal 2 2 2 2 2 39" xfId="13023" xr:uid="{00000000-0005-0000-0000-0000B4320000}"/>
    <cellStyle name="Normal 2 2 2 2 2 4" xfId="13024" xr:uid="{00000000-0005-0000-0000-0000B5320000}"/>
    <cellStyle name="Normal 2 2 2 2 2 4 10" xfId="13025" xr:uid="{00000000-0005-0000-0000-0000B6320000}"/>
    <cellStyle name="Normal 2 2 2 2 2 4 11" xfId="13026" xr:uid="{00000000-0005-0000-0000-0000B7320000}"/>
    <cellStyle name="Normal 2 2 2 2 2 4 12" xfId="13027" xr:uid="{00000000-0005-0000-0000-0000B8320000}"/>
    <cellStyle name="Normal 2 2 2 2 2 4 13" xfId="13028" xr:uid="{00000000-0005-0000-0000-0000B9320000}"/>
    <cellStyle name="Normal 2 2 2 2 2 4 14" xfId="13029" xr:uid="{00000000-0005-0000-0000-0000BA320000}"/>
    <cellStyle name="Normal 2 2 2 2 2 4 15" xfId="13030" xr:uid="{00000000-0005-0000-0000-0000BB320000}"/>
    <cellStyle name="Normal 2 2 2 2 2 4 16" xfId="13031" xr:uid="{00000000-0005-0000-0000-0000BC320000}"/>
    <cellStyle name="Normal 2 2 2 2 2 4 2" xfId="13032" xr:uid="{00000000-0005-0000-0000-0000BD320000}"/>
    <cellStyle name="Normal 2 2 2 2 2 4 2 10" xfId="13033" xr:uid="{00000000-0005-0000-0000-0000BE320000}"/>
    <cellStyle name="Normal 2 2 2 2 2 4 2 2" xfId="13034" xr:uid="{00000000-0005-0000-0000-0000BF320000}"/>
    <cellStyle name="Normal 2 2 2 2 2 4 2 3" xfId="13035" xr:uid="{00000000-0005-0000-0000-0000C0320000}"/>
    <cellStyle name="Normal 2 2 2 2 2 4 2 4" xfId="13036" xr:uid="{00000000-0005-0000-0000-0000C1320000}"/>
    <cellStyle name="Normal 2 2 2 2 2 4 2 5" xfId="13037" xr:uid="{00000000-0005-0000-0000-0000C2320000}"/>
    <cellStyle name="Normal 2 2 2 2 2 4 2 6" xfId="13038" xr:uid="{00000000-0005-0000-0000-0000C3320000}"/>
    <cellStyle name="Normal 2 2 2 2 2 4 2 7" xfId="13039" xr:uid="{00000000-0005-0000-0000-0000C4320000}"/>
    <cellStyle name="Normal 2 2 2 2 2 4 2 8" xfId="13040" xr:uid="{00000000-0005-0000-0000-0000C5320000}"/>
    <cellStyle name="Normal 2 2 2 2 2 4 2 9" xfId="13041" xr:uid="{00000000-0005-0000-0000-0000C6320000}"/>
    <cellStyle name="Normal 2 2 2 2 2 4 3" xfId="13042" xr:uid="{00000000-0005-0000-0000-0000C7320000}"/>
    <cellStyle name="Normal 2 2 2 2 2 4 3 10" xfId="13043" xr:uid="{00000000-0005-0000-0000-0000C8320000}"/>
    <cellStyle name="Normal 2 2 2 2 2 4 3 2" xfId="13044" xr:uid="{00000000-0005-0000-0000-0000C9320000}"/>
    <cellStyle name="Normal 2 2 2 2 2 4 3 3" xfId="13045" xr:uid="{00000000-0005-0000-0000-0000CA320000}"/>
    <cellStyle name="Normal 2 2 2 2 2 4 3 4" xfId="13046" xr:uid="{00000000-0005-0000-0000-0000CB320000}"/>
    <cellStyle name="Normal 2 2 2 2 2 4 3 5" xfId="13047" xr:uid="{00000000-0005-0000-0000-0000CC320000}"/>
    <cellStyle name="Normal 2 2 2 2 2 4 3 6" xfId="13048" xr:uid="{00000000-0005-0000-0000-0000CD320000}"/>
    <cellStyle name="Normal 2 2 2 2 2 4 3 7" xfId="13049" xr:uid="{00000000-0005-0000-0000-0000CE320000}"/>
    <cellStyle name="Normal 2 2 2 2 2 4 3 8" xfId="13050" xr:uid="{00000000-0005-0000-0000-0000CF320000}"/>
    <cellStyle name="Normal 2 2 2 2 2 4 3 9" xfId="13051" xr:uid="{00000000-0005-0000-0000-0000D0320000}"/>
    <cellStyle name="Normal 2 2 2 2 2 4 4" xfId="13052" xr:uid="{00000000-0005-0000-0000-0000D1320000}"/>
    <cellStyle name="Normal 2 2 2 2 2 4 4 10" xfId="13053" xr:uid="{00000000-0005-0000-0000-0000D2320000}"/>
    <cellStyle name="Normal 2 2 2 2 2 4 4 2" xfId="13054" xr:uid="{00000000-0005-0000-0000-0000D3320000}"/>
    <cellStyle name="Normal 2 2 2 2 2 4 4 3" xfId="13055" xr:uid="{00000000-0005-0000-0000-0000D4320000}"/>
    <cellStyle name="Normal 2 2 2 2 2 4 4 4" xfId="13056" xr:uid="{00000000-0005-0000-0000-0000D5320000}"/>
    <cellStyle name="Normal 2 2 2 2 2 4 4 5" xfId="13057" xr:uid="{00000000-0005-0000-0000-0000D6320000}"/>
    <cellStyle name="Normal 2 2 2 2 2 4 4 6" xfId="13058" xr:uid="{00000000-0005-0000-0000-0000D7320000}"/>
    <cellStyle name="Normal 2 2 2 2 2 4 4 7" xfId="13059" xr:uid="{00000000-0005-0000-0000-0000D8320000}"/>
    <cellStyle name="Normal 2 2 2 2 2 4 4 8" xfId="13060" xr:uid="{00000000-0005-0000-0000-0000D9320000}"/>
    <cellStyle name="Normal 2 2 2 2 2 4 4 9" xfId="13061" xr:uid="{00000000-0005-0000-0000-0000DA320000}"/>
    <cellStyle name="Normal 2 2 2 2 2 4 5" xfId="13062" xr:uid="{00000000-0005-0000-0000-0000DB320000}"/>
    <cellStyle name="Normal 2 2 2 2 2 4 5 10" xfId="13063" xr:uid="{00000000-0005-0000-0000-0000DC320000}"/>
    <cellStyle name="Normal 2 2 2 2 2 4 5 2" xfId="13064" xr:uid="{00000000-0005-0000-0000-0000DD320000}"/>
    <cellStyle name="Normal 2 2 2 2 2 4 5 3" xfId="13065" xr:uid="{00000000-0005-0000-0000-0000DE320000}"/>
    <cellStyle name="Normal 2 2 2 2 2 4 5 4" xfId="13066" xr:uid="{00000000-0005-0000-0000-0000DF320000}"/>
    <cellStyle name="Normal 2 2 2 2 2 4 5 5" xfId="13067" xr:uid="{00000000-0005-0000-0000-0000E0320000}"/>
    <cellStyle name="Normal 2 2 2 2 2 4 5 6" xfId="13068" xr:uid="{00000000-0005-0000-0000-0000E1320000}"/>
    <cellStyle name="Normal 2 2 2 2 2 4 5 7" xfId="13069" xr:uid="{00000000-0005-0000-0000-0000E2320000}"/>
    <cellStyle name="Normal 2 2 2 2 2 4 5 8" xfId="13070" xr:uid="{00000000-0005-0000-0000-0000E3320000}"/>
    <cellStyle name="Normal 2 2 2 2 2 4 5 9" xfId="13071" xr:uid="{00000000-0005-0000-0000-0000E4320000}"/>
    <cellStyle name="Normal 2 2 2 2 2 4 6" xfId="13072" xr:uid="{00000000-0005-0000-0000-0000E5320000}"/>
    <cellStyle name="Normal 2 2 2 2 2 4 7" xfId="13073" xr:uid="{00000000-0005-0000-0000-0000E6320000}"/>
    <cellStyle name="Normal 2 2 2 2 2 4 8" xfId="13074" xr:uid="{00000000-0005-0000-0000-0000E7320000}"/>
    <cellStyle name="Normal 2 2 2 2 2 4 9" xfId="13075" xr:uid="{00000000-0005-0000-0000-0000E8320000}"/>
    <cellStyle name="Normal 2 2 2 2 2 40" xfId="13076" xr:uid="{00000000-0005-0000-0000-0000E9320000}"/>
    <cellStyle name="Normal 2 2 2 2 2 41" xfId="13077" xr:uid="{00000000-0005-0000-0000-0000EA320000}"/>
    <cellStyle name="Normal 2 2 2 2 2 42" xfId="13078" xr:uid="{00000000-0005-0000-0000-0000EB320000}"/>
    <cellStyle name="Normal 2 2 2 2 2 43" xfId="13079" xr:uid="{00000000-0005-0000-0000-0000EC320000}"/>
    <cellStyle name="Normal 2 2 2 2 2 44" xfId="13080" xr:uid="{00000000-0005-0000-0000-0000ED320000}"/>
    <cellStyle name="Normal 2 2 2 2 2 45" xfId="13081" xr:uid="{00000000-0005-0000-0000-0000EE320000}"/>
    <cellStyle name="Normal 2 2 2 2 2 46" xfId="13082" xr:uid="{00000000-0005-0000-0000-0000EF320000}"/>
    <cellStyle name="Normal 2 2 2 2 2 47" xfId="13083" xr:uid="{00000000-0005-0000-0000-0000F0320000}"/>
    <cellStyle name="Normal 2 2 2 2 2 48" xfId="13084" xr:uid="{00000000-0005-0000-0000-0000F1320000}"/>
    <cellStyle name="Normal 2 2 2 2 2 49" xfId="13085" xr:uid="{00000000-0005-0000-0000-0000F2320000}"/>
    <cellStyle name="Normal 2 2 2 2 2 5" xfId="13086" xr:uid="{00000000-0005-0000-0000-0000F3320000}"/>
    <cellStyle name="Normal 2 2 2 2 2 5 10" xfId="13087" xr:uid="{00000000-0005-0000-0000-0000F4320000}"/>
    <cellStyle name="Normal 2 2 2 2 2 5 11" xfId="13088" xr:uid="{00000000-0005-0000-0000-0000F5320000}"/>
    <cellStyle name="Normal 2 2 2 2 2 5 12" xfId="13089" xr:uid="{00000000-0005-0000-0000-0000F6320000}"/>
    <cellStyle name="Normal 2 2 2 2 2 5 13" xfId="13090" xr:uid="{00000000-0005-0000-0000-0000F7320000}"/>
    <cellStyle name="Normal 2 2 2 2 2 5 14" xfId="13091" xr:uid="{00000000-0005-0000-0000-0000F8320000}"/>
    <cellStyle name="Normal 2 2 2 2 2 5 2" xfId="13092" xr:uid="{00000000-0005-0000-0000-0000F9320000}"/>
    <cellStyle name="Normal 2 2 2 2 2 5 2 10" xfId="13093" xr:uid="{00000000-0005-0000-0000-0000FA320000}"/>
    <cellStyle name="Normal 2 2 2 2 2 5 2 2" xfId="13094" xr:uid="{00000000-0005-0000-0000-0000FB320000}"/>
    <cellStyle name="Normal 2 2 2 2 2 5 2 3" xfId="13095" xr:uid="{00000000-0005-0000-0000-0000FC320000}"/>
    <cellStyle name="Normal 2 2 2 2 2 5 2 4" xfId="13096" xr:uid="{00000000-0005-0000-0000-0000FD320000}"/>
    <cellStyle name="Normal 2 2 2 2 2 5 2 5" xfId="13097" xr:uid="{00000000-0005-0000-0000-0000FE320000}"/>
    <cellStyle name="Normal 2 2 2 2 2 5 2 6" xfId="13098" xr:uid="{00000000-0005-0000-0000-0000FF320000}"/>
    <cellStyle name="Normal 2 2 2 2 2 5 2 7" xfId="13099" xr:uid="{00000000-0005-0000-0000-000000330000}"/>
    <cellStyle name="Normal 2 2 2 2 2 5 2 8" xfId="13100" xr:uid="{00000000-0005-0000-0000-000001330000}"/>
    <cellStyle name="Normal 2 2 2 2 2 5 2 9" xfId="13101" xr:uid="{00000000-0005-0000-0000-000002330000}"/>
    <cellStyle name="Normal 2 2 2 2 2 5 3" xfId="13102" xr:uid="{00000000-0005-0000-0000-000003330000}"/>
    <cellStyle name="Normal 2 2 2 2 2 5 3 10" xfId="13103" xr:uid="{00000000-0005-0000-0000-000004330000}"/>
    <cellStyle name="Normal 2 2 2 2 2 5 3 2" xfId="13104" xr:uid="{00000000-0005-0000-0000-000005330000}"/>
    <cellStyle name="Normal 2 2 2 2 2 5 3 3" xfId="13105" xr:uid="{00000000-0005-0000-0000-000006330000}"/>
    <cellStyle name="Normal 2 2 2 2 2 5 3 4" xfId="13106" xr:uid="{00000000-0005-0000-0000-000007330000}"/>
    <cellStyle name="Normal 2 2 2 2 2 5 3 5" xfId="13107" xr:uid="{00000000-0005-0000-0000-000008330000}"/>
    <cellStyle name="Normal 2 2 2 2 2 5 3 6" xfId="13108" xr:uid="{00000000-0005-0000-0000-000009330000}"/>
    <cellStyle name="Normal 2 2 2 2 2 5 3 7" xfId="13109" xr:uid="{00000000-0005-0000-0000-00000A330000}"/>
    <cellStyle name="Normal 2 2 2 2 2 5 3 8" xfId="13110" xr:uid="{00000000-0005-0000-0000-00000B330000}"/>
    <cellStyle name="Normal 2 2 2 2 2 5 3 9" xfId="13111" xr:uid="{00000000-0005-0000-0000-00000C330000}"/>
    <cellStyle name="Normal 2 2 2 2 2 5 4" xfId="13112" xr:uid="{00000000-0005-0000-0000-00000D330000}"/>
    <cellStyle name="Normal 2 2 2 2 2 5 4 10" xfId="13113" xr:uid="{00000000-0005-0000-0000-00000E330000}"/>
    <cellStyle name="Normal 2 2 2 2 2 5 4 2" xfId="13114" xr:uid="{00000000-0005-0000-0000-00000F330000}"/>
    <cellStyle name="Normal 2 2 2 2 2 5 4 3" xfId="13115" xr:uid="{00000000-0005-0000-0000-000010330000}"/>
    <cellStyle name="Normal 2 2 2 2 2 5 4 4" xfId="13116" xr:uid="{00000000-0005-0000-0000-000011330000}"/>
    <cellStyle name="Normal 2 2 2 2 2 5 4 5" xfId="13117" xr:uid="{00000000-0005-0000-0000-000012330000}"/>
    <cellStyle name="Normal 2 2 2 2 2 5 4 6" xfId="13118" xr:uid="{00000000-0005-0000-0000-000013330000}"/>
    <cellStyle name="Normal 2 2 2 2 2 5 4 7" xfId="13119" xr:uid="{00000000-0005-0000-0000-000014330000}"/>
    <cellStyle name="Normal 2 2 2 2 2 5 4 8" xfId="13120" xr:uid="{00000000-0005-0000-0000-000015330000}"/>
    <cellStyle name="Normal 2 2 2 2 2 5 4 9" xfId="13121" xr:uid="{00000000-0005-0000-0000-000016330000}"/>
    <cellStyle name="Normal 2 2 2 2 2 5 5" xfId="13122" xr:uid="{00000000-0005-0000-0000-000017330000}"/>
    <cellStyle name="Normal 2 2 2 2 2 5 5 10" xfId="13123" xr:uid="{00000000-0005-0000-0000-000018330000}"/>
    <cellStyle name="Normal 2 2 2 2 2 5 5 2" xfId="13124" xr:uid="{00000000-0005-0000-0000-000019330000}"/>
    <cellStyle name="Normal 2 2 2 2 2 5 5 3" xfId="13125" xr:uid="{00000000-0005-0000-0000-00001A330000}"/>
    <cellStyle name="Normal 2 2 2 2 2 5 5 4" xfId="13126" xr:uid="{00000000-0005-0000-0000-00001B330000}"/>
    <cellStyle name="Normal 2 2 2 2 2 5 5 5" xfId="13127" xr:uid="{00000000-0005-0000-0000-00001C330000}"/>
    <cellStyle name="Normal 2 2 2 2 2 5 5 6" xfId="13128" xr:uid="{00000000-0005-0000-0000-00001D330000}"/>
    <cellStyle name="Normal 2 2 2 2 2 5 5 7" xfId="13129" xr:uid="{00000000-0005-0000-0000-00001E330000}"/>
    <cellStyle name="Normal 2 2 2 2 2 5 5 8" xfId="13130" xr:uid="{00000000-0005-0000-0000-00001F330000}"/>
    <cellStyle name="Normal 2 2 2 2 2 5 5 9" xfId="13131" xr:uid="{00000000-0005-0000-0000-000020330000}"/>
    <cellStyle name="Normal 2 2 2 2 2 5 6" xfId="13132" xr:uid="{00000000-0005-0000-0000-000021330000}"/>
    <cellStyle name="Normal 2 2 2 2 2 5 7" xfId="13133" xr:uid="{00000000-0005-0000-0000-000022330000}"/>
    <cellStyle name="Normal 2 2 2 2 2 5 8" xfId="13134" xr:uid="{00000000-0005-0000-0000-000023330000}"/>
    <cellStyle name="Normal 2 2 2 2 2 5 9" xfId="13135" xr:uid="{00000000-0005-0000-0000-000024330000}"/>
    <cellStyle name="Normal 2 2 2 2 2 6" xfId="13136" xr:uid="{00000000-0005-0000-0000-000025330000}"/>
    <cellStyle name="Normal 2 2 2 2 2 6 10" xfId="13137" xr:uid="{00000000-0005-0000-0000-000026330000}"/>
    <cellStyle name="Normal 2 2 2 2 2 6 11" xfId="13138" xr:uid="{00000000-0005-0000-0000-000027330000}"/>
    <cellStyle name="Normal 2 2 2 2 2 6 12" xfId="13139" xr:uid="{00000000-0005-0000-0000-000028330000}"/>
    <cellStyle name="Normal 2 2 2 2 2 6 13" xfId="13140" xr:uid="{00000000-0005-0000-0000-000029330000}"/>
    <cellStyle name="Normal 2 2 2 2 2 6 14" xfId="13141" xr:uid="{00000000-0005-0000-0000-00002A330000}"/>
    <cellStyle name="Normal 2 2 2 2 2 6 2" xfId="13142" xr:uid="{00000000-0005-0000-0000-00002B330000}"/>
    <cellStyle name="Normal 2 2 2 2 2 6 2 10" xfId="13143" xr:uid="{00000000-0005-0000-0000-00002C330000}"/>
    <cellStyle name="Normal 2 2 2 2 2 6 2 2" xfId="13144" xr:uid="{00000000-0005-0000-0000-00002D330000}"/>
    <cellStyle name="Normal 2 2 2 2 2 6 2 3" xfId="13145" xr:uid="{00000000-0005-0000-0000-00002E330000}"/>
    <cellStyle name="Normal 2 2 2 2 2 6 2 4" xfId="13146" xr:uid="{00000000-0005-0000-0000-00002F330000}"/>
    <cellStyle name="Normal 2 2 2 2 2 6 2 5" xfId="13147" xr:uid="{00000000-0005-0000-0000-000030330000}"/>
    <cellStyle name="Normal 2 2 2 2 2 6 2 6" xfId="13148" xr:uid="{00000000-0005-0000-0000-000031330000}"/>
    <cellStyle name="Normal 2 2 2 2 2 6 2 7" xfId="13149" xr:uid="{00000000-0005-0000-0000-000032330000}"/>
    <cellStyle name="Normal 2 2 2 2 2 6 2 8" xfId="13150" xr:uid="{00000000-0005-0000-0000-000033330000}"/>
    <cellStyle name="Normal 2 2 2 2 2 6 2 9" xfId="13151" xr:uid="{00000000-0005-0000-0000-000034330000}"/>
    <cellStyle name="Normal 2 2 2 2 2 6 3" xfId="13152" xr:uid="{00000000-0005-0000-0000-000035330000}"/>
    <cellStyle name="Normal 2 2 2 2 2 6 3 10" xfId="13153" xr:uid="{00000000-0005-0000-0000-000036330000}"/>
    <cellStyle name="Normal 2 2 2 2 2 6 3 2" xfId="13154" xr:uid="{00000000-0005-0000-0000-000037330000}"/>
    <cellStyle name="Normal 2 2 2 2 2 6 3 3" xfId="13155" xr:uid="{00000000-0005-0000-0000-000038330000}"/>
    <cellStyle name="Normal 2 2 2 2 2 6 3 4" xfId="13156" xr:uid="{00000000-0005-0000-0000-000039330000}"/>
    <cellStyle name="Normal 2 2 2 2 2 6 3 5" xfId="13157" xr:uid="{00000000-0005-0000-0000-00003A330000}"/>
    <cellStyle name="Normal 2 2 2 2 2 6 3 6" xfId="13158" xr:uid="{00000000-0005-0000-0000-00003B330000}"/>
    <cellStyle name="Normal 2 2 2 2 2 6 3 7" xfId="13159" xr:uid="{00000000-0005-0000-0000-00003C330000}"/>
    <cellStyle name="Normal 2 2 2 2 2 6 3 8" xfId="13160" xr:uid="{00000000-0005-0000-0000-00003D330000}"/>
    <cellStyle name="Normal 2 2 2 2 2 6 3 9" xfId="13161" xr:uid="{00000000-0005-0000-0000-00003E330000}"/>
    <cellStyle name="Normal 2 2 2 2 2 6 4" xfId="13162" xr:uid="{00000000-0005-0000-0000-00003F330000}"/>
    <cellStyle name="Normal 2 2 2 2 2 6 4 10" xfId="13163" xr:uid="{00000000-0005-0000-0000-000040330000}"/>
    <cellStyle name="Normal 2 2 2 2 2 6 4 2" xfId="13164" xr:uid="{00000000-0005-0000-0000-000041330000}"/>
    <cellStyle name="Normal 2 2 2 2 2 6 4 3" xfId="13165" xr:uid="{00000000-0005-0000-0000-000042330000}"/>
    <cellStyle name="Normal 2 2 2 2 2 6 4 4" xfId="13166" xr:uid="{00000000-0005-0000-0000-000043330000}"/>
    <cellStyle name="Normal 2 2 2 2 2 6 4 5" xfId="13167" xr:uid="{00000000-0005-0000-0000-000044330000}"/>
    <cellStyle name="Normal 2 2 2 2 2 6 4 6" xfId="13168" xr:uid="{00000000-0005-0000-0000-000045330000}"/>
    <cellStyle name="Normal 2 2 2 2 2 6 4 7" xfId="13169" xr:uid="{00000000-0005-0000-0000-000046330000}"/>
    <cellStyle name="Normal 2 2 2 2 2 6 4 8" xfId="13170" xr:uid="{00000000-0005-0000-0000-000047330000}"/>
    <cellStyle name="Normal 2 2 2 2 2 6 4 9" xfId="13171" xr:uid="{00000000-0005-0000-0000-000048330000}"/>
    <cellStyle name="Normal 2 2 2 2 2 6 5" xfId="13172" xr:uid="{00000000-0005-0000-0000-000049330000}"/>
    <cellStyle name="Normal 2 2 2 2 2 6 5 10" xfId="13173" xr:uid="{00000000-0005-0000-0000-00004A330000}"/>
    <cellStyle name="Normal 2 2 2 2 2 6 5 2" xfId="13174" xr:uid="{00000000-0005-0000-0000-00004B330000}"/>
    <cellStyle name="Normal 2 2 2 2 2 6 5 3" xfId="13175" xr:uid="{00000000-0005-0000-0000-00004C330000}"/>
    <cellStyle name="Normal 2 2 2 2 2 6 5 4" xfId="13176" xr:uid="{00000000-0005-0000-0000-00004D330000}"/>
    <cellStyle name="Normal 2 2 2 2 2 6 5 5" xfId="13177" xr:uid="{00000000-0005-0000-0000-00004E330000}"/>
    <cellStyle name="Normal 2 2 2 2 2 6 5 6" xfId="13178" xr:uid="{00000000-0005-0000-0000-00004F330000}"/>
    <cellStyle name="Normal 2 2 2 2 2 6 5 7" xfId="13179" xr:uid="{00000000-0005-0000-0000-000050330000}"/>
    <cellStyle name="Normal 2 2 2 2 2 6 5 8" xfId="13180" xr:uid="{00000000-0005-0000-0000-000051330000}"/>
    <cellStyle name="Normal 2 2 2 2 2 6 5 9" xfId="13181" xr:uid="{00000000-0005-0000-0000-000052330000}"/>
    <cellStyle name="Normal 2 2 2 2 2 6 6" xfId="13182" xr:uid="{00000000-0005-0000-0000-000053330000}"/>
    <cellStyle name="Normal 2 2 2 2 2 6 7" xfId="13183" xr:uid="{00000000-0005-0000-0000-000054330000}"/>
    <cellStyle name="Normal 2 2 2 2 2 6 8" xfId="13184" xr:uid="{00000000-0005-0000-0000-000055330000}"/>
    <cellStyle name="Normal 2 2 2 2 2 6 9" xfId="13185" xr:uid="{00000000-0005-0000-0000-000056330000}"/>
    <cellStyle name="Normal 2 2 2 2 2 7" xfId="13186" xr:uid="{00000000-0005-0000-0000-000057330000}"/>
    <cellStyle name="Normal 2 2 2 2 2 7 10" xfId="13187" xr:uid="{00000000-0005-0000-0000-000058330000}"/>
    <cellStyle name="Normal 2 2 2 2 2 7 11" xfId="13188" xr:uid="{00000000-0005-0000-0000-000059330000}"/>
    <cellStyle name="Normal 2 2 2 2 2 7 12" xfId="13189" xr:uid="{00000000-0005-0000-0000-00005A330000}"/>
    <cellStyle name="Normal 2 2 2 2 2 7 13" xfId="13190" xr:uid="{00000000-0005-0000-0000-00005B330000}"/>
    <cellStyle name="Normal 2 2 2 2 2 7 14" xfId="13191" xr:uid="{00000000-0005-0000-0000-00005C330000}"/>
    <cellStyle name="Normal 2 2 2 2 2 7 2" xfId="13192" xr:uid="{00000000-0005-0000-0000-00005D330000}"/>
    <cellStyle name="Normal 2 2 2 2 2 7 2 10" xfId="13193" xr:uid="{00000000-0005-0000-0000-00005E330000}"/>
    <cellStyle name="Normal 2 2 2 2 2 7 2 2" xfId="13194" xr:uid="{00000000-0005-0000-0000-00005F330000}"/>
    <cellStyle name="Normal 2 2 2 2 2 7 2 3" xfId="13195" xr:uid="{00000000-0005-0000-0000-000060330000}"/>
    <cellStyle name="Normal 2 2 2 2 2 7 2 4" xfId="13196" xr:uid="{00000000-0005-0000-0000-000061330000}"/>
    <cellStyle name="Normal 2 2 2 2 2 7 2 5" xfId="13197" xr:uid="{00000000-0005-0000-0000-000062330000}"/>
    <cellStyle name="Normal 2 2 2 2 2 7 2 6" xfId="13198" xr:uid="{00000000-0005-0000-0000-000063330000}"/>
    <cellStyle name="Normal 2 2 2 2 2 7 2 7" xfId="13199" xr:uid="{00000000-0005-0000-0000-000064330000}"/>
    <cellStyle name="Normal 2 2 2 2 2 7 2 8" xfId="13200" xr:uid="{00000000-0005-0000-0000-000065330000}"/>
    <cellStyle name="Normal 2 2 2 2 2 7 2 9" xfId="13201" xr:uid="{00000000-0005-0000-0000-000066330000}"/>
    <cellStyle name="Normal 2 2 2 2 2 7 3" xfId="13202" xr:uid="{00000000-0005-0000-0000-000067330000}"/>
    <cellStyle name="Normal 2 2 2 2 2 7 3 10" xfId="13203" xr:uid="{00000000-0005-0000-0000-000068330000}"/>
    <cellStyle name="Normal 2 2 2 2 2 7 3 2" xfId="13204" xr:uid="{00000000-0005-0000-0000-000069330000}"/>
    <cellStyle name="Normal 2 2 2 2 2 7 3 3" xfId="13205" xr:uid="{00000000-0005-0000-0000-00006A330000}"/>
    <cellStyle name="Normal 2 2 2 2 2 7 3 4" xfId="13206" xr:uid="{00000000-0005-0000-0000-00006B330000}"/>
    <cellStyle name="Normal 2 2 2 2 2 7 3 5" xfId="13207" xr:uid="{00000000-0005-0000-0000-00006C330000}"/>
    <cellStyle name="Normal 2 2 2 2 2 7 3 6" xfId="13208" xr:uid="{00000000-0005-0000-0000-00006D330000}"/>
    <cellStyle name="Normal 2 2 2 2 2 7 3 7" xfId="13209" xr:uid="{00000000-0005-0000-0000-00006E330000}"/>
    <cellStyle name="Normal 2 2 2 2 2 7 3 8" xfId="13210" xr:uid="{00000000-0005-0000-0000-00006F330000}"/>
    <cellStyle name="Normal 2 2 2 2 2 7 3 9" xfId="13211" xr:uid="{00000000-0005-0000-0000-000070330000}"/>
    <cellStyle name="Normal 2 2 2 2 2 7 4" xfId="13212" xr:uid="{00000000-0005-0000-0000-000071330000}"/>
    <cellStyle name="Normal 2 2 2 2 2 7 4 10" xfId="13213" xr:uid="{00000000-0005-0000-0000-000072330000}"/>
    <cellStyle name="Normal 2 2 2 2 2 7 4 2" xfId="13214" xr:uid="{00000000-0005-0000-0000-000073330000}"/>
    <cellStyle name="Normal 2 2 2 2 2 7 4 3" xfId="13215" xr:uid="{00000000-0005-0000-0000-000074330000}"/>
    <cellStyle name="Normal 2 2 2 2 2 7 4 4" xfId="13216" xr:uid="{00000000-0005-0000-0000-000075330000}"/>
    <cellStyle name="Normal 2 2 2 2 2 7 4 5" xfId="13217" xr:uid="{00000000-0005-0000-0000-000076330000}"/>
    <cellStyle name="Normal 2 2 2 2 2 7 4 6" xfId="13218" xr:uid="{00000000-0005-0000-0000-000077330000}"/>
    <cellStyle name="Normal 2 2 2 2 2 7 4 7" xfId="13219" xr:uid="{00000000-0005-0000-0000-000078330000}"/>
    <cellStyle name="Normal 2 2 2 2 2 7 4 8" xfId="13220" xr:uid="{00000000-0005-0000-0000-000079330000}"/>
    <cellStyle name="Normal 2 2 2 2 2 7 4 9" xfId="13221" xr:uid="{00000000-0005-0000-0000-00007A330000}"/>
    <cellStyle name="Normal 2 2 2 2 2 7 5" xfId="13222" xr:uid="{00000000-0005-0000-0000-00007B330000}"/>
    <cellStyle name="Normal 2 2 2 2 2 7 5 10" xfId="13223" xr:uid="{00000000-0005-0000-0000-00007C330000}"/>
    <cellStyle name="Normal 2 2 2 2 2 7 5 2" xfId="13224" xr:uid="{00000000-0005-0000-0000-00007D330000}"/>
    <cellStyle name="Normal 2 2 2 2 2 7 5 3" xfId="13225" xr:uid="{00000000-0005-0000-0000-00007E330000}"/>
    <cellStyle name="Normal 2 2 2 2 2 7 5 4" xfId="13226" xr:uid="{00000000-0005-0000-0000-00007F330000}"/>
    <cellStyle name="Normal 2 2 2 2 2 7 5 5" xfId="13227" xr:uid="{00000000-0005-0000-0000-000080330000}"/>
    <cellStyle name="Normal 2 2 2 2 2 7 5 6" xfId="13228" xr:uid="{00000000-0005-0000-0000-000081330000}"/>
    <cellStyle name="Normal 2 2 2 2 2 7 5 7" xfId="13229" xr:uid="{00000000-0005-0000-0000-000082330000}"/>
    <cellStyle name="Normal 2 2 2 2 2 7 5 8" xfId="13230" xr:uid="{00000000-0005-0000-0000-000083330000}"/>
    <cellStyle name="Normal 2 2 2 2 2 7 5 9" xfId="13231" xr:uid="{00000000-0005-0000-0000-000084330000}"/>
    <cellStyle name="Normal 2 2 2 2 2 7 6" xfId="13232" xr:uid="{00000000-0005-0000-0000-000085330000}"/>
    <cellStyle name="Normal 2 2 2 2 2 7 7" xfId="13233" xr:uid="{00000000-0005-0000-0000-000086330000}"/>
    <cellStyle name="Normal 2 2 2 2 2 7 8" xfId="13234" xr:uid="{00000000-0005-0000-0000-000087330000}"/>
    <cellStyle name="Normal 2 2 2 2 2 7 9" xfId="13235" xr:uid="{00000000-0005-0000-0000-000088330000}"/>
    <cellStyle name="Normal 2 2 2 2 2 8" xfId="13236" xr:uid="{00000000-0005-0000-0000-000089330000}"/>
    <cellStyle name="Normal 2 2 2 2 2 8 10" xfId="13237" xr:uid="{00000000-0005-0000-0000-00008A330000}"/>
    <cellStyle name="Normal 2 2 2 2 2 8 11" xfId="13238" xr:uid="{00000000-0005-0000-0000-00008B330000}"/>
    <cellStyle name="Normal 2 2 2 2 2 8 12" xfId="13239" xr:uid="{00000000-0005-0000-0000-00008C330000}"/>
    <cellStyle name="Normal 2 2 2 2 2 8 13" xfId="13240" xr:uid="{00000000-0005-0000-0000-00008D330000}"/>
    <cellStyle name="Normal 2 2 2 2 2 8 14" xfId="13241" xr:uid="{00000000-0005-0000-0000-00008E330000}"/>
    <cellStyle name="Normal 2 2 2 2 2 8 2" xfId="13242" xr:uid="{00000000-0005-0000-0000-00008F330000}"/>
    <cellStyle name="Normal 2 2 2 2 2 8 2 10" xfId="13243" xr:uid="{00000000-0005-0000-0000-000090330000}"/>
    <cellStyle name="Normal 2 2 2 2 2 8 2 2" xfId="13244" xr:uid="{00000000-0005-0000-0000-000091330000}"/>
    <cellStyle name="Normal 2 2 2 2 2 8 2 3" xfId="13245" xr:uid="{00000000-0005-0000-0000-000092330000}"/>
    <cellStyle name="Normal 2 2 2 2 2 8 2 4" xfId="13246" xr:uid="{00000000-0005-0000-0000-000093330000}"/>
    <cellStyle name="Normal 2 2 2 2 2 8 2 5" xfId="13247" xr:uid="{00000000-0005-0000-0000-000094330000}"/>
    <cellStyle name="Normal 2 2 2 2 2 8 2 6" xfId="13248" xr:uid="{00000000-0005-0000-0000-000095330000}"/>
    <cellStyle name="Normal 2 2 2 2 2 8 2 7" xfId="13249" xr:uid="{00000000-0005-0000-0000-000096330000}"/>
    <cellStyle name="Normal 2 2 2 2 2 8 2 8" xfId="13250" xr:uid="{00000000-0005-0000-0000-000097330000}"/>
    <cellStyle name="Normal 2 2 2 2 2 8 2 9" xfId="13251" xr:uid="{00000000-0005-0000-0000-000098330000}"/>
    <cellStyle name="Normal 2 2 2 2 2 8 3" xfId="13252" xr:uid="{00000000-0005-0000-0000-000099330000}"/>
    <cellStyle name="Normal 2 2 2 2 2 8 3 10" xfId="13253" xr:uid="{00000000-0005-0000-0000-00009A330000}"/>
    <cellStyle name="Normal 2 2 2 2 2 8 3 2" xfId="13254" xr:uid="{00000000-0005-0000-0000-00009B330000}"/>
    <cellStyle name="Normal 2 2 2 2 2 8 3 3" xfId="13255" xr:uid="{00000000-0005-0000-0000-00009C330000}"/>
    <cellStyle name="Normal 2 2 2 2 2 8 3 4" xfId="13256" xr:uid="{00000000-0005-0000-0000-00009D330000}"/>
    <cellStyle name="Normal 2 2 2 2 2 8 3 5" xfId="13257" xr:uid="{00000000-0005-0000-0000-00009E330000}"/>
    <cellStyle name="Normal 2 2 2 2 2 8 3 6" xfId="13258" xr:uid="{00000000-0005-0000-0000-00009F330000}"/>
    <cellStyle name="Normal 2 2 2 2 2 8 3 7" xfId="13259" xr:uid="{00000000-0005-0000-0000-0000A0330000}"/>
    <cellStyle name="Normal 2 2 2 2 2 8 3 8" xfId="13260" xr:uid="{00000000-0005-0000-0000-0000A1330000}"/>
    <cellStyle name="Normal 2 2 2 2 2 8 3 9" xfId="13261" xr:uid="{00000000-0005-0000-0000-0000A2330000}"/>
    <cellStyle name="Normal 2 2 2 2 2 8 4" xfId="13262" xr:uid="{00000000-0005-0000-0000-0000A3330000}"/>
    <cellStyle name="Normal 2 2 2 2 2 8 4 10" xfId="13263" xr:uid="{00000000-0005-0000-0000-0000A4330000}"/>
    <cellStyle name="Normal 2 2 2 2 2 8 4 2" xfId="13264" xr:uid="{00000000-0005-0000-0000-0000A5330000}"/>
    <cellStyle name="Normal 2 2 2 2 2 8 4 3" xfId="13265" xr:uid="{00000000-0005-0000-0000-0000A6330000}"/>
    <cellStyle name="Normal 2 2 2 2 2 8 4 4" xfId="13266" xr:uid="{00000000-0005-0000-0000-0000A7330000}"/>
    <cellStyle name="Normal 2 2 2 2 2 8 4 5" xfId="13267" xr:uid="{00000000-0005-0000-0000-0000A8330000}"/>
    <cellStyle name="Normal 2 2 2 2 2 8 4 6" xfId="13268" xr:uid="{00000000-0005-0000-0000-0000A9330000}"/>
    <cellStyle name="Normal 2 2 2 2 2 8 4 7" xfId="13269" xr:uid="{00000000-0005-0000-0000-0000AA330000}"/>
    <cellStyle name="Normal 2 2 2 2 2 8 4 8" xfId="13270" xr:uid="{00000000-0005-0000-0000-0000AB330000}"/>
    <cellStyle name="Normal 2 2 2 2 2 8 4 9" xfId="13271" xr:uid="{00000000-0005-0000-0000-0000AC330000}"/>
    <cellStyle name="Normal 2 2 2 2 2 8 5" xfId="13272" xr:uid="{00000000-0005-0000-0000-0000AD330000}"/>
    <cellStyle name="Normal 2 2 2 2 2 8 5 10" xfId="13273" xr:uid="{00000000-0005-0000-0000-0000AE330000}"/>
    <cellStyle name="Normal 2 2 2 2 2 8 5 2" xfId="13274" xr:uid="{00000000-0005-0000-0000-0000AF330000}"/>
    <cellStyle name="Normal 2 2 2 2 2 8 5 3" xfId="13275" xr:uid="{00000000-0005-0000-0000-0000B0330000}"/>
    <cellStyle name="Normal 2 2 2 2 2 8 5 4" xfId="13276" xr:uid="{00000000-0005-0000-0000-0000B1330000}"/>
    <cellStyle name="Normal 2 2 2 2 2 8 5 5" xfId="13277" xr:uid="{00000000-0005-0000-0000-0000B2330000}"/>
    <cellStyle name="Normal 2 2 2 2 2 8 5 6" xfId="13278" xr:uid="{00000000-0005-0000-0000-0000B3330000}"/>
    <cellStyle name="Normal 2 2 2 2 2 8 5 7" xfId="13279" xr:uid="{00000000-0005-0000-0000-0000B4330000}"/>
    <cellStyle name="Normal 2 2 2 2 2 8 5 8" xfId="13280" xr:uid="{00000000-0005-0000-0000-0000B5330000}"/>
    <cellStyle name="Normal 2 2 2 2 2 8 5 9" xfId="13281" xr:uid="{00000000-0005-0000-0000-0000B6330000}"/>
    <cellStyle name="Normal 2 2 2 2 2 8 6" xfId="13282" xr:uid="{00000000-0005-0000-0000-0000B7330000}"/>
    <cellStyle name="Normal 2 2 2 2 2 8 7" xfId="13283" xr:uid="{00000000-0005-0000-0000-0000B8330000}"/>
    <cellStyle name="Normal 2 2 2 2 2 8 8" xfId="13284" xr:uid="{00000000-0005-0000-0000-0000B9330000}"/>
    <cellStyle name="Normal 2 2 2 2 2 8 9" xfId="13285" xr:uid="{00000000-0005-0000-0000-0000BA330000}"/>
    <cellStyle name="Normal 2 2 2 2 2 9" xfId="13286" xr:uid="{00000000-0005-0000-0000-0000BB330000}"/>
    <cellStyle name="Normal 2 2 2 2 2 9 10" xfId="13287" xr:uid="{00000000-0005-0000-0000-0000BC330000}"/>
    <cellStyle name="Normal 2 2 2 2 2 9 11" xfId="13288" xr:uid="{00000000-0005-0000-0000-0000BD330000}"/>
    <cellStyle name="Normal 2 2 2 2 2 9 12" xfId="13289" xr:uid="{00000000-0005-0000-0000-0000BE330000}"/>
    <cellStyle name="Normal 2 2 2 2 2 9 13" xfId="13290" xr:uid="{00000000-0005-0000-0000-0000BF330000}"/>
    <cellStyle name="Normal 2 2 2 2 2 9 14" xfId="13291" xr:uid="{00000000-0005-0000-0000-0000C0330000}"/>
    <cellStyle name="Normal 2 2 2 2 2 9 2" xfId="13292" xr:uid="{00000000-0005-0000-0000-0000C1330000}"/>
    <cellStyle name="Normal 2 2 2 2 2 9 2 10" xfId="13293" xr:uid="{00000000-0005-0000-0000-0000C2330000}"/>
    <cellStyle name="Normal 2 2 2 2 2 9 2 2" xfId="13294" xr:uid="{00000000-0005-0000-0000-0000C3330000}"/>
    <cellStyle name="Normal 2 2 2 2 2 9 2 3" xfId="13295" xr:uid="{00000000-0005-0000-0000-0000C4330000}"/>
    <cellStyle name="Normal 2 2 2 2 2 9 2 4" xfId="13296" xr:uid="{00000000-0005-0000-0000-0000C5330000}"/>
    <cellStyle name="Normal 2 2 2 2 2 9 2 5" xfId="13297" xr:uid="{00000000-0005-0000-0000-0000C6330000}"/>
    <cellStyle name="Normal 2 2 2 2 2 9 2 6" xfId="13298" xr:uid="{00000000-0005-0000-0000-0000C7330000}"/>
    <cellStyle name="Normal 2 2 2 2 2 9 2 7" xfId="13299" xr:uid="{00000000-0005-0000-0000-0000C8330000}"/>
    <cellStyle name="Normal 2 2 2 2 2 9 2 8" xfId="13300" xr:uid="{00000000-0005-0000-0000-0000C9330000}"/>
    <cellStyle name="Normal 2 2 2 2 2 9 2 9" xfId="13301" xr:uid="{00000000-0005-0000-0000-0000CA330000}"/>
    <cellStyle name="Normal 2 2 2 2 2 9 3" xfId="13302" xr:uid="{00000000-0005-0000-0000-0000CB330000}"/>
    <cellStyle name="Normal 2 2 2 2 2 9 3 10" xfId="13303" xr:uid="{00000000-0005-0000-0000-0000CC330000}"/>
    <cellStyle name="Normal 2 2 2 2 2 9 3 2" xfId="13304" xr:uid="{00000000-0005-0000-0000-0000CD330000}"/>
    <cellStyle name="Normal 2 2 2 2 2 9 3 3" xfId="13305" xr:uid="{00000000-0005-0000-0000-0000CE330000}"/>
    <cellStyle name="Normal 2 2 2 2 2 9 3 4" xfId="13306" xr:uid="{00000000-0005-0000-0000-0000CF330000}"/>
    <cellStyle name="Normal 2 2 2 2 2 9 3 5" xfId="13307" xr:uid="{00000000-0005-0000-0000-0000D0330000}"/>
    <cellStyle name="Normal 2 2 2 2 2 9 3 6" xfId="13308" xr:uid="{00000000-0005-0000-0000-0000D1330000}"/>
    <cellStyle name="Normal 2 2 2 2 2 9 3 7" xfId="13309" xr:uid="{00000000-0005-0000-0000-0000D2330000}"/>
    <cellStyle name="Normal 2 2 2 2 2 9 3 8" xfId="13310" xr:uid="{00000000-0005-0000-0000-0000D3330000}"/>
    <cellStyle name="Normal 2 2 2 2 2 9 3 9" xfId="13311" xr:uid="{00000000-0005-0000-0000-0000D4330000}"/>
    <cellStyle name="Normal 2 2 2 2 2 9 4" xfId="13312" xr:uid="{00000000-0005-0000-0000-0000D5330000}"/>
    <cellStyle name="Normal 2 2 2 2 2 9 4 10" xfId="13313" xr:uid="{00000000-0005-0000-0000-0000D6330000}"/>
    <cellStyle name="Normal 2 2 2 2 2 9 4 2" xfId="13314" xr:uid="{00000000-0005-0000-0000-0000D7330000}"/>
    <cellStyle name="Normal 2 2 2 2 2 9 4 3" xfId="13315" xr:uid="{00000000-0005-0000-0000-0000D8330000}"/>
    <cellStyle name="Normal 2 2 2 2 2 9 4 4" xfId="13316" xr:uid="{00000000-0005-0000-0000-0000D9330000}"/>
    <cellStyle name="Normal 2 2 2 2 2 9 4 5" xfId="13317" xr:uid="{00000000-0005-0000-0000-0000DA330000}"/>
    <cellStyle name="Normal 2 2 2 2 2 9 4 6" xfId="13318" xr:uid="{00000000-0005-0000-0000-0000DB330000}"/>
    <cellStyle name="Normal 2 2 2 2 2 9 4 7" xfId="13319" xr:uid="{00000000-0005-0000-0000-0000DC330000}"/>
    <cellStyle name="Normal 2 2 2 2 2 9 4 8" xfId="13320" xr:uid="{00000000-0005-0000-0000-0000DD330000}"/>
    <cellStyle name="Normal 2 2 2 2 2 9 4 9" xfId="13321" xr:uid="{00000000-0005-0000-0000-0000DE330000}"/>
    <cellStyle name="Normal 2 2 2 2 2 9 5" xfId="13322" xr:uid="{00000000-0005-0000-0000-0000DF330000}"/>
    <cellStyle name="Normal 2 2 2 2 2 9 5 10" xfId="13323" xr:uid="{00000000-0005-0000-0000-0000E0330000}"/>
    <cellStyle name="Normal 2 2 2 2 2 9 5 2" xfId="13324" xr:uid="{00000000-0005-0000-0000-0000E1330000}"/>
    <cellStyle name="Normal 2 2 2 2 2 9 5 3" xfId="13325" xr:uid="{00000000-0005-0000-0000-0000E2330000}"/>
    <cellStyle name="Normal 2 2 2 2 2 9 5 4" xfId="13326" xr:uid="{00000000-0005-0000-0000-0000E3330000}"/>
    <cellStyle name="Normal 2 2 2 2 2 9 5 5" xfId="13327" xr:uid="{00000000-0005-0000-0000-0000E4330000}"/>
    <cellStyle name="Normal 2 2 2 2 2 9 5 6" xfId="13328" xr:uid="{00000000-0005-0000-0000-0000E5330000}"/>
    <cellStyle name="Normal 2 2 2 2 2 9 5 7" xfId="13329" xr:uid="{00000000-0005-0000-0000-0000E6330000}"/>
    <cellStyle name="Normal 2 2 2 2 2 9 5 8" xfId="13330" xr:uid="{00000000-0005-0000-0000-0000E7330000}"/>
    <cellStyle name="Normal 2 2 2 2 2 9 5 9" xfId="13331" xr:uid="{00000000-0005-0000-0000-0000E8330000}"/>
    <cellStyle name="Normal 2 2 2 2 2 9 6" xfId="13332" xr:uid="{00000000-0005-0000-0000-0000E9330000}"/>
    <cellStyle name="Normal 2 2 2 2 2 9 7" xfId="13333" xr:uid="{00000000-0005-0000-0000-0000EA330000}"/>
    <cellStyle name="Normal 2 2 2 2 2 9 8" xfId="13334" xr:uid="{00000000-0005-0000-0000-0000EB330000}"/>
    <cellStyle name="Normal 2 2 2 2 2 9 9" xfId="13335" xr:uid="{00000000-0005-0000-0000-0000EC330000}"/>
    <cellStyle name="Normal 2 2 2 2 20" xfId="13336" xr:uid="{00000000-0005-0000-0000-0000ED330000}"/>
    <cellStyle name="Normal 2 2 2 2 21" xfId="13337" xr:uid="{00000000-0005-0000-0000-0000EE330000}"/>
    <cellStyle name="Normal 2 2 2 2 22" xfId="13338" xr:uid="{00000000-0005-0000-0000-0000EF330000}"/>
    <cellStyle name="Normal 2 2 2 2 23" xfId="13339" xr:uid="{00000000-0005-0000-0000-0000F0330000}"/>
    <cellStyle name="Normal 2 2 2 2 24" xfId="13340" xr:uid="{00000000-0005-0000-0000-0000F1330000}"/>
    <cellStyle name="Normal 2 2 2 2 25" xfId="13341" xr:uid="{00000000-0005-0000-0000-0000F2330000}"/>
    <cellStyle name="Normal 2 2 2 2 26" xfId="13342" xr:uid="{00000000-0005-0000-0000-0000F3330000}"/>
    <cellStyle name="Normal 2 2 2 2 27" xfId="13343" xr:uid="{00000000-0005-0000-0000-0000F4330000}"/>
    <cellStyle name="Normal 2 2 2 2 28" xfId="13344" xr:uid="{00000000-0005-0000-0000-0000F5330000}"/>
    <cellStyle name="Normal 2 2 2 2 29" xfId="13345" xr:uid="{00000000-0005-0000-0000-0000F6330000}"/>
    <cellStyle name="Normal 2 2 2 2 3" xfId="52" xr:uid="{00000000-0005-0000-0000-0000F7330000}"/>
    <cellStyle name="Normal 2 2 2 2 3 2" xfId="13347" xr:uid="{00000000-0005-0000-0000-0000F8330000}"/>
    <cellStyle name="Normal 2 2 2 2 3 2 2" xfId="13348" xr:uid="{00000000-0005-0000-0000-0000F9330000}"/>
    <cellStyle name="Normal 2 2 2 2 3 3" xfId="13349" xr:uid="{00000000-0005-0000-0000-0000FA330000}"/>
    <cellStyle name="Normal 2 2 2 2 3 4" xfId="13350" xr:uid="{00000000-0005-0000-0000-0000FB330000}"/>
    <cellStyle name="Normal 2 2 2 2 3 5" xfId="13351" xr:uid="{00000000-0005-0000-0000-0000FC330000}"/>
    <cellStyle name="Normal 2 2 2 2 3 6" xfId="13346" xr:uid="{00000000-0005-0000-0000-0000FD330000}"/>
    <cellStyle name="Normal 2 2 2 2 30" xfId="13352" xr:uid="{00000000-0005-0000-0000-0000FE330000}"/>
    <cellStyle name="Normal 2 2 2 2 31" xfId="13353" xr:uid="{00000000-0005-0000-0000-0000FF330000}"/>
    <cellStyle name="Normal 2 2 2 2 32" xfId="13354" xr:uid="{00000000-0005-0000-0000-000000340000}"/>
    <cellStyle name="Normal 2 2 2 2 33" xfId="13355" xr:uid="{00000000-0005-0000-0000-000001340000}"/>
    <cellStyle name="Normal 2 2 2 2 34" xfId="13356" xr:uid="{00000000-0005-0000-0000-000002340000}"/>
    <cellStyle name="Normal 2 2 2 2 35" xfId="13357" xr:uid="{00000000-0005-0000-0000-000003340000}"/>
    <cellStyle name="Normal 2 2 2 2 36" xfId="13358" xr:uid="{00000000-0005-0000-0000-000004340000}"/>
    <cellStyle name="Normal 2 2 2 2 37" xfId="13359" xr:uid="{00000000-0005-0000-0000-000005340000}"/>
    <cellStyle name="Normal 2 2 2 2 38" xfId="13360" xr:uid="{00000000-0005-0000-0000-000006340000}"/>
    <cellStyle name="Normal 2 2 2 2 39" xfId="13361" xr:uid="{00000000-0005-0000-0000-000007340000}"/>
    <cellStyle name="Normal 2 2 2 2 4" xfId="13362" xr:uid="{00000000-0005-0000-0000-000008340000}"/>
    <cellStyle name="Normal 2 2 2 2 4 10" xfId="13363" xr:uid="{00000000-0005-0000-0000-000009340000}"/>
    <cellStyle name="Normal 2 2 2 2 4 10 10" xfId="13364" xr:uid="{00000000-0005-0000-0000-00000A340000}"/>
    <cellStyle name="Normal 2 2 2 2 4 10 11" xfId="13365" xr:uid="{00000000-0005-0000-0000-00000B340000}"/>
    <cellStyle name="Normal 2 2 2 2 4 10 12" xfId="13366" xr:uid="{00000000-0005-0000-0000-00000C340000}"/>
    <cellStyle name="Normal 2 2 2 2 4 10 13" xfId="13367" xr:uid="{00000000-0005-0000-0000-00000D340000}"/>
    <cellStyle name="Normal 2 2 2 2 4 10 14" xfId="13368" xr:uid="{00000000-0005-0000-0000-00000E340000}"/>
    <cellStyle name="Normal 2 2 2 2 4 10 2" xfId="13369" xr:uid="{00000000-0005-0000-0000-00000F340000}"/>
    <cellStyle name="Normal 2 2 2 2 4 10 2 10" xfId="13370" xr:uid="{00000000-0005-0000-0000-000010340000}"/>
    <cellStyle name="Normal 2 2 2 2 4 10 2 2" xfId="13371" xr:uid="{00000000-0005-0000-0000-000011340000}"/>
    <cellStyle name="Normal 2 2 2 2 4 10 2 3" xfId="13372" xr:uid="{00000000-0005-0000-0000-000012340000}"/>
    <cellStyle name="Normal 2 2 2 2 4 10 2 4" xfId="13373" xr:uid="{00000000-0005-0000-0000-000013340000}"/>
    <cellStyle name="Normal 2 2 2 2 4 10 2 5" xfId="13374" xr:uid="{00000000-0005-0000-0000-000014340000}"/>
    <cellStyle name="Normal 2 2 2 2 4 10 2 6" xfId="13375" xr:uid="{00000000-0005-0000-0000-000015340000}"/>
    <cellStyle name="Normal 2 2 2 2 4 10 2 7" xfId="13376" xr:uid="{00000000-0005-0000-0000-000016340000}"/>
    <cellStyle name="Normal 2 2 2 2 4 10 2 8" xfId="13377" xr:uid="{00000000-0005-0000-0000-000017340000}"/>
    <cellStyle name="Normal 2 2 2 2 4 10 2 9" xfId="13378" xr:uid="{00000000-0005-0000-0000-000018340000}"/>
    <cellStyle name="Normal 2 2 2 2 4 10 3" xfId="13379" xr:uid="{00000000-0005-0000-0000-000019340000}"/>
    <cellStyle name="Normal 2 2 2 2 4 10 3 10" xfId="13380" xr:uid="{00000000-0005-0000-0000-00001A340000}"/>
    <cellStyle name="Normal 2 2 2 2 4 10 3 2" xfId="13381" xr:uid="{00000000-0005-0000-0000-00001B340000}"/>
    <cellStyle name="Normal 2 2 2 2 4 10 3 3" xfId="13382" xr:uid="{00000000-0005-0000-0000-00001C340000}"/>
    <cellStyle name="Normal 2 2 2 2 4 10 3 4" xfId="13383" xr:uid="{00000000-0005-0000-0000-00001D340000}"/>
    <cellStyle name="Normal 2 2 2 2 4 10 3 5" xfId="13384" xr:uid="{00000000-0005-0000-0000-00001E340000}"/>
    <cellStyle name="Normal 2 2 2 2 4 10 3 6" xfId="13385" xr:uid="{00000000-0005-0000-0000-00001F340000}"/>
    <cellStyle name="Normal 2 2 2 2 4 10 3 7" xfId="13386" xr:uid="{00000000-0005-0000-0000-000020340000}"/>
    <cellStyle name="Normal 2 2 2 2 4 10 3 8" xfId="13387" xr:uid="{00000000-0005-0000-0000-000021340000}"/>
    <cellStyle name="Normal 2 2 2 2 4 10 3 9" xfId="13388" xr:uid="{00000000-0005-0000-0000-000022340000}"/>
    <cellStyle name="Normal 2 2 2 2 4 10 4" xfId="13389" xr:uid="{00000000-0005-0000-0000-000023340000}"/>
    <cellStyle name="Normal 2 2 2 2 4 10 4 10" xfId="13390" xr:uid="{00000000-0005-0000-0000-000024340000}"/>
    <cellStyle name="Normal 2 2 2 2 4 10 4 2" xfId="13391" xr:uid="{00000000-0005-0000-0000-000025340000}"/>
    <cellStyle name="Normal 2 2 2 2 4 10 4 3" xfId="13392" xr:uid="{00000000-0005-0000-0000-000026340000}"/>
    <cellStyle name="Normal 2 2 2 2 4 10 4 4" xfId="13393" xr:uid="{00000000-0005-0000-0000-000027340000}"/>
    <cellStyle name="Normal 2 2 2 2 4 10 4 5" xfId="13394" xr:uid="{00000000-0005-0000-0000-000028340000}"/>
    <cellStyle name="Normal 2 2 2 2 4 10 4 6" xfId="13395" xr:uid="{00000000-0005-0000-0000-000029340000}"/>
    <cellStyle name="Normal 2 2 2 2 4 10 4 7" xfId="13396" xr:uid="{00000000-0005-0000-0000-00002A340000}"/>
    <cellStyle name="Normal 2 2 2 2 4 10 4 8" xfId="13397" xr:uid="{00000000-0005-0000-0000-00002B340000}"/>
    <cellStyle name="Normal 2 2 2 2 4 10 4 9" xfId="13398" xr:uid="{00000000-0005-0000-0000-00002C340000}"/>
    <cellStyle name="Normal 2 2 2 2 4 10 5" xfId="13399" xr:uid="{00000000-0005-0000-0000-00002D340000}"/>
    <cellStyle name="Normal 2 2 2 2 4 10 5 10" xfId="13400" xr:uid="{00000000-0005-0000-0000-00002E340000}"/>
    <cellStyle name="Normal 2 2 2 2 4 10 5 2" xfId="13401" xr:uid="{00000000-0005-0000-0000-00002F340000}"/>
    <cellStyle name="Normal 2 2 2 2 4 10 5 3" xfId="13402" xr:uid="{00000000-0005-0000-0000-000030340000}"/>
    <cellStyle name="Normal 2 2 2 2 4 10 5 4" xfId="13403" xr:uid="{00000000-0005-0000-0000-000031340000}"/>
    <cellStyle name="Normal 2 2 2 2 4 10 5 5" xfId="13404" xr:uid="{00000000-0005-0000-0000-000032340000}"/>
    <cellStyle name="Normal 2 2 2 2 4 10 5 6" xfId="13405" xr:uid="{00000000-0005-0000-0000-000033340000}"/>
    <cellStyle name="Normal 2 2 2 2 4 10 5 7" xfId="13406" xr:uid="{00000000-0005-0000-0000-000034340000}"/>
    <cellStyle name="Normal 2 2 2 2 4 10 5 8" xfId="13407" xr:uid="{00000000-0005-0000-0000-000035340000}"/>
    <cellStyle name="Normal 2 2 2 2 4 10 5 9" xfId="13408" xr:uid="{00000000-0005-0000-0000-000036340000}"/>
    <cellStyle name="Normal 2 2 2 2 4 10 6" xfId="13409" xr:uid="{00000000-0005-0000-0000-000037340000}"/>
    <cellStyle name="Normal 2 2 2 2 4 10 7" xfId="13410" xr:uid="{00000000-0005-0000-0000-000038340000}"/>
    <cellStyle name="Normal 2 2 2 2 4 10 8" xfId="13411" xr:uid="{00000000-0005-0000-0000-000039340000}"/>
    <cellStyle name="Normal 2 2 2 2 4 10 9" xfId="13412" xr:uid="{00000000-0005-0000-0000-00003A340000}"/>
    <cellStyle name="Normal 2 2 2 2 4 11" xfId="13413" xr:uid="{00000000-0005-0000-0000-00003B340000}"/>
    <cellStyle name="Normal 2 2 2 2 4 11 10" xfId="13414" xr:uid="{00000000-0005-0000-0000-00003C340000}"/>
    <cellStyle name="Normal 2 2 2 2 4 11 11" xfId="13415" xr:uid="{00000000-0005-0000-0000-00003D340000}"/>
    <cellStyle name="Normal 2 2 2 2 4 11 12" xfId="13416" xr:uid="{00000000-0005-0000-0000-00003E340000}"/>
    <cellStyle name="Normal 2 2 2 2 4 11 13" xfId="13417" xr:uid="{00000000-0005-0000-0000-00003F340000}"/>
    <cellStyle name="Normal 2 2 2 2 4 11 14" xfId="13418" xr:uid="{00000000-0005-0000-0000-000040340000}"/>
    <cellStyle name="Normal 2 2 2 2 4 11 2" xfId="13419" xr:uid="{00000000-0005-0000-0000-000041340000}"/>
    <cellStyle name="Normal 2 2 2 2 4 11 2 10" xfId="13420" xr:uid="{00000000-0005-0000-0000-000042340000}"/>
    <cellStyle name="Normal 2 2 2 2 4 11 2 2" xfId="13421" xr:uid="{00000000-0005-0000-0000-000043340000}"/>
    <cellStyle name="Normal 2 2 2 2 4 11 2 3" xfId="13422" xr:uid="{00000000-0005-0000-0000-000044340000}"/>
    <cellStyle name="Normal 2 2 2 2 4 11 2 4" xfId="13423" xr:uid="{00000000-0005-0000-0000-000045340000}"/>
    <cellStyle name="Normal 2 2 2 2 4 11 2 5" xfId="13424" xr:uid="{00000000-0005-0000-0000-000046340000}"/>
    <cellStyle name="Normal 2 2 2 2 4 11 2 6" xfId="13425" xr:uid="{00000000-0005-0000-0000-000047340000}"/>
    <cellStyle name="Normal 2 2 2 2 4 11 2 7" xfId="13426" xr:uid="{00000000-0005-0000-0000-000048340000}"/>
    <cellStyle name="Normal 2 2 2 2 4 11 2 8" xfId="13427" xr:uid="{00000000-0005-0000-0000-000049340000}"/>
    <cellStyle name="Normal 2 2 2 2 4 11 2 9" xfId="13428" xr:uid="{00000000-0005-0000-0000-00004A340000}"/>
    <cellStyle name="Normal 2 2 2 2 4 11 3" xfId="13429" xr:uid="{00000000-0005-0000-0000-00004B340000}"/>
    <cellStyle name="Normal 2 2 2 2 4 11 3 10" xfId="13430" xr:uid="{00000000-0005-0000-0000-00004C340000}"/>
    <cellStyle name="Normal 2 2 2 2 4 11 3 2" xfId="13431" xr:uid="{00000000-0005-0000-0000-00004D340000}"/>
    <cellStyle name="Normal 2 2 2 2 4 11 3 3" xfId="13432" xr:uid="{00000000-0005-0000-0000-00004E340000}"/>
    <cellStyle name="Normal 2 2 2 2 4 11 3 4" xfId="13433" xr:uid="{00000000-0005-0000-0000-00004F340000}"/>
    <cellStyle name="Normal 2 2 2 2 4 11 3 5" xfId="13434" xr:uid="{00000000-0005-0000-0000-000050340000}"/>
    <cellStyle name="Normal 2 2 2 2 4 11 3 6" xfId="13435" xr:uid="{00000000-0005-0000-0000-000051340000}"/>
    <cellStyle name="Normal 2 2 2 2 4 11 3 7" xfId="13436" xr:uid="{00000000-0005-0000-0000-000052340000}"/>
    <cellStyle name="Normal 2 2 2 2 4 11 3 8" xfId="13437" xr:uid="{00000000-0005-0000-0000-000053340000}"/>
    <cellStyle name="Normal 2 2 2 2 4 11 3 9" xfId="13438" xr:uid="{00000000-0005-0000-0000-000054340000}"/>
    <cellStyle name="Normal 2 2 2 2 4 11 4" xfId="13439" xr:uid="{00000000-0005-0000-0000-000055340000}"/>
    <cellStyle name="Normal 2 2 2 2 4 11 4 10" xfId="13440" xr:uid="{00000000-0005-0000-0000-000056340000}"/>
    <cellStyle name="Normal 2 2 2 2 4 11 4 2" xfId="13441" xr:uid="{00000000-0005-0000-0000-000057340000}"/>
    <cellStyle name="Normal 2 2 2 2 4 11 4 3" xfId="13442" xr:uid="{00000000-0005-0000-0000-000058340000}"/>
    <cellStyle name="Normal 2 2 2 2 4 11 4 4" xfId="13443" xr:uid="{00000000-0005-0000-0000-000059340000}"/>
    <cellStyle name="Normal 2 2 2 2 4 11 4 5" xfId="13444" xr:uid="{00000000-0005-0000-0000-00005A340000}"/>
    <cellStyle name="Normal 2 2 2 2 4 11 4 6" xfId="13445" xr:uid="{00000000-0005-0000-0000-00005B340000}"/>
    <cellStyle name="Normal 2 2 2 2 4 11 4 7" xfId="13446" xr:uid="{00000000-0005-0000-0000-00005C340000}"/>
    <cellStyle name="Normal 2 2 2 2 4 11 4 8" xfId="13447" xr:uid="{00000000-0005-0000-0000-00005D340000}"/>
    <cellStyle name="Normal 2 2 2 2 4 11 4 9" xfId="13448" xr:uid="{00000000-0005-0000-0000-00005E340000}"/>
    <cellStyle name="Normal 2 2 2 2 4 11 5" xfId="13449" xr:uid="{00000000-0005-0000-0000-00005F340000}"/>
    <cellStyle name="Normal 2 2 2 2 4 11 5 10" xfId="13450" xr:uid="{00000000-0005-0000-0000-000060340000}"/>
    <cellStyle name="Normal 2 2 2 2 4 11 5 2" xfId="13451" xr:uid="{00000000-0005-0000-0000-000061340000}"/>
    <cellStyle name="Normal 2 2 2 2 4 11 5 3" xfId="13452" xr:uid="{00000000-0005-0000-0000-000062340000}"/>
    <cellStyle name="Normal 2 2 2 2 4 11 5 4" xfId="13453" xr:uid="{00000000-0005-0000-0000-000063340000}"/>
    <cellStyle name="Normal 2 2 2 2 4 11 5 5" xfId="13454" xr:uid="{00000000-0005-0000-0000-000064340000}"/>
    <cellStyle name="Normal 2 2 2 2 4 11 5 6" xfId="13455" xr:uid="{00000000-0005-0000-0000-000065340000}"/>
    <cellStyle name="Normal 2 2 2 2 4 11 5 7" xfId="13456" xr:uid="{00000000-0005-0000-0000-000066340000}"/>
    <cellStyle name="Normal 2 2 2 2 4 11 5 8" xfId="13457" xr:uid="{00000000-0005-0000-0000-000067340000}"/>
    <cellStyle name="Normal 2 2 2 2 4 11 5 9" xfId="13458" xr:uid="{00000000-0005-0000-0000-000068340000}"/>
    <cellStyle name="Normal 2 2 2 2 4 11 6" xfId="13459" xr:uid="{00000000-0005-0000-0000-000069340000}"/>
    <cellStyle name="Normal 2 2 2 2 4 11 7" xfId="13460" xr:uid="{00000000-0005-0000-0000-00006A340000}"/>
    <cellStyle name="Normal 2 2 2 2 4 11 8" xfId="13461" xr:uid="{00000000-0005-0000-0000-00006B340000}"/>
    <cellStyle name="Normal 2 2 2 2 4 11 9" xfId="13462" xr:uid="{00000000-0005-0000-0000-00006C340000}"/>
    <cellStyle name="Normal 2 2 2 2 4 12" xfId="13463" xr:uid="{00000000-0005-0000-0000-00006D340000}"/>
    <cellStyle name="Normal 2 2 2 2 4 12 10" xfId="13464" xr:uid="{00000000-0005-0000-0000-00006E340000}"/>
    <cellStyle name="Normal 2 2 2 2 4 12 11" xfId="13465" xr:uid="{00000000-0005-0000-0000-00006F340000}"/>
    <cellStyle name="Normal 2 2 2 2 4 12 12" xfId="13466" xr:uid="{00000000-0005-0000-0000-000070340000}"/>
    <cellStyle name="Normal 2 2 2 2 4 12 13" xfId="13467" xr:uid="{00000000-0005-0000-0000-000071340000}"/>
    <cellStyle name="Normal 2 2 2 2 4 12 14" xfId="13468" xr:uid="{00000000-0005-0000-0000-000072340000}"/>
    <cellStyle name="Normal 2 2 2 2 4 12 2" xfId="13469" xr:uid="{00000000-0005-0000-0000-000073340000}"/>
    <cellStyle name="Normal 2 2 2 2 4 12 2 10" xfId="13470" xr:uid="{00000000-0005-0000-0000-000074340000}"/>
    <cellStyle name="Normal 2 2 2 2 4 12 2 2" xfId="13471" xr:uid="{00000000-0005-0000-0000-000075340000}"/>
    <cellStyle name="Normal 2 2 2 2 4 12 2 3" xfId="13472" xr:uid="{00000000-0005-0000-0000-000076340000}"/>
    <cellStyle name="Normal 2 2 2 2 4 12 2 4" xfId="13473" xr:uid="{00000000-0005-0000-0000-000077340000}"/>
    <cellStyle name="Normal 2 2 2 2 4 12 2 5" xfId="13474" xr:uid="{00000000-0005-0000-0000-000078340000}"/>
    <cellStyle name="Normal 2 2 2 2 4 12 2 6" xfId="13475" xr:uid="{00000000-0005-0000-0000-000079340000}"/>
    <cellStyle name="Normal 2 2 2 2 4 12 2 7" xfId="13476" xr:uid="{00000000-0005-0000-0000-00007A340000}"/>
    <cellStyle name="Normal 2 2 2 2 4 12 2 8" xfId="13477" xr:uid="{00000000-0005-0000-0000-00007B340000}"/>
    <cellStyle name="Normal 2 2 2 2 4 12 2 9" xfId="13478" xr:uid="{00000000-0005-0000-0000-00007C340000}"/>
    <cellStyle name="Normal 2 2 2 2 4 12 3" xfId="13479" xr:uid="{00000000-0005-0000-0000-00007D340000}"/>
    <cellStyle name="Normal 2 2 2 2 4 12 3 10" xfId="13480" xr:uid="{00000000-0005-0000-0000-00007E340000}"/>
    <cellStyle name="Normal 2 2 2 2 4 12 3 2" xfId="13481" xr:uid="{00000000-0005-0000-0000-00007F340000}"/>
    <cellStyle name="Normal 2 2 2 2 4 12 3 3" xfId="13482" xr:uid="{00000000-0005-0000-0000-000080340000}"/>
    <cellStyle name="Normal 2 2 2 2 4 12 3 4" xfId="13483" xr:uid="{00000000-0005-0000-0000-000081340000}"/>
    <cellStyle name="Normal 2 2 2 2 4 12 3 5" xfId="13484" xr:uid="{00000000-0005-0000-0000-000082340000}"/>
    <cellStyle name="Normal 2 2 2 2 4 12 3 6" xfId="13485" xr:uid="{00000000-0005-0000-0000-000083340000}"/>
    <cellStyle name="Normal 2 2 2 2 4 12 3 7" xfId="13486" xr:uid="{00000000-0005-0000-0000-000084340000}"/>
    <cellStyle name="Normal 2 2 2 2 4 12 3 8" xfId="13487" xr:uid="{00000000-0005-0000-0000-000085340000}"/>
    <cellStyle name="Normal 2 2 2 2 4 12 3 9" xfId="13488" xr:uid="{00000000-0005-0000-0000-000086340000}"/>
    <cellStyle name="Normal 2 2 2 2 4 12 4" xfId="13489" xr:uid="{00000000-0005-0000-0000-000087340000}"/>
    <cellStyle name="Normal 2 2 2 2 4 12 4 10" xfId="13490" xr:uid="{00000000-0005-0000-0000-000088340000}"/>
    <cellStyle name="Normal 2 2 2 2 4 12 4 2" xfId="13491" xr:uid="{00000000-0005-0000-0000-000089340000}"/>
    <cellStyle name="Normal 2 2 2 2 4 12 4 3" xfId="13492" xr:uid="{00000000-0005-0000-0000-00008A340000}"/>
    <cellStyle name="Normal 2 2 2 2 4 12 4 4" xfId="13493" xr:uid="{00000000-0005-0000-0000-00008B340000}"/>
    <cellStyle name="Normal 2 2 2 2 4 12 4 5" xfId="13494" xr:uid="{00000000-0005-0000-0000-00008C340000}"/>
    <cellStyle name="Normal 2 2 2 2 4 12 4 6" xfId="13495" xr:uid="{00000000-0005-0000-0000-00008D340000}"/>
    <cellStyle name="Normal 2 2 2 2 4 12 4 7" xfId="13496" xr:uid="{00000000-0005-0000-0000-00008E340000}"/>
    <cellStyle name="Normal 2 2 2 2 4 12 4 8" xfId="13497" xr:uid="{00000000-0005-0000-0000-00008F340000}"/>
    <cellStyle name="Normal 2 2 2 2 4 12 4 9" xfId="13498" xr:uid="{00000000-0005-0000-0000-000090340000}"/>
    <cellStyle name="Normal 2 2 2 2 4 12 5" xfId="13499" xr:uid="{00000000-0005-0000-0000-000091340000}"/>
    <cellStyle name="Normal 2 2 2 2 4 12 5 10" xfId="13500" xr:uid="{00000000-0005-0000-0000-000092340000}"/>
    <cellStyle name="Normal 2 2 2 2 4 12 5 2" xfId="13501" xr:uid="{00000000-0005-0000-0000-000093340000}"/>
    <cellStyle name="Normal 2 2 2 2 4 12 5 3" xfId="13502" xr:uid="{00000000-0005-0000-0000-000094340000}"/>
    <cellStyle name="Normal 2 2 2 2 4 12 5 4" xfId="13503" xr:uid="{00000000-0005-0000-0000-000095340000}"/>
    <cellStyle name="Normal 2 2 2 2 4 12 5 5" xfId="13504" xr:uid="{00000000-0005-0000-0000-000096340000}"/>
    <cellStyle name="Normal 2 2 2 2 4 12 5 6" xfId="13505" xr:uid="{00000000-0005-0000-0000-000097340000}"/>
    <cellStyle name="Normal 2 2 2 2 4 12 5 7" xfId="13506" xr:uid="{00000000-0005-0000-0000-000098340000}"/>
    <cellStyle name="Normal 2 2 2 2 4 12 5 8" xfId="13507" xr:uid="{00000000-0005-0000-0000-000099340000}"/>
    <cellStyle name="Normal 2 2 2 2 4 12 5 9" xfId="13508" xr:uid="{00000000-0005-0000-0000-00009A340000}"/>
    <cellStyle name="Normal 2 2 2 2 4 12 6" xfId="13509" xr:uid="{00000000-0005-0000-0000-00009B340000}"/>
    <cellStyle name="Normal 2 2 2 2 4 12 7" xfId="13510" xr:uid="{00000000-0005-0000-0000-00009C340000}"/>
    <cellStyle name="Normal 2 2 2 2 4 12 8" xfId="13511" xr:uid="{00000000-0005-0000-0000-00009D340000}"/>
    <cellStyle name="Normal 2 2 2 2 4 12 9" xfId="13512" xr:uid="{00000000-0005-0000-0000-00009E340000}"/>
    <cellStyle name="Normal 2 2 2 2 4 13" xfId="13513" xr:uid="{00000000-0005-0000-0000-00009F340000}"/>
    <cellStyle name="Normal 2 2 2 2 4 13 10" xfId="13514" xr:uid="{00000000-0005-0000-0000-0000A0340000}"/>
    <cellStyle name="Normal 2 2 2 2 4 13 11" xfId="13515" xr:uid="{00000000-0005-0000-0000-0000A1340000}"/>
    <cellStyle name="Normal 2 2 2 2 4 13 12" xfId="13516" xr:uid="{00000000-0005-0000-0000-0000A2340000}"/>
    <cellStyle name="Normal 2 2 2 2 4 13 13" xfId="13517" xr:uid="{00000000-0005-0000-0000-0000A3340000}"/>
    <cellStyle name="Normal 2 2 2 2 4 13 14" xfId="13518" xr:uid="{00000000-0005-0000-0000-0000A4340000}"/>
    <cellStyle name="Normal 2 2 2 2 4 13 2" xfId="13519" xr:uid="{00000000-0005-0000-0000-0000A5340000}"/>
    <cellStyle name="Normal 2 2 2 2 4 13 2 10" xfId="13520" xr:uid="{00000000-0005-0000-0000-0000A6340000}"/>
    <cellStyle name="Normal 2 2 2 2 4 13 2 2" xfId="13521" xr:uid="{00000000-0005-0000-0000-0000A7340000}"/>
    <cellStyle name="Normal 2 2 2 2 4 13 2 3" xfId="13522" xr:uid="{00000000-0005-0000-0000-0000A8340000}"/>
    <cellStyle name="Normal 2 2 2 2 4 13 2 4" xfId="13523" xr:uid="{00000000-0005-0000-0000-0000A9340000}"/>
    <cellStyle name="Normal 2 2 2 2 4 13 2 5" xfId="13524" xr:uid="{00000000-0005-0000-0000-0000AA340000}"/>
    <cellStyle name="Normal 2 2 2 2 4 13 2 6" xfId="13525" xr:uid="{00000000-0005-0000-0000-0000AB340000}"/>
    <cellStyle name="Normal 2 2 2 2 4 13 2 7" xfId="13526" xr:uid="{00000000-0005-0000-0000-0000AC340000}"/>
    <cellStyle name="Normal 2 2 2 2 4 13 2 8" xfId="13527" xr:uid="{00000000-0005-0000-0000-0000AD340000}"/>
    <cellStyle name="Normal 2 2 2 2 4 13 2 9" xfId="13528" xr:uid="{00000000-0005-0000-0000-0000AE340000}"/>
    <cellStyle name="Normal 2 2 2 2 4 13 3" xfId="13529" xr:uid="{00000000-0005-0000-0000-0000AF340000}"/>
    <cellStyle name="Normal 2 2 2 2 4 13 3 10" xfId="13530" xr:uid="{00000000-0005-0000-0000-0000B0340000}"/>
    <cellStyle name="Normal 2 2 2 2 4 13 3 2" xfId="13531" xr:uid="{00000000-0005-0000-0000-0000B1340000}"/>
    <cellStyle name="Normal 2 2 2 2 4 13 3 3" xfId="13532" xr:uid="{00000000-0005-0000-0000-0000B2340000}"/>
    <cellStyle name="Normal 2 2 2 2 4 13 3 4" xfId="13533" xr:uid="{00000000-0005-0000-0000-0000B3340000}"/>
    <cellStyle name="Normal 2 2 2 2 4 13 3 5" xfId="13534" xr:uid="{00000000-0005-0000-0000-0000B4340000}"/>
    <cellStyle name="Normal 2 2 2 2 4 13 3 6" xfId="13535" xr:uid="{00000000-0005-0000-0000-0000B5340000}"/>
    <cellStyle name="Normal 2 2 2 2 4 13 3 7" xfId="13536" xr:uid="{00000000-0005-0000-0000-0000B6340000}"/>
    <cellStyle name="Normal 2 2 2 2 4 13 3 8" xfId="13537" xr:uid="{00000000-0005-0000-0000-0000B7340000}"/>
    <cellStyle name="Normal 2 2 2 2 4 13 3 9" xfId="13538" xr:uid="{00000000-0005-0000-0000-0000B8340000}"/>
    <cellStyle name="Normal 2 2 2 2 4 13 4" xfId="13539" xr:uid="{00000000-0005-0000-0000-0000B9340000}"/>
    <cellStyle name="Normal 2 2 2 2 4 13 4 10" xfId="13540" xr:uid="{00000000-0005-0000-0000-0000BA340000}"/>
    <cellStyle name="Normal 2 2 2 2 4 13 4 2" xfId="13541" xr:uid="{00000000-0005-0000-0000-0000BB340000}"/>
    <cellStyle name="Normal 2 2 2 2 4 13 4 3" xfId="13542" xr:uid="{00000000-0005-0000-0000-0000BC340000}"/>
    <cellStyle name="Normal 2 2 2 2 4 13 4 4" xfId="13543" xr:uid="{00000000-0005-0000-0000-0000BD340000}"/>
    <cellStyle name="Normal 2 2 2 2 4 13 4 5" xfId="13544" xr:uid="{00000000-0005-0000-0000-0000BE340000}"/>
    <cellStyle name="Normal 2 2 2 2 4 13 4 6" xfId="13545" xr:uid="{00000000-0005-0000-0000-0000BF340000}"/>
    <cellStyle name="Normal 2 2 2 2 4 13 4 7" xfId="13546" xr:uid="{00000000-0005-0000-0000-0000C0340000}"/>
    <cellStyle name="Normal 2 2 2 2 4 13 4 8" xfId="13547" xr:uid="{00000000-0005-0000-0000-0000C1340000}"/>
    <cellStyle name="Normal 2 2 2 2 4 13 4 9" xfId="13548" xr:uid="{00000000-0005-0000-0000-0000C2340000}"/>
    <cellStyle name="Normal 2 2 2 2 4 13 5" xfId="13549" xr:uid="{00000000-0005-0000-0000-0000C3340000}"/>
    <cellStyle name="Normal 2 2 2 2 4 13 5 10" xfId="13550" xr:uid="{00000000-0005-0000-0000-0000C4340000}"/>
    <cellStyle name="Normal 2 2 2 2 4 13 5 2" xfId="13551" xr:uid="{00000000-0005-0000-0000-0000C5340000}"/>
    <cellStyle name="Normal 2 2 2 2 4 13 5 3" xfId="13552" xr:uid="{00000000-0005-0000-0000-0000C6340000}"/>
    <cellStyle name="Normal 2 2 2 2 4 13 5 4" xfId="13553" xr:uid="{00000000-0005-0000-0000-0000C7340000}"/>
    <cellStyle name="Normal 2 2 2 2 4 13 5 5" xfId="13554" xr:uid="{00000000-0005-0000-0000-0000C8340000}"/>
    <cellStyle name="Normal 2 2 2 2 4 13 5 6" xfId="13555" xr:uid="{00000000-0005-0000-0000-0000C9340000}"/>
    <cellStyle name="Normal 2 2 2 2 4 13 5 7" xfId="13556" xr:uid="{00000000-0005-0000-0000-0000CA340000}"/>
    <cellStyle name="Normal 2 2 2 2 4 13 5 8" xfId="13557" xr:uid="{00000000-0005-0000-0000-0000CB340000}"/>
    <cellStyle name="Normal 2 2 2 2 4 13 5 9" xfId="13558" xr:uid="{00000000-0005-0000-0000-0000CC340000}"/>
    <cellStyle name="Normal 2 2 2 2 4 13 6" xfId="13559" xr:uid="{00000000-0005-0000-0000-0000CD340000}"/>
    <cellStyle name="Normal 2 2 2 2 4 13 7" xfId="13560" xr:uid="{00000000-0005-0000-0000-0000CE340000}"/>
    <cellStyle name="Normal 2 2 2 2 4 13 8" xfId="13561" xr:uid="{00000000-0005-0000-0000-0000CF340000}"/>
    <cellStyle name="Normal 2 2 2 2 4 13 9" xfId="13562" xr:uid="{00000000-0005-0000-0000-0000D0340000}"/>
    <cellStyle name="Normal 2 2 2 2 4 14" xfId="13563" xr:uid="{00000000-0005-0000-0000-0000D1340000}"/>
    <cellStyle name="Normal 2 2 2 2 4 14 10" xfId="13564" xr:uid="{00000000-0005-0000-0000-0000D2340000}"/>
    <cellStyle name="Normal 2 2 2 2 4 14 11" xfId="13565" xr:uid="{00000000-0005-0000-0000-0000D3340000}"/>
    <cellStyle name="Normal 2 2 2 2 4 14 12" xfId="13566" xr:uid="{00000000-0005-0000-0000-0000D4340000}"/>
    <cellStyle name="Normal 2 2 2 2 4 14 13" xfId="13567" xr:uid="{00000000-0005-0000-0000-0000D5340000}"/>
    <cellStyle name="Normal 2 2 2 2 4 14 14" xfId="13568" xr:uid="{00000000-0005-0000-0000-0000D6340000}"/>
    <cellStyle name="Normal 2 2 2 2 4 14 2" xfId="13569" xr:uid="{00000000-0005-0000-0000-0000D7340000}"/>
    <cellStyle name="Normal 2 2 2 2 4 14 2 10" xfId="13570" xr:uid="{00000000-0005-0000-0000-0000D8340000}"/>
    <cellStyle name="Normal 2 2 2 2 4 14 2 2" xfId="13571" xr:uid="{00000000-0005-0000-0000-0000D9340000}"/>
    <cellStyle name="Normal 2 2 2 2 4 14 2 3" xfId="13572" xr:uid="{00000000-0005-0000-0000-0000DA340000}"/>
    <cellStyle name="Normal 2 2 2 2 4 14 2 4" xfId="13573" xr:uid="{00000000-0005-0000-0000-0000DB340000}"/>
    <cellStyle name="Normal 2 2 2 2 4 14 2 5" xfId="13574" xr:uid="{00000000-0005-0000-0000-0000DC340000}"/>
    <cellStyle name="Normal 2 2 2 2 4 14 2 6" xfId="13575" xr:uid="{00000000-0005-0000-0000-0000DD340000}"/>
    <cellStyle name="Normal 2 2 2 2 4 14 2 7" xfId="13576" xr:uid="{00000000-0005-0000-0000-0000DE340000}"/>
    <cellStyle name="Normal 2 2 2 2 4 14 2 8" xfId="13577" xr:uid="{00000000-0005-0000-0000-0000DF340000}"/>
    <cellStyle name="Normal 2 2 2 2 4 14 2 9" xfId="13578" xr:uid="{00000000-0005-0000-0000-0000E0340000}"/>
    <cellStyle name="Normal 2 2 2 2 4 14 3" xfId="13579" xr:uid="{00000000-0005-0000-0000-0000E1340000}"/>
    <cellStyle name="Normal 2 2 2 2 4 14 3 10" xfId="13580" xr:uid="{00000000-0005-0000-0000-0000E2340000}"/>
    <cellStyle name="Normal 2 2 2 2 4 14 3 2" xfId="13581" xr:uid="{00000000-0005-0000-0000-0000E3340000}"/>
    <cellStyle name="Normal 2 2 2 2 4 14 3 3" xfId="13582" xr:uid="{00000000-0005-0000-0000-0000E4340000}"/>
    <cellStyle name="Normal 2 2 2 2 4 14 3 4" xfId="13583" xr:uid="{00000000-0005-0000-0000-0000E5340000}"/>
    <cellStyle name="Normal 2 2 2 2 4 14 3 5" xfId="13584" xr:uid="{00000000-0005-0000-0000-0000E6340000}"/>
    <cellStyle name="Normal 2 2 2 2 4 14 3 6" xfId="13585" xr:uid="{00000000-0005-0000-0000-0000E7340000}"/>
    <cellStyle name="Normal 2 2 2 2 4 14 3 7" xfId="13586" xr:uid="{00000000-0005-0000-0000-0000E8340000}"/>
    <cellStyle name="Normal 2 2 2 2 4 14 3 8" xfId="13587" xr:uid="{00000000-0005-0000-0000-0000E9340000}"/>
    <cellStyle name="Normal 2 2 2 2 4 14 3 9" xfId="13588" xr:uid="{00000000-0005-0000-0000-0000EA340000}"/>
    <cellStyle name="Normal 2 2 2 2 4 14 4" xfId="13589" xr:uid="{00000000-0005-0000-0000-0000EB340000}"/>
    <cellStyle name="Normal 2 2 2 2 4 14 4 10" xfId="13590" xr:uid="{00000000-0005-0000-0000-0000EC340000}"/>
    <cellStyle name="Normal 2 2 2 2 4 14 4 2" xfId="13591" xr:uid="{00000000-0005-0000-0000-0000ED340000}"/>
    <cellStyle name="Normal 2 2 2 2 4 14 4 3" xfId="13592" xr:uid="{00000000-0005-0000-0000-0000EE340000}"/>
    <cellStyle name="Normal 2 2 2 2 4 14 4 4" xfId="13593" xr:uid="{00000000-0005-0000-0000-0000EF340000}"/>
    <cellStyle name="Normal 2 2 2 2 4 14 4 5" xfId="13594" xr:uid="{00000000-0005-0000-0000-0000F0340000}"/>
    <cellStyle name="Normal 2 2 2 2 4 14 4 6" xfId="13595" xr:uid="{00000000-0005-0000-0000-0000F1340000}"/>
    <cellStyle name="Normal 2 2 2 2 4 14 4 7" xfId="13596" xr:uid="{00000000-0005-0000-0000-0000F2340000}"/>
    <cellStyle name="Normal 2 2 2 2 4 14 4 8" xfId="13597" xr:uid="{00000000-0005-0000-0000-0000F3340000}"/>
    <cellStyle name="Normal 2 2 2 2 4 14 4 9" xfId="13598" xr:uid="{00000000-0005-0000-0000-0000F4340000}"/>
    <cellStyle name="Normal 2 2 2 2 4 14 5" xfId="13599" xr:uid="{00000000-0005-0000-0000-0000F5340000}"/>
    <cellStyle name="Normal 2 2 2 2 4 14 5 10" xfId="13600" xr:uid="{00000000-0005-0000-0000-0000F6340000}"/>
    <cellStyle name="Normal 2 2 2 2 4 14 5 2" xfId="13601" xr:uid="{00000000-0005-0000-0000-0000F7340000}"/>
    <cellStyle name="Normal 2 2 2 2 4 14 5 3" xfId="13602" xr:uid="{00000000-0005-0000-0000-0000F8340000}"/>
    <cellStyle name="Normal 2 2 2 2 4 14 5 4" xfId="13603" xr:uid="{00000000-0005-0000-0000-0000F9340000}"/>
    <cellStyle name="Normal 2 2 2 2 4 14 5 5" xfId="13604" xr:uid="{00000000-0005-0000-0000-0000FA340000}"/>
    <cellStyle name="Normal 2 2 2 2 4 14 5 6" xfId="13605" xr:uid="{00000000-0005-0000-0000-0000FB340000}"/>
    <cellStyle name="Normal 2 2 2 2 4 14 5 7" xfId="13606" xr:uid="{00000000-0005-0000-0000-0000FC340000}"/>
    <cellStyle name="Normal 2 2 2 2 4 14 5 8" xfId="13607" xr:uid="{00000000-0005-0000-0000-0000FD340000}"/>
    <cellStyle name="Normal 2 2 2 2 4 14 5 9" xfId="13608" xr:uid="{00000000-0005-0000-0000-0000FE340000}"/>
    <cellStyle name="Normal 2 2 2 2 4 14 6" xfId="13609" xr:uid="{00000000-0005-0000-0000-0000FF340000}"/>
    <cellStyle name="Normal 2 2 2 2 4 14 7" xfId="13610" xr:uid="{00000000-0005-0000-0000-000000350000}"/>
    <cellStyle name="Normal 2 2 2 2 4 14 8" xfId="13611" xr:uid="{00000000-0005-0000-0000-000001350000}"/>
    <cellStyle name="Normal 2 2 2 2 4 14 9" xfId="13612" xr:uid="{00000000-0005-0000-0000-000002350000}"/>
    <cellStyle name="Normal 2 2 2 2 4 15" xfId="13613" xr:uid="{00000000-0005-0000-0000-000003350000}"/>
    <cellStyle name="Normal 2 2 2 2 4 15 10" xfId="13614" xr:uid="{00000000-0005-0000-0000-000004350000}"/>
    <cellStyle name="Normal 2 2 2 2 4 15 11" xfId="13615" xr:uid="{00000000-0005-0000-0000-000005350000}"/>
    <cellStyle name="Normal 2 2 2 2 4 15 12" xfId="13616" xr:uid="{00000000-0005-0000-0000-000006350000}"/>
    <cellStyle name="Normal 2 2 2 2 4 15 13" xfId="13617" xr:uid="{00000000-0005-0000-0000-000007350000}"/>
    <cellStyle name="Normal 2 2 2 2 4 15 14" xfId="13618" xr:uid="{00000000-0005-0000-0000-000008350000}"/>
    <cellStyle name="Normal 2 2 2 2 4 15 2" xfId="13619" xr:uid="{00000000-0005-0000-0000-000009350000}"/>
    <cellStyle name="Normal 2 2 2 2 4 15 2 10" xfId="13620" xr:uid="{00000000-0005-0000-0000-00000A350000}"/>
    <cellStyle name="Normal 2 2 2 2 4 15 2 2" xfId="13621" xr:uid="{00000000-0005-0000-0000-00000B350000}"/>
    <cellStyle name="Normal 2 2 2 2 4 15 2 3" xfId="13622" xr:uid="{00000000-0005-0000-0000-00000C350000}"/>
    <cellStyle name="Normal 2 2 2 2 4 15 2 4" xfId="13623" xr:uid="{00000000-0005-0000-0000-00000D350000}"/>
    <cellStyle name="Normal 2 2 2 2 4 15 2 5" xfId="13624" xr:uid="{00000000-0005-0000-0000-00000E350000}"/>
    <cellStyle name="Normal 2 2 2 2 4 15 2 6" xfId="13625" xr:uid="{00000000-0005-0000-0000-00000F350000}"/>
    <cellStyle name="Normal 2 2 2 2 4 15 2 7" xfId="13626" xr:uid="{00000000-0005-0000-0000-000010350000}"/>
    <cellStyle name="Normal 2 2 2 2 4 15 2 8" xfId="13627" xr:uid="{00000000-0005-0000-0000-000011350000}"/>
    <cellStyle name="Normal 2 2 2 2 4 15 2 9" xfId="13628" xr:uid="{00000000-0005-0000-0000-000012350000}"/>
    <cellStyle name="Normal 2 2 2 2 4 15 3" xfId="13629" xr:uid="{00000000-0005-0000-0000-000013350000}"/>
    <cellStyle name="Normal 2 2 2 2 4 15 3 10" xfId="13630" xr:uid="{00000000-0005-0000-0000-000014350000}"/>
    <cellStyle name="Normal 2 2 2 2 4 15 3 2" xfId="13631" xr:uid="{00000000-0005-0000-0000-000015350000}"/>
    <cellStyle name="Normal 2 2 2 2 4 15 3 3" xfId="13632" xr:uid="{00000000-0005-0000-0000-000016350000}"/>
    <cellStyle name="Normal 2 2 2 2 4 15 3 4" xfId="13633" xr:uid="{00000000-0005-0000-0000-000017350000}"/>
    <cellStyle name="Normal 2 2 2 2 4 15 3 5" xfId="13634" xr:uid="{00000000-0005-0000-0000-000018350000}"/>
    <cellStyle name="Normal 2 2 2 2 4 15 3 6" xfId="13635" xr:uid="{00000000-0005-0000-0000-000019350000}"/>
    <cellStyle name="Normal 2 2 2 2 4 15 3 7" xfId="13636" xr:uid="{00000000-0005-0000-0000-00001A350000}"/>
    <cellStyle name="Normal 2 2 2 2 4 15 3 8" xfId="13637" xr:uid="{00000000-0005-0000-0000-00001B350000}"/>
    <cellStyle name="Normal 2 2 2 2 4 15 3 9" xfId="13638" xr:uid="{00000000-0005-0000-0000-00001C350000}"/>
    <cellStyle name="Normal 2 2 2 2 4 15 4" xfId="13639" xr:uid="{00000000-0005-0000-0000-00001D350000}"/>
    <cellStyle name="Normal 2 2 2 2 4 15 4 10" xfId="13640" xr:uid="{00000000-0005-0000-0000-00001E350000}"/>
    <cellStyle name="Normal 2 2 2 2 4 15 4 2" xfId="13641" xr:uid="{00000000-0005-0000-0000-00001F350000}"/>
    <cellStyle name="Normal 2 2 2 2 4 15 4 3" xfId="13642" xr:uid="{00000000-0005-0000-0000-000020350000}"/>
    <cellStyle name="Normal 2 2 2 2 4 15 4 4" xfId="13643" xr:uid="{00000000-0005-0000-0000-000021350000}"/>
    <cellStyle name="Normal 2 2 2 2 4 15 4 5" xfId="13644" xr:uid="{00000000-0005-0000-0000-000022350000}"/>
    <cellStyle name="Normal 2 2 2 2 4 15 4 6" xfId="13645" xr:uid="{00000000-0005-0000-0000-000023350000}"/>
    <cellStyle name="Normal 2 2 2 2 4 15 4 7" xfId="13646" xr:uid="{00000000-0005-0000-0000-000024350000}"/>
    <cellStyle name="Normal 2 2 2 2 4 15 4 8" xfId="13647" xr:uid="{00000000-0005-0000-0000-000025350000}"/>
    <cellStyle name="Normal 2 2 2 2 4 15 4 9" xfId="13648" xr:uid="{00000000-0005-0000-0000-000026350000}"/>
    <cellStyle name="Normal 2 2 2 2 4 15 5" xfId="13649" xr:uid="{00000000-0005-0000-0000-000027350000}"/>
    <cellStyle name="Normal 2 2 2 2 4 15 5 10" xfId="13650" xr:uid="{00000000-0005-0000-0000-000028350000}"/>
    <cellStyle name="Normal 2 2 2 2 4 15 5 2" xfId="13651" xr:uid="{00000000-0005-0000-0000-000029350000}"/>
    <cellStyle name="Normal 2 2 2 2 4 15 5 3" xfId="13652" xr:uid="{00000000-0005-0000-0000-00002A350000}"/>
    <cellStyle name="Normal 2 2 2 2 4 15 5 4" xfId="13653" xr:uid="{00000000-0005-0000-0000-00002B350000}"/>
    <cellStyle name="Normal 2 2 2 2 4 15 5 5" xfId="13654" xr:uid="{00000000-0005-0000-0000-00002C350000}"/>
    <cellStyle name="Normal 2 2 2 2 4 15 5 6" xfId="13655" xr:uid="{00000000-0005-0000-0000-00002D350000}"/>
    <cellStyle name="Normal 2 2 2 2 4 15 5 7" xfId="13656" xr:uid="{00000000-0005-0000-0000-00002E350000}"/>
    <cellStyle name="Normal 2 2 2 2 4 15 5 8" xfId="13657" xr:uid="{00000000-0005-0000-0000-00002F350000}"/>
    <cellStyle name="Normal 2 2 2 2 4 15 5 9" xfId="13658" xr:uid="{00000000-0005-0000-0000-000030350000}"/>
    <cellStyle name="Normal 2 2 2 2 4 15 6" xfId="13659" xr:uid="{00000000-0005-0000-0000-000031350000}"/>
    <cellStyle name="Normal 2 2 2 2 4 15 7" xfId="13660" xr:uid="{00000000-0005-0000-0000-000032350000}"/>
    <cellStyle name="Normal 2 2 2 2 4 15 8" xfId="13661" xr:uid="{00000000-0005-0000-0000-000033350000}"/>
    <cellStyle name="Normal 2 2 2 2 4 15 9" xfId="13662" xr:uid="{00000000-0005-0000-0000-000034350000}"/>
    <cellStyle name="Normal 2 2 2 2 4 16" xfId="13663" xr:uid="{00000000-0005-0000-0000-000035350000}"/>
    <cellStyle name="Normal 2 2 2 2 4 16 10" xfId="13664" xr:uid="{00000000-0005-0000-0000-000036350000}"/>
    <cellStyle name="Normal 2 2 2 2 4 16 11" xfId="13665" xr:uid="{00000000-0005-0000-0000-000037350000}"/>
    <cellStyle name="Normal 2 2 2 2 4 16 12" xfId="13666" xr:uid="{00000000-0005-0000-0000-000038350000}"/>
    <cellStyle name="Normal 2 2 2 2 4 16 13" xfId="13667" xr:uid="{00000000-0005-0000-0000-000039350000}"/>
    <cellStyle name="Normal 2 2 2 2 4 16 14" xfId="13668" xr:uid="{00000000-0005-0000-0000-00003A350000}"/>
    <cellStyle name="Normal 2 2 2 2 4 16 2" xfId="13669" xr:uid="{00000000-0005-0000-0000-00003B350000}"/>
    <cellStyle name="Normal 2 2 2 2 4 16 2 10" xfId="13670" xr:uid="{00000000-0005-0000-0000-00003C350000}"/>
    <cellStyle name="Normal 2 2 2 2 4 16 2 2" xfId="13671" xr:uid="{00000000-0005-0000-0000-00003D350000}"/>
    <cellStyle name="Normal 2 2 2 2 4 16 2 3" xfId="13672" xr:uid="{00000000-0005-0000-0000-00003E350000}"/>
    <cellStyle name="Normal 2 2 2 2 4 16 2 4" xfId="13673" xr:uid="{00000000-0005-0000-0000-00003F350000}"/>
    <cellStyle name="Normal 2 2 2 2 4 16 2 5" xfId="13674" xr:uid="{00000000-0005-0000-0000-000040350000}"/>
    <cellStyle name="Normal 2 2 2 2 4 16 2 6" xfId="13675" xr:uid="{00000000-0005-0000-0000-000041350000}"/>
    <cellStyle name="Normal 2 2 2 2 4 16 2 7" xfId="13676" xr:uid="{00000000-0005-0000-0000-000042350000}"/>
    <cellStyle name="Normal 2 2 2 2 4 16 2 8" xfId="13677" xr:uid="{00000000-0005-0000-0000-000043350000}"/>
    <cellStyle name="Normal 2 2 2 2 4 16 2 9" xfId="13678" xr:uid="{00000000-0005-0000-0000-000044350000}"/>
    <cellStyle name="Normal 2 2 2 2 4 16 3" xfId="13679" xr:uid="{00000000-0005-0000-0000-000045350000}"/>
    <cellStyle name="Normal 2 2 2 2 4 16 3 10" xfId="13680" xr:uid="{00000000-0005-0000-0000-000046350000}"/>
    <cellStyle name="Normal 2 2 2 2 4 16 3 2" xfId="13681" xr:uid="{00000000-0005-0000-0000-000047350000}"/>
    <cellStyle name="Normal 2 2 2 2 4 16 3 3" xfId="13682" xr:uid="{00000000-0005-0000-0000-000048350000}"/>
    <cellStyle name="Normal 2 2 2 2 4 16 3 4" xfId="13683" xr:uid="{00000000-0005-0000-0000-000049350000}"/>
    <cellStyle name="Normal 2 2 2 2 4 16 3 5" xfId="13684" xr:uid="{00000000-0005-0000-0000-00004A350000}"/>
    <cellStyle name="Normal 2 2 2 2 4 16 3 6" xfId="13685" xr:uid="{00000000-0005-0000-0000-00004B350000}"/>
    <cellStyle name="Normal 2 2 2 2 4 16 3 7" xfId="13686" xr:uid="{00000000-0005-0000-0000-00004C350000}"/>
    <cellStyle name="Normal 2 2 2 2 4 16 3 8" xfId="13687" xr:uid="{00000000-0005-0000-0000-00004D350000}"/>
    <cellStyle name="Normal 2 2 2 2 4 16 3 9" xfId="13688" xr:uid="{00000000-0005-0000-0000-00004E350000}"/>
    <cellStyle name="Normal 2 2 2 2 4 16 4" xfId="13689" xr:uid="{00000000-0005-0000-0000-00004F350000}"/>
    <cellStyle name="Normal 2 2 2 2 4 16 4 10" xfId="13690" xr:uid="{00000000-0005-0000-0000-000050350000}"/>
    <cellStyle name="Normal 2 2 2 2 4 16 4 2" xfId="13691" xr:uid="{00000000-0005-0000-0000-000051350000}"/>
    <cellStyle name="Normal 2 2 2 2 4 16 4 3" xfId="13692" xr:uid="{00000000-0005-0000-0000-000052350000}"/>
    <cellStyle name="Normal 2 2 2 2 4 16 4 4" xfId="13693" xr:uid="{00000000-0005-0000-0000-000053350000}"/>
    <cellStyle name="Normal 2 2 2 2 4 16 4 5" xfId="13694" xr:uid="{00000000-0005-0000-0000-000054350000}"/>
    <cellStyle name="Normal 2 2 2 2 4 16 4 6" xfId="13695" xr:uid="{00000000-0005-0000-0000-000055350000}"/>
    <cellStyle name="Normal 2 2 2 2 4 16 4 7" xfId="13696" xr:uid="{00000000-0005-0000-0000-000056350000}"/>
    <cellStyle name="Normal 2 2 2 2 4 16 4 8" xfId="13697" xr:uid="{00000000-0005-0000-0000-000057350000}"/>
    <cellStyle name="Normal 2 2 2 2 4 16 4 9" xfId="13698" xr:uid="{00000000-0005-0000-0000-000058350000}"/>
    <cellStyle name="Normal 2 2 2 2 4 16 5" xfId="13699" xr:uid="{00000000-0005-0000-0000-000059350000}"/>
    <cellStyle name="Normal 2 2 2 2 4 16 5 10" xfId="13700" xr:uid="{00000000-0005-0000-0000-00005A350000}"/>
    <cellStyle name="Normal 2 2 2 2 4 16 5 2" xfId="13701" xr:uid="{00000000-0005-0000-0000-00005B350000}"/>
    <cellStyle name="Normal 2 2 2 2 4 16 5 3" xfId="13702" xr:uid="{00000000-0005-0000-0000-00005C350000}"/>
    <cellStyle name="Normal 2 2 2 2 4 16 5 4" xfId="13703" xr:uid="{00000000-0005-0000-0000-00005D350000}"/>
    <cellStyle name="Normal 2 2 2 2 4 16 5 5" xfId="13704" xr:uid="{00000000-0005-0000-0000-00005E350000}"/>
    <cellStyle name="Normal 2 2 2 2 4 16 5 6" xfId="13705" xr:uid="{00000000-0005-0000-0000-00005F350000}"/>
    <cellStyle name="Normal 2 2 2 2 4 16 5 7" xfId="13706" xr:uid="{00000000-0005-0000-0000-000060350000}"/>
    <cellStyle name="Normal 2 2 2 2 4 16 5 8" xfId="13707" xr:uid="{00000000-0005-0000-0000-000061350000}"/>
    <cellStyle name="Normal 2 2 2 2 4 16 5 9" xfId="13708" xr:uid="{00000000-0005-0000-0000-000062350000}"/>
    <cellStyle name="Normal 2 2 2 2 4 16 6" xfId="13709" xr:uid="{00000000-0005-0000-0000-000063350000}"/>
    <cellStyle name="Normal 2 2 2 2 4 16 7" xfId="13710" xr:uid="{00000000-0005-0000-0000-000064350000}"/>
    <cellStyle name="Normal 2 2 2 2 4 16 8" xfId="13711" xr:uid="{00000000-0005-0000-0000-000065350000}"/>
    <cellStyle name="Normal 2 2 2 2 4 16 9" xfId="13712" xr:uid="{00000000-0005-0000-0000-000066350000}"/>
    <cellStyle name="Normal 2 2 2 2 4 17" xfId="13713" xr:uid="{00000000-0005-0000-0000-000067350000}"/>
    <cellStyle name="Normal 2 2 2 2 4 17 10" xfId="13714" xr:uid="{00000000-0005-0000-0000-000068350000}"/>
    <cellStyle name="Normal 2 2 2 2 4 17 11" xfId="13715" xr:uid="{00000000-0005-0000-0000-000069350000}"/>
    <cellStyle name="Normal 2 2 2 2 4 17 12" xfId="13716" xr:uid="{00000000-0005-0000-0000-00006A350000}"/>
    <cellStyle name="Normal 2 2 2 2 4 17 13" xfId="13717" xr:uid="{00000000-0005-0000-0000-00006B350000}"/>
    <cellStyle name="Normal 2 2 2 2 4 17 14" xfId="13718" xr:uid="{00000000-0005-0000-0000-00006C350000}"/>
    <cellStyle name="Normal 2 2 2 2 4 17 2" xfId="13719" xr:uid="{00000000-0005-0000-0000-00006D350000}"/>
    <cellStyle name="Normal 2 2 2 2 4 17 2 10" xfId="13720" xr:uid="{00000000-0005-0000-0000-00006E350000}"/>
    <cellStyle name="Normal 2 2 2 2 4 17 2 2" xfId="13721" xr:uid="{00000000-0005-0000-0000-00006F350000}"/>
    <cellStyle name="Normal 2 2 2 2 4 17 2 3" xfId="13722" xr:uid="{00000000-0005-0000-0000-000070350000}"/>
    <cellStyle name="Normal 2 2 2 2 4 17 2 4" xfId="13723" xr:uid="{00000000-0005-0000-0000-000071350000}"/>
    <cellStyle name="Normal 2 2 2 2 4 17 2 5" xfId="13724" xr:uid="{00000000-0005-0000-0000-000072350000}"/>
    <cellStyle name="Normal 2 2 2 2 4 17 2 6" xfId="13725" xr:uid="{00000000-0005-0000-0000-000073350000}"/>
    <cellStyle name="Normal 2 2 2 2 4 17 2 7" xfId="13726" xr:uid="{00000000-0005-0000-0000-000074350000}"/>
    <cellStyle name="Normal 2 2 2 2 4 17 2 8" xfId="13727" xr:uid="{00000000-0005-0000-0000-000075350000}"/>
    <cellStyle name="Normal 2 2 2 2 4 17 2 9" xfId="13728" xr:uid="{00000000-0005-0000-0000-000076350000}"/>
    <cellStyle name="Normal 2 2 2 2 4 17 3" xfId="13729" xr:uid="{00000000-0005-0000-0000-000077350000}"/>
    <cellStyle name="Normal 2 2 2 2 4 17 3 10" xfId="13730" xr:uid="{00000000-0005-0000-0000-000078350000}"/>
    <cellStyle name="Normal 2 2 2 2 4 17 3 2" xfId="13731" xr:uid="{00000000-0005-0000-0000-000079350000}"/>
    <cellStyle name="Normal 2 2 2 2 4 17 3 3" xfId="13732" xr:uid="{00000000-0005-0000-0000-00007A350000}"/>
    <cellStyle name="Normal 2 2 2 2 4 17 3 4" xfId="13733" xr:uid="{00000000-0005-0000-0000-00007B350000}"/>
    <cellStyle name="Normal 2 2 2 2 4 17 3 5" xfId="13734" xr:uid="{00000000-0005-0000-0000-00007C350000}"/>
    <cellStyle name="Normal 2 2 2 2 4 17 3 6" xfId="13735" xr:uid="{00000000-0005-0000-0000-00007D350000}"/>
    <cellStyle name="Normal 2 2 2 2 4 17 3 7" xfId="13736" xr:uid="{00000000-0005-0000-0000-00007E350000}"/>
    <cellStyle name="Normal 2 2 2 2 4 17 3 8" xfId="13737" xr:uid="{00000000-0005-0000-0000-00007F350000}"/>
    <cellStyle name="Normal 2 2 2 2 4 17 3 9" xfId="13738" xr:uid="{00000000-0005-0000-0000-000080350000}"/>
    <cellStyle name="Normal 2 2 2 2 4 17 4" xfId="13739" xr:uid="{00000000-0005-0000-0000-000081350000}"/>
    <cellStyle name="Normal 2 2 2 2 4 17 4 10" xfId="13740" xr:uid="{00000000-0005-0000-0000-000082350000}"/>
    <cellStyle name="Normal 2 2 2 2 4 17 4 2" xfId="13741" xr:uid="{00000000-0005-0000-0000-000083350000}"/>
    <cellStyle name="Normal 2 2 2 2 4 17 4 3" xfId="13742" xr:uid="{00000000-0005-0000-0000-000084350000}"/>
    <cellStyle name="Normal 2 2 2 2 4 17 4 4" xfId="13743" xr:uid="{00000000-0005-0000-0000-000085350000}"/>
    <cellStyle name="Normal 2 2 2 2 4 17 4 5" xfId="13744" xr:uid="{00000000-0005-0000-0000-000086350000}"/>
    <cellStyle name="Normal 2 2 2 2 4 17 4 6" xfId="13745" xr:uid="{00000000-0005-0000-0000-000087350000}"/>
    <cellStyle name="Normal 2 2 2 2 4 17 4 7" xfId="13746" xr:uid="{00000000-0005-0000-0000-000088350000}"/>
    <cellStyle name="Normal 2 2 2 2 4 17 4 8" xfId="13747" xr:uid="{00000000-0005-0000-0000-000089350000}"/>
    <cellStyle name="Normal 2 2 2 2 4 17 4 9" xfId="13748" xr:uid="{00000000-0005-0000-0000-00008A350000}"/>
    <cellStyle name="Normal 2 2 2 2 4 17 5" xfId="13749" xr:uid="{00000000-0005-0000-0000-00008B350000}"/>
    <cellStyle name="Normal 2 2 2 2 4 17 5 10" xfId="13750" xr:uid="{00000000-0005-0000-0000-00008C350000}"/>
    <cellStyle name="Normal 2 2 2 2 4 17 5 2" xfId="13751" xr:uid="{00000000-0005-0000-0000-00008D350000}"/>
    <cellStyle name="Normal 2 2 2 2 4 17 5 3" xfId="13752" xr:uid="{00000000-0005-0000-0000-00008E350000}"/>
    <cellStyle name="Normal 2 2 2 2 4 17 5 4" xfId="13753" xr:uid="{00000000-0005-0000-0000-00008F350000}"/>
    <cellStyle name="Normal 2 2 2 2 4 17 5 5" xfId="13754" xr:uid="{00000000-0005-0000-0000-000090350000}"/>
    <cellStyle name="Normal 2 2 2 2 4 17 5 6" xfId="13755" xr:uid="{00000000-0005-0000-0000-000091350000}"/>
    <cellStyle name="Normal 2 2 2 2 4 17 5 7" xfId="13756" xr:uid="{00000000-0005-0000-0000-000092350000}"/>
    <cellStyle name="Normal 2 2 2 2 4 17 5 8" xfId="13757" xr:uid="{00000000-0005-0000-0000-000093350000}"/>
    <cellStyle name="Normal 2 2 2 2 4 17 5 9" xfId="13758" xr:uid="{00000000-0005-0000-0000-000094350000}"/>
    <cellStyle name="Normal 2 2 2 2 4 17 6" xfId="13759" xr:uid="{00000000-0005-0000-0000-000095350000}"/>
    <cellStyle name="Normal 2 2 2 2 4 17 7" xfId="13760" xr:uid="{00000000-0005-0000-0000-000096350000}"/>
    <cellStyle name="Normal 2 2 2 2 4 17 8" xfId="13761" xr:uid="{00000000-0005-0000-0000-000097350000}"/>
    <cellStyle name="Normal 2 2 2 2 4 17 9" xfId="13762" xr:uid="{00000000-0005-0000-0000-000098350000}"/>
    <cellStyle name="Normal 2 2 2 2 4 18" xfId="13763" xr:uid="{00000000-0005-0000-0000-000099350000}"/>
    <cellStyle name="Normal 2 2 2 2 4 18 10" xfId="13764" xr:uid="{00000000-0005-0000-0000-00009A350000}"/>
    <cellStyle name="Normal 2 2 2 2 4 18 11" xfId="13765" xr:uid="{00000000-0005-0000-0000-00009B350000}"/>
    <cellStyle name="Normal 2 2 2 2 4 18 12" xfId="13766" xr:uid="{00000000-0005-0000-0000-00009C350000}"/>
    <cellStyle name="Normal 2 2 2 2 4 18 13" xfId="13767" xr:uid="{00000000-0005-0000-0000-00009D350000}"/>
    <cellStyle name="Normal 2 2 2 2 4 18 14" xfId="13768" xr:uid="{00000000-0005-0000-0000-00009E350000}"/>
    <cellStyle name="Normal 2 2 2 2 4 18 2" xfId="13769" xr:uid="{00000000-0005-0000-0000-00009F350000}"/>
    <cellStyle name="Normal 2 2 2 2 4 18 2 10" xfId="13770" xr:uid="{00000000-0005-0000-0000-0000A0350000}"/>
    <cellStyle name="Normal 2 2 2 2 4 18 2 2" xfId="13771" xr:uid="{00000000-0005-0000-0000-0000A1350000}"/>
    <cellStyle name="Normal 2 2 2 2 4 18 2 3" xfId="13772" xr:uid="{00000000-0005-0000-0000-0000A2350000}"/>
    <cellStyle name="Normal 2 2 2 2 4 18 2 4" xfId="13773" xr:uid="{00000000-0005-0000-0000-0000A3350000}"/>
    <cellStyle name="Normal 2 2 2 2 4 18 2 5" xfId="13774" xr:uid="{00000000-0005-0000-0000-0000A4350000}"/>
    <cellStyle name="Normal 2 2 2 2 4 18 2 6" xfId="13775" xr:uid="{00000000-0005-0000-0000-0000A5350000}"/>
    <cellStyle name="Normal 2 2 2 2 4 18 2 7" xfId="13776" xr:uid="{00000000-0005-0000-0000-0000A6350000}"/>
    <cellStyle name="Normal 2 2 2 2 4 18 2 8" xfId="13777" xr:uid="{00000000-0005-0000-0000-0000A7350000}"/>
    <cellStyle name="Normal 2 2 2 2 4 18 2 9" xfId="13778" xr:uid="{00000000-0005-0000-0000-0000A8350000}"/>
    <cellStyle name="Normal 2 2 2 2 4 18 3" xfId="13779" xr:uid="{00000000-0005-0000-0000-0000A9350000}"/>
    <cellStyle name="Normal 2 2 2 2 4 18 3 10" xfId="13780" xr:uid="{00000000-0005-0000-0000-0000AA350000}"/>
    <cellStyle name="Normal 2 2 2 2 4 18 3 2" xfId="13781" xr:uid="{00000000-0005-0000-0000-0000AB350000}"/>
    <cellStyle name="Normal 2 2 2 2 4 18 3 3" xfId="13782" xr:uid="{00000000-0005-0000-0000-0000AC350000}"/>
    <cellStyle name="Normal 2 2 2 2 4 18 3 4" xfId="13783" xr:uid="{00000000-0005-0000-0000-0000AD350000}"/>
    <cellStyle name="Normal 2 2 2 2 4 18 3 5" xfId="13784" xr:uid="{00000000-0005-0000-0000-0000AE350000}"/>
    <cellStyle name="Normal 2 2 2 2 4 18 3 6" xfId="13785" xr:uid="{00000000-0005-0000-0000-0000AF350000}"/>
    <cellStyle name="Normal 2 2 2 2 4 18 3 7" xfId="13786" xr:uid="{00000000-0005-0000-0000-0000B0350000}"/>
    <cellStyle name="Normal 2 2 2 2 4 18 3 8" xfId="13787" xr:uid="{00000000-0005-0000-0000-0000B1350000}"/>
    <cellStyle name="Normal 2 2 2 2 4 18 3 9" xfId="13788" xr:uid="{00000000-0005-0000-0000-0000B2350000}"/>
    <cellStyle name="Normal 2 2 2 2 4 18 4" xfId="13789" xr:uid="{00000000-0005-0000-0000-0000B3350000}"/>
    <cellStyle name="Normal 2 2 2 2 4 18 4 10" xfId="13790" xr:uid="{00000000-0005-0000-0000-0000B4350000}"/>
    <cellStyle name="Normal 2 2 2 2 4 18 4 2" xfId="13791" xr:uid="{00000000-0005-0000-0000-0000B5350000}"/>
    <cellStyle name="Normal 2 2 2 2 4 18 4 3" xfId="13792" xr:uid="{00000000-0005-0000-0000-0000B6350000}"/>
    <cellStyle name="Normal 2 2 2 2 4 18 4 4" xfId="13793" xr:uid="{00000000-0005-0000-0000-0000B7350000}"/>
    <cellStyle name="Normal 2 2 2 2 4 18 4 5" xfId="13794" xr:uid="{00000000-0005-0000-0000-0000B8350000}"/>
    <cellStyle name="Normal 2 2 2 2 4 18 4 6" xfId="13795" xr:uid="{00000000-0005-0000-0000-0000B9350000}"/>
    <cellStyle name="Normal 2 2 2 2 4 18 4 7" xfId="13796" xr:uid="{00000000-0005-0000-0000-0000BA350000}"/>
    <cellStyle name="Normal 2 2 2 2 4 18 4 8" xfId="13797" xr:uid="{00000000-0005-0000-0000-0000BB350000}"/>
    <cellStyle name="Normal 2 2 2 2 4 18 4 9" xfId="13798" xr:uid="{00000000-0005-0000-0000-0000BC350000}"/>
    <cellStyle name="Normal 2 2 2 2 4 18 5" xfId="13799" xr:uid="{00000000-0005-0000-0000-0000BD350000}"/>
    <cellStyle name="Normal 2 2 2 2 4 18 5 10" xfId="13800" xr:uid="{00000000-0005-0000-0000-0000BE350000}"/>
    <cellStyle name="Normal 2 2 2 2 4 18 5 2" xfId="13801" xr:uid="{00000000-0005-0000-0000-0000BF350000}"/>
    <cellStyle name="Normal 2 2 2 2 4 18 5 3" xfId="13802" xr:uid="{00000000-0005-0000-0000-0000C0350000}"/>
    <cellStyle name="Normal 2 2 2 2 4 18 5 4" xfId="13803" xr:uid="{00000000-0005-0000-0000-0000C1350000}"/>
    <cellStyle name="Normal 2 2 2 2 4 18 5 5" xfId="13804" xr:uid="{00000000-0005-0000-0000-0000C2350000}"/>
    <cellStyle name="Normal 2 2 2 2 4 18 5 6" xfId="13805" xr:uid="{00000000-0005-0000-0000-0000C3350000}"/>
    <cellStyle name="Normal 2 2 2 2 4 18 5 7" xfId="13806" xr:uid="{00000000-0005-0000-0000-0000C4350000}"/>
    <cellStyle name="Normal 2 2 2 2 4 18 5 8" xfId="13807" xr:uid="{00000000-0005-0000-0000-0000C5350000}"/>
    <cellStyle name="Normal 2 2 2 2 4 18 5 9" xfId="13808" xr:uid="{00000000-0005-0000-0000-0000C6350000}"/>
    <cellStyle name="Normal 2 2 2 2 4 18 6" xfId="13809" xr:uid="{00000000-0005-0000-0000-0000C7350000}"/>
    <cellStyle name="Normal 2 2 2 2 4 18 7" xfId="13810" xr:uid="{00000000-0005-0000-0000-0000C8350000}"/>
    <cellStyle name="Normal 2 2 2 2 4 18 8" xfId="13811" xr:uid="{00000000-0005-0000-0000-0000C9350000}"/>
    <cellStyle name="Normal 2 2 2 2 4 18 9" xfId="13812" xr:uid="{00000000-0005-0000-0000-0000CA350000}"/>
    <cellStyle name="Normal 2 2 2 2 4 19" xfId="13813" xr:uid="{00000000-0005-0000-0000-0000CB350000}"/>
    <cellStyle name="Normal 2 2 2 2 4 19 10" xfId="13814" xr:uid="{00000000-0005-0000-0000-0000CC350000}"/>
    <cellStyle name="Normal 2 2 2 2 4 19 11" xfId="13815" xr:uid="{00000000-0005-0000-0000-0000CD350000}"/>
    <cellStyle name="Normal 2 2 2 2 4 19 12" xfId="13816" xr:uid="{00000000-0005-0000-0000-0000CE350000}"/>
    <cellStyle name="Normal 2 2 2 2 4 19 13" xfId="13817" xr:uid="{00000000-0005-0000-0000-0000CF350000}"/>
    <cellStyle name="Normal 2 2 2 2 4 19 14" xfId="13818" xr:uid="{00000000-0005-0000-0000-0000D0350000}"/>
    <cellStyle name="Normal 2 2 2 2 4 19 2" xfId="13819" xr:uid="{00000000-0005-0000-0000-0000D1350000}"/>
    <cellStyle name="Normal 2 2 2 2 4 19 2 10" xfId="13820" xr:uid="{00000000-0005-0000-0000-0000D2350000}"/>
    <cellStyle name="Normal 2 2 2 2 4 19 2 2" xfId="13821" xr:uid="{00000000-0005-0000-0000-0000D3350000}"/>
    <cellStyle name="Normal 2 2 2 2 4 19 2 3" xfId="13822" xr:uid="{00000000-0005-0000-0000-0000D4350000}"/>
    <cellStyle name="Normal 2 2 2 2 4 19 2 4" xfId="13823" xr:uid="{00000000-0005-0000-0000-0000D5350000}"/>
    <cellStyle name="Normal 2 2 2 2 4 19 2 5" xfId="13824" xr:uid="{00000000-0005-0000-0000-0000D6350000}"/>
    <cellStyle name="Normal 2 2 2 2 4 19 2 6" xfId="13825" xr:uid="{00000000-0005-0000-0000-0000D7350000}"/>
    <cellStyle name="Normal 2 2 2 2 4 19 2 7" xfId="13826" xr:uid="{00000000-0005-0000-0000-0000D8350000}"/>
    <cellStyle name="Normal 2 2 2 2 4 19 2 8" xfId="13827" xr:uid="{00000000-0005-0000-0000-0000D9350000}"/>
    <cellStyle name="Normal 2 2 2 2 4 19 2 9" xfId="13828" xr:uid="{00000000-0005-0000-0000-0000DA350000}"/>
    <cellStyle name="Normal 2 2 2 2 4 19 3" xfId="13829" xr:uid="{00000000-0005-0000-0000-0000DB350000}"/>
    <cellStyle name="Normal 2 2 2 2 4 19 3 10" xfId="13830" xr:uid="{00000000-0005-0000-0000-0000DC350000}"/>
    <cellStyle name="Normal 2 2 2 2 4 19 3 2" xfId="13831" xr:uid="{00000000-0005-0000-0000-0000DD350000}"/>
    <cellStyle name="Normal 2 2 2 2 4 19 3 3" xfId="13832" xr:uid="{00000000-0005-0000-0000-0000DE350000}"/>
    <cellStyle name="Normal 2 2 2 2 4 19 3 4" xfId="13833" xr:uid="{00000000-0005-0000-0000-0000DF350000}"/>
    <cellStyle name="Normal 2 2 2 2 4 19 3 5" xfId="13834" xr:uid="{00000000-0005-0000-0000-0000E0350000}"/>
    <cellStyle name="Normal 2 2 2 2 4 19 3 6" xfId="13835" xr:uid="{00000000-0005-0000-0000-0000E1350000}"/>
    <cellStyle name="Normal 2 2 2 2 4 19 3 7" xfId="13836" xr:uid="{00000000-0005-0000-0000-0000E2350000}"/>
    <cellStyle name="Normal 2 2 2 2 4 19 3 8" xfId="13837" xr:uid="{00000000-0005-0000-0000-0000E3350000}"/>
    <cellStyle name="Normal 2 2 2 2 4 19 3 9" xfId="13838" xr:uid="{00000000-0005-0000-0000-0000E4350000}"/>
    <cellStyle name="Normal 2 2 2 2 4 19 4" xfId="13839" xr:uid="{00000000-0005-0000-0000-0000E5350000}"/>
    <cellStyle name="Normal 2 2 2 2 4 19 4 10" xfId="13840" xr:uid="{00000000-0005-0000-0000-0000E6350000}"/>
    <cellStyle name="Normal 2 2 2 2 4 19 4 2" xfId="13841" xr:uid="{00000000-0005-0000-0000-0000E7350000}"/>
    <cellStyle name="Normal 2 2 2 2 4 19 4 3" xfId="13842" xr:uid="{00000000-0005-0000-0000-0000E8350000}"/>
    <cellStyle name="Normal 2 2 2 2 4 19 4 4" xfId="13843" xr:uid="{00000000-0005-0000-0000-0000E9350000}"/>
    <cellStyle name="Normal 2 2 2 2 4 19 4 5" xfId="13844" xr:uid="{00000000-0005-0000-0000-0000EA350000}"/>
    <cellStyle name="Normal 2 2 2 2 4 19 4 6" xfId="13845" xr:uid="{00000000-0005-0000-0000-0000EB350000}"/>
    <cellStyle name="Normal 2 2 2 2 4 19 4 7" xfId="13846" xr:uid="{00000000-0005-0000-0000-0000EC350000}"/>
    <cellStyle name="Normal 2 2 2 2 4 19 4 8" xfId="13847" xr:uid="{00000000-0005-0000-0000-0000ED350000}"/>
    <cellStyle name="Normal 2 2 2 2 4 19 4 9" xfId="13848" xr:uid="{00000000-0005-0000-0000-0000EE350000}"/>
    <cellStyle name="Normal 2 2 2 2 4 19 5" xfId="13849" xr:uid="{00000000-0005-0000-0000-0000EF350000}"/>
    <cellStyle name="Normal 2 2 2 2 4 19 5 10" xfId="13850" xr:uid="{00000000-0005-0000-0000-0000F0350000}"/>
    <cellStyle name="Normal 2 2 2 2 4 19 5 2" xfId="13851" xr:uid="{00000000-0005-0000-0000-0000F1350000}"/>
    <cellStyle name="Normal 2 2 2 2 4 19 5 3" xfId="13852" xr:uid="{00000000-0005-0000-0000-0000F2350000}"/>
    <cellStyle name="Normal 2 2 2 2 4 19 5 4" xfId="13853" xr:uid="{00000000-0005-0000-0000-0000F3350000}"/>
    <cellStyle name="Normal 2 2 2 2 4 19 5 5" xfId="13854" xr:uid="{00000000-0005-0000-0000-0000F4350000}"/>
    <cellStyle name="Normal 2 2 2 2 4 19 5 6" xfId="13855" xr:uid="{00000000-0005-0000-0000-0000F5350000}"/>
    <cellStyle name="Normal 2 2 2 2 4 19 5 7" xfId="13856" xr:uid="{00000000-0005-0000-0000-0000F6350000}"/>
    <cellStyle name="Normal 2 2 2 2 4 19 5 8" xfId="13857" xr:uid="{00000000-0005-0000-0000-0000F7350000}"/>
    <cellStyle name="Normal 2 2 2 2 4 19 5 9" xfId="13858" xr:uid="{00000000-0005-0000-0000-0000F8350000}"/>
    <cellStyle name="Normal 2 2 2 2 4 19 6" xfId="13859" xr:uid="{00000000-0005-0000-0000-0000F9350000}"/>
    <cellStyle name="Normal 2 2 2 2 4 19 7" xfId="13860" xr:uid="{00000000-0005-0000-0000-0000FA350000}"/>
    <cellStyle name="Normal 2 2 2 2 4 19 8" xfId="13861" xr:uid="{00000000-0005-0000-0000-0000FB350000}"/>
    <cellStyle name="Normal 2 2 2 2 4 19 9" xfId="13862" xr:uid="{00000000-0005-0000-0000-0000FC350000}"/>
    <cellStyle name="Normal 2 2 2 2 4 2" xfId="13863" xr:uid="{00000000-0005-0000-0000-0000FD350000}"/>
    <cellStyle name="Normal 2 2 2 2 4 2 10" xfId="13864" xr:uid="{00000000-0005-0000-0000-0000FE350000}"/>
    <cellStyle name="Normal 2 2 2 2 4 2 11" xfId="13865" xr:uid="{00000000-0005-0000-0000-0000FF350000}"/>
    <cellStyle name="Normal 2 2 2 2 4 2 12" xfId="13866" xr:uid="{00000000-0005-0000-0000-000000360000}"/>
    <cellStyle name="Normal 2 2 2 2 4 2 13" xfId="13867" xr:uid="{00000000-0005-0000-0000-000001360000}"/>
    <cellStyle name="Normal 2 2 2 2 4 2 14" xfId="13868" xr:uid="{00000000-0005-0000-0000-000002360000}"/>
    <cellStyle name="Normal 2 2 2 2 4 2 15" xfId="13869" xr:uid="{00000000-0005-0000-0000-000003360000}"/>
    <cellStyle name="Normal 2 2 2 2 4 2 16" xfId="13870" xr:uid="{00000000-0005-0000-0000-000004360000}"/>
    <cellStyle name="Normal 2 2 2 2 4 2 17" xfId="13871" xr:uid="{00000000-0005-0000-0000-000005360000}"/>
    <cellStyle name="Normal 2 2 2 2 4 2 18" xfId="13872" xr:uid="{00000000-0005-0000-0000-000006360000}"/>
    <cellStyle name="Normal 2 2 2 2 4 2 19" xfId="13873" xr:uid="{00000000-0005-0000-0000-000007360000}"/>
    <cellStyle name="Normal 2 2 2 2 4 2 2" xfId="13874" xr:uid="{00000000-0005-0000-0000-000008360000}"/>
    <cellStyle name="Normal 2 2 2 2 4 2 2 10" xfId="13875" xr:uid="{00000000-0005-0000-0000-000009360000}"/>
    <cellStyle name="Normal 2 2 2 2 4 2 2 10 10" xfId="13876" xr:uid="{00000000-0005-0000-0000-00000A360000}"/>
    <cellStyle name="Normal 2 2 2 2 4 2 2 10 11" xfId="13877" xr:uid="{00000000-0005-0000-0000-00000B360000}"/>
    <cellStyle name="Normal 2 2 2 2 4 2 2 10 12" xfId="13878" xr:uid="{00000000-0005-0000-0000-00000C360000}"/>
    <cellStyle name="Normal 2 2 2 2 4 2 2 10 13" xfId="13879" xr:uid="{00000000-0005-0000-0000-00000D360000}"/>
    <cellStyle name="Normal 2 2 2 2 4 2 2 10 14" xfId="13880" xr:uid="{00000000-0005-0000-0000-00000E360000}"/>
    <cellStyle name="Normal 2 2 2 2 4 2 2 10 2" xfId="13881" xr:uid="{00000000-0005-0000-0000-00000F360000}"/>
    <cellStyle name="Normal 2 2 2 2 4 2 2 10 2 10" xfId="13882" xr:uid="{00000000-0005-0000-0000-000010360000}"/>
    <cellStyle name="Normal 2 2 2 2 4 2 2 10 2 2" xfId="13883" xr:uid="{00000000-0005-0000-0000-000011360000}"/>
    <cellStyle name="Normal 2 2 2 2 4 2 2 10 2 3" xfId="13884" xr:uid="{00000000-0005-0000-0000-000012360000}"/>
    <cellStyle name="Normal 2 2 2 2 4 2 2 10 2 4" xfId="13885" xr:uid="{00000000-0005-0000-0000-000013360000}"/>
    <cellStyle name="Normal 2 2 2 2 4 2 2 10 2 5" xfId="13886" xr:uid="{00000000-0005-0000-0000-000014360000}"/>
    <cellStyle name="Normal 2 2 2 2 4 2 2 10 2 6" xfId="13887" xr:uid="{00000000-0005-0000-0000-000015360000}"/>
    <cellStyle name="Normal 2 2 2 2 4 2 2 10 2 7" xfId="13888" xr:uid="{00000000-0005-0000-0000-000016360000}"/>
    <cellStyle name="Normal 2 2 2 2 4 2 2 10 2 8" xfId="13889" xr:uid="{00000000-0005-0000-0000-000017360000}"/>
    <cellStyle name="Normal 2 2 2 2 4 2 2 10 2 9" xfId="13890" xr:uid="{00000000-0005-0000-0000-000018360000}"/>
    <cellStyle name="Normal 2 2 2 2 4 2 2 10 3" xfId="13891" xr:uid="{00000000-0005-0000-0000-000019360000}"/>
    <cellStyle name="Normal 2 2 2 2 4 2 2 10 3 10" xfId="13892" xr:uid="{00000000-0005-0000-0000-00001A360000}"/>
    <cellStyle name="Normal 2 2 2 2 4 2 2 10 3 2" xfId="13893" xr:uid="{00000000-0005-0000-0000-00001B360000}"/>
    <cellStyle name="Normal 2 2 2 2 4 2 2 10 3 3" xfId="13894" xr:uid="{00000000-0005-0000-0000-00001C360000}"/>
    <cellStyle name="Normal 2 2 2 2 4 2 2 10 3 4" xfId="13895" xr:uid="{00000000-0005-0000-0000-00001D360000}"/>
    <cellStyle name="Normal 2 2 2 2 4 2 2 10 3 5" xfId="13896" xr:uid="{00000000-0005-0000-0000-00001E360000}"/>
    <cellStyle name="Normal 2 2 2 2 4 2 2 10 3 6" xfId="13897" xr:uid="{00000000-0005-0000-0000-00001F360000}"/>
    <cellStyle name="Normal 2 2 2 2 4 2 2 10 3 7" xfId="13898" xr:uid="{00000000-0005-0000-0000-000020360000}"/>
    <cellStyle name="Normal 2 2 2 2 4 2 2 10 3 8" xfId="13899" xr:uid="{00000000-0005-0000-0000-000021360000}"/>
    <cellStyle name="Normal 2 2 2 2 4 2 2 10 3 9" xfId="13900" xr:uid="{00000000-0005-0000-0000-000022360000}"/>
    <cellStyle name="Normal 2 2 2 2 4 2 2 10 4" xfId="13901" xr:uid="{00000000-0005-0000-0000-000023360000}"/>
    <cellStyle name="Normal 2 2 2 2 4 2 2 10 4 10" xfId="13902" xr:uid="{00000000-0005-0000-0000-000024360000}"/>
    <cellStyle name="Normal 2 2 2 2 4 2 2 10 4 2" xfId="13903" xr:uid="{00000000-0005-0000-0000-000025360000}"/>
    <cellStyle name="Normal 2 2 2 2 4 2 2 10 4 3" xfId="13904" xr:uid="{00000000-0005-0000-0000-000026360000}"/>
    <cellStyle name="Normal 2 2 2 2 4 2 2 10 4 4" xfId="13905" xr:uid="{00000000-0005-0000-0000-000027360000}"/>
    <cellStyle name="Normal 2 2 2 2 4 2 2 10 4 5" xfId="13906" xr:uid="{00000000-0005-0000-0000-000028360000}"/>
    <cellStyle name="Normal 2 2 2 2 4 2 2 10 4 6" xfId="13907" xr:uid="{00000000-0005-0000-0000-000029360000}"/>
    <cellStyle name="Normal 2 2 2 2 4 2 2 10 4 7" xfId="13908" xr:uid="{00000000-0005-0000-0000-00002A360000}"/>
    <cellStyle name="Normal 2 2 2 2 4 2 2 10 4 8" xfId="13909" xr:uid="{00000000-0005-0000-0000-00002B360000}"/>
    <cellStyle name="Normal 2 2 2 2 4 2 2 10 4 9" xfId="13910" xr:uid="{00000000-0005-0000-0000-00002C360000}"/>
    <cellStyle name="Normal 2 2 2 2 4 2 2 10 5" xfId="13911" xr:uid="{00000000-0005-0000-0000-00002D360000}"/>
    <cellStyle name="Normal 2 2 2 2 4 2 2 10 5 10" xfId="13912" xr:uid="{00000000-0005-0000-0000-00002E360000}"/>
    <cellStyle name="Normal 2 2 2 2 4 2 2 10 5 2" xfId="13913" xr:uid="{00000000-0005-0000-0000-00002F360000}"/>
    <cellStyle name="Normal 2 2 2 2 4 2 2 10 5 3" xfId="13914" xr:uid="{00000000-0005-0000-0000-000030360000}"/>
    <cellStyle name="Normal 2 2 2 2 4 2 2 10 5 4" xfId="13915" xr:uid="{00000000-0005-0000-0000-000031360000}"/>
    <cellStyle name="Normal 2 2 2 2 4 2 2 10 5 5" xfId="13916" xr:uid="{00000000-0005-0000-0000-000032360000}"/>
    <cellStyle name="Normal 2 2 2 2 4 2 2 10 5 6" xfId="13917" xr:uid="{00000000-0005-0000-0000-000033360000}"/>
    <cellStyle name="Normal 2 2 2 2 4 2 2 10 5 7" xfId="13918" xr:uid="{00000000-0005-0000-0000-000034360000}"/>
    <cellStyle name="Normal 2 2 2 2 4 2 2 10 5 8" xfId="13919" xr:uid="{00000000-0005-0000-0000-000035360000}"/>
    <cellStyle name="Normal 2 2 2 2 4 2 2 10 5 9" xfId="13920" xr:uid="{00000000-0005-0000-0000-000036360000}"/>
    <cellStyle name="Normal 2 2 2 2 4 2 2 10 6" xfId="13921" xr:uid="{00000000-0005-0000-0000-000037360000}"/>
    <cellStyle name="Normal 2 2 2 2 4 2 2 10 7" xfId="13922" xr:uid="{00000000-0005-0000-0000-000038360000}"/>
    <cellStyle name="Normal 2 2 2 2 4 2 2 10 8" xfId="13923" xr:uid="{00000000-0005-0000-0000-000039360000}"/>
    <cellStyle name="Normal 2 2 2 2 4 2 2 10 9" xfId="13924" xr:uid="{00000000-0005-0000-0000-00003A360000}"/>
    <cellStyle name="Normal 2 2 2 2 4 2 2 11" xfId="13925" xr:uid="{00000000-0005-0000-0000-00003B360000}"/>
    <cellStyle name="Normal 2 2 2 2 4 2 2 11 10" xfId="13926" xr:uid="{00000000-0005-0000-0000-00003C360000}"/>
    <cellStyle name="Normal 2 2 2 2 4 2 2 11 11" xfId="13927" xr:uid="{00000000-0005-0000-0000-00003D360000}"/>
    <cellStyle name="Normal 2 2 2 2 4 2 2 11 12" xfId="13928" xr:uid="{00000000-0005-0000-0000-00003E360000}"/>
    <cellStyle name="Normal 2 2 2 2 4 2 2 11 13" xfId="13929" xr:uid="{00000000-0005-0000-0000-00003F360000}"/>
    <cellStyle name="Normal 2 2 2 2 4 2 2 11 14" xfId="13930" xr:uid="{00000000-0005-0000-0000-000040360000}"/>
    <cellStyle name="Normal 2 2 2 2 4 2 2 11 2" xfId="13931" xr:uid="{00000000-0005-0000-0000-000041360000}"/>
    <cellStyle name="Normal 2 2 2 2 4 2 2 11 2 10" xfId="13932" xr:uid="{00000000-0005-0000-0000-000042360000}"/>
    <cellStyle name="Normal 2 2 2 2 4 2 2 11 2 2" xfId="13933" xr:uid="{00000000-0005-0000-0000-000043360000}"/>
    <cellStyle name="Normal 2 2 2 2 4 2 2 11 2 3" xfId="13934" xr:uid="{00000000-0005-0000-0000-000044360000}"/>
    <cellStyle name="Normal 2 2 2 2 4 2 2 11 2 4" xfId="13935" xr:uid="{00000000-0005-0000-0000-000045360000}"/>
    <cellStyle name="Normal 2 2 2 2 4 2 2 11 2 5" xfId="13936" xr:uid="{00000000-0005-0000-0000-000046360000}"/>
    <cellStyle name="Normal 2 2 2 2 4 2 2 11 2 6" xfId="13937" xr:uid="{00000000-0005-0000-0000-000047360000}"/>
    <cellStyle name="Normal 2 2 2 2 4 2 2 11 2 7" xfId="13938" xr:uid="{00000000-0005-0000-0000-000048360000}"/>
    <cellStyle name="Normal 2 2 2 2 4 2 2 11 2 8" xfId="13939" xr:uid="{00000000-0005-0000-0000-000049360000}"/>
    <cellStyle name="Normal 2 2 2 2 4 2 2 11 2 9" xfId="13940" xr:uid="{00000000-0005-0000-0000-00004A360000}"/>
    <cellStyle name="Normal 2 2 2 2 4 2 2 11 3" xfId="13941" xr:uid="{00000000-0005-0000-0000-00004B360000}"/>
    <cellStyle name="Normal 2 2 2 2 4 2 2 11 3 10" xfId="13942" xr:uid="{00000000-0005-0000-0000-00004C360000}"/>
    <cellStyle name="Normal 2 2 2 2 4 2 2 11 3 2" xfId="13943" xr:uid="{00000000-0005-0000-0000-00004D360000}"/>
    <cellStyle name="Normal 2 2 2 2 4 2 2 11 3 3" xfId="13944" xr:uid="{00000000-0005-0000-0000-00004E360000}"/>
    <cellStyle name="Normal 2 2 2 2 4 2 2 11 3 4" xfId="13945" xr:uid="{00000000-0005-0000-0000-00004F360000}"/>
    <cellStyle name="Normal 2 2 2 2 4 2 2 11 3 5" xfId="13946" xr:uid="{00000000-0005-0000-0000-000050360000}"/>
    <cellStyle name="Normal 2 2 2 2 4 2 2 11 3 6" xfId="13947" xr:uid="{00000000-0005-0000-0000-000051360000}"/>
    <cellStyle name="Normal 2 2 2 2 4 2 2 11 3 7" xfId="13948" xr:uid="{00000000-0005-0000-0000-000052360000}"/>
    <cellStyle name="Normal 2 2 2 2 4 2 2 11 3 8" xfId="13949" xr:uid="{00000000-0005-0000-0000-000053360000}"/>
    <cellStyle name="Normal 2 2 2 2 4 2 2 11 3 9" xfId="13950" xr:uid="{00000000-0005-0000-0000-000054360000}"/>
    <cellStyle name="Normal 2 2 2 2 4 2 2 11 4" xfId="13951" xr:uid="{00000000-0005-0000-0000-000055360000}"/>
    <cellStyle name="Normal 2 2 2 2 4 2 2 11 4 10" xfId="13952" xr:uid="{00000000-0005-0000-0000-000056360000}"/>
    <cellStyle name="Normal 2 2 2 2 4 2 2 11 4 2" xfId="13953" xr:uid="{00000000-0005-0000-0000-000057360000}"/>
    <cellStyle name="Normal 2 2 2 2 4 2 2 11 4 3" xfId="13954" xr:uid="{00000000-0005-0000-0000-000058360000}"/>
    <cellStyle name="Normal 2 2 2 2 4 2 2 11 4 4" xfId="13955" xr:uid="{00000000-0005-0000-0000-000059360000}"/>
    <cellStyle name="Normal 2 2 2 2 4 2 2 11 4 5" xfId="13956" xr:uid="{00000000-0005-0000-0000-00005A360000}"/>
    <cellStyle name="Normal 2 2 2 2 4 2 2 11 4 6" xfId="13957" xr:uid="{00000000-0005-0000-0000-00005B360000}"/>
    <cellStyle name="Normal 2 2 2 2 4 2 2 11 4 7" xfId="13958" xr:uid="{00000000-0005-0000-0000-00005C360000}"/>
    <cellStyle name="Normal 2 2 2 2 4 2 2 11 4 8" xfId="13959" xr:uid="{00000000-0005-0000-0000-00005D360000}"/>
    <cellStyle name="Normal 2 2 2 2 4 2 2 11 4 9" xfId="13960" xr:uid="{00000000-0005-0000-0000-00005E360000}"/>
    <cellStyle name="Normal 2 2 2 2 4 2 2 11 5" xfId="13961" xr:uid="{00000000-0005-0000-0000-00005F360000}"/>
    <cellStyle name="Normal 2 2 2 2 4 2 2 11 5 10" xfId="13962" xr:uid="{00000000-0005-0000-0000-000060360000}"/>
    <cellStyle name="Normal 2 2 2 2 4 2 2 11 5 2" xfId="13963" xr:uid="{00000000-0005-0000-0000-000061360000}"/>
    <cellStyle name="Normal 2 2 2 2 4 2 2 11 5 3" xfId="13964" xr:uid="{00000000-0005-0000-0000-000062360000}"/>
    <cellStyle name="Normal 2 2 2 2 4 2 2 11 5 4" xfId="13965" xr:uid="{00000000-0005-0000-0000-000063360000}"/>
    <cellStyle name="Normal 2 2 2 2 4 2 2 11 5 5" xfId="13966" xr:uid="{00000000-0005-0000-0000-000064360000}"/>
    <cellStyle name="Normal 2 2 2 2 4 2 2 11 5 6" xfId="13967" xr:uid="{00000000-0005-0000-0000-000065360000}"/>
    <cellStyle name="Normal 2 2 2 2 4 2 2 11 5 7" xfId="13968" xr:uid="{00000000-0005-0000-0000-000066360000}"/>
    <cellStyle name="Normal 2 2 2 2 4 2 2 11 5 8" xfId="13969" xr:uid="{00000000-0005-0000-0000-000067360000}"/>
    <cellStyle name="Normal 2 2 2 2 4 2 2 11 5 9" xfId="13970" xr:uid="{00000000-0005-0000-0000-000068360000}"/>
    <cellStyle name="Normal 2 2 2 2 4 2 2 11 6" xfId="13971" xr:uid="{00000000-0005-0000-0000-000069360000}"/>
    <cellStyle name="Normal 2 2 2 2 4 2 2 11 7" xfId="13972" xr:uid="{00000000-0005-0000-0000-00006A360000}"/>
    <cellStyle name="Normal 2 2 2 2 4 2 2 11 8" xfId="13973" xr:uid="{00000000-0005-0000-0000-00006B360000}"/>
    <cellStyle name="Normal 2 2 2 2 4 2 2 11 9" xfId="13974" xr:uid="{00000000-0005-0000-0000-00006C360000}"/>
    <cellStyle name="Normal 2 2 2 2 4 2 2 12" xfId="13975" xr:uid="{00000000-0005-0000-0000-00006D360000}"/>
    <cellStyle name="Normal 2 2 2 2 4 2 2 12 10" xfId="13976" xr:uid="{00000000-0005-0000-0000-00006E360000}"/>
    <cellStyle name="Normal 2 2 2 2 4 2 2 12 11" xfId="13977" xr:uid="{00000000-0005-0000-0000-00006F360000}"/>
    <cellStyle name="Normal 2 2 2 2 4 2 2 12 12" xfId="13978" xr:uid="{00000000-0005-0000-0000-000070360000}"/>
    <cellStyle name="Normal 2 2 2 2 4 2 2 12 13" xfId="13979" xr:uid="{00000000-0005-0000-0000-000071360000}"/>
    <cellStyle name="Normal 2 2 2 2 4 2 2 12 14" xfId="13980" xr:uid="{00000000-0005-0000-0000-000072360000}"/>
    <cellStyle name="Normal 2 2 2 2 4 2 2 12 2" xfId="13981" xr:uid="{00000000-0005-0000-0000-000073360000}"/>
    <cellStyle name="Normal 2 2 2 2 4 2 2 12 2 10" xfId="13982" xr:uid="{00000000-0005-0000-0000-000074360000}"/>
    <cellStyle name="Normal 2 2 2 2 4 2 2 12 2 2" xfId="13983" xr:uid="{00000000-0005-0000-0000-000075360000}"/>
    <cellStyle name="Normal 2 2 2 2 4 2 2 12 2 3" xfId="13984" xr:uid="{00000000-0005-0000-0000-000076360000}"/>
    <cellStyle name="Normal 2 2 2 2 4 2 2 12 2 4" xfId="13985" xr:uid="{00000000-0005-0000-0000-000077360000}"/>
    <cellStyle name="Normal 2 2 2 2 4 2 2 12 2 5" xfId="13986" xr:uid="{00000000-0005-0000-0000-000078360000}"/>
    <cellStyle name="Normal 2 2 2 2 4 2 2 12 2 6" xfId="13987" xr:uid="{00000000-0005-0000-0000-000079360000}"/>
    <cellStyle name="Normal 2 2 2 2 4 2 2 12 2 7" xfId="13988" xr:uid="{00000000-0005-0000-0000-00007A360000}"/>
    <cellStyle name="Normal 2 2 2 2 4 2 2 12 2 8" xfId="13989" xr:uid="{00000000-0005-0000-0000-00007B360000}"/>
    <cellStyle name="Normal 2 2 2 2 4 2 2 12 2 9" xfId="13990" xr:uid="{00000000-0005-0000-0000-00007C360000}"/>
    <cellStyle name="Normal 2 2 2 2 4 2 2 12 3" xfId="13991" xr:uid="{00000000-0005-0000-0000-00007D360000}"/>
    <cellStyle name="Normal 2 2 2 2 4 2 2 12 3 10" xfId="13992" xr:uid="{00000000-0005-0000-0000-00007E360000}"/>
    <cellStyle name="Normal 2 2 2 2 4 2 2 12 3 2" xfId="13993" xr:uid="{00000000-0005-0000-0000-00007F360000}"/>
    <cellStyle name="Normal 2 2 2 2 4 2 2 12 3 3" xfId="13994" xr:uid="{00000000-0005-0000-0000-000080360000}"/>
    <cellStyle name="Normal 2 2 2 2 4 2 2 12 3 4" xfId="13995" xr:uid="{00000000-0005-0000-0000-000081360000}"/>
    <cellStyle name="Normal 2 2 2 2 4 2 2 12 3 5" xfId="13996" xr:uid="{00000000-0005-0000-0000-000082360000}"/>
    <cellStyle name="Normal 2 2 2 2 4 2 2 12 3 6" xfId="13997" xr:uid="{00000000-0005-0000-0000-000083360000}"/>
    <cellStyle name="Normal 2 2 2 2 4 2 2 12 3 7" xfId="13998" xr:uid="{00000000-0005-0000-0000-000084360000}"/>
    <cellStyle name="Normal 2 2 2 2 4 2 2 12 3 8" xfId="13999" xr:uid="{00000000-0005-0000-0000-000085360000}"/>
    <cellStyle name="Normal 2 2 2 2 4 2 2 12 3 9" xfId="14000" xr:uid="{00000000-0005-0000-0000-000086360000}"/>
    <cellStyle name="Normal 2 2 2 2 4 2 2 12 4" xfId="14001" xr:uid="{00000000-0005-0000-0000-000087360000}"/>
    <cellStyle name="Normal 2 2 2 2 4 2 2 12 4 10" xfId="14002" xr:uid="{00000000-0005-0000-0000-000088360000}"/>
    <cellStyle name="Normal 2 2 2 2 4 2 2 12 4 2" xfId="14003" xr:uid="{00000000-0005-0000-0000-000089360000}"/>
    <cellStyle name="Normal 2 2 2 2 4 2 2 12 4 3" xfId="14004" xr:uid="{00000000-0005-0000-0000-00008A360000}"/>
    <cellStyle name="Normal 2 2 2 2 4 2 2 12 4 4" xfId="14005" xr:uid="{00000000-0005-0000-0000-00008B360000}"/>
    <cellStyle name="Normal 2 2 2 2 4 2 2 12 4 5" xfId="14006" xr:uid="{00000000-0005-0000-0000-00008C360000}"/>
    <cellStyle name="Normal 2 2 2 2 4 2 2 12 4 6" xfId="14007" xr:uid="{00000000-0005-0000-0000-00008D360000}"/>
    <cellStyle name="Normal 2 2 2 2 4 2 2 12 4 7" xfId="14008" xr:uid="{00000000-0005-0000-0000-00008E360000}"/>
    <cellStyle name="Normal 2 2 2 2 4 2 2 12 4 8" xfId="14009" xr:uid="{00000000-0005-0000-0000-00008F360000}"/>
    <cellStyle name="Normal 2 2 2 2 4 2 2 12 4 9" xfId="14010" xr:uid="{00000000-0005-0000-0000-000090360000}"/>
    <cellStyle name="Normal 2 2 2 2 4 2 2 12 5" xfId="14011" xr:uid="{00000000-0005-0000-0000-000091360000}"/>
    <cellStyle name="Normal 2 2 2 2 4 2 2 12 5 10" xfId="14012" xr:uid="{00000000-0005-0000-0000-000092360000}"/>
    <cellStyle name="Normal 2 2 2 2 4 2 2 12 5 2" xfId="14013" xr:uid="{00000000-0005-0000-0000-000093360000}"/>
    <cellStyle name="Normal 2 2 2 2 4 2 2 12 5 3" xfId="14014" xr:uid="{00000000-0005-0000-0000-000094360000}"/>
    <cellStyle name="Normal 2 2 2 2 4 2 2 12 5 4" xfId="14015" xr:uid="{00000000-0005-0000-0000-000095360000}"/>
    <cellStyle name="Normal 2 2 2 2 4 2 2 12 5 5" xfId="14016" xr:uid="{00000000-0005-0000-0000-000096360000}"/>
    <cellStyle name="Normal 2 2 2 2 4 2 2 12 5 6" xfId="14017" xr:uid="{00000000-0005-0000-0000-000097360000}"/>
    <cellStyle name="Normal 2 2 2 2 4 2 2 12 5 7" xfId="14018" xr:uid="{00000000-0005-0000-0000-000098360000}"/>
    <cellStyle name="Normal 2 2 2 2 4 2 2 12 5 8" xfId="14019" xr:uid="{00000000-0005-0000-0000-000099360000}"/>
    <cellStyle name="Normal 2 2 2 2 4 2 2 12 5 9" xfId="14020" xr:uid="{00000000-0005-0000-0000-00009A360000}"/>
    <cellStyle name="Normal 2 2 2 2 4 2 2 12 6" xfId="14021" xr:uid="{00000000-0005-0000-0000-00009B360000}"/>
    <cellStyle name="Normal 2 2 2 2 4 2 2 12 7" xfId="14022" xr:uid="{00000000-0005-0000-0000-00009C360000}"/>
    <cellStyle name="Normal 2 2 2 2 4 2 2 12 8" xfId="14023" xr:uid="{00000000-0005-0000-0000-00009D360000}"/>
    <cellStyle name="Normal 2 2 2 2 4 2 2 12 9" xfId="14024" xr:uid="{00000000-0005-0000-0000-00009E360000}"/>
    <cellStyle name="Normal 2 2 2 2 4 2 2 13" xfId="14025" xr:uid="{00000000-0005-0000-0000-00009F360000}"/>
    <cellStyle name="Normal 2 2 2 2 4 2 2 13 10" xfId="14026" xr:uid="{00000000-0005-0000-0000-0000A0360000}"/>
    <cellStyle name="Normal 2 2 2 2 4 2 2 13 11" xfId="14027" xr:uid="{00000000-0005-0000-0000-0000A1360000}"/>
    <cellStyle name="Normal 2 2 2 2 4 2 2 13 12" xfId="14028" xr:uid="{00000000-0005-0000-0000-0000A2360000}"/>
    <cellStyle name="Normal 2 2 2 2 4 2 2 13 13" xfId="14029" xr:uid="{00000000-0005-0000-0000-0000A3360000}"/>
    <cellStyle name="Normal 2 2 2 2 4 2 2 13 14" xfId="14030" xr:uid="{00000000-0005-0000-0000-0000A4360000}"/>
    <cellStyle name="Normal 2 2 2 2 4 2 2 13 2" xfId="14031" xr:uid="{00000000-0005-0000-0000-0000A5360000}"/>
    <cellStyle name="Normal 2 2 2 2 4 2 2 13 2 10" xfId="14032" xr:uid="{00000000-0005-0000-0000-0000A6360000}"/>
    <cellStyle name="Normal 2 2 2 2 4 2 2 13 2 2" xfId="14033" xr:uid="{00000000-0005-0000-0000-0000A7360000}"/>
    <cellStyle name="Normal 2 2 2 2 4 2 2 13 2 3" xfId="14034" xr:uid="{00000000-0005-0000-0000-0000A8360000}"/>
    <cellStyle name="Normal 2 2 2 2 4 2 2 13 2 4" xfId="14035" xr:uid="{00000000-0005-0000-0000-0000A9360000}"/>
    <cellStyle name="Normal 2 2 2 2 4 2 2 13 2 5" xfId="14036" xr:uid="{00000000-0005-0000-0000-0000AA360000}"/>
    <cellStyle name="Normal 2 2 2 2 4 2 2 13 2 6" xfId="14037" xr:uid="{00000000-0005-0000-0000-0000AB360000}"/>
    <cellStyle name="Normal 2 2 2 2 4 2 2 13 2 7" xfId="14038" xr:uid="{00000000-0005-0000-0000-0000AC360000}"/>
    <cellStyle name="Normal 2 2 2 2 4 2 2 13 2 8" xfId="14039" xr:uid="{00000000-0005-0000-0000-0000AD360000}"/>
    <cellStyle name="Normal 2 2 2 2 4 2 2 13 2 9" xfId="14040" xr:uid="{00000000-0005-0000-0000-0000AE360000}"/>
    <cellStyle name="Normal 2 2 2 2 4 2 2 13 3" xfId="14041" xr:uid="{00000000-0005-0000-0000-0000AF360000}"/>
    <cellStyle name="Normal 2 2 2 2 4 2 2 13 3 10" xfId="14042" xr:uid="{00000000-0005-0000-0000-0000B0360000}"/>
    <cellStyle name="Normal 2 2 2 2 4 2 2 13 3 2" xfId="14043" xr:uid="{00000000-0005-0000-0000-0000B1360000}"/>
    <cellStyle name="Normal 2 2 2 2 4 2 2 13 3 3" xfId="14044" xr:uid="{00000000-0005-0000-0000-0000B2360000}"/>
    <cellStyle name="Normal 2 2 2 2 4 2 2 13 3 4" xfId="14045" xr:uid="{00000000-0005-0000-0000-0000B3360000}"/>
    <cellStyle name="Normal 2 2 2 2 4 2 2 13 3 5" xfId="14046" xr:uid="{00000000-0005-0000-0000-0000B4360000}"/>
    <cellStyle name="Normal 2 2 2 2 4 2 2 13 3 6" xfId="14047" xr:uid="{00000000-0005-0000-0000-0000B5360000}"/>
    <cellStyle name="Normal 2 2 2 2 4 2 2 13 3 7" xfId="14048" xr:uid="{00000000-0005-0000-0000-0000B6360000}"/>
    <cellStyle name="Normal 2 2 2 2 4 2 2 13 3 8" xfId="14049" xr:uid="{00000000-0005-0000-0000-0000B7360000}"/>
    <cellStyle name="Normal 2 2 2 2 4 2 2 13 3 9" xfId="14050" xr:uid="{00000000-0005-0000-0000-0000B8360000}"/>
    <cellStyle name="Normal 2 2 2 2 4 2 2 13 4" xfId="14051" xr:uid="{00000000-0005-0000-0000-0000B9360000}"/>
    <cellStyle name="Normal 2 2 2 2 4 2 2 13 4 10" xfId="14052" xr:uid="{00000000-0005-0000-0000-0000BA360000}"/>
    <cellStyle name="Normal 2 2 2 2 4 2 2 13 4 2" xfId="14053" xr:uid="{00000000-0005-0000-0000-0000BB360000}"/>
    <cellStyle name="Normal 2 2 2 2 4 2 2 13 4 3" xfId="14054" xr:uid="{00000000-0005-0000-0000-0000BC360000}"/>
    <cellStyle name="Normal 2 2 2 2 4 2 2 13 4 4" xfId="14055" xr:uid="{00000000-0005-0000-0000-0000BD360000}"/>
    <cellStyle name="Normal 2 2 2 2 4 2 2 13 4 5" xfId="14056" xr:uid="{00000000-0005-0000-0000-0000BE360000}"/>
    <cellStyle name="Normal 2 2 2 2 4 2 2 13 4 6" xfId="14057" xr:uid="{00000000-0005-0000-0000-0000BF360000}"/>
    <cellStyle name="Normal 2 2 2 2 4 2 2 13 4 7" xfId="14058" xr:uid="{00000000-0005-0000-0000-0000C0360000}"/>
    <cellStyle name="Normal 2 2 2 2 4 2 2 13 4 8" xfId="14059" xr:uid="{00000000-0005-0000-0000-0000C1360000}"/>
    <cellStyle name="Normal 2 2 2 2 4 2 2 13 4 9" xfId="14060" xr:uid="{00000000-0005-0000-0000-0000C2360000}"/>
    <cellStyle name="Normal 2 2 2 2 4 2 2 13 5" xfId="14061" xr:uid="{00000000-0005-0000-0000-0000C3360000}"/>
    <cellStyle name="Normal 2 2 2 2 4 2 2 13 5 10" xfId="14062" xr:uid="{00000000-0005-0000-0000-0000C4360000}"/>
    <cellStyle name="Normal 2 2 2 2 4 2 2 13 5 2" xfId="14063" xr:uid="{00000000-0005-0000-0000-0000C5360000}"/>
    <cellStyle name="Normal 2 2 2 2 4 2 2 13 5 3" xfId="14064" xr:uid="{00000000-0005-0000-0000-0000C6360000}"/>
    <cellStyle name="Normal 2 2 2 2 4 2 2 13 5 4" xfId="14065" xr:uid="{00000000-0005-0000-0000-0000C7360000}"/>
    <cellStyle name="Normal 2 2 2 2 4 2 2 13 5 5" xfId="14066" xr:uid="{00000000-0005-0000-0000-0000C8360000}"/>
    <cellStyle name="Normal 2 2 2 2 4 2 2 13 5 6" xfId="14067" xr:uid="{00000000-0005-0000-0000-0000C9360000}"/>
    <cellStyle name="Normal 2 2 2 2 4 2 2 13 5 7" xfId="14068" xr:uid="{00000000-0005-0000-0000-0000CA360000}"/>
    <cellStyle name="Normal 2 2 2 2 4 2 2 13 5 8" xfId="14069" xr:uid="{00000000-0005-0000-0000-0000CB360000}"/>
    <cellStyle name="Normal 2 2 2 2 4 2 2 13 5 9" xfId="14070" xr:uid="{00000000-0005-0000-0000-0000CC360000}"/>
    <cellStyle name="Normal 2 2 2 2 4 2 2 13 6" xfId="14071" xr:uid="{00000000-0005-0000-0000-0000CD360000}"/>
    <cellStyle name="Normal 2 2 2 2 4 2 2 13 7" xfId="14072" xr:uid="{00000000-0005-0000-0000-0000CE360000}"/>
    <cellStyle name="Normal 2 2 2 2 4 2 2 13 8" xfId="14073" xr:uid="{00000000-0005-0000-0000-0000CF360000}"/>
    <cellStyle name="Normal 2 2 2 2 4 2 2 13 9" xfId="14074" xr:uid="{00000000-0005-0000-0000-0000D0360000}"/>
    <cellStyle name="Normal 2 2 2 2 4 2 2 14" xfId="14075" xr:uid="{00000000-0005-0000-0000-0000D1360000}"/>
    <cellStyle name="Normal 2 2 2 2 4 2 2 14 10" xfId="14076" xr:uid="{00000000-0005-0000-0000-0000D2360000}"/>
    <cellStyle name="Normal 2 2 2 2 4 2 2 14 11" xfId="14077" xr:uid="{00000000-0005-0000-0000-0000D3360000}"/>
    <cellStyle name="Normal 2 2 2 2 4 2 2 14 12" xfId="14078" xr:uid="{00000000-0005-0000-0000-0000D4360000}"/>
    <cellStyle name="Normal 2 2 2 2 4 2 2 14 13" xfId="14079" xr:uid="{00000000-0005-0000-0000-0000D5360000}"/>
    <cellStyle name="Normal 2 2 2 2 4 2 2 14 14" xfId="14080" xr:uid="{00000000-0005-0000-0000-0000D6360000}"/>
    <cellStyle name="Normal 2 2 2 2 4 2 2 14 2" xfId="14081" xr:uid="{00000000-0005-0000-0000-0000D7360000}"/>
    <cellStyle name="Normal 2 2 2 2 4 2 2 14 2 10" xfId="14082" xr:uid="{00000000-0005-0000-0000-0000D8360000}"/>
    <cellStyle name="Normal 2 2 2 2 4 2 2 14 2 2" xfId="14083" xr:uid="{00000000-0005-0000-0000-0000D9360000}"/>
    <cellStyle name="Normal 2 2 2 2 4 2 2 14 2 3" xfId="14084" xr:uid="{00000000-0005-0000-0000-0000DA360000}"/>
    <cellStyle name="Normal 2 2 2 2 4 2 2 14 2 4" xfId="14085" xr:uid="{00000000-0005-0000-0000-0000DB360000}"/>
    <cellStyle name="Normal 2 2 2 2 4 2 2 14 2 5" xfId="14086" xr:uid="{00000000-0005-0000-0000-0000DC360000}"/>
    <cellStyle name="Normal 2 2 2 2 4 2 2 14 2 6" xfId="14087" xr:uid="{00000000-0005-0000-0000-0000DD360000}"/>
    <cellStyle name="Normal 2 2 2 2 4 2 2 14 2 7" xfId="14088" xr:uid="{00000000-0005-0000-0000-0000DE360000}"/>
    <cellStyle name="Normal 2 2 2 2 4 2 2 14 2 8" xfId="14089" xr:uid="{00000000-0005-0000-0000-0000DF360000}"/>
    <cellStyle name="Normal 2 2 2 2 4 2 2 14 2 9" xfId="14090" xr:uid="{00000000-0005-0000-0000-0000E0360000}"/>
    <cellStyle name="Normal 2 2 2 2 4 2 2 14 3" xfId="14091" xr:uid="{00000000-0005-0000-0000-0000E1360000}"/>
    <cellStyle name="Normal 2 2 2 2 4 2 2 14 3 10" xfId="14092" xr:uid="{00000000-0005-0000-0000-0000E2360000}"/>
    <cellStyle name="Normal 2 2 2 2 4 2 2 14 3 2" xfId="14093" xr:uid="{00000000-0005-0000-0000-0000E3360000}"/>
    <cellStyle name="Normal 2 2 2 2 4 2 2 14 3 3" xfId="14094" xr:uid="{00000000-0005-0000-0000-0000E4360000}"/>
    <cellStyle name="Normal 2 2 2 2 4 2 2 14 3 4" xfId="14095" xr:uid="{00000000-0005-0000-0000-0000E5360000}"/>
    <cellStyle name="Normal 2 2 2 2 4 2 2 14 3 5" xfId="14096" xr:uid="{00000000-0005-0000-0000-0000E6360000}"/>
    <cellStyle name="Normal 2 2 2 2 4 2 2 14 3 6" xfId="14097" xr:uid="{00000000-0005-0000-0000-0000E7360000}"/>
    <cellStyle name="Normal 2 2 2 2 4 2 2 14 3 7" xfId="14098" xr:uid="{00000000-0005-0000-0000-0000E8360000}"/>
    <cellStyle name="Normal 2 2 2 2 4 2 2 14 3 8" xfId="14099" xr:uid="{00000000-0005-0000-0000-0000E9360000}"/>
    <cellStyle name="Normal 2 2 2 2 4 2 2 14 3 9" xfId="14100" xr:uid="{00000000-0005-0000-0000-0000EA360000}"/>
    <cellStyle name="Normal 2 2 2 2 4 2 2 14 4" xfId="14101" xr:uid="{00000000-0005-0000-0000-0000EB360000}"/>
    <cellStyle name="Normal 2 2 2 2 4 2 2 14 4 10" xfId="14102" xr:uid="{00000000-0005-0000-0000-0000EC360000}"/>
    <cellStyle name="Normal 2 2 2 2 4 2 2 14 4 2" xfId="14103" xr:uid="{00000000-0005-0000-0000-0000ED360000}"/>
    <cellStyle name="Normal 2 2 2 2 4 2 2 14 4 3" xfId="14104" xr:uid="{00000000-0005-0000-0000-0000EE360000}"/>
    <cellStyle name="Normal 2 2 2 2 4 2 2 14 4 4" xfId="14105" xr:uid="{00000000-0005-0000-0000-0000EF360000}"/>
    <cellStyle name="Normal 2 2 2 2 4 2 2 14 4 5" xfId="14106" xr:uid="{00000000-0005-0000-0000-0000F0360000}"/>
    <cellStyle name="Normal 2 2 2 2 4 2 2 14 4 6" xfId="14107" xr:uid="{00000000-0005-0000-0000-0000F1360000}"/>
    <cellStyle name="Normal 2 2 2 2 4 2 2 14 4 7" xfId="14108" xr:uid="{00000000-0005-0000-0000-0000F2360000}"/>
    <cellStyle name="Normal 2 2 2 2 4 2 2 14 4 8" xfId="14109" xr:uid="{00000000-0005-0000-0000-0000F3360000}"/>
    <cellStyle name="Normal 2 2 2 2 4 2 2 14 4 9" xfId="14110" xr:uid="{00000000-0005-0000-0000-0000F4360000}"/>
    <cellStyle name="Normal 2 2 2 2 4 2 2 14 5" xfId="14111" xr:uid="{00000000-0005-0000-0000-0000F5360000}"/>
    <cellStyle name="Normal 2 2 2 2 4 2 2 14 5 10" xfId="14112" xr:uid="{00000000-0005-0000-0000-0000F6360000}"/>
    <cellStyle name="Normal 2 2 2 2 4 2 2 14 5 2" xfId="14113" xr:uid="{00000000-0005-0000-0000-0000F7360000}"/>
    <cellStyle name="Normal 2 2 2 2 4 2 2 14 5 3" xfId="14114" xr:uid="{00000000-0005-0000-0000-0000F8360000}"/>
    <cellStyle name="Normal 2 2 2 2 4 2 2 14 5 4" xfId="14115" xr:uid="{00000000-0005-0000-0000-0000F9360000}"/>
    <cellStyle name="Normal 2 2 2 2 4 2 2 14 5 5" xfId="14116" xr:uid="{00000000-0005-0000-0000-0000FA360000}"/>
    <cellStyle name="Normal 2 2 2 2 4 2 2 14 5 6" xfId="14117" xr:uid="{00000000-0005-0000-0000-0000FB360000}"/>
    <cellStyle name="Normal 2 2 2 2 4 2 2 14 5 7" xfId="14118" xr:uid="{00000000-0005-0000-0000-0000FC360000}"/>
    <cellStyle name="Normal 2 2 2 2 4 2 2 14 5 8" xfId="14119" xr:uid="{00000000-0005-0000-0000-0000FD360000}"/>
    <cellStyle name="Normal 2 2 2 2 4 2 2 14 5 9" xfId="14120" xr:uid="{00000000-0005-0000-0000-0000FE360000}"/>
    <cellStyle name="Normal 2 2 2 2 4 2 2 14 6" xfId="14121" xr:uid="{00000000-0005-0000-0000-0000FF360000}"/>
    <cellStyle name="Normal 2 2 2 2 4 2 2 14 7" xfId="14122" xr:uid="{00000000-0005-0000-0000-000000370000}"/>
    <cellStyle name="Normal 2 2 2 2 4 2 2 14 8" xfId="14123" xr:uid="{00000000-0005-0000-0000-000001370000}"/>
    <cellStyle name="Normal 2 2 2 2 4 2 2 14 9" xfId="14124" xr:uid="{00000000-0005-0000-0000-000002370000}"/>
    <cellStyle name="Normal 2 2 2 2 4 2 2 15" xfId="14125" xr:uid="{00000000-0005-0000-0000-000003370000}"/>
    <cellStyle name="Normal 2 2 2 2 4 2 2 15 10" xfId="14126" xr:uid="{00000000-0005-0000-0000-000004370000}"/>
    <cellStyle name="Normal 2 2 2 2 4 2 2 15 11" xfId="14127" xr:uid="{00000000-0005-0000-0000-000005370000}"/>
    <cellStyle name="Normal 2 2 2 2 4 2 2 15 12" xfId="14128" xr:uid="{00000000-0005-0000-0000-000006370000}"/>
    <cellStyle name="Normal 2 2 2 2 4 2 2 15 13" xfId="14129" xr:uid="{00000000-0005-0000-0000-000007370000}"/>
    <cellStyle name="Normal 2 2 2 2 4 2 2 15 14" xfId="14130" xr:uid="{00000000-0005-0000-0000-000008370000}"/>
    <cellStyle name="Normal 2 2 2 2 4 2 2 15 2" xfId="14131" xr:uid="{00000000-0005-0000-0000-000009370000}"/>
    <cellStyle name="Normal 2 2 2 2 4 2 2 15 2 10" xfId="14132" xr:uid="{00000000-0005-0000-0000-00000A370000}"/>
    <cellStyle name="Normal 2 2 2 2 4 2 2 15 2 2" xfId="14133" xr:uid="{00000000-0005-0000-0000-00000B370000}"/>
    <cellStyle name="Normal 2 2 2 2 4 2 2 15 2 3" xfId="14134" xr:uid="{00000000-0005-0000-0000-00000C370000}"/>
    <cellStyle name="Normal 2 2 2 2 4 2 2 15 2 4" xfId="14135" xr:uid="{00000000-0005-0000-0000-00000D370000}"/>
    <cellStyle name="Normal 2 2 2 2 4 2 2 15 2 5" xfId="14136" xr:uid="{00000000-0005-0000-0000-00000E370000}"/>
    <cellStyle name="Normal 2 2 2 2 4 2 2 15 2 6" xfId="14137" xr:uid="{00000000-0005-0000-0000-00000F370000}"/>
    <cellStyle name="Normal 2 2 2 2 4 2 2 15 2 7" xfId="14138" xr:uid="{00000000-0005-0000-0000-000010370000}"/>
    <cellStyle name="Normal 2 2 2 2 4 2 2 15 2 8" xfId="14139" xr:uid="{00000000-0005-0000-0000-000011370000}"/>
    <cellStyle name="Normal 2 2 2 2 4 2 2 15 2 9" xfId="14140" xr:uid="{00000000-0005-0000-0000-000012370000}"/>
    <cellStyle name="Normal 2 2 2 2 4 2 2 15 3" xfId="14141" xr:uid="{00000000-0005-0000-0000-000013370000}"/>
    <cellStyle name="Normal 2 2 2 2 4 2 2 15 3 10" xfId="14142" xr:uid="{00000000-0005-0000-0000-000014370000}"/>
    <cellStyle name="Normal 2 2 2 2 4 2 2 15 3 2" xfId="14143" xr:uid="{00000000-0005-0000-0000-000015370000}"/>
    <cellStyle name="Normal 2 2 2 2 4 2 2 15 3 3" xfId="14144" xr:uid="{00000000-0005-0000-0000-000016370000}"/>
    <cellStyle name="Normal 2 2 2 2 4 2 2 15 3 4" xfId="14145" xr:uid="{00000000-0005-0000-0000-000017370000}"/>
    <cellStyle name="Normal 2 2 2 2 4 2 2 15 3 5" xfId="14146" xr:uid="{00000000-0005-0000-0000-000018370000}"/>
    <cellStyle name="Normal 2 2 2 2 4 2 2 15 3 6" xfId="14147" xr:uid="{00000000-0005-0000-0000-000019370000}"/>
    <cellStyle name="Normal 2 2 2 2 4 2 2 15 3 7" xfId="14148" xr:uid="{00000000-0005-0000-0000-00001A370000}"/>
    <cellStyle name="Normal 2 2 2 2 4 2 2 15 3 8" xfId="14149" xr:uid="{00000000-0005-0000-0000-00001B370000}"/>
    <cellStyle name="Normal 2 2 2 2 4 2 2 15 3 9" xfId="14150" xr:uid="{00000000-0005-0000-0000-00001C370000}"/>
    <cellStyle name="Normal 2 2 2 2 4 2 2 15 4" xfId="14151" xr:uid="{00000000-0005-0000-0000-00001D370000}"/>
    <cellStyle name="Normal 2 2 2 2 4 2 2 15 4 10" xfId="14152" xr:uid="{00000000-0005-0000-0000-00001E370000}"/>
    <cellStyle name="Normal 2 2 2 2 4 2 2 15 4 2" xfId="14153" xr:uid="{00000000-0005-0000-0000-00001F370000}"/>
    <cellStyle name="Normal 2 2 2 2 4 2 2 15 4 3" xfId="14154" xr:uid="{00000000-0005-0000-0000-000020370000}"/>
    <cellStyle name="Normal 2 2 2 2 4 2 2 15 4 4" xfId="14155" xr:uid="{00000000-0005-0000-0000-000021370000}"/>
    <cellStyle name="Normal 2 2 2 2 4 2 2 15 4 5" xfId="14156" xr:uid="{00000000-0005-0000-0000-000022370000}"/>
    <cellStyle name="Normal 2 2 2 2 4 2 2 15 4 6" xfId="14157" xr:uid="{00000000-0005-0000-0000-000023370000}"/>
    <cellStyle name="Normal 2 2 2 2 4 2 2 15 4 7" xfId="14158" xr:uid="{00000000-0005-0000-0000-000024370000}"/>
    <cellStyle name="Normal 2 2 2 2 4 2 2 15 4 8" xfId="14159" xr:uid="{00000000-0005-0000-0000-000025370000}"/>
    <cellStyle name="Normal 2 2 2 2 4 2 2 15 4 9" xfId="14160" xr:uid="{00000000-0005-0000-0000-000026370000}"/>
    <cellStyle name="Normal 2 2 2 2 4 2 2 15 5" xfId="14161" xr:uid="{00000000-0005-0000-0000-000027370000}"/>
    <cellStyle name="Normal 2 2 2 2 4 2 2 15 5 10" xfId="14162" xr:uid="{00000000-0005-0000-0000-000028370000}"/>
    <cellStyle name="Normal 2 2 2 2 4 2 2 15 5 2" xfId="14163" xr:uid="{00000000-0005-0000-0000-000029370000}"/>
    <cellStyle name="Normal 2 2 2 2 4 2 2 15 5 3" xfId="14164" xr:uid="{00000000-0005-0000-0000-00002A370000}"/>
    <cellStyle name="Normal 2 2 2 2 4 2 2 15 5 4" xfId="14165" xr:uid="{00000000-0005-0000-0000-00002B370000}"/>
    <cellStyle name="Normal 2 2 2 2 4 2 2 15 5 5" xfId="14166" xr:uid="{00000000-0005-0000-0000-00002C370000}"/>
    <cellStyle name="Normal 2 2 2 2 4 2 2 15 5 6" xfId="14167" xr:uid="{00000000-0005-0000-0000-00002D370000}"/>
    <cellStyle name="Normal 2 2 2 2 4 2 2 15 5 7" xfId="14168" xr:uid="{00000000-0005-0000-0000-00002E370000}"/>
    <cellStyle name="Normal 2 2 2 2 4 2 2 15 5 8" xfId="14169" xr:uid="{00000000-0005-0000-0000-00002F370000}"/>
    <cellStyle name="Normal 2 2 2 2 4 2 2 15 5 9" xfId="14170" xr:uid="{00000000-0005-0000-0000-000030370000}"/>
    <cellStyle name="Normal 2 2 2 2 4 2 2 15 6" xfId="14171" xr:uid="{00000000-0005-0000-0000-000031370000}"/>
    <cellStyle name="Normal 2 2 2 2 4 2 2 15 7" xfId="14172" xr:uid="{00000000-0005-0000-0000-000032370000}"/>
    <cellStyle name="Normal 2 2 2 2 4 2 2 15 8" xfId="14173" xr:uid="{00000000-0005-0000-0000-000033370000}"/>
    <cellStyle name="Normal 2 2 2 2 4 2 2 15 9" xfId="14174" xr:uid="{00000000-0005-0000-0000-000034370000}"/>
    <cellStyle name="Normal 2 2 2 2 4 2 2 16" xfId="14175" xr:uid="{00000000-0005-0000-0000-000035370000}"/>
    <cellStyle name="Normal 2 2 2 2 4 2 2 16 10" xfId="14176" xr:uid="{00000000-0005-0000-0000-000036370000}"/>
    <cellStyle name="Normal 2 2 2 2 4 2 2 16 11" xfId="14177" xr:uid="{00000000-0005-0000-0000-000037370000}"/>
    <cellStyle name="Normal 2 2 2 2 4 2 2 16 12" xfId="14178" xr:uid="{00000000-0005-0000-0000-000038370000}"/>
    <cellStyle name="Normal 2 2 2 2 4 2 2 16 13" xfId="14179" xr:uid="{00000000-0005-0000-0000-000039370000}"/>
    <cellStyle name="Normal 2 2 2 2 4 2 2 16 14" xfId="14180" xr:uid="{00000000-0005-0000-0000-00003A370000}"/>
    <cellStyle name="Normal 2 2 2 2 4 2 2 16 2" xfId="14181" xr:uid="{00000000-0005-0000-0000-00003B370000}"/>
    <cellStyle name="Normal 2 2 2 2 4 2 2 16 2 10" xfId="14182" xr:uid="{00000000-0005-0000-0000-00003C370000}"/>
    <cellStyle name="Normal 2 2 2 2 4 2 2 16 2 2" xfId="14183" xr:uid="{00000000-0005-0000-0000-00003D370000}"/>
    <cellStyle name="Normal 2 2 2 2 4 2 2 16 2 3" xfId="14184" xr:uid="{00000000-0005-0000-0000-00003E370000}"/>
    <cellStyle name="Normal 2 2 2 2 4 2 2 16 2 4" xfId="14185" xr:uid="{00000000-0005-0000-0000-00003F370000}"/>
    <cellStyle name="Normal 2 2 2 2 4 2 2 16 2 5" xfId="14186" xr:uid="{00000000-0005-0000-0000-000040370000}"/>
    <cellStyle name="Normal 2 2 2 2 4 2 2 16 2 6" xfId="14187" xr:uid="{00000000-0005-0000-0000-000041370000}"/>
    <cellStyle name="Normal 2 2 2 2 4 2 2 16 2 7" xfId="14188" xr:uid="{00000000-0005-0000-0000-000042370000}"/>
    <cellStyle name="Normal 2 2 2 2 4 2 2 16 2 8" xfId="14189" xr:uid="{00000000-0005-0000-0000-000043370000}"/>
    <cellStyle name="Normal 2 2 2 2 4 2 2 16 2 9" xfId="14190" xr:uid="{00000000-0005-0000-0000-000044370000}"/>
    <cellStyle name="Normal 2 2 2 2 4 2 2 16 3" xfId="14191" xr:uid="{00000000-0005-0000-0000-000045370000}"/>
    <cellStyle name="Normal 2 2 2 2 4 2 2 16 3 10" xfId="14192" xr:uid="{00000000-0005-0000-0000-000046370000}"/>
    <cellStyle name="Normal 2 2 2 2 4 2 2 16 3 2" xfId="14193" xr:uid="{00000000-0005-0000-0000-000047370000}"/>
    <cellStyle name="Normal 2 2 2 2 4 2 2 16 3 3" xfId="14194" xr:uid="{00000000-0005-0000-0000-000048370000}"/>
    <cellStyle name="Normal 2 2 2 2 4 2 2 16 3 4" xfId="14195" xr:uid="{00000000-0005-0000-0000-000049370000}"/>
    <cellStyle name="Normal 2 2 2 2 4 2 2 16 3 5" xfId="14196" xr:uid="{00000000-0005-0000-0000-00004A370000}"/>
    <cellStyle name="Normal 2 2 2 2 4 2 2 16 3 6" xfId="14197" xr:uid="{00000000-0005-0000-0000-00004B370000}"/>
    <cellStyle name="Normal 2 2 2 2 4 2 2 16 3 7" xfId="14198" xr:uid="{00000000-0005-0000-0000-00004C370000}"/>
    <cellStyle name="Normal 2 2 2 2 4 2 2 16 3 8" xfId="14199" xr:uid="{00000000-0005-0000-0000-00004D370000}"/>
    <cellStyle name="Normal 2 2 2 2 4 2 2 16 3 9" xfId="14200" xr:uid="{00000000-0005-0000-0000-00004E370000}"/>
    <cellStyle name="Normal 2 2 2 2 4 2 2 16 4" xfId="14201" xr:uid="{00000000-0005-0000-0000-00004F370000}"/>
    <cellStyle name="Normal 2 2 2 2 4 2 2 16 4 10" xfId="14202" xr:uid="{00000000-0005-0000-0000-000050370000}"/>
    <cellStyle name="Normal 2 2 2 2 4 2 2 16 4 2" xfId="14203" xr:uid="{00000000-0005-0000-0000-000051370000}"/>
    <cellStyle name="Normal 2 2 2 2 4 2 2 16 4 3" xfId="14204" xr:uid="{00000000-0005-0000-0000-000052370000}"/>
    <cellStyle name="Normal 2 2 2 2 4 2 2 16 4 4" xfId="14205" xr:uid="{00000000-0005-0000-0000-000053370000}"/>
    <cellStyle name="Normal 2 2 2 2 4 2 2 16 4 5" xfId="14206" xr:uid="{00000000-0005-0000-0000-000054370000}"/>
    <cellStyle name="Normal 2 2 2 2 4 2 2 16 4 6" xfId="14207" xr:uid="{00000000-0005-0000-0000-000055370000}"/>
    <cellStyle name="Normal 2 2 2 2 4 2 2 16 4 7" xfId="14208" xr:uid="{00000000-0005-0000-0000-000056370000}"/>
    <cellStyle name="Normal 2 2 2 2 4 2 2 16 4 8" xfId="14209" xr:uid="{00000000-0005-0000-0000-000057370000}"/>
    <cellStyle name="Normal 2 2 2 2 4 2 2 16 4 9" xfId="14210" xr:uid="{00000000-0005-0000-0000-000058370000}"/>
    <cellStyle name="Normal 2 2 2 2 4 2 2 16 5" xfId="14211" xr:uid="{00000000-0005-0000-0000-000059370000}"/>
    <cellStyle name="Normal 2 2 2 2 4 2 2 16 5 10" xfId="14212" xr:uid="{00000000-0005-0000-0000-00005A370000}"/>
    <cellStyle name="Normal 2 2 2 2 4 2 2 16 5 2" xfId="14213" xr:uid="{00000000-0005-0000-0000-00005B370000}"/>
    <cellStyle name="Normal 2 2 2 2 4 2 2 16 5 3" xfId="14214" xr:uid="{00000000-0005-0000-0000-00005C370000}"/>
    <cellStyle name="Normal 2 2 2 2 4 2 2 16 5 4" xfId="14215" xr:uid="{00000000-0005-0000-0000-00005D370000}"/>
    <cellStyle name="Normal 2 2 2 2 4 2 2 16 5 5" xfId="14216" xr:uid="{00000000-0005-0000-0000-00005E370000}"/>
    <cellStyle name="Normal 2 2 2 2 4 2 2 16 5 6" xfId="14217" xr:uid="{00000000-0005-0000-0000-00005F370000}"/>
    <cellStyle name="Normal 2 2 2 2 4 2 2 16 5 7" xfId="14218" xr:uid="{00000000-0005-0000-0000-000060370000}"/>
    <cellStyle name="Normal 2 2 2 2 4 2 2 16 5 8" xfId="14219" xr:uid="{00000000-0005-0000-0000-000061370000}"/>
    <cellStyle name="Normal 2 2 2 2 4 2 2 16 5 9" xfId="14220" xr:uid="{00000000-0005-0000-0000-000062370000}"/>
    <cellStyle name="Normal 2 2 2 2 4 2 2 16 6" xfId="14221" xr:uid="{00000000-0005-0000-0000-000063370000}"/>
    <cellStyle name="Normal 2 2 2 2 4 2 2 16 7" xfId="14222" xr:uid="{00000000-0005-0000-0000-000064370000}"/>
    <cellStyle name="Normal 2 2 2 2 4 2 2 16 8" xfId="14223" xr:uid="{00000000-0005-0000-0000-000065370000}"/>
    <cellStyle name="Normal 2 2 2 2 4 2 2 16 9" xfId="14224" xr:uid="{00000000-0005-0000-0000-000066370000}"/>
    <cellStyle name="Normal 2 2 2 2 4 2 2 17" xfId="14225" xr:uid="{00000000-0005-0000-0000-000067370000}"/>
    <cellStyle name="Normal 2 2 2 2 4 2 2 17 10" xfId="14226" xr:uid="{00000000-0005-0000-0000-000068370000}"/>
    <cellStyle name="Normal 2 2 2 2 4 2 2 17 11" xfId="14227" xr:uid="{00000000-0005-0000-0000-000069370000}"/>
    <cellStyle name="Normal 2 2 2 2 4 2 2 17 12" xfId="14228" xr:uid="{00000000-0005-0000-0000-00006A370000}"/>
    <cellStyle name="Normal 2 2 2 2 4 2 2 17 13" xfId="14229" xr:uid="{00000000-0005-0000-0000-00006B370000}"/>
    <cellStyle name="Normal 2 2 2 2 4 2 2 17 14" xfId="14230" xr:uid="{00000000-0005-0000-0000-00006C370000}"/>
    <cellStyle name="Normal 2 2 2 2 4 2 2 17 2" xfId="14231" xr:uid="{00000000-0005-0000-0000-00006D370000}"/>
    <cellStyle name="Normal 2 2 2 2 4 2 2 17 2 10" xfId="14232" xr:uid="{00000000-0005-0000-0000-00006E370000}"/>
    <cellStyle name="Normal 2 2 2 2 4 2 2 17 2 2" xfId="14233" xr:uid="{00000000-0005-0000-0000-00006F370000}"/>
    <cellStyle name="Normal 2 2 2 2 4 2 2 17 2 3" xfId="14234" xr:uid="{00000000-0005-0000-0000-000070370000}"/>
    <cellStyle name="Normal 2 2 2 2 4 2 2 17 2 4" xfId="14235" xr:uid="{00000000-0005-0000-0000-000071370000}"/>
    <cellStyle name="Normal 2 2 2 2 4 2 2 17 2 5" xfId="14236" xr:uid="{00000000-0005-0000-0000-000072370000}"/>
    <cellStyle name="Normal 2 2 2 2 4 2 2 17 2 6" xfId="14237" xr:uid="{00000000-0005-0000-0000-000073370000}"/>
    <cellStyle name="Normal 2 2 2 2 4 2 2 17 2 7" xfId="14238" xr:uid="{00000000-0005-0000-0000-000074370000}"/>
    <cellStyle name="Normal 2 2 2 2 4 2 2 17 2 8" xfId="14239" xr:uid="{00000000-0005-0000-0000-000075370000}"/>
    <cellStyle name="Normal 2 2 2 2 4 2 2 17 2 9" xfId="14240" xr:uid="{00000000-0005-0000-0000-000076370000}"/>
    <cellStyle name="Normal 2 2 2 2 4 2 2 17 3" xfId="14241" xr:uid="{00000000-0005-0000-0000-000077370000}"/>
    <cellStyle name="Normal 2 2 2 2 4 2 2 17 3 10" xfId="14242" xr:uid="{00000000-0005-0000-0000-000078370000}"/>
    <cellStyle name="Normal 2 2 2 2 4 2 2 17 3 2" xfId="14243" xr:uid="{00000000-0005-0000-0000-000079370000}"/>
    <cellStyle name="Normal 2 2 2 2 4 2 2 17 3 3" xfId="14244" xr:uid="{00000000-0005-0000-0000-00007A370000}"/>
    <cellStyle name="Normal 2 2 2 2 4 2 2 17 3 4" xfId="14245" xr:uid="{00000000-0005-0000-0000-00007B370000}"/>
    <cellStyle name="Normal 2 2 2 2 4 2 2 17 3 5" xfId="14246" xr:uid="{00000000-0005-0000-0000-00007C370000}"/>
    <cellStyle name="Normal 2 2 2 2 4 2 2 17 3 6" xfId="14247" xr:uid="{00000000-0005-0000-0000-00007D370000}"/>
    <cellStyle name="Normal 2 2 2 2 4 2 2 17 3 7" xfId="14248" xr:uid="{00000000-0005-0000-0000-00007E370000}"/>
    <cellStyle name="Normal 2 2 2 2 4 2 2 17 3 8" xfId="14249" xr:uid="{00000000-0005-0000-0000-00007F370000}"/>
    <cellStyle name="Normal 2 2 2 2 4 2 2 17 3 9" xfId="14250" xr:uid="{00000000-0005-0000-0000-000080370000}"/>
    <cellStyle name="Normal 2 2 2 2 4 2 2 17 4" xfId="14251" xr:uid="{00000000-0005-0000-0000-000081370000}"/>
    <cellStyle name="Normal 2 2 2 2 4 2 2 17 4 10" xfId="14252" xr:uid="{00000000-0005-0000-0000-000082370000}"/>
    <cellStyle name="Normal 2 2 2 2 4 2 2 17 4 2" xfId="14253" xr:uid="{00000000-0005-0000-0000-000083370000}"/>
    <cellStyle name="Normal 2 2 2 2 4 2 2 17 4 3" xfId="14254" xr:uid="{00000000-0005-0000-0000-000084370000}"/>
    <cellStyle name="Normal 2 2 2 2 4 2 2 17 4 4" xfId="14255" xr:uid="{00000000-0005-0000-0000-000085370000}"/>
    <cellStyle name="Normal 2 2 2 2 4 2 2 17 4 5" xfId="14256" xr:uid="{00000000-0005-0000-0000-000086370000}"/>
    <cellStyle name="Normal 2 2 2 2 4 2 2 17 4 6" xfId="14257" xr:uid="{00000000-0005-0000-0000-000087370000}"/>
    <cellStyle name="Normal 2 2 2 2 4 2 2 17 4 7" xfId="14258" xr:uid="{00000000-0005-0000-0000-000088370000}"/>
    <cellStyle name="Normal 2 2 2 2 4 2 2 17 4 8" xfId="14259" xr:uid="{00000000-0005-0000-0000-000089370000}"/>
    <cellStyle name="Normal 2 2 2 2 4 2 2 17 4 9" xfId="14260" xr:uid="{00000000-0005-0000-0000-00008A370000}"/>
    <cellStyle name="Normal 2 2 2 2 4 2 2 17 5" xfId="14261" xr:uid="{00000000-0005-0000-0000-00008B370000}"/>
    <cellStyle name="Normal 2 2 2 2 4 2 2 17 5 10" xfId="14262" xr:uid="{00000000-0005-0000-0000-00008C370000}"/>
    <cellStyle name="Normal 2 2 2 2 4 2 2 17 5 2" xfId="14263" xr:uid="{00000000-0005-0000-0000-00008D370000}"/>
    <cellStyle name="Normal 2 2 2 2 4 2 2 17 5 3" xfId="14264" xr:uid="{00000000-0005-0000-0000-00008E370000}"/>
    <cellStyle name="Normal 2 2 2 2 4 2 2 17 5 4" xfId="14265" xr:uid="{00000000-0005-0000-0000-00008F370000}"/>
    <cellStyle name="Normal 2 2 2 2 4 2 2 17 5 5" xfId="14266" xr:uid="{00000000-0005-0000-0000-000090370000}"/>
    <cellStyle name="Normal 2 2 2 2 4 2 2 17 5 6" xfId="14267" xr:uid="{00000000-0005-0000-0000-000091370000}"/>
    <cellStyle name="Normal 2 2 2 2 4 2 2 17 5 7" xfId="14268" xr:uid="{00000000-0005-0000-0000-000092370000}"/>
    <cellStyle name="Normal 2 2 2 2 4 2 2 17 5 8" xfId="14269" xr:uid="{00000000-0005-0000-0000-000093370000}"/>
    <cellStyle name="Normal 2 2 2 2 4 2 2 17 5 9" xfId="14270" xr:uid="{00000000-0005-0000-0000-000094370000}"/>
    <cellStyle name="Normal 2 2 2 2 4 2 2 17 6" xfId="14271" xr:uid="{00000000-0005-0000-0000-000095370000}"/>
    <cellStyle name="Normal 2 2 2 2 4 2 2 17 7" xfId="14272" xr:uid="{00000000-0005-0000-0000-000096370000}"/>
    <cellStyle name="Normal 2 2 2 2 4 2 2 17 8" xfId="14273" xr:uid="{00000000-0005-0000-0000-000097370000}"/>
    <cellStyle name="Normal 2 2 2 2 4 2 2 17 9" xfId="14274" xr:uid="{00000000-0005-0000-0000-000098370000}"/>
    <cellStyle name="Normal 2 2 2 2 4 2 2 18" xfId="14275" xr:uid="{00000000-0005-0000-0000-000099370000}"/>
    <cellStyle name="Normal 2 2 2 2 4 2 2 18 10" xfId="14276" xr:uid="{00000000-0005-0000-0000-00009A370000}"/>
    <cellStyle name="Normal 2 2 2 2 4 2 2 18 11" xfId="14277" xr:uid="{00000000-0005-0000-0000-00009B370000}"/>
    <cellStyle name="Normal 2 2 2 2 4 2 2 18 12" xfId="14278" xr:uid="{00000000-0005-0000-0000-00009C370000}"/>
    <cellStyle name="Normal 2 2 2 2 4 2 2 18 13" xfId="14279" xr:uid="{00000000-0005-0000-0000-00009D370000}"/>
    <cellStyle name="Normal 2 2 2 2 4 2 2 18 14" xfId="14280" xr:uid="{00000000-0005-0000-0000-00009E370000}"/>
    <cellStyle name="Normal 2 2 2 2 4 2 2 18 2" xfId="14281" xr:uid="{00000000-0005-0000-0000-00009F370000}"/>
    <cellStyle name="Normal 2 2 2 2 4 2 2 18 2 10" xfId="14282" xr:uid="{00000000-0005-0000-0000-0000A0370000}"/>
    <cellStyle name="Normal 2 2 2 2 4 2 2 18 2 2" xfId="14283" xr:uid="{00000000-0005-0000-0000-0000A1370000}"/>
    <cellStyle name="Normal 2 2 2 2 4 2 2 18 2 3" xfId="14284" xr:uid="{00000000-0005-0000-0000-0000A2370000}"/>
    <cellStyle name="Normal 2 2 2 2 4 2 2 18 2 4" xfId="14285" xr:uid="{00000000-0005-0000-0000-0000A3370000}"/>
    <cellStyle name="Normal 2 2 2 2 4 2 2 18 2 5" xfId="14286" xr:uid="{00000000-0005-0000-0000-0000A4370000}"/>
    <cellStyle name="Normal 2 2 2 2 4 2 2 18 2 6" xfId="14287" xr:uid="{00000000-0005-0000-0000-0000A5370000}"/>
    <cellStyle name="Normal 2 2 2 2 4 2 2 18 2 7" xfId="14288" xr:uid="{00000000-0005-0000-0000-0000A6370000}"/>
    <cellStyle name="Normal 2 2 2 2 4 2 2 18 2 8" xfId="14289" xr:uid="{00000000-0005-0000-0000-0000A7370000}"/>
    <cellStyle name="Normal 2 2 2 2 4 2 2 18 2 9" xfId="14290" xr:uid="{00000000-0005-0000-0000-0000A8370000}"/>
    <cellStyle name="Normal 2 2 2 2 4 2 2 18 3" xfId="14291" xr:uid="{00000000-0005-0000-0000-0000A9370000}"/>
    <cellStyle name="Normal 2 2 2 2 4 2 2 18 3 10" xfId="14292" xr:uid="{00000000-0005-0000-0000-0000AA370000}"/>
    <cellStyle name="Normal 2 2 2 2 4 2 2 18 3 2" xfId="14293" xr:uid="{00000000-0005-0000-0000-0000AB370000}"/>
    <cellStyle name="Normal 2 2 2 2 4 2 2 18 3 3" xfId="14294" xr:uid="{00000000-0005-0000-0000-0000AC370000}"/>
    <cellStyle name="Normal 2 2 2 2 4 2 2 18 3 4" xfId="14295" xr:uid="{00000000-0005-0000-0000-0000AD370000}"/>
    <cellStyle name="Normal 2 2 2 2 4 2 2 18 3 5" xfId="14296" xr:uid="{00000000-0005-0000-0000-0000AE370000}"/>
    <cellStyle name="Normal 2 2 2 2 4 2 2 18 3 6" xfId="14297" xr:uid="{00000000-0005-0000-0000-0000AF370000}"/>
    <cellStyle name="Normal 2 2 2 2 4 2 2 18 3 7" xfId="14298" xr:uid="{00000000-0005-0000-0000-0000B0370000}"/>
    <cellStyle name="Normal 2 2 2 2 4 2 2 18 3 8" xfId="14299" xr:uid="{00000000-0005-0000-0000-0000B1370000}"/>
    <cellStyle name="Normal 2 2 2 2 4 2 2 18 3 9" xfId="14300" xr:uid="{00000000-0005-0000-0000-0000B2370000}"/>
    <cellStyle name="Normal 2 2 2 2 4 2 2 18 4" xfId="14301" xr:uid="{00000000-0005-0000-0000-0000B3370000}"/>
    <cellStyle name="Normal 2 2 2 2 4 2 2 18 4 10" xfId="14302" xr:uid="{00000000-0005-0000-0000-0000B4370000}"/>
    <cellStyle name="Normal 2 2 2 2 4 2 2 18 4 2" xfId="14303" xr:uid="{00000000-0005-0000-0000-0000B5370000}"/>
    <cellStyle name="Normal 2 2 2 2 4 2 2 18 4 3" xfId="14304" xr:uid="{00000000-0005-0000-0000-0000B6370000}"/>
    <cellStyle name="Normal 2 2 2 2 4 2 2 18 4 4" xfId="14305" xr:uid="{00000000-0005-0000-0000-0000B7370000}"/>
    <cellStyle name="Normal 2 2 2 2 4 2 2 18 4 5" xfId="14306" xr:uid="{00000000-0005-0000-0000-0000B8370000}"/>
    <cellStyle name="Normal 2 2 2 2 4 2 2 18 4 6" xfId="14307" xr:uid="{00000000-0005-0000-0000-0000B9370000}"/>
    <cellStyle name="Normal 2 2 2 2 4 2 2 18 4 7" xfId="14308" xr:uid="{00000000-0005-0000-0000-0000BA370000}"/>
    <cellStyle name="Normal 2 2 2 2 4 2 2 18 4 8" xfId="14309" xr:uid="{00000000-0005-0000-0000-0000BB370000}"/>
    <cellStyle name="Normal 2 2 2 2 4 2 2 18 4 9" xfId="14310" xr:uid="{00000000-0005-0000-0000-0000BC370000}"/>
    <cellStyle name="Normal 2 2 2 2 4 2 2 18 5" xfId="14311" xr:uid="{00000000-0005-0000-0000-0000BD370000}"/>
    <cellStyle name="Normal 2 2 2 2 4 2 2 18 5 10" xfId="14312" xr:uid="{00000000-0005-0000-0000-0000BE370000}"/>
    <cellStyle name="Normal 2 2 2 2 4 2 2 18 5 2" xfId="14313" xr:uid="{00000000-0005-0000-0000-0000BF370000}"/>
    <cellStyle name="Normal 2 2 2 2 4 2 2 18 5 3" xfId="14314" xr:uid="{00000000-0005-0000-0000-0000C0370000}"/>
    <cellStyle name="Normal 2 2 2 2 4 2 2 18 5 4" xfId="14315" xr:uid="{00000000-0005-0000-0000-0000C1370000}"/>
    <cellStyle name="Normal 2 2 2 2 4 2 2 18 5 5" xfId="14316" xr:uid="{00000000-0005-0000-0000-0000C2370000}"/>
    <cellStyle name="Normal 2 2 2 2 4 2 2 18 5 6" xfId="14317" xr:uid="{00000000-0005-0000-0000-0000C3370000}"/>
    <cellStyle name="Normal 2 2 2 2 4 2 2 18 5 7" xfId="14318" xr:uid="{00000000-0005-0000-0000-0000C4370000}"/>
    <cellStyle name="Normal 2 2 2 2 4 2 2 18 5 8" xfId="14319" xr:uid="{00000000-0005-0000-0000-0000C5370000}"/>
    <cellStyle name="Normal 2 2 2 2 4 2 2 18 5 9" xfId="14320" xr:uid="{00000000-0005-0000-0000-0000C6370000}"/>
    <cellStyle name="Normal 2 2 2 2 4 2 2 18 6" xfId="14321" xr:uid="{00000000-0005-0000-0000-0000C7370000}"/>
    <cellStyle name="Normal 2 2 2 2 4 2 2 18 7" xfId="14322" xr:uid="{00000000-0005-0000-0000-0000C8370000}"/>
    <cellStyle name="Normal 2 2 2 2 4 2 2 18 8" xfId="14323" xr:uid="{00000000-0005-0000-0000-0000C9370000}"/>
    <cellStyle name="Normal 2 2 2 2 4 2 2 18 9" xfId="14324" xr:uid="{00000000-0005-0000-0000-0000CA370000}"/>
    <cellStyle name="Normal 2 2 2 2 4 2 2 19" xfId="14325" xr:uid="{00000000-0005-0000-0000-0000CB370000}"/>
    <cellStyle name="Normal 2 2 2 2 4 2 2 19 10" xfId="14326" xr:uid="{00000000-0005-0000-0000-0000CC370000}"/>
    <cellStyle name="Normal 2 2 2 2 4 2 2 19 11" xfId="14327" xr:uid="{00000000-0005-0000-0000-0000CD370000}"/>
    <cellStyle name="Normal 2 2 2 2 4 2 2 19 12" xfId="14328" xr:uid="{00000000-0005-0000-0000-0000CE370000}"/>
    <cellStyle name="Normal 2 2 2 2 4 2 2 19 13" xfId="14329" xr:uid="{00000000-0005-0000-0000-0000CF370000}"/>
    <cellStyle name="Normal 2 2 2 2 4 2 2 19 14" xfId="14330" xr:uid="{00000000-0005-0000-0000-0000D0370000}"/>
    <cellStyle name="Normal 2 2 2 2 4 2 2 19 2" xfId="14331" xr:uid="{00000000-0005-0000-0000-0000D1370000}"/>
    <cellStyle name="Normal 2 2 2 2 4 2 2 19 2 10" xfId="14332" xr:uid="{00000000-0005-0000-0000-0000D2370000}"/>
    <cellStyle name="Normal 2 2 2 2 4 2 2 19 2 2" xfId="14333" xr:uid="{00000000-0005-0000-0000-0000D3370000}"/>
    <cellStyle name="Normal 2 2 2 2 4 2 2 19 2 3" xfId="14334" xr:uid="{00000000-0005-0000-0000-0000D4370000}"/>
    <cellStyle name="Normal 2 2 2 2 4 2 2 19 2 4" xfId="14335" xr:uid="{00000000-0005-0000-0000-0000D5370000}"/>
    <cellStyle name="Normal 2 2 2 2 4 2 2 19 2 5" xfId="14336" xr:uid="{00000000-0005-0000-0000-0000D6370000}"/>
    <cellStyle name="Normal 2 2 2 2 4 2 2 19 2 6" xfId="14337" xr:uid="{00000000-0005-0000-0000-0000D7370000}"/>
    <cellStyle name="Normal 2 2 2 2 4 2 2 19 2 7" xfId="14338" xr:uid="{00000000-0005-0000-0000-0000D8370000}"/>
    <cellStyle name="Normal 2 2 2 2 4 2 2 19 2 8" xfId="14339" xr:uid="{00000000-0005-0000-0000-0000D9370000}"/>
    <cellStyle name="Normal 2 2 2 2 4 2 2 19 2 9" xfId="14340" xr:uid="{00000000-0005-0000-0000-0000DA370000}"/>
    <cellStyle name="Normal 2 2 2 2 4 2 2 19 3" xfId="14341" xr:uid="{00000000-0005-0000-0000-0000DB370000}"/>
    <cellStyle name="Normal 2 2 2 2 4 2 2 19 3 10" xfId="14342" xr:uid="{00000000-0005-0000-0000-0000DC370000}"/>
    <cellStyle name="Normal 2 2 2 2 4 2 2 19 3 2" xfId="14343" xr:uid="{00000000-0005-0000-0000-0000DD370000}"/>
    <cellStyle name="Normal 2 2 2 2 4 2 2 19 3 3" xfId="14344" xr:uid="{00000000-0005-0000-0000-0000DE370000}"/>
    <cellStyle name="Normal 2 2 2 2 4 2 2 19 3 4" xfId="14345" xr:uid="{00000000-0005-0000-0000-0000DF370000}"/>
    <cellStyle name="Normal 2 2 2 2 4 2 2 19 3 5" xfId="14346" xr:uid="{00000000-0005-0000-0000-0000E0370000}"/>
    <cellStyle name="Normal 2 2 2 2 4 2 2 19 3 6" xfId="14347" xr:uid="{00000000-0005-0000-0000-0000E1370000}"/>
    <cellStyle name="Normal 2 2 2 2 4 2 2 19 3 7" xfId="14348" xr:uid="{00000000-0005-0000-0000-0000E2370000}"/>
    <cellStyle name="Normal 2 2 2 2 4 2 2 19 3 8" xfId="14349" xr:uid="{00000000-0005-0000-0000-0000E3370000}"/>
    <cellStyle name="Normal 2 2 2 2 4 2 2 19 3 9" xfId="14350" xr:uid="{00000000-0005-0000-0000-0000E4370000}"/>
    <cellStyle name="Normal 2 2 2 2 4 2 2 19 4" xfId="14351" xr:uid="{00000000-0005-0000-0000-0000E5370000}"/>
    <cellStyle name="Normal 2 2 2 2 4 2 2 19 4 10" xfId="14352" xr:uid="{00000000-0005-0000-0000-0000E6370000}"/>
    <cellStyle name="Normal 2 2 2 2 4 2 2 19 4 2" xfId="14353" xr:uid="{00000000-0005-0000-0000-0000E7370000}"/>
    <cellStyle name="Normal 2 2 2 2 4 2 2 19 4 3" xfId="14354" xr:uid="{00000000-0005-0000-0000-0000E8370000}"/>
    <cellStyle name="Normal 2 2 2 2 4 2 2 19 4 4" xfId="14355" xr:uid="{00000000-0005-0000-0000-0000E9370000}"/>
    <cellStyle name="Normal 2 2 2 2 4 2 2 19 4 5" xfId="14356" xr:uid="{00000000-0005-0000-0000-0000EA370000}"/>
    <cellStyle name="Normal 2 2 2 2 4 2 2 19 4 6" xfId="14357" xr:uid="{00000000-0005-0000-0000-0000EB370000}"/>
    <cellStyle name="Normal 2 2 2 2 4 2 2 19 4 7" xfId="14358" xr:uid="{00000000-0005-0000-0000-0000EC370000}"/>
    <cellStyle name="Normal 2 2 2 2 4 2 2 19 4 8" xfId="14359" xr:uid="{00000000-0005-0000-0000-0000ED370000}"/>
    <cellStyle name="Normal 2 2 2 2 4 2 2 19 4 9" xfId="14360" xr:uid="{00000000-0005-0000-0000-0000EE370000}"/>
    <cellStyle name="Normal 2 2 2 2 4 2 2 19 5" xfId="14361" xr:uid="{00000000-0005-0000-0000-0000EF370000}"/>
    <cellStyle name="Normal 2 2 2 2 4 2 2 19 5 10" xfId="14362" xr:uid="{00000000-0005-0000-0000-0000F0370000}"/>
    <cellStyle name="Normal 2 2 2 2 4 2 2 19 5 2" xfId="14363" xr:uid="{00000000-0005-0000-0000-0000F1370000}"/>
    <cellStyle name="Normal 2 2 2 2 4 2 2 19 5 3" xfId="14364" xr:uid="{00000000-0005-0000-0000-0000F2370000}"/>
    <cellStyle name="Normal 2 2 2 2 4 2 2 19 5 4" xfId="14365" xr:uid="{00000000-0005-0000-0000-0000F3370000}"/>
    <cellStyle name="Normal 2 2 2 2 4 2 2 19 5 5" xfId="14366" xr:uid="{00000000-0005-0000-0000-0000F4370000}"/>
    <cellStyle name="Normal 2 2 2 2 4 2 2 19 5 6" xfId="14367" xr:uid="{00000000-0005-0000-0000-0000F5370000}"/>
    <cellStyle name="Normal 2 2 2 2 4 2 2 19 5 7" xfId="14368" xr:uid="{00000000-0005-0000-0000-0000F6370000}"/>
    <cellStyle name="Normal 2 2 2 2 4 2 2 19 5 8" xfId="14369" xr:uid="{00000000-0005-0000-0000-0000F7370000}"/>
    <cellStyle name="Normal 2 2 2 2 4 2 2 19 5 9" xfId="14370" xr:uid="{00000000-0005-0000-0000-0000F8370000}"/>
    <cellStyle name="Normal 2 2 2 2 4 2 2 19 6" xfId="14371" xr:uid="{00000000-0005-0000-0000-0000F9370000}"/>
    <cellStyle name="Normal 2 2 2 2 4 2 2 19 7" xfId="14372" xr:uid="{00000000-0005-0000-0000-0000FA370000}"/>
    <cellStyle name="Normal 2 2 2 2 4 2 2 19 8" xfId="14373" xr:uid="{00000000-0005-0000-0000-0000FB370000}"/>
    <cellStyle name="Normal 2 2 2 2 4 2 2 19 9" xfId="14374" xr:uid="{00000000-0005-0000-0000-0000FC370000}"/>
    <cellStyle name="Normal 2 2 2 2 4 2 2 2" xfId="14375" xr:uid="{00000000-0005-0000-0000-0000FD370000}"/>
    <cellStyle name="Normal 2 2 2 2 4 2 2 2 10" xfId="14376" xr:uid="{00000000-0005-0000-0000-0000FE370000}"/>
    <cellStyle name="Normal 2 2 2 2 4 2 2 2 11" xfId="14377" xr:uid="{00000000-0005-0000-0000-0000FF370000}"/>
    <cellStyle name="Normal 2 2 2 2 4 2 2 2 12" xfId="14378" xr:uid="{00000000-0005-0000-0000-000000380000}"/>
    <cellStyle name="Normal 2 2 2 2 4 2 2 2 13" xfId="14379" xr:uid="{00000000-0005-0000-0000-000001380000}"/>
    <cellStyle name="Normal 2 2 2 2 4 2 2 2 14" xfId="14380" xr:uid="{00000000-0005-0000-0000-000002380000}"/>
    <cellStyle name="Normal 2 2 2 2 4 2 2 2 2" xfId="14381" xr:uid="{00000000-0005-0000-0000-000003380000}"/>
    <cellStyle name="Normal 2 2 2 2 4 2 2 2 2 10" xfId="14382" xr:uid="{00000000-0005-0000-0000-000004380000}"/>
    <cellStyle name="Normal 2 2 2 2 4 2 2 2 2 2" xfId="14383" xr:uid="{00000000-0005-0000-0000-000005380000}"/>
    <cellStyle name="Normal 2 2 2 2 4 2 2 2 2 3" xfId="14384" xr:uid="{00000000-0005-0000-0000-000006380000}"/>
    <cellStyle name="Normal 2 2 2 2 4 2 2 2 2 4" xfId="14385" xr:uid="{00000000-0005-0000-0000-000007380000}"/>
    <cellStyle name="Normal 2 2 2 2 4 2 2 2 2 5" xfId="14386" xr:uid="{00000000-0005-0000-0000-000008380000}"/>
    <cellStyle name="Normal 2 2 2 2 4 2 2 2 2 6" xfId="14387" xr:uid="{00000000-0005-0000-0000-000009380000}"/>
    <cellStyle name="Normal 2 2 2 2 4 2 2 2 2 7" xfId="14388" xr:uid="{00000000-0005-0000-0000-00000A380000}"/>
    <cellStyle name="Normal 2 2 2 2 4 2 2 2 2 8" xfId="14389" xr:uid="{00000000-0005-0000-0000-00000B380000}"/>
    <cellStyle name="Normal 2 2 2 2 4 2 2 2 2 9" xfId="14390" xr:uid="{00000000-0005-0000-0000-00000C380000}"/>
    <cellStyle name="Normal 2 2 2 2 4 2 2 2 3" xfId="14391" xr:uid="{00000000-0005-0000-0000-00000D380000}"/>
    <cellStyle name="Normal 2 2 2 2 4 2 2 2 3 10" xfId="14392" xr:uid="{00000000-0005-0000-0000-00000E380000}"/>
    <cellStyle name="Normal 2 2 2 2 4 2 2 2 3 2" xfId="14393" xr:uid="{00000000-0005-0000-0000-00000F380000}"/>
    <cellStyle name="Normal 2 2 2 2 4 2 2 2 3 3" xfId="14394" xr:uid="{00000000-0005-0000-0000-000010380000}"/>
    <cellStyle name="Normal 2 2 2 2 4 2 2 2 3 4" xfId="14395" xr:uid="{00000000-0005-0000-0000-000011380000}"/>
    <cellStyle name="Normal 2 2 2 2 4 2 2 2 3 5" xfId="14396" xr:uid="{00000000-0005-0000-0000-000012380000}"/>
    <cellStyle name="Normal 2 2 2 2 4 2 2 2 3 6" xfId="14397" xr:uid="{00000000-0005-0000-0000-000013380000}"/>
    <cellStyle name="Normal 2 2 2 2 4 2 2 2 3 7" xfId="14398" xr:uid="{00000000-0005-0000-0000-000014380000}"/>
    <cellStyle name="Normal 2 2 2 2 4 2 2 2 3 8" xfId="14399" xr:uid="{00000000-0005-0000-0000-000015380000}"/>
    <cellStyle name="Normal 2 2 2 2 4 2 2 2 3 9" xfId="14400" xr:uid="{00000000-0005-0000-0000-000016380000}"/>
    <cellStyle name="Normal 2 2 2 2 4 2 2 2 4" xfId="14401" xr:uid="{00000000-0005-0000-0000-000017380000}"/>
    <cellStyle name="Normal 2 2 2 2 4 2 2 2 4 10" xfId="14402" xr:uid="{00000000-0005-0000-0000-000018380000}"/>
    <cellStyle name="Normal 2 2 2 2 4 2 2 2 4 2" xfId="14403" xr:uid="{00000000-0005-0000-0000-000019380000}"/>
    <cellStyle name="Normal 2 2 2 2 4 2 2 2 4 3" xfId="14404" xr:uid="{00000000-0005-0000-0000-00001A380000}"/>
    <cellStyle name="Normal 2 2 2 2 4 2 2 2 4 4" xfId="14405" xr:uid="{00000000-0005-0000-0000-00001B380000}"/>
    <cellStyle name="Normal 2 2 2 2 4 2 2 2 4 5" xfId="14406" xr:uid="{00000000-0005-0000-0000-00001C380000}"/>
    <cellStyle name="Normal 2 2 2 2 4 2 2 2 4 6" xfId="14407" xr:uid="{00000000-0005-0000-0000-00001D380000}"/>
    <cellStyle name="Normal 2 2 2 2 4 2 2 2 4 7" xfId="14408" xr:uid="{00000000-0005-0000-0000-00001E380000}"/>
    <cellStyle name="Normal 2 2 2 2 4 2 2 2 4 8" xfId="14409" xr:uid="{00000000-0005-0000-0000-00001F380000}"/>
    <cellStyle name="Normal 2 2 2 2 4 2 2 2 4 9" xfId="14410" xr:uid="{00000000-0005-0000-0000-000020380000}"/>
    <cellStyle name="Normal 2 2 2 2 4 2 2 2 5" xfId="14411" xr:uid="{00000000-0005-0000-0000-000021380000}"/>
    <cellStyle name="Normal 2 2 2 2 4 2 2 2 5 10" xfId="14412" xr:uid="{00000000-0005-0000-0000-000022380000}"/>
    <cellStyle name="Normal 2 2 2 2 4 2 2 2 5 2" xfId="14413" xr:uid="{00000000-0005-0000-0000-000023380000}"/>
    <cellStyle name="Normal 2 2 2 2 4 2 2 2 5 3" xfId="14414" xr:uid="{00000000-0005-0000-0000-000024380000}"/>
    <cellStyle name="Normal 2 2 2 2 4 2 2 2 5 4" xfId="14415" xr:uid="{00000000-0005-0000-0000-000025380000}"/>
    <cellStyle name="Normal 2 2 2 2 4 2 2 2 5 5" xfId="14416" xr:uid="{00000000-0005-0000-0000-000026380000}"/>
    <cellStyle name="Normal 2 2 2 2 4 2 2 2 5 6" xfId="14417" xr:uid="{00000000-0005-0000-0000-000027380000}"/>
    <cellStyle name="Normal 2 2 2 2 4 2 2 2 5 7" xfId="14418" xr:uid="{00000000-0005-0000-0000-000028380000}"/>
    <cellStyle name="Normal 2 2 2 2 4 2 2 2 5 8" xfId="14419" xr:uid="{00000000-0005-0000-0000-000029380000}"/>
    <cellStyle name="Normal 2 2 2 2 4 2 2 2 5 9" xfId="14420" xr:uid="{00000000-0005-0000-0000-00002A380000}"/>
    <cellStyle name="Normal 2 2 2 2 4 2 2 2 6" xfId="14421" xr:uid="{00000000-0005-0000-0000-00002B380000}"/>
    <cellStyle name="Normal 2 2 2 2 4 2 2 2 7" xfId="14422" xr:uid="{00000000-0005-0000-0000-00002C380000}"/>
    <cellStyle name="Normal 2 2 2 2 4 2 2 2 8" xfId="14423" xr:uid="{00000000-0005-0000-0000-00002D380000}"/>
    <cellStyle name="Normal 2 2 2 2 4 2 2 2 9" xfId="14424" xr:uid="{00000000-0005-0000-0000-00002E380000}"/>
    <cellStyle name="Normal 2 2 2 2 4 2 2 20" xfId="14425" xr:uid="{00000000-0005-0000-0000-00002F380000}"/>
    <cellStyle name="Normal 2 2 2 2 4 2 2 20 10" xfId="14426" xr:uid="{00000000-0005-0000-0000-000030380000}"/>
    <cellStyle name="Normal 2 2 2 2 4 2 2 20 11" xfId="14427" xr:uid="{00000000-0005-0000-0000-000031380000}"/>
    <cellStyle name="Normal 2 2 2 2 4 2 2 20 12" xfId="14428" xr:uid="{00000000-0005-0000-0000-000032380000}"/>
    <cellStyle name="Normal 2 2 2 2 4 2 2 20 13" xfId="14429" xr:uid="{00000000-0005-0000-0000-000033380000}"/>
    <cellStyle name="Normal 2 2 2 2 4 2 2 20 14" xfId="14430" xr:uid="{00000000-0005-0000-0000-000034380000}"/>
    <cellStyle name="Normal 2 2 2 2 4 2 2 20 2" xfId="14431" xr:uid="{00000000-0005-0000-0000-000035380000}"/>
    <cellStyle name="Normal 2 2 2 2 4 2 2 20 2 10" xfId="14432" xr:uid="{00000000-0005-0000-0000-000036380000}"/>
    <cellStyle name="Normal 2 2 2 2 4 2 2 20 2 2" xfId="14433" xr:uid="{00000000-0005-0000-0000-000037380000}"/>
    <cellStyle name="Normal 2 2 2 2 4 2 2 20 2 3" xfId="14434" xr:uid="{00000000-0005-0000-0000-000038380000}"/>
    <cellStyle name="Normal 2 2 2 2 4 2 2 20 2 4" xfId="14435" xr:uid="{00000000-0005-0000-0000-000039380000}"/>
    <cellStyle name="Normal 2 2 2 2 4 2 2 20 2 5" xfId="14436" xr:uid="{00000000-0005-0000-0000-00003A380000}"/>
    <cellStyle name="Normal 2 2 2 2 4 2 2 20 2 6" xfId="14437" xr:uid="{00000000-0005-0000-0000-00003B380000}"/>
    <cellStyle name="Normal 2 2 2 2 4 2 2 20 2 7" xfId="14438" xr:uid="{00000000-0005-0000-0000-00003C380000}"/>
    <cellStyle name="Normal 2 2 2 2 4 2 2 20 2 8" xfId="14439" xr:uid="{00000000-0005-0000-0000-00003D380000}"/>
    <cellStyle name="Normal 2 2 2 2 4 2 2 20 2 9" xfId="14440" xr:uid="{00000000-0005-0000-0000-00003E380000}"/>
    <cellStyle name="Normal 2 2 2 2 4 2 2 20 3" xfId="14441" xr:uid="{00000000-0005-0000-0000-00003F380000}"/>
    <cellStyle name="Normal 2 2 2 2 4 2 2 20 3 10" xfId="14442" xr:uid="{00000000-0005-0000-0000-000040380000}"/>
    <cellStyle name="Normal 2 2 2 2 4 2 2 20 3 2" xfId="14443" xr:uid="{00000000-0005-0000-0000-000041380000}"/>
    <cellStyle name="Normal 2 2 2 2 4 2 2 20 3 3" xfId="14444" xr:uid="{00000000-0005-0000-0000-000042380000}"/>
    <cellStyle name="Normal 2 2 2 2 4 2 2 20 3 4" xfId="14445" xr:uid="{00000000-0005-0000-0000-000043380000}"/>
    <cellStyle name="Normal 2 2 2 2 4 2 2 20 3 5" xfId="14446" xr:uid="{00000000-0005-0000-0000-000044380000}"/>
    <cellStyle name="Normal 2 2 2 2 4 2 2 20 3 6" xfId="14447" xr:uid="{00000000-0005-0000-0000-000045380000}"/>
    <cellStyle name="Normal 2 2 2 2 4 2 2 20 3 7" xfId="14448" xr:uid="{00000000-0005-0000-0000-000046380000}"/>
    <cellStyle name="Normal 2 2 2 2 4 2 2 20 3 8" xfId="14449" xr:uid="{00000000-0005-0000-0000-000047380000}"/>
    <cellStyle name="Normal 2 2 2 2 4 2 2 20 3 9" xfId="14450" xr:uid="{00000000-0005-0000-0000-000048380000}"/>
    <cellStyle name="Normal 2 2 2 2 4 2 2 20 4" xfId="14451" xr:uid="{00000000-0005-0000-0000-000049380000}"/>
    <cellStyle name="Normal 2 2 2 2 4 2 2 20 4 10" xfId="14452" xr:uid="{00000000-0005-0000-0000-00004A380000}"/>
    <cellStyle name="Normal 2 2 2 2 4 2 2 20 4 2" xfId="14453" xr:uid="{00000000-0005-0000-0000-00004B380000}"/>
    <cellStyle name="Normal 2 2 2 2 4 2 2 20 4 3" xfId="14454" xr:uid="{00000000-0005-0000-0000-00004C380000}"/>
    <cellStyle name="Normal 2 2 2 2 4 2 2 20 4 4" xfId="14455" xr:uid="{00000000-0005-0000-0000-00004D380000}"/>
    <cellStyle name="Normal 2 2 2 2 4 2 2 20 4 5" xfId="14456" xr:uid="{00000000-0005-0000-0000-00004E380000}"/>
    <cellStyle name="Normal 2 2 2 2 4 2 2 20 4 6" xfId="14457" xr:uid="{00000000-0005-0000-0000-00004F380000}"/>
    <cellStyle name="Normal 2 2 2 2 4 2 2 20 4 7" xfId="14458" xr:uid="{00000000-0005-0000-0000-000050380000}"/>
    <cellStyle name="Normal 2 2 2 2 4 2 2 20 4 8" xfId="14459" xr:uid="{00000000-0005-0000-0000-000051380000}"/>
    <cellStyle name="Normal 2 2 2 2 4 2 2 20 4 9" xfId="14460" xr:uid="{00000000-0005-0000-0000-000052380000}"/>
    <cellStyle name="Normal 2 2 2 2 4 2 2 20 5" xfId="14461" xr:uid="{00000000-0005-0000-0000-000053380000}"/>
    <cellStyle name="Normal 2 2 2 2 4 2 2 20 5 10" xfId="14462" xr:uid="{00000000-0005-0000-0000-000054380000}"/>
    <cellStyle name="Normal 2 2 2 2 4 2 2 20 5 2" xfId="14463" xr:uid="{00000000-0005-0000-0000-000055380000}"/>
    <cellStyle name="Normal 2 2 2 2 4 2 2 20 5 3" xfId="14464" xr:uid="{00000000-0005-0000-0000-000056380000}"/>
    <cellStyle name="Normal 2 2 2 2 4 2 2 20 5 4" xfId="14465" xr:uid="{00000000-0005-0000-0000-000057380000}"/>
    <cellStyle name="Normal 2 2 2 2 4 2 2 20 5 5" xfId="14466" xr:uid="{00000000-0005-0000-0000-000058380000}"/>
    <cellStyle name="Normal 2 2 2 2 4 2 2 20 5 6" xfId="14467" xr:uid="{00000000-0005-0000-0000-000059380000}"/>
    <cellStyle name="Normal 2 2 2 2 4 2 2 20 5 7" xfId="14468" xr:uid="{00000000-0005-0000-0000-00005A380000}"/>
    <cellStyle name="Normal 2 2 2 2 4 2 2 20 5 8" xfId="14469" xr:uid="{00000000-0005-0000-0000-00005B380000}"/>
    <cellStyle name="Normal 2 2 2 2 4 2 2 20 5 9" xfId="14470" xr:uid="{00000000-0005-0000-0000-00005C380000}"/>
    <cellStyle name="Normal 2 2 2 2 4 2 2 20 6" xfId="14471" xr:uid="{00000000-0005-0000-0000-00005D380000}"/>
    <cellStyle name="Normal 2 2 2 2 4 2 2 20 7" xfId="14472" xr:uid="{00000000-0005-0000-0000-00005E380000}"/>
    <cellStyle name="Normal 2 2 2 2 4 2 2 20 8" xfId="14473" xr:uid="{00000000-0005-0000-0000-00005F380000}"/>
    <cellStyle name="Normal 2 2 2 2 4 2 2 20 9" xfId="14474" xr:uid="{00000000-0005-0000-0000-000060380000}"/>
    <cellStyle name="Normal 2 2 2 2 4 2 2 3" xfId="14475" xr:uid="{00000000-0005-0000-0000-000061380000}"/>
    <cellStyle name="Normal 2 2 2 2 4 2 2 3 10" xfId="14476" xr:uid="{00000000-0005-0000-0000-000062380000}"/>
    <cellStyle name="Normal 2 2 2 2 4 2 2 3 11" xfId="14477" xr:uid="{00000000-0005-0000-0000-000063380000}"/>
    <cellStyle name="Normal 2 2 2 2 4 2 2 3 12" xfId="14478" xr:uid="{00000000-0005-0000-0000-000064380000}"/>
    <cellStyle name="Normal 2 2 2 2 4 2 2 3 13" xfId="14479" xr:uid="{00000000-0005-0000-0000-000065380000}"/>
    <cellStyle name="Normal 2 2 2 2 4 2 2 3 14" xfId="14480" xr:uid="{00000000-0005-0000-0000-000066380000}"/>
    <cellStyle name="Normal 2 2 2 2 4 2 2 3 2" xfId="14481" xr:uid="{00000000-0005-0000-0000-000067380000}"/>
    <cellStyle name="Normal 2 2 2 2 4 2 2 3 2 10" xfId="14482" xr:uid="{00000000-0005-0000-0000-000068380000}"/>
    <cellStyle name="Normal 2 2 2 2 4 2 2 3 2 2" xfId="14483" xr:uid="{00000000-0005-0000-0000-000069380000}"/>
    <cellStyle name="Normal 2 2 2 2 4 2 2 3 2 3" xfId="14484" xr:uid="{00000000-0005-0000-0000-00006A380000}"/>
    <cellStyle name="Normal 2 2 2 2 4 2 2 3 2 4" xfId="14485" xr:uid="{00000000-0005-0000-0000-00006B380000}"/>
    <cellStyle name="Normal 2 2 2 2 4 2 2 3 2 5" xfId="14486" xr:uid="{00000000-0005-0000-0000-00006C380000}"/>
    <cellStyle name="Normal 2 2 2 2 4 2 2 3 2 6" xfId="14487" xr:uid="{00000000-0005-0000-0000-00006D380000}"/>
    <cellStyle name="Normal 2 2 2 2 4 2 2 3 2 7" xfId="14488" xr:uid="{00000000-0005-0000-0000-00006E380000}"/>
    <cellStyle name="Normal 2 2 2 2 4 2 2 3 2 8" xfId="14489" xr:uid="{00000000-0005-0000-0000-00006F380000}"/>
    <cellStyle name="Normal 2 2 2 2 4 2 2 3 2 9" xfId="14490" xr:uid="{00000000-0005-0000-0000-000070380000}"/>
    <cellStyle name="Normal 2 2 2 2 4 2 2 3 3" xfId="14491" xr:uid="{00000000-0005-0000-0000-000071380000}"/>
    <cellStyle name="Normal 2 2 2 2 4 2 2 3 3 10" xfId="14492" xr:uid="{00000000-0005-0000-0000-000072380000}"/>
    <cellStyle name="Normal 2 2 2 2 4 2 2 3 3 2" xfId="14493" xr:uid="{00000000-0005-0000-0000-000073380000}"/>
    <cellStyle name="Normal 2 2 2 2 4 2 2 3 3 3" xfId="14494" xr:uid="{00000000-0005-0000-0000-000074380000}"/>
    <cellStyle name="Normal 2 2 2 2 4 2 2 3 3 4" xfId="14495" xr:uid="{00000000-0005-0000-0000-000075380000}"/>
    <cellStyle name="Normal 2 2 2 2 4 2 2 3 3 5" xfId="14496" xr:uid="{00000000-0005-0000-0000-000076380000}"/>
    <cellStyle name="Normal 2 2 2 2 4 2 2 3 3 6" xfId="14497" xr:uid="{00000000-0005-0000-0000-000077380000}"/>
    <cellStyle name="Normal 2 2 2 2 4 2 2 3 3 7" xfId="14498" xr:uid="{00000000-0005-0000-0000-000078380000}"/>
    <cellStyle name="Normal 2 2 2 2 4 2 2 3 3 8" xfId="14499" xr:uid="{00000000-0005-0000-0000-000079380000}"/>
    <cellStyle name="Normal 2 2 2 2 4 2 2 3 3 9" xfId="14500" xr:uid="{00000000-0005-0000-0000-00007A380000}"/>
    <cellStyle name="Normal 2 2 2 2 4 2 2 3 4" xfId="14501" xr:uid="{00000000-0005-0000-0000-00007B380000}"/>
    <cellStyle name="Normal 2 2 2 2 4 2 2 3 4 10" xfId="14502" xr:uid="{00000000-0005-0000-0000-00007C380000}"/>
    <cellStyle name="Normal 2 2 2 2 4 2 2 3 4 2" xfId="14503" xr:uid="{00000000-0005-0000-0000-00007D380000}"/>
    <cellStyle name="Normal 2 2 2 2 4 2 2 3 4 3" xfId="14504" xr:uid="{00000000-0005-0000-0000-00007E380000}"/>
    <cellStyle name="Normal 2 2 2 2 4 2 2 3 4 4" xfId="14505" xr:uid="{00000000-0005-0000-0000-00007F380000}"/>
    <cellStyle name="Normal 2 2 2 2 4 2 2 3 4 5" xfId="14506" xr:uid="{00000000-0005-0000-0000-000080380000}"/>
    <cellStyle name="Normal 2 2 2 2 4 2 2 3 4 6" xfId="14507" xr:uid="{00000000-0005-0000-0000-000081380000}"/>
    <cellStyle name="Normal 2 2 2 2 4 2 2 3 4 7" xfId="14508" xr:uid="{00000000-0005-0000-0000-000082380000}"/>
    <cellStyle name="Normal 2 2 2 2 4 2 2 3 4 8" xfId="14509" xr:uid="{00000000-0005-0000-0000-000083380000}"/>
    <cellStyle name="Normal 2 2 2 2 4 2 2 3 4 9" xfId="14510" xr:uid="{00000000-0005-0000-0000-000084380000}"/>
    <cellStyle name="Normal 2 2 2 2 4 2 2 3 5" xfId="14511" xr:uid="{00000000-0005-0000-0000-000085380000}"/>
    <cellStyle name="Normal 2 2 2 2 4 2 2 3 5 10" xfId="14512" xr:uid="{00000000-0005-0000-0000-000086380000}"/>
    <cellStyle name="Normal 2 2 2 2 4 2 2 3 5 2" xfId="14513" xr:uid="{00000000-0005-0000-0000-000087380000}"/>
    <cellStyle name="Normal 2 2 2 2 4 2 2 3 5 3" xfId="14514" xr:uid="{00000000-0005-0000-0000-000088380000}"/>
    <cellStyle name="Normal 2 2 2 2 4 2 2 3 5 4" xfId="14515" xr:uid="{00000000-0005-0000-0000-000089380000}"/>
    <cellStyle name="Normal 2 2 2 2 4 2 2 3 5 5" xfId="14516" xr:uid="{00000000-0005-0000-0000-00008A380000}"/>
    <cellStyle name="Normal 2 2 2 2 4 2 2 3 5 6" xfId="14517" xr:uid="{00000000-0005-0000-0000-00008B380000}"/>
    <cellStyle name="Normal 2 2 2 2 4 2 2 3 5 7" xfId="14518" xr:uid="{00000000-0005-0000-0000-00008C380000}"/>
    <cellStyle name="Normal 2 2 2 2 4 2 2 3 5 8" xfId="14519" xr:uid="{00000000-0005-0000-0000-00008D380000}"/>
    <cellStyle name="Normal 2 2 2 2 4 2 2 3 5 9" xfId="14520" xr:uid="{00000000-0005-0000-0000-00008E380000}"/>
    <cellStyle name="Normal 2 2 2 2 4 2 2 3 6" xfId="14521" xr:uid="{00000000-0005-0000-0000-00008F380000}"/>
    <cellStyle name="Normal 2 2 2 2 4 2 2 3 7" xfId="14522" xr:uid="{00000000-0005-0000-0000-000090380000}"/>
    <cellStyle name="Normal 2 2 2 2 4 2 2 3 8" xfId="14523" xr:uid="{00000000-0005-0000-0000-000091380000}"/>
    <cellStyle name="Normal 2 2 2 2 4 2 2 3 9" xfId="14524" xr:uid="{00000000-0005-0000-0000-000092380000}"/>
    <cellStyle name="Normal 2 2 2 2 4 2 2 4" xfId="14525" xr:uid="{00000000-0005-0000-0000-000093380000}"/>
    <cellStyle name="Normal 2 2 2 2 4 2 2 4 10" xfId="14526" xr:uid="{00000000-0005-0000-0000-000094380000}"/>
    <cellStyle name="Normal 2 2 2 2 4 2 2 4 11" xfId="14527" xr:uid="{00000000-0005-0000-0000-000095380000}"/>
    <cellStyle name="Normal 2 2 2 2 4 2 2 4 12" xfId="14528" xr:uid="{00000000-0005-0000-0000-000096380000}"/>
    <cellStyle name="Normal 2 2 2 2 4 2 2 4 13" xfId="14529" xr:uid="{00000000-0005-0000-0000-000097380000}"/>
    <cellStyle name="Normal 2 2 2 2 4 2 2 4 14" xfId="14530" xr:uid="{00000000-0005-0000-0000-000098380000}"/>
    <cellStyle name="Normal 2 2 2 2 4 2 2 4 2" xfId="14531" xr:uid="{00000000-0005-0000-0000-000099380000}"/>
    <cellStyle name="Normal 2 2 2 2 4 2 2 4 2 10" xfId="14532" xr:uid="{00000000-0005-0000-0000-00009A380000}"/>
    <cellStyle name="Normal 2 2 2 2 4 2 2 4 2 2" xfId="14533" xr:uid="{00000000-0005-0000-0000-00009B380000}"/>
    <cellStyle name="Normal 2 2 2 2 4 2 2 4 2 3" xfId="14534" xr:uid="{00000000-0005-0000-0000-00009C380000}"/>
    <cellStyle name="Normal 2 2 2 2 4 2 2 4 2 4" xfId="14535" xr:uid="{00000000-0005-0000-0000-00009D380000}"/>
    <cellStyle name="Normal 2 2 2 2 4 2 2 4 2 5" xfId="14536" xr:uid="{00000000-0005-0000-0000-00009E380000}"/>
    <cellStyle name="Normal 2 2 2 2 4 2 2 4 2 6" xfId="14537" xr:uid="{00000000-0005-0000-0000-00009F380000}"/>
    <cellStyle name="Normal 2 2 2 2 4 2 2 4 2 7" xfId="14538" xr:uid="{00000000-0005-0000-0000-0000A0380000}"/>
    <cellStyle name="Normal 2 2 2 2 4 2 2 4 2 8" xfId="14539" xr:uid="{00000000-0005-0000-0000-0000A1380000}"/>
    <cellStyle name="Normal 2 2 2 2 4 2 2 4 2 9" xfId="14540" xr:uid="{00000000-0005-0000-0000-0000A2380000}"/>
    <cellStyle name="Normal 2 2 2 2 4 2 2 4 3" xfId="14541" xr:uid="{00000000-0005-0000-0000-0000A3380000}"/>
    <cellStyle name="Normal 2 2 2 2 4 2 2 4 3 10" xfId="14542" xr:uid="{00000000-0005-0000-0000-0000A4380000}"/>
    <cellStyle name="Normal 2 2 2 2 4 2 2 4 3 2" xfId="14543" xr:uid="{00000000-0005-0000-0000-0000A5380000}"/>
    <cellStyle name="Normal 2 2 2 2 4 2 2 4 3 3" xfId="14544" xr:uid="{00000000-0005-0000-0000-0000A6380000}"/>
    <cellStyle name="Normal 2 2 2 2 4 2 2 4 3 4" xfId="14545" xr:uid="{00000000-0005-0000-0000-0000A7380000}"/>
    <cellStyle name="Normal 2 2 2 2 4 2 2 4 3 5" xfId="14546" xr:uid="{00000000-0005-0000-0000-0000A8380000}"/>
    <cellStyle name="Normal 2 2 2 2 4 2 2 4 3 6" xfId="14547" xr:uid="{00000000-0005-0000-0000-0000A9380000}"/>
    <cellStyle name="Normal 2 2 2 2 4 2 2 4 3 7" xfId="14548" xr:uid="{00000000-0005-0000-0000-0000AA380000}"/>
    <cellStyle name="Normal 2 2 2 2 4 2 2 4 3 8" xfId="14549" xr:uid="{00000000-0005-0000-0000-0000AB380000}"/>
    <cellStyle name="Normal 2 2 2 2 4 2 2 4 3 9" xfId="14550" xr:uid="{00000000-0005-0000-0000-0000AC380000}"/>
    <cellStyle name="Normal 2 2 2 2 4 2 2 4 4" xfId="14551" xr:uid="{00000000-0005-0000-0000-0000AD380000}"/>
    <cellStyle name="Normal 2 2 2 2 4 2 2 4 4 10" xfId="14552" xr:uid="{00000000-0005-0000-0000-0000AE380000}"/>
    <cellStyle name="Normal 2 2 2 2 4 2 2 4 4 2" xfId="14553" xr:uid="{00000000-0005-0000-0000-0000AF380000}"/>
    <cellStyle name="Normal 2 2 2 2 4 2 2 4 4 3" xfId="14554" xr:uid="{00000000-0005-0000-0000-0000B0380000}"/>
    <cellStyle name="Normal 2 2 2 2 4 2 2 4 4 4" xfId="14555" xr:uid="{00000000-0005-0000-0000-0000B1380000}"/>
    <cellStyle name="Normal 2 2 2 2 4 2 2 4 4 5" xfId="14556" xr:uid="{00000000-0005-0000-0000-0000B2380000}"/>
    <cellStyle name="Normal 2 2 2 2 4 2 2 4 4 6" xfId="14557" xr:uid="{00000000-0005-0000-0000-0000B3380000}"/>
    <cellStyle name="Normal 2 2 2 2 4 2 2 4 4 7" xfId="14558" xr:uid="{00000000-0005-0000-0000-0000B4380000}"/>
    <cellStyle name="Normal 2 2 2 2 4 2 2 4 4 8" xfId="14559" xr:uid="{00000000-0005-0000-0000-0000B5380000}"/>
    <cellStyle name="Normal 2 2 2 2 4 2 2 4 4 9" xfId="14560" xr:uid="{00000000-0005-0000-0000-0000B6380000}"/>
    <cellStyle name="Normal 2 2 2 2 4 2 2 4 5" xfId="14561" xr:uid="{00000000-0005-0000-0000-0000B7380000}"/>
    <cellStyle name="Normal 2 2 2 2 4 2 2 4 5 10" xfId="14562" xr:uid="{00000000-0005-0000-0000-0000B8380000}"/>
    <cellStyle name="Normal 2 2 2 2 4 2 2 4 5 2" xfId="14563" xr:uid="{00000000-0005-0000-0000-0000B9380000}"/>
    <cellStyle name="Normal 2 2 2 2 4 2 2 4 5 3" xfId="14564" xr:uid="{00000000-0005-0000-0000-0000BA380000}"/>
    <cellStyle name="Normal 2 2 2 2 4 2 2 4 5 4" xfId="14565" xr:uid="{00000000-0005-0000-0000-0000BB380000}"/>
    <cellStyle name="Normal 2 2 2 2 4 2 2 4 5 5" xfId="14566" xr:uid="{00000000-0005-0000-0000-0000BC380000}"/>
    <cellStyle name="Normal 2 2 2 2 4 2 2 4 5 6" xfId="14567" xr:uid="{00000000-0005-0000-0000-0000BD380000}"/>
    <cellStyle name="Normal 2 2 2 2 4 2 2 4 5 7" xfId="14568" xr:uid="{00000000-0005-0000-0000-0000BE380000}"/>
    <cellStyle name="Normal 2 2 2 2 4 2 2 4 5 8" xfId="14569" xr:uid="{00000000-0005-0000-0000-0000BF380000}"/>
    <cellStyle name="Normal 2 2 2 2 4 2 2 4 5 9" xfId="14570" xr:uid="{00000000-0005-0000-0000-0000C0380000}"/>
    <cellStyle name="Normal 2 2 2 2 4 2 2 4 6" xfId="14571" xr:uid="{00000000-0005-0000-0000-0000C1380000}"/>
    <cellStyle name="Normal 2 2 2 2 4 2 2 4 7" xfId="14572" xr:uid="{00000000-0005-0000-0000-0000C2380000}"/>
    <cellStyle name="Normal 2 2 2 2 4 2 2 4 8" xfId="14573" xr:uid="{00000000-0005-0000-0000-0000C3380000}"/>
    <cellStyle name="Normal 2 2 2 2 4 2 2 4 9" xfId="14574" xr:uid="{00000000-0005-0000-0000-0000C4380000}"/>
    <cellStyle name="Normal 2 2 2 2 4 2 2 5" xfId="14575" xr:uid="{00000000-0005-0000-0000-0000C5380000}"/>
    <cellStyle name="Normal 2 2 2 2 4 2 2 5 10" xfId="14576" xr:uid="{00000000-0005-0000-0000-0000C6380000}"/>
    <cellStyle name="Normal 2 2 2 2 4 2 2 5 11" xfId="14577" xr:uid="{00000000-0005-0000-0000-0000C7380000}"/>
    <cellStyle name="Normal 2 2 2 2 4 2 2 5 12" xfId="14578" xr:uid="{00000000-0005-0000-0000-0000C8380000}"/>
    <cellStyle name="Normal 2 2 2 2 4 2 2 5 13" xfId="14579" xr:uid="{00000000-0005-0000-0000-0000C9380000}"/>
    <cellStyle name="Normal 2 2 2 2 4 2 2 5 14" xfId="14580" xr:uid="{00000000-0005-0000-0000-0000CA380000}"/>
    <cellStyle name="Normal 2 2 2 2 4 2 2 5 2" xfId="14581" xr:uid="{00000000-0005-0000-0000-0000CB380000}"/>
    <cellStyle name="Normal 2 2 2 2 4 2 2 5 2 10" xfId="14582" xr:uid="{00000000-0005-0000-0000-0000CC380000}"/>
    <cellStyle name="Normal 2 2 2 2 4 2 2 5 2 2" xfId="14583" xr:uid="{00000000-0005-0000-0000-0000CD380000}"/>
    <cellStyle name="Normal 2 2 2 2 4 2 2 5 2 3" xfId="14584" xr:uid="{00000000-0005-0000-0000-0000CE380000}"/>
    <cellStyle name="Normal 2 2 2 2 4 2 2 5 2 4" xfId="14585" xr:uid="{00000000-0005-0000-0000-0000CF380000}"/>
    <cellStyle name="Normal 2 2 2 2 4 2 2 5 2 5" xfId="14586" xr:uid="{00000000-0005-0000-0000-0000D0380000}"/>
    <cellStyle name="Normal 2 2 2 2 4 2 2 5 2 6" xfId="14587" xr:uid="{00000000-0005-0000-0000-0000D1380000}"/>
    <cellStyle name="Normal 2 2 2 2 4 2 2 5 2 7" xfId="14588" xr:uid="{00000000-0005-0000-0000-0000D2380000}"/>
    <cellStyle name="Normal 2 2 2 2 4 2 2 5 2 8" xfId="14589" xr:uid="{00000000-0005-0000-0000-0000D3380000}"/>
    <cellStyle name="Normal 2 2 2 2 4 2 2 5 2 9" xfId="14590" xr:uid="{00000000-0005-0000-0000-0000D4380000}"/>
    <cellStyle name="Normal 2 2 2 2 4 2 2 5 3" xfId="14591" xr:uid="{00000000-0005-0000-0000-0000D5380000}"/>
    <cellStyle name="Normal 2 2 2 2 4 2 2 5 3 10" xfId="14592" xr:uid="{00000000-0005-0000-0000-0000D6380000}"/>
    <cellStyle name="Normal 2 2 2 2 4 2 2 5 3 2" xfId="14593" xr:uid="{00000000-0005-0000-0000-0000D7380000}"/>
    <cellStyle name="Normal 2 2 2 2 4 2 2 5 3 3" xfId="14594" xr:uid="{00000000-0005-0000-0000-0000D8380000}"/>
    <cellStyle name="Normal 2 2 2 2 4 2 2 5 3 4" xfId="14595" xr:uid="{00000000-0005-0000-0000-0000D9380000}"/>
    <cellStyle name="Normal 2 2 2 2 4 2 2 5 3 5" xfId="14596" xr:uid="{00000000-0005-0000-0000-0000DA380000}"/>
    <cellStyle name="Normal 2 2 2 2 4 2 2 5 3 6" xfId="14597" xr:uid="{00000000-0005-0000-0000-0000DB380000}"/>
    <cellStyle name="Normal 2 2 2 2 4 2 2 5 3 7" xfId="14598" xr:uid="{00000000-0005-0000-0000-0000DC380000}"/>
    <cellStyle name="Normal 2 2 2 2 4 2 2 5 3 8" xfId="14599" xr:uid="{00000000-0005-0000-0000-0000DD380000}"/>
    <cellStyle name="Normal 2 2 2 2 4 2 2 5 3 9" xfId="14600" xr:uid="{00000000-0005-0000-0000-0000DE380000}"/>
    <cellStyle name="Normal 2 2 2 2 4 2 2 5 4" xfId="14601" xr:uid="{00000000-0005-0000-0000-0000DF380000}"/>
    <cellStyle name="Normal 2 2 2 2 4 2 2 5 4 10" xfId="14602" xr:uid="{00000000-0005-0000-0000-0000E0380000}"/>
    <cellStyle name="Normal 2 2 2 2 4 2 2 5 4 2" xfId="14603" xr:uid="{00000000-0005-0000-0000-0000E1380000}"/>
    <cellStyle name="Normal 2 2 2 2 4 2 2 5 4 3" xfId="14604" xr:uid="{00000000-0005-0000-0000-0000E2380000}"/>
    <cellStyle name="Normal 2 2 2 2 4 2 2 5 4 4" xfId="14605" xr:uid="{00000000-0005-0000-0000-0000E3380000}"/>
    <cellStyle name="Normal 2 2 2 2 4 2 2 5 4 5" xfId="14606" xr:uid="{00000000-0005-0000-0000-0000E4380000}"/>
    <cellStyle name="Normal 2 2 2 2 4 2 2 5 4 6" xfId="14607" xr:uid="{00000000-0005-0000-0000-0000E5380000}"/>
    <cellStyle name="Normal 2 2 2 2 4 2 2 5 4 7" xfId="14608" xr:uid="{00000000-0005-0000-0000-0000E6380000}"/>
    <cellStyle name="Normal 2 2 2 2 4 2 2 5 4 8" xfId="14609" xr:uid="{00000000-0005-0000-0000-0000E7380000}"/>
    <cellStyle name="Normal 2 2 2 2 4 2 2 5 4 9" xfId="14610" xr:uid="{00000000-0005-0000-0000-0000E8380000}"/>
    <cellStyle name="Normal 2 2 2 2 4 2 2 5 5" xfId="14611" xr:uid="{00000000-0005-0000-0000-0000E9380000}"/>
    <cellStyle name="Normal 2 2 2 2 4 2 2 5 5 10" xfId="14612" xr:uid="{00000000-0005-0000-0000-0000EA380000}"/>
    <cellStyle name="Normal 2 2 2 2 4 2 2 5 5 2" xfId="14613" xr:uid="{00000000-0005-0000-0000-0000EB380000}"/>
    <cellStyle name="Normal 2 2 2 2 4 2 2 5 5 3" xfId="14614" xr:uid="{00000000-0005-0000-0000-0000EC380000}"/>
    <cellStyle name="Normal 2 2 2 2 4 2 2 5 5 4" xfId="14615" xr:uid="{00000000-0005-0000-0000-0000ED380000}"/>
    <cellStyle name="Normal 2 2 2 2 4 2 2 5 5 5" xfId="14616" xr:uid="{00000000-0005-0000-0000-0000EE380000}"/>
    <cellStyle name="Normal 2 2 2 2 4 2 2 5 5 6" xfId="14617" xr:uid="{00000000-0005-0000-0000-0000EF380000}"/>
    <cellStyle name="Normal 2 2 2 2 4 2 2 5 5 7" xfId="14618" xr:uid="{00000000-0005-0000-0000-0000F0380000}"/>
    <cellStyle name="Normal 2 2 2 2 4 2 2 5 5 8" xfId="14619" xr:uid="{00000000-0005-0000-0000-0000F1380000}"/>
    <cellStyle name="Normal 2 2 2 2 4 2 2 5 5 9" xfId="14620" xr:uid="{00000000-0005-0000-0000-0000F2380000}"/>
    <cellStyle name="Normal 2 2 2 2 4 2 2 5 6" xfId="14621" xr:uid="{00000000-0005-0000-0000-0000F3380000}"/>
    <cellStyle name="Normal 2 2 2 2 4 2 2 5 7" xfId="14622" xr:uid="{00000000-0005-0000-0000-0000F4380000}"/>
    <cellStyle name="Normal 2 2 2 2 4 2 2 5 8" xfId="14623" xr:uid="{00000000-0005-0000-0000-0000F5380000}"/>
    <cellStyle name="Normal 2 2 2 2 4 2 2 5 9" xfId="14624" xr:uid="{00000000-0005-0000-0000-0000F6380000}"/>
    <cellStyle name="Normal 2 2 2 2 4 2 2 6" xfId="14625" xr:uid="{00000000-0005-0000-0000-0000F7380000}"/>
    <cellStyle name="Normal 2 2 2 2 4 2 2 6 10" xfId="14626" xr:uid="{00000000-0005-0000-0000-0000F8380000}"/>
    <cellStyle name="Normal 2 2 2 2 4 2 2 6 11" xfId="14627" xr:uid="{00000000-0005-0000-0000-0000F9380000}"/>
    <cellStyle name="Normal 2 2 2 2 4 2 2 6 12" xfId="14628" xr:uid="{00000000-0005-0000-0000-0000FA380000}"/>
    <cellStyle name="Normal 2 2 2 2 4 2 2 6 13" xfId="14629" xr:uid="{00000000-0005-0000-0000-0000FB380000}"/>
    <cellStyle name="Normal 2 2 2 2 4 2 2 6 14" xfId="14630" xr:uid="{00000000-0005-0000-0000-0000FC380000}"/>
    <cellStyle name="Normal 2 2 2 2 4 2 2 6 2" xfId="14631" xr:uid="{00000000-0005-0000-0000-0000FD380000}"/>
    <cellStyle name="Normal 2 2 2 2 4 2 2 6 2 10" xfId="14632" xr:uid="{00000000-0005-0000-0000-0000FE380000}"/>
    <cellStyle name="Normal 2 2 2 2 4 2 2 6 2 2" xfId="14633" xr:uid="{00000000-0005-0000-0000-0000FF380000}"/>
    <cellStyle name="Normal 2 2 2 2 4 2 2 6 2 3" xfId="14634" xr:uid="{00000000-0005-0000-0000-000000390000}"/>
    <cellStyle name="Normal 2 2 2 2 4 2 2 6 2 4" xfId="14635" xr:uid="{00000000-0005-0000-0000-000001390000}"/>
    <cellStyle name="Normal 2 2 2 2 4 2 2 6 2 5" xfId="14636" xr:uid="{00000000-0005-0000-0000-000002390000}"/>
    <cellStyle name="Normal 2 2 2 2 4 2 2 6 2 6" xfId="14637" xr:uid="{00000000-0005-0000-0000-000003390000}"/>
    <cellStyle name="Normal 2 2 2 2 4 2 2 6 2 7" xfId="14638" xr:uid="{00000000-0005-0000-0000-000004390000}"/>
    <cellStyle name="Normal 2 2 2 2 4 2 2 6 2 8" xfId="14639" xr:uid="{00000000-0005-0000-0000-000005390000}"/>
    <cellStyle name="Normal 2 2 2 2 4 2 2 6 2 9" xfId="14640" xr:uid="{00000000-0005-0000-0000-000006390000}"/>
    <cellStyle name="Normal 2 2 2 2 4 2 2 6 3" xfId="14641" xr:uid="{00000000-0005-0000-0000-000007390000}"/>
    <cellStyle name="Normal 2 2 2 2 4 2 2 6 3 10" xfId="14642" xr:uid="{00000000-0005-0000-0000-000008390000}"/>
    <cellStyle name="Normal 2 2 2 2 4 2 2 6 3 2" xfId="14643" xr:uid="{00000000-0005-0000-0000-000009390000}"/>
    <cellStyle name="Normal 2 2 2 2 4 2 2 6 3 3" xfId="14644" xr:uid="{00000000-0005-0000-0000-00000A390000}"/>
    <cellStyle name="Normal 2 2 2 2 4 2 2 6 3 4" xfId="14645" xr:uid="{00000000-0005-0000-0000-00000B390000}"/>
    <cellStyle name="Normal 2 2 2 2 4 2 2 6 3 5" xfId="14646" xr:uid="{00000000-0005-0000-0000-00000C390000}"/>
    <cellStyle name="Normal 2 2 2 2 4 2 2 6 3 6" xfId="14647" xr:uid="{00000000-0005-0000-0000-00000D390000}"/>
    <cellStyle name="Normal 2 2 2 2 4 2 2 6 3 7" xfId="14648" xr:uid="{00000000-0005-0000-0000-00000E390000}"/>
    <cellStyle name="Normal 2 2 2 2 4 2 2 6 3 8" xfId="14649" xr:uid="{00000000-0005-0000-0000-00000F390000}"/>
    <cellStyle name="Normal 2 2 2 2 4 2 2 6 3 9" xfId="14650" xr:uid="{00000000-0005-0000-0000-000010390000}"/>
    <cellStyle name="Normal 2 2 2 2 4 2 2 6 4" xfId="14651" xr:uid="{00000000-0005-0000-0000-000011390000}"/>
    <cellStyle name="Normal 2 2 2 2 4 2 2 6 4 10" xfId="14652" xr:uid="{00000000-0005-0000-0000-000012390000}"/>
    <cellStyle name="Normal 2 2 2 2 4 2 2 6 4 2" xfId="14653" xr:uid="{00000000-0005-0000-0000-000013390000}"/>
    <cellStyle name="Normal 2 2 2 2 4 2 2 6 4 3" xfId="14654" xr:uid="{00000000-0005-0000-0000-000014390000}"/>
    <cellStyle name="Normal 2 2 2 2 4 2 2 6 4 4" xfId="14655" xr:uid="{00000000-0005-0000-0000-000015390000}"/>
    <cellStyle name="Normal 2 2 2 2 4 2 2 6 4 5" xfId="14656" xr:uid="{00000000-0005-0000-0000-000016390000}"/>
    <cellStyle name="Normal 2 2 2 2 4 2 2 6 4 6" xfId="14657" xr:uid="{00000000-0005-0000-0000-000017390000}"/>
    <cellStyle name="Normal 2 2 2 2 4 2 2 6 4 7" xfId="14658" xr:uid="{00000000-0005-0000-0000-000018390000}"/>
    <cellStyle name="Normal 2 2 2 2 4 2 2 6 4 8" xfId="14659" xr:uid="{00000000-0005-0000-0000-000019390000}"/>
    <cellStyle name="Normal 2 2 2 2 4 2 2 6 4 9" xfId="14660" xr:uid="{00000000-0005-0000-0000-00001A390000}"/>
    <cellStyle name="Normal 2 2 2 2 4 2 2 6 5" xfId="14661" xr:uid="{00000000-0005-0000-0000-00001B390000}"/>
    <cellStyle name="Normal 2 2 2 2 4 2 2 6 5 10" xfId="14662" xr:uid="{00000000-0005-0000-0000-00001C390000}"/>
    <cellStyle name="Normal 2 2 2 2 4 2 2 6 5 2" xfId="14663" xr:uid="{00000000-0005-0000-0000-00001D390000}"/>
    <cellStyle name="Normal 2 2 2 2 4 2 2 6 5 3" xfId="14664" xr:uid="{00000000-0005-0000-0000-00001E390000}"/>
    <cellStyle name="Normal 2 2 2 2 4 2 2 6 5 4" xfId="14665" xr:uid="{00000000-0005-0000-0000-00001F390000}"/>
    <cellStyle name="Normal 2 2 2 2 4 2 2 6 5 5" xfId="14666" xr:uid="{00000000-0005-0000-0000-000020390000}"/>
    <cellStyle name="Normal 2 2 2 2 4 2 2 6 5 6" xfId="14667" xr:uid="{00000000-0005-0000-0000-000021390000}"/>
    <cellStyle name="Normal 2 2 2 2 4 2 2 6 5 7" xfId="14668" xr:uid="{00000000-0005-0000-0000-000022390000}"/>
    <cellStyle name="Normal 2 2 2 2 4 2 2 6 5 8" xfId="14669" xr:uid="{00000000-0005-0000-0000-000023390000}"/>
    <cellStyle name="Normal 2 2 2 2 4 2 2 6 5 9" xfId="14670" xr:uid="{00000000-0005-0000-0000-000024390000}"/>
    <cellStyle name="Normal 2 2 2 2 4 2 2 6 6" xfId="14671" xr:uid="{00000000-0005-0000-0000-000025390000}"/>
    <cellStyle name="Normal 2 2 2 2 4 2 2 6 7" xfId="14672" xr:uid="{00000000-0005-0000-0000-000026390000}"/>
    <cellStyle name="Normal 2 2 2 2 4 2 2 6 8" xfId="14673" xr:uid="{00000000-0005-0000-0000-000027390000}"/>
    <cellStyle name="Normal 2 2 2 2 4 2 2 6 9" xfId="14674" xr:uid="{00000000-0005-0000-0000-000028390000}"/>
    <cellStyle name="Normal 2 2 2 2 4 2 2 7" xfId="14675" xr:uid="{00000000-0005-0000-0000-000029390000}"/>
    <cellStyle name="Normal 2 2 2 2 4 2 2 7 10" xfId="14676" xr:uid="{00000000-0005-0000-0000-00002A390000}"/>
    <cellStyle name="Normal 2 2 2 2 4 2 2 7 11" xfId="14677" xr:uid="{00000000-0005-0000-0000-00002B390000}"/>
    <cellStyle name="Normal 2 2 2 2 4 2 2 7 12" xfId="14678" xr:uid="{00000000-0005-0000-0000-00002C390000}"/>
    <cellStyle name="Normal 2 2 2 2 4 2 2 7 13" xfId="14679" xr:uid="{00000000-0005-0000-0000-00002D390000}"/>
    <cellStyle name="Normal 2 2 2 2 4 2 2 7 14" xfId="14680" xr:uid="{00000000-0005-0000-0000-00002E390000}"/>
    <cellStyle name="Normal 2 2 2 2 4 2 2 7 2" xfId="14681" xr:uid="{00000000-0005-0000-0000-00002F390000}"/>
    <cellStyle name="Normal 2 2 2 2 4 2 2 7 2 10" xfId="14682" xr:uid="{00000000-0005-0000-0000-000030390000}"/>
    <cellStyle name="Normal 2 2 2 2 4 2 2 7 2 2" xfId="14683" xr:uid="{00000000-0005-0000-0000-000031390000}"/>
    <cellStyle name="Normal 2 2 2 2 4 2 2 7 2 3" xfId="14684" xr:uid="{00000000-0005-0000-0000-000032390000}"/>
    <cellStyle name="Normal 2 2 2 2 4 2 2 7 2 4" xfId="14685" xr:uid="{00000000-0005-0000-0000-000033390000}"/>
    <cellStyle name="Normal 2 2 2 2 4 2 2 7 2 5" xfId="14686" xr:uid="{00000000-0005-0000-0000-000034390000}"/>
    <cellStyle name="Normal 2 2 2 2 4 2 2 7 2 6" xfId="14687" xr:uid="{00000000-0005-0000-0000-000035390000}"/>
    <cellStyle name="Normal 2 2 2 2 4 2 2 7 2 7" xfId="14688" xr:uid="{00000000-0005-0000-0000-000036390000}"/>
    <cellStyle name="Normal 2 2 2 2 4 2 2 7 2 8" xfId="14689" xr:uid="{00000000-0005-0000-0000-000037390000}"/>
    <cellStyle name="Normal 2 2 2 2 4 2 2 7 2 9" xfId="14690" xr:uid="{00000000-0005-0000-0000-000038390000}"/>
    <cellStyle name="Normal 2 2 2 2 4 2 2 7 3" xfId="14691" xr:uid="{00000000-0005-0000-0000-000039390000}"/>
    <cellStyle name="Normal 2 2 2 2 4 2 2 7 3 10" xfId="14692" xr:uid="{00000000-0005-0000-0000-00003A390000}"/>
    <cellStyle name="Normal 2 2 2 2 4 2 2 7 3 2" xfId="14693" xr:uid="{00000000-0005-0000-0000-00003B390000}"/>
    <cellStyle name="Normal 2 2 2 2 4 2 2 7 3 3" xfId="14694" xr:uid="{00000000-0005-0000-0000-00003C390000}"/>
    <cellStyle name="Normal 2 2 2 2 4 2 2 7 3 4" xfId="14695" xr:uid="{00000000-0005-0000-0000-00003D390000}"/>
    <cellStyle name="Normal 2 2 2 2 4 2 2 7 3 5" xfId="14696" xr:uid="{00000000-0005-0000-0000-00003E390000}"/>
    <cellStyle name="Normal 2 2 2 2 4 2 2 7 3 6" xfId="14697" xr:uid="{00000000-0005-0000-0000-00003F390000}"/>
    <cellStyle name="Normal 2 2 2 2 4 2 2 7 3 7" xfId="14698" xr:uid="{00000000-0005-0000-0000-000040390000}"/>
    <cellStyle name="Normal 2 2 2 2 4 2 2 7 3 8" xfId="14699" xr:uid="{00000000-0005-0000-0000-000041390000}"/>
    <cellStyle name="Normal 2 2 2 2 4 2 2 7 3 9" xfId="14700" xr:uid="{00000000-0005-0000-0000-000042390000}"/>
    <cellStyle name="Normal 2 2 2 2 4 2 2 7 4" xfId="14701" xr:uid="{00000000-0005-0000-0000-000043390000}"/>
    <cellStyle name="Normal 2 2 2 2 4 2 2 7 4 10" xfId="14702" xr:uid="{00000000-0005-0000-0000-000044390000}"/>
    <cellStyle name="Normal 2 2 2 2 4 2 2 7 4 2" xfId="14703" xr:uid="{00000000-0005-0000-0000-000045390000}"/>
    <cellStyle name="Normal 2 2 2 2 4 2 2 7 4 3" xfId="14704" xr:uid="{00000000-0005-0000-0000-000046390000}"/>
    <cellStyle name="Normal 2 2 2 2 4 2 2 7 4 4" xfId="14705" xr:uid="{00000000-0005-0000-0000-000047390000}"/>
    <cellStyle name="Normal 2 2 2 2 4 2 2 7 4 5" xfId="14706" xr:uid="{00000000-0005-0000-0000-000048390000}"/>
    <cellStyle name="Normal 2 2 2 2 4 2 2 7 4 6" xfId="14707" xr:uid="{00000000-0005-0000-0000-000049390000}"/>
    <cellStyle name="Normal 2 2 2 2 4 2 2 7 4 7" xfId="14708" xr:uid="{00000000-0005-0000-0000-00004A390000}"/>
    <cellStyle name="Normal 2 2 2 2 4 2 2 7 4 8" xfId="14709" xr:uid="{00000000-0005-0000-0000-00004B390000}"/>
    <cellStyle name="Normal 2 2 2 2 4 2 2 7 4 9" xfId="14710" xr:uid="{00000000-0005-0000-0000-00004C390000}"/>
    <cellStyle name="Normal 2 2 2 2 4 2 2 7 5" xfId="14711" xr:uid="{00000000-0005-0000-0000-00004D390000}"/>
    <cellStyle name="Normal 2 2 2 2 4 2 2 7 5 10" xfId="14712" xr:uid="{00000000-0005-0000-0000-00004E390000}"/>
    <cellStyle name="Normal 2 2 2 2 4 2 2 7 5 2" xfId="14713" xr:uid="{00000000-0005-0000-0000-00004F390000}"/>
    <cellStyle name="Normal 2 2 2 2 4 2 2 7 5 3" xfId="14714" xr:uid="{00000000-0005-0000-0000-000050390000}"/>
    <cellStyle name="Normal 2 2 2 2 4 2 2 7 5 4" xfId="14715" xr:uid="{00000000-0005-0000-0000-000051390000}"/>
    <cellStyle name="Normal 2 2 2 2 4 2 2 7 5 5" xfId="14716" xr:uid="{00000000-0005-0000-0000-000052390000}"/>
    <cellStyle name="Normal 2 2 2 2 4 2 2 7 5 6" xfId="14717" xr:uid="{00000000-0005-0000-0000-000053390000}"/>
    <cellStyle name="Normal 2 2 2 2 4 2 2 7 5 7" xfId="14718" xr:uid="{00000000-0005-0000-0000-000054390000}"/>
    <cellStyle name="Normal 2 2 2 2 4 2 2 7 5 8" xfId="14719" xr:uid="{00000000-0005-0000-0000-000055390000}"/>
    <cellStyle name="Normal 2 2 2 2 4 2 2 7 5 9" xfId="14720" xr:uid="{00000000-0005-0000-0000-000056390000}"/>
    <cellStyle name="Normal 2 2 2 2 4 2 2 7 6" xfId="14721" xr:uid="{00000000-0005-0000-0000-000057390000}"/>
    <cellStyle name="Normal 2 2 2 2 4 2 2 7 7" xfId="14722" xr:uid="{00000000-0005-0000-0000-000058390000}"/>
    <cellStyle name="Normal 2 2 2 2 4 2 2 7 8" xfId="14723" xr:uid="{00000000-0005-0000-0000-000059390000}"/>
    <cellStyle name="Normal 2 2 2 2 4 2 2 7 9" xfId="14724" xr:uid="{00000000-0005-0000-0000-00005A390000}"/>
    <cellStyle name="Normal 2 2 2 2 4 2 2 8" xfId="14725" xr:uid="{00000000-0005-0000-0000-00005B390000}"/>
    <cellStyle name="Normal 2 2 2 2 4 2 2 8 10" xfId="14726" xr:uid="{00000000-0005-0000-0000-00005C390000}"/>
    <cellStyle name="Normal 2 2 2 2 4 2 2 8 11" xfId="14727" xr:uid="{00000000-0005-0000-0000-00005D390000}"/>
    <cellStyle name="Normal 2 2 2 2 4 2 2 8 12" xfId="14728" xr:uid="{00000000-0005-0000-0000-00005E390000}"/>
    <cellStyle name="Normal 2 2 2 2 4 2 2 8 13" xfId="14729" xr:uid="{00000000-0005-0000-0000-00005F390000}"/>
    <cellStyle name="Normal 2 2 2 2 4 2 2 8 14" xfId="14730" xr:uid="{00000000-0005-0000-0000-000060390000}"/>
    <cellStyle name="Normal 2 2 2 2 4 2 2 8 2" xfId="14731" xr:uid="{00000000-0005-0000-0000-000061390000}"/>
    <cellStyle name="Normal 2 2 2 2 4 2 2 8 2 10" xfId="14732" xr:uid="{00000000-0005-0000-0000-000062390000}"/>
    <cellStyle name="Normal 2 2 2 2 4 2 2 8 2 2" xfId="14733" xr:uid="{00000000-0005-0000-0000-000063390000}"/>
    <cellStyle name="Normal 2 2 2 2 4 2 2 8 2 3" xfId="14734" xr:uid="{00000000-0005-0000-0000-000064390000}"/>
    <cellStyle name="Normal 2 2 2 2 4 2 2 8 2 4" xfId="14735" xr:uid="{00000000-0005-0000-0000-000065390000}"/>
    <cellStyle name="Normal 2 2 2 2 4 2 2 8 2 5" xfId="14736" xr:uid="{00000000-0005-0000-0000-000066390000}"/>
    <cellStyle name="Normal 2 2 2 2 4 2 2 8 2 6" xfId="14737" xr:uid="{00000000-0005-0000-0000-000067390000}"/>
    <cellStyle name="Normal 2 2 2 2 4 2 2 8 2 7" xfId="14738" xr:uid="{00000000-0005-0000-0000-000068390000}"/>
    <cellStyle name="Normal 2 2 2 2 4 2 2 8 2 8" xfId="14739" xr:uid="{00000000-0005-0000-0000-000069390000}"/>
    <cellStyle name="Normal 2 2 2 2 4 2 2 8 2 9" xfId="14740" xr:uid="{00000000-0005-0000-0000-00006A390000}"/>
    <cellStyle name="Normal 2 2 2 2 4 2 2 8 3" xfId="14741" xr:uid="{00000000-0005-0000-0000-00006B390000}"/>
    <cellStyle name="Normal 2 2 2 2 4 2 2 8 3 10" xfId="14742" xr:uid="{00000000-0005-0000-0000-00006C390000}"/>
    <cellStyle name="Normal 2 2 2 2 4 2 2 8 3 2" xfId="14743" xr:uid="{00000000-0005-0000-0000-00006D390000}"/>
    <cellStyle name="Normal 2 2 2 2 4 2 2 8 3 3" xfId="14744" xr:uid="{00000000-0005-0000-0000-00006E390000}"/>
    <cellStyle name="Normal 2 2 2 2 4 2 2 8 3 4" xfId="14745" xr:uid="{00000000-0005-0000-0000-00006F390000}"/>
    <cellStyle name="Normal 2 2 2 2 4 2 2 8 3 5" xfId="14746" xr:uid="{00000000-0005-0000-0000-000070390000}"/>
    <cellStyle name="Normal 2 2 2 2 4 2 2 8 3 6" xfId="14747" xr:uid="{00000000-0005-0000-0000-000071390000}"/>
    <cellStyle name="Normal 2 2 2 2 4 2 2 8 3 7" xfId="14748" xr:uid="{00000000-0005-0000-0000-000072390000}"/>
    <cellStyle name="Normal 2 2 2 2 4 2 2 8 3 8" xfId="14749" xr:uid="{00000000-0005-0000-0000-000073390000}"/>
    <cellStyle name="Normal 2 2 2 2 4 2 2 8 3 9" xfId="14750" xr:uid="{00000000-0005-0000-0000-000074390000}"/>
    <cellStyle name="Normal 2 2 2 2 4 2 2 8 4" xfId="14751" xr:uid="{00000000-0005-0000-0000-000075390000}"/>
    <cellStyle name="Normal 2 2 2 2 4 2 2 8 4 10" xfId="14752" xr:uid="{00000000-0005-0000-0000-000076390000}"/>
    <cellStyle name="Normal 2 2 2 2 4 2 2 8 4 2" xfId="14753" xr:uid="{00000000-0005-0000-0000-000077390000}"/>
    <cellStyle name="Normal 2 2 2 2 4 2 2 8 4 3" xfId="14754" xr:uid="{00000000-0005-0000-0000-000078390000}"/>
    <cellStyle name="Normal 2 2 2 2 4 2 2 8 4 4" xfId="14755" xr:uid="{00000000-0005-0000-0000-000079390000}"/>
    <cellStyle name="Normal 2 2 2 2 4 2 2 8 4 5" xfId="14756" xr:uid="{00000000-0005-0000-0000-00007A390000}"/>
    <cellStyle name="Normal 2 2 2 2 4 2 2 8 4 6" xfId="14757" xr:uid="{00000000-0005-0000-0000-00007B390000}"/>
    <cellStyle name="Normal 2 2 2 2 4 2 2 8 4 7" xfId="14758" xr:uid="{00000000-0005-0000-0000-00007C390000}"/>
    <cellStyle name="Normal 2 2 2 2 4 2 2 8 4 8" xfId="14759" xr:uid="{00000000-0005-0000-0000-00007D390000}"/>
    <cellStyle name="Normal 2 2 2 2 4 2 2 8 4 9" xfId="14760" xr:uid="{00000000-0005-0000-0000-00007E390000}"/>
    <cellStyle name="Normal 2 2 2 2 4 2 2 8 5" xfId="14761" xr:uid="{00000000-0005-0000-0000-00007F390000}"/>
    <cellStyle name="Normal 2 2 2 2 4 2 2 8 5 10" xfId="14762" xr:uid="{00000000-0005-0000-0000-000080390000}"/>
    <cellStyle name="Normal 2 2 2 2 4 2 2 8 5 2" xfId="14763" xr:uid="{00000000-0005-0000-0000-000081390000}"/>
    <cellStyle name="Normal 2 2 2 2 4 2 2 8 5 3" xfId="14764" xr:uid="{00000000-0005-0000-0000-000082390000}"/>
    <cellStyle name="Normal 2 2 2 2 4 2 2 8 5 4" xfId="14765" xr:uid="{00000000-0005-0000-0000-000083390000}"/>
    <cellStyle name="Normal 2 2 2 2 4 2 2 8 5 5" xfId="14766" xr:uid="{00000000-0005-0000-0000-000084390000}"/>
    <cellStyle name="Normal 2 2 2 2 4 2 2 8 5 6" xfId="14767" xr:uid="{00000000-0005-0000-0000-000085390000}"/>
    <cellStyle name="Normal 2 2 2 2 4 2 2 8 5 7" xfId="14768" xr:uid="{00000000-0005-0000-0000-000086390000}"/>
    <cellStyle name="Normal 2 2 2 2 4 2 2 8 5 8" xfId="14769" xr:uid="{00000000-0005-0000-0000-000087390000}"/>
    <cellStyle name="Normal 2 2 2 2 4 2 2 8 5 9" xfId="14770" xr:uid="{00000000-0005-0000-0000-000088390000}"/>
    <cellStyle name="Normal 2 2 2 2 4 2 2 8 6" xfId="14771" xr:uid="{00000000-0005-0000-0000-000089390000}"/>
    <cellStyle name="Normal 2 2 2 2 4 2 2 8 7" xfId="14772" xr:uid="{00000000-0005-0000-0000-00008A390000}"/>
    <cellStyle name="Normal 2 2 2 2 4 2 2 8 8" xfId="14773" xr:uid="{00000000-0005-0000-0000-00008B390000}"/>
    <cellStyle name="Normal 2 2 2 2 4 2 2 8 9" xfId="14774" xr:uid="{00000000-0005-0000-0000-00008C390000}"/>
    <cellStyle name="Normal 2 2 2 2 4 2 2 9" xfId="14775" xr:uid="{00000000-0005-0000-0000-00008D390000}"/>
    <cellStyle name="Normal 2 2 2 2 4 2 2 9 10" xfId="14776" xr:uid="{00000000-0005-0000-0000-00008E390000}"/>
    <cellStyle name="Normal 2 2 2 2 4 2 2 9 11" xfId="14777" xr:uid="{00000000-0005-0000-0000-00008F390000}"/>
    <cellStyle name="Normal 2 2 2 2 4 2 2 9 12" xfId="14778" xr:uid="{00000000-0005-0000-0000-000090390000}"/>
    <cellStyle name="Normal 2 2 2 2 4 2 2 9 13" xfId="14779" xr:uid="{00000000-0005-0000-0000-000091390000}"/>
    <cellStyle name="Normal 2 2 2 2 4 2 2 9 14" xfId="14780" xr:uid="{00000000-0005-0000-0000-000092390000}"/>
    <cellStyle name="Normal 2 2 2 2 4 2 2 9 2" xfId="14781" xr:uid="{00000000-0005-0000-0000-000093390000}"/>
    <cellStyle name="Normal 2 2 2 2 4 2 2 9 2 10" xfId="14782" xr:uid="{00000000-0005-0000-0000-000094390000}"/>
    <cellStyle name="Normal 2 2 2 2 4 2 2 9 2 2" xfId="14783" xr:uid="{00000000-0005-0000-0000-000095390000}"/>
    <cellStyle name="Normal 2 2 2 2 4 2 2 9 2 3" xfId="14784" xr:uid="{00000000-0005-0000-0000-000096390000}"/>
    <cellStyle name="Normal 2 2 2 2 4 2 2 9 2 4" xfId="14785" xr:uid="{00000000-0005-0000-0000-000097390000}"/>
    <cellStyle name="Normal 2 2 2 2 4 2 2 9 2 5" xfId="14786" xr:uid="{00000000-0005-0000-0000-000098390000}"/>
    <cellStyle name="Normal 2 2 2 2 4 2 2 9 2 6" xfId="14787" xr:uid="{00000000-0005-0000-0000-000099390000}"/>
    <cellStyle name="Normal 2 2 2 2 4 2 2 9 2 7" xfId="14788" xr:uid="{00000000-0005-0000-0000-00009A390000}"/>
    <cellStyle name="Normal 2 2 2 2 4 2 2 9 2 8" xfId="14789" xr:uid="{00000000-0005-0000-0000-00009B390000}"/>
    <cellStyle name="Normal 2 2 2 2 4 2 2 9 2 9" xfId="14790" xr:uid="{00000000-0005-0000-0000-00009C390000}"/>
    <cellStyle name="Normal 2 2 2 2 4 2 2 9 3" xfId="14791" xr:uid="{00000000-0005-0000-0000-00009D390000}"/>
    <cellStyle name="Normal 2 2 2 2 4 2 2 9 3 10" xfId="14792" xr:uid="{00000000-0005-0000-0000-00009E390000}"/>
    <cellStyle name="Normal 2 2 2 2 4 2 2 9 3 2" xfId="14793" xr:uid="{00000000-0005-0000-0000-00009F390000}"/>
    <cellStyle name="Normal 2 2 2 2 4 2 2 9 3 3" xfId="14794" xr:uid="{00000000-0005-0000-0000-0000A0390000}"/>
    <cellStyle name="Normal 2 2 2 2 4 2 2 9 3 4" xfId="14795" xr:uid="{00000000-0005-0000-0000-0000A1390000}"/>
    <cellStyle name="Normal 2 2 2 2 4 2 2 9 3 5" xfId="14796" xr:uid="{00000000-0005-0000-0000-0000A2390000}"/>
    <cellStyle name="Normal 2 2 2 2 4 2 2 9 3 6" xfId="14797" xr:uid="{00000000-0005-0000-0000-0000A3390000}"/>
    <cellStyle name="Normal 2 2 2 2 4 2 2 9 3 7" xfId="14798" xr:uid="{00000000-0005-0000-0000-0000A4390000}"/>
    <cellStyle name="Normal 2 2 2 2 4 2 2 9 3 8" xfId="14799" xr:uid="{00000000-0005-0000-0000-0000A5390000}"/>
    <cellStyle name="Normal 2 2 2 2 4 2 2 9 3 9" xfId="14800" xr:uid="{00000000-0005-0000-0000-0000A6390000}"/>
    <cellStyle name="Normal 2 2 2 2 4 2 2 9 4" xfId="14801" xr:uid="{00000000-0005-0000-0000-0000A7390000}"/>
    <cellStyle name="Normal 2 2 2 2 4 2 2 9 4 10" xfId="14802" xr:uid="{00000000-0005-0000-0000-0000A8390000}"/>
    <cellStyle name="Normal 2 2 2 2 4 2 2 9 4 2" xfId="14803" xr:uid="{00000000-0005-0000-0000-0000A9390000}"/>
    <cellStyle name="Normal 2 2 2 2 4 2 2 9 4 3" xfId="14804" xr:uid="{00000000-0005-0000-0000-0000AA390000}"/>
    <cellStyle name="Normal 2 2 2 2 4 2 2 9 4 4" xfId="14805" xr:uid="{00000000-0005-0000-0000-0000AB390000}"/>
    <cellStyle name="Normal 2 2 2 2 4 2 2 9 4 5" xfId="14806" xr:uid="{00000000-0005-0000-0000-0000AC390000}"/>
    <cellStyle name="Normal 2 2 2 2 4 2 2 9 4 6" xfId="14807" xr:uid="{00000000-0005-0000-0000-0000AD390000}"/>
    <cellStyle name="Normal 2 2 2 2 4 2 2 9 4 7" xfId="14808" xr:uid="{00000000-0005-0000-0000-0000AE390000}"/>
    <cellStyle name="Normal 2 2 2 2 4 2 2 9 4 8" xfId="14809" xr:uid="{00000000-0005-0000-0000-0000AF390000}"/>
    <cellStyle name="Normal 2 2 2 2 4 2 2 9 4 9" xfId="14810" xr:uid="{00000000-0005-0000-0000-0000B0390000}"/>
    <cellStyle name="Normal 2 2 2 2 4 2 2 9 5" xfId="14811" xr:uid="{00000000-0005-0000-0000-0000B1390000}"/>
    <cellStyle name="Normal 2 2 2 2 4 2 2 9 5 10" xfId="14812" xr:uid="{00000000-0005-0000-0000-0000B2390000}"/>
    <cellStyle name="Normal 2 2 2 2 4 2 2 9 5 2" xfId="14813" xr:uid="{00000000-0005-0000-0000-0000B3390000}"/>
    <cellStyle name="Normal 2 2 2 2 4 2 2 9 5 3" xfId="14814" xr:uid="{00000000-0005-0000-0000-0000B4390000}"/>
    <cellStyle name="Normal 2 2 2 2 4 2 2 9 5 4" xfId="14815" xr:uid="{00000000-0005-0000-0000-0000B5390000}"/>
    <cellStyle name="Normal 2 2 2 2 4 2 2 9 5 5" xfId="14816" xr:uid="{00000000-0005-0000-0000-0000B6390000}"/>
    <cellStyle name="Normal 2 2 2 2 4 2 2 9 5 6" xfId="14817" xr:uid="{00000000-0005-0000-0000-0000B7390000}"/>
    <cellStyle name="Normal 2 2 2 2 4 2 2 9 5 7" xfId="14818" xr:uid="{00000000-0005-0000-0000-0000B8390000}"/>
    <cellStyle name="Normal 2 2 2 2 4 2 2 9 5 8" xfId="14819" xr:uid="{00000000-0005-0000-0000-0000B9390000}"/>
    <cellStyle name="Normal 2 2 2 2 4 2 2 9 5 9" xfId="14820" xr:uid="{00000000-0005-0000-0000-0000BA390000}"/>
    <cellStyle name="Normal 2 2 2 2 4 2 2 9 6" xfId="14821" xr:uid="{00000000-0005-0000-0000-0000BB390000}"/>
    <cellStyle name="Normal 2 2 2 2 4 2 2 9 7" xfId="14822" xr:uid="{00000000-0005-0000-0000-0000BC390000}"/>
    <cellStyle name="Normal 2 2 2 2 4 2 2 9 8" xfId="14823" xr:uid="{00000000-0005-0000-0000-0000BD390000}"/>
    <cellStyle name="Normal 2 2 2 2 4 2 2 9 9" xfId="14824" xr:uid="{00000000-0005-0000-0000-0000BE390000}"/>
    <cellStyle name="Normal 2 2 2 2 4 2 20" xfId="14825" xr:uid="{00000000-0005-0000-0000-0000BF390000}"/>
    <cellStyle name="Normal 2 2 2 2 4 2 21" xfId="14826" xr:uid="{00000000-0005-0000-0000-0000C0390000}"/>
    <cellStyle name="Normal 2 2 2 2 4 2 21 10" xfId="14827" xr:uid="{00000000-0005-0000-0000-0000C1390000}"/>
    <cellStyle name="Normal 2 2 2 2 4 2 21 2" xfId="14828" xr:uid="{00000000-0005-0000-0000-0000C2390000}"/>
    <cellStyle name="Normal 2 2 2 2 4 2 21 3" xfId="14829" xr:uid="{00000000-0005-0000-0000-0000C3390000}"/>
    <cellStyle name="Normal 2 2 2 2 4 2 21 4" xfId="14830" xr:uid="{00000000-0005-0000-0000-0000C4390000}"/>
    <cellStyle name="Normal 2 2 2 2 4 2 21 5" xfId="14831" xr:uid="{00000000-0005-0000-0000-0000C5390000}"/>
    <cellStyle name="Normal 2 2 2 2 4 2 21 6" xfId="14832" xr:uid="{00000000-0005-0000-0000-0000C6390000}"/>
    <cellStyle name="Normal 2 2 2 2 4 2 21 7" xfId="14833" xr:uid="{00000000-0005-0000-0000-0000C7390000}"/>
    <cellStyle name="Normal 2 2 2 2 4 2 21 8" xfId="14834" xr:uid="{00000000-0005-0000-0000-0000C8390000}"/>
    <cellStyle name="Normal 2 2 2 2 4 2 21 9" xfId="14835" xr:uid="{00000000-0005-0000-0000-0000C9390000}"/>
    <cellStyle name="Normal 2 2 2 2 4 2 22" xfId="14836" xr:uid="{00000000-0005-0000-0000-0000CA390000}"/>
    <cellStyle name="Normal 2 2 2 2 4 2 22 10" xfId="14837" xr:uid="{00000000-0005-0000-0000-0000CB390000}"/>
    <cellStyle name="Normal 2 2 2 2 4 2 22 2" xfId="14838" xr:uid="{00000000-0005-0000-0000-0000CC390000}"/>
    <cellStyle name="Normal 2 2 2 2 4 2 22 3" xfId="14839" xr:uid="{00000000-0005-0000-0000-0000CD390000}"/>
    <cellStyle name="Normal 2 2 2 2 4 2 22 4" xfId="14840" xr:uid="{00000000-0005-0000-0000-0000CE390000}"/>
    <cellStyle name="Normal 2 2 2 2 4 2 22 5" xfId="14841" xr:uid="{00000000-0005-0000-0000-0000CF390000}"/>
    <cellStyle name="Normal 2 2 2 2 4 2 22 6" xfId="14842" xr:uid="{00000000-0005-0000-0000-0000D0390000}"/>
    <cellStyle name="Normal 2 2 2 2 4 2 22 7" xfId="14843" xr:uid="{00000000-0005-0000-0000-0000D1390000}"/>
    <cellStyle name="Normal 2 2 2 2 4 2 22 8" xfId="14844" xr:uid="{00000000-0005-0000-0000-0000D2390000}"/>
    <cellStyle name="Normal 2 2 2 2 4 2 22 9" xfId="14845" xr:uid="{00000000-0005-0000-0000-0000D3390000}"/>
    <cellStyle name="Normal 2 2 2 2 4 2 23" xfId="14846" xr:uid="{00000000-0005-0000-0000-0000D4390000}"/>
    <cellStyle name="Normal 2 2 2 2 4 2 23 10" xfId="14847" xr:uid="{00000000-0005-0000-0000-0000D5390000}"/>
    <cellStyle name="Normal 2 2 2 2 4 2 23 2" xfId="14848" xr:uid="{00000000-0005-0000-0000-0000D6390000}"/>
    <cellStyle name="Normal 2 2 2 2 4 2 23 3" xfId="14849" xr:uid="{00000000-0005-0000-0000-0000D7390000}"/>
    <cellStyle name="Normal 2 2 2 2 4 2 23 4" xfId="14850" xr:uid="{00000000-0005-0000-0000-0000D8390000}"/>
    <cellStyle name="Normal 2 2 2 2 4 2 23 5" xfId="14851" xr:uid="{00000000-0005-0000-0000-0000D9390000}"/>
    <cellStyle name="Normal 2 2 2 2 4 2 23 6" xfId="14852" xr:uid="{00000000-0005-0000-0000-0000DA390000}"/>
    <cellStyle name="Normal 2 2 2 2 4 2 23 7" xfId="14853" xr:uid="{00000000-0005-0000-0000-0000DB390000}"/>
    <cellStyle name="Normal 2 2 2 2 4 2 23 8" xfId="14854" xr:uid="{00000000-0005-0000-0000-0000DC390000}"/>
    <cellStyle name="Normal 2 2 2 2 4 2 23 9" xfId="14855" xr:uid="{00000000-0005-0000-0000-0000DD390000}"/>
    <cellStyle name="Normal 2 2 2 2 4 2 24" xfId="14856" xr:uid="{00000000-0005-0000-0000-0000DE390000}"/>
    <cellStyle name="Normal 2 2 2 2 4 2 24 10" xfId="14857" xr:uid="{00000000-0005-0000-0000-0000DF390000}"/>
    <cellStyle name="Normal 2 2 2 2 4 2 24 2" xfId="14858" xr:uid="{00000000-0005-0000-0000-0000E0390000}"/>
    <cellStyle name="Normal 2 2 2 2 4 2 24 3" xfId="14859" xr:uid="{00000000-0005-0000-0000-0000E1390000}"/>
    <cellStyle name="Normal 2 2 2 2 4 2 24 4" xfId="14860" xr:uid="{00000000-0005-0000-0000-0000E2390000}"/>
    <cellStyle name="Normal 2 2 2 2 4 2 24 5" xfId="14861" xr:uid="{00000000-0005-0000-0000-0000E3390000}"/>
    <cellStyle name="Normal 2 2 2 2 4 2 24 6" xfId="14862" xr:uid="{00000000-0005-0000-0000-0000E4390000}"/>
    <cellStyle name="Normal 2 2 2 2 4 2 24 7" xfId="14863" xr:uid="{00000000-0005-0000-0000-0000E5390000}"/>
    <cellStyle name="Normal 2 2 2 2 4 2 24 8" xfId="14864" xr:uid="{00000000-0005-0000-0000-0000E6390000}"/>
    <cellStyle name="Normal 2 2 2 2 4 2 24 9" xfId="14865" xr:uid="{00000000-0005-0000-0000-0000E7390000}"/>
    <cellStyle name="Normal 2 2 2 2 4 2 25" xfId="14866" xr:uid="{00000000-0005-0000-0000-0000E8390000}"/>
    <cellStyle name="Normal 2 2 2 2 4 2 26" xfId="14867" xr:uid="{00000000-0005-0000-0000-0000E9390000}"/>
    <cellStyle name="Normal 2 2 2 2 4 2 27" xfId="14868" xr:uid="{00000000-0005-0000-0000-0000EA390000}"/>
    <cellStyle name="Normal 2 2 2 2 4 2 28" xfId="14869" xr:uid="{00000000-0005-0000-0000-0000EB390000}"/>
    <cellStyle name="Normal 2 2 2 2 4 2 29" xfId="14870" xr:uid="{00000000-0005-0000-0000-0000EC390000}"/>
    <cellStyle name="Normal 2 2 2 2 4 2 3" xfId="14871" xr:uid="{00000000-0005-0000-0000-0000ED390000}"/>
    <cellStyle name="Normal 2 2 2 2 4 2 30" xfId="14872" xr:uid="{00000000-0005-0000-0000-0000EE390000}"/>
    <cellStyle name="Normal 2 2 2 2 4 2 31" xfId="14873" xr:uid="{00000000-0005-0000-0000-0000EF390000}"/>
    <cellStyle name="Normal 2 2 2 2 4 2 32" xfId="14874" xr:uid="{00000000-0005-0000-0000-0000F0390000}"/>
    <cellStyle name="Normal 2 2 2 2 4 2 33" xfId="14875" xr:uid="{00000000-0005-0000-0000-0000F1390000}"/>
    <cellStyle name="Normal 2 2 2 2 4 2 34" xfId="14876" xr:uid="{00000000-0005-0000-0000-0000F2390000}"/>
    <cellStyle name="Normal 2 2 2 2 4 2 35" xfId="14877" xr:uid="{00000000-0005-0000-0000-0000F3390000}"/>
    <cellStyle name="Normal 2 2 2 2 4 2 4" xfId="14878" xr:uid="{00000000-0005-0000-0000-0000F4390000}"/>
    <cellStyle name="Normal 2 2 2 2 4 2 5" xfId="14879" xr:uid="{00000000-0005-0000-0000-0000F5390000}"/>
    <cellStyle name="Normal 2 2 2 2 4 2 6" xfId="14880" xr:uid="{00000000-0005-0000-0000-0000F6390000}"/>
    <cellStyle name="Normal 2 2 2 2 4 2 7" xfId="14881" xr:uid="{00000000-0005-0000-0000-0000F7390000}"/>
    <cellStyle name="Normal 2 2 2 2 4 2 8" xfId="14882" xr:uid="{00000000-0005-0000-0000-0000F8390000}"/>
    <cellStyle name="Normal 2 2 2 2 4 2 9" xfId="14883" xr:uid="{00000000-0005-0000-0000-0000F9390000}"/>
    <cellStyle name="Normal 2 2 2 2 4 20" xfId="14884" xr:uid="{00000000-0005-0000-0000-0000FA390000}"/>
    <cellStyle name="Normal 2 2 2 2 4 20 10" xfId="14885" xr:uid="{00000000-0005-0000-0000-0000FB390000}"/>
    <cellStyle name="Normal 2 2 2 2 4 20 11" xfId="14886" xr:uid="{00000000-0005-0000-0000-0000FC390000}"/>
    <cellStyle name="Normal 2 2 2 2 4 20 12" xfId="14887" xr:uid="{00000000-0005-0000-0000-0000FD390000}"/>
    <cellStyle name="Normal 2 2 2 2 4 20 13" xfId="14888" xr:uid="{00000000-0005-0000-0000-0000FE390000}"/>
    <cellStyle name="Normal 2 2 2 2 4 20 14" xfId="14889" xr:uid="{00000000-0005-0000-0000-0000FF390000}"/>
    <cellStyle name="Normal 2 2 2 2 4 20 2" xfId="14890" xr:uid="{00000000-0005-0000-0000-0000003A0000}"/>
    <cellStyle name="Normal 2 2 2 2 4 20 2 10" xfId="14891" xr:uid="{00000000-0005-0000-0000-0000013A0000}"/>
    <cellStyle name="Normal 2 2 2 2 4 20 2 2" xfId="14892" xr:uid="{00000000-0005-0000-0000-0000023A0000}"/>
    <cellStyle name="Normal 2 2 2 2 4 20 2 3" xfId="14893" xr:uid="{00000000-0005-0000-0000-0000033A0000}"/>
    <cellStyle name="Normal 2 2 2 2 4 20 2 4" xfId="14894" xr:uid="{00000000-0005-0000-0000-0000043A0000}"/>
    <cellStyle name="Normal 2 2 2 2 4 20 2 5" xfId="14895" xr:uid="{00000000-0005-0000-0000-0000053A0000}"/>
    <cellStyle name="Normal 2 2 2 2 4 20 2 6" xfId="14896" xr:uid="{00000000-0005-0000-0000-0000063A0000}"/>
    <cellStyle name="Normal 2 2 2 2 4 20 2 7" xfId="14897" xr:uid="{00000000-0005-0000-0000-0000073A0000}"/>
    <cellStyle name="Normal 2 2 2 2 4 20 2 8" xfId="14898" xr:uid="{00000000-0005-0000-0000-0000083A0000}"/>
    <cellStyle name="Normal 2 2 2 2 4 20 2 9" xfId="14899" xr:uid="{00000000-0005-0000-0000-0000093A0000}"/>
    <cellStyle name="Normal 2 2 2 2 4 20 3" xfId="14900" xr:uid="{00000000-0005-0000-0000-00000A3A0000}"/>
    <cellStyle name="Normal 2 2 2 2 4 20 3 10" xfId="14901" xr:uid="{00000000-0005-0000-0000-00000B3A0000}"/>
    <cellStyle name="Normal 2 2 2 2 4 20 3 2" xfId="14902" xr:uid="{00000000-0005-0000-0000-00000C3A0000}"/>
    <cellStyle name="Normal 2 2 2 2 4 20 3 3" xfId="14903" xr:uid="{00000000-0005-0000-0000-00000D3A0000}"/>
    <cellStyle name="Normal 2 2 2 2 4 20 3 4" xfId="14904" xr:uid="{00000000-0005-0000-0000-00000E3A0000}"/>
    <cellStyle name="Normal 2 2 2 2 4 20 3 5" xfId="14905" xr:uid="{00000000-0005-0000-0000-00000F3A0000}"/>
    <cellStyle name="Normal 2 2 2 2 4 20 3 6" xfId="14906" xr:uid="{00000000-0005-0000-0000-0000103A0000}"/>
    <cellStyle name="Normal 2 2 2 2 4 20 3 7" xfId="14907" xr:uid="{00000000-0005-0000-0000-0000113A0000}"/>
    <cellStyle name="Normal 2 2 2 2 4 20 3 8" xfId="14908" xr:uid="{00000000-0005-0000-0000-0000123A0000}"/>
    <cellStyle name="Normal 2 2 2 2 4 20 3 9" xfId="14909" xr:uid="{00000000-0005-0000-0000-0000133A0000}"/>
    <cellStyle name="Normal 2 2 2 2 4 20 4" xfId="14910" xr:uid="{00000000-0005-0000-0000-0000143A0000}"/>
    <cellStyle name="Normal 2 2 2 2 4 20 4 10" xfId="14911" xr:uid="{00000000-0005-0000-0000-0000153A0000}"/>
    <cellStyle name="Normal 2 2 2 2 4 20 4 2" xfId="14912" xr:uid="{00000000-0005-0000-0000-0000163A0000}"/>
    <cellStyle name="Normal 2 2 2 2 4 20 4 3" xfId="14913" xr:uid="{00000000-0005-0000-0000-0000173A0000}"/>
    <cellStyle name="Normal 2 2 2 2 4 20 4 4" xfId="14914" xr:uid="{00000000-0005-0000-0000-0000183A0000}"/>
    <cellStyle name="Normal 2 2 2 2 4 20 4 5" xfId="14915" xr:uid="{00000000-0005-0000-0000-0000193A0000}"/>
    <cellStyle name="Normal 2 2 2 2 4 20 4 6" xfId="14916" xr:uid="{00000000-0005-0000-0000-00001A3A0000}"/>
    <cellStyle name="Normal 2 2 2 2 4 20 4 7" xfId="14917" xr:uid="{00000000-0005-0000-0000-00001B3A0000}"/>
    <cellStyle name="Normal 2 2 2 2 4 20 4 8" xfId="14918" xr:uid="{00000000-0005-0000-0000-00001C3A0000}"/>
    <cellStyle name="Normal 2 2 2 2 4 20 4 9" xfId="14919" xr:uid="{00000000-0005-0000-0000-00001D3A0000}"/>
    <cellStyle name="Normal 2 2 2 2 4 20 5" xfId="14920" xr:uid="{00000000-0005-0000-0000-00001E3A0000}"/>
    <cellStyle name="Normal 2 2 2 2 4 20 5 10" xfId="14921" xr:uid="{00000000-0005-0000-0000-00001F3A0000}"/>
    <cellStyle name="Normal 2 2 2 2 4 20 5 2" xfId="14922" xr:uid="{00000000-0005-0000-0000-0000203A0000}"/>
    <cellStyle name="Normal 2 2 2 2 4 20 5 3" xfId="14923" xr:uid="{00000000-0005-0000-0000-0000213A0000}"/>
    <cellStyle name="Normal 2 2 2 2 4 20 5 4" xfId="14924" xr:uid="{00000000-0005-0000-0000-0000223A0000}"/>
    <cellStyle name="Normal 2 2 2 2 4 20 5 5" xfId="14925" xr:uid="{00000000-0005-0000-0000-0000233A0000}"/>
    <cellStyle name="Normal 2 2 2 2 4 20 5 6" xfId="14926" xr:uid="{00000000-0005-0000-0000-0000243A0000}"/>
    <cellStyle name="Normal 2 2 2 2 4 20 5 7" xfId="14927" xr:uid="{00000000-0005-0000-0000-0000253A0000}"/>
    <cellStyle name="Normal 2 2 2 2 4 20 5 8" xfId="14928" xr:uid="{00000000-0005-0000-0000-0000263A0000}"/>
    <cellStyle name="Normal 2 2 2 2 4 20 5 9" xfId="14929" xr:uid="{00000000-0005-0000-0000-0000273A0000}"/>
    <cellStyle name="Normal 2 2 2 2 4 20 6" xfId="14930" xr:uid="{00000000-0005-0000-0000-0000283A0000}"/>
    <cellStyle name="Normal 2 2 2 2 4 20 7" xfId="14931" xr:uid="{00000000-0005-0000-0000-0000293A0000}"/>
    <cellStyle name="Normal 2 2 2 2 4 20 8" xfId="14932" xr:uid="{00000000-0005-0000-0000-00002A3A0000}"/>
    <cellStyle name="Normal 2 2 2 2 4 20 9" xfId="14933" xr:uid="{00000000-0005-0000-0000-00002B3A0000}"/>
    <cellStyle name="Normal 2 2 2 2 4 21" xfId="14934" xr:uid="{00000000-0005-0000-0000-00002C3A0000}"/>
    <cellStyle name="Normal 2 2 2 2 4 21 10" xfId="14935" xr:uid="{00000000-0005-0000-0000-00002D3A0000}"/>
    <cellStyle name="Normal 2 2 2 2 4 21 11" xfId="14936" xr:uid="{00000000-0005-0000-0000-00002E3A0000}"/>
    <cellStyle name="Normal 2 2 2 2 4 21 12" xfId="14937" xr:uid="{00000000-0005-0000-0000-00002F3A0000}"/>
    <cellStyle name="Normal 2 2 2 2 4 21 13" xfId="14938" xr:uid="{00000000-0005-0000-0000-0000303A0000}"/>
    <cellStyle name="Normal 2 2 2 2 4 21 14" xfId="14939" xr:uid="{00000000-0005-0000-0000-0000313A0000}"/>
    <cellStyle name="Normal 2 2 2 2 4 21 2" xfId="14940" xr:uid="{00000000-0005-0000-0000-0000323A0000}"/>
    <cellStyle name="Normal 2 2 2 2 4 21 2 10" xfId="14941" xr:uid="{00000000-0005-0000-0000-0000333A0000}"/>
    <cellStyle name="Normal 2 2 2 2 4 21 2 2" xfId="14942" xr:uid="{00000000-0005-0000-0000-0000343A0000}"/>
    <cellStyle name="Normal 2 2 2 2 4 21 2 3" xfId="14943" xr:uid="{00000000-0005-0000-0000-0000353A0000}"/>
    <cellStyle name="Normal 2 2 2 2 4 21 2 4" xfId="14944" xr:uid="{00000000-0005-0000-0000-0000363A0000}"/>
    <cellStyle name="Normal 2 2 2 2 4 21 2 5" xfId="14945" xr:uid="{00000000-0005-0000-0000-0000373A0000}"/>
    <cellStyle name="Normal 2 2 2 2 4 21 2 6" xfId="14946" xr:uid="{00000000-0005-0000-0000-0000383A0000}"/>
    <cellStyle name="Normal 2 2 2 2 4 21 2 7" xfId="14947" xr:uid="{00000000-0005-0000-0000-0000393A0000}"/>
    <cellStyle name="Normal 2 2 2 2 4 21 2 8" xfId="14948" xr:uid="{00000000-0005-0000-0000-00003A3A0000}"/>
    <cellStyle name="Normal 2 2 2 2 4 21 2 9" xfId="14949" xr:uid="{00000000-0005-0000-0000-00003B3A0000}"/>
    <cellStyle name="Normal 2 2 2 2 4 21 3" xfId="14950" xr:uid="{00000000-0005-0000-0000-00003C3A0000}"/>
    <cellStyle name="Normal 2 2 2 2 4 21 3 10" xfId="14951" xr:uid="{00000000-0005-0000-0000-00003D3A0000}"/>
    <cellStyle name="Normal 2 2 2 2 4 21 3 2" xfId="14952" xr:uid="{00000000-0005-0000-0000-00003E3A0000}"/>
    <cellStyle name="Normal 2 2 2 2 4 21 3 3" xfId="14953" xr:uid="{00000000-0005-0000-0000-00003F3A0000}"/>
    <cellStyle name="Normal 2 2 2 2 4 21 3 4" xfId="14954" xr:uid="{00000000-0005-0000-0000-0000403A0000}"/>
    <cellStyle name="Normal 2 2 2 2 4 21 3 5" xfId="14955" xr:uid="{00000000-0005-0000-0000-0000413A0000}"/>
    <cellStyle name="Normal 2 2 2 2 4 21 3 6" xfId="14956" xr:uid="{00000000-0005-0000-0000-0000423A0000}"/>
    <cellStyle name="Normal 2 2 2 2 4 21 3 7" xfId="14957" xr:uid="{00000000-0005-0000-0000-0000433A0000}"/>
    <cellStyle name="Normal 2 2 2 2 4 21 3 8" xfId="14958" xr:uid="{00000000-0005-0000-0000-0000443A0000}"/>
    <cellStyle name="Normal 2 2 2 2 4 21 3 9" xfId="14959" xr:uid="{00000000-0005-0000-0000-0000453A0000}"/>
    <cellStyle name="Normal 2 2 2 2 4 21 4" xfId="14960" xr:uid="{00000000-0005-0000-0000-0000463A0000}"/>
    <cellStyle name="Normal 2 2 2 2 4 21 4 10" xfId="14961" xr:uid="{00000000-0005-0000-0000-0000473A0000}"/>
    <cellStyle name="Normal 2 2 2 2 4 21 4 2" xfId="14962" xr:uid="{00000000-0005-0000-0000-0000483A0000}"/>
    <cellStyle name="Normal 2 2 2 2 4 21 4 3" xfId="14963" xr:uid="{00000000-0005-0000-0000-0000493A0000}"/>
    <cellStyle name="Normal 2 2 2 2 4 21 4 4" xfId="14964" xr:uid="{00000000-0005-0000-0000-00004A3A0000}"/>
    <cellStyle name="Normal 2 2 2 2 4 21 4 5" xfId="14965" xr:uid="{00000000-0005-0000-0000-00004B3A0000}"/>
    <cellStyle name="Normal 2 2 2 2 4 21 4 6" xfId="14966" xr:uid="{00000000-0005-0000-0000-00004C3A0000}"/>
    <cellStyle name="Normal 2 2 2 2 4 21 4 7" xfId="14967" xr:uid="{00000000-0005-0000-0000-00004D3A0000}"/>
    <cellStyle name="Normal 2 2 2 2 4 21 4 8" xfId="14968" xr:uid="{00000000-0005-0000-0000-00004E3A0000}"/>
    <cellStyle name="Normal 2 2 2 2 4 21 4 9" xfId="14969" xr:uid="{00000000-0005-0000-0000-00004F3A0000}"/>
    <cellStyle name="Normal 2 2 2 2 4 21 5" xfId="14970" xr:uid="{00000000-0005-0000-0000-0000503A0000}"/>
    <cellStyle name="Normal 2 2 2 2 4 21 5 10" xfId="14971" xr:uid="{00000000-0005-0000-0000-0000513A0000}"/>
    <cellStyle name="Normal 2 2 2 2 4 21 5 2" xfId="14972" xr:uid="{00000000-0005-0000-0000-0000523A0000}"/>
    <cellStyle name="Normal 2 2 2 2 4 21 5 3" xfId="14973" xr:uid="{00000000-0005-0000-0000-0000533A0000}"/>
    <cellStyle name="Normal 2 2 2 2 4 21 5 4" xfId="14974" xr:uid="{00000000-0005-0000-0000-0000543A0000}"/>
    <cellStyle name="Normal 2 2 2 2 4 21 5 5" xfId="14975" xr:uid="{00000000-0005-0000-0000-0000553A0000}"/>
    <cellStyle name="Normal 2 2 2 2 4 21 5 6" xfId="14976" xr:uid="{00000000-0005-0000-0000-0000563A0000}"/>
    <cellStyle name="Normal 2 2 2 2 4 21 5 7" xfId="14977" xr:uid="{00000000-0005-0000-0000-0000573A0000}"/>
    <cellStyle name="Normal 2 2 2 2 4 21 5 8" xfId="14978" xr:uid="{00000000-0005-0000-0000-0000583A0000}"/>
    <cellStyle name="Normal 2 2 2 2 4 21 5 9" xfId="14979" xr:uid="{00000000-0005-0000-0000-0000593A0000}"/>
    <cellStyle name="Normal 2 2 2 2 4 21 6" xfId="14980" xr:uid="{00000000-0005-0000-0000-00005A3A0000}"/>
    <cellStyle name="Normal 2 2 2 2 4 21 7" xfId="14981" xr:uid="{00000000-0005-0000-0000-00005B3A0000}"/>
    <cellStyle name="Normal 2 2 2 2 4 21 8" xfId="14982" xr:uid="{00000000-0005-0000-0000-00005C3A0000}"/>
    <cellStyle name="Normal 2 2 2 2 4 21 9" xfId="14983" xr:uid="{00000000-0005-0000-0000-00005D3A0000}"/>
    <cellStyle name="Normal 2 2 2 2 4 22" xfId="14984" xr:uid="{00000000-0005-0000-0000-00005E3A0000}"/>
    <cellStyle name="Normal 2 2 2 2 4 22 10" xfId="14985" xr:uid="{00000000-0005-0000-0000-00005F3A0000}"/>
    <cellStyle name="Normal 2 2 2 2 4 22 11" xfId="14986" xr:uid="{00000000-0005-0000-0000-0000603A0000}"/>
    <cellStyle name="Normal 2 2 2 2 4 22 12" xfId="14987" xr:uid="{00000000-0005-0000-0000-0000613A0000}"/>
    <cellStyle name="Normal 2 2 2 2 4 22 13" xfId="14988" xr:uid="{00000000-0005-0000-0000-0000623A0000}"/>
    <cellStyle name="Normal 2 2 2 2 4 22 14" xfId="14989" xr:uid="{00000000-0005-0000-0000-0000633A0000}"/>
    <cellStyle name="Normal 2 2 2 2 4 22 2" xfId="14990" xr:uid="{00000000-0005-0000-0000-0000643A0000}"/>
    <cellStyle name="Normal 2 2 2 2 4 22 2 10" xfId="14991" xr:uid="{00000000-0005-0000-0000-0000653A0000}"/>
    <cellStyle name="Normal 2 2 2 2 4 22 2 2" xfId="14992" xr:uid="{00000000-0005-0000-0000-0000663A0000}"/>
    <cellStyle name="Normal 2 2 2 2 4 22 2 3" xfId="14993" xr:uid="{00000000-0005-0000-0000-0000673A0000}"/>
    <cellStyle name="Normal 2 2 2 2 4 22 2 4" xfId="14994" xr:uid="{00000000-0005-0000-0000-0000683A0000}"/>
    <cellStyle name="Normal 2 2 2 2 4 22 2 5" xfId="14995" xr:uid="{00000000-0005-0000-0000-0000693A0000}"/>
    <cellStyle name="Normal 2 2 2 2 4 22 2 6" xfId="14996" xr:uid="{00000000-0005-0000-0000-00006A3A0000}"/>
    <cellStyle name="Normal 2 2 2 2 4 22 2 7" xfId="14997" xr:uid="{00000000-0005-0000-0000-00006B3A0000}"/>
    <cellStyle name="Normal 2 2 2 2 4 22 2 8" xfId="14998" xr:uid="{00000000-0005-0000-0000-00006C3A0000}"/>
    <cellStyle name="Normal 2 2 2 2 4 22 2 9" xfId="14999" xr:uid="{00000000-0005-0000-0000-00006D3A0000}"/>
    <cellStyle name="Normal 2 2 2 2 4 22 3" xfId="15000" xr:uid="{00000000-0005-0000-0000-00006E3A0000}"/>
    <cellStyle name="Normal 2 2 2 2 4 22 3 10" xfId="15001" xr:uid="{00000000-0005-0000-0000-00006F3A0000}"/>
    <cellStyle name="Normal 2 2 2 2 4 22 3 2" xfId="15002" xr:uid="{00000000-0005-0000-0000-0000703A0000}"/>
    <cellStyle name="Normal 2 2 2 2 4 22 3 3" xfId="15003" xr:uid="{00000000-0005-0000-0000-0000713A0000}"/>
    <cellStyle name="Normal 2 2 2 2 4 22 3 4" xfId="15004" xr:uid="{00000000-0005-0000-0000-0000723A0000}"/>
    <cellStyle name="Normal 2 2 2 2 4 22 3 5" xfId="15005" xr:uid="{00000000-0005-0000-0000-0000733A0000}"/>
    <cellStyle name="Normal 2 2 2 2 4 22 3 6" xfId="15006" xr:uid="{00000000-0005-0000-0000-0000743A0000}"/>
    <cellStyle name="Normal 2 2 2 2 4 22 3 7" xfId="15007" xr:uid="{00000000-0005-0000-0000-0000753A0000}"/>
    <cellStyle name="Normal 2 2 2 2 4 22 3 8" xfId="15008" xr:uid="{00000000-0005-0000-0000-0000763A0000}"/>
    <cellStyle name="Normal 2 2 2 2 4 22 3 9" xfId="15009" xr:uid="{00000000-0005-0000-0000-0000773A0000}"/>
    <cellStyle name="Normal 2 2 2 2 4 22 4" xfId="15010" xr:uid="{00000000-0005-0000-0000-0000783A0000}"/>
    <cellStyle name="Normal 2 2 2 2 4 22 4 10" xfId="15011" xr:uid="{00000000-0005-0000-0000-0000793A0000}"/>
    <cellStyle name="Normal 2 2 2 2 4 22 4 2" xfId="15012" xr:uid="{00000000-0005-0000-0000-00007A3A0000}"/>
    <cellStyle name="Normal 2 2 2 2 4 22 4 3" xfId="15013" xr:uid="{00000000-0005-0000-0000-00007B3A0000}"/>
    <cellStyle name="Normal 2 2 2 2 4 22 4 4" xfId="15014" xr:uid="{00000000-0005-0000-0000-00007C3A0000}"/>
    <cellStyle name="Normal 2 2 2 2 4 22 4 5" xfId="15015" xr:uid="{00000000-0005-0000-0000-00007D3A0000}"/>
    <cellStyle name="Normal 2 2 2 2 4 22 4 6" xfId="15016" xr:uid="{00000000-0005-0000-0000-00007E3A0000}"/>
    <cellStyle name="Normal 2 2 2 2 4 22 4 7" xfId="15017" xr:uid="{00000000-0005-0000-0000-00007F3A0000}"/>
    <cellStyle name="Normal 2 2 2 2 4 22 4 8" xfId="15018" xr:uid="{00000000-0005-0000-0000-0000803A0000}"/>
    <cellStyle name="Normal 2 2 2 2 4 22 4 9" xfId="15019" xr:uid="{00000000-0005-0000-0000-0000813A0000}"/>
    <cellStyle name="Normal 2 2 2 2 4 22 5" xfId="15020" xr:uid="{00000000-0005-0000-0000-0000823A0000}"/>
    <cellStyle name="Normal 2 2 2 2 4 22 5 10" xfId="15021" xr:uid="{00000000-0005-0000-0000-0000833A0000}"/>
    <cellStyle name="Normal 2 2 2 2 4 22 5 2" xfId="15022" xr:uid="{00000000-0005-0000-0000-0000843A0000}"/>
    <cellStyle name="Normal 2 2 2 2 4 22 5 3" xfId="15023" xr:uid="{00000000-0005-0000-0000-0000853A0000}"/>
    <cellStyle name="Normal 2 2 2 2 4 22 5 4" xfId="15024" xr:uid="{00000000-0005-0000-0000-0000863A0000}"/>
    <cellStyle name="Normal 2 2 2 2 4 22 5 5" xfId="15025" xr:uid="{00000000-0005-0000-0000-0000873A0000}"/>
    <cellStyle name="Normal 2 2 2 2 4 22 5 6" xfId="15026" xr:uid="{00000000-0005-0000-0000-0000883A0000}"/>
    <cellStyle name="Normal 2 2 2 2 4 22 5 7" xfId="15027" xr:uid="{00000000-0005-0000-0000-0000893A0000}"/>
    <cellStyle name="Normal 2 2 2 2 4 22 5 8" xfId="15028" xr:uid="{00000000-0005-0000-0000-00008A3A0000}"/>
    <cellStyle name="Normal 2 2 2 2 4 22 5 9" xfId="15029" xr:uid="{00000000-0005-0000-0000-00008B3A0000}"/>
    <cellStyle name="Normal 2 2 2 2 4 22 6" xfId="15030" xr:uid="{00000000-0005-0000-0000-00008C3A0000}"/>
    <cellStyle name="Normal 2 2 2 2 4 22 7" xfId="15031" xr:uid="{00000000-0005-0000-0000-00008D3A0000}"/>
    <cellStyle name="Normal 2 2 2 2 4 22 8" xfId="15032" xr:uid="{00000000-0005-0000-0000-00008E3A0000}"/>
    <cellStyle name="Normal 2 2 2 2 4 22 9" xfId="15033" xr:uid="{00000000-0005-0000-0000-00008F3A0000}"/>
    <cellStyle name="Normal 2 2 2 2 4 23" xfId="15034" xr:uid="{00000000-0005-0000-0000-0000903A0000}"/>
    <cellStyle name="Normal 2 2 2 2 4 23 10" xfId="15035" xr:uid="{00000000-0005-0000-0000-0000913A0000}"/>
    <cellStyle name="Normal 2 2 2 2 4 23 11" xfId="15036" xr:uid="{00000000-0005-0000-0000-0000923A0000}"/>
    <cellStyle name="Normal 2 2 2 2 4 23 12" xfId="15037" xr:uid="{00000000-0005-0000-0000-0000933A0000}"/>
    <cellStyle name="Normal 2 2 2 2 4 23 13" xfId="15038" xr:uid="{00000000-0005-0000-0000-0000943A0000}"/>
    <cellStyle name="Normal 2 2 2 2 4 23 14" xfId="15039" xr:uid="{00000000-0005-0000-0000-0000953A0000}"/>
    <cellStyle name="Normal 2 2 2 2 4 23 2" xfId="15040" xr:uid="{00000000-0005-0000-0000-0000963A0000}"/>
    <cellStyle name="Normal 2 2 2 2 4 23 2 10" xfId="15041" xr:uid="{00000000-0005-0000-0000-0000973A0000}"/>
    <cellStyle name="Normal 2 2 2 2 4 23 2 2" xfId="15042" xr:uid="{00000000-0005-0000-0000-0000983A0000}"/>
    <cellStyle name="Normal 2 2 2 2 4 23 2 3" xfId="15043" xr:uid="{00000000-0005-0000-0000-0000993A0000}"/>
    <cellStyle name="Normal 2 2 2 2 4 23 2 4" xfId="15044" xr:uid="{00000000-0005-0000-0000-00009A3A0000}"/>
    <cellStyle name="Normal 2 2 2 2 4 23 2 5" xfId="15045" xr:uid="{00000000-0005-0000-0000-00009B3A0000}"/>
    <cellStyle name="Normal 2 2 2 2 4 23 2 6" xfId="15046" xr:uid="{00000000-0005-0000-0000-00009C3A0000}"/>
    <cellStyle name="Normal 2 2 2 2 4 23 2 7" xfId="15047" xr:uid="{00000000-0005-0000-0000-00009D3A0000}"/>
    <cellStyle name="Normal 2 2 2 2 4 23 2 8" xfId="15048" xr:uid="{00000000-0005-0000-0000-00009E3A0000}"/>
    <cellStyle name="Normal 2 2 2 2 4 23 2 9" xfId="15049" xr:uid="{00000000-0005-0000-0000-00009F3A0000}"/>
    <cellStyle name="Normal 2 2 2 2 4 23 3" xfId="15050" xr:uid="{00000000-0005-0000-0000-0000A03A0000}"/>
    <cellStyle name="Normal 2 2 2 2 4 23 3 10" xfId="15051" xr:uid="{00000000-0005-0000-0000-0000A13A0000}"/>
    <cellStyle name="Normal 2 2 2 2 4 23 3 2" xfId="15052" xr:uid="{00000000-0005-0000-0000-0000A23A0000}"/>
    <cellStyle name="Normal 2 2 2 2 4 23 3 3" xfId="15053" xr:uid="{00000000-0005-0000-0000-0000A33A0000}"/>
    <cellStyle name="Normal 2 2 2 2 4 23 3 4" xfId="15054" xr:uid="{00000000-0005-0000-0000-0000A43A0000}"/>
    <cellStyle name="Normal 2 2 2 2 4 23 3 5" xfId="15055" xr:uid="{00000000-0005-0000-0000-0000A53A0000}"/>
    <cellStyle name="Normal 2 2 2 2 4 23 3 6" xfId="15056" xr:uid="{00000000-0005-0000-0000-0000A63A0000}"/>
    <cellStyle name="Normal 2 2 2 2 4 23 3 7" xfId="15057" xr:uid="{00000000-0005-0000-0000-0000A73A0000}"/>
    <cellStyle name="Normal 2 2 2 2 4 23 3 8" xfId="15058" xr:uid="{00000000-0005-0000-0000-0000A83A0000}"/>
    <cellStyle name="Normal 2 2 2 2 4 23 3 9" xfId="15059" xr:uid="{00000000-0005-0000-0000-0000A93A0000}"/>
    <cellStyle name="Normal 2 2 2 2 4 23 4" xfId="15060" xr:uid="{00000000-0005-0000-0000-0000AA3A0000}"/>
    <cellStyle name="Normal 2 2 2 2 4 23 4 10" xfId="15061" xr:uid="{00000000-0005-0000-0000-0000AB3A0000}"/>
    <cellStyle name="Normal 2 2 2 2 4 23 4 2" xfId="15062" xr:uid="{00000000-0005-0000-0000-0000AC3A0000}"/>
    <cellStyle name="Normal 2 2 2 2 4 23 4 3" xfId="15063" xr:uid="{00000000-0005-0000-0000-0000AD3A0000}"/>
    <cellStyle name="Normal 2 2 2 2 4 23 4 4" xfId="15064" xr:uid="{00000000-0005-0000-0000-0000AE3A0000}"/>
    <cellStyle name="Normal 2 2 2 2 4 23 4 5" xfId="15065" xr:uid="{00000000-0005-0000-0000-0000AF3A0000}"/>
    <cellStyle name="Normal 2 2 2 2 4 23 4 6" xfId="15066" xr:uid="{00000000-0005-0000-0000-0000B03A0000}"/>
    <cellStyle name="Normal 2 2 2 2 4 23 4 7" xfId="15067" xr:uid="{00000000-0005-0000-0000-0000B13A0000}"/>
    <cellStyle name="Normal 2 2 2 2 4 23 4 8" xfId="15068" xr:uid="{00000000-0005-0000-0000-0000B23A0000}"/>
    <cellStyle name="Normal 2 2 2 2 4 23 4 9" xfId="15069" xr:uid="{00000000-0005-0000-0000-0000B33A0000}"/>
    <cellStyle name="Normal 2 2 2 2 4 23 5" xfId="15070" xr:uid="{00000000-0005-0000-0000-0000B43A0000}"/>
    <cellStyle name="Normal 2 2 2 2 4 23 5 10" xfId="15071" xr:uid="{00000000-0005-0000-0000-0000B53A0000}"/>
    <cellStyle name="Normal 2 2 2 2 4 23 5 2" xfId="15072" xr:uid="{00000000-0005-0000-0000-0000B63A0000}"/>
    <cellStyle name="Normal 2 2 2 2 4 23 5 3" xfId="15073" xr:uid="{00000000-0005-0000-0000-0000B73A0000}"/>
    <cellStyle name="Normal 2 2 2 2 4 23 5 4" xfId="15074" xr:uid="{00000000-0005-0000-0000-0000B83A0000}"/>
    <cellStyle name="Normal 2 2 2 2 4 23 5 5" xfId="15075" xr:uid="{00000000-0005-0000-0000-0000B93A0000}"/>
    <cellStyle name="Normal 2 2 2 2 4 23 5 6" xfId="15076" xr:uid="{00000000-0005-0000-0000-0000BA3A0000}"/>
    <cellStyle name="Normal 2 2 2 2 4 23 5 7" xfId="15077" xr:uid="{00000000-0005-0000-0000-0000BB3A0000}"/>
    <cellStyle name="Normal 2 2 2 2 4 23 5 8" xfId="15078" xr:uid="{00000000-0005-0000-0000-0000BC3A0000}"/>
    <cellStyle name="Normal 2 2 2 2 4 23 5 9" xfId="15079" xr:uid="{00000000-0005-0000-0000-0000BD3A0000}"/>
    <cellStyle name="Normal 2 2 2 2 4 23 6" xfId="15080" xr:uid="{00000000-0005-0000-0000-0000BE3A0000}"/>
    <cellStyle name="Normal 2 2 2 2 4 23 7" xfId="15081" xr:uid="{00000000-0005-0000-0000-0000BF3A0000}"/>
    <cellStyle name="Normal 2 2 2 2 4 23 8" xfId="15082" xr:uid="{00000000-0005-0000-0000-0000C03A0000}"/>
    <cellStyle name="Normal 2 2 2 2 4 23 9" xfId="15083" xr:uid="{00000000-0005-0000-0000-0000C13A0000}"/>
    <cellStyle name="Normal 2 2 2 2 4 24" xfId="15084" xr:uid="{00000000-0005-0000-0000-0000C23A0000}"/>
    <cellStyle name="Normal 2 2 2 2 4 24 10" xfId="15085" xr:uid="{00000000-0005-0000-0000-0000C33A0000}"/>
    <cellStyle name="Normal 2 2 2 2 4 24 11" xfId="15086" xr:uid="{00000000-0005-0000-0000-0000C43A0000}"/>
    <cellStyle name="Normal 2 2 2 2 4 24 12" xfId="15087" xr:uid="{00000000-0005-0000-0000-0000C53A0000}"/>
    <cellStyle name="Normal 2 2 2 2 4 24 13" xfId="15088" xr:uid="{00000000-0005-0000-0000-0000C63A0000}"/>
    <cellStyle name="Normal 2 2 2 2 4 24 14" xfId="15089" xr:uid="{00000000-0005-0000-0000-0000C73A0000}"/>
    <cellStyle name="Normal 2 2 2 2 4 24 2" xfId="15090" xr:uid="{00000000-0005-0000-0000-0000C83A0000}"/>
    <cellStyle name="Normal 2 2 2 2 4 24 2 10" xfId="15091" xr:uid="{00000000-0005-0000-0000-0000C93A0000}"/>
    <cellStyle name="Normal 2 2 2 2 4 24 2 2" xfId="15092" xr:uid="{00000000-0005-0000-0000-0000CA3A0000}"/>
    <cellStyle name="Normal 2 2 2 2 4 24 2 3" xfId="15093" xr:uid="{00000000-0005-0000-0000-0000CB3A0000}"/>
    <cellStyle name="Normal 2 2 2 2 4 24 2 4" xfId="15094" xr:uid="{00000000-0005-0000-0000-0000CC3A0000}"/>
    <cellStyle name="Normal 2 2 2 2 4 24 2 5" xfId="15095" xr:uid="{00000000-0005-0000-0000-0000CD3A0000}"/>
    <cellStyle name="Normal 2 2 2 2 4 24 2 6" xfId="15096" xr:uid="{00000000-0005-0000-0000-0000CE3A0000}"/>
    <cellStyle name="Normal 2 2 2 2 4 24 2 7" xfId="15097" xr:uid="{00000000-0005-0000-0000-0000CF3A0000}"/>
    <cellStyle name="Normal 2 2 2 2 4 24 2 8" xfId="15098" xr:uid="{00000000-0005-0000-0000-0000D03A0000}"/>
    <cellStyle name="Normal 2 2 2 2 4 24 2 9" xfId="15099" xr:uid="{00000000-0005-0000-0000-0000D13A0000}"/>
    <cellStyle name="Normal 2 2 2 2 4 24 3" xfId="15100" xr:uid="{00000000-0005-0000-0000-0000D23A0000}"/>
    <cellStyle name="Normal 2 2 2 2 4 24 3 10" xfId="15101" xr:uid="{00000000-0005-0000-0000-0000D33A0000}"/>
    <cellStyle name="Normal 2 2 2 2 4 24 3 2" xfId="15102" xr:uid="{00000000-0005-0000-0000-0000D43A0000}"/>
    <cellStyle name="Normal 2 2 2 2 4 24 3 3" xfId="15103" xr:uid="{00000000-0005-0000-0000-0000D53A0000}"/>
    <cellStyle name="Normal 2 2 2 2 4 24 3 4" xfId="15104" xr:uid="{00000000-0005-0000-0000-0000D63A0000}"/>
    <cellStyle name="Normal 2 2 2 2 4 24 3 5" xfId="15105" xr:uid="{00000000-0005-0000-0000-0000D73A0000}"/>
    <cellStyle name="Normal 2 2 2 2 4 24 3 6" xfId="15106" xr:uid="{00000000-0005-0000-0000-0000D83A0000}"/>
    <cellStyle name="Normal 2 2 2 2 4 24 3 7" xfId="15107" xr:uid="{00000000-0005-0000-0000-0000D93A0000}"/>
    <cellStyle name="Normal 2 2 2 2 4 24 3 8" xfId="15108" xr:uid="{00000000-0005-0000-0000-0000DA3A0000}"/>
    <cellStyle name="Normal 2 2 2 2 4 24 3 9" xfId="15109" xr:uid="{00000000-0005-0000-0000-0000DB3A0000}"/>
    <cellStyle name="Normal 2 2 2 2 4 24 4" xfId="15110" xr:uid="{00000000-0005-0000-0000-0000DC3A0000}"/>
    <cellStyle name="Normal 2 2 2 2 4 24 4 10" xfId="15111" xr:uid="{00000000-0005-0000-0000-0000DD3A0000}"/>
    <cellStyle name="Normal 2 2 2 2 4 24 4 2" xfId="15112" xr:uid="{00000000-0005-0000-0000-0000DE3A0000}"/>
    <cellStyle name="Normal 2 2 2 2 4 24 4 3" xfId="15113" xr:uid="{00000000-0005-0000-0000-0000DF3A0000}"/>
    <cellStyle name="Normal 2 2 2 2 4 24 4 4" xfId="15114" xr:uid="{00000000-0005-0000-0000-0000E03A0000}"/>
    <cellStyle name="Normal 2 2 2 2 4 24 4 5" xfId="15115" xr:uid="{00000000-0005-0000-0000-0000E13A0000}"/>
    <cellStyle name="Normal 2 2 2 2 4 24 4 6" xfId="15116" xr:uid="{00000000-0005-0000-0000-0000E23A0000}"/>
    <cellStyle name="Normal 2 2 2 2 4 24 4 7" xfId="15117" xr:uid="{00000000-0005-0000-0000-0000E33A0000}"/>
    <cellStyle name="Normal 2 2 2 2 4 24 4 8" xfId="15118" xr:uid="{00000000-0005-0000-0000-0000E43A0000}"/>
    <cellStyle name="Normal 2 2 2 2 4 24 4 9" xfId="15119" xr:uid="{00000000-0005-0000-0000-0000E53A0000}"/>
    <cellStyle name="Normal 2 2 2 2 4 24 5" xfId="15120" xr:uid="{00000000-0005-0000-0000-0000E63A0000}"/>
    <cellStyle name="Normal 2 2 2 2 4 24 5 10" xfId="15121" xr:uid="{00000000-0005-0000-0000-0000E73A0000}"/>
    <cellStyle name="Normal 2 2 2 2 4 24 5 2" xfId="15122" xr:uid="{00000000-0005-0000-0000-0000E83A0000}"/>
    <cellStyle name="Normal 2 2 2 2 4 24 5 3" xfId="15123" xr:uid="{00000000-0005-0000-0000-0000E93A0000}"/>
    <cellStyle name="Normal 2 2 2 2 4 24 5 4" xfId="15124" xr:uid="{00000000-0005-0000-0000-0000EA3A0000}"/>
    <cellStyle name="Normal 2 2 2 2 4 24 5 5" xfId="15125" xr:uid="{00000000-0005-0000-0000-0000EB3A0000}"/>
    <cellStyle name="Normal 2 2 2 2 4 24 5 6" xfId="15126" xr:uid="{00000000-0005-0000-0000-0000EC3A0000}"/>
    <cellStyle name="Normal 2 2 2 2 4 24 5 7" xfId="15127" xr:uid="{00000000-0005-0000-0000-0000ED3A0000}"/>
    <cellStyle name="Normal 2 2 2 2 4 24 5 8" xfId="15128" xr:uid="{00000000-0005-0000-0000-0000EE3A0000}"/>
    <cellStyle name="Normal 2 2 2 2 4 24 5 9" xfId="15129" xr:uid="{00000000-0005-0000-0000-0000EF3A0000}"/>
    <cellStyle name="Normal 2 2 2 2 4 24 6" xfId="15130" xr:uid="{00000000-0005-0000-0000-0000F03A0000}"/>
    <cellStyle name="Normal 2 2 2 2 4 24 7" xfId="15131" xr:uid="{00000000-0005-0000-0000-0000F13A0000}"/>
    <cellStyle name="Normal 2 2 2 2 4 24 8" xfId="15132" xr:uid="{00000000-0005-0000-0000-0000F23A0000}"/>
    <cellStyle name="Normal 2 2 2 2 4 24 9" xfId="15133" xr:uid="{00000000-0005-0000-0000-0000F33A0000}"/>
    <cellStyle name="Normal 2 2 2 2 4 25" xfId="15134" xr:uid="{00000000-0005-0000-0000-0000F43A0000}"/>
    <cellStyle name="Normal 2 2 2 2 4 25 10" xfId="15135" xr:uid="{00000000-0005-0000-0000-0000F53A0000}"/>
    <cellStyle name="Normal 2 2 2 2 4 25 11" xfId="15136" xr:uid="{00000000-0005-0000-0000-0000F63A0000}"/>
    <cellStyle name="Normal 2 2 2 2 4 25 12" xfId="15137" xr:uid="{00000000-0005-0000-0000-0000F73A0000}"/>
    <cellStyle name="Normal 2 2 2 2 4 25 13" xfId="15138" xr:uid="{00000000-0005-0000-0000-0000F83A0000}"/>
    <cellStyle name="Normal 2 2 2 2 4 25 14" xfId="15139" xr:uid="{00000000-0005-0000-0000-0000F93A0000}"/>
    <cellStyle name="Normal 2 2 2 2 4 25 2" xfId="15140" xr:uid="{00000000-0005-0000-0000-0000FA3A0000}"/>
    <cellStyle name="Normal 2 2 2 2 4 25 2 10" xfId="15141" xr:uid="{00000000-0005-0000-0000-0000FB3A0000}"/>
    <cellStyle name="Normal 2 2 2 2 4 25 2 2" xfId="15142" xr:uid="{00000000-0005-0000-0000-0000FC3A0000}"/>
    <cellStyle name="Normal 2 2 2 2 4 25 2 3" xfId="15143" xr:uid="{00000000-0005-0000-0000-0000FD3A0000}"/>
    <cellStyle name="Normal 2 2 2 2 4 25 2 4" xfId="15144" xr:uid="{00000000-0005-0000-0000-0000FE3A0000}"/>
    <cellStyle name="Normal 2 2 2 2 4 25 2 5" xfId="15145" xr:uid="{00000000-0005-0000-0000-0000FF3A0000}"/>
    <cellStyle name="Normal 2 2 2 2 4 25 2 6" xfId="15146" xr:uid="{00000000-0005-0000-0000-0000003B0000}"/>
    <cellStyle name="Normal 2 2 2 2 4 25 2 7" xfId="15147" xr:uid="{00000000-0005-0000-0000-0000013B0000}"/>
    <cellStyle name="Normal 2 2 2 2 4 25 2 8" xfId="15148" xr:uid="{00000000-0005-0000-0000-0000023B0000}"/>
    <cellStyle name="Normal 2 2 2 2 4 25 2 9" xfId="15149" xr:uid="{00000000-0005-0000-0000-0000033B0000}"/>
    <cellStyle name="Normal 2 2 2 2 4 25 3" xfId="15150" xr:uid="{00000000-0005-0000-0000-0000043B0000}"/>
    <cellStyle name="Normal 2 2 2 2 4 25 3 10" xfId="15151" xr:uid="{00000000-0005-0000-0000-0000053B0000}"/>
    <cellStyle name="Normal 2 2 2 2 4 25 3 2" xfId="15152" xr:uid="{00000000-0005-0000-0000-0000063B0000}"/>
    <cellStyle name="Normal 2 2 2 2 4 25 3 3" xfId="15153" xr:uid="{00000000-0005-0000-0000-0000073B0000}"/>
    <cellStyle name="Normal 2 2 2 2 4 25 3 4" xfId="15154" xr:uid="{00000000-0005-0000-0000-0000083B0000}"/>
    <cellStyle name="Normal 2 2 2 2 4 25 3 5" xfId="15155" xr:uid="{00000000-0005-0000-0000-0000093B0000}"/>
    <cellStyle name="Normal 2 2 2 2 4 25 3 6" xfId="15156" xr:uid="{00000000-0005-0000-0000-00000A3B0000}"/>
    <cellStyle name="Normal 2 2 2 2 4 25 3 7" xfId="15157" xr:uid="{00000000-0005-0000-0000-00000B3B0000}"/>
    <cellStyle name="Normal 2 2 2 2 4 25 3 8" xfId="15158" xr:uid="{00000000-0005-0000-0000-00000C3B0000}"/>
    <cellStyle name="Normal 2 2 2 2 4 25 3 9" xfId="15159" xr:uid="{00000000-0005-0000-0000-00000D3B0000}"/>
    <cellStyle name="Normal 2 2 2 2 4 25 4" xfId="15160" xr:uid="{00000000-0005-0000-0000-00000E3B0000}"/>
    <cellStyle name="Normal 2 2 2 2 4 25 4 10" xfId="15161" xr:uid="{00000000-0005-0000-0000-00000F3B0000}"/>
    <cellStyle name="Normal 2 2 2 2 4 25 4 2" xfId="15162" xr:uid="{00000000-0005-0000-0000-0000103B0000}"/>
    <cellStyle name="Normal 2 2 2 2 4 25 4 3" xfId="15163" xr:uid="{00000000-0005-0000-0000-0000113B0000}"/>
    <cellStyle name="Normal 2 2 2 2 4 25 4 4" xfId="15164" xr:uid="{00000000-0005-0000-0000-0000123B0000}"/>
    <cellStyle name="Normal 2 2 2 2 4 25 4 5" xfId="15165" xr:uid="{00000000-0005-0000-0000-0000133B0000}"/>
    <cellStyle name="Normal 2 2 2 2 4 25 4 6" xfId="15166" xr:uid="{00000000-0005-0000-0000-0000143B0000}"/>
    <cellStyle name="Normal 2 2 2 2 4 25 4 7" xfId="15167" xr:uid="{00000000-0005-0000-0000-0000153B0000}"/>
    <cellStyle name="Normal 2 2 2 2 4 25 4 8" xfId="15168" xr:uid="{00000000-0005-0000-0000-0000163B0000}"/>
    <cellStyle name="Normal 2 2 2 2 4 25 4 9" xfId="15169" xr:uid="{00000000-0005-0000-0000-0000173B0000}"/>
    <cellStyle name="Normal 2 2 2 2 4 25 5" xfId="15170" xr:uid="{00000000-0005-0000-0000-0000183B0000}"/>
    <cellStyle name="Normal 2 2 2 2 4 25 5 10" xfId="15171" xr:uid="{00000000-0005-0000-0000-0000193B0000}"/>
    <cellStyle name="Normal 2 2 2 2 4 25 5 2" xfId="15172" xr:uid="{00000000-0005-0000-0000-00001A3B0000}"/>
    <cellStyle name="Normal 2 2 2 2 4 25 5 3" xfId="15173" xr:uid="{00000000-0005-0000-0000-00001B3B0000}"/>
    <cellStyle name="Normal 2 2 2 2 4 25 5 4" xfId="15174" xr:uid="{00000000-0005-0000-0000-00001C3B0000}"/>
    <cellStyle name="Normal 2 2 2 2 4 25 5 5" xfId="15175" xr:uid="{00000000-0005-0000-0000-00001D3B0000}"/>
    <cellStyle name="Normal 2 2 2 2 4 25 5 6" xfId="15176" xr:uid="{00000000-0005-0000-0000-00001E3B0000}"/>
    <cellStyle name="Normal 2 2 2 2 4 25 5 7" xfId="15177" xr:uid="{00000000-0005-0000-0000-00001F3B0000}"/>
    <cellStyle name="Normal 2 2 2 2 4 25 5 8" xfId="15178" xr:uid="{00000000-0005-0000-0000-0000203B0000}"/>
    <cellStyle name="Normal 2 2 2 2 4 25 5 9" xfId="15179" xr:uid="{00000000-0005-0000-0000-0000213B0000}"/>
    <cellStyle name="Normal 2 2 2 2 4 25 6" xfId="15180" xr:uid="{00000000-0005-0000-0000-0000223B0000}"/>
    <cellStyle name="Normal 2 2 2 2 4 25 7" xfId="15181" xr:uid="{00000000-0005-0000-0000-0000233B0000}"/>
    <cellStyle name="Normal 2 2 2 2 4 25 8" xfId="15182" xr:uid="{00000000-0005-0000-0000-0000243B0000}"/>
    <cellStyle name="Normal 2 2 2 2 4 25 9" xfId="15183" xr:uid="{00000000-0005-0000-0000-0000253B0000}"/>
    <cellStyle name="Normal 2 2 2 2 4 26" xfId="15184" xr:uid="{00000000-0005-0000-0000-0000263B0000}"/>
    <cellStyle name="Normal 2 2 2 2 4 26 10" xfId="15185" xr:uid="{00000000-0005-0000-0000-0000273B0000}"/>
    <cellStyle name="Normal 2 2 2 2 4 26 11" xfId="15186" xr:uid="{00000000-0005-0000-0000-0000283B0000}"/>
    <cellStyle name="Normal 2 2 2 2 4 26 12" xfId="15187" xr:uid="{00000000-0005-0000-0000-0000293B0000}"/>
    <cellStyle name="Normal 2 2 2 2 4 26 13" xfId="15188" xr:uid="{00000000-0005-0000-0000-00002A3B0000}"/>
    <cellStyle name="Normal 2 2 2 2 4 26 14" xfId="15189" xr:uid="{00000000-0005-0000-0000-00002B3B0000}"/>
    <cellStyle name="Normal 2 2 2 2 4 26 2" xfId="15190" xr:uid="{00000000-0005-0000-0000-00002C3B0000}"/>
    <cellStyle name="Normal 2 2 2 2 4 26 2 10" xfId="15191" xr:uid="{00000000-0005-0000-0000-00002D3B0000}"/>
    <cellStyle name="Normal 2 2 2 2 4 26 2 2" xfId="15192" xr:uid="{00000000-0005-0000-0000-00002E3B0000}"/>
    <cellStyle name="Normal 2 2 2 2 4 26 2 3" xfId="15193" xr:uid="{00000000-0005-0000-0000-00002F3B0000}"/>
    <cellStyle name="Normal 2 2 2 2 4 26 2 4" xfId="15194" xr:uid="{00000000-0005-0000-0000-0000303B0000}"/>
    <cellStyle name="Normal 2 2 2 2 4 26 2 5" xfId="15195" xr:uid="{00000000-0005-0000-0000-0000313B0000}"/>
    <cellStyle name="Normal 2 2 2 2 4 26 2 6" xfId="15196" xr:uid="{00000000-0005-0000-0000-0000323B0000}"/>
    <cellStyle name="Normal 2 2 2 2 4 26 2 7" xfId="15197" xr:uid="{00000000-0005-0000-0000-0000333B0000}"/>
    <cellStyle name="Normal 2 2 2 2 4 26 2 8" xfId="15198" xr:uid="{00000000-0005-0000-0000-0000343B0000}"/>
    <cellStyle name="Normal 2 2 2 2 4 26 2 9" xfId="15199" xr:uid="{00000000-0005-0000-0000-0000353B0000}"/>
    <cellStyle name="Normal 2 2 2 2 4 26 3" xfId="15200" xr:uid="{00000000-0005-0000-0000-0000363B0000}"/>
    <cellStyle name="Normal 2 2 2 2 4 26 3 10" xfId="15201" xr:uid="{00000000-0005-0000-0000-0000373B0000}"/>
    <cellStyle name="Normal 2 2 2 2 4 26 3 2" xfId="15202" xr:uid="{00000000-0005-0000-0000-0000383B0000}"/>
    <cellStyle name="Normal 2 2 2 2 4 26 3 3" xfId="15203" xr:uid="{00000000-0005-0000-0000-0000393B0000}"/>
    <cellStyle name="Normal 2 2 2 2 4 26 3 4" xfId="15204" xr:uid="{00000000-0005-0000-0000-00003A3B0000}"/>
    <cellStyle name="Normal 2 2 2 2 4 26 3 5" xfId="15205" xr:uid="{00000000-0005-0000-0000-00003B3B0000}"/>
    <cellStyle name="Normal 2 2 2 2 4 26 3 6" xfId="15206" xr:uid="{00000000-0005-0000-0000-00003C3B0000}"/>
    <cellStyle name="Normal 2 2 2 2 4 26 3 7" xfId="15207" xr:uid="{00000000-0005-0000-0000-00003D3B0000}"/>
    <cellStyle name="Normal 2 2 2 2 4 26 3 8" xfId="15208" xr:uid="{00000000-0005-0000-0000-00003E3B0000}"/>
    <cellStyle name="Normal 2 2 2 2 4 26 3 9" xfId="15209" xr:uid="{00000000-0005-0000-0000-00003F3B0000}"/>
    <cellStyle name="Normal 2 2 2 2 4 26 4" xfId="15210" xr:uid="{00000000-0005-0000-0000-0000403B0000}"/>
    <cellStyle name="Normal 2 2 2 2 4 26 4 10" xfId="15211" xr:uid="{00000000-0005-0000-0000-0000413B0000}"/>
    <cellStyle name="Normal 2 2 2 2 4 26 4 2" xfId="15212" xr:uid="{00000000-0005-0000-0000-0000423B0000}"/>
    <cellStyle name="Normal 2 2 2 2 4 26 4 3" xfId="15213" xr:uid="{00000000-0005-0000-0000-0000433B0000}"/>
    <cellStyle name="Normal 2 2 2 2 4 26 4 4" xfId="15214" xr:uid="{00000000-0005-0000-0000-0000443B0000}"/>
    <cellStyle name="Normal 2 2 2 2 4 26 4 5" xfId="15215" xr:uid="{00000000-0005-0000-0000-0000453B0000}"/>
    <cellStyle name="Normal 2 2 2 2 4 26 4 6" xfId="15216" xr:uid="{00000000-0005-0000-0000-0000463B0000}"/>
    <cellStyle name="Normal 2 2 2 2 4 26 4 7" xfId="15217" xr:uid="{00000000-0005-0000-0000-0000473B0000}"/>
    <cellStyle name="Normal 2 2 2 2 4 26 4 8" xfId="15218" xr:uid="{00000000-0005-0000-0000-0000483B0000}"/>
    <cellStyle name="Normal 2 2 2 2 4 26 4 9" xfId="15219" xr:uid="{00000000-0005-0000-0000-0000493B0000}"/>
    <cellStyle name="Normal 2 2 2 2 4 26 5" xfId="15220" xr:uid="{00000000-0005-0000-0000-00004A3B0000}"/>
    <cellStyle name="Normal 2 2 2 2 4 26 5 10" xfId="15221" xr:uid="{00000000-0005-0000-0000-00004B3B0000}"/>
    <cellStyle name="Normal 2 2 2 2 4 26 5 2" xfId="15222" xr:uid="{00000000-0005-0000-0000-00004C3B0000}"/>
    <cellStyle name="Normal 2 2 2 2 4 26 5 3" xfId="15223" xr:uid="{00000000-0005-0000-0000-00004D3B0000}"/>
    <cellStyle name="Normal 2 2 2 2 4 26 5 4" xfId="15224" xr:uid="{00000000-0005-0000-0000-00004E3B0000}"/>
    <cellStyle name="Normal 2 2 2 2 4 26 5 5" xfId="15225" xr:uid="{00000000-0005-0000-0000-00004F3B0000}"/>
    <cellStyle name="Normal 2 2 2 2 4 26 5 6" xfId="15226" xr:uid="{00000000-0005-0000-0000-0000503B0000}"/>
    <cellStyle name="Normal 2 2 2 2 4 26 5 7" xfId="15227" xr:uid="{00000000-0005-0000-0000-0000513B0000}"/>
    <cellStyle name="Normal 2 2 2 2 4 26 5 8" xfId="15228" xr:uid="{00000000-0005-0000-0000-0000523B0000}"/>
    <cellStyle name="Normal 2 2 2 2 4 26 5 9" xfId="15229" xr:uid="{00000000-0005-0000-0000-0000533B0000}"/>
    <cellStyle name="Normal 2 2 2 2 4 26 6" xfId="15230" xr:uid="{00000000-0005-0000-0000-0000543B0000}"/>
    <cellStyle name="Normal 2 2 2 2 4 26 7" xfId="15231" xr:uid="{00000000-0005-0000-0000-0000553B0000}"/>
    <cellStyle name="Normal 2 2 2 2 4 26 8" xfId="15232" xr:uid="{00000000-0005-0000-0000-0000563B0000}"/>
    <cellStyle name="Normal 2 2 2 2 4 26 9" xfId="15233" xr:uid="{00000000-0005-0000-0000-0000573B0000}"/>
    <cellStyle name="Normal 2 2 2 2 4 27" xfId="15234" xr:uid="{00000000-0005-0000-0000-0000583B0000}"/>
    <cellStyle name="Normal 2 2 2 2 4 27 10" xfId="15235" xr:uid="{00000000-0005-0000-0000-0000593B0000}"/>
    <cellStyle name="Normal 2 2 2 2 4 27 11" xfId="15236" xr:uid="{00000000-0005-0000-0000-00005A3B0000}"/>
    <cellStyle name="Normal 2 2 2 2 4 27 12" xfId="15237" xr:uid="{00000000-0005-0000-0000-00005B3B0000}"/>
    <cellStyle name="Normal 2 2 2 2 4 27 13" xfId="15238" xr:uid="{00000000-0005-0000-0000-00005C3B0000}"/>
    <cellStyle name="Normal 2 2 2 2 4 27 14" xfId="15239" xr:uid="{00000000-0005-0000-0000-00005D3B0000}"/>
    <cellStyle name="Normal 2 2 2 2 4 27 2" xfId="15240" xr:uid="{00000000-0005-0000-0000-00005E3B0000}"/>
    <cellStyle name="Normal 2 2 2 2 4 27 2 10" xfId="15241" xr:uid="{00000000-0005-0000-0000-00005F3B0000}"/>
    <cellStyle name="Normal 2 2 2 2 4 27 2 2" xfId="15242" xr:uid="{00000000-0005-0000-0000-0000603B0000}"/>
    <cellStyle name="Normal 2 2 2 2 4 27 2 3" xfId="15243" xr:uid="{00000000-0005-0000-0000-0000613B0000}"/>
    <cellStyle name="Normal 2 2 2 2 4 27 2 4" xfId="15244" xr:uid="{00000000-0005-0000-0000-0000623B0000}"/>
    <cellStyle name="Normal 2 2 2 2 4 27 2 5" xfId="15245" xr:uid="{00000000-0005-0000-0000-0000633B0000}"/>
    <cellStyle name="Normal 2 2 2 2 4 27 2 6" xfId="15246" xr:uid="{00000000-0005-0000-0000-0000643B0000}"/>
    <cellStyle name="Normal 2 2 2 2 4 27 2 7" xfId="15247" xr:uid="{00000000-0005-0000-0000-0000653B0000}"/>
    <cellStyle name="Normal 2 2 2 2 4 27 2 8" xfId="15248" xr:uid="{00000000-0005-0000-0000-0000663B0000}"/>
    <cellStyle name="Normal 2 2 2 2 4 27 2 9" xfId="15249" xr:uid="{00000000-0005-0000-0000-0000673B0000}"/>
    <cellStyle name="Normal 2 2 2 2 4 27 3" xfId="15250" xr:uid="{00000000-0005-0000-0000-0000683B0000}"/>
    <cellStyle name="Normal 2 2 2 2 4 27 3 10" xfId="15251" xr:uid="{00000000-0005-0000-0000-0000693B0000}"/>
    <cellStyle name="Normal 2 2 2 2 4 27 3 2" xfId="15252" xr:uid="{00000000-0005-0000-0000-00006A3B0000}"/>
    <cellStyle name="Normal 2 2 2 2 4 27 3 3" xfId="15253" xr:uid="{00000000-0005-0000-0000-00006B3B0000}"/>
    <cellStyle name="Normal 2 2 2 2 4 27 3 4" xfId="15254" xr:uid="{00000000-0005-0000-0000-00006C3B0000}"/>
    <cellStyle name="Normal 2 2 2 2 4 27 3 5" xfId="15255" xr:uid="{00000000-0005-0000-0000-00006D3B0000}"/>
    <cellStyle name="Normal 2 2 2 2 4 27 3 6" xfId="15256" xr:uid="{00000000-0005-0000-0000-00006E3B0000}"/>
    <cellStyle name="Normal 2 2 2 2 4 27 3 7" xfId="15257" xr:uid="{00000000-0005-0000-0000-00006F3B0000}"/>
    <cellStyle name="Normal 2 2 2 2 4 27 3 8" xfId="15258" xr:uid="{00000000-0005-0000-0000-0000703B0000}"/>
    <cellStyle name="Normal 2 2 2 2 4 27 3 9" xfId="15259" xr:uid="{00000000-0005-0000-0000-0000713B0000}"/>
    <cellStyle name="Normal 2 2 2 2 4 27 4" xfId="15260" xr:uid="{00000000-0005-0000-0000-0000723B0000}"/>
    <cellStyle name="Normal 2 2 2 2 4 27 4 10" xfId="15261" xr:uid="{00000000-0005-0000-0000-0000733B0000}"/>
    <cellStyle name="Normal 2 2 2 2 4 27 4 2" xfId="15262" xr:uid="{00000000-0005-0000-0000-0000743B0000}"/>
    <cellStyle name="Normal 2 2 2 2 4 27 4 3" xfId="15263" xr:uid="{00000000-0005-0000-0000-0000753B0000}"/>
    <cellStyle name="Normal 2 2 2 2 4 27 4 4" xfId="15264" xr:uid="{00000000-0005-0000-0000-0000763B0000}"/>
    <cellStyle name="Normal 2 2 2 2 4 27 4 5" xfId="15265" xr:uid="{00000000-0005-0000-0000-0000773B0000}"/>
    <cellStyle name="Normal 2 2 2 2 4 27 4 6" xfId="15266" xr:uid="{00000000-0005-0000-0000-0000783B0000}"/>
    <cellStyle name="Normal 2 2 2 2 4 27 4 7" xfId="15267" xr:uid="{00000000-0005-0000-0000-0000793B0000}"/>
    <cellStyle name="Normal 2 2 2 2 4 27 4 8" xfId="15268" xr:uid="{00000000-0005-0000-0000-00007A3B0000}"/>
    <cellStyle name="Normal 2 2 2 2 4 27 4 9" xfId="15269" xr:uid="{00000000-0005-0000-0000-00007B3B0000}"/>
    <cellStyle name="Normal 2 2 2 2 4 27 5" xfId="15270" xr:uid="{00000000-0005-0000-0000-00007C3B0000}"/>
    <cellStyle name="Normal 2 2 2 2 4 27 5 10" xfId="15271" xr:uid="{00000000-0005-0000-0000-00007D3B0000}"/>
    <cellStyle name="Normal 2 2 2 2 4 27 5 2" xfId="15272" xr:uid="{00000000-0005-0000-0000-00007E3B0000}"/>
    <cellStyle name="Normal 2 2 2 2 4 27 5 3" xfId="15273" xr:uid="{00000000-0005-0000-0000-00007F3B0000}"/>
    <cellStyle name="Normal 2 2 2 2 4 27 5 4" xfId="15274" xr:uid="{00000000-0005-0000-0000-0000803B0000}"/>
    <cellStyle name="Normal 2 2 2 2 4 27 5 5" xfId="15275" xr:uid="{00000000-0005-0000-0000-0000813B0000}"/>
    <cellStyle name="Normal 2 2 2 2 4 27 5 6" xfId="15276" xr:uid="{00000000-0005-0000-0000-0000823B0000}"/>
    <cellStyle name="Normal 2 2 2 2 4 27 5 7" xfId="15277" xr:uid="{00000000-0005-0000-0000-0000833B0000}"/>
    <cellStyle name="Normal 2 2 2 2 4 27 5 8" xfId="15278" xr:uid="{00000000-0005-0000-0000-0000843B0000}"/>
    <cellStyle name="Normal 2 2 2 2 4 27 5 9" xfId="15279" xr:uid="{00000000-0005-0000-0000-0000853B0000}"/>
    <cellStyle name="Normal 2 2 2 2 4 27 6" xfId="15280" xr:uid="{00000000-0005-0000-0000-0000863B0000}"/>
    <cellStyle name="Normal 2 2 2 2 4 27 7" xfId="15281" xr:uid="{00000000-0005-0000-0000-0000873B0000}"/>
    <cellStyle name="Normal 2 2 2 2 4 27 8" xfId="15282" xr:uid="{00000000-0005-0000-0000-0000883B0000}"/>
    <cellStyle name="Normal 2 2 2 2 4 27 9" xfId="15283" xr:uid="{00000000-0005-0000-0000-0000893B0000}"/>
    <cellStyle name="Normal 2 2 2 2 4 28" xfId="15284" xr:uid="{00000000-0005-0000-0000-00008A3B0000}"/>
    <cellStyle name="Normal 2 2 2 2 4 28 10" xfId="15285" xr:uid="{00000000-0005-0000-0000-00008B3B0000}"/>
    <cellStyle name="Normal 2 2 2 2 4 28 11" xfId="15286" xr:uid="{00000000-0005-0000-0000-00008C3B0000}"/>
    <cellStyle name="Normal 2 2 2 2 4 28 12" xfId="15287" xr:uid="{00000000-0005-0000-0000-00008D3B0000}"/>
    <cellStyle name="Normal 2 2 2 2 4 28 13" xfId="15288" xr:uid="{00000000-0005-0000-0000-00008E3B0000}"/>
    <cellStyle name="Normal 2 2 2 2 4 28 14" xfId="15289" xr:uid="{00000000-0005-0000-0000-00008F3B0000}"/>
    <cellStyle name="Normal 2 2 2 2 4 28 2" xfId="15290" xr:uid="{00000000-0005-0000-0000-0000903B0000}"/>
    <cellStyle name="Normal 2 2 2 2 4 28 2 10" xfId="15291" xr:uid="{00000000-0005-0000-0000-0000913B0000}"/>
    <cellStyle name="Normal 2 2 2 2 4 28 2 2" xfId="15292" xr:uid="{00000000-0005-0000-0000-0000923B0000}"/>
    <cellStyle name="Normal 2 2 2 2 4 28 2 3" xfId="15293" xr:uid="{00000000-0005-0000-0000-0000933B0000}"/>
    <cellStyle name="Normal 2 2 2 2 4 28 2 4" xfId="15294" xr:uid="{00000000-0005-0000-0000-0000943B0000}"/>
    <cellStyle name="Normal 2 2 2 2 4 28 2 5" xfId="15295" xr:uid="{00000000-0005-0000-0000-0000953B0000}"/>
    <cellStyle name="Normal 2 2 2 2 4 28 2 6" xfId="15296" xr:uid="{00000000-0005-0000-0000-0000963B0000}"/>
    <cellStyle name="Normal 2 2 2 2 4 28 2 7" xfId="15297" xr:uid="{00000000-0005-0000-0000-0000973B0000}"/>
    <cellStyle name="Normal 2 2 2 2 4 28 2 8" xfId="15298" xr:uid="{00000000-0005-0000-0000-0000983B0000}"/>
    <cellStyle name="Normal 2 2 2 2 4 28 2 9" xfId="15299" xr:uid="{00000000-0005-0000-0000-0000993B0000}"/>
    <cellStyle name="Normal 2 2 2 2 4 28 3" xfId="15300" xr:uid="{00000000-0005-0000-0000-00009A3B0000}"/>
    <cellStyle name="Normal 2 2 2 2 4 28 3 10" xfId="15301" xr:uid="{00000000-0005-0000-0000-00009B3B0000}"/>
    <cellStyle name="Normal 2 2 2 2 4 28 3 2" xfId="15302" xr:uid="{00000000-0005-0000-0000-00009C3B0000}"/>
    <cellStyle name="Normal 2 2 2 2 4 28 3 3" xfId="15303" xr:uid="{00000000-0005-0000-0000-00009D3B0000}"/>
    <cellStyle name="Normal 2 2 2 2 4 28 3 4" xfId="15304" xr:uid="{00000000-0005-0000-0000-00009E3B0000}"/>
    <cellStyle name="Normal 2 2 2 2 4 28 3 5" xfId="15305" xr:uid="{00000000-0005-0000-0000-00009F3B0000}"/>
    <cellStyle name="Normal 2 2 2 2 4 28 3 6" xfId="15306" xr:uid="{00000000-0005-0000-0000-0000A03B0000}"/>
    <cellStyle name="Normal 2 2 2 2 4 28 3 7" xfId="15307" xr:uid="{00000000-0005-0000-0000-0000A13B0000}"/>
    <cellStyle name="Normal 2 2 2 2 4 28 3 8" xfId="15308" xr:uid="{00000000-0005-0000-0000-0000A23B0000}"/>
    <cellStyle name="Normal 2 2 2 2 4 28 3 9" xfId="15309" xr:uid="{00000000-0005-0000-0000-0000A33B0000}"/>
    <cellStyle name="Normal 2 2 2 2 4 28 4" xfId="15310" xr:uid="{00000000-0005-0000-0000-0000A43B0000}"/>
    <cellStyle name="Normal 2 2 2 2 4 28 4 10" xfId="15311" xr:uid="{00000000-0005-0000-0000-0000A53B0000}"/>
    <cellStyle name="Normal 2 2 2 2 4 28 4 2" xfId="15312" xr:uid="{00000000-0005-0000-0000-0000A63B0000}"/>
    <cellStyle name="Normal 2 2 2 2 4 28 4 3" xfId="15313" xr:uid="{00000000-0005-0000-0000-0000A73B0000}"/>
    <cellStyle name="Normal 2 2 2 2 4 28 4 4" xfId="15314" xr:uid="{00000000-0005-0000-0000-0000A83B0000}"/>
    <cellStyle name="Normal 2 2 2 2 4 28 4 5" xfId="15315" xr:uid="{00000000-0005-0000-0000-0000A93B0000}"/>
    <cellStyle name="Normal 2 2 2 2 4 28 4 6" xfId="15316" xr:uid="{00000000-0005-0000-0000-0000AA3B0000}"/>
    <cellStyle name="Normal 2 2 2 2 4 28 4 7" xfId="15317" xr:uid="{00000000-0005-0000-0000-0000AB3B0000}"/>
    <cellStyle name="Normal 2 2 2 2 4 28 4 8" xfId="15318" xr:uid="{00000000-0005-0000-0000-0000AC3B0000}"/>
    <cellStyle name="Normal 2 2 2 2 4 28 4 9" xfId="15319" xr:uid="{00000000-0005-0000-0000-0000AD3B0000}"/>
    <cellStyle name="Normal 2 2 2 2 4 28 5" xfId="15320" xr:uid="{00000000-0005-0000-0000-0000AE3B0000}"/>
    <cellStyle name="Normal 2 2 2 2 4 28 5 10" xfId="15321" xr:uid="{00000000-0005-0000-0000-0000AF3B0000}"/>
    <cellStyle name="Normal 2 2 2 2 4 28 5 2" xfId="15322" xr:uid="{00000000-0005-0000-0000-0000B03B0000}"/>
    <cellStyle name="Normal 2 2 2 2 4 28 5 3" xfId="15323" xr:uid="{00000000-0005-0000-0000-0000B13B0000}"/>
    <cellStyle name="Normal 2 2 2 2 4 28 5 4" xfId="15324" xr:uid="{00000000-0005-0000-0000-0000B23B0000}"/>
    <cellStyle name="Normal 2 2 2 2 4 28 5 5" xfId="15325" xr:uid="{00000000-0005-0000-0000-0000B33B0000}"/>
    <cellStyle name="Normal 2 2 2 2 4 28 5 6" xfId="15326" xr:uid="{00000000-0005-0000-0000-0000B43B0000}"/>
    <cellStyle name="Normal 2 2 2 2 4 28 5 7" xfId="15327" xr:uid="{00000000-0005-0000-0000-0000B53B0000}"/>
    <cellStyle name="Normal 2 2 2 2 4 28 5 8" xfId="15328" xr:uid="{00000000-0005-0000-0000-0000B63B0000}"/>
    <cellStyle name="Normal 2 2 2 2 4 28 5 9" xfId="15329" xr:uid="{00000000-0005-0000-0000-0000B73B0000}"/>
    <cellStyle name="Normal 2 2 2 2 4 28 6" xfId="15330" xr:uid="{00000000-0005-0000-0000-0000B83B0000}"/>
    <cellStyle name="Normal 2 2 2 2 4 28 7" xfId="15331" xr:uid="{00000000-0005-0000-0000-0000B93B0000}"/>
    <cellStyle name="Normal 2 2 2 2 4 28 8" xfId="15332" xr:uid="{00000000-0005-0000-0000-0000BA3B0000}"/>
    <cellStyle name="Normal 2 2 2 2 4 28 9" xfId="15333" xr:uid="{00000000-0005-0000-0000-0000BB3B0000}"/>
    <cellStyle name="Normal 2 2 2 2 4 29" xfId="15334" xr:uid="{00000000-0005-0000-0000-0000BC3B0000}"/>
    <cellStyle name="Normal 2 2 2 2 4 29 10" xfId="15335" xr:uid="{00000000-0005-0000-0000-0000BD3B0000}"/>
    <cellStyle name="Normal 2 2 2 2 4 29 11" xfId="15336" xr:uid="{00000000-0005-0000-0000-0000BE3B0000}"/>
    <cellStyle name="Normal 2 2 2 2 4 29 12" xfId="15337" xr:uid="{00000000-0005-0000-0000-0000BF3B0000}"/>
    <cellStyle name="Normal 2 2 2 2 4 29 13" xfId="15338" xr:uid="{00000000-0005-0000-0000-0000C03B0000}"/>
    <cellStyle name="Normal 2 2 2 2 4 29 14" xfId="15339" xr:uid="{00000000-0005-0000-0000-0000C13B0000}"/>
    <cellStyle name="Normal 2 2 2 2 4 29 2" xfId="15340" xr:uid="{00000000-0005-0000-0000-0000C23B0000}"/>
    <cellStyle name="Normal 2 2 2 2 4 29 2 10" xfId="15341" xr:uid="{00000000-0005-0000-0000-0000C33B0000}"/>
    <cellStyle name="Normal 2 2 2 2 4 29 2 2" xfId="15342" xr:uid="{00000000-0005-0000-0000-0000C43B0000}"/>
    <cellStyle name="Normal 2 2 2 2 4 29 2 3" xfId="15343" xr:uid="{00000000-0005-0000-0000-0000C53B0000}"/>
    <cellStyle name="Normal 2 2 2 2 4 29 2 4" xfId="15344" xr:uid="{00000000-0005-0000-0000-0000C63B0000}"/>
    <cellStyle name="Normal 2 2 2 2 4 29 2 5" xfId="15345" xr:uid="{00000000-0005-0000-0000-0000C73B0000}"/>
    <cellStyle name="Normal 2 2 2 2 4 29 2 6" xfId="15346" xr:uid="{00000000-0005-0000-0000-0000C83B0000}"/>
    <cellStyle name="Normal 2 2 2 2 4 29 2 7" xfId="15347" xr:uid="{00000000-0005-0000-0000-0000C93B0000}"/>
    <cellStyle name="Normal 2 2 2 2 4 29 2 8" xfId="15348" xr:uid="{00000000-0005-0000-0000-0000CA3B0000}"/>
    <cellStyle name="Normal 2 2 2 2 4 29 2 9" xfId="15349" xr:uid="{00000000-0005-0000-0000-0000CB3B0000}"/>
    <cellStyle name="Normal 2 2 2 2 4 29 3" xfId="15350" xr:uid="{00000000-0005-0000-0000-0000CC3B0000}"/>
    <cellStyle name="Normal 2 2 2 2 4 29 3 10" xfId="15351" xr:uid="{00000000-0005-0000-0000-0000CD3B0000}"/>
    <cellStyle name="Normal 2 2 2 2 4 29 3 2" xfId="15352" xr:uid="{00000000-0005-0000-0000-0000CE3B0000}"/>
    <cellStyle name="Normal 2 2 2 2 4 29 3 3" xfId="15353" xr:uid="{00000000-0005-0000-0000-0000CF3B0000}"/>
    <cellStyle name="Normal 2 2 2 2 4 29 3 4" xfId="15354" xr:uid="{00000000-0005-0000-0000-0000D03B0000}"/>
    <cellStyle name="Normal 2 2 2 2 4 29 3 5" xfId="15355" xr:uid="{00000000-0005-0000-0000-0000D13B0000}"/>
    <cellStyle name="Normal 2 2 2 2 4 29 3 6" xfId="15356" xr:uid="{00000000-0005-0000-0000-0000D23B0000}"/>
    <cellStyle name="Normal 2 2 2 2 4 29 3 7" xfId="15357" xr:uid="{00000000-0005-0000-0000-0000D33B0000}"/>
    <cellStyle name="Normal 2 2 2 2 4 29 3 8" xfId="15358" xr:uid="{00000000-0005-0000-0000-0000D43B0000}"/>
    <cellStyle name="Normal 2 2 2 2 4 29 3 9" xfId="15359" xr:uid="{00000000-0005-0000-0000-0000D53B0000}"/>
    <cellStyle name="Normal 2 2 2 2 4 29 4" xfId="15360" xr:uid="{00000000-0005-0000-0000-0000D63B0000}"/>
    <cellStyle name="Normal 2 2 2 2 4 29 4 10" xfId="15361" xr:uid="{00000000-0005-0000-0000-0000D73B0000}"/>
    <cellStyle name="Normal 2 2 2 2 4 29 4 2" xfId="15362" xr:uid="{00000000-0005-0000-0000-0000D83B0000}"/>
    <cellStyle name="Normal 2 2 2 2 4 29 4 3" xfId="15363" xr:uid="{00000000-0005-0000-0000-0000D93B0000}"/>
    <cellStyle name="Normal 2 2 2 2 4 29 4 4" xfId="15364" xr:uid="{00000000-0005-0000-0000-0000DA3B0000}"/>
    <cellStyle name="Normal 2 2 2 2 4 29 4 5" xfId="15365" xr:uid="{00000000-0005-0000-0000-0000DB3B0000}"/>
    <cellStyle name="Normal 2 2 2 2 4 29 4 6" xfId="15366" xr:uid="{00000000-0005-0000-0000-0000DC3B0000}"/>
    <cellStyle name="Normal 2 2 2 2 4 29 4 7" xfId="15367" xr:uid="{00000000-0005-0000-0000-0000DD3B0000}"/>
    <cellStyle name="Normal 2 2 2 2 4 29 4 8" xfId="15368" xr:uid="{00000000-0005-0000-0000-0000DE3B0000}"/>
    <cellStyle name="Normal 2 2 2 2 4 29 4 9" xfId="15369" xr:uid="{00000000-0005-0000-0000-0000DF3B0000}"/>
    <cellStyle name="Normal 2 2 2 2 4 29 5" xfId="15370" xr:uid="{00000000-0005-0000-0000-0000E03B0000}"/>
    <cellStyle name="Normal 2 2 2 2 4 29 5 10" xfId="15371" xr:uid="{00000000-0005-0000-0000-0000E13B0000}"/>
    <cellStyle name="Normal 2 2 2 2 4 29 5 2" xfId="15372" xr:uid="{00000000-0005-0000-0000-0000E23B0000}"/>
    <cellStyle name="Normal 2 2 2 2 4 29 5 3" xfId="15373" xr:uid="{00000000-0005-0000-0000-0000E33B0000}"/>
    <cellStyle name="Normal 2 2 2 2 4 29 5 4" xfId="15374" xr:uid="{00000000-0005-0000-0000-0000E43B0000}"/>
    <cellStyle name="Normal 2 2 2 2 4 29 5 5" xfId="15375" xr:uid="{00000000-0005-0000-0000-0000E53B0000}"/>
    <cellStyle name="Normal 2 2 2 2 4 29 5 6" xfId="15376" xr:uid="{00000000-0005-0000-0000-0000E63B0000}"/>
    <cellStyle name="Normal 2 2 2 2 4 29 5 7" xfId="15377" xr:uid="{00000000-0005-0000-0000-0000E73B0000}"/>
    <cellStyle name="Normal 2 2 2 2 4 29 5 8" xfId="15378" xr:uid="{00000000-0005-0000-0000-0000E83B0000}"/>
    <cellStyle name="Normal 2 2 2 2 4 29 5 9" xfId="15379" xr:uid="{00000000-0005-0000-0000-0000E93B0000}"/>
    <cellStyle name="Normal 2 2 2 2 4 29 6" xfId="15380" xr:uid="{00000000-0005-0000-0000-0000EA3B0000}"/>
    <cellStyle name="Normal 2 2 2 2 4 29 7" xfId="15381" xr:uid="{00000000-0005-0000-0000-0000EB3B0000}"/>
    <cellStyle name="Normal 2 2 2 2 4 29 8" xfId="15382" xr:uid="{00000000-0005-0000-0000-0000EC3B0000}"/>
    <cellStyle name="Normal 2 2 2 2 4 29 9" xfId="15383" xr:uid="{00000000-0005-0000-0000-0000ED3B0000}"/>
    <cellStyle name="Normal 2 2 2 2 4 3" xfId="15384" xr:uid="{00000000-0005-0000-0000-0000EE3B0000}"/>
    <cellStyle name="Normal 2 2 2 2 4 3 10" xfId="15385" xr:uid="{00000000-0005-0000-0000-0000EF3B0000}"/>
    <cellStyle name="Normal 2 2 2 2 4 3 11" xfId="15386" xr:uid="{00000000-0005-0000-0000-0000F03B0000}"/>
    <cellStyle name="Normal 2 2 2 2 4 3 12" xfId="15387" xr:uid="{00000000-0005-0000-0000-0000F13B0000}"/>
    <cellStyle name="Normal 2 2 2 2 4 3 13" xfId="15388" xr:uid="{00000000-0005-0000-0000-0000F23B0000}"/>
    <cellStyle name="Normal 2 2 2 2 4 3 14" xfId="15389" xr:uid="{00000000-0005-0000-0000-0000F33B0000}"/>
    <cellStyle name="Normal 2 2 2 2 4 3 2" xfId="15390" xr:uid="{00000000-0005-0000-0000-0000F43B0000}"/>
    <cellStyle name="Normal 2 2 2 2 4 3 2 10" xfId="15391" xr:uid="{00000000-0005-0000-0000-0000F53B0000}"/>
    <cellStyle name="Normal 2 2 2 2 4 3 2 2" xfId="15392" xr:uid="{00000000-0005-0000-0000-0000F63B0000}"/>
    <cellStyle name="Normal 2 2 2 2 4 3 2 3" xfId="15393" xr:uid="{00000000-0005-0000-0000-0000F73B0000}"/>
    <cellStyle name="Normal 2 2 2 2 4 3 2 4" xfId="15394" xr:uid="{00000000-0005-0000-0000-0000F83B0000}"/>
    <cellStyle name="Normal 2 2 2 2 4 3 2 5" xfId="15395" xr:uid="{00000000-0005-0000-0000-0000F93B0000}"/>
    <cellStyle name="Normal 2 2 2 2 4 3 2 6" xfId="15396" xr:uid="{00000000-0005-0000-0000-0000FA3B0000}"/>
    <cellStyle name="Normal 2 2 2 2 4 3 2 7" xfId="15397" xr:uid="{00000000-0005-0000-0000-0000FB3B0000}"/>
    <cellStyle name="Normal 2 2 2 2 4 3 2 8" xfId="15398" xr:uid="{00000000-0005-0000-0000-0000FC3B0000}"/>
    <cellStyle name="Normal 2 2 2 2 4 3 2 9" xfId="15399" xr:uid="{00000000-0005-0000-0000-0000FD3B0000}"/>
    <cellStyle name="Normal 2 2 2 2 4 3 3" xfId="15400" xr:uid="{00000000-0005-0000-0000-0000FE3B0000}"/>
    <cellStyle name="Normal 2 2 2 2 4 3 3 10" xfId="15401" xr:uid="{00000000-0005-0000-0000-0000FF3B0000}"/>
    <cellStyle name="Normal 2 2 2 2 4 3 3 2" xfId="15402" xr:uid="{00000000-0005-0000-0000-0000003C0000}"/>
    <cellStyle name="Normal 2 2 2 2 4 3 3 3" xfId="15403" xr:uid="{00000000-0005-0000-0000-0000013C0000}"/>
    <cellStyle name="Normal 2 2 2 2 4 3 3 4" xfId="15404" xr:uid="{00000000-0005-0000-0000-0000023C0000}"/>
    <cellStyle name="Normal 2 2 2 2 4 3 3 5" xfId="15405" xr:uid="{00000000-0005-0000-0000-0000033C0000}"/>
    <cellStyle name="Normal 2 2 2 2 4 3 3 6" xfId="15406" xr:uid="{00000000-0005-0000-0000-0000043C0000}"/>
    <cellStyle name="Normal 2 2 2 2 4 3 3 7" xfId="15407" xr:uid="{00000000-0005-0000-0000-0000053C0000}"/>
    <cellStyle name="Normal 2 2 2 2 4 3 3 8" xfId="15408" xr:uid="{00000000-0005-0000-0000-0000063C0000}"/>
    <cellStyle name="Normal 2 2 2 2 4 3 3 9" xfId="15409" xr:uid="{00000000-0005-0000-0000-0000073C0000}"/>
    <cellStyle name="Normal 2 2 2 2 4 3 4" xfId="15410" xr:uid="{00000000-0005-0000-0000-0000083C0000}"/>
    <cellStyle name="Normal 2 2 2 2 4 3 4 10" xfId="15411" xr:uid="{00000000-0005-0000-0000-0000093C0000}"/>
    <cellStyle name="Normal 2 2 2 2 4 3 4 2" xfId="15412" xr:uid="{00000000-0005-0000-0000-00000A3C0000}"/>
    <cellStyle name="Normal 2 2 2 2 4 3 4 3" xfId="15413" xr:uid="{00000000-0005-0000-0000-00000B3C0000}"/>
    <cellStyle name="Normal 2 2 2 2 4 3 4 4" xfId="15414" xr:uid="{00000000-0005-0000-0000-00000C3C0000}"/>
    <cellStyle name="Normal 2 2 2 2 4 3 4 5" xfId="15415" xr:uid="{00000000-0005-0000-0000-00000D3C0000}"/>
    <cellStyle name="Normal 2 2 2 2 4 3 4 6" xfId="15416" xr:uid="{00000000-0005-0000-0000-00000E3C0000}"/>
    <cellStyle name="Normal 2 2 2 2 4 3 4 7" xfId="15417" xr:uid="{00000000-0005-0000-0000-00000F3C0000}"/>
    <cellStyle name="Normal 2 2 2 2 4 3 4 8" xfId="15418" xr:uid="{00000000-0005-0000-0000-0000103C0000}"/>
    <cellStyle name="Normal 2 2 2 2 4 3 4 9" xfId="15419" xr:uid="{00000000-0005-0000-0000-0000113C0000}"/>
    <cellStyle name="Normal 2 2 2 2 4 3 5" xfId="15420" xr:uid="{00000000-0005-0000-0000-0000123C0000}"/>
    <cellStyle name="Normal 2 2 2 2 4 3 5 10" xfId="15421" xr:uid="{00000000-0005-0000-0000-0000133C0000}"/>
    <cellStyle name="Normal 2 2 2 2 4 3 5 2" xfId="15422" xr:uid="{00000000-0005-0000-0000-0000143C0000}"/>
    <cellStyle name="Normal 2 2 2 2 4 3 5 3" xfId="15423" xr:uid="{00000000-0005-0000-0000-0000153C0000}"/>
    <cellStyle name="Normal 2 2 2 2 4 3 5 4" xfId="15424" xr:uid="{00000000-0005-0000-0000-0000163C0000}"/>
    <cellStyle name="Normal 2 2 2 2 4 3 5 5" xfId="15425" xr:uid="{00000000-0005-0000-0000-0000173C0000}"/>
    <cellStyle name="Normal 2 2 2 2 4 3 5 6" xfId="15426" xr:uid="{00000000-0005-0000-0000-0000183C0000}"/>
    <cellStyle name="Normal 2 2 2 2 4 3 5 7" xfId="15427" xr:uid="{00000000-0005-0000-0000-0000193C0000}"/>
    <cellStyle name="Normal 2 2 2 2 4 3 5 8" xfId="15428" xr:uid="{00000000-0005-0000-0000-00001A3C0000}"/>
    <cellStyle name="Normal 2 2 2 2 4 3 5 9" xfId="15429" xr:uid="{00000000-0005-0000-0000-00001B3C0000}"/>
    <cellStyle name="Normal 2 2 2 2 4 3 6" xfId="15430" xr:uid="{00000000-0005-0000-0000-00001C3C0000}"/>
    <cellStyle name="Normal 2 2 2 2 4 3 7" xfId="15431" xr:uid="{00000000-0005-0000-0000-00001D3C0000}"/>
    <cellStyle name="Normal 2 2 2 2 4 3 8" xfId="15432" xr:uid="{00000000-0005-0000-0000-00001E3C0000}"/>
    <cellStyle name="Normal 2 2 2 2 4 3 9" xfId="15433" xr:uid="{00000000-0005-0000-0000-00001F3C0000}"/>
    <cellStyle name="Normal 2 2 2 2 4 30" xfId="15434" xr:uid="{00000000-0005-0000-0000-0000203C0000}"/>
    <cellStyle name="Normal 2 2 2 2 4 30 10" xfId="15435" xr:uid="{00000000-0005-0000-0000-0000213C0000}"/>
    <cellStyle name="Normal 2 2 2 2 4 30 11" xfId="15436" xr:uid="{00000000-0005-0000-0000-0000223C0000}"/>
    <cellStyle name="Normal 2 2 2 2 4 30 12" xfId="15437" xr:uid="{00000000-0005-0000-0000-0000233C0000}"/>
    <cellStyle name="Normal 2 2 2 2 4 30 13" xfId="15438" xr:uid="{00000000-0005-0000-0000-0000243C0000}"/>
    <cellStyle name="Normal 2 2 2 2 4 30 14" xfId="15439" xr:uid="{00000000-0005-0000-0000-0000253C0000}"/>
    <cellStyle name="Normal 2 2 2 2 4 30 2" xfId="15440" xr:uid="{00000000-0005-0000-0000-0000263C0000}"/>
    <cellStyle name="Normal 2 2 2 2 4 30 2 10" xfId="15441" xr:uid="{00000000-0005-0000-0000-0000273C0000}"/>
    <cellStyle name="Normal 2 2 2 2 4 30 2 2" xfId="15442" xr:uid="{00000000-0005-0000-0000-0000283C0000}"/>
    <cellStyle name="Normal 2 2 2 2 4 30 2 3" xfId="15443" xr:uid="{00000000-0005-0000-0000-0000293C0000}"/>
    <cellStyle name="Normal 2 2 2 2 4 30 2 4" xfId="15444" xr:uid="{00000000-0005-0000-0000-00002A3C0000}"/>
    <cellStyle name="Normal 2 2 2 2 4 30 2 5" xfId="15445" xr:uid="{00000000-0005-0000-0000-00002B3C0000}"/>
    <cellStyle name="Normal 2 2 2 2 4 30 2 6" xfId="15446" xr:uid="{00000000-0005-0000-0000-00002C3C0000}"/>
    <cellStyle name="Normal 2 2 2 2 4 30 2 7" xfId="15447" xr:uid="{00000000-0005-0000-0000-00002D3C0000}"/>
    <cellStyle name="Normal 2 2 2 2 4 30 2 8" xfId="15448" xr:uid="{00000000-0005-0000-0000-00002E3C0000}"/>
    <cellStyle name="Normal 2 2 2 2 4 30 2 9" xfId="15449" xr:uid="{00000000-0005-0000-0000-00002F3C0000}"/>
    <cellStyle name="Normal 2 2 2 2 4 30 3" xfId="15450" xr:uid="{00000000-0005-0000-0000-0000303C0000}"/>
    <cellStyle name="Normal 2 2 2 2 4 30 3 10" xfId="15451" xr:uid="{00000000-0005-0000-0000-0000313C0000}"/>
    <cellStyle name="Normal 2 2 2 2 4 30 3 2" xfId="15452" xr:uid="{00000000-0005-0000-0000-0000323C0000}"/>
    <cellStyle name="Normal 2 2 2 2 4 30 3 3" xfId="15453" xr:uid="{00000000-0005-0000-0000-0000333C0000}"/>
    <cellStyle name="Normal 2 2 2 2 4 30 3 4" xfId="15454" xr:uid="{00000000-0005-0000-0000-0000343C0000}"/>
    <cellStyle name="Normal 2 2 2 2 4 30 3 5" xfId="15455" xr:uid="{00000000-0005-0000-0000-0000353C0000}"/>
    <cellStyle name="Normal 2 2 2 2 4 30 3 6" xfId="15456" xr:uid="{00000000-0005-0000-0000-0000363C0000}"/>
    <cellStyle name="Normal 2 2 2 2 4 30 3 7" xfId="15457" xr:uid="{00000000-0005-0000-0000-0000373C0000}"/>
    <cellStyle name="Normal 2 2 2 2 4 30 3 8" xfId="15458" xr:uid="{00000000-0005-0000-0000-0000383C0000}"/>
    <cellStyle name="Normal 2 2 2 2 4 30 3 9" xfId="15459" xr:uid="{00000000-0005-0000-0000-0000393C0000}"/>
    <cellStyle name="Normal 2 2 2 2 4 30 4" xfId="15460" xr:uid="{00000000-0005-0000-0000-00003A3C0000}"/>
    <cellStyle name="Normal 2 2 2 2 4 30 4 10" xfId="15461" xr:uid="{00000000-0005-0000-0000-00003B3C0000}"/>
    <cellStyle name="Normal 2 2 2 2 4 30 4 2" xfId="15462" xr:uid="{00000000-0005-0000-0000-00003C3C0000}"/>
    <cellStyle name="Normal 2 2 2 2 4 30 4 3" xfId="15463" xr:uid="{00000000-0005-0000-0000-00003D3C0000}"/>
    <cellStyle name="Normal 2 2 2 2 4 30 4 4" xfId="15464" xr:uid="{00000000-0005-0000-0000-00003E3C0000}"/>
    <cellStyle name="Normal 2 2 2 2 4 30 4 5" xfId="15465" xr:uid="{00000000-0005-0000-0000-00003F3C0000}"/>
    <cellStyle name="Normal 2 2 2 2 4 30 4 6" xfId="15466" xr:uid="{00000000-0005-0000-0000-0000403C0000}"/>
    <cellStyle name="Normal 2 2 2 2 4 30 4 7" xfId="15467" xr:uid="{00000000-0005-0000-0000-0000413C0000}"/>
    <cellStyle name="Normal 2 2 2 2 4 30 4 8" xfId="15468" xr:uid="{00000000-0005-0000-0000-0000423C0000}"/>
    <cellStyle name="Normal 2 2 2 2 4 30 4 9" xfId="15469" xr:uid="{00000000-0005-0000-0000-0000433C0000}"/>
    <cellStyle name="Normal 2 2 2 2 4 30 5" xfId="15470" xr:uid="{00000000-0005-0000-0000-0000443C0000}"/>
    <cellStyle name="Normal 2 2 2 2 4 30 5 10" xfId="15471" xr:uid="{00000000-0005-0000-0000-0000453C0000}"/>
    <cellStyle name="Normal 2 2 2 2 4 30 5 2" xfId="15472" xr:uid="{00000000-0005-0000-0000-0000463C0000}"/>
    <cellStyle name="Normal 2 2 2 2 4 30 5 3" xfId="15473" xr:uid="{00000000-0005-0000-0000-0000473C0000}"/>
    <cellStyle name="Normal 2 2 2 2 4 30 5 4" xfId="15474" xr:uid="{00000000-0005-0000-0000-0000483C0000}"/>
    <cellStyle name="Normal 2 2 2 2 4 30 5 5" xfId="15475" xr:uid="{00000000-0005-0000-0000-0000493C0000}"/>
    <cellStyle name="Normal 2 2 2 2 4 30 5 6" xfId="15476" xr:uid="{00000000-0005-0000-0000-00004A3C0000}"/>
    <cellStyle name="Normal 2 2 2 2 4 30 5 7" xfId="15477" xr:uid="{00000000-0005-0000-0000-00004B3C0000}"/>
    <cellStyle name="Normal 2 2 2 2 4 30 5 8" xfId="15478" xr:uid="{00000000-0005-0000-0000-00004C3C0000}"/>
    <cellStyle name="Normal 2 2 2 2 4 30 5 9" xfId="15479" xr:uid="{00000000-0005-0000-0000-00004D3C0000}"/>
    <cellStyle name="Normal 2 2 2 2 4 30 6" xfId="15480" xr:uid="{00000000-0005-0000-0000-00004E3C0000}"/>
    <cellStyle name="Normal 2 2 2 2 4 30 7" xfId="15481" xr:uid="{00000000-0005-0000-0000-00004F3C0000}"/>
    <cellStyle name="Normal 2 2 2 2 4 30 8" xfId="15482" xr:uid="{00000000-0005-0000-0000-0000503C0000}"/>
    <cellStyle name="Normal 2 2 2 2 4 30 9" xfId="15483" xr:uid="{00000000-0005-0000-0000-0000513C0000}"/>
    <cellStyle name="Normal 2 2 2 2 4 31" xfId="15484" xr:uid="{00000000-0005-0000-0000-0000523C0000}"/>
    <cellStyle name="Normal 2 2 2 2 4 31 10" xfId="15485" xr:uid="{00000000-0005-0000-0000-0000533C0000}"/>
    <cellStyle name="Normal 2 2 2 2 4 31 11" xfId="15486" xr:uid="{00000000-0005-0000-0000-0000543C0000}"/>
    <cellStyle name="Normal 2 2 2 2 4 31 12" xfId="15487" xr:uid="{00000000-0005-0000-0000-0000553C0000}"/>
    <cellStyle name="Normal 2 2 2 2 4 31 13" xfId="15488" xr:uid="{00000000-0005-0000-0000-0000563C0000}"/>
    <cellStyle name="Normal 2 2 2 2 4 31 14" xfId="15489" xr:uid="{00000000-0005-0000-0000-0000573C0000}"/>
    <cellStyle name="Normal 2 2 2 2 4 31 2" xfId="15490" xr:uid="{00000000-0005-0000-0000-0000583C0000}"/>
    <cellStyle name="Normal 2 2 2 2 4 31 2 10" xfId="15491" xr:uid="{00000000-0005-0000-0000-0000593C0000}"/>
    <cellStyle name="Normal 2 2 2 2 4 31 2 2" xfId="15492" xr:uid="{00000000-0005-0000-0000-00005A3C0000}"/>
    <cellStyle name="Normal 2 2 2 2 4 31 2 3" xfId="15493" xr:uid="{00000000-0005-0000-0000-00005B3C0000}"/>
    <cellStyle name="Normal 2 2 2 2 4 31 2 4" xfId="15494" xr:uid="{00000000-0005-0000-0000-00005C3C0000}"/>
    <cellStyle name="Normal 2 2 2 2 4 31 2 5" xfId="15495" xr:uid="{00000000-0005-0000-0000-00005D3C0000}"/>
    <cellStyle name="Normal 2 2 2 2 4 31 2 6" xfId="15496" xr:uid="{00000000-0005-0000-0000-00005E3C0000}"/>
    <cellStyle name="Normal 2 2 2 2 4 31 2 7" xfId="15497" xr:uid="{00000000-0005-0000-0000-00005F3C0000}"/>
    <cellStyle name="Normal 2 2 2 2 4 31 2 8" xfId="15498" xr:uid="{00000000-0005-0000-0000-0000603C0000}"/>
    <cellStyle name="Normal 2 2 2 2 4 31 2 9" xfId="15499" xr:uid="{00000000-0005-0000-0000-0000613C0000}"/>
    <cellStyle name="Normal 2 2 2 2 4 31 3" xfId="15500" xr:uid="{00000000-0005-0000-0000-0000623C0000}"/>
    <cellStyle name="Normal 2 2 2 2 4 31 3 10" xfId="15501" xr:uid="{00000000-0005-0000-0000-0000633C0000}"/>
    <cellStyle name="Normal 2 2 2 2 4 31 3 2" xfId="15502" xr:uid="{00000000-0005-0000-0000-0000643C0000}"/>
    <cellStyle name="Normal 2 2 2 2 4 31 3 3" xfId="15503" xr:uid="{00000000-0005-0000-0000-0000653C0000}"/>
    <cellStyle name="Normal 2 2 2 2 4 31 3 4" xfId="15504" xr:uid="{00000000-0005-0000-0000-0000663C0000}"/>
    <cellStyle name="Normal 2 2 2 2 4 31 3 5" xfId="15505" xr:uid="{00000000-0005-0000-0000-0000673C0000}"/>
    <cellStyle name="Normal 2 2 2 2 4 31 3 6" xfId="15506" xr:uid="{00000000-0005-0000-0000-0000683C0000}"/>
    <cellStyle name="Normal 2 2 2 2 4 31 3 7" xfId="15507" xr:uid="{00000000-0005-0000-0000-0000693C0000}"/>
    <cellStyle name="Normal 2 2 2 2 4 31 3 8" xfId="15508" xr:uid="{00000000-0005-0000-0000-00006A3C0000}"/>
    <cellStyle name="Normal 2 2 2 2 4 31 3 9" xfId="15509" xr:uid="{00000000-0005-0000-0000-00006B3C0000}"/>
    <cellStyle name="Normal 2 2 2 2 4 31 4" xfId="15510" xr:uid="{00000000-0005-0000-0000-00006C3C0000}"/>
    <cellStyle name="Normal 2 2 2 2 4 31 4 10" xfId="15511" xr:uid="{00000000-0005-0000-0000-00006D3C0000}"/>
    <cellStyle name="Normal 2 2 2 2 4 31 4 2" xfId="15512" xr:uid="{00000000-0005-0000-0000-00006E3C0000}"/>
    <cellStyle name="Normal 2 2 2 2 4 31 4 3" xfId="15513" xr:uid="{00000000-0005-0000-0000-00006F3C0000}"/>
    <cellStyle name="Normal 2 2 2 2 4 31 4 4" xfId="15514" xr:uid="{00000000-0005-0000-0000-0000703C0000}"/>
    <cellStyle name="Normal 2 2 2 2 4 31 4 5" xfId="15515" xr:uid="{00000000-0005-0000-0000-0000713C0000}"/>
    <cellStyle name="Normal 2 2 2 2 4 31 4 6" xfId="15516" xr:uid="{00000000-0005-0000-0000-0000723C0000}"/>
    <cellStyle name="Normal 2 2 2 2 4 31 4 7" xfId="15517" xr:uid="{00000000-0005-0000-0000-0000733C0000}"/>
    <cellStyle name="Normal 2 2 2 2 4 31 4 8" xfId="15518" xr:uid="{00000000-0005-0000-0000-0000743C0000}"/>
    <cellStyle name="Normal 2 2 2 2 4 31 4 9" xfId="15519" xr:uid="{00000000-0005-0000-0000-0000753C0000}"/>
    <cellStyle name="Normal 2 2 2 2 4 31 5" xfId="15520" xr:uid="{00000000-0005-0000-0000-0000763C0000}"/>
    <cellStyle name="Normal 2 2 2 2 4 31 5 10" xfId="15521" xr:uid="{00000000-0005-0000-0000-0000773C0000}"/>
    <cellStyle name="Normal 2 2 2 2 4 31 5 2" xfId="15522" xr:uid="{00000000-0005-0000-0000-0000783C0000}"/>
    <cellStyle name="Normal 2 2 2 2 4 31 5 3" xfId="15523" xr:uid="{00000000-0005-0000-0000-0000793C0000}"/>
    <cellStyle name="Normal 2 2 2 2 4 31 5 4" xfId="15524" xr:uid="{00000000-0005-0000-0000-00007A3C0000}"/>
    <cellStyle name="Normal 2 2 2 2 4 31 5 5" xfId="15525" xr:uid="{00000000-0005-0000-0000-00007B3C0000}"/>
    <cellStyle name="Normal 2 2 2 2 4 31 5 6" xfId="15526" xr:uid="{00000000-0005-0000-0000-00007C3C0000}"/>
    <cellStyle name="Normal 2 2 2 2 4 31 5 7" xfId="15527" xr:uid="{00000000-0005-0000-0000-00007D3C0000}"/>
    <cellStyle name="Normal 2 2 2 2 4 31 5 8" xfId="15528" xr:uid="{00000000-0005-0000-0000-00007E3C0000}"/>
    <cellStyle name="Normal 2 2 2 2 4 31 5 9" xfId="15529" xr:uid="{00000000-0005-0000-0000-00007F3C0000}"/>
    <cellStyle name="Normal 2 2 2 2 4 31 6" xfId="15530" xr:uid="{00000000-0005-0000-0000-0000803C0000}"/>
    <cellStyle name="Normal 2 2 2 2 4 31 7" xfId="15531" xr:uid="{00000000-0005-0000-0000-0000813C0000}"/>
    <cellStyle name="Normal 2 2 2 2 4 31 8" xfId="15532" xr:uid="{00000000-0005-0000-0000-0000823C0000}"/>
    <cellStyle name="Normal 2 2 2 2 4 31 9" xfId="15533" xr:uid="{00000000-0005-0000-0000-0000833C0000}"/>
    <cellStyle name="Normal 2 2 2 2 4 32" xfId="15534" xr:uid="{00000000-0005-0000-0000-0000843C0000}"/>
    <cellStyle name="Normal 2 2 2 2 4 32 10" xfId="15535" xr:uid="{00000000-0005-0000-0000-0000853C0000}"/>
    <cellStyle name="Normal 2 2 2 2 4 32 11" xfId="15536" xr:uid="{00000000-0005-0000-0000-0000863C0000}"/>
    <cellStyle name="Normal 2 2 2 2 4 32 12" xfId="15537" xr:uid="{00000000-0005-0000-0000-0000873C0000}"/>
    <cellStyle name="Normal 2 2 2 2 4 32 13" xfId="15538" xr:uid="{00000000-0005-0000-0000-0000883C0000}"/>
    <cellStyle name="Normal 2 2 2 2 4 32 14" xfId="15539" xr:uid="{00000000-0005-0000-0000-0000893C0000}"/>
    <cellStyle name="Normal 2 2 2 2 4 32 2" xfId="15540" xr:uid="{00000000-0005-0000-0000-00008A3C0000}"/>
    <cellStyle name="Normal 2 2 2 2 4 32 2 10" xfId="15541" xr:uid="{00000000-0005-0000-0000-00008B3C0000}"/>
    <cellStyle name="Normal 2 2 2 2 4 32 2 2" xfId="15542" xr:uid="{00000000-0005-0000-0000-00008C3C0000}"/>
    <cellStyle name="Normal 2 2 2 2 4 32 2 3" xfId="15543" xr:uid="{00000000-0005-0000-0000-00008D3C0000}"/>
    <cellStyle name="Normal 2 2 2 2 4 32 2 4" xfId="15544" xr:uid="{00000000-0005-0000-0000-00008E3C0000}"/>
    <cellStyle name="Normal 2 2 2 2 4 32 2 5" xfId="15545" xr:uid="{00000000-0005-0000-0000-00008F3C0000}"/>
    <cellStyle name="Normal 2 2 2 2 4 32 2 6" xfId="15546" xr:uid="{00000000-0005-0000-0000-0000903C0000}"/>
    <cellStyle name="Normal 2 2 2 2 4 32 2 7" xfId="15547" xr:uid="{00000000-0005-0000-0000-0000913C0000}"/>
    <cellStyle name="Normal 2 2 2 2 4 32 2 8" xfId="15548" xr:uid="{00000000-0005-0000-0000-0000923C0000}"/>
    <cellStyle name="Normal 2 2 2 2 4 32 2 9" xfId="15549" xr:uid="{00000000-0005-0000-0000-0000933C0000}"/>
    <cellStyle name="Normal 2 2 2 2 4 32 3" xfId="15550" xr:uid="{00000000-0005-0000-0000-0000943C0000}"/>
    <cellStyle name="Normal 2 2 2 2 4 32 3 10" xfId="15551" xr:uid="{00000000-0005-0000-0000-0000953C0000}"/>
    <cellStyle name="Normal 2 2 2 2 4 32 3 2" xfId="15552" xr:uid="{00000000-0005-0000-0000-0000963C0000}"/>
    <cellStyle name="Normal 2 2 2 2 4 32 3 3" xfId="15553" xr:uid="{00000000-0005-0000-0000-0000973C0000}"/>
    <cellStyle name="Normal 2 2 2 2 4 32 3 4" xfId="15554" xr:uid="{00000000-0005-0000-0000-0000983C0000}"/>
    <cellStyle name="Normal 2 2 2 2 4 32 3 5" xfId="15555" xr:uid="{00000000-0005-0000-0000-0000993C0000}"/>
    <cellStyle name="Normal 2 2 2 2 4 32 3 6" xfId="15556" xr:uid="{00000000-0005-0000-0000-00009A3C0000}"/>
    <cellStyle name="Normal 2 2 2 2 4 32 3 7" xfId="15557" xr:uid="{00000000-0005-0000-0000-00009B3C0000}"/>
    <cellStyle name="Normal 2 2 2 2 4 32 3 8" xfId="15558" xr:uid="{00000000-0005-0000-0000-00009C3C0000}"/>
    <cellStyle name="Normal 2 2 2 2 4 32 3 9" xfId="15559" xr:uid="{00000000-0005-0000-0000-00009D3C0000}"/>
    <cellStyle name="Normal 2 2 2 2 4 32 4" xfId="15560" xr:uid="{00000000-0005-0000-0000-00009E3C0000}"/>
    <cellStyle name="Normal 2 2 2 2 4 32 4 10" xfId="15561" xr:uid="{00000000-0005-0000-0000-00009F3C0000}"/>
    <cellStyle name="Normal 2 2 2 2 4 32 4 2" xfId="15562" xr:uid="{00000000-0005-0000-0000-0000A03C0000}"/>
    <cellStyle name="Normal 2 2 2 2 4 32 4 3" xfId="15563" xr:uid="{00000000-0005-0000-0000-0000A13C0000}"/>
    <cellStyle name="Normal 2 2 2 2 4 32 4 4" xfId="15564" xr:uid="{00000000-0005-0000-0000-0000A23C0000}"/>
    <cellStyle name="Normal 2 2 2 2 4 32 4 5" xfId="15565" xr:uid="{00000000-0005-0000-0000-0000A33C0000}"/>
    <cellStyle name="Normal 2 2 2 2 4 32 4 6" xfId="15566" xr:uid="{00000000-0005-0000-0000-0000A43C0000}"/>
    <cellStyle name="Normal 2 2 2 2 4 32 4 7" xfId="15567" xr:uid="{00000000-0005-0000-0000-0000A53C0000}"/>
    <cellStyle name="Normal 2 2 2 2 4 32 4 8" xfId="15568" xr:uid="{00000000-0005-0000-0000-0000A63C0000}"/>
    <cellStyle name="Normal 2 2 2 2 4 32 4 9" xfId="15569" xr:uid="{00000000-0005-0000-0000-0000A73C0000}"/>
    <cellStyle name="Normal 2 2 2 2 4 32 5" xfId="15570" xr:uid="{00000000-0005-0000-0000-0000A83C0000}"/>
    <cellStyle name="Normal 2 2 2 2 4 32 5 10" xfId="15571" xr:uid="{00000000-0005-0000-0000-0000A93C0000}"/>
    <cellStyle name="Normal 2 2 2 2 4 32 5 2" xfId="15572" xr:uid="{00000000-0005-0000-0000-0000AA3C0000}"/>
    <cellStyle name="Normal 2 2 2 2 4 32 5 3" xfId="15573" xr:uid="{00000000-0005-0000-0000-0000AB3C0000}"/>
    <cellStyle name="Normal 2 2 2 2 4 32 5 4" xfId="15574" xr:uid="{00000000-0005-0000-0000-0000AC3C0000}"/>
    <cellStyle name="Normal 2 2 2 2 4 32 5 5" xfId="15575" xr:uid="{00000000-0005-0000-0000-0000AD3C0000}"/>
    <cellStyle name="Normal 2 2 2 2 4 32 5 6" xfId="15576" xr:uid="{00000000-0005-0000-0000-0000AE3C0000}"/>
    <cellStyle name="Normal 2 2 2 2 4 32 5 7" xfId="15577" xr:uid="{00000000-0005-0000-0000-0000AF3C0000}"/>
    <cellStyle name="Normal 2 2 2 2 4 32 5 8" xfId="15578" xr:uid="{00000000-0005-0000-0000-0000B03C0000}"/>
    <cellStyle name="Normal 2 2 2 2 4 32 5 9" xfId="15579" xr:uid="{00000000-0005-0000-0000-0000B13C0000}"/>
    <cellStyle name="Normal 2 2 2 2 4 32 6" xfId="15580" xr:uid="{00000000-0005-0000-0000-0000B23C0000}"/>
    <cellStyle name="Normal 2 2 2 2 4 32 7" xfId="15581" xr:uid="{00000000-0005-0000-0000-0000B33C0000}"/>
    <cellStyle name="Normal 2 2 2 2 4 32 8" xfId="15582" xr:uid="{00000000-0005-0000-0000-0000B43C0000}"/>
    <cellStyle name="Normal 2 2 2 2 4 32 9" xfId="15583" xr:uid="{00000000-0005-0000-0000-0000B53C0000}"/>
    <cellStyle name="Normal 2 2 2 2 4 33" xfId="15584" xr:uid="{00000000-0005-0000-0000-0000B63C0000}"/>
    <cellStyle name="Normal 2 2 2 2 4 33 10" xfId="15585" xr:uid="{00000000-0005-0000-0000-0000B73C0000}"/>
    <cellStyle name="Normal 2 2 2 2 4 33 11" xfId="15586" xr:uid="{00000000-0005-0000-0000-0000B83C0000}"/>
    <cellStyle name="Normal 2 2 2 2 4 33 12" xfId="15587" xr:uid="{00000000-0005-0000-0000-0000B93C0000}"/>
    <cellStyle name="Normal 2 2 2 2 4 33 13" xfId="15588" xr:uid="{00000000-0005-0000-0000-0000BA3C0000}"/>
    <cellStyle name="Normal 2 2 2 2 4 33 14" xfId="15589" xr:uid="{00000000-0005-0000-0000-0000BB3C0000}"/>
    <cellStyle name="Normal 2 2 2 2 4 33 2" xfId="15590" xr:uid="{00000000-0005-0000-0000-0000BC3C0000}"/>
    <cellStyle name="Normal 2 2 2 2 4 33 2 10" xfId="15591" xr:uid="{00000000-0005-0000-0000-0000BD3C0000}"/>
    <cellStyle name="Normal 2 2 2 2 4 33 2 2" xfId="15592" xr:uid="{00000000-0005-0000-0000-0000BE3C0000}"/>
    <cellStyle name="Normal 2 2 2 2 4 33 2 3" xfId="15593" xr:uid="{00000000-0005-0000-0000-0000BF3C0000}"/>
    <cellStyle name="Normal 2 2 2 2 4 33 2 4" xfId="15594" xr:uid="{00000000-0005-0000-0000-0000C03C0000}"/>
    <cellStyle name="Normal 2 2 2 2 4 33 2 5" xfId="15595" xr:uid="{00000000-0005-0000-0000-0000C13C0000}"/>
    <cellStyle name="Normal 2 2 2 2 4 33 2 6" xfId="15596" xr:uid="{00000000-0005-0000-0000-0000C23C0000}"/>
    <cellStyle name="Normal 2 2 2 2 4 33 2 7" xfId="15597" xr:uid="{00000000-0005-0000-0000-0000C33C0000}"/>
    <cellStyle name="Normal 2 2 2 2 4 33 2 8" xfId="15598" xr:uid="{00000000-0005-0000-0000-0000C43C0000}"/>
    <cellStyle name="Normal 2 2 2 2 4 33 2 9" xfId="15599" xr:uid="{00000000-0005-0000-0000-0000C53C0000}"/>
    <cellStyle name="Normal 2 2 2 2 4 33 3" xfId="15600" xr:uid="{00000000-0005-0000-0000-0000C63C0000}"/>
    <cellStyle name="Normal 2 2 2 2 4 33 3 10" xfId="15601" xr:uid="{00000000-0005-0000-0000-0000C73C0000}"/>
    <cellStyle name="Normal 2 2 2 2 4 33 3 2" xfId="15602" xr:uid="{00000000-0005-0000-0000-0000C83C0000}"/>
    <cellStyle name="Normal 2 2 2 2 4 33 3 3" xfId="15603" xr:uid="{00000000-0005-0000-0000-0000C93C0000}"/>
    <cellStyle name="Normal 2 2 2 2 4 33 3 4" xfId="15604" xr:uid="{00000000-0005-0000-0000-0000CA3C0000}"/>
    <cellStyle name="Normal 2 2 2 2 4 33 3 5" xfId="15605" xr:uid="{00000000-0005-0000-0000-0000CB3C0000}"/>
    <cellStyle name="Normal 2 2 2 2 4 33 3 6" xfId="15606" xr:uid="{00000000-0005-0000-0000-0000CC3C0000}"/>
    <cellStyle name="Normal 2 2 2 2 4 33 3 7" xfId="15607" xr:uid="{00000000-0005-0000-0000-0000CD3C0000}"/>
    <cellStyle name="Normal 2 2 2 2 4 33 3 8" xfId="15608" xr:uid="{00000000-0005-0000-0000-0000CE3C0000}"/>
    <cellStyle name="Normal 2 2 2 2 4 33 3 9" xfId="15609" xr:uid="{00000000-0005-0000-0000-0000CF3C0000}"/>
    <cellStyle name="Normal 2 2 2 2 4 33 4" xfId="15610" xr:uid="{00000000-0005-0000-0000-0000D03C0000}"/>
    <cellStyle name="Normal 2 2 2 2 4 33 4 10" xfId="15611" xr:uid="{00000000-0005-0000-0000-0000D13C0000}"/>
    <cellStyle name="Normal 2 2 2 2 4 33 4 2" xfId="15612" xr:uid="{00000000-0005-0000-0000-0000D23C0000}"/>
    <cellStyle name="Normal 2 2 2 2 4 33 4 3" xfId="15613" xr:uid="{00000000-0005-0000-0000-0000D33C0000}"/>
    <cellStyle name="Normal 2 2 2 2 4 33 4 4" xfId="15614" xr:uid="{00000000-0005-0000-0000-0000D43C0000}"/>
    <cellStyle name="Normal 2 2 2 2 4 33 4 5" xfId="15615" xr:uid="{00000000-0005-0000-0000-0000D53C0000}"/>
    <cellStyle name="Normal 2 2 2 2 4 33 4 6" xfId="15616" xr:uid="{00000000-0005-0000-0000-0000D63C0000}"/>
    <cellStyle name="Normal 2 2 2 2 4 33 4 7" xfId="15617" xr:uid="{00000000-0005-0000-0000-0000D73C0000}"/>
    <cellStyle name="Normal 2 2 2 2 4 33 4 8" xfId="15618" xr:uid="{00000000-0005-0000-0000-0000D83C0000}"/>
    <cellStyle name="Normal 2 2 2 2 4 33 4 9" xfId="15619" xr:uid="{00000000-0005-0000-0000-0000D93C0000}"/>
    <cellStyle name="Normal 2 2 2 2 4 33 5" xfId="15620" xr:uid="{00000000-0005-0000-0000-0000DA3C0000}"/>
    <cellStyle name="Normal 2 2 2 2 4 33 5 10" xfId="15621" xr:uid="{00000000-0005-0000-0000-0000DB3C0000}"/>
    <cellStyle name="Normal 2 2 2 2 4 33 5 2" xfId="15622" xr:uid="{00000000-0005-0000-0000-0000DC3C0000}"/>
    <cellStyle name="Normal 2 2 2 2 4 33 5 3" xfId="15623" xr:uid="{00000000-0005-0000-0000-0000DD3C0000}"/>
    <cellStyle name="Normal 2 2 2 2 4 33 5 4" xfId="15624" xr:uid="{00000000-0005-0000-0000-0000DE3C0000}"/>
    <cellStyle name="Normal 2 2 2 2 4 33 5 5" xfId="15625" xr:uid="{00000000-0005-0000-0000-0000DF3C0000}"/>
    <cellStyle name="Normal 2 2 2 2 4 33 5 6" xfId="15626" xr:uid="{00000000-0005-0000-0000-0000E03C0000}"/>
    <cellStyle name="Normal 2 2 2 2 4 33 5 7" xfId="15627" xr:uid="{00000000-0005-0000-0000-0000E13C0000}"/>
    <cellStyle name="Normal 2 2 2 2 4 33 5 8" xfId="15628" xr:uid="{00000000-0005-0000-0000-0000E23C0000}"/>
    <cellStyle name="Normal 2 2 2 2 4 33 5 9" xfId="15629" xr:uid="{00000000-0005-0000-0000-0000E33C0000}"/>
    <cellStyle name="Normal 2 2 2 2 4 33 6" xfId="15630" xr:uid="{00000000-0005-0000-0000-0000E43C0000}"/>
    <cellStyle name="Normal 2 2 2 2 4 33 7" xfId="15631" xr:uid="{00000000-0005-0000-0000-0000E53C0000}"/>
    <cellStyle name="Normal 2 2 2 2 4 33 8" xfId="15632" xr:uid="{00000000-0005-0000-0000-0000E63C0000}"/>
    <cellStyle name="Normal 2 2 2 2 4 33 9" xfId="15633" xr:uid="{00000000-0005-0000-0000-0000E73C0000}"/>
    <cellStyle name="Normal 2 2 2 2 4 34" xfId="15634" xr:uid="{00000000-0005-0000-0000-0000E83C0000}"/>
    <cellStyle name="Normal 2 2 2 2 4 35" xfId="15635" xr:uid="{00000000-0005-0000-0000-0000E93C0000}"/>
    <cellStyle name="Normal 2 2 2 2 4 4" xfId="15636" xr:uid="{00000000-0005-0000-0000-0000EA3C0000}"/>
    <cellStyle name="Normal 2 2 2 2 4 4 10" xfId="15637" xr:uid="{00000000-0005-0000-0000-0000EB3C0000}"/>
    <cellStyle name="Normal 2 2 2 2 4 4 11" xfId="15638" xr:uid="{00000000-0005-0000-0000-0000EC3C0000}"/>
    <cellStyle name="Normal 2 2 2 2 4 4 12" xfId="15639" xr:uid="{00000000-0005-0000-0000-0000ED3C0000}"/>
    <cellStyle name="Normal 2 2 2 2 4 4 13" xfId="15640" xr:uid="{00000000-0005-0000-0000-0000EE3C0000}"/>
    <cellStyle name="Normal 2 2 2 2 4 4 14" xfId="15641" xr:uid="{00000000-0005-0000-0000-0000EF3C0000}"/>
    <cellStyle name="Normal 2 2 2 2 4 4 2" xfId="15642" xr:uid="{00000000-0005-0000-0000-0000F03C0000}"/>
    <cellStyle name="Normal 2 2 2 2 4 4 2 10" xfId="15643" xr:uid="{00000000-0005-0000-0000-0000F13C0000}"/>
    <cellStyle name="Normal 2 2 2 2 4 4 2 2" xfId="15644" xr:uid="{00000000-0005-0000-0000-0000F23C0000}"/>
    <cellStyle name="Normal 2 2 2 2 4 4 2 3" xfId="15645" xr:uid="{00000000-0005-0000-0000-0000F33C0000}"/>
    <cellStyle name="Normal 2 2 2 2 4 4 2 4" xfId="15646" xr:uid="{00000000-0005-0000-0000-0000F43C0000}"/>
    <cellStyle name="Normal 2 2 2 2 4 4 2 5" xfId="15647" xr:uid="{00000000-0005-0000-0000-0000F53C0000}"/>
    <cellStyle name="Normal 2 2 2 2 4 4 2 6" xfId="15648" xr:uid="{00000000-0005-0000-0000-0000F63C0000}"/>
    <cellStyle name="Normal 2 2 2 2 4 4 2 7" xfId="15649" xr:uid="{00000000-0005-0000-0000-0000F73C0000}"/>
    <cellStyle name="Normal 2 2 2 2 4 4 2 8" xfId="15650" xr:uid="{00000000-0005-0000-0000-0000F83C0000}"/>
    <cellStyle name="Normal 2 2 2 2 4 4 2 9" xfId="15651" xr:uid="{00000000-0005-0000-0000-0000F93C0000}"/>
    <cellStyle name="Normal 2 2 2 2 4 4 3" xfId="15652" xr:uid="{00000000-0005-0000-0000-0000FA3C0000}"/>
    <cellStyle name="Normal 2 2 2 2 4 4 3 10" xfId="15653" xr:uid="{00000000-0005-0000-0000-0000FB3C0000}"/>
    <cellStyle name="Normal 2 2 2 2 4 4 3 2" xfId="15654" xr:uid="{00000000-0005-0000-0000-0000FC3C0000}"/>
    <cellStyle name="Normal 2 2 2 2 4 4 3 3" xfId="15655" xr:uid="{00000000-0005-0000-0000-0000FD3C0000}"/>
    <cellStyle name="Normal 2 2 2 2 4 4 3 4" xfId="15656" xr:uid="{00000000-0005-0000-0000-0000FE3C0000}"/>
    <cellStyle name="Normal 2 2 2 2 4 4 3 5" xfId="15657" xr:uid="{00000000-0005-0000-0000-0000FF3C0000}"/>
    <cellStyle name="Normal 2 2 2 2 4 4 3 6" xfId="15658" xr:uid="{00000000-0005-0000-0000-0000003D0000}"/>
    <cellStyle name="Normal 2 2 2 2 4 4 3 7" xfId="15659" xr:uid="{00000000-0005-0000-0000-0000013D0000}"/>
    <cellStyle name="Normal 2 2 2 2 4 4 3 8" xfId="15660" xr:uid="{00000000-0005-0000-0000-0000023D0000}"/>
    <cellStyle name="Normal 2 2 2 2 4 4 3 9" xfId="15661" xr:uid="{00000000-0005-0000-0000-0000033D0000}"/>
    <cellStyle name="Normal 2 2 2 2 4 4 4" xfId="15662" xr:uid="{00000000-0005-0000-0000-0000043D0000}"/>
    <cellStyle name="Normal 2 2 2 2 4 4 4 10" xfId="15663" xr:uid="{00000000-0005-0000-0000-0000053D0000}"/>
    <cellStyle name="Normal 2 2 2 2 4 4 4 2" xfId="15664" xr:uid="{00000000-0005-0000-0000-0000063D0000}"/>
    <cellStyle name="Normal 2 2 2 2 4 4 4 3" xfId="15665" xr:uid="{00000000-0005-0000-0000-0000073D0000}"/>
    <cellStyle name="Normal 2 2 2 2 4 4 4 4" xfId="15666" xr:uid="{00000000-0005-0000-0000-0000083D0000}"/>
    <cellStyle name="Normal 2 2 2 2 4 4 4 5" xfId="15667" xr:uid="{00000000-0005-0000-0000-0000093D0000}"/>
    <cellStyle name="Normal 2 2 2 2 4 4 4 6" xfId="15668" xr:uid="{00000000-0005-0000-0000-00000A3D0000}"/>
    <cellStyle name="Normal 2 2 2 2 4 4 4 7" xfId="15669" xr:uid="{00000000-0005-0000-0000-00000B3D0000}"/>
    <cellStyle name="Normal 2 2 2 2 4 4 4 8" xfId="15670" xr:uid="{00000000-0005-0000-0000-00000C3D0000}"/>
    <cellStyle name="Normal 2 2 2 2 4 4 4 9" xfId="15671" xr:uid="{00000000-0005-0000-0000-00000D3D0000}"/>
    <cellStyle name="Normal 2 2 2 2 4 4 5" xfId="15672" xr:uid="{00000000-0005-0000-0000-00000E3D0000}"/>
    <cellStyle name="Normal 2 2 2 2 4 4 5 10" xfId="15673" xr:uid="{00000000-0005-0000-0000-00000F3D0000}"/>
    <cellStyle name="Normal 2 2 2 2 4 4 5 2" xfId="15674" xr:uid="{00000000-0005-0000-0000-0000103D0000}"/>
    <cellStyle name="Normal 2 2 2 2 4 4 5 3" xfId="15675" xr:uid="{00000000-0005-0000-0000-0000113D0000}"/>
    <cellStyle name="Normal 2 2 2 2 4 4 5 4" xfId="15676" xr:uid="{00000000-0005-0000-0000-0000123D0000}"/>
    <cellStyle name="Normal 2 2 2 2 4 4 5 5" xfId="15677" xr:uid="{00000000-0005-0000-0000-0000133D0000}"/>
    <cellStyle name="Normal 2 2 2 2 4 4 5 6" xfId="15678" xr:uid="{00000000-0005-0000-0000-0000143D0000}"/>
    <cellStyle name="Normal 2 2 2 2 4 4 5 7" xfId="15679" xr:uid="{00000000-0005-0000-0000-0000153D0000}"/>
    <cellStyle name="Normal 2 2 2 2 4 4 5 8" xfId="15680" xr:uid="{00000000-0005-0000-0000-0000163D0000}"/>
    <cellStyle name="Normal 2 2 2 2 4 4 5 9" xfId="15681" xr:uid="{00000000-0005-0000-0000-0000173D0000}"/>
    <cellStyle name="Normal 2 2 2 2 4 4 6" xfId="15682" xr:uid="{00000000-0005-0000-0000-0000183D0000}"/>
    <cellStyle name="Normal 2 2 2 2 4 4 7" xfId="15683" xr:uid="{00000000-0005-0000-0000-0000193D0000}"/>
    <cellStyle name="Normal 2 2 2 2 4 4 8" xfId="15684" xr:uid="{00000000-0005-0000-0000-00001A3D0000}"/>
    <cellStyle name="Normal 2 2 2 2 4 4 9" xfId="15685" xr:uid="{00000000-0005-0000-0000-00001B3D0000}"/>
    <cellStyle name="Normal 2 2 2 2 4 5" xfId="15686" xr:uid="{00000000-0005-0000-0000-00001C3D0000}"/>
    <cellStyle name="Normal 2 2 2 2 4 5 10" xfId="15687" xr:uid="{00000000-0005-0000-0000-00001D3D0000}"/>
    <cellStyle name="Normal 2 2 2 2 4 5 11" xfId="15688" xr:uid="{00000000-0005-0000-0000-00001E3D0000}"/>
    <cellStyle name="Normal 2 2 2 2 4 5 12" xfId="15689" xr:uid="{00000000-0005-0000-0000-00001F3D0000}"/>
    <cellStyle name="Normal 2 2 2 2 4 5 13" xfId="15690" xr:uid="{00000000-0005-0000-0000-0000203D0000}"/>
    <cellStyle name="Normal 2 2 2 2 4 5 14" xfId="15691" xr:uid="{00000000-0005-0000-0000-0000213D0000}"/>
    <cellStyle name="Normal 2 2 2 2 4 5 2" xfId="15692" xr:uid="{00000000-0005-0000-0000-0000223D0000}"/>
    <cellStyle name="Normal 2 2 2 2 4 5 2 10" xfId="15693" xr:uid="{00000000-0005-0000-0000-0000233D0000}"/>
    <cellStyle name="Normal 2 2 2 2 4 5 2 2" xfId="15694" xr:uid="{00000000-0005-0000-0000-0000243D0000}"/>
    <cellStyle name="Normal 2 2 2 2 4 5 2 3" xfId="15695" xr:uid="{00000000-0005-0000-0000-0000253D0000}"/>
    <cellStyle name="Normal 2 2 2 2 4 5 2 4" xfId="15696" xr:uid="{00000000-0005-0000-0000-0000263D0000}"/>
    <cellStyle name="Normal 2 2 2 2 4 5 2 5" xfId="15697" xr:uid="{00000000-0005-0000-0000-0000273D0000}"/>
    <cellStyle name="Normal 2 2 2 2 4 5 2 6" xfId="15698" xr:uid="{00000000-0005-0000-0000-0000283D0000}"/>
    <cellStyle name="Normal 2 2 2 2 4 5 2 7" xfId="15699" xr:uid="{00000000-0005-0000-0000-0000293D0000}"/>
    <cellStyle name="Normal 2 2 2 2 4 5 2 8" xfId="15700" xr:uid="{00000000-0005-0000-0000-00002A3D0000}"/>
    <cellStyle name="Normal 2 2 2 2 4 5 2 9" xfId="15701" xr:uid="{00000000-0005-0000-0000-00002B3D0000}"/>
    <cellStyle name="Normal 2 2 2 2 4 5 3" xfId="15702" xr:uid="{00000000-0005-0000-0000-00002C3D0000}"/>
    <cellStyle name="Normal 2 2 2 2 4 5 3 10" xfId="15703" xr:uid="{00000000-0005-0000-0000-00002D3D0000}"/>
    <cellStyle name="Normal 2 2 2 2 4 5 3 2" xfId="15704" xr:uid="{00000000-0005-0000-0000-00002E3D0000}"/>
    <cellStyle name="Normal 2 2 2 2 4 5 3 3" xfId="15705" xr:uid="{00000000-0005-0000-0000-00002F3D0000}"/>
    <cellStyle name="Normal 2 2 2 2 4 5 3 4" xfId="15706" xr:uid="{00000000-0005-0000-0000-0000303D0000}"/>
    <cellStyle name="Normal 2 2 2 2 4 5 3 5" xfId="15707" xr:uid="{00000000-0005-0000-0000-0000313D0000}"/>
    <cellStyle name="Normal 2 2 2 2 4 5 3 6" xfId="15708" xr:uid="{00000000-0005-0000-0000-0000323D0000}"/>
    <cellStyle name="Normal 2 2 2 2 4 5 3 7" xfId="15709" xr:uid="{00000000-0005-0000-0000-0000333D0000}"/>
    <cellStyle name="Normal 2 2 2 2 4 5 3 8" xfId="15710" xr:uid="{00000000-0005-0000-0000-0000343D0000}"/>
    <cellStyle name="Normal 2 2 2 2 4 5 3 9" xfId="15711" xr:uid="{00000000-0005-0000-0000-0000353D0000}"/>
    <cellStyle name="Normal 2 2 2 2 4 5 4" xfId="15712" xr:uid="{00000000-0005-0000-0000-0000363D0000}"/>
    <cellStyle name="Normal 2 2 2 2 4 5 4 10" xfId="15713" xr:uid="{00000000-0005-0000-0000-0000373D0000}"/>
    <cellStyle name="Normal 2 2 2 2 4 5 4 2" xfId="15714" xr:uid="{00000000-0005-0000-0000-0000383D0000}"/>
    <cellStyle name="Normal 2 2 2 2 4 5 4 3" xfId="15715" xr:uid="{00000000-0005-0000-0000-0000393D0000}"/>
    <cellStyle name="Normal 2 2 2 2 4 5 4 4" xfId="15716" xr:uid="{00000000-0005-0000-0000-00003A3D0000}"/>
    <cellStyle name="Normal 2 2 2 2 4 5 4 5" xfId="15717" xr:uid="{00000000-0005-0000-0000-00003B3D0000}"/>
    <cellStyle name="Normal 2 2 2 2 4 5 4 6" xfId="15718" xr:uid="{00000000-0005-0000-0000-00003C3D0000}"/>
    <cellStyle name="Normal 2 2 2 2 4 5 4 7" xfId="15719" xr:uid="{00000000-0005-0000-0000-00003D3D0000}"/>
    <cellStyle name="Normal 2 2 2 2 4 5 4 8" xfId="15720" xr:uid="{00000000-0005-0000-0000-00003E3D0000}"/>
    <cellStyle name="Normal 2 2 2 2 4 5 4 9" xfId="15721" xr:uid="{00000000-0005-0000-0000-00003F3D0000}"/>
    <cellStyle name="Normal 2 2 2 2 4 5 5" xfId="15722" xr:uid="{00000000-0005-0000-0000-0000403D0000}"/>
    <cellStyle name="Normal 2 2 2 2 4 5 5 10" xfId="15723" xr:uid="{00000000-0005-0000-0000-0000413D0000}"/>
    <cellStyle name="Normal 2 2 2 2 4 5 5 2" xfId="15724" xr:uid="{00000000-0005-0000-0000-0000423D0000}"/>
    <cellStyle name="Normal 2 2 2 2 4 5 5 3" xfId="15725" xr:uid="{00000000-0005-0000-0000-0000433D0000}"/>
    <cellStyle name="Normal 2 2 2 2 4 5 5 4" xfId="15726" xr:uid="{00000000-0005-0000-0000-0000443D0000}"/>
    <cellStyle name="Normal 2 2 2 2 4 5 5 5" xfId="15727" xr:uid="{00000000-0005-0000-0000-0000453D0000}"/>
    <cellStyle name="Normal 2 2 2 2 4 5 5 6" xfId="15728" xr:uid="{00000000-0005-0000-0000-0000463D0000}"/>
    <cellStyle name="Normal 2 2 2 2 4 5 5 7" xfId="15729" xr:uid="{00000000-0005-0000-0000-0000473D0000}"/>
    <cellStyle name="Normal 2 2 2 2 4 5 5 8" xfId="15730" xr:uid="{00000000-0005-0000-0000-0000483D0000}"/>
    <cellStyle name="Normal 2 2 2 2 4 5 5 9" xfId="15731" xr:uid="{00000000-0005-0000-0000-0000493D0000}"/>
    <cellStyle name="Normal 2 2 2 2 4 5 6" xfId="15732" xr:uid="{00000000-0005-0000-0000-00004A3D0000}"/>
    <cellStyle name="Normal 2 2 2 2 4 5 7" xfId="15733" xr:uid="{00000000-0005-0000-0000-00004B3D0000}"/>
    <cellStyle name="Normal 2 2 2 2 4 5 8" xfId="15734" xr:uid="{00000000-0005-0000-0000-00004C3D0000}"/>
    <cellStyle name="Normal 2 2 2 2 4 5 9" xfId="15735" xr:uid="{00000000-0005-0000-0000-00004D3D0000}"/>
    <cellStyle name="Normal 2 2 2 2 4 6" xfId="15736" xr:uid="{00000000-0005-0000-0000-00004E3D0000}"/>
    <cellStyle name="Normal 2 2 2 2 4 6 10" xfId="15737" xr:uid="{00000000-0005-0000-0000-00004F3D0000}"/>
    <cellStyle name="Normal 2 2 2 2 4 6 11" xfId="15738" xr:uid="{00000000-0005-0000-0000-0000503D0000}"/>
    <cellStyle name="Normal 2 2 2 2 4 6 12" xfId="15739" xr:uid="{00000000-0005-0000-0000-0000513D0000}"/>
    <cellStyle name="Normal 2 2 2 2 4 6 13" xfId="15740" xr:uid="{00000000-0005-0000-0000-0000523D0000}"/>
    <cellStyle name="Normal 2 2 2 2 4 6 14" xfId="15741" xr:uid="{00000000-0005-0000-0000-0000533D0000}"/>
    <cellStyle name="Normal 2 2 2 2 4 6 2" xfId="15742" xr:uid="{00000000-0005-0000-0000-0000543D0000}"/>
    <cellStyle name="Normal 2 2 2 2 4 6 2 10" xfId="15743" xr:uid="{00000000-0005-0000-0000-0000553D0000}"/>
    <cellStyle name="Normal 2 2 2 2 4 6 2 2" xfId="15744" xr:uid="{00000000-0005-0000-0000-0000563D0000}"/>
    <cellStyle name="Normal 2 2 2 2 4 6 2 3" xfId="15745" xr:uid="{00000000-0005-0000-0000-0000573D0000}"/>
    <cellStyle name="Normal 2 2 2 2 4 6 2 4" xfId="15746" xr:uid="{00000000-0005-0000-0000-0000583D0000}"/>
    <cellStyle name="Normal 2 2 2 2 4 6 2 5" xfId="15747" xr:uid="{00000000-0005-0000-0000-0000593D0000}"/>
    <cellStyle name="Normal 2 2 2 2 4 6 2 6" xfId="15748" xr:uid="{00000000-0005-0000-0000-00005A3D0000}"/>
    <cellStyle name="Normal 2 2 2 2 4 6 2 7" xfId="15749" xr:uid="{00000000-0005-0000-0000-00005B3D0000}"/>
    <cellStyle name="Normal 2 2 2 2 4 6 2 8" xfId="15750" xr:uid="{00000000-0005-0000-0000-00005C3D0000}"/>
    <cellStyle name="Normal 2 2 2 2 4 6 2 9" xfId="15751" xr:uid="{00000000-0005-0000-0000-00005D3D0000}"/>
    <cellStyle name="Normal 2 2 2 2 4 6 3" xfId="15752" xr:uid="{00000000-0005-0000-0000-00005E3D0000}"/>
    <cellStyle name="Normal 2 2 2 2 4 6 3 10" xfId="15753" xr:uid="{00000000-0005-0000-0000-00005F3D0000}"/>
    <cellStyle name="Normal 2 2 2 2 4 6 3 2" xfId="15754" xr:uid="{00000000-0005-0000-0000-0000603D0000}"/>
    <cellStyle name="Normal 2 2 2 2 4 6 3 3" xfId="15755" xr:uid="{00000000-0005-0000-0000-0000613D0000}"/>
    <cellStyle name="Normal 2 2 2 2 4 6 3 4" xfId="15756" xr:uid="{00000000-0005-0000-0000-0000623D0000}"/>
    <cellStyle name="Normal 2 2 2 2 4 6 3 5" xfId="15757" xr:uid="{00000000-0005-0000-0000-0000633D0000}"/>
    <cellStyle name="Normal 2 2 2 2 4 6 3 6" xfId="15758" xr:uid="{00000000-0005-0000-0000-0000643D0000}"/>
    <cellStyle name="Normal 2 2 2 2 4 6 3 7" xfId="15759" xr:uid="{00000000-0005-0000-0000-0000653D0000}"/>
    <cellStyle name="Normal 2 2 2 2 4 6 3 8" xfId="15760" xr:uid="{00000000-0005-0000-0000-0000663D0000}"/>
    <cellStyle name="Normal 2 2 2 2 4 6 3 9" xfId="15761" xr:uid="{00000000-0005-0000-0000-0000673D0000}"/>
    <cellStyle name="Normal 2 2 2 2 4 6 4" xfId="15762" xr:uid="{00000000-0005-0000-0000-0000683D0000}"/>
    <cellStyle name="Normal 2 2 2 2 4 6 4 10" xfId="15763" xr:uid="{00000000-0005-0000-0000-0000693D0000}"/>
    <cellStyle name="Normal 2 2 2 2 4 6 4 2" xfId="15764" xr:uid="{00000000-0005-0000-0000-00006A3D0000}"/>
    <cellStyle name="Normal 2 2 2 2 4 6 4 3" xfId="15765" xr:uid="{00000000-0005-0000-0000-00006B3D0000}"/>
    <cellStyle name="Normal 2 2 2 2 4 6 4 4" xfId="15766" xr:uid="{00000000-0005-0000-0000-00006C3D0000}"/>
    <cellStyle name="Normal 2 2 2 2 4 6 4 5" xfId="15767" xr:uid="{00000000-0005-0000-0000-00006D3D0000}"/>
    <cellStyle name="Normal 2 2 2 2 4 6 4 6" xfId="15768" xr:uid="{00000000-0005-0000-0000-00006E3D0000}"/>
    <cellStyle name="Normal 2 2 2 2 4 6 4 7" xfId="15769" xr:uid="{00000000-0005-0000-0000-00006F3D0000}"/>
    <cellStyle name="Normal 2 2 2 2 4 6 4 8" xfId="15770" xr:uid="{00000000-0005-0000-0000-0000703D0000}"/>
    <cellStyle name="Normal 2 2 2 2 4 6 4 9" xfId="15771" xr:uid="{00000000-0005-0000-0000-0000713D0000}"/>
    <cellStyle name="Normal 2 2 2 2 4 6 5" xfId="15772" xr:uid="{00000000-0005-0000-0000-0000723D0000}"/>
    <cellStyle name="Normal 2 2 2 2 4 6 5 10" xfId="15773" xr:uid="{00000000-0005-0000-0000-0000733D0000}"/>
    <cellStyle name="Normal 2 2 2 2 4 6 5 2" xfId="15774" xr:uid="{00000000-0005-0000-0000-0000743D0000}"/>
    <cellStyle name="Normal 2 2 2 2 4 6 5 3" xfId="15775" xr:uid="{00000000-0005-0000-0000-0000753D0000}"/>
    <cellStyle name="Normal 2 2 2 2 4 6 5 4" xfId="15776" xr:uid="{00000000-0005-0000-0000-0000763D0000}"/>
    <cellStyle name="Normal 2 2 2 2 4 6 5 5" xfId="15777" xr:uid="{00000000-0005-0000-0000-0000773D0000}"/>
    <cellStyle name="Normal 2 2 2 2 4 6 5 6" xfId="15778" xr:uid="{00000000-0005-0000-0000-0000783D0000}"/>
    <cellStyle name="Normal 2 2 2 2 4 6 5 7" xfId="15779" xr:uid="{00000000-0005-0000-0000-0000793D0000}"/>
    <cellStyle name="Normal 2 2 2 2 4 6 5 8" xfId="15780" xr:uid="{00000000-0005-0000-0000-00007A3D0000}"/>
    <cellStyle name="Normal 2 2 2 2 4 6 5 9" xfId="15781" xr:uid="{00000000-0005-0000-0000-00007B3D0000}"/>
    <cellStyle name="Normal 2 2 2 2 4 6 6" xfId="15782" xr:uid="{00000000-0005-0000-0000-00007C3D0000}"/>
    <cellStyle name="Normal 2 2 2 2 4 6 7" xfId="15783" xr:uid="{00000000-0005-0000-0000-00007D3D0000}"/>
    <cellStyle name="Normal 2 2 2 2 4 6 8" xfId="15784" xr:uid="{00000000-0005-0000-0000-00007E3D0000}"/>
    <cellStyle name="Normal 2 2 2 2 4 6 9" xfId="15785" xr:uid="{00000000-0005-0000-0000-00007F3D0000}"/>
    <cellStyle name="Normal 2 2 2 2 4 7" xfId="15786" xr:uid="{00000000-0005-0000-0000-0000803D0000}"/>
    <cellStyle name="Normal 2 2 2 2 4 7 10" xfId="15787" xr:uid="{00000000-0005-0000-0000-0000813D0000}"/>
    <cellStyle name="Normal 2 2 2 2 4 7 11" xfId="15788" xr:uid="{00000000-0005-0000-0000-0000823D0000}"/>
    <cellStyle name="Normal 2 2 2 2 4 7 12" xfId="15789" xr:uid="{00000000-0005-0000-0000-0000833D0000}"/>
    <cellStyle name="Normal 2 2 2 2 4 7 13" xfId="15790" xr:uid="{00000000-0005-0000-0000-0000843D0000}"/>
    <cellStyle name="Normal 2 2 2 2 4 7 14" xfId="15791" xr:uid="{00000000-0005-0000-0000-0000853D0000}"/>
    <cellStyle name="Normal 2 2 2 2 4 7 2" xfId="15792" xr:uid="{00000000-0005-0000-0000-0000863D0000}"/>
    <cellStyle name="Normal 2 2 2 2 4 7 2 10" xfId="15793" xr:uid="{00000000-0005-0000-0000-0000873D0000}"/>
    <cellStyle name="Normal 2 2 2 2 4 7 2 2" xfId="15794" xr:uid="{00000000-0005-0000-0000-0000883D0000}"/>
    <cellStyle name="Normal 2 2 2 2 4 7 2 3" xfId="15795" xr:uid="{00000000-0005-0000-0000-0000893D0000}"/>
    <cellStyle name="Normal 2 2 2 2 4 7 2 4" xfId="15796" xr:uid="{00000000-0005-0000-0000-00008A3D0000}"/>
    <cellStyle name="Normal 2 2 2 2 4 7 2 5" xfId="15797" xr:uid="{00000000-0005-0000-0000-00008B3D0000}"/>
    <cellStyle name="Normal 2 2 2 2 4 7 2 6" xfId="15798" xr:uid="{00000000-0005-0000-0000-00008C3D0000}"/>
    <cellStyle name="Normal 2 2 2 2 4 7 2 7" xfId="15799" xr:uid="{00000000-0005-0000-0000-00008D3D0000}"/>
    <cellStyle name="Normal 2 2 2 2 4 7 2 8" xfId="15800" xr:uid="{00000000-0005-0000-0000-00008E3D0000}"/>
    <cellStyle name="Normal 2 2 2 2 4 7 2 9" xfId="15801" xr:uid="{00000000-0005-0000-0000-00008F3D0000}"/>
    <cellStyle name="Normal 2 2 2 2 4 7 3" xfId="15802" xr:uid="{00000000-0005-0000-0000-0000903D0000}"/>
    <cellStyle name="Normal 2 2 2 2 4 7 3 10" xfId="15803" xr:uid="{00000000-0005-0000-0000-0000913D0000}"/>
    <cellStyle name="Normal 2 2 2 2 4 7 3 2" xfId="15804" xr:uid="{00000000-0005-0000-0000-0000923D0000}"/>
    <cellStyle name="Normal 2 2 2 2 4 7 3 3" xfId="15805" xr:uid="{00000000-0005-0000-0000-0000933D0000}"/>
    <cellStyle name="Normal 2 2 2 2 4 7 3 4" xfId="15806" xr:uid="{00000000-0005-0000-0000-0000943D0000}"/>
    <cellStyle name="Normal 2 2 2 2 4 7 3 5" xfId="15807" xr:uid="{00000000-0005-0000-0000-0000953D0000}"/>
    <cellStyle name="Normal 2 2 2 2 4 7 3 6" xfId="15808" xr:uid="{00000000-0005-0000-0000-0000963D0000}"/>
    <cellStyle name="Normal 2 2 2 2 4 7 3 7" xfId="15809" xr:uid="{00000000-0005-0000-0000-0000973D0000}"/>
    <cellStyle name="Normal 2 2 2 2 4 7 3 8" xfId="15810" xr:uid="{00000000-0005-0000-0000-0000983D0000}"/>
    <cellStyle name="Normal 2 2 2 2 4 7 3 9" xfId="15811" xr:uid="{00000000-0005-0000-0000-0000993D0000}"/>
    <cellStyle name="Normal 2 2 2 2 4 7 4" xfId="15812" xr:uid="{00000000-0005-0000-0000-00009A3D0000}"/>
    <cellStyle name="Normal 2 2 2 2 4 7 4 10" xfId="15813" xr:uid="{00000000-0005-0000-0000-00009B3D0000}"/>
    <cellStyle name="Normal 2 2 2 2 4 7 4 2" xfId="15814" xr:uid="{00000000-0005-0000-0000-00009C3D0000}"/>
    <cellStyle name="Normal 2 2 2 2 4 7 4 3" xfId="15815" xr:uid="{00000000-0005-0000-0000-00009D3D0000}"/>
    <cellStyle name="Normal 2 2 2 2 4 7 4 4" xfId="15816" xr:uid="{00000000-0005-0000-0000-00009E3D0000}"/>
    <cellStyle name="Normal 2 2 2 2 4 7 4 5" xfId="15817" xr:uid="{00000000-0005-0000-0000-00009F3D0000}"/>
    <cellStyle name="Normal 2 2 2 2 4 7 4 6" xfId="15818" xr:uid="{00000000-0005-0000-0000-0000A03D0000}"/>
    <cellStyle name="Normal 2 2 2 2 4 7 4 7" xfId="15819" xr:uid="{00000000-0005-0000-0000-0000A13D0000}"/>
    <cellStyle name="Normal 2 2 2 2 4 7 4 8" xfId="15820" xr:uid="{00000000-0005-0000-0000-0000A23D0000}"/>
    <cellStyle name="Normal 2 2 2 2 4 7 4 9" xfId="15821" xr:uid="{00000000-0005-0000-0000-0000A33D0000}"/>
    <cellStyle name="Normal 2 2 2 2 4 7 5" xfId="15822" xr:uid="{00000000-0005-0000-0000-0000A43D0000}"/>
    <cellStyle name="Normal 2 2 2 2 4 7 5 10" xfId="15823" xr:uid="{00000000-0005-0000-0000-0000A53D0000}"/>
    <cellStyle name="Normal 2 2 2 2 4 7 5 2" xfId="15824" xr:uid="{00000000-0005-0000-0000-0000A63D0000}"/>
    <cellStyle name="Normal 2 2 2 2 4 7 5 3" xfId="15825" xr:uid="{00000000-0005-0000-0000-0000A73D0000}"/>
    <cellStyle name="Normal 2 2 2 2 4 7 5 4" xfId="15826" xr:uid="{00000000-0005-0000-0000-0000A83D0000}"/>
    <cellStyle name="Normal 2 2 2 2 4 7 5 5" xfId="15827" xr:uid="{00000000-0005-0000-0000-0000A93D0000}"/>
    <cellStyle name="Normal 2 2 2 2 4 7 5 6" xfId="15828" xr:uid="{00000000-0005-0000-0000-0000AA3D0000}"/>
    <cellStyle name="Normal 2 2 2 2 4 7 5 7" xfId="15829" xr:uid="{00000000-0005-0000-0000-0000AB3D0000}"/>
    <cellStyle name="Normal 2 2 2 2 4 7 5 8" xfId="15830" xr:uid="{00000000-0005-0000-0000-0000AC3D0000}"/>
    <cellStyle name="Normal 2 2 2 2 4 7 5 9" xfId="15831" xr:uid="{00000000-0005-0000-0000-0000AD3D0000}"/>
    <cellStyle name="Normal 2 2 2 2 4 7 6" xfId="15832" xr:uid="{00000000-0005-0000-0000-0000AE3D0000}"/>
    <cellStyle name="Normal 2 2 2 2 4 7 7" xfId="15833" xr:uid="{00000000-0005-0000-0000-0000AF3D0000}"/>
    <cellStyle name="Normal 2 2 2 2 4 7 8" xfId="15834" xr:uid="{00000000-0005-0000-0000-0000B03D0000}"/>
    <cellStyle name="Normal 2 2 2 2 4 7 9" xfId="15835" xr:uid="{00000000-0005-0000-0000-0000B13D0000}"/>
    <cellStyle name="Normal 2 2 2 2 4 8" xfId="15836" xr:uid="{00000000-0005-0000-0000-0000B23D0000}"/>
    <cellStyle name="Normal 2 2 2 2 4 8 10" xfId="15837" xr:uid="{00000000-0005-0000-0000-0000B33D0000}"/>
    <cellStyle name="Normal 2 2 2 2 4 8 11" xfId="15838" xr:uid="{00000000-0005-0000-0000-0000B43D0000}"/>
    <cellStyle name="Normal 2 2 2 2 4 8 12" xfId="15839" xr:uid="{00000000-0005-0000-0000-0000B53D0000}"/>
    <cellStyle name="Normal 2 2 2 2 4 8 13" xfId="15840" xr:uid="{00000000-0005-0000-0000-0000B63D0000}"/>
    <cellStyle name="Normal 2 2 2 2 4 8 14" xfId="15841" xr:uid="{00000000-0005-0000-0000-0000B73D0000}"/>
    <cellStyle name="Normal 2 2 2 2 4 8 2" xfId="15842" xr:uid="{00000000-0005-0000-0000-0000B83D0000}"/>
    <cellStyle name="Normal 2 2 2 2 4 8 2 10" xfId="15843" xr:uid="{00000000-0005-0000-0000-0000B93D0000}"/>
    <cellStyle name="Normal 2 2 2 2 4 8 2 2" xfId="15844" xr:uid="{00000000-0005-0000-0000-0000BA3D0000}"/>
    <cellStyle name="Normal 2 2 2 2 4 8 2 3" xfId="15845" xr:uid="{00000000-0005-0000-0000-0000BB3D0000}"/>
    <cellStyle name="Normal 2 2 2 2 4 8 2 4" xfId="15846" xr:uid="{00000000-0005-0000-0000-0000BC3D0000}"/>
    <cellStyle name="Normal 2 2 2 2 4 8 2 5" xfId="15847" xr:uid="{00000000-0005-0000-0000-0000BD3D0000}"/>
    <cellStyle name="Normal 2 2 2 2 4 8 2 6" xfId="15848" xr:uid="{00000000-0005-0000-0000-0000BE3D0000}"/>
    <cellStyle name="Normal 2 2 2 2 4 8 2 7" xfId="15849" xr:uid="{00000000-0005-0000-0000-0000BF3D0000}"/>
    <cellStyle name="Normal 2 2 2 2 4 8 2 8" xfId="15850" xr:uid="{00000000-0005-0000-0000-0000C03D0000}"/>
    <cellStyle name="Normal 2 2 2 2 4 8 2 9" xfId="15851" xr:uid="{00000000-0005-0000-0000-0000C13D0000}"/>
    <cellStyle name="Normal 2 2 2 2 4 8 3" xfId="15852" xr:uid="{00000000-0005-0000-0000-0000C23D0000}"/>
    <cellStyle name="Normal 2 2 2 2 4 8 3 10" xfId="15853" xr:uid="{00000000-0005-0000-0000-0000C33D0000}"/>
    <cellStyle name="Normal 2 2 2 2 4 8 3 2" xfId="15854" xr:uid="{00000000-0005-0000-0000-0000C43D0000}"/>
    <cellStyle name="Normal 2 2 2 2 4 8 3 3" xfId="15855" xr:uid="{00000000-0005-0000-0000-0000C53D0000}"/>
    <cellStyle name="Normal 2 2 2 2 4 8 3 4" xfId="15856" xr:uid="{00000000-0005-0000-0000-0000C63D0000}"/>
    <cellStyle name="Normal 2 2 2 2 4 8 3 5" xfId="15857" xr:uid="{00000000-0005-0000-0000-0000C73D0000}"/>
    <cellStyle name="Normal 2 2 2 2 4 8 3 6" xfId="15858" xr:uid="{00000000-0005-0000-0000-0000C83D0000}"/>
    <cellStyle name="Normal 2 2 2 2 4 8 3 7" xfId="15859" xr:uid="{00000000-0005-0000-0000-0000C93D0000}"/>
    <cellStyle name="Normal 2 2 2 2 4 8 3 8" xfId="15860" xr:uid="{00000000-0005-0000-0000-0000CA3D0000}"/>
    <cellStyle name="Normal 2 2 2 2 4 8 3 9" xfId="15861" xr:uid="{00000000-0005-0000-0000-0000CB3D0000}"/>
    <cellStyle name="Normal 2 2 2 2 4 8 4" xfId="15862" xr:uid="{00000000-0005-0000-0000-0000CC3D0000}"/>
    <cellStyle name="Normal 2 2 2 2 4 8 4 10" xfId="15863" xr:uid="{00000000-0005-0000-0000-0000CD3D0000}"/>
    <cellStyle name="Normal 2 2 2 2 4 8 4 2" xfId="15864" xr:uid="{00000000-0005-0000-0000-0000CE3D0000}"/>
    <cellStyle name="Normal 2 2 2 2 4 8 4 3" xfId="15865" xr:uid="{00000000-0005-0000-0000-0000CF3D0000}"/>
    <cellStyle name="Normal 2 2 2 2 4 8 4 4" xfId="15866" xr:uid="{00000000-0005-0000-0000-0000D03D0000}"/>
    <cellStyle name="Normal 2 2 2 2 4 8 4 5" xfId="15867" xr:uid="{00000000-0005-0000-0000-0000D13D0000}"/>
    <cellStyle name="Normal 2 2 2 2 4 8 4 6" xfId="15868" xr:uid="{00000000-0005-0000-0000-0000D23D0000}"/>
    <cellStyle name="Normal 2 2 2 2 4 8 4 7" xfId="15869" xr:uid="{00000000-0005-0000-0000-0000D33D0000}"/>
    <cellStyle name="Normal 2 2 2 2 4 8 4 8" xfId="15870" xr:uid="{00000000-0005-0000-0000-0000D43D0000}"/>
    <cellStyle name="Normal 2 2 2 2 4 8 4 9" xfId="15871" xr:uid="{00000000-0005-0000-0000-0000D53D0000}"/>
    <cellStyle name="Normal 2 2 2 2 4 8 5" xfId="15872" xr:uid="{00000000-0005-0000-0000-0000D63D0000}"/>
    <cellStyle name="Normal 2 2 2 2 4 8 5 10" xfId="15873" xr:uid="{00000000-0005-0000-0000-0000D73D0000}"/>
    <cellStyle name="Normal 2 2 2 2 4 8 5 2" xfId="15874" xr:uid="{00000000-0005-0000-0000-0000D83D0000}"/>
    <cellStyle name="Normal 2 2 2 2 4 8 5 3" xfId="15875" xr:uid="{00000000-0005-0000-0000-0000D93D0000}"/>
    <cellStyle name="Normal 2 2 2 2 4 8 5 4" xfId="15876" xr:uid="{00000000-0005-0000-0000-0000DA3D0000}"/>
    <cellStyle name="Normal 2 2 2 2 4 8 5 5" xfId="15877" xr:uid="{00000000-0005-0000-0000-0000DB3D0000}"/>
    <cellStyle name="Normal 2 2 2 2 4 8 5 6" xfId="15878" xr:uid="{00000000-0005-0000-0000-0000DC3D0000}"/>
    <cellStyle name="Normal 2 2 2 2 4 8 5 7" xfId="15879" xr:uid="{00000000-0005-0000-0000-0000DD3D0000}"/>
    <cellStyle name="Normal 2 2 2 2 4 8 5 8" xfId="15880" xr:uid="{00000000-0005-0000-0000-0000DE3D0000}"/>
    <cellStyle name="Normal 2 2 2 2 4 8 5 9" xfId="15881" xr:uid="{00000000-0005-0000-0000-0000DF3D0000}"/>
    <cellStyle name="Normal 2 2 2 2 4 8 6" xfId="15882" xr:uid="{00000000-0005-0000-0000-0000E03D0000}"/>
    <cellStyle name="Normal 2 2 2 2 4 8 7" xfId="15883" xr:uid="{00000000-0005-0000-0000-0000E13D0000}"/>
    <cellStyle name="Normal 2 2 2 2 4 8 8" xfId="15884" xr:uid="{00000000-0005-0000-0000-0000E23D0000}"/>
    <cellStyle name="Normal 2 2 2 2 4 8 9" xfId="15885" xr:uid="{00000000-0005-0000-0000-0000E33D0000}"/>
    <cellStyle name="Normal 2 2 2 2 4 9" xfId="15886" xr:uid="{00000000-0005-0000-0000-0000E43D0000}"/>
    <cellStyle name="Normal 2 2 2 2 4 9 10" xfId="15887" xr:uid="{00000000-0005-0000-0000-0000E53D0000}"/>
    <cellStyle name="Normal 2 2 2 2 4 9 11" xfId="15888" xr:uid="{00000000-0005-0000-0000-0000E63D0000}"/>
    <cellStyle name="Normal 2 2 2 2 4 9 12" xfId="15889" xr:uid="{00000000-0005-0000-0000-0000E73D0000}"/>
    <cellStyle name="Normal 2 2 2 2 4 9 13" xfId="15890" xr:uid="{00000000-0005-0000-0000-0000E83D0000}"/>
    <cellStyle name="Normal 2 2 2 2 4 9 14" xfId="15891" xr:uid="{00000000-0005-0000-0000-0000E93D0000}"/>
    <cellStyle name="Normal 2 2 2 2 4 9 2" xfId="15892" xr:uid="{00000000-0005-0000-0000-0000EA3D0000}"/>
    <cellStyle name="Normal 2 2 2 2 4 9 2 10" xfId="15893" xr:uid="{00000000-0005-0000-0000-0000EB3D0000}"/>
    <cellStyle name="Normal 2 2 2 2 4 9 2 2" xfId="15894" xr:uid="{00000000-0005-0000-0000-0000EC3D0000}"/>
    <cellStyle name="Normal 2 2 2 2 4 9 2 3" xfId="15895" xr:uid="{00000000-0005-0000-0000-0000ED3D0000}"/>
    <cellStyle name="Normal 2 2 2 2 4 9 2 4" xfId="15896" xr:uid="{00000000-0005-0000-0000-0000EE3D0000}"/>
    <cellStyle name="Normal 2 2 2 2 4 9 2 5" xfId="15897" xr:uid="{00000000-0005-0000-0000-0000EF3D0000}"/>
    <cellStyle name="Normal 2 2 2 2 4 9 2 6" xfId="15898" xr:uid="{00000000-0005-0000-0000-0000F03D0000}"/>
    <cellStyle name="Normal 2 2 2 2 4 9 2 7" xfId="15899" xr:uid="{00000000-0005-0000-0000-0000F13D0000}"/>
    <cellStyle name="Normal 2 2 2 2 4 9 2 8" xfId="15900" xr:uid="{00000000-0005-0000-0000-0000F23D0000}"/>
    <cellStyle name="Normal 2 2 2 2 4 9 2 9" xfId="15901" xr:uid="{00000000-0005-0000-0000-0000F33D0000}"/>
    <cellStyle name="Normal 2 2 2 2 4 9 3" xfId="15902" xr:uid="{00000000-0005-0000-0000-0000F43D0000}"/>
    <cellStyle name="Normal 2 2 2 2 4 9 3 10" xfId="15903" xr:uid="{00000000-0005-0000-0000-0000F53D0000}"/>
    <cellStyle name="Normal 2 2 2 2 4 9 3 2" xfId="15904" xr:uid="{00000000-0005-0000-0000-0000F63D0000}"/>
    <cellStyle name="Normal 2 2 2 2 4 9 3 3" xfId="15905" xr:uid="{00000000-0005-0000-0000-0000F73D0000}"/>
    <cellStyle name="Normal 2 2 2 2 4 9 3 4" xfId="15906" xr:uid="{00000000-0005-0000-0000-0000F83D0000}"/>
    <cellStyle name="Normal 2 2 2 2 4 9 3 5" xfId="15907" xr:uid="{00000000-0005-0000-0000-0000F93D0000}"/>
    <cellStyle name="Normal 2 2 2 2 4 9 3 6" xfId="15908" xr:uid="{00000000-0005-0000-0000-0000FA3D0000}"/>
    <cellStyle name="Normal 2 2 2 2 4 9 3 7" xfId="15909" xr:uid="{00000000-0005-0000-0000-0000FB3D0000}"/>
    <cellStyle name="Normal 2 2 2 2 4 9 3 8" xfId="15910" xr:uid="{00000000-0005-0000-0000-0000FC3D0000}"/>
    <cellStyle name="Normal 2 2 2 2 4 9 3 9" xfId="15911" xr:uid="{00000000-0005-0000-0000-0000FD3D0000}"/>
    <cellStyle name="Normal 2 2 2 2 4 9 4" xfId="15912" xr:uid="{00000000-0005-0000-0000-0000FE3D0000}"/>
    <cellStyle name="Normal 2 2 2 2 4 9 4 10" xfId="15913" xr:uid="{00000000-0005-0000-0000-0000FF3D0000}"/>
    <cellStyle name="Normal 2 2 2 2 4 9 4 2" xfId="15914" xr:uid="{00000000-0005-0000-0000-0000003E0000}"/>
    <cellStyle name="Normal 2 2 2 2 4 9 4 3" xfId="15915" xr:uid="{00000000-0005-0000-0000-0000013E0000}"/>
    <cellStyle name="Normal 2 2 2 2 4 9 4 4" xfId="15916" xr:uid="{00000000-0005-0000-0000-0000023E0000}"/>
    <cellStyle name="Normal 2 2 2 2 4 9 4 5" xfId="15917" xr:uid="{00000000-0005-0000-0000-0000033E0000}"/>
    <cellStyle name="Normal 2 2 2 2 4 9 4 6" xfId="15918" xr:uid="{00000000-0005-0000-0000-0000043E0000}"/>
    <cellStyle name="Normal 2 2 2 2 4 9 4 7" xfId="15919" xr:uid="{00000000-0005-0000-0000-0000053E0000}"/>
    <cellStyle name="Normal 2 2 2 2 4 9 4 8" xfId="15920" xr:uid="{00000000-0005-0000-0000-0000063E0000}"/>
    <cellStyle name="Normal 2 2 2 2 4 9 4 9" xfId="15921" xr:uid="{00000000-0005-0000-0000-0000073E0000}"/>
    <cellStyle name="Normal 2 2 2 2 4 9 5" xfId="15922" xr:uid="{00000000-0005-0000-0000-0000083E0000}"/>
    <cellStyle name="Normal 2 2 2 2 4 9 5 10" xfId="15923" xr:uid="{00000000-0005-0000-0000-0000093E0000}"/>
    <cellStyle name="Normal 2 2 2 2 4 9 5 2" xfId="15924" xr:uid="{00000000-0005-0000-0000-00000A3E0000}"/>
    <cellStyle name="Normal 2 2 2 2 4 9 5 3" xfId="15925" xr:uid="{00000000-0005-0000-0000-00000B3E0000}"/>
    <cellStyle name="Normal 2 2 2 2 4 9 5 4" xfId="15926" xr:uid="{00000000-0005-0000-0000-00000C3E0000}"/>
    <cellStyle name="Normal 2 2 2 2 4 9 5 5" xfId="15927" xr:uid="{00000000-0005-0000-0000-00000D3E0000}"/>
    <cellStyle name="Normal 2 2 2 2 4 9 5 6" xfId="15928" xr:uid="{00000000-0005-0000-0000-00000E3E0000}"/>
    <cellStyle name="Normal 2 2 2 2 4 9 5 7" xfId="15929" xr:uid="{00000000-0005-0000-0000-00000F3E0000}"/>
    <cellStyle name="Normal 2 2 2 2 4 9 5 8" xfId="15930" xr:uid="{00000000-0005-0000-0000-0000103E0000}"/>
    <cellStyle name="Normal 2 2 2 2 4 9 5 9" xfId="15931" xr:uid="{00000000-0005-0000-0000-0000113E0000}"/>
    <cellStyle name="Normal 2 2 2 2 4 9 6" xfId="15932" xr:uid="{00000000-0005-0000-0000-0000123E0000}"/>
    <cellStyle name="Normal 2 2 2 2 4 9 7" xfId="15933" xr:uid="{00000000-0005-0000-0000-0000133E0000}"/>
    <cellStyle name="Normal 2 2 2 2 4 9 8" xfId="15934" xr:uid="{00000000-0005-0000-0000-0000143E0000}"/>
    <cellStyle name="Normal 2 2 2 2 4 9 9" xfId="15935" xr:uid="{00000000-0005-0000-0000-0000153E0000}"/>
    <cellStyle name="Normal 2 2 2 2 40" xfId="15936" xr:uid="{00000000-0005-0000-0000-0000163E0000}"/>
    <cellStyle name="Normal 2 2 2 2 40 10" xfId="15937" xr:uid="{00000000-0005-0000-0000-0000173E0000}"/>
    <cellStyle name="Normal 2 2 2 2 40 2" xfId="15938" xr:uid="{00000000-0005-0000-0000-0000183E0000}"/>
    <cellStyle name="Normal 2 2 2 2 40 3" xfId="15939" xr:uid="{00000000-0005-0000-0000-0000193E0000}"/>
    <cellStyle name="Normal 2 2 2 2 40 4" xfId="15940" xr:uid="{00000000-0005-0000-0000-00001A3E0000}"/>
    <cellStyle name="Normal 2 2 2 2 40 5" xfId="15941" xr:uid="{00000000-0005-0000-0000-00001B3E0000}"/>
    <cellStyle name="Normal 2 2 2 2 40 6" xfId="15942" xr:uid="{00000000-0005-0000-0000-00001C3E0000}"/>
    <cellStyle name="Normal 2 2 2 2 40 7" xfId="15943" xr:uid="{00000000-0005-0000-0000-00001D3E0000}"/>
    <cellStyle name="Normal 2 2 2 2 40 8" xfId="15944" xr:uid="{00000000-0005-0000-0000-00001E3E0000}"/>
    <cellStyle name="Normal 2 2 2 2 40 9" xfId="15945" xr:uid="{00000000-0005-0000-0000-00001F3E0000}"/>
    <cellStyle name="Normal 2 2 2 2 41" xfId="15946" xr:uid="{00000000-0005-0000-0000-0000203E0000}"/>
    <cellStyle name="Normal 2 2 2 2 42" xfId="15947" xr:uid="{00000000-0005-0000-0000-0000213E0000}"/>
    <cellStyle name="Normal 2 2 2 2 43" xfId="15948" xr:uid="{00000000-0005-0000-0000-0000223E0000}"/>
    <cellStyle name="Normal 2 2 2 2 44" xfId="15949" xr:uid="{00000000-0005-0000-0000-0000233E0000}"/>
    <cellStyle name="Normal 2 2 2 2 45" xfId="15950" xr:uid="{00000000-0005-0000-0000-0000243E0000}"/>
    <cellStyle name="Normal 2 2 2 2 46" xfId="15951" xr:uid="{00000000-0005-0000-0000-0000253E0000}"/>
    <cellStyle name="Normal 2 2 2 2 47" xfId="15952" xr:uid="{00000000-0005-0000-0000-0000263E0000}"/>
    <cellStyle name="Normal 2 2 2 2 48" xfId="15953" xr:uid="{00000000-0005-0000-0000-0000273E0000}"/>
    <cellStyle name="Normal 2 2 2 2 49" xfId="15954" xr:uid="{00000000-0005-0000-0000-0000283E0000}"/>
    <cellStyle name="Normal 2 2 2 2 5" xfId="15955" xr:uid="{00000000-0005-0000-0000-0000293E0000}"/>
    <cellStyle name="Normal 2 2 2 2 5 10" xfId="15956" xr:uid="{00000000-0005-0000-0000-00002A3E0000}"/>
    <cellStyle name="Normal 2 2 2 2 5 10 10" xfId="15957" xr:uid="{00000000-0005-0000-0000-00002B3E0000}"/>
    <cellStyle name="Normal 2 2 2 2 5 10 11" xfId="15958" xr:uid="{00000000-0005-0000-0000-00002C3E0000}"/>
    <cellStyle name="Normal 2 2 2 2 5 10 12" xfId="15959" xr:uid="{00000000-0005-0000-0000-00002D3E0000}"/>
    <cellStyle name="Normal 2 2 2 2 5 10 13" xfId="15960" xr:uid="{00000000-0005-0000-0000-00002E3E0000}"/>
    <cellStyle name="Normal 2 2 2 2 5 10 14" xfId="15961" xr:uid="{00000000-0005-0000-0000-00002F3E0000}"/>
    <cellStyle name="Normal 2 2 2 2 5 10 2" xfId="15962" xr:uid="{00000000-0005-0000-0000-0000303E0000}"/>
    <cellStyle name="Normal 2 2 2 2 5 10 2 10" xfId="15963" xr:uid="{00000000-0005-0000-0000-0000313E0000}"/>
    <cellStyle name="Normal 2 2 2 2 5 10 2 2" xfId="15964" xr:uid="{00000000-0005-0000-0000-0000323E0000}"/>
    <cellStyle name="Normal 2 2 2 2 5 10 2 3" xfId="15965" xr:uid="{00000000-0005-0000-0000-0000333E0000}"/>
    <cellStyle name="Normal 2 2 2 2 5 10 2 4" xfId="15966" xr:uid="{00000000-0005-0000-0000-0000343E0000}"/>
    <cellStyle name="Normal 2 2 2 2 5 10 2 5" xfId="15967" xr:uid="{00000000-0005-0000-0000-0000353E0000}"/>
    <cellStyle name="Normal 2 2 2 2 5 10 2 6" xfId="15968" xr:uid="{00000000-0005-0000-0000-0000363E0000}"/>
    <cellStyle name="Normal 2 2 2 2 5 10 2 7" xfId="15969" xr:uid="{00000000-0005-0000-0000-0000373E0000}"/>
    <cellStyle name="Normal 2 2 2 2 5 10 2 8" xfId="15970" xr:uid="{00000000-0005-0000-0000-0000383E0000}"/>
    <cellStyle name="Normal 2 2 2 2 5 10 2 9" xfId="15971" xr:uid="{00000000-0005-0000-0000-0000393E0000}"/>
    <cellStyle name="Normal 2 2 2 2 5 10 3" xfId="15972" xr:uid="{00000000-0005-0000-0000-00003A3E0000}"/>
    <cellStyle name="Normal 2 2 2 2 5 10 3 10" xfId="15973" xr:uid="{00000000-0005-0000-0000-00003B3E0000}"/>
    <cellStyle name="Normal 2 2 2 2 5 10 3 2" xfId="15974" xr:uid="{00000000-0005-0000-0000-00003C3E0000}"/>
    <cellStyle name="Normal 2 2 2 2 5 10 3 3" xfId="15975" xr:uid="{00000000-0005-0000-0000-00003D3E0000}"/>
    <cellStyle name="Normal 2 2 2 2 5 10 3 4" xfId="15976" xr:uid="{00000000-0005-0000-0000-00003E3E0000}"/>
    <cellStyle name="Normal 2 2 2 2 5 10 3 5" xfId="15977" xr:uid="{00000000-0005-0000-0000-00003F3E0000}"/>
    <cellStyle name="Normal 2 2 2 2 5 10 3 6" xfId="15978" xr:uid="{00000000-0005-0000-0000-0000403E0000}"/>
    <cellStyle name="Normal 2 2 2 2 5 10 3 7" xfId="15979" xr:uid="{00000000-0005-0000-0000-0000413E0000}"/>
    <cellStyle name="Normal 2 2 2 2 5 10 3 8" xfId="15980" xr:uid="{00000000-0005-0000-0000-0000423E0000}"/>
    <cellStyle name="Normal 2 2 2 2 5 10 3 9" xfId="15981" xr:uid="{00000000-0005-0000-0000-0000433E0000}"/>
    <cellStyle name="Normal 2 2 2 2 5 10 4" xfId="15982" xr:uid="{00000000-0005-0000-0000-0000443E0000}"/>
    <cellStyle name="Normal 2 2 2 2 5 10 4 10" xfId="15983" xr:uid="{00000000-0005-0000-0000-0000453E0000}"/>
    <cellStyle name="Normal 2 2 2 2 5 10 4 2" xfId="15984" xr:uid="{00000000-0005-0000-0000-0000463E0000}"/>
    <cellStyle name="Normal 2 2 2 2 5 10 4 3" xfId="15985" xr:uid="{00000000-0005-0000-0000-0000473E0000}"/>
    <cellStyle name="Normal 2 2 2 2 5 10 4 4" xfId="15986" xr:uid="{00000000-0005-0000-0000-0000483E0000}"/>
    <cellStyle name="Normal 2 2 2 2 5 10 4 5" xfId="15987" xr:uid="{00000000-0005-0000-0000-0000493E0000}"/>
    <cellStyle name="Normal 2 2 2 2 5 10 4 6" xfId="15988" xr:uid="{00000000-0005-0000-0000-00004A3E0000}"/>
    <cellStyle name="Normal 2 2 2 2 5 10 4 7" xfId="15989" xr:uid="{00000000-0005-0000-0000-00004B3E0000}"/>
    <cellStyle name="Normal 2 2 2 2 5 10 4 8" xfId="15990" xr:uid="{00000000-0005-0000-0000-00004C3E0000}"/>
    <cellStyle name="Normal 2 2 2 2 5 10 4 9" xfId="15991" xr:uid="{00000000-0005-0000-0000-00004D3E0000}"/>
    <cellStyle name="Normal 2 2 2 2 5 10 5" xfId="15992" xr:uid="{00000000-0005-0000-0000-00004E3E0000}"/>
    <cellStyle name="Normal 2 2 2 2 5 10 5 10" xfId="15993" xr:uid="{00000000-0005-0000-0000-00004F3E0000}"/>
    <cellStyle name="Normal 2 2 2 2 5 10 5 2" xfId="15994" xr:uid="{00000000-0005-0000-0000-0000503E0000}"/>
    <cellStyle name="Normal 2 2 2 2 5 10 5 3" xfId="15995" xr:uid="{00000000-0005-0000-0000-0000513E0000}"/>
    <cellStyle name="Normal 2 2 2 2 5 10 5 4" xfId="15996" xr:uid="{00000000-0005-0000-0000-0000523E0000}"/>
    <cellStyle name="Normal 2 2 2 2 5 10 5 5" xfId="15997" xr:uid="{00000000-0005-0000-0000-0000533E0000}"/>
    <cellStyle name="Normal 2 2 2 2 5 10 5 6" xfId="15998" xr:uid="{00000000-0005-0000-0000-0000543E0000}"/>
    <cellStyle name="Normal 2 2 2 2 5 10 5 7" xfId="15999" xr:uid="{00000000-0005-0000-0000-0000553E0000}"/>
    <cellStyle name="Normal 2 2 2 2 5 10 5 8" xfId="16000" xr:uid="{00000000-0005-0000-0000-0000563E0000}"/>
    <cellStyle name="Normal 2 2 2 2 5 10 5 9" xfId="16001" xr:uid="{00000000-0005-0000-0000-0000573E0000}"/>
    <cellStyle name="Normal 2 2 2 2 5 10 6" xfId="16002" xr:uid="{00000000-0005-0000-0000-0000583E0000}"/>
    <cellStyle name="Normal 2 2 2 2 5 10 7" xfId="16003" xr:uid="{00000000-0005-0000-0000-0000593E0000}"/>
    <cellStyle name="Normal 2 2 2 2 5 10 8" xfId="16004" xr:uid="{00000000-0005-0000-0000-00005A3E0000}"/>
    <cellStyle name="Normal 2 2 2 2 5 10 9" xfId="16005" xr:uid="{00000000-0005-0000-0000-00005B3E0000}"/>
    <cellStyle name="Normal 2 2 2 2 5 11" xfId="16006" xr:uid="{00000000-0005-0000-0000-00005C3E0000}"/>
    <cellStyle name="Normal 2 2 2 2 5 11 10" xfId="16007" xr:uid="{00000000-0005-0000-0000-00005D3E0000}"/>
    <cellStyle name="Normal 2 2 2 2 5 11 11" xfId="16008" xr:uid="{00000000-0005-0000-0000-00005E3E0000}"/>
    <cellStyle name="Normal 2 2 2 2 5 11 12" xfId="16009" xr:uid="{00000000-0005-0000-0000-00005F3E0000}"/>
    <cellStyle name="Normal 2 2 2 2 5 11 13" xfId="16010" xr:uid="{00000000-0005-0000-0000-0000603E0000}"/>
    <cellStyle name="Normal 2 2 2 2 5 11 14" xfId="16011" xr:uid="{00000000-0005-0000-0000-0000613E0000}"/>
    <cellStyle name="Normal 2 2 2 2 5 11 2" xfId="16012" xr:uid="{00000000-0005-0000-0000-0000623E0000}"/>
    <cellStyle name="Normal 2 2 2 2 5 11 2 10" xfId="16013" xr:uid="{00000000-0005-0000-0000-0000633E0000}"/>
    <cellStyle name="Normal 2 2 2 2 5 11 2 2" xfId="16014" xr:uid="{00000000-0005-0000-0000-0000643E0000}"/>
    <cellStyle name="Normal 2 2 2 2 5 11 2 3" xfId="16015" xr:uid="{00000000-0005-0000-0000-0000653E0000}"/>
    <cellStyle name="Normal 2 2 2 2 5 11 2 4" xfId="16016" xr:uid="{00000000-0005-0000-0000-0000663E0000}"/>
    <cellStyle name="Normal 2 2 2 2 5 11 2 5" xfId="16017" xr:uid="{00000000-0005-0000-0000-0000673E0000}"/>
    <cellStyle name="Normal 2 2 2 2 5 11 2 6" xfId="16018" xr:uid="{00000000-0005-0000-0000-0000683E0000}"/>
    <cellStyle name="Normal 2 2 2 2 5 11 2 7" xfId="16019" xr:uid="{00000000-0005-0000-0000-0000693E0000}"/>
    <cellStyle name="Normal 2 2 2 2 5 11 2 8" xfId="16020" xr:uid="{00000000-0005-0000-0000-00006A3E0000}"/>
    <cellStyle name="Normal 2 2 2 2 5 11 2 9" xfId="16021" xr:uid="{00000000-0005-0000-0000-00006B3E0000}"/>
    <cellStyle name="Normal 2 2 2 2 5 11 3" xfId="16022" xr:uid="{00000000-0005-0000-0000-00006C3E0000}"/>
    <cellStyle name="Normal 2 2 2 2 5 11 3 10" xfId="16023" xr:uid="{00000000-0005-0000-0000-00006D3E0000}"/>
    <cellStyle name="Normal 2 2 2 2 5 11 3 2" xfId="16024" xr:uid="{00000000-0005-0000-0000-00006E3E0000}"/>
    <cellStyle name="Normal 2 2 2 2 5 11 3 3" xfId="16025" xr:uid="{00000000-0005-0000-0000-00006F3E0000}"/>
    <cellStyle name="Normal 2 2 2 2 5 11 3 4" xfId="16026" xr:uid="{00000000-0005-0000-0000-0000703E0000}"/>
    <cellStyle name="Normal 2 2 2 2 5 11 3 5" xfId="16027" xr:uid="{00000000-0005-0000-0000-0000713E0000}"/>
    <cellStyle name="Normal 2 2 2 2 5 11 3 6" xfId="16028" xr:uid="{00000000-0005-0000-0000-0000723E0000}"/>
    <cellStyle name="Normal 2 2 2 2 5 11 3 7" xfId="16029" xr:uid="{00000000-0005-0000-0000-0000733E0000}"/>
    <cellStyle name="Normal 2 2 2 2 5 11 3 8" xfId="16030" xr:uid="{00000000-0005-0000-0000-0000743E0000}"/>
    <cellStyle name="Normal 2 2 2 2 5 11 3 9" xfId="16031" xr:uid="{00000000-0005-0000-0000-0000753E0000}"/>
    <cellStyle name="Normal 2 2 2 2 5 11 4" xfId="16032" xr:uid="{00000000-0005-0000-0000-0000763E0000}"/>
    <cellStyle name="Normal 2 2 2 2 5 11 4 10" xfId="16033" xr:uid="{00000000-0005-0000-0000-0000773E0000}"/>
    <cellStyle name="Normal 2 2 2 2 5 11 4 2" xfId="16034" xr:uid="{00000000-0005-0000-0000-0000783E0000}"/>
    <cellStyle name="Normal 2 2 2 2 5 11 4 3" xfId="16035" xr:uid="{00000000-0005-0000-0000-0000793E0000}"/>
    <cellStyle name="Normal 2 2 2 2 5 11 4 4" xfId="16036" xr:uid="{00000000-0005-0000-0000-00007A3E0000}"/>
    <cellStyle name="Normal 2 2 2 2 5 11 4 5" xfId="16037" xr:uid="{00000000-0005-0000-0000-00007B3E0000}"/>
    <cellStyle name="Normal 2 2 2 2 5 11 4 6" xfId="16038" xr:uid="{00000000-0005-0000-0000-00007C3E0000}"/>
    <cellStyle name="Normal 2 2 2 2 5 11 4 7" xfId="16039" xr:uid="{00000000-0005-0000-0000-00007D3E0000}"/>
    <cellStyle name="Normal 2 2 2 2 5 11 4 8" xfId="16040" xr:uid="{00000000-0005-0000-0000-00007E3E0000}"/>
    <cellStyle name="Normal 2 2 2 2 5 11 4 9" xfId="16041" xr:uid="{00000000-0005-0000-0000-00007F3E0000}"/>
    <cellStyle name="Normal 2 2 2 2 5 11 5" xfId="16042" xr:uid="{00000000-0005-0000-0000-0000803E0000}"/>
    <cellStyle name="Normal 2 2 2 2 5 11 5 10" xfId="16043" xr:uid="{00000000-0005-0000-0000-0000813E0000}"/>
    <cellStyle name="Normal 2 2 2 2 5 11 5 2" xfId="16044" xr:uid="{00000000-0005-0000-0000-0000823E0000}"/>
    <cellStyle name="Normal 2 2 2 2 5 11 5 3" xfId="16045" xr:uid="{00000000-0005-0000-0000-0000833E0000}"/>
    <cellStyle name="Normal 2 2 2 2 5 11 5 4" xfId="16046" xr:uid="{00000000-0005-0000-0000-0000843E0000}"/>
    <cellStyle name="Normal 2 2 2 2 5 11 5 5" xfId="16047" xr:uid="{00000000-0005-0000-0000-0000853E0000}"/>
    <cellStyle name="Normal 2 2 2 2 5 11 5 6" xfId="16048" xr:uid="{00000000-0005-0000-0000-0000863E0000}"/>
    <cellStyle name="Normal 2 2 2 2 5 11 5 7" xfId="16049" xr:uid="{00000000-0005-0000-0000-0000873E0000}"/>
    <cellStyle name="Normal 2 2 2 2 5 11 5 8" xfId="16050" xr:uid="{00000000-0005-0000-0000-0000883E0000}"/>
    <cellStyle name="Normal 2 2 2 2 5 11 5 9" xfId="16051" xr:uid="{00000000-0005-0000-0000-0000893E0000}"/>
    <cellStyle name="Normal 2 2 2 2 5 11 6" xfId="16052" xr:uid="{00000000-0005-0000-0000-00008A3E0000}"/>
    <cellStyle name="Normal 2 2 2 2 5 11 7" xfId="16053" xr:uid="{00000000-0005-0000-0000-00008B3E0000}"/>
    <cellStyle name="Normal 2 2 2 2 5 11 8" xfId="16054" xr:uid="{00000000-0005-0000-0000-00008C3E0000}"/>
    <cellStyle name="Normal 2 2 2 2 5 11 9" xfId="16055" xr:uid="{00000000-0005-0000-0000-00008D3E0000}"/>
    <cellStyle name="Normal 2 2 2 2 5 12" xfId="16056" xr:uid="{00000000-0005-0000-0000-00008E3E0000}"/>
    <cellStyle name="Normal 2 2 2 2 5 12 10" xfId="16057" xr:uid="{00000000-0005-0000-0000-00008F3E0000}"/>
    <cellStyle name="Normal 2 2 2 2 5 12 11" xfId="16058" xr:uid="{00000000-0005-0000-0000-0000903E0000}"/>
    <cellStyle name="Normal 2 2 2 2 5 12 12" xfId="16059" xr:uid="{00000000-0005-0000-0000-0000913E0000}"/>
    <cellStyle name="Normal 2 2 2 2 5 12 13" xfId="16060" xr:uid="{00000000-0005-0000-0000-0000923E0000}"/>
    <cellStyle name="Normal 2 2 2 2 5 12 14" xfId="16061" xr:uid="{00000000-0005-0000-0000-0000933E0000}"/>
    <cellStyle name="Normal 2 2 2 2 5 12 2" xfId="16062" xr:uid="{00000000-0005-0000-0000-0000943E0000}"/>
    <cellStyle name="Normal 2 2 2 2 5 12 2 10" xfId="16063" xr:uid="{00000000-0005-0000-0000-0000953E0000}"/>
    <cellStyle name="Normal 2 2 2 2 5 12 2 2" xfId="16064" xr:uid="{00000000-0005-0000-0000-0000963E0000}"/>
    <cellStyle name="Normal 2 2 2 2 5 12 2 3" xfId="16065" xr:uid="{00000000-0005-0000-0000-0000973E0000}"/>
    <cellStyle name="Normal 2 2 2 2 5 12 2 4" xfId="16066" xr:uid="{00000000-0005-0000-0000-0000983E0000}"/>
    <cellStyle name="Normal 2 2 2 2 5 12 2 5" xfId="16067" xr:uid="{00000000-0005-0000-0000-0000993E0000}"/>
    <cellStyle name="Normal 2 2 2 2 5 12 2 6" xfId="16068" xr:uid="{00000000-0005-0000-0000-00009A3E0000}"/>
    <cellStyle name="Normal 2 2 2 2 5 12 2 7" xfId="16069" xr:uid="{00000000-0005-0000-0000-00009B3E0000}"/>
    <cellStyle name="Normal 2 2 2 2 5 12 2 8" xfId="16070" xr:uid="{00000000-0005-0000-0000-00009C3E0000}"/>
    <cellStyle name="Normal 2 2 2 2 5 12 2 9" xfId="16071" xr:uid="{00000000-0005-0000-0000-00009D3E0000}"/>
    <cellStyle name="Normal 2 2 2 2 5 12 3" xfId="16072" xr:uid="{00000000-0005-0000-0000-00009E3E0000}"/>
    <cellStyle name="Normal 2 2 2 2 5 12 3 10" xfId="16073" xr:uid="{00000000-0005-0000-0000-00009F3E0000}"/>
    <cellStyle name="Normal 2 2 2 2 5 12 3 2" xfId="16074" xr:uid="{00000000-0005-0000-0000-0000A03E0000}"/>
    <cellStyle name="Normal 2 2 2 2 5 12 3 3" xfId="16075" xr:uid="{00000000-0005-0000-0000-0000A13E0000}"/>
    <cellStyle name="Normal 2 2 2 2 5 12 3 4" xfId="16076" xr:uid="{00000000-0005-0000-0000-0000A23E0000}"/>
    <cellStyle name="Normal 2 2 2 2 5 12 3 5" xfId="16077" xr:uid="{00000000-0005-0000-0000-0000A33E0000}"/>
    <cellStyle name="Normal 2 2 2 2 5 12 3 6" xfId="16078" xr:uid="{00000000-0005-0000-0000-0000A43E0000}"/>
    <cellStyle name="Normal 2 2 2 2 5 12 3 7" xfId="16079" xr:uid="{00000000-0005-0000-0000-0000A53E0000}"/>
    <cellStyle name="Normal 2 2 2 2 5 12 3 8" xfId="16080" xr:uid="{00000000-0005-0000-0000-0000A63E0000}"/>
    <cellStyle name="Normal 2 2 2 2 5 12 3 9" xfId="16081" xr:uid="{00000000-0005-0000-0000-0000A73E0000}"/>
    <cellStyle name="Normal 2 2 2 2 5 12 4" xfId="16082" xr:uid="{00000000-0005-0000-0000-0000A83E0000}"/>
    <cellStyle name="Normal 2 2 2 2 5 12 4 10" xfId="16083" xr:uid="{00000000-0005-0000-0000-0000A93E0000}"/>
    <cellStyle name="Normal 2 2 2 2 5 12 4 2" xfId="16084" xr:uid="{00000000-0005-0000-0000-0000AA3E0000}"/>
    <cellStyle name="Normal 2 2 2 2 5 12 4 3" xfId="16085" xr:uid="{00000000-0005-0000-0000-0000AB3E0000}"/>
    <cellStyle name="Normal 2 2 2 2 5 12 4 4" xfId="16086" xr:uid="{00000000-0005-0000-0000-0000AC3E0000}"/>
    <cellStyle name="Normal 2 2 2 2 5 12 4 5" xfId="16087" xr:uid="{00000000-0005-0000-0000-0000AD3E0000}"/>
    <cellStyle name="Normal 2 2 2 2 5 12 4 6" xfId="16088" xr:uid="{00000000-0005-0000-0000-0000AE3E0000}"/>
    <cellStyle name="Normal 2 2 2 2 5 12 4 7" xfId="16089" xr:uid="{00000000-0005-0000-0000-0000AF3E0000}"/>
    <cellStyle name="Normal 2 2 2 2 5 12 4 8" xfId="16090" xr:uid="{00000000-0005-0000-0000-0000B03E0000}"/>
    <cellStyle name="Normal 2 2 2 2 5 12 4 9" xfId="16091" xr:uid="{00000000-0005-0000-0000-0000B13E0000}"/>
    <cellStyle name="Normal 2 2 2 2 5 12 5" xfId="16092" xr:uid="{00000000-0005-0000-0000-0000B23E0000}"/>
    <cellStyle name="Normal 2 2 2 2 5 12 5 10" xfId="16093" xr:uid="{00000000-0005-0000-0000-0000B33E0000}"/>
    <cellStyle name="Normal 2 2 2 2 5 12 5 2" xfId="16094" xr:uid="{00000000-0005-0000-0000-0000B43E0000}"/>
    <cellStyle name="Normal 2 2 2 2 5 12 5 3" xfId="16095" xr:uid="{00000000-0005-0000-0000-0000B53E0000}"/>
    <cellStyle name="Normal 2 2 2 2 5 12 5 4" xfId="16096" xr:uid="{00000000-0005-0000-0000-0000B63E0000}"/>
    <cellStyle name="Normal 2 2 2 2 5 12 5 5" xfId="16097" xr:uid="{00000000-0005-0000-0000-0000B73E0000}"/>
    <cellStyle name="Normal 2 2 2 2 5 12 5 6" xfId="16098" xr:uid="{00000000-0005-0000-0000-0000B83E0000}"/>
    <cellStyle name="Normal 2 2 2 2 5 12 5 7" xfId="16099" xr:uid="{00000000-0005-0000-0000-0000B93E0000}"/>
    <cellStyle name="Normal 2 2 2 2 5 12 5 8" xfId="16100" xr:uid="{00000000-0005-0000-0000-0000BA3E0000}"/>
    <cellStyle name="Normal 2 2 2 2 5 12 5 9" xfId="16101" xr:uid="{00000000-0005-0000-0000-0000BB3E0000}"/>
    <cellStyle name="Normal 2 2 2 2 5 12 6" xfId="16102" xr:uid="{00000000-0005-0000-0000-0000BC3E0000}"/>
    <cellStyle name="Normal 2 2 2 2 5 12 7" xfId="16103" xr:uid="{00000000-0005-0000-0000-0000BD3E0000}"/>
    <cellStyle name="Normal 2 2 2 2 5 12 8" xfId="16104" xr:uid="{00000000-0005-0000-0000-0000BE3E0000}"/>
    <cellStyle name="Normal 2 2 2 2 5 12 9" xfId="16105" xr:uid="{00000000-0005-0000-0000-0000BF3E0000}"/>
    <cellStyle name="Normal 2 2 2 2 5 13" xfId="16106" xr:uid="{00000000-0005-0000-0000-0000C03E0000}"/>
    <cellStyle name="Normal 2 2 2 2 5 13 10" xfId="16107" xr:uid="{00000000-0005-0000-0000-0000C13E0000}"/>
    <cellStyle name="Normal 2 2 2 2 5 13 11" xfId="16108" xr:uid="{00000000-0005-0000-0000-0000C23E0000}"/>
    <cellStyle name="Normal 2 2 2 2 5 13 12" xfId="16109" xr:uid="{00000000-0005-0000-0000-0000C33E0000}"/>
    <cellStyle name="Normal 2 2 2 2 5 13 13" xfId="16110" xr:uid="{00000000-0005-0000-0000-0000C43E0000}"/>
    <cellStyle name="Normal 2 2 2 2 5 13 14" xfId="16111" xr:uid="{00000000-0005-0000-0000-0000C53E0000}"/>
    <cellStyle name="Normal 2 2 2 2 5 13 2" xfId="16112" xr:uid="{00000000-0005-0000-0000-0000C63E0000}"/>
    <cellStyle name="Normal 2 2 2 2 5 13 2 10" xfId="16113" xr:uid="{00000000-0005-0000-0000-0000C73E0000}"/>
    <cellStyle name="Normal 2 2 2 2 5 13 2 2" xfId="16114" xr:uid="{00000000-0005-0000-0000-0000C83E0000}"/>
    <cellStyle name="Normal 2 2 2 2 5 13 2 3" xfId="16115" xr:uid="{00000000-0005-0000-0000-0000C93E0000}"/>
    <cellStyle name="Normal 2 2 2 2 5 13 2 4" xfId="16116" xr:uid="{00000000-0005-0000-0000-0000CA3E0000}"/>
    <cellStyle name="Normal 2 2 2 2 5 13 2 5" xfId="16117" xr:uid="{00000000-0005-0000-0000-0000CB3E0000}"/>
    <cellStyle name="Normal 2 2 2 2 5 13 2 6" xfId="16118" xr:uid="{00000000-0005-0000-0000-0000CC3E0000}"/>
    <cellStyle name="Normal 2 2 2 2 5 13 2 7" xfId="16119" xr:uid="{00000000-0005-0000-0000-0000CD3E0000}"/>
    <cellStyle name="Normal 2 2 2 2 5 13 2 8" xfId="16120" xr:uid="{00000000-0005-0000-0000-0000CE3E0000}"/>
    <cellStyle name="Normal 2 2 2 2 5 13 2 9" xfId="16121" xr:uid="{00000000-0005-0000-0000-0000CF3E0000}"/>
    <cellStyle name="Normal 2 2 2 2 5 13 3" xfId="16122" xr:uid="{00000000-0005-0000-0000-0000D03E0000}"/>
    <cellStyle name="Normal 2 2 2 2 5 13 3 10" xfId="16123" xr:uid="{00000000-0005-0000-0000-0000D13E0000}"/>
    <cellStyle name="Normal 2 2 2 2 5 13 3 2" xfId="16124" xr:uid="{00000000-0005-0000-0000-0000D23E0000}"/>
    <cellStyle name="Normal 2 2 2 2 5 13 3 3" xfId="16125" xr:uid="{00000000-0005-0000-0000-0000D33E0000}"/>
    <cellStyle name="Normal 2 2 2 2 5 13 3 4" xfId="16126" xr:uid="{00000000-0005-0000-0000-0000D43E0000}"/>
    <cellStyle name="Normal 2 2 2 2 5 13 3 5" xfId="16127" xr:uid="{00000000-0005-0000-0000-0000D53E0000}"/>
    <cellStyle name="Normal 2 2 2 2 5 13 3 6" xfId="16128" xr:uid="{00000000-0005-0000-0000-0000D63E0000}"/>
    <cellStyle name="Normal 2 2 2 2 5 13 3 7" xfId="16129" xr:uid="{00000000-0005-0000-0000-0000D73E0000}"/>
    <cellStyle name="Normal 2 2 2 2 5 13 3 8" xfId="16130" xr:uid="{00000000-0005-0000-0000-0000D83E0000}"/>
    <cellStyle name="Normal 2 2 2 2 5 13 3 9" xfId="16131" xr:uid="{00000000-0005-0000-0000-0000D93E0000}"/>
    <cellStyle name="Normal 2 2 2 2 5 13 4" xfId="16132" xr:uid="{00000000-0005-0000-0000-0000DA3E0000}"/>
    <cellStyle name="Normal 2 2 2 2 5 13 4 10" xfId="16133" xr:uid="{00000000-0005-0000-0000-0000DB3E0000}"/>
    <cellStyle name="Normal 2 2 2 2 5 13 4 2" xfId="16134" xr:uid="{00000000-0005-0000-0000-0000DC3E0000}"/>
    <cellStyle name="Normal 2 2 2 2 5 13 4 3" xfId="16135" xr:uid="{00000000-0005-0000-0000-0000DD3E0000}"/>
    <cellStyle name="Normal 2 2 2 2 5 13 4 4" xfId="16136" xr:uid="{00000000-0005-0000-0000-0000DE3E0000}"/>
    <cellStyle name="Normal 2 2 2 2 5 13 4 5" xfId="16137" xr:uid="{00000000-0005-0000-0000-0000DF3E0000}"/>
    <cellStyle name="Normal 2 2 2 2 5 13 4 6" xfId="16138" xr:uid="{00000000-0005-0000-0000-0000E03E0000}"/>
    <cellStyle name="Normal 2 2 2 2 5 13 4 7" xfId="16139" xr:uid="{00000000-0005-0000-0000-0000E13E0000}"/>
    <cellStyle name="Normal 2 2 2 2 5 13 4 8" xfId="16140" xr:uid="{00000000-0005-0000-0000-0000E23E0000}"/>
    <cellStyle name="Normal 2 2 2 2 5 13 4 9" xfId="16141" xr:uid="{00000000-0005-0000-0000-0000E33E0000}"/>
    <cellStyle name="Normal 2 2 2 2 5 13 5" xfId="16142" xr:uid="{00000000-0005-0000-0000-0000E43E0000}"/>
    <cellStyle name="Normal 2 2 2 2 5 13 5 10" xfId="16143" xr:uid="{00000000-0005-0000-0000-0000E53E0000}"/>
    <cellStyle name="Normal 2 2 2 2 5 13 5 2" xfId="16144" xr:uid="{00000000-0005-0000-0000-0000E63E0000}"/>
    <cellStyle name="Normal 2 2 2 2 5 13 5 3" xfId="16145" xr:uid="{00000000-0005-0000-0000-0000E73E0000}"/>
    <cellStyle name="Normal 2 2 2 2 5 13 5 4" xfId="16146" xr:uid="{00000000-0005-0000-0000-0000E83E0000}"/>
    <cellStyle name="Normal 2 2 2 2 5 13 5 5" xfId="16147" xr:uid="{00000000-0005-0000-0000-0000E93E0000}"/>
    <cellStyle name="Normal 2 2 2 2 5 13 5 6" xfId="16148" xr:uid="{00000000-0005-0000-0000-0000EA3E0000}"/>
    <cellStyle name="Normal 2 2 2 2 5 13 5 7" xfId="16149" xr:uid="{00000000-0005-0000-0000-0000EB3E0000}"/>
    <cellStyle name="Normal 2 2 2 2 5 13 5 8" xfId="16150" xr:uid="{00000000-0005-0000-0000-0000EC3E0000}"/>
    <cellStyle name="Normal 2 2 2 2 5 13 5 9" xfId="16151" xr:uid="{00000000-0005-0000-0000-0000ED3E0000}"/>
    <cellStyle name="Normal 2 2 2 2 5 13 6" xfId="16152" xr:uid="{00000000-0005-0000-0000-0000EE3E0000}"/>
    <cellStyle name="Normal 2 2 2 2 5 13 7" xfId="16153" xr:uid="{00000000-0005-0000-0000-0000EF3E0000}"/>
    <cellStyle name="Normal 2 2 2 2 5 13 8" xfId="16154" xr:uid="{00000000-0005-0000-0000-0000F03E0000}"/>
    <cellStyle name="Normal 2 2 2 2 5 13 9" xfId="16155" xr:uid="{00000000-0005-0000-0000-0000F13E0000}"/>
    <cellStyle name="Normal 2 2 2 2 5 14" xfId="16156" xr:uid="{00000000-0005-0000-0000-0000F23E0000}"/>
    <cellStyle name="Normal 2 2 2 2 5 14 10" xfId="16157" xr:uid="{00000000-0005-0000-0000-0000F33E0000}"/>
    <cellStyle name="Normal 2 2 2 2 5 14 11" xfId="16158" xr:uid="{00000000-0005-0000-0000-0000F43E0000}"/>
    <cellStyle name="Normal 2 2 2 2 5 14 12" xfId="16159" xr:uid="{00000000-0005-0000-0000-0000F53E0000}"/>
    <cellStyle name="Normal 2 2 2 2 5 14 13" xfId="16160" xr:uid="{00000000-0005-0000-0000-0000F63E0000}"/>
    <cellStyle name="Normal 2 2 2 2 5 14 14" xfId="16161" xr:uid="{00000000-0005-0000-0000-0000F73E0000}"/>
    <cellStyle name="Normal 2 2 2 2 5 14 2" xfId="16162" xr:uid="{00000000-0005-0000-0000-0000F83E0000}"/>
    <cellStyle name="Normal 2 2 2 2 5 14 2 10" xfId="16163" xr:uid="{00000000-0005-0000-0000-0000F93E0000}"/>
    <cellStyle name="Normal 2 2 2 2 5 14 2 2" xfId="16164" xr:uid="{00000000-0005-0000-0000-0000FA3E0000}"/>
    <cellStyle name="Normal 2 2 2 2 5 14 2 3" xfId="16165" xr:uid="{00000000-0005-0000-0000-0000FB3E0000}"/>
    <cellStyle name="Normal 2 2 2 2 5 14 2 4" xfId="16166" xr:uid="{00000000-0005-0000-0000-0000FC3E0000}"/>
    <cellStyle name="Normal 2 2 2 2 5 14 2 5" xfId="16167" xr:uid="{00000000-0005-0000-0000-0000FD3E0000}"/>
    <cellStyle name="Normal 2 2 2 2 5 14 2 6" xfId="16168" xr:uid="{00000000-0005-0000-0000-0000FE3E0000}"/>
    <cellStyle name="Normal 2 2 2 2 5 14 2 7" xfId="16169" xr:uid="{00000000-0005-0000-0000-0000FF3E0000}"/>
    <cellStyle name="Normal 2 2 2 2 5 14 2 8" xfId="16170" xr:uid="{00000000-0005-0000-0000-0000003F0000}"/>
    <cellStyle name="Normal 2 2 2 2 5 14 2 9" xfId="16171" xr:uid="{00000000-0005-0000-0000-0000013F0000}"/>
    <cellStyle name="Normal 2 2 2 2 5 14 3" xfId="16172" xr:uid="{00000000-0005-0000-0000-0000023F0000}"/>
    <cellStyle name="Normal 2 2 2 2 5 14 3 10" xfId="16173" xr:uid="{00000000-0005-0000-0000-0000033F0000}"/>
    <cellStyle name="Normal 2 2 2 2 5 14 3 2" xfId="16174" xr:uid="{00000000-0005-0000-0000-0000043F0000}"/>
    <cellStyle name="Normal 2 2 2 2 5 14 3 3" xfId="16175" xr:uid="{00000000-0005-0000-0000-0000053F0000}"/>
    <cellStyle name="Normal 2 2 2 2 5 14 3 4" xfId="16176" xr:uid="{00000000-0005-0000-0000-0000063F0000}"/>
    <cellStyle name="Normal 2 2 2 2 5 14 3 5" xfId="16177" xr:uid="{00000000-0005-0000-0000-0000073F0000}"/>
    <cellStyle name="Normal 2 2 2 2 5 14 3 6" xfId="16178" xr:uid="{00000000-0005-0000-0000-0000083F0000}"/>
    <cellStyle name="Normal 2 2 2 2 5 14 3 7" xfId="16179" xr:uid="{00000000-0005-0000-0000-0000093F0000}"/>
    <cellStyle name="Normal 2 2 2 2 5 14 3 8" xfId="16180" xr:uid="{00000000-0005-0000-0000-00000A3F0000}"/>
    <cellStyle name="Normal 2 2 2 2 5 14 3 9" xfId="16181" xr:uid="{00000000-0005-0000-0000-00000B3F0000}"/>
    <cellStyle name="Normal 2 2 2 2 5 14 4" xfId="16182" xr:uid="{00000000-0005-0000-0000-00000C3F0000}"/>
    <cellStyle name="Normal 2 2 2 2 5 14 4 10" xfId="16183" xr:uid="{00000000-0005-0000-0000-00000D3F0000}"/>
    <cellStyle name="Normal 2 2 2 2 5 14 4 2" xfId="16184" xr:uid="{00000000-0005-0000-0000-00000E3F0000}"/>
    <cellStyle name="Normal 2 2 2 2 5 14 4 3" xfId="16185" xr:uid="{00000000-0005-0000-0000-00000F3F0000}"/>
    <cellStyle name="Normal 2 2 2 2 5 14 4 4" xfId="16186" xr:uid="{00000000-0005-0000-0000-0000103F0000}"/>
    <cellStyle name="Normal 2 2 2 2 5 14 4 5" xfId="16187" xr:uid="{00000000-0005-0000-0000-0000113F0000}"/>
    <cellStyle name="Normal 2 2 2 2 5 14 4 6" xfId="16188" xr:uid="{00000000-0005-0000-0000-0000123F0000}"/>
    <cellStyle name="Normal 2 2 2 2 5 14 4 7" xfId="16189" xr:uid="{00000000-0005-0000-0000-0000133F0000}"/>
    <cellStyle name="Normal 2 2 2 2 5 14 4 8" xfId="16190" xr:uid="{00000000-0005-0000-0000-0000143F0000}"/>
    <cellStyle name="Normal 2 2 2 2 5 14 4 9" xfId="16191" xr:uid="{00000000-0005-0000-0000-0000153F0000}"/>
    <cellStyle name="Normal 2 2 2 2 5 14 5" xfId="16192" xr:uid="{00000000-0005-0000-0000-0000163F0000}"/>
    <cellStyle name="Normal 2 2 2 2 5 14 5 10" xfId="16193" xr:uid="{00000000-0005-0000-0000-0000173F0000}"/>
    <cellStyle name="Normal 2 2 2 2 5 14 5 2" xfId="16194" xr:uid="{00000000-0005-0000-0000-0000183F0000}"/>
    <cellStyle name="Normal 2 2 2 2 5 14 5 3" xfId="16195" xr:uid="{00000000-0005-0000-0000-0000193F0000}"/>
    <cellStyle name="Normal 2 2 2 2 5 14 5 4" xfId="16196" xr:uid="{00000000-0005-0000-0000-00001A3F0000}"/>
    <cellStyle name="Normal 2 2 2 2 5 14 5 5" xfId="16197" xr:uid="{00000000-0005-0000-0000-00001B3F0000}"/>
    <cellStyle name="Normal 2 2 2 2 5 14 5 6" xfId="16198" xr:uid="{00000000-0005-0000-0000-00001C3F0000}"/>
    <cellStyle name="Normal 2 2 2 2 5 14 5 7" xfId="16199" xr:uid="{00000000-0005-0000-0000-00001D3F0000}"/>
    <cellStyle name="Normal 2 2 2 2 5 14 5 8" xfId="16200" xr:uid="{00000000-0005-0000-0000-00001E3F0000}"/>
    <cellStyle name="Normal 2 2 2 2 5 14 5 9" xfId="16201" xr:uid="{00000000-0005-0000-0000-00001F3F0000}"/>
    <cellStyle name="Normal 2 2 2 2 5 14 6" xfId="16202" xr:uid="{00000000-0005-0000-0000-0000203F0000}"/>
    <cellStyle name="Normal 2 2 2 2 5 14 7" xfId="16203" xr:uid="{00000000-0005-0000-0000-0000213F0000}"/>
    <cellStyle name="Normal 2 2 2 2 5 14 8" xfId="16204" xr:uid="{00000000-0005-0000-0000-0000223F0000}"/>
    <cellStyle name="Normal 2 2 2 2 5 14 9" xfId="16205" xr:uid="{00000000-0005-0000-0000-0000233F0000}"/>
    <cellStyle name="Normal 2 2 2 2 5 15" xfId="16206" xr:uid="{00000000-0005-0000-0000-0000243F0000}"/>
    <cellStyle name="Normal 2 2 2 2 5 15 10" xfId="16207" xr:uid="{00000000-0005-0000-0000-0000253F0000}"/>
    <cellStyle name="Normal 2 2 2 2 5 15 11" xfId="16208" xr:uid="{00000000-0005-0000-0000-0000263F0000}"/>
    <cellStyle name="Normal 2 2 2 2 5 15 12" xfId="16209" xr:uid="{00000000-0005-0000-0000-0000273F0000}"/>
    <cellStyle name="Normal 2 2 2 2 5 15 13" xfId="16210" xr:uid="{00000000-0005-0000-0000-0000283F0000}"/>
    <cellStyle name="Normal 2 2 2 2 5 15 14" xfId="16211" xr:uid="{00000000-0005-0000-0000-0000293F0000}"/>
    <cellStyle name="Normal 2 2 2 2 5 15 2" xfId="16212" xr:uid="{00000000-0005-0000-0000-00002A3F0000}"/>
    <cellStyle name="Normal 2 2 2 2 5 15 2 10" xfId="16213" xr:uid="{00000000-0005-0000-0000-00002B3F0000}"/>
    <cellStyle name="Normal 2 2 2 2 5 15 2 2" xfId="16214" xr:uid="{00000000-0005-0000-0000-00002C3F0000}"/>
    <cellStyle name="Normal 2 2 2 2 5 15 2 3" xfId="16215" xr:uid="{00000000-0005-0000-0000-00002D3F0000}"/>
    <cellStyle name="Normal 2 2 2 2 5 15 2 4" xfId="16216" xr:uid="{00000000-0005-0000-0000-00002E3F0000}"/>
    <cellStyle name="Normal 2 2 2 2 5 15 2 5" xfId="16217" xr:uid="{00000000-0005-0000-0000-00002F3F0000}"/>
    <cellStyle name="Normal 2 2 2 2 5 15 2 6" xfId="16218" xr:uid="{00000000-0005-0000-0000-0000303F0000}"/>
    <cellStyle name="Normal 2 2 2 2 5 15 2 7" xfId="16219" xr:uid="{00000000-0005-0000-0000-0000313F0000}"/>
    <cellStyle name="Normal 2 2 2 2 5 15 2 8" xfId="16220" xr:uid="{00000000-0005-0000-0000-0000323F0000}"/>
    <cellStyle name="Normal 2 2 2 2 5 15 2 9" xfId="16221" xr:uid="{00000000-0005-0000-0000-0000333F0000}"/>
    <cellStyle name="Normal 2 2 2 2 5 15 3" xfId="16222" xr:uid="{00000000-0005-0000-0000-0000343F0000}"/>
    <cellStyle name="Normal 2 2 2 2 5 15 3 10" xfId="16223" xr:uid="{00000000-0005-0000-0000-0000353F0000}"/>
    <cellStyle name="Normal 2 2 2 2 5 15 3 2" xfId="16224" xr:uid="{00000000-0005-0000-0000-0000363F0000}"/>
    <cellStyle name="Normal 2 2 2 2 5 15 3 3" xfId="16225" xr:uid="{00000000-0005-0000-0000-0000373F0000}"/>
    <cellStyle name="Normal 2 2 2 2 5 15 3 4" xfId="16226" xr:uid="{00000000-0005-0000-0000-0000383F0000}"/>
    <cellStyle name="Normal 2 2 2 2 5 15 3 5" xfId="16227" xr:uid="{00000000-0005-0000-0000-0000393F0000}"/>
    <cellStyle name="Normal 2 2 2 2 5 15 3 6" xfId="16228" xr:uid="{00000000-0005-0000-0000-00003A3F0000}"/>
    <cellStyle name="Normal 2 2 2 2 5 15 3 7" xfId="16229" xr:uid="{00000000-0005-0000-0000-00003B3F0000}"/>
    <cellStyle name="Normal 2 2 2 2 5 15 3 8" xfId="16230" xr:uid="{00000000-0005-0000-0000-00003C3F0000}"/>
    <cellStyle name="Normal 2 2 2 2 5 15 3 9" xfId="16231" xr:uid="{00000000-0005-0000-0000-00003D3F0000}"/>
    <cellStyle name="Normal 2 2 2 2 5 15 4" xfId="16232" xr:uid="{00000000-0005-0000-0000-00003E3F0000}"/>
    <cellStyle name="Normal 2 2 2 2 5 15 4 10" xfId="16233" xr:uid="{00000000-0005-0000-0000-00003F3F0000}"/>
    <cellStyle name="Normal 2 2 2 2 5 15 4 2" xfId="16234" xr:uid="{00000000-0005-0000-0000-0000403F0000}"/>
    <cellStyle name="Normal 2 2 2 2 5 15 4 3" xfId="16235" xr:uid="{00000000-0005-0000-0000-0000413F0000}"/>
    <cellStyle name="Normal 2 2 2 2 5 15 4 4" xfId="16236" xr:uid="{00000000-0005-0000-0000-0000423F0000}"/>
    <cellStyle name="Normal 2 2 2 2 5 15 4 5" xfId="16237" xr:uid="{00000000-0005-0000-0000-0000433F0000}"/>
    <cellStyle name="Normal 2 2 2 2 5 15 4 6" xfId="16238" xr:uid="{00000000-0005-0000-0000-0000443F0000}"/>
    <cellStyle name="Normal 2 2 2 2 5 15 4 7" xfId="16239" xr:uid="{00000000-0005-0000-0000-0000453F0000}"/>
    <cellStyle name="Normal 2 2 2 2 5 15 4 8" xfId="16240" xr:uid="{00000000-0005-0000-0000-0000463F0000}"/>
    <cellStyle name="Normal 2 2 2 2 5 15 4 9" xfId="16241" xr:uid="{00000000-0005-0000-0000-0000473F0000}"/>
    <cellStyle name="Normal 2 2 2 2 5 15 5" xfId="16242" xr:uid="{00000000-0005-0000-0000-0000483F0000}"/>
    <cellStyle name="Normal 2 2 2 2 5 15 5 10" xfId="16243" xr:uid="{00000000-0005-0000-0000-0000493F0000}"/>
    <cellStyle name="Normal 2 2 2 2 5 15 5 2" xfId="16244" xr:uid="{00000000-0005-0000-0000-00004A3F0000}"/>
    <cellStyle name="Normal 2 2 2 2 5 15 5 3" xfId="16245" xr:uid="{00000000-0005-0000-0000-00004B3F0000}"/>
    <cellStyle name="Normal 2 2 2 2 5 15 5 4" xfId="16246" xr:uid="{00000000-0005-0000-0000-00004C3F0000}"/>
    <cellStyle name="Normal 2 2 2 2 5 15 5 5" xfId="16247" xr:uid="{00000000-0005-0000-0000-00004D3F0000}"/>
    <cellStyle name="Normal 2 2 2 2 5 15 5 6" xfId="16248" xr:uid="{00000000-0005-0000-0000-00004E3F0000}"/>
    <cellStyle name="Normal 2 2 2 2 5 15 5 7" xfId="16249" xr:uid="{00000000-0005-0000-0000-00004F3F0000}"/>
    <cellStyle name="Normal 2 2 2 2 5 15 5 8" xfId="16250" xr:uid="{00000000-0005-0000-0000-0000503F0000}"/>
    <cellStyle name="Normal 2 2 2 2 5 15 5 9" xfId="16251" xr:uid="{00000000-0005-0000-0000-0000513F0000}"/>
    <cellStyle name="Normal 2 2 2 2 5 15 6" xfId="16252" xr:uid="{00000000-0005-0000-0000-0000523F0000}"/>
    <cellStyle name="Normal 2 2 2 2 5 15 7" xfId="16253" xr:uid="{00000000-0005-0000-0000-0000533F0000}"/>
    <cellStyle name="Normal 2 2 2 2 5 15 8" xfId="16254" xr:uid="{00000000-0005-0000-0000-0000543F0000}"/>
    <cellStyle name="Normal 2 2 2 2 5 15 9" xfId="16255" xr:uid="{00000000-0005-0000-0000-0000553F0000}"/>
    <cellStyle name="Normal 2 2 2 2 5 16" xfId="16256" xr:uid="{00000000-0005-0000-0000-0000563F0000}"/>
    <cellStyle name="Normal 2 2 2 2 5 16 10" xfId="16257" xr:uid="{00000000-0005-0000-0000-0000573F0000}"/>
    <cellStyle name="Normal 2 2 2 2 5 16 11" xfId="16258" xr:uid="{00000000-0005-0000-0000-0000583F0000}"/>
    <cellStyle name="Normal 2 2 2 2 5 16 12" xfId="16259" xr:uid="{00000000-0005-0000-0000-0000593F0000}"/>
    <cellStyle name="Normal 2 2 2 2 5 16 13" xfId="16260" xr:uid="{00000000-0005-0000-0000-00005A3F0000}"/>
    <cellStyle name="Normal 2 2 2 2 5 16 14" xfId="16261" xr:uid="{00000000-0005-0000-0000-00005B3F0000}"/>
    <cellStyle name="Normal 2 2 2 2 5 16 2" xfId="16262" xr:uid="{00000000-0005-0000-0000-00005C3F0000}"/>
    <cellStyle name="Normal 2 2 2 2 5 16 2 10" xfId="16263" xr:uid="{00000000-0005-0000-0000-00005D3F0000}"/>
    <cellStyle name="Normal 2 2 2 2 5 16 2 2" xfId="16264" xr:uid="{00000000-0005-0000-0000-00005E3F0000}"/>
    <cellStyle name="Normal 2 2 2 2 5 16 2 3" xfId="16265" xr:uid="{00000000-0005-0000-0000-00005F3F0000}"/>
    <cellStyle name="Normal 2 2 2 2 5 16 2 4" xfId="16266" xr:uid="{00000000-0005-0000-0000-0000603F0000}"/>
    <cellStyle name="Normal 2 2 2 2 5 16 2 5" xfId="16267" xr:uid="{00000000-0005-0000-0000-0000613F0000}"/>
    <cellStyle name="Normal 2 2 2 2 5 16 2 6" xfId="16268" xr:uid="{00000000-0005-0000-0000-0000623F0000}"/>
    <cellStyle name="Normal 2 2 2 2 5 16 2 7" xfId="16269" xr:uid="{00000000-0005-0000-0000-0000633F0000}"/>
    <cellStyle name="Normal 2 2 2 2 5 16 2 8" xfId="16270" xr:uid="{00000000-0005-0000-0000-0000643F0000}"/>
    <cellStyle name="Normal 2 2 2 2 5 16 2 9" xfId="16271" xr:uid="{00000000-0005-0000-0000-0000653F0000}"/>
    <cellStyle name="Normal 2 2 2 2 5 16 3" xfId="16272" xr:uid="{00000000-0005-0000-0000-0000663F0000}"/>
    <cellStyle name="Normal 2 2 2 2 5 16 3 10" xfId="16273" xr:uid="{00000000-0005-0000-0000-0000673F0000}"/>
    <cellStyle name="Normal 2 2 2 2 5 16 3 2" xfId="16274" xr:uid="{00000000-0005-0000-0000-0000683F0000}"/>
    <cellStyle name="Normal 2 2 2 2 5 16 3 3" xfId="16275" xr:uid="{00000000-0005-0000-0000-0000693F0000}"/>
    <cellStyle name="Normal 2 2 2 2 5 16 3 4" xfId="16276" xr:uid="{00000000-0005-0000-0000-00006A3F0000}"/>
    <cellStyle name="Normal 2 2 2 2 5 16 3 5" xfId="16277" xr:uid="{00000000-0005-0000-0000-00006B3F0000}"/>
    <cellStyle name="Normal 2 2 2 2 5 16 3 6" xfId="16278" xr:uid="{00000000-0005-0000-0000-00006C3F0000}"/>
    <cellStyle name="Normal 2 2 2 2 5 16 3 7" xfId="16279" xr:uid="{00000000-0005-0000-0000-00006D3F0000}"/>
    <cellStyle name="Normal 2 2 2 2 5 16 3 8" xfId="16280" xr:uid="{00000000-0005-0000-0000-00006E3F0000}"/>
    <cellStyle name="Normal 2 2 2 2 5 16 3 9" xfId="16281" xr:uid="{00000000-0005-0000-0000-00006F3F0000}"/>
    <cellStyle name="Normal 2 2 2 2 5 16 4" xfId="16282" xr:uid="{00000000-0005-0000-0000-0000703F0000}"/>
    <cellStyle name="Normal 2 2 2 2 5 16 4 10" xfId="16283" xr:uid="{00000000-0005-0000-0000-0000713F0000}"/>
    <cellStyle name="Normal 2 2 2 2 5 16 4 2" xfId="16284" xr:uid="{00000000-0005-0000-0000-0000723F0000}"/>
    <cellStyle name="Normal 2 2 2 2 5 16 4 3" xfId="16285" xr:uid="{00000000-0005-0000-0000-0000733F0000}"/>
    <cellStyle name="Normal 2 2 2 2 5 16 4 4" xfId="16286" xr:uid="{00000000-0005-0000-0000-0000743F0000}"/>
    <cellStyle name="Normal 2 2 2 2 5 16 4 5" xfId="16287" xr:uid="{00000000-0005-0000-0000-0000753F0000}"/>
    <cellStyle name="Normal 2 2 2 2 5 16 4 6" xfId="16288" xr:uid="{00000000-0005-0000-0000-0000763F0000}"/>
    <cellStyle name="Normal 2 2 2 2 5 16 4 7" xfId="16289" xr:uid="{00000000-0005-0000-0000-0000773F0000}"/>
    <cellStyle name="Normal 2 2 2 2 5 16 4 8" xfId="16290" xr:uid="{00000000-0005-0000-0000-0000783F0000}"/>
    <cellStyle name="Normal 2 2 2 2 5 16 4 9" xfId="16291" xr:uid="{00000000-0005-0000-0000-0000793F0000}"/>
    <cellStyle name="Normal 2 2 2 2 5 16 5" xfId="16292" xr:uid="{00000000-0005-0000-0000-00007A3F0000}"/>
    <cellStyle name="Normal 2 2 2 2 5 16 5 10" xfId="16293" xr:uid="{00000000-0005-0000-0000-00007B3F0000}"/>
    <cellStyle name="Normal 2 2 2 2 5 16 5 2" xfId="16294" xr:uid="{00000000-0005-0000-0000-00007C3F0000}"/>
    <cellStyle name="Normal 2 2 2 2 5 16 5 3" xfId="16295" xr:uid="{00000000-0005-0000-0000-00007D3F0000}"/>
    <cellStyle name="Normal 2 2 2 2 5 16 5 4" xfId="16296" xr:uid="{00000000-0005-0000-0000-00007E3F0000}"/>
    <cellStyle name="Normal 2 2 2 2 5 16 5 5" xfId="16297" xr:uid="{00000000-0005-0000-0000-00007F3F0000}"/>
    <cellStyle name="Normal 2 2 2 2 5 16 5 6" xfId="16298" xr:uid="{00000000-0005-0000-0000-0000803F0000}"/>
    <cellStyle name="Normal 2 2 2 2 5 16 5 7" xfId="16299" xr:uid="{00000000-0005-0000-0000-0000813F0000}"/>
    <cellStyle name="Normal 2 2 2 2 5 16 5 8" xfId="16300" xr:uid="{00000000-0005-0000-0000-0000823F0000}"/>
    <cellStyle name="Normal 2 2 2 2 5 16 5 9" xfId="16301" xr:uid="{00000000-0005-0000-0000-0000833F0000}"/>
    <cellStyle name="Normal 2 2 2 2 5 16 6" xfId="16302" xr:uid="{00000000-0005-0000-0000-0000843F0000}"/>
    <cellStyle name="Normal 2 2 2 2 5 16 7" xfId="16303" xr:uid="{00000000-0005-0000-0000-0000853F0000}"/>
    <cellStyle name="Normal 2 2 2 2 5 16 8" xfId="16304" xr:uid="{00000000-0005-0000-0000-0000863F0000}"/>
    <cellStyle name="Normal 2 2 2 2 5 16 9" xfId="16305" xr:uid="{00000000-0005-0000-0000-0000873F0000}"/>
    <cellStyle name="Normal 2 2 2 2 5 17" xfId="16306" xr:uid="{00000000-0005-0000-0000-0000883F0000}"/>
    <cellStyle name="Normal 2 2 2 2 5 17 10" xfId="16307" xr:uid="{00000000-0005-0000-0000-0000893F0000}"/>
    <cellStyle name="Normal 2 2 2 2 5 17 11" xfId="16308" xr:uid="{00000000-0005-0000-0000-00008A3F0000}"/>
    <cellStyle name="Normal 2 2 2 2 5 17 12" xfId="16309" xr:uid="{00000000-0005-0000-0000-00008B3F0000}"/>
    <cellStyle name="Normal 2 2 2 2 5 17 13" xfId="16310" xr:uid="{00000000-0005-0000-0000-00008C3F0000}"/>
    <cellStyle name="Normal 2 2 2 2 5 17 14" xfId="16311" xr:uid="{00000000-0005-0000-0000-00008D3F0000}"/>
    <cellStyle name="Normal 2 2 2 2 5 17 2" xfId="16312" xr:uid="{00000000-0005-0000-0000-00008E3F0000}"/>
    <cellStyle name="Normal 2 2 2 2 5 17 2 10" xfId="16313" xr:uid="{00000000-0005-0000-0000-00008F3F0000}"/>
    <cellStyle name="Normal 2 2 2 2 5 17 2 2" xfId="16314" xr:uid="{00000000-0005-0000-0000-0000903F0000}"/>
    <cellStyle name="Normal 2 2 2 2 5 17 2 3" xfId="16315" xr:uid="{00000000-0005-0000-0000-0000913F0000}"/>
    <cellStyle name="Normal 2 2 2 2 5 17 2 4" xfId="16316" xr:uid="{00000000-0005-0000-0000-0000923F0000}"/>
    <cellStyle name="Normal 2 2 2 2 5 17 2 5" xfId="16317" xr:uid="{00000000-0005-0000-0000-0000933F0000}"/>
    <cellStyle name="Normal 2 2 2 2 5 17 2 6" xfId="16318" xr:uid="{00000000-0005-0000-0000-0000943F0000}"/>
    <cellStyle name="Normal 2 2 2 2 5 17 2 7" xfId="16319" xr:uid="{00000000-0005-0000-0000-0000953F0000}"/>
    <cellStyle name="Normal 2 2 2 2 5 17 2 8" xfId="16320" xr:uid="{00000000-0005-0000-0000-0000963F0000}"/>
    <cellStyle name="Normal 2 2 2 2 5 17 2 9" xfId="16321" xr:uid="{00000000-0005-0000-0000-0000973F0000}"/>
    <cellStyle name="Normal 2 2 2 2 5 17 3" xfId="16322" xr:uid="{00000000-0005-0000-0000-0000983F0000}"/>
    <cellStyle name="Normal 2 2 2 2 5 17 3 10" xfId="16323" xr:uid="{00000000-0005-0000-0000-0000993F0000}"/>
    <cellStyle name="Normal 2 2 2 2 5 17 3 2" xfId="16324" xr:uid="{00000000-0005-0000-0000-00009A3F0000}"/>
    <cellStyle name="Normal 2 2 2 2 5 17 3 3" xfId="16325" xr:uid="{00000000-0005-0000-0000-00009B3F0000}"/>
    <cellStyle name="Normal 2 2 2 2 5 17 3 4" xfId="16326" xr:uid="{00000000-0005-0000-0000-00009C3F0000}"/>
    <cellStyle name="Normal 2 2 2 2 5 17 3 5" xfId="16327" xr:uid="{00000000-0005-0000-0000-00009D3F0000}"/>
    <cellStyle name="Normal 2 2 2 2 5 17 3 6" xfId="16328" xr:uid="{00000000-0005-0000-0000-00009E3F0000}"/>
    <cellStyle name="Normal 2 2 2 2 5 17 3 7" xfId="16329" xr:uid="{00000000-0005-0000-0000-00009F3F0000}"/>
    <cellStyle name="Normal 2 2 2 2 5 17 3 8" xfId="16330" xr:uid="{00000000-0005-0000-0000-0000A03F0000}"/>
    <cellStyle name="Normal 2 2 2 2 5 17 3 9" xfId="16331" xr:uid="{00000000-0005-0000-0000-0000A13F0000}"/>
    <cellStyle name="Normal 2 2 2 2 5 17 4" xfId="16332" xr:uid="{00000000-0005-0000-0000-0000A23F0000}"/>
    <cellStyle name="Normal 2 2 2 2 5 17 4 10" xfId="16333" xr:uid="{00000000-0005-0000-0000-0000A33F0000}"/>
    <cellStyle name="Normal 2 2 2 2 5 17 4 2" xfId="16334" xr:uid="{00000000-0005-0000-0000-0000A43F0000}"/>
    <cellStyle name="Normal 2 2 2 2 5 17 4 3" xfId="16335" xr:uid="{00000000-0005-0000-0000-0000A53F0000}"/>
    <cellStyle name="Normal 2 2 2 2 5 17 4 4" xfId="16336" xr:uid="{00000000-0005-0000-0000-0000A63F0000}"/>
    <cellStyle name="Normal 2 2 2 2 5 17 4 5" xfId="16337" xr:uid="{00000000-0005-0000-0000-0000A73F0000}"/>
    <cellStyle name="Normal 2 2 2 2 5 17 4 6" xfId="16338" xr:uid="{00000000-0005-0000-0000-0000A83F0000}"/>
    <cellStyle name="Normal 2 2 2 2 5 17 4 7" xfId="16339" xr:uid="{00000000-0005-0000-0000-0000A93F0000}"/>
    <cellStyle name="Normal 2 2 2 2 5 17 4 8" xfId="16340" xr:uid="{00000000-0005-0000-0000-0000AA3F0000}"/>
    <cellStyle name="Normal 2 2 2 2 5 17 4 9" xfId="16341" xr:uid="{00000000-0005-0000-0000-0000AB3F0000}"/>
    <cellStyle name="Normal 2 2 2 2 5 17 5" xfId="16342" xr:uid="{00000000-0005-0000-0000-0000AC3F0000}"/>
    <cellStyle name="Normal 2 2 2 2 5 17 5 10" xfId="16343" xr:uid="{00000000-0005-0000-0000-0000AD3F0000}"/>
    <cellStyle name="Normal 2 2 2 2 5 17 5 2" xfId="16344" xr:uid="{00000000-0005-0000-0000-0000AE3F0000}"/>
    <cellStyle name="Normal 2 2 2 2 5 17 5 3" xfId="16345" xr:uid="{00000000-0005-0000-0000-0000AF3F0000}"/>
    <cellStyle name="Normal 2 2 2 2 5 17 5 4" xfId="16346" xr:uid="{00000000-0005-0000-0000-0000B03F0000}"/>
    <cellStyle name="Normal 2 2 2 2 5 17 5 5" xfId="16347" xr:uid="{00000000-0005-0000-0000-0000B13F0000}"/>
    <cellStyle name="Normal 2 2 2 2 5 17 5 6" xfId="16348" xr:uid="{00000000-0005-0000-0000-0000B23F0000}"/>
    <cellStyle name="Normal 2 2 2 2 5 17 5 7" xfId="16349" xr:uid="{00000000-0005-0000-0000-0000B33F0000}"/>
    <cellStyle name="Normal 2 2 2 2 5 17 5 8" xfId="16350" xr:uid="{00000000-0005-0000-0000-0000B43F0000}"/>
    <cellStyle name="Normal 2 2 2 2 5 17 5 9" xfId="16351" xr:uid="{00000000-0005-0000-0000-0000B53F0000}"/>
    <cellStyle name="Normal 2 2 2 2 5 17 6" xfId="16352" xr:uid="{00000000-0005-0000-0000-0000B63F0000}"/>
    <cellStyle name="Normal 2 2 2 2 5 17 7" xfId="16353" xr:uid="{00000000-0005-0000-0000-0000B73F0000}"/>
    <cellStyle name="Normal 2 2 2 2 5 17 8" xfId="16354" xr:uid="{00000000-0005-0000-0000-0000B83F0000}"/>
    <cellStyle name="Normal 2 2 2 2 5 17 9" xfId="16355" xr:uid="{00000000-0005-0000-0000-0000B93F0000}"/>
    <cellStyle name="Normal 2 2 2 2 5 18" xfId="16356" xr:uid="{00000000-0005-0000-0000-0000BA3F0000}"/>
    <cellStyle name="Normal 2 2 2 2 5 18 10" xfId="16357" xr:uid="{00000000-0005-0000-0000-0000BB3F0000}"/>
    <cellStyle name="Normal 2 2 2 2 5 18 11" xfId="16358" xr:uid="{00000000-0005-0000-0000-0000BC3F0000}"/>
    <cellStyle name="Normal 2 2 2 2 5 18 12" xfId="16359" xr:uid="{00000000-0005-0000-0000-0000BD3F0000}"/>
    <cellStyle name="Normal 2 2 2 2 5 18 13" xfId="16360" xr:uid="{00000000-0005-0000-0000-0000BE3F0000}"/>
    <cellStyle name="Normal 2 2 2 2 5 18 14" xfId="16361" xr:uid="{00000000-0005-0000-0000-0000BF3F0000}"/>
    <cellStyle name="Normal 2 2 2 2 5 18 2" xfId="16362" xr:uid="{00000000-0005-0000-0000-0000C03F0000}"/>
    <cellStyle name="Normal 2 2 2 2 5 18 2 10" xfId="16363" xr:uid="{00000000-0005-0000-0000-0000C13F0000}"/>
    <cellStyle name="Normal 2 2 2 2 5 18 2 2" xfId="16364" xr:uid="{00000000-0005-0000-0000-0000C23F0000}"/>
    <cellStyle name="Normal 2 2 2 2 5 18 2 3" xfId="16365" xr:uid="{00000000-0005-0000-0000-0000C33F0000}"/>
    <cellStyle name="Normal 2 2 2 2 5 18 2 4" xfId="16366" xr:uid="{00000000-0005-0000-0000-0000C43F0000}"/>
    <cellStyle name="Normal 2 2 2 2 5 18 2 5" xfId="16367" xr:uid="{00000000-0005-0000-0000-0000C53F0000}"/>
    <cellStyle name="Normal 2 2 2 2 5 18 2 6" xfId="16368" xr:uid="{00000000-0005-0000-0000-0000C63F0000}"/>
    <cellStyle name="Normal 2 2 2 2 5 18 2 7" xfId="16369" xr:uid="{00000000-0005-0000-0000-0000C73F0000}"/>
    <cellStyle name="Normal 2 2 2 2 5 18 2 8" xfId="16370" xr:uid="{00000000-0005-0000-0000-0000C83F0000}"/>
    <cellStyle name="Normal 2 2 2 2 5 18 2 9" xfId="16371" xr:uid="{00000000-0005-0000-0000-0000C93F0000}"/>
    <cellStyle name="Normal 2 2 2 2 5 18 3" xfId="16372" xr:uid="{00000000-0005-0000-0000-0000CA3F0000}"/>
    <cellStyle name="Normal 2 2 2 2 5 18 3 10" xfId="16373" xr:uid="{00000000-0005-0000-0000-0000CB3F0000}"/>
    <cellStyle name="Normal 2 2 2 2 5 18 3 2" xfId="16374" xr:uid="{00000000-0005-0000-0000-0000CC3F0000}"/>
    <cellStyle name="Normal 2 2 2 2 5 18 3 3" xfId="16375" xr:uid="{00000000-0005-0000-0000-0000CD3F0000}"/>
    <cellStyle name="Normal 2 2 2 2 5 18 3 4" xfId="16376" xr:uid="{00000000-0005-0000-0000-0000CE3F0000}"/>
    <cellStyle name="Normal 2 2 2 2 5 18 3 5" xfId="16377" xr:uid="{00000000-0005-0000-0000-0000CF3F0000}"/>
    <cellStyle name="Normal 2 2 2 2 5 18 3 6" xfId="16378" xr:uid="{00000000-0005-0000-0000-0000D03F0000}"/>
    <cellStyle name="Normal 2 2 2 2 5 18 3 7" xfId="16379" xr:uid="{00000000-0005-0000-0000-0000D13F0000}"/>
    <cellStyle name="Normal 2 2 2 2 5 18 3 8" xfId="16380" xr:uid="{00000000-0005-0000-0000-0000D23F0000}"/>
    <cellStyle name="Normal 2 2 2 2 5 18 3 9" xfId="16381" xr:uid="{00000000-0005-0000-0000-0000D33F0000}"/>
    <cellStyle name="Normal 2 2 2 2 5 18 4" xfId="16382" xr:uid="{00000000-0005-0000-0000-0000D43F0000}"/>
    <cellStyle name="Normal 2 2 2 2 5 18 4 10" xfId="16383" xr:uid="{00000000-0005-0000-0000-0000D53F0000}"/>
    <cellStyle name="Normal 2 2 2 2 5 18 4 2" xfId="16384" xr:uid="{00000000-0005-0000-0000-0000D63F0000}"/>
    <cellStyle name="Normal 2 2 2 2 5 18 4 3" xfId="16385" xr:uid="{00000000-0005-0000-0000-0000D73F0000}"/>
    <cellStyle name="Normal 2 2 2 2 5 18 4 4" xfId="16386" xr:uid="{00000000-0005-0000-0000-0000D83F0000}"/>
    <cellStyle name="Normal 2 2 2 2 5 18 4 5" xfId="16387" xr:uid="{00000000-0005-0000-0000-0000D93F0000}"/>
    <cellStyle name="Normal 2 2 2 2 5 18 4 6" xfId="16388" xr:uid="{00000000-0005-0000-0000-0000DA3F0000}"/>
    <cellStyle name="Normal 2 2 2 2 5 18 4 7" xfId="16389" xr:uid="{00000000-0005-0000-0000-0000DB3F0000}"/>
    <cellStyle name="Normal 2 2 2 2 5 18 4 8" xfId="16390" xr:uid="{00000000-0005-0000-0000-0000DC3F0000}"/>
    <cellStyle name="Normal 2 2 2 2 5 18 4 9" xfId="16391" xr:uid="{00000000-0005-0000-0000-0000DD3F0000}"/>
    <cellStyle name="Normal 2 2 2 2 5 18 5" xfId="16392" xr:uid="{00000000-0005-0000-0000-0000DE3F0000}"/>
    <cellStyle name="Normal 2 2 2 2 5 18 5 10" xfId="16393" xr:uid="{00000000-0005-0000-0000-0000DF3F0000}"/>
    <cellStyle name="Normal 2 2 2 2 5 18 5 2" xfId="16394" xr:uid="{00000000-0005-0000-0000-0000E03F0000}"/>
    <cellStyle name="Normal 2 2 2 2 5 18 5 3" xfId="16395" xr:uid="{00000000-0005-0000-0000-0000E13F0000}"/>
    <cellStyle name="Normal 2 2 2 2 5 18 5 4" xfId="16396" xr:uid="{00000000-0005-0000-0000-0000E23F0000}"/>
    <cellStyle name="Normal 2 2 2 2 5 18 5 5" xfId="16397" xr:uid="{00000000-0005-0000-0000-0000E33F0000}"/>
    <cellStyle name="Normal 2 2 2 2 5 18 5 6" xfId="16398" xr:uid="{00000000-0005-0000-0000-0000E43F0000}"/>
    <cellStyle name="Normal 2 2 2 2 5 18 5 7" xfId="16399" xr:uid="{00000000-0005-0000-0000-0000E53F0000}"/>
    <cellStyle name="Normal 2 2 2 2 5 18 5 8" xfId="16400" xr:uid="{00000000-0005-0000-0000-0000E63F0000}"/>
    <cellStyle name="Normal 2 2 2 2 5 18 5 9" xfId="16401" xr:uid="{00000000-0005-0000-0000-0000E73F0000}"/>
    <cellStyle name="Normal 2 2 2 2 5 18 6" xfId="16402" xr:uid="{00000000-0005-0000-0000-0000E83F0000}"/>
    <cellStyle name="Normal 2 2 2 2 5 18 7" xfId="16403" xr:uid="{00000000-0005-0000-0000-0000E93F0000}"/>
    <cellStyle name="Normal 2 2 2 2 5 18 8" xfId="16404" xr:uid="{00000000-0005-0000-0000-0000EA3F0000}"/>
    <cellStyle name="Normal 2 2 2 2 5 18 9" xfId="16405" xr:uid="{00000000-0005-0000-0000-0000EB3F0000}"/>
    <cellStyle name="Normal 2 2 2 2 5 19" xfId="16406" xr:uid="{00000000-0005-0000-0000-0000EC3F0000}"/>
    <cellStyle name="Normal 2 2 2 2 5 19 10" xfId="16407" xr:uid="{00000000-0005-0000-0000-0000ED3F0000}"/>
    <cellStyle name="Normal 2 2 2 2 5 19 11" xfId="16408" xr:uid="{00000000-0005-0000-0000-0000EE3F0000}"/>
    <cellStyle name="Normal 2 2 2 2 5 19 12" xfId="16409" xr:uid="{00000000-0005-0000-0000-0000EF3F0000}"/>
    <cellStyle name="Normal 2 2 2 2 5 19 13" xfId="16410" xr:uid="{00000000-0005-0000-0000-0000F03F0000}"/>
    <cellStyle name="Normal 2 2 2 2 5 19 14" xfId="16411" xr:uid="{00000000-0005-0000-0000-0000F13F0000}"/>
    <cellStyle name="Normal 2 2 2 2 5 19 2" xfId="16412" xr:uid="{00000000-0005-0000-0000-0000F23F0000}"/>
    <cellStyle name="Normal 2 2 2 2 5 19 2 10" xfId="16413" xr:uid="{00000000-0005-0000-0000-0000F33F0000}"/>
    <cellStyle name="Normal 2 2 2 2 5 19 2 2" xfId="16414" xr:uid="{00000000-0005-0000-0000-0000F43F0000}"/>
    <cellStyle name="Normal 2 2 2 2 5 19 2 3" xfId="16415" xr:uid="{00000000-0005-0000-0000-0000F53F0000}"/>
    <cellStyle name="Normal 2 2 2 2 5 19 2 4" xfId="16416" xr:uid="{00000000-0005-0000-0000-0000F63F0000}"/>
    <cellStyle name="Normal 2 2 2 2 5 19 2 5" xfId="16417" xr:uid="{00000000-0005-0000-0000-0000F73F0000}"/>
    <cellStyle name="Normal 2 2 2 2 5 19 2 6" xfId="16418" xr:uid="{00000000-0005-0000-0000-0000F83F0000}"/>
    <cellStyle name="Normal 2 2 2 2 5 19 2 7" xfId="16419" xr:uid="{00000000-0005-0000-0000-0000F93F0000}"/>
    <cellStyle name="Normal 2 2 2 2 5 19 2 8" xfId="16420" xr:uid="{00000000-0005-0000-0000-0000FA3F0000}"/>
    <cellStyle name="Normal 2 2 2 2 5 19 2 9" xfId="16421" xr:uid="{00000000-0005-0000-0000-0000FB3F0000}"/>
    <cellStyle name="Normal 2 2 2 2 5 19 3" xfId="16422" xr:uid="{00000000-0005-0000-0000-0000FC3F0000}"/>
    <cellStyle name="Normal 2 2 2 2 5 19 3 10" xfId="16423" xr:uid="{00000000-0005-0000-0000-0000FD3F0000}"/>
    <cellStyle name="Normal 2 2 2 2 5 19 3 2" xfId="16424" xr:uid="{00000000-0005-0000-0000-0000FE3F0000}"/>
    <cellStyle name="Normal 2 2 2 2 5 19 3 3" xfId="16425" xr:uid="{00000000-0005-0000-0000-0000FF3F0000}"/>
    <cellStyle name="Normal 2 2 2 2 5 19 3 4" xfId="16426" xr:uid="{00000000-0005-0000-0000-000000400000}"/>
    <cellStyle name="Normal 2 2 2 2 5 19 3 5" xfId="16427" xr:uid="{00000000-0005-0000-0000-000001400000}"/>
    <cellStyle name="Normal 2 2 2 2 5 19 3 6" xfId="16428" xr:uid="{00000000-0005-0000-0000-000002400000}"/>
    <cellStyle name="Normal 2 2 2 2 5 19 3 7" xfId="16429" xr:uid="{00000000-0005-0000-0000-000003400000}"/>
    <cellStyle name="Normal 2 2 2 2 5 19 3 8" xfId="16430" xr:uid="{00000000-0005-0000-0000-000004400000}"/>
    <cellStyle name="Normal 2 2 2 2 5 19 3 9" xfId="16431" xr:uid="{00000000-0005-0000-0000-000005400000}"/>
    <cellStyle name="Normal 2 2 2 2 5 19 4" xfId="16432" xr:uid="{00000000-0005-0000-0000-000006400000}"/>
    <cellStyle name="Normal 2 2 2 2 5 19 4 10" xfId="16433" xr:uid="{00000000-0005-0000-0000-000007400000}"/>
    <cellStyle name="Normal 2 2 2 2 5 19 4 2" xfId="16434" xr:uid="{00000000-0005-0000-0000-000008400000}"/>
    <cellStyle name="Normal 2 2 2 2 5 19 4 3" xfId="16435" xr:uid="{00000000-0005-0000-0000-000009400000}"/>
    <cellStyle name="Normal 2 2 2 2 5 19 4 4" xfId="16436" xr:uid="{00000000-0005-0000-0000-00000A400000}"/>
    <cellStyle name="Normal 2 2 2 2 5 19 4 5" xfId="16437" xr:uid="{00000000-0005-0000-0000-00000B400000}"/>
    <cellStyle name="Normal 2 2 2 2 5 19 4 6" xfId="16438" xr:uid="{00000000-0005-0000-0000-00000C400000}"/>
    <cellStyle name="Normal 2 2 2 2 5 19 4 7" xfId="16439" xr:uid="{00000000-0005-0000-0000-00000D400000}"/>
    <cellStyle name="Normal 2 2 2 2 5 19 4 8" xfId="16440" xr:uid="{00000000-0005-0000-0000-00000E400000}"/>
    <cellStyle name="Normal 2 2 2 2 5 19 4 9" xfId="16441" xr:uid="{00000000-0005-0000-0000-00000F400000}"/>
    <cellStyle name="Normal 2 2 2 2 5 19 5" xfId="16442" xr:uid="{00000000-0005-0000-0000-000010400000}"/>
    <cellStyle name="Normal 2 2 2 2 5 19 5 10" xfId="16443" xr:uid="{00000000-0005-0000-0000-000011400000}"/>
    <cellStyle name="Normal 2 2 2 2 5 19 5 2" xfId="16444" xr:uid="{00000000-0005-0000-0000-000012400000}"/>
    <cellStyle name="Normal 2 2 2 2 5 19 5 3" xfId="16445" xr:uid="{00000000-0005-0000-0000-000013400000}"/>
    <cellStyle name="Normal 2 2 2 2 5 19 5 4" xfId="16446" xr:uid="{00000000-0005-0000-0000-000014400000}"/>
    <cellStyle name="Normal 2 2 2 2 5 19 5 5" xfId="16447" xr:uid="{00000000-0005-0000-0000-000015400000}"/>
    <cellStyle name="Normal 2 2 2 2 5 19 5 6" xfId="16448" xr:uid="{00000000-0005-0000-0000-000016400000}"/>
    <cellStyle name="Normal 2 2 2 2 5 19 5 7" xfId="16449" xr:uid="{00000000-0005-0000-0000-000017400000}"/>
    <cellStyle name="Normal 2 2 2 2 5 19 5 8" xfId="16450" xr:uid="{00000000-0005-0000-0000-000018400000}"/>
    <cellStyle name="Normal 2 2 2 2 5 19 5 9" xfId="16451" xr:uid="{00000000-0005-0000-0000-000019400000}"/>
    <cellStyle name="Normal 2 2 2 2 5 19 6" xfId="16452" xr:uid="{00000000-0005-0000-0000-00001A400000}"/>
    <cellStyle name="Normal 2 2 2 2 5 19 7" xfId="16453" xr:uid="{00000000-0005-0000-0000-00001B400000}"/>
    <cellStyle name="Normal 2 2 2 2 5 19 8" xfId="16454" xr:uid="{00000000-0005-0000-0000-00001C400000}"/>
    <cellStyle name="Normal 2 2 2 2 5 19 9" xfId="16455" xr:uid="{00000000-0005-0000-0000-00001D400000}"/>
    <cellStyle name="Normal 2 2 2 2 5 2" xfId="16456" xr:uid="{00000000-0005-0000-0000-00001E400000}"/>
    <cellStyle name="Normal 2 2 2 2 5 2 10" xfId="16457" xr:uid="{00000000-0005-0000-0000-00001F400000}"/>
    <cellStyle name="Normal 2 2 2 2 5 2 11" xfId="16458" xr:uid="{00000000-0005-0000-0000-000020400000}"/>
    <cellStyle name="Normal 2 2 2 2 5 2 12" xfId="16459" xr:uid="{00000000-0005-0000-0000-000021400000}"/>
    <cellStyle name="Normal 2 2 2 2 5 2 13" xfId="16460" xr:uid="{00000000-0005-0000-0000-000022400000}"/>
    <cellStyle name="Normal 2 2 2 2 5 2 14" xfId="16461" xr:uid="{00000000-0005-0000-0000-000023400000}"/>
    <cellStyle name="Normal 2 2 2 2 5 2 15" xfId="16462" xr:uid="{00000000-0005-0000-0000-000024400000}"/>
    <cellStyle name="Normal 2 2 2 2 5 2 16" xfId="16463" xr:uid="{00000000-0005-0000-0000-000025400000}"/>
    <cellStyle name="Normal 2 2 2 2 5 2 17" xfId="16464" xr:uid="{00000000-0005-0000-0000-000026400000}"/>
    <cellStyle name="Normal 2 2 2 2 5 2 18" xfId="16465" xr:uid="{00000000-0005-0000-0000-000027400000}"/>
    <cellStyle name="Normal 2 2 2 2 5 2 19" xfId="16466" xr:uid="{00000000-0005-0000-0000-000028400000}"/>
    <cellStyle name="Normal 2 2 2 2 5 2 2" xfId="16467" xr:uid="{00000000-0005-0000-0000-000029400000}"/>
    <cellStyle name="Normal 2 2 2 2 5 2 20" xfId="16468" xr:uid="{00000000-0005-0000-0000-00002A400000}"/>
    <cellStyle name="Normal 2 2 2 2 5 2 21" xfId="16469" xr:uid="{00000000-0005-0000-0000-00002B400000}"/>
    <cellStyle name="Normal 2 2 2 2 5 2 21 10" xfId="16470" xr:uid="{00000000-0005-0000-0000-00002C400000}"/>
    <cellStyle name="Normal 2 2 2 2 5 2 21 2" xfId="16471" xr:uid="{00000000-0005-0000-0000-00002D400000}"/>
    <cellStyle name="Normal 2 2 2 2 5 2 21 3" xfId="16472" xr:uid="{00000000-0005-0000-0000-00002E400000}"/>
    <cellStyle name="Normal 2 2 2 2 5 2 21 4" xfId="16473" xr:uid="{00000000-0005-0000-0000-00002F400000}"/>
    <cellStyle name="Normal 2 2 2 2 5 2 21 5" xfId="16474" xr:uid="{00000000-0005-0000-0000-000030400000}"/>
    <cellStyle name="Normal 2 2 2 2 5 2 21 6" xfId="16475" xr:uid="{00000000-0005-0000-0000-000031400000}"/>
    <cellStyle name="Normal 2 2 2 2 5 2 21 7" xfId="16476" xr:uid="{00000000-0005-0000-0000-000032400000}"/>
    <cellStyle name="Normal 2 2 2 2 5 2 21 8" xfId="16477" xr:uid="{00000000-0005-0000-0000-000033400000}"/>
    <cellStyle name="Normal 2 2 2 2 5 2 21 9" xfId="16478" xr:uid="{00000000-0005-0000-0000-000034400000}"/>
    <cellStyle name="Normal 2 2 2 2 5 2 22" xfId="16479" xr:uid="{00000000-0005-0000-0000-000035400000}"/>
    <cellStyle name="Normal 2 2 2 2 5 2 22 10" xfId="16480" xr:uid="{00000000-0005-0000-0000-000036400000}"/>
    <cellStyle name="Normal 2 2 2 2 5 2 22 2" xfId="16481" xr:uid="{00000000-0005-0000-0000-000037400000}"/>
    <cellStyle name="Normal 2 2 2 2 5 2 22 3" xfId="16482" xr:uid="{00000000-0005-0000-0000-000038400000}"/>
    <cellStyle name="Normal 2 2 2 2 5 2 22 4" xfId="16483" xr:uid="{00000000-0005-0000-0000-000039400000}"/>
    <cellStyle name="Normal 2 2 2 2 5 2 22 5" xfId="16484" xr:uid="{00000000-0005-0000-0000-00003A400000}"/>
    <cellStyle name="Normal 2 2 2 2 5 2 22 6" xfId="16485" xr:uid="{00000000-0005-0000-0000-00003B400000}"/>
    <cellStyle name="Normal 2 2 2 2 5 2 22 7" xfId="16486" xr:uid="{00000000-0005-0000-0000-00003C400000}"/>
    <cellStyle name="Normal 2 2 2 2 5 2 22 8" xfId="16487" xr:uid="{00000000-0005-0000-0000-00003D400000}"/>
    <cellStyle name="Normal 2 2 2 2 5 2 22 9" xfId="16488" xr:uid="{00000000-0005-0000-0000-00003E400000}"/>
    <cellStyle name="Normal 2 2 2 2 5 2 23" xfId="16489" xr:uid="{00000000-0005-0000-0000-00003F400000}"/>
    <cellStyle name="Normal 2 2 2 2 5 2 23 10" xfId="16490" xr:uid="{00000000-0005-0000-0000-000040400000}"/>
    <cellStyle name="Normal 2 2 2 2 5 2 23 2" xfId="16491" xr:uid="{00000000-0005-0000-0000-000041400000}"/>
    <cellStyle name="Normal 2 2 2 2 5 2 23 3" xfId="16492" xr:uid="{00000000-0005-0000-0000-000042400000}"/>
    <cellStyle name="Normal 2 2 2 2 5 2 23 4" xfId="16493" xr:uid="{00000000-0005-0000-0000-000043400000}"/>
    <cellStyle name="Normal 2 2 2 2 5 2 23 5" xfId="16494" xr:uid="{00000000-0005-0000-0000-000044400000}"/>
    <cellStyle name="Normal 2 2 2 2 5 2 23 6" xfId="16495" xr:uid="{00000000-0005-0000-0000-000045400000}"/>
    <cellStyle name="Normal 2 2 2 2 5 2 23 7" xfId="16496" xr:uid="{00000000-0005-0000-0000-000046400000}"/>
    <cellStyle name="Normal 2 2 2 2 5 2 23 8" xfId="16497" xr:uid="{00000000-0005-0000-0000-000047400000}"/>
    <cellStyle name="Normal 2 2 2 2 5 2 23 9" xfId="16498" xr:uid="{00000000-0005-0000-0000-000048400000}"/>
    <cellStyle name="Normal 2 2 2 2 5 2 24" xfId="16499" xr:uid="{00000000-0005-0000-0000-000049400000}"/>
    <cellStyle name="Normal 2 2 2 2 5 2 24 10" xfId="16500" xr:uid="{00000000-0005-0000-0000-00004A400000}"/>
    <cellStyle name="Normal 2 2 2 2 5 2 24 2" xfId="16501" xr:uid="{00000000-0005-0000-0000-00004B400000}"/>
    <cellStyle name="Normal 2 2 2 2 5 2 24 3" xfId="16502" xr:uid="{00000000-0005-0000-0000-00004C400000}"/>
    <cellStyle name="Normal 2 2 2 2 5 2 24 4" xfId="16503" xr:uid="{00000000-0005-0000-0000-00004D400000}"/>
    <cellStyle name="Normal 2 2 2 2 5 2 24 5" xfId="16504" xr:uid="{00000000-0005-0000-0000-00004E400000}"/>
    <cellStyle name="Normal 2 2 2 2 5 2 24 6" xfId="16505" xr:uid="{00000000-0005-0000-0000-00004F400000}"/>
    <cellStyle name="Normal 2 2 2 2 5 2 24 7" xfId="16506" xr:uid="{00000000-0005-0000-0000-000050400000}"/>
    <cellStyle name="Normal 2 2 2 2 5 2 24 8" xfId="16507" xr:uid="{00000000-0005-0000-0000-000051400000}"/>
    <cellStyle name="Normal 2 2 2 2 5 2 24 9" xfId="16508" xr:uid="{00000000-0005-0000-0000-000052400000}"/>
    <cellStyle name="Normal 2 2 2 2 5 2 25" xfId="16509" xr:uid="{00000000-0005-0000-0000-000053400000}"/>
    <cellStyle name="Normal 2 2 2 2 5 2 26" xfId="16510" xr:uid="{00000000-0005-0000-0000-000054400000}"/>
    <cellStyle name="Normal 2 2 2 2 5 2 27" xfId="16511" xr:uid="{00000000-0005-0000-0000-000055400000}"/>
    <cellStyle name="Normal 2 2 2 2 5 2 28" xfId="16512" xr:uid="{00000000-0005-0000-0000-000056400000}"/>
    <cellStyle name="Normal 2 2 2 2 5 2 29" xfId="16513" xr:uid="{00000000-0005-0000-0000-000057400000}"/>
    <cellStyle name="Normal 2 2 2 2 5 2 3" xfId="16514" xr:uid="{00000000-0005-0000-0000-000058400000}"/>
    <cellStyle name="Normal 2 2 2 2 5 2 30" xfId="16515" xr:uid="{00000000-0005-0000-0000-000059400000}"/>
    <cellStyle name="Normal 2 2 2 2 5 2 31" xfId="16516" xr:uid="{00000000-0005-0000-0000-00005A400000}"/>
    <cellStyle name="Normal 2 2 2 2 5 2 32" xfId="16517" xr:uid="{00000000-0005-0000-0000-00005B400000}"/>
    <cellStyle name="Normal 2 2 2 2 5 2 33" xfId="16518" xr:uid="{00000000-0005-0000-0000-00005C400000}"/>
    <cellStyle name="Normal 2 2 2 2 5 2 4" xfId="16519" xr:uid="{00000000-0005-0000-0000-00005D400000}"/>
    <cellStyle name="Normal 2 2 2 2 5 2 5" xfId="16520" xr:uid="{00000000-0005-0000-0000-00005E400000}"/>
    <cellStyle name="Normal 2 2 2 2 5 2 6" xfId="16521" xr:uid="{00000000-0005-0000-0000-00005F400000}"/>
    <cellStyle name="Normal 2 2 2 2 5 2 7" xfId="16522" xr:uid="{00000000-0005-0000-0000-000060400000}"/>
    <cellStyle name="Normal 2 2 2 2 5 2 8" xfId="16523" xr:uid="{00000000-0005-0000-0000-000061400000}"/>
    <cellStyle name="Normal 2 2 2 2 5 2 9" xfId="16524" xr:uid="{00000000-0005-0000-0000-000062400000}"/>
    <cellStyle name="Normal 2 2 2 2 5 20" xfId="16525" xr:uid="{00000000-0005-0000-0000-000063400000}"/>
    <cellStyle name="Normal 2 2 2 2 5 20 10" xfId="16526" xr:uid="{00000000-0005-0000-0000-000064400000}"/>
    <cellStyle name="Normal 2 2 2 2 5 20 11" xfId="16527" xr:uid="{00000000-0005-0000-0000-000065400000}"/>
    <cellStyle name="Normal 2 2 2 2 5 20 12" xfId="16528" xr:uid="{00000000-0005-0000-0000-000066400000}"/>
    <cellStyle name="Normal 2 2 2 2 5 20 13" xfId="16529" xr:uid="{00000000-0005-0000-0000-000067400000}"/>
    <cellStyle name="Normal 2 2 2 2 5 20 14" xfId="16530" xr:uid="{00000000-0005-0000-0000-000068400000}"/>
    <cellStyle name="Normal 2 2 2 2 5 20 2" xfId="16531" xr:uid="{00000000-0005-0000-0000-000069400000}"/>
    <cellStyle name="Normal 2 2 2 2 5 20 2 10" xfId="16532" xr:uid="{00000000-0005-0000-0000-00006A400000}"/>
    <cellStyle name="Normal 2 2 2 2 5 20 2 2" xfId="16533" xr:uid="{00000000-0005-0000-0000-00006B400000}"/>
    <cellStyle name="Normal 2 2 2 2 5 20 2 3" xfId="16534" xr:uid="{00000000-0005-0000-0000-00006C400000}"/>
    <cellStyle name="Normal 2 2 2 2 5 20 2 4" xfId="16535" xr:uid="{00000000-0005-0000-0000-00006D400000}"/>
    <cellStyle name="Normal 2 2 2 2 5 20 2 5" xfId="16536" xr:uid="{00000000-0005-0000-0000-00006E400000}"/>
    <cellStyle name="Normal 2 2 2 2 5 20 2 6" xfId="16537" xr:uid="{00000000-0005-0000-0000-00006F400000}"/>
    <cellStyle name="Normal 2 2 2 2 5 20 2 7" xfId="16538" xr:uid="{00000000-0005-0000-0000-000070400000}"/>
    <cellStyle name="Normal 2 2 2 2 5 20 2 8" xfId="16539" xr:uid="{00000000-0005-0000-0000-000071400000}"/>
    <cellStyle name="Normal 2 2 2 2 5 20 2 9" xfId="16540" xr:uid="{00000000-0005-0000-0000-000072400000}"/>
    <cellStyle name="Normal 2 2 2 2 5 20 3" xfId="16541" xr:uid="{00000000-0005-0000-0000-000073400000}"/>
    <cellStyle name="Normal 2 2 2 2 5 20 3 10" xfId="16542" xr:uid="{00000000-0005-0000-0000-000074400000}"/>
    <cellStyle name="Normal 2 2 2 2 5 20 3 2" xfId="16543" xr:uid="{00000000-0005-0000-0000-000075400000}"/>
    <cellStyle name="Normal 2 2 2 2 5 20 3 3" xfId="16544" xr:uid="{00000000-0005-0000-0000-000076400000}"/>
    <cellStyle name="Normal 2 2 2 2 5 20 3 4" xfId="16545" xr:uid="{00000000-0005-0000-0000-000077400000}"/>
    <cellStyle name="Normal 2 2 2 2 5 20 3 5" xfId="16546" xr:uid="{00000000-0005-0000-0000-000078400000}"/>
    <cellStyle name="Normal 2 2 2 2 5 20 3 6" xfId="16547" xr:uid="{00000000-0005-0000-0000-000079400000}"/>
    <cellStyle name="Normal 2 2 2 2 5 20 3 7" xfId="16548" xr:uid="{00000000-0005-0000-0000-00007A400000}"/>
    <cellStyle name="Normal 2 2 2 2 5 20 3 8" xfId="16549" xr:uid="{00000000-0005-0000-0000-00007B400000}"/>
    <cellStyle name="Normal 2 2 2 2 5 20 3 9" xfId="16550" xr:uid="{00000000-0005-0000-0000-00007C400000}"/>
    <cellStyle name="Normal 2 2 2 2 5 20 4" xfId="16551" xr:uid="{00000000-0005-0000-0000-00007D400000}"/>
    <cellStyle name="Normal 2 2 2 2 5 20 4 10" xfId="16552" xr:uid="{00000000-0005-0000-0000-00007E400000}"/>
    <cellStyle name="Normal 2 2 2 2 5 20 4 2" xfId="16553" xr:uid="{00000000-0005-0000-0000-00007F400000}"/>
    <cellStyle name="Normal 2 2 2 2 5 20 4 3" xfId="16554" xr:uid="{00000000-0005-0000-0000-000080400000}"/>
    <cellStyle name="Normal 2 2 2 2 5 20 4 4" xfId="16555" xr:uid="{00000000-0005-0000-0000-000081400000}"/>
    <cellStyle name="Normal 2 2 2 2 5 20 4 5" xfId="16556" xr:uid="{00000000-0005-0000-0000-000082400000}"/>
    <cellStyle name="Normal 2 2 2 2 5 20 4 6" xfId="16557" xr:uid="{00000000-0005-0000-0000-000083400000}"/>
    <cellStyle name="Normal 2 2 2 2 5 20 4 7" xfId="16558" xr:uid="{00000000-0005-0000-0000-000084400000}"/>
    <cellStyle name="Normal 2 2 2 2 5 20 4 8" xfId="16559" xr:uid="{00000000-0005-0000-0000-000085400000}"/>
    <cellStyle name="Normal 2 2 2 2 5 20 4 9" xfId="16560" xr:uid="{00000000-0005-0000-0000-000086400000}"/>
    <cellStyle name="Normal 2 2 2 2 5 20 5" xfId="16561" xr:uid="{00000000-0005-0000-0000-000087400000}"/>
    <cellStyle name="Normal 2 2 2 2 5 20 5 10" xfId="16562" xr:uid="{00000000-0005-0000-0000-000088400000}"/>
    <cellStyle name="Normal 2 2 2 2 5 20 5 2" xfId="16563" xr:uid="{00000000-0005-0000-0000-000089400000}"/>
    <cellStyle name="Normal 2 2 2 2 5 20 5 3" xfId="16564" xr:uid="{00000000-0005-0000-0000-00008A400000}"/>
    <cellStyle name="Normal 2 2 2 2 5 20 5 4" xfId="16565" xr:uid="{00000000-0005-0000-0000-00008B400000}"/>
    <cellStyle name="Normal 2 2 2 2 5 20 5 5" xfId="16566" xr:uid="{00000000-0005-0000-0000-00008C400000}"/>
    <cellStyle name="Normal 2 2 2 2 5 20 5 6" xfId="16567" xr:uid="{00000000-0005-0000-0000-00008D400000}"/>
    <cellStyle name="Normal 2 2 2 2 5 20 5 7" xfId="16568" xr:uid="{00000000-0005-0000-0000-00008E400000}"/>
    <cellStyle name="Normal 2 2 2 2 5 20 5 8" xfId="16569" xr:uid="{00000000-0005-0000-0000-00008F400000}"/>
    <cellStyle name="Normal 2 2 2 2 5 20 5 9" xfId="16570" xr:uid="{00000000-0005-0000-0000-000090400000}"/>
    <cellStyle name="Normal 2 2 2 2 5 20 6" xfId="16571" xr:uid="{00000000-0005-0000-0000-000091400000}"/>
    <cellStyle name="Normal 2 2 2 2 5 20 7" xfId="16572" xr:uid="{00000000-0005-0000-0000-000092400000}"/>
    <cellStyle name="Normal 2 2 2 2 5 20 8" xfId="16573" xr:uid="{00000000-0005-0000-0000-000093400000}"/>
    <cellStyle name="Normal 2 2 2 2 5 20 9" xfId="16574" xr:uid="{00000000-0005-0000-0000-000094400000}"/>
    <cellStyle name="Normal 2 2 2 2 5 21" xfId="16575" xr:uid="{00000000-0005-0000-0000-000095400000}"/>
    <cellStyle name="Normal 2 2 2 2 5 22" xfId="16576" xr:uid="{00000000-0005-0000-0000-000096400000}"/>
    <cellStyle name="Normal 2 2 2 2 5 3" xfId="16577" xr:uid="{00000000-0005-0000-0000-000097400000}"/>
    <cellStyle name="Normal 2 2 2 2 5 3 10" xfId="16578" xr:uid="{00000000-0005-0000-0000-000098400000}"/>
    <cellStyle name="Normal 2 2 2 2 5 3 11" xfId="16579" xr:uid="{00000000-0005-0000-0000-000099400000}"/>
    <cellStyle name="Normal 2 2 2 2 5 3 12" xfId="16580" xr:uid="{00000000-0005-0000-0000-00009A400000}"/>
    <cellStyle name="Normal 2 2 2 2 5 3 13" xfId="16581" xr:uid="{00000000-0005-0000-0000-00009B400000}"/>
    <cellStyle name="Normal 2 2 2 2 5 3 14" xfId="16582" xr:uid="{00000000-0005-0000-0000-00009C400000}"/>
    <cellStyle name="Normal 2 2 2 2 5 3 2" xfId="16583" xr:uid="{00000000-0005-0000-0000-00009D400000}"/>
    <cellStyle name="Normal 2 2 2 2 5 3 2 10" xfId="16584" xr:uid="{00000000-0005-0000-0000-00009E400000}"/>
    <cellStyle name="Normal 2 2 2 2 5 3 2 2" xfId="16585" xr:uid="{00000000-0005-0000-0000-00009F400000}"/>
    <cellStyle name="Normal 2 2 2 2 5 3 2 3" xfId="16586" xr:uid="{00000000-0005-0000-0000-0000A0400000}"/>
    <cellStyle name="Normal 2 2 2 2 5 3 2 4" xfId="16587" xr:uid="{00000000-0005-0000-0000-0000A1400000}"/>
    <cellStyle name="Normal 2 2 2 2 5 3 2 5" xfId="16588" xr:uid="{00000000-0005-0000-0000-0000A2400000}"/>
    <cellStyle name="Normal 2 2 2 2 5 3 2 6" xfId="16589" xr:uid="{00000000-0005-0000-0000-0000A3400000}"/>
    <cellStyle name="Normal 2 2 2 2 5 3 2 7" xfId="16590" xr:uid="{00000000-0005-0000-0000-0000A4400000}"/>
    <cellStyle name="Normal 2 2 2 2 5 3 2 8" xfId="16591" xr:uid="{00000000-0005-0000-0000-0000A5400000}"/>
    <cellStyle name="Normal 2 2 2 2 5 3 2 9" xfId="16592" xr:uid="{00000000-0005-0000-0000-0000A6400000}"/>
    <cellStyle name="Normal 2 2 2 2 5 3 3" xfId="16593" xr:uid="{00000000-0005-0000-0000-0000A7400000}"/>
    <cellStyle name="Normal 2 2 2 2 5 3 3 10" xfId="16594" xr:uid="{00000000-0005-0000-0000-0000A8400000}"/>
    <cellStyle name="Normal 2 2 2 2 5 3 3 2" xfId="16595" xr:uid="{00000000-0005-0000-0000-0000A9400000}"/>
    <cellStyle name="Normal 2 2 2 2 5 3 3 3" xfId="16596" xr:uid="{00000000-0005-0000-0000-0000AA400000}"/>
    <cellStyle name="Normal 2 2 2 2 5 3 3 4" xfId="16597" xr:uid="{00000000-0005-0000-0000-0000AB400000}"/>
    <cellStyle name="Normal 2 2 2 2 5 3 3 5" xfId="16598" xr:uid="{00000000-0005-0000-0000-0000AC400000}"/>
    <cellStyle name="Normal 2 2 2 2 5 3 3 6" xfId="16599" xr:uid="{00000000-0005-0000-0000-0000AD400000}"/>
    <cellStyle name="Normal 2 2 2 2 5 3 3 7" xfId="16600" xr:uid="{00000000-0005-0000-0000-0000AE400000}"/>
    <cellStyle name="Normal 2 2 2 2 5 3 3 8" xfId="16601" xr:uid="{00000000-0005-0000-0000-0000AF400000}"/>
    <cellStyle name="Normal 2 2 2 2 5 3 3 9" xfId="16602" xr:uid="{00000000-0005-0000-0000-0000B0400000}"/>
    <cellStyle name="Normal 2 2 2 2 5 3 4" xfId="16603" xr:uid="{00000000-0005-0000-0000-0000B1400000}"/>
    <cellStyle name="Normal 2 2 2 2 5 3 4 10" xfId="16604" xr:uid="{00000000-0005-0000-0000-0000B2400000}"/>
    <cellStyle name="Normal 2 2 2 2 5 3 4 2" xfId="16605" xr:uid="{00000000-0005-0000-0000-0000B3400000}"/>
    <cellStyle name="Normal 2 2 2 2 5 3 4 3" xfId="16606" xr:uid="{00000000-0005-0000-0000-0000B4400000}"/>
    <cellStyle name="Normal 2 2 2 2 5 3 4 4" xfId="16607" xr:uid="{00000000-0005-0000-0000-0000B5400000}"/>
    <cellStyle name="Normal 2 2 2 2 5 3 4 5" xfId="16608" xr:uid="{00000000-0005-0000-0000-0000B6400000}"/>
    <cellStyle name="Normal 2 2 2 2 5 3 4 6" xfId="16609" xr:uid="{00000000-0005-0000-0000-0000B7400000}"/>
    <cellStyle name="Normal 2 2 2 2 5 3 4 7" xfId="16610" xr:uid="{00000000-0005-0000-0000-0000B8400000}"/>
    <cellStyle name="Normal 2 2 2 2 5 3 4 8" xfId="16611" xr:uid="{00000000-0005-0000-0000-0000B9400000}"/>
    <cellStyle name="Normal 2 2 2 2 5 3 4 9" xfId="16612" xr:uid="{00000000-0005-0000-0000-0000BA400000}"/>
    <cellStyle name="Normal 2 2 2 2 5 3 5" xfId="16613" xr:uid="{00000000-0005-0000-0000-0000BB400000}"/>
    <cellStyle name="Normal 2 2 2 2 5 3 5 10" xfId="16614" xr:uid="{00000000-0005-0000-0000-0000BC400000}"/>
    <cellStyle name="Normal 2 2 2 2 5 3 5 2" xfId="16615" xr:uid="{00000000-0005-0000-0000-0000BD400000}"/>
    <cellStyle name="Normal 2 2 2 2 5 3 5 3" xfId="16616" xr:uid="{00000000-0005-0000-0000-0000BE400000}"/>
    <cellStyle name="Normal 2 2 2 2 5 3 5 4" xfId="16617" xr:uid="{00000000-0005-0000-0000-0000BF400000}"/>
    <cellStyle name="Normal 2 2 2 2 5 3 5 5" xfId="16618" xr:uid="{00000000-0005-0000-0000-0000C0400000}"/>
    <cellStyle name="Normal 2 2 2 2 5 3 5 6" xfId="16619" xr:uid="{00000000-0005-0000-0000-0000C1400000}"/>
    <cellStyle name="Normal 2 2 2 2 5 3 5 7" xfId="16620" xr:uid="{00000000-0005-0000-0000-0000C2400000}"/>
    <cellStyle name="Normal 2 2 2 2 5 3 5 8" xfId="16621" xr:uid="{00000000-0005-0000-0000-0000C3400000}"/>
    <cellStyle name="Normal 2 2 2 2 5 3 5 9" xfId="16622" xr:uid="{00000000-0005-0000-0000-0000C4400000}"/>
    <cellStyle name="Normal 2 2 2 2 5 3 6" xfId="16623" xr:uid="{00000000-0005-0000-0000-0000C5400000}"/>
    <cellStyle name="Normal 2 2 2 2 5 3 7" xfId="16624" xr:uid="{00000000-0005-0000-0000-0000C6400000}"/>
    <cellStyle name="Normal 2 2 2 2 5 3 8" xfId="16625" xr:uid="{00000000-0005-0000-0000-0000C7400000}"/>
    <cellStyle name="Normal 2 2 2 2 5 3 9" xfId="16626" xr:uid="{00000000-0005-0000-0000-0000C8400000}"/>
    <cellStyle name="Normal 2 2 2 2 5 4" xfId="16627" xr:uid="{00000000-0005-0000-0000-0000C9400000}"/>
    <cellStyle name="Normal 2 2 2 2 5 4 10" xfId="16628" xr:uid="{00000000-0005-0000-0000-0000CA400000}"/>
    <cellStyle name="Normal 2 2 2 2 5 4 11" xfId="16629" xr:uid="{00000000-0005-0000-0000-0000CB400000}"/>
    <cellStyle name="Normal 2 2 2 2 5 4 12" xfId="16630" xr:uid="{00000000-0005-0000-0000-0000CC400000}"/>
    <cellStyle name="Normal 2 2 2 2 5 4 13" xfId="16631" xr:uid="{00000000-0005-0000-0000-0000CD400000}"/>
    <cellStyle name="Normal 2 2 2 2 5 4 14" xfId="16632" xr:uid="{00000000-0005-0000-0000-0000CE400000}"/>
    <cellStyle name="Normal 2 2 2 2 5 4 2" xfId="16633" xr:uid="{00000000-0005-0000-0000-0000CF400000}"/>
    <cellStyle name="Normal 2 2 2 2 5 4 2 10" xfId="16634" xr:uid="{00000000-0005-0000-0000-0000D0400000}"/>
    <cellStyle name="Normal 2 2 2 2 5 4 2 2" xfId="16635" xr:uid="{00000000-0005-0000-0000-0000D1400000}"/>
    <cellStyle name="Normal 2 2 2 2 5 4 2 3" xfId="16636" xr:uid="{00000000-0005-0000-0000-0000D2400000}"/>
    <cellStyle name="Normal 2 2 2 2 5 4 2 4" xfId="16637" xr:uid="{00000000-0005-0000-0000-0000D3400000}"/>
    <cellStyle name="Normal 2 2 2 2 5 4 2 5" xfId="16638" xr:uid="{00000000-0005-0000-0000-0000D4400000}"/>
    <cellStyle name="Normal 2 2 2 2 5 4 2 6" xfId="16639" xr:uid="{00000000-0005-0000-0000-0000D5400000}"/>
    <cellStyle name="Normal 2 2 2 2 5 4 2 7" xfId="16640" xr:uid="{00000000-0005-0000-0000-0000D6400000}"/>
    <cellStyle name="Normal 2 2 2 2 5 4 2 8" xfId="16641" xr:uid="{00000000-0005-0000-0000-0000D7400000}"/>
    <cellStyle name="Normal 2 2 2 2 5 4 2 9" xfId="16642" xr:uid="{00000000-0005-0000-0000-0000D8400000}"/>
    <cellStyle name="Normal 2 2 2 2 5 4 3" xfId="16643" xr:uid="{00000000-0005-0000-0000-0000D9400000}"/>
    <cellStyle name="Normal 2 2 2 2 5 4 3 10" xfId="16644" xr:uid="{00000000-0005-0000-0000-0000DA400000}"/>
    <cellStyle name="Normal 2 2 2 2 5 4 3 2" xfId="16645" xr:uid="{00000000-0005-0000-0000-0000DB400000}"/>
    <cellStyle name="Normal 2 2 2 2 5 4 3 3" xfId="16646" xr:uid="{00000000-0005-0000-0000-0000DC400000}"/>
    <cellStyle name="Normal 2 2 2 2 5 4 3 4" xfId="16647" xr:uid="{00000000-0005-0000-0000-0000DD400000}"/>
    <cellStyle name="Normal 2 2 2 2 5 4 3 5" xfId="16648" xr:uid="{00000000-0005-0000-0000-0000DE400000}"/>
    <cellStyle name="Normal 2 2 2 2 5 4 3 6" xfId="16649" xr:uid="{00000000-0005-0000-0000-0000DF400000}"/>
    <cellStyle name="Normal 2 2 2 2 5 4 3 7" xfId="16650" xr:uid="{00000000-0005-0000-0000-0000E0400000}"/>
    <cellStyle name="Normal 2 2 2 2 5 4 3 8" xfId="16651" xr:uid="{00000000-0005-0000-0000-0000E1400000}"/>
    <cellStyle name="Normal 2 2 2 2 5 4 3 9" xfId="16652" xr:uid="{00000000-0005-0000-0000-0000E2400000}"/>
    <cellStyle name="Normal 2 2 2 2 5 4 4" xfId="16653" xr:uid="{00000000-0005-0000-0000-0000E3400000}"/>
    <cellStyle name="Normal 2 2 2 2 5 4 4 10" xfId="16654" xr:uid="{00000000-0005-0000-0000-0000E4400000}"/>
    <cellStyle name="Normal 2 2 2 2 5 4 4 2" xfId="16655" xr:uid="{00000000-0005-0000-0000-0000E5400000}"/>
    <cellStyle name="Normal 2 2 2 2 5 4 4 3" xfId="16656" xr:uid="{00000000-0005-0000-0000-0000E6400000}"/>
    <cellStyle name="Normal 2 2 2 2 5 4 4 4" xfId="16657" xr:uid="{00000000-0005-0000-0000-0000E7400000}"/>
    <cellStyle name="Normal 2 2 2 2 5 4 4 5" xfId="16658" xr:uid="{00000000-0005-0000-0000-0000E8400000}"/>
    <cellStyle name="Normal 2 2 2 2 5 4 4 6" xfId="16659" xr:uid="{00000000-0005-0000-0000-0000E9400000}"/>
    <cellStyle name="Normal 2 2 2 2 5 4 4 7" xfId="16660" xr:uid="{00000000-0005-0000-0000-0000EA400000}"/>
    <cellStyle name="Normal 2 2 2 2 5 4 4 8" xfId="16661" xr:uid="{00000000-0005-0000-0000-0000EB400000}"/>
    <cellStyle name="Normal 2 2 2 2 5 4 4 9" xfId="16662" xr:uid="{00000000-0005-0000-0000-0000EC400000}"/>
    <cellStyle name="Normal 2 2 2 2 5 4 5" xfId="16663" xr:uid="{00000000-0005-0000-0000-0000ED400000}"/>
    <cellStyle name="Normal 2 2 2 2 5 4 5 10" xfId="16664" xr:uid="{00000000-0005-0000-0000-0000EE400000}"/>
    <cellStyle name="Normal 2 2 2 2 5 4 5 2" xfId="16665" xr:uid="{00000000-0005-0000-0000-0000EF400000}"/>
    <cellStyle name="Normal 2 2 2 2 5 4 5 3" xfId="16666" xr:uid="{00000000-0005-0000-0000-0000F0400000}"/>
    <cellStyle name="Normal 2 2 2 2 5 4 5 4" xfId="16667" xr:uid="{00000000-0005-0000-0000-0000F1400000}"/>
    <cellStyle name="Normal 2 2 2 2 5 4 5 5" xfId="16668" xr:uid="{00000000-0005-0000-0000-0000F2400000}"/>
    <cellStyle name="Normal 2 2 2 2 5 4 5 6" xfId="16669" xr:uid="{00000000-0005-0000-0000-0000F3400000}"/>
    <cellStyle name="Normal 2 2 2 2 5 4 5 7" xfId="16670" xr:uid="{00000000-0005-0000-0000-0000F4400000}"/>
    <cellStyle name="Normal 2 2 2 2 5 4 5 8" xfId="16671" xr:uid="{00000000-0005-0000-0000-0000F5400000}"/>
    <cellStyle name="Normal 2 2 2 2 5 4 5 9" xfId="16672" xr:uid="{00000000-0005-0000-0000-0000F6400000}"/>
    <cellStyle name="Normal 2 2 2 2 5 4 6" xfId="16673" xr:uid="{00000000-0005-0000-0000-0000F7400000}"/>
    <cellStyle name="Normal 2 2 2 2 5 4 7" xfId="16674" xr:uid="{00000000-0005-0000-0000-0000F8400000}"/>
    <cellStyle name="Normal 2 2 2 2 5 4 8" xfId="16675" xr:uid="{00000000-0005-0000-0000-0000F9400000}"/>
    <cellStyle name="Normal 2 2 2 2 5 4 9" xfId="16676" xr:uid="{00000000-0005-0000-0000-0000FA400000}"/>
    <cellStyle name="Normal 2 2 2 2 5 5" xfId="16677" xr:uid="{00000000-0005-0000-0000-0000FB400000}"/>
    <cellStyle name="Normal 2 2 2 2 5 5 10" xfId="16678" xr:uid="{00000000-0005-0000-0000-0000FC400000}"/>
    <cellStyle name="Normal 2 2 2 2 5 5 11" xfId="16679" xr:uid="{00000000-0005-0000-0000-0000FD400000}"/>
    <cellStyle name="Normal 2 2 2 2 5 5 12" xfId="16680" xr:uid="{00000000-0005-0000-0000-0000FE400000}"/>
    <cellStyle name="Normal 2 2 2 2 5 5 13" xfId="16681" xr:uid="{00000000-0005-0000-0000-0000FF400000}"/>
    <cellStyle name="Normal 2 2 2 2 5 5 14" xfId="16682" xr:uid="{00000000-0005-0000-0000-000000410000}"/>
    <cellStyle name="Normal 2 2 2 2 5 5 2" xfId="16683" xr:uid="{00000000-0005-0000-0000-000001410000}"/>
    <cellStyle name="Normal 2 2 2 2 5 5 2 10" xfId="16684" xr:uid="{00000000-0005-0000-0000-000002410000}"/>
    <cellStyle name="Normal 2 2 2 2 5 5 2 2" xfId="16685" xr:uid="{00000000-0005-0000-0000-000003410000}"/>
    <cellStyle name="Normal 2 2 2 2 5 5 2 3" xfId="16686" xr:uid="{00000000-0005-0000-0000-000004410000}"/>
    <cellStyle name="Normal 2 2 2 2 5 5 2 4" xfId="16687" xr:uid="{00000000-0005-0000-0000-000005410000}"/>
    <cellStyle name="Normal 2 2 2 2 5 5 2 5" xfId="16688" xr:uid="{00000000-0005-0000-0000-000006410000}"/>
    <cellStyle name="Normal 2 2 2 2 5 5 2 6" xfId="16689" xr:uid="{00000000-0005-0000-0000-000007410000}"/>
    <cellStyle name="Normal 2 2 2 2 5 5 2 7" xfId="16690" xr:uid="{00000000-0005-0000-0000-000008410000}"/>
    <cellStyle name="Normal 2 2 2 2 5 5 2 8" xfId="16691" xr:uid="{00000000-0005-0000-0000-000009410000}"/>
    <cellStyle name="Normal 2 2 2 2 5 5 2 9" xfId="16692" xr:uid="{00000000-0005-0000-0000-00000A410000}"/>
    <cellStyle name="Normal 2 2 2 2 5 5 3" xfId="16693" xr:uid="{00000000-0005-0000-0000-00000B410000}"/>
    <cellStyle name="Normal 2 2 2 2 5 5 3 10" xfId="16694" xr:uid="{00000000-0005-0000-0000-00000C410000}"/>
    <cellStyle name="Normal 2 2 2 2 5 5 3 2" xfId="16695" xr:uid="{00000000-0005-0000-0000-00000D410000}"/>
    <cellStyle name="Normal 2 2 2 2 5 5 3 3" xfId="16696" xr:uid="{00000000-0005-0000-0000-00000E410000}"/>
    <cellStyle name="Normal 2 2 2 2 5 5 3 4" xfId="16697" xr:uid="{00000000-0005-0000-0000-00000F410000}"/>
    <cellStyle name="Normal 2 2 2 2 5 5 3 5" xfId="16698" xr:uid="{00000000-0005-0000-0000-000010410000}"/>
    <cellStyle name="Normal 2 2 2 2 5 5 3 6" xfId="16699" xr:uid="{00000000-0005-0000-0000-000011410000}"/>
    <cellStyle name="Normal 2 2 2 2 5 5 3 7" xfId="16700" xr:uid="{00000000-0005-0000-0000-000012410000}"/>
    <cellStyle name="Normal 2 2 2 2 5 5 3 8" xfId="16701" xr:uid="{00000000-0005-0000-0000-000013410000}"/>
    <cellStyle name="Normal 2 2 2 2 5 5 3 9" xfId="16702" xr:uid="{00000000-0005-0000-0000-000014410000}"/>
    <cellStyle name="Normal 2 2 2 2 5 5 4" xfId="16703" xr:uid="{00000000-0005-0000-0000-000015410000}"/>
    <cellStyle name="Normal 2 2 2 2 5 5 4 10" xfId="16704" xr:uid="{00000000-0005-0000-0000-000016410000}"/>
    <cellStyle name="Normal 2 2 2 2 5 5 4 2" xfId="16705" xr:uid="{00000000-0005-0000-0000-000017410000}"/>
    <cellStyle name="Normal 2 2 2 2 5 5 4 3" xfId="16706" xr:uid="{00000000-0005-0000-0000-000018410000}"/>
    <cellStyle name="Normal 2 2 2 2 5 5 4 4" xfId="16707" xr:uid="{00000000-0005-0000-0000-000019410000}"/>
    <cellStyle name="Normal 2 2 2 2 5 5 4 5" xfId="16708" xr:uid="{00000000-0005-0000-0000-00001A410000}"/>
    <cellStyle name="Normal 2 2 2 2 5 5 4 6" xfId="16709" xr:uid="{00000000-0005-0000-0000-00001B410000}"/>
    <cellStyle name="Normal 2 2 2 2 5 5 4 7" xfId="16710" xr:uid="{00000000-0005-0000-0000-00001C410000}"/>
    <cellStyle name="Normal 2 2 2 2 5 5 4 8" xfId="16711" xr:uid="{00000000-0005-0000-0000-00001D410000}"/>
    <cellStyle name="Normal 2 2 2 2 5 5 4 9" xfId="16712" xr:uid="{00000000-0005-0000-0000-00001E410000}"/>
    <cellStyle name="Normal 2 2 2 2 5 5 5" xfId="16713" xr:uid="{00000000-0005-0000-0000-00001F410000}"/>
    <cellStyle name="Normal 2 2 2 2 5 5 5 10" xfId="16714" xr:uid="{00000000-0005-0000-0000-000020410000}"/>
    <cellStyle name="Normal 2 2 2 2 5 5 5 2" xfId="16715" xr:uid="{00000000-0005-0000-0000-000021410000}"/>
    <cellStyle name="Normal 2 2 2 2 5 5 5 3" xfId="16716" xr:uid="{00000000-0005-0000-0000-000022410000}"/>
    <cellStyle name="Normal 2 2 2 2 5 5 5 4" xfId="16717" xr:uid="{00000000-0005-0000-0000-000023410000}"/>
    <cellStyle name="Normal 2 2 2 2 5 5 5 5" xfId="16718" xr:uid="{00000000-0005-0000-0000-000024410000}"/>
    <cellStyle name="Normal 2 2 2 2 5 5 5 6" xfId="16719" xr:uid="{00000000-0005-0000-0000-000025410000}"/>
    <cellStyle name="Normal 2 2 2 2 5 5 5 7" xfId="16720" xr:uid="{00000000-0005-0000-0000-000026410000}"/>
    <cellStyle name="Normal 2 2 2 2 5 5 5 8" xfId="16721" xr:uid="{00000000-0005-0000-0000-000027410000}"/>
    <cellStyle name="Normal 2 2 2 2 5 5 5 9" xfId="16722" xr:uid="{00000000-0005-0000-0000-000028410000}"/>
    <cellStyle name="Normal 2 2 2 2 5 5 6" xfId="16723" xr:uid="{00000000-0005-0000-0000-000029410000}"/>
    <cellStyle name="Normal 2 2 2 2 5 5 7" xfId="16724" xr:uid="{00000000-0005-0000-0000-00002A410000}"/>
    <cellStyle name="Normal 2 2 2 2 5 5 8" xfId="16725" xr:uid="{00000000-0005-0000-0000-00002B410000}"/>
    <cellStyle name="Normal 2 2 2 2 5 5 9" xfId="16726" xr:uid="{00000000-0005-0000-0000-00002C410000}"/>
    <cellStyle name="Normal 2 2 2 2 5 6" xfId="16727" xr:uid="{00000000-0005-0000-0000-00002D410000}"/>
    <cellStyle name="Normal 2 2 2 2 5 6 10" xfId="16728" xr:uid="{00000000-0005-0000-0000-00002E410000}"/>
    <cellStyle name="Normal 2 2 2 2 5 6 11" xfId="16729" xr:uid="{00000000-0005-0000-0000-00002F410000}"/>
    <cellStyle name="Normal 2 2 2 2 5 6 12" xfId="16730" xr:uid="{00000000-0005-0000-0000-000030410000}"/>
    <cellStyle name="Normal 2 2 2 2 5 6 13" xfId="16731" xr:uid="{00000000-0005-0000-0000-000031410000}"/>
    <cellStyle name="Normal 2 2 2 2 5 6 14" xfId="16732" xr:uid="{00000000-0005-0000-0000-000032410000}"/>
    <cellStyle name="Normal 2 2 2 2 5 6 2" xfId="16733" xr:uid="{00000000-0005-0000-0000-000033410000}"/>
    <cellStyle name="Normal 2 2 2 2 5 6 2 10" xfId="16734" xr:uid="{00000000-0005-0000-0000-000034410000}"/>
    <cellStyle name="Normal 2 2 2 2 5 6 2 2" xfId="16735" xr:uid="{00000000-0005-0000-0000-000035410000}"/>
    <cellStyle name="Normal 2 2 2 2 5 6 2 3" xfId="16736" xr:uid="{00000000-0005-0000-0000-000036410000}"/>
    <cellStyle name="Normal 2 2 2 2 5 6 2 4" xfId="16737" xr:uid="{00000000-0005-0000-0000-000037410000}"/>
    <cellStyle name="Normal 2 2 2 2 5 6 2 5" xfId="16738" xr:uid="{00000000-0005-0000-0000-000038410000}"/>
    <cellStyle name="Normal 2 2 2 2 5 6 2 6" xfId="16739" xr:uid="{00000000-0005-0000-0000-000039410000}"/>
    <cellStyle name="Normal 2 2 2 2 5 6 2 7" xfId="16740" xr:uid="{00000000-0005-0000-0000-00003A410000}"/>
    <cellStyle name="Normal 2 2 2 2 5 6 2 8" xfId="16741" xr:uid="{00000000-0005-0000-0000-00003B410000}"/>
    <cellStyle name="Normal 2 2 2 2 5 6 2 9" xfId="16742" xr:uid="{00000000-0005-0000-0000-00003C410000}"/>
    <cellStyle name="Normal 2 2 2 2 5 6 3" xfId="16743" xr:uid="{00000000-0005-0000-0000-00003D410000}"/>
    <cellStyle name="Normal 2 2 2 2 5 6 3 10" xfId="16744" xr:uid="{00000000-0005-0000-0000-00003E410000}"/>
    <cellStyle name="Normal 2 2 2 2 5 6 3 2" xfId="16745" xr:uid="{00000000-0005-0000-0000-00003F410000}"/>
    <cellStyle name="Normal 2 2 2 2 5 6 3 3" xfId="16746" xr:uid="{00000000-0005-0000-0000-000040410000}"/>
    <cellStyle name="Normal 2 2 2 2 5 6 3 4" xfId="16747" xr:uid="{00000000-0005-0000-0000-000041410000}"/>
    <cellStyle name="Normal 2 2 2 2 5 6 3 5" xfId="16748" xr:uid="{00000000-0005-0000-0000-000042410000}"/>
    <cellStyle name="Normal 2 2 2 2 5 6 3 6" xfId="16749" xr:uid="{00000000-0005-0000-0000-000043410000}"/>
    <cellStyle name="Normal 2 2 2 2 5 6 3 7" xfId="16750" xr:uid="{00000000-0005-0000-0000-000044410000}"/>
    <cellStyle name="Normal 2 2 2 2 5 6 3 8" xfId="16751" xr:uid="{00000000-0005-0000-0000-000045410000}"/>
    <cellStyle name="Normal 2 2 2 2 5 6 3 9" xfId="16752" xr:uid="{00000000-0005-0000-0000-000046410000}"/>
    <cellStyle name="Normal 2 2 2 2 5 6 4" xfId="16753" xr:uid="{00000000-0005-0000-0000-000047410000}"/>
    <cellStyle name="Normal 2 2 2 2 5 6 4 10" xfId="16754" xr:uid="{00000000-0005-0000-0000-000048410000}"/>
    <cellStyle name="Normal 2 2 2 2 5 6 4 2" xfId="16755" xr:uid="{00000000-0005-0000-0000-000049410000}"/>
    <cellStyle name="Normal 2 2 2 2 5 6 4 3" xfId="16756" xr:uid="{00000000-0005-0000-0000-00004A410000}"/>
    <cellStyle name="Normal 2 2 2 2 5 6 4 4" xfId="16757" xr:uid="{00000000-0005-0000-0000-00004B410000}"/>
    <cellStyle name="Normal 2 2 2 2 5 6 4 5" xfId="16758" xr:uid="{00000000-0005-0000-0000-00004C410000}"/>
    <cellStyle name="Normal 2 2 2 2 5 6 4 6" xfId="16759" xr:uid="{00000000-0005-0000-0000-00004D410000}"/>
    <cellStyle name="Normal 2 2 2 2 5 6 4 7" xfId="16760" xr:uid="{00000000-0005-0000-0000-00004E410000}"/>
    <cellStyle name="Normal 2 2 2 2 5 6 4 8" xfId="16761" xr:uid="{00000000-0005-0000-0000-00004F410000}"/>
    <cellStyle name="Normal 2 2 2 2 5 6 4 9" xfId="16762" xr:uid="{00000000-0005-0000-0000-000050410000}"/>
    <cellStyle name="Normal 2 2 2 2 5 6 5" xfId="16763" xr:uid="{00000000-0005-0000-0000-000051410000}"/>
    <cellStyle name="Normal 2 2 2 2 5 6 5 10" xfId="16764" xr:uid="{00000000-0005-0000-0000-000052410000}"/>
    <cellStyle name="Normal 2 2 2 2 5 6 5 2" xfId="16765" xr:uid="{00000000-0005-0000-0000-000053410000}"/>
    <cellStyle name="Normal 2 2 2 2 5 6 5 3" xfId="16766" xr:uid="{00000000-0005-0000-0000-000054410000}"/>
    <cellStyle name="Normal 2 2 2 2 5 6 5 4" xfId="16767" xr:uid="{00000000-0005-0000-0000-000055410000}"/>
    <cellStyle name="Normal 2 2 2 2 5 6 5 5" xfId="16768" xr:uid="{00000000-0005-0000-0000-000056410000}"/>
    <cellStyle name="Normal 2 2 2 2 5 6 5 6" xfId="16769" xr:uid="{00000000-0005-0000-0000-000057410000}"/>
    <cellStyle name="Normal 2 2 2 2 5 6 5 7" xfId="16770" xr:uid="{00000000-0005-0000-0000-000058410000}"/>
    <cellStyle name="Normal 2 2 2 2 5 6 5 8" xfId="16771" xr:uid="{00000000-0005-0000-0000-000059410000}"/>
    <cellStyle name="Normal 2 2 2 2 5 6 5 9" xfId="16772" xr:uid="{00000000-0005-0000-0000-00005A410000}"/>
    <cellStyle name="Normal 2 2 2 2 5 6 6" xfId="16773" xr:uid="{00000000-0005-0000-0000-00005B410000}"/>
    <cellStyle name="Normal 2 2 2 2 5 6 7" xfId="16774" xr:uid="{00000000-0005-0000-0000-00005C410000}"/>
    <cellStyle name="Normal 2 2 2 2 5 6 8" xfId="16775" xr:uid="{00000000-0005-0000-0000-00005D410000}"/>
    <cellStyle name="Normal 2 2 2 2 5 6 9" xfId="16776" xr:uid="{00000000-0005-0000-0000-00005E410000}"/>
    <cellStyle name="Normal 2 2 2 2 5 7" xfId="16777" xr:uid="{00000000-0005-0000-0000-00005F410000}"/>
    <cellStyle name="Normal 2 2 2 2 5 7 10" xfId="16778" xr:uid="{00000000-0005-0000-0000-000060410000}"/>
    <cellStyle name="Normal 2 2 2 2 5 7 11" xfId="16779" xr:uid="{00000000-0005-0000-0000-000061410000}"/>
    <cellStyle name="Normal 2 2 2 2 5 7 12" xfId="16780" xr:uid="{00000000-0005-0000-0000-000062410000}"/>
    <cellStyle name="Normal 2 2 2 2 5 7 13" xfId="16781" xr:uid="{00000000-0005-0000-0000-000063410000}"/>
    <cellStyle name="Normal 2 2 2 2 5 7 14" xfId="16782" xr:uid="{00000000-0005-0000-0000-000064410000}"/>
    <cellStyle name="Normal 2 2 2 2 5 7 2" xfId="16783" xr:uid="{00000000-0005-0000-0000-000065410000}"/>
    <cellStyle name="Normal 2 2 2 2 5 7 2 10" xfId="16784" xr:uid="{00000000-0005-0000-0000-000066410000}"/>
    <cellStyle name="Normal 2 2 2 2 5 7 2 2" xfId="16785" xr:uid="{00000000-0005-0000-0000-000067410000}"/>
    <cellStyle name="Normal 2 2 2 2 5 7 2 3" xfId="16786" xr:uid="{00000000-0005-0000-0000-000068410000}"/>
    <cellStyle name="Normal 2 2 2 2 5 7 2 4" xfId="16787" xr:uid="{00000000-0005-0000-0000-000069410000}"/>
    <cellStyle name="Normal 2 2 2 2 5 7 2 5" xfId="16788" xr:uid="{00000000-0005-0000-0000-00006A410000}"/>
    <cellStyle name="Normal 2 2 2 2 5 7 2 6" xfId="16789" xr:uid="{00000000-0005-0000-0000-00006B410000}"/>
    <cellStyle name="Normal 2 2 2 2 5 7 2 7" xfId="16790" xr:uid="{00000000-0005-0000-0000-00006C410000}"/>
    <cellStyle name="Normal 2 2 2 2 5 7 2 8" xfId="16791" xr:uid="{00000000-0005-0000-0000-00006D410000}"/>
    <cellStyle name="Normal 2 2 2 2 5 7 2 9" xfId="16792" xr:uid="{00000000-0005-0000-0000-00006E410000}"/>
    <cellStyle name="Normal 2 2 2 2 5 7 3" xfId="16793" xr:uid="{00000000-0005-0000-0000-00006F410000}"/>
    <cellStyle name="Normal 2 2 2 2 5 7 3 10" xfId="16794" xr:uid="{00000000-0005-0000-0000-000070410000}"/>
    <cellStyle name="Normal 2 2 2 2 5 7 3 2" xfId="16795" xr:uid="{00000000-0005-0000-0000-000071410000}"/>
    <cellStyle name="Normal 2 2 2 2 5 7 3 3" xfId="16796" xr:uid="{00000000-0005-0000-0000-000072410000}"/>
    <cellStyle name="Normal 2 2 2 2 5 7 3 4" xfId="16797" xr:uid="{00000000-0005-0000-0000-000073410000}"/>
    <cellStyle name="Normal 2 2 2 2 5 7 3 5" xfId="16798" xr:uid="{00000000-0005-0000-0000-000074410000}"/>
    <cellStyle name="Normal 2 2 2 2 5 7 3 6" xfId="16799" xr:uid="{00000000-0005-0000-0000-000075410000}"/>
    <cellStyle name="Normal 2 2 2 2 5 7 3 7" xfId="16800" xr:uid="{00000000-0005-0000-0000-000076410000}"/>
    <cellStyle name="Normal 2 2 2 2 5 7 3 8" xfId="16801" xr:uid="{00000000-0005-0000-0000-000077410000}"/>
    <cellStyle name="Normal 2 2 2 2 5 7 3 9" xfId="16802" xr:uid="{00000000-0005-0000-0000-000078410000}"/>
    <cellStyle name="Normal 2 2 2 2 5 7 4" xfId="16803" xr:uid="{00000000-0005-0000-0000-000079410000}"/>
    <cellStyle name="Normal 2 2 2 2 5 7 4 10" xfId="16804" xr:uid="{00000000-0005-0000-0000-00007A410000}"/>
    <cellStyle name="Normal 2 2 2 2 5 7 4 2" xfId="16805" xr:uid="{00000000-0005-0000-0000-00007B410000}"/>
    <cellStyle name="Normal 2 2 2 2 5 7 4 3" xfId="16806" xr:uid="{00000000-0005-0000-0000-00007C410000}"/>
    <cellStyle name="Normal 2 2 2 2 5 7 4 4" xfId="16807" xr:uid="{00000000-0005-0000-0000-00007D410000}"/>
    <cellStyle name="Normal 2 2 2 2 5 7 4 5" xfId="16808" xr:uid="{00000000-0005-0000-0000-00007E410000}"/>
    <cellStyle name="Normal 2 2 2 2 5 7 4 6" xfId="16809" xr:uid="{00000000-0005-0000-0000-00007F410000}"/>
    <cellStyle name="Normal 2 2 2 2 5 7 4 7" xfId="16810" xr:uid="{00000000-0005-0000-0000-000080410000}"/>
    <cellStyle name="Normal 2 2 2 2 5 7 4 8" xfId="16811" xr:uid="{00000000-0005-0000-0000-000081410000}"/>
    <cellStyle name="Normal 2 2 2 2 5 7 4 9" xfId="16812" xr:uid="{00000000-0005-0000-0000-000082410000}"/>
    <cellStyle name="Normal 2 2 2 2 5 7 5" xfId="16813" xr:uid="{00000000-0005-0000-0000-000083410000}"/>
    <cellStyle name="Normal 2 2 2 2 5 7 5 10" xfId="16814" xr:uid="{00000000-0005-0000-0000-000084410000}"/>
    <cellStyle name="Normal 2 2 2 2 5 7 5 2" xfId="16815" xr:uid="{00000000-0005-0000-0000-000085410000}"/>
    <cellStyle name="Normal 2 2 2 2 5 7 5 3" xfId="16816" xr:uid="{00000000-0005-0000-0000-000086410000}"/>
    <cellStyle name="Normal 2 2 2 2 5 7 5 4" xfId="16817" xr:uid="{00000000-0005-0000-0000-000087410000}"/>
    <cellStyle name="Normal 2 2 2 2 5 7 5 5" xfId="16818" xr:uid="{00000000-0005-0000-0000-000088410000}"/>
    <cellStyle name="Normal 2 2 2 2 5 7 5 6" xfId="16819" xr:uid="{00000000-0005-0000-0000-000089410000}"/>
    <cellStyle name="Normal 2 2 2 2 5 7 5 7" xfId="16820" xr:uid="{00000000-0005-0000-0000-00008A410000}"/>
    <cellStyle name="Normal 2 2 2 2 5 7 5 8" xfId="16821" xr:uid="{00000000-0005-0000-0000-00008B410000}"/>
    <cellStyle name="Normal 2 2 2 2 5 7 5 9" xfId="16822" xr:uid="{00000000-0005-0000-0000-00008C410000}"/>
    <cellStyle name="Normal 2 2 2 2 5 7 6" xfId="16823" xr:uid="{00000000-0005-0000-0000-00008D410000}"/>
    <cellStyle name="Normal 2 2 2 2 5 7 7" xfId="16824" xr:uid="{00000000-0005-0000-0000-00008E410000}"/>
    <cellStyle name="Normal 2 2 2 2 5 7 8" xfId="16825" xr:uid="{00000000-0005-0000-0000-00008F410000}"/>
    <cellStyle name="Normal 2 2 2 2 5 7 9" xfId="16826" xr:uid="{00000000-0005-0000-0000-000090410000}"/>
    <cellStyle name="Normal 2 2 2 2 5 8" xfId="16827" xr:uid="{00000000-0005-0000-0000-000091410000}"/>
    <cellStyle name="Normal 2 2 2 2 5 8 10" xfId="16828" xr:uid="{00000000-0005-0000-0000-000092410000}"/>
    <cellStyle name="Normal 2 2 2 2 5 8 11" xfId="16829" xr:uid="{00000000-0005-0000-0000-000093410000}"/>
    <cellStyle name="Normal 2 2 2 2 5 8 12" xfId="16830" xr:uid="{00000000-0005-0000-0000-000094410000}"/>
    <cellStyle name="Normal 2 2 2 2 5 8 13" xfId="16831" xr:uid="{00000000-0005-0000-0000-000095410000}"/>
    <cellStyle name="Normal 2 2 2 2 5 8 14" xfId="16832" xr:uid="{00000000-0005-0000-0000-000096410000}"/>
    <cellStyle name="Normal 2 2 2 2 5 8 2" xfId="16833" xr:uid="{00000000-0005-0000-0000-000097410000}"/>
    <cellStyle name="Normal 2 2 2 2 5 8 2 10" xfId="16834" xr:uid="{00000000-0005-0000-0000-000098410000}"/>
    <cellStyle name="Normal 2 2 2 2 5 8 2 2" xfId="16835" xr:uid="{00000000-0005-0000-0000-000099410000}"/>
    <cellStyle name="Normal 2 2 2 2 5 8 2 3" xfId="16836" xr:uid="{00000000-0005-0000-0000-00009A410000}"/>
    <cellStyle name="Normal 2 2 2 2 5 8 2 4" xfId="16837" xr:uid="{00000000-0005-0000-0000-00009B410000}"/>
    <cellStyle name="Normal 2 2 2 2 5 8 2 5" xfId="16838" xr:uid="{00000000-0005-0000-0000-00009C410000}"/>
    <cellStyle name="Normal 2 2 2 2 5 8 2 6" xfId="16839" xr:uid="{00000000-0005-0000-0000-00009D410000}"/>
    <cellStyle name="Normal 2 2 2 2 5 8 2 7" xfId="16840" xr:uid="{00000000-0005-0000-0000-00009E410000}"/>
    <cellStyle name="Normal 2 2 2 2 5 8 2 8" xfId="16841" xr:uid="{00000000-0005-0000-0000-00009F410000}"/>
    <cellStyle name="Normal 2 2 2 2 5 8 2 9" xfId="16842" xr:uid="{00000000-0005-0000-0000-0000A0410000}"/>
    <cellStyle name="Normal 2 2 2 2 5 8 3" xfId="16843" xr:uid="{00000000-0005-0000-0000-0000A1410000}"/>
    <cellStyle name="Normal 2 2 2 2 5 8 3 10" xfId="16844" xr:uid="{00000000-0005-0000-0000-0000A2410000}"/>
    <cellStyle name="Normal 2 2 2 2 5 8 3 2" xfId="16845" xr:uid="{00000000-0005-0000-0000-0000A3410000}"/>
    <cellStyle name="Normal 2 2 2 2 5 8 3 3" xfId="16846" xr:uid="{00000000-0005-0000-0000-0000A4410000}"/>
    <cellStyle name="Normal 2 2 2 2 5 8 3 4" xfId="16847" xr:uid="{00000000-0005-0000-0000-0000A5410000}"/>
    <cellStyle name="Normal 2 2 2 2 5 8 3 5" xfId="16848" xr:uid="{00000000-0005-0000-0000-0000A6410000}"/>
    <cellStyle name="Normal 2 2 2 2 5 8 3 6" xfId="16849" xr:uid="{00000000-0005-0000-0000-0000A7410000}"/>
    <cellStyle name="Normal 2 2 2 2 5 8 3 7" xfId="16850" xr:uid="{00000000-0005-0000-0000-0000A8410000}"/>
    <cellStyle name="Normal 2 2 2 2 5 8 3 8" xfId="16851" xr:uid="{00000000-0005-0000-0000-0000A9410000}"/>
    <cellStyle name="Normal 2 2 2 2 5 8 3 9" xfId="16852" xr:uid="{00000000-0005-0000-0000-0000AA410000}"/>
    <cellStyle name="Normal 2 2 2 2 5 8 4" xfId="16853" xr:uid="{00000000-0005-0000-0000-0000AB410000}"/>
    <cellStyle name="Normal 2 2 2 2 5 8 4 10" xfId="16854" xr:uid="{00000000-0005-0000-0000-0000AC410000}"/>
    <cellStyle name="Normal 2 2 2 2 5 8 4 2" xfId="16855" xr:uid="{00000000-0005-0000-0000-0000AD410000}"/>
    <cellStyle name="Normal 2 2 2 2 5 8 4 3" xfId="16856" xr:uid="{00000000-0005-0000-0000-0000AE410000}"/>
    <cellStyle name="Normal 2 2 2 2 5 8 4 4" xfId="16857" xr:uid="{00000000-0005-0000-0000-0000AF410000}"/>
    <cellStyle name="Normal 2 2 2 2 5 8 4 5" xfId="16858" xr:uid="{00000000-0005-0000-0000-0000B0410000}"/>
    <cellStyle name="Normal 2 2 2 2 5 8 4 6" xfId="16859" xr:uid="{00000000-0005-0000-0000-0000B1410000}"/>
    <cellStyle name="Normal 2 2 2 2 5 8 4 7" xfId="16860" xr:uid="{00000000-0005-0000-0000-0000B2410000}"/>
    <cellStyle name="Normal 2 2 2 2 5 8 4 8" xfId="16861" xr:uid="{00000000-0005-0000-0000-0000B3410000}"/>
    <cellStyle name="Normal 2 2 2 2 5 8 4 9" xfId="16862" xr:uid="{00000000-0005-0000-0000-0000B4410000}"/>
    <cellStyle name="Normal 2 2 2 2 5 8 5" xfId="16863" xr:uid="{00000000-0005-0000-0000-0000B5410000}"/>
    <cellStyle name="Normal 2 2 2 2 5 8 5 10" xfId="16864" xr:uid="{00000000-0005-0000-0000-0000B6410000}"/>
    <cellStyle name="Normal 2 2 2 2 5 8 5 2" xfId="16865" xr:uid="{00000000-0005-0000-0000-0000B7410000}"/>
    <cellStyle name="Normal 2 2 2 2 5 8 5 3" xfId="16866" xr:uid="{00000000-0005-0000-0000-0000B8410000}"/>
    <cellStyle name="Normal 2 2 2 2 5 8 5 4" xfId="16867" xr:uid="{00000000-0005-0000-0000-0000B9410000}"/>
    <cellStyle name="Normal 2 2 2 2 5 8 5 5" xfId="16868" xr:uid="{00000000-0005-0000-0000-0000BA410000}"/>
    <cellStyle name="Normal 2 2 2 2 5 8 5 6" xfId="16869" xr:uid="{00000000-0005-0000-0000-0000BB410000}"/>
    <cellStyle name="Normal 2 2 2 2 5 8 5 7" xfId="16870" xr:uid="{00000000-0005-0000-0000-0000BC410000}"/>
    <cellStyle name="Normal 2 2 2 2 5 8 5 8" xfId="16871" xr:uid="{00000000-0005-0000-0000-0000BD410000}"/>
    <cellStyle name="Normal 2 2 2 2 5 8 5 9" xfId="16872" xr:uid="{00000000-0005-0000-0000-0000BE410000}"/>
    <cellStyle name="Normal 2 2 2 2 5 8 6" xfId="16873" xr:uid="{00000000-0005-0000-0000-0000BF410000}"/>
    <cellStyle name="Normal 2 2 2 2 5 8 7" xfId="16874" xr:uid="{00000000-0005-0000-0000-0000C0410000}"/>
    <cellStyle name="Normal 2 2 2 2 5 8 8" xfId="16875" xr:uid="{00000000-0005-0000-0000-0000C1410000}"/>
    <cellStyle name="Normal 2 2 2 2 5 8 9" xfId="16876" xr:uid="{00000000-0005-0000-0000-0000C2410000}"/>
    <cellStyle name="Normal 2 2 2 2 5 9" xfId="16877" xr:uid="{00000000-0005-0000-0000-0000C3410000}"/>
    <cellStyle name="Normal 2 2 2 2 5 9 10" xfId="16878" xr:uid="{00000000-0005-0000-0000-0000C4410000}"/>
    <cellStyle name="Normal 2 2 2 2 5 9 11" xfId="16879" xr:uid="{00000000-0005-0000-0000-0000C5410000}"/>
    <cellStyle name="Normal 2 2 2 2 5 9 12" xfId="16880" xr:uid="{00000000-0005-0000-0000-0000C6410000}"/>
    <cellStyle name="Normal 2 2 2 2 5 9 13" xfId="16881" xr:uid="{00000000-0005-0000-0000-0000C7410000}"/>
    <cellStyle name="Normal 2 2 2 2 5 9 14" xfId="16882" xr:uid="{00000000-0005-0000-0000-0000C8410000}"/>
    <cellStyle name="Normal 2 2 2 2 5 9 2" xfId="16883" xr:uid="{00000000-0005-0000-0000-0000C9410000}"/>
    <cellStyle name="Normal 2 2 2 2 5 9 2 10" xfId="16884" xr:uid="{00000000-0005-0000-0000-0000CA410000}"/>
    <cellStyle name="Normal 2 2 2 2 5 9 2 2" xfId="16885" xr:uid="{00000000-0005-0000-0000-0000CB410000}"/>
    <cellStyle name="Normal 2 2 2 2 5 9 2 3" xfId="16886" xr:uid="{00000000-0005-0000-0000-0000CC410000}"/>
    <cellStyle name="Normal 2 2 2 2 5 9 2 4" xfId="16887" xr:uid="{00000000-0005-0000-0000-0000CD410000}"/>
    <cellStyle name="Normal 2 2 2 2 5 9 2 5" xfId="16888" xr:uid="{00000000-0005-0000-0000-0000CE410000}"/>
    <cellStyle name="Normal 2 2 2 2 5 9 2 6" xfId="16889" xr:uid="{00000000-0005-0000-0000-0000CF410000}"/>
    <cellStyle name="Normal 2 2 2 2 5 9 2 7" xfId="16890" xr:uid="{00000000-0005-0000-0000-0000D0410000}"/>
    <cellStyle name="Normal 2 2 2 2 5 9 2 8" xfId="16891" xr:uid="{00000000-0005-0000-0000-0000D1410000}"/>
    <cellStyle name="Normal 2 2 2 2 5 9 2 9" xfId="16892" xr:uid="{00000000-0005-0000-0000-0000D2410000}"/>
    <cellStyle name="Normal 2 2 2 2 5 9 3" xfId="16893" xr:uid="{00000000-0005-0000-0000-0000D3410000}"/>
    <cellStyle name="Normal 2 2 2 2 5 9 3 10" xfId="16894" xr:uid="{00000000-0005-0000-0000-0000D4410000}"/>
    <cellStyle name="Normal 2 2 2 2 5 9 3 2" xfId="16895" xr:uid="{00000000-0005-0000-0000-0000D5410000}"/>
    <cellStyle name="Normal 2 2 2 2 5 9 3 3" xfId="16896" xr:uid="{00000000-0005-0000-0000-0000D6410000}"/>
    <cellStyle name="Normal 2 2 2 2 5 9 3 4" xfId="16897" xr:uid="{00000000-0005-0000-0000-0000D7410000}"/>
    <cellStyle name="Normal 2 2 2 2 5 9 3 5" xfId="16898" xr:uid="{00000000-0005-0000-0000-0000D8410000}"/>
    <cellStyle name="Normal 2 2 2 2 5 9 3 6" xfId="16899" xr:uid="{00000000-0005-0000-0000-0000D9410000}"/>
    <cellStyle name="Normal 2 2 2 2 5 9 3 7" xfId="16900" xr:uid="{00000000-0005-0000-0000-0000DA410000}"/>
    <cellStyle name="Normal 2 2 2 2 5 9 3 8" xfId="16901" xr:uid="{00000000-0005-0000-0000-0000DB410000}"/>
    <cellStyle name="Normal 2 2 2 2 5 9 3 9" xfId="16902" xr:uid="{00000000-0005-0000-0000-0000DC410000}"/>
    <cellStyle name="Normal 2 2 2 2 5 9 4" xfId="16903" xr:uid="{00000000-0005-0000-0000-0000DD410000}"/>
    <cellStyle name="Normal 2 2 2 2 5 9 4 10" xfId="16904" xr:uid="{00000000-0005-0000-0000-0000DE410000}"/>
    <cellStyle name="Normal 2 2 2 2 5 9 4 2" xfId="16905" xr:uid="{00000000-0005-0000-0000-0000DF410000}"/>
    <cellStyle name="Normal 2 2 2 2 5 9 4 3" xfId="16906" xr:uid="{00000000-0005-0000-0000-0000E0410000}"/>
    <cellStyle name="Normal 2 2 2 2 5 9 4 4" xfId="16907" xr:uid="{00000000-0005-0000-0000-0000E1410000}"/>
    <cellStyle name="Normal 2 2 2 2 5 9 4 5" xfId="16908" xr:uid="{00000000-0005-0000-0000-0000E2410000}"/>
    <cellStyle name="Normal 2 2 2 2 5 9 4 6" xfId="16909" xr:uid="{00000000-0005-0000-0000-0000E3410000}"/>
    <cellStyle name="Normal 2 2 2 2 5 9 4 7" xfId="16910" xr:uid="{00000000-0005-0000-0000-0000E4410000}"/>
    <cellStyle name="Normal 2 2 2 2 5 9 4 8" xfId="16911" xr:uid="{00000000-0005-0000-0000-0000E5410000}"/>
    <cellStyle name="Normal 2 2 2 2 5 9 4 9" xfId="16912" xr:uid="{00000000-0005-0000-0000-0000E6410000}"/>
    <cellStyle name="Normal 2 2 2 2 5 9 5" xfId="16913" xr:uid="{00000000-0005-0000-0000-0000E7410000}"/>
    <cellStyle name="Normal 2 2 2 2 5 9 5 10" xfId="16914" xr:uid="{00000000-0005-0000-0000-0000E8410000}"/>
    <cellStyle name="Normal 2 2 2 2 5 9 5 2" xfId="16915" xr:uid="{00000000-0005-0000-0000-0000E9410000}"/>
    <cellStyle name="Normal 2 2 2 2 5 9 5 3" xfId="16916" xr:uid="{00000000-0005-0000-0000-0000EA410000}"/>
    <cellStyle name="Normal 2 2 2 2 5 9 5 4" xfId="16917" xr:uid="{00000000-0005-0000-0000-0000EB410000}"/>
    <cellStyle name="Normal 2 2 2 2 5 9 5 5" xfId="16918" xr:uid="{00000000-0005-0000-0000-0000EC410000}"/>
    <cellStyle name="Normal 2 2 2 2 5 9 5 6" xfId="16919" xr:uid="{00000000-0005-0000-0000-0000ED410000}"/>
    <cellStyle name="Normal 2 2 2 2 5 9 5 7" xfId="16920" xr:uid="{00000000-0005-0000-0000-0000EE410000}"/>
    <cellStyle name="Normal 2 2 2 2 5 9 5 8" xfId="16921" xr:uid="{00000000-0005-0000-0000-0000EF410000}"/>
    <cellStyle name="Normal 2 2 2 2 5 9 5 9" xfId="16922" xr:uid="{00000000-0005-0000-0000-0000F0410000}"/>
    <cellStyle name="Normal 2 2 2 2 5 9 6" xfId="16923" xr:uid="{00000000-0005-0000-0000-0000F1410000}"/>
    <cellStyle name="Normal 2 2 2 2 5 9 7" xfId="16924" xr:uid="{00000000-0005-0000-0000-0000F2410000}"/>
    <cellStyle name="Normal 2 2 2 2 5 9 8" xfId="16925" xr:uid="{00000000-0005-0000-0000-0000F3410000}"/>
    <cellStyle name="Normal 2 2 2 2 5 9 9" xfId="16926" xr:uid="{00000000-0005-0000-0000-0000F4410000}"/>
    <cellStyle name="Normal 2 2 2 2 50" xfId="16927" xr:uid="{00000000-0005-0000-0000-0000F5410000}"/>
    <cellStyle name="Normal 2 2 2 2 51" xfId="16928" xr:uid="{00000000-0005-0000-0000-0000F6410000}"/>
    <cellStyle name="Normal 2 2 2 2 6" xfId="16929" xr:uid="{00000000-0005-0000-0000-0000F7410000}"/>
    <cellStyle name="Normal 2 2 2 2 6 2" xfId="68" xr:uid="{00000000-0005-0000-0000-0000F8410000}"/>
    <cellStyle name="Normal 2 2 2 2 6 2 2" xfId="73" xr:uid="{00000000-0005-0000-0000-0000F9410000}"/>
    <cellStyle name="Normal 2 2 2 2 6 2 3" xfId="77" xr:uid="{00000000-0005-0000-0000-0000FA410000}"/>
    <cellStyle name="Normal 2 2 2 2 6 2 4" xfId="16930" xr:uid="{00000000-0005-0000-0000-0000FB410000}"/>
    <cellStyle name="Normal 2 2 2 2 7" xfId="16931" xr:uid="{00000000-0005-0000-0000-0000FC410000}"/>
    <cellStyle name="Normal 2 2 2 2 8" xfId="16932" xr:uid="{00000000-0005-0000-0000-0000FD410000}"/>
    <cellStyle name="Normal 2 2 2 2 9" xfId="16933" xr:uid="{00000000-0005-0000-0000-0000FE410000}"/>
    <cellStyle name="Normal 2 2 2 20" xfId="16934" xr:uid="{00000000-0005-0000-0000-0000FF410000}"/>
    <cellStyle name="Normal 2 2 2 20 10" xfId="16935" xr:uid="{00000000-0005-0000-0000-000000420000}"/>
    <cellStyle name="Normal 2 2 2 20 11" xfId="16936" xr:uid="{00000000-0005-0000-0000-000001420000}"/>
    <cellStyle name="Normal 2 2 2 20 12" xfId="16937" xr:uid="{00000000-0005-0000-0000-000002420000}"/>
    <cellStyle name="Normal 2 2 2 20 13" xfId="16938" xr:uid="{00000000-0005-0000-0000-000003420000}"/>
    <cellStyle name="Normal 2 2 2 20 14" xfId="16939" xr:uid="{00000000-0005-0000-0000-000004420000}"/>
    <cellStyle name="Normal 2 2 2 20 2" xfId="16940" xr:uid="{00000000-0005-0000-0000-000005420000}"/>
    <cellStyle name="Normal 2 2 2 20 2 10" xfId="16941" xr:uid="{00000000-0005-0000-0000-000006420000}"/>
    <cellStyle name="Normal 2 2 2 20 2 2" xfId="16942" xr:uid="{00000000-0005-0000-0000-000007420000}"/>
    <cellStyle name="Normal 2 2 2 20 2 3" xfId="16943" xr:uid="{00000000-0005-0000-0000-000008420000}"/>
    <cellStyle name="Normal 2 2 2 20 2 4" xfId="16944" xr:uid="{00000000-0005-0000-0000-000009420000}"/>
    <cellStyle name="Normal 2 2 2 20 2 5" xfId="16945" xr:uid="{00000000-0005-0000-0000-00000A420000}"/>
    <cellStyle name="Normal 2 2 2 20 2 6" xfId="16946" xr:uid="{00000000-0005-0000-0000-00000B420000}"/>
    <cellStyle name="Normal 2 2 2 20 2 7" xfId="16947" xr:uid="{00000000-0005-0000-0000-00000C420000}"/>
    <cellStyle name="Normal 2 2 2 20 2 8" xfId="16948" xr:uid="{00000000-0005-0000-0000-00000D420000}"/>
    <cellStyle name="Normal 2 2 2 20 2 9" xfId="16949" xr:uid="{00000000-0005-0000-0000-00000E420000}"/>
    <cellStyle name="Normal 2 2 2 20 3" xfId="16950" xr:uid="{00000000-0005-0000-0000-00000F420000}"/>
    <cellStyle name="Normal 2 2 2 20 3 10" xfId="16951" xr:uid="{00000000-0005-0000-0000-000010420000}"/>
    <cellStyle name="Normal 2 2 2 20 3 2" xfId="16952" xr:uid="{00000000-0005-0000-0000-000011420000}"/>
    <cellStyle name="Normal 2 2 2 20 3 3" xfId="16953" xr:uid="{00000000-0005-0000-0000-000012420000}"/>
    <cellStyle name="Normal 2 2 2 20 3 4" xfId="16954" xr:uid="{00000000-0005-0000-0000-000013420000}"/>
    <cellStyle name="Normal 2 2 2 20 3 5" xfId="16955" xr:uid="{00000000-0005-0000-0000-000014420000}"/>
    <cellStyle name="Normal 2 2 2 20 3 6" xfId="16956" xr:uid="{00000000-0005-0000-0000-000015420000}"/>
    <cellStyle name="Normal 2 2 2 20 3 7" xfId="16957" xr:uid="{00000000-0005-0000-0000-000016420000}"/>
    <cellStyle name="Normal 2 2 2 20 3 8" xfId="16958" xr:uid="{00000000-0005-0000-0000-000017420000}"/>
    <cellStyle name="Normal 2 2 2 20 3 9" xfId="16959" xr:uid="{00000000-0005-0000-0000-000018420000}"/>
    <cellStyle name="Normal 2 2 2 20 4" xfId="16960" xr:uid="{00000000-0005-0000-0000-000019420000}"/>
    <cellStyle name="Normal 2 2 2 20 4 10" xfId="16961" xr:uid="{00000000-0005-0000-0000-00001A420000}"/>
    <cellStyle name="Normal 2 2 2 20 4 2" xfId="16962" xr:uid="{00000000-0005-0000-0000-00001B420000}"/>
    <cellStyle name="Normal 2 2 2 20 4 3" xfId="16963" xr:uid="{00000000-0005-0000-0000-00001C420000}"/>
    <cellStyle name="Normal 2 2 2 20 4 4" xfId="16964" xr:uid="{00000000-0005-0000-0000-00001D420000}"/>
    <cellStyle name="Normal 2 2 2 20 4 5" xfId="16965" xr:uid="{00000000-0005-0000-0000-00001E420000}"/>
    <cellStyle name="Normal 2 2 2 20 4 6" xfId="16966" xr:uid="{00000000-0005-0000-0000-00001F420000}"/>
    <cellStyle name="Normal 2 2 2 20 4 7" xfId="16967" xr:uid="{00000000-0005-0000-0000-000020420000}"/>
    <cellStyle name="Normal 2 2 2 20 4 8" xfId="16968" xr:uid="{00000000-0005-0000-0000-000021420000}"/>
    <cellStyle name="Normal 2 2 2 20 4 9" xfId="16969" xr:uid="{00000000-0005-0000-0000-000022420000}"/>
    <cellStyle name="Normal 2 2 2 20 5" xfId="16970" xr:uid="{00000000-0005-0000-0000-000023420000}"/>
    <cellStyle name="Normal 2 2 2 20 5 10" xfId="16971" xr:uid="{00000000-0005-0000-0000-000024420000}"/>
    <cellStyle name="Normal 2 2 2 20 5 2" xfId="16972" xr:uid="{00000000-0005-0000-0000-000025420000}"/>
    <cellStyle name="Normal 2 2 2 20 5 3" xfId="16973" xr:uid="{00000000-0005-0000-0000-000026420000}"/>
    <cellStyle name="Normal 2 2 2 20 5 4" xfId="16974" xr:uid="{00000000-0005-0000-0000-000027420000}"/>
    <cellStyle name="Normal 2 2 2 20 5 5" xfId="16975" xr:uid="{00000000-0005-0000-0000-000028420000}"/>
    <cellStyle name="Normal 2 2 2 20 5 6" xfId="16976" xr:uid="{00000000-0005-0000-0000-000029420000}"/>
    <cellStyle name="Normal 2 2 2 20 5 7" xfId="16977" xr:uid="{00000000-0005-0000-0000-00002A420000}"/>
    <cellStyle name="Normal 2 2 2 20 5 8" xfId="16978" xr:uid="{00000000-0005-0000-0000-00002B420000}"/>
    <cellStyle name="Normal 2 2 2 20 5 9" xfId="16979" xr:uid="{00000000-0005-0000-0000-00002C420000}"/>
    <cellStyle name="Normal 2 2 2 20 6" xfId="16980" xr:uid="{00000000-0005-0000-0000-00002D420000}"/>
    <cellStyle name="Normal 2 2 2 20 7" xfId="16981" xr:uid="{00000000-0005-0000-0000-00002E420000}"/>
    <cellStyle name="Normal 2 2 2 20 8" xfId="16982" xr:uid="{00000000-0005-0000-0000-00002F420000}"/>
    <cellStyle name="Normal 2 2 2 20 9" xfId="16983" xr:uid="{00000000-0005-0000-0000-000030420000}"/>
    <cellStyle name="Normal 2 2 2 21" xfId="16984" xr:uid="{00000000-0005-0000-0000-000031420000}"/>
    <cellStyle name="Normal 2 2 2 21 10" xfId="16985" xr:uid="{00000000-0005-0000-0000-000032420000}"/>
    <cellStyle name="Normal 2 2 2 21 11" xfId="16986" xr:uid="{00000000-0005-0000-0000-000033420000}"/>
    <cellStyle name="Normal 2 2 2 21 12" xfId="16987" xr:uid="{00000000-0005-0000-0000-000034420000}"/>
    <cellStyle name="Normal 2 2 2 21 13" xfId="16988" xr:uid="{00000000-0005-0000-0000-000035420000}"/>
    <cellStyle name="Normal 2 2 2 21 14" xfId="16989" xr:uid="{00000000-0005-0000-0000-000036420000}"/>
    <cellStyle name="Normal 2 2 2 21 2" xfId="16990" xr:uid="{00000000-0005-0000-0000-000037420000}"/>
    <cellStyle name="Normal 2 2 2 21 2 10" xfId="16991" xr:uid="{00000000-0005-0000-0000-000038420000}"/>
    <cellStyle name="Normal 2 2 2 21 2 2" xfId="16992" xr:uid="{00000000-0005-0000-0000-000039420000}"/>
    <cellStyle name="Normal 2 2 2 21 2 3" xfId="16993" xr:uid="{00000000-0005-0000-0000-00003A420000}"/>
    <cellStyle name="Normal 2 2 2 21 2 4" xfId="16994" xr:uid="{00000000-0005-0000-0000-00003B420000}"/>
    <cellStyle name="Normal 2 2 2 21 2 5" xfId="16995" xr:uid="{00000000-0005-0000-0000-00003C420000}"/>
    <cellStyle name="Normal 2 2 2 21 2 6" xfId="16996" xr:uid="{00000000-0005-0000-0000-00003D420000}"/>
    <cellStyle name="Normal 2 2 2 21 2 7" xfId="16997" xr:uid="{00000000-0005-0000-0000-00003E420000}"/>
    <cellStyle name="Normal 2 2 2 21 2 8" xfId="16998" xr:uid="{00000000-0005-0000-0000-00003F420000}"/>
    <cellStyle name="Normal 2 2 2 21 2 9" xfId="16999" xr:uid="{00000000-0005-0000-0000-000040420000}"/>
    <cellStyle name="Normal 2 2 2 21 3" xfId="17000" xr:uid="{00000000-0005-0000-0000-000041420000}"/>
    <cellStyle name="Normal 2 2 2 21 3 10" xfId="17001" xr:uid="{00000000-0005-0000-0000-000042420000}"/>
    <cellStyle name="Normal 2 2 2 21 3 2" xfId="17002" xr:uid="{00000000-0005-0000-0000-000043420000}"/>
    <cellStyle name="Normal 2 2 2 21 3 3" xfId="17003" xr:uid="{00000000-0005-0000-0000-000044420000}"/>
    <cellStyle name="Normal 2 2 2 21 3 4" xfId="17004" xr:uid="{00000000-0005-0000-0000-000045420000}"/>
    <cellStyle name="Normal 2 2 2 21 3 5" xfId="17005" xr:uid="{00000000-0005-0000-0000-000046420000}"/>
    <cellStyle name="Normal 2 2 2 21 3 6" xfId="17006" xr:uid="{00000000-0005-0000-0000-000047420000}"/>
    <cellStyle name="Normal 2 2 2 21 3 7" xfId="17007" xr:uid="{00000000-0005-0000-0000-000048420000}"/>
    <cellStyle name="Normal 2 2 2 21 3 8" xfId="17008" xr:uid="{00000000-0005-0000-0000-000049420000}"/>
    <cellStyle name="Normal 2 2 2 21 3 9" xfId="17009" xr:uid="{00000000-0005-0000-0000-00004A420000}"/>
    <cellStyle name="Normal 2 2 2 21 4" xfId="17010" xr:uid="{00000000-0005-0000-0000-00004B420000}"/>
    <cellStyle name="Normal 2 2 2 21 4 10" xfId="17011" xr:uid="{00000000-0005-0000-0000-00004C420000}"/>
    <cellStyle name="Normal 2 2 2 21 4 2" xfId="17012" xr:uid="{00000000-0005-0000-0000-00004D420000}"/>
    <cellStyle name="Normal 2 2 2 21 4 3" xfId="17013" xr:uid="{00000000-0005-0000-0000-00004E420000}"/>
    <cellStyle name="Normal 2 2 2 21 4 4" xfId="17014" xr:uid="{00000000-0005-0000-0000-00004F420000}"/>
    <cellStyle name="Normal 2 2 2 21 4 5" xfId="17015" xr:uid="{00000000-0005-0000-0000-000050420000}"/>
    <cellStyle name="Normal 2 2 2 21 4 6" xfId="17016" xr:uid="{00000000-0005-0000-0000-000051420000}"/>
    <cellStyle name="Normal 2 2 2 21 4 7" xfId="17017" xr:uid="{00000000-0005-0000-0000-000052420000}"/>
    <cellStyle name="Normal 2 2 2 21 4 8" xfId="17018" xr:uid="{00000000-0005-0000-0000-000053420000}"/>
    <cellStyle name="Normal 2 2 2 21 4 9" xfId="17019" xr:uid="{00000000-0005-0000-0000-000054420000}"/>
    <cellStyle name="Normal 2 2 2 21 5" xfId="17020" xr:uid="{00000000-0005-0000-0000-000055420000}"/>
    <cellStyle name="Normal 2 2 2 21 5 10" xfId="17021" xr:uid="{00000000-0005-0000-0000-000056420000}"/>
    <cellStyle name="Normal 2 2 2 21 5 2" xfId="17022" xr:uid="{00000000-0005-0000-0000-000057420000}"/>
    <cellStyle name="Normal 2 2 2 21 5 3" xfId="17023" xr:uid="{00000000-0005-0000-0000-000058420000}"/>
    <cellStyle name="Normal 2 2 2 21 5 4" xfId="17024" xr:uid="{00000000-0005-0000-0000-000059420000}"/>
    <cellStyle name="Normal 2 2 2 21 5 5" xfId="17025" xr:uid="{00000000-0005-0000-0000-00005A420000}"/>
    <cellStyle name="Normal 2 2 2 21 5 6" xfId="17026" xr:uid="{00000000-0005-0000-0000-00005B420000}"/>
    <cellStyle name="Normal 2 2 2 21 5 7" xfId="17027" xr:uid="{00000000-0005-0000-0000-00005C420000}"/>
    <cellStyle name="Normal 2 2 2 21 5 8" xfId="17028" xr:uid="{00000000-0005-0000-0000-00005D420000}"/>
    <cellStyle name="Normal 2 2 2 21 5 9" xfId="17029" xr:uid="{00000000-0005-0000-0000-00005E420000}"/>
    <cellStyle name="Normal 2 2 2 21 6" xfId="17030" xr:uid="{00000000-0005-0000-0000-00005F420000}"/>
    <cellStyle name="Normal 2 2 2 21 7" xfId="17031" xr:uid="{00000000-0005-0000-0000-000060420000}"/>
    <cellStyle name="Normal 2 2 2 21 8" xfId="17032" xr:uid="{00000000-0005-0000-0000-000061420000}"/>
    <cellStyle name="Normal 2 2 2 21 9" xfId="17033" xr:uid="{00000000-0005-0000-0000-000062420000}"/>
    <cellStyle name="Normal 2 2 2 22" xfId="17034" xr:uid="{00000000-0005-0000-0000-000063420000}"/>
    <cellStyle name="Normal 2 2 2 22 10" xfId="17035" xr:uid="{00000000-0005-0000-0000-000064420000}"/>
    <cellStyle name="Normal 2 2 2 22 11" xfId="17036" xr:uid="{00000000-0005-0000-0000-000065420000}"/>
    <cellStyle name="Normal 2 2 2 22 12" xfId="17037" xr:uid="{00000000-0005-0000-0000-000066420000}"/>
    <cellStyle name="Normal 2 2 2 22 13" xfId="17038" xr:uid="{00000000-0005-0000-0000-000067420000}"/>
    <cellStyle name="Normal 2 2 2 22 14" xfId="17039" xr:uid="{00000000-0005-0000-0000-000068420000}"/>
    <cellStyle name="Normal 2 2 2 22 2" xfId="17040" xr:uid="{00000000-0005-0000-0000-000069420000}"/>
    <cellStyle name="Normal 2 2 2 22 2 10" xfId="17041" xr:uid="{00000000-0005-0000-0000-00006A420000}"/>
    <cellStyle name="Normal 2 2 2 22 2 2" xfId="17042" xr:uid="{00000000-0005-0000-0000-00006B420000}"/>
    <cellStyle name="Normal 2 2 2 22 2 3" xfId="17043" xr:uid="{00000000-0005-0000-0000-00006C420000}"/>
    <cellStyle name="Normal 2 2 2 22 2 4" xfId="17044" xr:uid="{00000000-0005-0000-0000-00006D420000}"/>
    <cellStyle name="Normal 2 2 2 22 2 5" xfId="17045" xr:uid="{00000000-0005-0000-0000-00006E420000}"/>
    <cellStyle name="Normal 2 2 2 22 2 6" xfId="17046" xr:uid="{00000000-0005-0000-0000-00006F420000}"/>
    <cellStyle name="Normal 2 2 2 22 2 7" xfId="17047" xr:uid="{00000000-0005-0000-0000-000070420000}"/>
    <cellStyle name="Normal 2 2 2 22 2 8" xfId="17048" xr:uid="{00000000-0005-0000-0000-000071420000}"/>
    <cellStyle name="Normal 2 2 2 22 2 9" xfId="17049" xr:uid="{00000000-0005-0000-0000-000072420000}"/>
    <cellStyle name="Normal 2 2 2 22 3" xfId="17050" xr:uid="{00000000-0005-0000-0000-000073420000}"/>
    <cellStyle name="Normal 2 2 2 22 3 10" xfId="17051" xr:uid="{00000000-0005-0000-0000-000074420000}"/>
    <cellStyle name="Normal 2 2 2 22 3 2" xfId="17052" xr:uid="{00000000-0005-0000-0000-000075420000}"/>
    <cellStyle name="Normal 2 2 2 22 3 3" xfId="17053" xr:uid="{00000000-0005-0000-0000-000076420000}"/>
    <cellStyle name="Normal 2 2 2 22 3 4" xfId="17054" xr:uid="{00000000-0005-0000-0000-000077420000}"/>
    <cellStyle name="Normal 2 2 2 22 3 5" xfId="17055" xr:uid="{00000000-0005-0000-0000-000078420000}"/>
    <cellStyle name="Normal 2 2 2 22 3 6" xfId="17056" xr:uid="{00000000-0005-0000-0000-000079420000}"/>
    <cellStyle name="Normal 2 2 2 22 3 7" xfId="17057" xr:uid="{00000000-0005-0000-0000-00007A420000}"/>
    <cellStyle name="Normal 2 2 2 22 3 8" xfId="17058" xr:uid="{00000000-0005-0000-0000-00007B420000}"/>
    <cellStyle name="Normal 2 2 2 22 3 9" xfId="17059" xr:uid="{00000000-0005-0000-0000-00007C420000}"/>
    <cellStyle name="Normal 2 2 2 22 4" xfId="17060" xr:uid="{00000000-0005-0000-0000-00007D420000}"/>
    <cellStyle name="Normal 2 2 2 22 4 10" xfId="17061" xr:uid="{00000000-0005-0000-0000-00007E420000}"/>
    <cellStyle name="Normal 2 2 2 22 4 2" xfId="17062" xr:uid="{00000000-0005-0000-0000-00007F420000}"/>
    <cellStyle name="Normal 2 2 2 22 4 3" xfId="17063" xr:uid="{00000000-0005-0000-0000-000080420000}"/>
    <cellStyle name="Normal 2 2 2 22 4 4" xfId="17064" xr:uid="{00000000-0005-0000-0000-000081420000}"/>
    <cellStyle name="Normal 2 2 2 22 4 5" xfId="17065" xr:uid="{00000000-0005-0000-0000-000082420000}"/>
    <cellStyle name="Normal 2 2 2 22 4 6" xfId="17066" xr:uid="{00000000-0005-0000-0000-000083420000}"/>
    <cellStyle name="Normal 2 2 2 22 4 7" xfId="17067" xr:uid="{00000000-0005-0000-0000-000084420000}"/>
    <cellStyle name="Normal 2 2 2 22 4 8" xfId="17068" xr:uid="{00000000-0005-0000-0000-000085420000}"/>
    <cellStyle name="Normal 2 2 2 22 4 9" xfId="17069" xr:uid="{00000000-0005-0000-0000-000086420000}"/>
    <cellStyle name="Normal 2 2 2 22 5" xfId="17070" xr:uid="{00000000-0005-0000-0000-000087420000}"/>
    <cellStyle name="Normal 2 2 2 22 5 10" xfId="17071" xr:uid="{00000000-0005-0000-0000-000088420000}"/>
    <cellStyle name="Normal 2 2 2 22 5 2" xfId="17072" xr:uid="{00000000-0005-0000-0000-000089420000}"/>
    <cellStyle name="Normal 2 2 2 22 5 3" xfId="17073" xr:uid="{00000000-0005-0000-0000-00008A420000}"/>
    <cellStyle name="Normal 2 2 2 22 5 4" xfId="17074" xr:uid="{00000000-0005-0000-0000-00008B420000}"/>
    <cellStyle name="Normal 2 2 2 22 5 5" xfId="17075" xr:uid="{00000000-0005-0000-0000-00008C420000}"/>
    <cellStyle name="Normal 2 2 2 22 5 6" xfId="17076" xr:uid="{00000000-0005-0000-0000-00008D420000}"/>
    <cellStyle name="Normal 2 2 2 22 5 7" xfId="17077" xr:uid="{00000000-0005-0000-0000-00008E420000}"/>
    <cellStyle name="Normal 2 2 2 22 5 8" xfId="17078" xr:uid="{00000000-0005-0000-0000-00008F420000}"/>
    <cellStyle name="Normal 2 2 2 22 5 9" xfId="17079" xr:uid="{00000000-0005-0000-0000-000090420000}"/>
    <cellStyle name="Normal 2 2 2 22 6" xfId="17080" xr:uid="{00000000-0005-0000-0000-000091420000}"/>
    <cellStyle name="Normal 2 2 2 22 7" xfId="17081" xr:uid="{00000000-0005-0000-0000-000092420000}"/>
    <cellStyle name="Normal 2 2 2 22 8" xfId="17082" xr:uid="{00000000-0005-0000-0000-000093420000}"/>
    <cellStyle name="Normal 2 2 2 22 9" xfId="17083" xr:uid="{00000000-0005-0000-0000-000094420000}"/>
    <cellStyle name="Normal 2 2 2 23" xfId="17084" xr:uid="{00000000-0005-0000-0000-000095420000}"/>
    <cellStyle name="Normal 2 2 2 23 10" xfId="17085" xr:uid="{00000000-0005-0000-0000-000096420000}"/>
    <cellStyle name="Normal 2 2 2 23 11" xfId="17086" xr:uid="{00000000-0005-0000-0000-000097420000}"/>
    <cellStyle name="Normal 2 2 2 23 12" xfId="17087" xr:uid="{00000000-0005-0000-0000-000098420000}"/>
    <cellStyle name="Normal 2 2 2 23 13" xfId="17088" xr:uid="{00000000-0005-0000-0000-000099420000}"/>
    <cellStyle name="Normal 2 2 2 23 14" xfId="17089" xr:uid="{00000000-0005-0000-0000-00009A420000}"/>
    <cellStyle name="Normal 2 2 2 23 2" xfId="17090" xr:uid="{00000000-0005-0000-0000-00009B420000}"/>
    <cellStyle name="Normal 2 2 2 23 2 10" xfId="17091" xr:uid="{00000000-0005-0000-0000-00009C420000}"/>
    <cellStyle name="Normal 2 2 2 23 2 2" xfId="17092" xr:uid="{00000000-0005-0000-0000-00009D420000}"/>
    <cellStyle name="Normal 2 2 2 23 2 3" xfId="17093" xr:uid="{00000000-0005-0000-0000-00009E420000}"/>
    <cellStyle name="Normal 2 2 2 23 2 4" xfId="17094" xr:uid="{00000000-0005-0000-0000-00009F420000}"/>
    <cellStyle name="Normal 2 2 2 23 2 5" xfId="17095" xr:uid="{00000000-0005-0000-0000-0000A0420000}"/>
    <cellStyle name="Normal 2 2 2 23 2 6" xfId="17096" xr:uid="{00000000-0005-0000-0000-0000A1420000}"/>
    <cellStyle name="Normal 2 2 2 23 2 7" xfId="17097" xr:uid="{00000000-0005-0000-0000-0000A2420000}"/>
    <cellStyle name="Normal 2 2 2 23 2 8" xfId="17098" xr:uid="{00000000-0005-0000-0000-0000A3420000}"/>
    <cellStyle name="Normal 2 2 2 23 2 9" xfId="17099" xr:uid="{00000000-0005-0000-0000-0000A4420000}"/>
    <cellStyle name="Normal 2 2 2 23 3" xfId="17100" xr:uid="{00000000-0005-0000-0000-0000A5420000}"/>
    <cellStyle name="Normal 2 2 2 23 3 10" xfId="17101" xr:uid="{00000000-0005-0000-0000-0000A6420000}"/>
    <cellStyle name="Normal 2 2 2 23 3 2" xfId="17102" xr:uid="{00000000-0005-0000-0000-0000A7420000}"/>
    <cellStyle name="Normal 2 2 2 23 3 3" xfId="17103" xr:uid="{00000000-0005-0000-0000-0000A8420000}"/>
    <cellStyle name="Normal 2 2 2 23 3 4" xfId="17104" xr:uid="{00000000-0005-0000-0000-0000A9420000}"/>
    <cellStyle name="Normal 2 2 2 23 3 5" xfId="17105" xr:uid="{00000000-0005-0000-0000-0000AA420000}"/>
    <cellStyle name="Normal 2 2 2 23 3 6" xfId="17106" xr:uid="{00000000-0005-0000-0000-0000AB420000}"/>
    <cellStyle name="Normal 2 2 2 23 3 7" xfId="17107" xr:uid="{00000000-0005-0000-0000-0000AC420000}"/>
    <cellStyle name="Normal 2 2 2 23 3 8" xfId="17108" xr:uid="{00000000-0005-0000-0000-0000AD420000}"/>
    <cellStyle name="Normal 2 2 2 23 3 9" xfId="17109" xr:uid="{00000000-0005-0000-0000-0000AE420000}"/>
    <cellStyle name="Normal 2 2 2 23 4" xfId="17110" xr:uid="{00000000-0005-0000-0000-0000AF420000}"/>
    <cellStyle name="Normal 2 2 2 23 4 10" xfId="17111" xr:uid="{00000000-0005-0000-0000-0000B0420000}"/>
    <cellStyle name="Normal 2 2 2 23 4 2" xfId="17112" xr:uid="{00000000-0005-0000-0000-0000B1420000}"/>
    <cellStyle name="Normal 2 2 2 23 4 3" xfId="17113" xr:uid="{00000000-0005-0000-0000-0000B2420000}"/>
    <cellStyle name="Normal 2 2 2 23 4 4" xfId="17114" xr:uid="{00000000-0005-0000-0000-0000B3420000}"/>
    <cellStyle name="Normal 2 2 2 23 4 5" xfId="17115" xr:uid="{00000000-0005-0000-0000-0000B4420000}"/>
    <cellStyle name="Normal 2 2 2 23 4 6" xfId="17116" xr:uid="{00000000-0005-0000-0000-0000B5420000}"/>
    <cellStyle name="Normal 2 2 2 23 4 7" xfId="17117" xr:uid="{00000000-0005-0000-0000-0000B6420000}"/>
    <cellStyle name="Normal 2 2 2 23 4 8" xfId="17118" xr:uid="{00000000-0005-0000-0000-0000B7420000}"/>
    <cellStyle name="Normal 2 2 2 23 4 9" xfId="17119" xr:uid="{00000000-0005-0000-0000-0000B8420000}"/>
    <cellStyle name="Normal 2 2 2 23 5" xfId="17120" xr:uid="{00000000-0005-0000-0000-0000B9420000}"/>
    <cellStyle name="Normal 2 2 2 23 5 10" xfId="17121" xr:uid="{00000000-0005-0000-0000-0000BA420000}"/>
    <cellStyle name="Normal 2 2 2 23 5 2" xfId="17122" xr:uid="{00000000-0005-0000-0000-0000BB420000}"/>
    <cellStyle name="Normal 2 2 2 23 5 3" xfId="17123" xr:uid="{00000000-0005-0000-0000-0000BC420000}"/>
    <cellStyle name="Normal 2 2 2 23 5 4" xfId="17124" xr:uid="{00000000-0005-0000-0000-0000BD420000}"/>
    <cellStyle name="Normal 2 2 2 23 5 5" xfId="17125" xr:uid="{00000000-0005-0000-0000-0000BE420000}"/>
    <cellStyle name="Normal 2 2 2 23 5 6" xfId="17126" xr:uid="{00000000-0005-0000-0000-0000BF420000}"/>
    <cellStyle name="Normal 2 2 2 23 5 7" xfId="17127" xr:uid="{00000000-0005-0000-0000-0000C0420000}"/>
    <cellStyle name="Normal 2 2 2 23 5 8" xfId="17128" xr:uid="{00000000-0005-0000-0000-0000C1420000}"/>
    <cellStyle name="Normal 2 2 2 23 5 9" xfId="17129" xr:uid="{00000000-0005-0000-0000-0000C2420000}"/>
    <cellStyle name="Normal 2 2 2 23 6" xfId="17130" xr:uid="{00000000-0005-0000-0000-0000C3420000}"/>
    <cellStyle name="Normal 2 2 2 23 7" xfId="17131" xr:uid="{00000000-0005-0000-0000-0000C4420000}"/>
    <cellStyle name="Normal 2 2 2 23 8" xfId="17132" xr:uid="{00000000-0005-0000-0000-0000C5420000}"/>
    <cellStyle name="Normal 2 2 2 23 9" xfId="17133" xr:uid="{00000000-0005-0000-0000-0000C6420000}"/>
    <cellStyle name="Normal 2 2 2 24" xfId="17134" xr:uid="{00000000-0005-0000-0000-0000C7420000}"/>
    <cellStyle name="Normal 2 2 2 24 10" xfId="17135" xr:uid="{00000000-0005-0000-0000-0000C8420000}"/>
    <cellStyle name="Normal 2 2 2 24 11" xfId="17136" xr:uid="{00000000-0005-0000-0000-0000C9420000}"/>
    <cellStyle name="Normal 2 2 2 24 12" xfId="17137" xr:uid="{00000000-0005-0000-0000-0000CA420000}"/>
    <cellStyle name="Normal 2 2 2 24 13" xfId="17138" xr:uid="{00000000-0005-0000-0000-0000CB420000}"/>
    <cellStyle name="Normal 2 2 2 24 14" xfId="17139" xr:uid="{00000000-0005-0000-0000-0000CC420000}"/>
    <cellStyle name="Normal 2 2 2 24 2" xfId="17140" xr:uid="{00000000-0005-0000-0000-0000CD420000}"/>
    <cellStyle name="Normal 2 2 2 24 2 10" xfId="17141" xr:uid="{00000000-0005-0000-0000-0000CE420000}"/>
    <cellStyle name="Normal 2 2 2 24 2 2" xfId="17142" xr:uid="{00000000-0005-0000-0000-0000CF420000}"/>
    <cellStyle name="Normal 2 2 2 24 2 3" xfId="17143" xr:uid="{00000000-0005-0000-0000-0000D0420000}"/>
    <cellStyle name="Normal 2 2 2 24 2 4" xfId="17144" xr:uid="{00000000-0005-0000-0000-0000D1420000}"/>
    <cellStyle name="Normal 2 2 2 24 2 5" xfId="17145" xr:uid="{00000000-0005-0000-0000-0000D2420000}"/>
    <cellStyle name="Normal 2 2 2 24 2 6" xfId="17146" xr:uid="{00000000-0005-0000-0000-0000D3420000}"/>
    <cellStyle name="Normal 2 2 2 24 2 7" xfId="17147" xr:uid="{00000000-0005-0000-0000-0000D4420000}"/>
    <cellStyle name="Normal 2 2 2 24 2 8" xfId="17148" xr:uid="{00000000-0005-0000-0000-0000D5420000}"/>
    <cellStyle name="Normal 2 2 2 24 2 9" xfId="17149" xr:uid="{00000000-0005-0000-0000-0000D6420000}"/>
    <cellStyle name="Normal 2 2 2 24 3" xfId="17150" xr:uid="{00000000-0005-0000-0000-0000D7420000}"/>
    <cellStyle name="Normal 2 2 2 24 3 10" xfId="17151" xr:uid="{00000000-0005-0000-0000-0000D8420000}"/>
    <cellStyle name="Normal 2 2 2 24 3 2" xfId="17152" xr:uid="{00000000-0005-0000-0000-0000D9420000}"/>
    <cellStyle name="Normal 2 2 2 24 3 3" xfId="17153" xr:uid="{00000000-0005-0000-0000-0000DA420000}"/>
    <cellStyle name="Normal 2 2 2 24 3 4" xfId="17154" xr:uid="{00000000-0005-0000-0000-0000DB420000}"/>
    <cellStyle name="Normal 2 2 2 24 3 5" xfId="17155" xr:uid="{00000000-0005-0000-0000-0000DC420000}"/>
    <cellStyle name="Normal 2 2 2 24 3 6" xfId="17156" xr:uid="{00000000-0005-0000-0000-0000DD420000}"/>
    <cellStyle name="Normal 2 2 2 24 3 7" xfId="17157" xr:uid="{00000000-0005-0000-0000-0000DE420000}"/>
    <cellStyle name="Normal 2 2 2 24 3 8" xfId="17158" xr:uid="{00000000-0005-0000-0000-0000DF420000}"/>
    <cellStyle name="Normal 2 2 2 24 3 9" xfId="17159" xr:uid="{00000000-0005-0000-0000-0000E0420000}"/>
    <cellStyle name="Normal 2 2 2 24 4" xfId="17160" xr:uid="{00000000-0005-0000-0000-0000E1420000}"/>
    <cellStyle name="Normal 2 2 2 24 4 10" xfId="17161" xr:uid="{00000000-0005-0000-0000-0000E2420000}"/>
    <cellStyle name="Normal 2 2 2 24 4 2" xfId="17162" xr:uid="{00000000-0005-0000-0000-0000E3420000}"/>
    <cellStyle name="Normal 2 2 2 24 4 3" xfId="17163" xr:uid="{00000000-0005-0000-0000-0000E4420000}"/>
    <cellStyle name="Normal 2 2 2 24 4 4" xfId="17164" xr:uid="{00000000-0005-0000-0000-0000E5420000}"/>
    <cellStyle name="Normal 2 2 2 24 4 5" xfId="17165" xr:uid="{00000000-0005-0000-0000-0000E6420000}"/>
    <cellStyle name="Normal 2 2 2 24 4 6" xfId="17166" xr:uid="{00000000-0005-0000-0000-0000E7420000}"/>
    <cellStyle name="Normal 2 2 2 24 4 7" xfId="17167" xr:uid="{00000000-0005-0000-0000-0000E8420000}"/>
    <cellStyle name="Normal 2 2 2 24 4 8" xfId="17168" xr:uid="{00000000-0005-0000-0000-0000E9420000}"/>
    <cellStyle name="Normal 2 2 2 24 4 9" xfId="17169" xr:uid="{00000000-0005-0000-0000-0000EA420000}"/>
    <cellStyle name="Normal 2 2 2 24 5" xfId="17170" xr:uid="{00000000-0005-0000-0000-0000EB420000}"/>
    <cellStyle name="Normal 2 2 2 24 5 10" xfId="17171" xr:uid="{00000000-0005-0000-0000-0000EC420000}"/>
    <cellStyle name="Normal 2 2 2 24 5 2" xfId="17172" xr:uid="{00000000-0005-0000-0000-0000ED420000}"/>
    <cellStyle name="Normal 2 2 2 24 5 3" xfId="17173" xr:uid="{00000000-0005-0000-0000-0000EE420000}"/>
    <cellStyle name="Normal 2 2 2 24 5 4" xfId="17174" xr:uid="{00000000-0005-0000-0000-0000EF420000}"/>
    <cellStyle name="Normal 2 2 2 24 5 5" xfId="17175" xr:uid="{00000000-0005-0000-0000-0000F0420000}"/>
    <cellStyle name="Normal 2 2 2 24 5 6" xfId="17176" xr:uid="{00000000-0005-0000-0000-0000F1420000}"/>
    <cellStyle name="Normal 2 2 2 24 5 7" xfId="17177" xr:uid="{00000000-0005-0000-0000-0000F2420000}"/>
    <cellStyle name="Normal 2 2 2 24 5 8" xfId="17178" xr:uid="{00000000-0005-0000-0000-0000F3420000}"/>
    <cellStyle name="Normal 2 2 2 24 5 9" xfId="17179" xr:uid="{00000000-0005-0000-0000-0000F4420000}"/>
    <cellStyle name="Normal 2 2 2 24 6" xfId="17180" xr:uid="{00000000-0005-0000-0000-0000F5420000}"/>
    <cellStyle name="Normal 2 2 2 24 7" xfId="17181" xr:uid="{00000000-0005-0000-0000-0000F6420000}"/>
    <cellStyle name="Normal 2 2 2 24 8" xfId="17182" xr:uid="{00000000-0005-0000-0000-0000F7420000}"/>
    <cellStyle name="Normal 2 2 2 24 9" xfId="17183" xr:uid="{00000000-0005-0000-0000-0000F8420000}"/>
    <cellStyle name="Normal 2 2 2 25" xfId="17184" xr:uid="{00000000-0005-0000-0000-0000F9420000}"/>
    <cellStyle name="Normal 2 2 2 25 10" xfId="17185" xr:uid="{00000000-0005-0000-0000-0000FA420000}"/>
    <cellStyle name="Normal 2 2 2 25 11" xfId="17186" xr:uid="{00000000-0005-0000-0000-0000FB420000}"/>
    <cellStyle name="Normal 2 2 2 25 12" xfId="17187" xr:uid="{00000000-0005-0000-0000-0000FC420000}"/>
    <cellStyle name="Normal 2 2 2 25 13" xfId="17188" xr:uid="{00000000-0005-0000-0000-0000FD420000}"/>
    <cellStyle name="Normal 2 2 2 25 14" xfId="17189" xr:uid="{00000000-0005-0000-0000-0000FE420000}"/>
    <cellStyle name="Normal 2 2 2 25 2" xfId="17190" xr:uid="{00000000-0005-0000-0000-0000FF420000}"/>
    <cellStyle name="Normal 2 2 2 25 2 10" xfId="17191" xr:uid="{00000000-0005-0000-0000-000000430000}"/>
    <cellStyle name="Normal 2 2 2 25 2 2" xfId="17192" xr:uid="{00000000-0005-0000-0000-000001430000}"/>
    <cellStyle name="Normal 2 2 2 25 2 3" xfId="17193" xr:uid="{00000000-0005-0000-0000-000002430000}"/>
    <cellStyle name="Normal 2 2 2 25 2 4" xfId="17194" xr:uid="{00000000-0005-0000-0000-000003430000}"/>
    <cellStyle name="Normal 2 2 2 25 2 5" xfId="17195" xr:uid="{00000000-0005-0000-0000-000004430000}"/>
    <cellStyle name="Normal 2 2 2 25 2 6" xfId="17196" xr:uid="{00000000-0005-0000-0000-000005430000}"/>
    <cellStyle name="Normal 2 2 2 25 2 7" xfId="17197" xr:uid="{00000000-0005-0000-0000-000006430000}"/>
    <cellStyle name="Normal 2 2 2 25 2 8" xfId="17198" xr:uid="{00000000-0005-0000-0000-000007430000}"/>
    <cellStyle name="Normal 2 2 2 25 2 9" xfId="17199" xr:uid="{00000000-0005-0000-0000-000008430000}"/>
    <cellStyle name="Normal 2 2 2 25 3" xfId="17200" xr:uid="{00000000-0005-0000-0000-000009430000}"/>
    <cellStyle name="Normal 2 2 2 25 3 10" xfId="17201" xr:uid="{00000000-0005-0000-0000-00000A430000}"/>
    <cellStyle name="Normal 2 2 2 25 3 2" xfId="17202" xr:uid="{00000000-0005-0000-0000-00000B430000}"/>
    <cellStyle name="Normal 2 2 2 25 3 3" xfId="17203" xr:uid="{00000000-0005-0000-0000-00000C430000}"/>
    <cellStyle name="Normal 2 2 2 25 3 4" xfId="17204" xr:uid="{00000000-0005-0000-0000-00000D430000}"/>
    <cellStyle name="Normal 2 2 2 25 3 5" xfId="17205" xr:uid="{00000000-0005-0000-0000-00000E430000}"/>
    <cellStyle name="Normal 2 2 2 25 3 6" xfId="17206" xr:uid="{00000000-0005-0000-0000-00000F430000}"/>
    <cellStyle name="Normal 2 2 2 25 3 7" xfId="17207" xr:uid="{00000000-0005-0000-0000-000010430000}"/>
    <cellStyle name="Normal 2 2 2 25 3 8" xfId="17208" xr:uid="{00000000-0005-0000-0000-000011430000}"/>
    <cellStyle name="Normal 2 2 2 25 3 9" xfId="17209" xr:uid="{00000000-0005-0000-0000-000012430000}"/>
    <cellStyle name="Normal 2 2 2 25 4" xfId="17210" xr:uid="{00000000-0005-0000-0000-000013430000}"/>
    <cellStyle name="Normal 2 2 2 25 4 10" xfId="17211" xr:uid="{00000000-0005-0000-0000-000014430000}"/>
    <cellStyle name="Normal 2 2 2 25 4 2" xfId="17212" xr:uid="{00000000-0005-0000-0000-000015430000}"/>
    <cellStyle name="Normal 2 2 2 25 4 3" xfId="17213" xr:uid="{00000000-0005-0000-0000-000016430000}"/>
    <cellStyle name="Normal 2 2 2 25 4 4" xfId="17214" xr:uid="{00000000-0005-0000-0000-000017430000}"/>
    <cellStyle name="Normal 2 2 2 25 4 5" xfId="17215" xr:uid="{00000000-0005-0000-0000-000018430000}"/>
    <cellStyle name="Normal 2 2 2 25 4 6" xfId="17216" xr:uid="{00000000-0005-0000-0000-000019430000}"/>
    <cellStyle name="Normal 2 2 2 25 4 7" xfId="17217" xr:uid="{00000000-0005-0000-0000-00001A430000}"/>
    <cellStyle name="Normal 2 2 2 25 4 8" xfId="17218" xr:uid="{00000000-0005-0000-0000-00001B430000}"/>
    <cellStyle name="Normal 2 2 2 25 4 9" xfId="17219" xr:uid="{00000000-0005-0000-0000-00001C430000}"/>
    <cellStyle name="Normal 2 2 2 25 5" xfId="17220" xr:uid="{00000000-0005-0000-0000-00001D430000}"/>
    <cellStyle name="Normal 2 2 2 25 5 10" xfId="17221" xr:uid="{00000000-0005-0000-0000-00001E430000}"/>
    <cellStyle name="Normal 2 2 2 25 5 2" xfId="17222" xr:uid="{00000000-0005-0000-0000-00001F430000}"/>
    <cellStyle name="Normal 2 2 2 25 5 3" xfId="17223" xr:uid="{00000000-0005-0000-0000-000020430000}"/>
    <cellStyle name="Normal 2 2 2 25 5 4" xfId="17224" xr:uid="{00000000-0005-0000-0000-000021430000}"/>
    <cellStyle name="Normal 2 2 2 25 5 5" xfId="17225" xr:uid="{00000000-0005-0000-0000-000022430000}"/>
    <cellStyle name="Normal 2 2 2 25 5 6" xfId="17226" xr:uid="{00000000-0005-0000-0000-000023430000}"/>
    <cellStyle name="Normal 2 2 2 25 5 7" xfId="17227" xr:uid="{00000000-0005-0000-0000-000024430000}"/>
    <cellStyle name="Normal 2 2 2 25 5 8" xfId="17228" xr:uid="{00000000-0005-0000-0000-000025430000}"/>
    <cellStyle name="Normal 2 2 2 25 5 9" xfId="17229" xr:uid="{00000000-0005-0000-0000-000026430000}"/>
    <cellStyle name="Normal 2 2 2 25 6" xfId="17230" xr:uid="{00000000-0005-0000-0000-000027430000}"/>
    <cellStyle name="Normal 2 2 2 25 7" xfId="17231" xr:uid="{00000000-0005-0000-0000-000028430000}"/>
    <cellStyle name="Normal 2 2 2 25 8" xfId="17232" xr:uid="{00000000-0005-0000-0000-000029430000}"/>
    <cellStyle name="Normal 2 2 2 25 9" xfId="17233" xr:uid="{00000000-0005-0000-0000-00002A430000}"/>
    <cellStyle name="Normal 2 2 2 26" xfId="17234" xr:uid="{00000000-0005-0000-0000-00002B430000}"/>
    <cellStyle name="Normal 2 2 2 26 10" xfId="17235" xr:uid="{00000000-0005-0000-0000-00002C430000}"/>
    <cellStyle name="Normal 2 2 2 26 11" xfId="17236" xr:uid="{00000000-0005-0000-0000-00002D430000}"/>
    <cellStyle name="Normal 2 2 2 26 12" xfId="17237" xr:uid="{00000000-0005-0000-0000-00002E430000}"/>
    <cellStyle name="Normal 2 2 2 26 13" xfId="17238" xr:uid="{00000000-0005-0000-0000-00002F430000}"/>
    <cellStyle name="Normal 2 2 2 26 14" xfId="17239" xr:uid="{00000000-0005-0000-0000-000030430000}"/>
    <cellStyle name="Normal 2 2 2 26 2" xfId="17240" xr:uid="{00000000-0005-0000-0000-000031430000}"/>
    <cellStyle name="Normal 2 2 2 26 2 10" xfId="17241" xr:uid="{00000000-0005-0000-0000-000032430000}"/>
    <cellStyle name="Normal 2 2 2 26 2 2" xfId="17242" xr:uid="{00000000-0005-0000-0000-000033430000}"/>
    <cellStyle name="Normal 2 2 2 26 2 3" xfId="17243" xr:uid="{00000000-0005-0000-0000-000034430000}"/>
    <cellStyle name="Normal 2 2 2 26 2 4" xfId="17244" xr:uid="{00000000-0005-0000-0000-000035430000}"/>
    <cellStyle name="Normal 2 2 2 26 2 5" xfId="17245" xr:uid="{00000000-0005-0000-0000-000036430000}"/>
    <cellStyle name="Normal 2 2 2 26 2 6" xfId="17246" xr:uid="{00000000-0005-0000-0000-000037430000}"/>
    <cellStyle name="Normal 2 2 2 26 2 7" xfId="17247" xr:uid="{00000000-0005-0000-0000-000038430000}"/>
    <cellStyle name="Normal 2 2 2 26 2 8" xfId="17248" xr:uid="{00000000-0005-0000-0000-000039430000}"/>
    <cellStyle name="Normal 2 2 2 26 2 9" xfId="17249" xr:uid="{00000000-0005-0000-0000-00003A430000}"/>
    <cellStyle name="Normal 2 2 2 26 3" xfId="17250" xr:uid="{00000000-0005-0000-0000-00003B430000}"/>
    <cellStyle name="Normal 2 2 2 26 3 10" xfId="17251" xr:uid="{00000000-0005-0000-0000-00003C430000}"/>
    <cellStyle name="Normal 2 2 2 26 3 2" xfId="17252" xr:uid="{00000000-0005-0000-0000-00003D430000}"/>
    <cellStyle name="Normal 2 2 2 26 3 3" xfId="17253" xr:uid="{00000000-0005-0000-0000-00003E430000}"/>
    <cellStyle name="Normal 2 2 2 26 3 4" xfId="17254" xr:uid="{00000000-0005-0000-0000-00003F430000}"/>
    <cellStyle name="Normal 2 2 2 26 3 5" xfId="17255" xr:uid="{00000000-0005-0000-0000-000040430000}"/>
    <cellStyle name="Normal 2 2 2 26 3 6" xfId="17256" xr:uid="{00000000-0005-0000-0000-000041430000}"/>
    <cellStyle name="Normal 2 2 2 26 3 7" xfId="17257" xr:uid="{00000000-0005-0000-0000-000042430000}"/>
    <cellStyle name="Normal 2 2 2 26 3 8" xfId="17258" xr:uid="{00000000-0005-0000-0000-000043430000}"/>
    <cellStyle name="Normal 2 2 2 26 3 9" xfId="17259" xr:uid="{00000000-0005-0000-0000-000044430000}"/>
    <cellStyle name="Normal 2 2 2 26 4" xfId="17260" xr:uid="{00000000-0005-0000-0000-000045430000}"/>
    <cellStyle name="Normal 2 2 2 26 4 10" xfId="17261" xr:uid="{00000000-0005-0000-0000-000046430000}"/>
    <cellStyle name="Normal 2 2 2 26 4 2" xfId="17262" xr:uid="{00000000-0005-0000-0000-000047430000}"/>
    <cellStyle name="Normal 2 2 2 26 4 3" xfId="17263" xr:uid="{00000000-0005-0000-0000-000048430000}"/>
    <cellStyle name="Normal 2 2 2 26 4 4" xfId="17264" xr:uid="{00000000-0005-0000-0000-000049430000}"/>
    <cellStyle name="Normal 2 2 2 26 4 5" xfId="17265" xr:uid="{00000000-0005-0000-0000-00004A430000}"/>
    <cellStyle name="Normal 2 2 2 26 4 6" xfId="17266" xr:uid="{00000000-0005-0000-0000-00004B430000}"/>
    <cellStyle name="Normal 2 2 2 26 4 7" xfId="17267" xr:uid="{00000000-0005-0000-0000-00004C430000}"/>
    <cellStyle name="Normal 2 2 2 26 4 8" xfId="17268" xr:uid="{00000000-0005-0000-0000-00004D430000}"/>
    <cellStyle name="Normal 2 2 2 26 4 9" xfId="17269" xr:uid="{00000000-0005-0000-0000-00004E430000}"/>
    <cellStyle name="Normal 2 2 2 26 5" xfId="17270" xr:uid="{00000000-0005-0000-0000-00004F430000}"/>
    <cellStyle name="Normal 2 2 2 26 5 10" xfId="17271" xr:uid="{00000000-0005-0000-0000-000050430000}"/>
    <cellStyle name="Normal 2 2 2 26 5 2" xfId="17272" xr:uid="{00000000-0005-0000-0000-000051430000}"/>
    <cellStyle name="Normal 2 2 2 26 5 3" xfId="17273" xr:uid="{00000000-0005-0000-0000-000052430000}"/>
    <cellStyle name="Normal 2 2 2 26 5 4" xfId="17274" xr:uid="{00000000-0005-0000-0000-000053430000}"/>
    <cellStyle name="Normal 2 2 2 26 5 5" xfId="17275" xr:uid="{00000000-0005-0000-0000-000054430000}"/>
    <cellStyle name="Normal 2 2 2 26 5 6" xfId="17276" xr:uid="{00000000-0005-0000-0000-000055430000}"/>
    <cellStyle name="Normal 2 2 2 26 5 7" xfId="17277" xr:uid="{00000000-0005-0000-0000-000056430000}"/>
    <cellStyle name="Normal 2 2 2 26 5 8" xfId="17278" xr:uid="{00000000-0005-0000-0000-000057430000}"/>
    <cellStyle name="Normal 2 2 2 26 5 9" xfId="17279" xr:uid="{00000000-0005-0000-0000-000058430000}"/>
    <cellStyle name="Normal 2 2 2 26 6" xfId="17280" xr:uid="{00000000-0005-0000-0000-000059430000}"/>
    <cellStyle name="Normal 2 2 2 26 7" xfId="17281" xr:uid="{00000000-0005-0000-0000-00005A430000}"/>
    <cellStyle name="Normal 2 2 2 26 8" xfId="17282" xr:uid="{00000000-0005-0000-0000-00005B430000}"/>
    <cellStyle name="Normal 2 2 2 26 9" xfId="17283" xr:uid="{00000000-0005-0000-0000-00005C430000}"/>
    <cellStyle name="Normal 2 2 2 27" xfId="17284" xr:uid="{00000000-0005-0000-0000-00005D430000}"/>
    <cellStyle name="Normal 2 2 2 27 10" xfId="17285" xr:uid="{00000000-0005-0000-0000-00005E430000}"/>
    <cellStyle name="Normal 2 2 2 27 11" xfId="17286" xr:uid="{00000000-0005-0000-0000-00005F430000}"/>
    <cellStyle name="Normal 2 2 2 27 12" xfId="17287" xr:uid="{00000000-0005-0000-0000-000060430000}"/>
    <cellStyle name="Normal 2 2 2 27 13" xfId="17288" xr:uid="{00000000-0005-0000-0000-000061430000}"/>
    <cellStyle name="Normal 2 2 2 27 14" xfId="17289" xr:uid="{00000000-0005-0000-0000-000062430000}"/>
    <cellStyle name="Normal 2 2 2 27 2" xfId="17290" xr:uid="{00000000-0005-0000-0000-000063430000}"/>
    <cellStyle name="Normal 2 2 2 27 2 10" xfId="17291" xr:uid="{00000000-0005-0000-0000-000064430000}"/>
    <cellStyle name="Normal 2 2 2 27 2 2" xfId="17292" xr:uid="{00000000-0005-0000-0000-000065430000}"/>
    <cellStyle name="Normal 2 2 2 27 2 3" xfId="17293" xr:uid="{00000000-0005-0000-0000-000066430000}"/>
    <cellStyle name="Normal 2 2 2 27 2 4" xfId="17294" xr:uid="{00000000-0005-0000-0000-000067430000}"/>
    <cellStyle name="Normal 2 2 2 27 2 5" xfId="17295" xr:uid="{00000000-0005-0000-0000-000068430000}"/>
    <cellStyle name="Normal 2 2 2 27 2 6" xfId="17296" xr:uid="{00000000-0005-0000-0000-000069430000}"/>
    <cellStyle name="Normal 2 2 2 27 2 7" xfId="17297" xr:uid="{00000000-0005-0000-0000-00006A430000}"/>
    <cellStyle name="Normal 2 2 2 27 2 8" xfId="17298" xr:uid="{00000000-0005-0000-0000-00006B430000}"/>
    <cellStyle name="Normal 2 2 2 27 2 9" xfId="17299" xr:uid="{00000000-0005-0000-0000-00006C430000}"/>
    <cellStyle name="Normal 2 2 2 27 3" xfId="17300" xr:uid="{00000000-0005-0000-0000-00006D430000}"/>
    <cellStyle name="Normal 2 2 2 27 3 10" xfId="17301" xr:uid="{00000000-0005-0000-0000-00006E430000}"/>
    <cellStyle name="Normal 2 2 2 27 3 2" xfId="17302" xr:uid="{00000000-0005-0000-0000-00006F430000}"/>
    <cellStyle name="Normal 2 2 2 27 3 3" xfId="17303" xr:uid="{00000000-0005-0000-0000-000070430000}"/>
    <cellStyle name="Normal 2 2 2 27 3 4" xfId="17304" xr:uid="{00000000-0005-0000-0000-000071430000}"/>
    <cellStyle name="Normal 2 2 2 27 3 5" xfId="17305" xr:uid="{00000000-0005-0000-0000-000072430000}"/>
    <cellStyle name="Normal 2 2 2 27 3 6" xfId="17306" xr:uid="{00000000-0005-0000-0000-000073430000}"/>
    <cellStyle name="Normal 2 2 2 27 3 7" xfId="17307" xr:uid="{00000000-0005-0000-0000-000074430000}"/>
    <cellStyle name="Normal 2 2 2 27 3 8" xfId="17308" xr:uid="{00000000-0005-0000-0000-000075430000}"/>
    <cellStyle name="Normal 2 2 2 27 3 9" xfId="17309" xr:uid="{00000000-0005-0000-0000-000076430000}"/>
    <cellStyle name="Normal 2 2 2 27 4" xfId="17310" xr:uid="{00000000-0005-0000-0000-000077430000}"/>
    <cellStyle name="Normal 2 2 2 27 4 10" xfId="17311" xr:uid="{00000000-0005-0000-0000-000078430000}"/>
    <cellStyle name="Normal 2 2 2 27 4 2" xfId="17312" xr:uid="{00000000-0005-0000-0000-000079430000}"/>
    <cellStyle name="Normal 2 2 2 27 4 3" xfId="17313" xr:uid="{00000000-0005-0000-0000-00007A430000}"/>
    <cellStyle name="Normal 2 2 2 27 4 4" xfId="17314" xr:uid="{00000000-0005-0000-0000-00007B430000}"/>
    <cellStyle name="Normal 2 2 2 27 4 5" xfId="17315" xr:uid="{00000000-0005-0000-0000-00007C430000}"/>
    <cellStyle name="Normal 2 2 2 27 4 6" xfId="17316" xr:uid="{00000000-0005-0000-0000-00007D430000}"/>
    <cellStyle name="Normal 2 2 2 27 4 7" xfId="17317" xr:uid="{00000000-0005-0000-0000-00007E430000}"/>
    <cellStyle name="Normal 2 2 2 27 4 8" xfId="17318" xr:uid="{00000000-0005-0000-0000-00007F430000}"/>
    <cellStyle name="Normal 2 2 2 27 4 9" xfId="17319" xr:uid="{00000000-0005-0000-0000-000080430000}"/>
    <cellStyle name="Normal 2 2 2 27 5" xfId="17320" xr:uid="{00000000-0005-0000-0000-000081430000}"/>
    <cellStyle name="Normal 2 2 2 27 5 10" xfId="17321" xr:uid="{00000000-0005-0000-0000-000082430000}"/>
    <cellStyle name="Normal 2 2 2 27 5 2" xfId="17322" xr:uid="{00000000-0005-0000-0000-000083430000}"/>
    <cellStyle name="Normal 2 2 2 27 5 3" xfId="17323" xr:uid="{00000000-0005-0000-0000-000084430000}"/>
    <cellStyle name="Normal 2 2 2 27 5 4" xfId="17324" xr:uid="{00000000-0005-0000-0000-000085430000}"/>
    <cellStyle name="Normal 2 2 2 27 5 5" xfId="17325" xr:uid="{00000000-0005-0000-0000-000086430000}"/>
    <cellStyle name="Normal 2 2 2 27 5 6" xfId="17326" xr:uid="{00000000-0005-0000-0000-000087430000}"/>
    <cellStyle name="Normal 2 2 2 27 5 7" xfId="17327" xr:uid="{00000000-0005-0000-0000-000088430000}"/>
    <cellStyle name="Normal 2 2 2 27 5 8" xfId="17328" xr:uid="{00000000-0005-0000-0000-000089430000}"/>
    <cellStyle name="Normal 2 2 2 27 5 9" xfId="17329" xr:uid="{00000000-0005-0000-0000-00008A430000}"/>
    <cellStyle name="Normal 2 2 2 27 6" xfId="17330" xr:uid="{00000000-0005-0000-0000-00008B430000}"/>
    <cellStyle name="Normal 2 2 2 27 7" xfId="17331" xr:uid="{00000000-0005-0000-0000-00008C430000}"/>
    <cellStyle name="Normal 2 2 2 27 8" xfId="17332" xr:uid="{00000000-0005-0000-0000-00008D430000}"/>
    <cellStyle name="Normal 2 2 2 27 9" xfId="17333" xr:uid="{00000000-0005-0000-0000-00008E430000}"/>
    <cellStyle name="Normal 2 2 2 28" xfId="17334" xr:uid="{00000000-0005-0000-0000-00008F430000}"/>
    <cellStyle name="Normal 2 2 2 28 10" xfId="17335" xr:uid="{00000000-0005-0000-0000-000090430000}"/>
    <cellStyle name="Normal 2 2 2 28 11" xfId="17336" xr:uid="{00000000-0005-0000-0000-000091430000}"/>
    <cellStyle name="Normal 2 2 2 28 12" xfId="17337" xr:uid="{00000000-0005-0000-0000-000092430000}"/>
    <cellStyle name="Normal 2 2 2 28 13" xfId="17338" xr:uid="{00000000-0005-0000-0000-000093430000}"/>
    <cellStyle name="Normal 2 2 2 28 14" xfId="17339" xr:uid="{00000000-0005-0000-0000-000094430000}"/>
    <cellStyle name="Normal 2 2 2 28 2" xfId="17340" xr:uid="{00000000-0005-0000-0000-000095430000}"/>
    <cellStyle name="Normal 2 2 2 28 2 10" xfId="17341" xr:uid="{00000000-0005-0000-0000-000096430000}"/>
    <cellStyle name="Normal 2 2 2 28 2 2" xfId="17342" xr:uid="{00000000-0005-0000-0000-000097430000}"/>
    <cellStyle name="Normal 2 2 2 28 2 3" xfId="17343" xr:uid="{00000000-0005-0000-0000-000098430000}"/>
    <cellStyle name="Normal 2 2 2 28 2 4" xfId="17344" xr:uid="{00000000-0005-0000-0000-000099430000}"/>
    <cellStyle name="Normal 2 2 2 28 2 5" xfId="17345" xr:uid="{00000000-0005-0000-0000-00009A430000}"/>
    <cellStyle name="Normal 2 2 2 28 2 6" xfId="17346" xr:uid="{00000000-0005-0000-0000-00009B430000}"/>
    <cellStyle name="Normal 2 2 2 28 2 7" xfId="17347" xr:uid="{00000000-0005-0000-0000-00009C430000}"/>
    <cellStyle name="Normal 2 2 2 28 2 8" xfId="17348" xr:uid="{00000000-0005-0000-0000-00009D430000}"/>
    <cellStyle name="Normal 2 2 2 28 2 9" xfId="17349" xr:uid="{00000000-0005-0000-0000-00009E430000}"/>
    <cellStyle name="Normal 2 2 2 28 3" xfId="17350" xr:uid="{00000000-0005-0000-0000-00009F430000}"/>
    <cellStyle name="Normal 2 2 2 28 3 10" xfId="17351" xr:uid="{00000000-0005-0000-0000-0000A0430000}"/>
    <cellStyle name="Normal 2 2 2 28 3 2" xfId="17352" xr:uid="{00000000-0005-0000-0000-0000A1430000}"/>
    <cellStyle name="Normal 2 2 2 28 3 3" xfId="17353" xr:uid="{00000000-0005-0000-0000-0000A2430000}"/>
    <cellStyle name="Normal 2 2 2 28 3 4" xfId="17354" xr:uid="{00000000-0005-0000-0000-0000A3430000}"/>
    <cellStyle name="Normal 2 2 2 28 3 5" xfId="17355" xr:uid="{00000000-0005-0000-0000-0000A4430000}"/>
    <cellStyle name="Normal 2 2 2 28 3 6" xfId="17356" xr:uid="{00000000-0005-0000-0000-0000A5430000}"/>
    <cellStyle name="Normal 2 2 2 28 3 7" xfId="17357" xr:uid="{00000000-0005-0000-0000-0000A6430000}"/>
    <cellStyle name="Normal 2 2 2 28 3 8" xfId="17358" xr:uid="{00000000-0005-0000-0000-0000A7430000}"/>
    <cellStyle name="Normal 2 2 2 28 3 9" xfId="17359" xr:uid="{00000000-0005-0000-0000-0000A8430000}"/>
    <cellStyle name="Normal 2 2 2 28 4" xfId="17360" xr:uid="{00000000-0005-0000-0000-0000A9430000}"/>
    <cellStyle name="Normal 2 2 2 28 4 10" xfId="17361" xr:uid="{00000000-0005-0000-0000-0000AA430000}"/>
    <cellStyle name="Normal 2 2 2 28 4 2" xfId="17362" xr:uid="{00000000-0005-0000-0000-0000AB430000}"/>
    <cellStyle name="Normal 2 2 2 28 4 3" xfId="17363" xr:uid="{00000000-0005-0000-0000-0000AC430000}"/>
    <cellStyle name="Normal 2 2 2 28 4 4" xfId="17364" xr:uid="{00000000-0005-0000-0000-0000AD430000}"/>
    <cellStyle name="Normal 2 2 2 28 4 5" xfId="17365" xr:uid="{00000000-0005-0000-0000-0000AE430000}"/>
    <cellStyle name="Normal 2 2 2 28 4 6" xfId="17366" xr:uid="{00000000-0005-0000-0000-0000AF430000}"/>
    <cellStyle name="Normal 2 2 2 28 4 7" xfId="17367" xr:uid="{00000000-0005-0000-0000-0000B0430000}"/>
    <cellStyle name="Normal 2 2 2 28 4 8" xfId="17368" xr:uid="{00000000-0005-0000-0000-0000B1430000}"/>
    <cellStyle name="Normal 2 2 2 28 4 9" xfId="17369" xr:uid="{00000000-0005-0000-0000-0000B2430000}"/>
    <cellStyle name="Normal 2 2 2 28 5" xfId="17370" xr:uid="{00000000-0005-0000-0000-0000B3430000}"/>
    <cellStyle name="Normal 2 2 2 28 5 10" xfId="17371" xr:uid="{00000000-0005-0000-0000-0000B4430000}"/>
    <cellStyle name="Normal 2 2 2 28 5 2" xfId="17372" xr:uid="{00000000-0005-0000-0000-0000B5430000}"/>
    <cellStyle name="Normal 2 2 2 28 5 3" xfId="17373" xr:uid="{00000000-0005-0000-0000-0000B6430000}"/>
    <cellStyle name="Normal 2 2 2 28 5 4" xfId="17374" xr:uid="{00000000-0005-0000-0000-0000B7430000}"/>
    <cellStyle name="Normal 2 2 2 28 5 5" xfId="17375" xr:uid="{00000000-0005-0000-0000-0000B8430000}"/>
    <cellStyle name="Normal 2 2 2 28 5 6" xfId="17376" xr:uid="{00000000-0005-0000-0000-0000B9430000}"/>
    <cellStyle name="Normal 2 2 2 28 5 7" xfId="17377" xr:uid="{00000000-0005-0000-0000-0000BA430000}"/>
    <cellStyle name="Normal 2 2 2 28 5 8" xfId="17378" xr:uid="{00000000-0005-0000-0000-0000BB430000}"/>
    <cellStyle name="Normal 2 2 2 28 5 9" xfId="17379" xr:uid="{00000000-0005-0000-0000-0000BC430000}"/>
    <cellStyle name="Normal 2 2 2 28 6" xfId="17380" xr:uid="{00000000-0005-0000-0000-0000BD430000}"/>
    <cellStyle name="Normal 2 2 2 28 7" xfId="17381" xr:uid="{00000000-0005-0000-0000-0000BE430000}"/>
    <cellStyle name="Normal 2 2 2 28 8" xfId="17382" xr:uid="{00000000-0005-0000-0000-0000BF430000}"/>
    <cellStyle name="Normal 2 2 2 28 9" xfId="17383" xr:uid="{00000000-0005-0000-0000-0000C0430000}"/>
    <cellStyle name="Normal 2 2 2 29" xfId="17384" xr:uid="{00000000-0005-0000-0000-0000C1430000}"/>
    <cellStyle name="Normal 2 2 2 29 10" xfId="17385" xr:uid="{00000000-0005-0000-0000-0000C2430000}"/>
    <cellStyle name="Normal 2 2 2 29 11" xfId="17386" xr:uid="{00000000-0005-0000-0000-0000C3430000}"/>
    <cellStyle name="Normal 2 2 2 29 12" xfId="17387" xr:uid="{00000000-0005-0000-0000-0000C4430000}"/>
    <cellStyle name="Normal 2 2 2 29 13" xfId="17388" xr:uid="{00000000-0005-0000-0000-0000C5430000}"/>
    <cellStyle name="Normal 2 2 2 29 14" xfId="17389" xr:uid="{00000000-0005-0000-0000-0000C6430000}"/>
    <cellStyle name="Normal 2 2 2 29 2" xfId="17390" xr:uid="{00000000-0005-0000-0000-0000C7430000}"/>
    <cellStyle name="Normal 2 2 2 29 2 10" xfId="17391" xr:uid="{00000000-0005-0000-0000-0000C8430000}"/>
    <cellStyle name="Normal 2 2 2 29 2 2" xfId="17392" xr:uid="{00000000-0005-0000-0000-0000C9430000}"/>
    <cellStyle name="Normal 2 2 2 29 2 3" xfId="17393" xr:uid="{00000000-0005-0000-0000-0000CA430000}"/>
    <cellStyle name="Normal 2 2 2 29 2 4" xfId="17394" xr:uid="{00000000-0005-0000-0000-0000CB430000}"/>
    <cellStyle name="Normal 2 2 2 29 2 5" xfId="17395" xr:uid="{00000000-0005-0000-0000-0000CC430000}"/>
    <cellStyle name="Normal 2 2 2 29 2 6" xfId="17396" xr:uid="{00000000-0005-0000-0000-0000CD430000}"/>
    <cellStyle name="Normal 2 2 2 29 2 7" xfId="17397" xr:uid="{00000000-0005-0000-0000-0000CE430000}"/>
    <cellStyle name="Normal 2 2 2 29 2 8" xfId="17398" xr:uid="{00000000-0005-0000-0000-0000CF430000}"/>
    <cellStyle name="Normal 2 2 2 29 2 9" xfId="17399" xr:uid="{00000000-0005-0000-0000-0000D0430000}"/>
    <cellStyle name="Normal 2 2 2 29 3" xfId="17400" xr:uid="{00000000-0005-0000-0000-0000D1430000}"/>
    <cellStyle name="Normal 2 2 2 29 3 10" xfId="17401" xr:uid="{00000000-0005-0000-0000-0000D2430000}"/>
    <cellStyle name="Normal 2 2 2 29 3 2" xfId="17402" xr:uid="{00000000-0005-0000-0000-0000D3430000}"/>
    <cellStyle name="Normal 2 2 2 29 3 3" xfId="17403" xr:uid="{00000000-0005-0000-0000-0000D4430000}"/>
    <cellStyle name="Normal 2 2 2 29 3 4" xfId="17404" xr:uid="{00000000-0005-0000-0000-0000D5430000}"/>
    <cellStyle name="Normal 2 2 2 29 3 5" xfId="17405" xr:uid="{00000000-0005-0000-0000-0000D6430000}"/>
    <cellStyle name="Normal 2 2 2 29 3 6" xfId="17406" xr:uid="{00000000-0005-0000-0000-0000D7430000}"/>
    <cellStyle name="Normal 2 2 2 29 3 7" xfId="17407" xr:uid="{00000000-0005-0000-0000-0000D8430000}"/>
    <cellStyle name="Normal 2 2 2 29 3 8" xfId="17408" xr:uid="{00000000-0005-0000-0000-0000D9430000}"/>
    <cellStyle name="Normal 2 2 2 29 3 9" xfId="17409" xr:uid="{00000000-0005-0000-0000-0000DA430000}"/>
    <cellStyle name="Normal 2 2 2 29 4" xfId="17410" xr:uid="{00000000-0005-0000-0000-0000DB430000}"/>
    <cellStyle name="Normal 2 2 2 29 4 10" xfId="17411" xr:uid="{00000000-0005-0000-0000-0000DC430000}"/>
    <cellStyle name="Normal 2 2 2 29 4 2" xfId="17412" xr:uid="{00000000-0005-0000-0000-0000DD430000}"/>
    <cellStyle name="Normal 2 2 2 29 4 3" xfId="17413" xr:uid="{00000000-0005-0000-0000-0000DE430000}"/>
    <cellStyle name="Normal 2 2 2 29 4 4" xfId="17414" xr:uid="{00000000-0005-0000-0000-0000DF430000}"/>
    <cellStyle name="Normal 2 2 2 29 4 5" xfId="17415" xr:uid="{00000000-0005-0000-0000-0000E0430000}"/>
    <cellStyle name="Normal 2 2 2 29 4 6" xfId="17416" xr:uid="{00000000-0005-0000-0000-0000E1430000}"/>
    <cellStyle name="Normal 2 2 2 29 4 7" xfId="17417" xr:uid="{00000000-0005-0000-0000-0000E2430000}"/>
    <cellStyle name="Normal 2 2 2 29 4 8" xfId="17418" xr:uid="{00000000-0005-0000-0000-0000E3430000}"/>
    <cellStyle name="Normal 2 2 2 29 4 9" xfId="17419" xr:uid="{00000000-0005-0000-0000-0000E4430000}"/>
    <cellStyle name="Normal 2 2 2 29 5" xfId="17420" xr:uid="{00000000-0005-0000-0000-0000E5430000}"/>
    <cellStyle name="Normal 2 2 2 29 5 10" xfId="17421" xr:uid="{00000000-0005-0000-0000-0000E6430000}"/>
    <cellStyle name="Normal 2 2 2 29 5 2" xfId="17422" xr:uid="{00000000-0005-0000-0000-0000E7430000}"/>
    <cellStyle name="Normal 2 2 2 29 5 3" xfId="17423" xr:uid="{00000000-0005-0000-0000-0000E8430000}"/>
    <cellStyle name="Normal 2 2 2 29 5 4" xfId="17424" xr:uid="{00000000-0005-0000-0000-0000E9430000}"/>
    <cellStyle name="Normal 2 2 2 29 5 5" xfId="17425" xr:uid="{00000000-0005-0000-0000-0000EA430000}"/>
    <cellStyle name="Normal 2 2 2 29 5 6" xfId="17426" xr:uid="{00000000-0005-0000-0000-0000EB430000}"/>
    <cellStyle name="Normal 2 2 2 29 5 7" xfId="17427" xr:uid="{00000000-0005-0000-0000-0000EC430000}"/>
    <cellStyle name="Normal 2 2 2 29 5 8" xfId="17428" xr:uid="{00000000-0005-0000-0000-0000ED430000}"/>
    <cellStyle name="Normal 2 2 2 29 5 9" xfId="17429" xr:uid="{00000000-0005-0000-0000-0000EE430000}"/>
    <cellStyle name="Normal 2 2 2 29 6" xfId="17430" xr:uid="{00000000-0005-0000-0000-0000EF430000}"/>
    <cellStyle name="Normal 2 2 2 29 7" xfId="17431" xr:uid="{00000000-0005-0000-0000-0000F0430000}"/>
    <cellStyle name="Normal 2 2 2 29 8" xfId="17432" xr:uid="{00000000-0005-0000-0000-0000F1430000}"/>
    <cellStyle name="Normal 2 2 2 29 9" xfId="17433" xr:uid="{00000000-0005-0000-0000-0000F2430000}"/>
    <cellStyle name="Normal 2 2 2 3" xfId="20" xr:uid="{00000000-0005-0000-0000-0000F3430000}"/>
    <cellStyle name="Normal 2 2 2 3 10" xfId="17434" xr:uid="{00000000-0005-0000-0000-0000F4430000}"/>
    <cellStyle name="Normal 2 2 2 3 10 10" xfId="17435" xr:uid="{00000000-0005-0000-0000-0000F5430000}"/>
    <cellStyle name="Normal 2 2 2 3 10 11" xfId="17436" xr:uid="{00000000-0005-0000-0000-0000F6430000}"/>
    <cellStyle name="Normal 2 2 2 3 10 12" xfId="17437" xr:uid="{00000000-0005-0000-0000-0000F7430000}"/>
    <cellStyle name="Normal 2 2 2 3 10 13" xfId="17438" xr:uid="{00000000-0005-0000-0000-0000F8430000}"/>
    <cellStyle name="Normal 2 2 2 3 10 14" xfId="17439" xr:uid="{00000000-0005-0000-0000-0000F9430000}"/>
    <cellStyle name="Normal 2 2 2 3 10 2" xfId="17440" xr:uid="{00000000-0005-0000-0000-0000FA430000}"/>
    <cellStyle name="Normal 2 2 2 3 10 2 10" xfId="17441" xr:uid="{00000000-0005-0000-0000-0000FB430000}"/>
    <cellStyle name="Normal 2 2 2 3 10 2 2" xfId="17442" xr:uid="{00000000-0005-0000-0000-0000FC430000}"/>
    <cellStyle name="Normal 2 2 2 3 10 2 3" xfId="17443" xr:uid="{00000000-0005-0000-0000-0000FD430000}"/>
    <cellStyle name="Normal 2 2 2 3 10 2 4" xfId="17444" xr:uid="{00000000-0005-0000-0000-0000FE430000}"/>
    <cellStyle name="Normal 2 2 2 3 10 2 5" xfId="17445" xr:uid="{00000000-0005-0000-0000-0000FF430000}"/>
    <cellStyle name="Normal 2 2 2 3 10 2 6" xfId="17446" xr:uid="{00000000-0005-0000-0000-000000440000}"/>
    <cellStyle name="Normal 2 2 2 3 10 2 7" xfId="17447" xr:uid="{00000000-0005-0000-0000-000001440000}"/>
    <cellStyle name="Normal 2 2 2 3 10 2 8" xfId="17448" xr:uid="{00000000-0005-0000-0000-000002440000}"/>
    <cellStyle name="Normal 2 2 2 3 10 2 9" xfId="17449" xr:uid="{00000000-0005-0000-0000-000003440000}"/>
    <cellStyle name="Normal 2 2 2 3 10 3" xfId="17450" xr:uid="{00000000-0005-0000-0000-000004440000}"/>
    <cellStyle name="Normal 2 2 2 3 10 3 10" xfId="17451" xr:uid="{00000000-0005-0000-0000-000005440000}"/>
    <cellStyle name="Normal 2 2 2 3 10 3 2" xfId="17452" xr:uid="{00000000-0005-0000-0000-000006440000}"/>
    <cellStyle name="Normal 2 2 2 3 10 3 3" xfId="17453" xr:uid="{00000000-0005-0000-0000-000007440000}"/>
    <cellStyle name="Normal 2 2 2 3 10 3 4" xfId="17454" xr:uid="{00000000-0005-0000-0000-000008440000}"/>
    <cellStyle name="Normal 2 2 2 3 10 3 5" xfId="17455" xr:uid="{00000000-0005-0000-0000-000009440000}"/>
    <cellStyle name="Normal 2 2 2 3 10 3 6" xfId="17456" xr:uid="{00000000-0005-0000-0000-00000A440000}"/>
    <cellStyle name="Normal 2 2 2 3 10 3 7" xfId="17457" xr:uid="{00000000-0005-0000-0000-00000B440000}"/>
    <cellStyle name="Normal 2 2 2 3 10 3 8" xfId="17458" xr:uid="{00000000-0005-0000-0000-00000C440000}"/>
    <cellStyle name="Normal 2 2 2 3 10 3 9" xfId="17459" xr:uid="{00000000-0005-0000-0000-00000D440000}"/>
    <cellStyle name="Normal 2 2 2 3 10 4" xfId="17460" xr:uid="{00000000-0005-0000-0000-00000E440000}"/>
    <cellStyle name="Normal 2 2 2 3 10 4 10" xfId="17461" xr:uid="{00000000-0005-0000-0000-00000F440000}"/>
    <cellStyle name="Normal 2 2 2 3 10 4 2" xfId="17462" xr:uid="{00000000-0005-0000-0000-000010440000}"/>
    <cellStyle name="Normal 2 2 2 3 10 4 3" xfId="17463" xr:uid="{00000000-0005-0000-0000-000011440000}"/>
    <cellStyle name="Normal 2 2 2 3 10 4 4" xfId="17464" xr:uid="{00000000-0005-0000-0000-000012440000}"/>
    <cellStyle name="Normal 2 2 2 3 10 4 5" xfId="17465" xr:uid="{00000000-0005-0000-0000-000013440000}"/>
    <cellStyle name="Normal 2 2 2 3 10 4 6" xfId="17466" xr:uid="{00000000-0005-0000-0000-000014440000}"/>
    <cellStyle name="Normal 2 2 2 3 10 4 7" xfId="17467" xr:uid="{00000000-0005-0000-0000-000015440000}"/>
    <cellStyle name="Normal 2 2 2 3 10 4 8" xfId="17468" xr:uid="{00000000-0005-0000-0000-000016440000}"/>
    <cellStyle name="Normal 2 2 2 3 10 4 9" xfId="17469" xr:uid="{00000000-0005-0000-0000-000017440000}"/>
    <cellStyle name="Normal 2 2 2 3 10 5" xfId="17470" xr:uid="{00000000-0005-0000-0000-000018440000}"/>
    <cellStyle name="Normal 2 2 2 3 10 5 10" xfId="17471" xr:uid="{00000000-0005-0000-0000-000019440000}"/>
    <cellStyle name="Normal 2 2 2 3 10 5 2" xfId="17472" xr:uid="{00000000-0005-0000-0000-00001A440000}"/>
    <cellStyle name="Normal 2 2 2 3 10 5 3" xfId="17473" xr:uid="{00000000-0005-0000-0000-00001B440000}"/>
    <cellStyle name="Normal 2 2 2 3 10 5 4" xfId="17474" xr:uid="{00000000-0005-0000-0000-00001C440000}"/>
    <cellStyle name="Normal 2 2 2 3 10 5 5" xfId="17475" xr:uid="{00000000-0005-0000-0000-00001D440000}"/>
    <cellStyle name="Normal 2 2 2 3 10 5 6" xfId="17476" xr:uid="{00000000-0005-0000-0000-00001E440000}"/>
    <cellStyle name="Normal 2 2 2 3 10 5 7" xfId="17477" xr:uid="{00000000-0005-0000-0000-00001F440000}"/>
    <cellStyle name="Normal 2 2 2 3 10 5 8" xfId="17478" xr:uid="{00000000-0005-0000-0000-000020440000}"/>
    <cellStyle name="Normal 2 2 2 3 10 5 9" xfId="17479" xr:uid="{00000000-0005-0000-0000-000021440000}"/>
    <cellStyle name="Normal 2 2 2 3 10 6" xfId="17480" xr:uid="{00000000-0005-0000-0000-000022440000}"/>
    <cellStyle name="Normal 2 2 2 3 10 7" xfId="17481" xr:uid="{00000000-0005-0000-0000-000023440000}"/>
    <cellStyle name="Normal 2 2 2 3 10 8" xfId="17482" xr:uid="{00000000-0005-0000-0000-000024440000}"/>
    <cellStyle name="Normal 2 2 2 3 10 9" xfId="17483" xr:uid="{00000000-0005-0000-0000-000025440000}"/>
    <cellStyle name="Normal 2 2 2 3 11" xfId="17484" xr:uid="{00000000-0005-0000-0000-000026440000}"/>
    <cellStyle name="Normal 2 2 2 3 11 10" xfId="17485" xr:uid="{00000000-0005-0000-0000-000027440000}"/>
    <cellStyle name="Normal 2 2 2 3 11 11" xfId="17486" xr:uid="{00000000-0005-0000-0000-000028440000}"/>
    <cellStyle name="Normal 2 2 2 3 11 12" xfId="17487" xr:uid="{00000000-0005-0000-0000-000029440000}"/>
    <cellStyle name="Normal 2 2 2 3 11 13" xfId="17488" xr:uid="{00000000-0005-0000-0000-00002A440000}"/>
    <cellStyle name="Normal 2 2 2 3 11 14" xfId="17489" xr:uid="{00000000-0005-0000-0000-00002B440000}"/>
    <cellStyle name="Normal 2 2 2 3 11 2" xfId="17490" xr:uid="{00000000-0005-0000-0000-00002C440000}"/>
    <cellStyle name="Normal 2 2 2 3 11 2 10" xfId="17491" xr:uid="{00000000-0005-0000-0000-00002D440000}"/>
    <cellStyle name="Normal 2 2 2 3 11 2 2" xfId="17492" xr:uid="{00000000-0005-0000-0000-00002E440000}"/>
    <cellStyle name="Normal 2 2 2 3 11 2 3" xfId="17493" xr:uid="{00000000-0005-0000-0000-00002F440000}"/>
    <cellStyle name="Normal 2 2 2 3 11 2 4" xfId="17494" xr:uid="{00000000-0005-0000-0000-000030440000}"/>
    <cellStyle name="Normal 2 2 2 3 11 2 5" xfId="17495" xr:uid="{00000000-0005-0000-0000-000031440000}"/>
    <cellStyle name="Normal 2 2 2 3 11 2 6" xfId="17496" xr:uid="{00000000-0005-0000-0000-000032440000}"/>
    <cellStyle name="Normal 2 2 2 3 11 2 7" xfId="17497" xr:uid="{00000000-0005-0000-0000-000033440000}"/>
    <cellStyle name="Normal 2 2 2 3 11 2 8" xfId="17498" xr:uid="{00000000-0005-0000-0000-000034440000}"/>
    <cellStyle name="Normal 2 2 2 3 11 2 9" xfId="17499" xr:uid="{00000000-0005-0000-0000-000035440000}"/>
    <cellStyle name="Normal 2 2 2 3 11 3" xfId="17500" xr:uid="{00000000-0005-0000-0000-000036440000}"/>
    <cellStyle name="Normal 2 2 2 3 11 3 10" xfId="17501" xr:uid="{00000000-0005-0000-0000-000037440000}"/>
    <cellStyle name="Normal 2 2 2 3 11 3 2" xfId="17502" xr:uid="{00000000-0005-0000-0000-000038440000}"/>
    <cellStyle name="Normal 2 2 2 3 11 3 3" xfId="17503" xr:uid="{00000000-0005-0000-0000-000039440000}"/>
    <cellStyle name="Normal 2 2 2 3 11 3 4" xfId="17504" xr:uid="{00000000-0005-0000-0000-00003A440000}"/>
    <cellStyle name="Normal 2 2 2 3 11 3 5" xfId="17505" xr:uid="{00000000-0005-0000-0000-00003B440000}"/>
    <cellStyle name="Normal 2 2 2 3 11 3 6" xfId="17506" xr:uid="{00000000-0005-0000-0000-00003C440000}"/>
    <cellStyle name="Normal 2 2 2 3 11 3 7" xfId="17507" xr:uid="{00000000-0005-0000-0000-00003D440000}"/>
    <cellStyle name="Normal 2 2 2 3 11 3 8" xfId="17508" xr:uid="{00000000-0005-0000-0000-00003E440000}"/>
    <cellStyle name="Normal 2 2 2 3 11 3 9" xfId="17509" xr:uid="{00000000-0005-0000-0000-00003F440000}"/>
    <cellStyle name="Normal 2 2 2 3 11 4" xfId="17510" xr:uid="{00000000-0005-0000-0000-000040440000}"/>
    <cellStyle name="Normal 2 2 2 3 11 4 10" xfId="17511" xr:uid="{00000000-0005-0000-0000-000041440000}"/>
    <cellStyle name="Normal 2 2 2 3 11 4 2" xfId="17512" xr:uid="{00000000-0005-0000-0000-000042440000}"/>
    <cellStyle name="Normal 2 2 2 3 11 4 3" xfId="17513" xr:uid="{00000000-0005-0000-0000-000043440000}"/>
    <cellStyle name="Normal 2 2 2 3 11 4 4" xfId="17514" xr:uid="{00000000-0005-0000-0000-000044440000}"/>
    <cellStyle name="Normal 2 2 2 3 11 4 5" xfId="17515" xr:uid="{00000000-0005-0000-0000-000045440000}"/>
    <cellStyle name="Normal 2 2 2 3 11 4 6" xfId="17516" xr:uid="{00000000-0005-0000-0000-000046440000}"/>
    <cellStyle name="Normal 2 2 2 3 11 4 7" xfId="17517" xr:uid="{00000000-0005-0000-0000-000047440000}"/>
    <cellStyle name="Normal 2 2 2 3 11 4 8" xfId="17518" xr:uid="{00000000-0005-0000-0000-000048440000}"/>
    <cellStyle name="Normal 2 2 2 3 11 4 9" xfId="17519" xr:uid="{00000000-0005-0000-0000-000049440000}"/>
    <cellStyle name="Normal 2 2 2 3 11 5" xfId="17520" xr:uid="{00000000-0005-0000-0000-00004A440000}"/>
    <cellStyle name="Normal 2 2 2 3 11 5 10" xfId="17521" xr:uid="{00000000-0005-0000-0000-00004B440000}"/>
    <cellStyle name="Normal 2 2 2 3 11 5 2" xfId="17522" xr:uid="{00000000-0005-0000-0000-00004C440000}"/>
    <cellStyle name="Normal 2 2 2 3 11 5 3" xfId="17523" xr:uid="{00000000-0005-0000-0000-00004D440000}"/>
    <cellStyle name="Normal 2 2 2 3 11 5 4" xfId="17524" xr:uid="{00000000-0005-0000-0000-00004E440000}"/>
    <cellStyle name="Normal 2 2 2 3 11 5 5" xfId="17525" xr:uid="{00000000-0005-0000-0000-00004F440000}"/>
    <cellStyle name="Normal 2 2 2 3 11 5 6" xfId="17526" xr:uid="{00000000-0005-0000-0000-000050440000}"/>
    <cellStyle name="Normal 2 2 2 3 11 5 7" xfId="17527" xr:uid="{00000000-0005-0000-0000-000051440000}"/>
    <cellStyle name="Normal 2 2 2 3 11 5 8" xfId="17528" xr:uid="{00000000-0005-0000-0000-000052440000}"/>
    <cellStyle name="Normal 2 2 2 3 11 5 9" xfId="17529" xr:uid="{00000000-0005-0000-0000-000053440000}"/>
    <cellStyle name="Normal 2 2 2 3 11 6" xfId="17530" xr:uid="{00000000-0005-0000-0000-000054440000}"/>
    <cellStyle name="Normal 2 2 2 3 11 7" xfId="17531" xr:uid="{00000000-0005-0000-0000-000055440000}"/>
    <cellStyle name="Normal 2 2 2 3 11 8" xfId="17532" xr:uid="{00000000-0005-0000-0000-000056440000}"/>
    <cellStyle name="Normal 2 2 2 3 11 9" xfId="17533" xr:uid="{00000000-0005-0000-0000-000057440000}"/>
    <cellStyle name="Normal 2 2 2 3 12" xfId="17534" xr:uid="{00000000-0005-0000-0000-000058440000}"/>
    <cellStyle name="Normal 2 2 2 3 12 10" xfId="17535" xr:uid="{00000000-0005-0000-0000-000059440000}"/>
    <cellStyle name="Normal 2 2 2 3 12 11" xfId="17536" xr:uid="{00000000-0005-0000-0000-00005A440000}"/>
    <cellStyle name="Normal 2 2 2 3 12 12" xfId="17537" xr:uid="{00000000-0005-0000-0000-00005B440000}"/>
    <cellStyle name="Normal 2 2 2 3 12 13" xfId="17538" xr:uid="{00000000-0005-0000-0000-00005C440000}"/>
    <cellStyle name="Normal 2 2 2 3 12 14" xfId="17539" xr:uid="{00000000-0005-0000-0000-00005D440000}"/>
    <cellStyle name="Normal 2 2 2 3 12 2" xfId="17540" xr:uid="{00000000-0005-0000-0000-00005E440000}"/>
    <cellStyle name="Normal 2 2 2 3 12 2 10" xfId="17541" xr:uid="{00000000-0005-0000-0000-00005F440000}"/>
    <cellStyle name="Normal 2 2 2 3 12 2 2" xfId="17542" xr:uid="{00000000-0005-0000-0000-000060440000}"/>
    <cellStyle name="Normal 2 2 2 3 12 2 3" xfId="17543" xr:uid="{00000000-0005-0000-0000-000061440000}"/>
    <cellStyle name="Normal 2 2 2 3 12 2 4" xfId="17544" xr:uid="{00000000-0005-0000-0000-000062440000}"/>
    <cellStyle name="Normal 2 2 2 3 12 2 5" xfId="17545" xr:uid="{00000000-0005-0000-0000-000063440000}"/>
    <cellStyle name="Normal 2 2 2 3 12 2 6" xfId="17546" xr:uid="{00000000-0005-0000-0000-000064440000}"/>
    <cellStyle name="Normal 2 2 2 3 12 2 7" xfId="17547" xr:uid="{00000000-0005-0000-0000-000065440000}"/>
    <cellStyle name="Normal 2 2 2 3 12 2 8" xfId="17548" xr:uid="{00000000-0005-0000-0000-000066440000}"/>
    <cellStyle name="Normal 2 2 2 3 12 2 9" xfId="17549" xr:uid="{00000000-0005-0000-0000-000067440000}"/>
    <cellStyle name="Normal 2 2 2 3 12 3" xfId="17550" xr:uid="{00000000-0005-0000-0000-000068440000}"/>
    <cellStyle name="Normal 2 2 2 3 12 3 10" xfId="17551" xr:uid="{00000000-0005-0000-0000-000069440000}"/>
    <cellStyle name="Normal 2 2 2 3 12 3 2" xfId="17552" xr:uid="{00000000-0005-0000-0000-00006A440000}"/>
    <cellStyle name="Normal 2 2 2 3 12 3 3" xfId="17553" xr:uid="{00000000-0005-0000-0000-00006B440000}"/>
    <cellStyle name="Normal 2 2 2 3 12 3 4" xfId="17554" xr:uid="{00000000-0005-0000-0000-00006C440000}"/>
    <cellStyle name="Normal 2 2 2 3 12 3 5" xfId="17555" xr:uid="{00000000-0005-0000-0000-00006D440000}"/>
    <cellStyle name="Normal 2 2 2 3 12 3 6" xfId="17556" xr:uid="{00000000-0005-0000-0000-00006E440000}"/>
    <cellStyle name="Normal 2 2 2 3 12 3 7" xfId="17557" xr:uid="{00000000-0005-0000-0000-00006F440000}"/>
    <cellStyle name="Normal 2 2 2 3 12 3 8" xfId="17558" xr:uid="{00000000-0005-0000-0000-000070440000}"/>
    <cellStyle name="Normal 2 2 2 3 12 3 9" xfId="17559" xr:uid="{00000000-0005-0000-0000-000071440000}"/>
    <cellStyle name="Normal 2 2 2 3 12 4" xfId="17560" xr:uid="{00000000-0005-0000-0000-000072440000}"/>
    <cellStyle name="Normal 2 2 2 3 12 4 10" xfId="17561" xr:uid="{00000000-0005-0000-0000-000073440000}"/>
    <cellStyle name="Normal 2 2 2 3 12 4 2" xfId="17562" xr:uid="{00000000-0005-0000-0000-000074440000}"/>
    <cellStyle name="Normal 2 2 2 3 12 4 3" xfId="17563" xr:uid="{00000000-0005-0000-0000-000075440000}"/>
    <cellStyle name="Normal 2 2 2 3 12 4 4" xfId="17564" xr:uid="{00000000-0005-0000-0000-000076440000}"/>
    <cellStyle name="Normal 2 2 2 3 12 4 5" xfId="17565" xr:uid="{00000000-0005-0000-0000-000077440000}"/>
    <cellStyle name="Normal 2 2 2 3 12 4 6" xfId="17566" xr:uid="{00000000-0005-0000-0000-000078440000}"/>
    <cellStyle name="Normal 2 2 2 3 12 4 7" xfId="17567" xr:uid="{00000000-0005-0000-0000-000079440000}"/>
    <cellStyle name="Normal 2 2 2 3 12 4 8" xfId="17568" xr:uid="{00000000-0005-0000-0000-00007A440000}"/>
    <cellStyle name="Normal 2 2 2 3 12 4 9" xfId="17569" xr:uid="{00000000-0005-0000-0000-00007B440000}"/>
    <cellStyle name="Normal 2 2 2 3 12 5" xfId="17570" xr:uid="{00000000-0005-0000-0000-00007C440000}"/>
    <cellStyle name="Normal 2 2 2 3 12 5 10" xfId="17571" xr:uid="{00000000-0005-0000-0000-00007D440000}"/>
    <cellStyle name="Normal 2 2 2 3 12 5 2" xfId="17572" xr:uid="{00000000-0005-0000-0000-00007E440000}"/>
    <cellStyle name="Normal 2 2 2 3 12 5 3" xfId="17573" xr:uid="{00000000-0005-0000-0000-00007F440000}"/>
    <cellStyle name="Normal 2 2 2 3 12 5 4" xfId="17574" xr:uid="{00000000-0005-0000-0000-000080440000}"/>
    <cellStyle name="Normal 2 2 2 3 12 5 5" xfId="17575" xr:uid="{00000000-0005-0000-0000-000081440000}"/>
    <cellStyle name="Normal 2 2 2 3 12 5 6" xfId="17576" xr:uid="{00000000-0005-0000-0000-000082440000}"/>
    <cellStyle name="Normal 2 2 2 3 12 5 7" xfId="17577" xr:uid="{00000000-0005-0000-0000-000083440000}"/>
    <cellStyle name="Normal 2 2 2 3 12 5 8" xfId="17578" xr:uid="{00000000-0005-0000-0000-000084440000}"/>
    <cellStyle name="Normal 2 2 2 3 12 5 9" xfId="17579" xr:uid="{00000000-0005-0000-0000-000085440000}"/>
    <cellStyle name="Normal 2 2 2 3 12 6" xfId="17580" xr:uid="{00000000-0005-0000-0000-000086440000}"/>
    <cellStyle name="Normal 2 2 2 3 12 7" xfId="17581" xr:uid="{00000000-0005-0000-0000-000087440000}"/>
    <cellStyle name="Normal 2 2 2 3 12 8" xfId="17582" xr:uid="{00000000-0005-0000-0000-000088440000}"/>
    <cellStyle name="Normal 2 2 2 3 12 9" xfId="17583" xr:uid="{00000000-0005-0000-0000-000089440000}"/>
    <cellStyle name="Normal 2 2 2 3 13" xfId="17584" xr:uid="{00000000-0005-0000-0000-00008A440000}"/>
    <cellStyle name="Normal 2 2 2 3 13 10" xfId="17585" xr:uid="{00000000-0005-0000-0000-00008B440000}"/>
    <cellStyle name="Normal 2 2 2 3 13 11" xfId="17586" xr:uid="{00000000-0005-0000-0000-00008C440000}"/>
    <cellStyle name="Normal 2 2 2 3 13 12" xfId="17587" xr:uid="{00000000-0005-0000-0000-00008D440000}"/>
    <cellStyle name="Normal 2 2 2 3 13 13" xfId="17588" xr:uid="{00000000-0005-0000-0000-00008E440000}"/>
    <cellStyle name="Normal 2 2 2 3 13 14" xfId="17589" xr:uid="{00000000-0005-0000-0000-00008F440000}"/>
    <cellStyle name="Normal 2 2 2 3 13 2" xfId="17590" xr:uid="{00000000-0005-0000-0000-000090440000}"/>
    <cellStyle name="Normal 2 2 2 3 13 2 10" xfId="17591" xr:uid="{00000000-0005-0000-0000-000091440000}"/>
    <cellStyle name="Normal 2 2 2 3 13 2 2" xfId="17592" xr:uid="{00000000-0005-0000-0000-000092440000}"/>
    <cellStyle name="Normal 2 2 2 3 13 2 3" xfId="17593" xr:uid="{00000000-0005-0000-0000-000093440000}"/>
    <cellStyle name="Normal 2 2 2 3 13 2 4" xfId="17594" xr:uid="{00000000-0005-0000-0000-000094440000}"/>
    <cellStyle name="Normal 2 2 2 3 13 2 5" xfId="17595" xr:uid="{00000000-0005-0000-0000-000095440000}"/>
    <cellStyle name="Normal 2 2 2 3 13 2 6" xfId="17596" xr:uid="{00000000-0005-0000-0000-000096440000}"/>
    <cellStyle name="Normal 2 2 2 3 13 2 7" xfId="17597" xr:uid="{00000000-0005-0000-0000-000097440000}"/>
    <cellStyle name="Normal 2 2 2 3 13 2 8" xfId="17598" xr:uid="{00000000-0005-0000-0000-000098440000}"/>
    <cellStyle name="Normal 2 2 2 3 13 2 9" xfId="17599" xr:uid="{00000000-0005-0000-0000-000099440000}"/>
    <cellStyle name="Normal 2 2 2 3 13 3" xfId="17600" xr:uid="{00000000-0005-0000-0000-00009A440000}"/>
    <cellStyle name="Normal 2 2 2 3 13 3 10" xfId="17601" xr:uid="{00000000-0005-0000-0000-00009B440000}"/>
    <cellStyle name="Normal 2 2 2 3 13 3 2" xfId="17602" xr:uid="{00000000-0005-0000-0000-00009C440000}"/>
    <cellStyle name="Normal 2 2 2 3 13 3 3" xfId="17603" xr:uid="{00000000-0005-0000-0000-00009D440000}"/>
    <cellStyle name="Normal 2 2 2 3 13 3 4" xfId="17604" xr:uid="{00000000-0005-0000-0000-00009E440000}"/>
    <cellStyle name="Normal 2 2 2 3 13 3 5" xfId="17605" xr:uid="{00000000-0005-0000-0000-00009F440000}"/>
    <cellStyle name="Normal 2 2 2 3 13 3 6" xfId="17606" xr:uid="{00000000-0005-0000-0000-0000A0440000}"/>
    <cellStyle name="Normal 2 2 2 3 13 3 7" xfId="17607" xr:uid="{00000000-0005-0000-0000-0000A1440000}"/>
    <cellStyle name="Normal 2 2 2 3 13 3 8" xfId="17608" xr:uid="{00000000-0005-0000-0000-0000A2440000}"/>
    <cellStyle name="Normal 2 2 2 3 13 3 9" xfId="17609" xr:uid="{00000000-0005-0000-0000-0000A3440000}"/>
    <cellStyle name="Normal 2 2 2 3 13 4" xfId="17610" xr:uid="{00000000-0005-0000-0000-0000A4440000}"/>
    <cellStyle name="Normal 2 2 2 3 13 4 10" xfId="17611" xr:uid="{00000000-0005-0000-0000-0000A5440000}"/>
    <cellStyle name="Normal 2 2 2 3 13 4 2" xfId="17612" xr:uid="{00000000-0005-0000-0000-0000A6440000}"/>
    <cellStyle name="Normal 2 2 2 3 13 4 3" xfId="17613" xr:uid="{00000000-0005-0000-0000-0000A7440000}"/>
    <cellStyle name="Normal 2 2 2 3 13 4 4" xfId="17614" xr:uid="{00000000-0005-0000-0000-0000A8440000}"/>
    <cellStyle name="Normal 2 2 2 3 13 4 5" xfId="17615" xr:uid="{00000000-0005-0000-0000-0000A9440000}"/>
    <cellStyle name="Normal 2 2 2 3 13 4 6" xfId="17616" xr:uid="{00000000-0005-0000-0000-0000AA440000}"/>
    <cellStyle name="Normal 2 2 2 3 13 4 7" xfId="17617" xr:uid="{00000000-0005-0000-0000-0000AB440000}"/>
    <cellStyle name="Normal 2 2 2 3 13 4 8" xfId="17618" xr:uid="{00000000-0005-0000-0000-0000AC440000}"/>
    <cellStyle name="Normal 2 2 2 3 13 4 9" xfId="17619" xr:uid="{00000000-0005-0000-0000-0000AD440000}"/>
    <cellStyle name="Normal 2 2 2 3 13 5" xfId="17620" xr:uid="{00000000-0005-0000-0000-0000AE440000}"/>
    <cellStyle name="Normal 2 2 2 3 13 5 10" xfId="17621" xr:uid="{00000000-0005-0000-0000-0000AF440000}"/>
    <cellStyle name="Normal 2 2 2 3 13 5 2" xfId="17622" xr:uid="{00000000-0005-0000-0000-0000B0440000}"/>
    <cellStyle name="Normal 2 2 2 3 13 5 3" xfId="17623" xr:uid="{00000000-0005-0000-0000-0000B1440000}"/>
    <cellStyle name="Normal 2 2 2 3 13 5 4" xfId="17624" xr:uid="{00000000-0005-0000-0000-0000B2440000}"/>
    <cellStyle name="Normal 2 2 2 3 13 5 5" xfId="17625" xr:uid="{00000000-0005-0000-0000-0000B3440000}"/>
    <cellStyle name="Normal 2 2 2 3 13 5 6" xfId="17626" xr:uid="{00000000-0005-0000-0000-0000B4440000}"/>
    <cellStyle name="Normal 2 2 2 3 13 5 7" xfId="17627" xr:uid="{00000000-0005-0000-0000-0000B5440000}"/>
    <cellStyle name="Normal 2 2 2 3 13 5 8" xfId="17628" xr:uid="{00000000-0005-0000-0000-0000B6440000}"/>
    <cellStyle name="Normal 2 2 2 3 13 5 9" xfId="17629" xr:uid="{00000000-0005-0000-0000-0000B7440000}"/>
    <cellStyle name="Normal 2 2 2 3 13 6" xfId="17630" xr:uid="{00000000-0005-0000-0000-0000B8440000}"/>
    <cellStyle name="Normal 2 2 2 3 13 7" xfId="17631" xr:uid="{00000000-0005-0000-0000-0000B9440000}"/>
    <cellStyle name="Normal 2 2 2 3 13 8" xfId="17632" xr:uid="{00000000-0005-0000-0000-0000BA440000}"/>
    <cellStyle name="Normal 2 2 2 3 13 9" xfId="17633" xr:uid="{00000000-0005-0000-0000-0000BB440000}"/>
    <cellStyle name="Normal 2 2 2 3 14" xfId="17634" xr:uid="{00000000-0005-0000-0000-0000BC440000}"/>
    <cellStyle name="Normal 2 2 2 3 14 10" xfId="17635" xr:uid="{00000000-0005-0000-0000-0000BD440000}"/>
    <cellStyle name="Normal 2 2 2 3 14 11" xfId="17636" xr:uid="{00000000-0005-0000-0000-0000BE440000}"/>
    <cellStyle name="Normal 2 2 2 3 14 12" xfId="17637" xr:uid="{00000000-0005-0000-0000-0000BF440000}"/>
    <cellStyle name="Normal 2 2 2 3 14 13" xfId="17638" xr:uid="{00000000-0005-0000-0000-0000C0440000}"/>
    <cellStyle name="Normal 2 2 2 3 14 14" xfId="17639" xr:uid="{00000000-0005-0000-0000-0000C1440000}"/>
    <cellStyle name="Normal 2 2 2 3 14 2" xfId="17640" xr:uid="{00000000-0005-0000-0000-0000C2440000}"/>
    <cellStyle name="Normal 2 2 2 3 14 2 10" xfId="17641" xr:uid="{00000000-0005-0000-0000-0000C3440000}"/>
    <cellStyle name="Normal 2 2 2 3 14 2 2" xfId="17642" xr:uid="{00000000-0005-0000-0000-0000C4440000}"/>
    <cellStyle name="Normal 2 2 2 3 14 2 3" xfId="17643" xr:uid="{00000000-0005-0000-0000-0000C5440000}"/>
    <cellStyle name="Normal 2 2 2 3 14 2 4" xfId="17644" xr:uid="{00000000-0005-0000-0000-0000C6440000}"/>
    <cellStyle name="Normal 2 2 2 3 14 2 5" xfId="17645" xr:uid="{00000000-0005-0000-0000-0000C7440000}"/>
    <cellStyle name="Normal 2 2 2 3 14 2 6" xfId="17646" xr:uid="{00000000-0005-0000-0000-0000C8440000}"/>
    <cellStyle name="Normal 2 2 2 3 14 2 7" xfId="17647" xr:uid="{00000000-0005-0000-0000-0000C9440000}"/>
    <cellStyle name="Normal 2 2 2 3 14 2 8" xfId="17648" xr:uid="{00000000-0005-0000-0000-0000CA440000}"/>
    <cellStyle name="Normal 2 2 2 3 14 2 9" xfId="17649" xr:uid="{00000000-0005-0000-0000-0000CB440000}"/>
    <cellStyle name="Normal 2 2 2 3 14 3" xfId="17650" xr:uid="{00000000-0005-0000-0000-0000CC440000}"/>
    <cellStyle name="Normal 2 2 2 3 14 3 10" xfId="17651" xr:uid="{00000000-0005-0000-0000-0000CD440000}"/>
    <cellStyle name="Normal 2 2 2 3 14 3 2" xfId="17652" xr:uid="{00000000-0005-0000-0000-0000CE440000}"/>
    <cellStyle name="Normal 2 2 2 3 14 3 3" xfId="17653" xr:uid="{00000000-0005-0000-0000-0000CF440000}"/>
    <cellStyle name="Normal 2 2 2 3 14 3 4" xfId="17654" xr:uid="{00000000-0005-0000-0000-0000D0440000}"/>
    <cellStyle name="Normal 2 2 2 3 14 3 5" xfId="17655" xr:uid="{00000000-0005-0000-0000-0000D1440000}"/>
    <cellStyle name="Normal 2 2 2 3 14 3 6" xfId="17656" xr:uid="{00000000-0005-0000-0000-0000D2440000}"/>
    <cellStyle name="Normal 2 2 2 3 14 3 7" xfId="17657" xr:uid="{00000000-0005-0000-0000-0000D3440000}"/>
    <cellStyle name="Normal 2 2 2 3 14 3 8" xfId="17658" xr:uid="{00000000-0005-0000-0000-0000D4440000}"/>
    <cellStyle name="Normal 2 2 2 3 14 3 9" xfId="17659" xr:uid="{00000000-0005-0000-0000-0000D5440000}"/>
    <cellStyle name="Normal 2 2 2 3 14 4" xfId="17660" xr:uid="{00000000-0005-0000-0000-0000D6440000}"/>
    <cellStyle name="Normal 2 2 2 3 14 4 10" xfId="17661" xr:uid="{00000000-0005-0000-0000-0000D7440000}"/>
    <cellStyle name="Normal 2 2 2 3 14 4 2" xfId="17662" xr:uid="{00000000-0005-0000-0000-0000D8440000}"/>
    <cellStyle name="Normal 2 2 2 3 14 4 3" xfId="17663" xr:uid="{00000000-0005-0000-0000-0000D9440000}"/>
    <cellStyle name="Normal 2 2 2 3 14 4 4" xfId="17664" xr:uid="{00000000-0005-0000-0000-0000DA440000}"/>
    <cellStyle name="Normal 2 2 2 3 14 4 5" xfId="17665" xr:uid="{00000000-0005-0000-0000-0000DB440000}"/>
    <cellStyle name="Normal 2 2 2 3 14 4 6" xfId="17666" xr:uid="{00000000-0005-0000-0000-0000DC440000}"/>
    <cellStyle name="Normal 2 2 2 3 14 4 7" xfId="17667" xr:uid="{00000000-0005-0000-0000-0000DD440000}"/>
    <cellStyle name="Normal 2 2 2 3 14 4 8" xfId="17668" xr:uid="{00000000-0005-0000-0000-0000DE440000}"/>
    <cellStyle name="Normal 2 2 2 3 14 4 9" xfId="17669" xr:uid="{00000000-0005-0000-0000-0000DF440000}"/>
    <cellStyle name="Normal 2 2 2 3 14 5" xfId="17670" xr:uid="{00000000-0005-0000-0000-0000E0440000}"/>
    <cellStyle name="Normal 2 2 2 3 14 5 10" xfId="17671" xr:uid="{00000000-0005-0000-0000-0000E1440000}"/>
    <cellStyle name="Normal 2 2 2 3 14 5 2" xfId="17672" xr:uid="{00000000-0005-0000-0000-0000E2440000}"/>
    <cellStyle name="Normal 2 2 2 3 14 5 3" xfId="17673" xr:uid="{00000000-0005-0000-0000-0000E3440000}"/>
    <cellStyle name="Normal 2 2 2 3 14 5 4" xfId="17674" xr:uid="{00000000-0005-0000-0000-0000E4440000}"/>
    <cellStyle name="Normal 2 2 2 3 14 5 5" xfId="17675" xr:uid="{00000000-0005-0000-0000-0000E5440000}"/>
    <cellStyle name="Normal 2 2 2 3 14 5 6" xfId="17676" xr:uid="{00000000-0005-0000-0000-0000E6440000}"/>
    <cellStyle name="Normal 2 2 2 3 14 5 7" xfId="17677" xr:uid="{00000000-0005-0000-0000-0000E7440000}"/>
    <cellStyle name="Normal 2 2 2 3 14 5 8" xfId="17678" xr:uid="{00000000-0005-0000-0000-0000E8440000}"/>
    <cellStyle name="Normal 2 2 2 3 14 5 9" xfId="17679" xr:uid="{00000000-0005-0000-0000-0000E9440000}"/>
    <cellStyle name="Normal 2 2 2 3 14 6" xfId="17680" xr:uid="{00000000-0005-0000-0000-0000EA440000}"/>
    <cellStyle name="Normal 2 2 2 3 14 7" xfId="17681" xr:uid="{00000000-0005-0000-0000-0000EB440000}"/>
    <cellStyle name="Normal 2 2 2 3 14 8" xfId="17682" xr:uid="{00000000-0005-0000-0000-0000EC440000}"/>
    <cellStyle name="Normal 2 2 2 3 14 9" xfId="17683" xr:uid="{00000000-0005-0000-0000-0000ED440000}"/>
    <cellStyle name="Normal 2 2 2 3 15" xfId="17684" xr:uid="{00000000-0005-0000-0000-0000EE440000}"/>
    <cellStyle name="Normal 2 2 2 3 15 10" xfId="17685" xr:uid="{00000000-0005-0000-0000-0000EF440000}"/>
    <cellStyle name="Normal 2 2 2 3 15 11" xfId="17686" xr:uid="{00000000-0005-0000-0000-0000F0440000}"/>
    <cellStyle name="Normal 2 2 2 3 15 12" xfId="17687" xr:uid="{00000000-0005-0000-0000-0000F1440000}"/>
    <cellStyle name="Normal 2 2 2 3 15 13" xfId="17688" xr:uid="{00000000-0005-0000-0000-0000F2440000}"/>
    <cellStyle name="Normal 2 2 2 3 15 14" xfId="17689" xr:uid="{00000000-0005-0000-0000-0000F3440000}"/>
    <cellStyle name="Normal 2 2 2 3 15 2" xfId="17690" xr:uid="{00000000-0005-0000-0000-0000F4440000}"/>
    <cellStyle name="Normal 2 2 2 3 15 2 10" xfId="17691" xr:uid="{00000000-0005-0000-0000-0000F5440000}"/>
    <cellStyle name="Normal 2 2 2 3 15 2 2" xfId="17692" xr:uid="{00000000-0005-0000-0000-0000F6440000}"/>
    <cellStyle name="Normal 2 2 2 3 15 2 3" xfId="17693" xr:uid="{00000000-0005-0000-0000-0000F7440000}"/>
    <cellStyle name="Normal 2 2 2 3 15 2 4" xfId="17694" xr:uid="{00000000-0005-0000-0000-0000F8440000}"/>
    <cellStyle name="Normal 2 2 2 3 15 2 5" xfId="17695" xr:uid="{00000000-0005-0000-0000-0000F9440000}"/>
    <cellStyle name="Normal 2 2 2 3 15 2 6" xfId="17696" xr:uid="{00000000-0005-0000-0000-0000FA440000}"/>
    <cellStyle name="Normal 2 2 2 3 15 2 7" xfId="17697" xr:uid="{00000000-0005-0000-0000-0000FB440000}"/>
    <cellStyle name="Normal 2 2 2 3 15 2 8" xfId="17698" xr:uid="{00000000-0005-0000-0000-0000FC440000}"/>
    <cellStyle name="Normal 2 2 2 3 15 2 9" xfId="17699" xr:uid="{00000000-0005-0000-0000-0000FD440000}"/>
    <cellStyle name="Normal 2 2 2 3 15 3" xfId="17700" xr:uid="{00000000-0005-0000-0000-0000FE440000}"/>
    <cellStyle name="Normal 2 2 2 3 15 3 10" xfId="17701" xr:uid="{00000000-0005-0000-0000-0000FF440000}"/>
    <cellStyle name="Normal 2 2 2 3 15 3 2" xfId="17702" xr:uid="{00000000-0005-0000-0000-000000450000}"/>
    <cellStyle name="Normal 2 2 2 3 15 3 3" xfId="17703" xr:uid="{00000000-0005-0000-0000-000001450000}"/>
    <cellStyle name="Normal 2 2 2 3 15 3 4" xfId="17704" xr:uid="{00000000-0005-0000-0000-000002450000}"/>
    <cellStyle name="Normal 2 2 2 3 15 3 5" xfId="17705" xr:uid="{00000000-0005-0000-0000-000003450000}"/>
    <cellStyle name="Normal 2 2 2 3 15 3 6" xfId="17706" xr:uid="{00000000-0005-0000-0000-000004450000}"/>
    <cellStyle name="Normal 2 2 2 3 15 3 7" xfId="17707" xr:uid="{00000000-0005-0000-0000-000005450000}"/>
    <cellStyle name="Normal 2 2 2 3 15 3 8" xfId="17708" xr:uid="{00000000-0005-0000-0000-000006450000}"/>
    <cellStyle name="Normal 2 2 2 3 15 3 9" xfId="17709" xr:uid="{00000000-0005-0000-0000-000007450000}"/>
    <cellStyle name="Normal 2 2 2 3 15 4" xfId="17710" xr:uid="{00000000-0005-0000-0000-000008450000}"/>
    <cellStyle name="Normal 2 2 2 3 15 4 10" xfId="17711" xr:uid="{00000000-0005-0000-0000-000009450000}"/>
    <cellStyle name="Normal 2 2 2 3 15 4 2" xfId="17712" xr:uid="{00000000-0005-0000-0000-00000A450000}"/>
    <cellStyle name="Normal 2 2 2 3 15 4 3" xfId="17713" xr:uid="{00000000-0005-0000-0000-00000B450000}"/>
    <cellStyle name="Normal 2 2 2 3 15 4 4" xfId="17714" xr:uid="{00000000-0005-0000-0000-00000C450000}"/>
    <cellStyle name="Normal 2 2 2 3 15 4 5" xfId="17715" xr:uid="{00000000-0005-0000-0000-00000D450000}"/>
    <cellStyle name="Normal 2 2 2 3 15 4 6" xfId="17716" xr:uid="{00000000-0005-0000-0000-00000E450000}"/>
    <cellStyle name="Normal 2 2 2 3 15 4 7" xfId="17717" xr:uid="{00000000-0005-0000-0000-00000F450000}"/>
    <cellStyle name="Normal 2 2 2 3 15 4 8" xfId="17718" xr:uid="{00000000-0005-0000-0000-000010450000}"/>
    <cellStyle name="Normal 2 2 2 3 15 4 9" xfId="17719" xr:uid="{00000000-0005-0000-0000-000011450000}"/>
    <cellStyle name="Normal 2 2 2 3 15 5" xfId="17720" xr:uid="{00000000-0005-0000-0000-000012450000}"/>
    <cellStyle name="Normal 2 2 2 3 15 5 10" xfId="17721" xr:uid="{00000000-0005-0000-0000-000013450000}"/>
    <cellStyle name="Normal 2 2 2 3 15 5 2" xfId="17722" xr:uid="{00000000-0005-0000-0000-000014450000}"/>
    <cellStyle name="Normal 2 2 2 3 15 5 3" xfId="17723" xr:uid="{00000000-0005-0000-0000-000015450000}"/>
    <cellStyle name="Normal 2 2 2 3 15 5 4" xfId="17724" xr:uid="{00000000-0005-0000-0000-000016450000}"/>
    <cellStyle name="Normal 2 2 2 3 15 5 5" xfId="17725" xr:uid="{00000000-0005-0000-0000-000017450000}"/>
    <cellStyle name="Normal 2 2 2 3 15 5 6" xfId="17726" xr:uid="{00000000-0005-0000-0000-000018450000}"/>
    <cellStyle name="Normal 2 2 2 3 15 5 7" xfId="17727" xr:uid="{00000000-0005-0000-0000-000019450000}"/>
    <cellStyle name="Normal 2 2 2 3 15 5 8" xfId="17728" xr:uid="{00000000-0005-0000-0000-00001A450000}"/>
    <cellStyle name="Normal 2 2 2 3 15 5 9" xfId="17729" xr:uid="{00000000-0005-0000-0000-00001B450000}"/>
    <cellStyle name="Normal 2 2 2 3 15 6" xfId="17730" xr:uid="{00000000-0005-0000-0000-00001C450000}"/>
    <cellStyle name="Normal 2 2 2 3 15 7" xfId="17731" xr:uid="{00000000-0005-0000-0000-00001D450000}"/>
    <cellStyle name="Normal 2 2 2 3 15 8" xfId="17732" xr:uid="{00000000-0005-0000-0000-00001E450000}"/>
    <cellStyle name="Normal 2 2 2 3 15 9" xfId="17733" xr:uid="{00000000-0005-0000-0000-00001F450000}"/>
    <cellStyle name="Normal 2 2 2 3 16" xfId="17734" xr:uid="{00000000-0005-0000-0000-000020450000}"/>
    <cellStyle name="Normal 2 2 2 3 16 10" xfId="17735" xr:uid="{00000000-0005-0000-0000-000021450000}"/>
    <cellStyle name="Normal 2 2 2 3 16 11" xfId="17736" xr:uid="{00000000-0005-0000-0000-000022450000}"/>
    <cellStyle name="Normal 2 2 2 3 16 12" xfId="17737" xr:uid="{00000000-0005-0000-0000-000023450000}"/>
    <cellStyle name="Normal 2 2 2 3 16 13" xfId="17738" xr:uid="{00000000-0005-0000-0000-000024450000}"/>
    <cellStyle name="Normal 2 2 2 3 16 14" xfId="17739" xr:uid="{00000000-0005-0000-0000-000025450000}"/>
    <cellStyle name="Normal 2 2 2 3 16 2" xfId="17740" xr:uid="{00000000-0005-0000-0000-000026450000}"/>
    <cellStyle name="Normal 2 2 2 3 16 2 10" xfId="17741" xr:uid="{00000000-0005-0000-0000-000027450000}"/>
    <cellStyle name="Normal 2 2 2 3 16 2 2" xfId="17742" xr:uid="{00000000-0005-0000-0000-000028450000}"/>
    <cellStyle name="Normal 2 2 2 3 16 2 3" xfId="17743" xr:uid="{00000000-0005-0000-0000-000029450000}"/>
    <cellStyle name="Normal 2 2 2 3 16 2 4" xfId="17744" xr:uid="{00000000-0005-0000-0000-00002A450000}"/>
    <cellStyle name="Normal 2 2 2 3 16 2 5" xfId="17745" xr:uid="{00000000-0005-0000-0000-00002B450000}"/>
    <cellStyle name="Normal 2 2 2 3 16 2 6" xfId="17746" xr:uid="{00000000-0005-0000-0000-00002C450000}"/>
    <cellStyle name="Normal 2 2 2 3 16 2 7" xfId="17747" xr:uid="{00000000-0005-0000-0000-00002D450000}"/>
    <cellStyle name="Normal 2 2 2 3 16 2 8" xfId="17748" xr:uid="{00000000-0005-0000-0000-00002E450000}"/>
    <cellStyle name="Normal 2 2 2 3 16 2 9" xfId="17749" xr:uid="{00000000-0005-0000-0000-00002F450000}"/>
    <cellStyle name="Normal 2 2 2 3 16 3" xfId="17750" xr:uid="{00000000-0005-0000-0000-000030450000}"/>
    <cellStyle name="Normal 2 2 2 3 16 3 10" xfId="17751" xr:uid="{00000000-0005-0000-0000-000031450000}"/>
    <cellStyle name="Normal 2 2 2 3 16 3 2" xfId="17752" xr:uid="{00000000-0005-0000-0000-000032450000}"/>
    <cellStyle name="Normal 2 2 2 3 16 3 3" xfId="17753" xr:uid="{00000000-0005-0000-0000-000033450000}"/>
    <cellStyle name="Normal 2 2 2 3 16 3 4" xfId="17754" xr:uid="{00000000-0005-0000-0000-000034450000}"/>
    <cellStyle name="Normal 2 2 2 3 16 3 5" xfId="17755" xr:uid="{00000000-0005-0000-0000-000035450000}"/>
    <cellStyle name="Normal 2 2 2 3 16 3 6" xfId="17756" xr:uid="{00000000-0005-0000-0000-000036450000}"/>
    <cellStyle name="Normal 2 2 2 3 16 3 7" xfId="17757" xr:uid="{00000000-0005-0000-0000-000037450000}"/>
    <cellStyle name="Normal 2 2 2 3 16 3 8" xfId="17758" xr:uid="{00000000-0005-0000-0000-000038450000}"/>
    <cellStyle name="Normal 2 2 2 3 16 3 9" xfId="17759" xr:uid="{00000000-0005-0000-0000-000039450000}"/>
    <cellStyle name="Normal 2 2 2 3 16 4" xfId="17760" xr:uid="{00000000-0005-0000-0000-00003A450000}"/>
    <cellStyle name="Normal 2 2 2 3 16 4 10" xfId="17761" xr:uid="{00000000-0005-0000-0000-00003B450000}"/>
    <cellStyle name="Normal 2 2 2 3 16 4 2" xfId="17762" xr:uid="{00000000-0005-0000-0000-00003C450000}"/>
    <cellStyle name="Normal 2 2 2 3 16 4 3" xfId="17763" xr:uid="{00000000-0005-0000-0000-00003D450000}"/>
    <cellStyle name="Normal 2 2 2 3 16 4 4" xfId="17764" xr:uid="{00000000-0005-0000-0000-00003E450000}"/>
    <cellStyle name="Normal 2 2 2 3 16 4 5" xfId="17765" xr:uid="{00000000-0005-0000-0000-00003F450000}"/>
    <cellStyle name="Normal 2 2 2 3 16 4 6" xfId="17766" xr:uid="{00000000-0005-0000-0000-000040450000}"/>
    <cellStyle name="Normal 2 2 2 3 16 4 7" xfId="17767" xr:uid="{00000000-0005-0000-0000-000041450000}"/>
    <cellStyle name="Normal 2 2 2 3 16 4 8" xfId="17768" xr:uid="{00000000-0005-0000-0000-000042450000}"/>
    <cellStyle name="Normal 2 2 2 3 16 4 9" xfId="17769" xr:uid="{00000000-0005-0000-0000-000043450000}"/>
    <cellStyle name="Normal 2 2 2 3 16 5" xfId="17770" xr:uid="{00000000-0005-0000-0000-000044450000}"/>
    <cellStyle name="Normal 2 2 2 3 16 5 10" xfId="17771" xr:uid="{00000000-0005-0000-0000-000045450000}"/>
    <cellStyle name="Normal 2 2 2 3 16 5 2" xfId="17772" xr:uid="{00000000-0005-0000-0000-000046450000}"/>
    <cellStyle name="Normal 2 2 2 3 16 5 3" xfId="17773" xr:uid="{00000000-0005-0000-0000-000047450000}"/>
    <cellStyle name="Normal 2 2 2 3 16 5 4" xfId="17774" xr:uid="{00000000-0005-0000-0000-000048450000}"/>
    <cellStyle name="Normal 2 2 2 3 16 5 5" xfId="17775" xr:uid="{00000000-0005-0000-0000-000049450000}"/>
    <cellStyle name="Normal 2 2 2 3 16 5 6" xfId="17776" xr:uid="{00000000-0005-0000-0000-00004A450000}"/>
    <cellStyle name="Normal 2 2 2 3 16 5 7" xfId="17777" xr:uid="{00000000-0005-0000-0000-00004B450000}"/>
    <cellStyle name="Normal 2 2 2 3 16 5 8" xfId="17778" xr:uid="{00000000-0005-0000-0000-00004C450000}"/>
    <cellStyle name="Normal 2 2 2 3 16 5 9" xfId="17779" xr:uid="{00000000-0005-0000-0000-00004D450000}"/>
    <cellStyle name="Normal 2 2 2 3 16 6" xfId="17780" xr:uid="{00000000-0005-0000-0000-00004E450000}"/>
    <cellStyle name="Normal 2 2 2 3 16 7" xfId="17781" xr:uid="{00000000-0005-0000-0000-00004F450000}"/>
    <cellStyle name="Normal 2 2 2 3 16 8" xfId="17782" xr:uid="{00000000-0005-0000-0000-000050450000}"/>
    <cellStyle name="Normal 2 2 2 3 16 9" xfId="17783" xr:uid="{00000000-0005-0000-0000-000051450000}"/>
    <cellStyle name="Normal 2 2 2 3 17" xfId="17784" xr:uid="{00000000-0005-0000-0000-000052450000}"/>
    <cellStyle name="Normal 2 2 2 3 17 10" xfId="17785" xr:uid="{00000000-0005-0000-0000-000053450000}"/>
    <cellStyle name="Normal 2 2 2 3 17 11" xfId="17786" xr:uid="{00000000-0005-0000-0000-000054450000}"/>
    <cellStyle name="Normal 2 2 2 3 17 12" xfId="17787" xr:uid="{00000000-0005-0000-0000-000055450000}"/>
    <cellStyle name="Normal 2 2 2 3 17 13" xfId="17788" xr:uid="{00000000-0005-0000-0000-000056450000}"/>
    <cellStyle name="Normal 2 2 2 3 17 14" xfId="17789" xr:uid="{00000000-0005-0000-0000-000057450000}"/>
    <cellStyle name="Normal 2 2 2 3 17 2" xfId="17790" xr:uid="{00000000-0005-0000-0000-000058450000}"/>
    <cellStyle name="Normal 2 2 2 3 17 2 10" xfId="17791" xr:uid="{00000000-0005-0000-0000-000059450000}"/>
    <cellStyle name="Normal 2 2 2 3 17 2 2" xfId="17792" xr:uid="{00000000-0005-0000-0000-00005A450000}"/>
    <cellStyle name="Normal 2 2 2 3 17 2 3" xfId="17793" xr:uid="{00000000-0005-0000-0000-00005B450000}"/>
    <cellStyle name="Normal 2 2 2 3 17 2 4" xfId="17794" xr:uid="{00000000-0005-0000-0000-00005C450000}"/>
    <cellStyle name="Normal 2 2 2 3 17 2 5" xfId="17795" xr:uid="{00000000-0005-0000-0000-00005D450000}"/>
    <cellStyle name="Normal 2 2 2 3 17 2 6" xfId="17796" xr:uid="{00000000-0005-0000-0000-00005E450000}"/>
    <cellStyle name="Normal 2 2 2 3 17 2 7" xfId="17797" xr:uid="{00000000-0005-0000-0000-00005F450000}"/>
    <cellStyle name="Normal 2 2 2 3 17 2 8" xfId="17798" xr:uid="{00000000-0005-0000-0000-000060450000}"/>
    <cellStyle name="Normal 2 2 2 3 17 2 9" xfId="17799" xr:uid="{00000000-0005-0000-0000-000061450000}"/>
    <cellStyle name="Normal 2 2 2 3 17 3" xfId="17800" xr:uid="{00000000-0005-0000-0000-000062450000}"/>
    <cellStyle name="Normal 2 2 2 3 17 3 10" xfId="17801" xr:uid="{00000000-0005-0000-0000-000063450000}"/>
    <cellStyle name="Normal 2 2 2 3 17 3 2" xfId="17802" xr:uid="{00000000-0005-0000-0000-000064450000}"/>
    <cellStyle name="Normal 2 2 2 3 17 3 3" xfId="17803" xr:uid="{00000000-0005-0000-0000-000065450000}"/>
    <cellStyle name="Normal 2 2 2 3 17 3 4" xfId="17804" xr:uid="{00000000-0005-0000-0000-000066450000}"/>
    <cellStyle name="Normal 2 2 2 3 17 3 5" xfId="17805" xr:uid="{00000000-0005-0000-0000-000067450000}"/>
    <cellStyle name="Normal 2 2 2 3 17 3 6" xfId="17806" xr:uid="{00000000-0005-0000-0000-000068450000}"/>
    <cellStyle name="Normal 2 2 2 3 17 3 7" xfId="17807" xr:uid="{00000000-0005-0000-0000-000069450000}"/>
    <cellStyle name="Normal 2 2 2 3 17 3 8" xfId="17808" xr:uid="{00000000-0005-0000-0000-00006A450000}"/>
    <cellStyle name="Normal 2 2 2 3 17 3 9" xfId="17809" xr:uid="{00000000-0005-0000-0000-00006B450000}"/>
    <cellStyle name="Normal 2 2 2 3 17 4" xfId="17810" xr:uid="{00000000-0005-0000-0000-00006C450000}"/>
    <cellStyle name="Normal 2 2 2 3 17 4 10" xfId="17811" xr:uid="{00000000-0005-0000-0000-00006D450000}"/>
    <cellStyle name="Normal 2 2 2 3 17 4 2" xfId="17812" xr:uid="{00000000-0005-0000-0000-00006E450000}"/>
    <cellStyle name="Normal 2 2 2 3 17 4 3" xfId="17813" xr:uid="{00000000-0005-0000-0000-00006F450000}"/>
    <cellStyle name="Normal 2 2 2 3 17 4 4" xfId="17814" xr:uid="{00000000-0005-0000-0000-000070450000}"/>
    <cellStyle name="Normal 2 2 2 3 17 4 5" xfId="17815" xr:uid="{00000000-0005-0000-0000-000071450000}"/>
    <cellStyle name="Normal 2 2 2 3 17 4 6" xfId="17816" xr:uid="{00000000-0005-0000-0000-000072450000}"/>
    <cellStyle name="Normal 2 2 2 3 17 4 7" xfId="17817" xr:uid="{00000000-0005-0000-0000-000073450000}"/>
    <cellStyle name="Normal 2 2 2 3 17 4 8" xfId="17818" xr:uid="{00000000-0005-0000-0000-000074450000}"/>
    <cellStyle name="Normal 2 2 2 3 17 4 9" xfId="17819" xr:uid="{00000000-0005-0000-0000-000075450000}"/>
    <cellStyle name="Normal 2 2 2 3 17 5" xfId="17820" xr:uid="{00000000-0005-0000-0000-000076450000}"/>
    <cellStyle name="Normal 2 2 2 3 17 5 10" xfId="17821" xr:uid="{00000000-0005-0000-0000-000077450000}"/>
    <cellStyle name="Normal 2 2 2 3 17 5 2" xfId="17822" xr:uid="{00000000-0005-0000-0000-000078450000}"/>
    <cellStyle name="Normal 2 2 2 3 17 5 3" xfId="17823" xr:uid="{00000000-0005-0000-0000-000079450000}"/>
    <cellStyle name="Normal 2 2 2 3 17 5 4" xfId="17824" xr:uid="{00000000-0005-0000-0000-00007A450000}"/>
    <cellStyle name="Normal 2 2 2 3 17 5 5" xfId="17825" xr:uid="{00000000-0005-0000-0000-00007B450000}"/>
    <cellStyle name="Normal 2 2 2 3 17 5 6" xfId="17826" xr:uid="{00000000-0005-0000-0000-00007C450000}"/>
    <cellStyle name="Normal 2 2 2 3 17 5 7" xfId="17827" xr:uid="{00000000-0005-0000-0000-00007D450000}"/>
    <cellStyle name="Normal 2 2 2 3 17 5 8" xfId="17828" xr:uid="{00000000-0005-0000-0000-00007E450000}"/>
    <cellStyle name="Normal 2 2 2 3 17 5 9" xfId="17829" xr:uid="{00000000-0005-0000-0000-00007F450000}"/>
    <cellStyle name="Normal 2 2 2 3 17 6" xfId="17830" xr:uid="{00000000-0005-0000-0000-000080450000}"/>
    <cellStyle name="Normal 2 2 2 3 17 7" xfId="17831" xr:uid="{00000000-0005-0000-0000-000081450000}"/>
    <cellStyle name="Normal 2 2 2 3 17 8" xfId="17832" xr:uid="{00000000-0005-0000-0000-000082450000}"/>
    <cellStyle name="Normal 2 2 2 3 17 9" xfId="17833" xr:uid="{00000000-0005-0000-0000-000083450000}"/>
    <cellStyle name="Normal 2 2 2 3 18" xfId="17834" xr:uid="{00000000-0005-0000-0000-000084450000}"/>
    <cellStyle name="Normal 2 2 2 3 18 10" xfId="17835" xr:uid="{00000000-0005-0000-0000-000085450000}"/>
    <cellStyle name="Normal 2 2 2 3 18 11" xfId="17836" xr:uid="{00000000-0005-0000-0000-000086450000}"/>
    <cellStyle name="Normal 2 2 2 3 18 12" xfId="17837" xr:uid="{00000000-0005-0000-0000-000087450000}"/>
    <cellStyle name="Normal 2 2 2 3 18 13" xfId="17838" xr:uid="{00000000-0005-0000-0000-000088450000}"/>
    <cellStyle name="Normal 2 2 2 3 18 14" xfId="17839" xr:uid="{00000000-0005-0000-0000-000089450000}"/>
    <cellStyle name="Normal 2 2 2 3 18 2" xfId="17840" xr:uid="{00000000-0005-0000-0000-00008A450000}"/>
    <cellStyle name="Normal 2 2 2 3 18 2 10" xfId="17841" xr:uid="{00000000-0005-0000-0000-00008B450000}"/>
    <cellStyle name="Normal 2 2 2 3 18 2 2" xfId="17842" xr:uid="{00000000-0005-0000-0000-00008C450000}"/>
    <cellStyle name="Normal 2 2 2 3 18 2 3" xfId="17843" xr:uid="{00000000-0005-0000-0000-00008D450000}"/>
    <cellStyle name="Normal 2 2 2 3 18 2 4" xfId="17844" xr:uid="{00000000-0005-0000-0000-00008E450000}"/>
    <cellStyle name="Normal 2 2 2 3 18 2 5" xfId="17845" xr:uid="{00000000-0005-0000-0000-00008F450000}"/>
    <cellStyle name="Normal 2 2 2 3 18 2 6" xfId="17846" xr:uid="{00000000-0005-0000-0000-000090450000}"/>
    <cellStyle name="Normal 2 2 2 3 18 2 7" xfId="17847" xr:uid="{00000000-0005-0000-0000-000091450000}"/>
    <cellStyle name="Normal 2 2 2 3 18 2 8" xfId="17848" xr:uid="{00000000-0005-0000-0000-000092450000}"/>
    <cellStyle name="Normal 2 2 2 3 18 2 9" xfId="17849" xr:uid="{00000000-0005-0000-0000-000093450000}"/>
    <cellStyle name="Normal 2 2 2 3 18 3" xfId="17850" xr:uid="{00000000-0005-0000-0000-000094450000}"/>
    <cellStyle name="Normal 2 2 2 3 18 3 10" xfId="17851" xr:uid="{00000000-0005-0000-0000-000095450000}"/>
    <cellStyle name="Normal 2 2 2 3 18 3 2" xfId="17852" xr:uid="{00000000-0005-0000-0000-000096450000}"/>
    <cellStyle name="Normal 2 2 2 3 18 3 3" xfId="17853" xr:uid="{00000000-0005-0000-0000-000097450000}"/>
    <cellStyle name="Normal 2 2 2 3 18 3 4" xfId="17854" xr:uid="{00000000-0005-0000-0000-000098450000}"/>
    <cellStyle name="Normal 2 2 2 3 18 3 5" xfId="17855" xr:uid="{00000000-0005-0000-0000-000099450000}"/>
    <cellStyle name="Normal 2 2 2 3 18 3 6" xfId="17856" xr:uid="{00000000-0005-0000-0000-00009A450000}"/>
    <cellStyle name="Normal 2 2 2 3 18 3 7" xfId="17857" xr:uid="{00000000-0005-0000-0000-00009B450000}"/>
    <cellStyle name="Normal 2 2 2 3 18 3 8" xfId="17858" xr:uid="{00000000-0005-0000-0000-00009C450000}"/>
    <cellStyle name="Normal 2 2 2 3 18 3 9" xfId="17859" xr:uid="{00000000-0005-0000-0000-00009D450000}"/>
    <cellStyle name="Normal 2 2 2 3 18 4" xfId="17860" xr:uid="{00000000-0005-0000-0000-00009E450000}"/>
    <cellStyle name="Normal 2 2 2 3 18 4 10" xfId="17861" xr:uid="{00000000-0005-0000-0000-00009F450000}"/>
    <cellStyle name="Normal 2 2 2 3 18 4 2" xfId="17862" xr:uid="{00000000-0005-0000-0000-0000A0450000}"/>
    <cellStyle name="Normal 2 2 2 3 18 4 3" xfId="17863" xr:uid="{00000000-0005-0000-0000-0000A1450000}"/>
    <cellStyle name="Normal 2 2 2 3 18 4 4" xfId="17864" xr:uid="{00000000-0005-0000-0000-0000A2450000}"/>
    <cellStyle name="Normal 2 2 2 3 18 4 5" xfId="17865" xr:uid="{00000000-0005-0000-0000-0000A3450000}"/>
    <cellStyle name="Normal 2 2 2 3 18 4 6" xfId="17866" xr:uid="{00000000-0005-0000-0000-0000A4450000}"/>
    <cellStyle name="Normal 2 2 2 3 18 4 7" xfId="17867" xr:uid="{00000000-0005-0000-0000-0000A5450000}"/>
    <cellStyle name="Normal 2 2 2 3 18 4 8" xfId="17868" xr:uid="{00000000-0005-0000-0000-0000A6450000}"/>
    <cellStyle name="Normal 2 2 2 3 18 4 9" xfId="17869" xr:uid="{00000000-0005-0000-0000-0000A7450000}"/>
    <cellStyle name="Normal 2 2 2 3 18 5" xfId="17870" xr:uid="{00000000-0005-0000-0000-0000A8450000}"/>
    <cellStyle name="Normal 2 2 2 3 18 5 10" xfId="17871" xr:uid="{00000000-0005-0000-0000-0000A9450000}"/>
    <cellStyle name="Normal 2 2 2 3 18 5 2" xfId="17872" xr:uid="{00000000-0005-0000-0000-0000AA450000}"/>
    <cellStyle name="Normal 2 2 2 3 18 5 3" xfId="17873" xr:uid="{00000000-0005-0000-0000-0000AB450000}"/>
    <cellStyle name="Normal 2 2 2 3 18 5 4" xfId="17874" xr:uid="{00000000-0005-0000-0000-0000AC450000}"/>
    <cellStyle name="Normal 2 2 2 3 18 5 5" xfId="17875" xr:uid="{00000000-0005-0000-0000-0000AD450000}"/>
    <cellStyle name="Normal 2 2 2 3 18 5 6" xfId="17876" xr:uid="{00000000-0005-0000-0000-0000AE450000}"/>
    <cellStyle name="Normal 2 2 2 3 18 5 7" xfId="17877" xr:uid="{00000000-0005-0000-0000-0000AF450000}"/>
    <cellStyle name="Normal 2 2 2 3 18 5 8" xfId="17878" xr:uid="{00000000-0005-0000-0000-0000B0450000}"/>
    <cellStyle name="Normal 2 2 2 3 18 5 9" xfId="17879" xr:uid="{00000000-0005-0000-0000-0000B1450000}"/>
    <cellStyle name="Normal 2 2 2 3 18 6" xfId="17880" xr:uid="{00000000-0005-0000-0000-0000B2450000}"/>
    <cellStyle name="Normal 2 2 2 3 18 7" xfId="17881" xr:uid="{00000000-0005-0000-0000-0000B3450000}"/>
    <cellStyle name="Normal 2 2 2 3 18 8" xfId="17882" xr:uid="{00000000-0005-0000-0000-0000B4450000}"/>
    <cellStyle name="Normal 2 2 2 3 18 9" xfId="17883" xr:uid="{00000000-0005-0000-0000-0000B5450000}"/>
    <cellStyle name="Normal 2 2 2 3 19" xfId="17884" xr:uid="{00000000-0005-0000-0000-0000B6450000}"/>
    <cellStyle name="Normal 2 2 2 3 19 10" xfId="17885" xr:uid="{00000000-0005-0000-0000-0000B7450000}"/>
    <cellStyle name="Normal 2 2 2 3 19 11" xfId="17886" xr:uid="{00000000-0005-0000-0000-0000B8450000}"/>
    <cellStyle name="Normal 2 2 2 3 19 12" xfId="17887" xr:uid="{00000000-0005-0000-0000-0000B9450000}"/>
    <cellStyle name="Normal 2 2 2 3 19 13" xfId="17888" xr:uid="{00000000-0005-0000-0000-0000BA450000}"/>
    <cellStyle name="Normal 2 2 2 3 19 14" xfId="17889" xr:uid="{00000000-0005-0000-0000-0000BB450000}"/>
    <cellStyle name="Normal 2 2 2 3 19 2" xfId="17890" xr:uid="{00000000-0005-0000-0000-0000BC450000}"/>
    <cellStyle name="Normal 2 2 2 3 19 2 10" xfId="17891" xr:uid="{00000000-0005-0000-0000-0000BD450000}"/>
    <cellStyle name="Normal 2 2 2 3 19 2 2" xfId="17892" xr:uid="{00000000-0005-0000-0000-0000BE450000}"/>
    <cellStyle name="Normal 2 2 2 3 19 2 3" xfId="17893" xr:uid="{00000000-0005-0000-0000-0000BF450000}"/>
    <cellStyle name="Normal 2 2 2 3 19 2 4" xfId="17894" xr:uid="{00000000-0005-0000-0000-0000C0450000}"/>
    <cellStyle name="Normal 2 2 2 3 19 2 5" xfId="17895" xr:uid="{00000000-0005-0000-0000-0000C1450000}"/>
    <cellStyle name="Normal 2 2 2 3 19 2 6" xfId="17896" xr:uid="{00000000-0005-0000-0000-0000C2450000}"/>
    <cellStyle name="Normal 2 2 2 3 19 2 7" xfId="17897" xr:uid="{00000000-0005-0000-0000-0000C3450000}"/>
    <cellStyle name="Normal 2 2 2 3 19 2 8" xfId="17898" xr:uid="{00000000-0005-0000-0000-0000C4450000}"/>
    <cellStyle name="Normal 2 2 2 3 19 2 9" xfId="17899" xr:uid="{00000000-0005-0000-0000-0000C5450000}"/>
    <cellStyle name="Normal 2 2 2 3 19 3" xfId="17900" xr:uid="{00000000-0005-0000-0000-0000C6450000}"/>
    <cellStyle name="Normal 2 2 2 3 19 3 10" xfId="17901" xr:uid="{00000000-0005-0000-0000-0000C7450000}"/>
    <cellStyle name="Normal 2 2 2 3 19 3 2" xfId="17902" xr:uid="{00000000-0005-0000-0000-0000C8450000}"/>
    <cellStyle name="Normal 2 2 2 3 19 3 3" xfId="17903" xr:uid="{00000000-0005-0000-0000-0000C9450000}"/>
    <cellStyle name="Normal 2 2 2 3 19 3 4" xfId="17904" xr:uid="{00000000-0005-0000-0000-0000CA450000}"/>
    <cellStyle name="Normal 2 2 2 3 19 3 5" xfId="17905" xr:uid="{00000000-0005-0000-0000-0000CB450000}"/>
    <cellStyle name="Normal 2 2 2 3 19 3 6" xfId="17906" xr:uid="{00000000-0005-0000-0000-0000CC450000}"/>
    <cellStyle name="Normal 2 2 2 3 19 3 7" xfId="17907" xr:uid="{00000000-0005-0000-0000-0000CD450000}"/>
    <cellStyle name="Normal 2 2 2 3 19 3 8" xfId="17908" xr:uid="{00000000-0005-0000-0000-0000CE450000}"/>
    <cellStyle name="Normal 2 2 2 3 19 3 9" xfId="17909" xr:uid="{00000000-0005-0000-0000-0000CF450000}"/>
    <cellStyle name="Normal 2 2 2 3 19 4" xfId="17910" xr:uid="{00000000-0005-0000-0000-0000D0450000}"/>
    <cellStyle name="Normal 2 2 2 3 19 4 10" xfId="17911" xr:uid="{00000000-0005-0000-0000-0000D1450000}"/>
    <cellStyle name="Normal 2 2 2 3 19 4 2" xfId="17912" xr:uid="{00000000-0005-0000-0000-0000D2450000}"/>
    <cellStyle name="Normal 2 2 2 3 19 4 3" xfId="17913" xr:uid="{00000000-0005-0000-0000-0000D3450000}"/>
    <cellStyle name="Normal 2 2 2 3 19 4 4" xfId="17914" xr:uid="{00000000-0005-0000-0000-0000D4450000}"/>
    <cellStyle name="Normal 2 2 2 3 19 4 5" xfId="17915" xr:uid="{00000000-0005-0000-0000-0000D5450000}"/>
    <cellStyle name="Normal 2 2 2 3 19 4 6" xfId="17916" xr:uid="{00000000-0005-0000-0000-0000D6450000}"/>
    <cellStyle name="Normal 2 2 2 3 19 4 7" xfId="17917" xr:uid="{00000000-0005-0000-0000-0000D7450000}"/>
    <cellStyle name="Normal 2 2 2 3 19 4 8" xfId="17918" xr:uid="{00000000-0005-0000-0000-0000D8450000}"/>
    <cellStyle name="Normal 2 2 2 3 19 4 9" xfId="17919" xr:uid="{00000000-0005-0000-0000-0000D9450000}"/>
    <cellStyle name="Normal 2 2 2 3 19 5" xfId="17920" xr:uid="{00000000-0005-0000-0000-0000DA450000}"/>
    <cellStyle name="Normal 2 2 2 3 19 5 10" xfId="17921" xr:uid="{00000000-0005-0000-0000-0000DB450000}"/>
    <cellStyle name="Normal 2 2 2 3 19 5 2" xfId="17922" xr:uid="{00000000-0005-0000-0000-0000DC450000}"/>
    <cellStyle name="Normal 2 2 2 3 19 5 3" xfId="17923" xr:uid="{00000000-0005-0000-0000-0000DD450000}"/>
    <cellStyle name="Normal 2 2 2 3 19 5 4" xfId="17924" xr:uid="{00000000-0005-0000-0000-0000DE450000}"/>
    <cellStyle name="Normal 2 2 2 3 19 5 5" xfId="17925" xr:uid="{00000000-0005-0000-0000-0000DF450000}"/>
    <cellStyle name="Normal 2 2 2 3 19 5 6" xfId="17926" xr:uid="{00000000-0005-0000-0000-0000E0450000}"/>
    <cellStyle name="Normal 2 2 2 3 19 5 7" xfId="17927" xr:uid="{00000000-0005-0000-0000-0000E1450000}"/>
    <cellStyle name="Normal 2 2 2 3 19 5 8" xfId="17928" xr:uid="{00000000-0005-0000-0000-0000E2450000}"/>
    <cellStyle name="Normal 2 2 2 3 19 5 9" xfId="17929" xr:uid="{00000000-0005-0000-0000-0000E3450000}"/>
    <cellStyle name="Normal 2 2 2 3 19 6" xfId="17930" xr:uid="{00000000-0005-0000-0000-0000E4450000}"/>
    <cellStyle name="Normal 2 2 2 3 19 7" xfId="17931" xr:uid="{00000000-0005-0000-0000-0000E5450000}"/>
    <cellStyle name="Normal 2 2 2 3 19 8" xfId="17932" xr:uid="{00000000-0005-0000-0000-0000E6450000}"/>
    <cellStyle name="Normal 2 2 2 3 19 9" xfId="17933" xr:uid="{00000000-0005-0000-0000-0000E7450000}"/>
    <cellStyle name="Normal 2 2 2 3 2" xfId="17934" xr:uid="{00000000-0005-0000-0000-0000E8450000}"/>
    <cellStyle name="Normal 2 2 2 3 2 10" xfId="17935" xr:uid="{00000000-0005-0000-0000-0000E9450000}"/>
    <cellStyle name="Normal 2 2 2 3 2 11" xfId="17936" xr:uid="{00000000-0005-0000-0000-0000EA450000}"/>
    <cellStyle name="Normal 2 2 2 3 2 12" xfId="17937" xr:uid="{00000000-0005-0000-0000-0000EB450000}"/>
    <cellStyle name="Normal 2 2 2 3 2 13" xfId="17938" xr:uid="{00000000-0005-0000-0000-0000EC450000}"/>
    <cellStyle name="Normal 2 2 2 3 2 14" xfId="17939" xr:uid="{00000000-0005-0000-0000-0000ED450000}"/>
    <cellStyle name="Normal 2 2 2 3 2 15" xfId="17940" xr:uid="{00000000-0005-0000-0000-0000EE450000}"/>
    <cellStyle name="Normal 2 2 2 3 2 16" xfId="17941" xr:uid="{00000000-0005-0000-0000-0000EF450000}"/>
    <cellStyle name="Normal 2 2 2 3 2 17" xfId="17942" xr:uid="{00000000-0005-0000-0000-0000F0450000}"/>
    <cellStyle name="Normal 2 2 2 3 2 2" xfId="17943" xr:uid="{00000000-0005-0000-0000-0000F1450000}"/>
    <cellStyle name="Normal 2 2 2 3 2 2 10" xfId="17944" xr:uid="{00000000-0005-0000-0000-0000F2450000}"/>
    <cellStyle name="Normal 2 2 2 3 2 2 11" xfId="17945" xr:uid="{00000000-0005-0000-0000-0000F3450000}"/>
    <cellStyle name="Normal 2 2 2 3 2 2 12" xfId="17946" xr:uid="{00000000-0005-0000-0000-0000F4450000}"/>
    <cellStyle name="Normal 2 2 2 3 2 2 2" xfId="17947" xr:uid="{00000000-0005-0000-0000-0000F5450000}"/>
    <cellStyle name="Normal 2 2 2 3 2 2 2 2" xfId="17948" xr:uid="{00000000-0005-0000-0000-0000F6450000}"/>
    <cellStyle name="Normal 2 2 2 3 2 2 2 3" xfId="17949" xr:uid="{00000000-0005-0000-0000-0000F7450000}"/>
    <cellStyle name="Normal 2 2 2 3 2 2 3" xfId="17950" xr:uid="{00000000-0005-0000-0000-0000F8450000}"/>
    <cellStyle name="Normal 2 2 2 3 2 2 4" xfId="17951" xr:uid="{00000000-0005-0000-0000-0000F9450000}"/>
    <cellStyle name="Normal 2 2 2 3 2 2 5" xfId="17952" xr:uid="{00000000-0005-0000-0000-0000FA450000}"/>
    <cellStyle name="Normal 2 2 2 3 2 2 6" xfId="17953" xr:uid="{00000000-0005-0000-0000-0000FB450000}"/>
    <cellStyle name="Normal 2 2 2 3 2 2 7" xfId="17954" xr:uid="{00000000-0005-0000-0000-0000FC450000}"/>
    <cellStyle name="Normal 2 2 2 3 2 2 8" xfId="17955" xr:uid="{00000000-0005-0000-0000-0000FD450000}"/>
    <cellStyle name="Normal 2 2 2 3 2 2 9" xfId="17956" xr:uid="{00000000-0005-0000-0000-0000FE450000}"/>
    <cellStyle name="Normal 2 2 2 3 2 3" xfId="17957" xr:uid="{00000000-0005-0000-0000-0000FF450000}"/>
    <cellStyle name="Normal 2 2 2 3 2 3 10" xfId="17958" xr:uid="{00000000-0005-0000-0000-000000460000}"/>
    <cellStyle name="Normal 2 2 2 3 2 3 11" xfId="17959" xr:uid="{00000000-0005-0000-0000-000001460000}"/>
    <cellStyle name="Normal 2 2 2 3 2 3 12" xfId="17960" xr:uid="{00000000-0005-0000-0000-000002460000}"/>
    <cellStyle name="Normal 2 2 2 3 2 3 2" xfId="17961" xr:uid="{00000000-0005-0000-0000-000003460000}"/>
    <cellStyle name="Normal 2 2 2 3 2 3 3" xfId="17962" xr:uid="{00000000-0005-0000-0000-000004460000}"/>
    <cellStyle name="Normal 2 2 2 3 2 3 4" xfId="17963" xr:uid="{00000000-0005-0000-0000-000005460000}"/>
    <cellStyle name="Normal 2 2 2 3 2 3 5" xfId="17964" xr:uid="{00000000-0005-0000-0000-000006460000}"/>
    <cellStyle name="Normal 2 2 2 3 2 3 6" xfId="17965" xr:uid="{00000000-0005-0000-0000-000007460000}"/>
    <cellStyle name="Normal 2 2 2 3 2 3 7" xfId="17966" xr:uid="{00000000-0005-0000-0000-000008460000}"/>
    <cellStyle name="Normal 2 2 2 3 2 3 8" xfId="17967" xr:uid="{00000000-0005-0000-0000-000009460000}"/>
    <cellStyle name="Normal 2 2 2 3 2 3 9" xfId="17968" xr:uid="{00000000-0005-0000-0000-00000A460000}"/>
    <cellStyle name="Normal 2 2 2 3 2 4" xfId="17969" xr:uid="{00000000-0005-0000-0000-00000B460000}"/>
    <cellStyle name="Normal 2 2 2 3 2 4 10" xfId="17970" xr:uid="{00000000-0005-0000-0000-00000C460000}"/>
    <cellStyle name="Normal 2 2 2 3 2 4 2" xfId="17971" xr:uid="{00000000-0005-0000-0000-00000D460000}"/>
    <cellStyle name="Normal 2 2 2 3 2 4 3" xfId="17972" xr:uid="{00000000-0005-0000-0000-00000E460000}"/>
    <cellStyle name="Normal 2 2 2 3 2 4 4" xfId="17973" xr:uid="{00000000-0005-0000-0000-00000F460000}"/>
    <cellStyle name="Normal 2 2 2 3 2 4 5" xfId="17974" xr:uid="{00000000-0005-0000-0000-000010460000}"/>
    <cellStyle name="Normal 2 2 2 3 2 4 6" xfId="17975" xr:uid="{00000000-0005-0000-0000-000011460000}"/>
    <cellStyle name="Normal 2 2 2 3 2 4 7" xfId="17976" xr:uid="{00000000-0005-0000-0000-000012460000}"/>
    <cellStyle name="Normal 2 2 2 3 2 4 8" xfId="17977" xr:uid="{00000000-0005-0000-0000-000013460000}"/>
    <cellStyle name="Normal 2 2 2 3 2 4 9" xfId="17978" xr:uid="{00000000-0005-0000-0000-000014460000}"/>
    <cellStyle name="Normal 2 2 2 3 2 5" xfId="17979" xr:uid="{00000000-0005-0000-0000-000015460000}"/>
    <cellStyle name="Normal 2 2 2 3 2 5 10" xfId="17980" xr:uid="{00000000-0005-0000-0000-000016460000}"/>
    <cellStyle name="Normal 2 2 2 3 2 5 2" xfId="17981" xr:uid="{00000000-0005-0000-0000-000017460000}"/>
    <cellStyle name="Normal 2 2 2 3 2 5 3" xfId="17982" xr:uid="{00000000-0005-0000-0000-000018460000}"/>
    <cellStyle name="Normal 2 2 2 3 2 5 4" xfId="17983" xr:uid="{00000000-0005-0000-0000-000019460000}"/>
    <cellStyle name="Normal 2 2 2 3 2 5 5" xfId="17984" xr:uid="{00000000-0005-0000-0000-00001A460000}"/>
    <cellStyle name="Normal 2 2 2 3 2 5 6" xfId="17985" xr:uid="{00000000-0005-0000-0000-00001B460000}"/>
    <cellStyle name="Normal 2 2 2 3 2 5 7" xfId="17986" xr:uid="{00000000-0005-0000-0000-00001C460000}"/>
    <cellStyle name="Normal 2 2 2 3 2 5 8" xfId="17987" xr:uid="{00000000-0005-0000-0000-00001D460000}"/>
    <cellStyle name="Normal 2 2 2 3 2 5 9" xfId="17988" xr:uid="{00000000-0005-0000-0000-00001E460000}"/>
    <cellStyle name="Normal 2 2 2 3 2 6" xfId="17989" xr:uid="{00000000-0005-0000-0000-00001F460000}"/>
    <cellStyle name="Normal 2 2 2 3 2 7" xfId="17990" xr:uid="{00000000-0005-0000-0000-000020460000}"/>
    <cellStyle name="Normal 2 2 2 3 2 8" xfId="17991" xr:uid="{00000000-0005-0000-0000-000021460000}"/>
    <cellStyle name="Normal 2 2 2 3 2 9" xfId="17992" xr:uid="{00000000-0005-0000-0000-000022460000}"/>
    <cellStyle name="Normal 2 2 2 3 20" xfId="17993" xr:uid="{00000000-0005-0000-0000-000023460000}"/>
    <cellStyle name="Normal 2 2 2 3 20 10" xfId="17994" xr:uid="{00000000-0005-0000-0000-000024460000}"/>
    <cellStyle name="Normal 2 2 2 3 20 11" xfId="17995" xr:uid="{00000000-0005-0000-0000-000025460000}"/>
    <cellStyle name="Normal 2 2 2 3 20 12" xfId="17996" xr:uid="{00000000-0005-0000-0000-000026460000}"/>
    <cellStyle name="Normal 2 2 2 3 20 13" xfId="17997" xr:uid="{00000000-0005-0000-0000-000027460000}"/>
    <cellStyle name="Normal 2 2 2 3 20 14" xfId="17998" xr:uid="{00000000-0005-0000-0000-000028460000}"/>
    <cellStyle name="Normal 2 2 2 3 20 2" xfId="17999" xr:uid="{00000000-0005-0000-0000-000029460000}"/>
    <cellStyle name="Normal 2 2 2 3 20 2 10" xfId="18000" xr:uid="{00000000-0005-0000-0000-00002A460000}"/>
    <cellStyle name="Normal 2 2 2 3 20 2 2" xfId="18001" xr:uid="{00000000-0005-0000-0000-00002B460000}"/>
    <cellStyle name="Normal 2 2 2 3 20 2 3" xfId="18002" xr:uid="{00000000-0005-0000-0000-00002C460000}"/>
    <cellStyle name="Normal 2 2 2 3 20 2 4" xfId="18003" xr:uid="{00000000-0005-0000-0000-00002D460000}"/>
    <cellStyle name="Normal 2 2 2 3 20 2 5" xfId="18004" xr:uid="{00000000-0005-0000-0000-00002E460000}"/>
    <cellStyle name="Normal 2 2 2 3 20 2 6" xfId="18005" xr:uid="{00000000-0005-0000-0000-00002F460000}"/>
    <cellStyle name="Normal 2 2 2 3 20 2 7" xfId="18006" xr:uid="{00000000-0005-0000-0000-000030460000}"/>
    <cellStyle name="Normal 2 2 2 3 20 2 8" xfId="18007" xr:uid="{00000000-0005-0000-0000-000031460000}"/>
    <cellStyle name="Normal 2 2 2 3 20 2 9" xfId="18008" xr:uid="{00000000-0005-0000-0000-000032460000}"/>
    <cellStyle name="Normal 2 2 2 3 20 3" xfId="18009" xr:uid="{00000000-0005-0000-0000-000033460000}"/>
    <cellStyle name="Normal 2 2 2 3 20 3 10" xfId="18010" xr:uid="{00000000-0005-0000-0000-000034460000}"/>
    <cellStyle name="Normal 2 2 2 3 20 3 2" xfId="18011" xr:uid="{00000000-0005-0000-0000-000035460000}"/>
    <cellStyle name="Normal 2 2 2 3 20 3 3" xfId="18012" xr:uid="{00000000-0005-0000-0000-000036460000}"/>
    <cellStyle name="Normal 2 2 2 3 20 3 4" xfId="18013" xr:uid="{00000000-0005-0000-0000-000037460000}"/>
    <cellStyle name="Normal 2 2 2 3 20 3 5" xfId="18014" xr:uid="{00000000-0005-0000-0000-000038460000}"/>
    <cellStyle name="Normal 2 2 2 3 20 3 6" xfId="18015" xr:uid="{00000000-0005-0000-0000-000039460000}"/>
    <cellStyle name="Normal 2 2 2 3 20 3 7" xfId="18016" xr:uid="{00000000-0005-0000-0000-00003A460000}"/>
    <cellStyle name="Normal 2 2 2 3 20 3 8" xfId="18017" xr:uid="{00000000-0005-0000-0000-00003B460000}"/>
    <cellStyle name="Normal 2 2 2 3 20 3 9" xfId="18018" xr:uid="{00000000-0005-0000-0000-00003C460000}"/>
    <cellStyle name="Normal 2 2 2 3 20 4" xfId="18019" xr:uid="{00000000-0005-0000-0000-00003D460000}"/>
    <cellStyle name="Normal 2 2 2 3 20 4 10" xfId="18020" xr:uid="{00000000-0005-0000-0000-00003E460000}"/>
    <cellStyle name="Normal 2 2 2 3 20 4 2" xfId="18021" xr:uid="{00000000-0005-0000-0000-00003F460000}"/>
    <cellStyle name="Normal 2 2 2 3 20 4 3" xfId="18022" xr:uid="{00000000-0005-0000-0000-000040460000}"/>
    <cellStyle name="Normal 2 2 2 3 20 4 4" xfId="18023" xr:uid="{00000000-0005-0000-0000-000041460000}"/>
    <cellStyle name="Normal 2 2 2 3 20 4 5" xfId="18024" xr:uid="{00000000-0005-0000-0000-000042460000}"/>
    <cellStyle name="Normal 2 2 2 3 20 4 6" xfId="18025" xr:uid="{00000000-0005-0000-0000-000043460000}"/>
    <cellStyle name="Normal 2 2 2 3 20 4 7" xfId="18026" xr:uid="{00000000-0005-0000-0000-000044460000}"/>
    <cellStyle name="Normal 2 2 2 3 20 4 8" xfId="18027" xr:uid="{00000000-0005-0000-0000-000045460000}"/>
    <cellStyle name="Normal 2 2 2 3 20 4 9" xfId="18028" xr:uid="{00000000-0005-0000-0000-000046460000}"/>
    <cellStyle name="Normal 2 2 2 3 20 5" xfId="18029" xr:uid="{00000000-0005-0000-0000-000047460000}"/>
    <cellStyle name="Normal 2 2 2 3 20 5 10" xfId="18030" xr:uid="{00000000-0005-0000-0000-000048460000}"/>
    <cellStyle name="Normal 2 2 2 3 20 5 2" xfId="18031" xr:uid="{00000000-0005-0000-0000-000049460000}"/>
    <cellStyle name="Normal 2 2 2 3 20 5 3" xfId="18032" xr:uid="{00000000-0005-0000-0000-00004A460000}"/>
    <cellStyle name="Normal 2 2 2 3 20 5 4" xfId="18033" xr:uid="{00000000-0005-0000-0000-00004B460000}"/>
    <cellStyle name="Normal 2 2 2 3 20 5 5" xfId="18034" xr:uid="{00000000-0005-0000-0000-00004C460000}"/>
    <cellStyle name="Normal 2 2 2 3 20 5 6" xfId="18035" xr:uid="{00000000-0005-0000-0000-00004D460000}"/>
    <cellStyle name="Normal 2 2 2 3 20 5 7" xfId="18036" xr:uid="{00000000-0005-0000-0000-00004E460000}"/>
    <cellStyle name="Normal 2 2 2 3 20 5 8" xfId="18037" xr:uid="{00000000-0005-0000-0000-00004F460000}"/>
    <cellStyle name="Normal 2 2 2 3 20 5 9" xfId="18038" xr:uid="{00000000-0005-0000-0000-000050460000}"/>
    <cellStyle name="Normal 2 2 2 3 20 6" xfId="18039" xr:uid="{00000000-0005-0000-0000-000051460000}"/>
    <cellStyle name="Normal 2 2 2 3 20 7" xfId="18040" xr:uid="{00000000-0005-0000-0000-000052460000}"/>
    <cellStyle name="Normal 2 2 2 3 20 8" xfId="18041" xr:uid="{00000000-0005-0000-0000-000053460000}"/>
    <cellStyle name="Normal 2 2 2 3 20 9" xfId="18042" xr:uid="{00000000-0005-0000-0000-000054460000}"/>
    <cellStyle name="Normal 2 2 2 3 21" xfId="18043" xr:uid="{00000000-0005-0000-0000-000055460000}"/>
    <cellStyle name="Normal 2 2 2 3 21 10" xfId="18044" xr:uid="{00000000-0005-0000-0000-000056460000}"/>
    <cellStyle name="Normal 2 2 2 3 21 11" xfId="18045" xr:uid="{00000000-0005-0000-0000-000057460000}"/>
    <cellStyle name="Normal 2 2 2 3 21 12" xfId="18046" xr:uid="{00000000-0005-0000-0000-000058460000}"/>
    <cellStyle name="Normal 2 2 2 3 21 13" xfId="18047" xr:uid="{00000000-0005-0000-0000-000059460000}"/>
    <cellStyle name="Normal 2 2 2 3 21 14" xfId="18048" xr:uid="{00000000-0005-0000-0000-00005A460000}"/>
    <cellStyle name="Normal 2 2 2 3 21 2" xfId="18049" xr:uid="{00000000-0005-0000-0000-00005B460000}"/>
    <cellStyle name="Normal 2 2 2 3 21 2 10" xfId="18050" xr:uid="{00000000-0005-0000-0000-00005C460000}"/>
    <cellStyle name="Normal 2 2 2 3 21 2 2" xfId="18051" xr:uid="{00000000-0005-0000-0000-00005D460000}"/>
    <cellStyle name="Normal 2 2 2 3 21 2 3" xfId="18052" xr:uid="{00000000-0005-0000-0000-00005E460000}"/>
    <cellStyle name="Normal 2 2 2 3 21 2 4" xfId="18053" xr:uid="{00000000-0005-0000-0000-00005F460000}"/>
    <cellStyle name="Normal 2 2 2 3 21 2 5" xfId="18054" xr:uid="{00000000-0005-0000-0000-000060460000}"/>
    <cellStyle name="Normal 2 2 2 3 21 2 6" xfId="18055" xr:uid="{00000000-0005-0000-0000-000061460000}"/>
    <cellStyle name="Normal 2 2 2 3 21 2 7" xfId="18056" xr:uid="{00000000-0005-0000-0000-000062460000}"/>
    <cellStyle name="Normal 2 2 2 3 21 2 8" xfId="18057" xr:uid="{00000000-0005-0000-0000-000063460000}"/>
    <cellStyle name="Normal 2 2 2 3 21 2 9" xfId="18058" xr:uid="{00000000-0005-0000-0000-000064460000}"/>
    <cellStyle name="Normal 2 2 2 3 21 3" xfId="18059" xr:uid="{00000000-0005-0000-0000-000065460000}"/>
    <cellStyle name="Normal 2 2 2 3 21 3 10" xfId="18060" xr:uid="{00000000-0005-0000-0000-000066460000}"/>
    <cellStyle name="Normal 2 2 2 3 21 3 2" xfId="18061" xr:uid="{00000000-0005-0000-0000-000067460000}"/>
    <cellStyle name="Normal 2 2 2 3 21 3 3" xfId="18062" xr:uid="{00000000-0005-0000-0000-000068460000}"/>
    <cellStyle name="Normal 2 2 2 3 21 3 4" xfId="18063" xr:uid="{00000000-0005-0000-0000-000069460000}"/>
    <cellStyle name="Normal 2 2 2 3 21 3 5" xfId="18064" xr:uid="{00000000-0005-0000-0000-00006A460000}"/>
    <cellStyle name="Normal 2 2 2 3 21 3 6" xfId="18065" xr:uid="{00000000-0005-0000-0000-00006B460000}"/>
    <cellStyle name="Normal 2 2 2 3 21 3 7" xfId="18066" xr:uid="{00000000-0005-0000-0000-00006C460000}"/>
    <cellStyle name="Normal 2 2 2 3 21 3 8" xfId="18067" xr:uid="{00000000-0005-0000-0000-00006D460000}"/>
    <cellStyle name="Normal 2 2 2 3 21 3 9" xfId="18068" xr:uid="{00000000-0005-0000-0000-00006E460000}"/>
    <cellStyle name="Normal 2 2 2 3 21 4" xfId="18069" xr:uid="{00000000-0005-0000-0000-00006F460000}"/>
    <cellStyle name="Normal 2 2 2 3 21 4 10" xfId="18070" xr:uid="{00000000-0005-0000-0000-000070460000}"/>
    <cellStyle name="Normal 2 2 2 3 21 4 2" xfId="18071" xr:uid="{00000000-0005-0000-0000-000071460000}"/>
    <cellStyle name="Normal 2 2 2 3 21 4 3" xfId="18072" xr:uid="{00000000-0005-0000-0000-000072460000}"/>
    <cellStyle name="Normal 2 2 2 3 21 4 4" xfId="18073" xr:uid="{00000000-0005-0000-0000-000073460000}"/>
    <cellStyle name="Normal 2 2 2 3 21 4 5" xfId="18074" xr:uid="{00000000-0005-0000-0000-000074460000}"/>
    <cellStyle name="Normal 2 2 2 3 21 4 6" xfId="18075" xr:uid="{00000000-0005-0000-0000-000075460000}"/>
    <cellStyle name="Normal 2 2 2 3 21 4 7" xfId="18076" xr:uid="{00000000-0005-0000-0000-000076460000}"/>
    <cellStyle name="Normal 2 2 2 3 21 4 8" xfId="18077" xr:uid="{00000000-0005-0000-0000-000077460000}"/>
    <cellStyle name="Normal 2 2 2 3 21 4 9" xfId="18078" xr:uid="{00000000-0005-0000-0000-000078460000}"/>
    <cellStyle name="Normal 2 2 2 3 21 5" xfId="18079" xr:uid="{00000000-0005-0000-0000-000079460000}"/>
    <cellStyle name="Normal 2 2 2 3 21 5 10" xfId="18080" xr:uid="{00000000-0005-0000-0000-00007A460000}"/>
    <cellStyle name="Normal 2 2 2 3 21 5 2" xfId="18081" xr:uid="{00000000-0005-0000-0000-00007B460000}"/>
    <cellStyle name="Normal 2 2 2 3 21 5 3" xfId="18082" xr:uid="{00000000-0005-0000-0000-00007C460000}"/>
    <cellStyle name="Normal 2 2 2 3 21 5 4" xfId="18083" xr:uid="{00000000-0005-0000-0000-00007D460000}"/>
    <cellStyle name="Normal 2 2 2 3 21 5 5" xfId="18084" xr:uid="{00000000-0005-0000-0000-00007E460000}"/>
    <cellStyle name="Normal 2 2 2 3 21 5 6" xfId="18085" xr:uid="{00000000-0005-0000-0000-00007F460000}"/>
    <cellStyle name="Normal 2 2 2 3 21 5 7" xfId="18086" xr:uid="{00000000-0005-0000-0000-000080460000}"/>
    <cellStyle name="Normal 2 2 2 3 21 5 8" xfId="18087" xr:uid="{00000000-0005-0000-0000-000081460000}"/>
    <cellStyle name="Normal 2 2 2 3 21 5 9" xfId="18088" xr:uid="{00000000-0005-0000-0000-000082460000}"/>
    <cellStyle name="Normal 2 2 2 3 21 6" xfId="18089" xr:uid="{00000000-0005-0000-0000-000083460000}"/>
    <cellStyle name="Normal 2 2 2 3 21 7" xfId="18090" xr:uid="{00000000-0005-0000-0000-000084460000}"/>
    <cellStyle name="Normal 2 2 2 3 21 8" xfId="18091" xr:uid="{00000000-0005-0000-0000-000085460000}"/>
    <cellStyle name="Normal 2 2 2 3 21 9" xfId="18092" xr:uid="{00000000-0005-0000-0000-000086460000}"/>
    <cellStyle name="Normal 2 2 2 3 22" xfId="18093" xr:uid="{00000000-0005-0000-0000-000087460000}"/>
    <cellStyle name="Normal 2 2 2 3 22 10" xfId="18094" xr:uid="{00000000-0005-0000-0000-000088460000}"/>
    <cellStyle name="Normal 2 2 2 3 22 11" xfId="18095" xr:uid="{00000000-0005-0000-0000-000089460000}"/>
    <cellStyle name="Normal 2 2 2 3 22 12" xfId="18096" xr:uid="{00000000-0005-0000-0000-00008A460000}"/>
    <cellStyle name="Normal 2 2 2 3 22 13" xfId="18097" xr:uid="{00000000-0005-0000-0000-00008B460000}"/>
    <cellStyle name="Normal 2 2 2 3 22 14" xfId="18098" xr:uid="{00000000-0005-0000-0000-00008C460000}"/>
    <cellStyle name="Normal 2 2 2 3 22 2" xfId="18099" xr:uid="{00000000-0005-0000-0000-00008D460000}"/>
    <cellStyle name="Normal 2 2 2 3 22 2 10" xfId="18100" xr:uid="{00000000-0005-0000-0000-00008E460000}"/>
    <cellStyle name="Normal 2 2 2 3 22 2 2" xfId="18101" xr:uid="{00000000-0005-0000-0000-00008F460000}"/>
    <cellStyle name="Normal 2 2 2 3 22 2 3" xfId="18102" xr:uid="{00000000-0005-0000-0000-000090460000}"/>
    <cellStyle name="Normal 2 2 2 3 22 2 4" xfId="18103" xr:uid="{00000000-0005-0000-0000-000091460000}"/>
    <cellStyle name="Normal 2 2 2 3 22 2 5" xfId="18104" xr:uid="{00000000-0005-0000-0000-000092460000}"/>
    <cellStyle name="Normal 2 2 2 3 22 2 6" xfId="18105" xr:uid="{00000000-0005-0000-0000-000093460000}"/>
    <cellStyle name="Normal 2 2 2 3 22 2 7" xfId="18106" xr:uid="{00000000-0005-0000-0000-000094460000}"/>
    <cellStyle name="Normal 2 2 2 3 22 2 8" xfId="18107" xr:uid="{00000000-0005-0000-0000-000095460000}"/>
    <cellStyle name="Normal 2 2 2 3 22 2 9" xfId="18108" xr:uid="{00000000-0005-0000-0000-000096460000}"/>
    <cellStyle name="Normal 2 2 2 3 22 3" xfId="18109" xr:uid="{00000000-0005-0000-0000-000097460000}"/>
    <cellStyle name="Normal 2 2 2 3 22 3 10" xfId="18110" xr:uid="{00000000-0005-0000-0000-000098460000}"/>
    <cellStyle name="Normal 2 2 2 3 22 3 2" xfId="18111" xr:uid="{00000000-0005-0000-0000-000099460000}"/>
    <cellStyle name="Normal 2 2 2 3 22 3 3" xfId="18112" xr:uid="{00000000-0005-0000-0000-00009A460000}"/>
    <cellStyle name="Normal 2 2 2 3 22 3 4" xfId="18113" xr:uid="{00000000-0005-0000-0000-00009B460000}"/>
    <cellStyle name="Normal 2 2 2 3 22 3 5" xfId="18114" xr:uid="{00000000-0005-0000-0000-00009C460000}"/>
    <cellStyle name="Normal 2 2 2 3 22 3 6" xfId="18115" xr:uid="{00000000-0005-0000-0000-00009D460000}"/>
    <cellStyle name="Normal 2 2 2 3 22 3 7" xfId="18116" xr:uid="{00000000-0005-0000-0000-00009E460000}"/>
    <cellStyle name="Normal 2 2 2 3 22 3 8" xfId="18117" xr:uid="{00000000-0005-0000-0000-00009F460000}"/>
    <cellStyle name="Normal 2 2 2 3 22 3 9" xfId="18118" xr:uid="{00000000-0005-0000-0000-0000A0460000}"/>
    <cellStyle name="Normal 2 2 2 3 22 4" xfId="18119" xr:uid="{00000000-0005-0000-0000-0000A1460000}"/>
    <cellStyle name="Normal 2 2 2 3 22 4 10" xfId="18120" xr:uid="{00000000-0005-0000-0000-0000A2460000}"/>
    <cellStyle name="Normal 2 2 2 3 22 4 2" xfId="18121" xr:uid="{00000000-0005-0000-0000-0000A3460000}"/>
    <cellStyle name="Normal 2 2 2 3 22 4 3" xfId="18122" xr:uid="{00000000-0005-0000-0000-0000A4460000}"/>
    <cellStyle name="Normal 2 2 2 3 22 4 4" xfId="18123" xr:uid="{00000000-0005-0000-0000-0000A5460000}"/>
    <cellStyle name="Normal 2 2 2 3 22 4 5" xfId="18124" xr:uid="{00000000-0005-0000-0000-0000A6460000}"/>
    <cellStyle name="Normal 2 2 2 3 22 4 6" xfId="18125" xr:uid="{00000000-0005-0000-0000-0000A7460000}"/>
    <cellStyle name="Normal 2 2 2 3 22 4 7" xfId="18126" xr:uid="{00000000-0005-0000-0000-0000A8460000}"/>
    <cellStyle name="Normal 2 2 2 3 22 4 8" xfId="18127" xr:uid="{00000000-0005-0000-0000-0000A9460000}"/>
    <cellStyle name="Normal 2 2 2 3 22 4 9" xfId="18128" xr:uid="{00000000-0005-0000-0000-0000AA460000}"/>
    <cellStyle name="Normal 2 2 2 3 22 5" xfId="18129" xr:uid="{00000000-0005-0000-0000-0000AB460000}"/>
    <cellStyle name="Normal 2 2 2 3 22 5 10" xfId="18130" xr:uid="{00000000-0005-0000-0000-0000AC460000}"/>
    <cellStyle name="Normal 2 2 2 3 22 5 2" xfId="18131" xr:uid="{00000000-0005-0000-0000-0000AD460000}"/>
    <cellStyle name="Normal 2 2 2 3 22 5 3" xfId="18132" xr:uid="{00000000-0005-0000-0000-0000AE460000}"/>
    <cellStyle name="Normal 2 2 2 3 22 5 4" xfId="18133" xr:uid="{00000000-0005-0000-0000-0000AF460000}"/>
    <cellStyle name="Normal 2 2 2 3 22 5 5" xfId="18134" xr:uid="{00000000-0005-0000-0000-0000B0460000}"/>
    <cellStyle name="Normal 2 2 2 3 22 5 6" xfId="18135" xr:uid="{00000000-0005-0000-0000-0000B1460000}"/>
    <cellStyle name="Normal 2 2 2 3 22 5 7" xfId="18136" xr:uid="{00000000-0005-0000-0000-0000B2460000}"/>
    <cellStyle name="Normal 2 2 2 3 22 5 8" xfId="18137" xr:uid="{00000000-0005-0000-0000-0000B3460000}"/>
    <cellStyle name="Normal 2 2 2 3 22 5 9" xfId="18138" xr:uid="{00000000-0005-0000-0000-0000B4460000}"/>
    <cellStyle name="Normal 2 2 2 3 22 6" xfId="18139" xr:uid="{00000000-0005-0000-0000-0000B5460000}"/>
    <cellStyle name="Normal 2 2 2 3 22 7" xfId="18140" xr:uid="{00000000-0005-0000-0000-0000B6460000}"/>
    <cellStyle name="Normal 2 2 2 3 22 8" xfId="18141" xr:uid="{00000000-0005-0000-0000-0000B7460000}"/>
    <cellStyle name="Normal 2 2 2 3 22 9" xfId="18142" xr:uid="{00000000-0005-0000-0000-0000B8460000}"/>
    <cellStyle name="Normal 2 2 2 3 23" xfId="18143" xr:uid="{00000000-0005-0000-0000-0000B9460000}"/>
    <cellStyle name="Normal 2 2 2 3 23 10" xfId="18144" xr:uid="{00000000-0005-0000-0000-0000BA460000}"/>
    <cellStyle name="Normal 2 2 2 3 23 11" xfId="18145" xr:uid="{00000000-0005-0000-0000-0000BB460000}"/>
    <cellStyle name="Normal 2 2 2 3 23 12" xfId="18146" xr:uid="{00000000-0005-0000-0000-0000BC460000}"/>
    <cellStyle name="Normal 2 2 2 3 23 13" xfId="18147" xr:uid="{00000000-0005-0000-0000-0000BD460000}"/>
    <cellStyle name="Normal 2 2 2 3 23 14" xfId="18148" xr:uid="{00000000-0005-0000-0000-0000BE460000}"/>
    <cellStyle name="Normal 2 2 2 3 23 2" xfId="18149" xr:uid="{00000000-0005-0000-0000-0000BF460000}"/>
    <cellStyle name="Normal 2 2 2 3 23 2 10" xfId="18150" xr:uid="{00000000-0005-0000-0000-0000C0460000}"/>
    <cellStyle name="Normal 2 2 2 3 23 2 2" xfId="18151" xr:uid="{00000000-0005-0000-0000-0000C1460000}"/>
    <cellStyle name="Normal 2 2 2 3 23 2 3" xfId="18152" xr:uid="{00000000-0005-0000-0000-0000C2460000}"/>
    <cellStyle name="Normal 2 2 2 3 23 2 4" xfId="18153" xr:uid="{00000000-0005-0000-0000-0000C3460000}"/>
    <cellStyle name="Normal 2 2 2 3 23 2 5" xfId="18154" xr:uid="{00000000-0005-0000-0000-0000C4460000}"/>
    <cellStyle name="Normal 2 2 2 3 23 2 6" xfId="18155" xr:uid="{00000000-0005-0000-0000-0000C5460000}"/>
    <cellStyle name="Normal 2 2 2 3 23 2 7" xfId="18156" xr:uid="{00000000-0005-0000-0000-0000C6460000}"/>
    <cellStyle name="Normal 2 2 2 3 23 2 8" xfId="18157" xr:uid="{00000000-0005-0000-0000-0000C7460000}"/>
    <cellStyle name="Normal 2 2 2 3 23 2 9" xfId="18158" xr:uid="{00000000-0005-0000-0000-0000C8460000}"/>
    <cellStyle name="Normal 2 2 2 3 23 3" xfId="18159" xr:uid="{00000000-0005-0000-0000-0000C9460000}"/>
    <cellStyle name="Normal 2 2 2 3 23 3 10" xfId="18160" xr:uid="{00000000-0005-0000-0000-0000CA460000}"/>
    <cellStyle name="Normal 2 2 2 3 23 3 2" xfId="18161" xr:uid="{00000000-0005-0000-0000-0000CB460000}"/>
    <cellStyle name="Normal 2 2 2 3 23 3 3" xfId="18162" xr:uid="{00000000-0005-0000-0000-0000CC460000}"/>
    <cellStyle name="Normal 2 2 2 3 23 3 4" xfId="18163" xr:uid="{00000000-0005-0000-0000-0000CD460000}"/>
    <cellStyle name="Normal 2 2 2 3 23 3 5" xfId="18164" xr:uid="{00000000-0005-0000-0000-0000CE460000}"/>
    <cellStyle name="Normal 2 2 2 3 23 3 6" xfId="18165" xr:uid="{00000000-0005-0000-0000-0000CF460000}"/>
    <cellStyle name="Normal 2 2 2 3 23 3 7" xfId="18166" xr:uid="{00000000-0005-0000-0000-0000D0460000}"/>
    <cellStyle name="Normal 2 2 2 3 23 3 8" xfId="18167" xr:uid="{00000000-0005-0000-0000-0000D1460000}"/>
    <cellStyle name="Normal 2 2 2 3 23 3 9" xfId="18168" xr:uid="{00000000-0005-0000-0000-0000D2460000}"/>
    <cellStyle name="Normal 2 2 2 3 23 4" xfId="18169" xr:uid="{00000000-0005-0000-0000-0000D3460000}"/>
    <cellStyle name="Normal 2 2 2 3 23 4 10" xfId="18170" xr:uid="{00000000-0005-0000-0000-0000D4460000}"/>
    <cellStyle name="Normal 2 2 2 3 23 4 2" xfId="18171" xr:uid="{00000000-0005-0000-0000-0000D5460000}"/>
    <cellStyle name="Normal 2 2 2 3 23 4 3" xfId="18172" xr:uid="{00000000-0005-0000-0000-0000D6460000}"/>
    <cellStyle name="Normal 2 2 2 3 23 4 4" xfId="18173" xr:uid="{00000000-0005-0000-0000-0000D7460000}"/>
    <cellStyle name="Normal 2 2 2 3 23 4 5" xfId="18174" xr:uid="{00000000-0005-0000-0000-0000D8460000}"/>
    <cellStyle name="Normal 2 2 2 3 23 4 6" xfId="18175" xr:uid="{00000000-0005-0000-0000-0000D9460000}"/>
    <cellStyle name="Normal 2 2 2 3 23 4 7" xfId="18176" xr:uid="{00000000-0005-0000-0000-0000DA460000}"/>
    <cellStyle name="Normal 2 2 2 3 23 4 8" xfId="18177" xr:uid="{00000000-0005-0000-0000-0000DB460000}"/>
    <cellStyle name="Normal 2 2 2 3 23 4 9" xfId="18178" xr:uid="{00000000-0005-0000-0000-0000DC460000}"/>
    <cellStyle name="Normal 2 2 2 3 23 5" xfId="18179" xr:uid="{00000000-0005-0000-0000-0000DD460000}"/>
    <cellStyle name="Normal 2 2 2 3 23 5 10" xfId="18180" xr:uid="{00000000-0005-0000-0000-0000DE460000}"/>
    <cellStyle name="Normal 2 2 2 3 23 5 2" xfId="18181" xr:uid="{00000000-0005-0000-0000-0000DF460000}"/>
    <cellStyle name="Normal 2 2 2 3 23 5 3" xfId="18182" xr:uid="{00000000-0005-0000-0000-0000E0460000}"/>
    <cellStyle name="Normal 2 2 2 3 23 5 4" xfId="18183" xr:uid="{00000000-0005-0000-0000-0000E1460000}"/>
    <cellStyle name="Normal 2 2 2 3 23 5 5" xfId="18184" xr:uid="{00000000-0005-0000-0000-0000E2460000}"/>
    <cellStyle name="Normal 2 2 2 3 23 5 6" xfId="18185" xr:uid="{00000000-0005-0000-0000-0000E3460000}"/>
    <cellStyle name="Normal 2 2 2 3 23 5 7" xfId="18186" xr:uid="{00000000-0005-0000-0000-0000E4460000}"/>
    <cellStyle name="Normal 2 2 2 3 23 5 8" xfId="18187" xr:uid="{00000000-0005-0000-0000-0000E5460000}"/>
    <cellStyle name="Normal 2 2 2 3 23 5 9" xfId="18188" xr:uid="{00000000-0005-0000-0000-0000E6460000}"/>
    <cellStyle name="Normal 2 2 2 3 23 6" xfId="18189" xr:uid="{00000000-0005-0000-0000-0000E7460000}"/>
    <cellStyle name="Normal 2 2 2 3 23 7" xfId="18190" xr:uid="{00000000-0005-0000-0000-0000E8460000}"/>
    <cellStyle name="Normal 2 2 2 3 23 8" xfId="18191" xr:uid="{00000000-0005-0000-0000-0000E9460000}"/>
    <cellStyle name="Normal 2 2 2 3 23 9" xfId="18192" xr:uid="{00000000-0005-0000-0000-0000EA460000}"/>
    <cellStyle name="Normal 2 2 2 3 24" xfId="18193" xr:uid="{00000000-0005-0000-0000-0000EB460000}"/>
    <cellStyle name="Normal 2 2 2 3 24 10" xfId="18194" xr:uid="{00000000-0005-0000-0000-0000EC460000}"/>
    <cellStyle name="Normal 2 2 2 3 24 11" xfId="18195" xr:uid="{00000000-0005-0000-0000-0000ED460000}"/>
    <cellStyle name="Normal 2 2 2 3 24 12" xfId="18196" xr:uid="{00000000-0005-0000-0000-0000EE460000}"/>
    <cellStyle name="Normal 2 2 2 3 24 13" xfId="18197" xr:uid="{00000000-0005-0000-0000-0000EF460000}"/>
    <cellStyle name="Normal 2 2 2 3 24 14" xfId="18198" xr:uid="{00000000-0005-0000-0000-0000F0460000}"/>
    <cellStyle name="Normal 2 2 2 3 24 2" xfId="18199" xr:uid="{00000000-0005-0000-0000-0000F1460000}"/>
    <cellStyle name="Normal 2 2 2 3 24 2 10" xfId="18200" xr:uid="{00000000-0005-0000-0000-0000F2460000}"/>
    <cellStyle name="Normal 2 2 2 3 24 2 2" xfId="18201" xr:uid="{00000000-0005-0000-0000-0000F3460000}"/>
    <cellStyle name="Normal 2 2 2 3 24 2 3" xfId="18202" xr:uid="{00000000-0005-0000-0000-0000F4460000}"/>
    <cellStyle name="Normal 2 2 2 3 24 2 4" xfId="18203" xr:uid="{00000000-0005-0000-0000-0000F5460000}"/>
    <cellStyle name="Normal 2 2 2 3 24 2 5" xfId="18204" xr:uid="{00000000-0005-0000-0000-0000F6460000}"/>
    <cellStyle name="Normal 2 2 2 3 24 2 6" xfId="18205" xr:uid="{00000000-0005-0000-0000-0000F7460000}"/>
    <cellStyle name="Normal 2 2 2 3 24 2 7" xfId="18206" xr:uid="{00000000-0005-0000-0000-0000F8460000}"/>
    <cellStyle name="Normal 2 2 2 3 24 2 8" xfId="18207" xr:uid="{00000000-0005-0000-0000-0000F9460000}"/>
    <cellStyle name="Normal 2 2 2 3 24 2 9" xfId="18208" xr:uid="{00000000-0005-0000-0000-0000FA460000}"/>
    <cellStyle name="Normal 2 2 2 3 24 3" xfId="18209" xr:uid="{00000000-0005-0000-0000-0000FB460000}"/>
    <cellStyle name="Normal 2 2 2 3 24 3 10" xfId="18210" xr:uid="{00000000-0005-0000-0000-0000FC460000}"/>
    <cellStyle name="Normal 2 2 2 3 24 3 2" xfId="18211" xr:uid="{00000000-0005-0000-0000-0000FD460000}"/>
    <cellStyle name="Normal 2 2 2 3 24 3 3" xfId="18212" xr:uid="{00000000-0005-0000-0000-0000FE460000}"/>
    <cellStyle name="Normal 2 2 2 3 24 3 4" xfId="18213" xr:uid="{00000000-0005-0000-0000-0000FF460000}"/>
    <cellStyle name="Normal 2 2 2 3 24 3 5" xfId="18214" xr:uid="{00000000-0005-0000-0000-000000470000}"/>
    <cellStyle name="Normal 2 2 2 3 24 3 6" xfId="18215" xr:uid="{00000000-0005-0000-0000-000001470000}"/>
    <cellStyle name="Normal 2 2 2 3 24 3 7" xfId="18216" xr:uid="{00000000-0005-0000-0000-000002470000}"/>
    <cellStyle name="Normal 2 2 2 3 24 3 8" xfId="18217" xr:uid="{00000000-0005-0000-0000-000003470000}"/>
    <cellStyle name="Normal 2 2 2 3 24 3 9" xfId="18218" xr:uid="{00000000-0005-0000-0000-000004470000}"/>
    <cellStyle name="Normal 2 2 2 3 24 4" xfId="18219" xr:uid="{00000000-0005-0000-0000-000005470000}"/>
    <cellStyle name="Normal 2 2 2 3 24 4 10" xfId="18220" xr:uid="{00000000-0005-0000-0000-000006470000}"/>
    <cellStyle name="Normal 2 2 2 3 24 4 2" xfId="18221" xr:uid="{00000000-0005-0000-0000-000007470000}"/>
    <cellStyle name="Normal 2 2 2 3 24 4 3" xfId="18222" xr:uid="{00000000-0005-0000-0000-000008470000}"/>
    <cellStyle name="Normal 2 2 2 3 24 4 4" xfId="18223" xr:uid="{00000000-0005-0000-0000-000009470000}"/>
    <cellStyle name="Normal 2 2 2 3 24 4 5" xfId="18224" xr:uid="{00000000-0005-0000-0000-00000A470000}"/>
    <cellStyle name="Normal 2 2 2 3 24 4 6" xfId="18225" xr:uid="{00000000-0005-0000-0000-00000B470000}"/>
    <cellStyle name="Normal 2 2 2 3 24 4 7" xfId="18226" xr:uid="{00000000-0005-0000-0000-00000C470000}"/>
    <cellStyle name="Normal 2 2 2 3 24 4 8" xfId="18227" xr:uid="{00000000-0005-0000-0000-00000D470000}"/>
    <cellStyle name="Normal 2 2 2 3 24 4 9" xfId="18228" xr:uid="{00000000-0005-0000-0000-00000E470000}"/>
    <cellStyle name="Normal 2 2 2 3 24 5" xfId="18229" xr:uid="{00000000-0005-0000-0000-00000F470000}"/>
    <cellStyle name="Normal 2 2 2 3 24 5 10" xfId="18230" xr:uid="{00000000-0005-0000-0000-000010470000}"/>
    <cellStyle name="Normal 2 2 2 3 24 5 2" xfId="18231" xr:uid="{00000000-0005-0000-0000-000011470000}"/>
    <cellStyle name="Normal 2 2 2 3 24 5 3" xfId="18232" xr:uid="{00000000-0005-0000-0000-000012470000}"/>
    <cellStyle name="Normal 2 2 2 3 24 5 4" xfId="18233" xr:uid="{00000000-0005-0000-0000-000013470000}"/>
    <cellStyle name="Normal 2 2 2 3 24 5 5" xfId="18234" xr:uid="{00000000-0005-0000-0000-000014470000}"/>
    <cellStyle name="Normal 2 2 2 3 24 5 6" xfId="18235" xr:uid="{00000000-0005-0000-0000-000015470000}"/>
    <cellStyle name="Normal 2 2 2 3 24 5 7" xfId="18236" xr:uid="{00000000-0005-0000-0000-000016470000}"/>
    <cellStyle name="Normal 2 2 2 3 24 5 8" xfId="18237" xr:uid="{00000000-0005-0000-0000-000017470000}"/>
    <cellStyle name="Normal 2 2 2 3 24 5 9" xfId="18238" xr:uid="{00000000-0005-0000-0000-000018470000}"/>
    <cellStyle name="Normal 2 2 2 3 24 6" xfId="18239" xr:uid="{00000000-0005-0000-0000-000019470000}"/>
    <cellStyle name="Normal 2 2 2 3 24 7" xfId="18240" xr:uid="{00000000-0005-0000-0000-00001A470000}"/>
    <cellStyle name="Normal 2 2 2 3 24 8" xfId="18241" xr:uid="{00000000-0005-0000-0000-00001B470000}"/>
    <cellStyle name="Normal 2 2 2 3 24 9" xfId="18242" xr:uid="{00000000-0005-0000-0000-00001C470000}"/>
    <cellStyle name="Normal 2 2 2 3 25" xfId="18243" xr:uid="{00000000-0005-0000-0000-00001D470000}"/>
    <cellStyle name="Normal 2 2 2 3 25 10" xfId="18244" xr:uid="{00000000-0005-0000-0000-00001E470000}"/>
    <cellStyle name="Normal 2 2 2 3 25 11" xfId="18245" xr:uid="{00000000-0005-0000-0000-00001F470000}"/>
    <cellStyle name="Normal 2 2 2 3 25 12" xfId="18246" xr:uid="{00000000-0005-0000-0000-000020470000}"/>
    <cellStyle name="Normal 2 2 2 3 25 13" xfId="18247" xr:uid="{00000000-0005-0000-0000-000021470000}"/>
    <cellStyle name="Normal 2 2 2 3 25 14" xfId="18248" xr:uid="{00000000-0005-0000-0000-000022470000}"/>
    <cellStyle name="Normal 2 2 2 3 25 2" xfId="18249" xr:uid="{00000000-0005-0000-0000-000023470000}"/>
    <cellStyle name="Normal 2 2 2 3 25 2 10" xfId="18250" xr:uid="{00000000-0005-0000-0000-000024470000}"/>
    <cellStyle name="Normal 2 2 2 3 25 2 2" xfId="18251" xr:uid="{00000000-0005-0000-0000-000025470000}"/>
    <cellStyle name="Normal 2 2 2 3 25 2 3" xfId="18252" xr:uid="{00000000-0005-0000-0000-000026470000}"/>
    <cellStyle name="Normal 2 2 2 3 25 2 4" xfId="18253" xr:uid="{00000000-0005-0000-0000-000027470000}"/>
    <cellStyle name="Normal 2 2 2 3 25 2 5" xfId="18254" xr:uid="{00000000-0005-0000-0000-000028470000}"/>
    <cellStyle name="Normal 2 2 2 3 25 2 6" xfId="18255" xr:uid="{00000000-0005-0000-0000-000029470000}"/>
    <cellStyle name="Normal 2 2 2 3 25 2 7" xfId="18256" xr:uid="{00000000-0005-0000-0000-00002A470000}"/>
    <cellStyle name="Normal 2 2 2 3 25 2 8" xfId="18257" xr:uid="{00000000-0005-0000-0000-00002B470000}"/>
    <cellStyle name="Normal 2 2 2 3 25 2 9" xfId="18258" xr:uid="{00000000-0005-0000-0000-00002C470000}"/>
    <cellStyle name="Normal 2 2 2 3 25 3" xfId="18259" xr:uid="{00000000-0005-0000-0000-00002D470000}"/>
    <cellStyle name="Normal 2 2 2 3 25 3 10" xfId="18260" xr:uid="{00000000-0005-0000-0000-00002E470000}"/>
    <cellStyle name="Normal 2 2 2 3 25 3 2" xfId="18261" xr:uid="{00000000-0005-0000-0000-00002F470000}"/>
    <cellStyle name="Normal 2 2 2 3 25 3 3" xfId="18262" xr:uid="{00000000-0005-0000-0000-000030470000}"/>
    <cellStyle name="Normal 2 2 2 3 25 3 4" xfId="18263" xr:uid="{00000000-0005-0000-0000-000031470000}"/>
    <cellStyle name="Normal 2 2 2 3 25 3 5" xfId="18264" xr:uid="{00000000-0005-0000-0000-000032470000}"/>
    <cellStyle name="Normal 2 2 2 3 25 3 6" xfId="18265" xr:uid="{00000000-0005-0000-0000-000033470000}"/>
    <cellStyle name="Normal 2 2 2 3 25 3 7" xfId="18266" xr:uid="{00000000-0005-0000-0000-000034470000}"/>
    <cellStyle name="Normal 2 2 2 3 25 3 8" xfId="18267" xr:uid="{00000000-0005-0000-0000-000035470000}"/>
    <cellStyle name="Normal 2 2 2 3 25 3 9" xfId="18268" xr:uid="{00000000-0005-0000-0000-000036470000}"/>
    <cellStyle name="Normal 2 2 2 3 25 4" xfId="18269" xr:uid="{00000000-0005-0000-0000-000037470000}"/>
    <cellStyle name="Normal 2 2 2 3 25 4 10" xfId="18270" xr:uid="{00000000-0005-0000-0000-000038470000}"/>
    <cellStyle name="Normal 2 2 2 3 25 4 2" xfId="18271" xr:uid="{00000000-0005-0000-0000-000039470000}"/>
    <cellStyle name="Normal 2 2 2 3 25 4 3" xfId="18272" xr:uid="{00000000-0005-0000-0000-00003A470000}"/>
    <cellStyle name="Normal 2 2 2 3 25 4 4" xfId="18273" xr:uid="{00000000-0005-0000-0000-00003B470000}"/>
    <cellStyle name="Normal 2 2 2 3 25 4 5" xfId="18274" xr:uid="{00000000-0005-0000-0000-00003C470000}"/>
    <cellStyle name="Normal 2 2 2 3 25 4 6" xfId="18275" xr:uid="{00000000-0005-0000-0000-00003D470000}"/>
    <cellStyle name="Normal 2 2 2 3 25 4 7" xfId="18276" xr:uid="{00000000-0005-0000-0000-00003E470000}"/>
    <cellStyle name="Normal 2 2 2 3 25 4 8" xfId="18277" xr:uid="{00000000-0005-0000-0000-00003F470000}"/>
    <cellStyle name="Normal 2 2 2 3 25 4 9" xfId="18278" xr:uid="{00000000-0005-0000-0000-000040470000}"/>
    <cellStyle name="Normal 2 2 2 3 25 5" xfId="18279" xr:uid="{00000000-0005-0000-0000-000041470000}"/>
    <cellStyle name="Normal 2 2 2 3 25 5 10" xfId="18280" xr:uid="{00000000-0005-0000-0000-000042470000}"/>
    <cellStyle name="Normal 2 2 2 3 25 5 2" xfId="18281" xr:uid="{00000000-0005-0000-0000-000043470000}"/>
    <cellStyle name="Normal 2 2 2 3 25 5 3" xfId="18282" xr:uid="{00000000-0005-0000-0000-000044470000}"/>
    <cellStyle name="Normal 2 2 2 3 25 5 4" xfId="18283" xr:uid="{00000000-0005-0000-0000-000045470000}"/>
    <cellStyle name="Normal 2 2 2 3 25 5 5" xfId="18284" xr:uid="{00000000-0005-0000-0000-000046470000}"/>
    <cellStyle name="Normal 2 2 2 3 25 5 6" xfId="18285" xr:uid="{00000000-0005-0000-0000-000047470000}"/>
    <cellStyle name="Normal 2 2 2 3 25 5 7" xfId="18286" xr:uid="{00000000-0005-0000-0000-000048470000}"/>
    <cellStyle name="Normal 2 2 2 3 25 5 8" xfId="18287" xr:uid="{00000000-0005-0000-0000-000049470000}"/>
    <cellStyle name="Normal 2 2 2 3 25 5 9" xfId="18288" xr:uid="{00000000-0005-0000-0000-00004A470000}"/>
    <cellStyle name="Normal 2 2 2 3 25 6" xfId="18289" xr:uid="{00000000-0005-0000-0000-00004B470000}"/>
    <cellStyle name="Normal 2 2 2 3 25 7" xfId="18290" xr:uid="{00000000-0005-0000-0000-00004C470000}"/>
    <cellStyle name="Normal 2 2 2 3 25 8" xfId="18291" xr:uid="{00000000-0005-0000-0000-00004D470000}"/>
    <cellStyle name="Normal 2 2 2 3 25 9" xfId="18292" xr:uid="{00000000-0005-0000-0000-00004E470000}"/>
    <cellStyle name="Normal 2 2 2 3 26" xfId="18293" xr:uid="{00000000-0005-0000-0000-00004F470000}"/>
    <cellStyle name="Normal 2 2 2 3 26 10" xfId="18294" xr:uid="{00000000-0005-0000-0000-000050470000}"/>
    <cellStyle name="Normal 2 2 2 3 26 11" xfId="18295" xr:uid="{00000000-0005-0000-0000-000051470000}"/>
    <cellStyle name="Normal 2 2 2 3 26 12" xfId="18296" xr:uid="{00000000-0005-0000-0000-000052470000}"/>
    <cellStyle name="Normal 2 2 2 3 26 13" xfId="18297" xr:uid="{00000000-0005-0000-0000-000053470000}"/>
    <cellStyle name="Normal 2 2 2 3 26 14" xfId="18298" xr:uid="{00000000-0005-0000-0000-000054470000}"/>
    <cellStyle name="Normal 2 2 2 3 26 2" xfId="18299" xr:uid="{00000000-0005-0000-0000-000055470000}"/>
    <cellStyle name="Normal 2 2 2 3 26 2 10" xfId="18300" xr:uid="{00000000-0005-0000-0000-000056470000}"/>
    <cellStyle name="Normal 2 2 2 3 26 2 2" xfId="18301" xr:uid="{00000000-0005-0000-0000-000057470000}"/>
    <cellStyle name="Normal 2 2 2 3 26 2 3" xfId="18302" xr:uid="{00000000-0005-0000-0000-000058470000}"/>
    <cellStyle name="Normal 2 2 2 3 26 2 4" xfId="18303" xr:uid="{00000000-0005-0000-0000-000059470000}"/>
    <cellStyle name="Normal 2 2 2 3 26 2 5" xfId="18304" xr:uid="{00000000-0005-0000-0000-00005A470000}"/>
    <cellStyle name="Normal 2 2 2 3 26 2 6" xfId="18305" xr:uid="{00000000-0005-0000-0000-00005B470000}"/>
    <cellStyle name="Normal 2 2 2 3 26 2 7" xfId="18306" xr:uid="{00000000-0005-0000-0000-00005C470000}"/>
    <cellStyle name="Normal 2 2 2 3 26 2 8" xfId="18307" xr:uid="{00000000-0005-0000-0000-00005D470000}"/>
    <cellStyle name="Normal 2 2 2 3 26 2 9" xfId="18308" xr:uid="{00000000-0005-0000-0000-00005E470000}"/>
    <cellStyle name="Normal 2 2 2 3 26 3" xfId="18309" xr:uid="{00000000-0005-0000-0000-00005F470000}"/>
    <cellStyle name="Normal 2 2 2 3 26 3 10" xfId="18310" xr:uid="{00000000-0005-0000-0000-000060470000}"/>
    <cellStyle name="Normal 2 2 2 3 26 3 2" xfId="18311" xr:uid="{00000000-0005-0000-0000-000061470000}"/>
    <cellStyle name="Normal 2 2 2 3 26 3 3" xfId="18312" xr:uid="{00000000-0005-0000-0000-000062470000}"/>
    <cellStyle name="Normal 2 2 2 3 26 3 4" xfId="18313" xr:uid="{00000000-0005-0000-0000-000063470000}"/>
    <cellStyle name="Normal 2 2 2 3 26 3 5" xfId="18314" xr:uid="{00000000-0005-0000-0000-000064470000}"/>
    <cellStyle name="Normal 2 2 2 3 26 3 6" xfId="18315" xr:uid="{00000000-0005-0000-0000-000065470000}"/>
    <cellStyle name="Normal 2 2 2 3 26 3 7" xfId="18316" xr:uid="{00000000-0005-0000-0000-000066470000}"/>
    <cellStyle name="Normal 2 2 2 3 26 3 8" xfId="18317" xr:uid="{00000000-0005-0000-0000-000067470000}"/>
    <cellStyle name="Normal 2 2 2 3 26 3 9" xfId="18318" xr:uid="{00000000-0005-0000-0000-000068470000}"/>
    <cellStyle name="Normal 2 2 2 3 26 4" xfId="18319" xr:uid="{00000000-0005-0000-0000-000069470000}"/>
    <cellStyle name="Normal 2 2 2 3 26 4 10" xfId="18320" xr:uid="{00000000-0005-0000-0000-00006A470000}"/>
    <cellStyle name="Normal 2 2 2 3 26 4 2" xfId="18321" xr:uid="{00000000-0005-0000-0000-00006B470000}"/>
    <cellStyle name="Normal 2 2 2 3 26 4 3" xfId="18322" xr:uid="{00000000-0005-0000-0000-00006C470000}"/>
    <cellStyle name="Normal 2 2 2 3 26 4 4" xfId="18323" xr:uid="{00000000-0005-0000-0000-00006D470000}"/>
    <cellStyle name="Normal 2 2 2 3 26 4 5" xfId="18324" xr:uid="{00000000-0005-0000-0000-00006E470000}"/>
    <cellStyle name="Normal 2 2 2 3 26 4 6" xfId="18325" xr:uid="{00000000-0005-0000-0000-00006F470000}"/>
    <cellStyle name="Normal 2 2 2 3 26 4 7" xfId="18326" xr:uid="{00000000-0005-0000-0000-000070470000}"/>
    <cellStyle name="Normal 2 2 2 3 26 4 8" xfId="18327" xr:uid="{00000000-0005-0000-0000-000071470000}"/>
    <cellStyle name="Normal 2 2 2 3 26 4 9" xfId="18328" xr:uid="{00000000-0005-0000-0000-000072470000}"/>
    <cellStyle name="Normal 2 2 2 3 26 5" xfId="18329" xr:uid="{00000000-0005-0000-0000-000073470000}"/>
    <cellStyle name="Normal 2 2 2 3 26 5 10" xfId="18330" xr:uid="{00000000-0005-0000-0000-000074470000}"/>
    <cellStyle name="Normal 2 2 2 3 26 5 2" xfId="18331" xr:uid="{00000000-0005-0000-0000-000075470000}"/>
    <cellStyle name="Normal 2 2 2 3 26 5 3" xfId="18332" xr:uid="{00000000-0005-0000-0000-000076470000}"/>
    <cellStyle name="Normal 2 2 2 3 26 5 4" xfId="18333" xr:uid="{00000000-0005-0000-0000-000077470000}"/>
    <cellStyle name="Normal 2 2 2 3 26 5 5" xfId="18334" xr:uid="{00000000-0005-0000-0000-000078470000}"/>
    <cellStyle name="Normal 2 2 2 3 26 5 6" xfId="18335" xr:uid="{00000000-0005-0000-0000-000079470000}"/>
    <cellStyle name="Normal 2 2 2 3 26 5 7" xfId="18336" xr:uid="{00000000-0005-0000-0000-00007A470000}"/>
    <cellStyle name="Normal 2 2 2 3 26 5 8" xfId="18337" xr:uid="{00000000-0005-0000-0000-00007B470000}"/>
    <cellStyle name="Normal 2 2 2 3 26 5 9" xfId="18338" xr:uid="{00000000-0005-0000-0000-00007C470000}"/>
    <cellStyle name="Normal 2 2 2 3 26 6" xfId="18339" xr:uid="{00000000-0005-0000-0000-00007D470000}"/>
    <cellStyle name="Normal 2 2 2 3 26 7" xfId="18340" xr:uid="{00000000-0005-0000-0000-00007E470000}"/>
    <cellStyle name="Normal 2 2 2 3 26 8" xfId="18341" xr:uid="{00000000-0005-0000-0000-00007F470000}"/>
    <cellStyle name="Normal 2 2 2 3 26 9" xfId="18342" xr:uid="{00000000-0005-0000-0000-000080470000}"/>
    <cellStyle name="Normal 2 2 2 3 27" xfId="18343" xr:uid="{00000000-0005-0000-0000-000081470000}"/>
    <cellStyle name="Normal 2 2 2 3 27 10" xfId="18344" xr:uid="{00000000-0005-0000-0000-000082470000}"/>
    <cellStyle name="Normal 2 2 2 3 27 11" xfId="18345" xr:uid="{00000000-0005-0000-0000-000083470000}"/>
    <cellStyle name="Normal 2 2 2 3 27 12" xfId="18346" xr:uid="{00000000-0005-0000-0000-000084470000}"/>
    <cellStyle name="Normal 2 2 2 3 27 13" xfId="18347" xr:uid="{00000000-0005-0000-0000-000085470000}"/>
    <cellStyle name="Normal 2 2 2 3 27 14" xfId="18348" xr:uid="{00000000-0005-0000-0000-000086470000}"/>
    <cellStyle name="Normal 2 2 2 3 27 2" xfId="18349" xr:uid="{00000000-0005-0000-0000-000087470000}"/>
    <cellStyle name="Normal 2 2 2 3 27 2 10" xfId="18350" xr:uid="{00000000-0005-0000-0000-000088470000}"/>
    <cellStyle name="Normal 2 2 2 3 27 2 2" xfId="18351" xr:uid="{00000000-0005-0000-0000-000089470000}"/>
    <cellStyle name="Normal 2 2 2 3 27 2 3" xfId="18352" xr:uid="{00000000-0005-0000-0000-00008A470000}"/>
    <cellStyle name="Normal 2 2 2 3 27 2 4" xfId="18353" xr:uid="{00000000-0005-0000-0000-00008B470000}"/>
    <cellStyle name="Normal 2 2 2 3 27 2 5" xfId="18354" xr:uid="{00000000-0005-0000-0000-00008C470000}"/>
    <cellStyle name="Normal 2 2 2 3 27 2 6" xfId="18355" xr:uid="{00000000-0005-0000-0000-00008D470000}"/>
    <cellStyle name="Normal 2 2 2 3 27 2 7" xfId="18356" xr:uid="{00000000-0005-0000-0000-00008E470000}"/>
    <cellStyle name="Normal 2 2 2 3 27 2 8" xfId="18357" xr:uid="{00000000-0005-0000-0000-00008F470000}"/>
    <cellStyle name="Normal 2 2 2 3 27 2 9" xfId="18358" xr:uid="{00000000-0005-0000-0000-000090470000}"/>
    <cellStyle name="Normal 2 2 2 3 27 3" xfId="18359" xr:uid="{00000000-0005-0000-0000-000091470000}"/>
    <cellStyle name="Normal 2 2 2 3 27 3 10" xfId="18360" xr:uid="{00000000-0005-0000-0000-000092470000}"/>
    <cellStyle name="Normal 2 2 2 3 27 3 2" xfId="18361" xr:uid="{00000000-0005-0000-0000-000093470000}"/>
    <cellStyle name="Normal 2 2 2 3 27 3 3" xfId="18362" xr:uid="{00000000-0005-0000-0000-000094470000}"/>
    <cellStyle name="Normal 2 2 2 3 27 3 4" xfId="18363" xr:uid="{00000000-0005-0000-0000-000095470000}"/>
    <cellStyle name="Normal 2 2 2 3 27 3 5" xfId="18364" xr:uid="{00000000-0005-0000-0000-000096470000}"/>
    <cellStyle name="Normal 2 2 2 3 27 3 6" xfId="18365" xr:uid="{00000000-0005-0000-0000-000097470000}"/>
    <cellStyle name="Normal 2 2 2 3 27 3 7" xfId="18366" xr:uid="{00000000-0005-0000-0000-000098470000}"/>
    <cellStyle name="Normal 2 2 2 3 27 3 8" xfId="18367" xr:uid="{00000000-0005-0000-0000-000099470000}"/>
    <cellStyle name="Normal 2 2 2 3 27 3 9" xfId="18368" xr:uid="{00000000-0005-0000-0000-00009A470000}"/>
    <cellStyle name="Normal 2 2 2 3 27 4" xfId="18369" xr:uid="{00000000-0005-0000-0000-00009B470000}"/>
    <cellStyle name="Normal 2 2 2 3 27 4 10" xfId="18370" xr:uid="{00000000-0005-0000-0000-00009C470000}"/>
    <cellStyle name="Normal 2 2 2 3 27 4 2" xfId="18371" xr:uid="{00000000-0005-0000-0000-00009D470000}"/>
    <cellStyle name="Normal 2 2 2 3 27 4 3" xfId="18372" xr:uid="{00000000-0005-0000-0000-00009E470000}"/>
    <cellStyle name="Normal 2 2 2 3 27 4 4" xfId="18373" xr:uid="{00000000-0005-0000-0000-00009F470000}"/>
    <cellStyle name="Normal 2 2 2 3 27 4 5" xfId="18374" xr:uid="{00000000-0005-0000-0000-0000A0470000}"/>
    <cellStyle name="Normal 2 2 2 3 27 4 6" xfId="18375" xr:uid="{00000000-0005-0000-0000-0000A1470000}"/>
    <cellStyle name="Normal 2 2 2 3 27 4 7" xfId="18376" xr:uid="{00000000-0005-0000-0000-0000A2470000}"/>
    <cellStyle name="Normal 2 2 2 3 27 4 8" xfId="18377" xr:uid="{00000000-0005-0000-0000-0000A3470000}"/>
    <cellStyle name="Normal 2 2 2 3 27 4 9" xfId="18378" xr:uid="{00000000-0005-0000-0000-0000A4470000}"/>
    <cellStyle name="Normal 2 2 2 3 27 5" xfId="18379" xr:uid="{00000000-0005-0000-0000-0000A5470000}"/>
    <cellStyle name="Normal 2 2 2 3 27 5 10" xfId="18380" xr:uid="{00000000-0005-0000-0000-0000A6470000}"/>
    <cellStyle name="Normal 2 2 2 3 27 5 2" xfId="18381" xr:uid="{00000000-0005-0000-0000-0000A7470000}"/>
    <cellStyle name="Normal 2 2 2 3 27 5 3" xfId="18382" xr:uid="{00000000-0005-0000-0000-0000A8470000}"/>
    <cellStyle name="Normal 2 2 2 3 27 5 4" xfId="18383" xr:uid="{00000000-0005-0000-0000-0000A9470000}"/>
    <cellStyle name="Normal 2 2 2 3 27 5 5" xfId="18384" xr:uid="{00000000-0005-0000-0000-0000AA470000}"/>
    <cellStyle name="Normal 2 2 2 3 27 5 6" xfId="18385" xr:uid="{00000000-0005-0000-0000-0000AB470000}"/>
    <cellStyle name="Normal 2 2 2 3 27 5 7" xfId="18386" xr:uid="{00000000-0005-0000-0000-0000AC470000}"/>
    <cellStyle name="Normal 2 2 2 3 27 5 8" xfId="18387" xr:uid="{00000000-0005-0000-0000-0000AD470000}"/>
    <cellStyle name="Normal 2 2 2 3 27 5 9" xfId="18388" xr:uid="{00000000-0005-0000-0000-0000AE470000}"/>
    <cellStyle name="Normal 2 2 2 3 27 6" xfId="18389" xr:uid="{00000000-0005-0000-0000-0000AF470000}"/>
    <cellStyle name="Normal 2 2 2 3 27 7" xfId="18390" xr:uid="{00000000-0005-0000-0000-0000B0470000}"/>
    <cellStyle name="Normal 2 2 2 3 27 8" xfId="18391" xr:uid="{00000000-0005-0000-0000-0000B1470000}"/>
    <cellStyle name="Normal 2 2 2 3 27 9" xfId="18392" xr:uid="{00000000-0005-0000-0000-0000B2470000}"/>
    <cellStyle name="Normal 2 2 2 3 28" xfId="18393" xr:uid="{00000000-0005-0000-0000-0000B3470000}"/>
    <cellStyle name="Normal 2 2 2 3 28 10" xfId="18394" xr:uid="{00000000-0005-0000-0000-0000B4470000}"/>
    <cellStyle name="Normal 2 2 2 3 28 11" xfId="18395" xr:uid="{00000000-0005-0000-0000-0000B5470000}"/>
    <cellStyle name="Normal 2 2 2 3 28 12" xfId="18396" xr:uid="{00000000-0005-0000-0000-0000B6470000}"/>
    <cellStyle name="Normal 2 2 2 3 28 13" xfId="18397" xr:uid="{00000000-0005-0000-0000-0000B7470000}"/>
    <cellStyle name="Normal 2 2 2 3 28 14" xfId="18398" xr:uid="{00000000-0005-0000-0000-0000B8470000}"/>
    <cellStyle name="Normal 2 2 2 3 28 2" xfId="18399" xr:uid="{00000000-0005-0000-0000-0000B9470000}"/>
    <cellStyle name="Normal 2 2 2 3 28 2 10" xfId="18400" xr:uid="{00000000-0005-0000-0000-0000BA470000}"/>
    <cellStyle name="Normal 2 2 2 3 28 2 2" xfId="18401" xr:uid="{00000000-0005-0000-0000-0000BB470000}"/>
    <cellStyle name="Normal 2 2 2 3 28 2 3" xfId="18402" xr:uid="{00000000-0005-0000-0000-0000BC470000}"/>
    <cellStyle name="Normal 2 2 2 3 28 2 4" xfId="18403" xr:uid="{00000000-0005-0000-0000-0000BD470000}"/>
    <cellStyle name="Normal 2 2 2 3 28 2 5" xfId="18404" xr:uid="{00000000-0005-0000-0000-0000BE470000}"/>
    <cellStyle name="Normal 2 2 2 3 28 2 6" xfId="18405" xr:uid="{00000000-0005-0000-0000-0000BF470000}"/>
    <cellStyle name="Normal 2 2 2 3 28 2 7" xfId="18406" xr:uid="{00000000-0005-0000-0000-0000C0470000}"/>
    <cellStyle name="Normal 2 2 2 3 28 2 8" xfId="18407" xr:uid="{00000000-0005-0000-0000-0000C1470000}"/>
    <cellStyle name="Normal 2 2 2 3 28 2 9" xfId="18408" xr:uid="{00000000-0005-0000-0000-0000C2470000}"/>
    <cellStyle name="Normal 2 2 2 3 28 3" xfId="18409" xr:uid="{00000000-0005-0000-0000-0000C3470000}"/>
    <cellStyle name="Normal 2 2 2 3 28 3 10" xfId="18410" xr:uid="{00000000-0005-0000-0000-0000C4470000}"/>
    <cellStyle name="Normal 2 2 2 3 28 3 2" xfId="18411" xr:uid="{00000000-0005-0000-0000-0000C5470000}"/>
    <cellStyle name="Normal 2 2 2 3 28 3 3" xfId="18412" xr:uid="{00000000-0005-0000-0000-0000C6470000}"/>
    <cellStyle name="Normal 2 2 2 3 28 3 4" xfId="18413" xr:uid="{00000000-0005-0000-0000-0000C7470000}"/>
    <cellStyle name="Normal 2 2 2 3 28 3 5" xfId="18414" xr:uid="{00000000-0005-0000-0000-0000C8470000}"/>
    <cellStyle name="Normal 2 2 2 3 28 3 6" xfId="18415" xr:uid="{00000000-0005-0000-0000-0000C9470000}"/>
    <cellStyle name="Normal 2 2 2 3 28 3 7" xfId="18416" xr:uid="{00000000-0005-0000-0000-0000CA470000}"/>
    <cellStyle name="Normal 2 2 2 3 28 3 8" xfId="18417" xr:uid="{00000000-0005-0000-0000-0000CB470000}"/>
    <cellStyle name="Normal 2 2 2 3 28 3 9" xfId="18418" xr:uid="{00000000-0005-0000-0000-0000CC470000}"/>
    <cellStyle name="Normal 2 2 2 3 28 4" xfId="18419" xr:uid="{00000000-0005-0000-0000-0000CD470000}"/>
    <cellStyle name="Normal 2 2 2 3 28 4 10" xfId="18420" xr:uid="{00000000-0005-0000-0000-0000CE470000}"/>
    <cellStyle name="Normal 2 2 2 3 28 4 2" xfId="18421" xr:uid="{00000000-0005-0000-0000-0000CF470000}"/>
    <cellStyle name="Normal 2 2 2 3 28 4 3" xfId="18422" xr:uid="{00000000-0005-0000-0000-0000D0470000}"/>
    <cellStyle name="Normal 2 2 2 3 28 4 4" xfId="18423" xr:uid="{00000000-0005-0000-0000-0000D1470000}"/>
    <cellStyle name="Normal 2 2 2 3 28 4 5" xfId="18424" xr:uid="{00000000-0005-0000-0000-0000D2470000}"/>
    <cellStyle name="Normal 2 2 2 3 28 4 6" xfId="18425" xr:uid="{00000000-0005-0000-0000-0000D3470000}"/>
    <cellStyle name="Normal 2 2 2 3 28 4 7" xfId="18426" xr:uid="{00000000-0005-0000-0000-0000D4470000}"/>
    <cellStyle name="Normal 2 2 2 3 28 4 8" xfId="18427" xr:uid="{00000000-0005-0000-0000-0000D5470000}"/>
    <cellStyle name="Normal 2 2 2 3 28 4 9" xfId="18428" xr:uid="{00000000-0005-0000-0000-0000D6470000}"/>
    <cellStyle name="Normal 2 2 2 3 28 5" xfId="18429" xr:uid="{00000000-0005-0000-0000-0000D7470000}"/>
    <cellStyle name="Normal 2 2 2 3 28 5 10" xfId="18430" xr:uid="{00000000-0005-0000-0000-0000D8470000}"/>
    <cellStyle name="Normal 2 2 2 3 28 5 2" xfId="18431" xr:uid="{00000000-0005-0000-0000-0000D9470000}"/>
    <cellStyle name="Normal 2 2 2 3 28 5 3" xfId="18432" xr:uid="{00000000-0005-0000-0000-0000DA470000}"/>
    <cellStyle name="Normal 2 2 2 3 28 5 4" xfId="18433" xr:uid="{00000000-0005-0000-0000-0000DB470000}"/>
    <cellStyle name="Normal 2 2 2 3 28 5 5" xfId="18434" xr:uid="{00000000-0005-0000-0000-0000DC470000}"/>
    <cellStyle name="Normal 2 2 2 3 28 5 6" xfId="18435" xr:uid="{00000000-0005-0000-0000-0000DD470000}"/>
    <cellStyle name="Normal 2 2 2 3 28 5 7" xfId="18436" xr:uid="{00000000-0005-0000-0000-0000DE470000}"/>
    <cellStyle name="Normal 2 2 2 3 28 5 8" xfId="18437" xr:uid="{00000000-0005-0000-0000-0000DF470000}"/>
    <cellStyle name="Normal 2 2 2 3 28 5 9" xfId="18438" xr:uid="{00000000-0005-0000-0000-0000E0470000}"/>
    <cellStyle name="Normal 2 2 2 3 28 6" xfId="18439" xr:uid="{00000000-0005-0000-0000-0000E1470000}"/>
    <cellStyle name="Normal 2 2 2 3 28 7" xfId="18440" xr:uid="{00000000-0005-0000-0000-0000E2470000}"/>
    <cellStyle name="Normal 2 2 2 3 28 8" xfId="18441" xr:uid="{00000000-0005-0000-0000-0000E3470000}"/>
    <cellStyle name="Normal 2 2 2 3 28 9" xfId="18442" xr:uid="{00000000-0005-0000-0000-0000E4470000}"/>
    <cellStyle name="Normal 2 2 2 3 29" xfId="18443" xr:uid="{00000000-0005-0000-0000-0000E5470000}"/>
    <cellStyle name="Normal 2 2 2 3 29 10" xfId="18444" xr:uid="{00000000-0005-0000-0000-0000E6470000}"/>
    <cellStyle name="Normal 2 2 2 3 29 11" xfId="18445" xr:uid="{00000000-0005-0000-0000-0000E7470000}"/>
    <cellStyle name="Normal 2 2 2 3 29 12" xfId="18446" xr:uid="{00000000-0005-0000-0000-0000E8470000}"/>
    <cellStyle name="Normal 2 2 2 3 29 13" xfId="18447" xr:uid="{00000000-0005-0000-0000-0000E9470000}"/>
    <cellStyle name="Normal 2 2 2 3 29 14" xfId="18448" xr:uid="{00000000-0005-0000-0000-0000EA470000}"/>
    <cellStyle name="Normal 2 2 2 3 29 2" xfId="18449" xr:uid="{00000000-0005-0000-0000-0000EB470000}"/>
    <cellStyle name="Normal 2 2 2 3 29 2 10" xfId="18450" xr:uid="{00000000-0005-0000-0000-0000EC470000}"/>
    <cellStyle name="Normal 2 2 2 3 29 2 2" xfId="18451" xr:uid="{00000000-0005-0000-0000-0000ED470000}"/>
    <cellStyle name="Normal 2 2 2 3 29 2 3" xfId="18452" xr:uid="{00000000-0005-0000-0000-0000EE470000}"/>
    <cellStyle name="Normal 2 2 2 3 29 2 4" xfId="18453" xr:uid="{00000000-0005-0000-0000-0000EF470000}"/>
    <cellStyle name="Normal 2 2 2 3 29 2 5" xfId="18454" xr:uid="{00000000-0005-0000-0000-0000F0470000}"/>
    <cellStyle name="Normal 2 2 2 3 29 2 6" xfId="18455" xr:uid="{00000000-0005-0000-0000-0000F1470000}"/>
    <cellStyle name="Normal 2 2 2 3 29 2 7" xfId="18456" xr:uid="{00000000-0005-0000-0000-0000F2470000}"/>
    <cellStyle name="Normal 2 2 2 3 29 2 8" xfId="18457" xr:uid="{00000000-0005-0000-0000-0000F3470000}"/>
    <cellStyle name="Normal 2 2 2 3 29 2 9" xfId="18458" xr:uid="{00000000-0005-0000-0000-0000F4470000}"/>
    <cellStyle name="Normal 2 2 2 3 29 3" xfId="18459" xr:uid="{00000000-0005-0000-0000-0000F5470000}"/>
    <cellStyle name="Normal 2 2 2 3 29 3 10" xfId="18460" xr:uid="{00000000-0005-0000-0000-0000F6470000}"/>
    <cellStyle name="Normal 2 2 2 3 29 3 2" xfId="18461" xr:uid="{00000000-0005-0000-0000-0000F7470000}"/>
    <cellStyle name="Normal 2 2 2 3 29 3 3" xfId="18462" xr:uid="{00000000-0005-0000-0000-0000F8470000}"/>
    <cellStyle name="Normal 2 2 2 3 29 3 4" xfId="18463" xr:uid="{00000000-0005-0000-0000-0000F9470000}"/>
    <cellStyle name="Normal 2 2 2 3 29 3 5" xfId="18464" xr:uid="{00000000-0005-0000-0000-0000FA470000}"/>
    <cellStyle name="Normal 2 2 2 3 29 3 6" xfId="18465" xr:uid="{00000000-0005-0000-0000-0000FB470000}"/>
    <cellStyle name="Normal 2 2 2 3 29 3 7" xfId="18466" xr:uid="{00000000-0005-0000-0000-0000FC470000}"/>
    <cellStyle name="Normal 2 2 2 3 29 3 8" xfId="18467" xr:uid="{00000000-0005-0000-0000-0000FD470000}"/>
    <cellStyle name="Normal 2 2 2 3 29 3 9" xfId="18468" xr:uid="{00000000-0005-0000-0000-0000FE470000}"/>
    <cellStyle name="Normal 2 2 2 3 29 4" xfId="18469" xr:uid="{00000000-0005-0000-0000-0000FF470000}"/>
    <cellStyle name="Normal 2 2 2 3 29 4 10" xfId="18470" xr:uid="{00000000-0005-0000-0000-000000480000}"/>
    <cellStyle name="Normal 2 2 2 3 29 4 2" xfId="18471" xr:uid="{00000000-0005-0000-0000-000001480000}"/>
    <cellStyle name="Normal 2 2 2 3 29 4 3" xfId="18472" xr:uid="{00000000-0005-0000-0000-000002480000}"/>
    <cellStyle name="Normal 2 2 2 3 29 4 4" xfId="18473" xr:uid="{00000000-0005-0000-0000-000003480000}"/>
    <cellStyle name="Normal 2 2 2 3 29 4 5" xfId="18474" xr:uid="{00000000-0005-0000-0000-000004480000}"/>
    <cellStyle name="Normal 2 2 2 3 29 4 6" xfId="18475" xr:uid="{00000000-0005-0000-0000-000005480000}"/>
    <cellStyle name="Normal 2 2 2 3 29 4 7" xfId="18476" xr:uid="{00000000-0005-0000-0000-000006480000}"/>
    <cellStyle name="Normal 2 2 2 3 29 4 8" xfId="18477" xr:uid="{00000000-0005-0000-0000-000007480000}"/>
    <cellStyle name="Normal 2 2 2 3 29 4 9" xfId="18478" xr:uid="{00000000-0005-0000-0000-000008480000}"/>
    <cellStyle name="Normal 2 2 2 3 29 5" xfId="18479" xr:uid="{00000000-0005-0000-0000-000009480000}"/>
    <cellStyle name="Normal 2 2 2 3 29 5 10" xfId="18480" xr:uid="{00000000-0005-0000-0000-00000A480000}"/>
    <cellStyle name="Normal 2 2 2 3 29 5 2" xfId="18481" xr:uid="{00000000-0005-0000-0000-00000B480000}"/>
    <cellStyle name="Normal 2 2 2 3 29 5 3" xfId="18482" xr:uid="{00000000-0005-0000-0000-00000C480000}"/>
    <cellStyle name="Normal 2 2 2 3 29 5 4" xfId="18483" xr:uid="{00000000-0005-0000-0000-00000D480000}"/>
    <cellStyle name="Normal 2 2 2 3 29 5 5" xfId="18484" xr:uid="{00000000-0005-0000-0000-00000E480000}"/>
    <cellStyle name="Normal 2 2 2 3 29 5 6" xfId="18485" xr:uid="{00000000-0005-0000-0000-00000F480000}"/>
    <cellStyle name="Normal 2 2 2 3 29 5 7" xfId="18486" xr:uid="{00000000-0005-0000-0000-000010480000}"/>
    <cellStyle name="Normal 2 2 2 3 29 5 8" xfId="18487" xr:uid="{00000000-0005-0000-0000-000011480000}"/>
    <cellStyle name="Normal 2 2 2 3 29 5 9" xfId="18488" xr:uid="{00000000-0005-0000-0000-000012480000}"/>
    <cellStyle name="Normal 2 2 2 3 29 6" xfId="18489" xr:uid="{00000000-0005-0000-0000-000013480000}"/>
    <cellStyle name="Normal 2 2 2 3 29 7" xfId="18490" xr:uid="{00000000-0005-0000-0000-000014480000}"/>
    <cellStyle name="Normal 2 2 2 3 29 8" xfId="18491" xr:uid="{00000000-0005-0000-0000-000015480000}"/>
    <cellStyle name="Normal 2 2 2 3 29 9" xfId="18492" xr:uid="{00000000-0005-0000-0000-000016480000}"/>
    <cellStyle name="Normal 2 2 2 3 3" xfId="18493" xr:uid="{00000000-0005-0000-0000-000017480000}"/>
    <cellStyle name="Normal 2 2 2 3 3 10" xfId="18494" xr:uid="{00000000-0005-0000-0000-000018480000}"/>
    <cellStyle name="Normal 2 2 2 3 3 11" xfId="18495" xr:uid="{00000000-0005-0000-0000-000019480000}"/>
    <cellStyle name="Normal 2 2 2 3 3 12" xfId="18496" xr:uid="{00000000-0005-0000-0000-00001A480000}"/>
    <cellStyle name="Normal 2 2 2 3 3 13" xfId="18497" xr:uid="{00000000-0005-0000-0000-00001B480000}"/>
    <cellStyle name="Normal 2 2 2 3 3 14" xfId="18498" xr:uid="{00000000-0005-0000-0000-00001C480000}"/>
    <cellStyle name="Normal 2 2 2 3 3 15" xfId="18499" xr:uid="{00000000-0005-0000-0000-00001D480000}"/>
    <cellStyle name="Normal 2 2 2 3 3 16" xfId="18500" xr:uid="{00000000-0005-0000-0000-00001E480000}"/>
    <cellStyle name="Normal 2 2 2 3 3 2" xfId="18501" xr:uid="{00000000-0005-0000-0000-00001F480000}"/>
    <cellStyle name="Normal 2 2 2 3 3 2 10" xfId="18502" xr:uid="{00000000-0005-0000-0000-000020480000}"/>
    <cellStyle name="Normal 2 2 2 3 3 2 11" xfId="18503" xr:uid="{00000000-0005-0000-0000-000021480000}"/>
    <cellStyle name="Normal 2 2 2 3 3 2 12" xfId="18504" xr:uid="{00000000-0005-0000-0000-000022480000}"/>
    <cellStyle name="Normal 2 2 2 3 3 2 2" xfId="18505" xr:uid="{00000000-0005-0000-0000-000023480000}"/>
    <cellStyle name="Normal 2 2 2 3 3 2 3" xfId="18506" xr:uid="{00000000-0005-0000-0000-000024480000}"/>
    <cellStyle name="Normal 2 2 2 3 3 2 4" xfId="18507" xr:uid="{00000000-0005-0000-0000-000025480000}"/>
    <cellStyle name="Normal 2 2 2 3 3 2 5" xfId="18508" xr:uid="{00000000-0005-0000-0000-000026480000}"/>
    <cellStyle name="Normal 2 2 2 3 3 2 6" xfId="18509" xr:uid="{00000000-0005-0000-0000-000027480000}"/>
    <cellStyle name="Normal 2 2 2 3 3 2 7" xfId="18510" xr:uid="{00000000-0005-0000-0000-000028480000}"/>
    <cellStyle name="Normal 2 2 2 3 3 2 8" xfId="18511" xr:uid="{00000000-0005-0000-0000-000029480000}"/>
    <cellStyle name="Normal 2 2 2 3 3 2 9" xfId="18512" xr:uid="{00000000-0005-0000-0000-00002A480000}"/>
    <cellStyle name="Normal 2 2 2 3 3 3" xfId="18513" xr:uid="{00000000-0005-0000-0000-00002B480000}"/>
    <cellStyle name="Normal 2 2 2 3 3 3 10" xfId="18514" xr:uid="{00000000-0005-0000-0000-00002C480000}"/>
    <cellStyle name="Normal 2 2 2 3 3 3 2" xfId="18515" xr:uid="{00000000-0005-0000-0000-00002D480000}"/>
    <cellStyle name="Normal 2 2 2 3 3 3 3" xfId="18516" xr:uid="{00000000-0005-0000-0000-00002E480000}"/>
    <cellStyle name="Normal 2 2 2 3 3 3 4" xfId="18517" xr:uid="{00000000-0005-0000-0000-00002F480000}"/>
    <cellStyle name="Normal 2 2 2 3 3 3 5" xfId="18518" xr:uid="{00000000-0005-0000-0000-000030480000}"/>
    <cellStyle name="Normal 2 2 2 3 3 3 6" xfId="18519" xr:uid="{00000000-0005-0000-0000-000031480000}"/>
    <cellStyle name="Normal 2 2 2 3 3 3 7" xfId="18520" xr:uid="{00000000-0005-0000-0000-000032480000}"/>
    <cellStyle name="Normal 2 2 2 3 3 3 8" xfId="18521" xr:uid="{00000000-0005-0000-0000-000033480000}"/>
    <cellStyle name="Normal 2 2 2 3 3 3 9" xfId="18522" xr:uid="{00000000-0005-0000-0000-000034480000}"/>
    <cellStyle name="Normal 2 2 2 3 3 4" xfId="18523" xr:uid="{00000000-0005-0000-0000-000035480000}"/>
    <cellStyle name="Normal 2 2 2 3 3 4 10" xfId="18524" xr:uid="{00000000-0005-0000-0000-000036480000}"/>
    <cellStyle name="Normal 2 2 2 3 3 4 2" xfId="18525" xr:uid="{00000000-0005-0000-0000-000037480000}"/>
    <cellStyle name="Normal 2 2 2 3 3 4 3" xfId="18526" xr:uid="{00000000-0005-0000-0000-000038480000}"/>
    <cellStyle name="Normal 2 2 2 3 3 4 4" xfId="18527" xr:uid="{00000000-0005-0000-0000-000039480000}"/>
    <cellStyle name="Normal 2 2 2 3 3 4 5" xfId="18528" xr:uid="{00000000-0005-0000-0000-00003A480000}"/>
    <cellStyle name="Normal 2 2 2 3 3 4 6" xfId="18529" xr:uid="{00000000-0005-0000-0000-00003B480000}"/>
    <cellStyle name="Normal 2 2 2 3 3 4 7" xfId="18530" xr:uid="{00000000-0005-0000-0000-00003C480000}"/>
    <cellStyle name="Normal 2 2 2 3 3 4 8" xfId="18531" xr:uid="{00000000-0005-0000-0000-00003D480000}"/>
    <cellStyle name="Normal 2 2 2 3 3 4 9" xfId="18532" xr:uid="{00000000-0005-0000-0000-00003E480000}"/>
    <cellStyle name="Normal 2 2 2 3 3 5" xfId="18533" xr:uid="{00000000-0005-0000-0000-00003F480000}"/>
    <cellStyle name="Normal 2 2 2 3 3 5 10" xfId="18534" xr:uid="{00000000-0005-0000-0000-000040480000}"/>
    <cellStyle name="Normal 2 2 2 3 3 5 2" xfId="18535" xr:uid="{00000000-0005-0000-0000-000041480000}"/>
    <cellStyle name="Normal 2 2 2 3 3 5 3" xfId="18536" xr:uid="{00000000-0005-0000-0000-000042480000}"/>
    <cellStyle name="Normal 2 2 2 3 3 5 4" xfId="18537" xr:uid="{00000000-0005-0000-0000-000043480000}"/>
    <cellStyle name="Normal 2 2 2 3 3 5 5" xfId="18538" xr:uid="{00000000-0005-0000-0000-000044480000}"/>
    <cellStyle name="Normal 2 2 2 3 3 5 6" xfId="18539" xr:uid="{00000000-0005-0000-0000-000045480000}"/>
    <cellStyle name="Normal 2 2 2 3 3 5 7" xfId="18540" xr:uid="{00000000-0005-0000-0000-000046480000}"/>
    <cellStyle name="Normal 2 2 2 3 3 5 8" xfId="18541" xr:uid="{00000000-0005-0000-0000-000047480000}"/>
    <cellStyle name="Normal 2 2 2 3 3 5 9" xfId="18542" xr:uid="{00000000-0005-0000-0000-000048480000}"/>
    <cellStyle name="Normal 2 2 2 3 3 6" xfId="18543" xr:uid="{00000000-0005-0000-0000-000049480000}"/>
    <cellStyle name="Normal 2 2 2 3 3 7" xfId="18544" xr:uid="{00000000-0005-0000-0000-00004A480000}"/>
    <cellStyle name="Normal 2 2 2 3 3 8" xfId="18545" xr:uid="{00000000-0005-0000-0000-00004B480000}"/>
    <cellStyle name="Normal 2 2 2 3 3 9" xfId="18546" xr:uid="{00000000-0005-0000-0000-00004C480000}"/>
    <cellStyle name="Normal 2 2 2 3 30" xfId="18547" xr:uid="{00000000-0005-0000-0000-00004D480000}"/>
    <cellStyle name="Normal 2 2 2 3 30 10" xfId="18548" xr:uid="{00000000-0005-0000-0000-00004E480000}"/>
    <cellStyle name="Normal 2 2 2 3 30 11" xfId="18549" xr:uid="{00000000-0005-0000-0000-00004F480000}"/>
    <cellStyle name="Normal 2 2 2 3 30 12" xfId="18550" xr:uid="{00000000-0005-0000-0000-000050480000}"/>
    <cellStyle name="Normal 2 2 2 3 30 13" xfId="18551" xr:uid="{00000000-0005-0000-0000-000051480000}"/>
    <cellStyle name="Normal 2 2 2 3 30 14" xfId="18552" xr:uid="{00000000-0005-0000-0000-000052480000}"/>
    <cellStyle name="Normal 2 2 2 3 30 2" xfId="18553" xr:uid="{00000000-0005-0000-0000-000053480000}"/>
    <cellStyle name="Normal 2 2 2 3 30 2 10" xfId="18554" xr:uid="{00000000-0005-0000-0000-000054480000}"/>
    <cellStyle name="Normal 2 2 2 3 30 2 2" xfId="18555" xr:uid="{00000000-0005-0000-0000-000055480000}"/>
    <cellStyle name="Normal 2 2 2 3 30 2 3" xfId="18556" xr:uid="{00000000-0005-0000-0000-000056480000}"/>
    <cellStyle name="Normal 2 2 2 3 30 2 4" xfId="18557" xr:uid="{00000000-0005-0000-0000-000057480000}"/>
    <cellStyle name="Normal 2 2 2 3 30 2 5" xfId="18558" xr:uid="{00000000-0005-0000-0000-000058480000}"/>
    <cellStyle name="Normal 2 2 2 3 30 2 6" xfId="18559" xr:uid="{00000000-0005-0000-0000-000059480000}"/>
    <cellStyle name="Normal 2 2 2 3 30 2 7" xfId="18560" xr:uid="{00000000-0005-0000-0000-00005A480000}"/>
    <cellStyle name="Normal 2 2 2 3 30 2 8" xfId="18561" xr:uid="{00000000-0005-0000-0000-00005B480000}"/>
    <cellStyle name="Normal 2 2 2 3 30 2 9" xfId="18562" xr:uid="{00000000-0005-0000-0000-00005C480000}"/>
    <cellStyle name="Normal 2 2 2 3 30 3" xfId="18563" xr:uid="{00000000-0005-0000-0000-00005D480000}"/>
    <cellStyle name="Normal 2 2 2 3 30 3 10" xfId="18564" xr:uid="{00000000-0005-0000-0000-00005E480000}"/>
    <cellStyle name="Normal 2 2 2 3 30 3 2" xfId="18565" xr:uid="{00000000-0005-0000-0000-00005F480000}"/>
    <cellStyle name="Normal 2 2 2 3 30 3 3" xfId="18566" xr:uid="{00000000-0005-0000-0000-000060480000}"/>
    <cellStyle name="Normal 2 2 2 3 30 3 4" xfId="18567" xr:uid="{00000000-0005-0000-0000-000061480000}"/>
    <cellStyle name="Normal 2 2 2 3 30 3 5" xfId="18568" xr:uid="{00000000-0005-0000-0000-000062480000}"/>
    <cellStyle name="Normal 2 2 2 3 30 3 6" xfId="18569" xr:uid="{00000000-0005-0000-0000-000063480000}"/>
    <cellStyle name="Normal 2 2 2 3 30 3 7" xfId="18570" xr:uid="{00000000-0005-0000-0000-000064480000}"/>
    <cellStyle name="Normal 2 2 2 3 30 3 8" xfId="18571" xr:uid="{00000000-0005-0000-0000-000065480000}"/>
    <cellStyle name="Normal 2 2 2 3 30 3 9" xfId="18572" xr:uid="{00000000-0005-0000-0000-000066480000}"/>
    <cellStyle name="Normal 2 2 2 3 30 4" xfId="18573" xr:uid="{00000000-0005-0000-0000-000067480000}"/>
    <cellStyle name="Normal 2 2 2 3 30 4 10" xfId="18574" xr:uid="{00000000-0005-0000-0000-000068480000}"/>
    <cellStyle name="Normal 2 2 2 3 30 4 2" xfId="18575" xr:uid="{00000000-0005-0000-0000-000069480000}"/>
    <cellStyle name="Normal 2 2 2 3 30 4 3" xfId="18576" xr:uid="{00000000-0005-0000-0000-00006A480000}"/>
    <cellStyle name="Normal 2 2 2 3 30 4 4" xfId="18577" xr:uid="{00000000-0005-0000-0000-00006B480000}"/>
    <cellStyle name="Normal 2 2 2 3 30 4 5" xfId="18578" xr:uid="{00000000-0005-0000-0000-00006C480000}"/>
    <cellStyle name="Normal 2 2 2 3 30 4 6" xfId="18579" xr:uid="{00000000-0005-0000-0000-00006D480000}"/>
    <cellStyle name="Normal 2 2 2 3 30 4 7" xfId="18580" xr:uid="{00000000-0005-0000-0000-00006E480000}"/>
    <cellStyle name="Normal 2 2 2 3 30 4 8" xfId="18581" xr:uid="{00000000-0005-0000-0000-00006F480000}"/>
    <cellStyle name="Normal 2 2 2 3 30 4 9" xfId="18582" xr:uid="{00000000-0005-0000-0000-000070480000}"/>
    <cellStyle name="Normal 2 2 2 3 30 5" xfId="18583" xr:uid="{00000000-0005-0000-0000-000071480000}"/>
    <cellStyle name="Normal 2 2 2 3 30 5 10" xfId="18584" xr:uid="{00000000-0005-0000-0000-000072480000}"/>
    <cellStyle name="Normal 2 2 2 3 30 5 2" xfId="18585" xr:uid="{00000000-0005-0000-0000-000073480000}"/>
    <cellStyle name="Normal 2 2 2 3 30 5 3" xfId="18586" xr:uid="{00000000-0005-0000-0000-000074480000}"/>
    <cellStyle name="Normal 2 2 2 3 30 5 4" xfId="18587" xr:uid="{00000000-0005-0000-0000-000075480000}"/>
    <cellStyle name="Normal 2 2 2 3 30 5 5" xfId="18588" xr:uid="{00000000-0005-0000-0000-000076480000}"/>
    <cellStyle name="Normal 2 2 2 3 30 5 6" xfId="18589" xr:uid="{00000000-0005-0000-0000-000077480000}"/>
    <cellStyle name="Normal 2 2 2 3 30 5 7" xfId="18590" xr:uid="{00000000-0005-0000-0000-000078480000}"/>
    <cellStyle name="Normal 2 2 2 3 30 5 8" xfId="18591" xr:uid="{00000000-0005-0000-0000-000079480000}"/>
    <cellStyle name="Normal 2 2 2 3 30 5 9" xfId="18592" xr:uid="{00000000-0005-0000-0000-00007A480000}"/>
    <cellStyle name="Normal 2 2 2 3 30 6" xfId="18593" xr:uid="{00000000-0005-0000-0000-00007B480000}"/>
    <cellStyle name="Normal 2 2 2 3 30 7" xfId="18594" xr:uid="{00000000-0005-0000-0000-00007C480000}"/>
    <cellStyle name="Normal 2 2 2 3 30 8" xfId="18595" xr:uid="{00000000-0005-0000-0000-00007D480000}"/>
    <cellStyle name="Normal 2 2 2 3 30 9" xfId="18596" xr:uid="{00000000-0005-0000-0000-00007E480000}"/>
    <cellStyle name="Normal 2 2 2 3 31" xfId="18597" xr:uid="{00000000-0005-0000-0000-00007F480000}"/>
    <cellStyle name="Normal 2 2 2 3 31 10" xfId="18598" xr:uid="{00000000-0005-0000-0000-000080480000}"/>
    <cellStyle name="Normal 2 2 2 3 31 11" xfId="18599" xr:uid="{00000000-0005-0000-0000-000081480000}"/>
    <cellStyle name="Normal 2 2 2 3 31 12" xfId="18600" xr:uid="{00000000-0005-0000-0000-000082480000}"/>
    <cellStyle name="Normal 2 2 2 3 31 13" xfId="18601" xr:uid="{00000000-0005-0000-0000-000083480000}"/>
    <cellStyle name="Normal 2 2 2 3 31 14" xfId="18602" xr:uid="{00000000-0005-0000-0000-000084480000}"/>
    <cellStyle name="Normal 2 2 2 3 31 2" xfId="18603" xr:uid="{00000000-0005-0000-0000-000085480000}"/>
    <cellStyle name="Normal 2 2 2 3 31 2 10" xfId="18604" xr:uid="{00000000-0005-0000-0000-000086480000}"/>
    <cellStyle name="Normal 2 2 2 3 31 2 2" xfId="18605" xr:uid="{00000000-0005-0000-0000-000087480000}"/>
    <cellStyle name="Normal 2 2 2 3 31 2 3" xfId="18606" xr:uid="{00000000-0005-0000-0000-000088480000}"/>
    <cellStyle name="Normal 2 2 2 3 31 2 4" xfId="18607" xr:uid="{00000000-0005-0000-0000-000089480000}"/>
    <cellStyle name="Normal 2 2 2 3 31 2 5" xfId="18608" xr:uid="{00000000-0005-0000-0000-00008A480000}"/>
    <cellStyle name="Normal 2 2 2 3 31 2 6" xfId="18609" xr:uid="{00000000-0005-0000-0000-00008B480000}"/>
    <cellStyle name="Normal 2 2 2 3 31 2 7" xfId="18610" xr:uid="{00000000-0005-0000-0000-00008C480000}"/>
    <cellStyle name="Normal 2 2 2 3 31 2 8" xfId="18611" xr:uid="{00000000-0005-0000-0000-00008D480000}"/>
    <cellStyle name="Normal 2 2 2 3 31 2 9" xfId="18612" xr:uid="{00000000-0005-0000-0000-00008E480000}"/>
    <cellStyle name="Normal 2 2 2 3 31 3" xfId="18613" xr:uid="{00000000-0005-0000-0000-00008F480000}"/>
    <cellStyle name="Normal 2 2 2 3 31 3 10" xfId="18614" xr:uid="{00000000-0005-0000-0000-000090480000}"/>
    <cellStyle name="Normal 2 2 2 3 31 3 2" xfId="18615" xr:uid="{00000000-0005-0000-0000-000091480000}"/>
    <cellStyle name="Normal 2 2 2 3 31 3 3" xfId="18616" xr:uid="{00000000-0005-0000-0000-000092480000}"/>
    <cellStyle name="Normal 2 2 2 3 31 3 4" xfId="18617" xr:uid="{00000000-0005-0000-0000-000093480000}"/>
    <cellStyle name="Normal 2 2 2 3 31 3 5" xfId="18618" xr:uid="{00000000-0005-0000-0000-000094480000}"/>
    <cellStyle name="Normal 2 2 2 3 31 3 6" xfId="18619" xr:uid="{00000000-0005-0000-0000-000095480000}"/>
    <cellStyle name="Normal 2 2 2 3 31 3 7" xfId="18620" xr:uid="{00000000-0005-0000-0000-000096480000}"/>
    <cellStyle name="Normal 2 2 2 3 31 3 8" xfId="18621" xr:uid="{00000000-0005-0000-0000-000097480000}"/>
    <cellStyle name="Normal 2 2 2 3 31 3 9" xfId="18622" xr:uid="{00000000-0005-0000-0000-000098480000}"/>
    <cellStyle name="Normal 2 2 2 3 31 4" xfId="18623" xr:uid="{00000000-0005-0000-0000-000099480000}"/>
    <cellStyle name="Normal 2 2 2 3 31 4 10" xfId="18624" xr:uid="{00000000-0005-0000-0000-00009A480000}"/>
    <cellStyle name="Normal 2 2 2 3 31 4 2" xfId="18625" xr:uid="{00000000-0005-0000-0000-00009B480000}"/>
    <cellStyle name="Normal 2 2 2 3 31 4 3" xfId="18626" xr:uid="{00000000-0005-0000-0000-00009C480000}"/>
    <cellStyle name="Normal 2 2 2 3 31 4 4" xfId="18627" xr:uid="{00000000-0005-0000-0000-00009D480000}"/>
    <cellStyle name="Normal 2 2 2 3 31 4 5" xfId="18628" xr:uid="{00000000-0005-0000-0000-00009E480000}"/>
    <cellStyle name="Normal 2 2 2 3 31 4 6" xfId="18629" xr:uid="{00000000-0005-0000-0000-00009F480000}"/>
    <cellStyle name="Normal 2 2 2 3 31 4 7" xfId="18630" xr:uid="{00000000-0005-0000-0000-0000A0480000}"/>
    <cellStyle name="Normal 2 2 2 3 31 4 8" xfId="18631" xr:uid="{00000000-0005-0000-0000-0000A1480000}"/>
    <cellStyle name="Normal 2 2 2 3 31 4 9" xfId="18632" xr:uid="{00000000-0005-0000-0000-0000A2480000}"/>
    <cellStyle name="Normal 2 2 2 3 31 5" xfId="18633" xr:uid="{00000000-0005-0000-0000-0000A3480000}"/>
    <cellStyle name="Normal 2 2 2 3 31 5 10" xfId="18634" xr:uid="{00000000-0005-0000-0000-0000A4480000}"/>
    <cellStyle name="Normal 2 2 2 3 31 5 2" xfId="18635" xr:uid="{00000000-0005-0000-0000-0000A5480000}"/>
    <cellStyle name="Normal 2 2 2 3 31 5 3" xfId="18636" xr:uid="{00000000-0005-0000-0000-0000A6480000}"/>
    <cellStyle name="Normal 2 2 2 3 31 5 4" xfId="18637" xr:uid="{00000000-0005-0000-0000-0000A7480000}"/>
    <cellStyle name="Normal 2 2 2 3 31 5 5" xfId="18638" xr:uid="{00000000-0005-0000-0000-0000A8480000}"/>
    <cellStyle name="Normal 2 2 2 3 31 5 6" xfId="18639" xr:uid="{00000000-0005-0000-0000-0000A9480000}"/>
    <cellStyle name="Normal 2 2 2 3 31 5 7" xfId="18640" xr:uid="{00000000-0005-0000-0000-0000AA480000}"/>
    <cellStyle name="Normal 2 2 2 3 31 5 8" xfId="18641" xr:uid="{00000000-0005-0000-0000-0000AB480000}"/>
    <cellStyle name="Normal 2 2 2 3 31 5 9" xfId="18642" xr:uid="{00000000-0005-0000-0000-0000AC480000}"/>
    <cellStyle name="Normal 2 2 2 3 31 6" xfId="18643" xr:uid="{00000000-0005-0000-0000-0000AD480000}"/>
    <cellStyle name="Normal 2 2 2 3 31 7" xfId="18644" xr:uid="{00000000-0005-0000-0000-0000AE480000}"/>
    <cellStyle name="Normal 2 2 2 3 31 8" xfId="18645" xr:uid="{00000000-0005-0000-0000-0000AF480000}"/>
    <cellStyle name="Normal 2 2 2 3 31 9" xfId="18646" xr:uid="{00000000-0005-0000-0000-0000B0480000}"/>
    <cellStyle name="Normal 2 2 2 3 32" xfId="18647" xr:uid="{00000000-0005-0000-0000-0000B1480000}"/>
    <cellStyle name="Normal 2 2 2 3 32 10" xfId="18648" xr:uid="{00000000-0005-0000-0000-0000B2480000}"/>
    <cellStyle name="Normal 2 2 2 3 32 11" xfId="18649" xr:uid="{00000000-0005-0000-0000-0000B3480000}"/>
    <cellStyle name="Normal 2 2 2 3 32 12" xfId="18650" xr:uid="{00000000-0005-0000-0000-0000B4480000}"/>
    <cellStyle name="Normal 2 2 2 3 32 13" xfId="18651" xr:uid="{00000000-0005-0000-0000-0000B5480000}"/>
    <cellStyle name="Normal 2 2 2 3 32 14" xfId="18652" xr:uid="{00000000-0005-0000-0000-0000B6480000}"/>
    <cellStyle name="Normal 2 2 2 3 32 2" xfId="18653" xr:uid="{00000000-0005-0000-0000-0000B7480000}"/>
    <cellStyle name="Normal 2 2 2 3 32 2 10" xfId="18654" xr:uid="{00000000-0005-0000-0000-0000B8480000}"/>
    <cellStyle name="Normal 2 2 2 3 32 2 2" xfId="18655" xr:uid="{00000000-0005-0000-0000-0000B9480000}"/>
    <cellStyle name="Normal 2 2 2 3 32 2 3" xfId="18656" xr:uid="{00000000-0005-0000-0000-0000BA480000}"/>
    <cellStyle name="Normal 2 2 2 3 32 2 4" xfId="18657" xr:uid="{00000000-0005-0000-0000-0000BB480000}"/>
    <cellStyle name="Normal 2 2 2 3 32 2 5" xfId="18658" xr:uid="{00000000-0005-0000-0000-0000BC480000}"/>
    <cellStyle name="Normal 2 2 2 3 32 2 6" xfId="18659" xr:uid="{00000000-0005-0000-0000-0000BD480000}"/>
    <cellStyle name="Normal 2 2 2 3 32 2 7" xfId="18660" xr:uid="{00000000-0005-0000-0000-0000BE480000}"/>
    <cellStyle name="Normal 2 2 2 3 32 2 8" xfId="18661" xr:uid="{00000000-0005-0000-0000-0000BF480000}"/>
    <cellStyle name="Normal 2 2 2 3 32 2 9" xfId="18662" xr:uid="{00000000-0005-0000-0000-0000C0480000}"/>
    <cellStyle name="Normal 2 2 2 3 32 3" xfId="18663" xr:uid="{00000000-0005-0000-0000-0000C1480000}"/>
    <cellStyle name="Normal 2 2 2 3 32 3 10" xfId="18664" xr:uid="{00000000-0005-0000-0000-0000C2480000}"/>
    <cellStyle name="Normal 2 2 2 3 32 3 2" xfId="18665" xr:uid="{00000000-0005-0000-0000-0000C3480000}"/>
    <cellStyle name="Normal 2 2 2 3 32 3 3" xfId="18666" xr:uid="{00000000-0005-0000-0000-0000C4480000}"/>
    <cellStyle name="Normal 2 2 2 3 32 3 4" xfId="18667" xr:uid="{00000000-0005-0000-0000-0000C5480000}"/>
    <cellStyle name="Normal 2 2 2 3 32 3 5" xfId="18668" xr:uid="{00000000-0005-0000-0000-0000C6480000}"/>
    <cellStyle name="Normal 2 2 2 3 32 3 6" xfId="18669" xr:uid="{00000000-0005-0000-0000-0000C7480000}"/>
    <cellStyle name="Normal 2 2 2 3 32 3 7" xfId="18670" xr:uid="{00000000-0005-0000-0000-0000C8480000}"/>
    <cellStyle name="Normal 2 2 2 3 32 3 8" xfId="18671" xr:uid="{00000000-0005-0000-0000-0000C9480000}"/>
    <cellStyle name="Normal 2 2 2 3 32 3 9" xfId="18672" xr:uid="{00000000-0005-0000-0000-0000CA480000}"/>
    <cellStyle name="Normal 2 2 2 3 32 4" xfId="18673" xr:uid="{00000000-0005-0000-0000-0000CB480000}"/>
    <cellStyle name="Normal 2 2 2 3 32 4 10" xfId="18674" xr:uid="{00000000-0005-0000-0000-0000CC480000}"/>
    <cellStyle name="Normal 2 2 2 3 32 4 2" xfId="18675" xr:uid="{00000000-0005-0000-0000-0000CD480000}"/>
    <cellStyle name="Normal 2 2 2 3 32 4 3" xfId="18676" xr:uid="{00000000-0005-0000-0000-0000CE480000}"/>
    <cellStyle name="Normal 2 2 2 3 32 4 4" xfId="18677" xr:uid="{00000000-0005-0000-0000-0000CF480000}"/>
    <cellStyle name="Normal 2 2 2 3 32 4 5" xfId="18678" xr:uid="{00000000-0005-0000-0000-0000D0480000}"/>
    <cellStyle name="Normal 2 2 2 3 32 4 6" xfId="18679" xr:uid="{00000000-0005-0000-0000-0000D1480000}"/>
    <cellStyle name="Normal 2 2 2 3 32 4 7" xfId="18680" xr:uid="{00000000-0005-0000-0000-0000D2480000}"/>
    <cellStyle name="Normal 2 2 2 3 32 4 8" xfId="18681" xr:uid="{00000000-0005-0000-0000-0000D3480000}"/>
    <cellStyle name="Normal 2 2 2 3 32 4 9" xfId="18682" xr:uid="{00000000-0005-0000-0000-0000D4480000}"/>
    <cellStyle name="Normal 2 2 2 3 32 5" xfId="18683" xr:uid="{00000000-0005-0000-0000-0000D5480000}"/>
    <cellStyle name="Normal 2 2 2 3 32 5 10" xfId="18684" xr:uid="{00000000-0005-0000-0000-0000D6480000}"/>
    <cellStyle name="Normal 2 2 2 3 32 5 2" xfId="18685" xr:uid="{00000000-0005-0000-0000-0000D7480000}"/>
    <cellStyle name="Normal 2 2 2 3 32 5 3" xfId="18686" xr:uid="{00000000-0005-0000-0000-0000D8480000}"/>
    <cellStyle name="Normal 2 2 2 3 32 5 4" xfId="18687" xr:uid="{00000000-0005-0000-0000-0000D9480000}"/>
    <cellStyle name="Normal 2 2 2 3 32 5 5" xfId="18688" xr:uid="{00000000-0005-0000-0000-0000DA480000}"/>
    <cellStyle name="Normal 2 2 2 3 32 5 6" xfId="18689" xr:uid="{00000000-0005-0000-0000-0000DB480000}"/>
    <cellStyle name="Normal 2 2 2 3 32 5 7" xfId="18690" xr:uid="{00000000-0005-0000-0000-0000DC480000}"/>
    <cellStyle name="Normal 2 2 2 3 32 5 8" xfId="18691" xr:uid="{00000000-0005-0000-0000-0000DD480000}"/>
    <cellStyle name="Normal 2 2 2 3 32 5 9" xfId="18692" xr:uid="{00000000-0005-0000-0000-0000DE480000}"/>
    <cellStyle name="Normal 2 2 2 3 32 6" xfId="18693" xr:uid="{00000000-0005-0000-0000-0000DF480000}"/>
    <cellStyle name="Normal 2 2 2 3 32 7" xfId="18694" xr:uid="{00000000-0005-0000-0000-0000E0480000}"/>
    <cellStyle name="Normal 2 2 2 3 32 8" xfId="18695" xr:uid="{00000000-0005-0000-0000-0000E1480000}"/>
    <cellStyle name="Normal 2 2 2 3 32 9" xfId="18696" xr:uid="{00000000-0005-0000-0000-0000E2480000}"/>
    <cellStyle name="Normal 2 2 2 3 33" xfId="18697" xr:uid="{00000000-0005-0000-0000-0000E3480000}"/>
    <cellStyle name="Normal 2 2 2 3 33 10" xfId="18698" xr:uid="{00000000-0005-0000-0000-0000E4480000}"/>
    <cellStyle name="Normal 2 2 2 3 33 11" xfId="18699" xr:uid="{00000000-0005-0000-0000-0000E5480000}"/>
    <cellStyle name="Normal 2 2 2 3 33 12" xfId="18700" xr:uid="{00000000-0005-0000-0000-0000E6480000}"/>
    <cellStyle name="Normal 2 2 2 3 33 13" xfId="18701" xr:uid="{00000000-0005-0000-0000-0000E7480000}"/>
    <cellStyle name="Normal 2 2 2 3 33 14" xfId="18702" xr:uid="{00000000-0005-0000-0000-0000E8480000}"/>
    <cellStyle name="Normal 2 2 2 3 33 2" xfId="18703" xr:uid="{00000000-0005-0000-0000-0000E9480000}"/>
    <cellStyle name="Normal 2 2 2 3 33 2 10" xfId="18704" xr:uid="{00000000-0005-0000-0000-0000EA480000}"/>
    <cellStyle name="Normal 2 2 2 3 33 2 2" xfId="18705" xr:uid="{00000000-0005-0000-0000-0000EB480000}"/>
    <cellStyle name="Normal 2 2 2 3 33 2 3" xfId="18706" xr:uid="{00000000-0005-0000-0000-0000EC480000}"/>
    <cellStyle name="Normal 2 2 2 3 33 2 4" xfId="18707" xr:uid="{00000000-0005-0000-0000-0000ED480000}"/>
    <cellStyle name="Normal 2 2 2 3 33 2 5" xfId="18708" xr:uid="{00000000-0005-0000-0000-0000EE480000}"/>
    <cellStyle name="Normal 2 2 2 3 33 2 6" xfId="18709" xr:uid="{00000000-0005-0000-0000-0000EF480000}"/>
    <cellStyle name="Normal 2 2 2 3 33 2 7" xfId="18710" xr:uid="{00000000-0005-0000-0000-0000F0480000}"/>
    <cellStyle name="Normal 2 2 2 3 33 2 8" xfId="18711" xr:uid="{00000000-0005-0000-0000-0000F1480000}"/>
    <cellStyle name="Normal 2 2 2 3 33 2 9" xfId="18712" xr:uid="{00000000-0005-0000-0000-0000F2480000}"/>
    <cellStyle name="Normal 2 2 2 3 33 3" xfId="18713" xr:uid="{00000000-0005-0000-0000-0000F3480000}"/>
    <cellStyle name="Normal 2 2 2 3 33 3 10" xfId="18714" xr:uid="{00000000-0005-0000-0000-0000F4480000}"/>
    <cellStyle name="Normal 2 2 2 3 33 3 2" xfId="18715" xr:uid="{00000000-0005-0000-0000-0000F5480000}"/>
    <cellStyle name="Normal 2 2 2 3 33 3 3" xfId="18716" xr:uid="{00000000-0005-0000-0000-0000F6480000}"/>
    <cellStyle name="Normal 2 2 2 3 33 3 4" xfId="18717" xr:uid="{00000000-0005-0000-0000-0000F7480000}"/>
    <cellStyle name="Normal 2 2 2 3 33 3 5" xfId="18718" xr:uid="{00000000-0005-0000-0000-0000F8480000}"/>
    <cellStyle name="Normal 2 2 2 3 33 3 6" xfId="18719" xr:uid="{00000000-0005-0000-0000-0000F9480000}"/>
    <cellStyle name="Normal 2 2 2 3 33 3 7" xfId="18720" xr:uid="{00000000-0005-0000-0000-0000FA480000}"/>
    <cellStyle name="Normal 2 2 2 3 33 3 8" xfId="18721" xr:uid="{00000000-0005-0000-0000-0000FB480000}"/>
    <cellStyle name="Normal 2 2 2 3 33 3 9" xfId="18722" xr:uid="{00000000-0005-0000-0000-0000FC480000}"/>
    <cellStyle name="Normal 2 2 2 3 33 4" xfId="18723" xr:uid="{00000000-0005-0000-0000-0000FD480000}"/>
    <cellStyle name="Normal 2 2 2 3 33 4 10" xfId="18724" xr:uid="{00000000-0005-0000-0000-0000FE480000}"/>
    <cellStyle name="Normal 2 2 2 3 33 4 2" xfId="18725" xr:uid="{00000000-0005-0000-0000-0000FF480000}"/>
    <cellStyle name="Normal 2 2 2 3 33 4 3" xfId="18726" xr:uid="{00000000-0005-0000-0000-000000490000}"/>
    <cellStyle name="Normal 2 2 2 3 33 4 4" xfId="18727" xr:uid="{00000000-0005-0000-0000-000001490000}"/>
    <cellStyle name="Normal 2 2 2 3 33 4 5" xfId="18728" xr:uid="{00000000-0005-0000-0000-000002490000}"/>
    <cellStyle name="Normal 2 2 2 3 33 4 6" xfId="18729" xr:uid="{00000000-0005-0000-0000-000003490000}"/>
    <cellStyle name="Normal 2 2 2 3 33 4 7" xfId="18730" xr:uid="{00000000-0005-0000-0000-000004490000}"/>
    <cellStyle name="Normal 2 2 2 3 33 4 8" xfId="18731" xr:uid="{00000000-0005-0000-0000-000005490000}"/>
    <cellStyle name="Normal 2 2 2 3 33 4 9" xfId="18732" xr:uid="{00000000-0005-0000-0000-000006490000}"/>
    <cellStyle name="Normal 2 2 2 3 33 5" xfId="18733" xr:uid="{00000000-0005-0000-0000-000007490000}"/>
    <cellStyle name="Normal 2 2 2 3 33 5 10" xfId="18734" xr:uid="{00000000-0005-0000-0000-000008490000}"/>
    <cellStyle name="Normal 2 2 2 3 33 5 2" xfId="18735" xr:uid="{00000000-0005-0000-0000-000009490000}"/>
    <cellStyle name="Normal 2 2 2 3 33 5 3" xfId="18736" xr:uid="{00000000-0005-0000-0000-00000A490000}"/>
    <cellStyle name="Normal 2 2 2 3 33 5 4" xfId="18737" xr:uid="{00000000-0005-0000-0000-00000B490000}"/>
    <cellStyle name="Normal 2 2 2 3 33 5 5" xfId="18738" xr:uid="{00000000-0005-0000-0000-00000C490000}"/>
    <cellStyle name="Normal 2 2 2 3 33 5 6" xfId="18739" xr:uid="{00000000-0005-0000-0000-00000D490000}"/>
    <cellStyle name="Normal 2 2 2 3 33 5 7" xfId="18740" xr:uid="{00000000-0005-0000-0000-00000E490000}"/>
    <cellStyle name="Normal 2 2 2 3 33 5 8" xfId="18741" xr:uid="{00000000-0005-0000-0000-00000F490000}"/>
    <cellStyle name="Normal 2 2 2 3 33 5 9" xfId="18742" xr:uid="{00000000-0005-0000-0000-000010490000}"/>
    <cellStyle name="Normal 2 2 2 3 33 6" xfId="18743" xr:uid="{00000000-0005-0000-0000-000011490000}"/>
    <cellStyle name="Normal 2 2 2 3 33 7" xfId="18744" xr:uid="{00000000-0005-0000-0000-000012490000}"/>
    <cellStyle name="Normal 2 2 2 3 33 8" xfId="18745" xr:uid="{00000000-0005-0000-0000-000013490000}"/>
    <cellStyle name="Normal 2 2 2 3 33 9" xfId="18746" xr:uid="{00000000-0005-0000-0000-000014490000}"/>
    <cellStyle name="Normal 2 2 2 3 34" xfId="18747" xr:uid="{00000000-0005-0000-0000-000015490000}"/>
    <cellStyle name="Normal 2 2 2 3 34 10" xfId="18748" xr:uid="{00000000-0005-0000-0000-000016490000}"/>
    <cellStyle name="Normal 2 2 2 3 34 2" xfId="18749" xr:uid="{00000000-0005-0000-0000-000017490000}"/>
    <cellStyle name="Normal 2 2 2 3 34 3" xfId="18750" xr:uid="{00000000-0005-0000-0000-000018490000}"/>
    <cellStyle name="Normal 2 2 2 3 34 4" xfId="18751" xr:uid="{00000000-0005-0000-0000-000019490000}"/>
    <cellStyle name="Normal 2 2 2 3 34 5" xfId="18752" xr:uid="{00000000-0005-0000-0000-00001A490000}"/>
    <cellStyle name="Normal 2 2 2 3 34 6" xfId="18753" xr:uid="{00000000-0005-0000-0000-00001B490000}"/>
    <cellStyle name="Normal 2 2 2 3 34 7" xfId="18754" xr:uid="{00000000-0005-0000-0000-00001C490000}"/>
    <cellStyle name="Normal 2 2 2 3 34 8" xfId="18755" xr:uid="{00000000-0005-0000-0000-00001D490000}"/>
    <cellStyle name="Normal 2 2 2 3 34 9" xfId="18756" xr:uid="{00000000-0005-0000-0000-00001E490000}"/>
    <cellStyle name="Normal 2 2 2 3 35" xfId="18757" xr:uid="{00000000-0005-0000-0000-00001F490000}"/>
    <cellStyle name="Normal 2 2 2 3 35 10" xfId="18758" xr:uid="{00000000-0005-0000-0000-000020490000}"/>
    <cellStyle name="Normal 2 2 2 3 35 2" xfId="18759" xr:uid="{00000000-0005-0000-0000-000021490000}"/>
    <cellStyle name="Normal 2 2 2 3 35 3" xfId="18760" xr:uid="{00000000-0005-0000-0000-000022490000}"/>
    <cellStyle name="Normal 2 2 2 3 35 4" xfId="18761" xr:uid="{00000000-0005-0000-0000-000023490000}"/>
    <cellStyle name="Normal 2 2 2 3 35 5" xfId="18762" xr:uid="{00000000-0005-0000-0000-000024490000}"/>
    <cellStyle name="Normal 2 2 2 3 35 6" xfId="18763" xr:uid="{00000000-0005-0000-0000-000025490000}"/>
    <cellStyle name="Normal 2 2 2 3 35 7" xfId="18764" xr:uid="{00000000-0005-0000-0000-000026490000}"/>
    <cellStyle name="Normal 2 2 2 3 35 8" xfId="18765" xr:uid="{00000000-0005-0000-0000-000027490000}"/>
    <cellStyle name="Normal 2 2 2 3 35 9" xfId="18766" xr:uid="{00000000-0005-0000-0000-000028490000}"/>
    <cellStyle name="Normal 2 2 2 3 36" xfId="18767" xr:uid="{00000000-0005-0000-0000-000029490000}"/>
    <cellStyle name="Normal 2 2 2 3 36 10" xfId="18768" xr:uid="{00000000-0005-0000-0000-00002A490000}"/>
    <cellStyle name="Normal 2 2 2 3 36 2" xfId="18769" xr:uid="{00000000-0005-0000-0000-00002B490000}"/>
    <cellStyle name="Normal 2 2 2 3 36 3" xfId="18770" xr:uid="{00000000-0005-0000-0000-00002C490000}"/>
    <cellStyle name="Normal 2 2 2 3 36 4" xfId="18771" xr:uid="{00000000-0005-0000-0000-00002D490000}"/>
    <cellStyle name="Normal 2 2 2 3 36 5" xfId="18772" xr:uid="{00000000-0005-0000-0000-00002E490000}"/>
    <cellStyle name="Normal 2 2 2 3 36 6" xfId="18773" xr:uid="{00000000-0005-0000-0000-00002F490000}"/>
    <cellStyle name="Normal 2 2 2 3 36 7" xfId="18774" xr:uid="{00000000-0005-0000-0000-000030490000}"/>
    <cellStyle name="Normal 2 2 2 3 36 8" xfId="18775" xr:uid="{00000000-0005-0000-0000-000031490000}"/>
    <cellStyle name="Normal 2 2 2 3 36 9" xfId="18776" xr:uid="{00000000-0005-0000-0000-000032490000}"/>
    <cellStyle name="Normal 2 2 2 3 37" xfId="18777" xr:uid="{00000000-0005-0000-0000-000033490000}"/>
    <cellStyle name="Normal 2 2 2 3 37 10" xfId="18778" xr:uid="{00000000-0005-0000-0000-000034490000}"/>
    <cellStyle name="Normal 2 2 2 3 37 2" xfId="18779" xr:uid="{00000000-0005-0000-0000-000035490000}"/>
    <cellStyle name="Normal 2 2 2 3 37 3" xfId="18780" xr:uid="{00000000-0005-0000-0000-000036490000}"/>
    <cellStyle name="Normal 2 2 2 3 37 4" xfId="18781" xr:uid="{00000000-0005-0000-0000-000037490000}"/>
    <cellStyle name="Normal 2 2 2 3 37 5" xfId="18782" xr:uid="{00000000-0005-0000-0000-000038490000}"/>
    <cellStyle name="Normal 2 2 2 3 37 6" xfId="18783" xr:uid="{00000000-0005-0000-0000-000039490000}"/>
    <cellStyle name="Normal 2 2 2 3 37 7" xfId="18784" xr:uid="{00000000-0005-0000-0000-00003A490000}"/>
    <cellStyle name="Normal 2 2 2 3 37 8" xfId="18785" xr:uid="{00000000-0005-0000-0000-00003B490000}"/>
    <cellStyle name="Normal 2 2 2 3 37 9" xfId="18786" xr:uid="{00000000-0005-0000-0000-00003C490000}"/>
    <cellStyle name="Normal 2 2 2 3 38" xfId="18787" xr:uid="{00000000-0005-0000-0000-00003D490000}"/>
    <cellStyle name="Normal 2 2 2 3 39" xfId="18788" xr:uid="{00000000-0005-0000-0000-00003E490000}"/>
    <cellStyle name="Normal 2 2 2 3 4" xfId="18789" xr:uid="{00000000-0005-0000-0000-00003F490000}"/>
    <cellStyle name="Normal 2 2 2 3 4 10" xfId="18790" xr:uid="{00000000-0005-0000-0000-000040490000}"/>
    <cellStyle name="Normal 2 2 2 3 4 11" xfId="18791" xr:uid="{00000000-0005-0000-0000-000041490000}"/>
    <cellStyle name="Normal 2 2 2 3 4 12" xfId="18792" xr:uid="{00000000-0005-0000-0000-000042490000}"/>
    <cellStyle name="Normal 2 2 2 3 4 13" xfId="18793" xr:uid="{00000000-0005-0000-0000-000043490000}"/>
    <cellStyle name="Normal 2 2 2 3 4 14" xfId="18794" xr:uid="{00000000-0005-0000-0000-000044490000}"/>
    <cellStyle name="Normal 2 2 2 3 4 15" xfId="18795" xr:uid="{00000000-0005-0000-0000-000045490000}"/>
    <cellStyle name="Normal 2 2 2 3 4 16" xfId="18796" xr:uid="{00000000-0005-0000-0000-000046490000}"/>
    <cellStyle name="Normal 2 2 2 3 4 2" xfId="18797" xr:uid="{00000000-0005-0000-0000-000047490000}"/>
    <cellStyle name="Normal 2 2 2 3 4 2 10" xfId="18798" xr:uid="{00000000-0005-0000-0000-000048490000}"/>
    <cellStyle name="Normal 2 2 2 3 4 2 2" xfId="18799" xr:uid="{00000000-0005-0000-0000-000049490000}"/>
    <cellStyle name="Normal 2 2 2 3 4 2 3" xfId="18800" xr:uid="{00000000-0005-0000-0000-00004A490000}"/>
    <cellStyle name="Normal 2 2 2 3 4 2 4" xfId="18801" xr:uid="{00000000-0005-0000-0000-00004B490000}"/>
    <cellStyle name="Normal 2 2 2 3 4 2 5" xfId="18802" xr:uid="{00000000-0005-0000-0000-00004C490000}"/>
    <cellStyle name="Normal 2 2 2 3 4 2 6" xfId="18803" xr:uid="{00000000-0005-0000-0000-00004D490000}"/>
    <cellStyle name="Normal 2 2 2 3 4 2 7" xfId="18804" xr:uid="{00000000-0005-0000-0000-00004E490000}"/>
    <cellStyle name="Normal 2 2 2 3 4 2 8" xfId="18805" xr:uid="{00000000-0005-0000-0000-00004F490000}"/>
    <cellStyle name="Normal 2 2 2 3 4 2 9" xfId="18806" xr:uid="{00000000-0005-0000-0000-000050490000}"/>
    <cellStyle name="Normal 2 2 2 3 4 3" xfId="18807" xr:uid="{00000000-0005-0000-0000-000051490000}"/>
    <cellStyle name="Normal 2 2 2 3 4 3 10" xfId="18808" xr:uid="{00000000-0005-0000-0000-000052490000}"/>
    <cellStyle name="Normal 2 2 2 3 4 3 2" xfId="18809" xr:uid="{00000000-0005-0000-0000-000053490000}"/>
    <cellStyle name="Normal 2 2 2 3 4 3 3" xfId="18810" xr:uid="{00000000-0005-0000-0000-000054490000}"/>
    <cellStyle name="Normal 2 2 2 3 4 3 4" xfId="18811" xr:uid="{00000000-0005-0000-0000-000055490000}"/>
    <cellStyle name="Normal 2 2 2 3 4 3 5" xfId="18812" xr:uid="{00000000-0005-0000-0000-000056490000}"/>
    <cellStyle name="Normal 2 2 2 3 4 3 6" xfId="18813" xr:uid="{00000000-0005-0000-0000-000057490000}"/>
    <cellStyle name="Normal 2 2 2 3 4 3 7" xfId="18814" xr:uid="{00000000-0005-0000-0000-000058490000}"/>
    <cellStyle name="Normal 2 2 2 3 4 3 8" xfId="18815" xr:uid="{00000000-0005-0000-0000-000059490000}"/>
    <cellStyle name="Normal 2 2 2 3 4 3 9" xfId="18816" xr:uid="{00000000-0005-0000-0000-00005A490000}"/>
    <cellStyle name="Normal 2 2 2 3 4 4" xfId="18817" xr:uid="{00000000-0005-0000-0000-00005B490000}"/>
    <cellStyle name="Normal 2 2 2 3 4 4 10" xfId="18818" xr:uid="{00000000-0005-0000-0000-00005C490000}"/>
    <cellStyle name="Normal 2 2 2 3 4 4 2" xfId="18819" xr:uid="{00000000-0005-0000-0000-00005D490000}"/>
    <cellStyle name="Normal 2 2 2 3 4 4 3" xfId="18820" xr:uid="{00000000-0005-0000-0000-00005E490000}"/>
    <cellStyle name="Normal 2 2 2 3 4 4 4" xfId="18821" xr:uid="{00000000-0005-0000-0000-00005F490000}"/>
    <cellStyle name="Normal 2 2 2 3 4 4 5" xfId="18822" xr:uid="{00000000-0005-0000-0000-000060490000}"/>
    <cellStyle name="Normal 2 2 2 3 4 4 6" xfId="18823" xr:uid="{00000000-0005-0000-0000-000061490000}"/>
    <cellStyle name="Normal 2 2 2 3 4 4 7" xfId="18824" xr:uid="{00000000-0005-0000-0000-000062490000}"/>
    <cellStyle name="Normal 2 2 2 3 4 4 8" xfId="18825" xr:uid="{00000000-0005-0000-0000-000063490000}"/>
    <cellStyle name="Normal 2 2 2 3 4 4 9" xfId="18826" xr:uid="{00000000-0005-0000-0000-000064490000}"/>
    <cellStyle name="Normal 2 2 2 3 4 5" xfId="18827" xr:uid="{00000000-0005-0000-0000-000065490000}"/>
    <cellStyle name="Normal 2 2 2 3 4 5 10" xfId="18828" xr:uid="{00000000-0005-0000-0000-000066490000}"/>
    <cellStyle name="Normal 2 2 2 3 4 5 2" xfId="18829" xr:uid="{00000000-0005-0000-0000-000067490000}"/>
    <cellStyle name="Normal 2 2 2 3 4 5 3" xfId="18830" xr:uid="{00000000-0005-0000-0000-000068490000}"/>
    <cellStyle name="Normal 2 2 2 3 4 5 4" xfId="18831" xr:uid="{00000000-0005-0000-0000-000069490000}"/>
    <cellStyle name="Normal 2 2 2 3 4 5 5" xfId="18832" xr:uid="{00000000-0005-0000-0000-00006A490000}"/>
    <cellStyle name="Normal 2 2 2 3 4 5 6" xfId="18833" xr:uid="{00000000-0005-0000-0000-00006B490000}"/>
    <cellStyle name="Normal 2 2 2 3 4 5 7" xfId="18834" xr:uid="{00000000-0005-0000-0000-00006C490000}"/>
    <cellStyle name="Normal 2 2 2 3 4 5 8" xfId="18835" xr:uid="{00000000-0005-0000-0000-00006D490000}"/>
    <cellStyle name="Normal 2 2 2 3 4 5 9" xfId="18836" xr:uid="{00000000-0005-0000-0000-00006E490000}"/>
    <cellStyle name="Normal 2 2 2 3 4 6" xfId="18837" xr:uid="{00000000-0005-0000-0000-00006F490000}"/>
    <cellStyle name="Normal 2 2 2 3 4 7" xfId="18838" xr:uid="{00000000-0005-0000-0000-000070490000}"/>
    <cellStyle name="Normal 2 2 2 3 4 8" xfId="18839" xr:uid="{00000000-0005-0000-0000-000071490000}"/>
    <cellStyle name="Normal 2 2 2 3 4 9" xfId="18840" xr:uid="{00000000-0005-0000-0000-000072490000}"/>
    <cellStyle name="Normal 2 2 2 3 40" xfId="18841" xr:uid="{00000000-0005-0000-0000-000073490000}"/>
    <cellStyle name="Normal 2 2 2 3 41" xfId="18842" xr:uid="{00000000-0005-0000-0000-000074490000}"/>
    <cellStyle name="Normal 2 2 2 3 42" xfId="18843" xr:uid="{00000000-0005-0000-0000-000075490000}"/>
    <cellStyle name="Normal 2 2 2 3 43" xfId="18844" xr:uid="{00000000-0005-0000-0000-000076490000}"/>
    <cellStyle name="Normal 2 2 2 3 44" xfId="18845" xr:uid="{00000000-0005-0000-0000-000077490000}"/>
    <cellStyle name="Normal 2 2 2 3 45" xfId="18846" xr:uid="{00000000-0005-0000-0000-000078490000}"/>
    <cellStyle name="Normal 2 2 2 3 46" xfId="18847" xr:uid="{00000000-0005-0000-0000-000079490000}"/>
    <cellStyle name="Normal 2 2 2 3 47" xfId="18848" xr:uid="{00000000-0005-0000-0000-00007A490000}"/>
    <cellStyle name="Normal 2 2 2 3 48" xfId="18849" xr:uid="{00000000-0005-0000-0000-00007B490000}"/>
    <cellStyle name="Normal 2 2 2 3 49" xfId="30" xr:uid="{00000000-0005-0000-0000-00007C490000}"/>
    <cellStyle name="Normal 2 2 2 3 5" xfId="18850" xr:uid="{00000000-0005-0000-0000-00007D490000}"/>
    <cellStyle name="Normal 2 2 2 3 5 10" xfId="18851" xr:uid="{00000000-0005-0000-0000-00007E490000}"/>
    <cellStyle name="Normal 2 2 2 3 5 11" xfId="18852" xr:uid="{00000000-0005-0000-0000-00007F490000}"/>
    <cellStyle name="Normal 2 2 2 3 5 12" xfId="18853" xr:uid="{00000000-0005-0000-0000-000080490000}"/>
    <cellStyle name="Normal 2 2 2 3 5 13" xfId="18854" xr:uid="{00000000-0005-0000-0000-000081490000}"/>
    <cellStyle name="Normal 2 2 2 3 5 14" xfId="18855" xr:uid="{00000000-0005-0000-0000-000082490000}"/>
    <cellStyle name="Normal 2 2 2 3 5 15" xfId="18856" xr:uid="{00000000-0005-0000-0000-000083490000}"/>
    <cellStyle name="Normal 2 2 2 3 5 2" xfId="18857" xr:uid="{00000000-0005-0000-0000-000084490000}"/>
    <cellStyle name="Normal 2 2 2 3 5 2 10" xfId="18858" xr:uid="{00000000-0005-0000-0000-000085490000}"/>
    <cellStyle name="Normal 2 2 2 3 5 2 2" xfId="18859" xr:uid="{00000000-0005-0000-0000-000086490000}"/>
    <cellStyle name="Normal 2 2 2 3 5 2 3" xfId="18860" xr:uid="{00000000-0005-0000-0000-000087490000}"/>
    <cellStyle name="Normal 2 2 2 3 5 2 4" xfId="18861" xr:uid="{00000000-0005-0000-0000-000088490000}"/>
    <cellStyle name="Normal 2 2 2 3 5 2 5" xfId="18862" xr:uid="{00000000-0005-0000-0000-000089490000}"/>
    <cellStyle name="Normal 2 2 2 3 5 2 6" xfId="18863" xr:uid="{00000000-0005-0000-0000-00008A490000}"/>
    <cellStyle name="Normal 2 2 2 3 5 2 7" xfId="18864" xr:uid="{00000000-0005-0000-0000-00008B490000}"/>
    <cellStyle name="Normal 2 2 2 3 5 2 8" xfId="18865" xr:uid="{00000000-0005-0000-0000-00008C490000}"/>
    <cellStyle name="Normal 2 2 2 3 5 2 9" xfId="18866" xr:uid="{00000000-0005-0000-0000-00008D490000}"/>
    <cellStyle name="Normal 2 2 2 3 5 3" xfId="18867" xr:uid="{00000000-0005-0000-0000-00008E490000}"/>
    <cellStyle name="Normal 2 2 2 3 5 3 10" xfId="18868" xr:uid="{00000000-0005-0000-0000-00008F490000}"/>
    <cellStyle name="Normal 2 2 2 3 5 3 2" xfId="18869" xr:uid="{00000000-0005-0000-0000-000090490000}"/>
    <cellStyle name="Normal 2 2 2 3 5 3 3" xfId="18870" xr:uid="{00000000-0005-0000-0000-000091490000}"/>
    <cellStyle name="Normal 2 2 2 3 5 3 4" xfId="18871" xr:uid="{00000000-0005-0000-0000-000092490000}"/>
    <cellStyle name="Normal 2 2 2 3 5 3 5" xfId="18872" xr:uid="{00000000-0005-0000-0000-000093490000}"/>
    <cellStyle name="Normal 2 2 2 3 5 3 6" xfId="18873" xr:uid="{00000000-0005-0000-0000-000094490000}"/>
    <cellStyle name="Normal 2 2 2 3 5 3 7" xfId="18874" xr:uid="{00000000-0005-0000-0000-000095490000}"/>
    <cellStyle name="Normal 2 2 2 3 5 3 8" xfId="18875" xr:uid="{00000000-0005-0000-0000-000096490000}"/>
    <cellStyle name="Normal 2 2 2 3 5 3 9" xfId="18876" xr:uid="{00000000-0005-0000-0000-000097490000}"/>
    <cellStyle name="Normal 2 2 2 3 5 4" xfId="18877" xr:uid="{00000000-0005-0000-0000-000098490000}"/>
    <cellStyle name="Normal 2 2 2 3 5 4 10" xfId="18878" xr:uid="{00000000-0005-0000-0000-000099490000}"/>
    <cellStyle name="Normal 2 2 2 3 5 4 2" xfId="18879" xr:uid="{00000000-0005-0000-0000-00009A490000}"/>
    <cellStyle name="Normal 2 2 2 3 5 4 3" xfId="18880" xr:uid="{00000000-0005-0000-0000-00009B490000}"/>
    <cellStyle name="Normal 2 2 2 3 5 4 4" xfId="18881" xr:uid="{00000000-0005-0000-0000-00009C490000}"/>
    <cellStyle name="Normal 2 2 2 3 5 4 5" xfId="18882" xr:uid="{00000000-0005-0000-0000-00009D490000}"/>
    <cellStyle name="Normal 2 2 2 3 5 4 6" xfId="18883" xr:uid="{00000000-0005-0000-0000-00009E490000}"/>
    <cellStyle name="Normal 2 2 2 3 5 4 7" xfId="18884" xr:uid="{00000000-0005-0000-0000-00009F490000}"/>
    <cellStyle name="Normal 2 2 2 3 5 4 8" xfId="18885" xr:uid="{00000000-0005-0000-0000-0000A0490000}"/>
    <cellStyle name="Normal 2 2 2 3 5 4 9" xfId="18886" xr:uid="{00000000-0005-0000-0000-0000A1490000}"/>
    <cellStyle name="Normal 2 2 2 3 5 5" xfId="18887" xr:uid="{00000000-0005-0000-0000-0000A2490000}"/>
    <cellStyle name="Normal 2 2 2 3 5 5 10" xfId="18888" xr:uid="{00000000-0005-0000-0000-0000A3490000}"/>
    <cellStyle name="Normal 2 2 2 3 5 5 2" xfId="18889" xr:uid="{00000000-0005-0000-0000-0000A4490000}"/>
    <cellStyle name="Normal 2 2 2 3 5 5 3" xfId="18890" xr:uid="{00000000-0005-0000-0000-0000A5490000}"/>
    <cellStyle name="Normal 2 2 2 3 5 5 4" xfId="18891" xr:uid="{00000000-0005-0000-0000-0000A6490000}"/>
    <cellStyle name="Normal 2 2 2 3 5 5 5" xfId="18892" xr:uid="{00000000-0005-0000-0000-0000A7490000}"/>
    <cellStyle name="Normal 2 2 2 3 5 5 6" xfId="18893" xr:uid="{00000000-0005-0000-0000-0000A8490000}"/>
    <cellStyle name="Normal 2 2 2 3 5 5 7" xfId="18894" xr:uid="{00000000-0005-0000-0000-0000A9490000}"/>
    <cellStyle name="Normal 2 2 2 3 5 5 8" xfId="18895" xr:uid="{00000000-0005-0000-0000-0000AA490000}"/>
    <cellStyle name="Normal 2 2 2 3 5 5 9" xfId="18896" xr:uid="{00000000-0005-0000-0000-0000AB490000}"/>
    <cellStyle name="Normal 2 2 2 3 5 6" xfId="18897" xr:uid="{00000000-0005-0000-0000-0000AC490000}"/>
    <cellStyle name="Normal 2 2 2 3 5 7" xfId="18898" xr:uid="{00000000-0005-0000-0000-0000AD490000}"/>
    <cellStyle name="Normal 2 2 2 3 5 8" xfId="18899" xr:uid="{00000000-0005-0000-0000-0000AE490000}"/>
    <cellStyle name="Normal 2 2 2 3 5 9" xfId="18900" xr:uid="{00000000-0005-0000-0000-0000AF490000}"/>
    <cellStyle name="Normal 2 2 2 3 6" xfId="18901" xr:uid="{00000000-0005-0000-0000-0000B0490000}"/>
    <cellStyle name="Normal 2 2 2 3 6 10" xfId="18902" xr:uid="{00000000-0005-0000-0000-0000B1490000}"/>
    <cellStyle name="Normal 2 2 2 3 6 11" xfId="18903" xr:uid="{00000000-0005-0000-0000-0000B2490000}"/>
    <cellStyle name="Normal 2 2 2 3 6 12" xfId="18904" xr:uid="{00000000-0005-0000-0000-0000B3490000}"/>
    <cellStyle name="Normal 2 2 2 3 6 13" xfId="18905" xr:uid="{00000000-0005-0000-0000-0000B4490000}"/>
    <cellStyle name="Normal 2 2 2 3 6 14" xfId="18906" xr:uid="{00000000-0005-0000-0000-0000B5490000}"/>
    <cellStyle name="Normal 2 2 2 3 6 15" xfId="18907" xr:uid="{00000000-0005-0000-0000-0000B6490000}"/>
    <cellStyle name="Normal 2 2 2 3 6 2" xfId="18908" xr:uid="{00000000-0005-0000-0000-0000B7490000}"/>
    <cellStyle name="Normal 2 2 2 3 6 2 10" xfId="18909" xr:uid="{00000000-0005-0000-0000-0000B8490000}"/>
    <cellStyle name="Normal 2 2 2 3 6 2 2" xfId="18910" xr:uid="{00000000-0005-0000-0000-0000B9490000}"/>
    <cellStyle name="Normal 2 2 2 3 6 2 3" xfId="18911" xr:uid="{00000000-0005-0000-0000-0000BA490000}"/>
    <cellStyle name="Normal 2 2 2 3 6 2 4" xfId="18912" xr:uid="{00000000-0005-0000-0000-0000BB490000}"/>
    <cellStyle name="Normal 2 2 2 3 6 2 5" xfId="18913" xr:uid="{00000000-0005-0000-0000-0000BC490000}"/>
    <cellStyle name="Normal 2 2 2 3 6 2 6" xfId="18914" xr:uid="{00000000-0005-0000-0000-0000BD490000}"/>
    <cellStyle name="Normal 2 2 2 3 6 2 7" xfId="18915" xr:uid="{00000000-0005-0000-0000-0000BE490000}"/>
    <cellStyle name="Normal 2 2 2 3 6 2 8" xfId="18916" xr:uid="{00000000-0005-0000-0000-0000BF490000}"/>
    <cellStyle name="Normal 2 2 2 3 6 2 9" xfId="18917" xr:uid="{00000000-0005-0000-0000-0000C0490000}"/>
    <cellStyle name="Normal 2 2 2 3 6 3" xfId="18918" xr:uid="{00000000-0005-0000-0000-0000C1490000}"/>
    <cellStyle name="Normal 2 2 2 3 6 3 10" xfId="18919" xr:uid="{00000000-0005-0000-0000-0000C2490000}"/>
    <cellStyle name="Normal 2 2 2 3 6 3 2" xfId="18920" xr:uid="{00000000-0005-0000-0000-0000C3490000}"/>
    <cellStyle name="Normal 2 2 2 3 6 3 3" xfId="18921" xr:uid="{00000000-0005-0000-0000-0000C4490000}"/>
    <cellStyle name="Normal 2 2 2 3 6 3 4" xfId="18922" xr:uid="{00000000-0005-0000-0000-0000C5490000}"/>
    <cellStyle name="Normal 2 2 2 3 6 3 5" xfId="18923" xr:uid="{00000000-0005-0000-0000-0000C6490000}"/>
    <cellStyle name="Normal 2 2 2 3 6 3 6" xfId="18924" xr:uid="{00000000-0005-0000-0000-0000C7490000}"/>
    <cellStyle name="Normal 2 2 2 3 6 3 7" xfId="18925" xr:uid="{00000000-0005-0000-0000-0000C8490000}"/>
    <cellStyle name="Normal 2 2 2 3 6 3 8" xfId="18926" xr:uid="{00000000-0005-0000-0000-0000C9490000}"/>
    <cellStyle name="Normal 2 2 2 3 6 3 9" xfId="18927" xr:uid="{00000000-0005-0000-0000-0000CA490000}"/>
    <cellStyle name="Normal 2 2 2 3 6 4" xfId="18928" xr:uid="{00000000-0005-0000-0000-0000CB490000}"/>
    <cellStyle name="Normal 2 2 2 3 6 4 10" xfId="18929" xr:uid="{00000000-0005-0000-0000-0000CC490000}"/>
    <cellStyle name="Normal 2 2 2 3 6 4 2" xfId="18930" xr:uid="{00000000-0005-0000-0000-0000CD490000}"/>
    <cellStyle name="Normal 2 2 2 3 6 4 3" xfId="18931" xr:uid="{00000000-0005-0000-0000-0000CE490000}"/>
    <cellStyle name="Normal 2 2 2 3 6 4 4" xfId="18932" xr:uid="{00000000-0005-0000-0000-0000CF490000}"/>
    <cellStyle name="Normal 2 2 2 3 6 4 5" xfId="18933" xr:uid="{00000000-0005-0000-0000-0000D0490000}"/>
    <cellStyle name="Normal 2 2 2 3 6 4 6" xfId="18934" xr:uid="{00000000-0005-0000-0000-0000D1490000}"/>
    <cellStyle name="Normal 2 2 2 3 6 4 7" xfId="18935" xr:uid="{00000000-0005-0000-0000-0000D2490000}"/>
    <cellStyle name="Normal 2 2 2 3 6 4 8" xfId="18936" xr:uid="{00000000-0005-0000-0000-0000D3490000}"/>
    <cellStyle name="Normal 2 2 2 3 6 4 9" xfId="18937" xr:uid="{00000000-0005-0000-0000-0000D4490000}"/>
    <cellStyle name="Normal 2 2 2 3 6 5" xfId="18938" xr:uid="{00000000-0005-0000-0000-0000D5490000}"/>
    <cellStyle name="Normal 2 2 2 3 6 5 10" xfId="18939" xr:uid="{00000000-0005-0000-0000-0000D6490000}"/>
    <cellStyle name="Normal 2 2 2 3 6 5 2" xfId="18940" xr:uid="{00000000-0005-0000-0000-0000D7490000}"/>
    <cellStyle name="Normal 2 2 2 3 6 5 3" xfId="18941" xr:uid="{00000000-0005-0000-0000-0000D8490000}"/>
    <cellStyle name="Normal 2 2 2 3 6 5 4" xfId="18942" xr:uid="{00000000-0005-0000-0000-0000D9490000}"/>
    <cellStyle name="Normal 2 2 2 3 6 5 5" xfId="18943" xr:uid="{00000000-0005-0000-0000-0000DA490000}"/>
    <cellStyle name="Normal 2 2 2 3 6 5 6" xfId="18944" xr:uid="{00000000-0005-0000-0000-0000DB490000}"/>
    <cellStyle name="Normal 2 2 2 3 6 5 7" xfId="18945" xr:uid="{00000000-0005-0000-0000-0000DC490000}"/>
    <cellStyle name="Normal 2 2 2 3 6 5 8" xfId="18946" xr:uid="{00000000-0005-0000-0000-0000DD490000}"/>
    <cellStyle name="Normal 2 2 2 3 6 5 9" xfId="18947" xr:uid="{00000000-0005-0000-0000-0000DE490000}"/>
    <cellStyle name="Normal 2 2 2 3 6 6" xfId="18948" xr:uid="{00000000-0005-0000-0000-0000DF490000}"/>
    <cellStyle name="Normal 2 2 2 3 6 7" xfId="18949" xr:uid="{00000000-0005-0000-0000-0000E0490000}"/>
    <cellStyle name="Normal 2 2 2 3 6 8" xfId="18950" xr:uid="{00000000-0005-0000-0000-0000E1490000}"/>
    <cellStyle name="Normal 2 2 2 3 6 9" xfId="18951" xr:uid="{00000000-0005-0000-0000-0000E2490000}"/>
    <cellStyle name="Normal 2 2 2 3 7" xfId="18952" xr:uid="{00000000-0005-0000-0000-0000E3490000}"/>
    <cellStyle name="Normal 2 2 2 3 7 10" xfId="18953" xr:uid="{00000000-0005-0000-0000-0000E4490000}"/>
    <cellStyle name="Normal 2 2 2 3 7 11" xfId="18954" xr:uid="{00000000-0005-0000-0000-0000E5490000}"/>
    <cellStyle name="Normal 2 2 2 3 7 12" xfId="18955" xr:uid="{00000000-0005-0000-0000-0000E6490000}"/>
    <cellStyle name="Normal 2 2 2 3 7 13" xfId="18956" xr:uid="{00000000-0005-0000-0000-0000E7490000}"/>
    <cellStyle name="Normal 2 2 2 3 7 14" xfId="18957" xr:uid="{00000000-0005-0000-0000-0000E8490000}"/>
    <cellStyle name="Normal 2 2 2 3 7 15" xfId="18958" xr:uid="{00000000-0005-0000-0000-0000E9490000}"/>
    <cellStyle name="Normal 2 2 2 3 7 2" xfId="18959" xr:uid="{00000000-0005-0000-0000-0000EA490000}"/>
    <cellStyle name="Normal 2 2 2 3 7 2 10" xfId="18960" xr:uid="{00000000-0005-0000-0000-0000EB490000}"/>
    <cellStyle name="Normal 2 2 2 3 7 2 2" xfId="18961" xr:uid="{00000000-0005-0000-0000-0000EC490000}"/>
    <cellStyle name="Normal 2 2 2 3 7 2 3" xfId="18962" xr:uid="{00000000-0005-0000-0000-0000ED490000}"/>
    <cellStyle name="Normal 2 2 2 3 7 2 4" xfId="18963" xr:uid="{00000000-0005-0000-0000-0000EE490000}"/>
    <cellStyle name="Normal 2 2 2 3 7 2 5" xfId="18964" xr:uid="{00000000-0005-0000-0000-0000EF490000}"/>
    <cellStyle name="Normal 2 2 2 3 7 2 6" xfId="18965" xr:uid="{00000000-0005-0000-0000-0000F0490000}"/>
    <cellStyle name="Normal 2 2 2 3 7 2 7" xfId="18966" xr:uid="{00000000-0005-0000-0000-0000F1490000}"/>
    <cellStyle name="Normal 2 2 2 3 7 2 8" xfId="18967" xr:uid="{00000000-0005-0000-0000-0000F2490000}"/>
    <cellStyle name="Normal 2 2 2 3 7 2 9" xfId="18968" xr:uid="{00000000-0005-0000-0000-0000F3490000}"/>
    <cellStyle name="Normal 2 2 2 3 7 3" xfId="18969" xr:uid="{00000000-0005-0000-0000-0000F4490000}"/>
    <cellStyle name="Normal 2 2 2 3 7 3 10" xfId="18970" xr:uid="{00000000-0005-0000-0000-0000F5490000}"/>
    <cellStyle name="Normal 2 2 2 3 7 3 2" xfId="18971" xr:uid="{00000000-0005-0000-0000-0000F6490000}"/>
    <cellStyle name="Normal 2 2 2 3 7 3 3" xfId="18972" xr:uid="{00000000-0005-0000-0000-0000F7490000}"/>
    <cellStyle name="Normal 2 2 2 3 7 3 4" xfId="18973" xr:uid="{00000000-0005-0000-0000-0000F8490000}"/>
    <cellStyle name="Normal 2 2 2 3 7 3 5" xfId="18974" xr:uid="{00000000-0005-0000-0000-0000F9490000}"/>
    <cellStyle name="Normal 2 2 2 3 7 3 6" xfId="18975" xr:uid="{00000000-0005-0000-0000-0000FA490000}"/>
    <cellStyle name="Normal 2 2 2 3 7 3 7" xfId="18976" xr:uid="{00000000-0005-0000-0000-0000FB490000}"/>
    <cellStyle name="Normal 2 2 2 3 7 3 8" xfId="18977" xr:uid="{00000000-0005-0000-0000-0000FC490000}"/>
    <cellStyle name="Normal 2 2 2 3 7 3 9" xfId="18978" xr:uid="{00000000-0005-0000-0000-0000FD490000}"/>
    <cellStyle name="Normal 2 2 2 3 7 4" xfId="18979" xr:uid="{00000000-0005-0000-0000-0000FE490000}"/>
    <cellStyle name="Normal 2 2 2 3 7 4 10" xfId="18980" xr:uid="{00000000-0005-0000-0000-0000FF490000}"/>
    <cellStyle name="Normal 2 2 2 3 7 4 2" xfId="18981" xr:uid="{00000000-0005-0000-0000-0000004A0000}"/>
    <cellStyle name="Normal 2 2 2 3 7 4 3" xfId="18982" xr:uid="{00000000-0005-0000-0000-0000014A0000}"/>
    <cellStyle name="Normal 2 2 2 3 7 4 4" xfId="18983" xr:uid="{00000000-0005-0000-0000-0000024A0000}"/>
    <cellStyle name="Normal 2 2 2 3 7 4 5" xfId="18984" xr:uid="{00000000-0005-0000-0000-0000034A0000}"/>
    <cellStyle name="Normal 2 2 2 3 7 4 6" xfId="18985" xr:uid="{00000000-0005-0000-0000-0000044A0000}"/>
    <cellStyle name="Normal 2 2 2 3 7 4 7" xfId="18986" xr:uid="{00000000-0005-0000-0000-0000054A0000}"/>
    <cellStyle name="Normal 2 2 2 3 7 4 8" xfId="18987" xr:uid="{00000000-0005-0000-0000-0000064A0000}"/>
    <cellStyle name="Normal 2 2 2 3 7 4 9" xfId="18988" xr:uid="{00000000-0005-0000-0000-0000074A0000}"/>
    <cellStyle name="Normal 2 2 2 3 7 5" xfId="18989" xr:uid="{00000000-0005-0000-0000-0000084A0000}"/>
    <cellStyle name="Normal 2 2 2 3 7 5 10" xfId="18990" xr:uid="{00000000-0005-0000-0000-0000094A0000}"/>
    <cellStyle name="Normal 2 2 2 3 7 5 2" xfId="18991" xr:uid="{00000000-0005-0000-0000-00000A4A0000}"/>
    <cellStyle name="Normal 2 2 2 3 7 5 3" xfId="18992" xr:uid="{00000000-0005-0000-0000-00000B4A0000}"/>
    <cellStyle name="Normal 2 2 2 3 7 5 4" xfId="18993" xr:uid="{00000000-0005-0000-0000-00000C4A0000}"/>
    <cellStyle name="Normal 2 2 2 3 7 5 5" xfId="18994" xr:uid="{00000000-0005-0000-0000-00000D4A0000}"/>
    <cellStyle name="Normal 2 2 2 3 7 5 6" xfId="18995" xr:uid="{00000000-0005-0000-0000-00000E4A0000}"/>
    <cellStyle name="Normal 2 2 2 3 7 5 7" xfId="18996" xr:uid="{00000000-0005-0000-0000-00000F4A0000}"/>
    <cellStyle name="Normal 2 2 2 3 7 5 8" xfId="18997" xr:uid="{00000000-0005-0000-0000-0000104A0000}"/>
    <cellStyle name="Normal 2 2 2 3 7 5 9" xfId="18998" xr:uid="{00000000-0005-0000-0000-0000114A0000}"/>
    <cellStyle name="Normal 2 2 2 3 7 6" xfId="18999" xr:uid="{00000000-0005-0000-0000-0000124A0000}"/>
    <cellStyle name="Normal 2 2 2 3 7 7" xfId="19000" xr:uid="{00000000-0005-0000-0000-0000134A0000}"/>
    <cellStyle name="Normal 2 2 2 3 7 8" xfId="19001" xr:uid="{00000000-0005-0000-0000-0000144A0000}"/>
    <cellStyle name="Normal 2 2 2 3 7 9" xfId="19002" xr:uid="{00000000-0005-0000-0000-0000154A0000}"/>
    <cellStyle name="Normal 2 2 2 3 8" xfId="19003" xr:uid="{00000000-0005-0000-0000-0000164A0000}"/>
    <cellStyle name="Normal 2 2 2 3 8 10" xfId="19004" xr:uid="{00000000-0005-0000-0000-0000174A0000}"/>
    <cellStyle name="Normal 2 2 2 3 8 11" xfId="19005" xr:uid="{00000000-0005-0000-0000-0000184A0000}"/>
    <cellStyle name="Normal 2 2 2 3 8 12" xfId="19006" xr:uid="{00000000-0005-0000-0000-0000194A0000}"/>
    <cellStyle name="Normal 2 2 2 3 8 13" xfId="19007" xr:uid="{00000000-0005-0000-0000-00001A4A0000}"/>
    <cellStyle name="Normal 2 2 2 3 8 14" xfId="19008" xr:uid="{00000000-0005-0000-0000-00001B4A0000}"/>
    <cellStyle name="Normal 2 2 2 3 8 2" xfId="19009" xr:uid="{00000000-0005-0000-0000-00001C4A0000}"/>
    <cellStyle name="Normal 2 2 2 3 8 2 10" xfId="19010" xr:uid="{00000000-0005-0000-0000-00001D4A0000}"/>
    <cellStyle name="Normal 2 2 2 3 8 2 2" xfId="19011" xr:uid="{00000000-0005-0000-0000-00001E4A0000}"/>
    <cellStyle name="Normal 2 2 2 3 8 2 3" xfId="19012" xr:uid="{00000000-0005-0000-0000-00001F4A0000}"/>
    <cellStyle name="Normal 2 2 2 3 8 2 4" xfId="19013" xr:uid="{00000000-0005-0000-0000-0000204A0000}"/>
    <cellStyle name="Normal 2 2 2 3 8 2 5" xfId="19014" xr:uid="{00000000-0005-0000-0000-0000214A0000}"/>
    <cellStyle name="Normal 2 2 2 3 8 2 6" xfId="19015" xr:uid="{00000000-0005-0000-0000-0000224A0000}"/>
    <cellStyle name="Normal 2 2 2 3 8 2 7" xfId="19016" xr:uid="{00000000-0005-0000-0000-0000234A0000}"/>
    <cellStyle name="Normal 2 2 2 3 8 2 8" xfId="19017" xr:uid="{00000000-0005-0000-0000-0000244A0000}"/>
    <cellStyle name="Normal 2 2 2 3 8 2 9" xfId="19018" xr:uid="{00000000-0005-0000-0000-0000254A0000}"/>
    <cellStyle name="Normal 2 2 2 3 8 3" xfId="19019" xr:uid="{00000000-0005-0000-0000-0000264A0000}"/>
    <cellStyle name="Normal 2 2 2 3 8 3 10" xfId="19020" xr:uid="{00000000-0005-0000-0000-0000274A0000}"/>
    <cellStyle name="Normal 2 2 2 3 8 3 2" xfId="19021" xr:uid="{00000000-0005-0000-0000-0000284A0000}"/>
    <cellStyle name="Normal 2 2 2 3 8 3 3" xfId="19022" xr:uid="{00000000-0005-0000-0000-0000294A0000}"/>
    <cellStyle name="Normal 2 2 2 3 8 3 4" xfId="19023" xr:uid="{00000000-0005-0000-0000-00002A4A0000}"/>
    <cellStyle name="Normal 2 2 2 3 8 3 5" xfId="19024" xr:uid="{00000000-0005-0000-0000-00002B4A0000}"/>
    <cellStyle name="Normal 2 2 2 3 8 3 6" xfId="19025" xr:uid="{00000000-0005-0000-0000-00002C4A0000}"/>
    <cellStyle name="Normal 2 2 2 3 8 3 7" xfId="19026" xr:uid="{00000000-0005-0000-0000-00002D4A0000}"/>
    <cellStyle name="Normal 2 2 2 3 8 3 8" xfId="19027" xr:uid="{00000000-0005-0000-0000-00002E4A0000}"/>
    <cellStyle name="Normal 2 2 2 3 8 3 9" xfId="19028" xr:uid="{00000000-0005-0000-0000-00002F4A0000}"/>
    <cellStyle name="Normal 2 2 2 3 8 4" xfId="19029" xr:uid="{00000000-0005-0000-0000-0000304A0000}"/>
    <cellStyle name="Normal 2 2 2 3 8 4 10" xfId="19030" xr:uid="{00000000-0005-0000-0000-0000314A0000}"/>
    <cellStyle name="Normal 2 2 2 3 8 4 2" xfId="19031" xr:uid="{00000000-0005-0000-0000-0000324A0000}"/>
    <cellStyle name="Normal 2 2 2 3 8 4 3" xfId="19032" xr:uid="{00000000-0005-0000-0000-0000334A0000}"/>
    <cellStyle name="Normal 2 2 2 3 8 4 4" xfId="19033" xr:uid="{00000000-0005-0000-0000-0000344A0000}"/>
    <cellStyle name="Normal 2 2 2 3 8 4 5" xfId="19034" xr:uid="{00000000-0005-0000-0000-0000354A0000}"/>
    <cellStyle name="Normal 2 2 2 3 8 4 6" xfId="19035" xr:uid="{00000000-0005-0000-0000-0000364A0000}"/>
    <cellStyle name="Normal 2 2 2 3 8 4 7" xfId="19036" xr:uid="{00000000-0005-0000-0000-0000374A0000}"/>
    <cellStyle name="Normal 2 2 2 3 8 4 8" xfId="19037" xr:uid="{00000000-0005-0000-0000-0000384A0000}"/>
    <cellStyle name="Normal 2 2 2 3 8 4 9" xfId="19038" xr:uid="{00000000-0005-0000-0000-0000394A0000}"/>
    <cellStyle name="Normal 2 2 2 3 8 5" xfId="19039" xr:uid="{00000000-0005-0000-0000-00003A4A0000}"/>
    <cellStyle name="Normal 2 2 2 3 8 5 10" xfId="19040" xr:uid="{00000000-0005-0000-0000-00003B4A0000}"/>
    <cellStyle name="Normal 2 2 2 3 8 5 2" xfId="19041" xr:uid="{00000000-0005-0000-0000-00003C4A0000}"/>
    <cellStyle name="Normal 2 2 2 3 8 5 3" xfId="19042" xr:uid="{00000000-0005-0000-0000-00003D4A0000}"/>
    <cellStyle name="Normal 2 2 2 3 8 5 4" xfId="19043" xr:uid="{00000000-0005-0000-0000-00003E4A0000}"/>
    <cellStyle name="Normal 2 2 2 3 8 5 5" xfId="19044" xr:uid="{00000000-0005-0000-0000-00003F4A0000}"/>
    <cellStyle name="Normal 2 2 2 3 8 5 6" xfId="19045" xr:uid="{00000000-0005-0000-0000-0000404A0000}"/>
    <cellStyle name="Normal 2 2 2 3 8 5 7" xfId="19046" xr:uid="{00000000-0005-0000-0000-0000414A0000}"/>
    <cellStyle name="Normal 2 2 2 3 8 5 8" xfId="19047" xr:uid="{00000000-0005-0000-0000-0000424A0000}"/>
    <cellStyle name="Normal 2 2 2 3 8 5 9" xfId="19048" xr:uid="{00000000-0005-0000-0000-0000434A0000}"/>
    <cellStyle name="Normal 2 2 2 3 8 6" xfId="19049" xr:uid="{00000000-0005-0000-0000-0000444A0000}"/>
    <cellStyle name="Normal 2 2 2 3 8 7" xfId="19050" xr:uid="{00000000-0005-0000-0000-0000454A0000}"/>
    <cellStyle name="Normal 2 2 2 3 8 8" xfId="19051" xr:uid="{00000000-0005-0000-0000-0000464A0000}"/>
    <cellStyle name="Normal 2 2 2 3 8 9" xfId="19052" xr:uid="{00000000-0005-0000-0000-0000474A0000}"/>
    <cellStyle name="Normal 2 2 2 3 9" xfId="19053" xr:uid="{00000000-0005-0000-0000-0000484A0000}"/>
    <cellStyle name="Normal 2 2 2 3 9 10" xfId="19054" xr:uid="{00000000-0005-0000-0000-0000494A0000}"/>
    <cellStyle name="Normal 2 2 2 3 9 11" xfId="19055" xr:uid="{00000000-0005-0000-0000-00004A4A0000}"/>
    <cellStyle name="Normal 2 2 2 3 9 12" xfId="19056" xr:uid="{00000000-0005-0000-0000-00004B4A0000}"/>
    <cellStyle name="Normal 2 2 2 3 9 13" xfId="19057" xr:uid="{00000000-0005-0000-0000-00004C4A0000}"/>
    <cellStyle name="Normal 2 2 2 3 9 14" xfId="19058" xr:uid="{00000000-0005-0000-0000-00004D4A0000}"/>
    <cellStyle name="Normal 2 2 2 3 9 2" xfId="19059" xr:uid="{00000000-0005-0000-0000-00004E4A0000}"/>
    <cellStyle name="Normal 2 2 2 3 9 2 10" xfId="19060" xr:uid="{00000000-0005-0000-0000-00004F4A0000}"/>
    <cellStyle name="Normal 2 2 2 3 9 2 2" xfId="19061" xr:uid="{00000000-0005-0000-0000-0000504A0000}"/>
    <cellStyle name="Normal 2 2 2 3 9 2 3" xfId="19062" xr:uid="{00000000-0005-0000-0000-0000514A0000}"/>
    <cellStyle name="Normal 2 2 2 3 9 2 4" xfId="19063" xr:uid="{00000000-0005-0000-0000-0000524A0000}"/>
    <cellStyle name="Normal 2 2 2 3 9 2 5" xfId="19064" xr:uid="{00000000-0005-0000-0000-0000534A0000}"/>
    <cellStyle name="Normal 2 2 2 3 9 2 6" xfId="19065" xr:uid="{00000000-0005-0000-0000-0000544A0000}"/>
    <cellStyle name="Normal 2 2 2 3 9 2 7" xfId="19066" xr:uid="{00000000-0005-0000-0000-0000554A0000}"/>
    <cellStyle name="Normal 2 2 2 3 9 2 8" xfId="19067" xr:uid="{00000000-0005-0000-0000-0000564A0000}"/>
    <cellStyle name="Normal 2 2 2 3 9 2 9" xfId="19068" xr:uid="{00000000-0005-0000-0000-0000574A0000}"/>
    <cellStyle name="Normal 2 2 2 3 9 3" xfId="19069" xr:uid="{00000000-0005-0000-0000-0000584A0000}"/>
    <cellStyle name="Normal 2 2 2 3 9 3 10" xfId="19070" xr:uid="{00000000-0005-0000-0000-0000594A0000}"/>
    <cellStyle name="Normal 2 2 2 3 9 3 2" xfId="19071" xr:uid="{00000000-0005-0000-0000-00005A4A0000}"/>
    <cellStyle name="Normal 2 2 2 3 9 3 3" xfId="19072" xr:uid="{00000000-0005-0000-0000-00005B4A0000}"/>
    <cellStyle name="Normal 2 2 2 3 9 3 4" xfId="19073" xr:uid="{00000000-0005-0000-0000-00005C4A0000}"/>
    <cellStyle name="Normal 2 2 2 3 9 3 5" xfId="19074" xr:uid="{00000000-0005-0000-0000-00005D4A0000}"/>
    <cellStyle name="Normal 2 2 2 3 9 3 6" xfId="19075" xr:uid="{00000000-0005-0000-0000-00005E4A0000}"/>
    <cellStyle name="Normal 2 2 2 3 9 3 7" xfId="19076" xr:uid="{00000000-0005-0000-0000-00005F4A0000}"/>
    <cellStyle name="Normal 2 2 2 3 9 3 8" xfId="19077" xr:uid="{00000000-0005-0000-0000-0000604A0000}"/>
    <cellStyle name="Normal 2 2 2 3 9 3 9" xfId="19078" xr:uid="{00000000-0005-0000-0000-0000614A0000}"/>
    <cellStyle name="Normal 2 2 2 3 9 4" xfId="19079" xr:uid="{00000000-0005-0000-0000-0000624A0000}"/>
    <cellStyle name="Normal 2 2 2 3 9 4 10" xfId="19080" xr:uid="{00000000-0005-0000-0000-0000634A0000}"/>
    <cellStyle name="Normal 2 2 2 3 9 4 2" xfId="19081" xr:uid="{00000000-0005-0000-0000-0000644A0000}"/>
    <cellStyle name="Normal 2 2 2 3 9 4 3" xfId="19082" xr:uid="{00000000-0005-0000-0000-0000654A0000}"/>
    <cellStyle name="Normal 2 2 2 3 9 4 4" xfId="19083" xr:uid="{00000000-0005-0000-0000-0000664A0000}"/>
    <cellStyle name="Normal 2 2 2 3 9 4 5" xfId="19084" xr:uid="{00000000-0005-0000-0000-0000674A0000}"/>
    <cellStyle name="Normal 2 2 2 3 9 4 6" xfId="19085" xr:uid="{00000000-0005-0000-0000-0000684A0000}"/>
    <cellStyle name="Normal 2 2 2 3 9 4 7" xfId="19086" xr:uid="{00000000-0005-0000-0000-0000694A0000}"/>
    <cellStyle name="Normal 2 2 2 3 9 4 8" xfId="19087" xr:uid="{00000000-0005-0000-0000-00006A4A0000}"/>
    <cellStyle name="Normal 2 2 2 3 9 4 9" xfId="19088" xr:uid="{00000000-0005-0000-0000-00006B4A0000}"/>
    <cellStyle name="Normal 2 2 2 3 9 5" xfId="19089" xr:uid="{00000000-0005-0000-0000-00006C4A0000}"/>
    <cellStyle name="Normal 2 2 2 3 9 5 10" xfId="19090" xr:uid="{00000000-0005-0000-0000-00006D4A0000}"/>
    <cellStyle name="Normal 2 2 2 3 9 5 2" xfId="19091" xr:uid="{00000000-0005-0000-0000-00006E4A0000}"/>
    <cellStyle name="Normal 2 2 2 3 9 5 3" xfId="19092" xr:uid="{00000000-0005-0000-0000-00006F4A0000}"/>
    <cellStyle name="Normal 2 2 2 3 9 5 4" xfId="19093" xr:uid="{00000000-0005-0000-0000-0000704A0000}"/>
    <cellStyle name="Normal 2 2 2 3 9 5 5" xfId="19094" xr:uid="{00000000-0005-0000-0000-0000714A0000}"/>
    <cellStyle name="Normal 2 2 2 3 9 5 6" xfId="19095" xr:uid="{00000000-0005-0000-0000-0000724A0000}"/>
    <cellStyle name="Normal 2 2 2 3 9 5 7" xfId="19096" xr:uid="{00000000-0005-0000-0000-0000734A0000}"/>
    <cellStyle name="Normal 2 2 2 3 9 5 8" xfId="19097" xr:uid="{00000000-0005-0000-0000-0000744A0000}"/>
    <cellStyle name="Normal 2 2 2 3 9 5 9" xfId="19098" xr:uid="{00000000-0005-0000-0000-0000754A0000}"/>
    <cellStyle name="Normal 2 2 2 3 9 6" xfId="19099" xr:uid="{00000000-0005-0000-0000-0000764A0000}"/>
    <cellStyle name="Normal 2 2 2 3 9 7" xfId="19100" xr:uid="{00000000-0005-0000-0000-0000774A0000}"/>
    <cellStyle name="Normal 2 2 2 3 9 8" xfId="19101" xr:uid="{00000000-0005-0000-0000-0000784A0000}"/>
    <cellStyle name="Normal 2 2 2 3 9 9" xfId="19102" xr:uid="{00000000-0005-0000-0000-0000794A0000}"/>
    <cellStyle name="Normal 2 2 2 30" xfId="19103" xr:uid="{00000000-0005-0000-0000-00007A4A0000}"/>
    <cellStyle name="Normal 2 2 2 30 10" xfId="19104" xr:uid="{00000000-0005-0000-0000-00007B4A0000}"/>
    <cellStyle name="Normal 2 2 2 30 11" xfId="19105" xr:uid="{00000000-0005-0000-0000-00007C4A0000}"/>
    <cellStyle name="Normal 2 2 2 30 12" xfId="19106" xr:uid="{00000000-0005-0000-0000-00007D4A0000}"/>
    <cellStyle name="Normal 2 2 2 30 13" xfId="19107" xr:uid="{00000000-0005-0000-0000-00007E4A0000}"/>
    <cellStyle name="Normal 2 2 2 30 14" xfId="19108" xr:uid="{00000000-0005-0000-0000-00007F4A0000}"/>
    <cellStyle name="Normal 2 2 2 30 2" xfId="19109" xr:uid="{00000000-0005-0000-0000-0000804A0000}"/>
    <cellStyle name="Normal 2 2 2 30 2 10" xfId="19110" xr:uid="{00000000-0005-0000-0000-0000814A0000}"/>
    <cellStyle name="Normal 2 2 2 30 2 2" xfId="19111" xr:uid="{00000000-0005-0000-0000-0000824A0000}"/>
    <cellStyle name="Normal 2 2 2 30 2 3" xfId="19112" xr:uid="{00000000-0005-0000-0000-0000834A0000}"/>
    <cellStyle name="Normal 2 2 2 30 2 4" xfId="19113" xr:uid="{00000000-0005-0000-0000-0000844A0000}"/>
    <cellStyle name="Normal 2 2 2 30 2 5" xfId="19114" xr:uid="{00000000-0005-0000-0000-0000854A0000}"/>
    <cellStyle name="Normal 2 2 2 30 2 6" xfId="19115" xr:uid="{00000000-0005-0000-0000-0000864A0000}"/>
    <cellStyle name="Normal 2 2 2 30 2 7" xfId="19116" xr:uid="{00000000-0005-0000-0000-0000874A0000}"/>
    <cellStyle name="Normal 2 2 2 30 2 8" xfId="19117" xr:uid="{00000000-0005-0000-0000-0000884A0000}"/>
    <cellStyle name="Normal 2 2 2 30 2 9" xfId="19118" xr:uid="{00000000-0005-0000-0000-0000894A0000}"/>
    <cellStyle name="Normal 2 2 2 30 3" xfId="19119" xr:uid="{00000000-0005-0000-0000-00008A4A0000}"/>
    <cellStyle name="Normal 2 2 2 30 3 10" xfId="19120" xr:uid="{00000000-0005-0000-0000-00008B4A0000}"/>
    <cellStyle name="Normal 2 2 2 30 3 2" xfId="19121" xr:uid="{00000000-0005-0000-0000-00008C4A0000}"/>
    <cellStyle name="Normal 2 2 2 30 3 3" xfId="19122" xr:uid="{00000000-0005-0000-0000-00008D4A0000}"/>
    <cellStyle name="Normal 2 2 2 30 3 4" xfId="19123" xr:uid="{00000000-0005-0000-0000-00008E4A0000}"/>
    <cellStyle name="Normal 2 2 2 30 3 5" xfId="19124" xr:uid="{00000000-0005-0000-0000-00008F4A0000}"/>
    <cellStyle name="Normal 2 2 2 30 3 6" xfId="19125" xr:uid="{00000000-0005-0000-0000-0000904A0000}"/>
    <cellStyle name="Normal 2 2 2 30 3 7" xfId="19126" xr:uid="{00000000-0005-0000-0000-0000914A0000}"/>
    <cellStyle name="Normal 2 2 2 30 3 8" xfId="19127" xr:uid="{00000000-0005-0000-0000-0000924A0000}"/>
    <cellStyle name="Normal 2 2 2 30 3 9" xfId="19128" xr:uid="{00000000-0005-0000-0000-0000934A0000}"/>
    <cellStyle name="Normal 2 2 2 30 4" xfId="19129" xr:uid="{00000000-0005-0000-0000-0000944A0000}"/>
    <cellStyle name="Normal 2 2 2 30 4 10" xfId="19130" xr:uid="{00000000-0005-0000-0000-0000954A0000}"/>
    <cellStyle name="Normal 2 2 2 30 4 2" xfId="19131" xr:uid="{00000000-0005-0000-0000-0000964A0000}"/>
    <cellStyle name="Normal 2 2 2 30 4 3" xfId="19132" xr:uid="{00000000-0005-0000-0000-0000974A0000}"/>
    <cellStyle name="Normal 2 2 2 30 4 4" xfId="19133" xr:uid="{00000000-0005-0000-0000-0000984A0000}"/>
    <cellStyle name="Normal 2 2 2 30 4 5" xfId="19134" xr:uid="{00000000-0005-0000-0000-0000994A0000}"/>
    <cellStyle name="Normal 2 2 2 30 4 6" xfId="19135" xr:uid="{00000000-0005-0000-0000-00009A4A0000}"/>
    <cellStyle name="Normal 2 2 2 30 4 7" xfId="19136" xr:uid="{00000000-0005-0000-0000-00009B4A0000}"/>
    <cellStyle name="Normal 2 2 2 30 4 8" xfId="19137" xr:uid="{00000000-0005-0000-0000-00009C4A0000}"/>
    <cellStyle name="Normal 2 2 2 30 4 9" xfId="19138" xr:uid="{00000000-0005-0000-0000-00009D4A0000}"/>
    <cellStyle name="Normal 2 2 2 30 5" xfId="19139" xr:uid="{00000000-0005-0000-0000-00009E4A0000}"/>
    <cellStyle name="Normal 2 2 2 30 5 10" xfId="19140" xr:uid="{00000000-0005-0000-0000-00009F4A0000}"/>
    <cellStyle name="Normal 2 2 2 30 5 2" xfId="19141" xr:uid="{00000000-0005-0000-0000-0000A04A0000}"/>
    <cellStyle name="Normal 2 2 2 30 5 3" xfId="19142" xr:uid="{00000000-0005-0000-0000-0000A14A0000}"/>
    <cellStyle name="Normal 2 2 2 30 5 4" xfId="19143" xr:uid="{00000000-0005-0000-0000-0000A24A0000}"/>
    <cellStyle name="Normal 2 2 2 30 5 5" xfId="19144" xr:uid="{00000000-0005-0000-0000-0000A34A0000}"/>
    <cellStyle name="Normal 2 2 2 30 5 6" xfId="19145" xr:uid="{00000000-0005-0000-0000-0000A44A0000}"/>
    <cellStyle name="Normal 2 2 2 30 5 7" xfId="19146" xr:uid="{00000000-0005-0000-0000-0000A54A0000}"/>
    <cellStyle name="Normal 2 2 2 30 5 8" xfId="19147" xr:uid="{00000000-0005-0000-0000-0000A64A0000}"/>
    <cellStyle name="Normal 2 2 2 30 5 9" xfId="19148" xr:uid="{00000000-0005-0000-0000-0000A74A0000}"/>
    <cellStyle name="Normal 2 2 2 30 6" xfId="19149" xr:uid="{00000000-0005-0000-0000-0000A84A0000}"/>
    <cellStyle name="Normal 2 2 2 30 7" xfId="19150" xr:uid="{00000000-0005-0000-0000-0000A94A0000}"/>
    <cellStyle name="Normal 2 2 2 30 8" xfId="19151" xr:uid="{00000000-0005-0000-0000-0000AA4A0000}"/>
    <cellStyle name="Normal 2 2 2 30 9" xfId="19152" xr:uid="{00000000-0005-0000-0000-0000AB4A0000}"/>
    <cellStyle name="Normal 2 2 2 31" xfId="19153" xr:uid="{00000000-0005-0000-0000-0000AC4A0000}"/>
    <cellStyle name="Normal 2 2 2 31 10" xfId="19154" xr:uid="{00000000-0005-0000-0000-0000AD4A0000}"/>
    <cellStyle name="Normal 2 2 2 31 11" xfId="19155" xr:uid="{00000000-0005-0000-0000-0000AE4A0000}"/>
    <cellStyle name="Normal 2 2 2 31 12" xfId="19156" xr:uid="{00000000-0005-0000-0000-0000AF4A0000}"/>
    <cellStyle name="Normal 2 2 2 31 13" xfId="19157" xr:uid="{00000000-0005-0000-0000-0000B04A0000}"/>
    <cellStyle name="Normal 2 2 2 31 14" xfId="19158" xr:uid="{00000000-0005-0000-0000-0000B14A0000}"/>
    <cellStyle name="Normal 2 2 2 31 2" xfId="19159" xr:uid="{00000000-0005-0000-0000-0000B24A0000}"/>
    <cellStyle name="Normal 2 2 2 31 2 10" xfId="19160" xr:uid="{00000000-0005-0000-0000-0000B34A0000}"/>
    <cellStyle name="Normal 2 2 2 31 2 2" xfId="19161" xr:uid="{00000000-0005-0000-0000-0000B44A0000}"/>
    <cellStyle name="Normal 2 2 2 31 2 3" xfId="19162" xr:uid="{00000000-0005-0000-0000-0000B54A0000}"/>
    <cellStyle name="Normal 2 2 2 31 2 4" xfId="19163" xr:uid="{00000000-0005-0000-0000-0000B64A0000}"/>
    <cellStyle name="Normal 2 2 2 31 2 5" xfId="19164" xr:uid="{00000000-0005-0000-0000-0000B74A0000}"/>
    <cellStyle name="Normal 2 2 2 31 2 6" xfId="19165" xr:uid="{00000000-0005-0000-0000-0000B84A0000}"/>
    <cellStyle name="Normal 2 2 2 31 2 7" xfId="19166" xr:uid="{00000000-0005-0000-0000-0000B94A0000}"/>
    <cellStyle name="Normal 2 2 2 31 2 8" xfId="19167" xr:uid="{00000000-0005-0000-0000-0000BA4A0000}"/>
    <cellStyle name="Normal 2 2 2 31 2 9" xfId="19168" xr:uid="{00000000-0005-0000-0000-0000BB4A0000}"/>
    <cellStyle name="Normal 2 2 2 31 3" xfId="19169" xr:uid="{00000000-0005-0000-0000-0000BC4A0000}"/>
    <cellStyle name="Normal 2 2 2 31 3 10" xfId="19170" xr:uid="{00000000-0005-0000-0000-0000BD4A0000}"/>
    <cellStyle name="Normal 2 2 2 31 3 2" xfId="19171" xr:uid="{00000000-0005-0000-0000-0000BE4A0000}"/>
    <cellStyle name="Normal 2 2 2 31 3 3" xfId="19172" xr:uid="{00000000-0005-0000-0000-0000BF4A0000}"/>
    <cellStyle name="Normal 2 2 2 31 3 4" xfId="19173" xr:uid="{00000000-0005-0000-0000-0000C04A0000}"/>
    <cellStyle name="Normal 2 2 2 31 3 5" xfId="19174" xr:uid="{00000000-0005-0000-0000-0000C14A0000}"/>
    <cellStyle name="Normal 2 2 2 31 3 6" xfId="19175" xr:uid="{00000000-0005-0000-0000-0000C24A0000}"/>
    <cellStyle name="Normal 2 2 2 31 3 7" xfId="19176" xr:uid="{00000000-0005-0000-0000-0000C34A0000}"/>
    <cellStyle name="Normal 2 2 2 31 3 8" xfId="19177" xr:uid="{00000000-0005-0000-0000-0000C44A0000}"/>
    <cellStyle name="Normal 2 2 2 31 3 9" xfId="19178" xr:uid="{00000000-0005-0000-0000-0000C54A0000}"/>
    <cellStyle name="Normal 2 2 2 31 4" xfId="19179" xr:uid="{00000000-0005-0000-0000-0000C64A0000}"/>
    <cellStyle name="Normal 2 2 2 31 4 10" xfId="19180" xr:uid="{00000000-0005-0000-0000-0000C74A0000}"/>
    <cellStyle name="Normal 2 2 2 31 4 2" xfId="19181" xr:uid="{00000000-0005-0000-0000-0000C84A0000}"/>
    <cellStyle name="Normal 2 2 2 31 4 3" xfId="19182" xr:uid="{00000000-0005-0000-0000-0000C94A0000}"/>
    <cellStyle name="Normal 2 2 2 31 4 4" xfId="19183" xr:uid="{00000000-0005-0000-0000-0000CA4A0000}"/>
    <cellStyle name="Normal 2 2 2 31 4 5" xfId="19184" xr:uid="{00000000-0005-0000-0000-0000CB4A0000}"/>
    <cellStyle name="Normal 2 2 2 31 4 6" xfId="19185" xr:uid="{00000000-0005-0000-0000-0000CC4A0000}"/>
    <cellStyle name="Normal 2 2 2 31 4 7" xfId="19186" xr:uid="{00000000-0005-0000-0000-0000CD4A0000}"/>
    <cellStyle name="Normal 2 2 2 31 4 8" xfId="19187" xr:uid="{00000000-0005-0000-0000-0000CE4A0000}"/>
    <cellStyle name="Normal 2 2 2 31 4 9" xfId="19188" xr:uid="{00000000-0005-0000-0000-0000CF4A0000}"/>
    <cellStyle name="Normal 2 2 2 31 5" xfId="19189" xr:uid="{00000000-0005-0000-0000-0000D04A0000}"/>
    <cellStyle name="Normal 2 2 2 31 5 10" xfId="19190" xr:uid="{00000000-0005-0000-0000-0000D14A0000}"/>
    <cellStyle name="Normal 2 2 2 31 5 2" xfId="19191" xr:uid="{00000000-0005-0000-0000-0000D24A0000}"/>
    <cellStyle name="Normal 2 2 2 31 5 3" xfId="19192" xr:uid="{00000000-0005-0000-0000-0000D34A0000}"/>
    <cellStyle name="Normal 2 2 2 31 5 4" xfId="19193" xr:uid="{00000000-0005-0000-0000-0000D44A0000}"/>
    <cellStyle name="Normal 2 2 2 31 5 5" xfId="19194" xr:uid="{00000000-0005-0000-0000-0000D54A0000}"/>
    <cellStyle name="Normal 2 2 2 31 5 6" xfId="19195" xr:uid="{00000000-0005-0000-0000-0000D64A0000}"/>
    <cellStyle name="Normal 2 2 2 31 5 7" xfId="19196" xr:uid="{00000000-0005-0000-0000-0000D74A0000}"/>
    <cellStyle name="Normal 2 2 2 31 5 8" xfId="19197" xr:uid="{00000000-0005-0000-0000-0000D84A0000}"/>
    <cellStyle name="Normal 2 2 2 31 5 9" xfId="19198" xr:uid="{00000000-0005-0000-0000-0000D94A0000}"/>
    <cellStyle name="Normal 2 2 2 31 6" xfId="19199" xr:uid="{00000000-0005-0000-0000-0000DA4A0000}"/>
    <cellStyle name="Normal 2 2 2 31 7" xfId="19200" xr:uid="{00000000-0005-0000-0000-0000DB4A0000}"/>
    <cellStyle name="Normal 2 2 2 31 8" xfId="19201" xr:uid="{00000000-0005-0000-0000-0000DC4A0000}"/>
    <cellStyle name="Normal 2 2 2 31 9" xfId="19202" xr:uid="{00000000-0005-0000-0000-0000DD4A0000}"/>
    <cellStyle name="Normal 2 2 2 32" xfId="19203" xr:uid="{00000000-0005-0000-0000-0000DE4A0000}"/>
    <cellStyle name="Normal 2 2 2 32 10" xfId="19204" xr:uid="{00000000-0005-0000-0000-0000DF4A0000}"/>
    <cellStyle name="Normal 2 2 2 32 11" xfId="19205" xr:uid="{00000000-0005-0000-0000-0000E04A0000}"/>
    <cellStyle name="Normal 2 2 2 32 12" xfId="19206" xr:uid="{00000000-0005-0000-0000-0000E14A0000}"/>
    <cellStyle name="Normal 2 2 2 32 13" xfId="19207" xr:uid="{00000000-0005-0000-0000-0000E24A0000}"/>
    <cellStyle name="Normal 2 2 2 32 14" xfId="19208" xr:uid="{00000000-0005-0000-0000-0000E34A0000}"/>
    <cellStyle name="Normal 2 2 2 32 2" xfId="19209" xr:uid="{00000000-0005-0000-0000-0000E44A0000}"/>
    <cellStyle name="Normal 2 2 2 32 2 10" xfId="19210" xr:uid="{00000000-0005-0000-0000-0000E54A0000}"/>
    <cellStyle name="Normal 2 2 2 32 2 2" xfId="19211" xr:uid="{00000000-0005-0000-0000-0000E64A0000}"/>
    <cellStyle name="Normal 2 2 2 32 2 3" xfId="19212" xr:uid="{00000000-0005-0000-0000-0000E74A0000}"/>
    <cellStyle name="Normal 2 2 2 32 2 4" xfId="19213" xr:uid="{00000000-0005-0000-0000-0000E84A0000}"/>
    <cellStyle name="Normal 2 2 2 32 2 5" xfId="19214" xr:uid="{00000000-0005-0000-0000-0000E94A0000}"/>
    <cellStyle name="Normal 2 2 2 32 2 6" xfId="19215" xr:uid="{00000000-0005-0000-0000-0000EA4A0000}"/>
    <cellStyle name="Normal 2 2 2 32 2 7" xfId="19216" xr:uid="{00000000-0005-0000-0000-0000EB4A0000}"/>
    <cellStyle name="Normal 2 2 2 32 2 8" xfId="19217" xr:uid="{00000000-0005-0000-0000-0000EC4A0000}"/>
    <cellStyle name="Normal 2 2 2 32 2 9" xfId="19218" xr:uid="{00000000-0005-0000-0000-0000ED4A0000}"/>
    <cellStyle name="Normal 2 2 2 32 3" xfId="19219" xr:uid="{00000000-0005-0000-0000-0000EE4A0000}"/>
    <cellStyle name="Normal 2 2 2 32 3 10" xfId="19220" xr:uid="{00000000-0005-0000-0000-0000EF4A0000}"/>
    <cellStyle name="Normal 2 2 2 32 3 2" xfId="19221" xr:uid="{00000000-0005-0000-0000-0000F04A0000}"/>
    <cellStyle name="Normal 2 2 2 32 3 3" xfId="19222" xr:uid="{00000000-0005-0000-0000-0000F14A0000}"/>
    <cellStyle name="Normal 2 2 2 32 3 4" xfId="19223" xr:uid="{00000000-0005-0000-0000-0000F24A0000}"/>
    <cellStyle name="Normal 2 2 2 32 3 5" xfId="19224" xr:uid="{00000000-0005-0000-0000-0000F34A0000}"/>
    <cellStyle name="Normal 2 2 2 32 3 6" xfId="19225" xr:uid="{00000000-0005-0000-0000-0000F44A0000}"/>
    <cellStyle name="Normal 2 2 2 32 3 7" xfId="19226" xr:uid="{00000000-0005-0000-0000-0000F54A0000}"/>
    <cellStyle name="Normal 2 2 2 32 3 8" xfId="19227" xr:uid="{00000000-0005-0000-0000-0000F64A0000}"/>
    <cellStyle name="Normal 2 2 2 32 3 9" xfId="19228" xr:uid="{00000000-0005-0000-0000-0000F74A0000}"/>
    <cellStyle name="Normal 2 2 2 32 4" xfId="19229" xr:uid="{00000000-0005-0000-0000-0000F84A0000}"/>
    <cellStyle name="Normal 2 2 2 32 4 10" xfId="19230" xr:uid="{00000000-0005-0000-0000-0000F94A0000}"/>
    <cellStyle name="Normal 2 2 2 32 4 2" xfId="19231" xr:uid="{00000000-0005-0000-0000-0000FA4A0000}"/>
    <cellStyle name="Normal 2 2 2 32 4 3" xfId="19232" xr:uid="{00000000-0005-0000-0000-0000FB4A0000}"/>
    <cellStyle name="Normal 2 2 2 32 4 4" xfId="19233" xr:uid="{00000000-0005-0000-0000-0000FC4A0000}"/>
    <cellStyle name="Normal 2 2 2 32 4 5" xfId="19234" xr:uid="{00000000-0005-0000-0000-0000FD4A0000}"/>
    <cellStyle name="Normal 2 2 2 32 4 6" xfId="19235" xr:uid="{00000000-0005-0000-0000-0000FE4A0000}"/>
    <cellStyle name="Normal 2 2 2 32 4 7" xfId="19236" xr:uid="{00000000-0005-0000-0000-0000FF4A0000}"/>
    <cellStyle name="Normal 2 2 2 32 4 8" xfId="19237" xr:uid="{00000000-0005-0000-0000-0000004B0000}"/>
    <cellStyle name="Normal 2 2 2 32 4 9" xfId="19238" xr:uid="{00000000-0005-0000-0000-0000014B0000}"/>
    <cellStyle name="Normal 2 2 2 32 5" xfId="19239" xr:uid="{00000000-0005-0000-0000-0000024B0000}"/>
    <cellStyle name="Normal 2 2 2 32 5 10" xfId="19240" xr:uid="{00000000-0005-0000-0000-0000034B0000}"/>
    <cellStyle name="Normal 2 2 2 32 5 2" xfId="19241" xr:uid="{00000000-0005-0000-0000-0000044B0000}"/>
    <cellStyle name="Normal 2 2 2 32 5 3" xfId="19242" xr:uid="{00000000-0005-0000-0000-0000054B0000}"/>
    <cellStyle name="Normal 2 2 2 32 5 4" xfId="19243" xr:uid="{00000000-0005-0000-0000-0000064B0000}"/>
    <cellStyle name="Normal 2 2 2 32 5 5" xfId="19244" xr:uid="{00000000-0005-0000-0000-0000074B0000}"/>
    <cellStyle name="Normal 2 2 2 32 5 6" xfId="19245" xr:uid="{00000000-0005-0000-0000-0000084B0000}"/>
    <cellStyle name="Normal 2 2 2 32 5 7" xfId="19246" xr:uid="{00000000-0005-0000-0000-0000094B0000}"/>
    <cellStyle name="Normal 2 2 2 32 5 8" xfId="19247" xr:uid="{00000000-0005-0000-0000-00000A4B0000}"/>
    <cellStyle name="Normal 2 2 2 32 5 9" xfId="19248" xr:uid="{00000000-0005-0000-0000-00000B4B0000}"/>
    <cellStyle name="Normal 2 2 2 32 6" xfId="19249" xr:uid="{00000000-0005-0000-0000-00000C4B0000}"/>
    <cellStyle name="Normal 2 2 2 32 7" xfId="19250" xr:uid="{00000000-0005-0000-0000-00000D4B0000}"/>
    <cellStyle name="Normal 2 2 2 32 8" xfId="19251" xr:uid="{00000000-0005-0000-0000-00000E4B0000}"/>
    <cellStyle name="Normal 2 2 2 32 9" xfId="19252" xr:uid="{00000000-0005-0000-0000-00000F4B0000}"/>
    <cellStyle name="Normal 2 2 2 33" xfId="19253" xr:uid="{00000000-0005-0000-0000-0000104B0000}"/>
    <cellStyle name="Normal 2 2 2 33 10" xfId="19254" xr:uid="{00000000-0005-0000-0000-0000114B0000}"/>
    <cellStyle name="Normal 2 2 2 33 11" xfId="19255" xr:uid="{00000000-0005-0000-0000-0000124B0000}"/>
    <cellStyle name="Normal 2 2 2 33 12" xfId="19256" xr:uid="{00000000-0005-0000-0000-0000134B0000}"/>
    <cellStyle name="Normal 2 2 2 33 13" xfId="19257" xr:uid="{00000000-0005-0000-0000-0000144B0000}"/>
    <cellStyle name="Normal 2 2 2 33 14" xfId="19258" xr:uid="{00000000-0005-0000-0000-0000154B0000}"/>
    <cellStyle name="Normal 2 2 2 33 2" xfId="19259" xr:uid="{00000000-0005-0000-0000-0000164B0000}"/>
    <cellStyle name="Normal 2 2 2 33 2 10" xfId="19260" xr:uid="{00000000-0005-0000-0000-0000174B0000}"/>
    <cellStyle name="Normal 2 2 2 33 2 2" xfId="19261" xr:uid="{00000000-0005-0000-0000-0000184B0000}"/>
    <cellStyle name="Normal 2 2 2 33 2 3" xfId="19262" xr:uid="{00000000-0005-0000-0000-0000194B0000}"/>
    <cellStyle name="Normal 2 2 2 33 2 4" xfId="19263" xr:uid="{00000000-0005-0000-0000-00001A4B0000}"/>
    <cellStyle name="Normal 2 2 2 33 2 5" xfId="19264" xr:uid="{00000000-0005-0000-0000-00001B4B0000}"/>
    <cellStyle name="Normal 2 2 2 33 2 6" xfId="19265" xr:uid="{00000000-0005-0000-0000-00001C4B0000}"/>
    <cellStyle name="Normal 2 2 2 33 2 7" xfId="19266" xr:uid="{00000000-0005-0000-0000-00001D4B0000}"/>
    <cellStyle name="Normal 2 2 2 33 2 8" xfId="19267" xr:uid="{00000000-0005-0000-0000-00001E4B0000}"/>
    <cellStyle name="Normal 2 2 2 33 2 9" xfId="19268" xr:uid="{00000000-0005-0000-0000-00001F4B0000}"/>
    <cellStyle name="Normal 2 2 2 33 3" xfId="19269" xr:uid="{00000000-0005-0000-0000-0000204B0000}"/>
    <cellStyle name="Normal 2 2 2 33 3 10" xfId="19270" xr:uid="{00000000-0005-0000-0000-0000214B0000}"/>
    <cellStyle name="Normal 2 2 2 33 3 2" xfId="19271" xr:uid="{00000000-0005-0000-0000-0000224B0000}"/>
    <cellStyle name="Normal 2 2 2 33 3 3" xfId="19272" xr:uid="{00000000-0005-0000-0000-0000234B0000}"/>
    <cellStyle name="Normal 2 2 2 33 3 4" xfId="19273" xr:uid="{00000000-0005-0000-0000-0000244B0000}"/>
    <cellStyle name="Normal 2 2 2 33 3 5" xfId="19274" xr:uid="{00000000-0005-0000-0000-0000254B0000}"/>
    <cellStyle name="Normal 2 2 2 33 3 6" xfId="19275" xr:uid="{00000000-0005-0000-0000-0000264B0000}"/>
    <cellStyle name="Normal 2 2 2 33 3 7" xfId="19276" xr:uid="{00000000-0005-0000-0000-0000274B0000}"/>
    <cellStyle name="Normal 2 2 2 33 3 8" xfId="19277" xr:uid="{00000000-0005-0000-0000-0000284B0000}"/>
    <cellStyle name="Normal 2 2 2 33 3 9" xfId="19278" xr:uid="{00000000-0005-0000-0000-0000294B0000}"/>
    <cellStyle name="Normal 2 2 2 33 4" xfId="19279" xr:uid="{00000000-0005-0000-0000-00002A4B0000}"/>
    <cellStyle name="Normal 2 2 2 33 4 10" xfId="19280" xr:uid="{00000000-0005-0000-0000-00002B4B0000}"/>
    <cellStyle name="Normal 2 2 2 33 4 2" xfId="19281" xr:uid="{00000000-0005-0000-0000-00002C4B0000}"/>
    <cellStyle name="Normal 2 2 2 33 4 3" xfId="19282" xr:uid="{00000000-0005-0000-0000-00002D4B0000}"/>
    <cellStyle name="Normal 2 2 2 33 4 4" xfId="19283" xr:uid="{00000000-0005-0000-0000-00002E4B0000}"/>
    <cellStyle name="Normal 2 2 2 33 4 5" xfId="19284" xr:uid="{00000000-0005-0000-0000-00002F4B0000}"/>
    <cellStyle name="Normal 2 2 2 33 4 6" xfId="19285" xr:uid="{00000000-0005-0000-0000-0000304B0000}"/>
    <cellStyle name="Normal 2 2 2 33 4 7" xfId="19286" xr:uid="{00000000-0005-0000-0000-0000314B0000}"/>
    <cellStyle name="Normal 2 2 2 33 4 8" xfId="19287" xr:uid="{00000000-0005-0000-0000-0000324B0000}"/>
    <cellStyle name="Normal 2 2 2 33 4 9" xfId="19288" xr:uid="{00000000-0005-0000-0000-0000334B0000}"/>
    <cellStyle name="Normal 2 2 2 33 5" xfId="19289" xr:uid="{00000000-0005-0000-0000-0000344B0000}"/>
    <cellStyle name="Normal 2 2 2 33 5 10" xfId="19290" xr:uid="{00000000-0005-0000-0000-0000354B0000}"/>
    <cellStyle name="Normal 2 2 2 33 5 2" xfId="19291" xr:uid="{00000000-0005-0000-0000-0000364B0000}"/>
    <cellStyle name="Normal 2 2 2 33 5 3" xfId="19292" xr:uid="{00000000-0005-0000-0000-0000374B0000}"/>
    <cellStyle name="Normal 2 2 2 33 5 4" xfId="19293" xr:uid="{00000000-0005-0000-0000-0000384B0000}"/>
    <cellStyle name="Normal 2 2 2 33 5 5" xfId="19294" xr:uid="{00000000-0005-0000-0000-0000394B0000}"/>
    <cellStyle name="Normal 2 2 2 33 5 6" xfId="19295" xr:uid="{00000000-0005-0000-0000-00003A4B0000}"/>
    <cellStyle name="Normal 2 2 2 33 5 7" xfId="19296" xr:uid="{00000000-0005-0000-0000-00003B4B0000}"/>
    <cellStyle name="Normal 2 2 2 33 5 8" xfId="19297" xr:uid="{00000000-0005-0000-0000-00003C4B0000}"/>
    <cellStyle name="Normal 2 2 2 33 5 9" xfId="19298" xr:uid="{00000000-0005-0000-0000-00003D4B0000}"/>
    <cellStyle name="Normal 2 2 2 33 6" xfId="19299" xr:uid="{00000000-0005-0000-0000-00003E4B0000}"/>
    <cellStyle name="Normal 2 2 2 33 7" xfId="19300" xr:uid="{00000000-0005-0000-0000-00003F4B0000}"/>
    <cellStyle name="Normal 2 2 2 33 8" xfId="19301" xr:uid="{00000000-0005-0000-0000-0000404B0000}"/>
    <cellStyle name="Normal 2 2 2 33 9" xfId="19302" xr:uid="{00000000-0005-0000-0000-0000414B0000}"/>
    <cellStyle name="Normal 2 2 2 34" xfId="19303" xr:uid="{00000000-0005-0000-0000-0000424B0000}"/>
    <cellStyle name="Normal 2 2 2 34 10" xfId="19304" xr:uid="{00000000-0005-0000-0000-0000434B0000}"/>
    <cellStyle name="Normal 2 2 2 34 11" xfId="19305" xr:uid="{00000000-0005-0000-0000-0000444B0000}"/>
    <cellStyle name="Normal 2 2 2 34 12" xfId="19306" xr:uid="{00000000-0005-0000-0000-0000454B0000}"/>
    <cellStyle name="Normal 2 2 2 34 13" xfId="19307" xr:uid="{00000000-0005-0000-0000-0000464B0000}"/>
    <cellStyle name="Normal 2 2 2 34 14" xfId="19308" xr:uid="{00000000-0005-0000-0000-0000474B0000}"/>
    <cellStyle name="Normal 2 2 2 34 2" xfId="19309" xr:uid="{00000000-0005-0000-0000-0000484B0000}"/>
    <cellStyle name="Normal 2 2 2 34 2 10" xfId="19310" xr:uid="{00000000-0005-0000-0000-0000494B0000}"/>
    <cellStyle name="Normal 2 2 2 34 2 2" xfId="19311" xr:uid="{00000000-0005-0000-0000-00004A4B0000}"/>
    <cellStyle name="Normal 2 2 2 34 2 3" xfId="19312" xr:uid="{00000000-0005-0000-0000-00004B4B0000}"/>
    <cellStyle name="Normal 2 2 2 34 2 4" xfId="19313" xr:uid="{00000000-0005-0000-0000-00004C4B0000}"/>
    <cellStyle name="Normal 2 2 2 34 2 5" xfId="19314" xr:uid="{00000000-0005-0000-0000-00004D4B0000}"/>
    <cellStyle name="Normal 2 2 2 34 2 6" xfId="19315" xr:uid="{00000000-0005-0000-0000-00004E4B0000}"/>
    <cellStyle name="Normal 2 2 2 34 2 7" xfId="19316" xr:uid="{00000000-0005-0000-0000-00004F4B0000}"/>
    <cellStyle name="Normal 2 2 2 34 2 8" xfId="19317" xr:uid="{00000000-0005-0000-0000-0000504B0000}"/>
    <cellStyle name="Normal 2 2 2 34 2 9" xfId="19318" xr:uid="{00000000-0005-0000-0000-0000514B0000}"/>
    <cellStyle name="Normal 2 2 2 34 3" xfId="19319" xr:uid="{00000000-0005-0000-0000-0000524B0000}"/>
    <cellStyle name="Normal 2 2 2 34 3 10" xfId="19320" xr:uid="{00000000-0005-0000-0000-0000534B0000}"/>
    <cellStyle name="Normal 2 2 2 34 3 2" xfId="19321" xr:uid="{00000000-0005-0000-0000-0000544B0000}"/>
    <cellStyle name="Normal 2 2 2 34 3 3" xfId="19322" xr:uid="{00000000-0005-0000-0000-0000554B0000}"/>
    <cellStyle name="Normal 2 2 2 34 3 4" xfId="19323" xr:uid="{00000000-0005-0000-0000-0000564B0000}"/>
    <cellStyle name="Normal 2 2 2 34 3 5" xfId="19324" xr:uid="{00000000-0005-0000-0000-0000574B0000}"/>
    <cellStyle name="Normal 2 2 2 34 3 6" xfId="19325" xr:uid="{00000000-0005-0000-0000-0000584B0000}"/>
    <cellStyle name="Normal 2 2 2 34 3 7" xfId="19326" xr:uid="{00000000-0005-0000-0000-0000594B0000}"/>
    <cellStyle name="Normal 2 2 2 34 3 8" xfId="19327" xr:uid="{00000000-0005-0000-0000-00005A4B0000}"/>
    <cellStyle name="Normal 2 2 2 34 3 9" xfId="19328" xr:uid="{00000000-0005-0000-0000-00005B4B0000}"/>
    <cellStyle name="Normal 2 2 2 34 4" xfId="19329" xr:uid="{00000000-0005-0000-0000-00005C4B0000}"/>
    <cellStyle name="Normal 2 2 2 34 4 10" xfId="19330" xr:uid="{00000000-0005-0000-0000-00005D4B0000}"/>
    <cellStyle name="Normal 2 2 2 34 4 2" xfId="19331" xr:uid="{00000000-0005-0000-0000-00005E4B0000}"/>
    <cellStyle name="Normal 2 2 2 34 4 3" xfId="19332" xr:uid="{00000000-0005-0000-0000-00005F4B0000}"/>
    <cellStyle name="Normal 2 2 2 34 4 4" xfId="19333" xr:uid="{00000000-0005-0000-0000-0000604B0000}"/>
    <cellStyle name="Normal 2 2 2 34 4 5" xfId="19334" xr:uid="{00000000-0005-0000-0000-0000614B0000}"/>
    <cellStyle name="Normal 2 2 2 34 4 6" xfId="19335" xr:uid="{00000000-0005-0000-0000-0000624B0000}"/>
    <cellStyle name="Normal 2 2 2 34 4 7" xfId="19336" xr:uid="{00000000-0005-0000-0000-0000634B0000}"/>
    <cellStyle name="Normal 2 2 2 34 4 8" xfId="19337" xr:uid="{00000000-0005-0000-0000-0000644B0000}"/>
    <cellStyle name="Normal 2 2 2 34 4 9" xfId="19338" xr:uid="{00000000-0005-0000-0000-0000654B0000}"/>
    <cellStyle name="Normal 2 2 2 34 5" xfId="19339" xr:uid="{00000000-0005-0000-0000-0000664B0000}"/>
    <cellStyle name="Normal 2 2 2 34 5 10" xfId="19340" xr:uid="{00000000-0005-0000-0000-0000674B0000}"/>
    <cellStyle name="Normal 2 2 2 34 5 2" xfId="19341" xr:uid="{00000000-0005-0000-0000-0000684B0000}"/>
    <cellStyle name="Normal 2 2 2 34 5 3" xfId="19342" xr:uid="{00000000-0005-0000-0000-0000694B0000}"/>
    <cellStyle name="Normal 2 2 2 34 5 4" xfId="19343" xr:uid="{00000000-0005-0000-0000-00006A4B0000}"/>
    <cellStyle name="Normal 2 2 2 34 5 5" xfId="19344" xr:uid="{00000000-0005-0000-0000-00006B4B0000}"/>
    <cellStyle name="Normal 2 2 2 34 5 6" xfId="19345" xr:uid="{00000000-0005-0000-0000-00006C4B0000}"/>
    <cellStyle name="Normal 2 2 2 34 5 7" xfId="19346" xr:uid="{00000000-0005-0000-0000-00006D4B0000}"/>
    <cellStyle name="Normal 2 2 2 34 5 8" xfId="19347" xr:uid="{00000000-0005-0000-0000-00006E4B0000}"/>
    <cellStyle name="Normal 2 2 2 34 5 9" xfId="19348" xr:uid="{00000000-0005-0000-0000-00006F4B0000}"/>
    <cellStyle name="Normal 2 2 2 34 6" xfId="19349" xr:uid="{00000000-0005-0000-0000-0000704B0000}"/>
    <cellStyle name="Normal 2 2 2 34 7" xfId="19350" xr:uid="{00000000-0005-0000-0000-0000714B0000}"/>
    <cellStyle name="Normal 2 2 2 34 8" xfId="19351" xr:uid="{00000000-0005-0000-0000-0000724B0000}"/>
    <cellStyle name="Normal 2 2 2 34 9" xfId="19352" xr:uid="{00000000-0005-0000-0000-0000734B0000}"/>
    <cellStyle name="Normal 2 2 2 35" xfId="19353" xr:uid="{00000000-0005-0000-0000-0000744B0000}"/>
    <cellStyle name="Normal 2 2 2 35 10" xfId="19354" xr:uid="{00000000-0005-0000-0000-0000754B0000}"/>
    <cellStyle name="Normal 2 2 2 35 11" xfId="19355" xr:uid="{00000000-0005-0000-0000-0000764B0000}"/>
    <cellStyle name="Normal 2 2 2 35 12" xfId="19356" xr:uid="{00000000-0005-0000-0000-0000774B0000}"/>
    <cellStyle name="Normal 2 2 2 35 13" xfId="19357" xr:uid="{00000000-0005-0000-0000-0000784B0000}"/>
    <cellStyle name="Normal 2 2 2 35 14" xfId="19358" xr:uid="{00000000-0005-0000-0000-0000794B0000}"/>
    <cellStyle name="Normal 2 2 2 35 2" xfId="19359" xr:uid="{00000000-0005-0000-0000-00007A4B0000}"/>
    <cellStyle name="Normal 2 2 2 35 2 10" xfId="19360" xr:uid="{00000000-0005-0000-0000-00007B4B0000}"/>
    <cellStyle name="Normal 2 2 2 35 2 2" xfId="19361" xr:uid="{00000000-0005-0000-0000-00007C4B0000}"/>
    <cellStyle name="Normal 2 2 2 35 2 3" xfId="19362" xr:uid="{00000000-0005-0000-0000-00007D4B0000}"/>
    <cellStyle name="Normal 2 2 2 35 2 4" xfId="19363" xr:uid="{00000000-0005-0000-0000-00007E4B0000}"/>
    <cellStyle name="Normal 2 2 2 35 2 5" xfId="19364" xr:uid="{00000000-0005-0000-0000-00007F4B0000}"/>
    <cellStyle name="Normal 2 2 2 35 2 6" xfId="19365" xr:uid="{00000000-0005-0000-0000-0000804B0000}"/>
    <cellStyle name="Normal 2 2 2 35 2 7" xfId="19366" xr:uid="{00000000-0005-0000-0000-0000814B0000}"/>
    <cellStyle name="Normal 2 2 2 35 2 8" xfId="19367" xr:uid="{00000000-0005-0000-0000-0000824B0000}"/>
    <cellStyle name="Normal 2 2 2 35 2 9" xfId="19368" xr:uid="{00000000-0005-0000-0000-0000834B0000}"/>
    <cellStyle name="Normal 2 2 2 35 3" xfId="19369" xr:uid="{00000000-0005-0000-0000-0000844B0000}"/>
    <cellStyle name="Normal 2 2 2 35 3 10" xfId="19370" xr:uid="{00000000-0005-0000-0000-0000854B0000}"/>
    <cellStyle name="Normal 2 2 2 35 3 2" xfId="19371" xr:uid="{00000000-0005-0000-0000-0000864B0000}"/>
    <cellStyle name="Normal 2 2 2 35 3 3" xfId="19372" xr:uid="{00000000-0005-0000-0000-0000874B0000}"/>
    <cellStyle name="Normal 2 2 2 35 3 4" xfId="19373" xr:uid="{00000000-0005-0000-0000-0000884B0000}"/>
    <cellStyle name="Normal 2 2 2 35 3 5" xfId="19374" xr:uid="{00000000-0005-0000-0000-0000894B0000}"/>
    <cellStyle name="Normal 2 2 2 35 3 6" xfId="19375" xr:uid="{00000000-0005-0000-0000-00008A4B0000}"/>
    <cellStyle name="Normal 2 2 2 35 3 7" xfId="19376" xr:uid="{00000000-0005-0000-0000-00008B4B0000}"/>
    <cellStyle name="Normal 2 2 2 35 3 8" xfId="19377" xr:uid="{00000000-0005-0000-0000-00008C4B0000}"/>
    <cellStyle name="Normal 2 2 2 35 3 9" xfId="19378" xr:uid="{00000000-0005-0000-0000-00008D4B0000}"/>
    <cellStyle name="Normal 2 2 2 35 4" xfId="19379" xr:uid="{00000000-0005-0000-0000-00008E4B0000}"/>
    <cellStyle name="Normal 2 2 2 35 4 10" xfId="19380" xr:uid="{00000000-0005-0000-0000-00008F4B0000}"/>
    <cellStyle name="Normal 2 2 2 35 4 2" xfId="19381" xr:uid="{00000000-0005-0000-0000-0000904B0000}"/>
    <cellStyle name="Normal 2 2 2 35 4 3" xfId="19382" xr:uid="{00000000-0005-0000-0000-0000914B0000}"/>
    <cellStyle name="Normal 2 2 2 35 4 4" xfId="19383" xr:uid="{00000000-0005-0000-0000-0000924B0000}"/>
    <cellStyle name="Normal 2 2 2 35 4 5" xfId="19384" xr:uid="{00000000-0005-0000-0000-0000934B0000}"/>
    <cellStyle name="Normal 2 2 2 35 4 6" xfId="19385" xr:uid="{00000000-0005-0000-0000-0000944B0000}"/>
    <cellStyle name="Normal 2 2 2 35 4 7" xfId="19386" xr:uid="{00000000-0005-0000-0000-0000954B0000}"/>
    <cellStyle name="Normal 2 2 2 35 4 8" xfId="19387" xr:uid="{00000000-0005-0000-0000-0000964B0000}"/>
    <cellStyle name="Normal 2 2 2 35 4 9" xfId="19388" xr:uid="{00000000-0005-0000-0000-0000974B0000}"/>
    <cellStyle name="Normal 2 2 2 35 5" xfId="19389" xr:uid="{00000000-0005-0000-0000-0000984B0000}"/>
    <cellStyle name="Normal 2 2 2 35 5 10" xfId="19390" xr:uid="{00000000-0005-0000-0000-0000994B0000}"/>
    <cellStyle name="Normal 2 2 2 35 5 2" xfId="19391" xr:uid="{00000000-0005-0000-0000-00009A4B0000}"/>
    <cellStyle name="Normal 2 2 2 35 5 3" xfId="19392" xr:uid="{00000000-0005-0000-0000-00009B4B0000}"/>
    <cellStyle name="Normal 2 2 2 35 5 4" xfId="19393" xr:uid="{00000000-0005-0000-0000-00009C4B0000}"/>
    <cellStyle name="Normal 2 2 2 35 5 5" xfId="19394" xr:uid="{00000000-0005-0000-0000-00009D4B0000}"/>
    <cellStyle name="Normal 2 2 2 35 5 6" xfId="19395" xr:uid="{00000000-0005-0000-0000-00009E4B0000}"/>
    <cellStyle name="Normal 2 2 2 35 5 7" xfId="19396" xr:uid="{00000000-0005-0000-0000-00009F4B0000}"/>
    <cellStyle name="Normal 2 2 2 35 5 8" xfId="19397" xr:uid="{00000000-0005-0000-0000-0000A04B0000}"/>
    <cellStyle name="Normal 2 2 2 35 5 9" xfId="19398" xr:uid="{00000000-0005-0000-0000-0000A14B0000}"/>
    <cellStyle name="Normal 2 2 2 35 6" xfId="19399" xr:uid="{00000000-0005-0000-0000-0000A24B0000}"/>
    <cellStyle name="Normal 2 2 2 35 7" xfId="19400" xr:uid="{00000000-0005-0000-0000-0000A34B0000}"/>
    <cellStyle name="Normal 2 2 2 35 8" xfId="19401" xr:uid="{00000000-0005-0000-0000-0000A44B0000}"/>
    <cellStyle name="Normal 2 2 2 35 9" xfId="19402" xr:uid="{00000000-0005-0000-0000-0000A54B0000}"/>
    <cellStyle name="Normal 2 2 2 36" xfId="19403" xr:uid="{00000000-0005-0000-0000-0000A64B0000}"/>
    <cellStyle name="Normal 2 2 2 36 10" xfId="19404" xr:uid="{00000000-0005-0000-0000-0000A74B0000}"/>
    <cellStyle name="Normal 2 2 2 36 2" xfId="19405" xr:uid="{00000000-0005-0000-0000-0000A84B0000}"/>
    <cellStyle name="Normal 2 2 2 36 3" xfId="19406" xr:uid="{00000000-0005-0000-0000-0000A94B0000}"/>
    <cellStyle name="Normal 2 2 2 36 4" xfId="19407" xr:uid="{00000000-0005-0000-0000-0000AA4B0000}"/>
    <cellStyle name="Normal 2 2 2 36 5" xfId="19408" xr:uid="{00000000-0005-0000-0000-0000AB4B0000}"/>
    <cellStyle name="Normal 2 2 2 36 6" xfId="19409" xr:uid="{00000000-0005-0000-0000-0000AC4B0000}"/>
    <cellStyle name="Normal 2 2 2 36 7" xfId="19410" xr:uid="{00000000-0005-0000-0000-0000AD4B0000}"/>
    <cellStyle name="Normal 2 2 2 36 8" xfId="19411" xr:uid="{00000000-0005-0000-0000-0000AE4B0000}"/>
    <cellStyle name="Normal 2 2 2 36 9" xfId="19412" xr:uid="{00000000-0005-0000-0000-0000AF4B0000}"/>
    <cellStyle name="Normal 2 2 2 37" xfId="19413" xr:uid="{00000000-0005-0000-0000-0000B04B0000}"/>
    <cellStyle name="Normal 2 2 2 37 10" xfId="19414" xr:uid="{00000000-0005-0000-0000-0000B14B0000}"/>
    <cellStyle name="Normal 2 2 2 37 2" xfId="19415" xr:uid="{00000000-0005-0000-0000-0000B24B0000}"/>
    <cellStyle name="Normal 2 2 2 37 3" xfId="19416" xr:uid="{00000000-0005-0000-0000-0000B34B0000}"/>
    <cellStyle name="Normal 2 2 2 37 4" xfId="19417" xr:uid="{00000000-0005-0000-0000-0000B44B0000}"/>
    <cellStyle name="Normal 2 2 2 37 5" xfId="19418" xr:uid="{00000000-0005-0000-0000-0000B54B0000}"/>
    <cellStyle name="Normal 2 2 2 37 6" xfId="19419" xr:uid="{00000000-0005-0000-0000-0000B64B0000}"/>
    <cellStyle name="Normal 2 2 2 37 7" xfId="19420" xr:uid="{00000000-0005-0000-0000-0000B74B0000}"/>
    <cellStyle name="Normal 2 2 2 37 8" xfId="19421" xr:uid="{00000000-0005-0000-0000-0000B84B0000}"/>
    <cellStyle name="Normal 2 2 2 37 9" xfId="19422" xr:uid="{00000000-0005-0000-0000-0000B94B0000}"/>
    <cellStyle name="Normal 2 2 2 38" xfId="19423" xr:uid="{00000000-0005-0000-0000-0000BA4B0000}"/>
    <cellStyle name="Normal 2 2 2 38 10" xfId="19424" xr:uid="{00000000-0005-0000-0000-0000BB4B0000}"/>
    <cellStyle name="Normal 2 2 2 38 2" xfId="19425" xr:uid="{00000000-0005-0000-0000-0000BC4B0000}"/>
    <cellStyle name="Normal 2 2 2 38 3" xfId="19426" xr:uid="{00000000-0005-0000-0000-0000BD4B0000}"/>
    <cellStyle name="Normal 2 2 2 38 4" xfId="19427" xr:uid="{00000000-0005-0000-0000-0000BE4B0000}"/>
    <cellStyle name="Normal 2 2 2 38 5" xfId="19428" xr:uid="{00000000-0005-0000-0000-0000BF4B0000}"/>
    <cellStyle name="Normal 2 2 2 38 6" xfId="19429" xr:uid="{00000000-0005-0000-0000-0000C04B0000}"/>
    <cellStyle name="Normal 2 2 2 38 7" xfId="19430" xr:uid="{00000000-0005-0000-0000-0000C14B0000}"/>
    <cellStyle name="Normal 2 2 2 38 8" xfId="19431" xr:uid="{00000000-0005-0000-0000-0000C24B0000}"/>
    <cellStyle name="Normal 2 2 2 38 9" xfId="19432" xr:uid="{00000000-0005-0000-0000-0000C34B0000}"/>
    <cellStyle name="Normal 2 2 2 39" xfId="19433" xr:uid="{00000000-0005-0000-0000-0000C44B0000}"/>
    <cellStyle name="Normal 2 2 2 39 10" xfId="19434" xr:uid="{00000000-0005-0000-0000-0000C54B0000}"/>
    <cellStyle name="Normal 2 2 2 39 2" xfId="19435" xr:uid="{00000000-0005-0000-0000-0000C64B0000}"/>
    <cellStyle name="Normal 2 2 2 39 3" xfId="19436" xr:uid="{00000000-0005-0000-0000-0000C74B0000}"/>
    <cellStyle name="Normal 2 2 2 39 4" xfId="19437" xr:uid="{00000000-0005-0000-0000-0000C84B0000}"/>
    <cellStyle name="Normal 2 2 2 39 5" xfId="19438" xr:uid="{00000000-0005-0000-0000-0000C94B0000}"/>
    <cellStyle name="Normal 2 2 2 39 6" xfId="19439" xr:uid="{00000000-0005-0000-0000-0000CA4B0000}"/>
    <cellStyle name="Normal 2 2 2 39 7" xfId="19440" xr:uid="{00000000-0005-0000-0000-0000CB4B0000}"/>
    <cellStyle name="Normal 2 2 2 39 8" xfId="19441" xr:uid="{00000000-0005-0000-0000-0000CC4B0000}"/>
    <cellStyle name="Normal 2 2 2 39 9" xfId="19442" xr:uid="{00000000-0005-0000-0000-0000CD4B0000}"/>
    <cellStyle name="Normal 2 2 2 4" xfId="19443" xr:uid="{00000000-0005-0000-0000-0000CE4B0000}"/>
    <cellStyle name="Normal 2 2 2 4 10" xfId="19444" xr:uid="{00000000-0005-0000-0000-0000CF4B0000}"/>
    <cellStyle name="Normal 2 2 2 4 11" xfId="19445" xr:uid="{00000000-0005-0000-0000-0000D04B0000}"/>
    <cellStyle name="Normal 2 2 2 4 12" xfId="19446" xr:uid="{00000000-0005-0000-0000-0000D14B0000}"/>
    <cellStyle name="Normal 2 2 2 4 13" xfId="19447" xr:uid="{00000000-0005-0000-0000-0000D24B0000}"/>
    <cellStyle name="Normal 2 2 2 4 14" xfId="19448" xr:uid="{00000000-0005-0000-0000-0000D34B0000}"/>
    <cellStyle name="Normal 2 2 2 4 15" xfId="19449" xr:uid="{00000000-0005-0000-0000-0000D44B0000}"/>
    <cellStyle name="Normal 2 2 2 4 16" xfId="19450" xr:uid="{00000000-0005-0000-0000-0000D54B0000}"/>
    <cellStyle name="Normal 2 2 2 4 17" xfId="19451" xr:uid="{00000000-0005-0000-0000-0000D64B0000}"/>
    <cellStyle name="Normal 2 2 2 4 18" xfId="19452" xr:uid="{00000000-0005-0000-0000-0000D74B0000}"/>
    <cellStyle name="Normal 2 2 2 4 19" xfId="19453" xr:uid="{00000000-0005-0000-0000-0000D84B0000}"/>
    <cellStyle name="Normal 2 2 2 4 2" xfId="19454" xr:uid="{00000000-0005-0000-0000-0000D94B0000}"/>
    <cellStyle name="Normal 2 2 2 4 2 10" xfId="19455" xr:uid="{00000000-0005-0000-0000-0000DA4B0000}"/>
    <cellStyle name="Normal 2 2 2 4 2 10 10" xfId="19456" xr:uid="{00000000-0005-0000-0000-0000DB4B0000}"/>
    <cellStyle name="Normal 2 2 2 4 2 10 11" xfId="19457" xr:uid="{00000000-0005-0000-0000-0000DC4B0000}"/>
    <cellStyle name="Normal 2 2 2 4 2 10 12" xfId="19458" xr:uid="{00000000-0005-0000-0000-0000DD4B0000}"/>
    <cellStyle name="Normal 2 2 2 4 2 10 13" xfId="19459" xr:uid="{00000000-0005-0000-0000-0000DE4B0000}"/>
    <cellStyle name="Normal 2 2 2 4 2 10 14" xfId="19460" xr:uid="{00000000-0005-0000-0000-0000DF4B0000}"/>
    <cellStyle name="Normal 2 2 2 4 2 10 2" xfId="19461" xr:uid="{00000000-0005-0000-0000-0000E04B0000}"/>
    <cellStyle name="Normal 2 2 2 4 2 10 2 10" xfId="19462" xr:uid="{00000000-0005-0000-0000-0000E14B0000}"/>
    <cellStyle name="Normal 2 2 2 4 2 10 2 2" xfId="19463" xr:uid="{00000000-0005-0000-0000-0000E24B0000}"/>
    <cellStyle name="Normal 2 2 2 4 2 10 2 3" xfId="19464" xr:uid="{00000000-0005-0000-0000-0000E34B0000}"/>
    <cellStyle name="Normal 2 2 2 4 2 10 2 4" xfId="19465" xr:uid="{00000000-0005-0000-0000-0000E44B0000}"/>
    <cellStyle name="Normal 2 2 2 4 2 10 2 5" xfId="19466" xr:uid="{00000000-0005-0000-0000-0000E54B0000}"/>
    <cellStyle name="Normal 2 2 2 4 2 10 2 6" xfId="19467" xr:uid="{00000000-0005-0000-0000-0000E64B0000}"/>
    <cellStyle name="Normal 2 2 2 4 2 10 2 7" xfId="19468" xr:uid="{00000000-0005-0000-0000-0000E74B0000}"/>
    <cellStyle name="Normal 2 2 2 4 2 10 2 8" xfId="19469" xr:uid="{00000000-0005-0000-0000-0000E84B0000}"/>
    <cellStyle name="Normal 2 2 2 4 2 10 2 9" xfId="19470" xr:uid="{00000000-0005-0000-0000-0000E94B0000}"/>
    <cellStyle name="Normal 2 2 2 4 2 10 3" xfId="19471" xr:uid="{00000000-0005-0000-0000-0000EA4B0000}"/>
    <cellStyle name="Normal 2 2 2 4 2 10 3 10" xfId="19472" xr:uid="{00000000-0005-0000-0000-0000EB4B0000}"/>
    <cellStyle name="Normal 2 2 2 4 2 10 3 2" xfId="19473" xr:uid="{00000000-0005-0000-0000-0000EC4B0000}"/>
    <cellStyle name="Normal 2 2 2 4 2 10 3 3" xfId="19474" xr:uid="{00000000-0005-0000-0000-0000ED4B0000}"/>
    <cellStyle name="Normal 2 2 2 4 2 10 3 4" xfId="19475" xr:uid="{00000000-0005-0000-0000-0000EE4B0000}"/>
    <cellStyle name="Normal 2 2 2 4 2 10 3 5" xfId="19476" xr:uid="{00000000-0005-0000-0000-0000EF4B0000}"/>
    <cellStyle name="Normal 2 2 2 4 2 10 3 6" xfId="19477" xr:uid="{00000000-0005-0000-0000-0000F04B0000}"/>
    <cellStyle name="Normal 2 2 2 4 2 10 3 7" xfId="19478" xr:uid="{00000000-0005-0000-0000-0000F14B0000}"/>
    <cellStyle name="Normal 2 2 2 4 2 10 3 8" xfId="19479" xr:uid="{00000000-0005-0000-0000-0000F24B0000}"/>
    <cellStyle name="Normal 2 2 2 4 2 10 3 9" xfId="19480" xr:uid="{00000000-0005-0000-0000-0000F34B0000}"/>
    <cellStyle name="Normal 2 2 2 4 2 10 4" xfId="19481" xr:uid="{00000000-0005-0000-0000-0000F44B0000}"/>
    <cellStyle name="Normal 2 2 2 4 2 10 4 10" xfId="19482" xr:uid="{00000000-0005-0000-0000-0000F54B0000}"/>
    <cellStyle name="Normal 2 2 2 4 2 10 4 2" xfId="19483" xr:uid="{00000000-0005-0000-0000-0000F64B0000}"/>
    <cellStyle name="Normal 2 2 2 4 2 10 4 3" xfId="19484" xr:uid="{00000000-0005-0000-0000-0000F74B0000}"/>
    <cellStyle name="Normal 2 2 2 4 2 10 4 4" xfId="19485" xr:uid="{00000000-0005-0000-0000-0000F84B0000}"/>
    <cellStyle name="Normal 2 2 2 4 2 10 4 5" xfId="19486" xr:uid="{00000000-0005-0000-0000-0000F94B0000}"/>
    <cellStyle name="Normal 2 2 2 4 2 10 4 6" xfId="19487" xr:uid="{00000000-0005-0000-0000-0000FA4B0000}"/>
    <cellStyle name="Normal 2 2 2 4 2 10 4 7" xfId="19488" xr:uid="{00000000-0005-0000-0000-0000FB4B0000}"/>
    <cellStyle name="Normal 2 2 2 4 2 10 4 8" xfId="19489" xr:uid="{00000000-0005-0000-0000-0000FC4B0000}"/>
    <cellStyle name="Normal 2 2 2 4 2 10 4 9" xfId="19490" xr:uid="{00000000-0005-0000-0000-0000FD4B0000}"/>
    <cellStyle name="Normal 2 2 2 4 2 10 5" xfId="19491" xr:uid="{00000000-0005-0000-0000-0000FE4B0000}"/>
    <cellStyle name="Normal 2 2 2 4 2 10 5 10" xfId="19492" xr:uid="{00000000-0005-0000-0000-0000FF4B0000}"/>
    <cellStyle name="Normal 2 2 2 4 2 10 5 2" xfId="19493" xr:uid="{00000000-0005-0000-0000-0000004C0000}"/>
    <cellStyle name="Normal 2 2 2 4 2 10 5 3" xfId="19494" xr:uid="{00000000-0005-0000-0000-0000014C0000}"/>
    <cellStyle name="Normal 2 2 2 4 2 10 5 4" xfId="19495" xr:uid="{00000000-0005-0000-0000-0000024C0000}"/>
    <cellStyle name="Normal 2 2 2 4 2 10 5 5" xfId="19496" xr:uid="{00000000-0005-0000-0000-0000034C0000}"/>
    <cellStyle name="Normal 2 2 2 4 2 10 5 6" xfId="19497" xr:uid="{00000000-0005-0000-0000-0000044C0000}"/>
    <cellStyle name="Normal 2 2 2 4 2 10 5 7" xfId="19498" xr:uid="{00000000-0005-0000-0000-0000054C0000}"/>
    <cellStyle name="Normal 2 2 2 4 2 10 5 8" xfId="19499" xr:uid="{00000000-0005-0000-0000-0000064C0000}"/>
    <cellStyle name="Normal 2 2 2 4 2 10 5 9" xfId="19500" xr:uid="{00000000-0005-0000-0000-0000074C0000}"/>
    <cellStyle name="Normal 2 2 2 4 2 10 6" xfId="19501" xr:uid="{00000000-0005-0000-0000-0000084C0000}"/>
    <cellStyle name="Normal 2 2 2 4 2 10 7" xfId="19502" xr:uid="{00000000-0005-0000-0000-0000094C0000}"/>
    <cellStyle name="Normal 2 2 2 4 2 10 8" xfId="19503" xr:uid="{00000000-0005-0000-0000-00000A4C0000}"/>
    <cellStyle name="Normal 2 2 2 4 2 10 9" xfId="19504" xr:uid="{00000000-0005-0000-0000-00000B4C0000}"/>
    <cellStyle name="Normal 2 2 2 4 2 11" xfId="19505" xr:uid="{00000000-0005-0000-0000-00000C4C0000}"/>
    <cellStyle name="Normal 2 2 2 4 2 11 10" xfId="19506" xr:uid="{00000000-0005-0000-0000-00000D4C0000}"/>
    <cellStyle name="Normal 2 2 2 4 2 11 11" xfId="19507" xr:uid="{00000000-0005-0000-0000-00000E4C0000}"/>
    <cellStyle name="Normal 2 2 2 4 2 11 12" xfId="19508" xr:uid="{00000000-0005-0000-0000-00000F4C0000}"/>
    <cellStyle name="Normal 2 2 2 4 2 11 13" xfId="19509" xr:uid="{00000000-0005-0000-0000-0000104C0000}"/>
    <cellStyle name="Normal 2 2 2 4 2 11 14" xfId="19510" xr:uid="{00000000-0005-0000-0000-0000114C0000}"/>
    <cellStyle name="Normal 2 2 2 4 2 11 2" xfId="19511" xr:uid="{00000000-0005-0000-0000-0000124C0000}"/>
    <cellStyle name="Normal 2 2 2 4 2 11 2 10" xfId="19512" xr:uid="{00000000-0005-0000-0000-0000134C0000}"/>
    <cellStyle name="Normal 2 2 2 4 2 11 2 2" xfId="19513" xr:uid="{00000000-0005-0000-0000-0000144C0000}"/>
    <cellStyle name="Normal 2 2 2 4 2 11 2 3" xfId="19514" xr:uid="{00000000-0005-0000-0000-0000154C0000}"/>
    <cellStyle name="Normal 2 2 2 4 2 11 2 4" xfId="19515" xr:uid="{00000000-0005-0000-0000-0000164C0000}"/>
    <cellStyle name="Normal 2 2 2 4 2 11 2 5" xfId="19516" xr:uid="{00000000-0005-0000-0000-0000174C0000}"/>
    <cellStyle name="Normal 2 2 2 4 2 11 2 6" xfId="19517" xr:uid="{00000000-0005-0000-0000-0000184C0000}"/>
    <cellStyle name="Normal 2 2 2 4 2 11 2 7" xfId="19518" xr:uid="{00000000-0005-0000-0000-0000194C0000}"/>
    <cellStyle name="Normal 2 2 2 4 2 11 2 8" xfId="19519" xr:uid="{00000000-0005-0000-0000-00001A4C0000}"/>
    <cellStyle name="Normal 2 2 2 4 2 11 2 9" xfId="19520" xr:uid="{00000000-0005-0000-0000-00001B4C0000}"/>
    <cellStyle name="Normal 2 2 2 4 2 11 3" xfId="19521" xr:uid="{00000000-0005-0000-0000-00001C4C0000}"/>
    <cellStyle name="Normal 2 2 2 4 2 11 3 10" xfId="19522" xr:uid="{00000000-0005-0000-0000-00001D4C0000}"/>
    <cellStyle name="Normal 2 2 2 4 2 11 3 2" xfId="19523" xr:uid="{00000000-0005-0000-0000-00001E4C0000}"/>
    <cellStyle name="Normal 2 2 2 4 2 11 3 3" xfId="19524" xr:uid="{00000000-0005-0000-0000-00001F4C0000}"/>
    <cellStyle name="Normal 2 2 2 4 2 11 3 4" xfId="19525" xr:uid="{00000000-0005-0000-0000-0000204C0000}"/>
    <cellStyle name="Normal 2 2 2 4 2 11 3 5" xfId="19526" xr:uid="{00000000-0005-0000-0000-0000214C0000}"/>
    <cellStyle name="Normal 2 2 2 4 2 11 3 6" xfId="19527" xr:uid="{00000000-0005-0000-0000-0000224C0000}"/>
    <cellStyle name="Normal 2 2 2 4 2 11 3 7" xfId="19528" xr:uid="{00000000-0005-0000-0000-0000234C0000}"/>
    <cellStyle name="Normal 2 2 2 4 2 11 3 8" xfId="19529" xr:uid="{00000000-0005-0000-0000-0000244C0000}"/>
    <cellStyle name="Normal 2 2 2 4 2 11 3 9" xfId="19530" xr:uid="{00000000-0005-0000-0000-0000254C0000}"/>
    <cellStyle name="Normal 2 2 2 4 2 11 4" xfId="19531" xr:uid="{00000000-0005-0000-0000-0000264C0000}"/>
    <cellStyle name="Normal 2 2 2 4 2 11 4 10" xfId="19532" xr:uid="{00000000-0005-0000-0000-0000274C0000}"/>
    <cellStyle name="Normal 2 2 2 4 2 11 4 2" xfId="19533" xr:uid="{00000000-0005-0000-0000-0000284C0000}"/>
    <cellStyle name="Normal 2 2 2 4 2 11 4 3" xfId="19534" xr:uid="{00000000-0005-0000-0000-0000294C0000}"/>
    <cellStyle name="Normal 2 2 2 4 2 11 4 4" xfId="19535" xr:uid="{00000000-0005-0000-0000-00002A4C0000}"/>
    <cellStyle name="Normal 2 2 2 4 2 11 4 5" xfId="19536" xr:uid="{00000000-0005-0000-0000-00002B4C0000}"/>
    <cellStyle name="Normal 2 2 2 4 2 11 4 6" xfId="19537" xr:uid="{00000000-0005-0000-0000-00002C4C0000}"/>
    <cellStyle name="Normal 2 2 2 4 2 11 4 7" xfId="19538" xr:uid="{00000000-0005-0000-0000-00002D4C0000}"/>
    <cellStyle name="Normal 2 2 2 4 2 11 4 8" xfId="19539" xr:uid="{00000000-0005-0000-0000-00002E4C0000}"/>
    <cellStyle name="Normal 2 2 2 4 2 11 4 9" xfId="19540" xr:uid="{00000000-0005-0000-0000-00002F4C0000}"/>
    <cellStyle name="Normal 2 2 2 4 2 11 5" xfId="19541" xr:uid="{00000000-0005-0000-0000-0000304C0000}"/>
    <cellStyle name="Normal 2 2 2 4 2 11 5 10" xfId="19542" xr:uid="{00000000-0005-0000-0000-0000314C0000}"/>
    <cellStyle name="Normal 2 2 2 4 2 11 5 2" xfId="19543" xr:uid="{00000000-0005-0000-0000-0000324C0000}"/>
    <cellStyle name="Normal 2 2 2 4 2 11 5 3" xfId="19544" xr:uid="{00000000-0005-0000-0000-0000334C0000}"/>
    <cellStyle name="Normal 2 2 2 4 2 11 5 4" xfId="19545" xr:uid="{00000000-0005-0000-0000-0000344C0000}"/>
    <cellStyle name="Normal 2 2 2 4 2 11 5 5" xfId="19546" xr:uid="{00000000-0005-0000-0000-0000354C0000}"/>
    <cellStyle name="Normal 2 2 2 4 2 11 5 6" xfId="19547" xr:uid="{00000000-0005-0000-0000-0000364C0000}"/>
    <cellStyle name="Normal 2 2 2 4 2 11 5 7" xfId="19548" xr:uid="{00000000-0005-0000-0000-0000374C0000}"/>
    <cellStyle name="Normal 2 2 2 4 2 11 5 8" xfId="19549" xr:uid="{00000000-0005-0000-0000-0000384C0000}"/>
    <cellStyle name="Normal 2 2 2 4 2 11 5 9" xfId="19550" xr:uid="{00000000-0005-0000-0000-0000394C0000}"/>
    <cellStyle name="Normal 2 2 2 4 2 11 6" xfId="19551" xr:uid="{00000000-0005-0000-0000-00003A4C0000}"/>
    <cellStyle name="Normal 2 2 2 4 2 11 7" xfId="19552" xr:uid="{00000000-0005-0000-0000-00003B4C0000}"/>
    <cellStyle name="Normal 2 2 2 4 2 11 8" xfId="19553" xr:uid="{00000000-0005-0000-0000-00003C4C0000}"/>
    <cellStyle name="Normal 2 2 2 4 2 11 9" xfId="19554" xr:uid="{00000000-0005-0000-0000-00003D4C0000}"/>
    <cellStyle name="Normal 2 2 2 4 2 12" xfId="19555" xr:uid="{00000000-0005-0000-0000-00003E4C0000}"/>
    <cellStyle name="Normal 2 2 2 4 2 12 10" xfId="19556" xr:uid="{00000000-0005-0000-0000-00003F4C0000}"/>
    <cellStyle name="Normal 2 2 2 4 2 12 11" xfId="19557" xr:uid="{00000000-0005-0000-0000-0000404C0000}"/>
    <cellStyle name="Normal 2 2 2 4 2 12 12" xfId="19558" xr:uid="{00000000-0005-0000-0000-0000414C0000}"/>
    <cellStyle name="Normal 2 2 2 4 2 12 13" xfId="19559" xr:uid="{00000000-0005-0000-0000-0000424C0000}"/>
    <cellStyle name="Normal 2 2 2 4 2 12 14" xfId="19560" xr:uid="{00000000-0005-0000-0000-0000434C0000}"/>
    <cellStyle name="Normal 2 2 2 4 2 12 2" xfId="19561" xr:uid="{00000000-0005-0000-0000-0000444C0000}"/>
    <cellStyle name="Normal 2 2 2 4 2 12 2 10" xfId="19562" xr:uid="{00000000-0005-0000-0000-0000454C0000}"/>
    <cellStyle name="Normal 2 2 2 4 2 12 2 2" xfId="19563" xr:uid="{00000000-0005-0000-0000-0000464C0000}"/>
    <cellStyle name="Normal 2 2 2 4 2 12 2 3" xfId="19564" xr:uid="{00000000-0005-0000-0000-0000474C0000}"/>
    <cellStyle name="Normal 2 2 2 4 2 12 2 4" xfId="19565" xr:uid="{00000000-0005-0000-0000-0000484C0000}"/>
    <cellStyle name="Normal 2 2 2 4 2 12 2 5" xfId="19566" xr:uid="{00000000-0005-0000-0000-0000494C0000}"/>
    <cellStyle name="Normal 2 2 2 4 2 12 2 6" xfId="19567" xr:uid="{00000000-0005-0000-0000-00004A4C0000}"/>
    <cellStyle name="Normal 2 2 2 4 2 12 2 7" xfId="19568" xr:uid="{00000000-0005-0000-0000-00004B4C0000}"/>
    <cellStyle name="Normal 2 2 2 4 2 12 2 8" xfId="19569" xr:uid="{00000000-0005-0000-0000-00004C4C0000}"/>
    <cellStyle name="Normal 2 2 2 4 2 12 2 9" xfId="19570" xr:uid="{00000000-0005-0000-0000-00004D4C0000}"/>
    <cellStyle name="Normal 2 2 2 4 2 12 3" xfId="19571" xr:uid="{00000000-0005-0000-0000-00004E4C0000}"/>
    <cellStyle name="Normal 2 2 2 4 2 12 3 10" xfId="19572" xr:uid="{00000000-0005-0000-0000-00004F4C0000}"/>
    <cellStyle name="Normal 2 2 2 4 2 12 3 2" xfId="19573" xr:uid="{00000000-0005-0000-0000-0000504C0000}"/>
    <cellStyle name="Normal 2 2 2 4 2 12 3 3" xfId="19574" xr:uid="{00000000-0005-0000-0000-0000514C0000}"/>
    <cellStyle name="Normal 2 2 2 4 2 12 3 4" xfId="19575" xr:uid="{00000000-0005-0000-0000-0000524C0000}"/>
    <cellStyle name="Normal 2 2 2 4 2 12 3 5" xfId="19576" xr:uid="{00000000-0005-0000-0000-0000534C0000}"/>
    <cellStyle name="Normal 2 2 2 4 2 12 3 6" xfId="19577" xr:uid="{00000000-0005-0000-0000-0000544C0000}"/>
    <cellStyle name="Normal 2 2 2 4 2 12 3 7" xfId="19578" xr:uid="{00000000-0005-0000-0000-0000554C0000}"/>
    <cellStyle name="Normal 2 2 2 4 2 12 3 8" xfId="19579" xr:uid="{00000000-0005-0000-0000-0000564C0000}"/>
    <cellStyle name="Normal 2 2 2 4 2 12 3 9" xfId="19580" xr:uid="{00000000-0005-0000-0000-0000574C0000}"/>
    <cellStyle name="Normal 2 2 2 4 2 12 4" xfId="19581" xr:uid="{00000000-0005-0000-0000-0000584C0000}"/>
    <cellStyle name="Normal 2 2 2 4 2 12 4 10" xfId="19582" xr:uid="{00000000-0005-0000-0000-0000594C0000}"/>
    <cellStyle name="Normal 2 2 2 4 2 12 4 2" xfId="19583" xr:uid="{00000000-0005-0000-0000-00005A4C0000}"/>
    <cellStyle name="Normal 2 2 2 4 2 12 4 3" xfId="19584" xr:uid="{00000000-0005-0000-0000-00005B4C0000}"/>
    <cellStyle name="Normal 2 2 2 4 2 12 4 4" xfId="19585" xr:uid="{00000000-0005-0000-0000-00005C4C0000}"/>
    <cellStyle name="Normal 2 2 2 4 2 12 4 5" xfId="19586" xr:uid="{00000000-0005-0000-0000-00005D4C0000}"/>
    <cellStyle name="Normal 2 2 2 4 2 12 4 6" xfId="19587" xr:uid="{00000000-0005-0000-0000-00005E4C0000}"/>
    <cellStyle name="Normal 2 2 2 4 2 12 4 7" xfId="19588" xr:uid="{00000000-0005-0000-0000-00005F4C0000}"/>
    <cellStyle name="Normal 2 2 2 4 2 12 4 8" xfId="19589" xr:uid="{00000000-0005-0000-0000-0000604C0000}"/>
    <cellStyle name="Normal 2 2 2 4 2 12 4 9" xfId="19590" xr:uid="{00000000-0005-0000-0000-0000614C0000}"/>
    <cellStyle name="Normal 2 2 2 4 2 12 5" xfId="19591" xr:uid="{00000000-0005-0000-0000-0000624C0000}"/>
    <cellStyle name="Normal 2 2 2 4 2 12 5 10" xfId="19592" xr:uid="{00000000-0005-0000-0000-0000634C0000}"/>
    <cellStyle name="Normal 2 2 2 4 2 12 5 2" xfId="19593" xr:uid="{00000000-0005-0000-0000-0000644C0000}"/>
    <cellStyle name="Normal 2 2 2 4 2 12 5 3" xfId="19594" xr:uid="{00000000-0005-0000-0000-0000654C0000}"/>
    <cellStyle name="Normal 2 2 2 4 2 12 5 4" xfId="19595" xr:uid="{00000000-0005-0000-0000-0000664C0000}"/>
    <cellStyle name="Normal 2 2 2 4 2 12 5 5" xfId="19596" xr:uid="{00000000-0005-0000-0000-0000674C0000}"/>
    <cellStyle name="Normal 2 2 2 4 2 12 5 6" xfId="19597" xr:uid="{00000000-0005-0000-0000-0000684C0000}"/>
    <cellStyle name="Normal 2 2 2 4 2 12 5 7" xfId="19598" xr:uid="{00000000-0005-0000-0000-0000694C0000}"/>
    <cellStyle name="Normal 2 2 2 4 2 12 5 8" xfId="19599" xr:uid="{00000000-0005-0000-0000-00006A4C0000}"/>
    <cellStyle name="Normal 2 2 2 4 2 12 5 9" xfId="19600" xr:uid="{00000000-0005-0000-0000-00006B4C0000}"/>
    <cellStyle name="Normal 2 2 2 4 2 12 6" xfId="19601" xr:uid="{00000000-0005-0000-0000-00006C4C0000}"/>
    <cellStyle name="Normal 2 2 2 4 2 12 7" xfId="19602" xr:uid="{00000000-0005-0000-0000-00006D4C0000}"/>
    <cellStyle name="Normal 2 2 2 4 2 12 8" xfId="19603" xr:uid="{00000000-0005-0000-0000-00006E4C0000}"/>
    <cellStyle name="Normal 2 2 2 4 2 12 9" xfId="19604" xr:uid="{00000000-0005-0000-0000-00006F4C0000}"/>
    <cellStyle name="Normal 2 2 2 4 2 13" xfId="19605" xr:uid="{00000000-0005-0000-0000-0000704C0000}"/>
    <cellStyle name="Normal 2 2 2 4 2 13 10" xfId="19606" xr:uid="{00000000-0005-0000-0000-0000714C0000}"/>
    <cellStyle name="Normal 2 2 2 4 2 13 11" xfId="19607" xr:uid="{00000000-0005-0000-0000-0000724C0000}"/>
    <cellStyle name="Normal 2 2 2 4 2 13 12" xfId="19608" xr:uid="{00000000-0005-0000-0000-0000734C0000}"/>
    <cellStyle name="Normal 2 2 2 4 2 13 13" xfId="19609" xr:uid="{00000000-0005-0000-0000-0000744C0000}"/>
    <cellStyle name="Normal 2 2 2 4 2 13 14" xfId="19610" xr:uid="{00000000-0005-0000-0000-0000754C0000}"/>
    <cellStyle name="Normal 2 2 2 4 2 13 2" xfId="19611" xr:uid="{00000000-0005-0000-0000-0000764C0000}"/>
    <cellStyle name="Normal 2 2 2 4 2 13 2 10" xfId="19612" xr:uid="{00000000-0005-0000-0000-0000774C0000}"/>
    <cellStyle name="Normal 2 2 2 4 2 13 2 2" xfId="19613" xr:uid="{00000000-0005-0000-0000-0000784C0000}"/>
    <cellStyle name="Normal 2 2 2 4 2 13 2 3" xfId="19614" xr:uid="{00000000-0005-0000-0000-0000794C0000}"/>
    <cellStyle name="Normal 2 2 2 4 2 13 2 4" xfId="19615" xr:uid="{00000000-0005-0000-0000-00007A4C0000}"/>
    <cellStyle name="Normal 2 2 2 4 2 13 2 5" xfId="19616" xr:uid="{00000000-0005-0000-0000-00007B4C0000}"/>
    <cellStyle name="Normal 2 2 2 4 2 13 2 6" xfId="19617" xr:uid="{00000000-0005-0000-0000-00007C4C0000}"/>
    <cellStyle name="Normal 2 2 2 4 2 13 2 7" xfId="19618" xr:uid="{00000000-0005-0000-0000-00007D4C0000}"/>
    <cellStyle name="Normal 2 2 2 4 2 13 2 8" xfId="19619" xr:uid="{00000000-0005-0000-0000-00007E4C0000}"/>
    <cellStyle name="Normal 2 2 2 4 2 13 2 9" xfId="19620" xr:uid="{00000000-0005-0000-0000-00007F4C0000}"/>
    <cellStyle name="Normal 2 2 2 4 2 13 3" xfId="19621" xr:uid="{00000000-0005-0000-0000-0000804C0000}"/>
    <cellStyle name="Normal 2 2 2 4 2 13 3 10" xfId="19622" xr:uid="{00000000-0005-0000-0000-0000814C0000}"/>
    <cellStyle name="Normal 2 2 2 4 2 13 3 2" xfId="19623" xr:uid="{00000000-0005-0000-0000-0000824C0000}"/>
    <cellStyle name="Normal 2 2 2 4 2 13 3 3" xfId="19624" xr:uid="{00000000-0005-0000-0000-0000834C0000}"/>
    <cellStyle name="Normal 2 2 2 4 2 13 3 4" xfId="19625" xr:uid="{00000000-0005-0000-0000-0000844C0000}"/>
    <cellStyle name="Normal 2 2 2 4 2 13 3 5" xfId="19626" xr:uid="{00000000-0005-0000-0000-0000854C0000}"/>
    <cellStyle name="Normal 2 2 2 4 2 13 3 6" xfId="19627" xr:uid="{00000000-0005-0000-0000-0000864C0000}"/>
    <cellStyle name="Normal 2 2 2 4 2 13 3 7" xfId="19628" xr:uid="{00000000-0005-0000-0000-0000874C0000}"/>
    <cellStyle name="Normal 2 2 2 4 2 13 3 8" xfId="19629" xr:uid="{00000000-0005-0000-0000-0000884C0000}"/>
    <cellStyle name="Normal 2 2 2 4 2 13 3 9" xfId="19630" xr:uid="{00000000-0005-0000-0000-0000894C0000}"/>
    <cellStyle name="Normal 2 2 2 4 2 13 4" xfId="19631" xr:uid="{00000000-0005-0000-0000-00008A4C0000}"/>
    <cellStyle name="Normal 2 2 2 4 2 13 4 10" xfId="19632" xr:uid="{00000000-0005-0000-0000-00008B4C0000}"/>
    <cellStyle name="Normal 2 2 2 4 2 13 4 2" xfId="19633" xr:uid="{00000000-0005-0000-0000-00008C4C0000}"/>
    <cellStyle name="Normal 2 2 2 4 2 13 4 3" xfId="19634" xr:uid="{00000000-0005-0000-0000-00008D4C0000}"/>
    <cellStyle name="Normal 2 2 2 4 2 13 4 4" xfId="19635" xr:uid="{00000000-0005-0000-0000-00008E4C0000}"/>
    <cellStyle name="Normal 2 2 2 4 2 13 4 5" xfId="19636" xr:uid="{00000000-0005-0000-0000-00008F4C0000}"/>
    <cellStyle name="Normal 2 2 2 4 2 13 4 6" xfId="19637" xr:uid="{00000000-0005-0000-0000-0000904C0000}"/>
    <cellStyle name="Normal 2 2 2 4 2 13 4 7" xfId="19638" xr:uid="{00000000-0005-0000-0000-0000914C0000}"/>
    <cellStyle name="Normal 2 2 2 4 2 13 4 8" xfId="19639" xr:uid="{00000000-0005-0000-0000-0000924C0000}"/>
    <cellStyle name="Normal 2 2 2 4 2 13 4 9" xfId="19640" xr:uid="{00000000-0005-0000-0000-0000934C0000}"/>
    <cellStyle name="Normal 2 2 2 4 2 13 5" xfId="19641" xr:uid="{00000000-0005-0000-0000-0000944C0000}"/>
    <cellStyle name="Normal 2 2 2 4 2 13 5 10" xfId="19642" xr:uid="{00000000-0005-0000-0000-0000954C0000}"/>
    <cellStyle name="Normal 2 2 2 4 2 13 5 2" xfId="19643" xr:uid="{00000000-0005-0000-0000-0000964C0000}"/>
    <cellStyle name="Normal 2 2 2 4 2 13 5 3" xfId="19644" xr:uid="{00000000-0005-0000-0000-0000974C0000}"/>
    <cellStyle name="Normal 2 2 2 4 2 13 5 4" xfId="19645" xr:uid="{00000000-0005-0000-0000-0000984C0000}"/>
    <cellStyle name="Normal 2 2 2 4 2 13 5 5" xfId="19646" xr:uid="{00000000-0005-0000-0000-0000994C0000}"/>
    <cellStyle name="Normal 2 2 2 4 2 13 5 6" xfId="19647" xr:uid="{00000000-0005-0000-0000-00009A4C0000}"/>
    <cellStyle name="Normal 2 2 2 4 2 13 5 7" xfId="19648" xr:uid="{00000000-0005-0000-0000-00009B4C0000}"/>
    <cellStyle name="Normal 2 2 2 4 2 13 5 8" xfId="19649" xr:uid="{00000000-0005-0000-0000-00009C4C0000}"/>
    <cellStyle name="Normal 2 2 2 4 2 13 5 9" xfId="19650" xr:uid="{00000000-0005-0000-0000-00009D4C0000}"/>
    <cellStyle name="Normal 2 2 2 4 2 13 6" xfId="19651" xr:uid="{00000000-0005-0000-0000-00009E4C0000}"/>
    <cellStyle name="Normal 2 2 2 4 2 13 7" xfId="19652" xr:uid="{00000000-0005-0000-0000-00009F4C0000}"/>
    <cellStyle name="Normal 2 2 2 4 2 13 8" xfId="19653" xr:uid="{00000000-0005-0000-0000-0000A04C0000}"/>
    <cellStyle name="Normal 2 2 2 4 2 13 9" xfId="19654" xr:uid="{00000000-0005-0000-0000-0000A14C0000}"/>
    <cellStyle name="Normal 2 2 2 4 2 14" xfId="19655" xr:uid="{00000000-0005-0000-0000-0000A24C0000}"/>
    <cellStyle name="Normal 2 2 2 4 2 14 10" xfId="19656" xr:uid="{00000000-0005-0000-0000-0000A34C0000}"/>
    <cellStyle name="Normal 2 2 2 4 2 14 11" xfId="19657" xr:uid="{00000000-0005-0000-0000-0000A44C0000}"/>
    <cellStyle name="Normal 2 2 2 4 2 14 12" xfId="19658" xr:uid="{00000000-0005-0000-0000-0000A54C0000}"/>
    <cellStyle name="Normal 2 2 2 4 2 14 13" xfId="19659" xr:uid="{00000000-0005-0000-0000-0000A64C0000}"/>
    <cellStyle name="Normal 2 2 2 4 2 14 14" xfId="19660" xr:uid="{00000000-0005-0000-0000-0000A74C0000}"/>
    <cellStyle name="Normal 2 2 2 4 2 14 2" xfId="19661" xr:uid="{00000000-0005-0000-0000-0000A84C0000}"/>
    <cellStyle name="Normal 2 2 2 4 2 14 2 10" xfId="19662" xr:uid="{00000000-0005-0000-0000-0000A94C0000}"/>
    <cellStyle name="Normal 2 2 2 4 2 14 2 2" xfId="19663" xr:uid="{00000000-0005-0000-0000-0000AA4C0000}"/>
    <cellStyle name="Normal 2 2 2 4 2 14 2 3" xfId="19664" xr:uid="{00000000-0005-0000-0000-0000AB4C0000}"/>
    <cellStyle name="Normal 2 2 2 4 2 14 2 4" xfId="19665" xr:uid="{00000000-0005-0000-0000-0000AC4C0000}"/>
    <cellStyle name="Normal 2 2 2 4 2 14 2 5" xfId="19666" xr:uid="{00000000-0005-0000-0000-0000AD4C0000}"/>
    <cellStyle name="Normal 2 2 2 4 2 14 2 6" xfId="19667" xr:uid="{00000000-0005-0000-0000-0000AE4C0000}"/>
    <cellStyle name="Normal 2 2 2 4 2 14 2 7" xfId="19668" xr:uid="{00000000-0005-0000-0000-0000AF4C0000}"/>
    <cellStyle name="Normal 2 2 2 4 2 14 2 8" xfId="19669" xr:uid="{00000000-0005-0000-0000-0000B04C0000}"/>
    <cellStyle name="Normal 2 2 2 4 2 14 2 9" xfId="19670" xr:uid="{00000000-0005-0000-0000-0000B14C0000}"/>
    <cellStyle name="Normal 2 2 2 4 2 14 3" xfId="19671" xr:uid="{00000000-0005-0000-0000-0000B24C0000}"/>
    <cellStyle name="Normal 2 2 2 4 2 14 3 10" xfId="19672" xr:uid="{00000000-0005-0000-0000-0000B34C0000}"/>
    <cellStyle name="Normal 2 2 2 4 2 14 3 2" xfId="19673" xr:uid="{00000000-0005-0000-0000-0000B44C0000}"/>
    <cellStyle name="Normal 2 2 2 4 2 14 3 3" xfId="19674" xr:uid="{00000000-0005-0000-0000-0000B54C0000}"/>
    <cellStyle name="Normal 2 2 2 4 2 14 3 4" xfId="19675" xr:uid="{00000000-0005-0000-0000-0000B64C0000}"/>
    <cellStyle name="Normal 2 2 2 4 2 14 3 5" xfId="19676" xr:uid="{00000000-0005-0000-0000-0000B74C0000}"/>
    <cellStyle name="Normal 2 2 2 4 2 14 3 6" xfId="19677" xr:uid="{00000000-0005-0000-0000-0000B84C0000}"/>
    <cellStyle name="Normal 2 2 2 4 2 14 3 7" xfId="19678" xr:uid="{00000000-0005-0000-0000-0000B94C0000}"/>
    <cellStyle name="Normal 2 2 2 4 2 14 3 8" xfId="19679" xr:uid="{00000000-0005-0000-0000-0000BA4C0000}"/>
    <cellStyle name="Normal 2 2 2 4 2 14 3 9" xfId="19680" xr:uid="{00000000-0005-0000-0000-0000BB4C0000}"/>
    <cellStyle name="Normal 2 2 2 4 2 14 4" xfId="19681" xr:uid="{00000000-0005-0000-0000-0000BC4C0000}"/>
    <cellStyle name="Normal 2 2 2 4 2 14 4 10" xfId="19682" xr:uid="{00000000-0005-0000-0000-0000BD4C0000}"/>
    <cellStyle name="Normal 2 2 2 4 2 14 4 2" xfId="19683" xr:uid="{00000000-0005-0000-0000-0000BE4C0000}"/>
    <cellStyle name="Normal 2 2 2 4 2 14 4 3" xfId="19684" xr:uid="{00000000-0005-0000-0000-0000BF4C0000}"/>
    <cellStyle name="Normal 2 2 2 4 2 14 4 4" xfId="19685" xr:uid="{00000000-0005-0000-0000-0000C04C0000}"/>
    <cellStyle name="Normal 2 2 2 4 2 14 4 5" xfId="19686" xr:uid="{00000000-0005-0000-0000-0000C14C0000}"/>
    <cellStyle name="Normal 2 2 2 4 2 14 4 6" xfId="19687" xr:uid="{00000000-0005-0000-0000-0000C24C0000}"/>
    <cellStyle name="Normal 2 2 2 4 2 14 4 7" xfId="19688" xr:uid="{00000000-0005-0000-0000-0000C34C0000}"/>
    <cellStyle name="Normal 2 2 2 4 2 14 4 8" xfId="19689" xr:uid="{00000000-0005-0000-0000-0000C44C0000}"/>
    <cellStyle name="Normal 2 2 2 4 2 14 4 9" xfId="19690" xr:uid="{00000000-0005-0000-0000-0000C54C0000}"/>
    <cellStyle name="Normal 2 2 2 4 2 14 5" xfId="19691" xr:uid="{00000000-0005-0000-0000-0000C64C0000}"/>
    <cellStyle name="Normal 2 2 2 4 2 14 5 10" xfId="19692" xr:uid="{00000000-0005-0000-0000-0000C74C0000}"/>
    <cellStyle name="Normal 2 2 2 4 2 14 5 2" xfId="19693" xr:uid="{00000000-0005-0000-0000-0000C84C0000}"/>
    <cellStyle name="Normal 2 2 2 4 2 14 5 3" xfId="19694" xr:uid="{00000000-0005-0000-0000-0000C94C0000}"/>
    <cellStyle name="Normal 2 2 2 4 2 14 5 4" xfId="19695" xr:uid="{00000000-0005-0000-0000-0000CA4C0000}"/>
    <cellStyle name="Normal 2 2 2 4 2 14 5 5" xfId="19696" xr:uid="{00000000-0005-0000-0000-0000CB4C0000}"/>
    <cellStyle name="Normal 2 2 2 4 2 14 5 6" xfId="19697" xr:uid="{00000000-0005-0000-0000-0000CC4C0000}"/>
    <cellStyle name="Normal 2 2 2 4 2 14 5 7" xfId="19698" xr:uid="{00000000-0005-0000-0000-0000CD4C0000}"/>
    <cellStyle name="Normal 2 2 2 4 2 14 5 8" xfId="19699" xr:uid="{00000000-0005-0000-0000-0000CE4C0000}"/>
    <cellStyle name="Normal 2 2 2 4 2 14 5 9" xfId="19700" xr:uid="{00000000-0005-0000-0000-0000CF4C0000}"/>
    <cellStyle name="Normal 2 2 2 4 2 14 6" xfId="19701" xr:uid="{00000000-0005-0000-0000-0000D04C0000}"/>
    <cellStyle name="Normal 2 2 2 4 2 14 7" xfId="19702" xr:uid="{00000000-0005-0000-0000-0000D14C0000}"/>
    <cellStyle name="Normal 2 2 2 4 2 14 8" xfId="19703" xr:uid="{00000000-0005-0000-0000-0000D24C0000}"/>
    <cellStyle name="Normal 2 2 2 4 2 14 9" xfId="19704" xr:uid="{00000000-0005-0000-0000-0000D34C0000}"/>
    <cellStyle name="Normal 2 2 2 4 2 15" xfId="19705" xr:uid="{00000000-0005-0000-0000-0000D44C0000}"/>
    <cellStyle name="Normal 2 2 2 4 2 15 10" xfId="19706" xr:uid="{00000000-0005-0000-0000-0000D54C0000}"/>
    <cellStyle name="Normal 2 2 2 4 2 15 11" xfId="19707" xr:uid="{00000000-0005-0000-0000-0000D64C0000}"/>
    <cellStyle name="Normal 2 2 2 4 2 15 12" xfId="19708" xr:uid="{00000000-0005-0000-0000-0000D74C0000}"/>
    <cellStyle name="Normal 2 2 2 4 2 15 13" xfId="19709" xr:uid="{00000000-0005-0000-0000-0000D84C0000}"/>
    <cellStyle name="Normal 2 2 2 4 2 15 14" xfId="19710" xr:uid="{00000000-0005-0000-0000-0000D94C0000}"/>
    <cellStyle name="Normal 2 2 2 4 2 15 2" xfId="19711" xr:uid="{00000000-0005-0000-0000-0000DA4C0000}"/>
    <cellStyle name="Normal 2 2 2 4 2 15 2 10" xfId="19712" xr:uid="{00000000-0005-0000-0000-0000DB4C0000}"/>
    <cellStyle name="Normal 2 2 2 4 2 15 2 2" xfId="19713" xr:uid="{00000000-0005-0000-0000-0000DC4C0000}"/>
    <cellStyle name="Normal 2 2 2 4 2 15 2 3" xfId="19714" xr:uid="{00000000-0005-0000-0000-0000DD4C0000}"/>
    <cellStyle name="Normal 2 2 2 4 2 15 2 4" xfId="19715" xr:uid="{00000000-0005-0000-0000-0000DE4C0000}"/>
    <cellStyle name="Normal 2 2 2 4 2 15 2 5" xfId="19716" xr:uid="{00000000-0005-0000-0000-0000DF4C0000}"/>
    <cellStyle name="Normal 2 2 2 4 2 15 2 6" xfId="19717" xr:uid="{00000000-0005-0000-0000-0000E04C0000}"/>
    <cellStyle name="Normal 2 2 2 4 2 15 2 7" xfId="19718" xr:uid="{00000000-0005-0000-0000-0000E14C0000}"/>
    <cellStyle name="Normal 2 2 2 4 2 15 2 8" xfId="19719" xr:uid="{00000000-0005-0000-0000-0000E24C0000}"/>
    <cellStyle name="Normal 2 2 2 4 2 15 2 9" xfId="19720" xr:uid="{00000000-0005-0000-0000-0000E34C0000}"/>
    <cellStyle name="Normal 2 2 2 4 2 15 3" xfId="19721" xr:uid="{00000000-0005-0000-0000-0000E44C0000}"/>
    <cellStyle name="Normal 2 2 2 4 2 15 3 10" xfId="19722" xr:uid="{00000000-0005-0000-0000-0000E54C0000}"/>
    <cellStyle name="Normal 2 2 2 4 2 15 3 2" xfId="19723" xr:uid="{00000000-0005-0000-0000-0000E64C0000}"/>
    <cellStyle name="Normal 2 2 2 4 2 15 3 3" xfId="19724" xr:uid="{00000000-0005-0000-0000-0000E74C0000}"/>
    <cellStyle name="Normal 2 2 2 4 2 15 3 4" xfId="19725" xr:uid="{00000000-0005-0000-0000-0000E84C0000}"/>
    <cellStyle name="Normal 2 2 2 4 2 15 3 5" xfId="19726" xr:uid="{00000000-0005-0000-0000-0000E94C0000}"/>
    <cellStyle name="Normal 2 2 2 4 2 15 3 6" xfId="19727" xr:uid="{00000000-0005-0000-0000-0000EA4C0000}"/>
    <cellStyle name="Normal 2 2 2 4 2 15 3 7" xfId="19728" xr:uid="{00000000-0005-0000-0000-0000EB4C0000}"/>
    <cellStyle name="Normal 2 2 2 4 2 15 3 8" xfId="19729" xr:uid="{00000000-0005-0000-0000-0000EC4C0000}"/>
    <cellStyle name="Normal 2 2 2 4 2 15 3 9" xfId="19730" xr:uid="{00000000-0005-0000-0000-0000ED4C0000}"/>
    <cellStyle name="Normal 2 2 2 4 2 15 4" xfId="19731" xr:uid="{00000000-0005-0000-0000-0000EE4C0000}"/>
    <cellStyle name="Normal 2 2 2 4 2 15 4 10" xfId="19732" xr:uid="{00000000-0005-0000-0000-0000EF4C0000}"/>
    <cellStyle name="Normal 2 2 2 4 2 15 4 2" xfId="19733" xr:uid="{00000000-0005-0000-0000-0000F04C0000}"/>
    <cellStyle name="Normal 2 2 2 4 2 15 4 3" xfId="19734" xr:uid="{00000000-0005-0000-0000-0000F14C0000}"/>
    <cellStyle name="Normal 2 2 2 4 2 15 4 4" xfId="19735" xr:uid="{00000000-0005-0000-0000-0000F24C0000}"/>
    <cellStyle name="Normal 2 2 2 4 2 15 4 5" xfId="19736" xr:uid="{00000000-0005-0000-0000-0000F34C0000}"/>
    <cellStyle name="Normal 2 2 2 4 2 15 4 6" xfId="19737" xr:uid="{00000000-0005-0000-0000-0000F44C0000}"/>
    <cellStyle name="Normal 2 2 2 4 2 15 4 7" xfId="19738" xr:uid="{00000000-0005-0000-0000-0000F54C0000}"/>
    <cellStyle name="Normal 2 2 2 4 2 15 4 8" xfId="19739" xr:uid="{00000000-0005-0000-0000-0000F64C0000}"/>
    <cellStyle name="Normal 2 2 2 4 2 15 4 9" xfId="19740" xr:uid="{00000000-0005-0000-0000-0000F74C0000}"/>
    <cellStyle name="Normal 2 2 2 4 2 15 5" xfId="19741" xr:uid="{00000000-0005-0000-0000-0000F84C0000}"/>
    <cellStyle name="Normal 2 2 2 4 2 15 5 10" xfId="19742" xr:uid="{00000000-0005-0000-0000-0000F94C0000}"/>
    <cellStyle name="Normal 2 2 2 4 2 15 5 2" xfId="19743" xr:uid="{00000000-0005-0000-0000-0000FA4C0000}"/>
    <cellStyle name="Normal 2 2 2 4 2 15 5 3" xfId="19744" xr:uid="{00000000-0005-0000-0000-0000FB4C0000}"/>
    <cellStyle name="Normal 2 2 2 4 2 15 5 4" xfId="19745" xr:uid="{00000000-0005-0000-0000-0000FC4C0000}"/>
    <cellStyle name="Normal 2 2 2 4 2 15 5 5" xfId="19746" xr:uid="{00000000-0005-0000-0000-0000FD4C0000}"/>
    <cellStyle name="Normal 2 2 2 4 2 15 5 6" xfId="19747" xr:uid="{00000000-0005-0000-0000-0000FE4C0000}"/>
    <cellStyle name="Normal 2 2 2 4 2 15 5 7" xfId="19748" xr:uid="{00000000-0005-0000-0000-0000FF4C0000}"/>
    <cellStyle name="Normal 2 2 2 4 2 15 5 8" xfId="19749" xr:uid="{00000000-0005-0000-0000-0000004D0000}"/>
    <cellStyle name="Normal 2 2 2 4 2 15 5 9" xfId="19750" xr:uid="{00000000-0005-0000-0000-0000014D0000}"/>
    <cellStyle name="Normal 2 2 2 4 2 15 6" xfId="19751" xr:uid="{00000000-0005-0000-0000-0000024D0000}"/>
    <cellStyle name="Normal 2 2 2 4 2 15 7" xfId="19752" xr:uid="{00000000-0005-0000-0000-0000034D0000}"/>
    <cellStyle name="Normal 2 2 2 4 2 15 8" xfId="19753" xr:uid="{00000000-0005-0000-0000-0000044D0000}"/>
    <cellStyle name="Normal 2 2 2 4 2 15 9" xfId="19754" xr:uid="{00000000-0005-0000-0000-0000054D0000}"/>
    <cellStyle name="Normal 2 2 2 4 2 16" xfId="19755" xr:uid="{00000000-0005-0000-0000-0000064D0000}"/>
    <cellStyle name="Normal 2 2 2 4 2 16 10" xfId="19756" xr:uid="{00000000-0005-0000-0000-0000074D0000}"/>
    <cellStyle name="Normal 2 2 2 4 2 16 11" xfId="19757" xr:uid="{00000000-0005-0000-0000-0000084D0000}"/>
    <cellStyle name="Normal 2 2 2 4 2 16 12" xfId="19758" xr:uid="{00000000-0005-0000-0000-0000094D0000}"/>
    <cellStyle name="Normal 2 2 2 4 2 16 13" xfId="19759" xr:uid="{00000000-0005-0000-0000-00000A4D0000}"/>
    <cellStyle name="Normal 2 2 2 4 2 16 14" xfId="19760" xr:uid="{00000000-0005-0000-0000-00000B4D0000}"/>
    <cellStyle name="Normal 2 2 2 4 2 16 2" xfId="19761" xr:uid="{00000000-0005-0000-0000-00000C4D0000}"/>
    <cellStyle name="Normal 2 2 2 4 2 16 2 10" xfId="19762" xr:uid="{00000000-0005-0000-0000-00000D4D0000}"/>
    <cellStyle name="Normal 2 2 2 4 2 16 2 2" xfId="19763" xr:uid="{00000000-0005-0000-0000-00000E4D0000}"/>
    <cellStyle name="Normal 2 2 2 4 2 16 2 3" xfId="19764" xr:uid="{00000000-0005-0000-0000-00000F4D0000}"/>
    <cellStyle name="Normal 2 2 2 4 2 16 2 4" xfId="19765" xr:uid="{00000000-0005-0000-0000-0000104D0000}"/>
    <cellStyle name="Normal 2 2 2 4 2 16 2 5" xfId="19766" xr:uid="{00000000-0005-0000-0000-0000114D0000}"/>
    <cellStyle name="Normal 2 2 2 4 2 16 2 6" xfId="19767" xr:uid="{00000000-0005-0000-0000-0000124D0000}"/>
    <cellStyle name="Normal 2 2 2 4 2 16 2 7" xfId="19768" xr:uid="{00000000-0005-0000-0000-0000134D0000}"/>
    <cellStyle name="Normal 2 2 2 4 2 16 2 8" xfId="19769" xr:uid="{00000000-0005-0000-0000-0000144D0000}"/>
    <cellStyle name="Normal 2 2 2 4 2 16 2 9" xfId="19770" xr:uid="{00000000-0005-0000-0000-0000154D0000}"/>
    <cellStyle name="Normal 2 2 2 4 2 16 3" xfId="19771" xr:uid="{00000000-0005-0000-0000-0000164D0000}"/>
    <cellStyle name="Normal 2 2 2 4 2 16 3 10" xfId="19772" xr:uid="{00000000-0005-0000-0000-0000174D0000}"/>
    <cellStyle name="Normal 2 2 2 4 2 16 3 2" xfId="19773" xr:uid="{00000000-0005-0000-0000-0000184D0000}"/>
    <cellStyle name="Normal 2 2 2 4 2 16 3 3" xfId="19774" xr:uid="{00000000-0005-0000-0000-0000194D0000}"/>
    <cellStyle name="Normal 2 2 2 4 2 16 3 4" xfId="19775" xr:uid="{00000000-0005-0000-0000-00001A4D0000}"/>
    <cellStyle name="Normal 2 2 2 4 2 16 3 5" xfId="19776" xr:uid="{00000000-0005-0000-0000-00001B4D0000}"/>
    <cellStyle name="Normal 2 2 2 4 2 16 3 6" xfId="19777" xr:uid="{00000000-0005-0000-0000-00001C4D0000}"/>
    <cellStyle name="Normal 2 2 2 4 2 16 3 7" xfId="19778" xr:uid="{00000000-0005-0000-0000-00001D4D0000}"/>
    <cellStyle name="Normal 2 2 2 4 2 16 3 8" xfId="19779" xr:uid="{00000000-0005-0000-0000-00001E4D0000}"/>
    <cellStyle name="Normal 2 2 2 4 2 16 3 9" xfId="19780" xr:uid="{00000000-0005-0000-0000-00001F4D0000}"/>
    <cellStyle name="Normal 2 2 2 4 2 16 4" xfId="19781" xr:uid="{00000000-0005-0000-0000-0000204D0000}"/>
    <cellStyle name="Normal 2 2 2 4 2 16 4 10" xfId="19782" xr:uid="{00000000-0005-0000-0000-0000214D0000}"/>
    <cellStyle name="Normal 2 2 2 4 2 16 4 2" xfId="19783" xr:uid="{00000000-0005-0000-0000-0000224D0000}"/>
    <cellStyle name="Normal 2 2 2 4 2 16 4 3" xfId="19784" xr:uid="{00000000-0005-0000-0000-0000234D0000}"/>
    <cellStyle name="Normal 2 2 2 4 2 16 4 4" xfId="19785" xr:uid="{00000000-0005-0000-0000-0000244D0000}"/>
    <cellStyle name="Normal 2 2 2 4 2 16 4 5" xfId="19786" xr:uid="{00000000-0005-0000-0000-0000254D0000}"/>
    <cellStyle name="Normal 2 2 2 4 2 16 4 6" xfId="19787" xr:uid="{00000000-0005-0000-0000-0000264D0000}"/>
    <cellStyle name="Normal 2 2 2 4 2 16 4 7" xfId="19788" xr:uid="{00000000-0005-0000-0000-0000274D0000}"/>
    <cellStyle name="Normal 2 2 2 4 2 16 4 8" xfId="19789" xr:uid="{00000000-0005-0000-0000-0000284D0000}"/>
    <cellStyle name="Normal 2 2 2 4 2 16 4 9" xfId="19790" xr:uid="{00000000-0005-0000-0000-0000294D0000}"/>
    <cellStyle name="Normal 2 2 2 4 2 16 5" xfId="19791" xr:uid="{00000000-0005-0000-0000-00002A4D0000}"/>
    <cellStyle name="Normal 2 2 2 4 2 16 5 10" xfId="19792" xr:uid="{00000000-0005-0000-0000-00002B4D0000}"/>
    <cellStyle name="Normal 2 2 2 4 2 16 5 2" xfId="19793" xr:uid="{00000000-0005-0000-0000-00002C4D0000}"/>
    <cellStyle name="Normal 2 2 2 4 2 16 5 3" xfId="19794" xr:uid="{00000000-0005-0000-0000-00002D4D0000}"/>
    <cellStyle name="Normal 2 2 2 4 2 16 5 4" xfId="19795" xr:uid="{00000000-0005-0000-0000-00002E4D0000}"/>
    <cellStyle name="Normal 2 2 2 4 2 16 5 5" xfId="19796" xr:uid="{00000000-0005-0000-0000-00002F4D0000}"/>
    <cellStyle name="Normal 2 2 2 4 2 16 5 6" xfId="19797" xr:uid="{00000000-0005-0000-0000-0000304D0000}"/>
    <cellStyle name="Normal 2 2 2 4 2 16 5 7" xfId="19798" xr:uid="{00000000-0005-0000-0000-0000314D0000}"/>
    <cellStyle name="Normal 2 2 2 4 2 16 5 8" xfId="19799" xr:uid="{00000000-0005-0000-0000-0000324D0000}"/>
    <cellStyle name="Normal 2 2 2 4 2 16 5 9" xfId="19800" xr:uid="{00000000-0005-0000-0000-0000334D0000}"/>
    <cellStyle name="Normal 2 2 2 4 2 16 6" xfId="19801" xr:uid="{00000000-0005-0000-0000-0000344D0000}"/>
    <cellStyle name="Normal 2 2 2 4 2 16 7" xfId="19802" xr:uid="{00000000-0005-0000-0000-0000354D0000}"/>
    <cellStyle name="Normal 2 2 2 4 2 16 8" xfId="19803" xr:uid="{00000000-0005-0000-0000-0000364D0000}"/>
    <cellStyle name="Normal 2 2 2 4 2 16 9" xfId="19804" xr:uid="{00000000-0005-0000-0000-0000374D0000}"/>
    <cellStyle name="Normal 2 2 2 4 2 17" xfId="19805" xr:uid="{00000000-0005-0000-0000-0000384D0000}"/>
    <cellStyle name="Normal 2 2 2 4 2 17 10" xfId="19806" xr:uid="{00000000-0005-0000-0000-0000394D0000}"/>
    <cellStyle name="Normal 2 2 2 4 2 17 11" xfId="19807" xr:uid="{00000000-0005-0000-0000-00003A4D0000}"/>
    <cellStyle name="Normal 2 2 2 4 2 17 12" xfId="19808" xr:uid="{00000000-0005-0000-0000-00003B4D0000}"/>
    <cellStyle name="Normal 2 2 2 4 2 17 13" xfId="19809" xr:uid="{00000000-0005-0000-0000-00003C4D0000}"/>
    <cellStyle name="Normal 2 2 2 4 2 17 14" xfId="19810" xr:uid="{00000000-0005-0000-0000-00003D4D0000}"/>
    <cellStyle name="Normal 2 2 2 4 2 17 2" xfId="19811" xr:uid="{00000000-0005-0000-0000-00003E4D0000}"/>
    <cellStyle name="Normal 2 2 2 4 2 17 2 10" xfId="19812" xr:uid="{00000000-0005-0000-0000-00003F4D0000}"/>
    <cellStyle name="Normal 2 2 2 4 2 17 2 2" xfId="19813" xr:uid="{00000000-0005-0000-0000-0000404D0000}"/>
    <cellStyle name="Normal 2 2 2 4 2 17 2 3" xfId="19814" xr:uid="{00000000-0005-0000-0000-0000414D0000}"/>
    <cellStyle name="Normal 2 2 2 4 2 17 2 4" xfId="19815" xr:uid="{00000000-0005-0000-0000-0000424D0000}"/>
    <cellStyle name="Normal 2 2 2 4 2 17 2 5" xfId="19816" xr:uid="{00000000-0005-0000-0000-0000434D0000}"/>
    <cellStyle name="Normal 2 2 2 4 2 17 2 6" xfId="19817" xr:uid="{00000000-0005-0000-0000-0000444D0000}"/>
    <cellStyle name="Normal 2 2 2 4 2 17 2 7" xfId="19818" xr:uid="{00000000-0005-0000-0000-0000454D0000}"/>
    <cellStyle name="Normal 2 2 2 4 2 17 2 8" xfId="19819" xr:uid="{00000000-0005-0000-0000-0000464D0000}"/>
    <cellStyle name="Normal 2 2 2 4 2 17 2 9" xfId="19820" xr:uid="{00000000-0005-0000-0000-0000474D0000}"/>
    <cellStyle name="Normal 2 2 2 4 2 17 3" xfId="19821" xr:uid="{00000000-0005-0000-0000-0000484D0000}"/>
    <cellStyle name="Normal 2 2 2 4 2 17 3 10" xfId="19822" xr:uid="{00000000-0005-0000-0000-0000494D0000}"/>
    <cellStyle name="Normal 2 2 2 4 2 17 3 2" xfId="19823" xr:uid="{00000000-0005-0000-0000-00004A4D0000}"/>
    <cellStyle name="Normal 2 2 2 4 2 17 3 3" xfId="19824" xr:uid="{00000000-0005-0000-0000-00004B4D0000}"/>
    <cellStyle name="Normal 2 2 2 4 2 17 3 4" xfId="19825" xr:uid="{00000000-0005-0000-0000-00004C4D0000}"/>
    <cellStyle name="Normal 2 2 2 4 2 17 3 5" xfId="19826" xr:uid="{00000000-0005-0000-0000-00004D4D0000}"/>
    <cellStyle name="Normal 2 2 2 4 2 17 3 6" xfId="19827" xr:uid="{00000000-0005-0000-0000-00004E4D0000}"/>
    <cellStyle name="Normal 2 2 2 4 2 17 3 7" xfId="19828" xr:uid="{00000000-0005-0000-0000-00004F4D0000}"/>
    <cellStyle name="Normal 2 2 2 4 2 17 3 8" xfId="19829" xr:uid="{00000000-0005-0000-0000-0000504D0000}"/>
    <cellStyle name="Normal 2 2 2 4 2 17 3 9" xfId="19830" xr:uid="{00000000-0005-0000-0000-0000514D0000}"/>
    <cellStyle name="Normal 2 2 2 4 2 17 4" xfId="19831" xr:uid="{00000000-0005-0000-0000-0000524D0000}"/>
    <cellStyle name="Normal 2 2 2 4 2 17 4 10" xfId="19832" xr:uid="{00000000-0005-0000-0000-0000534D0000}"/>
    <cellStyle name="Normal 2 2 2 4 2 17 4 2" xfId="19833" xr:uid="{00000000-0005-0000-0000-0000544D0000}"/>
    <cellStyle name="Normal 2 2 2 4 2 17 4 3" xfId="19834" xr:uid="{00000000-0005-0000-0000-0000554D0000}"/>
    <cellStyle name="Normal 2 2 2 4 2 17 4 4" xfId="19835" xr:uid="{00000000-0005-0000-0000-0000564D0000}"/>
    <cellStyle name="Normal 2 2 2 4 2 17 4 5" xfId="19836" xr:uid="{00000000-0005-0000-0000-0000574D0000}"/>
    <cellStyle name="Normal 2 2 2 4 2 17 4 6" xfId="19837" xr:uid="{00000000-0005-0000-0000-0000584D0000}"/>
    <cellStyle name="Normal 2 2 2 4 2 17 4 7" xfId="19838" xr:uid="{00000000-0005-0000-0000-0000594D0000}"/>
    <cellStyle name="Normal 2 2 2 4 2 17 4 8" xfId="19839" xr:uid="{00000000-0005-0000-0000-00005A4D0000}"/>
    <cellStyle name="Normal 2 2 2 4 2 17 4 9" xfId="19840" xr:uid="{00000000-0005-0000-0000-00005B4D0000}"/>
    <cellStyle name="Normal 2 2 2 4 2 17 5" xfId="19841" xr:uid="{00000000-0005-0000-0000-00005C4D0000}"/>
    <cellStyle name="Normal 2 2 2 4 2 17 5 10" xfId="19842" xr:uid="{00000000-0005-0000-0000-00005D4D0000}"/>
    <cellStyle name="Normal 2 2 2 4 2 17 5 2" xfId="19843" xr:uid="{00000000-0005-0000-0000-00005E4D0000}"/>
    <cellStyle name="Normal 2 2 2 4 2 17 5 3" xfId="19844" xr:uid="{00000000-0005-0000-0000-00005F4D0000}"/>
    <cellStyle name="Normal 2 2 2 4 2 17 5 4" xfId="19845" xr:uid="{00000000-0005-0000-0000-0000604D0000}"/>
    <cellStyle name="Normal 2 2 2 4 2 17 5 5" xfId="19846" xr:uid="{00000000-0005-0000-0000-0000614D0000}"/>
    <cellStyle name="Normal 2 2 2 4 2 17 5 6" xfId="19847" xr:uid="{00000000-0005-0000-0000-0000624D0000}"/>
    <cellStyle name="Normal 2 2 2 4 2 17 5 7" xfId="19848" xr:uid="{00000000-0005-0000-0000-0000634D0000}"/>
    <cellStyle name="Normal 2 2 2 4 2 17 5 8" xfId="19849" xr:uid="{00000000-0005-0000-0000-0000644D0000}"/>
    <cellStyle name="Normal 2 2 2 4 2 17 5 9" xfId="19850" xr:uid="{00000000-0005-0000-0000-0000654D0000}"/>
    <cellStyle name="Normal 2 2 2 4 2 17 6" xfId="19851" xr:uid="{00000000-0005-0000-0000-0000664D0000}"/>
    <cellStyle name="Normal 2 2 2 4 2 17 7" xfId="19852" xr:uid="{00000000-0005-0000-0000-0000674D0000}"/>
    <cellStyle name="Normal 2 2 2 4 2 17 8" xfId="19853" xr:uid="{00000000-0005-0000-0000-0000684D0000}"/>
    <cellStyle name="Normal 2 2 2 4 2 17 9" xfId="19854" xr:uid="{00000000-0005-0000-0000-0000694D0000}"/>
    <cellStyle name="Normal 2 2 2 4 2 18" xfId="19855" xr:uid="{00000000-0005-0000-0000-00006A4D0000}"/>
    <cellStyle name="Normal 2 2 2 4 2 18 10" xfId="19856" xr:uid="{00000000-0005-0000-0000-00006B4D0000}"/>
    <cellStyle name="Normal 2 2 2 4 2 18 11" xfId="19857" xr:uid="{00000000-0005-0000-0000-00006C4D0000}"/>
    <cellStyle name="Normal 2 2 2 4 2 18 12" xfId="19858" xr:uid="{00000000-0005-0000-0000-00006D4D0000}"/>
    <cellStyle name="Normal 2 2 2 4 2 18 13" xfId="19859" xr:uid="{00000000-0005-0000-0000-00006E4D0000}"/>
    <cellStyle name="Normal 2 2 2 4 2 18 14" xfId="19860" xr:uid="{00000000-0005-0000-0000-00006F4D0000}"/>
    <cellStyle name="Normal 2 2 2 4 2 18 2" xfId="19861" xr:uid="{00000000-0005-0000-0000-0000704D0000}"/>
    <cellStyle name="Normal 2 2 2 4 2 18 2 10" xfId="19862" xr:uid="{00000000-0005-0000-0000-0000714D0000}"/>
    <cellStyle name="Normal 2 2 2 4 2 18 2 2" xfId="19863" xr:uid="{00000000-0005-0000-0000-0000724D0000}"/>
    <cellStyle name="Normal 2 2 2 4 2 18 2 3" xfId="19864" xr:uid="{00000000-0005-0000-0000-0000734D0000}"/>
    <cellStyle name="Normal 2 2 2 4 2 18 2 4" xfId="19865" xr:uid="{00000000-0005-0000-0000-0000744D0000}"/>
    <cellStyle name="Normal 2 2 2 4 2 18 2 5" xfId="19866" xr:uid="{00000000-0005-0000-0000-0000754D0000}"/>
    <cellStyle name="Normal 2 2 2 4 2 18 2 6" xfId="19867" xr:uid="{00000000-0005-0000-0000-0000764D0000}"/>
    <cellStyle name="Normal 2 2 2 4 2 18 2 7" xfId="19868" xr:uid="{00000000-0005-0000-0000-0000774D0000}"/>
    <cellStyle name="Normal 2 2 2 4 2 18 2 8" xfId="19869" xr:uid="{00000000-0005-0000-0000-0000784D0000}"/>
    <cellStyle name="Normal 2 2 2 4 2 18 2 9" xfId="19870" xr:uid="{00000000-0005-0000-0000-0000794D0000}"/>
    <cellStyle name="Normal 2 2 2 4 2 18 3" xfId="19871" xr:uid="{00000000-0005-0000-0000-00007A4D0000}"/>
    <cellStyle name="Normal 2 2 2 4 2 18 3 10" xfId="19872" xr:uid="{00000000-0005-0000-0000-00007B4D0000}"/>
    <cellStyle name="Normal 2 2 2 4 2 18 3 2" xfId="19873" xr:uid="{00000000-0005-0000-0000-00007C4D0000}"/>
    <cellStyle name="Normal 2 2 2 4 2 18 3 3" xfId="19874" xr:uid="{00000000-0005-0000-0000-00007D4D0000}"/>
    <cellStyle name="Normal 2 2 2 4 2 18 3 4" xfId="19875" xr:uid="{00000000-0005-0000-0000-00007E4D0000}"/>
    <cellStyle name="Normal 2 2 2 4 2 18 3 5" xfId="19876" xr:uid="{00000000-0005-0000-0000-00007F4D0000}"/>
    <cellStyle name="Normal 2 2 2 4 2 18 3 6" xfId="19877" xr:uid="{00000000-0005-0000-0000-0000804D0000}"/>
    <cellStyle name="Normal 2 2 2 4 2 18 3 7" xfId="19878" xr:uid="{00000000-0005-0000-0000-0000814D0000}"/>
    <cellStyle name="Normal 2 2 2 4 2 18 3 8" xfId="19879" xr:uid="{00000000-0005-0000-0000-0000824D0000}"/>
    <cellStyle name="Normal 2 2 2 4 2 18 3 9" xfId="19880" xr:uid="{00000000-0005-0000-0000-0000834D0000}"/>
    <cellStyle name="Normal 2 2 2 4 2 18 4" xfId="19881" xr:uid="{00000000-0005-0000-0000-0000844D0000}"/>
    <cellStyle name="Normal 2 2 2 4 2 18 4 10" xfId="19882" xr:uid="{00000000-0005-0000-0000-0000854D0000}"/>
    <cellStyle name="Normal 2 2 2 4 2 18 4 2" xfId="19883" xr:uid="{00000000-0005-0000-0000-0000864D0000}"/>
    <cellStyle name="Normal 2 2 2 4 2 18 4 3" xfId="19884" xr:uid="{00000000-0005-0000-0000-0000874D0000}"/>
    <cellStyle name="Normal 2 2 2 4 2 18 4 4" xfId="19885" xr:uid="{00000000-0005-0000-0000-0000884D0000}"/>
    <cellStyle name="Normal 2 2 2 4 2 18 4 5" xfId="19886" xr:uid="{00000000-0005-0000-0000-0000894D0000}"/>
    <cellStyle name="Normal 2 2 2 4 2 18 4 6" xfId="19887" xr:uid="{00000000-0005-0000-0000-00008A4D0000}"/>
    <cellStyle name="Normal 2 2 2 4 2 18 4 7" xfId="19888" xr:uid="{00000000-0005-0000-0000-00008B4D0000}"/>
    <cellStyle name="Normal 2 2 2 4 2 18 4 8" xfId="19889" xr:uid="{00000000-0005-0000-0000-00008C4D0000}"/>
    <cellStyle name="Normal 2 2 2 4 2 18 4 9" xfId="19890" xr:uid="{00000000-0005-0000-0000-00008D4D0000}"/>
    <cellStyle name="Normal 2 2 2 4 2 18 5" xfId="19891" xr:uid="{00000000-0005-0000-0000-00008E4D0000}"/>
    <cellStyle name="Normal 2 2 2 4 2 18 5 10" xfId="19892" xr:uid="{00000000-0005-0000-0000-00008F4D0000}"/>
    <cellStyle name="Normal 2 2 2 4 2 18 5 2" xfId="19893" xr:uid="{00000000-0005-0000-0000-0000904D0000}"/>
    <cellStyle name="Normal 2 2 2 4 2 18 5 3" xfId="19894" xr:uid="{00000000-0005-0000-0000-0000914D0000}"/>
    <cellStyle name="Normal 2 2 2 4 2 18 5 4" xfId="19895" xr:uid="{00000000-0005-0000-0000-0000924D0000}"/>
    <cellStyle name="Normal 2 2 2 4 2 18 5 5" xfId="19896" xr:uid="{00000000-0005-0000-0000-0000934D0000}"/>
    <cellStyle name="Normal 2 2 2 4 2 18 5 6" xfId="19897" xr:uid="{00000000-0005-0000-0000-0000944D0000}"/>
    <cellStyle name="Normal 2 2 2 4 2 18 5 7" xfId="19898" xr:uid="{00000000-0005-0000-0000-0000954D0000}"/>
    <cellStyle name="Normal 2 2 2 4 2 18 5 8" xfId="19899" xr:uid="{00000000-0005-0000-0000-0000964D0000}"/>
    <cellStyle name="Normal 2 2 2 4 2 18 5 9" xfId="19900" xr:uid="{00000000-0005-0000-0000-0000974D0000}"/>
    <cellStyle name="Normal 2 2 2 4 2 18 6" xfId="19901" xr:uid="{00000000-0005-0000-0000-0000984D0000}"/>
    <cellStyle name="Normal 2 2 2 4 2 18 7" xfId="19902" xr:uid="{00000000-0005-0000-0000-0000994D0000}"/>
    <cellStyle name="Normal 2 2 2 4 2 18 8" xfId="19903" xr:uid="{00000000-0005-0000-0000-00009A4D0000}"/>
    <cellStyle name="Normal 2 2 2 4 2 18 9" xfId="19904" xr:uid="{00000000-0005-0000-0000-00009B4D0000}"/>
    <cellStyle name="Normal 2 2 2 4 2 19" xfId="19905" xr:uid="{00000000-0005-0000-0000-00009C4D0000}"/>
    <cellStyle name="Normal 2 2 2 4 2 19 10" xfId="19906" xr:uid="{00000000-0005-0000-0000-00009D4D0000}"/>
    <cellStyle name="Normal 2 2 2 4 2 19 11" xfId="19907" xr:uid="{00000000-0005-0000-0000-00009E4D0000}"/>
    <cellStyle name="Normal 2 2 2 4 2 19 12" xfId="19908" xr:uid="{00000000-0005-0000-0000-00009F4D0000}"/>
    <cellStyle name="Normal 2 2 2 4 2 19 13" xfId="19909" xr:uid="{00000000-0005-0000-0000-0000A04D0000}"/>
    <cellStyle name="Normal 2 2 2 4 2 19 14" xfId="19910" xr:uid="{00000000-0005-0000-0000-0000A14D0000}"/>
    <cellStyle name="Normal 2 2 2 4 2 19 2" xfId="19911" xr:uid="{00000000-0005-0000-0000-0000A24D0000}"/>
    <cellStyle name="Normal 2 2 2 4 2 19 2 10" xfId="19912" xr:uid="{00000000-0005-0000-0000-0000A34D0000}"/>
    <cellStyle name="Normal 2 2 2 4 2 19 2 2" xfId="19913" xr:uid="{00000000-0005-0000-0000-0000A44D0000}"/>
    <cellStyle name="Normal 2 2 2 4 2 19 2 3" xfId="19914" xr:uid="{00000000-0005-0000-0000-0000A54D0000}"/>
    <cellStyle name="Normal 2 2 2 4 2 19 2 4" xfId="19915" xr:uid="{00000000-0005-0000-0000-0000A64D0000}"/>
    <cellStyle name="Normal 2 2 2 4 2 19 2 5" xfId="19916" xr:uid="{00000000-0005-0000-0000-0000A74D0000}"/>
    <cellStyle name="Normal 2 2 2 4 2 19 2 6" xfId="19917" xr:uid="{00000000-0005-0000-0000-0000A84D0000}"/>
    <cellStyle name="Normal 2 2 2 4 2 19 2 7" xfId="19918" xr:uid="{00000000-0005-0000-0000-0000A94D0000}"/>
    <cellStyle name="Normal 2 2 2 4 2 19 2 8" xfId="19919" xr:uid="{00000000-0005-0000-0000-0000AA4D0000}"/>
    <cellStyle name="Normal 2 2 2 4 2 19 2 9" xfId="19920" xr:uid="{00000000-0005-0000-0000-0000AB4D0000}"/>
    <cellStyle name="Normal 2 2 2 4 2 19 3" xfId="19921" xr:uid="{00000000-0005-0000-0000-0000AC4D0000}"/>
    <cellStyle name="Normal 2 2 2 4 2 19 3 10" xfId="19922" xr:uid="{00000000-0005-0000-0000-0000AD4D0000}"/>
    <cellStyle name="Normal 2 2 2 4 2 19 3 2" xfId="19923" xr:uid="{00000000-0005-0000-0000-0000AE4D0000}"/>
    <cellStyle name="Normal 2 2 2 4 2 19 3 3" xfId="19924" xr:uid="{00000000-0005-0000-0000-0000AF4D0000}"/>
    <cellStyle name="Normal 2 2 2 4 2 19 3 4" xfId="19925" xr:uid="{00000000-0005-0000-0000-0000B04D0000}"/>
    <cellStyle name="Normal 2 2 2 4 2 19 3 5" xfId="19926" xr:uid="{00000000-0005-0000-0000-0000B14D0000}"/>
    <cellStyle name="Normal 2 2 2 4 2 19 3 6" xfId="19927" xr:uid="{00000000-0005-0000-0000-0000B24D0000}"/>
    <cellStyle name="Normal 2 2 2 4 2 19 3 7" xfId="19928" xr:uid="{00000000-0005-0000-0000-0000B34D0000}"/>
    <cellStyle name="Normal 2 2 2 4 2 19 3 8" xfId="19929" xr:uid="{00000000-0005-0000-0000-0000B44D0000}"/>
    <cellStyle name="Normal 2 2 2 4 2 19 3 9" xfId="19930" xr:uid="{00000000-0005-0000-0000-0000B54D0000}"/>
    <cellStyle name="Normal 2 2 2 4 2 19 4" xfId="19931" xr:uid="{00000000-0005-0000-0000-0000B64D0000}"/>
    <cellStyle name="Normal 2 2 2 4 2 19 4 10" xfId="19932" xr:uid="{00000000-0005-0000-0000-0000B74D0000}"/>
    <cellStyle name="Normal 2 2 2 4 2 19 4 2" xfId="19933" xr:uid="{00000000-0005-0000-0000-0000B84D0000}"/>
    <cellStyle name="Normal 2 2 2 4 2 19 4 3" xfId="19934" xr:uid="{00000000-0005-0000-0000-0000B94D0000}"/>
    <cellStyle name="Normal 2 2 2 4 2 19 4 4" xfId="19935" xr:uid="{00000000-0005-0000-0000-0000BA4D0000}"/>
    <cellStyle name="Normal 2 2 2 4 2 19 4 5" xfId="19936" xr:uid="{00000000-0005-0000-0000-0000BB4D0000}"/>
    <cellStyle name="Normal 2 2 2 4 2 19 4 6" xfId="19937" xr:uid="{00000000-0005-0000-0000-0000BC4D0000}"/>
    <cellStyle name="Normal 2 2 2 4 2 19 4 7" xfId="19938" xr:uid="{00000000-0005-0000-0000-0000BD4D0000}"/>
    <cellStyle name="Normal 2 2 2 4 2 19 4 8" xfId="19939" xr:uid="{00000000-0005-0000-0000-0000BE4D0000}"/>
    <cellStyle name="Normal 2 2 2 4 2 19 4 9" xfId="19940" xr:uid="{00000000-0005-0000-0000-0000BF4D0000}"/>
    <cellStyle name="Normal 2 2 2 4 2 19 5" xfId="19941" xr:uid="{00000000-0005-0000-0000-0000C04D0000}"/>
    <cellStyle name="Normal 2 2 2 4 2 19 5 10" xfId="19942" xr:uid="{00000000-0005-0000-0000-0000C14D0000}"/>
    <cellStyle name="Normal 2 2 2 4 2 19 5 2" xfId="19943" xr:uid="{00000000-0005-0000-0000-0000C24D0000}"/>
    <cellStyle name="Normal 2 2 2 4 2 19 5 3" xfId="19944" xr:uid="{00000000-0005-0000-0000-0000C34D0000}"/>
    <cellStyle name="Normal 2 2 2 4 2 19 5 4" xfId="19945" xr:uid="{00000000-0005-0000-0000-0000C44D0000}"/>
    <cellStyle name="Normal 2 2 2 4 2 19 5 5" xfId="19946" xr:uid="{00000000-0005-0000-0000-0000C54D0000}"/>
    <cellStyle name="Normal 2 2 2 4 2 19 5 6" xfId="19947" xr:uid="{00000000-0005-0000-0000-0000C64D0000}"/>
    <cellStyle name="Normal 2 2 2 4 2 19 5 7" xfId="19948" xr:uid="{00000000-0005-0000-0000-0000C74D0000}"/>
    <cellStyle name="Normal 2 2 2 4 2 19 5 8" xfId="19949" xr:uid="{00000000-0005-0000-0000-0000C84D0000}"/>
    <cellStyle name="Normal 2 2 2 4 2 19 5 9" xfId="19950" xr:uid="{00000000-0005-0000-0000-0000C94D0000}"/>
    <cellStyle name="Normal 2 2 2 4 2 19 6" xfId="19951" xr:uid="{00000000-0005-0000-0000-0000CA4D0000}"/>
    <cellStyle name="Normal 2 2 2 4 2 19 7" xfId="19952" xr:uid="{00000000-0005-0000-0000-0000CB4D0000}"/>
    <cellStyle name="Normal 2 2 2 4 2 19 8" xfId="19953" xr:uid="{00000000-0005-0000-0000-0000CC4D0000}"/>
    <cellStyle name="Normal 2 2 2 4 2 19 9" xfId="19954" xr:uid="{00000000-0005-0000-0000-0000CD4D0000}"/>
    <cellStyle name="Normal 2 2 2 4 2 2" xfId="19955" xr:uid="{00000000-0005-0000-0000-0000CE4D0000}"/>
    <cellStyle name="Normal 2 2 2 4 2 2 10" xfId="19956" xr:uid="{00000000-0005-0000-0000-0000CF4D0000}"/>
    <cellStyle name="Normal 2 2 2 4 2 2 11" xfId="19957" xr:uid="{00000000-0005-0000-0000-0000D04D0000}"/>
    <cellStyle name="Normal 2 2 2 4 2 2 12" xfId="19958" xr:uid="{00000000-0005-0000-0000-0000D14D0000}"/>
    <cellStyle name="Normal 2 2 2 4 2 2 13" xfId="19959" xr:uid="{00000000-0005-0000-0000-0000D24D0000}"/>
    <cellStyle name="Normal 2 2 2 4 2 2 14" xfId="19960" xr:uid="{00000000-0005-0000-0000-0000D34D0000}"/>
    <cellStyle name="Normal 2 2 2 4 2 2 15" xfId="19961" xr:uid="{00000000-0005-0000-0000-0000D44D0000}"/>
    <cellStyle name="Normal 2 2 2 4 2 2 16" xfId="19962" xr:uid="{00000000-0005-0000-0000-0000D54D0000}"/>
    <cellStyle name="Normal 2 2 2 4 2 2 17" xfId="19963" xr:uid="{00000000-0005-0000-0000-0000D64D0000}"/>
    <cellStyle name="Normal 2 2 2 4 2 2 18" xfId="19964" xr:uid="{00000000-0005-0000-0000-0000D74D0000}"/>
    <cellStyle name="Normal 2 2 2 4 2 2 19" xfId="19965" xr:uid="{00000000-0005-0000-0000-0000D84D0000}"/>
    <cellStyle name="Normal 2 2 2 4 2 2 2" xfId="19966" xr:uid="{00000000-0005-0000-0000-0000D94D0000}"/>
    <cellStyle name="Normal 2 2 2 4 2 2 20" xfId="19967" xr:uid="{00000000-0005-0000-0000-0000DA4D0000}"/>
    <cellStyle name="Normal 2 2 2 4 2 2 21" xfId="19968" xr:uid="{00000000-0005-0000-0000-0000DB4D0000}"/>
    <cellStyle name="Normal 2 2 2 4 2 2 21 10" xfId="19969" xr:uid="{00000000-0005-0000-0000-0000DC4D0000}"/>
    <cellStyle name="Normal 2 2 2 4 2 2 21 2" xfId="19970" xr:uid="{00000000-0005-0000-0000-0000DD4D0000}"/>
    <cellStyle name="Normal 2 2 2 4 2 2 21 3" xfId="19971" xr:uid="{00000000-0005-0000-0000-0000DE4D0000}"/>
    <cellStyle name="Normal 2 2 2 4 2 2 21 4" xfId="19972" xr:uid="{00000000-0005-0000-0000-0000DF4D0000}"/>
    <cellStyle name="Normal 2 2 2 4 2 2 21 5" xfId="19973" xr:uid="{00000000-0005-0000-0000-0000E04D0000}"/>
    <cellStyle name="Normal 2 2 2 4 2 2 21 6" xfId="19974" xr:uid="{00000000-0005-0000-0000-0000E14D0000}"/>
    <cellStyle name="Normal 2 2 2 4 2 2 21 7" xfId="19975" xr:uid="{00000000-0005-0000-0000-0000E24D0000}"/>
    <cellStyle name="Normal 2 2 2 4 2 2 21 8" xfId="19976" xr:uid="{00000000-0005-0000-0000-0000E34D0000}"/>
    <cellStyle name="Normal 2 2 2 4 2 2 21 9" xfId="19977" xr:uid="{00000000-0005-0000-0000-0000E44D0000}"/>
    <cellStyle name="Normal 2 2 2 4 2 2 22" xfId="19978" xr:uid="{00000000-0005-0000-0000-0000E54D0000}"/>
    <cellStyle name="Normal 2 2 2 4 2 2 22 10" xfId="19979" xr:uid="{00000000-0005-0000-0000-0000E64D0000}"/>
    <cellStyle name="Normal 2 2 2 4 2 2 22 2" xfId="19980" xr:uid="{00000000-0005-0000-0000-0000E74D0000}"/>
    <cellStyle name="Normal 2 2 2 4 2 2 22 3" xfId="19981" xr:uid="{00000000-0005-0000-0000-0000E84D0000}"/>
    <cellStyle name="Normal 2 2 2 4 2 2 22 4" xfId="19982" xr:uid="{00000000-0005-0000-0000-0000E94D0000}"/>
    <cellStyle name="Normal 2 2 2 4 2 2 22 5" xfId="19983" xr:uid="{00000000-0005-0000-0000-0000EA4D0000}"/>
    <cellStyle name="Normal 2 2 2 4 2 2 22 6" xfId="19984" xr:uid="{00000000-0005-0000-0000-0000EB4D0000}"/>
    <cellStyle name="Normal 2 2 2 4 2 2 22 7" xfId="19985" xr:uid="{00000000-0005-0000-0000-0000EC4D0000}"/>
    <cellStyle name="Normal 2 2 2 4 2 2 22 8" xfId="19986" xr:uid="{00000000-0005-0000-0000-0000ED4D0000}"/>
    <cellStyle name="Normal 2 2 2 4 2 2 22 9" xfId="19987" xr:uid="{00000000-0005-0000-0000-0000EE4D0000}"/>
    <cellStyle name="Normal 2 2 2 4 2 2 23" xfId="19988" xr:uid="{00000000-0005-0000-0000-0000EF4D0000}"/>
    <cellStyle name="Normal 2 2 2 4 2 2 23 10" xfId="19989" xr:uid="{00000000-0005-0000-0000-0000F04D0000}"/>
    <cellStyle name="Normal 2 2 2 4 2 2 23 2" xfId="19990" xr:uid="{00000000-0005-0000-0000-0000F14D0000}"/>
    <cellStyle name="Normal 2 2 2 4 2 2 23 3" xfId="19991" xr:uid="{00000000-0005-0000-0000-0000F24D0000}"/>
    <cellStyle name="Normal 2 2 2 4 2 2 23 4" xfId="19992" xr:uid="{00000000-0005-0000-0000-0000F34D0000}"/>
    <cellStyle name="Normal 2 2 2 4 2 2 23 5" xfId="19993" xr:uid="{00000000-0005-0000-0000-0000F44D0000}"/>
    <cellStyle name="Normal 2 2 2 4 2 2 23 6" xfId="19994" xr:uid="{00000000-0005-0000-0000-0000F54D0000}"/>
    <cellStyle name="Normal 2 2 2 4 2 2 23 7" xfId="19995" xr:uid="{00000000-0005-0000-0000-0000F64D0000}"/>
    <cellStyle name="Normal 2 2 2 4 2 2 23 8" xfId="19996" xr:uid="{00000000-0005-0000-0000-0000F74D0000}"/>
    <cellStyle name="Normal 2 2 2 4 2 2 23 9" xfId="19997" xr:uid="{00000000-0005-0000-0000-0000F84D0000}"/>
    <cellStyle name="Normal 2 2 2 4 2 2 24" xfId="19998" xr:uid="{00000000-0005-0000-0000-0000F94D0000}"/>
    <cellStyle name="Normal 2 2 2 4 2 2 24 10" xfId="19999" xr:uid="{00000000-0005-0000-0000-0000FA4D0000}"/>
    <cellStyle name="Normal 2 2 2 4 2 2 24 2" xfId="20000" xr:uid="{00000000-0005-0000-0000-0000FB4D0000}"/>
    <cellStyle name="Normal 2 2 2 4 2 2 24 3" xfId="20001" xr:uid="{00000000-0005-0000-0000-0000FC4D0000}"/>
    <cellStyle name="Normal 2 2 2 4 2 2 24 4" xfId="20002" xr:uid="{00000000-0005-0000-0000-0000FD4D0000}"/>
    <cellStyle name="Normal 2 2 2 4 2 2 24 5" xfId="20003" xr:uid="{00000000-0005-0000-0000-0000FE4D0000}"/>
    <cellStyle name="Normal 2 2 2 4 2 2 24 6" xfId="20004" xr:uid="{00000000-0005-0000-0000-0000FF4D0000}"/>
    <cellStyle name="Normal 2 2 2 4 2 2 24 7" xfId="20005" xr:uid="{00000000-0005-0000-0000-0000004E0000}"/>
    <cellStyle name="Normal 2 2 2 4 2 2 24 8" xfId="20006" xr:uid="{00000000-0005-0000-0000-0000014E0000}"/>
    <cellStyle name="Normal 2 2 2 4 2 2 24 9" xfId="20007" xr:uid="{00000000-0005-0000-0000-0000024E0000}"/>
    <cellStyle name="Normal 2 2 2 4 2 2 25" xfId="20008" xr:uid="{00000000-0005-0000-0000-0000034E0000}"/>
    <cellStyle name="Normal 2 2 2 4 2 2 26" xfId="20009" xr:uid="{00000000-0005-0000-0000-0000044E0000}"/>
    <cellStyle name="Normal 2 2 2 4 2 2 27" xfId="20010" xr:uid="{00000000-0005-0000-0000-0000054E0000}"/>
    <cellStyle name="Normal 2 2 2 4 2 2 28" xfId="20011" xr:uid="{00000000-0005-0000-0000-0000064E0000}"/>
    <cellStyle name="Normal 2 2 2 4 2 2 29" xfId="20012" xr:uid="{00000000-0005-0000-0000-0000074E0000}"/>
    <cellStyle name="Normal 2 2 2 4 2 2 3" xfId="20013" xr:uid="{00000000-0005-0000-0000-0000084E0000}"/>
    <cellStyle name="Normal 2 2 2 4 2 2 30" xfId="20014" xr:uid="{00000000-0005-0000-0000-0000094E0000}"/>
    <cellStyle name="Normal 2 2 2 4 2 2 31" xfId="20015" xr:uid="{00000000-0005-0000-0000-00000A4E0000}"/>
    <cellStyle name="Normal 2 2 2 4 2 2 32" xfId="20016" xr:uid="{00000000-0005-0000-0000-00000B4E0000}"/>
    <cellStyle name="Normal 2 2 2 4 2 2 33" xfId="20017" xr:uid="{00000000-0005-0000-0000-00000C4E0000}"/>
    <cellStyle name="Normal 2 2 2 4 2 2 34" xfId="20018" xr:uid="{00000000-0005-0000-0000-00000D4E0000}"/>
    <cellStyle name="Normal 2 2 2 4 2 2 35" xfId="20019" xr:uid="{00000000-0005-0000-0000-00000E4E0000}"/>
    <cellStyle name="Normal 2 2 2 4 2 2 4" xfId="20020" xr:uid="{00000000-0005-0000-0000-00000F4E0000}"/>
    <cellStyle name="Normal 2 2 2 4 2 2 5" xfId="20021" xr:uid="{00000000-0005-0000-0000-0000104E0000}"/>
    <cellStyle name="Normal 2 2 2 4 2 2 6" xfId="20022" xr:uid="{00000000-0005-0000-0000-0000114E0000}"/>
    <cellStyle name="Normal 2 2 2 4 2 2 7" xfId="20023" xr:uid="{00000000-0005-0000-0000-0000124E0000}"/>
    <cellStyle name="Normal 2 2 2 4 2 2 8" xfId="20024" xr:uid="{00000000-0005-0000-0000-0000134E0000}"/>
    <cellStyle name="Normal 2 2 2 4 2 2 9" xfId="20025" xr:uid="{00000000-0005-0000-0000-0000144E0000}"/>
    <cellStyle name="Normal 2 2 2 4 2 20" xfId="20026" xr:uid="{00000000-0005-0000-0000-0000154E0000}"/>
    <cellStyle name="Normal 2 2 2 4 2 20 10" xfId="20027" xr:uid="{00000000-0005-0000-0000-0000164E0000}"/>
    <cellStyle name="Normal 2 2 2 4 2 20 11" xfId="20028" xr:uid="{00000000-0005-0000-0000-0000174E0000}"/>
    <cellStyle name="Normal 2 2 2 4 2 20 12" xfId="20029" xr:uid="{00000000-0005-0000-0000-0000184E0000}"/>
    <cellStyle name="Normal 2 2 2 4 2 20 13" xfId="20030" xr:uid="{00000000-0005-0000-0000-0000194E0000}"/>
    <cellStyle name="Normal 2 2 2 4 2 20 14" xfId="20031" xr:uid="{00000000-0005-0000-0000-00001A4E0000}"/>
    <cellStyle name="Normal 2 2 2 4 2 20 2" xfId="20032" xr:uid="{00000000-0005-0000-0000-00001B4E0000}"/>
    <cellStyle name="Normal 2 2 2 4 2 20 2 10" xfId="20033" xr:uid="{00000000-0005-0000-0000-00001C4E0000}"/>
    <cellStyle name="Normal 2 2 2 4 2 20 2 2" xfId="20034" xr:uid="{00000000-0005-0000-0000-00001D4E0000}"/>
    <cellStyle name="Normal 2 2 2 4 2 20 2 3" xfId="20035" xr:uid="{00000000-0005-0000-0000-00001E4E0000}"/>
    <cellStyle name="Normal 2 2 2 4 2 20 2 4" xfId="20036" xr:uid="{00000000-0005-0000-0000-00001F4E0000}"/>
    <cellStyle name="Normal 2 2 2 4 2 20 2 5" xfId="20037" xr:uid="{00000000-0005-0000-0000-0000204E0000}"/>
    <cellStyle name="Normal 2 2 2 4 2 20 2 6" xfId="20038" xr:uid="{00000000-0005-0000-0000-0000214E0000}"/>
    <cellStyle name="Normal 2 2 2 4 2 20 2 7" xfId="20039" xr:uid="{00000000-0005-0000-0000-0000224E0000}"/>
    <cellStyle name="Normal 2 2 2 4 2 20 2 8" xfId="20040" xr:uid="{00000000-0005-0000-0000-0000234E0000}"/>
    <cellStyle name="Normal 2 2 2 4 2 20 2 9" xfId="20041" xr:uid="{00000000-0005-0000-0000-0000244E0000}"/>
    <cellStyle name="Normal 2 2 2 4 2 20 3" xfId="20042" xr:uid="{00000000-0005-0000-0000-0000254E0000}"/>
    <cellStyle name="Normal 2 2 2 4 2 20 3 10" xfId="20043" xr:uid="{00000000-0005-0000-0000-0000264E0000}"/>
    <cellStyle name="Normal 2 2 2 4 2 20 3 2" xfId="20044" xr:uid="{00000000-0005-0000-0000-0000274E0000}"/>
    <cellStyle name="Normal 2 2 2 4 2 20 3 3" xfId="20045" xr:uid="{00000000-0005-0000-0000-0000284E0000}"/>
    <cellStyle name="Normal 2 2 2 4 2 20 3 4" xfId="20046" xr:uid="{00000000-0005-0000-0000-0000294E0000}"/>
    <cellStyle name="Normal 2 2 2 4 2 20 3 5" xfId="20047" xr:uid="{00000000-0005-0000-0000-00002A4E0000}"/>
    <cellStyle name="Normal 2 2 2 4 2 20 3 6" xfId="20048" xr:uid="{00000000-0005-0000-0000-00002B4E0000}"/>
    <cellStyle name="Normal 2 2 2 4 2 20 3 7" xfId="20049" xr:uid="{00000000-0005-0000-0000-00002C4E0000}"/>
    <cellStyle name="Normal 2 2 2 4 2 20 3 8" xfId="20050" xr:uid="{00000000-0005-0000-0000-00002D4E0000}"/>
    <cellStyle name="Normal 2 2 2 4 2 20 3 9" xfId="20051" xr:uid="{00000000-0005-0000-0000-00002E4E0000}"/>
    <cellStyle name="Normal 2 2 2 4 2 20 4" xfId="20052" xr:uid="{00000000-0005-0000-0000-00002F4E0000}"/>
    <cellStyle name="Normal 2 2 2 4 2 20 4 10" xfId="20053" xr:uid="{00000000-0005-0000-0000-0000304E0000}"/>
    <cellStyle name="Normal 2 2 2 4 2 20 4 2" xfId="20054" xr:uid="{00000000-0005-0000-0000-0000314E0000}"/>
    <cellStyle name="Normal 2 2 2 4 2 20 4 3" xfId="20055" xr:uid="{00000000-0005-0000-0000-0000324E0000}"/>
    <cellStyle name="Normal 2 2 2 4 2 20 4 4" xfId="20056" xr:uid="{00000000-0005-0000-0000-0000334E0000}"/>
    <cellStyle name="Normal 2 2 2 4 2 20 4 5" xfId="20057" xr:uid="{00000000-0005-0000-0000-0000344E0000}"/>
    <cellStyle name="Normal 2 2 2 4 2 20 4 6" xfId="20058" xr:uid="{00000000-0005-0000-0000-0000354E0000}"/>
    <cellStyle name="Normal 2 2 2 4 2 20 4 7" xfId="20059" xr:uid="{00000000-0005-0000-0000-0000364E0000}"/>
    <cellStyle name="Normal 2 2 2 4 2 20 4 8" xfId="20060" xr:uid="{00000000-0005-0000-0000-0000374E0000}"/>
    <cellStyle name="Normal 2 2 2 4 2 20 4 9" xfId="20061" xr:uid="{00000000-0005-0000-0000-0000384E0000}"/>
    <cellStyle name="Normal 2 2 2 4 2 20 5" xfId="20062" xr:uid="{00000000-0005-0000-0000-0000394E0000}"/>
    <cellStyle name="Normal 2 2 2 4 2 20 5 10" xfId="20063" xr:uid="{00000000-0005-0000-0000-00003A4E0000}"/>
    <cellStyle name="Normal 2 2 2 4 2 20 5 2" xfId="20064" xr:uid="{00000000-0005-0000-0000-00003B4E0000}"/>
    <cellStyle name="Normal 2 2 2 4 2 20 5 3" xfId="20065" xr:uid="{00000000-0005-0000-0000-00003C4E0000}"/>
    <cellStyle name="Normal 2 2 2 4 2 20 5 4" xfId="20066" xr:uid="{00000000-0005-0000-0000-00003D4E0000}"/>
    <cellStyle name="Normal 2 2 2 4 2 20 5 5" xfId="20067" xr:uid="{00000000-0005-0000-0000-00003E4E0000}"/>
    <cellStyle name="Normal 2 2 2 4 2 20 5 6" xfId="20068" xr:uid="{00000000-0005-0000-0000-00003F4E0000}"/>
    <cellStyle name="Normal 2 2 2 4 2 20 5 7" xfId="20069" xr:uid="{00000000-0005-0000-0000-0000404E0000}"/>
    <cellStyle name="Normal 2 2 2 4 2 20 5 8" xfId="20070" xr:uid="{00000000-0005-0000-0000-0000414E0000}"/>
    <cellStyle name="Normal 2 2 2 4 2 20 5 9" xfId="20071" xr:uid="{00000000-0005-0000-0000-0000424E0000}"/>
    <cellStyle name="Normal 2 2 2 4 2 20 6" xfId="20072" xr:uid="{00000000-0005-0000-0000-0000434E0000}"/>
    <cellStyle name="Normal 2 2 2 4 2 20 7" xfId="20073" xr:uid="{00000000-0005-0000-0000-0000444E0000}"/>
    <cellStyle name="Normal 2 2 2 4 2 20 8" xfId="20074" xr:uid="{00000000-0005-0000-0000-0000454E0000}"/>
    <cellStyle name="Normal 2 2 2 4 2 20 9" xfId="20075" xr:uid="{00000000-0005-0000-0000-0000464E0000}"/>
    <cellStyle name="Normal 2 2 2 4 2 21" xfId="20076" xr:uid="{00000000-0005-0000-0000-0000474E0000}"/>
    <cellStyle name="Normal 2 2 2 4 2 22" xfId="20077" xr:uid="{00000000-0005-0000-0000-0000484E0000}"/>
    <cellStyle name="Normal 2 2 2 4 2 3" xfId="20078" xr:uid="{00000000-0005-0000-0000-0000494E0000}"/>
    <cellStyle name="Normal 2 2 2 4 2 3 10" xfId="20079" xr:uid="{00000000-0005-0000-0000-00004A4E0000}"/>
    <cellStyle name="Normal 2 2 2 4 2 3 11" xfId="20080" xr:uid="{00000000-0005-0000-0000-00004B4E0000}"/>
    <cellStyle name="Normal 2 2 2 4 2 3 12" xfId="20081" xr:uid="{00000000-0005-0000-0000-00004C4E0000}"/>
    <cellStyle name="Normal 2 2 2 4 2 3 13" xfId="20082" xr:uid="{00000000-0005-0000-0000-00004D4E0000}"/>
    <cellStyle name="Normal 2 2 2 4 2 3 14" xfId="20083" xr:uid="{00000000-0005-0000-0000-00004E4E0000}"/>
    <cellStyle name="Normal 2 2 2 4 2 3 2" xfId="20084" xr:uid="{00000000-0005-0000-0000-00004F4E0000}"/>
    <cellStyle name="Normal 2 2 2 4 2 3 2 10" xfId="20085" xr:uid="{00000000-0005-0000-0000-0000504E0000}"/>
    <cellStyle name="Normal 2 2 2 4 2 3 2 2" xfId="20086" xr:uid="{00000000-0005-0000-0000-0000514E0000}"/>
    <cellStyle name="Normal 2 2 2 4 2 3 2 3" xfId="20087" xr:uid="{00000000-0005-0000-0000-0000524E0000}"/>
    <cellStyle name="Normal 2 2 2 4 2 3 2 4" xfId="20088" xr:uid="{00000000-0005-0000-0000-0000534E0000}"/>
    <cellStyle name="Normal 2 2 2 4 2 3 2 5" xfId="20089" xr:uid="{00000000-0005-0000-0000-0000544E0000}"/>
    <cellStyle name="Normal 2 2 2 4 2 3 2 6" xfId="20090" xr:uid="{00000000-0005-0000-0000-0000554E0000}"/>
    <cellStyle name="Normal 2 2 2 4 2 3 2 7" xfId="20091" xr:uid="{00000000-0005-0000-0000-0000564E0000}"/>
    <cellStyle name="Normal 2 2 2 4 2 3 2 8" xfId="20092" xr:uid="{00000000-0005-0000-0000-0000574E0000}"/>
    <cellStyle name="Normal 2 2 2 4 2 3 2 9" xfId="20093" xr:uid="{00000000-0005-0000-0000-0000584E0000}"/>
    <cellStyle name="Normal 2 2 2 4 2 3 3" xfId="20094" xr:uid="{00000000-0005-0000-0000-0000594E0000}"/>
    <cellStyle name="Normal 2 2 2 4 2 3 3 10" xfId="20095" xr:uid="{00000000-0005-0000-0000-00005A4E0000}"/>
    <cellStyle name="Normal 2 2 2 4 2 3 3 2" xfId="20096" xr:uid="{00000000-0005-0000-0000-00005B4E0000}"/>
    <cellStyle name="Normal 2 2 2 4 2 3 3 3" xfId="20097" xr:uid="{00000000-0005-0000-0000-00005C4E0000}"/>
    <cellStyle name="Normal 2 2 2 4 2 3 3 4" xfId="20098" xr:uid="{00000000-0005-0000-0000-00005D4E0000}"/>
    <cellStyle name="Normal 2 2 2 4 2 3 3 5" xfId="20099" xr:uid="{00000000-0005-0000-0000-00005E4E0000}"/>
    <cellStyle name="Normal 2 2 2 4 2 3 3 6" xfId="20100" xr:uid="{00000000-0005-0000-0000-00005F4E0000}"/>
    <cellStyle name="Normal 2 2 2 4 2 3 3 7" xfId="20101" xr:uid="{00000000-0005-0000-0000-0000604E0000}"/>
    <cellStyle name="Normal 2 2 2 4 2 3 3 8" xfId="20102" xr:uid="{00000000-0005-0000-0000-0000614E0000}"/>
    <cellStyle name="Normal 2 2 2 4 2 3 3 9" xfId="20103" xr:uid="{00000000-0005-0000-0000-0000624E0000}"/>
    <cellStyle name="Normal 2 2 2 4 2 3 4" xfId="20104" xr:uid="{00000000-0005-0000-0000-0000634E0000}"/>
    <cellStyle name="Normal 2 2 2 4 2 3 4 10" xfId="20105" xr:uid="{00000000-0005-0000-0000-0000644E0000}"/>
    <cellStyle name="Normal 2 2 2 4 2 3 4 2" xfId="20106" xr:uid="{00000000-0005-0000-0000-0000654E0000}"/>
    <cellStyle name="Normal 2 2 2 4 2 3 4 3" xfId="20107" xr:uid="{00000000-0005-0000-0000-0000664E0000}"/>
    <cellStyle name="Normal 2 2 2 4 2 3 4 4" xfId="20108" xr:uid="{00000000-0005-0000-0000-0000674E0000}"/>
    <cellStyle name="Normal 2 2 2 4 2 3 4 5" xfId="20109" xr:uid="{00000000-0005-0000-0000-0000684E0000}"/>
    <cellStyle name="Normal 2 2 2 4 2 3 4 6" xfId="20110" xr:uid="{00000000-0005-0000-0000-0000694E0000}"/>
    <cellStyle name="Normal 2 2 2 4 2 3 4 7" xfId="20111" xr:uid="{00000000-0005-0000-0000-00006A4E0000}"/>
    <cellStyle name="Normal 2 2 2 4 2 3 4 8" xfId="20112" xr:uid="{00000000-0005-0000-0000-00006B4E0000}"/>
    <cellStyle name="Normal 2 2 2 4 2 3 4 9" xfId="20113" xr:uid="{00000000-0005-0000-0000-00006C4E0000}"/>
    <cellStyle name="Normal 2 2 2 4 2 3 5" xfId="20114" xr:uid="{00000000-0005-0000-0000-00006D4E0000}"/>
    <cellStyle name="Normal 2 2 2 4 2 3 5 10" xfId="20115" xr:uid="{00000000-0005-0000-0000-00006E4E0000}"/>
    <cellStyle name="Normal 2 2 2 4 2 3 5 2" xfId="20116" xr:uid="{00000000-0005-0000-0000-00006F4E0000}"/>
    <cellStyle name="Normal 2 2 2 4 2 3 5 3" xfId="20117" xr:uid="{00000000-0005-0000-0000-0000704E0000}"/>
    <cellStyle name="Normal 2 2 2 4 2 3 5 4" xfId="20118" xr:uid="{00000000-0005-0000-0000-0000714E0000}"/>
    <cellStyle name="Normal 2 2 2 4 2 3 5 5" xfId="20119" xr:uid="{00000000-0005-0000-0000-0000724E0000}"/>
    <cellStyle name="Normal 2 2 2 4 2 3 5 6" xfId="20120" xr:uid="{00000000-0005-0000-0000-0000734E0000}"/>
    <cellStyle name="Normal 2 2 2 4 2 3 5 7" xfId="20121" xr:uid="{00000000-0005-0000-0000-0000744E0000}"/>
    <cellStyle name="Normal 2 2 2 4 2 3 5 8" xfId="20122" xr:uid="{00000000-0005-0000-0000-0000754E0000}"/>
    <cellStyle name="Normal 2 2 2 4 2 3 5 9" xfId="20123" xr:uid="{00000000-0005-0000-0000-0000764E0000}"/>
    <cellStyle name="Normal 2 2 2 4 2 3 6" xfId="20124" xr:uid="{00000000-0005-0000-0000-0000774E0000}"/>
    <cellStyle name="Normal 2 2 2 4 2 3 7" xfId="20125" xr:uid="{00000000-0005-0000-0000-0000784E0000}"/>
    <cellStyle name="Normal 2 2 2 4 2 3 8" xfId="20126" xr:uid="{00000000-0005-0000-0000-0000794E0000}"/>
    <cellStyle name="Normal 2 2 2 4 2 3 9" xfId="20127" xr:uid="{00000000-0005-0000-0000-00007A4E0000}"/>
    <cellStyle name="Normal 2 2 2 4 2 4" xfId="20128" xr:uid="{00000000-0005-0000-0000-00007B4E0000}"/>
    <cellStyle name="Normal 2 2 2 4 2 4 10" xfId="20129" xr:uid="{00000000-0005-0000-0000-00007C4E0000}"/>
    <cellStyle name="Normal 2 2 2 4 2 4 11" xfId="20130" xr:uid="{00000000-0005-0000-0000-00007D4E0000}"/>
    <cellStyle name="Normal 2 2 2 4 2 4 12" xfId="20131" xr:uid="{00000000-0005-0000-0000-00007E4E0000}"/>
    <cellStyle name="Normal 2 2 2 4 2 4 13" xfId="20132" xr:uid="{00000000-0005-0000-0000-00007F4E0000}"/>
    <cellStyle name="Normal 2 2 2 4 2 4 14" xfId="20133" xr:uid="{00000000-0005-0000-0000-0000804E0000}"/>
    <cellStyle name="Normal 2 2 2 4 2 4 2" xfId="20134" xr:uid="{00000000-0005-0000-0000-0000814E0000}"/>
    <cellStyle name="Normal 2 2 2 4 2 4 2 10" xfId="20135" xr:uid="{00000000-0005-0000-0000-0000824E0000}"/>
    <cellStyle name="Normal 2 2 2 4 2 4 2 2" xfId="20136" xr:uid="{00000000-0005-0000-0000-0000834E0000}"/>
    <cellStyle name="Normal 2 2 2 4 2 4 2 3" xfId="20137" xr:uid="{00000000-0005-0000-0000-0000844E0000}"/>
    <cellStyle name="Normal 2 2 2 4 2 4 2 4" xfId="20138" xr:uid="{00000000-0005-0000-0000-0000854E0000}"/>
    <cellStyle name="Normal 2 2 2 4 2 4 2 5" xfId="20139" xr:uid="{00000000-0005-0000-0000-0000864E0000}"/>
    <cellStyle name="Normal 2 2 2 4 2 4 2 6" xfId="20140" xr:uid="{00000000-0005-0000-0000-0000874E0000}"/>
    <cellStyle name="Normal 2 2 2 4 2 4 2 7" xfId="20141" xr:uid="{00000000-0005-0000-0000-0000884E0000}"/>
    <cellStyle name="Normal 2 2 2 4 2 4 2 8" xfId="20142" xr:uid="{00000000-0005-0000-0000-0000894E0000}"/>
    <cellStyle name="Normal 2 2 2 4 2 4 2 9" xfId="20143" xr:uid="{00000000-0005-0000-0000-00008A4E0000}"/>
    <cellStyle name="Normal 2 2 2 4 2 4 3" xfId="20144" xr:uid="{00000000-0005-0000-0000-00008B4E0000}"/>
    <cellStyle name="Normal 2 2 2 4 2 4 3 10" xfId="20145" xr:uid="{00000000-0005-0000-0000-00008C4E0000}"/>
    <cellStyle name="Normal 2 2 2 4 2 4 3 2" xfId="20146" xr:uid="{00000000-0005-0000-0000-00008D4E0000}"/>
    <cellStyle name="Normal 2 2 2 4 2 4 3 3" xfId="20147" xr:uid="{00000000-0005-0000-0000-00008E4E0000}"/>
    <cellStyle name="Normal 2 2 2 4 2 4 3 4" xfId="20148" xr:uid="{00000000-0005-0000-0000-00008F4E0000}"/>
    <cellStyle name="Normal 2 2 2 4 2 4 3 5" xfId="20149" xr:uid="{00000000-0005-0000-0000-0000904E0000}"/>
    <cellStyle name="Normal 2 2 2 4 2 4 3 6" xfId="20150" xr:uid="{00000000-0005-0000-0000-0000914E0000}"/>
    <cellStyle name="Normal 2 2 2 4 2 4 3 7" xfId="20151" xr:uid="{00000000-0005-0000-0000-0000924E0000}"/>
    <cellStyle name="Normal 2 2 2 4 2 4 3 8" xfId="20152" xr:uid="{00000000-0005-0000-0000-0000934E0000}"/>
    <cellStyle name="Normal 2 2 2 4 2 4 3 9" xfId="20153" xr:uid="{00000000-0005-0000-0000-0000944E0000}"/>
    <cellStyle name="Normal 2 2 2 4 2 4 4" xfId="20154" xr:uid="{00000000-0005-0000-0000-0000954E0000}"/>
    <cellStyle name="Normal 2 2 2 4 2 4 4 10" xfId="20155" xr:uid="{00000000-0005-0000-0000-0000964E0000}"/>
    <cellStyle name="Normal 2 2 2 4 2 4 4 2" xfId="20156" xr:uid="{00000000-0005-0000-0000-0000974E0000}"/>
    <cellStyle name="Normal 2 2 2 4 2 4 4 3" xfId="20157" xr:uid="{00000000-0005-0000-0000-0000984E0000}"/>
    <cellStyle name="Normal 2 2 2 4 2 4 4 4" xfId="20158" xr:uid="{00000000-0005-0000-0000-0000994E0000}"/>
    <cellStyle name="Normal 2 2 2 4 2 4 4 5" xfId="20159" xr:uid="{00000000-0005-0000-0000-00009A4E0000}"/>
    <cellStyle name="Normal 2 2 2 4 2 4 4 6" xfId="20160" xr:uid="{00000000-0005-0000-0000-00009B4E0000}"/>
    <cellStyle name="Normal 2 2 2 4 2 4 4 7" xfId="20161" xr:uid="{00000000-0005-0000-0000-00009C4E0000}"/>
    <cellStyle name="Normal 2 2 2 4 2 4 4 8" xfId="20162" xr:uid="{00000000-0005-0000-0000-00009D4E0000}"/>
    <cellStyle name="Normal 2 2 2 4 2 4 4 9" xfId="20163" xr:uid="{00000000-0005-0000-0000-00009E4E0000}"/>
    <cellStyle name="Normal 2 2 2 4 2 4 5" xfId="20164" xr:uid="{00000000-0005-0000-0000-00009F4E0000}"/>
    <cellStyle name="Normal 2 2 2 4 2 4 5 10" xfId="20165" xr:uid="{00000000-0005-0000-0000-0000A04E0000}"/>
    <cellStyle name="Normal 2 2 2 4 2 4 5 2" xfId="20166" xr:uid="{00000000-0005-0000-0000-0000A14E0000}"/>
    <cellStyle name="Normal 2 2 2 4 2 4 5 3" xfId="20167" xr:uid="{00000000-0005-0000-0000-0000A24E0000}"/>
    <cellStyle name="Normal 2 2 2 4 2 4 5 4" xfId="20168" xr:uid="{00000000-0005-0000-0000-0000A34E0000}"/>
    <cellStyle name="Normal 2 2 2 4 2 4 5 5" xfId="20169" xr:uid="{00000000-0005-0000-0000-0000A44E0000}"/>
    <cellStyle name="Normal 2 2 2 4 2 4 5 6" xfId="20170" xr:uid="{00000000-0005-0000-0000-0000A54E0000}"/>
    <cellStyle name="Normal 2 2 2 4 2 4 5 7" xfId="20171" xr:uid="{00000000-0005-0000-0000-0000A64E0000}"/>
    <cellStyle name="Normal 2 2 2 4 2 4 5 8" xfId="20172" xr:uid="{00000000-0005-0000-0000-0000A74E0000}"/>
    <cellStyle name="Normal 2 2 2 4 2 4 5 9" xfId="20173" xr:uid="{00000000-0005-0000-0000-0000A84E0000}"/>
    <cellStyle name="Normal 2 2 2 4 2 4 6" xfId="20174" xr:uid="{00000000-0005-0000-0000-0000A94E0000}"/>
    <cellStyle name="Normal 2 2 2 4 2 4 7" xfId="20175" xr:uid="{00000000-0005-0000-0000-0000AA4E0000}"/>
    <cellStyle name="Normal 2 2 2 4 2 4 8" xfId="20176" xr:uid="{00000000-0005-0000-0000-0000AB4E0000}"/>
    <cellStyle name="Normal 2 2 2 4 2 4 9" xfId="20177" xr:uid="{00000000-0005-0000-0000-0000AC4E0000}"/>
    <cellStyle name="Normal 2 2 2 4 2 5" xfId="20178" xr:uid="{00000000-0005-0000-0000-0000AD4E0000}"/>
    <cellStyle name="Normal 2 2 2 4 2 5 10" xfId="20179" xr:uid="{00000000-0005-0000-0000-0000AE4E0000}"/>
    <cellStyle name="Normal 2 2 2 4 2 5 11" xfId="20180" xr:uid="{00000000-0005-0000-0000-0000AF4E0000}"/>
    <cellStyle name="Normal 2 2 2 4 2 5 12" xfId="20181" xr:uid="{00000000-0005-0000-0000-0000B04E0000}"/>
    <cellStyle name="Normal 2 2 2 4 2 5 13" xfId="20182" xr:uid="{00000000-0005-0000-0000-0000B14E0000}"/>
    <cellStyle name="Normal 2 2 2 4 2 5 14" xfId="20183" xr:uid="{00000000-0005-0000-0000-0000B24E0000}"/>
    <cellStyle name="Normal 2 2 2 4 2 5 2" xfId="20184" xr:uid="{00000000-0005-0000-0000-0000B34E0000}"/>
    <cellStyle name="Normal 2 2 2 4 2 5 2 10" xfId="20185" xr:uid="{00000000-0005-0000-0000-0000B44E0000}"/>
    <cellStyle name="Normal 2 2 2 4 2 5 2 2" xfId="20186" xr:uid="{00000000-0005-0000-0000-0000B54E0000}"/>
    <cellStyle name="Normal 2 2 2 4 2 5 2 3" xfId="20187" xr:uid="{00000000-0005-0000-0000-0000B64E0000}"/>
    <cellStyle name="Normal 2 2 2 4 2 5 2 4" xfId="20188" xr:uid="{00000000-0005-0000-0000-0000B74E0000}"/>
    <cellStyle name="Normal 2 2 2 4 2 5 2 5" xfId="20189" xr:uid="{00000000-0005-0000-0000-0000B84E0000}"/>
    <cellStyle name="Normal 2 2 2 4 2 5 2 6" xfId="20190" xr:uid="{00000000-0005-0000-0000-0000B94E0000}"/>
    <cellStyle name="Normal 2 2 2 4 2 5 2 7" xfId="20191" xr:uid="{00000000-0005-0000-0000-0000BA4E0000}"/>
    <cellStyle name="Normal 2 2 2 4 2 5 2 8" xfId="20192" xr:uid="{00000000-0005-0000-0000-0000BB4E0000}"/>
    <cellStyle name="Normal 2 2 2 4 2 5 2 9" xfId="20193" xr:uid="{00000000-0005-0000-0000-0000BC4E0000}"/>
    <cellStyle name="Normal 2 2 2 4 2 5 3" xfId="20194" xr:uid="{00000000-0005-0000-0000-0000BD4E0000}"/>
    <cellStyle name="Normal 2 2 2 4 2 5 3 10" xfId="20195" xr:uid="{00000000-0005-0000-0000-0000BE4E0000}"/>
    <cellStyle name="Normal 2 2 2 4 2 5 3 2" xfId="20196" xr:uid="{00000000-0005-0000-0000-0000BF4E0000}"/>
    <cellStyle name="Normal 2 2 2 4 2 5 3 3" xfId="20197" xr:uid="{00000000-0005-0000-0000-0000C04E0000}"/>
    <cellStyle name="Normal 2 2 2 4 2 5 3 4" xfId="20198" xr:uid="{00000000-0005-0000-0000-0000C14E0000}"/>
    <cellStyle name="Normal 2 2 2 4 2 5 3 5" xfId="20199" xr:uid="{00000000-0005-0000-0000-0000C24E0000}"/>
    <cellStyle name="Normal 2 2 2 4 2 5 3 6" xfId="20200" xr:uid="{00000000-0005-0000-0000-0000C34E0000}"/>
    <cellStyle name="Normal 2 2 2 4 2 5 3 7" xfId="20201" xr:uid="{00000000-0005-0000-0000-0000C44E0000}"/>
    <cellStyle name="Normal 2 2 2 4 2 5 3 8" xfId="20202" xr:uid="{00000000-0005-0000-0000-0000C54E0000}"/>
    <cellStyle name="Normal 2 2 2 4 2 5 3 9" xfId="20203" xr:uid="{00000000-0005-0000-0000-0000C64E0000}"/>
    <cellStyle name="Normal 2 2 2 4 2 5 4" xfId="20204" xr:uid="{00000000-0005-0000-0000-0000C74E0000}"/>
    <cellStyle name="Normal 2 2 2 4 2 5 4 10" xfId="20205" xr:uid="{00000000-0005-0000-0000-0000C84E0000}"/>
    <cellStyle name="Normal 2 2 2 4 2 5 4 2" xfId="20206" xr:uid="{00000000-0005-0000-0000-0000C94E0000}"/>
    <cellStyle name="Normal 2 2 2 4 2 5 4 3" xfId="20207" xr:uid="{00000000-0005-0000-0000-0000CA4E0000}"/>
    <cellStyle name="Normal 2 2 2 4 2 5 4 4" xfId="20208" xr:uid="{00000000-0005-0000-0000-0000CB4E0000}"/>
    <cellStyle name="Normal 2 2 2 4 2 5 4 5" xfId="20209" xr:uid="{00000000-0005-0000-0000-0000CC4E0000}"/>
    <cellStyle name="Normal 2 2 2 4 2 5 4 6" xfId="20210" xr:uid="{00000000-0005-0000-0000-0000CD4E0000}"/>
    <cellStyle name="Normal 2 2 2 4 2 5 4 7" xfId="20211" xr:uid="{00000000-0005-0000-0000-0000CE4E0000}"/>
    <cellStyle name="Normal 2 2 2 4 2 5 4 8" xfId="20212" xr:uid="{00000000-0005-0000-0000-0000CF4E0000}"/>
    <cellStyle name="Normal 2 2 2 4 2 5 4 9" xfId="20213" xr:uid="{00000000-0005-0000-0000-0000D04E0000}"/>
    <cellStyle name="Normal 2 2 2 4 2 5 5" xfId="20214" xr:uid="{00000000-0005-0000-0000-0000D14E0000}"/>
    <cellStyle name="Normal 2 2 2 4 2 5 5 10" xfId="20215" xr:uid="{00000000-0005-0000-0000-0000D24E0000}"/>
    <cellStyle name="Normal 2 2 2 4 2 5 5 2" xfId="20216" xr:uid="{00000000-0005-0000-0000-0000D34E0000}"/>
    <cellStyle name="Normal 2 2 2 4 2 5 5 3" xfId="20217" xr:uid="{00000000-0005-0000-0000-0000D44E0000}"/>
    <cellStyle name="Normal 2 2 2 4 2 5 5 4" xfId="20218" xr:uid="{00000000-0005-0000-0000-0000D54E0000}"/>
    <cellStyle name="Normal 2 2 2 4 2 5 5 5" xfId="20219" xr:uid="{00000000-0005-0000-0000-0000D64E0000}"/>
    <cellStyle name="Normal 2 2 2 4 2 5 5 6" xfId="20220" xr:uid="{00000000-0005-0000-0000-0000D74E0000}"/>
    <cellStyle name="Normal 2 2 2 4 2 5 5 7" xfId="20221" xr:uid="{00000000-0005-0000-0000-0000D84E0000}"/>
    <cellStyle name="Normal 2 2 2 4 2 5 5 8" xfId="20222" xr:uid="{00000000-0005-0000-0000-0000D94E0000}"/>
    <cellStyle name="Normal 2 2 2 4 2 5 5 9" xfId="20223" xr:uid="{00000000-0005-0000-0000-0000DA4E0000}"/>
    <cellStyle name="Normal 2 2 2 4 2 5 6" xfId="20224" xr:uid="{00000000-0005-0000-0000-0000DB4E0000}"/>
    <cellStyle name="Normal 2 2 2 4 2 5 7" xfId="20225" xr:uid="{00000000-0005-0000-0000-0000DC4E0000}"/>
    <cellStyle name="Normal 2 2 2 4 2 5 8" xfId="20226" xr:uid="{00000000-0005-0000-0000-0000DD4E0000}"/>
    <cellStyle name="Normal 2 2 2 4 2 5 9" xfId="20227" xr:uid="{00000000-0005-0000-0000-0000DE4E0000}"/>
    <cellStyle name="Normal 2 2 2 4 2 6" xfId="20228" xr:uid="{00000000-0005-0000-0000-0000DF4E0000}"/>
    <cellStyle name="Normal 2 2 2 4 2 6 10" xfId="20229" xr:uid="{00000000-0005-0000-0000-0000E04E0000}"/>
    <cellStyle name="Normal 2 2 2 4 2 6 11" xfId="20230" xr:uid="{00000000-0005-0000-0000-0000E14E0000}"/>
    <cellStyle name="Normal 2 2 2 4 2 6 12" xfId="20231" xr:uid="{00000000-0005-0000-0000-0000E24E0000}"/>
    <cellStyle name="Normal 2 2 2 4 2 6 13" xfId="20232" xr:uid="{00000000-0005-0000-0000-0000E34E0000}"/>
    <cellStyle name="Normal 2 2 2 4 2 6 14" xfId="20233" xr:uid="{00000000-0005-0000-0000-0000E44E0000}"/>
    <cellStyle name="Normal 2 2 2 4 2 6 2" xfId="20234" xr:uid="{00000000-0005-0000-0000-0000E54E0000}"/>
    <cellStyle name="Normal 2 2 2 4 2 6 2 10" xfId="20235" xr:uid="{00000000-0005-0000-0000-0000E64E0000}"/>
    <cellStyle name="Normal 2 2 2 4 2 6 2 2" xfId="20236" xr:uid="{00000000-0005-0000-0000-0000E74E0000}"/>
    <cellStyle name="Normal 2 2 2 4 2 6 2 3" xfId="20237" xr:uid="{00000000-0005-0000-0000-0000E84E0000}"/>
    <cellStyle name="Normal 2 2 2 4 2 6 2 4" xfId="20238" xr:uid="{00000000-0005-0000-0000-0000E94E0000}"/>
    <cellStyle name="Normal 2 2 2 4 2 6 2 5" xfId="20239" xr:uid="{00000000-0005-0000-0000-0000EA4E0000}"/>
    <cellStyle name="Normal 2 2 2 4 2 6 2 6" xfId="20240" xr:uid="{00000000-0005-0000-0000-0000EB4E0000}"/>
    <cellStyle name="Normal 2 2 2 4 2 6 2 7" xfId="20241" xr:uid="{00000000-0005-0000-0000-0000EC4E0000}"/>
    <cellStyle name="Normal 2 2 2 4 2 6 2 8" xfId="20242" xr:uid="{00000000-0005-0000-0000-0000ED4E0000}"/>
    <cellStyle name="Normal 2 2 2 4 2 6 2 9" xfId="20243" xr:uid="{00000000-0005-0000-0000-0000EE4E0000}"/>
    <cellStyle name="Normal 2 2 2 4 2 6 3" xfId="20244" xr:uid="{00000000-0005-0000-0000-0000EF4E0000}"/>
    <cellStyle name="Normal 2 2 2 4 2 6 3 10" xfId="20245" xr:uid="{00000000-0005-0000-0000-0000F04E0000}"/>
    <cellStyle name="Normal 2 2 2 4 2 6 3 2" xfId="20246" xr:uid="{00000000-0005-0000-0000-0000F14E0000}"/>
    <cellStyle name="Normal 2 2 2 4 2 6 3 3" xfId="20247" xr:uid="{00000000-0005-0000-0000-0000F24E0000}"/>
    <cellStyle name="Normal 2 2 2 4 2 6 3 4" xfId="20248" xr:uid="{00000000-0005-0000-0000-0000F34E0000}"/>
    <cellStyle name="Normal 2 2 2 4 2 6 3 5" xfId="20249" xr:uid="{00000000-0005-0000-0000-0000F44E0000}"/>
    <cellStyle name="Normal 2 2 2 4 2 6 3 6" xfId="20250" xr:uid="{00000000-0005-0000-0000-0000F54E0000}"/>
    <cellStyle name="Normal 2 2 2 4 2 6 3 7" xfId="20251" xr:uid="{00000000-0005-0000-0000-0000F64E0000}"/>
    <cellStyle name="Normal 2 2 2 4 2 6 3 8" xfId="20252" xr:uid="{00000000-0005-0000-0000-0000F74E0000}"/>
    <cellStyle name="Normal 2 2 2 4 2 6 3 9" xfId="20253" xr:uid="{00000000-0005-0000-0000-0000F84E0000}"/>
    <cellStyle name="Normal 2 2 2 4 2 6 4" xfId="20254" xr:uid="{00000000-0005-0000-0000-0000F94E0000}"/>
    <cellStyle name="Normal 2 2 2 4 2 6 4 10" xfId="20255" xr:uid="{00000000-0005-0000-0000-0000FA4E0000}"/>
    <cellStyle name="Normal 2 2 2 4 2 6 4 2" xfId="20256" xr:uid="{00000000-0005-0000-0000-0000FB4E0000}"/>
    <cellStyle name="Normal 2 2 2 4 2 6 4 3" xfId="20257" xr:uid="{00000000-0005-0000-0000-0000FC4E0000}"/>
    <cellStyle name="Normal 2 2 2 4 2 6 4 4" xfId="20258" xr:uid="{00000000-0005-0000-0000-0000FD4E0000}"/>
    <cellStyle name="Normal 2 2 2 4 2 6 4 5" xfId="20259" xr:uid="{00000000-0005-0000-0000-0000FE4E0000}"/>
    <cellStyle name="Normal 2 2 2 4 2 6 4 6" xfId="20260" xr:uid="{00000000-0005-0000-0000-0000FF4E0000}"/>
    <cellStyle name="Normal 2 2 2 4 2 6 4 7" xfId="20261" xr:uid="{00000000-0005-0000-0000-0000004F0000}"/>
    <cellStyle name="Normal 2 2 2 4 2 6 4 8" xfId="20262" xr:uid="{00000000-0005-0000-0000-0000014F0000}"/>
    <cellStyle name="Normal 2 2 2 4 2 6 4 9" xfId="20263" xr:uid="{00000000-0005-0000-0000-0000024F0000}"/>
    <cellStyle name="Normal 2 2 2 4 2 6 5" xfId="20264" xr:uid="{00000000-0005-0000-0000-0000034F0000}"/>
    <cellStyle name="Normal 2 2 2 4 2 6 5 10" xfId="20265" xr:uid="{00000000-0005-0000-0000-0000044F0000}"/>
    <cellStyle name="Normal 2 2 2 4 2 6 5 2" xfId="20266" xr:uid="{00000000-0005-0000-0000-0000054F0000}"/>
    <cellStyle name="Normal 2 2 2 4 2 6 5 3" xfId="20267" xr:uid="{00000000-0005-0000-0000-0000064F0000}"/>
    <cellStyle name="Normal 2 2 2 4 2 6 5 4" xfId="20268" xr:uid="{00000000-0005-0000-0000-0000074F0000}"/>
    <cellStyle name="Normal 2 2 2 4 2 6 5 5" xfId="20269" xr:uid="{00000000-0005-0000-0000-0000084F0000}"/>
    <cellStyle name="Normal 2 2 2 4 2 6 5 6" xfId="20270" xr:uid="{00000000-0005-0000-0000-0000094F0000}"/>
    <cellStyle name="Normal 2 2 2 4 2 6 5 7" xfId="20271" xr:uid="{00000000-0005-0000-0000-00000A4F0000}"/>
    <cellStyle name="Normal 2 2 2 4 2 6 5 8" xfId="20272" xr:uid="{00000000-0005-0000-0000-00000B4F0000}"/>
    <cellStyle name="Normal 2 2 2 4 2 6 5 9" xfId="20273" xr:uid="{00000000-0005-0000-0000-00000C4F0000}"/>
    <cellStyle name="Normal 2 2 2 4 2 6 6" xfId="20274" xr:uid="{00000000-0005-0000-0000-00000D4F0000}"/>
    <cellStyle name="Normal 2 2 2 4 2 6 7" xfId="20275" xr:uid="{00000000-0005-0000-0000-00000E4F0000}"/>
    <cellStyle name="Normal 2 2 2 4 2 6 8" xfId="20276" xr:uid="{00000000-0005-0000-0000-00000F4F0000}"/>
    <cellStyle name="Normal 2 2 2 4 2 6 9" xfId="20277" xr:uid="{00000000-0005-0000-0000-0000104F0000}"/>
    <cellStyle name="Normal 2 2 2 4 2 7" xfId="20278" xr:uid="{00000000-0005-0000-0000-0000114F0000}"/>
    <cellStyle name="Normal 2 2 2 4 2 7 10" xfId="20279" xr:uid="{00000000-0005-0000-0000-0000124F0000}"/>
    <cellStyle name="Normal 2 2 2 4 2 7 11" xfId="20280" xr:uid="{00000000-0005-0000-0000-0000134F0000}"/>
    <cellStyle name="Normal 2 2 2 4 2 7 12" xfId="20281" xr:uid="{00000000-0005-0000-0000-0000144F0000}"/>
    <cellStyle name="Normal 2 2 2 4 2 7 13" xfId="20282" xr:uid="{00000000-0005-0000-0000-0000154F0000}"/>
    <cellStyle name="Normal 2 2 2 4 2 7 14" xfId="20283" xr:uid="{00000000-0005-0000-0000-0000164F0000}"/>
    <cellStyle name="Normal 2 2 2 4 2 7 2" xfId="20284" xr:uid="{00000000-0005-0000-0000-0000174F0000}"/>
    <cellStyle name="Normal 2 2 2 4 2 7 2 10" xfId="20285" xr:uid="{00000000-0005-0000-0000-0000184F0000}"/>
    <cellStyle name="Normal 2 2 2 4 2 7 2 2" xfId="20286" xr:uid="{00000000-0005-0000-0000-0000194F0000}"/>
    <cellStyle name="Normal 2 2 2 4 2 7 2 3" xfId="20287" xr:uid="{00000000-0005-0000-0000-00001A4F0000}"/>
    <cellStyle name="Normal 2 2 2 4 2 7 2 4" xfId="20288" xr:uid="{00000000-0005-0000-0000-00001B4F0000}"/>
    <cellStyle name="Normal 2 2 2 4 2 7 2 5" xfId="20289" xr:uid="{00000000-0005-0000-0000-00001C4F0000}"/>
    <cellStyle name="Normal 2 2 2 4 2 7 2 6" xfId="20290" xr:uid="{00000000-0005-0000-0000-00001D4F0000}"/>
    <cellStyle name="Normal 2 2 2 4 2 7 2 7" xfId="20291" xr:uid="{00000000-0005-0000-0000-00001E4F0000}"/>
    <cellStyle name="Normal 2 2 2 4 2 7 2 8" xfId="20292" xr:uid="{00000000-0005-0000-0000-00001F4F0000}"/>
    <cellStyle name="Normal 2 2 2 4 2 7 2 9" xfId="20293" xr:uid="{00000000-0005-0000-0000-0000204F0000}"/>
    <cellStyle name="Normal 2 2 2 4 2 7 3" xfId="20294" xr:uid="{00000000-0005-0000-0000-0000214F0000}"/>
    <cellStyle name="Normal 2 2 2 4 2 7 3 10" xfId="20295" xr:uid="{00000000-0005-0000-0000-0000224F0000}"/>
    <cellStyle name="Normal 2 2 2 4 2 7 3 2" xfId="20296" xr:uid="{00000000-0005-0000-0000-0000234F0000}"/>
    <cellStyle name="Normal 2 2 2 4 2 7 3 3" xfId="20297" xr:uid="{00000000-0005-0000-0000-0000244F0000}"/>
    <cellStyle name="Normal 2 2 2 4 2 7 3 4" xfId="20298" xr:uid="{00000000-0005-0000-0000-0000254F0000}"/>
    <cellStyle name="Normal 2 2 2 4 2 7 3 5" xfId="20299" xr:uid="{00000000-0005-0000-0000-0000264F0000}"/>
    <cellStyle name="Normal 2 2 2 4 2 7 3 6" xfId="20300" xr:uid="{00000000-0005-0000-0000-0000274F0000}"/>
    <cellStyle name="Normal 2 2 2 4 2 7 3 7" xfId="20301" xr:uid="{00000000-0005-0000-0000-0000284F0000}"/>
    <cellStyle name="Normal 2 2 2 4 2 7 3 8" xfId="20302" xr:uid="{00000000-0005-0000-0000-0000294F0000}"/>
    <cellStyle name="Normal 2 2 2 4 2 7 3 9" xfId="20303" xr:uid="{00000000-0005-0000-0000-00002A4F0000}"/>
    <cellStyle name="Normal 2 2 2 4 2 7 4" xfId="20304" xr:uid="{00000000-0005-0000-0000-00002B4F0000}"/>
    <cellStyle name="Normal 2 2 2 4 2 7 4 10" xfId="20305" xr:uid="{00000000-0005-0000-0000-00002C4F0000}"/>
    <cellStyle name="Normal 2 2 2 4 2 7 4 2" xfId="20306" xr:uid="{00000000-0005-0000-0000-00002D4F0000}"/>
    <cellStyle name="Normal 2 2 2 4 2 7 4 3" xfId="20307" xr:uid="{00000000-0005-0000-0000-00002E4F0000}"/>
    <cellStyle name="Normal 2 2 2 4 2 7 4 4" xfId="20308" xr:uid="{00000000-0005-0000-0000-00002F4F0000}"/>
    <cellStyle name="Normal 2 2 2 4 2 7 4 5" xfId="20309" xr:uid="{00000000-0005-0000-0000-0000304F0000}"/>
    <cellStyle name="Normal 2 2 2 4 2 7 4 6" xfId="20310" xr:uid="{00000000-0005-0000-0000-0000314F0000}"/>
    <cellStyle name="Normal 2 2 2 4 2 7 4 7" xfId="20311" xr:uid="{00000000-0005-0000-0000-0000324F0000}"/>
    <cellStyle name="Normal 2 2 2 4 2 7 4 8" xfId="20312" xr:uid="{00000000-0005-0000-0000-0000334F0000}"/>
    <cellStyle name="Normal 2 2 2 4 2 7 4 9" xfId="20313" xr:uid="{00000000-0005-0000-0000-0000344F0000}"/>
    <cellStyle name="Normal 2 2 2 4 2 7 5" xfId="20314" xr:uid="{00000000-0005-0000-0000-0000354F0000}"/>
    <cellStyle name="Normal 2 2 2 4 2 7 5 10" xfId="20315" xr:uid="{00000000-0005-0000-0000-0000364F0000}"/>
    <cellStyle name="Normal 2 2 2 4 2 7 5 2" xfId="20316" xr:uid="{00000000-0005-0000-0000-0000374F0000}"/>
    <cellStyle name="Normal 2 2 2 4 2 7 5 3" xfId="20317" xr:uid="{00000000-0005-0000-0000-0000384F0000}"/>
    <cellStyle name="Normal 2 2 2 4 2 7 5 4" xfId="20318" xr:uid="{00000000-0005-0000-0000-0000394F0000}"/>
    <cellStyle name="Normal 2 2 2 4 2 7 5 5" xfId="20319" xr:uid="{00000000-0005-0000-0000-00003A4F0000}"/>
    <cellStyle name="Normal 2 2 2 4 2 7 5 6" xfId="20320" xr:uid="{00000000-0005-0000-0000-00003B4F0000}"/>
    <cellStyle name="Normal 2 2 2 4 2 7 5 7" xfId="20321" xr:uid="{00000000-0005-0000-0000-00003C4F0000}"/>
    <cellStyle name="Normal 2 2 2 4 2 7 5 8" xfId="20322" xr:uid="{00000000-0005-0000-0000-00003D4F0000}"/>
    <cellStyle name="Normal 2 2 2 4 2 7 5 9" xfId="20323" xr:uid="{00000000-0005-0000-0000-00003E4F0000}"/>
    <cellStyle name="Normal 2 2 2 4 2 7 6" xfId="20324" xr:uid="{00000000-0005-0000-0000-00003F4F0000}"/>
    <cellStyle name="Normal 2 2 2 4 2 7 7" xfId="20325" xr:uid="{00000000-0005-0000-0000-0000404F0000}"/>
    <cellStyle name="Normal 2 2 2 4 2 7 8" xfId="20326" xr:uid="{00000000-0005-0000-0000-0000414F0000}"/>
    <cellStyle name="Normal 2 2 2 4 2 7 9" xfId="20327" xr:uid="{00000000-0005-0000-0000-0000424F0000}"/>
    <cellStyle name="Normal 2 2 2 4 2 8" xfId="20328" xr:uid="{00000000-0005-0000-0000-0000434F0000}"/>
    <cellStyle name="Normal 2 2 2 4 2 8 10" xfId="20329" xr:uid="{00000000-0005-0000-0000-0000444F0000}"/>
    <cellStyle name="Normal 2 2 2 4 2 8 11" xfId="20330" xr:uid="{00000000-0005-0000-0000-0000454F0000}"/>
    <cellStyle name="Normal 2 2 2 4 2 8 12" xfId="20331" xr:uid="{00000000-0005-0000-0000-0000464F0000}"/>
    <cellStyle name="Normal 2 2 2 4 2 8 13" xfId="20332" xr:uid="{00000000-0005-0000-0000-0000474F0000}"/>
    <cellStyle name="Normal 2 2 2 4 2 8 14" xfId="20333" xr:uid="{00000000-0005-0000-0000-0000484F0000}"/>
    <cellStyle name="Normal 2 2 2 4 2 8 2" xfId="20334" xr:uid="{00000000-0005-0000-0000-0000494F0000}"/>
    <cellStyle name="Normal 2 2 2 4 2 8 2 10" xfId="20335" xr:uid="{00000000-0005-0000-0000-00004A4F0000}"/>
    <cellStyle name="Normal 2 2 2 4 2 8 2 2" xfId="20336" xr:uid="{00000000-0005-0000-0000-00004B4F0000}"/>
    <cellStyle name="Normal 2 2 2 4 2 8 2 3" xfId="20337" xr:uid="{00000000-0005-0000-0000-00004C4F0000}"/>
    <cellStyle name="Normal 2 2 2 4 2 8 2 4" xfId="20338" xr:uid="{00000000-0005-0000-0000-00004D4F0000}"/>
    <cellStyle name="Normal 2 2 2 4 2 8 2 5" xfId="20339" xr:uid="{00000000-0005-0000-0000-00004E4F0000}"/>
    <cellStyle name="Normal 2 2 2 4 2 8 2 6" xfId="20340" xr:uid="{00000000-0005-0000-0000-00004F4F0000}"/>
    <cellStyle name="Normal 2 2 2 4 2 8 2 7" xfId="20341" xr:uid="{00000000-0005-0000-0000-0000504F0000}"/>
    <cellStyle name="Normal 2 2 2 4 2 8 2 8" xfId="20342" xr:uid="{00000000-0005-0000-0000-0000514F0000}"/>
    <cellStyle name="Normal 2 2 2 4 2 8 2 9" xfId="20343" xr:uid="{00000000-0005-0000-0000-0000524F0000}"/>
    <cellStyle name="Normal 2 2 2 4 2 8 3" xfId="20344" xr:uid="{00000000-0005-0000-0000-0000534F0000}"/>
    <cellStyle name="Normal 2 2 2 4 2 8 3 10" xfId="20345" xr:uid="{00000000-0005-0000-0000-0000544F0000}"/>
    <cellStyle name="Normal 2 2 2 4 2 8 3 2" xfId="20346" xr:uid="{00000000-0005-0000-0000-0000554F0000}"/>
    <cellStyle name="Normal 2 2 2 4 2 8 3 3" xfId="20347" xr:uid="{00000000-0005-0000-0000-0000564F0000}"/>
    <cellStyle name="Normal 2 2 2 4 2 8 3 4" xfId="20348" xr:uid="{00000000-0005-0000-0000-0000574F0000}"/>
    <cellStyle name="Normal 2 2 2 4 2 8 3 5" xfId="20349" xr:uid="{00000000-0005-0000-0000-0000584F0000}"/>
    <cellStyle name="Normal 2 2 2 4 2 8 3 6" xfId="20350" xr:uid="{00000000-0005-0000-0000-0000594F0000}"/>
    <cellStyle name="Normal 2 2 2 4 2 8 3 7" xfId="20351" xr:uid="{00000000-0005-0000-0000-00005A4F0000}"/>
    <cellStyle name="Normal 2 2 2 4 2 8 3 8" xfId="20352" xr:uid="{00000000-0005-0000-0000-00005B4F0000}"/>
    <cellStyle name="Normal 2 2 2 4 2 8 3 9" xfId="20353" xr:uid="{00000000-0005-0000-0000-00005C4F0000}"/>
    <cellStyle name="Normal 2 2 2 4 2 8 4" xfId="20354" xr:uid="{00000000-0005-0000-0000-00005D4F0000}"/>
    <cellStyle name="Normal 2 2 2 4 2 8 4 10" xfId="20355" xr:uid="{00000000-0005-0000-0000-00005E4F0000}"/>
    <cellStyle name="Normal 2 2 2 4 2 8 4 2" xfId="20356" xr:uid="{00000000-0005-0000-0000-00005F4F0000}"/>
    <cellStyle name="Normal 2 2 2 4 2 8 4 3" xfId="20357" xr:uid="{00000000-0005-0000-0000-0000604F0000}"/>
    <cellStyle name="Normal 2 2 2 4 2 8 4 4" xfId="20358" xr:uid="{00000000-0005-0000-0000-0000614F0000}"/>
    <cellStyle name="Normal 2 2 2 4 2 8 4 5" xfId="20359" xr:uid="{00000000-0005-0000-0000-0000624F0000}"/>
    <cellStyle name="Normal 2 2 2 4 2 8 4 6" xfId="20360" xr:uid="{00000000-0005-0000-0000-0000634F0000}"/>
    <cellStyle name="Normal 2 2 2 4 2 8 4 7" xfId="20361" xr:uid="{00000000-0005-0000-0000-0000644F0000}"/>
    <cellStyle name="Normal 2 2 2 4 2 8 4 8" xfId="20362" xr:uid="{00000000-0005-0000-0000-0000654F0000}"/>
    <cellStyle name="Normal 2 2 2 4 2 8 4 9" xfId="20363" xr:uid="{00000000-0005-0000-0000-0000664F0000}"/>
    <cellStyle name="Normal 2 2 2 4 2 8 5" xfId="20364" xr:uid="{00000000-0005-0000-0000-0000674F0000}"/>
    <cellStyle name="Normal 2 2 2 4 2 8 5 10" xfId="20365" xr:uid="{00000000-0005-0000-0000-0000684F0000}"/>
    <cellStyle name="Normal 2 2 2 4 2 8 5 2" xfId="20366" xr:uid="{00000000-0005-0000-0000-0000694F0000}"/>
    <cellStyle name="Normal 2 2 2 4 2 8 5 3" xfId="20367" xr:uid="{00000000-0005-0000-0000-00006A4F0000}"/>
    <cellStyle name="Normal 2 2 2 4 2 8 5 4" xfId="20368" xr:uid="{00000000-0005-0000-0000-00006B4F0000}"/>
    <cellStyle name="Normal 2 2 2 4 2 8 5 5" xfId="20369" xr:uid="{00000000-0005-0000-0000-00006C4F0000}"/>
    <cellStyle name="Normal 2 2 2 4 2 8 5 6" xfId="20370" xr:uid="{00000000-0005-0000-0000-00006D4F0000}"/>
    <cellStyle name="Normal 2 2 2 4 2 8 5 7" xfId="20371" xr:uid="{00000000-0005-0000-0000-00006E4F0000}"/>
    <cellStyle name="Normal 2 2 2 4 2 8 5 8" xfId="20372" xr:uid="{00000000-0005-0000-0000-00006F4F0000}"/>
    <cellStyle name="Normal 2 2 2 4 2 8 5 9" xfId="20373" xr:uid="{00000000-0005-0000-0000-0000704F0000}"/>
    <cellStyle name="Normal 2 2 2 4 2 8 6" xfId="20374" xr:uid="{00000000-0005-0000-0000-0000714F0000}"/>
    <cellStyle name="Normal 2 2 2 4 2 8 7" xfId="20375" xr:uid="{00000000-0005-0000-0000-0000724F0000}"/>
    <cellStyle name="Normal 2 2 2 4 2 8 8" xfId="20376" xr:uid="{00000000-0005-0000-0000-0000734F0000}"/>
    <cellStyle name="Normal 2 2 2 4 2 8 9" xfId="20377" xr:uid="{00000000-0005-0000-0000-0000744F0000}"/>
    <cellStyle name="Normal 2 2 2 4 2 9" xfId="20378" xr:uid="{00000000-0005-0000-0000-0000754F0000}"/>
    <cellStyle name="Normal 2 2 2 4 2 9 10" xfId="20379" xr:uid="{00000000-0005-0000-0000-0000764F0000}"/>
    <cellStyle name="Normal 2 2 2 4 2 9 11" xfId="20380" xr:uid="{00000000-0005-0000-0000-0000774F0000}"/>
    <cellStyle name="Normal 2 2 2 4 2 9 12" xfId="20381" xr:uid="{00000000-0005-0000-0000-0000784F0000}"/>
    <cellStyle name="Normal 2 2 2 4 2 9 13" xfId="20382" xr:uid="{00000000-0005-0000-0000-0000794F0000}"/>
    <cellStyle name="Normal 2 2 2 4 2 9 14" xfId="20383" xr:uid="{00000000-0005-0000-0000-00007A4F0000}"/>
    <cellStyle name="Normal 2 2 2 4 2 9 2" xfId="20384" xr:uid="{00000000-0005-0000-0000-00007B4F0000}"/>
    <cellStyle name="Normal 2 2 2 4 2 9 2 10" xfId="20385" xr:uid="{00000000-0005-0000-0000-00007C4F0000}"/>
    <cellStyle name="Normal 2 2 2 4 2 9 2 2" xfId="20386" xr:uid="{00000000-0005-0000-0000-00007D4F0000}"/>
    <cellStyle name="Normal 2 2 2 4 2 9 2 3" xfId="20387" xr:uid="{00000000-0005-0000-0000-00007E4F0000}"/>
    <cellStyle name="Normal 2 2 2 4 2 9 2 4" xfId="20388" xr:uid="{00000000-0005-0000-0000-00007F4F0000}"/>
    <cellStyle name="Normal 2 2 2 4 2 9 2 5" xfId="20389" xr:uid="{00000000-0005-0000-0000-0000804F0000}"/>
    <cellStyle name="Normal 2 2 2 4 2 9 2 6" xfId="20390" xr:uid="{00000000-0005-0000-0000-0000814F0000}"/>
    <cellStyle name="Normal 2 2 2 4 2 9 2 7" xfId="20391" xr:uid="{00000000-0005-0000-0000-0000824F0000}"/>
    <cellStyle name="Normal 2 2 2 4 2 9 2 8" xfId="20392" xr:uid="{00000000-0005-0000-0000-0000834F0000}"/>
    <cellStyle name="Normal 2 2 2 4 2 9 2 9" xfId="20393" xr:uid="{00000000-0005-0000-0000-0000844F0000}"/>
    <cellStyle name="Normal 2 2 2 4 2 9 3" xfId="20394" xr:uid="{00000000-0005-0000-0000-0000854F0000}"/>
    <cellStyle name="Normal 2 2 2 4 2 9 3 10" xfId="20395" xr:uid="{00000000-0005-0000-0000-0000864F0000}"/>
    <cellStyle name="Normal 2 2 2 4 2 9 3 2" xfId="20396" xr:uid="{00000000-0005-0000-0000-0000874F0000}"/>
    <cellStyle name="Normal 2 2 2 4 2 9 3 3" xfId="20397" xr:uid="{00000000-0005-0000-0000-0000884F0000}"/>
    <cellStyle name="Normal 2 2 2 4 2 9 3 4" xfId="20398" xr:uid="{00000000-0005-0000-0000-0000894F0000}"/>
    <cellStyle name="Normal 2 2 2 4 2 9 3 5" xfId="20399" xr:uid="{00000000-0005-0000-0000-00008A4F0000}"/>
    <cellStyle name="Normal 2 2 2 4 2 9 3 6" xfId="20400" xr:uid="{00000000-0005-0000-0000-00008B4F0000}"/>
    <cellStyle name="Normal 2 2 2 4 2 9 3 7" xfId="20401" xr:uid="{00000000-0005-0000-0000-00008C4F0000}"/>
    <cellStyle name="Normal 2 2 2 4 2 9 3 8" xfId="20402" xr:uid="{00000000-0005-0000-0000-00008D4F0000}"/>
    <cellStyle name="Normal 2 2 2 4 2 9 3 9" xfId="20403" xr:uid="{00000000-0005-0000-0000-00008E4F0000}"/>
    <cellStyle name="Normal 2 2 2 4 2 9 4" xfId="20404" xr:uid="{00000000-0005-0000-0000-00008F4F0000}"/>
    <cellStyle name="Normal 2 2 2 4 2 9 4 10" xfId="20405" xr:uid="{00000000-0005-0000-0000-0000904F0000}"/>
    <cellStyle name="Normal 2 2 2 4 2 9 4 2" xfId="20406" xr:uid="{00000000-0005-0000-0000-0000914F0000}"/>
    <cellStyle name="Normal 2 2 2 4 2 9 4 3" xfId="20407" xr:uid="{00000000-0005-0000-0000-0000924F0000}"/>
    <cellStyle name="Normal 2 2 2 4 2 9 4 4" xfId="20408" xr:uid="{00000000-0005-0000-0000-0000934F0000}"/>
    <cellStyle name="Normal 2 2 2 4 2 9 4 5" xfId="20409" xr:uid="{00000000-0005-0000-0000-0000944F0000}"/>
    <cellStyle name="Normal 2 2 2 4 2 9 4 6" xfId="20410" xr:uid="{00000000-0005-0000-0000-0000954F0000}"/>
    <cellStyle name="Normal 2 2 2 4 2 9 4 7" xfId="20411" xr:uid="{00000000-0005-0000-0000-0000964F0000}"/>
    <cellStyle name="Normal 2 2 2 4 2 9 4 8" xfId="20412" xr:uid="{00000000-0005-0000-0000-0000974F0000}"/>
    <cellStyle name="Normal 2 2 2 4 2 9 4 9" xfId="20413" xr:uid="{00000000-0005-0000-0000-0000984F0000}"/>
    <cellStyle name="Normal 2 2 2 4 2 9 5" xfId="20414" xr:uid="{00000000-0005-0000-0000-0000994F0000}"/>
    <cellStyle name="Normal 2 2 2 4 2 9 5 10" xfId="20415" xr:uid="{00000000-0005-0000-0000-00009A4F0000}"/>
    <cellStyle name="Normal 2 2 2 4 2 9 5 2" xfId="20416" xr:uid="{00000000-0005-0000-0000-00009B4F0000}"/>
    <cellStyle name="Normal 2 2 2 4 2 9 5 3" xfId="20417" xr:uid="{00000000-0005-0000-0000-00009C4F0000}"/>
    <cellStyle name="Normal 2 2 2 4 2 9 5 4" xfId="20418" xr:uid="{00000000-0005-0000-0000-00009D4F0000}"/>
    <cellStyle name="Normal 2 2 2 4 2 9 5 5" xfId="20419" xr:uid="{00000000-0005-0000-0000-00009E4F0000}"/>
    <cellStyle name="Normal 2 2 2 4 2 9 5 6" xfId="20420" xr:uid="{00000000-0005-0000-0000-00009F4F0000}"/>
    <cellStyle name="Normal 2 2 2 4 2 9 5 7" xfId="20421" xr:uid="{00000000-0005-0000-0000-0000A04F0000}"/>
    <cellStyle name="Normal 2 2 2 4 2 9 5 8" xfId="20422" xr:uid="{00000000-0005-0000-0000-0000A14F0000}"/>
    <cellStyle name="Normal 2 2 2 4 2 9 5 9" xfId="20423" xr:uid="{00000000-0005-0000-0000-0000A24F0000}"/>
    <cellStyle name="Normal 2 2 2 4 2 9 6" xfId="20424" xr:uid="{00000000-0005-0000-0000-0000A34F0000}"/>
    <cellStyle name="Normal 2 2 2 4 2 9 7" xfId="20425" xr:uid="{00000000-0005-0000-0000-0000A44F0000}"/>
    <cellStyle name="Normal 2 2 2 4 2 9 8" xfId="20426" xr:uid="{00000000-0005-0000-0000-0000A54F0000}"/>
    <cellStyle name="Normal 2 2 2 4 2 9 9" xfId="20427" xr:uid="{00000000-0005-0000-0000-0000A64F0000}"/>
    <cellStyle name="Normal 2 2 2 4 20" xfId="20428" xr:uid="{00000000-0005-0000-0000-0000A74F0000}"/>
    <cellStyle name="Normal 2 2 2 4 21" xfId="20429" xr:uid="{00000000-0005-0000-0000-0000A84F0000}"/>
    <cellStyle name="Normal 2 2 2 4 22" xfId="20430" xr:uid="{00000000-0005-0000-0000-0000A94F0000}"/>
    <cellStyle name="Normal 2 2 2 4 23" xfId="20431" xr:uid="{00000000-0005-0000-0000-0000AA4F0000}"/>
    <cellStyle name="Normal 2 2 2 4 24" xfId="20432" xr:uid="{00000000-0005-0000-0000-0000AB4F0000}"/>
    <cellStyle name="Normal 2 2 2 4 25" xfId="20433" xr:uid="{00000000-0005-0000-0000-0000AC4F0000}"/>
    <cellStyle name="Normal 2 2 2 4 26" xfId="20434" xr:uid="{00000000-0005-0000-0000-0000AD4F0000}"/>
    <cellStyle name="Normal 2 2 2 4 27" xfId="20435" xr:uid="{00000000-0005-0000-0000-0000AE4F0000}"/>
    <cellStyle name="Normal 2 2 2 4 28" xfId="20436" xr:uid="{00000000-0005-0000-0000-0000AF4F0000}"/>
    <cellStyle name="Normal 2 2 2 4 29" xfId="20437" xr:uid="{00000000-0005-0000-0000-0000B04F0000}"/>
    <cellStyle name="Normal 2 2 2 4 3" xfId="20438" xr:uid="{00000000-0005-0000-0000-0000B14F0000}"/>
    <cellStyle name="Normal 2 2 2 4 3 2" xfId="20439" xr:uid="{00000000-0005-0000-0000-0000B24F0000}"/>
    <cellStyle name="Normal 2 2 2 4 3 3" xfId="20440" xr:uid="{00000000-0005-0000-0000-0000B34F0000}"/>
    <cellStyle name="Normal 2 2 2 4 30" xfId="20441" xr:uid="{00000000-0005-0000-0000-0000B44F0000}"/>
    <cellStyle name="Normal 2 2 2 4 31" xfId="20442" xr:uid="{00000000-0005-0000-0000-0000B54F0000}"/>
    <cellStyle name="Normal 2 2 2 4 32" xfId="20443" xr:uid="{00000000-0005-0000-0000-0000B64F0000}"/>
    <cellStyle name="Normal 2 2 2 4 33" xfId="20444" xr:uid="{00000000-0005-0000-0000-0000B74F0000}"/>
    <cellStyle name="Normal 2 2 2 4 34" xfId="20445" xr:uid="{00000000-0005-0000-0000-0000B84F0000}"/>
    <cellStyle name="Normal 2 2 2 4 34 10" xfId="20446" xr:uid="{00000000-0005-0000-0000-0000B94F0000}"/>
    <cellStyle name="Normal 2 2 2 4 34 2" xfId="20447" xr:uid="{00000000-0005-0000-0000-0000BA4F0000}"/>
    <cellStyle name="Normal 2 2 2 4 34 3" xfId="20448" xr:uid="{00000000-0005-0000-0000-0000BB4F0000}"/>
    <cellStyle name="Normal 2 2 2 4 34 4" xfId="20449" xr:uid="{00000000-0005-0000-0000-0000BC4F0000}"/>
    <cellStyle name="Normal 2 2 2 4 34 5" xfId="20450" xr:uid="{00000000-0005-0000-0000-0000BD4F0000}"/>
    <cellStyle name="Normal 2 2 2 4 34 6" xfId="20451" xr:uid="{00000000-0005-0000-0000-0000BE4F0000}"/>
    <cellStyle name="Normal 2 2 2 4 34 7" xfId="20452" xr:uid="{00000000-0005-0000-0000-0000BF4F0000}"/>
    <cellStyle name="Normal 2 2 2 4 34 8" xfId="20453" xr:uid="{00000000-0005-0000-0000-0000C04F0000}"/>
    <cellStyle name="Normal 2 2 2 4 34 9" xfId="20454" xr:uid="{00000000-0005-0000-0000-0000C14F0000}"/>
    <cellStyle name="Normal 2 2 2 4 35" xfId="20455" xr:uid="{00000000-0005-0000-0000-0000C24F0000}"/>
    <cellStyle name="Normal 2 2 2 4 35 10" xfId="20456" xr:uid="{00000000-0005-0000-0000-0000C34F0000}"/>
    <cellStyle name="Normal 2 2 2 4 35 2" xfId="20457" xr:uid="{00000000-0005-0000-0000-0000C44F0000}"/>
    <cellStyle name="Normal 2 2 2 4 35 3" xfId="20458" xr:uid="{00000000-0005-0000-0000-0000C54F0000}"/>
    <cellStyle name="Normal 2 2 2 4 35 4" xfId="20459" xr:uid="{00000000-0005-0000-0000-0000C64F0000}"/>
    <cellStyle name="Normal 2 2 2 4 35 5" xfId="20460" xr:uid="{00000000-0005-0000-0000-0000C74F0000}"/>
    <cellStyle name="Normal 2 2 2 4 35 6" xfId="20461" xr:uid="{00000000-0005-0000-0000-0000C84F0000}"/>
    <cellStyle name="Normal 2 2 2 4 35 7" xfId="20462" xr:uid="{00000000-0005-0000-0000-0000C94F0000}"/>
    <cellStyle name="Normal 2 2 2 4 35 8" xfId="20463" xr:uid="{00000000-0005-0000-0000-0000CA4F0000}"/>
    <cellStyle name="Normal 2 2 2 4 35 9" xfId="20464" xr:uid="{00000000-0005-0000-0000-0000CB4F0000}"/>
    <cellStyle name="Normal 2 2 2 4 36" xfId="20465" xr:uid="{00000000-0005-0000-0000-0000CC4F0000}"/>
    <cellStyle name="Normal 2 2 2 4 36 10" xfId="20466" xr:uid="{00000000-0005-0000-0000-0000CD4F0000}"/>
    <cellStyle name="Normal 2 2 2 4 36 2" xfId="20467" xr:uid="{00000000-0005-0000-0000-0000CE4F0000}"/>
    <cellStyle name="Normal 2 2 2 4 36 3" xfId="20468" xr:uid="{00000000-0005-0000-0000-0000CF4F0000}"/>
    <cellStyle name="Normal 2 2 2 4 36 4" xfId="20469" xr:uid="{00000000-0005-0000-0000-0000D04F0000}"/>
    <cellStyle name="Normal 2 2 2 4 36 5" xfId="20470" xr:uid="{00000000-0005-0000-0000-0000D14F0000}"/>
    <cellStyle name="Normal 2 2 2 4 36 6" xfId="20471" xr:uid="{00000000-0005-0000-0000-0000D24F0000}"/>
    <cellStyle name="Normal 2 2 2 4 36 7" xfId="20472" xr:uid="{00000000-0005-0000-0000-0000D34F0000}"/>
    <cellStyle name="Normal 2 2 2 4 36 8" xfId="20473" xr:uid="{00000000-0005-0000-0000-0000D44F0000}"/>
    <cellStyle name="Normal 2 2 2 4 36 9" xfId="20474" xr:uid="{00000000-0005-0000-0000-0000D54F0000}"/>
    <cellStyle name="Normal 2 2 2 4 37" xfId="20475" xr:uid="{00000000-0005-0000-0000-0000D64F0000}"/>
    <cellStyle name="Normal 2 2 2 4 37 10" xfId="20476" xr:uid="{00000000-0005-0000-0000-0000D74F0000}"/>
    <cellStyle name="Normal 2 2 2 4 37 2" xfId="20477" xr:uid="{00000000-0005-0000-0000-0000D84F0000}"/>
    <cellStyle name="Normal 2 2 2 4 37 3" xfId="20478" xr:uid="{00000000-0005-0000-0000-0000D94F0000}"/>
    <cellStyle name="Normal 2 2 2 4 37 4" xfId="20479" xr:uid="{00000000-0005-0000-0000-0000DA4F0000}"/>
    <cellStyle name="Normal 2 2 2 4 37 5" xfId="20480" xr:uid="{00000000-0005-0000-0000-0000DB4F0000}"/>
    <cellStyle name="Normal 2 2 2 4 37 6" xfId="20481" xr:uid="{00000000-0005-0000-0000-0000DC4F0000}"/>
    <cellStyle name="Normal 2 2 2 4 37 7" xfId="20482" xr:uid="{00000000-0005-0000-0000-0000DD4F0000}"/>
    <cellStyle name="Normal 2 2 2 4 37 8" xfId="20483" xr:uid="{00000000-0005-0000-0000-0000DE4F0000}"/>
    <cellStyle name="Normal 2 2 2 4 37 9" xfId="20484" xr:uid="{00000000-0005-0000-0000-0000DF4F0000}"/>
    <cellStyle name="Normal 2 2 2 4 38" xfId="20485" xr:uid="{00000000-0005-0000-0000-0000E04F0000}"/>
    <cellStyle name="Normal 2 2 2 4 39" xfId="20486" xr:uid="{00000000-0005-0000-0000-0000E14F0000}"/>
    <cellStyle name="Normal 2 2 2 4 4" xfId="20487" xr:uid="{00000000-0005-0000-0000-0000E24F0000}"/>
    <cellStyle name="Normal 2 2 2 4 40" xfId="20488" xr:uid="{00000000-0005-0000-0000-0000E34F0000}"/>
    <cellStyle name="Normal 2 2 2 4 41" xfId="20489" xr:uid="{00000000-0005-0000-0000-0000E44F0000}"/>
    <cellStyle name="Normal 2 2 2 4 42" xfId="20490" xr:uid="{00000000-0005-0000-0000-0000E54F0000}"/>
    <cellStyle name="Normal 2 2 2 4 43" xfId="20491" xr:uid="{00000000-0005-0000-0000-0000E64F0000}"/>
    <cellStyle name="Normal 2 2 2 4 44" xfId="20492" xr:uid="{00000000-0005-0000-0000-0000E74F0000}"/>
    <cellStyle name="Normal 2 2 2 4 45" xfId="20493" xr:uid="{00000000-0005-0000-0000-0000E84F0000}"/>
    <cellStyle name="Normal 2 2 2 4 46" xfId="20494" xr:uid="{00000000-0005-0000-0000-0000E94F0000}"/>
    <cellStyle name="Normal 2 2 2 4 47" xfId="20495" xr:uid="{00000000-0005-0000-0000-0000EA4F0000}"/>
    <cellStyle name="Normal 2 2 2 4 48" xfId="20496" xr:uid="{00000000-0005-0000-0000-0000EB4F0000}"/>
    <cellStyle name="Normal 2 2 2 4 5" xfId="20497" xr:uid="{00000000-0005-0000-0000-0000EC4F0000}"/>
    <cellStyle name="Normal 2 2 2 4 6" xfId="20498" xr:uid="{00000000-0005-0000-0000-0000ED4F0000}"/>
    <cellStyle name="Normal 2 2 2 4 7" xfId="20499" xr:uid="{00000000-0005-0000-0000-0000EE4F0000}"/>
    <cellStyle name="Normal 2 2 2 4 8" xfId="20500" xr:uid="{00000000-0005-0000-0000-0000EF4F0000}"/>
    <cellStyle name="Normal 2 2 2 4 9" xfId="20501" xr:uid="{00000000-0005-0000-0000-0000F04F0000}"/>
    <cellStyle name="Normal 2 2 2 40" xfId="20502" xr:uid="{00000000-0005-0000-0000-0000F14F0000}"/>
    <cellStyle name="Normal 2 2 2 40 10" xfId="20503" xr:uid="{00000000-0005-0000-0000-0000F24F0000}"/>
    <cellStyle name="Normal 2 2 2 40 2" xfId="20504" xr:uid="{00000000-0005-0000-0000-0000F34F0000}"/>
    <cellStyle name="Normal 2 2 2 40 3" xfId="20505" xr:uid="{00000000-0005-0000-0000-0000F44F0000}"/>
    <cellStyle name="Normal 2 2 2 40 4" xfId="20506" xr:uid="{00000000-0005-0000-0000-0000F54F0000}"/>
    <cellStyle name="Normal 2 2 2 40 5" xfId="20507" xr:uid="{00000000-0005-0000-0000-0000F64F0000}"/>
    <cellStyle name="Normal 2 2 2 40 6" xfId="20508" xr:uid="{00000000-0005-0000-0000-0000F74F0000}"/>
    <cellStyle name="Normal 2 2 2 40 7" xfId="20509" xr:uid="{00000000-0005-0000-0000-0000F84F0000}"/>
    <cellStyle name="Normal 2 2 2 40 8" xfId="20510" xr:uid="{00000000-0005-0000-0000-0000F94F0000}"/>
    <cellStyle name="Normal 2 2 2 40 9" xfId="20511" xr:uid="{00000000-0005-0000-0000-0000FA4F0000}"/>
    <cellStyle name="Normal 2 2 2 41" xfId="20512" xr:uid="{00000000-0005-0000-0000-0000FB4F0000}"/>
    <cellStyle name="Normal 2 2 2 42" xfId="20513" xr:uid="{00000000-0005-0000-0000-0000FC4F0000}"/>
    <cellStyle name="Normal 2 2 2 43" xfId="20514" xr:uid="{00000000-0005-0000-0000-0000FD4F0000}"/>
    <cellStyle name="Normal 2 2 2 44" xfId="20515" xr:uid="{00000000-0005-0000-0000-0000FE4F0000}"/>
    <cellStyle name="Normal 2 2 2 45" xfId="20516" xr:uid="{00000000-0005-0000-0000-0000FF4F0000}"/>
    <cellStyle name="Normal 2 2 2 46" xfId="20517" xr:uid="{00000000-0005-0000-0000-000000500000}"/>
    <cellStyle name="Normal 2 2 2 47" xfId="20518" xr:uid="{00000000-0005-0000-0000-000001500000}"/>
    <cellStyle name="Normal 2 2 2 48" xfId="20519" xr:uid="{00000000-0005-0000-0000-000002500000}"/>
    <cellStyle name="Normal 2 2 2 49" xfId="20520" xr:uid="{00000000-0005-0000-0000-000003500000}"/>
    <cellStyle name="Normal 2 2 2 5" xfId="20521" xr:uid="{00000000-0005-0000-0000-000004500000}"/>
    <cellStyle name="Normal 2 2 2 5 10" xfId="20522" xr:uid="{00000000-0005-0000-0000-000005500000}"/>
    <cellStyle name="Normal 2 2 2 5 11" xfId="20523" xr:uid="{00000000-0005-0000-0000-000006500000}"/>
    <cellStyle name="Normal 2 2 2 5 12" xfId="20524" xr:uid="{00000000-0005-0000-0000-000007500000}"/>
    <cellStyle name="Normal 2 2 2 5 13" xfId="20525" xr:uid="{00000000-0005-0000-0000-000008500000}"/>
    <cellStyle name="Normal 2 2 2 5 14" xfId="20526" xr:uid="{00000000-0005-0000-0000-000009500000}"/>
    <cellStyle name="Normal 2 2 2 5 15" xfId="20527" xr:uid="{00000000-0005-0000-0000-00000A500000}"/>
    <cellStyle name="Normal 2 2 2 5 16" xfId="20528" xr:uid="{00000000-0005-0000-0000-00000B500000}"/>
    <cellStyle name="Normal 2 2 2 5 17" xfId="20529" xr:uid="{00000000-0005-0000-0000-00000C500000}"/>
    <cellStyle name="Normal 2 2 2 5 18" xfId="20530" xr:uid="{00000000-0005-0000-0000-00000D500000}"/>
    <cellStyle name="Normal 2 2 2 5 19" xfId="20531" xr:uid="{00000000-0005-0000-0000-00000E500000}"/>
    <cellStyle name="Normal 2 2 2 5 2" xfId="20532" xr:uid="{00000000-0005-0000-0000-00000F500000}"/>
    <cellStyle name="Normal 2 2 2 5 2 10" xfId="20533" xr:uid="{00000000-0005-0000-0000-000010500000}"/>
    <cellStyle name="Normal 2 2 2 5 2 10 10" xfId="20534" xr:uid="{00000000-0005-0000-0000-000011500000}"/>
    <cellStyle name="Normal 2 2 2 5 2 10 11" xfId="20535" xr:uid="{00000000-0005-0000-0000-000012500000}"/>
    <cellStyle name="Normal 2 2 2 5 2 10 12" xfId="20536" xr:uid="{00000000-0005-0000-0000-000013500000}"/>
    <cellStyle name="Normal 2 2 2 5 2 10 13" xfId="20537" xr:uid="{00000000-0005-0000-0000-000014500000}"/>
    <cellStyle name="Normal 2 2 2 5 2 10 14" xfId="20538" xr:uid="{00000000-0005-0000-0000-000015500000}"/>
    <cellStyle name="Normal 2 2 2 5 2 10 2" xfId="20539" xr:uid="{00000000-0005-0000-0000-000016500000}"/>
    <cellStyle name="Normal 2 2 2 5 2 10 2 10" xfId="20540" xr:uid="{00000000-0005-0000-0000-000017500000}"/>
    <cellStyle name="Normal 2 2 2 5 2 10 2 2" xfId="20541" xr:uid="{00000000-0005-0000-0000-000018500000}"/>
    <cellStyle name="Normal 2 2 2 5 2 10 2 3" xfId="20542" xr:uid="{00000000-0005-0000-0000-000019500000}"/>
    <cellStyle name="Normal 2 2 2 5 2 10 2 4" xfId="20543" xr:uid="{00000000-0005-0000-0000-00001A500000}"/>
    <cellStyle name="Normal 2 2 2 5 2 10 2 5" xfId="20544" xr:uid="{00000000-0005-0000-0000-00001B500000}"/>
    <cellStyle name="Normal 2 2 2 5 2 10 2 6" xfId="20545" xr:uid="{00000000-0005-0000-0000-00001C500000}"/>
    <cellStyle name="Normal 2 2 2 5 2 10 2 7" xfId="20546" xr:uid="{00000000-0005-0000-0000-00001D500000}"/>
    <cellStyle name="Normal 2 2 2 5 2 10 2 8" xfId="20547" xr:uid="{00000000-0005-0000-0000-00001E500000}"/>
    <cellStyle name="Normal 2 2 2 5 2 10 2 9" xfId="20548" xr:uid="{00000000-0005-0000-0000-00001F500000}"/>
    <cellStyle name="Normal 2 2 2 5 2 10 3" xfId="20549" xr:uid="{00000000-0005-0000-0000-000020500000}"/>
    <cellStyle name="Normal 2 2 2 5 2 10 3 10" xfId="20550" xr:uid="{00000000-0005-0000-0000-000021500000}"/>
    <cellStyle name="Normal 2 2 2 5 2 10 3 2" xfId="20551" xr:uid="{00000000-0005-0000-0000-000022500000}"/>
    <cellStyle name="Normal 2 2 2 5 2 10 3 3" xfId="20552" xr:uid="{00000000-0005-0000-0000-000023500000}"/>
    <cellStyle name="Normal 2 2 2 5 2 10 3 4" xfId="20553" xr:uid="{00000000-0005-0000-0000-000024500000}"/>
    <cellStyle name="Normal 2 2 2 5 2 10 3 5" xfId="20554" xr:uid="{00000000-0005-0000-0000-000025500000}"/>
    <cellStyle name="Normal 2 2 2 5 2 10 3 6" xfId="20555" xr:uid="{00000000-0005-0000-0000-000026500000}"/>
    <cellStyle name="Normal 2 2 2 5 2 10 3 7" xfId="20556" xr:uid="{00000000-0005-0000-0000-000027500000}"/>
    <cellStyle name="Normal 2 2 2 5 2 10 3 8" xfId="20557" xr:uid="{00000000-0005-0000-0000-000028500000}"/>
    <cellStyle name="Normal 2 2 2 5 2 10 3 9" xfId="20558" xr:uid="{00000000-0005-0000-0000-000029500000}"/>
    <cellStyle name="Normal 2 2 2 5 2 10 4" xfId="20559" xr:uid="{00000000-0005-0000-0000-00002A500000}"/>
    <cellStyle name="Normal 2 2 2 5 2 10 4 10" xfId="20560" xr:uid="{00000000-0005-0000-0000-00002B500000}"/>
    <cellStyle name="Normal 2 2 2 5 2 10 4 2" xfId="20561" xr:uid="{00000000-0005-0000-0000-00002C500000}"/>
    <cellStyle name="Normal 2 2 2 5 2 10 4 3" xfId="20562" xr:uid="{00000000-0005-0000-0000-00002D500000}"/>
    <cellStyle name="Normal 2 2 2 5 2 10 4 4" xfId="20563" xr:uid="{00000000-0005-0000-0000-00002E500000}"/>
    <cellStyle name="Normal 2 2 2 5 2 10 4 5" xfId="20564" xr:uid="{00000000-0005-0000-0000-00002F500000}"/>
    <cellStyle name="Normal 2 2 2 5 2 10 4 6" xfId="20565" xr:uid="{00000000-0005-0000-0000-000030500000}"/>
    <cellStyle name="Normal 2 2 2 5 2 10 4 7" xfId="20566" xr:uid="{00000000-0005-0000-0000-000031500000}"/>
    <cellStyle name="Normal 2 2 2 5 2 10 4 8" xfId="20567" xr:uid="{00000000-0005-0000-0000-000032500000}"/>
    <cellStyle name="Normal 2 2 2 5 2 10 4 9" xfId="20568" xr:uid="{00000000-0005-0000-0000-000033500000}"/>
    <cellStyle name="Normal 2 2 2 5 2 10 5" xfId="20569" xr:uid="{00000000-0005-0000-0000-000034500000}"/>
    <cellStyle name="Normal 2 2 2 5 2 10 5 10" xfId="20570" xr:uid="{00000000-0005-0000-0000-000035500000}"/>
    <cellStyle name="Normal 2 2 2 5 2 10 5 2" xfId="20571" xr:uid="{00000000-0005-0000-0000-000036500000}"/>
    <cellStyle name="Normal 2 2 2 5 2 10 5 3" xfId="20572" xr:uid="{00000000-0005-0000-0000-000037500000}"/>
    <cellStyle name="Normal 2 2 2 5 2 10 5 4" xfId="20573" xr:uid="{00000000-0005-0000-0000-000038500000}"/>
    <cellStyle name="Normal 2 2 2 5 2 10 5 5" xfId="20574" xr:uid="{00000000-0005-0000-0000-000039500000}"/>
    <cellStyle name="Normal 2 2 2 5 2 10 5 6" xfId="20575" xr:uid="{00000000-0005-0000-0000-00003A500000}"/>
    <cellStyle name="Normal 2 2 2 5 2 10 5 7" xfId="20576" xr:uid="{00000000-0005-0000-0000-00003B500000}"/>
    <cellStyle name="Normal 2 2 2 5 2 10 5 8" xfId="20577" xr:uid="{00000000-0005-0000-0000-00003C500000}"/>
    <cellStyle name="Normal 2 2 2 5 2 10 5 9" xfId="20578" xr:uid="{00000000-0005-0000-0000-00003D500000}"/>
    <cellStyle name="Normal 2 2 2 5 2 10 6" xfId="20579" xr:uid="{00000000-0005-0000-0000-00003E500000}"/>
    <cellStyle name="Normal 2 2 2 5 2 10 7" xfId="20580" xr:uid="{00000000-0005-0000-0000-00003F500000}"/>
    <cellStyle name="Normal 2 2 2 5 2 10 8" xfId="20581" xr:uid="{00000000-0005-0000-0000-000040500000}"/>
    <cellStyle name="Normal 2 2 2 5 2 10 9" xfId="20582" xr:uid="{00000000-0005-0000-0000-000041500000}"/>
    <cellStyle name="Normal 2 2 2 5 2 11" xfId="20583" xr:uid="{00000000-0005-0000-0000-000042500000}"/>
    <cellStyle name="Normal 2 2 2 5 2 11 10" xfId="20584" xr:uid="{00000000-0005-0000-0000-000043500000}"/>
    <cellStyle name="Normal 2 2 2 5 2 11 11" xfId="20585" xr:uid="{00000000-0005-0000-0000-000044500000}"/>
    <cellStyle name="Normal 2 2 2 5 2 11 12" xfId="20586" xr:uid="{00000000-0005-0000-0000-000045500000}"/>
    <cellStyle name="Normal 2 2 2 5 2 11 13" xfId="20587" xr:uid="{00000000-0005-0000-0000-000046500000}"/>
    <cellStyle name="Normal 2 2 2 5 2 11 14" xfId="20588" xr:uid="{00000000-0005-0000-0000-000047500000}"/>
    <cellStyle name="Normal 2 2 2 5 2 11 2" xfId="20589" xr:uid="{00000000-0005-0000-0000-000048500000}"/>
    <cellStyle name="Normal 2 2 2 5 2 11 2 10" xfId="20590" xr:uid="{00000000-0005-0000-0000-000049500000}"/>
    <cellStyle name="Normal 2 2 2 5 2 11 2 2" xfId="20591" xr:uid="{00000000-0005-0000-0000-00004A500000}"/>
    <cellStyle name="Normal 2 2 2 5 2 11 2 3" xfId="20592" xr:uid="{00000000-0005-0000-0000-00004B500000}"/>
    <cellStyle name="Normal 2 2 2 5 2 11 2 4" xfId="20593" xr:uid="{00000000-0005-0000-0000-00004C500000}"/>
    <cellStyle name="Normal 2 2 2 5 2 11 2 5" xfId="20594" xr:uid="{00000000-0005-0000-0000-00004D500000}"/>
    <cellStyle name="Normal 2 2 2 5 2 11 2 6" xfId="20595" xr:uid="{00000000-0005-0000-0000-00004E500000}"/>
    <cellStyle name="Normal 2 2 2 5 2 11 2 7" xfId="20596" xr:uid="{00000000-0005-0000-0000-00004F500000}"/>
    <cellStyle name="Normal 2 2 2 5 2 11 2 8" xfId="20597" xr:uid="{00000000-0005-0000-0000-000050500000}"/>
    <cellStyle name="Normal 2 2 2 5 2 11 2 9" xfId="20598" xr:uid="{00000000-0005-0000-0000-000051500000}"/>
    <cellStyle name="Normal 2 2 2 5 2 11 3" xfId="20599" xr:uid="{00000000-0005-0000-0000-000052500000}"/>
    <cellStyle name="Normal 2 2 2 5 2 11 3 10" xfId="20600" xr:uid="{00000000-0005-0000-0000-000053500000}"/>
    <cellStyle name="Normal 2 2 2 5 2 11 3 2" xfId="20601" xr:uid="{00000000-0005-0000-0000-000054500000}"/>
    <cellStyle name="Normal 2 2 2 5 2 11 3 3" xfId="20602" xr:uid="{00000000-0005-0000-0000-000055500000}"/>
    <cellStyle name="Normal 2 2 2 5 2 11 3 4" xfId="20603" xr:uid="{00000000-0005-0000-0000-000056500000}"/>
    <cellStyle name="Normal 2 2 2 5 2 11 3 5" xfId="20604" xr:uid="{00000000-0005-0000-0000-000057500000}"/>
    <cellStyle name="Normal 2 2 2 5 2 11 3 6" xfId="20605" xr:uid="{00000000-0005-0000-0000-000058500000}"/>
    <cellStyle name="Normal 2 2 2 5 2 11 3 7" xfId="20606" xr:uid="{00000000-0005-0000-0000-000059500000}"/>
    <cellStyle name="Normal 2 2 2 5 2 11 3 8" xfId="20607" xr:uid="{00000000-0005-0000-0000-00005A500000}"/>
    <cellStyle name="Normal 2 2 2 5 2 11 3 9" xfId="20608" xr:uid="{00000000-0005-0000-0000-00005B500000}"/>
    <cellStyle name="Normal 2 2 2 5 2 11 4" xfId="20609" xr:uid="{00000000-0005-0000-0000-00005C500000}"/>
    <cellStyle name="Normal 2 2 2 5 2 11 4 10" xfId="20610" xr:uid="{00000000-0005-0000-0000-00005D500000}"/>
    <cellStyle name="Normal 2 2 2 5 2 11 4 2" xfId="20611" xr:uid="{00000000-0005-0000-0000-00005E500000}"/>
    <cellStyle name="Normal 2 2 2 5 2 11 4 3" xfId="20612" xr:uid="{00000000-0005-0000-0000-00005F500000}"/>
    <cellStyle name="Normal 2 2 2 5 2 11 4 4" xfId="20613" xr:uid="{00000000-0005-0000-0000-000060500000}"/>
    <cellStyle name="Normal 2 2 2 5 2 11 4 5" xfId="20614" xr:uid="{00000000-0005-0000-0000-000061500000}"/>
    <cellStyle name="Normal 2 2 2 5 2 11 4 6" xfId="20615" xr:uid="{00000000-0005-0000-0000-000062500000}"/>
    <cellStyle name="Normal 2 2 2 5 2 11 4 7" xfId="20616" xr:uid="{00000000-0005-0000-0000-000063500000}"/>
    <cellStyle name="Normal 2 2 2 5 2 11 4 8" xfId="20617" xr:uid="{00000000-0005-0000-0000-000064500000}"/>
    <cellStyle name="Normal 2 2 2 5 2 11 4 9" xfId="20618" xr:uid="{00000000-0005-0000-0000-000065500000}"/>
    <cellStyle name="Normal 2 2 2 5 2 11 5" xfId="20619" xr:uid="{00000000-0005-0000-0000-000066500000}"/>
    <cellStyle name="Normal 2 2 2 5 2 11 5 10" xfId="20620" xr:uid="{00000000-0005-0000-0000-000067500000}"/>
    <cellStyle name="Normal 2 2 2 5 2 11 5 2" xfId="20621" xr:uid="{00000000-0005-0000-0000-000068500000}"/>
    <cellStyle name="Normal 2 2 2 5 2 11 5 3" xfId="20622" xr:uid="{00000000-0005-0000-0000-000069500000}"/>
    <cellStyle name="Normal 2 2 2 5 2 11 5 4" xfId="20623" xr:uid="{00000000-0005-0000-0000-00006A500000}"/>
    <cellStyle name="Normal 2 2 2 5 2 11 5 5" xfId="20624" xr:uid="{00000000-0005-0000-0000-00006B500000}"/>
    <cellStyle name="Normal 2 2 2 5 2 11 5 6" xfId="20625" xr:uid="{00000000-0005-0000-0000-00006C500000}"/>
    <cellStyle name="Normal 2 2 2 5 2 11 5 7" xfId="20626" xr:uid="{00000000-0005-0000-0000-00006D500000}"/>
    <cellStyle name="Normal 2 2 2 5 2 11 5 8" xfId="20627" xr:uid="{00000000-0005-0000-0000-00006E500000}"/>
    <cellStyle name="Normal 2 2 2 5 2 11 5 9" xfId="20628" xr:uid="{00000000-0005-0000-0000-00006F500000}"/>
    <cellStyle name="Normal 2 2 2 5 2 11 6" xfId="20629" xr:uid="{00000000-0005-0000-0000-000070500000}"/>
    <cellStyle name="Normal 2 2 2 5 2 11 7" xfId="20630" xr:uid="{00000000-0005-0000-0000-000071500000}"/>
    <cellStyle name="Normal 2 2 2 5 2 11 8" xfId="20631" xr:uid="{00000000-0005-0000-0000-000072500000}"/>
    <cellStyle name="Normal 2 2 2 5 2 11 9" xfId="20632" xr:uid="{00000000-0005-0000-0000-000073500000}"/>
    <cellStyle name="Normal 2 2 2 5 2 12" xfId="20633" xr:uid="{00000000-0005-0000-0000-000074500000}"/>
    <cellStyle name="Normal 2 2 2 5 2 12 10" xfId="20634" xr:uid="{00000000-0005-0000-0000-000075500000}"/>
    <cellStyle name="Normal 2 2 2 5 2 12 11" xfId="20635" xr:uid="{00000000-0005-0000-0000-000076500000}"/>
    <cellStyle name="Normal 2 2 2 5 2 12 12" xfId="20636" xr:uid="{00000000-0005-0000-0000-000077500000}"/>
    <cellStyle name="Normal 2 2 2 5 2 12 13" xfId="20637" xr:uid="{00000000-0005-0000-0000-000078500000}"/>
    <cellStyle name="Normal 2 2 2 5 2 12 14" xfId="20638" xr:uid="{00000000-0005-0000-0000-000079500000}"/>
    <cellStyle name="Normal 2 2 2 5 2 12 2" xfId="20639" xr:uid="{00000000-0005-0000-0000-00007A500000}"/>
    <cellStyle name="Normal 2 2 2 5 2 12 2 10" xfId="20640" xr:uid="{00000000-0005-0000-0000-00007B500000}"/>
    <cellStyle name="Normal 2 2 2 5 2 12 2 2" xfId="20641" xr:uid="{00000000-0005-0000-0000-00007C500000}"/>
    <cellStyle name="Normal 2 2 2 5 2 12 2 3" xfId="20642" xr:uid="{00000000-0005-0000-0000-00007D500000}"/>
    <cellStyle name="Normal 2 2 2 5 2 12 2 4" xfId="20643" xr:uid="{00000000-0005-0000-0000-00007E500000}"/>
    <cellStyle name="Normal 2 2 2 5 2 12 2 5" xfId="20644" xr:uid="{00000000-0005-0000-0000-00007F500000}"/>
    <cellStyle name="Normal 2 2 2 5 2 12 2 6" xfId="20645" xr:uid="{00000000-0005-0000-0000-000080500000}"/>
    <cellStyle name="Normal 2 2 2 5 2 12 2 7" xfId="20646" xr:uid="{00000000-0005-0000-0000-000081500000}"/>
    <cellStyle name="Normal 2 2 2 5 2 12 2 8" xfId="20647" xr:uid="{00000000-0005-0000-0000-000082500000}"/>
    <cellStyle name="Normal 2 2 2 5 2 12 2 9" xfId="20648" xr:uid="{00000000-0005-0000-0000-000083500000}"/>
    <cellStyle name="Normal 2 2 2 5 2 12 3" xfId="20649" xr:uid="{00000000-0005-0000-0000-000084500000}"/>
    <cellStyle name="Normal 2 2 2 5 2 12 3 10" xfId="20650" xr:uid="{00000000-0005-0000-0000-000085500000}"/>
    <cellStyle name="Normal 2 2 2 5 2 12 3 2" xfId="20651" xr:uid="{00000000-0005-0000-0000-000086500000}"/>
    <cellStyle name="Normal 2 2 2 5 2 12 3 3" xfId="20652" xr:uid="{00000000-0005-0000-0000-000087500000}"/>
    <cellStyle name="Normal 2 2 2 5 2 12 3 4" xfId="20653" xr:uid="{00000000-0005-0000-0000-000088500000}"/>
    <cellStyle name="Normal 2 2 2 5 2 12 3 5" xfId="20654" xr:uid="{00000000-0005-0000-0000-000089500000}"/>
    <cellStyle name="Normal 2 2 2 5 2 12 3 6" xfId="20655" xr:uid="{00000000-0005-0000-0000-00008A500000}"/>
    <cellStyle name="Normal 2 2 2 5 2 12 3 7" xfId="20656" xr:uid="{00000000-0005-0000-0000-00008B500000}"/>
    <cellStyle name="Normal 2 2 2 5 2 12 3 8" xfId="20657" xr:uid="{00000000-0005-0000-0000-00008C500000}"/>
    <cellStyle name="Normal 2 2 2 5 2 12 3 9" xfId="20658" xr:uid="{00000000-0005-0000-0000-00008D500000}"/>
    <cellStyle name="Normal 2 2 2 5 2 12 4" xfId="20659" xr:uid="{00000000-0005-0000-0000-00008E500000}"/>
    <cellStyle name="Normal 2 2 2 5 2 12 4 10" xfId="20660" xr:uid="{00000000-0005-0000-0000-00008F500000}"/>
    <cellStyle name="Normal 2 2 2 5 2 12 4 2" xfId="20661" xr:uid="{00000000-0005-0000-0000-000090500000}"/>
    <cellStyle name="Normal 2 2 2 5 2 12 4 3" xfId="20662" xr:uid="{00000000-0005-0000-0000-000091500000}"/>
    <cellStyle name="Normal 2 2 2 5 2 12 4 4" xfId="20663" xr:uid="{00000000-0005-0000-0000-000092500000}"/>
    <cellStyle name="Normal 2 2 2 5 2 12 4 5" xfId="20664" xr:uid="{00000000-0005-0000-0000-000093500000}"/>
    <cellStyle name="Normal 2 2 2 5 2 12 4 6" xfId="20665" xr:uid="{00000000-0005-0000-0000-000094500000}"/>
    <cellStyle name="Normal 2 2 2 5 2 12 4 7" xfId="20666" xr:uid="{00000000-0005-0000-0000-000095500000}"/>
    <cellStyle name="Normal 2 2 2 5 2 12 4 8" xfId="20667" xr:uid="{00000000-0005-0000-0000-000096500000}"/>
    <cellStyle name="Normal 2 2 2 5 2 12 4 9" xfId="20668" xr:uid="{00000000-0005-0000-0000-000097500000}"/>
    <cellStyle name="Normal 2 2 2 5 2 12 5" xfId="20669" xr:uid="{00000000-0005-0000-0000-000098500000}"/>
    <cellStyle name="Normal 2 2 2 5 2 12 5 10" xfId="20670" xr:uid="{00000000-0005-0000-0000-000099500000}"/>
    <cellStyle name="Normal 2 2 2 5 2 12 5 2" xfId="20671" xr:uid="{00000000-0005-0000-0000-00009A500000}"/>
    <cellStyle name="Normal 2 2 2 5 2 12 5 3" xfId="20672" xr:uid="{00000000-0005-0000-0000-00009B500000}"/>
    <cellStyle name="Normal 2 2 2 5 2 12 5 4" xfId="20673" xr:uid="{00000000-0005-0000-0000-00009C500000}"/>
    <cellStyle name="Normal 2 2 2 5 2 12 5 5" xfId="20674" xr:uid="{00000000-0005-0000-0000-00009D500000}"/>
    <cellStyle name="Normal 2 2 2 5 2 12 5 6" xfId="20675" xr:uid="{00000000-0005-0000-0000-00009E500000}"/>
    <cellStyle name="Normal 2 2 2 5 2 12 5 7" xfId="20676" xr:uid="{00000000-0005-0000-0000-00009F500000}"/>
    <cellStyle name="Normal 2 2 2 5 2 12 5 8" xfId="20677" xr:uid="{00000000-0005-0000-0000-0000A0500000}"/>
    <cellStyle name="Normal 2 2 2 5 2 12 5 9" xfId="20678" xr:uid="{00000000-0005-0000-0000-0000A1500000}"/>
    <cellStyle name="Normal 2 2 2 5 2 12 6" xfId="20679" xr:uid="{00000000-0005-0000-0000-0000A2500000}"/>
    <cellStyle name="Normal 2 2 2 5 2 12 7" xfId="20680" xr:uid="{00000000-0005-0000-0000-0000A3500000}"/>
    <cellStyle name="Normal 2 2 2 5 2 12 8" xfId="20681" xr:uid="{00000000-0005-0000-0000-0000A4500000}"/>
    <cellStyle name="Normal 2 2 2 5 2 12 9" xfId="20682" xr:uid="{00000000-0005-0000-0000-0000A5500000}"/>
    <cellStyle name="Normal 2 2 2 5 2 13" xfId="20683" xr:uid="{00000000-0005-0000-0000-0000A6500000}"/>
    <cellStyle name="Normal 2 2 2 5 2 13 10" xfId="20684" xr:uid="{00000000-0005-0000-0000-0000A7500000}"/>
    <cellStyle name="Normal 2 2 2 5 2 13 11" xfId="20685" xr:uid="{00000000-0005-0000-0000-0000A8500000}"/>
    <cellStyle name="Normal 2 2 2 5 2 13 12" xfId="20686" xr:uid="{00000000-0005-0000-0000-0000A9500000}"/>
    <cellStyle name="Normal 2 2 2 5 2 13 13" xfId="20687" xr:uid="{00000000-0005-0000-0000-0000AA500000}"/>
    <cellStyle name="Normal 2 2 2 5 2 13 14" xfId="20688" xr:uid="{00000000-0005-0000-0000-0000AB500000}"/>
    <cellStyle name="Normal 2 2 2 5 2 13 2" xfId="20689" xr:uid="{00000000-0005-0000-0000-0000AC500000}"/>
    <cellStyle name="Normal 2 2 2 5 2 13 2 10" xfId="20690" xr:uid="{00000000-0005-0000-0000-0000AD500000}"/>
    <cellStyle name="Normal 2 2 2 5 2 13 2 2" xfId="20691" xr:uid="{00000000-0005-0000-0000-0000AE500000}"/>
    <cellStyle name="Normal 2 2 2 5 2 13 2 3" xfId="20692" xr:uid="{00000000-0005-0000-0000-0000AF500000}"/>
    <cellStyle name="Normal 2 2 2 5 2 13 2 4" xfId="20693" xr:uid="{00000000-0005-0000-0000-0000B0500000}"/>
    <cellStyle name="Normal 2 2 2 5 2 13 2 5" xfId="20694" xr:uid="{00000000-0005-0000-0000-0000B1500000}"/>
    <cellStyle name="Normal 2 2 2 5 2 13 2 6" xfId="20695" xr:uid="{00000000-0005-0000-0000-0000B2500000}"/>
    <cellStyle name="Normal 2 2 2 5 2 13 2 7" xfId="20696" xr:uid="{00000000-0005-0000-0000-0000B3500000}"/>
    <cellStyle name="Normal 2 2 2 5 2 13 2 8" xfId="20697" xr:uid="{00000000-0005-0000-0000-0000B4500000}"/>
    <cellStyle name="Normal 2 2 2 5 2 13 2 9" xfId="20698" xr:uid="{00000000-0005-0000-0000-0000B5500000}"/>
    <cellStyle name="Normal 2 2 2 5 2 13 3" xfId="20699" xr:uid="{00000000-0005-0000-0000-0000B6500000}"/>
    <cellStyle name="Normal 2 2 2 5 2 13 3 10" xfId="20700" xr:uid="{00000000-0005-0000-0000-0000B7500000}"/>
    <cellStyle name="Normal 2 2 2 5 2 13 3 2" xfId="20701" xr:uid="{00000000-0005-0000-0000-0000B8500000}"/>
    <cellStyle name="Normal 2 2 2 5 2 13 3 3" xfId="20702" xr:uid="{00000000-0005-0000-0000-0000B9500000}"/>
    <cellStyle name="Normal 2 2 2 5 2 13 3 4" xfId="20703" xr:uid="{00000000-0005-0000-0000-0000BA500000}"/>
    <cellStyle name="Normal 2 2 2 5 2 13 3 5" xfId="20704" xr:uid="{00000000-0005-0000-0000-0000BB500000}"/>
    <cellStyle name="Normal 2 2 2 5 2 13 3 6" xfId="20705" xr:uid="{00000000-0005-0000-0000-0000BC500000}"/>
    <cellStyle name="Normal 2 2 2 5 2 13 3 7" xfId="20706" xr:uid="{00000000-0005-0000-0000-0000BD500000}"/>
    <cellStyle name="Normal 2 2 2 5 2 13 3 8" xfId="20707" xr:uid="{00000000-0005-0000-0000-0000BE500000}"/>
    <cellStyle name="Normal 2 2 2 5 2 13 3 9" xfId="20708" xr:uid="{00000000-0005-0000-0000-0000BF500000}"/>
    <cellStyle name="Normal 2 2 2 5 2 13 4" xfId="20709" xr:uid="{00000000-0005-0000-0000-0000C0500000}"/>
    <cellStyle name="Normal 2 2 2 5 2 13 4 10" xfId="20710" xr:uid="{00000000-0005-0000-0000-0000C1500000}"/>
    <cellStyle name="Normal 2 2 2 5 2 13 4 2" xfId="20711" xr:uid="{00000000-0005-0000-0000-0000C2500000}"/>
    <cellStyle name="Normal 2 2 2 5 2 13 4 3" xfId="20712" xr:uid="{00000000-0005-0000-0000-0000C3500000}"/>
    <cellStyle name="Normal 2 2 2 5 2 13 4 4" xfId="20713" xr:uid="{00000000-0005-0000-0000-0000C4500000}"/>
    <cellStyle name="Normal 2 2 2 5 2 13 4 5" xfId="20714" xr:uid="{00000000-0005-0000-0000-0000C5500000}"/>
    <cellStyle name="Normal 2 2 2 5 2 13 4 6" xfId="20715" xr:uid="{00000000-0005-0000-0000-0000C6500000}"/>
    <cellStyle name="Normal 2 2 2 5 2 13 4 7" xfId="20716" xr:uid="{00000000-0005-0000-0000-0000C7500000}"/>
    <cellStyle name="Normal 2 2 2 5 2 13 4 8" xfId="20717" xr:uid="{00000000-0005-0000-0000-0000C8500000}"/>
    <cellStyle name="Normal 2 2 2 5 2 13 4 9" xfId="20718" xr:uid="{00000000-0005-0000-0000-0000C9500000}"/>
    <cellStyle name="Normal 2 2 2 5 2 13 5" xfId="20719" xr:uid="{00000000-0005-0000-0000-0000CA500000}"/>
    <cellStyle name="Normal 2 2 2 5 2 13 5 10" xfId="20720" xr:uid="{00000000-0005-0000-0000-0000CB500000}"/>
    <cellStyle name="Normal 2 2 2 5 2 13 5 2" xfId="20721" xr:uid="{00000000-0005-0000-0000-0000CC500000}"/>
    <cellStyle name="Normal 2 2 2 5 2 13 5 3" xfId="20722" xr:uid="{00000000-0005-0000-0000-0000CD500000}"/>
    <cellStyle name="Normal 2 2 2 5 2 13 5 4" xfId="20723" xr:uid="{00000000-0005-0000-0000-0000CE500000}"/>
    <cellStyle name="Normal 2 2 2 5 2 13 5 5" xfId="20724" xr:uid="{00000000-0005-0000-0000-0000CF500000}"/>
    <cellStyle name="Normal 2 2 2 5 2 13 5 6" xfId="20725" xr:uid="{00000000-0005-0000-0000-0000D0500000}"/>
    <cellStyle name="Normal 2 2 2 5 2 13 5 7" xfId="20726" xr:uid="{00000000-0005-0000-0000-0000D1500000}"/>
    <cellStyle name="Normal 2 2 2 5 2 13 5 8" xfId="20727" xr:uid="{00000000-0005-0000-0000-0000D2500000}"/>
    <cellStyle name="Normal 2 2 2 5 2 13 5 9" xfId="20728" xr:uid="{00000000-0005-0000-0000-0000D3500000}"/>
    <cellStyle name="Normal 2 2 2 5 2 13 6" xfId="20729" xr:uid="{00000000-0005-0000-0000-0000D4500000}"/>
    <cellStyle name="Normal 2 2 2 5 2 13 7" xfId="20730" xr:uid="{00000000-0005-0000-0000-0000D5500000}"/>
    <cellStyle name="Normal 2 2 2 5 2 13 8" xfId="20731" xr:uid="{00000000-0005-0000-0000-0000D6500000}"/>
    <cellStyle name="Normal 2 2 2 5 2 13 9" xfId="20732" xr:uid="{00000000-0005-0000-0000-0000D7500000}"/>
    <cellStyle name="Normal 2 2 2 5 2 14" xfId="20733" xr:uid="{00000000-0005-0000-0000-0000D8500000}"/>
    <cellStyle name="Normal 2 2 2 5 2 14 10" xfId="20734" xr:uid="{00000000-0005-0000-0000-0000D9500000}"/>
    <cellStyle name="Normal 2 2 2 5 2 14 11" xfId="20735" xr:uid="{00000000-0005-0000-0000-0000DA500000}"/>
    <cellStyle name="Normal 2 2 2 5 2 14 12" xfId="20736" xr:uid="{00000000-0005-0000-0000-0000DB500000}"/>
    <cellStyle name="Normal 2 2 2 5 2 14 13" xfId="20737" xr:uid="{00000000-0005-0000-0000-0000DC500000}"/>
    <cellStyle name="Normal 2 2 2 5 2 14 14" xfId="20738" xr:uid="{00000000-0005-0000-0000-0000DD500000}"/>
    <cellStyle name="Normal 2 2 2 5 2 14 2" xfId="20739" xr:uid="{00000000-0005-0000-0000-0000DE500000}"/>
    <cellStyle name="Normal 2 2 2 5 2 14 2 10" xfId="20740" xr:uid="{00000000-0005-0000-0000-0000DF500000}"/>
    <cellStyle name="Normal 2 2 2 5 2 14 2 2" xfId="20741" xr:uid="{00000000-0005-0000-0000-0000E0500000}"/>
    <cellStyle name="Normal 2 2 2 5 2 14 2 3" xfId="20742" xr:uid="{00000000-0005-0000-0000-0000E1500000}"/>
    <cellStyle name="Normal 2 2 2 5 2 14 2 4" xfId="20743" xr:uid="{00000000-0005-0000-0000-0000E2500000}"/>
    <cellStyle name="Normal 2 2 2 5 2 14 2 5" xfId="20744" xr:uid="{00000000-0005-0000-0000-0000E3500000}"/>
    <cellStyle name="Normal 2 2 2 5 2 14 2 6" xfId="20745" xr:uid="{00000000-0005-0000-0000-0000E4500000}"/>
    <cellStyle name="Normal 2 2 2 5 2 14 2 7" xfId="20746" xr:uid="{00000000-0005-0000-0000-0000E5500000}"/>
    <cellStyle name="Normal 2 2 2 5 2 14 2 8" xfId="20747" xr:uid="{00000000-0005-0000-0000-0000E6500000}"/>
    <cellStyle name="Normal 2 2 2 5 2 14 2 9" xfId="20748" xr:uid="{00000000-0005-0000-0000-0000E7500000}"/>
    <cellStyle name="Normal 2 2 2 5 2 14 3" xfId="20749" xr:uid="{00000000-0005-0000-0000-0000E8500000}"/>
    <cellStyle name="Normal 2 2 2 5 2 14 3 10" xfId="20750" xr:uid="{00000000-0005-0000-0000-0000E9500000}"/>
    <cellStyle name="Normal 2 2 2 5 2 14 3 2" xfId="20751" xr:uid="{00000000-0005-0000-0000-0000EA500000}"/>
    <cellStyle name="Normal 2 2 2 5 2 14 3 3" xfId="20752" xr:uid="{00000000-0005-0000-0000-0000EB500000}"/>
    <cellStyle name="Normal 2 2 2 5 2 14 3 4" xfId="20753" xr:uid="{00000000-0005-0000-0000-0000EC500000}"/>
    <cellStyle name="Normal 2 2 2 5 2 14 3 5" xfId="20754" xr:uid="{00000000-0005-0000-0000-0000ED500000}"/>
    <cellStyle name="Normal 2 2 2 5 2 14 3 6" xfId="20755" xr:uid="{00000000-0005-0000-0000-0000EE500000}"/>
    <cellStyle name="Normal 2 2 2 5 2 14 3 7" xfId="20756" xr:uid="{00000000-0005-0000-0000-0000EF500000}"/>
    <cellStyle name="Normal 2 2 2 5 2 14 3 8" xfId="20757" xr:uid="{00000000-0005-0000-0000-0000F0500000}"/>
    <cellStyle name="Normal 2 2 2 5 2 14 3 9" xfId="20758" xr:uid="{00000000-0005-0000-0000-0000F1500000}"/>
    <cellStyle name="Normal 2 2 2 5 2 14 4" xfId="20759" xr:uid="{00000000-0005-0000-0000-0000F2500000}"/>
    <cellStyle name="Normal 2 2 2 5 2 14 4 10" xfId="20760" xr:uid="{00000000-0005-0000-0000-0000F3500000}"/>
    <cellStyle name="Normal 2 2 2 5 2 14 4 2" xfId="20761" xr:uid="{00000000-0005-0000-0000-0000F4500000}"/>
    <cellStyle name="Normal 2 2 2 5 2 14 4 3" xfId="20762" xr:uid="{00000000-0005-0000-0000-0000F5500000}"/>
    <cellStyle name="Normal 2 2 2 5 2 14 4 4" xfId="20763" xr:uid="{00000000-0005-0000-0000-0000F6500000}"/>
    <cellStyle name="Normal 2 2 2 5 2 14 4 5" xfId="20764" xr:uid="{00000000-0005-0000-0000-0000F7500000}"/>
    <cellStyle name="Normal 2 2 2 5 2 14 4 6" xfId="20765" xr:uid="{00000000-0005-0000-0000-0000F8500000}"/>
    <cellStyle name="Normal 2 2 2 5 2 14 4 7" xfId="20766" xr:uid="{00000000-0005-0000-0000-0000F9500000}"/>
    <cellStyle name="Normal 2 2 2 5 2 14 4 8" xfId="20767" xr:uid="{00000000-0005-0000-0000-0000FA500000}"/>
    <cellStyle name="Normal 2 2 2 5 2 14 4 9" xfId="20768" xr:uid="{00000000-0005-0000-0000-0000FB500000}"/>
    <cellStyle name="Normal 2 2 2 5 2 14 5" xfId="20769" xr:uid="{00000000-0005-0000-0000-0000FC500000}"/>
    <cellStyle name="Normal 2 2 2 5 2 14 5 10" xfId="20770" xr:uid="{00000000-0005-0000-0000-0000FD500000}"/>
    <cellStyle name="Normal 2 2 2 5 2 14 5 2" xfId="20771" xr:uid="{00000000-0005-0000-0000-0000FE500000}"/>
    <cellStyle name="Normal 2 2 2 5 2 14 5 3" xfId="20772" xr:uid="{00000000-0005-0000-0000-0000FF500000}"/>
    <cellStyle name="Normal 2 2 2 5 2 14 5 4" xfId="20773" xr:uid="{00000000-0005-0000-0000-000000510000}"/>
    <cellStyle name="Normal 2 2 2 5 2 14 5 5" xfId="20774" xr:uid="{00000000-0005-0000-0000-000001510000}"/>
    <cellStyle name="Normal 2 2 2 5 2 14 5 6" xfId="20775" xr:uid="{00000000-0005-0000-0000-000002510000}"/>
    <cellStyle name="Normal 2 2 2 5 2 14 5 7" xfId="20776" xr:uid="{00000000-0005-0000-0000-000003510000}"/>
    <cellStyle name="Normal 2 2 2 5 2 14 5 8" xfId="20777" xr:uid="{00000000-0005-0000-0000-000004510000}"/>
    <cellStyle name="Normal 2 2 2 5 2 14 5 9" xfId="20778" xr:uid="{00000000-0005-0000-0000-000005510000}"/>
    <cellStyle name="Normal 2 2 2 5 2 14 6" xfId="20779" xr:uid="{00000000-0005-0000-0000-000006510000}"/>
    <cellStyle name="Normal 2 2 2 5 2 14 7" xfId="20780" xr:uid="{00000000-0005-0000-0000-000007510000}"/>
    <cellStyle name="Normal 2 2 2 5 2 14 8" xfId="20781" xr:uid="{00000000-0005-0000-0000-000008510000}"/>
    <cellStyle name="Normal 2 2 2 5 2 14 9" xfId="20782" xr:uid="{00000000-0005-0000-0000-000009510000}"/>
    <cellStyle name="Normal 2 2 2 5 2 15" xfId="20783" xr:uid="{00000000-0005-0000-0000-00000A510000}"/>
    <cellStyle name="Normal 2 2 2 5 2 15 10" xfId="20784" xr:uid="{00000000-0005-0000-0000-00000B510000}"/>
    <cellStyle name="Normal 2 2 2 5 2 15 11" xfId="20785" xr:uid="{00000000-0005-0000-0000-00000C510000}"/>
    <cellStyle name="Normal 2 2 2 5 2 15 12" xfId="20786" xr:uid="{00000000-0005-0000-0000-00000D510000}"/>
    <cellStyle name="Normal 2 2 2 5 2 15 13" xfId="20787" xr:uid="{00000000-0005-0000-0000-00000E510000}"/>
    <cellStyle name="Normal 2 2 2 5 2 15 14" xfId="20788" xr:uid="{00000000-0005-0000-0000-00000F510000}"/>
    <cellStyle name="Normal 2 2 2 5 2 15 2" xfId="20789" xr:uid="{00000000-0005-0000-0000-000010510000}"/>
    <cellStyle name="Normal 2 2 2 5 2 15 2 10" xfId="20790" xr:uid="{00000000-0005-0000-0000-000011510000}"/>
    <cellStyle name="Normal 2 2 2 5 2 15 2 2" xfId="20791" xr:uid="{00000000-0005-0000-0000-000012510000}"/>
    <cellStyle name="Normal 2 2 2 5 2 15 2 3" xfId="20792" xr:uid="{00000000-0005-0000-0000-000013510000}"/>
    <cellStyle name="Normal 2 2 2 5 2 15 2 4" xfId="20793" xr:uid="{00000000-0005-0000-0000-000014510000}"/>
    <cellStyle name="Normal 2 2 2 5 2 15 2 5" xfId="20794" xr:uid="{00000000-0005-0000-0000-000015510000}"/>
    <cellStyle name="Normal 2 2 2 5 2 15 2 6" xfId="20795" xr:uid="{00000000-0005-0000-0000-000016510000}"/>
    <cellStyle name="Normal 2 2 2 5 2 15 2 7" xfId="20796" xr:uid="{00000000-0005-0000-0000-000017510000}"/>
    <cellStyle name="Normal 2 2 2 5 2 15 2 8" xfId="20797" xr:uid="{00000000-0005-0000-0000-000018510000}"/>
    <cellStyle name="Normal 2 2 2 5 2 15 2 9" xfId="20798" xr:uid="{00000000-0005-0000-0000-000019510000}"/>
    <cellStyle name="Normal 2 2 2 5 2 15 3" xfId="20799" xr:uid="{00000000-0005-0000-0000-00001A510000}"/>
    <cellStyle name="Normal 2 2 2 5 2 15 3 10" xfId="20800" xr:uid="{00000000-0005-0000-0000-00001B510000}"/>
    <cellStyle name="Normal 2 2 2 5 2 15 3 2" xfId="20801" xr:uid="{00000000-0005-0000-0000-00001C510000}"/>
    <cellStyle name="Normal 2 2 2 5 2 15 3 3" xfId="20802" xr:uid="{00000000-0005-0000-0000-00001D510000}"/>
    <cellStyle name="Normal 2 2 2 5 2 15 3 4" xfId="20803" xr:uid="{00000000-0005-0000-0000-00001E510000}"/>
    <cellStyle name="Normal 2 2 2 5 2 15 3 5" xfId="20804" xr:uid="{00000000-0005-0000-0000-00001F510000}"/>
    <cellStyle name="Normal 2 2 2 5 2 15 3 6" xfId="20805" xr:uid="{00000000-0005-0000-0000-000020510000}"/>
    <cellStyle name="Normal 2 2 2 5 2 15 3 7" xfId="20806" xr:uid="{00000000-0005-0000-0000-000021510000}"/>
    <cellStyle name="Normal 2 2 2 5 2 15 3 8" xfId="20807" xr:uid="{00000000-0005-0000-0000-000022510000}"/>
    <cellStyle name="Normal 2 2 2 5 2 15 3 9" xfId="20808" xr:uid="{00000000-0005-0000-0000-000023510000}"/>
    <cellStyle name="Normal 2 2 2 5 2 15 4" xfId="20809" xr:uid="{00000000-0005-0000-0000-000024510000}"/>
    <cellStyle name="Normal 2 2 2 5 2 15 4 10" xfId="20810" xr:uid="{00000000-0005-0000-0000-000025510000}"/>
    <cellStyle name="Normal 2 2 2 5 2 15 4 2" xfId="20811" xr:uid="{00000000-0005-0000-0000-000026510000}"/>
    <cellStyle name="Normal 2 2 2 5 2 15 4 3" xfId="20812" xr:uid="{00000000-0005-0000-0000-000027510000}"/>
    <cellStyle name="Normal 2 2 2 5 2 15 4 4" xfId="20813" xr:uid="{00000000-0005-0000-0000-000028510000}"/>
    <cellStyle name="Normal 2 2 2 5 2 15 4 5" xfId="20814" xr:uid="{00000000-0005-0000-0000-000029510000}"/>
    <cellStyle name="Normal 2 2 2 5 2 15 4 6" xfId="20815" xr:uid="{00000000-0005-0000-0000-00002A510000}"/>
    <cellStyle name="Normal 2 2 2 5 2 15 4 7" xfId="20816" xr:uid="{00000000-0005-0000-0000-00002B510000}"/>
    <cellStyle name="Normal 2 2 2 5 2 15 4 8" xfId="20817" xr:uid="{00000000-0005-0000-0000-00002C510000}"/>
    <cellStyle name="Normal 2 2 2 5 2 15 4 9" xfId="20818" xr:uid="{00000000-0005-0000-0000-00002D510000}"/>
    <cellStyle name="Normal 2 2 2 5 2 15 5" xfId="20819" xr:uid="{00000000-0005-0000-0000-00002E510000}"/>
    <cellStyle name="Normal 2 2 2 5 2 15 5 10" xfId="20820" xr:uid="{00000000-0005-0000-0000-00002F510000}"/>
    <cellStyle name="Normal 2 2 2 5 2 15 5 2" xfId="20821" xr:uid="{00000000-0005-0000-0000-000030510000}"/>
    <cellStyle name="Normal 2 2 2 5 2 15 5 3" xfId="20822" xr:uid="{00000000-0005-0000-0000-000031510000}"/>
    <cellStyle name="Normal 2 2 2 5 2 15 5 4" xfId="20823" xr:uid="{00000000-0005-0000-0000-000032510000}"/>
    <cellStyle name="Normal 2 2 2 5 2 15 5 5" xfId="20824" xr:uid="{00000000-0005-0000-0000-000033510000}"/>
    <cellStyle name="Normal 2 2 2 5 2 15 5 6" xfId="20825" xr:uid="{00000000-0005-0000-0000-000034510000}"/>
    <cellStyle name="Normal 2 2 2 5 2 15 5 7" xfId="20826" xr:uid="{00000000-0005-0000-0000-000035510000}"/>
    <cellStyle name="Normal 2 2 2 5 2 15 5 8" xfId="20827" xr:uid="{00000000-0005-0000-0000-000036510000}"/>
    <cellStyle name="Normal 2 2 2 5 2 15 5 9" xfId="20828" xr:uid="{00000000-0005-0000-0000-000037510000}"/>
    <cellStyle name="Normal 2 2 2 5 2 15 6" xfId="20829" xr:uid="{00000000-0005-0000-0000-000038510000}"/>
    <cellStyle name="Normal 2 2 2 5 2 15 7" xfId="20830" xr:uid="{00000000-0005-0000-0000-000039510000}"/>
    <cellStyle name="Normal 2 2 2 5 2 15 8" xfId="20831" xr:uid="{00000000-0005-0000-0000-00003A510000}"/>
    <cellStyle name="Normal 2 2 2 5 2 15 9" xfId="20832" xr:uid="{00000000-0005-0000-0000-00003B510000}"/>
    <cellStyle name="Normal 2 2 2 5 2 16" xfId="20833" xr:uid="{00000000-0005-0000-0000-00003C510000}"/>
    <cellStyle name="Normal 2 2 2 5 2 16 10" xfId="20834" xr:uid="{00000000-0005-0000-0000-00003D510000}"/>
    <cellStyle name="Normal 2 2 2 5 2 16 11" xfId="20835" xr:uid="{00000000-0005-0000-0000-00003E510000}"/>
    <cellStyle name="Normal 2 2 2 5 2 16 12" xfId="20836" xr:uid="{00000000-0005-0000-0000-00003F510000}"/>
    <cellStyle name="Normal 2 2 2 5 2 16 13" xfId="20837" xr:uid="{00000000-0005-0000-0000-000040510000}"/>
    <cellStyle name="Normal 2 2 2 5 2 16 14" xfId="20838" xr:uid="{00000000-0005-0000-0000-000041510000}"/>
    <cellStyle name="Normal 2 2 2 5 2 16 2" xfId="20839" xr:uid="{00000000-0005-0000-0000-000042510000}"/>
    <cellStyle name="Normal 2 2 2 5 2 16 2 10" xfId="20840" xr:uid="{00000000-0005-0000-0000-000043510000}"/>
    <cellStyle name="Normal 2 2 2 5 2 16 2 2" xfId="20841" xr:uid="{00000000-0005-0000-0000-000044510000}"/>
    <cellStyle name="Normal 2 2 2 5 2 16 2 3" xfId="20842" xr:uid="{00000000-0005-0000-0000-000045510000}"/>
    <cellStyle name="Normal 2 2 2 5 2 16 2 4" xfId="20843" xr:uid="{00000000-0005-0000-0000-000046510000}"/>
    <cellStyle name="Normal 2 2 2 5 2 16 2 5" xfId="20844" xr:uid="{00000000-0005-0000-0000-000047510000}"/>
    <cellStyle name="Normal 2 2 2 5 2 16 2 6" xfId="20845" xr:uid="{00000000-0005-0000-0000-000048510000}"/>
    <cellStyle name="Normal 2 2 2 5 2 16 2 7" xfId="20846" xr:uid="{00000000-0005-0000-0000-000049510000}"/>
    <cellStyle name="Normal 2 2 2 5 2 16 2 8" xfId="20847" xr:uid="{00000000-0005-0000-0000-00004A510000}"/>
    <cellStyle name="Normal 2 2 2 5 2 16 2 9" xfId="20848" xr:uid="{00000000-0005-0000-0000-00004B510000}"/>
    <cellStyle name="Normal 2 2 2 5 2 16 3" xfId="20849" xr:uid="{00000000-0005-0000-0000-00004C510000}"/>
    <cellStyle name="Normal 2 2 2 5 2 16 3 10" xfId="20850" xr:uid="{00000000-0005-0000-0000-00004D510000}"/>
    <cellStyle name="Normal 2 2 2 5 2 16 3 2" xfId="20851" xr:uid="{00000000-0005-0000-0000-00004E510000}"/>
    <cellStyle name="Normal 2 2 2 5 2 16 3 3" xfId="20852" xr:uid="{00000000-0005-0000-0000-00004F510000}"/>
    <cellStyle name="Normal 2 2 2 5 2 16 3 4" xfId="20853" xr:uid="{00000000-0005-0000-0000-000050510000}"/>
    <cellStyle name="Normal 2 2 2 5 2 16 3 5" xfId="20854" xr:uid="{00000000-0005-0000-0000-000051510000}"/>
    <cellStyle name="Normal 2 2 2 5 2 16 3 6" xfId="20855" xr:uid="{00000000-0005-0000-0000-000052510000}"/>
    <cellStyle name="Normal 2 2 2 5 2 16 3 7" xfId="20856" xr:uid="{00000000-0005-0000-0000-000053510000}"/>
    <cellStyle name="Normal 2 2 2 5 2 16 3 8" xfId="20857" xr:uid="{00000000-0005-0000-0000-000054510000}"/>
    <cellStyle name="Normal 2 2 2 5 2 16 3 9" xfId="20858" xr:uid="{00000000-0005-0000-0000-000055510000}"/>
    <cellStyle name="Normal 2 2 2 5 2 16 4" xfId="20859" xr:uid="{00000000-0005-0000-0000-000056510000}"/>
    <cellStyle name="Normal 2 2 2 5 2 16 4 10" xfId="20860" xr:uid="{00000000-0005-0000-0000-000057510000}"/>
    <cellStyle name="Normal 2 2 2 5 2 16 4 2" xfId="20861" xr:uid="{00000000-0005-0000-0000-000058510000}"/>
    <cellStyle name="Normal 2 2 2 5 2 16 4 3" xfId="20862" xr:uid="{00000000-0005-0000-0000-000059510000}"/>
    <cellStyle name="Normal 2 2 2 5 2 16 4 4" xfId="20863" xr:uid="{00000000-0005-0000-0000-00005A510000}"/>
    <cellStyle name="Normal 2 2 2 5 2 16 4 5" xfId="20864" xr:uid="{00000000-0005-0000-0000-00005B510000}"/>
    <cellStyle name="Normal 2 2 2 5 2 16 4 6" xfId="20865" xr:uid="{00000000-0005-0000-0000-00005C510000}"/>
    <cellStyle name="Normal 2 2 2 5 2 16 4 7" xfId="20866" xr:uid="{00000000-0005-0000-0000-00005D510000}"/>
    <cellStyle name="Normal 2 2 2 5 2 16 4 8" xfId="20867" xr:uid="{00000000-0005-0000-0000-00005E510000}"/>
    <cellStyle name="Normal 2 2 2 5 2 16 4 9" xfId="20868" xr:uid="{00000000-0005-0000-0000-00005F510000}"/>
    <cellStyle name="Normal 2 2 2 5 2 16 5" xfId="20869" xr:uid="{00000000-0005-0000-0000-000060510000}"/>
    <cellStyle name="Normal 2 2 2 5 2 16 5 10" xfId="20870" xr:uid="{00000000-0005-0000-0000-000061510000}"/>
    <cellStyle name="Normal 2 2 2 5 2 16 5 2" xfId="20871" xr:uid="{00000000-0005-0000-0000-000062510000}"/>
    <cellStyle name="Normal 2 2 2 5 2 16 5 3" xfId="20872" xr:uid="{00000000-0005-0000-0000-000063510000}"/>
    <cellStyle name="Normal 2 2 2 5 2 16 5 4" xfId="20873" xr:uid="{00000000-0005-0000-0000-000064510000}"/>
    <cellStyle name="Normal 2 2 2 5 2 16 5 5" xfId="20874" xr:uid="{00000000-0005-0000-0000-000065510000}"/>
    <cellStyle name="Normal 2 2 2 5 2 16 5 6" xfId="20875" xr:uid="{00000000-0005-0000-0000-000066510000}"/>
    <cellStyle name="Normal 2 2 2 5 2 16 5 7" xfId="20876" xr:uid="{00000000-0005-0000-0000-000067510000}"/>
    <cellStyle name="Normal 2 2 2 5 2 16 5 8" xfId="20877" xr:uid="{00000000-0005-0000-0000-000068510000}"/>
    <cellStyle name="Normal 2 2 2 5 2 16 5 9" xfId="20878" xr:uid="{00000000-0005-0000-0000-000069510000}"/>
    <cellStyle name="Normal 2 2 2 5 2 16 6" xfId="20879" xr:uid="{00000000-0005-0000-0000-00006A510000}"/>
    <cellStyle name="Normal 2 2 2 5 2 16 7" xfId="20880" xr:uid="{00000000-0005-0000-0000-00006B510000}"/>
    <cellStyle name="Normal 2 2 2 5 2 16 8" xfId="20881" xr:uid="{00000000-0005-0000-0000-00006C510000}"/>
    <cellStyle name="Normal 2 2 2 5 2 16 9" xfId="20882" xr:uid="{00000000-0005-0000-0000-00006D510000}"/>
    <cellStyle name="Normal 2 2 2 5 2 17" xfId="20883" xr:uid="{00000000-0005-0000-0000-00006E510000}"/>
    <cellStyle name="Normal 2 2 2 5 2 17 10" xfId="20884" xr:uid="{00000000-0005-0000-0000-00006F510000}"/>
    <cellStyle name="Normal 2 2 2 5 2 17 11" xfId="20885" xr:uid="{00000000-0005-0000-0000-000070510000}"/>
    <cellStyle name="Normal 2 2 2 5 2 17 12" xfId="20886" xr:uid="{00000000-0005-0000-0000-000071510000}"/>
    <cellStyle name="Normal 2 2 2 5 2 17 13" xfId="20887" xr:uid="{00000000-0005-0000-0000-000072510000}"/>
    <cellStyle name="Normal 2 2 2 5 2 17 14" xfId="20888" xr:uid="{00000000-0005-0000-0000-000073510000}"/>
    <cellStyle name="Normal 2 2 2 5 2 17 2" xfId="20889" xr:uid="{00000000-0005-0000-0000-000074510000}"/>
    <cellStyle name="Normal 2 2 2 5 2 17 2 10" xfId="20890" xr:uid="{00000000-0005-0000-0000-000075510000}"/>
    <cellStyle name="Normal 2 2 2 5 2 17 2 2" xfId="20891" xr:uid="{00000000-0005-0000-0000-000076510000}"/>
    <cellStyle name="Normal 2 2 2 5 2 17 2 3" xfId="20892" xr:uid="{00000000-0005-0000-0000-000077510000}"/>
    <cellStyle name="Normal 2 2 2 5 2 17 2 4" xfId="20893" xr:uid="{00000000-0005-0000-0000-000078510000}"/>
    <cellStyle name="Normal 2 2 2 5 2 17 2 5" xfId="20894" xr:uid="{00000000-0005-0000-0000-000079510000}"/>
    <cellStyle name="Normal 2 2 2 5 2 17 2 6" xfId="20895" xr:uid="{00000000-0005-0000-0000-00007A510000}"/>
    <cellStyle name="Normal 2 2 2 5 2 17 2 7" xfId="20896" xr:uid="{00000000-0005-0000-0000-00007B510000}"/>
    <cellStyle name="Normal 2 2 2 5 2 17 2 8" xfId="20897" xr:uid="{00000000-0005-0000-0000-00007C510000}"/>
    <cellStyle name="Normal 2 2 2 5 2 17 2 9" xfId="20898" xr:uid="{00000000-0005-0000-0000-00007D510000}"/>
    <cellStyle name="Normal 2 2 2 5 2 17 3" xfId="20899" xr:uid="{00000000-0005-0000-0000-00007E510000}"/>
    <cellStyle name="Normal 2 2 2 5 2 17 3 10" xfId="20900" xr:uid="{00000000-0005-0000-0000-00007F510000}"/>
    <cellStyle name="Normal 2 2 2 5 2 17 3 2" xfId="20901" xr:uid="{00000000-0005-0000-0000-000080510000}"/>
    <cellStyle name="Normal 2 2 2 5 2 17 3 3" xfId="20902" xr:uid="{00000000-0005-0000-0000-000081510000}"/>
    <cellStyle name="Normal 2 2 2 5 2 17 3 4" xfId="20903" xr:uid="{00000000-0005-0000-0000-000082510000}"/>
    <cellStyle name="Normal 2 2 2 5 2 17 3 5" xfId="20904" xr:uid="{00000000-0005-0000-0000-000083510000}"/>
    <cellStyle name="Normal 2 2 2 5 2 17 3 6" xfId="20905" xr:uid="{00000000-0005-0000-0000-000084510000}"/>
    <cellStyle name="Normal 2 2 2 5 2 17 3 7" xfId="20906" xr:uid="{00000000-0005-0000-0000-000085510000}"/>
    <cellStyle name="Normal 2 2 2 5 2 17 3 8" xfId="20907" xr:uid="{00000000-0005-0000-0000-000086510000}"/>
    <cellStyle name="Normal 2 2 2 5 2 17 3 9" xfId="20908" xr:uid="{00000000-0005-0000-0000-000087510000}"/>
    <cellStyle name="Normal 2 2 2 5 2 17 4" xfId="20909" xr:uid="{00000000-0005-0000-0000-000088510000}"/>
    <cellStyle name="Normal 2 2 2 5 2 17 4 10" xfId="20910" xr:uid="{00000000-0005-0000-0000-000089510000}"/>
    <cellStyle name="Normal 2 2 2 5 2 17 4 2" xfId="20911" xr:uid="{00000000-0005-0000-0000-00008A510000}"/>
    <cellStyle name="Normal 2 2 2 5 2 17 4 3" xfId="20912" xr:uid="{00000000-0005-0000-0000-00008B510000}"/>
    <cellStyle name="Normal 2 2 2 5 2 17 4 4" xfId="20913" xr:uid="{00000000-0005-0000-0000-00008C510000}"/>
    <cellStyle name="Normal 2 2 2 5 2 17 4 5" xfId="20914" xr:uid="{00000000-0005-0000-0000-00008D510000}"/>
    <cellStyle name="Normal 2 2 2 5 2 17 4 6" xfId="20915" xr:uid="{00000000-0005-0000-0000-00008E510000}"/>
    <cellStyle name="Normal 2 2 2 5 2 17 4 7" xfId="20916" xr:uid="{00000000-0005-0000-0000-00008F510000}"/>
    <cellStyle name="Normal 2 2 2 5 2 17 4 8" xfId="20917" xr:uid="{00000000-0005-0000-0000-000090510000}"/>
    <cellStyle name="Normal 2 2 2 5 2 17 4 9" xfId="20918" xr:uid="{00000000-0005-0000-0000-000091510000}"/>
    <cellStyle name="Normal 2 2 2 5 2 17 5" xfId="20919" xr:uid="{00000000-0005-0000-0000-000092510000}"/>
    <cellStyle name="Normal 2 2 2 5 2 17 5 10" xfId="20920" xr:uid="{00000000-0005-0000-0000-000093510000}"/>
    <cellStyle name="Normal 2 2 2 5 2 17 5 2" xfId="20921" xr:uid="{00000000-0005-0000-0000-000094510000}"/>
    <cellStyle name="Normal 2 2 2 5 2 17 5 3" xfId="20922" xr:uid="{00000000-0005-0000-0000-000095510000}"/>
    <cellStyle name="Normal 2 2 2 5 2 17 5 4" xfId="20923" xr:uid="{00000000-0005-0000-0000-000096510000}"/>
    <cellStyle name="Normal 2 2 2 5 2 17 5 5" xfId="20924" xr:uid="{00000000-0005-0000-0000-000097510000}"/>
    <cellStyle name="Normal 2 2 2 5 2 17 5 6" xfId="20925" xr:uid="{00000000-0005-0000-0000-000098510000}"/>
    <cellStyle name="Normal 2 2 2 5 2 17 5 7" xfId="20926" xr:uid="{00000000-0005-0000-0000-000099510000}"/>
    <cellStyle name="Normal 2 2 2 5 2 17 5 8" xfId="20927" xr:uid="{00000000-0005-0000-0000-00009A510000}"/>
    <cellStyle name="Normal 2 2 2 5 2 17 5 9" xfId="20928" xr:uid="{00000000-0005-0000-0000-00009B510000}"/>
    <cellStyle name="Normal 2 2 2 5 2 17 6" xfId="20929" xr:uid="{00000000-0005-0000-0000-00009C510000}"/>
    <cellStyle name="Normal 2 2 2 5 2 17 7" xfId="20930" xr:uid="{00000000-0005-0000-0000-00009D510000}"/>
    <cellStyle name="Normal 2 2 2 5 2 17 8" xfId="20931" xr:uid="{00000000-0005-0000-0000-00009E510000}"/>
    <cellStyle name="Normal 2 2 2 5 2 17 9" xfId="20932" xr:uid="{00000000-0005-0000-0000-00009F510000}"/>
    <cellStyle name="Normal 2 2 2 5 2 18" xfId="20933" xr:uid="{00000000-0005-0000-0000-0000A0510000}"/>
    <cellStyle name="Normal 2 2 2 5 2 18 10" xfId="20934" xr:uid="{00000000-0005-0000-0000-0000A1510000}"/>
    <cellStyle name="Normal 2 2 2 5 2 18 11" xfId="20935" xr:uid="{00000000-0005-0000-0000-0000A2510000}"/>
    <cellStyle name="Normal 2 2 2 5 2 18 12" xfId="20936" xr:uid="{00000000-0005-0000-0000-0000A3510000}"/>
    <cellStyle name="Normal 2 2 2 5 2 18 13" xfId="20937" xr:uid="{00000000-0005-0000-0000-0000A4510000}"/>
    <cellStyle name="Normal 2 2 2 5 2 18 14" xfId="20938" xr:uid="{00000000-0005-0000-0000-0000A5510000}"/>
    <cellStyle name="Normal 2 2 2 5 2 18 2" xfId="20939" xr:uid="{00000000-0005-0000-0000-0000A6510000}"/>
    <cellStyle name="Normal 2 2 2 5 2 18 2 10" xfId="20940" xr:uid="{00000000-0005-0000-0000-0000A7510000}"/>
    <cellStyle name="Normal 2 2 2 5 2 18 2 2" xfId="20941" xr:uid="{00000000-0005-0000-0000-0000A8510000}"/>
    <cellStyle name="Normal 2 2 2 5 2 18 2 3" xfId="20942" xr:uid="{00000000-0005-0000-0000-0000A9510000}"/>
    <cellStyle name="Normal 2 2 2 5 2 18 2 4" xfId="20943" xr:uid="{00000000-0005-0000-0000-0000AA510000}"/>
    <cellStyle name="Normal 2 2 2 5 2 18 2 5" xfId="20944" xr:uid="{00000000-0005-0000-0000-0000AB510000}"/>
    <cellStyle name="Normal 2 2 2 5 2 18 2 6" xfId="20945" xr:uid="{00000000-0005-0000-0000-0000AC510000}"/>
    <cellStyle name="Normal 2 2 2 5 2 18 2 7" xfId="20946" xr:uid="{00000000-0005-0000-0000-0000AD510000}"/>
    <cellStyle name="Normal 2 2 2 5 2 18 2 8" xfId="20947" xr:uid="{00000000-0005-0000-0000-0000AE510000}"/>
    <cellStyle name="Normal 2 2 2 5 2 18 2 9" xfId="20948" xr:uid="{00000000-0005-0000-0000-0000AF510000}"/>
    <cellStyle name="Normal 2 2 2 5 2 18 3" xfId="20949" xr:uid="{00000000-0005-0000-0000-0000B0510000}"/>
    <cellStyle name="Normal 2 2 2 5 2 18 3 10" xfId="20950" xr:uid="{00000000-0005-0000-0000-0000B1510000}"/>
    <cellStyle name="Normal 2 2 2 5 2 18 3 2" xfId="20951" xr:uid="{00000000-0005-0000-0000-0000B2510000}"/>
    <cellStyle name="Normal 2 2 2 5 2 18 3 3" xfId="20952" xr:uid="{00000000-0005-0000-0000-0000B3510000}"/>
    <cellStyle name="Normal 2 2 2 5 2 18 3 4" xfId="20953" xr:uid="{00000000-0005-0000-0000-0000B4510000}"/>
    <cellStyle name="Normal 2 2 2 5 2 18 3 5" xfId="20954" xr:uid="{00000000-0005-0000-0000-0000B5510000}"/>
    <cellStyle name="Normal 2 2 2 5 2 18 3 6" xfId="20955" xr:uid="{00000000-0005-0000-0000-0000B6510000}"/>
    <cellStyle name="Normal 2 2 2 5 2 18 3 7" xfId="20956" xr:uid="{00000000-0005-0000-0000-0000B7510000}"/>
    <cellStyle name="Normal 2 2 2 5 2 18 3 8" xfId="20957" xr:uid="{00000000-0005-0000-0000-0000B8510000}"/>
    <cellStyle name="Normal 2 2 2 5 2 18 3 9" xfId="20958" xr:uid="{00000000-0005-0000-0000-0000B9510000}"/>
    <cellStyle name="Normal 2 2 2 5 2 18 4" xfId="20959" xr:uid="{00000000-0005-0000-0000-0000BA510000}"/>
    <cellStyle name="Normal 2 2 2 5 2 18 4 10" xfId="20960" xr:uid="{00000000-0005-0000-0000-0000BB510000}"/>
    <cellStyle name="Normal 2 2 2 5 2 18 4 2" xfId="20961" xr:uid="{00000000-0005-0000-0000-0000BC510000}"/>
    <cellStyle name="Normal 2 2 2 5 2 18 4 3" xfId="20962" xr:uid="{00000000-0005-0000-0000-0000BD510000}"/>
    <cellStyle name="Normal 2 2 2 5 2 18 4 4" xfId="20963" xr:uid="{00000000-0005-0000-0000-0000BE510000}"/>
    <cellStyle name="Normal 2 2 2 5 2 18 4 5" xfId="20964" xr:uid="{00000000-0005-0000-0000-0000BF510000}"/>
    <cellStyle name="Normal 2 2 2 5 2 18 4 6" xfId="20965" xr:uid="{00000000-0005-0000-0000-0000C0510000}"/>
    <cellStyle name="Normal 2 2 2 5 2 18 4 7" xfId="20966" xr:uid="{00000000-0005-0000-0000-0000C1510000}"/>
    <cellStyle name="Normal 2 2 2 5 2 18 4 8" xfId="20967" xr:uid="{00000000-0005-0000-0000-0000C2510000}"/>
    <cellStyle name="Normal 2 2 2 5 2 18 4 9" xfId="20968" xr:uid="{00000000-0005-0000-0000-0000C3510000}"/>
    <cellStyle name="Normal 2 2 2 5 2 18 5" xfId="20969" xr:uid="{00000000-0005-0000-0000-0000C4510000}"/>
    <cellStyle name="Normal 2 2 2 5 2 18 5 10" xfId="20970" xr:uid="{00000000-0005-0000-0000-0000C5510000}"/>
    <cellStyle name="Normal 2 2 2 5 2 18 5 2" xfId="20971" xr:uid="{00000000-0005-0000-0000-0000C6510000}"/>
    <cellStyle name="Normal 2 2 2 5 2 18 5 3" xfId="20972" xr:uid="{00000000-0005-0000-0000-0000C7510000}"/>
    <cellStyle name="Normal 2 2 2 5 2 18 5 4" xfId="20973" xr:uid="{00000000-0005-0000-0000-0000C8510000}"/>
    <cellStyle name="Normal 2 2 2 5 2 18 5 5" xfId="20974" xr:uid="{00000000-0005-0000-0000-0000C9510000}"/>
    <cellStyle name="Normal 2 2 2 5 2 18 5 6" xfId="20975" xr:uid="{00000000-0005-0000-0000-0000CA510000}"/>
    <cellStyle name="Normal 2 2 2 5 2 18 5 7" xfId="20976" xr:uid="{00000000-0005-0000-0000-0000CB510000}"/>
    <cellStyle name="Normal 2 2 2 5 2 18 5 8" xfId="20977" xr:uid="{00000000-0005-0000-0000-0000CC510000}"/>
    <cellStyle name="Normal 2 2 2 5 2 18 5 9" xfId="20978" xr:uid="{00000000-0005-0000-0000-0000CD510000}"/>
    <cellStyle name="Normal 2 2 2 5 2 18 6" xfId="20979" xr:uid="{00000000-0005-0000-0000-0000CE510000}"/>
    <cellStyle name="Normal 2 2 2 5 2 18 7" xfId="20980" xr:uid="{00000000-0005-0000-0000-0000CF510000}"/>
    <cellStyle name="Normal 2 2 2 5 2 18 8" xfId="20981" xr:uid="{00000000-0005-0000-0000-0000D0510000}"/>
    <cellStyle name="Normal 2 2 2 5 2 18 9" xfId="20982" xr:uid="{00000000-0005-0000-0000-0000D1510000}"/>
    <cellStyle name="Normal 2 2 2 5 2 19" xfId="20983" xr:uid="{00000000-0005-0000-0000-0000D2510000}"/>
    <cellStyle name="Normal 2 2 2 5 2 19 10" xfId="20984" xr:uid="{00000000-0005-0000-0000-0000D3510000}"/>
    <cellStyle name="Normal 2 2 2 5 2 19 11" xfId="20985" xr:uid="{00000000-0005-0000-0000-0000D4510000}"/>
    <cellStyle name="Normal 2 2 2 5 2 19 12" xfId="20986" xr:uid="{00000000-0005-0000-0000-0000D5510000}"/>
    <cellStyle name="Normal 2 2 2 5 2 19 13" xfId="20987" xr:uid="{00000000-0005-0000-0000-0000D6510000}"/>
    <cellStyle name="Normal 2 2 2 5 2 19 14" xfId="20988" xr:uid="{00000000-0005-0000-0000-0000D7510000}"/>
    <cellStyle name="Normal 2 2 2 5 2 19 2" xfId="20989" xr:uid="{00000000-0005-0000-0000-0000D8510000}"/>
    <cellStyle name="Normal 2 2 2 5 2 19 2 10" xfId="20990" xr:uid="{00000000-0005-0000-0000-0000D9510000}"/>
    <cellStyle name="Normal 2 2 2 5 2 19 2 2" xfId="20991" xr:uid="{00000000-0005-0000-0000-0000DA510000}"/>
    <cellStyle name="Normal 2 2 2 5 2 19 2 3" xfId="20992" xr:uid="{00000000-0005-0000-0000-0000DB510000}"/>
    <cellStyle name="Normal 2 2 2 5 2 19 2 4" xfId="20993" xr:uid="{00000000-0005-0000-0000-0000DC510000}"/>
    <cellStyle name="Normal 2 2 2 5 2 19 2 5" xfId="20994" xr:uid="{00000000-0005-0000-0000-0000DD510000}"/>
    <cellStyle name="Normal 2 2 2 5 2 19 2 6" xfId="20995" xr:uid="{00000000-0005-0000-0000-0000DE510000}"/>
    <cellStyle name="Normal 2 2 2 5 2 19 2 7" xfId="20996" xr:uid="{00000000-0005-0000-0000-0000DF510000}"/>
    <cellStyle name="Normal 2 2 2 5 2 19 2 8" xfId="20997" xr:uid="{00000000-0005-0000-0000-0000E0510000}"/>
    <cellStyle name="Normal 2 2 2 5 2 19 2 9" xfId="20998" xr:uid="{00000000-0005-0000-0000-0000E1510000}"/>
    <cellStyle name="Normal 2 2 2 5 2 19 3" xfId="20999" xr:uid="{00000000-0005-0000-0000-0000E2510000}"/>
    <cellStyle name="Normal 2 2 2 5 2 19 3 10" xfId="21000" xr:uid="{00000000-0005-0000-0000-0000E3510000}"/>
    <cellStyle name="Normal 2 2 2 5 2 19 3 2" xfId="21001" xr:uid="{00000000-0005-0000-0000-0000E4510000}"/>
    <cellStyle name="Normal 2 2 2 5 2 19 3 3" xfId="21002" xr:uid="{00000000-0005-0000-0000-0000E5510000}"/>
    <cellStyle name="Normal 2 2 2 5 2 19 3 4" xfId="21003" xr:uid="{00000000-0005-0000-0000-0000E6510000}"/>
    <cellStyle name="Normal 2 2 2 5 2 19 3 5" xfId="21004" xr:uid="{00000000-0005-0000-0000-0000E7510000}"/>
    <cellStyle name="Normal 2 2 2 5 2 19 3 6" xfId="21005" xr:uid="{00000000-0005-0000-0000-0000E8510000}"/>
    <cellStyle name="Normal 2 2 2 5 2 19 3 7" xfId="21006" xr:uid="{00000000-0005-0000-0000-0000E9510000}"/>
    <cellStyle name="Normal 2 2 2 5 2 19 3 8" xfId="21007" xr:uid="{00000000-0005-0000-0000-0000EA510000}"/>
    <cellStyle name="Normal 2 2 2 5 2 19 3 9" xfId="21008" xr:uid="{00000000-0005-0000-0000-0000EB510000}"/>
    <cellStyle name="Normal 2 2 2 5 2 19 4" xfId="21009" xr:uid="{00000000-0005-0000-0000-0000EC510000}"/>
    <cellStyle name="Normal 2 2 2 5 2 19 4 10" xfId="21010" xr:uid="{00000000-0005-0000-0000-0000ED510000}"/>
    <cellStyle name="Normal 2 2 2 5 2 19 4 2" xfId="21011" xr:uid="{00000000-0005-0000-0000-0000EE510000}"/>
    <cellStyle name="Normal 2 2 2 5 2 19 4 3" xfId="21012" xr:uid="{00000000-0005-0000-0000-0000EF510000}"/>
    <cellStyle name="Normal 2 2 2 5 2 19 4 4" xfId="21013" xr:uid="{00000000-0005-0000-0000-0000F0510000}"/>
    <cellStyle name="Normal 2 2 2 5 2 19 4 5" xfId="21014" xr:uid="{00000000-0005-0000-0000-0000F1510000}"/>
    <cellStyle name="Normal 2 2 2 5 2 19 4 6" xfId="21015" xr:uid="{00000000-0005-0000-0000-0000F2510000}"/>
    <cellStyle name="Normal 2 2 2 5 2 19 4 7" xfId="21016" xr:uid="{00000000-0005-0000-0000-0000F3510000}"/>
    <cellStyle name="Normal 2 2 2 5 2 19 4 8" xfId="21017" xr:uid="{00000000-0005-0000-0000-0000F4510000}"/>
    <cellStyle name="Normal 2 2 2 5 2 19 4 9" xfId="21018" xr:uid="{00000000-0005-0000-0000-0000F5510000}"/>
    <cellStyle name="Normal 2 2 2 5 2 19 5" xfId="21019" xr:uid="{00000000-0005-0000-0000-0000F6510000}"/>
    <cellStyle name="Normal 2 2 2 5 2 19 5 10" xfId="21020" xr:uid="{00000000-0005-0000-0000-0000F7510000}"/>
    <cellStyle name="Normal 2 2 2 5 2 19 5 2" xfId="21021" xr:uid="{00000000-0005-0000-0000-0000F8510000}"/>
    <cellStyle name="Normal 2 2 2 5 2 19 5 3" xfId="21022" xr:uid="{00000000-0005-0000-0000-0000F9510000}"/>
    <cellStyle name="Normal 2 2 2 5 2 19 5 4" xfId="21023" xr:uid="{00000000-0005-0000-0000-0000FA510000}"/>
    <cellStyle name="Normal 2 2 2 5 2 19 5 5" xfId="21024" xr:uid="{00000000-0005-0000-0000-0000FB510000}"/>
    <cellStyle name="Normal 2 2 2 5 2 19 5 6" xfId="21025" xr:uid="{00000000-0005-0000-0000-0000FC510000}"/>
    <cellStyle name="Normal 2 2 2 5 2 19 5 7" xfId="21026" xr:uid="{00000000-0005-0000-0000-0000FD510000}"/>
    <cellStyle name="Normal 2 2 2 5 2 19 5 8" xfId="21027" xr:uid="{00000000-0005-0000-0000-0000FE510000}"/>
    <cellStyle name="Normal 2 2 2 5 2 19 5 9" xfId="21028" xr:uid="{00000000-0005-0000-0000-0000FF510000}"/>
    <cellStyle name="Normal 2 2 2 5 2 19 6" xfId="21029" xr:uid="{00000000-0005-0000-0000-000000520000}"/>
    <cellStyle name="Normal 2 2 2 5 2 19 7" xfId="21030" xr:uid="{00000000-0005-0000-0000-000001520000}"/>
    <cellStyle name="Normal 2 2 2 5 2 19 8" xfId="21031" xr:uid="{00000000-0005-0000-0000-000002520000}"/>
    <cellStyle name="Normal 2 2 2 5 2 19 9" xfId="21032" xr:uid="{00000000-0005-0000-0000-000003520000}"/>
    <cellStyle name="Normal 2 2 2 5 2 2" xfId="21033" xr:uid="{00000000-0005-0000-0000-000004520000}"/>
    <cellStyle name="Normal 2 2 2 5 2 2 10" xfId="21034" xr:uid="{00000000-0005-0000-0000-000005520000}"/>
    <cellStyle name="Normal 2 2 2 5 2 2 11" xfId="21035" xr:uid="{00000000-0005-0000-0000-000006520000}"/>
    <cellStyle name="Normal 2 2 2 5 2 2 12" xfId="21036" xr:uid="{00000000-0005-0000-0000-000007520000}"/>
    <cellStyle name="Normal 2 2 2 5 2 2 13" xfId="21037" xr:uid="{00000000-0005-0000-0000-000008520000}"/>
    <cellStyle name="Normal 2 2 2 5 2 2 14" xfId="21038" xr:uid="{00000000-0005-0000-0000-000009520000}"/>
    <cellStyle name="Normal 2 2 2 5 2 2 2" xfId="21039" xr:uid="{00000000-0005-0000-0000-00000A520000}"/>
    <cellStyle name="Normal 2 2 2 5 2 2 2 10" xfId="21040" xr:uid="{00000000-0005-0000-0000-00000B520000}"/>
    <cellStyle name="Normal 2 2 2 5 2 2 2 2" xfId="21041" xr:uid="{00000000-0005-0000-0000-00000C520000}"/>
    <cellStyle name="Normal 2 2 2 5 2 2 2 3" xfId="21042" xr:uid="{00000000-0005-0000-0000-00000D520000}"/>
    <cellStyle name="Normal 2 2 2 5 2 2 2 4" xfId="21043" xr:uid="{00000000-0005-0000-0000-00000E520000}"/>
    <cellStyle name="Normal 2 2 2 5 2 2 2 5" xfId="21044" xr:uid="{00000000-0005-0000-0000-00000F520000}"/>
    <cellStyle name="Normal 2 2 2 5 2 2 2 6" xfId="21045" xr:uid="{00000000-0005-0000-0000-000010520000}"/>
    <cellStyle name="Normal 2 2 2 5 2 2 2 7" xfId="21046" xr:uid="{00000000-0005-0000-0000-000011520000}"/>
    <cellStyle name="Normal 2 2 2 5 2 2 2 8" xfId="21047" xr:uid="{00000000-0005-0000-0000-000012520000}"/>
    <cellStyle name="Normal 2 2 2 5 2 2 2 9" xfId="21048" xr:uid="{00000000-0005-0000-0000-000013520000}"/>
    <cellStyle name="Normal 2 2 2 5 2 2 3" xfId="21049" xr:uid="{00000000-0005-0000-0000-000014520000}"/>
    <cellStyle name="Normal 2 2 2 5 2 2 3 10" xfId="21050" xr:uid="{00000000-0005-0000-0000-000015520000}"/>
    <cellStyle name="Normal 2 2 2 5 2 2 3 2" xfId="21051" xr:uid="{00000000-0005-0000-0000-000016520000}"/>
    <cellStyle name="Normal 2 2 2 5 2 2 3 3" xfId="21052" xr:uid="{00000000-0005-0000-0000-000017520000}"/>
    <cellStyle name="Normal 2 2 2 5 2 2 3 4" xfId="21053" xr:uid="{00000000-0005-0000-0000-000018520000}"/>
    <cellStyle name="Normal 2 2 2 5 2 2 3 5" xfId="21054" xr:uid="{00000000-0005-0000-0000-000019520000}"/>
    <cellStyle name="Normal 2 2 2 5 2 2 3 6" xfId="21055" xr:uid="{00000000-0005-0000-0000-00001A520000}"/>
    <cellStyle name="Normal 2 2 2 5 2 2 3 7" xfId="21056" xr:uid="{00000000-0005-0000-0000-00001B520000}"/>
    <cellStyle name="Normal 2 2 2 5 2 2 3 8" xfId="21057" xr:uid="{00000000-0005-0000-0000-00001C520000}"/>
    <cellStyle name="Normal 2 2 2 5 2 2 3 9" xfId="21058" xr:uid="{00000000-0005-0000-0000-00001D520000}"/>
    <cellStyle name="Normal 2 2 2 5 2 2 4" xfId="21059" xr:uid="{00000000-0005-0000-0000-00001E520000}"/>
    <cellStyle name="Normal 2 2 2 5 2 2 4 10" xfId="21060" xr:uid="{00000000-0005-0000-0000-00001F520000}"/>
    <cellStyle name="Normal 2 2 2 5 2 2 4 2" xfId="21061" xr:uid="{00000000-0005-0000-0000-000020520000}"/>
    <cellStyle name="Normal 2 2 2 5 2 2 4 3" xfId="21062" xr:uid="{00000000-0005-0000-0000-000021520000}"/>
    <cellStyle name="Normal 2 2 2 5 2 2 4 4" xfId="21063" xr:uid="{00000000-0005-0000-0000-000022520000}"/>
    <cellStyle name="Normal 2 2 2 5 2 2 4 5" xfId="21064" xr:uid="{00000000-0005-0000-0000-000023520000}"/>
    <cellStyle name="Normal 2 2 2 5 2 2 4 6" xfId="21065" xr:uid="{00000000-0005-0000-0000-000024520000}"/>
    <cellStyle name="Normal 2 2 2 5 2 2 4 7" xfId="21066" xr:uid="{00000000-0005-0000-0000-000025520000}"/>
    <cellStyle name="Normal 2 2 2 5 2 2 4 8" xfId="21067" xr:uid="{00000000-0005-0000-0000-000026520000}"/>
    <cellStyle name="Normal 2 2 2 5 2 2 4 9" xfId="21068" xr:uid="{00000000-0005-0000-0000-000027520000}"/>
    <cellStyle name="Normal 2 2 2 5 2 2 5" xfId="21069" xr:uid="{00000000-0005-0000-0000-000028520000}"/>
    <cellStyle name="Normal 2 2 2 5 2 2 5 10" xfId="21070" xr:uid="{00000000-0005-0000-0000-000029520000}"/>
    <cellStyle name="Normal 2 2 2 5 2 2 5 2" xfId="21071" xr:uid="{00000000-0005-0000-0000-00002A520000}"/>
    <cellStyle name="Normal 2 2 2 5 2 2 5 3" xfId="21072" xr:uid="{00000000-0005-0000-0000-00002B520000}"/>
    <cellStyle name="Normal 2 2 2 5 2 2 5 4" xfId="21073" xr:uid="{00000000-0005-0000-0000-00002C520000}"/>
    <cellStyle name="Normal 2 2 2 5 2 2 5 5" xfId="21074" xr:uid="{00000000-0005-0000-0000-00002D520000}"/>
    <cellStyle name="Normal 2 2 2 5 2 2 5 6" xfId="21075" xr:uid="{00000000-0005-0000-0000-00002E520000}"/>
    <cellStyle name="Normal 2 2 2 5 2 2 5 7" xfId="21076" xr:uid="{00000000-0005-0000-0000-00002F520000}"/>
    <cellStyle name="Normal 2 2 2 5 2 2 5 8" xfId="21077" xr:uid="{00000000-0005-0000-0000-000030520000}"/>
    <cellStyle name="Normal 2 2 2 5 2 2 5 9" xfId="21078" xr:uid="{00000000-0005-0000-0000-000031520000}"/>
    <cellStyle name="Normal 2 2 2 5 2 2 6" xfId="21079" xr:uid="{00000000-0005-0000-0000-000032520000}"/>
    <cellStyle name="Normal 2 2 2 5 2 2 7" xfId="21080" xr:uid="{00000000-0005-0000-0000-000033520000}"/>
    <cellStyle name="Normal 2 2 2 5 2 2 8" xfId="21081" xr:uid="{00000000-0005-0000-0000-000034520000}"/>
    <cellStyle name="Normal 2 2 2 5 2 2 9" xfId="21082" xr:uid="{00000000-0005-0000-0000-000035520000}"/>
    <cellStyle name="Normal 2 2 2 5 2 20" xfId="21083" xr:uid="{00000000-0005-0000-0000-000036520000}"/>
    <cellStyle name="Normal 2 2 2 5 2 20 10" xfId="21084" xr:uid="{00000000-0005-0000-0000-000037520000}"/>
    <cellStyle name="Normal 2 2 2 5 2 20 11" xfId="21085" xr:uid="{00000000-0005-0000-0000-000038520000}"/>
    <cellStyle name="Normal 2 2 2 5 2 20 12" xfId="21086" xr:uid="{00000000-0005-0000-0000-000039520000}"/>
    <cellStyle name="Normal 2 2 2 5 2 20 13" xfId="21087" xr:uid="{00000000-0005-0000-0000-00003A520000}"/>
    <cellStyle name="Normal 2 2 2 5 2 20 14" xfId="21088" xr:uid="{00000000-0005-0000-0000-00003B520000}"/>
    <cellStyle name="Normal 2 2 2 5 2 20 2" xfId="21089" xr:uid="{00000000-0005-0000-0000-00003C520000}"/>
    <cellStyle name="Normal 2 2 2 5 2 20 2 10" xfId="21090" xr:uid="{00000000-0005-0000-0000-00003D520000}"/>
    <cellStyle name="Normal 2 2 2 5 2 20 2 2" xfId="21091" xr:uid="{00000000-0005-0000-0000-00003E520000}"/>
    <cellStyle name="Normal 2 2 2 5 2 20 2 3" xfId="21092" xr:uid="{00000000-0005-0000-0000-00003F520000}"/>
    <cellStyle name="Normal 2 2 2 5 2 20 2 4" xfId="21093" xr:uid="{00000000-0005-0000-0000-000040520000}"/>
    <cellStyle name="Normal 2 2 2 5 2 20 2 5" xfId="21094" xr:uid="{00000000-0005-0000-0000-000041520000}"/>
    <cellStyle name="Normal 2 2 2 5 2 20 2 6" xfId="21095" xr:uid="{00000000-0005-0000-0000-000042520000}"/>
    <cellStyle name="Normal 2 2 2 5 2 20 2 7" xfId="21096" xr:uid="{00000000-0005-0000-0000-000043520000}"/>
    <cellStyle name="Normal 2 2 2 5 2 20 2 8" xfId="21097" xr:uid="{00000000-0005-0000-0000-000044520000}"/>
    <cellStyle name="Normal 2 2 2 5 2 20 2 9" xfId="21098" xr:uid="{00000000-0005-0000-0000-000045520000}"/>
    <cellStyle name="Normal 2 2 2 5 2 20 3" xfId="21099" xr:uid="{00000000-0005-0000-0000-000046520000}"/>
    <cellStyle name="Normal 2 2 2 5 2 20 3 10" xfId="21100" xr:uid="{00000000-0005-0000-0000-000047520000}"/>
    <cellStyle name="Normal 2 2 2 5 2 20 3 2" xfId="21101" xr:uid="{00000000-0005-0000-0000-000048520000}"/>
    <cellStyle name="Normal 2 2 2 5 2 20 3 3" xfId="21102" xr:uid="{00000000-0005-0000-0000-000049520000}"/>
    <cellStyle name="Normal 2 2 2 5 2 20 3 4" xfId="21103" xr:uid="{00000000-0005-0000-0000-00004A520000}"/>
    <cellStyle name="Normal 2 2 2 5 2 20 3 5" xfId="21104" xr:uid="{00000000-0005-0000-0000-00004B520000}"/>
    <cellStyle name="Normal 2 2 2 5 2 20 3 6" xfId="21105" xr:uid="{00000000-0005-0000-0000-00004C520000}"/>
    <cellStyle name="Normal 2 2 2 5 2 20 3 7" xfId="21106" xr:uid="{00000000-0005-0000-0000-00004D520000}"/>
    <cellStyle name="Normal 2 2 2 5 2 20 3 8" xfId="21107" xr:uid="{00000000-0005-0000-0000-00004E520000}"/>
    <cellStyle name="Normal 2 2 2 5 2 20 3 9" xfId="21108" xr:uid="{00000000-0005-0000-0000-00004F520000}"/>
    <cellStyle name="Normal 2 2 2 5 2 20 4" xfId="21109" xr:uid="{00000000-0005-0000-0000-000050520000}"/>
    <cellStyle name="Normal 2 2 2 5 2 20 4 10" xfId="21110" xr:uid="{00000000-0005-0000-0000-000051520000}"/>
    <cellStyle name="Normal 2 2 2 5 2 20 4 2" xfId="21111" xr:uid="{00000000-0005-0000-0000-000052520000}"/>
    <cellStyle name="Normal 2 2 2 5 2 20 4 3" xfId="21112" xr:uid="{00000000-0005-0000-0000-000053520000}"/>
    <cellStyle name="Normal 2 2 2 5 2 20 4 4" xfId="21113" xr:uid="{00000000-0005-0000-0000-000054520000}"/>
    <cellStyle name="Normal 2 2 2 5 2 20 4 5" xfId="21114" xr:uid="{00000000-0005-0000-0000-000055520000}"/>
    <cellStyle name="Normal 2 2 2 5 2 20 4 6" xfId="21115" xr:uid="{00000000-0005-0000-0000-000056520000}"/>
    <cellStyle name="Normal 2 2 2 5 2 20 4 7" xfId="21116" xr:uid="{00000000-0005-0000-0000-000057520000}"/>
    <cellStyle name="Normal 2 2 2 5 2 20 4 8" xfId="21117" xr:uid="{00000000-0005-0000-0000-000058520000}"/>
    <cellStyle name="Normal 2 2 2 5 2 20 4 9" xfId="21118" xr:uid="{00000000-0005-0000-0000-000059520000}"/>
    <cellStyle name="Normal 2 2 2 5 2 20 5" xfId="21119" xr:uid="{00000000-0005-0000-0000-00005A520000}"/>
    <cellStyle name="Normal 2 2 2 5 2 20 5 10" xfId="21120" xr:uid="{00000000-0005-0000-0000-00005B520000}"/>
    <cellStyle name="Normal 2 2 2 5 2 20 5 2" xfId="21121" xr:uid="{00000000-0005-0000-0000-00005C520000}"/>
    <cellStyle name="Normal 2 2 2 5 2 20 5 3" xfId="21122" xr:uid="{00000000-0005-0000-0000-00005D520000}"/>
    <cellStyle name="Normal 2 2 2 5 2 20 5 4" xfId="21123" xr:uid="{00000000-0005-0000-0000-00005E520000}"/>
    <cellStyle name="Normal 2 2 2 5 2 20 5 5" xfId="21124" xr:uid="{00000000-0005-0000-0000-00005F520000}"/>
    <cellStyle name="Normal 2 2 2 5 2 20 5 6" xfId="21125" xr:uid="{00000000-0005-0000-0000-000060520000}"/>
    <cellStyle name="Normal 2 2 2 5 2 20 5 7" xfId="21126" xr:uid="{00000000-0005-0000-0000-000061520000}"/>
    <cellStyle name="Normal 2 2 2 5 2 20 5 8" xfId="21127" xr:uid="{00000000-0005-0000-0000-000062520000}"/>
    <cellStyle name="Normal 2 2 2 5 2 20 5 9" xfId="21128" xr:uid="{00000000-0005-0000-0000-000063520000}"/>
    <cellStyle name="Normal 2 2 2 5 2 20 6" xfId="21129" xr:uid="{00000000-0005-0000-0000-000064520000}"/>
    <cellStyle name="Normal 2 2 2 5 2 20 7" xfId="21130" xr:uid="{00000000-0005-0000-0000-000065520000}"/>
    <cellStyle name="Normal 2 2 2 5 2 20 8" xfId="21131" xr:uid="{00000000-0005-0000-0000-000066520000}"/>
    <cellStyle name="Normal 2 2 2 5 2 20 9" xfId="21132" xr:uid="{00000000-0005-0000-0000-000067520000}"/>
    <cellStyle name="Normal 2 2 2 5 2 21" xfId="21133" xr:uid="{00000000-0005-0000-0000-000068520000}"/>
    <cellStyle name="Normal 2 2 2 5 2 22" xfId="21134" xr:uid="{00000000-0005-0000-0000-000069520000}"/>
    <cellStyle name="Normal 2 2 2 5 2 3" xfId="21135" xr:uid="{00000000-0005-0000-0000-00006A520000}"/>
    <cellStyle name="Normal 2 2 2 5 2 3 10" xfId="21136" xr:uid="{00000000-0005-0000-0000-00006B520000}"/>
    <cellStyle name="Normal 2 2 2 5 2 3 11" xfId="21137" xr:uid="{00000000-0005-0000-0000-00006C520000}"/>
    <cellStyle name="Normal 2 2 2 5 2 3 12" xfId="21138" xr:uid="{00000000-0005-0000-0000-00006D520000}"/>
    <cellStyle name="Normal 2 2 2 5 2 3 13" xfId="21139" xr:uid="{00000000-0005-0000-0000-00006E520000}"/>
    <cellStyle name="Normal 2 2 2 5 2 3 14" xfId="21140" xr:uid="{00000000-0005-0000-0000-00006F520000}"/>
    <cellStyle name="Normal 2 2 2 5 2 3 2" xfId="21141" xr:uid="{00000000-0005-0000-0000-000070520000}"/>
    <cellStyle name="Normal 2 2 2 5 2 3 2 10" xfId="21142" xr:uid="{00000000-0005-0000-0000-000071520000}"/>
    <cellStyle name="Normal 2 2 2 5 2 3 2 2" xfId="21143" xr:uid="{00000000-0005-0000-0000-000072520000}"/>
    <cellStyle name="Normal 2 2 2 5 2 3 2 3" xfId="21144" xr:uid="{00000000-0005-0000-0000-000073520000}"/>
    <cellStyle name="Normal 2 2 2 5 2 3 2 4" xfId="21145" xr:uid="{00000000-0005-0000-0000-000074520000}"/>
    <cellStyle name="Normal 2 2 2 5 2 3 2 5" xfId="21146" xr:uid="{00000000-0005-0000-0000-000075520000}"/>
    <cellStyle name="Normal 2 2 2 5 2 3 2 6" xfId="21147" xr:uid="{00000000-0005-0000-0000-000076520000}"/>
    <cellStyle name="Normal 2 2 2 5 2 3 2 7" xfId="21148" xr:uid="{00000000-0005-0000-0000-000077520000}"/>
    <cellStyle name="Normal 2 2 2 5 2 3 2 8" xfId="21149" xr:uid="{00000000-0005-0000-0000-000078520000}"/>
    <cellStyle name="Normal 2 2 2 5 2 3 2 9" xfId="21150" xr:uid="{00000000-0005-0000-0000-000079520000}"/>
    <cellStyle name="Normal 2 2 2 5 2 3 3" xfId="21151" xr:uid="{00000000-0005-0000-0000-00007A520000}"/>
    <cellStyle name="Normal 2 2 2 5 2 3 3 10" xfId="21152" xr:uid="{00000000-0005-0000-0000-00007B520000}"/>
    <cellStyle name="Normal 2 2 2 5 2 3 3 2" xfId="21153" xr:uid="{00000000-0005-0000-0000-00007C520000}"/>
    <cellStyle name="Normal 2 2 2 5 2 3 3 3" xfId="21154" xr:uid="{00000000-0005-0000-0000-00007D520000}"/>
    <cellStyle name="Normal 2 2 2 5 2 3 3 4" xfId="21155" xr:uid="{00000000-0005-0000-0000-00007E520000}"/>
    <cellStyle name="Normal 2 2 2 5 2 3 3 5" xfId="21156" xr:uid="{00000000-0005-0000-0000-00007F520000}"/>
    <cellStyle name="Normal 2 2 2 5 2 3 3 6" xfId="21157" xr:uid="{00000000-0005-0000-0000-000080520000}"/>
    <cellStyle name="Normal 2 2 2 5 2 3 3 7" xfId="21158" xr:uid="{00000000-0005-0000-0000-000081520000}"/>
    <cellStyle name="Normal 2 2 2 5 2 3 3 8" xfId="21159" xr:uid="{00000000-0005-0000-0000-000082520000}"/>
    <cellStyle name="Normal 2 2 2 5 2 3 3 9" xfId="21160" xr:uid="{00000000-0005-0000-0000-000083520000}"/>
    <cellStyle name="Normal 2 2 2 5 2 3 4" xfId="21161" xr:uid="{00000000-0005-0000-0000-000084520000}"/>
    <cellStyle name="Normal 2 2 2 5 2 3 4 10" xfId="21162" xr:uid="{00000000-0005-0000-0000-000085520000}"/>
    <cellStyle name="Normal 2 2 2 5 2 3 4 2" xfId="21163" xr:uid="{00000000-0005-0000-0000-000086520000}"/>
    <cellStyle name="Normal 2 2 2 5 2 3 4 3" xfId="21164" xr:uid="{00000000-0005-0000-0000-000087520000}"/>
    <cellStyle name="Normal 2 2 2 5 2 3 4 4" xfId="21165" xr:uid="{00000000-0005-0000-0000-000088520000}"/>
    <cellStyle name="Normal 2 2 2 5 2 3 4 5" xfId="21166" xr:uid="{00000000-0005-0000-0000-000089520000}"/>
    <cellStyle name="Normal 2 2 2 5 2 3 4 6" xfId="21167" xr:uid="{00000000-0005-0000-0000-00008A520000}"/>
    <cellStyle name="Normal 2 2 2 5 2 3 4 7" xfId="21168" xr:uid="{00000000-0005-0000-0000-00008B520000}"/>
    <cellStyle name="Normal 2 2 2 5 2 3 4 8" xfId="21169" xr:uid="{00000000-0005-0000-0000-00008C520000}"/>
    <cellStyle name="Normal 2 2 2 5 2 3 4 9" xfId="21170" xr:uid="{00000000-0005-0000-0000-00008D520000}"/>
    <cellStyle name="Normal 2 2 2 5 2 3 5" xfId="21171" xr:uid="{00000000-0005-0000-0000-00008E520000}"/>
    <cellStyle name="Normal 2 2 2 5 2 3 5 10" xfId="21172" xr:uid="{00000000-0005-0000-0000-00008F520000}"/>
    <cellStyle name="Normal 2 2 2 5 2 3 5 2" xfId="21173" xr:uid="{00000000-0005-0000-0000-000090520000}"/>
    <cellStyle name="Normal 2 2 2 5 2 3 5 3" xfId="21174" xr:uid="{00000000-0005-0000-0000-000091520000}"/>
    <cellStyle name="Normal 2 2 2 5 2 3 5 4" xfId="21175" xr:uid="{00000000-0005-0000-0000-000092520000}"/>
    <cellStyle name="Normal 2 2 2 5 2 3 5 5" xfId="21176" xr:uid="{00000000-0005-0000-0000-000093520000}"/>
    <cellStyle name="Normal 2 2 2 5 2 3 5 6" xfId="21177" xr:uid="{00000000-0005-0000-0000-000094520000}"/>
    <cellStyle name="Normal 2 2 2 5 2 3 5 7" xfId="21178" xr:uid="{00000000-0005-0000-0000-000095520000}"/>
    <cellStyle name="Normal 2 2 2 5 2 3 5 8" xfId="21179" xr:uid="{00000000-0005-0000-0000-000096520000}"/>
    <cellStyle name="Normal 2 2 2 5 2 3 5 9" xfId="21180" xr:uid="{00000000-0005-0000-0000-000097520000}"/>
    <cellStyle name="Normal 2 2 2 5 2 3 6" xfId="21181" xr:uid="{00000000-0005-0000-0000-000098520000}"/>
    <cellStyle name="Normal 2 2 2 5 2 3 7" xfId="21182" xr:uid="{00000000-0005-0000-0000-000099520000}"/>
    <cellStyle name="Normal 2 2 2 5 2 3 8" xfId="21183" xr:uid="{00000000-0005-0000-0000-00009A520000}"/>
    <cellStyle name="Normal 2 2 2 5 2 3 9" xfId="21184" xr:uid="{00000000-0005-0000-0000-00009B520000}"/>
    <cellStyle name="Normal 2 2 2 5 2 4" xfId="21185" xr:uid="{00000000-0005-0000-0000-00009C520000}"/>
    <cellStyle name="Normal 2 2 2 5 2 4 10" xfId="21186" xr:uid="{00000000-0005-0000-0000-00009D520000}"/>
    <cellStyle name="Normal 2 2 2 5 2 4 11" xfId="21187" xr:uid="{00000000-0005-0000-0000-00009E520000}"/>
    <cellStyle name="Normal 2 2 2 5 2 4 12" xfId="21188" xr:uid="{00000000-0005-0000-0000-00009F520000}"/>
    <cellStyle name="Normal 2 2 2 5 2 4 13" xfId="21189" xr:uid="{00000000-0005-0000-0000-0000A0520000}"/>
    <cellStyle name="Normal 2 2 2 5 2 4 14" xfId="21190" xr:uid="{00000000-0005-0000-0000-0000A1520000}"/>
    <cellStyle name="Normal 2 2 2 5 2 4 2" xfId="21191" xr:uid="{00000000-0005-0000-0000-0000A2520000}"/>
    <cellStyle name="Normal 2 2 2 5 2 4 2 10" xfId="21192" xr:uid="{00000000-0005-0000-0000-0000A3520000}"/>
    <cellStyle name="Normal 2 2 2 5 2 4 2 2" xfId="21193" xr:uid="{00000000-0005-0000-0000-0000A4520000}"/>
    <cellStyle name="Normal 2 2 2 5 2 4 2 3" xfId="21194" xr:uid="{00000000-0005-0000-0000-0000A5520000}"/>
    <cellStyle name="Normal 2 2 2 5 2 4 2 4" xfId="21195" xr:uid="{00000000-0005-0000-0000-0000A6520000}"/>
    <cellStyle name="Normal 2 2 2 5 2 4 2 5" xfId="21196" xr:uid="{00000000-0005-0000-0000-0000A7520000}"/>
    <cellStyle name="Normal 2 2 2 5 2 4 2 6" xfId="21197" xr:uid="{00000000-0005-0000-0000-0000A8520000}"/>
    <cellStyle name="Normal 2 2 2 5 2 4 2 7" xfId="21198" xr:uid="{00000000-0005-0000-0000-0000A9520000}"/>
    <cellStyle name="Normal 2 2 2 5 2 4 2 8" xfId="21199" xr:uid="{00000000-0005-0000-0000-0000AA520000}"/>
    <cellStyle name="Normal 2 2 2 5 2 4 2 9" xfId="21200" xr:uid="{00000000-0005-0000-0000-0000AB520000}"/>
    <cellStyle name="Normal 2 2 2 5 2 4 3" xfId="21201" xr:uid="{00000000-0005-0000-0000-0000AC520000}"/>
    <cellStyle name="Normal 2 2 2 5 2 4 3 10" xfId="21202" xr:uid="{00000000-0005-0000-0000-0000AD520000}"/>
    <cellStyle name="Normal 2 2 2 5 2 4 3 2" xfId="21203" xr:uid="{00000000-0005-0000-0000-0000AE520000}"/>
    <cellStyle name="Normal 2 2 2 5 2 4 3 3" xfId="21204" xr:uid="{00000000-0005-0000-0000-0000AF520000}"/>
    <cellStyle name="Normal 2 2 2 5 2 4 3 4" xfId="21205" xr:uid="{00000000-0005-0000-0000-0000B0520000}"/>
    <cellStyle name="Normal 2 2 2 5 2 4 3 5" xfId="21206" xr:uid="{00000000-0005-0000-0000-0000B1520000}"/>
    <cellStyle name="Normal 2 2 2 5 2 4 3 6" xfId="21207" xr:uid="{00000000-0005-0000-0000-0000B2520000}"/>
    <cellStyle name="Normal 2 2 2 5 2 4 3 7" xfId="21208" xr:uid="{00000000-0005-0000-0000-0000B3520000}"/>
    <cellStyle name="Normal 2 2 2 5 2 4 3 8" xfId="21209" xr:uid="{00000000-0005-0000-0000-0000B4520000}"/>
    <cellStyle name="Normal 2 2 2 5 2 4 3 9" xfId="21210" xr:uid="{00000000-0005-0000-0000-0000B5520000}"/>
    <cellStyle name="Normal 2 2 2 5 2 4 4" xfId="21211" xr:uid="{00000000-0005-0000-0000-0000B6520000}"/>
    <cellStyle name="Normal 2 2 2 5 2 4 4 10" xfId="21212" xr:uid="{00000000-0005-0000-0000-0000B7520000}"/>
    <cellStyle name="Normal 2 2 2 5 2 4 4 2" xfId="21213" xr:uid="{00000000-0005-0000-0000-0000B8520000}"/>
    <cellStyle name="Normal 2 2 2 5 2 4 4 3" xfId="21214" xr:uid="{00000000-0005-0000-0000-0000B9520000}"/>
    <cellStyle name="Normal 2 2 2 5 2 4 4 4" xfId="21215" xr:uid="{00000000-0005-0000-0000-0000BA520000}"/>
    <cellStyle name="Normal 2 2 2 5 2 4 4 5" xfId="21216" xr:uid="{00000000-0005-0000-0000-0000BB520000}"/>
    <cellStyle name="Normal 2 2 2 5 2 4 4 6" xfId="21217" xr:uid="{00000000-0005-0000-0000-0000BC520000}"/>
    <cellStyle name="Normal 2 2 2 5 2 4 4 7" xfId="21218" xr:uid="{00000000-0005-0000-0000-0000BD520000}"/>
    <cellStyle name="Normal 2 2 2 5 2 4 4 8" xfId="21219" xr:uid="{00000000-0005-0000-0000-0000BE520000}"/>
    <cellStyle name="Normal 2 2 2 5 2 4 4 9" xfId="21220" xr:uid="{00000000-0005-0000-0000-0000BF520000}"/>
    <cellStyle name="Normal 2 2 2 5 2 4 5" xfId="21221" xr:uid="{00000000-0005-0000-0000-0000C0520000}"/>
    <cellStyle name="Normal 2 2 2 5 2 4 5 10" xfId="21222" xr:uid="{00000000-0005-0000-0000-0000C1520000}"/>
    <cellStyle name="Normal 2 2 2 5 2 4 5 2" xfId="21223" xr:uid="{00000000-0005-0000-0000-0000C2520000}"/>
    <cellStyle name="Normal 2 2 2 5 2 4 5 3" xfId="21224" xr:uid="{00000000-0005-0000-0000-0000C3520000}"/>
    <cellStyle name="Normal 2 2 2 5 2 4 5 4" xfId="21225" xr:uid="{00000000-0005-0000-0000-0000C4520000}"/>
    <cellStyle name="Normal 2 2 2 5 2 4 5 5" xfId="21226" xr:uid="{00000000-0005-0000-0000-0000C5520000}"/>
    <cellStyle name="Normal 2 2 2 5 2 4 5 6" xfId="21227" xr:uid="{00000000-0005-0000-0000-0000C6520000}"/>
    <cellStyle name="Normal 2 2 2 5 2 4 5 7" xfId="21228" xr:uid="{00000000-0005-0000-0000-0000C7520000}"/>
    <cellStyle name="Normal 2 2 2 5 2 4 5 8" xfId="21229" xr:uid="{00000000-0005-0000-0000-0000C8520000}"/>
    <cellStyle name="Normal 2 2 2 5 2 4 5 9" xfId="21230" xr:uid="{00000000-0005-0000-0000-0000C9520000}"/>
    <cellStyle name="Normal 2 2 2 5 2 4 6" xfId="21231" xr:uid="{00000000-0005-0000-0000-0000CA520000}"/>
    <cellStyle name="Normal 2 2 2 5 2 4 7" xfId="21232" xr:uid="{00000000-0005-0000-0000-0000CB520000}"/>
    <cellStyle name="Normal 2 2 2 5 2 4 8" xfId="21233" xr:uid="{00000000-0005-0000-0000-0000CC520000}"/>
    <cellStyle name="Normal 2 2 2 5 2 4 9" xfId="21234" xr:uid="{00000000-0005-0000-0000-0000CD520000}"/>
    <cellStyle name="Normal 2 2 2 5 2 5" xfId="21235" xr:uid="{00000000-0005-0000-0000-0000CE520000}"/>
    <cellStyle name="Normal 2 2 2 5 2 5 10" xfId="21236" xr:uid="{00000000-0005-0000-0000-0000CF520000}"/>
    <cellStyle name="Normal 2 2 2 5 2 5 11" xfId="21237" xr:uid="{00000000-0005-0000-0000-0000D0520000}"/>
    <cellStyle name="Normal 2 2 2 5 2 5 12" xfId="21238" xr:uid="{00000000-0005-0000-0000-0000D1520000}"/>
    <cellStyle name="Normal 2 2 2 5 2 5 13" xfId="21239" xr:uid="{00000000-0005-0000-0000-0000D2520000}"/>
    <cellStyle name="Normal 2 2 2 5 2 5 14" xfId="21240" xr:uid="{00000000-0005-0000-0000-0000D3520000}"/>
    <cellStyle name="Normal 2 2 2 5 2 5 2" xfId="21241" xr:uid="{00000000-0005-0000-0000-0000D4520000}"/>
    <cellStyle name="Normal 2 2 2 5 2 5 2 10" xfId="21242" xr:uid="{00000000-0005-0000-0000-0000D5520000}"/>
    <cellStyle name="Normal 2 2 2 5 2 5 2 2" xfId="21243" xr:uid="{00000000-0005-0000-0000-0000D6520000}"/>
    <cellStyle name="Normal 2 2 2 5 2 5 2 3" xfId="21244" xr:uid="{00000000-0005-0000-0000-0000D7520000}"/>
    <cellStyle name="Normal 2 2 2 5 2 5 2 4" xfId="21245" xr:uid="{00000000-0005-0000-0000-0000D8520000}"/>
    <cellStyle name="Normal 2 2 2 5 2 5 2 5" xfId="21246" xr:uid="{00000000-0005-0000-0000-0000D9520000}"/>
    <cellStyle name="Normal 2 2 2 5 2 5 2 6" xfId="21247" xr:uid="{00000000-0005-0000-0000-0000DA520000}"/>
    <cellStyle name="Normal 2 2 2 5 2 5 2 7" xfId="21248" xr:uid="{00000000-0005-0000-0000-0000DB520000}"/>
    <cellStyle name="Normal 2 2 2 5 2 5 2 8" xfId="21249" xr:uid="{00000000-0005-0000-0000-0000DC520000}"/>
    <cellStyle name="Normal 2 2 2 5 2 5 2 9" xfId="21250" xr:uid="{00000000-0005-0000-0000-0000DD520000}"/>
    <cellStyle name="Normal 2 2 2 5 2 5 3" xfId="21251" xr:uid="{00000000-0005-0000-0000-0000DE520000}"/>
    <cellStyle name="Normal 2 2 2 5 2 5 3 10" xfId="21252" xr:uid="{00000000-0005-0000-0000-0000DF520000}"/>
    <cellStyle name="Normal 2 2 2 5 2 5 3 2" xfId="21253" xr:uid="{00000000-0005-0000-0000-0000E0520000}"/>
    <cellStyle name="Normal 2 2 2 5 2 5 3 3" xfId="21254" xr:uid="{00000000-0005-0000-0000-0000E1520000}"/>
    <cellStyle name="Normal 2 2 2 5 2 5 3 4" xfId="21255" xr:uid="{00000000-0005-0000-0000-0000E2520000}"/>
    <cellStyle name="Normal 2 2 2 5 2 5 3 5" xfId="21256" xr:uid="{00000000-0005-0000-0000-0000E3520000}"/>
    <cellStyle name="Normal 2 2 2 5 2 5 3 6" xfId="21257" xr:uid="{00000000-0005-0000-0000-0000E4520000}"/>
    <cellStyle name="Normal 2 2 2 5 2 5 3 7" xfId="21258" xr:uid="{00000000-0005-0000-0000-0000E5520000}"/>
    <cellStyle name="Normal 2 2 2 5 2 5 3 8" xfId="21259" xr:uid="{00000000-0005-0000-0000-0000E6520000}"/>
    <cellStyle name="Normal 2 2 2 5 2 5 3 9" xfId="21260" xr:uid="{00000000-0005-0000-0000-0000E7520000}"/>
    <cellStyle name="Normal 2 2 2 5 2 5 4" xfId="21261" xr:uid="{00000000-0005-0000-0000-0000E8520000}"/>
    <cellStyle name="Normal 2 2 2 5 2 5 4 10" xfId="21262" xr:uid="{00000000-0005-0000-0000-0000E9520000}"/>
    <cellStyle name="Normal 2 2 2 5 2 5 4 2" xfId="21263" xr:uid="{00000000-0005-0000-0000-0000EA520000}"/>
    <cellStyle name="Normal 2 2 2 5 2 5 4 3" xfId="21264" xr:uid="{00000000-0005-0000-0000-0000EB520000}"/>
    <cellStyle name="Normal 2 2 2 5 2 5 4 4" xfId="21265" xr:uid="{00000000-0005-0000-0000-0000EC520000}"/>
    <cellStyle name="Normal 2 2 2 5 2 5 4 5" xfId="21266" xr:uid="{00000000-0005-0000-0000-0000ED520000}"/>
    <cellStyle name="Normal 2 2 2 5 2 5 4 6" xfId="21267" xr:uid="{00000000-0005-0000-0000-0000EE520000}"/>
    <cellStyle name="Normal 2 2 2 5 2 5 4 7" xfId="21268" xr:uid="{00000000-0005-0000-0000-0000EF520000}"/>
    <cellStyle name="Normal 2 2 2 5 2 5 4 8" xfId="21269" xr:uid="{00000000-0005-0000-0000-0000F0520000}"/>
    <cellStyle name="Normal 2 2 2 5 2 5 4 9" xfId="21270" xr:uid="{00000000-0005-0000-0000-0000F1520000}"/>
    <cellStyle name="Normal 2 2 2 5 2 5 5" xfId="21271" xr:uid="{00000000-0005-0000-0000-0000F2520000}"/>
    <cellStyle name="Normal 2 2 2 5 2 5 5 10" xfId="21272" xr:uid="{00000000-0005-0000-0000-0000F3520000}"/>
    <cellStyle name="Normal 2 2 2 5 2 5 5 2" xfId="21273" xr:uid="{00000000-0005-0000-0000-0000F4520000}"/>
    <cellStyle name="Normal 2 2 2 5 2 5 5 3" xfId="21274" xr:uid="{00000000-0005-0000-0000-0000F5520000}"/>
    <cellStyle name="Normal 2 2 2 5 2 5 5 4" xfId="21275" xr:uid="{00000000-0005-0000-0000-0000F6520000}"/>
    <cellStyle name="Normal 2 2 2 5 2 5 5 5" xfId="21276" xr:uid="{00000000-0005-0000-0000-0000F7520000}"/>
    <cellStyle name="Normal 2 2 2 5 2 5 5 6" xfId="21277" xr:uid="{00000000-0005-0000-0000-0000F8520000}"/>
    <cellStyle name="Normal 2 2 2 5 2 5 5 7" xfId="21278" xr:uid="{00000000-0005-0000-0000-0000F9520000}"/>
    <cellStyle name="Normal 2 2 2 5 2 5 5 8" xfId="21279" xr:uid="{00000000-0005-0000-0000-0000FA520000}"/>
    <cellStyle name="Normal 2 2 2 5 2 5 5 9" xfId="21280" xr:uid="{00000000-0005-0000-0000-0000FB520000}"/>
    <cellStyle name="Normal 2 2 2 5 2 5 6" xfId="21281" xr:uid="{00000000-0005-0000-0000-0000FC520000}"/>
    <cellStyle name="Normal 2 2 2 5 2 5 7" xfId="21282" xr:uid="{00000000-0005-0000-0000-0000FD520000}"/>
    <cellStyle name="Normal 2 2 2 5 2 5 8" xfId="21283" xr:uid="{00000000-0005-0000-0000-0000FE520000}"/>
    <cellStyle name="Normal 2 2 2 5 2 5 9" xfId="21284" xr:uid="{00000000-0005-0000-0000-0000FF520000}"/>
    <cellStyle name="Normal 2 2 2 5 2 6" xfId="21285" xr:uid="{00000000-0005-0000-0000-000000530000}"/>
    <cellStyle name="Normal 2 2 2 5 2 6 10" xfId="21286" xr:uid="{00000000-0005-0000-0000-000001530000}"/>
    <cellStyle name="Normal 2 2 2 5 2 6 11" xfId="21287" xr:uid="{00000000-0005-0000-0000-000002530000}"/>
    <cellStyle name="Normal 2 2 2 5 2 6 12" xfId="21288" xr:uid="{00000000-0005-0000-0000-000003530000}"/>
    <cellStyle name="Normal 2 2 2 5 2 6 13" xfId="21289" xr:uid="{00000000-0005-0000-0000-000004530000}"/>
    <cellStyle name="Normal 2 2 2 5 2 6 14" xfId="21290" xr:uid="{00000000-0005-0000-0000-000005530000}"/>
    <cellStyle name="Normal 2 2 2 5 2 6 2" xfId="21291" xr:uid="{00000000-0005-0000-0000-000006530000}"/>
    <cellStyle name="Normal 2 2 2 5 2 6 2 10" xfId="21292" xr:uid="{00000000-0005-0000-0000-000007530000}"/>
    <cellStyle name="Normal 2 2 2 5 2 6 2 2" xfId="21293" xr:uid="{00000000-0005-0000-0000-000008530000}"/>
    <cellStyle name="Normal 2 2 2 5 2 6 2 3" xfId="21294" xr:uid="{00000000-0005-0000-0000-000009530000}"/>
    <cellStyle name="Normal 2 2 2 5 2 6 2 4" xfId="21295" xr:uid="{00000000-0005-0000-0000-00000A530000}"/>
    <cellStyle name="Normal 2 2 2 5 2 6 2 5" xfId="21296" xr:uid="{00000000-0005-0000-0000-00000B530000}"/>
    <cellStyle name="Normal 2 2 2 5 2 6 2 6" xfId="21297" xr:uid="{00000000-0005-0000-0000-00000C530000}"/>
    <cellStyle name="Normal 2 2 2 5 2 6 2 7" xfId="21298" xr:uid="{00000000-0005-0000-0000-00000D530000}"/>
    <cellStyle name="Normal 2 2 2 5 2 6 2 8" xfId="21299" xr:uid="{00000000-0005-0000-0000-00000E530000}"/>
    <cellStyle name="Normal 2 2 2 5 2 6 2 9" xfId="21300" xr:uid="{00000000-0005-0000-0000-00000F530000}"/>
    <cellStyle name="Normal 2 2 2 5 2 6 3" xfId="21301" xr:uid="{00000000-0005-0000-0000-000010530000}"/>
    <cellStyle name="Normal 2 2 2 5 2 6 3 10" xfId="21302" xr:uid="{00000000-0005-0000-0000-000011530000}"/>
    <cellStyle name="Normal 2 2 2 5 2 6 3 2" xfId="21303" xr:uid="{00000000-0005-0000-0000-000012530000}"/>
    <cellStyle name="Normal 2 2 2 5 2 6 3 3" xfId="21304" xr:uid="{00000000-0005-0000-0000-000013530000}"/>
    <cellStyle name="Normal 2 2 2 5 2 6 3 4" xfId="21305" xr:uid="{00000000-0005-0000-0000-000014530000}"/>
    <cellStyle name="Normal 2 2 2 5 2 6 3 5" xfId="21306" xr:uid="{00000000-0005-0000-0000-000015530000}"/>
    <cellStyle name="Normal 2 2 2 5 2 6 3 6" xfId="21307" xr:uid="{00000000-0005-0000-0000-000016530000}"/>
    <cellStyle name="Normal 2 2 2 5 2 6 3 7" xfId="21308" xr:uid="{00000000-0005-0000-0000-000017530000}"/>
    <cellStyle name="Normal 2 2 2 5 2 6 3 8" xfId="21309" xr:uid="{00000000-0005-0000-0000-000018530000}"/>
    <cellStyle name="Normal 2 2 2 5 2 6 3 9" xfId="21310" xr:uid="{00000000-0005-0000-0000-000019530000}"/>
    <cellStyle name="Normal 2 2 2 5 2 6 4" xfId="21311" xr:uid="{00000000-0005-0000-0000-00001A530000}"/>
    <cellStyle name="Normal 2 2 2 5 2 6 4 10" xfId="21312" xr:uid="{00000000-0005-0000-0000-00001B530000}"/>
    <cellStyle name="Normal 2 2 2 5 2 6 4 2" xfId="21313" xr:uid="{00000000-0005-0000-0000-00001C530000}"/>
    <cellStyle name="Normal 2 2 2 5 2 6 4 3" xfId="21314" xr:uid="{00000000-0005-0000-0000-00001D530000}"/>
    <cellStyle name="Normal 2 2 2 5 2 6 4 4" xfId="21315" xr:uid="{00000000-0005-0000-0000-00001E530000}"/>
    <cellStyle name="Normal 2 2 2 5 2 6 4 5" xfId="21316" xr:uid="{00000000-0005-0000-0000-00001F530000}"/>
    <cellStyle name="Normal 2 2 2 5 2 6 4 6" xfId="21317" xr:uid="{00000000-0005-0000-0000-000020530000}"/>
    <cellStyle name="Normal 2 2 2 5 2 6 4 7" xfId="21318" xr:uid="{00000000-0005-0000-0000-000021530000}"/>
    <cellStyle name="Normal 2 2 2 5 2 6 4 8" xfId="21319" xr:uid="{00000000-0005-0000-0000-000022530000}"/>
    <cellStyle name="Normal 2 2 2 5 2 6 4 9" xfId="21320" xr:uid="{00000000-0005-0000-0000-000023530000}"/>
    <cellStyle name="Normal 2 2 2 5 2 6 5" xfId="21321" xr:uid="{00000000-0005-0000-0000-000024530000}"/>
    <cellStyle name="Normal 2 2 2 5 2 6 5 10" xfId="21322" xr:uid="{00000000-0005-0000-0000-000025530000}"/>
    <cellStyle name="Normal 2 2 2 5 2 6 5 2" xfId="21323" xr:uid="{00000000-0005-0000-0000-000026530000}"/>
    <cellStyle name="Normal 2 2 2 5 2 6 5 3" xfId="21324" xr:uid="{00000000-0005-0000-0000-000027530000}"/>
    <cellStyle name="Normal 2 2 2 5 2 6 5 4" xfId="21325" xr:uid="{00000000-0005-0000-0000-000028530000}"/>
    <cellStyle name="Normal 2 2 2 5 2 6 5 5" xfId="21326" xr:uid="{00000000-0005-0000-0000-000029530000}"/>
    <cellStyle name="Normal 2 2 2 5 2 6 5 6" xfId="21327" xr:uid="{00000000-0005-0000-0000-00002A530000}"/>
    <cellStyle name="Normal 2 2 2 5 2 6 5 7" xfId="21328" xr:uid="{00000000-0005-0000-0000-00002B530000}"/>
    <cellStyle name="Normal 2 2 2 5 2 6 5 8" xfId="21329" xr:uid="{00000000-0005-0000-0000-00002C530000}"/>
    <cellStyle name="Normal 2 2 2 5 2 6 5 9" xfId="21330" xr:uid="{00000000-0005-0000-0000-00002D530000}"/>
    <cellStyle name="Normal 2 2 2 5 2 6 6" xfId="21331" xr:uid="{00000000-0005-0000-0000-00002E530000}"/>
    <cellStyle name="Normal 2 2 2 5 2 6 7" xfId="21332" xr:uid="{00000000-0005-0000-0000-00002F530000}"/>
    <cellStyle name="Normal 2 2 2 5 2 6 8" xfId="21333" xr:uid="{00000000-0005-0000-0000-000030530000}"/>
    <cellStyle name="Normal 2 2 2 5 2 6 9" xfId="21334" xr:uid="{00000000-0005-0000-0000-000031530000}"/>
    <cellStyle name="Normal 2 2 2 5 2 7" xfId="21335" xr:uid="{00000000-0005-0000-0000-000032530000}"/>
    <cellStyle name="Normal 2 2 2 5 2 7 10" xfId="21336" xr:uid="{00000000-0005-0000-0000-000033530000}"/>
    <cellStyle name="Normal 2 2 2 5 2 7 11" xfId="21337" xr:uid="{00000000-0005-0000-0000-000034530000}"/>
    <cellStyle name="Normal 2 2 2 5 2 7 12" xfId="21338" xr:uid="{00000000-0005-0000-0000-000035530000}"/>
    <cellStyle name="Normal 2 2 2 5 2 7 13" xfId="21339" xr:uid="{00000000-0005-0000-0000-000036530000}"/>
    <cellStyle name="Normal 2 2 2 5 2 7 14" xfId="21340" xr:uid="{00000000-0005-0000-0000-000037530000}"/>
    <cellStyle name="Normal 2 2 2 5 2 7 2" xfId="21341" xr:uid="{00000000-0005-0000-0000-000038530000}"/>
    <cellStyle name="Normal 2 2 2 5 2 7 2 10" xfId="21342" xr:uid="{00000000-0005-0000-0000-000039530000}"/>
    <cellStyle name="Normal 2 2 2 5 2 7 2 2" xfId="21343" xr:uid="{00000000-0005-0000-0000-00003A530000}"/>
    <cellStyle name="Normal 2 2 2 5 2 7 2 3" xfId="21344" xr:uid="{00000000-0005-0000-0000-00003B530000}"/>
    <cellStyle name="Normal 2 2 2 5 2 7 2 4" xfId="21345" xr:uid="{00000000-0005-0000-0000-00003C530000}"/>
    <cellStyle name="Normal 2 2 2 5 2 7 2 5" xfId="21346" xr:uid="{00000000-0005-0000-0000-00003D530000}"/>
    <cellStyle name="Normal 2 2 2 5 2 7 2 6" xfId="21347" xr:uid="{00000000-0005-0000-0000-00003E530000}"/>
    <cellStyle name="Normal 2 2 2 5 2 7 2 7" xfId="21348" xr:uid="{00000000-0005-0000-0000-00003F530000}"/>
    <cellStyle name="Normal 2 2 2 5 2 7 2 8" xfId="21349" xr:uid="{00000000-0005-0000-0000-000040530000}"/>
    <cellStyle name="Normal 2 2 2 5 2 7 2 9" xfId="21350" xr:uid="{00000000-0005-0000-0000-000041530000}"/>
    <cellStyle name="Normal 2 2 2 5 2 7 3" xfId="21351" xr:uid="{00000000-0005-0000-0000-000042530000}"/>
    <cellStyle name="Normal 2 2 2 5 2 7 3 10" xfId="21352" xr:uid="{00000000-0005-0000-0000-000043530000}"/>
    <cellStyle name="Normal 2 2 2 5 2 7 3 2" xfId="21353" xr:uid="{00000000-0005-0000-0000-000044530000}"/>
    <cellStyle name="Normal 2 2 2 5 2 7 3 3" xfId="21354" xr:uid="{00000000-0005-0000-0000-000045530000}"/>
    <cellStyle name="Normal 2 2 2 5 2 7 3 4" xfId="21355" xr:uid="{00000000-0005-0000-0000-000046530000}"/>
    <cellStyle name="Normal 2 2 2 5 2 7 3 5" xfId="21356" xr:uid="{00000000-0005-0000-0000-000047530000}"/>
    <cellStyle name="Normal 2 2 2 5 2 7 3 6" xfId="21357" xr:uid="{00000000-0005-0000-0000-000048530000}"/>
    <cellStyle name="Normal 2 2 2 5 2 7 3 7" xfId="21358" xr:uid="{00000000-0005-0000-0000-000049530000}"/>
    <cellStyle name="Normal 2 2 2 5 2 7 3 8" xfId="21359" xr:uid="{00000000-0005-0000-0000-00004A530000}"/>
    <cellStyle name="Normal 2 2 2 5 2 7 3 9" xfId="21360" xr:uid="{00000000-0005-0000-0000-00004B530000}"/>
    <cellStyle name="Normal 2 2 2 5 2 7 4" xfId="21361" xr:uid="{00000000-0005-0000-0000-00004C530000}"/>
    <cellStyle name="Normal 2 2 2 5 2 7 4 10" xfId="21362" xr:uid="{00000000-0005-0000-0000-00004D530000}"/>
    <cellStyle name="Normal 2 2 2 5 2 7 4 2" xfId="21363" xr:uid="{00000000-0005-0000-0000-00004E530000}"/>
    <cellStyle name="Normal 2 2 2 5 2 7 4 3" xfId="21364" xr:uid="{00000000-0005-0000-0000-00004F530000}"/>
    <cellStyle name="Normal 2 2 2 5 2 7 4 4" xfId="21365" xr:uid="{00000000-0005-0000-0000-000050530000}"/>
    <cellStyle name="Normal 2 2 2 5 2 7 4 5" xfId="21366" xr:uid="{00000000-0005-0000-0000-000051530000}"/>
    <cellStyle name="Normal 2 2 2 5 2 7 4 6" xfId="21367" xr:uid="{00000000-0005-0000-0000-000052530000}"/>
    <cellStyle name="Normal 2 2 2 5 2 7 4 7" xfId="21368" xr:uid="{00000000-0005-0000-0000-000053530000}"/>
    <cellStyle name="Normal 2 2 2 5 2 7 4 8" xfId="21369" xr:uid="{00000000-0005-0000-0000-000054530000}"/>
    <cellStyle name="Normal 2 2 2 5 2 7 4 9" xfId="21370" xr:uid="{00000000-0005-0000-0000-000055530000}"/>
    <cellStyle name="Normal 2 2 2 5 2 7 5" xfId="21371" xr:uid="{00000000-0005-0000-0000-000056530000}"/>
    <cellStyle name="Normal 2 2 2 5 2 7 5 10" xfId="21372" xr:uid="{00000000-0005-0000-0000-000057530000}"/>
    <cellStyle name="Normal 2 2 2 5 2 7 5 2" xfId="21373" xr:uid="{00000000-0005-0000-0000-000058530000}"/>
    <cellStyle name="Normal 2 2 2 5 2 7 5 3" xfId="21374" xr:uid="{00000000-0005-0000-0000-000059530000}"/>
    <cellStyle name="Normal 2 2 2 5 2 7 5 4" xfId="21375" xr:uid="{00000000-0005-0000-0000-00005A530000}"/>
    <cellStyle name="Normal 2 2 2 5 2 7 5 5" xfId="21376" xr:uid="{00000000-0005-0000-0000-00005B530000}"/>
    <cellStyle name="Normal 2 2 2 5 2 7 5 6" xfId="21377" xr:uid="{00000000-0005-0000-0000-00005C530000}"/>
    <cellStyle name="Normal 2 2 2 5 2 7 5 7" xfId="21378" xr:uid="{00000000-0005-0000-0000-00005D530000}"/>
    <cellStyle name="Normal 2 2 2 5 2 7 5 8" xfId="21379" xr:uid="{00000000-0005-0000-0000-00005E530000}"/>
    <cellStyle name="Normal 2 2 2 5 2 7 5 9" xfId="21380" xr:uid="{00000000-0005-0000-0000-00005F530000}"/>
    <cellStyle name="Normal 2 2 2 5 2 7 6" xfId="21381" xr:uid="{00000000-0005-0000-0000-000060530000}"/>
    <cellStyle name="Normal 2 2 2 5 2 7 7" xfId="21382" xr:uid="{00000000-0005-0000-0000-000061530000}"/>
    <cellStyle name="Normal 2 2 2 5 2 7 8" xfId="21383" xr:uid="{00000000-0005-0000-0000-000062530000}"/>
    <cellStyle name="Normal 2 2 2 5 2 7 9" xfId="21384" xr:uid="{00000000-0005-0000-0000-000063530000}"/>
    <cellStyle name="Normal 2 2 2 5 2 8" xfId="21385" xr:uid="{00000000-0005-0000-0000-000064530000}"/>
    <cellStyle name="Normal 2 2 2 5 2 8 10" xfId="21386" xr:uid="{00000000-0005-0000-0000-000065530000}"/>
    <cellStyle name="Normal 2 2 2 5 2 8 11" xfId="21387" xr:uid="{00000000-0005-0000-0000-000066530000}"/>
    <cellStyle name="Normal 2 2 2 5 2 8 12" xfId="21388" xr:uid="{00000000-0005-0000-0000-000067530000}"/>
    <cellStyle name="Normal 2 2 2 5 2 8 13" xfId="21389" xr:uid="{00000000-0005-0000-0000-000068530000}"/>
    <cellStyle name="Normal 2 2 2 5 2 8 14" xfId="21390" xr:uid="{00000000-0005-0000-0000-000069530000}"/>
    <cellStyle name="Normal 2 2 2 5 2 8 2" xfId="21391" xr:uid="{00000000-0005-0000-0000-00006A530000}"/>
    <cellStyle name="Normal 2 2 2 5 2 8 2 10" xfId="21392" xr:uid="{00000000-0005-0000-0000-00006B530000}"/>
    <cellStyle name="Normal 2 2 2 5 2 8 2 2" xfId="21393" xr:uid="{00000000-0005-0000-0000-00006C530000}"/>
    <cellStyle name="Normal 2 2 2 5 2 8 2 3" xfId="21394" xr:uid="{00000000-0005-0000-0000-00006D530000}"/>
    <cellStyle name="Normal 2 2 2 5 2 8 2 4" xfId="21395" xr:uid="{00000000-0005-0000-0000-00006E530000}"/>
    <cellStyle name="Normal 2 2 2 5 2 8 2 5" xfId="21396" xr:uid="{00000000-0005-0000-0000-00006F530000}"/>
    <cellStyle name="Normal 2 2 2 5 2 8 2 6" xfId="21397" xr:uid="{00000000-0005-0000-0000-000070530000}"/>
    <cellStyle name="Normal 2 2 2 5 2 8 2 7" xfId="21398" xr:uid="{00000000-0005-0000-0000-000071530000}"/>
    <cellStyle name="Normal 2 2 2 5 2 8 2 8" xfId="21399" xr:uid="{00000000-0005-0000-0000-000072530000}"/>
    <cellStyle name="Normal 2 2 2 5 2 8 2 9" xfId="21400" xr:uid="{00000000-0005-0000-0000-000073530000}"/>
    <cellStyle name="Normal 2 2 2 5 2 8 3" xfId="21401" xr:uid="{00000000-0005-0000-0000-000074530000}"/>
    <cellStyle name="Normal 2 2 2 5 2 8 3 10" xfId="21402" xr:uid="{00000000-0005-0000-0000-000075530000}"/>
    <cellStyle name="Normal 2 2 2 5 2 8 3 2" xfId="21403" xr:uid="{00000000-0005-0000-0000-000076530000}"/>
    <cellStyle name="Normal 2 2 2 5 2 8 3 3" xfId="21404" xr:uid="{00000000-0005-0000-0000-000077530000}"/>
    <cellStyle name="Normal 2 2 2 5 2 8 3 4" xfId="21405" xr:uid="{00000000-0005-0000-0000-000078530000}"/>
    <cellStyle name="Normal 2 2 2 5 2 8 3 5" xfId="21406" xr:uid="{00000000-0005-0000-0000-000079530000}"/>
    <cellStyle name="Normal 2 2 2 5 2 8 3 6" xfId="21407" xr:uid="{00000000-0005-0000-0000-00007A530000}"/>
    <cellStyle name="Normal 2 2 2 5 2 8 3 7" xfId="21408" xr:uid="{00000000-0005-0000-0000-00007B530000}"/>
    <cellStyle name="Normal 2 2 2 5 2 8 3 8" xfId="21409" xr:uid="{00000000-0005-0000-0000-00007C530000}"/>
    <cellStyle name="Normal 2 2 2 5 2 8 3 9" xfId="21410" xr:uid="{00000000-0005-0000-0000-00007D530000}"/>
    <cellStyle name="Normal 2 2 2 5 2 8 4" xfId="21411" xr:uid="{00000000-0005-0000-0000-00007E530000}"/>
    <cellStyle name="Normal 2 2 2 5 2 8 4 10" xfId="21412" xr:uid="{00000000-0005-0000-0000-00007F530000}"/>
    <cellStyle name="Normal 2 2 2 5 2 8 4 2" xfId="21413" xr:uid="{00000000-0005-0000-0000-000080530000}"/>
    <cellStyle name="Normal 2 2 2 5 2 8 4 3" xfId="21414" xr:uid="{00000000-0005-0000-0000-000081530000}"/>
    <cellStyle name="Normal 2 2 2 5 2 8 4 4" xfId="21415" xr:uid="{00000000-0005-0000-0000-000082530000}"/>
    <cellStyle name="Normal 2 2 2 5 2 8 4 5" xfId="21416" xr:uid="{00000000-0005-0000-0000-000083530000}"/>
    <cellStyle name="Normal 2 2 2 5 2 8 4 6" xfId="21417" xr:uid="{00000000-0005-0000-0000-000084530000}"/>
    <cellStyle name="Normal 2 2 2 5 2 8 4 7" xfId="21418" xr:uid="{00000000-0005-0000-0000-000085530000}"/>
    <cellStyle name="Normal 2 2 2 5 2 8 4 8" xfId="21419" xr:uid="{00000000-0005-0000-0000-000086530000}"/>
    <cellStyle name="Normal 2 2 2 5 2 8 4 9" xfId="21420" xr:uid="{00000000-0005-0000-0000-000087530000}"/>
    <cellStyle name="Normal 2 2 2 5 2 8 5" xfId="21421" xr:uid="{00000000-0005-0000-0000-000088530000}"/>
    <cellStyle name="Normal 2 2 2 5 2 8 5 10" xfId="21422" xr:uid="{00000000-0005-0000-0000-000089530000}"/>
    <cellStyle name="Normal 2 2 2 5 2 8 5 2" xfId="21423" xr:uid="{00000000-0005-0000-0000-00008A530000}"/>
    <cellStyle name="Normal 2 2 2 5 2 8 5 3" xfId="21424" xr:uid="{00000000-0005-0000-0000-00008B530000}"/>
    <cellStyle name="Normal 2 2 2 5 2 8 5 4" xfId="21425" xr:uid="{00000000-0005-0000-0000-00008C530000}"/>
    <cellStyle name="Normal 2 2 2 5 2 8 5 5" xfId="21426" xr:uid="{00000000-0005-0000-0000-00008D530000}"/>
    <cellStyle name="Normal 2 2 2 5 2 8 5 6" xfId="21427" xr:uid="{00000000-0005-0000-0000-00008E530000}"/>
    <cellStyle name="Normal 2 2 2 5 2 8 5 7" xfId="21428" xr:uid="{00000000-0005-0000-0000-00008F530000}"/>
    <cellStyle name="Normal 2 2 2 5 2 8 5 8" xfId="21429" xr:uid="{00000000-0005-0000-0000-000090530000}"/>
    <cellStyle name="Normal 2 2 2 5 2 8 5 9" xfId="21430" xr:uid="{00000000-0005-0000-0000-000091530000}"/>
    <cellStyle name="Normal 2 2 2 5 2 8 6" xfId="21431" xr:uid="{00000000-0005-0000-0000-000092530000}"/>
    <cellStyle name="Normal 2 2 2 5 2 8 7" xfId="21432" xr:uid="{00000000-0005-0000-0000-000093530000}"/>
    <cellStyle name="Normal 2 2 2 5 2 8 8" xfId="21433" xr:uid="{00000000-0005-0000-0000-000094530000}"/>
    <cellStyle name="Normal 2 2 2 5 2 8 9" xfId="21434" xr:uid="{00000000-0005-0000-0000-000095530000}"/>
    <cellStyle name="Normal 2 2 2 5 2 9" xfId="21435" xr:uid="{00000000-0005-0000-0000-000096530000}"/>
    <cellStyle name="Normal 2 2 2 5 2 9 10" xfId="21436" xr:uid="{00000000-0005-0000-0000-000097530000}"/>
    <cellStyle name="Normal 2 2 2 5 2 9 11" xfId="21437" xr:uid="{00000000-0005-0000-0000-000098530000}"/>
    <cellStyle name="Normal 2 2 2 5 2 9 12" xfId="21438" xr:uid="{00000000-0005-0000-0000-000099530000}"/>
    <cellStyle name="Normal 2 2 2 5 2 9 13" xfId="21439" xr:uid="{00000000-0005-0000-0000-00009A530000}"/>
    <cellStyle name="Normal 2 2 2 5 2 9 14" xfId="21440" xr:uid="{00000000-0005-0000-0000-00009B530000}"/>
    <cellStyle name="Normal 2 2 2 5 2 9 2" xfId="21441" xr:uid="{00000000-0005-0000-0000-00009C530000}"/>
    <cellStyle name="Normal 2 2 2 5 2 9 2 10" xfId="21442" xr:uid="{00000000-0005-0000-0000-00009D530000}"/>
    <cellStyle name="Normal 2 2 2 5 2 9 2 2" xfId="21443" xr:uid="{00000000-0005-0000-0000-00009E530000}"/>
    <cellStyle name="Normal 2 2 2 5 2 9 2 3" xfId="21444" xr:uid="{00000000-0005-0000-0000-00009F530000}"/>
    <cellStyle name="Normal 2 2 2 5 2 9 2 4" xfId="21445" xr:uid="{00000000-0005-0000-0000-0000A0530000}"/>
    <cellStyle name="Normal 2 2 2 5 2 9 2 5" xfId="21446" xr:uid="{00000000-0005-0000-0000-0000A1530000}"/>
    <cellStyle name="Normal 2 2 2 5 2 9 2 6" xfId="21447" xr:uid="{00000000-0005-0000-0000-0000A2530000}"/>
    <cellStyle name="Normal 2 2 2 5 2 9 2 7" xfId="21448" xr:uid="{00000000-0005-0000-0000-0000A3530000}"/>
    <cellStyle name="Normal 2 2 2 5 2 9 2 8" xfId="21449" xr:uid="{00000000-0005-0000-0000-0000A4530000}"/>
    <cellStyle name="Normal 2 2 2 5 2 9 2 9" xfId="21450" xr:uid="{00000000-0005-0000-0000-0000A5530000}"/>
    <cellStyle name="Normal 2 2 2 5 2 9 3" xfId="21451" xr:uid="{00000000-0005-0000-0000-0000A6530000}"/>
    <cellStyle name="Normal 2 2 2 5 2 9 3 10" xfId="21452" xr:uid="{00000000-0005-0000-0000-0000A7530000}"/>
    <cellStyle name="Normal 2 2 2 5 2 9 3 2" xfId="21453" xr:uid="{00000000-0005-0000-0000-0000A8530000}"/>
    <cellStyle name="Normal 2 2 2 5 2 9 3 3" xfId="21454" xr:uid="{00000000-0005-0000-0000-0000A9530000}"/>
    <cellStyle name="Normal 2 2 2 5 2 9 3 4" xfId="21455" xr:uid="{00000000-0005-0000-0000-0000AA530000}"/>
    <cellStyle name="Normal 2 2 2 5 2 9 3 5" xfId="21456" xr:uid="{00000000-0005-0000-0000-0000AB530000}"/>
    <cellStyle name="Normal 2 2 2 5 2 9 3 6" xfId="21457" xr:uid="{00000000-0005-0000-0000-0000AC530000}"/>
    <cellStyle name="Normal 2 2 2 5 2 9 3 7" xfId="21458" xr:uid="{00000000-0005-0000-0000-0000AD530000}"/>
    <cellStyle name="Normal 2 2 2 5 2 9 3 8" xfId="21459" xr:uid="{00000000-0005-0000-0000-0000AE530000}"/>
    <cellStyle name="Normal 2 2 2 5 2 9 3 9" xfId="21460" xr:uid="{00000000-0005-0000-0000-0000AF530000}"/>
    <cellStyle name="Normal 2 2 2 5 2 9 4" xfId="21461" xr:uid="{00000000-0005-0000-0000-0000B0530000}"/>
    <cellStyle name="Normal 2 2 2 5 2 9 4 10" xfId="21462" xr:uid="{00000000-0005-0000-0000-0000B1530000}"/>
    <cellStyle name="Normal 2 2 2 5 2 9 4 2" xfId="21463" xr:uid="{00000000-0005-0000-0000-0000B2530000}"/>
    <cellStyle name="Normal 2 2 2 5 2 9 4 3" xfId="21464" xr:uid="{00000000-0005-0000-0000-0000B3530000}"/>
    <cellStyle name="Normal 2 2 2 5 2 9 4 4" xfId="21465" xr:uid="{00000000-0005-0000-0000-0000B4530000}"/>
    <cellStyle name="Normal 2 2 2 5 2 9 4 5" xfId="21466" xr:uid="{00000000-0005-0000-0000-0000B5530000}"/>
    <cellStyle name="Normal 2 2 2 5 2 9 4 6" xfId="21467" xr:uid="{00000000-0005-0000-0000-0000B6530000}"/>
    <cellStyle name="Normal 2 2 2 5 2 9 4 7" xfId="21468" xr:uid="{00000000-0005-0000-0000-0000B7530000}"/>
    <cellStyle name="Normal 2 2 2 5 2 9 4 8" xfId="21469" xr:uid="{00000000-0005-0000-0000-0000B8530000}"/>
    <cellStyle name="Normal 2 2 2 5 2 9 4 9" xfId="21470" xr:uid="{00000000-0005-0000-0000-0000B9530000}"/>
    <cellStyle name="Normal 2 2 2 5 2 9 5" xfId="21471" xr:uid="{00000000-0005-0000-0000-0000BA530000}"/>
    <cellStyle name="Normal 2 2 2 5 2 9 5 10" xfId="21472" xr:uid="{00000000-0005-0000-0000-0000BB530000}"/>
    <cellStyle name="Normal 2 2 2 5 2 9 5 2" xfId="21473" xr:uid="{00000000-0005-0000-0000-0000BC530000}"/>
    <cellStyle name="Normal 2 2 2 5 2 9 5 3" xfId="21474" xr:uid="{00000000-0005-0000-0000-0000BD530000}"/>
    <cellStyle name="Normal 2 2 2 5 2 9 5 4" xfId="21475" xr:uid="{00000000-0005-0000-0000-0000BE530000}"/>
    <cellStyle name="Normal 2 2 2 5 2 9 5 5" xfId="21476" xr:uid="{00000000-0005-0000-0000-0000BF530000}"/>
    <cellStyle name="Normal 2 2 2 5 2 9 5 6" xfId="21477" xr:uid="{00000000-0005-0000-0000-0000C0530000}"/>
    <cellStyle name="Normal 2 2 2 5 2 9 5 7" xfId="21478" xr:uid="{00000000-0005-0000-0000-0000C1530000}"/>
    <cellStyle name="Normal 2 2 2 5 2 9 5 8" xfId="21479" xr:uid="{00000000-0005-0000-0000-0000C2530000}"/>
    <cellStyle name="Normal 2 2 2 5 2 9 5 9" xfId="21480" xr:uid="{00000000-0005-0000-0000-0000C3530000}"/>
    <cellStyle name="Normal 2 2 2 5 2 9 6" xfId="21481" xr:uid="{00000000-0005-0000-0000-0000C4530000}"/>
    <cellStyle name="Normal 2 2 2 5 2 9 7" xfId="21482" xr:uid="{00000000-0005-0000-0000-0000C5530000}"/>
    <cellStyle name="Normal 2 2 2 5 2 9 8" xfId="21483" xr:uid="{00000000-0005-0000-0000-0000C6530000}"/>
    <cellStyle name="Normal 2 2 2 5 2 9 9" xfId="21484" xr:uid="{00000000-0005-0000-0000-0000C7530000}"/>
    <cellStyle name="Normal 2 2 2 5 20" xfId="21485" xr:uid="{00000000-0005-0000-0000-0000C8530000}"/>
    <cellStyle name="Normal 2 2 2 5 21" xfId="21486" xr:uid="{00000000-0005-0000-0000-0000C9530000}"/>
    <cellStyle name="Normal 2 2 2 5 21 10" xfId="21487" xr:uid="{00000000-0005-0000-0000-0000CA530000}"/>
    <cellStyle name="Normal 2 2 2 5 21 2" xfId="21488" xr:uid="{00000000-0005-0000-0000-0000CB530000}"/>
    <cellStyle name="Normal 2 2 2 5 21 3" xfId="21489" xr:uid="{00000000-0005-0000-0000-0000CC530000}"/>
    <cellStyle name="Normal 2 2 2 5 21 4" xfId="21490" xr:uid="{00000000-0005-0000-0000-0000CD530000}"/>
    <cellStyle name="Normal 2 2 2 5 21 5" xfId="21491" xr:uid="{00000000-0005-0000-0000-0000CE530000}"/>
    <cellStyle name="Normal 2 2 2 5 21 6" xfId="21492" xr:uid="{00000000-0005-0000-0000-0000CF530000}"/>
    <cellStyle name="Normal 2 2 2 5 21 7" xfId="21493" xr:uid="{00000000-0005-0000-0000-0000D0530000}"/>
    <cellStyle name="Normal 2 2 2 5 21 8" xfId="21494" xr:uid="{00000000-0005-0000-0000-0000D1530000}"/>
    <cellStyle name="Normal 2 2 2 5 21 9" xfId="21495" xr:uid="{00000000-0005-0000-0000-0000D2530000}"/>
    <cellStyle name="Normal 2 2 2 5 22" xfId="21496" xr:uid="{00000000-0005-0000-0000-0000D3530000}"/>
    <cellStyle name="Normal 2 2 2 5 22 10" xfId="21497" xr:uid="{00000000-0005-0000-0000-0000D4530000}"/>
    <cellStyle name="Normal 2 2 2 5 22 2" xfId="21498" xr:uid="{00000000-0005-0000-0000-0000D5530000}"/>
    <cellStyle name="Normal 2 2 2 5 22 3" xfId="21499" xr:uid="{00000000-0005-0000-0000-0000D6530000}"/>
    <cellStyle name="Normal 2 2 2 5 22 4" xfId="21500" xr:uid="{00000000-0005-0000-0000-0000D7530000}"/>
    <cellStyle name="Normal 2 2 2 5 22 5" xfId="21501" xr:uid="{00000000-0005-0000-0000-0000D8530000}"/>
    <cellStyle name="Normal 2 2 2 5 22 6" xfId="21502" xr:uid="{00000000-0005-0000-0000-0000D9530000}"/>
    <cellStyle name="Normal 2 2 2 5 22 7" xfId="21503" xr:uid="{00000000-0005-0000-0000-0000DA530000}"/>
    <cellStyle name="Normal 2 2 2 5 22 8" xfId="21504" xr:uid="{00000000-0005-0000-0000-0000DB530000}"/>
    <cellStyle name="Normal 2 2 2 5 22 9" xfId="21505" xr:uid="{00000000-0005-0000-0000-0000DC530000}"/>
    <cellStyle name="Normal 2 2 2 5 23" xfId="21506" xr:uid="{00000000-0005-0000-0000-0000DD530000}"/>
    <cellStyle name="Normal 2 2 2 5 23 10" xfId="21507" xr:uid="{00000000-0005-0000-0000-0000DE530000}"/>
    <cellStyle name="Normal 2 2 2 5 23 2" xfId="21508" xr:uid="{00000000-0005-0000-0000-0000DF530000}"/>
    <cellStyle name="Normal 2 2 2 5 23 3" xfId="21509" xr:uid="{00000000-0005-0000-0000-0000E0530000}"/>
    <cellStyle name="Normal 2 2 2 5 23 4" xfId="21510" xr:uid="{00000000-0005-0000-0000-0000E1530000}"/>
    <cellStyle name="Normal 2 2 2 5 23 5" xfId="21511" xr:uid="{00000000-0005-0000-0000-0000E2530000}"/>
    <cellStyle name="Normal 2 2 2 5 23 6" xfId="21512" xr:uid="{00000000-0005-0000-0000-0000E3530000}"/>
    <cellStyle name="Normal 2 2 2 5 23 7" xfId="21513" xr:uid="{00000000-0005-0000-0000-0000E4530000}"/>
    <cellStyle name="Normal 2 2 2 5 23 8" xfId="21514" xr:uid="{00000000-0005-0000-0000-0000E5530000}"/>
    <cellStyle name="Normal 2 2 2 5 23 9" xfId="21515" xr:uid="{00000000-0005-0000-0000-0000E6530000}"/>
    <cellStyle name="Normal 2 2 2 5 24" xfId="21516" xr:uid="{00000000-0005-0000-0000-0000E7530000}"/>
    <cellStyle name="Normal 2 2 2 5 24 10" xfId="21517" xr:uid="{00000000-0005-0000-0000-0000E8530000}"/>
    <cellStyle name="Normal 2 2 2 5 24 2" xfId="21518" xr:uid="{00000000-0005-0000-0000-0000E9530000}"/>
    <cellStyle name="Normal 2 2 2 5 24 3" xfId="21519" xr:uid="{00000000-0005-0000-0000-0000EA530000}"/>
    <cellStyle name="Normal 2 2 2 5 24 4" xfId="21520" xr:uid="{00000000-0005-0000-0000-0000EB530000}"/>
    <cellStyle name="Normal 2 2 2 5 24 5" xfId="21521" xr:uid="{00000000-0005-0000-0000-0000EC530000}"/>
    <cellStyle name="Normal 2 2 2 5 24 6" xfId="21522" xr:uid="{00000000-0005-0000-0000-0000ED530000}"/>
    <cellStyle name="Normal 2 2 2 5 24 7" xfId="21523" xr:uid="{00000000-0005-0000-0000-0000EE530000}"/>
    <cellStyle name="Normal 2 2 2 5 24 8" xfId="21524" xr:uid="{00000000-0005-0000-0000-0000EF530000}"/>
    <cellStyle name="Normal 2 2 2 5 24 9" xfId="21525" xr:uid="{00000000-0005-0000-0000-0000F0530000}"/>
    <cellStyle name="Normal 2 2 2 5 25" xfId="21526" xr:uid="{00000000-0005-0000-0000-0000F1530000}"/>
    <cellStyle name="Normal 2 2 2 5 26" xfId="21527" xr:uid="{00000000-0005-0000-0000-0000F2530000}"/>
    <cellStyle name="Normal 2 2 2 5 27" xfId="21528" xr:uid="{00000000-0005-0000-0000-0000F3530000}"/>
    <cellStyle name="Normal 2 2 2 5 28" xfId="21529" xr:uid="{00000000-0005-0000-0000-0000F4530000}"/>
    <cellStyle name="Normal 2 2 2 5 29" xfId="21530" xr:uid="{00000000-0005-0000-0000-0000F5530000}"/>
    <cellStyle name="Normal 2 2 2 5 3" xfId="21531" xr:uid="{00000000-0005-0000-0000-0000F6530000}"/>
    <cellStyle name="Normal 2 2 2 5 30" xfId="21532" xr:uid="{00000000-0005-0000-0000-0000F7530000}"/>
    <cellStyle name="Normal 2 2 2 5 31" xfId="21533" xr:uid="{00000000-0005-0000-0000-0000F8530000}"/>
    <cellStyle name="Normal 2 2 2 5 32" xfId="21534" xr:uid="{00000000-0005-0000-0000-0000F9530000}"/>
    <cellStyle name="Normal 2 2 2 5 33" xfId="21535" xr:uid="{00000000-0005-0000-0000-0000FA530000}"/>
    <cellStyle name="Normal 2 2 2 5 34" xfId="21536" xr:uid="{00000000-0005-0000-0000-0000FB530000}"/>
    <cellStyle name="Normal 2 2 2 5 35" xfId="21537" xr:uid="{00000000-0005-0000-0000-0000FC530000}"/>
    <cellStyle name="Normal 2 2 2 5 4" xfId="21538" xr:uid="{00000000-0005-0000-0000-0000FD530000}"/>
    <cellStyle name="Normal 2 2 2 5 5" xfId="21539" xr:uid="{00000000-0005-0000-0000-0000FE530000}"/>
    <cellStyle name="Normal 2 2 2 5 6" xfId="21540" xr:uid="{00000000-0005-0000-0000-0000FF530000}"/>
    <cellStyle name="Normal 2 2 2 5 7" xfId="21541" xr:uid="{00000000-0005-0000-0000-000000540000}"/>
    <cellStyle name="Normal 2 2 2 5 8" xfId="21542" xr:uid="{00000000-0005-0000-0000-000001540000}"/>
    <cellStyle name="Normal 2 2 2 5 9" xfId="21543" xr:uid="{00000000-0005-0000-0000-000002540000}"/>
    <cellStyle name="Normal 2 2 2 50" xfId="21544" xr:uid="{00000000-0005-0000-0000-000003540000}"/>
    <cellStyle name="Normal 2 2 2 51" xfId="21545" xr:uid="{00000000-0005-0000-0000-000004540000}"/>
    <cellStyle name="Normal 2 2 2 6" xfId="21546" xr:uid="{00000000-0005-0000-0000-000005540000}"/>
    <cellStyle name="Normal 2 2 2 6 10" xfId="21547" xr:uid="{00000000-0005-0000-0000-000006540000}"/>
    <cellStyle name="Normal 2 2 2 6 11" xfId="21548" xr:uid="{00000000-0005-0000-0000-000007540000}"/>
    <cellStyle name="Normal 2 2 2 6 12" xfId="21549" xr:uid="{00000000-0005-0000-0000-000008540000}"/>
    <cellStyle name="Normal 2 2 2 6 13" xfId="21550" xr:uid="{00000000-0005-0000-0000-000009540000}"/>
    <cellStyle name="Normal 2 2 2 6 14" xfId="21551" xr:uid="{00000000-0005-0000-0000-00000A540000}"/>
    <cellStyle name="Normal 2 2 2 6 15" xfId="21552" xr:uid="{00000000-0005-0000-0000-00000B540000}"/>
    <cellStyle name="Normal 2 2 2 6 16" xfId="21553" xr:uid="{00000000-0005-0000-0000-00000C540000}"/>
    <cellStyle name="Normal 2 2 2 6 2" xfId="21554" xr:uid="{00000000-0005-0000-0000-00000D540000}"/>
    <cellStyle name="Normal 2 2 2 6 2 10" xfId="21555" xr:uid="{00000000-0005-0000-0000-00000E540000}"/>
    <cellStyle name="Normal 2 2 2 6 2 2" xfId="21556" xr:uid="{00000000-0005-0000-0000-00000F540000}"/>
    <cellStyle name="Normal 2 2 2 6 2 3" xfId="21557" xr:uid="{00000000-0005-0000-0000-000010540000}"/>
    <cellStyle name="Normal 2 2 2 6 2 4" xfId="21558" xr:uid="{00000000-0005-0000-0000-000011540000}"/>
    <cellStyle name="Normal 2 2 2 6 2 5" xfId="21559" xr:uid="{00000000-0005-0000-0000-000012540000}"/>
    <cellStyle name="Normal 2 2 2 6 2 6" xfId="21560" xr:uid="{00000000-0005-0000-0000-000013540000}"/>
    <cellStyle name="Normal 2 2 2 6 2 7" xfId="21561" xr:uid="{00000000-0005-0000-0000-000014540000}"/>
    <cellStyle name="Normal 2 2 2 6 2 8" xfId="21562" xr:uid="{00000000-0005-0000-0000-000015540000}"/>
    <cellStyle name="Normal 2 2 2 6 2 9" xfId="21563" xr:uid="{00000000-0005-0000-0000-000016540000}"/>
    <cellStyle name="Normal 2 2 2 6 3" xfId="21564" xr:uid="{00000000-0005-0000-0000-000017540000}"/>
    <cellStyle name="Normal 2 2 2 6 3 10" xfId="21565" xr:uid="{00000000-0005-0000-0000-000018540000}"/>
    <cellStyle name="Normal 2 2 2 6 3 2" xfId="21566" xr:uid="{00000000-0005-0000-0000-000019540000}"/>
    <cellStyle name="Normal 2 2 2 6 3 3" xfId="21567" xr:uid="{00000000-0005-0000-0000-00001A540000}"/>
    <cellStyle name="Normal 2 2 2 6 3 4" xfId="21568" xr:uid="{00000000-0005-0000-0000-00001B540000}"/>
    <cellStyle name="Normal 2 2 2 6 3 5" xfId="21569" xr:uid="{00000000-0005-0000-0000-00001C540000}"/>
    <cellStyle name="Normal 2 2 2 6 3 6" xfId="21570" xr:uid="{00000000-0005-0000-0000-00001D540000}"/>
    <cellStyle name="Normal 2 2 2 6 3 7" xfId="21571" xr:uid="{00000000-0005-0000-0000-00001E540000}"/>
    <cellStyle name="Normal 2 2 2 6 3 8" xfId="21572" xr:uid="{00000000-0005-0000-0000-00001F540000}"/>
    <cellStyle name="Normal 2 2 2 6 3 9" xfId="21573" xr:uid="{00000000-0005-0000-0000-000020540000}"/>
    <cellStyle name="Normal 2 2 2 6 4" xfId="21574" xr:uid="{00000000-0005-0000-0000-000021540000}"/>
    <cellStyle name="Normal 2 2 2 6 4 10" xfId="21575" xr:uid="{00000000-0005-0000-0000-000022540000}"/>
    <cellStyle name="Normal 2 2 2 6 4 2" xfId="21576" xr:uid="{00000000-0005-0000-0000-000023540000}"/>
    <cellStyle name="Normal 2 2 2 6 4 3" xfId="21577" xr:uid="{00000000-0005-0000-0000-000024540000}"/>
    <cellStyle name="Normal 2 2 2 6 4 4" xfId="21578" xr:uid="{00000000-0005-0000-0000-000025540000}"/>
    <cellStyle name="Normal 2 2 2 6 4 5" xfId="21579" xr:uid="{00000000-0005-0000-0000-000026540000}"/>
    <cellStyle name="Normal 2 2 2 6 4 6" xfId="21580" xr:uid="{00000000-0005-0000-0000-000027540000}"/>
    <cellStyle name="Normal 2 2 2 6 4 7" xfId="21581" xr:uid="{00000000-0005-0000-0000-000028540000}"/>
    <cellStyle name="Normal 2 2 2 6 4 8" xfId="21582" xr:uid="{00000000-0005-0000-0000-000029540000}"/>
    <cellStyle name="Normal 2 2 2 6 4 9" xfId="21583" xr:uid="{00000000-0005-0000-0000-00002A540000}"/>
    <cellStyle name="Normal 2 2 2 6 5" xfId="21584" xr:uid="{00000000-0005-0000-0000-00002B540000}"/>
    <cellStyle name="Normal 2 2 2 6 5 10" xfId="21585" xr:uid="{00000000-0005-0000-0000-00002C540000}"/>
    <cellStyle name="Normal 2 2 2 6 5 2" xfId="21586" xr:uid="{00000000-0005-0000-0000-00002D540000}"/>
    <cellStyle name="Normal 2 2 2 6 5 3" xfId="21587" xr:uid="{00000000-0005-0000-0000-00002E540000}"/>
    <cellStyle name="Normal 2 2 2 6 5 4" xfId="21588" xr:uid="{00000000-0005-0000-0000-00002F540000}"/>
    <cellStyle name="Normal 2 2 2 6 5 5" xfId="21589" xr:uid="{00000000-0005-0000-0000-000030540000}"/>
    <cellStyle name="Normal 2 2 2 6 5 6" xfId="21590" xr:uid="{00000000-0005-0000-0000-000031540000}"/>
    <cellStyle name="Normal 2 2 2 6 5 7" xfId="21591" xr:uid="{00000000-0005-0000-0000-000032540000}"/>
    <cellStyle name="Normal 2 2 2 6 5 8" xfId="21592" xr:uid="{00000000-0005-0000-0000-000033540000}"/>
    <cellStyle name="Normal 2 2 2 6 5 9" xfId="21593" xr:uid="{00000000-0005-0000-0000-000034540000}"/>
    <cellStyle name="Normal 2 2 2 6 6" xfId="21594" xr:uid="{00000000-0005-0000-0000-000035540000}"/>
    <cellStyle name="Normal 2 2 2 6 7" xfId="21595" xr:uid="{00000000-0005-0000-0000-000036540000}"/>
    <cellStyle name="Normal 2 2 2 6 8" xfId="21596" xr:uid="{00000000-0005-0000-0000-000037540000}"/>
    <cellStyle name="Normal 2 2 2 6 9" xfId="21597" xr:uid="{00000000-0005-0000-0000-000038540000}"/>
    <cellStyle name="Normal 2 2 2 7" xfId="21598" xr:uid="{00000000-0005-0000-0000-000039540000}"/>
    <cellStyle name="Normal 2 2 2 7 10" xfId="21599" xr:uid="{00000000-0005-0000-0000-00003A540000}"/>
    <cellStyle name="Normal 2 2 2 7 11" xfId="21600" xr:uid="{00000000-0005-0000-0000-00003B540000}"/>
    <cellStyle name="Normal 2 2 2 7 12" xfId="21601" xr:uid="{00000000-0005-0000-0000-00003C540000}"/>
    <cellStyle name="Normal 2 2 2 7 13" xfId="21602" xr:uid="{00000000-0005-0000-0000-00003D540000}"/>
    <cellStyle name="Normal 2 2 2 7 14" xfId="21603" xr:uid="{00000000-0005-0000-0000-00003E540000}"/>
    <cellStyle name="Normal 2 2 2 7 15" xfId="21604" xr:uid="{00000000-0005-0000-0000-00003F540000}"/>
    <cellStyle name="Normal 2 2 2 7 16" xfId="21605" xr:uid="{00000000-0005-0000-0000-000040540000}"/>
    <cellStyle name="Normal 2 2 2 7 2" xfId="21606" xr:uid="{00000000-0005-0000-0000-000041540000}"/>
    <cellStyle name="Normal 2 2 2 7 2 10" xfId="21607" xr:uid="{00000000-0005-0000-0000-000042540000}"/>
    <cellStyle name="Normal 2 2 2 7 2 2" xfId="21608" xr:uid="{00000000-0005-0000-0000-000043540000}"/>
    <cellStyle name="Normal 2 2 2 7 2 3" xfId="21609" xr:uid="{00000000-0005-0000-0000-000044540000}"/>
    <cellStyle name="Normal 2 2 2 7 2 4" xfId="21610" xr:uid="{00000000-0005-0000-0000-000045540000}"/>
    <cellStyle name="Normal 2 2 2 7 2 5" xfId="21611" xr:uid="{00000000-0005-0000-0000-000046540000}"/>
    <cellStyle name="Normal 2 2 2 7 2 6" xfId="21612" xr:uid="{00000000-0005-0000-0000-000047540000}"/>
    <cellStyle name="Normal 2 2 2 7 2 7" xfId="21613" xr:uid="{00000000-0005-0000-0000-000048540000}"/>
    <cellStyle name="Normal 2 2 2 7 2 8" xfId="21614" xr:uid="{00000000-0005-0000-0000-000049540000}"/>
    <cellStyle name="Normal 2 2 2 7 2 9" xfId="21615" xr:uid="{00000000-0005-0000-0000-00004A540000}"/>
    <cellStyle name="Normal 2 2 2 7 3" xfId="21616" xr:uid="{00000000-0005-0000-0000-00004B540000}"/>
    <cellStyle name="Normal 2 2 2 7 3 10" xfId="21617" xr:uid="{00000000-0005-0000-0000-00004C540000}"/>
    <cellStyle name="Normal 2 2 2 7 3 2" xfId="21618" xr:uid="{00000000-0005-0000-0000-00004D540000}"/>
    <cellStyle name="Normal 2 2 2 7 3 3" xfId="21619" xr:uid="{00000000-0005-0000-0000-00004E540000}"/>
    <cellStyle name="Normal 2 2 2 7 3 4" xfId="21620" xr:uid="{00000000-0005-0000-0000-00004F540000}"/>
    <cellStyle name="Normal 2 2 2 7 3 5" xfId="21621" xr:uid="{00000000-0005-0000-0000-000050540000}"/>
    <cellStyle name="Normal 2 2 2 7 3 6" xfId="21622" xr:uid="{00000000-0005-0000-0000-000051540000}"/>
    <cellStyle name="Normal 2 2 2 7 3 7" xfId="21623" xr:uid="{00000000-0005-0000-0000-000052540000}"/>
    <cellStyle name="Normal 2 2 2 7 3 8" xfId="21624" xr:uid="{00000000-0005-0000-0000-000053540000}"/>
    <cellStyle name="Normal 2 2 2 7 3 9" xfId="21625" xr:uid="{00000000-0005-0000-0000-000054540000}"/>
    <cellStyle name="Normal 2 2 2 7 4" xfId="21626" xr:uid="{00000000-0005-0000-0000-000055540000}"/>
    <cellStyle name="Normal 2 2 2 7 4 10" xfId="21627" xr:uid="{00000000-0005-0000-0000-000056540000}"/>
    <cellStyle name="Normal 2 2 2 7 4 2" xfId="21628" xr:uid="{00000000-0005-0000-0000-000057540000}"/>
    <cellStyle name="Normal 2 2 2 7 4 3" xfId="21629" xr:uid="{00000000-0005-0000-0000-000058540000}"/>
    <cellStyle name="Normal 2 2 2 7 4 4" xfId="21630" xr:uid="{00000000-0005-0000-0000-000059540000}"/>
    <cellStyle name="Normal 2 2 2 7 4 5" xfId="21631" xr:uid="{00000000-0005-0000-0000-00005A540000}"/>
    <cellStyle name="Normal 2 2 2 7 4 6" xfId="21632" xr:uid="{00000000-0005-0000-0000-00005B540000}"/>
    <cellStyle name="Normal 2 2 2 7 4 7" xfId="21633" xr:uid="{00000000-0005-0000-0000-00005C540000}"/>
    <cellStyle name="Normal 2 2 2 7 4 8" xfId="21634" xr:uid="{00000000-0005-0000-0000-00005D540000}"/>
    <cellStyle name="Normal 2 2 2 7 4 9" xfId="21635" xr:uid="{00000000-0005-0000-0000-00005E540000}"/>
    <cellStyle name="Normal 2 2 2 7 5" xfId="21636" xr:uid="{00000000-0005-0000-0000-00005F540000}"/>
    <cellStyle name="Normal 2 2 2 7 5 10" xfId="21637" xr:uid="{00000000-0005-0000-0000-000060540000}"/>
    <cellStyle name="Normal 2 2 2 7 5 2" xfId="21638" xr:uid="{00000000-0005-0000-0000-000061540000}"/>
    <cellStyle name="Normal 2 2 2 7 5 3" xfId="21639" xr:uid="{00000000-0005-0000-0000-000062540000}"/>
    <cellStyle name="Normal 2 2 2 7 5 4" xfId="21640" xr:uid="{00000000-0005-0000-0000-000063540000}"/>
    <cellStyle name="Normal 2 2 2 7 5 5" xfId="21641" xr:uid="{00000000-0005-0000-0000-000064540000}"/>
    <cellStyle name="Normal 2 2 2 7 5 6" xfId="21642" xr:uid="{00000000-0005-0000-0000-000065540000}"/>
    <cellStyle name="Normal 2 2 2 7 5 7" xfId="21643" xr:uid="{00000000-0005-0000-0000-000066540000}"/>
    <cellStyle name="Normal 2 2 2 7 5 8" xfId="21644" xr:uid="{00000000-0005-0000-0000-000067540000}"/>
    <cellStyle name="Normal 2 2 2 7 5 9" xfId="21645" xr:uid="{00000000-0005-0000-0000-000068540000}"/>
    <cellStyle name="Normal 2 2 2 7 6" xfId="21646" xr:uid="{00000000-0005-0000-0000-000069540000}"/>
    <cellStyle name="Normal 2 2 2 7 7" xfId="21647" xr:uid="{00000000-0005-0000-0000-00006A540000}"/>
    <cellStyle name="Normal 2 2 2 7 8" xfId="21648" xr:uid="{00000000-0005-0000-0000-00006B540000}"/>
    <cellStyle name="Normal 2 2 2 7 9" xfId="21649" xr:uid="{00000000-0005-0000-0000-00006C540000}"/>
    <cellStyle name="Normal 2 2 2 8" xfId="21650" xr:uid="{00000000-0005-0000-0000-00006D540000}"/>
    <cellStyle name="Normal 2 2 2 8 10" xfId="21651" xr:uid="{00000000-0005-0000-0000-00006E540000}"/>
    <cellStyle name="Normal 2 2 2 8 11" xfId="21652" xr:uid="{00000000-0005-0000-0000-00006F540000}"/>
    <cellStyle name="Normal 2 2 2 8 12" xfId="21653" xr:uid="{00000000-0005-0000-0000-000070540000}"/>
    <cellStyle name="Normal 2 2 2 8 13" xfId="21654" xr:uid="{00000000-0005-0000-0000-000071540000}"/>
    <cellStyle name="Normal 2 2 2 8 14" xfId="21655" xr:uid="{00000000-0005-0000-0000-000072540000}"/>
    <cellStyle name="Normal 2 2 2 8 2" xfId="21656" xr:uid="{00000000-0005-0000-0000-000073540000}"/>
    <cellStyle name="Normal 2 2 2 8 2 10" xfId="21657" xr:uid="{00000000-0005-0000-0000-000074540000}"/>
    <cellStyle name="Normal 2 2 2 8 2 2" xfId="21658" xr:uid="{00000000-0005-0000-0000-000075540000}"/>
    <cellStyle name="Normal 2 2 2 8 2 3" xfId="21659" xr:uid="{00000000-0005-0000-0000-000076540000}"/>
    <cellStyle name="Normal 2 2 2 8 2 4" xfId="21660" xr:uid="{00000000-0005-0000-0000-000077540000}"/>
    <cellStyle name="Normal 2 2 2 8 2 5" xfId="21661" xr:uid="{00000000-0005-0000-0000-000078540000}"/>
    <cellStyle name="Normal 2 2 2 8 2 6" xfId="21662" xr:uid="{00000000-0005-0000-0000-000079540000}"/>
    <cellStyle name="Normal 2 2 2 8 2 7" xfId="21663" xr:uid="{00000000-0005-0000-0000-00007A540000}"/>
    <cellStyle name="Normal 2 2 2 8 2 8" xfId="21664" xr:uid="{00000000-0005-0000-0000-00007B540000}"/>
    <cellStyle name="Normal 2 2 2 8 2 9" xfId="21665" xr:uid="{00000000-0005-0000-0000-00007C540000}"/>
    <cellStyle name="Normal 2 2 2 8 3" xfId="21666" xr:uid="{00000000-0005-0000-0000-00007D540000}"/>
    <cellStyle name="Normal 2 2 2 8 3 10" xfId="21667" xr:uid="{00000000-0005-0000-0000-00007E540000}"/>
    <cellStyle name="Normal 2 2 2 8 3 2" xfId="21668" xr:uid="{00000000-0005-0000-0000-00007F540000}"/>
    <cellStyle name="Normal 2 2 2 8 3 3" xfId="21669" xr:uid="{00000000-0005-0000-0000-000080540000}"/>
    <cellStyle name="Normal 2 2 2 8 3 4" xfId="21670" xr:uid="{00000000-0005-0000-0000-000081540000}"/>
    <cellStyle name="Normal 2 2 2 8 3 5" xfId="21671" xr:uid="{00000000-0005-0000-0000-000082540000}"/>
    <cellStyle name="Normal 2 2 2 8 3 6" xfId="21672" xr:uid="{00000000-0005-0000-0000-000083540000}"/>
    <cellStyle name="Normal 2 2 2 8 3 7" xfId="21673" xr:uid="{00000000-0005-0000-0000-000084540000}"/>
    <cellStyle name="Normal 2 2 2 8 3 8" xfId="21674" xr:uid="{00000000-0005-0000-0000-000085540000}"/>
    <cellStyle name="Normal 2 2 2 8 3 9" xfId="21675" xr:uid="{00000000-0005-0000-0000-000086540000}"/>
    <cellStyle name="Normal 2 2 2 8 4" xfId="21676" xr:uid="{00000000-0005-0000-0000-000087540000}"/>
    <cellStyle name="Normal 2 2 2 8 4 10" xfId="21677" xr:uid="{00000000-0005-0000-0000-000088540000}"/>
    <cellStyle name="Normal 2 2 2 8 4 2" xfId="21678" xr:uid="{00000000-0005-0000-0000-000089540000}"/>
    <cellStyle name="Normal 2 2 2 8 4 3" xfId="21679" xr:uid="{00000000-0005-0000-0000-00008A540000}"/>
    <cellStyle name="Normal 2 2 2 8 4 4" xfId="21680" xr:uid="{00000000-0005-0000-0000-00008B540000}"/>
    <cellStyle name="Normal 2 2 2 8 4 5" xfId="21681" xr:uid="{00000000-0005-0000-0000-00008C540000}"/>
    <cellStyle name="Normal 2 2 2 8 4 6" xfId="21682" xr:uid="{00000000-0005-0000-0000-00008D540000}"/>
    <cellStyle name="Normal 2 2 2 8 4 7" xfId="21683" xr:uid="{00000000-0005-0000-0000-00008E540000}"/>
    <cellStyle name="Normal 2 2 2 8 4 8" xfId="21684" xr:uid="{00000000-0005-0000-0000-00008F540000}"/>
    <cellStyle name="Normal 2 2 2 8 4 9" xfId="21685" xr:uid="{00000000-0005-0000-0000-000090540000}"/>
    <cellStyle name="Normal 2 2 2 8 5" xfId="21686" xr:uid="{00000000-0005-0000-0000-000091540000}"/>
    <cellStyle name="Normal 2 2 2 8 5 10" xfId="21687" xr:uid="{00000000-0005-0000-0000-000092540000}"/>
    <cellStyle name="Normal 2 2 2 8 5 2" xfId="21688" xr:uid="{00000000-0005-0000-0000-000093540000}"/>
    <cellStyle name="Normal 2 2 2 8 5 3" xfId="21689" xr:uid="{00000000-0005-0000-0000-000094540000}"/>
    <cellStyle name="Normal 2 2 2 8 5 4" xfId="21690" xr:uid="{00000000-0005-0000-0000-000095540000}"/>
    <cellStyle name="Normal 2 2 2 8 5 5" xfId="21691" xr:uid="{00000000-0005-0000-0000-000096540000}"/>
    <cellStyle name="Normal 2 2 2 8 5 6" xfId="21692" xr:uid="{00000000-0005-0000-0000-000097540000}"/>
    <cellStyle name="Normal 2 2 2 8 5 7" xfId="21693" xr:uid="{00000000-0005-0000-0000-000098540000}"/>
    <cellStyle name="Normal 2 2 2 8 5 8" xfId="21694" xr:uid="{00000000-0005-0000-0000-000099540000}"/>
    <cellStyle name="Normal 2 2 2 8 5 9" xfId="21695" xr:uid="{00000000-0005-0000-0000-00009A540000}"/>
    <cellStyle name="Normal 2 2 2 8 6" xfId="21696" xr:uid="{00000000-0005-0000-0000-00009B540000}"/>
    <cellStyle name="Normal 2 2 2 8 7" xfId="21697" xr:uid="{00000000-0005-0000-0000-00009C540000}"/>
    <cellStyle name="Normal 2 2 2 8 8" xfId="21698" xr:uid="{00000000-0005-0000-0000-00009D540000}"/>
    <cellStyle name="Normal 2 2 2 8 9" xfId="21699" xr:uid="{00000000-0005-0000-0000-00009E540000}"/>
    <cellStyle name="Normal 2 2 2 9" xfId="21700" xr:uid="{00000000-0005-0000-0000-00009F540000}"/>
    <cellStyle name="Normal 2 2 2 9 10" xfId="21701" xr:uid="{00000000-0005-0000-0000-0000A0540000}"/>
    <cellStyle name="Normal 2 2 2 9 11" xfId="21702" xr:uid="{00000000-0005-0000-0000-0000A1540000}"/>
    <cellStyle name="Normal 2 2 2 9 12" xfId="21703" xr:uid="{00000000-0005-0000-0000-0000A2540000}"/>
    <cellStyle name="Normal 2 2 2 9 13" xfId="21704" xr:uid="{00000000-0005-0000-0000-0000A3540000}"/>
    <cellStyle name="Normal 2 2 2 9 14" xfId="21705" xr:uid="{00000000-0005-0000-0000-0000A4540000}"/>
    <cellStyle name="Normal 2 2 2 9 2" xfId="21706" xr:uid="{00000000-0005-0000-0000-0000A5540000}"/>
    <cellStyle name="Normal 2 2 2 9 2 10" xfId="21707" xr:uid="{00000000-0005-0000-0000-0000A6540000}"/>
    <cellStyle name="Normal 2 2 2 9 2 2" xfId="21708" xr:uid="{00000000-0005-0000-0000-0000A7540000}"/>
    <cellStyle name="Normal 2 2 2 9 2 3" xfId="21709" xr:uid="{00000000-0005-0000-0000-0000A8540000}"/>
    <cellStyle name="Normal 2 2 2 9 2 4" xfId="21710" xr:uid="{00000000-0005-0000-0000-0000A9540000}"/>
    <cellStyle name="Normal 2 2 2 9 2 5" xfId="21711" xr:uid="{00000000-0005-0000-0000-0000AA540000}"/>
    <cellStyle name="Normal 2 2 2 9 2 6" xfId="21712" xr:uid="{00000000-0005-0000-0000-0000AB540000}"/>
    <cellStyle name="Normal 2 2 2 9 2 7" xfId="21713" xr:uid="{00000000-0005-0000-0000-0000AC540000}"/>
    <cellStyle name="Normal 2 2 2 9 2 8" xfId="21714" xr:uid="{00000000-0005-0000-0000-0000AD540000}"/>
    <cellStyle name="Normal 2 2 2 9 2 9" xfId="21715" xr:uid="{00000000-0005-0000-0000-0000AE540000}"/>
    <cellStyle name="Normal 2 2 2 9 3" xfId="21716" xr:uid="{00000000-0005-0000-0000-0000AF540000}"/>
    <cellStyle name="Normal 2 2 2 9 3 10" xfId="21717" xr:uid="{00000000-0005-0000-0000-0000B0540000}"/>
    <cellStyle name="Normal 2 2 2 9 3 2" xfId="21718" xr:uid="{00000000-0005-0000-0000-0000B1540000}"/>
    <cellStyle name="Normal 2 2 2 9 3 3" xfId="21719" xr:uid="{00000000-0005-0000-0000-0000B2540000}"/>
    <cellStyle name="Normal 2 2 2 9 3 4" xfId="21720" xr:uid="{00000000-0005-0000-0000-0000B3540000}"/>
    <cellStyle name="Normal 2 2 2 9 3 5" xfId="21721" xr:uid="{00000000-0005-0000-0000-0000B4540000}"/>
    <cellStyle name="Normal 2 2 2 9 3 6" xfId="21722" xr:uid="{00000000-0005-0000-0000-0000B5540000}"/>
    <cellStyle name="Normal 2 2 2 9 3 7" xfId="21723" xr:uid="{00000000-0005-0000-0000-0000B6540000}"/>
    <cellStyle name="Normal 2 2 2 9 3 8" xfId="21724" xr:uid="{00000000-0005-0000-0000-0000B7540000}"/>
    <cellStyle name="Normal 2 2 2 9 3 9" xfId="21725" xr:uid="{00000000-0005-0000-0000-0000B8540000}"/>
    <cellStyle name="Normal 2 2 2 9 4" xfId="21726" xr:uid="{00000000-0005-0000-0000-0000B9540000}"/>
    <cellStyle name="Normal 2 2 2 9 4 10" xfId="21727" xr:uid="{00000000-0005-0000-0000-0000BA540000}"/>
    <cellStyle name="Normal 2 2 2 9 4 2" xfId="21728" xr:uid="{00000000-0005-0000-0000-0000BB540000}"/>
    <cellStyle name="Normal 2 2 2 9 4 3" xfId="21729" xr:uid="{00000000-0005-0000-0000-0000BC540000}"/>
    <cellStyle name="Normal 2 2 2 9 4 4" xfId="21730" xr:uid="{00000000-0005-0000-0000-0000BD540000}"/>
    <cellStyle name="Normal 2 2 2 9 4 5" xfId="21731" xr:uid="{00000000-0005-0000-0000-0000BE540000}"/>
    <cellStyle name="Normal 2 2 2 9 4 6" xfId="21732" xr:uid="{00000000-0005-0000-0000-0000BF540000}"/>
    <cellStyle name="Normal 2 2 2 9 4 7" xfId="21733" xr:uid="{00000000-0005-0000-0000-0000C0540000}"/>
    <cellStyle name="Normal 2 2 2 9 4 8" xfId="21734" xr:uid="{00000000-0005-0000-0000-0000C1540000}"/>
    <cellStyle name="Normal 2 2 2 9 4 9" xfId="21735" xr:uid="{00000000-0005-0000-0000-0000C2540000}"/>
    <cellStyle name="Normal 2 2 2 9 5" xfId="21736" xr:uid="{00000000-0005-0000-0000-0000C3540000}"/>
    <cellStyle name="Normal 2 2 2 9 5 10" xfId="21737" xr:uid="{00000000-0005-0000-0000-0000C4540000}"/>
    <cellStyle name="Normal 2 2 2 9 5 2" xfId="21738" xr:uid="{00000000-0005-0000-0000-0000C5540000}"/>
    <cellStyle name="Normal 2 2 2 9 5 3" xfId="21739" xr:uid="{00000000-0005-0000-0000-0000C6540000}"/>
    <cellStyle name="Normal 2 2 2 9 5 4" xfId="21740" xr:uid="{00000000-0005-0000-0000-0000C7540000}"/>
    <cellStyle name="Normal 2 2 2 9 5 5" xfId="21741" xr:uid="{00000000-0005-0000-0000-0000C8540000}"/>
    <cellStyle name="Normal 2 2 2 9 5 6" xfId="21742" xr:uid="{00000000-0005-0000-0000-0000C9540000}"/>
    <cellStyle name="Normal 2 2 2 9 5 7" xfId="21743" xr:uid="{00000000-0005-0000-0000-0000CA540000}"/>
    <cellStyle name="Normal 2 2 2 9 5 8" xfId="21744" xr:uid="{00000000-0005-0000-0000-0000CB540000}"/>
    <cellStyle name="Normal 2 2 2 9 5 9" xfId="21745" xr:uid="{00000000-0005-0000-0000-0000CC540000}"/>
    <cellStyle name="Normal 2 2 2 9 6" xfId="21746" xr:uid="{00000000-0005-0000-0000-0000CD540000}"/>
    <cellStyle name="Normal 2 2 2 9 7" xfId="21747" xr:uid="{00000000-0005-0000-0000-0000CE540000}"/>
    <cellStyle name="Normal 2 2 2 9 8" xfId="21748" xr:uid="{00000000-0005-0000-0000-0000CF540000}"/>
    <cellStyle name="Normal 2 2 2 9 9" xfId="21749" xr:uid="{00000000-0005-0000-0000-0000D0540000}"/>
    <cellStyle name="Normal 2 2 20" xfId="21750" xr:uid="{00000000-0005-0000-0000-0000D1540000}"/>
    <cellStyle name="Normal 2 2 21" xfId="21751" xr:uid="{00000000-0005-0000-0000-0000D2540000}"/>
    <cellStyle name="Normal 2 2 22" xfId="21752" xr:uid="{00000000-0005-0000-0000-0000D3540000}"/>
    <cellStyle name="Normal 2 2 23" xfId="21753" xr:uid="{00000000-0005-0000-0000-0000D4540000}"/>
    <cellStyle name="Normal 2 2 24" xfId="21754" xr:uid="{00000000-0005-0000-0000-0000D5540000}"/>
    <cellStyle name="Normal 2 2 25" xfId="21755" xr:uid="{00000000-0005-0000-0000-0000D6540000}"/>
    <cellStyle name="Normal 2 2 26" xfId="21756" xr:uid="{00000000-0005-0000-0000-0000D7540000}"/>
    <cellStyle name="Normal 2 2 27" xfId="21757" xr:uid="{00000000-0005-0000-0000-0000D8540000}"/>
    <cellStyle name="Normal 2 2 28" xfId="21758" xr:uid="{00000000-0005-0000-0000-0000D9540000}"/>
    <cellStyle name="Normal 2 2 29" xfId="21759" xr:uid="{00000000-0005-0000-0000-0000DA540000}"/>
    <cellStyle name="Normal 2 2 3" xfId="26" xr:uid="{00000000-0005-0000-0000-0000DB540000}"/>
    <cellStyle name="Normal 2 2 3 2" xfId="53" xr:uid="{00000000-0005-0000-0000-0000DC540000}"/>
    <cellStyle name="Normal 2 2 3 2 2" xfId="21761" xr:uid="{00000000-0005-0000-0000-0000DD540000}"/>
    <cellStyle name="Normal 2 2 3 3" xfId="21762" xr:uid="{00000000-0005-0000-0000-0000DE540000}"/>
    <cellStyle name="Normal 2 2 3 4" xfId="21763" xr:uid="{00000000-0005-0000-0000-0000DF540000}"/>
    <cellStyle name="Normal 2 2 3 5" xfId="21760" xr:uid="{00000000-0005-0000-0000-0000E0540000}"/>
    <cellStyle name="Normal 2 2 30" xfId="21764" xr:uid="{00000000-0005-0000-0000-0000E1540000}"/>
    <cellStyle name="Normal 2 2 31" xfId="21765" xr:uid="{00000000-0005-0000-0000-0000E2540000}"/>
    <cellStyle name="Normal 2 2 32" xfId="21766" xr:uid="{00000000-0005-0000-0000-0000E3540000}"/>
    <cellStyle name="Normal 2 2 33" xfId="21767" xr:uid="{00000000-0005-0000-0000-0000E4540000}"/>
    <cellStyle name="Normal 2 2 34" xfId="21768" xr:uid="{00000000-0005-0000-0000-0000E5540000}"/>
    <cellStyle name="Normal 2 2 35" xfId="21769" xr:uid="{00000000-0005-0000-0000-0000E6540000}"/>
    <cellStyle name="Normal 2 2 36" xfId="21770" xr:uid="{00000000-0005-0000-0000-0000E7540000}"/>
    <cellStyle name="Normal 2 2 37" xfId="21771" xr:uid="{00000000-0005-0000-0000-0000E8540000}"/>
    <cellStyle name="Normal 2 2 38" xfId="21772" xr:uid="{00000000-0005-0000-0000-0000E9540000}"/>
    <cellStyle name="Normal 2 2 39" xfId="21773" xr:uid="{00000000-0005-0000-0000-0000EA540000}"/>
    <cellStyle name="Normal 2 2 4" xfId="15" xr:uid="{00000000-0005-0000-0000-0000EB540000}"/>
    <cellStyle name="Normal 2 2 4 10" xfId="21775" xr:uid="{00000000-0005-0000-0000-0000EC540000}"/>
    <cellStyle name="Normal 2 2 4 10 10" xfId="21776" xr:uid="{00000000-0005-0000-0000-0000ED540000}"/>
    <cellStyle name="Normal 2 2 4 10 11" xfId="21777" xr:uid="{00000000-0005-0000-0000-0000EE540000}"/>
    <cellStyle name="Normal 2 2 4 10 12" xfId="21778" xr:uid="{00000000-0005-0000-0000-0000EF540000}"/>
    <cellStyle name="Normal 2 2 4 10 13" xfId="21779" xr:uid="{00000000-0005-0000-0000-0000F0540000}"/>
    <cellStyle name="Normal 2 2 4 10 14" xfId="21780" xr:uid="{00000000-0005-0000-0000-0000F1540000}"/>
    <cellStyle name="Normal 2 2 4 10 2" xfId="21781" xr:uid="{00000000-0005-0000-0000-0000F2540000}"/>
    <cellStyle name="Normal 2 2 4 10 2 10" xfId="21782" xr:uid="{00000000-0005-0000-0000-0000F3540000}"/>
    <cellStyle name="Normal 2 2 4 10 2 2" xfId="21783" xr:uid="{00000000-0005-0000-0000-0000F4540000}"/>
    <cellStyle name="Normal 2 2 4 10 2 3" xfId="21784" xr:uid="{00000000-0005-0000-0000-0000F5540000}"/>
    <cellStyle name="Normal 2 2 4 10 2 4" xfId="21785" xr:uid="{00000000-0005-0000-0000-0000F6540000}"/>
    <cellStyle name="Normal 2 2 4 10 2 5" xfId="21786" xr:uid="{00000000-0005-0000-0000-0000F7540000}"/>
    <cellStyle name="Normal 2 2 4 10 2 6" xfId="21787" xr:uid="{00000000-0005-0000-0000-0000F8540000}"/>
    <cellStyle name="Normal 2 2 4 10 2 7" xfId="21788" xr:uid="{00000000-0005-0000-0000-0000F9540000}"/>
    <cellStyle name="Normal 2 2 4 10 2 8" xfId="21789" xr:uid="{00000000-0005-0000-0000-0000FA540000}"/>
    <cellStyle name="Normal 2 2 4 10 2 9" xfId="21790" xr:uid="{00000000-0005-0000-0000-0000FB540000}"/>
    <cellStyle name="Normal 2 2 4 10 3" xfId="21791" xr:uid="{00000000-0005-0000-0000-0000FC540000}"/>
    <cellStyle name="Normal 2 2 4 10 3 10" xfId="21792" xr:uid="{00000000-0005-0000-0000-0000FD540000}"/>
    <cellStyle name="Normal 2 2 4 10 3 2" xfId="21793" xr:uid="{00000000-0005-0000-0000-0000FE540000}"/>
    <cellStyle name="Normal 2 2 4 10 3 3" xfId="21794" xr:uid="{00000000-0005-0000-0000-0000FF540000}"/>
    <cellStyle name="Normal 2 2 4 10 3 4" xfId="21795" xr:uid="{00000000-0005-0000-0000-000000550000}"/>
    <cellStyle name="Normal 2 2 4 10 3 5" xfId="21796" xr:uid="{00000000-0005-0000-0000-000001550000}"/>
    <cellStyle name="Normal 2 2 4 10 3 6" xfId="21797" xr:uid="{00000000-0005-0000-0000-000002550000}"/>
    <cellStyle name="Normal 2 2 4 10 3 7" xfId="21798" xr:uid="{00000000-0005-0000-0000-000003550000}"/>
    <cellStyle name="Normal 2 2 4 10 3 8" xfId="21799" xr:uid="{00000000-0005-0000-0000-000004550000}"/>
    <cellStyle name="Normal 2 2 4 10 3 9" xfId="21800" xr:uid="{00000000-0005-0000-0000-000005550000}"/>
    <cellStyle name="Normal 2 2 4 10 4" xfId="21801" xr:uid="{00000000-0005-0000-0000-000006550000}"/>
    <cellStyle name="Normal 2 2 4 10 4 10" xfId="21802" xr:uid="{00000000-0005-0000-0000-000007550000}"/>
    <cellStyle name="Normal 2 2 4 10 4 2" xfId="21803" xr:uid="{00000000-0005-0000-0000-000008550000}"/>
    <cellStyle name="Normal 2 2 4 10 4 3" xfId="21804" xr:uid="{00000000-0005-0000-0000-000009550000}"/>
    <cellStyle name="Normal 2 2 4 10 4 4" xfId="21805" xr:uid="{00000000-0005-0000-0000-00000A550000}"/>
    <cellStyle name="Normal 2 2 4 10 4 5" xfId="21806" xr:uid="{00000000-0005-0000-0000-00000B550000}"/>
    <cellStyle name="Normal 2 2 4 10 4 6" xfId="21807" xr:uid="{00000000-0005-0000-0000-00000C550000}"/>
    <cellStyle name="Normal 2 2 4 10 4 7" xfId="21808" xr:uid="{00000000-0005-0000-0000-00000D550000}"/>
    <cellStyle name="Normal 2 2 4 10 4 8" xfId="21809" xr:uid="{00000000-0005-0000-0000-00000E550000}"/>
    <cellStyle name="Normal 2 2 4 10 4 9" xfId="21810" xr:uid="{00000000-0005-0000-0000-00000F550000}"/>
    <cellStyle name="Normal 2 2 4 10 5" xfId="21811" xr:uid="{00000000-0005-0000-0000-000010550000}"/>
    <cellStyle name="Normal 2 2 4 10 5 10" xfId="21812" xr:uid="{00000000-0005-0000-0000-000011550000}"/>
    <cellStyle name="Normal 2 2 4 10 5 2" xfId="21813" xr:uid="{00000000-0005-0000-0000-000012550000}"/>
    <cellStyle name="Normal 2 2 4 10 5 3" xfId="21814" xr:uid="{00000000-0005-0000-0000-000013550000}"/>
    <cellStyle name="Normal 2 2 4 10 5 4" xfId="21815" xr:uid="{00000000-0005-0000-0000-000014550000}"/>
    <cellStyle name="Normal 2 2 4 10 5 5" xfId="21816" xr:uid="{00000000-0005-0000-0000-000015550000}"/>
    <cellStyle name="Normal 2 2 4 10 5 6" xfId="21817" xr:uid="{00000000-0005-0000-0000-000016550000}"/>
    <cellStyle name="Normal 2 2 4 10 5 7" xfId="21818" xr:uid="{00000000-0005-0000-0000-000017550000}"/>
    <cellStyle name="Normal 2 2 4 10 5 8" xfId="21819" xr:uid="{00000000-0005-0000-0000-000018550000}"/>
    <cellStyle name="Normal 2 2 4 10 5 9" xfId="21820" xr:uid="{00000000-0005-0000-0000-000019550000}"/>
    <cellStyle name="Normal 2 2 4 10 6" xfId="21821" xr:uid="{00000000-0005-0000-0000-00001A550000}"/>
    <cellStyle name="Normal 2 2 4 10 7" xfId="21822" xr:uid="{00000000-0005-0000-0000-00001B550000}"/>
    <cellStyle name="Normal 2 2 4 10 8" xfId="21823" xr:uid="{00000000-0005-0000-0000-00001C550000}"/>
    <cellStyle name="Normal 2 2 4 10 9" xfId="21824" xr:uid="{00000000-0005-0000-0000-00001D550000}"/>
    <cellStyle name="Normal 2 2 4 11" xfId="21825" xr:uid="{00000000-0005-0000-0000-00001E550000}"/>
    <cellStyle name="Normal 2 2 4 11 10" xfId="21826" xr:uid="{00000000-0005-0000-0000-00001F550000}"/>
    <cellStyle name="Normal 2 2 4 11 11" xfId="21827" xr:uid="{00000000-0005-0000-0000-000020550000}"/>
    <cellStyle name="Normal 2 2 4 11 12" xfId="21828" xr:uid="{00000000-0005-0000-0000-000021550000}"/>
    <cellStyle name="Normal 2 2 4 11 13" xfId="21829" xr:uid="{00000000-0005-0000-0000-000022550000}"/>
    <cellStyle name="Normal 2 2 4 11 14" xfId="21830" xr:uid="{00000000-0005-0000-0000-000023550000}"/>
    <cellStyle name="Normal 2 2 4 11 2" xfId="21831" xr:uid="{00000000-0005-0000-0000-000024550000}"/>
    <cellStyle name="Normal 2 2 4 11 2 10" xfId="21832" xr:uid="{00000000-0005-0000-0000-000025550000}"/>
    <cellStyle name="Normal 2 2 4 11 2 2" xfId="21833" xr:uid="{00000000-0005-0000-0000-000026550000}"/>
    <cellStyle name="Normal 2 2 4 11 2 3" xfId="21834" xr:uid="{00000000-0005-0000-0000-000027550000}"/>
    <cellStyle name="Normal 2 2 4 11 2 4" xfId="21835" xr:uid="{00000000-0005-0000-0000-000028550000}"/>
    <cellStyle name="Normal 2 2 4 11 2 5" xfId="21836" xr:uid="{00000000-0005-0000-0000-000029550000}"/>
    <cellStyle name="Normal 2 2 4 11 2 6" xfId="21837" xr:uid="{00000000-0005-0000-0000-00002A550000}"/>
    <cellStyle name="Normal 2 2 4 11 2 7" xfId="21838" xr:uid="{00000000-0005-0000-0000-00002B550000}"/>
    <cellStyle name="Normal 2 2 4 11 2 8" xfId="21839" xr:uid="{00000000-0005-0000-0000-00002C550000}"/>
    <cellStyle name="Normal 2 2 4 11 2 9" xfId="21840" xr:uid="{00000000-0005-0000-0000-00002D550000}"/>
    <cellStyle name="Normal 2 2 4 11 3" xfId="21841" xr:uid="{00000000-0005-0000-0000-00002E550000}"/>
    <cellStyle name="Normal 2 2 4 11 3 10" xfId="21842" xr:uid="{00000000-0005-0000-0000-00002F550000}"/>
    <cellStyle name="Normal 2 2 4 11 3 2" xfId="21843" xr:uid="{00000000-0005-0000-0000-000030550000}"/>
    <cellStyle name="Normal 2 2 4 11 3 3" xfId="21844" xr:uid="{00000000-0005-0000-0000-000031550000}"/>
    <cellStyle name="Normal 2 2 4 11 3 4" xfId="21845" xr:uid="{00000000-0005-0000-0000-000032550000}"/>
    <cellStyle name="Normal 2 2 4 11 3 5" xfId="21846" xr:uid="{00000000-0005-0000-0000-000033550000}"/>
    <cellStyle name="Normal 2 2 4 11 3 6" xfId="21847" xr:uid="{00000000-0005-0000-0000-000034550000}"/>
    <cellStyle name="Normal 2 2 4 11 3 7" xfId="21848" xr:uid="{00000000-0005-0000-0000-000035550000}"/>
    <cellStyle name="Normal 2 2 4 11 3 8" xfId="21849" xr:uid="{00000000-0005-0000-0000-000036550000}"/>
    <cellStyle name="Normal 2 2 4 11 3 9" xfId="21850" xr:uid="{00000000-0005-0000-0000-000037550000}"/>
    <cellStyle name="Normal 2 2 4 11 4" xfId="21851" xr:uid="{00000000-0005-0000-0000-000038550000}"/>
    <cellStyle name="Normal 2 2 4 11 4 10" xfId="21852" xr:uid="{00000000-0005-0000-0000-000039550000}"/>
    <cellStyle name="Normal 2 2 4 11 4 2" xfId="21853" xr:uid="{00000000-0005-0000-0000-00003A550000}"/>
    <cellStyle name="Normal 2 2 4 11 4 3" xfId="21854" xr:uid="{00000000-0005-0000-0000-00003B550000}"/>
    <cellStyle name="Normal 2 2 4 11 4 4" xfId="21855" xr:uid="{00000000-0005-0000-0000-00003C550000}"/>
    <cellStyle name="Normal 2 2 4 11 4 5" xfId="21856" xr:uid="{00000000-0005-0000-0000-00003D550000}"/>
    <cellStyle name="Normal 2 2 4 11 4 6" xfId="21857" xr:uid="{00000000-0005-0000-0000-00003E550000}"/>
    <cellStyle name="Normal 2 2 4 11 4 7" xfId="21858" xr:uid="{00000000-0005-0000-0000-00003F550000}"/>
    <cellStyle name="Normal 2 2 4 11 4 8" xfId="21859" xr:uid="{00000000-0005-0000-0000-000040550000}"/>
    <cellStyle name="Normal 2 2 4 11 4 9" xfId="21860" xr:uid="{00000000-0005-0000-0000-000041550000}"/>
    <cellStyle name="Normal 2 2 4 11 5" xfId="21861" xr:uid="{00000000-0005-0000-0000-000042550000}"/>
    <cellStyle name="Normal 2 2 4 11 5 10" xfId="21862" xr:uid="{00000000-0005-0000-0000-000043550000}"/>
    <cellStyle name="Normal 2 2 4 11 5 2" xfId="21863" xr:uid="{00000000-0005-0000-0000-000044550000}"/>
    <cellStyle name="Normal 2 2 4 11 5 3" xfId="21864" xr:uid="{00000000-0005-0000-0000-000045550000}"/>
    <cellStyle name="Normal 2 2 4 11 5 4" xfId="21865" xr:uid="{00000000-0005-0000-0000-000046550000}"/>
    <cellStyle name="Normal 2 2 4 11 5 5" xfId="21866" xr:uid="{00000000-0005-0000-0000-000047550000}"/>
    <cellStyle name="Normal 2 2 4 11 5 6" xfId="21867" xr:uid="{00000000-0005-0000-0000-000048550000}"/>
    <cellStyle name="Normal 2 2 4 11 5 7" xfId="21868" xr:uid="{00000000-0005-0000-0000-000049550000}"/>
    <cellStyle name="Normal 2 2 4 11 5 8" xfId="21869" xr:uid="{00000000-0005-0000-0000-00004A550000}"/>
    <cellStyle name="Normal 2 2 4 11 5 9" xfId="21870" xr:uid="{00000000-0005-0000-0000-00004B550000}"/>
    <cellStyle name="Normal 2 2 4 11 6" xfId="21871" xr:uid="{00000000-0005-0000-0000-00004C550000}"/>
    <cellStyle name="Normal 2 2 4 11 7" xfId="21872" xr:uid="{00000000-0005-0000-0000-00004D550000}"/>
    <cellStyle name="Normal 2 2 4 11 8" xfId="21873" xr:uid="{00000000-0005-0000-0000-00004E550000}"/>
    <cellStyle name="Normal 2 2 4 11 9" xfId="21874" xr:uid="{00000000-0005-0000-0000-00004F550000}"/>
    <cellStyle name="Normal 2 2 4 12" xfId="21875" xr:uid="{00000000-0005-0000-0000-000050550000}"/>
    <cellStyle name="Normal 2 2 4 12 10" xfId="21876" xr:uid="{00000000-0005-0000-0000-000051550000}"/>
    <cellStyle name="Normal 2 2 4 12 11" xfId="21877" xr:uid="{00000000-0005-0000-0000-000052550000}"/>
    <cellStyle name="Normal 2 2 4 12 12" xfId="21878" xr:uid="{00000000-0005-0000-0000-000053550000}"/>
    <cellStyle name="Normal 2 2 4 12 13" xfId="21879" xr:uid="{00000000-0005-0000-0000-000054550000}"/>
    <cellStyle name="Normal 2 2 4 12 14" xfId="21880" xr:uid="{00000000-0005-0000-0000-000055550000}"/>
    <cellStyle name="Normal 2 2 4 12 2" xfId="21881" xr:uid="{00000000-0005-0000-0000-000056550000}"/>
    <cellStyle name="Normal 2 2 4 12 2 10" xfId="21882" xr:uid="{00000000-0005-0000-0000-000057550000}"/>
    <cellStyle name="Normal 2 2 4 12 2 2" xfId="21883" xr:uid="{00000000-0005-0000-0000-000058550000}"/>
    <cellStyle name="Normal 2 2 4 12 2 3" xfId="21884" xr:uid="{00000000-0005-0000-0000-000059550000}"/>
    <cellStyle name="Normal 2 2 4 12 2 4" xfId="21885" xr:uid="{00000000-0005-0000-0000-00005A550000}"/>
    <cellStyle name="Normal 2 2 4 12 2 5" xfId="21886" xr:uid="{00000000-0005-0000-0000-00005B550000}"/>
    <cellStyle name="Normal 2 2 4 12 2 6" xfId="21887" xr:uid="{00000000-0005-0000-0000-00005C550000}"/>
    <cellStyle name="Normal 2 2 4 12 2 7" xfId="21888" xr:uid="{00000000-0005-0000-0000-00005D550000}"/>
    <cellStyle name="Normal 2 2 4 12 2 8" xfId="21889" xr:uid="{00000000-0005-0000-0000-00005E550000}"/>
    <cellStyle name="Normal 2 2 4 12 2 9" xfId="21890" xr:uid="{00000000-0005-0000-0000-00005F550000}"/>
    <cellStyle name="Normal 2 2 4 12 3" xfId="21891" xr:uid="{00000000-0005-0000-0000-000060550000}"/>
    <cellStyle name="Normal 2 2 4 12 3 10" xfId="21892" xr:uid="{00000000-0005-0000-0000-000061550000}"/>
    <cellStyle name="Normal 2 2 4 12 3 2" xfId="21893" xr:uid="{00000000-0005-0000-0000-000062550000}"/>
    <cellStyle name="Normal 2 2 4 12 3 3" xfId="21894" xr:uid="{00000000-0005-0000-0000-000063550000}"/>
    <cellStyle name="Normal 2 2 4 12 3 4" xfId="21895" xr:uid="{00000000-0005-0000-0000-000064550000}"/>
    <cellStyle name="Normal 2 2 4 12 3 5" xfId="21896" xr:uid="{00000000-0005-0000-0000-000065550000}"/>
    <cellStyle name="Normal 2 2 4 12 3 6" xfId="21897" xr:uid="{00000000-0005-0000-0000-000066550000}"/>
    <cellStyle name="Normal 2 2 4 12 3 7" xfId="21898" xr:uid="{00000000-0005-0000-0000-000067550000}"/>
    <cellStyle name="Normal 2 2 4 12 3 8" xfId="21899" xr:uid="{00000000-0005-0000-0000-000068550000}"/>
    <cellStyle name="Normal 2 2 4 12 3 9" xfId="21900" xr:uid="{00000000-0005-0000-0000-000069550000}"/>
    <cellStyle name="Normal 2 2 4 12 4" xfId="21901" xr:uid="{00000000-0005-0000-0000-00006A550000}"/>
    <cellStyle name="Normal 2 2 4 12 4 10" xfId="21902" xr:uid="{00000000-0005-0000-0000-00006B550000}"/>
    <cellStyle name="Normal 2 2 4 12 4 2" xfId="21903" xr:uid="{00000000-0005-0000-0000-00006C550000}"/>
    <cellStyle name="Normal 2 2 4 12 4 3" xfId="21904" xr:uid="{00000000-0005-0000-0000-00006D550000}"/>
    <cellStyle name="Normal 2 2 4 12 4 4" xfId="21905" xr:uid="{00000000-0005-0000-0000-00006E550000}"/>
    <cellStyle name="Normal 2 2 4 12 4 5" xfId="21906" xr:uid="{00000000-0005-0000-0000-00006F550000}"/>
    <cellStyle name="Normal 2 2 4 12 4 6" xfId="21907" xr:uid="{00000000-0005-0000-0000-000070550000}"/>
    <cellStyle name="Normal 2 2 4 12 4 7" xfId="21908" xr:uid="{00000000-0005-0000-0000-000071550000}"/>
    <cellStyle name="Normal 2 2 4 12 4 8" xfId="21909" xr:uid="{00000000-0005-0000-0000-000072550000}"/>
    <cellStyle name="Normal 2 2 4 12 4 9" xfId="21910" xr:uid="{00000000-0005-0000-0000-000073550000}"/>
    <cellStyle name="Normal 2 2 4 12 5" xfId="21911" xr:uid="{00000000-0005-0000-0000-000074550000}"/>
    <cellStyle name="Normal 2 2 4 12 5 10" xfId="21912" xr:uid="{00000000-0005-0000-0000-000075550000}"/>
    <cellStyle name="Normal 2 2 4 12 5 2" xfId="21913" xr:uid="{00000000-0005-0000-0000-000076550000}"/>
    <cellStyle name="Normal 2 2 4 12 5 3" xfId="21914" xr:uid="{00000000-0005-0000-0000-000077550000}"/>
    <cellStyle name="Normal 2 2 4 12 5 4" xfId="21915" xr:uid="{00000000-0005-0000-0000-000078550000}"/>
    <cellStyle name="Normal 2 2 4 12 5 5" xfId="21916" xr:uid="{00000000-0005-0000-0000-000079550000}"/>
    <cellStyle name="Normal 2 2 4 12 5 6" xfId="21917" xr:uid="{00000000-0005-0000-0000-00007A550000}"/>
    <cellStyle name="Normal 2 2 4 12 5 7" xfId="21918" xr:uid="{00000000-0005-0000-0000-00007B550000}"/>
    <cellStyle name="Normal 2 2 4 12 5 8" xfId="21919" xr:uid="{00000000-0005-0000-0000-00007C550000}"/>
    <cellStyle name="Normal 2 2 4 12 5 9" xfId="21920" xr:uid="{00000000-0005-0000-0000-00007D550000}"/>
    <cellStyle name="Normal 2 2 4 12 6" xfId="21921" xr:uid="{00000000-0005-0000-0000-00007E550000}"/>
    <cellStyle name="Normal 2 2 4 12 7" xfId="21922" xr:uid="{00000000-0005-0000-0000-00007F550000}"/>
    <cellStyle name="Normal 2 2 4 12 8" xfId="21923" xr:uid="{00000000-0005-0000-0000-000080550000}"/>
    <cellStyle name="Normal 2 2 4 12 9" xfId="21924" xr:uid="{00000000-0005-0000-0000-000081550000}"/>
    <cellStyle name="Normal 2 2 4 13" xfId="21925" xr:uid="{00000000-0005-0000-0000-000082550000}"/>
    <cellStyle name="Normal 2 2 4 13 10" xfId="21926" xr:uid="{00000000-0005-0000-0000-000083550000}"/>
    <cellStyle name="Normal 2 2 4 13 11" xfId="21927" xr:uid="{00000000-0005-0000-0000-000084550000}"/>
    <cellStyle name="Normal 2 2 4 13 12" xfId="21928" xr:uid="{00000000-0005-0000-0000-000085550000}"/>
    <cellStyle name="Normal 2 2 4 13 13" xfId="21929" xr:uid="{00000000-0005-0000-0000-000086550000}"/>
    <cellStyle name="Normal 2 2 4 13 14" xfId="21930" xr:uid="{00000000-0005-0000-0000-000087550000}"/>
    <cellStyle name="Normal 2 2 4 13 2" xfId="21931" xr:uid="{00000000-0005-0000-0000-000088550000}"/>
    <cellStyle name="Normal 2 2 4 13 2 10" xfId="21932" xr:uid="{00000000-0005-0000-0000-000089550000}"/>
    <cellStyle name="Normal 2 2 4 13 2 2" xfId="21933" xr:uid="{00000000-0005-0000-0000-00008A550000}"/>
    <cellStyle name="Normal 2 2 4 13 2 3" xfId="21934" xr:uid="{00000000-0005-0000-0000-00008B550000}"/>
    <cellStyle name="Normal 2 2 4 13 2 4" xfId="21935" xr:uid="{00000000-0005-0000-0000-00008C550000}"/>
    <cellStyle name="Normal 2 2 4 13 2 5" xfId="21936" xr:uid="{00000000-0005-0000-0000-00008D550000}"/>
    <cellStyle name="Normal 2 2 4 13 2 6" xfId="21937" xr:uid="{00000000-0005-0000-0000-00008E550000}"/>
    <cellStyle name="Normal 2 2 4 13 2 7" xfId="21938" xr:uid="{00000000-0005-0000-0000-00008F550000}"/>
    <cellStyle name="Normal 2 2 4 13 2 8" xfId="21939" xr:uid="{00000000-0005-0000-0000-000090550000}"/>
    <cellStyle name="Normal 2 2 4 13 2 9" xfId="21940" xr:uid="{00000000-0005-0000-0000-000091550000}"/>
    <cellStyle name="Normal 2 2 4 13 3" xfId="21941" xr:uid="{00000000-0005-0000-0000-000092550000}"/>
    <cellStyle name="Normal 2 2 4 13 3 10" xfId="21942" xr:uid="{00000000-0005-0000-0000-000093550000}"/>
    <cellStyle name="Normal 2 2 4 13 3 2" xfId="21943" xr:uid="{00000000-0005-0000-0000-000094550000}"/>
    <cellStyle name="Normal 2 2 4 13 3 3" xfId="21944" xr:uid="{00000000-0005-0000-0000-000095550000}"/>
    <cellStyle name="Normal 2 2 4 13 3 4" xfId="21945" xr:uid="{00000000-0005-0000-0000-000096550000}"/>
    <cellStyle name="Normal 2 2 4 13 3 5" xfId="21946" xr:uid="{00000000-0005-0000-0000-000097550000}"/>
    <cellStyle name="Normal 2 2 4 13 3 6" xfId="21947" xr:uid="{00000000-0005-0000-0000-000098550000}"/>
    <cellStyle name="Normal 2 2 4 13 3 7" xfId="21948" xr:uid="{00000000-0005-0000-0000-000099550000}"/>
    <cellStyle name="Normal 2 2 4 13 3 8" xfId="21949" xr:uid="{00000000-0005-0000-0000-00009A550000}"/>
    <cellStyle name="Normal 2 2 4 13 3 9" xfId="21950" xr:uid="{00000000-0005-0000-0000-00009B550000}"/>
    <cellStyle name="Normal 2 2 4 13 4" xfId="21951" xr:uid="{00000000-0005-0000-0000-00009C550000}"/>
    <cellStyle name="Normal 2 2 4 13 4 10" xfId="21952" xr:uid="{00000000-0005-0000-0000-00009D550000}"/>
    <cellStyle name="Normal 2 2 4 13 4 2" xfId="21953" xr:uid="{00000000-0005-0000-0000-00009E550000}"/>
    <cellStyle name="Normal 2 2 4 13 4 3" xfId="21954" xr:uid="{00000000-0005-0000-0000-00009F550000}"/>
    <cellStyle name="Normal 2 2 4 13 4 4" xfId="21955" xr:uid="{00000000-0005-0000-0000-0000A0550000}"/>
    <cellStyle name="Normal 2 2 4 13 4 5" xfId="21956" xr:uid="{00000000-0005-0000-0000-0000A1550000}"/>
    <cellStyle name="Normal 2 2 4 13 4 6" xfId="21957" xr:uid="{00000000-0005-0000-0000-0000A2550000}"/>
    <cellStyle name="Normal 2 2 4 13 4 7" xfId="21958" xr:uid="{00000000-0005-0000-0000-0000A3550000}"/>
    <cellStyle name="Normal 2 2 4 13 4 8" xfId="21959" xr:uid="{00000000-0005-0000-0000-0000A4550000}"/>
    <cellStyle name="Normal 2 2 4 13 4 9" xfId="21960" xr:uid="{00000000-0005-0000-0000-0000A5550000}"/>
    <cellStyle name="Normal 2 2 4 13 5" xfId="21961" xr:uid="{00000000-0005-0000-0000-0000A6550000}"/>
    <cellStyle name="Normal 2 2 4 13 5 10" xfId="21962" xr:uid="{00000000-0005-0000-0000-0000A7550000}"/>
    <cellStyle name="Normal 2 2 4 13 5 2" xfId="21963" xr:uid="{00000000-0005-0000-0000-0000A8550000}"/>
    <cellStyle name="Normal 2 2 4 13 5 3" xfId="21964" xr:uid="{00000000-0005-0000-0000-0000A9550000}"/>
    <cellStyle name="Normal 2 2 4 13 5 4" xfId="21965" xr:uid="{00000000-0005-0000-0000-0000AA550000}"/>
    <cellStyle name="Normal 2 2 4 13 5 5" xfId="21966" xr:uid="{00000000-0005-0000-0000-0000AB550000}"/>
    <cellStyle name="Normal 2 2 4 13 5 6" xfId="21967" xr:uid="{00000000-0005-0000-0000-0000AC550000}"/>
    <cellStyle name="Normal 2 2 4 13 5 7" xfId="21968" xr:uid="{00000000-0005-0000-0000-0000AD550000}"/>
    <cellStyle name="Normal 2 2 4 13 5 8" xfId="21969" xr:uid="{00000000-0005-0000-0000-0000AE550000}"/>
    <cellStyle name="Normal 2 2 4 13 5 9" xfId="21970" xr:uid="{00000000-0005-0000-0000-0000AF550000}"/>
    <cellStyle name="Normal 2 2 4 13 6" xfId="21971" xr:uid="{00000000-0005-0000-0000-0000B0550000}"/>
    <cellStyle name="Normal 2 2 4 13 7" xfId="21972" xr:uid="{00000000-0005-0000-0000-0000B1550000}"/>
    <cellStyle name="Normal 2 2 4 13 8" xfId="21973" xr:uid="{00000000-0005-0000-0000-0000B2550000}"/>
    <cellStyle name="Normal 2 2 4 13 9" xfId="21974" xr:uid="{00000000-0005-0000-0000-0000B3550000}"/>
    <cellStyle name="Normal 2 2 4 14" xfId="21975" xr:uid="{00000000-0005-0000-0000-0000B4550000}"/>
    <cellStyle name="Normal 2 2 4 14 10" xfId="21976" xr:uid="{00000000-0005-0000-0000-0000B5550000}"/>
    <cellStyle name="Normal 2 2 4 14 11" xfId="21977" xr:uid="{00000000-0005-0000-0000-0000B6550000}"/>
    <cellStyle name="Normal 2 2 4 14 12" xfId="21978" xr:uid="{00000000-0005-0000-0000-0000B7550000}"/>
    <cellStyle name="Normal 2 2 4 14 13" xfId="21979" xr:uid="{00000000-0005-0000-0000-0000B8550000}"/>
    <cellStyle name="Normal 2 2 4 14 14" xfId="21980" xr:uid="{00000000-0005-0000-0000-0000B9550000}"/>
    <cellStyle name="Normal 2 2 4 14 2" xfId="21981" xr:uid="{00000000-0005-0000-0000-0000BA550000}"/>
    <cellStyle name="Normal 2 2 4 14 2 10" xfId="21982" xr:uid="{00000000-0005-0000-0000-0000BB550000}"/>
    <cellStyle name="Normal 2 2 4 14 2 2" xfId="21983" xr:uid="{00000000-0005-0000-0000-0000BC550000}"/>
    <cellStyle name="Normal 2 2 4 14 2 3" xfId="21984" xr:uid="{00000000-0005-0000-0000-0000BD550000}"/>
    <cellStyle name="Normal 2 2 4 14 2 4" xfId="21985" xr:uid="{00000000-0005-0000-0000-0000BE550000}"/>
    <cellStyle name="Normal 2 2 4 14 2 5" xfId="21986" xr:uid="{00000000-0005-0000-0000-0000BF550000}"/>
    <cellStyle name="Normal 2 2 4 14 2 6" xfId="21987" xr:uid="{00000000-0005-0000-0000-0000C0550000}"/>
    <cellStyle name="Normal 2 2 4 14 2 7" xfId="21988" xr:uid="{00000000-0005-0000-0000-0000C1550000}"/>
    <cellStyle name="Normal 2 2 4 14 2 8" xfId="21989" xr:uid="{00000000-0005-0000-0000-0000C2550000}"/>
    <cellStyle name="Normal 2 2 4 14 2 9" xfId="21990" xr:uid="{00000000-0005-0000-0000-0000C3550000}"/>
    <cellStyle name="Normal 2 2 4 14 3" xfId="21991" xr:uid="{00000000-0005-0000-0000-0000C4550000}"/>
    <cellStyle name="Normal 2 2 4 14 3 10" xfId="21992" xr:uid="{00000000-0005-0000-0000-0000C5550000}"/>
    <cellStyle name="Normal 2 2 4 14 3 2" xfId="21993" xr:uid="{00000000-0005-0000-0000-0000C6550000}"/>
    <cellStyle name="Normal 2 2 4 14 3 3" xfId="21994" xr:uid="{00000000-0005-0000-0000-0000C7550000}"/>
    <cellStyle name="Normal 2 2 4 14 3 4" xfId="21995" xr:uid="{00000000-0005-0000-0000-0000C8550000}"/>
    <cellStyle name="Normal 2 2 4 14 3 5" xfId="21996" xr:uid="{00000000-0005-0000-0000-0000C9550000}"/>
    <cellStyle name="Normal 2 2 4 14 3 6" xfId="21997" xr:uid="{00000000-0005-0000-0000-0000CA550000}"/>
    <cellStyle name="Normal 2 2 4 14 3 7" xfId="21998" xr:uid="{00000000-0005-0000-0000-0000CB550000}"/>
    <cellStyle name="Normal 2 2 4 14 3 8" xfId="21999" xr:uid="{00000000-0005-0000-0000-0000CC550000}"/>
    <cellStyle name="Normal 2 2 4 14 3 9" xfId="22000" xr:uid="{00000000-0005-0000-0000-0000CD550000}"/>
    <cellStyle name="Normal 2 2 4 14 4" xfId="22001" xr:uid="{00000000-0005-0000-0000-0000CE550000}"/>
    <cellStyle name="Normal 2 2 4 14 4 10" xfId="22002" xr:uid="{00000000-0005-0000-0000-0000CF550000}"/>
    <cellStyle name="Normal 2 2 4 14 4 2" xfId="22003" xr:uid="{00000000-0005-0000-0000-0000D0550000}"/>
    <cellStyle name="Normal 2 2 4 14 4 3" xfId="22004" xr:uid="{00000000-0005-0000-0000-0000D1550000}"/>
    <cellStyle name="Normal 2 2 4 14 4 4" xfId="22005" xr:uid="{00000000-0005-0000-0000-0000D2550000}"/>
    <cellStyle name="Normal 2 2 4 14 4 5" xfId="22006" xr:uid="{00000000-0005-0000-0000-0000D3550000}"/>
    <cellStyle name="Normal 2 2 4 14 4 6" xfId="22007" xr:uid="{00000000-0005-0000-0000-0000D4550000}"/>
    <cellStyle name="Normal 2 2 4 14 4 7" xfId="22008" xr:uid="{00000000-0005-0000-0000-0000D5550000}"/>
    <cellStyle name="Normal 2 2 4 14 4 8" xfId="22009" xr:uid="{00000000-0005-0000-0000-0000D6550000}"/>
    <cellStyle name="Normal 2 2 4 14 4 9" xfId="22010" xr:uid="{00000000-0005-0000-0000-0000D7550000}"/>
    <cellStyle name="Normal 2 2 4 14 5" xfId="22011" xr:uid="{00000000-0005-0000-0000-0000D8550000}"/>
    <cellStyle name="Normal 2 2 4 14 5 10" xfId="22012" xr:uid="{00000000-0005-0000-0000-0000D9550000}"/>
    <cellStyle name="Normal 2 2 4 14 5 2" xfId="22013" xr:uid="{00000000-0005-0000-0000-0000DA550000}"/>
    <cellStyle name="Normal 2 2 4 14 5 3" xfId="22014" xr:uid="{00000000-0005-0000-0000-0000DB550000}"/>
    <cellStyle name="Normal 2 2 4 14 5 4" xfId="22015" xr:uid="{00000000-0005-0000-0000-0000DC550000}"/>
    <cellStyle name="Normal 2 2 4 14 5 5" xfId="22016" xr:uid="{00000000-0005-0000-0000-0000DD550000}"/>
    <cellStyle name="Normal 2 2 4 14 5 6" xfId="22017" xr:uid="{00000000-0005-0000-0000-0000DE550000}"/>
    <cellStyle name="Normal 2 2 4 14 5 7" xfId="22018" xr:uid="{00000000-0005-0000-0000-0000DF550000}"/>
    <cellStyle name="Normal 2 2 4 14 5 8" xfId="22019" xr:uid="{00000000-0005-0000-0000-0000E0550000}"/>
    <cellStyle name="Normal 2 2 4 14 5 9" xfId="22020" xr:uid="{00000000-0005-0000-0000-0000E1550000}"/>
    <cellStyle name="Normal 2 2 4 14 6" xfId="22021" xr:uid="{00000000-0005-0000-0000-0000E2550000}"/>
    <cellStyle name="Normal 2 2 4 14 7" xfId="22022" xr:uid="{00000000-0005-0000-0000-0000E3550000}"/>
    <cellStyle name="Normal 2 2 4 14 8" xfId="22023" xr:uid="{00000000-0005-0000-0000-0000E4550000}"/>
    <cellStyle name="Normal 2 2 4 14 9" xfId="22024" xr:uid="{00000000-0005-0000-0000-0000E5550000}"/>
    <cellStyle name="Normal 2 2 4 15" xfId="22025" xr:uid="{00000000-0005-0000-0000-0000E6550000}"/>
    <cellStyle name="Normal 2 2 4 15 10" xfId="22026" xr:uid="{00000000-0005-0000-0000-0000E7550000}"/>
    <cellStyle name="Normal 2 2 4 15 11" xfId="22027" xr:uid="{00000000-0005-0000-0000-0000E8550000}"/>
    <cellStyle name="Normal 2 2 4 15 12" xfId="22028" xr:uid="{00000000-0005-0000-0000-0000E9550000}"/>
    <cellStyle name="Normal 2 2 4 15 13" xfId="22029" xr:uid="{00000000-0005-0000-0000-0000EA550000}"/>
    <cellStyle name="Normal 2 2 4 15 14" xfId="22030" xr:uid="{00000000-0005-0000-0000-0000EB550000}"/>
    <cellStyle name="Normal 2 2 4 15 2" xfId="22031" xr:uid="{00000000-0005-0000-0000-0000EC550000}"/>
    <cellStyle name="Normal 2 2 4 15 2 10" xfId="22032" xr:uid="{00000000-0005-0000-0000-0000ED550000}"/>
    <cellStyle name="Normal 2 2 4 15 2 2" xfId="22033" xr:uid="{00000000-0005-0000-0000-0000EE550000}"/>
    <cellStyle name="Normal 2 2 4 15 2 3" xfId="22034" xr:uid="{00000000-0005-0000-0000-0000EF550000}"/>
    <cellStyle name="Normal 2 2 4 15 2 4" xfId="22035" xr:uid="{00000000-0005-0000-0000-0000F0550000}"/>
    <cellStyle name="Normal 2 2 4 15 2 5" xfId="22036" xr:uid="{00000000-0005-0000-0000-0000F1550000}"/>
    <cellStyle name="Normal 2 2 4 15 2 6" xfId="22037" xr:uid="{00000000-0005-0000-0000-0000F2550000}"/>
    <cellStyle name="Normal 2 2 4 15 2 7" xfId="22038" xr:uid="{00000000-0005-0000-0000-0000F3550000}"/>
    <cellStyle name="Normal 2 2 4 15 2 8" xfId="22039" xr:uid="{00000000-0005-0000-0000-0000F4550000}"/>
    <cellStyle name="Normal 2 2 4 15 2 9" xfId="22040" xr:uid="{00000000-0005-0000-0000-0000F5550000}"/>
    <cellStyle name="Normal 2 2 4 15 3" xfId="22041" xr:uid="{00000000-0005-0000-0000-0000F6550000}"/>
    <cellStyle name="Normal 2 2 4 15 3 10" xfId="22042" xr:uid="{00000000-0005-0000-0000-0000F7550000}"/>
    <cellStyle name="Normal 2 2 4 15 3 2" xfId="22043" xr:uid="{00000000-0005-0000-0000-0000F8550000}"/>
    <cellStyle name="Normal 2 2 4 15 3 3" xfId="22044" xr:uid="{00000000-0005-0000-0000-0000F9550000}"/>
    <cellStyle name="Normal 2 2 4 15 3 4" xfId="22045" xr:uid="{00000000-0005-0000-0000-0000FA550000}"/>
    <cellStyle name="Normal 2 2 4 15 3 5" xfId="22046" xr:uid="{00000000-0005-0000-0000-0000FB550000}"/>
    <cellStyle name="Normal 2 2 4 15 3 6" xfId="22047" xr:uid="{00000000-0005-0000-0000-0000FC550000}"/>
    <cellStyle name="Normal 2 2 4 15 3 7" xfId="22048" xr:uid="{00000000-0005-0000-0000-0000FD550000}"/>
    <cellStyle name="Normal 2 2 4 15 3 8" xfId="22049" xr:uid="{00000000-0005-0000-0000-0000FE550000}"/>
    <cellStyle name="Normal 2 2 4 15 3 9" xfId="22050" xr:uid="{00000000-0005-0000-0000-0000FF550000}"/>
    <cellStyle name="Normal 2 2 4 15 4" xfId="22051" xr:uid="{00000000-0005-0000-0000-000000560000}"/>
    <cellStyle name="Normal 2 2 4 15 4 10" xfId="22052" xr:uid="{00000000-0005-0000-0000-000001560000}"/>
    <cellStyle name="Normal 2 2 4 15 4 2" xfId="22053" xr:uid="{00000000-0005-0000-0000-000002560000}"/>
    <cellStyle name="Normal 2 2 4 15 4 3" xfId="22054" xr:uid="{00000000-0005-0000-0000-000003560000}"/>
    <cellStyle name="Normal 2 2 4 15 4 4" xfId="22055" xr:uid="{00000000-0005-0000-0000-000004560000}"/>
    <cellStyle name="Normal 2 2 4 15 4 5" xfId="22056" xr:uid="{00000000-0005-0000-0000-000005560000}"/>
    <cellStyle name="Normal 2 2 4 15 4 6" xfId="22057" xr:uid="{00000000-0005-0000-0000-000006560000}"/>
    <cellStyle name="Normal 2 2 4 15 4 7" xfId="22058" xr:uid="{00000000-0005-0000-0000-000007560000}"/>
    <cellStyle name="Normal 2 2 4 15 4 8" xfId="22059" xr:uid="{00000000-0005-0000-0000-000008560000}"/>
    <cellStyle name="Normal 2 2 4 15 4 9" xfId="22060" xr:uid="{00000000-0005-0000-0000-000009560000}"/>
    <cellStyle name="Normal 2 2 4 15 5" xfId="22061" xr:uid="{00000000-0005-0000-0000-00000A560000}"/>
    <cellStyle name="Normal 2 2 4 15 5 10" xfId="22062" xr:uid="{00000000-0005-0000-0000-00000B560000}"/>
    <cellStyle name="Normal 2 2 4 15 5 2" xfId="22063" xr:uid="{00000000-0005-0000-0000-00000C560000}"/>
    <cellStyle name="Normal 2 2 4 15 5 3" xfId="22064" xr:uid="{00000000-0005-0000-0000-00000D560000}"/>
    <cellStyle name="Normal 2 2 4 15 5 4" xfId="22065" xr:uid="{00000000-0005-0000-0000-00000E560000}"/>
    <cellStyle name="Normal 2 2 4 15 5 5" xfId="22066" xr:uid="{00000000-0005-0000-0000-00000F560000}"/>
    <cellStyle name="Normal 2 2 4 15 5 6" xfId="22067" xr:uid="{00000000-0005-0000-0000-000010560000}"/>
    <cellStyle name="Normal 2 2 4 15 5 7" xfId="22068" xr:uid="{00000000-0005-0000-0000-000011560000}"/>
    <cellStyle name="Normal 2 2 4 15 5 8" xfId="22069" xr:uid="{00000000-0005-0000-0000-000012560000}"/>
    <cellStyle name="Normal 2 2 4 15 5 9" xfId="22070" xr:uid="{00000000-0005-0000-0000-000013560000}"/>
    <cellStyle name="Normal 2 2 4 15 6" xfId="22071" xr:uid="{00000000-0005-0000-0000-000014560000}"/>
    <cellStyle name="Normal 2 2 4 15 7" xfId="22072" xr:uid="{00000000-0005-0000-0000-000015560000}"/>
    <cellStyle name="Normal 2 2 4 15 8" xfId="22073" xr:uid="{00000000-0005-0000-0000-000016560000}"/>
    <cellStyle name="Normal 2 2 4 15 9" xfId="22074" xr:uid="{00000000-0005-0000-0000-000017560000}"/>
    <cellStyle name="Normal 2 2 4 16" xfId="22075" xr:uid="{00000000-0005-0000-0000-000018560000}"/>
    <cellStyle name="Normal 2 2 4 16 10" xfId="22076" xr:uid="{00000000-0005-0000-0000-000019560000}"/>
    <cellStyle name="Normal 2 2 4 16 11" xfId="22077" xr:uid="{00000000-0005-0000-0000-00001A560000}"/>
    <cellStyle name="Normal 2 2 4 16 12" xfId="22078" xr:uid="{00000000-0005-0000-0000-00001B560000}"/>
    <cellStyle name="Normal 2 2 4 16 13" xfId="22079" xr:uid="{00000000-0005-0000-0000-00001C560000}"/>
    <cellStyle name="Normal 2 2 4 16 14" xfId="22080" xr:uid="{00000000-0005-0000-0000-00001D560000}"/>
    <cellStyle name="Normal 2 2 4 16 2" xfId="22081" xr:uid="{00000000-0005-0000-0000-00001E560000}"/>
    <cellStyle name="Normal 2 2 4 16 2 10" xfId="22082" xr:uid="{00000000-0005-0000-0000-00001F560000}"/>
    <cellStyle name="Normal 2 2 4 16 2 2" xfId="22083" xr:uid="{00000000-0005-0000-0000-000020560000}"/>
    <cellStyle name="Normal 2 2 4 16 2 3" xfId="22084" xr:uid="{00000000-0005-0000-0000-000021560000}"/>
    <cellStyle name="Normal 2 2 4 16 2 4" xfId="22085" xr:uid="{00000000-0005-0000-0000-000022560000}"/>
    <cellStyle name="Normal 2 2 4 16 2 5" xfId="22086" xr:uid="{00000000-0005-0000-0000-000023560000}"/>
    <cellStyle name="Normal 2 2 4 16 2 6" xfId="22087" xr:uid="{00000000-0005-0000-0000-000024560000}"/>
    <cellStyle name="Normal 2 2 4 16 2 7" xfId="22088" xr:uid="{00000000-0005-0000-0000-000025560000}"/>
    <cellStyle name="Normal 2 2 4 16 2 8" xfId="22089" xr:uid="{00000000-0005-0000-0000-000026560000}"/>
    <cellStyle name="Normal 2 2 4 16 2 9" xfId="22090" xr:uid="{00000000-0005-0000-0000-000027560000}"/>
    <cellStyle name="Normal 2 2 4 16 3" xfId="22091" xr:uid="{00000000-0005-0000-0000-000028560000}"/>
    <cellStyle name="Normal 2 2 4 16 3 10" xfId="22092" xr:uid="{00000000-0005-0000-0000-000029560000}"/>
    <cellStyle name="Normal 2 2 4 16 3 2" xfId="22093" xr:uid="{00000000-0005-0000-0000-00002A560000}"/>
    <cellStyle name="Normal 2 2 4 16 3 3" xfId="22094" xr:uid="{00000000-0005-0000-0000-00002B560000}"/>
    <cellStyle name="Normal 2 2 4 16 3 4" xfId="22095" xr:uid="{00000000-0005-0000-0000-00002C560000}"/>
    <cellStyle name="Normal 2 2 4 16 3 5" xfId="22096" xr:uid="{00000000-0005-0000-0000-00002D560000}"/>
    <cellStyle name="Normal 2 2 4 16 3 6" xfId="22097" xr:uid="{00000000-0005-0000-0000-00002E560000}"/>
    <cellStyle name="Normal 2 2 4 16 3 7" xfId="22098" xr:uid="{00000000-0005-0000-0000-00002F560000}"/>
    <cellStyle name="Normal 2 2 4 16 3 8" xfId="22099" xr:uid="{00000000-0005-0000-0000-000030560000}"/>
    <cellStyle name="Normal 2 2 4 16 3 9" xfId="22100" xr:uid="{00000000-0005-0000-0000-000031560000}"/>
    <cellStyle name="Normal 2 2 4 16 4" xfId="22101" xr:uid="{00000000-0005-0000-0000-000032560000}"/>
    <cellStyle name="Normal 2 2 4 16 4 10" xfId="22102" xr:uid="{00000000-0005-0000-0000-000033560000}"/>
    <cellStyle name="Normal 2 2 4 16 4 2" xfId="22103" xr:uid="{00000000-0005-0000-0000-000034560000}"/>
    <cellStyle name="Normal 2 2 4 16 4 3" xfId="22104" xr:uid="{00000000-0005-0000-0000-000035560000}"/>
    <cellStyle name="Normal 2 2 4 16 4 4" xfId="22105" xr:uid="{00000000-0005-0000-0000-000036560000}"/>
    <cellStyle name="Normal 2 2 4 16 4 5" xfId="22106" xr:uid="{00000000-0005-0000-0000-000037560000}"/>
    <cellStyle name="Normal 2 2 4 16 4 6" xfId="22107" xr:uid="{00000000-0005-0000-0000-000038560000}"/>
    <cellStyle name="Normal 2 2 4 16 4 7" xfId="22108" xr:uid="{00000000-0005-0000-0000-000039560000}"/>
    <cellStyle name="Normal 2 2 4 16 4 8" xfId="22109" xr:uid="{00000000-0005-0000-0000-00003A560000}"/>
    <cellStyle name="Normal 2 2 4 16 4 9" xfId="22110" xr:uid="{00000000-0005-0000-0000-00003B560000}"/>
    <cellStyle name="Normal 2 2 4 16 5" xfId="22111" xr:uid="{00000000-0005-0000-0000-00003C560000}"/>
    <cellStyle name="Normal 2 2 4 16 5 10" xfId="22112" xr:uid="{00000000-0005-0000-0000-00003D560000}"/>
    <cellStyle name="Normal 2 2 4 16 5 2" xfId="22113" xr:uid="{00000000-0005-0000-0000-00003E560000}"/>
    <cellStyle name="Normal 2 2 4 16 5 3" xfId="22114" xr:uid="{00000000-0005-0000-0000-00003F560000}"/>
    <cellStyle name="Normal 2 2 4 16 5 4" xfId="22115" xr:uid="{00000000-0005-0000-0000-000040560000}"/>
    <cellStyle name="Normal 2 2 4 16 5 5" xfId="22116" xr:uid="{00000000-0005-0000-0000-000041560000}"/>
    <cellStyle name="Normal 2 2 4 16 5 6" xfId="22117" xr:uid="{00000000-0005-0000-0000-000042560000}"/>
    <cellStyle name="Normal 2 2 4 16 5 7" xfId="22118" xr:uid="{00000000-0005-0000-0000-000043560000}"/>
    <cellStyle name="Normal 2 2 4 16 5 8" xfId="22119" xr:uid="{00000000-0005-0000-0000-000044560000}"/>
    <cellStyle name="Normal 2 2 4 16 5 9" xfId="22120" xr:uid="{00000000-0005-0000-0000-000045560000}"/>
    <cellStyle name="Normal 2 2 4 16 6" xfId="22121" xr:uid="{00000000-0005-0000-0000-000046560000}"/>
    <cellStyle name="Normal 2 2 4 16 7" xfId="22122" xr:uid="{00000000-0005-0000-0000-000047560000}"/>
    <cellStyle name="Normal 2 2 4 16 8" xfId="22123" xr:uid="{00000000-0005-0000-0000-000048560000}"/>
    <cellStyle name="Normal 2 2 4 16 9" xfId="22124" xr:uid="{00000000-0005-0000-0000-000049560000}"/>
    <cellStyle name="Normal 2 2 4 17" xfId="22125" xr:uid="{00000000-0005-0000-0000-00004A560000}"/>
    <cellStyle name="Normal 2 2 4 17 10" xfId="22126" xr:uid="{00000000-0005-0000-0000-00004B560000}"/>
    <cellStyle name="Normal 2 2 4 17 11" xfId="22127" xr:uid="{00000000-0005-0000-0000-00004C560000}"/>
    <cellStyle name="Normal 2 2 4 17 12" xfId="22128" xr:uid="{00000000-0005-0000-0000-00004D560000}"/>
    <cellStyle name="Normal 2 2 4 17 13" xfId="22129" xr:uid="{00000000-0005-0000-0000-00004E560000}"/>
    <cellStyle name="Normal 2 2 4 17 14" xfId="22130" xr:uid="{00000000-0005-0000-0000-00004F560000}"/>
    <cellStyle name="Normal 2 2 4 17 2" xfId="22131" xr:uid="{00000000-0005-0000-0000-000050560000}"/>
    <cellStyle name="Normal 2 2 4 17 2 10" xfId="22132" xr:uid="{00000000-0005-0000-0000-000051560000}"/>
    <cellStyle name="Normal 2 2 4 17 2 2" xfId="22133" xr:uid="{00000000-0005-0000-0000-000052560000}"/>
    <cellStyle name="Normal 2 2 4 17 2 3" xfId="22134" xr:uid="{00000000-0005-0000-0000-000053560000}"/>
    <cellStyle name="Normal 2 2 4 17 2 4" xfId="22135" xr:uid="{00000000-0005-0000-0000-000054560000}"/>
    <cellStyle name="Normal 2 2 4 17 2 5" xfId="22136" xr:uid="{00000000-0005-0000-0000-000055560000}"/>
    <cellStyle name="Normal 2 2 4 17 2 6" xfId="22137" xr:uid="{00000000-0005-0000-0000-000056560000}"/>
    <cellStyle name="Normal 2 2 4 17 2 7" xfId="22138" xr:uid="{00000000-0005-0000-0000-000057560000}"/>
    <cellStyle name="Normal 2 2 4 17 2 8" xfId="22139" xr:uid="{00000000-0005-0000-0000-000058560000}"/>
    <cellStyle name="Normal 2 2 4 17 2 9" xfId="22140" xr:uid="{00000000-0005-0000-0000-000059560000}"/>
    <cellStyle name="Normal 2 2 4 17 3" xfId="22141" xr:uid="{00000000-0005-0000-0000-00005A560000}"/>
    <cellStyle name="Normal 2 2 4 17 3 10" xfId="22142" xr:uid="{00000000-0005-0000-0000-00005B560000}"/>
    <cellStyle name="Normal 2 2 4 17 3 2" xfId="22143" xr:uid="{00000000-0005-0000-0000-00005C560000}"/>
    <cellStyle name="Normal 2 2 4 17 3 3" xfId="22144" xr:uid="{00000000-0005-0000-0000-00005D560000}"/>
    <cellStyle name="Normal 2 2 4 17 3 4" xfId="22145" xr:uid="{00000000-0005-0000-0000-00005E560000}"/>
    <cellStyle name="Normal 2 2 4 17 3 5" xfId="22146" xr:uid="{00000000-0005-0000-0000-00005F560000}"/>
    <cellStyle name="Normal 2 2 4 17 3 6" xfId="22147" xr:uid="{00000000-0005-0000-0000-000060560000}"/>
    <cellStyle name="Normal 2 2 4 17 3 7" xfId="22148" xr:uid="{00000000-0005-0000-0000-000061560000}"/>
    <cellStyle name="Normal 2 2 4 17 3 8" xfId="22149" xr:uid="{00000000-0005-0000-0000-000062560000}"/>
    <cellStyle name="Normal 2 2 4 17 3 9" xfId="22150" xr:uid="{00000000-0005-0000-0000-000063560000}"/>
    <cellStyle name="Normal 2 2 4 17 4" xfId="22151" xr:uid="{00000000-0005-0000-0000-000064560000}"/>
    <cellStyle name="Normal 2 2 4 17 4 10" xfId="22152" xr:uid="{00000000-0005-0000-0000-000065560000}"/>
    <cellStyle name="Normal 2 2 4 17 4 2" xfId="22153" xr:uid="{00000000-0005-0000-0000-000066560000}"/>
    <cellStyle name="Normal 2 2 4 17 4 3" xfId="22154" xr:uid="{00000000-0005-0000-0000-000067560000}"/>
    <cellStyle name="Normal 2 2 4 17 4 4" xfId="22155" xr:uid="{00000000-0005-0000-0000-000068560000}"/>
    <cellStyle name="Normal 2 2 4 17 4 5" xfId="22156" xr:uid="{00000000-0005-0000-0000-000069560000}"/>
    <cellStyle name="Normal 2 2 4 17 4 6" xfId="22157" xr:uid="{00000000-0005-0000-0000-00006A560000}"/>
    <cellStyle name="Normal 2 2 4 17 4 7" xfId="22158" xr:uid="{00000000-0005-0000-0000-00006B560000}"/>
    <cellStyle name="Normal 2 2 4 17 4 8" xfId="22159" xr:uid="{00000000-0005-0000-0000-00006C560000}"/>
    <cellStyle name="Normal 2 2 4 17 4 9" xfId="22160" xr:uid="{00000000-0005-0000-0000-00006D560000}"/>
    <cellStyle name="Normal 2 2 4 17 5" xfId="22161" xr:uid="{00000000-0005-0000-0000-00006E560000}"/>
    <cellStyle name="Normal 2 2 4 17 5 10" xfId="22162" xr:uid="{00000000-0005-0000-0000-00006F560000}"/>
    <cellStyle name="Normal 2 2 4 17 5 2" xfId="22163" xr:uid="{00000000-0005-0000-0000-000070560000}"/>
    <cellStyle name="Normal 2 2 4 17 5 3" xfId="22164" xr:uid="{00000000-0005-0000-0000-000071560000}"/>
    <cellStyle name="Normal 2 2 4 17 5 4" xfId="22165" xr:uid="{00000000-0005-0000-0000-000072560000}"/>
    <cellStyle name="Normal 2 2 4 17 5 5" xfId="22166" xr:uid="{00000000-0005-0000-0000-000073560000}"/>
    <cellStyle name="Normal 2 2 4 17 5 6" xfId="22167" xr:uid="{00000000-0005-0000-0000-000074560000}"/>
    <cellStyle name="Normal 2 2 4 17 5 7" xfId="22168" xr:uid="{00000000-0005-0000-0000-000075560000}"/>
    <cellStyle name="Normal 2 2 4 17 5 8" xfId="22169" xr:uid="{00000000-0005-0000-0000-000076560000}"/>
    <cellStyle name="Normal 2 2 4 17 5 9" xfId="22170" xr:uid="{00000000-0005-0000-0000-000077560000}"/>
    <cellStyle name="Normal 2 2 4 17 6" xfId="22171" xr:uid="{00000000-0005-0000-0000-000078560000}"/>
    <cellStyle name="Normal 2 2 4 17 7" xfId="22172" xr:uid="{00000000-0005-0000-0000-000079560000}"/>
    <cellStyle name="Normal 2 2 4 17 8" xfId="22173" xr:uid="{00000000-0005-0000-0000-00007A560000}"/>
    <cellStyle name="Normal 2 2 4 17 9" xfId="22174" xr:uid="{00000000-0005-0000-0000-00007B560000}"/>
    <cellStyle name="Normal 2 2 4 18" xfId="22175" xr:uid="{00000000-0005-0000-0000-00007C560000}"/>
    <cellStyle name="Normal 2 2 4 18 10" xfId="22176" xr:uid="{00000000-0005-0000-0000-00007D560000}"/>
    <cellStyle name="Normal 2 2 4 18 11" xfId="22177" xr:uid="{00000000-0005-0000-0000-00007E560000}"/>
    <cellStyle name="Normal 2 2 4 18 12" xfId="22178" xr:uid="{00000000-0005-0000-0000-00007F560000}"/>
    <cellStyle name="Normal 2 2 4 18 13" xfId="22179" xr:uid="{00000000-0005-0000-0000-000080560000}"/>
    <cellStyle name="Normal 2 2 4 18 14" xfId="22180" xr:uid="{00000000-0005-0000-0000-000081560000}"/>
    <cellStyle name="Normal 2 2 4 18 2" xfId="22181" xr:uid="{00000000-0005-0000-0000-000082560000}"/>
    <cellStyle name="Normal 2 2 4 18 2 10" xfId="22182" xr:uid="{00000000-0005-0000-0000-000083560000}"/>
    <cellStyle name="Normal 2 2 4 18 2 2" xfId="22183" xr:uid="{00000000-0005-0000-0000-000084560000}"/>
    <cellStyle name="Normal 2 2 4 18 2 3" xfId="22184" xr:uid="{00000000-0005-0000-0000-000085560000}"/>
    <cellStyle name="Normal 2 2 4 18 2 4" xfId="22185" xr:uid="{00000000-0005-0000-0000-000086560000}"/>
    <cellStyle name="Normal 2 2 4 18 2 5" xfId="22186" xr:uid="{00000000-0005-0000-0000-000087560000}"/>
    <cellStyle name="Normal 2 2 4 18 2 6" xfId="22187" xr:uid="{00000000-0005-0000-0000-000088560000}"/>
    <cellStyle name="Normal 2 2 4 18 2 7" xfId="22188" xr:uid="{00000000-0005-0000-0000-000089560000}"/>
    <cellStyle name="Normal 2 2 4 18 2 8" xfId="22189" xr:uid="{00000000-0005-0000-0000-00008A560000}"/>
    <cellStyle name="Normal 2 2 4 18 2 9" xfId="22190" xr:uid="{00000000-0005-0000-0000-00008B560000}"/>
    <cellStyle name="Normal 2 2 4 18 3" xfId="22191" xr:uid="{00000000-0005-0000-0000-00008C560000}"/>
    <cellStyle name="Normal 2 2 4 18 3 10" xfId="22192" xr:uid="{00000000-0005-0000-0000-00008D560000}"/>
    <cellStyle name="Normal 2 2 4 18 3 2" xfId="22193" xr:uid="{00000000-0005-0000-0000-00008E560000}"/>
    <cellStyle name="Normal 2 2 4 18 3 3" xfId="22194" xr:uid="{00000000-0005-0000-0000-00008F560000}"/>
    <cellStyle name="Normal 2 2 4 18 3 4" xfId="22195" xr:uid="{00000000-0005-0000-0000-000090560000}"/>
    <cellStyle name="Normal 2 2 4 18 3 5" xfId="22196" xr:uid="{00000000-0005-0000-0000-000091560000}"/>
    <cellStyle name="Normal 2 2 4 18 3 6" xfId="22197" xr:uid="{00000000-0005-0000-0000-000092560000}"/>
    <cellStyle name="Normal 2 2 4 18 3 7" xfId="22198" xr:uid="{00000000-0005-0000-0000-000093560000}"/>
    <cellStyle name="Normal 2 2 4 18 3 8" xfId="22199" xr:uid="{00000000-0005-0000-0000-000094560000}"/>
    <cellStyle name="Normal 2 2 4 18 3 9" xfId="22200" xr:uid="{00000000-0005-0000-0000-000095560000}"/>
    <cellStyle name="Normal 2 2 4 18 4" xfId="22201" xr:uid="{00000000-0005-0000-0000-000096560000}"/>
    <cellStyle name="Normal 2 2 4 18 4 10" xfId="22202" xr:uid="{00000000-0005-0000-0000-000097560000}"/>
    <cellStyle name="Normal 2 2 4 18 4 2" xfId="22203" xr:uid="{00000000-0005-0000-0000-000098560000}"/>
    <cellStyle name="Normal 2 2 4 18 4 3" xfId="22204" xr:uid="{00000000-0005-0000-0000-000099560000}"/>
    <cellStyle name="Normal 2 2 4 18 4 4" xfId="22205" xr:uid="{00000000-0005-0000-0000-00009A560000}"/>
    <cellStyle name="Normal 2 2 4 18 4 5" xfId="22206" xr:uid="{00000000-0005-0000-0000-00009B560000}"/>
    <cellStyle name="Normal 2 2 4 18 4 6" xfId="22207" xr:uid="{00000000-0005-0000-0000-00009C560000}"/>
    <cellStyle name="Normal 2 2 4 18 4 7" xfId="22208" xr:uid="{00000000-0005-0000-0000-00009D560000}"/>
    <cellStyle name="Normal 2 2 4 18 4 8" xfId="22209" xr:uid="{00000000-0005-0000-0000-00009E560000}"/>
    <cellStyle name="Normal 2 2 4 18 4 9" xfId="22210" xr:uid="{00000000-0005-0000-0000-00009F560000}"/>
    <cellStyle name="Normal 2 2 4 18 5" xfId="22211" xr:uid="{00000000-0005-0000-0000-0000A0560000}"/>
    <cellStyle name="Normal 2 2 4 18 5 10" xfId="22212" xr:uid="{00000000-0005-0000-0000-0000A1560000}"/>
    <cellStyle name="Normal 2 2 4 18 5 2" xfId="22213" xr:uid="{00000000-0005-0000-0000-0000A2560000}"/>
    <cellStyle name="Normal 2 2 4 18 5 3" xfId="22214" xr:uid="{00000000-0005-0000-0000-0000A3560000}"/>
    <cellStyle name="Normal 2 2 4 18 5 4" xfId="22215" xr:uid="{00000000-0005-0000-0000-0000A4560000}"/>
    <cellStyle name="Normal 2 2 4 18 5 5" xfId="22216" xr:uid="{00000000-0005-0000-0000-0000A5560000}"/>
    <cellStyle name="Normal 2 2 4 18 5 6" xfId="22217" xr:uid="{00000000-0005-0000-0000-0000A6560000}"/>
    <cellStyle name="Normal 2 2 4 18 5 7" xfId="22218" xr:uid="{00000000-0005-0000-0000-0000A7560000}"/>
    <cellStyle name="Normal 2 2 4 18 5 8" xfId="22219" xr:uid="{00000000-0005-0000-0000-0000A8560000}"/>
    <cellStyle name="Normal 2 2 4 18 5 9" xfId="22220" xr:uid="{00000000-0005-0000-0000-0000A9560000}"/>
    <cellStyle name="Normal 2 2 4 18 6" xfId="22221" xr:uid="{00000000-0005-0000-0000-0000AA560000}"/>
    <cellStyle name="Normal 2 2 4 18 7" xfId="22222" xr:uid="{00000000-0005-0000-0000-0000AB560000}"/>
    <cellStyle name="Normal 2 2 4 18 8" xfId="22223" xr:uid="{00000000-0005-0000-0000-0000AC560000}"/>
    <cellStyle name="Normal 2 2 4 18 9" xfId="22224" xr:uid="{00000000-0005-0000-0000-0000AD560000}"/>
    <cellStyle name="Normal 2 2 4 19" xfId="22225" xr:uid="{00000000-0005-0000-0000-0000AE560000}"/>
    <cellStyle name="Normal 2 2 4 19 10" xfId="22226" xr:uid="{00000000-0005-0000-0000-0000AF560000}"/>
    <cellStyle name="Normal 2 2 4 19 11" xfId="22227" xr:uid="{00000000-0005-0000-0000-0000B0560000}"/>
    <cellStyle name="Normal 2 2 4 19 12" xfId="22228" xr:uid="{00000000-0005-0000-0000-0000B1560000}"/>
    <cellStyle name="Normal 2 2 4 19 13" xfId="22229" xr:uid="{00000000-0005-0000-0000-0000B2560000}"/>
    <cellStyle name="Normal 2 2 4 19 14" xfId="22230" xr:uid="{00000000-0005-0000-0000-0000B3560000}"/>
    <cellStyle name="Normal 2 2 4 19 2" xfId="22231" xr:uid="{00000000-0005-0000-0000-0000B4560000}"/>
    <cellStyle name="Normal 2 2 4 19 2 10" xfId="22232" xr:uid="{00000000-0005-0000-0000-0000B5560000}"/>
    <cellStyle name="Normal 2 2 4 19 2 2" xfId="22233" xr:uid="{00000000-0005-0000-0000-0000B6560000}"/>
    <cellStyle name="Normal 2 2 4 19 2 3" xfId="22234" xr:uid="{00000000-0005-0000-0000-0000B7560000}"/>
    <cellStyle name="Normal 2 2 4 19 2 4" xfId="22235" xr:uid="{00000000-0005-0000-0000-0000B8560000}"/>
    <cellStyle name="Normal 2 2 4 19 2 5" xfId="22236" xr:uid="{00000000-0005-0000-0000-0000B9560000}"/>
    <cellStyle name="Normal 2 2 4 19 2 6" xfId="22237" xr:uid="{00000000-0005-0000-0000-0000BA560000}"/>
    <cellStyle name="Normal 2 2 4 19 2 7" xfId="22238" xr:uid="{00000000-0005-0000-0000-0000BB560000}"/>
    <cellStyle name="Normal 2 2 4 19 2 8" xfId="22239" xr:uid="{00000000-0005-0000-0000-0000BC560000}"/>
    <cellStyle name="Normal 2 2 4 19 2 9" xfId="22240" xr:uid="{00000000-0005-0000-0000-0000BD560000}"/>
    <cellStyle name="Normal 2 2 4 19 3" xfId="22241" xr:uid="{00000000-0005-0000-0000-0000BE560000}"/>
    <cellStyle name="Normal 2 2 4 19 3 10" xfId="22242" xr:uid="{00000000-0005-0000-0000-0000BF560000}"/>
    <cellStyle name="Normal 2 2 4 19 3 2" xfId="22243" xr:uid="{00000000-0005-0000-0000-0000C0560000}"/>
    <cellStyle name="Normal 2 2 4 19 3 3" xfId="22244" xr:uid="{00000000-0005-0000-0000-0000C1560000}"/>
    <cellStyle name="Normal 2 2 4 19 3 4" xfId="22245" xr:uid="{00000000-0005-0000-0000-0000C2560000}"/>
    <cellStyle name="Normal 2 2 4 19 3 5" xfId="22246" xr:uid="{00000000-0005-0000-0000-0000C3560000}"/>
    <cellStyle name="Normal 2 2 4 19 3 6" xfId="22247" xr:uid="{00000000-0005-0000-0000-0000C4560000}"/>
    <cellStyle name="Normal 2 2 4 19 3 7" xfId="22248" xr:uid="{00000000-0005-0000-0000-0000C5560000}"/>
    <cellStyle name="Normal 2 2 4 19 3 8" xfId="22249" xr:uid="{00000000-0005-0000-0000-0000C6560000}"/>
    <cellStyle name="Normal 2 2 4 19 3 9" xfId="22250" xr:uid="{00000000-0005-0000-0000-0000C7560000}"/>
    <cellStyle name="Normal 2 2 4 19 4" xfId="22251" xr:uid="{00000000-0005-0000-0000-0000C8560000}"/>
    <cellStyle name="Normal 2 2 4 19 4 10" xfId="22252" xr:uid="{00000000-0005-0000-0000-0000C9560000}"/>
    <cellStyle name="Normal 2 2 4 19 4 2" xfId="22253" xr:uid="{00000000-0005-0000-0000-0000CA560000}"/>
    <cellStyle name="Normal 2 2 4 19 4 3" xfId="22254" xr:uid="{00000000-0005-0000-0000-0000CB560000}"/>
    <cellStyle name="Normal 2 2 4 19 4 4" xfId="22255" xr:uid="{00000000-0005-0000-0000-0000CC560000}"/>
    <cellStyle name="Normal 2 2 4 19 4 5" xfId="22256" xr:uid="{00000000-0005-0000-0000-0000CD560000}"/>
    <cellStyle name="Normal 2 2 4 19 4 6" xfId="22257" xr:uid="{00000000-0005-0000-0000-0000CE560000}"/>
    <cellStyle name="Normal 2 2 4 19 4 7" xfId="22258" xr:uid="{00000000-0005-0000-0000-0000CF560000}"/>
    <cellStyle name="Normal 2 2 4 19 4 8" xfId="22259" xr:uid="{00000000-0005-0000-0000-0000D0560000}"/>
    <cellStyle name="Normal 2 2 4 19 4 9" xfId="22260" xr:uid="{00000000-0005-0000-0000-0000D1560000}"/>
    <cellStyle name="Normal 2 2 4 19 5" xfId="22261" xr:uid="{00000000-0005-0000-0000-0000D2560000}"/>
    <cellStyle name="Normal 2 2 4 19 5 10" xfId="22262" xr:uid="{00000000-0005-0000-0000-0000D3560000}"/>
    <cellStyle name="Normal 2 2 4 19 5 2" xfId="22263" xr:uid="{00000000-0005-0000-0000-0000D4560000}"/>
    <cellStyle name="Normal 2 2 4 19 5 3" xfId="22264" xr:uid="{00000000-0005-0000-0000-0000D5560000}"/>
    <cellStyle name="Normal 2 2 4 19 5 4" xfId="22265" xr:uid="{00000000-0005-0000-0000-0000D6560000}"/>
    <cellStyle name="Normal 2 2 4 19 5 5" xfId="22266" xr:uid="{00000000-0005-0000-0000-0000D7560000}"/>
    <cellStyle name="Normal 2 2 4 19 5 6" xfId="22267" xr:uid="{00000000-0005-0000-0000-0000D8560000}"/>
    <cellStyle name="Normal 2 2 4 19 5 7" xfId="22268" xr:uid="{00000000-0005-0000-0000-0000D9560000}"/>
    <cellStyle name="Normal 2 2 4 19 5 8" xfId="22269" xr:uid="{00000000-0005-0000-0000-0000DA560000}"/>
    <cellStyle name="Normal 2 2 4 19 5 9" xfId="22270" xr:uid="{00000000-0005-0000-0000-0000DB560000}"/>
    <cellStyle name="Normal 2 2 4 19 6" xfId="22271" xr:uid="{00000000-0005-0000-0000-0000DC560000}"/>
    <cellStyle name="Normal 2 2 4 19 7" xfId="22272" xr:uid="{00000000-0005-0000-0000-0000DD560000}"/>
    <cellStyle name="Normal 2 2 4 19 8" xfId="22273" xr:uid="{00000000-0005-0000-0000-0000DE560000}"/>
    <cellStyle name="Normal 2 2 4 19 9" xfId="22274" xr:uid="{00000000-0005-0000-0000-0000DF560000}"/>
    <cellStyle name="Normal 2 2 4 2" xfId="54" xr:uid="{00000000-0005-0000-0000-0000E0560000}"/>
    <cellStyle name="Normal 2 2 4 2 10" xfId="22276" xr:uid="{00000000-0005-0000-0000-0000E1560000}"/>
    <cellStyle name="Normal 2 2 4 2 11" xfId="22277" xr:uid="{00000000-0005-0000-0000-0000E2560000}"/>
    <cellStyle name="Normal 2 2 4 2 12" xfId="22278" xr:uid="{00000000-0005-0000-0000-0000E3560000}"/>
    <cellStyle name="Normal 2 2 4 2 13" xfId="22279" xr:uid="{00000000-0005-0000-0000-0000E4560000}"/>
    <cellStyle name="Normal 2 2 4 2 14" xfId="22280" xr:uid="{00000000-0005-0000-0000-0000E5560000}"/>
    <cellStyle name="Normal 2 2 4 2 15" xfId="22281" xr:uid="{00000000-0005-0000-0000-0000E6560000}"/>
    <cellStyle name="Normal 2 2 4 2 16" xfId="22282" xr:uid="{00000000-0005-0000-0000-0000E7560000}"/>
    <cellStyle name="Normal 2 2 4 2 17" xfId="22283" xr:uid="{00000000-0005-0000-0000-0000E8560000}"/>
    <cellStyle name="Normal 2 2 4 2 18" xfId="22284" xr:uid="{00000000-0005-0000-0000-0000E9560000}"/>
    <cellStyle name="Normal 2 2 4 2 19" xfId="22285" xr:uid="{00000000-0005-0000-0000-0000EA560000}"/>
    <cellStyle name="Normal 2 2 4 2 2" xfId="22286" xr:uid="{00000000-0005-0000-0000-0000EB560000}"/>
    <cellStyle name="Normal 2 2 4 2 2 10" xfId="22287" xr:uid="{00000000-0005-0000-0000-0000EC560000}"/>
    <cellStyle name="Normal 2 2 4 2 2 10 10" xfId="22288" xr:uid="{00000000-0005-0000-0000-0000ED560000}"/>
    <cellStyle name="Normal 2 2 4 2 2 10 11" xfId="22289" xr:uid="{00000000-0005-0000-0000-0000EE560000}"/>
    <cellStyle name="Normal 2 2 4 2 2 10 12" xfId="22290" xr:uid="{00000000-0005-0000-0000-0000EF560000}"/>
    <cellStyle name="Normal 2 2 4 2 2 10 13" xfId="22291" xr:uid="{00000000-0005-0000-0000-0000F0560000}"/>
    <cellStyle name="Normal 2 2 4 2 2 10 14" xfId="22292" xr:uid="{00000000-0005-0000-0000-0000F1560000}"/>
    <cellStyle name="Normal 2 2 4 2 2 10 2" xfId="22293" xr:uid="{00000000-0005-0000-0000-0000F2560000}"/>
    <cellStyle name="Normal 2 2 4 2 2 10 2 10" xfId="22294" xr:uid="{00000000-0005-0000-0000-0000F3560000}"/>
    <cellStyle name="Normal 2 2 4 2 2 10 2 2" xfId="22295" xr:uid="{00000000-0005-0000-0000-0000F4560000}"/>
    <cellStyle name="Normal 2 2 4 2 2 10 2 3" xfId="22296" xr:uid="{00000000-0005-0000-0000-0000F5560000}"/>
    <cellStyle name="Normal 2 2 4 2 2 10 2 4" xfId="22297" xr:uid="{00000000-0005-0000-0000-0000F6560000}"/>
    <cellStyle name="Normal 2 2 4 2 2 10 2 5" xfId="22298" xr:uid="{00000000-0005-0000-0000-0000F7560000}"/>
    <cellStyle name="Normal 2 2 4 2 2 10 2 6" xfId="22299" xr:uid="{00000000-0005-0000-0000-0000F8560000}"/>
    <cellStyle name="Normal 2 2 4 2 2 10 2 7" xfId="22300" xr:uid="{00000000-0005-0000-0000-0000F9560000}"/>
    <cellStyle name="Normal 2 2 4 2 2 10 2 8" xfId="22301" xr:uid="{00000000-0005-0000-0000-0000FA560000}"/>
    <cellStyle name="Normal 2 2 4 2 2 10 2 9" xfId="22302" xr:uid="{00000000-0005-0000-0000-0000FB560000}"/>
    <cellStyle name="Normal 2 2 4 2 2 10 3" xfId="22303" xr:uid="{00000000-0005-0000-0000-0000FC560000}"/>
    <cellStyle name="Normal 2 2 4 2 2 10 3 10" xfId="22304" xr:uid="{00000000-0005-0000-0000-0000FD560000}"/>
    <cellStyle name="Normal 2 2 4 2 2 10 3 2" xfId="22305" xr:uid="{00000000-0005-0000-0000-0000FE560000}"/>
    <cellStyle name="Normal 2 2 4 2 2 10 3 3" xfId="22306" xr:uid="{00000000-0005-0000-0000-0000FF560000}"/>
    <cellStyle name="Normal 2 2 4 2 2 10 3 4" xfId="22307" xr:uid="{00000000-0005-0000-0000-000000570000}"/>
    <cellStyle name="Normal 2 2 4 2 2 10 3 5" xfId="22308" xr:uid="{00000000-0005-0000-0000-000001570000}"/>
    <cellStyle name="Normal 2 2 4 2 2 10 3 6" xfId="22309" xr:uid="{00000000-0005-0000-0000-000002570000}"/>
    <cellStyle name="Normal 2 2 4 2 2 10 3 7" xfId="22310" xr:uid="{00000000-0005-0000-0000-000003570000}"/>
    <cellStyle name="Normal 2 2 4 2 2 10 3 8" xfId="22311" xr:uid="{00000000-0005-0000-0000-000004570000}"/>
    <cellStyle name="Normal 2 2 4 2 2 10 3 9" xfId="22312" xr:uid="{00000000-0005-0000-0000-000005570000}"/>
    <cellStyle name="Normal 2 2 4 2 2 10 4" xfId="22313" xr:uid="{00000000-0005-0000-0000-000006570000}"/>
    <cellStyle name="Normal 2 2 4 2 2 10 4 10" xfId="22314" xr:uid="{00000000-0005-0000-0000-000007570000}"/>
    <cellStyle name="Normal 2 2 4 2 2 10 4 2" xfId="22315" xr:uid="{00000000-0005-0000-0000-000008570000}"/>
    <cellStyle name="Normal 2 2 4 2 2 10 4 3" xfId="22316" xr:uid="{00000000-0005-0000-0000-000009570000}"/>
    <cellStyle name="Normal 2 2 4 2 2 10 4 4" xfId="22317" xr:uid="{00000000-0005-0000-0000-00000A570000}"/>
    <cellStyle name="Normal 2 2 4 2 2 10 4 5" xfId="22318" xr:uid="{00000000-0005-0000-0000-00000B570000}"/>
    <cellStyle name="Normal 2 2 4 2 2 10 4 6" xfId="22319" xr:uid="{00000000-0005-0000-0000-00000C570000}"/>
    <cellStyle name="Normal 2 2 4 2 2 10 4 7" xfId="22320" xr:uid="{00000000-0005-0000-0000-00000D570000}"/>
    <cellStyle name="Normal 2 2 4 2 2 10 4 8" xfId="22321" xr:uid="{00000000-0005-0000-0000-00000E570000}"/>
    <cellStyle name="Normal 2 2 4 2 2 10 4 9" xfId="22322" xr:uid="{00000000-0005-0000-0000-00000F570000}"/>
    <cellStyle name="Normal 2 2 4 2 2 10 5" xfId="22323" xr:uid="{00000000-0005-0000-0000-000010570000}"/>
    <cellStyle name="Normal 2 2 4 2 2 10 5 10" xfId="22324" xr:uid="{00000000-0005-0000-0000-000011570000}"/>
    <cellStyle name="Normal 2 2 4 2 2 10 5 2" xfId="22325" xr:uid="{00000000-0005-0000-0000-000012570000}"/>
    <cellStyle name="Normal 2 2 4 2 2 10 5 3" xfId="22326" xr:uid="{00000000-0005-0000-0000-000013570000}"/>
    <cellStyle name="Normal 2 2 4 2 2 10 5 4" xfId="22327" xr:uid="{00000000-0005-0000-0000-000014570000}"/>
    <cellStyle name="Normal 2 2 4 2 2 10 5 5" xfId="22328" xr:uid="{00000000-0005-0000-0000-000015570000}"/>
    <cellStyle name="Normal 2 2 4 2 2 10 5 6" xfId="22329" xr:uid="{00000000-0005-0000-0000-000016570000}"/>
    <cellStyle name="Normal 2 2 4 2 2 10 5 7" xfId="22330" xr:uid="{00000000-0005-0000-0000-000017570000}"/>
    <cellStyle name="Normal 2 2 4 2 2 10 5 8" xfId="22331" xr:uid="{00000000-0005-0000-0000-000018570000}"/>
    <cellStyle name="Normal 2 2 4 2 2 10 5 9" xfId="22332" xr:uid="{00000000-0005-0000-0000-000019570000}"/>
    <cellStyle name="Normal 2 2 4 2 2 10 6" xfId="22333" xr:uid="{00000000-0005-0000-0000-00001A570000}"/>
    <cellStyle name="Normal 2 2 4 2 2 10 7" xfId="22334" xr:uid="{00000000-0005-0000-0000-00001B570000}"/>
    <cellStyle name="Normal 2 2 4 2 2 10 8" xfId="22335" xr:uid="{00000000-0005-0000-0000-00001C570000}"/>
    <cellStyle name="Normal 2 2 4 2 2 10 9" xfId="22336" xr:uid="{00000000-0005-0000-0000-00001D570000}"/>
    <cellStyle name="Normal 2 2 4 2 2 11" xfId="22337" xr:uid="{00000000-0005-0000-0000-00001E570000}"/>
    <cellStyle name="Normal 2 2 4 2 2 11 10" xfId="22338" xr:uid="{00000000-0005-0000-0000-00001F570000}"/>
    <cellStyle name="Normal 2 2 4 2 2 11 11" xfId="22339" xr:uid="{00000000-0005-0000-0000-000020570000}"/>
    <cellStyle name="Normal 2 2 4 2 2 11 12" xfId="22340" xr:uid="{00000000-0005-0000-0000-000021570000}"/>
    <cellStyle name="Normal 2 2 4 2 2 11 13" xfId="22341" xr:uid="{00000000-0005-0000-0000-000022570000}"/>
    <cellStyle name="Normal 2 2 4 2 2 11 14" xfId="22342" xr:uid="{00000000-0005-0000-0000-000023570000}"/>
    <cellStyle name="Normal 2 2 4 2 2 11 2" xfId="22343" xr:uid="{00000000-0005-0000-0000-000024570000}"/>
    <cellStyle name="Normal 2 2 4 2 2 11 2 10" xfId="22344" xr:uid="{00000000-0005-0000-0000-000025570000}"/>
    <cellStyle name="Normal 2 2 4 2 2 11 2 2" xfId="22345" xr:uid="{00000000-0005-0000-0000-000026570000}"/>
    <cellStyle name="Normal 2 2 4 2 2 11 2 3" xfId="22346" xr:uid="{00000000-0005-0000-0000-000027570000}"/>
    <cellStyle name="Normal 2 2 4 2 2 11 2 4" xfId="22347" xr:uid="{00000000-0005-0000-0000-000028570000}"/>
    <cellStyle name="Normal 2 2 4 2 2 11 2 5" xfId="22348" xr:uid="{00000000-0005-0000-0000-000029570000}"/>
    <cellStyle name="Normal 2 2 4 2 2 11 2 6" xfId="22349" xr:uid="{00000000-0005-0000-0000-00002A570000}"/>
    <cellStyle name="Normal 2 2 4 2 2 11 2 7" xfId="22350" xr:uid="{00000000-0005-0000-0000-00002B570000}"/>
    <cellStyle name="Normal 2 2 4 2 2 11 2 8" xfId="22351" xr:uid="{00000000-0005-0000-0000-00002C570000}"/>
    <cellStyle name="Normal 2 2 4 2 2 11 2 9" xfId="22352" xr:uid="{00000000-0005-0000-0000-00002D570000}"/>
    <cellStyle name="Normal 2 2 4 2 2 11 3" xfId="22353" xr:uid="{00000000-0005-0000-0000-00002E570000}"/>
    <cellStyle name="Normal 2 2 4 2 2 11 3 10" xfId="22354" xr:uid="{00000000-0005-0000-0000-00002F570000}"/>
    <cellStyle name="Normal 2 2 4 2 2 11 3 2" xfId="22355" xr:uid="{00000000-0005-0000-0000-000030570000}"/>
    <cellStyle name="Normal 2 2 4 2 2 11 3 3" xfId="22356" xr:uid="{00000000-0005-0000-0000-000031570000}"/>
    <cellStyle name="Normal 2 2 4 2 2 11 3 4" xfId="22357" xr:uid="{00000000-0005-0000-0000-000032570000}"/>
    <cellStyle name="Normal 2 2 4 2 2 11 3 5" xfId="22358" xr:uid="{00000000-0005-0000-0000-000033570000}"/>
    <cellStyle name="Normal 2 2 4 2 2 11 3 6" xfId="22359" xr:uid="{00000000-0005-0000-0000-000034570000}"/>
    <cellStyle name="Normal 2 2 4 2 2 11 3 7" xfId="22360" xr:uid="{00000000-0005-0000-0000-000035570000}"/>
    <cellStyle name="Normal 2 2 4 2 2 11 3 8" xfId="22361" xr:uid="{00000000-0005-0000-0000-000036570000}"/>
    <cellStyle name="Normal 2 2 4 2 2 11 3 9" xfId="22362" xr:uid="{00000000-0005-0000-0000-000037570000}"/>
    <cellStyle name="Normal 2 2 4 2 2 11 4" xfId="22363" xr:uid="{00000000-0005-0000-0000-000038570000}"/>
    <cellStyle name="Normal 2 2 4 2 2 11 4 10" xfId="22364" xr:uid="{00000000-0005-0000-0000-000039570000}"/>
    <cellStyle name="Normal 2 2 4 2 2 11 4 2" xfId="22365" xr:uid="{00000000-0005-0000-0000-00003A570000}"/>
    <cellStyle name="Normal 2 2 4 2 2 11 4 3" xfId="22366" xr:uid="{00000000-0005-0000-0000-00003B570000}"/>
    <cellStyle name="Normal 2 2 4 2 2 11 4 4" xfId="22367" xr:uid="{00000000-0005-0000-0000-00003C570000}"/>
    <cellStyle name="Normal 2 2 4 2 2 11 4 5" xfId="22368" xr:uid="{00000000-0005-0000-0000-00003D570000}"/>
    <cellStyle name="Normal 2 2 4 2 2 11 4 6" xfId="22369" xr:uid="{00000000-0005-0000-0000-00003E570000}"/>
    <cellStyle name="Normal 2 2 4 2 2 11 4 7" xfId="22370" xr:uid="{00000000-0005-0000-0000-00003F570000}"/>
    <cellStyle name="Normal 2 2 4 2 2 11 4 8" xfId="22371" xr:uid="{00000000-0005-0000-0000-000040570000}"/>
    <cellStyle name="Normal 2 2 4 2 2 11 4 9" xfId="22372" xr:uid="{00000000-0005-0000-0000-000041570000}"/>
    <cellStyle name="Normal 2 2 4 2 2 11 5" xfId="22373" xr:uid="{00000000-0005-0000-0000-000042570000}"/>
    <cellStyle name="Normal 2 2 4 2 2 11 5 10" xfId="22374" xr:uid="{00000000-0005-0000-0000-000043570000}"/>
    <cellStyle name="Normal 2 2 4 2 2 11 5 2" xfId="22375" xr:uid="{00000000-0005-0000-0000-000044570000}"/>
    <cellStyle name="Normal 2 2 4 2 2 11 5 3" xfId="22376" xr:uid="{00000000-0005-0000-0000-000045570000}"/>
    <cellStyle name="Normal 2 2 4 2 2 11 5 4" xfId="22377" xr:uid="{00000000-0005-0000-0000-000046570000}"/>
    <cellStyle name="Normal 2 2 4 2 2 11 5 5" xfId="22378" xr:uid="{00000000-0005-0000-0000-000047570000}"/>
    <cellStyle name="Normal 2 2 4 2 2 11 5 6" xfId="22379" xr:uid="{00000000-0005-0000-0000-000048570000}"/>
    <cellStyle name="Normal 2 2 4 2 2 11 5 7" xfId="22380" xr:uid="{00000000-0005-0000-0000-000049570000}"/>
    <cellStyle name="Normal 2 2 4 2 2 11 5 8" xfId="22381" xr:uid="{00000000-0005-0000-0000-00004A570000}"/>
    <cellStyle name="Normal 2 2 4 2 2 11 5 9" xfId="22382" xr:uid="{00000000-0005-0000-0000-00004B570000}"/>
    <cellStyle name="Normal 2 2 4 2 2 11 6" xfId="22383" xr:uid="{00000000-0005-0000-0000-00004C570000}"/>
    <cellStyle name="Normal 2 2 4 2 2 11 7" xfId="22384" xr:uid="{00000000-0005-0000-0000-00004D570000}"/>
    <cellStyle name="Normal 2 2 4 2 2 11 8" xfId="22385" xr:uid="{00000000-0005-0000-0000-00004E570000}"/>
    <cellStyle name="Normal 2 2 4 2 2 11 9" xfId="22386" xr:uid="{00000000-0005-0000-0000-00004F570000}"/>
    <cellStyle name="Normal 2 2 4 2 2 12" xfId="22387" xr:uid="{00000000-0005-0000-0000-000050570000}"/>
    <cellStyle name="Normal 2 2 4 2 2 12 10" xfId="22388" xr:uid="{00000000-0005-0000-0000-000051570000}"/>
    <cellStyle name="Normal 2 2 4 2 2 12 11" xfId="22389" xr:uid="{00000000-0005-0000-0000-000052570000}"/>
    <cellStyle name="Normal 2 2 4 2 2 12 12" xfId="22390" xr:uid="{00000000-0005-0000-0000-000053570000}"/>
    <cellStyle name="Normal 2 2 4 2 2 12 13" xfId="22391" xr:uid="{00000000-0005-0000-0000-000054570000}"/>
    <cellStyle name="Normal 2 2 4 2 2 12 14" xfId="22392" xr:uid="{00000000-0005-0000-0000-000055570000}"/>
    <cellStyle name="Normal 2 2 4 2 2 12 2" xfId="22393" xr:uid="{00000000-0005-0000-0000-000056570000}"/>
    <cellStyle name="Normal 2 2 4 2 2 12 2 10" xfId="22394" xr:uid="{00000000-0005-0000-0000-000057570000}"/>
    <cellStyle name="Normal 2 2 4 2 2 12 2 2" xfId="22395" xr:uid="{00000000-0005-0000-0000-000058570000}"/>
    <cellStyle name="Normal 2 2 4 2 2 12 2 3" xfId="22396" xr:uid="{00000000-0005-0000-0000-000059570000}"/>
    <cellStyle name="Normal 2 2 4 2 2 12 2 4" xfId="22397" xr:uid="{00000000-0005-0000-0000-00005A570000}"/>
    <cellStyle name="Normal 2 2 4 2 2 12 2 5" xfId="22398" xr:uid="{00000000-0005-0000-0000-00005B570000}"/>
    <cellStyle name="Normal 2 2 4 2 2 12 2 6" xfId="22399" xr:uid="{00000000-0005-0000-0000-00005C570000}"/>
    <cellStyle name="Normal 2 2 4 2 2 12 2 7" xfId="22400" xr:uid="{00000000-0005-0000-0000-00005D570000}"/>
    <cellStyle name="Normal 2 2 4 2 2 12 2 8" xfId="22401" xr:uid="{00000000-0005-0000-0000-00005E570000}"/>
    <cellStyle name="Normal 2 2 4 2 2 12 2 9" xfId="22402" xr:uid="{00000000-0005-0000-0000-00005F570000}"/>
    <cellStyle name="Normal 2 2 4 2 2 12 3" xfId="22403" xr:uid="{00000000-0005-0000-0000-000060570000}"/>
    <cellStyle name="Normal 2 2 4 2 2 12 3 10" xfId="22404" xr:uid="{00000000-0005-0000-0000-000061570000}"/>
    <cellStyle name="Normal 2 2 4 2 2 12 3 2" xfId="22405" xr:uid="{00000000-0005-0000-0000-000062570000}"/>
    <cellStyle name="Normal 2 2 4 2 2 12 3 3" xfId="22406" xr:uid="{00000000-0005-0000-0000-000063570000}"/>
    <cellStyle name="Normal 2 2 4 2 2 12 3 4" xfId="22407" xr:uid="{00000000-0005-0000-0000-000064570000}"/>
    <cellStyle name="Normal 2 2 4 2 2 12 3 5" xfId="22408" xr:uid="{00000000-0005-0000-0000-000065570000}"/>
    <cellStyle name="Normal 2 2 4 2 2 12 3 6" xfId="22409" xr:uid="{00000000-0005-0000-0000-000066570000}"/>
    <cellStyle name="Normal 2 2 4 2 2 12 3 7" xfId="22410" xr:uid="{00000000-0005-0000-0000-000067570000}"/>
    <cellStyle name="Normal 2 2 4 2 2 12 3 8" xfId="22411" xr:uid="{00000000-0005-0000-0000-000068570000}"/>
    <cellStyle name="Normal 2 2 4 2 2 12 3 9" xfId="22412" xr:uid="{00000000-0005-0000-0000-000069570000}"/>
    <cellStyle name="Normal 2 2 4 2 2 12 4" xfId="22413" xr:uid="{00000000-0005-0000-0000-00006A570000}"/>
    <cellStyle name="Normal 2 2 4 2 2 12 4 10" xfId="22414" xr:uid="{00000000-0005-0000-0000-00006B570000}"/>
    <cellStyle name="Normal 2 2 4 2 2 12 4 2" xfId="22415" xr:uid="{00000000-0005-0000-0000-00006C570000}"/>
    <cellStyle name="Normal 2 2 4 2 2 12 4 3" xfId="22416" xr:uid="{00000000-0005-0000-0000-00006D570000}"/>
    <cellStyle name="Normal 2 2 4 2 2 12 4 4" xfId="22417" xr:uid="{00000000-0005-0000-0000-00006E570000}"/>
    <cellStyle name="Normal 2 2 4 2 2 12 4 5" xfId="22418" xr:uid="{00000000-0005-0000-0000-00006F570000}"/>
    <cellStyle name="Normal 2 2 4 2 2 12 4 6" xfId="22419" xr:uid="{00000000-0005-0000-0000-000070570000}"/>
    <cellStyle name="Normal 2 2 4 2 2 12 4 7" xfId="22420" xr:uid="{00000000-0005-0000-0000-000071570000}"/>
    <cellStyle name="Normal 2 2 4 2 2 12 4 8" xfId="22421" xr:uid="{00000000-0005-0000-0000-000072570000}"/>
    <cellStyle name="Normal 2 2 4 2 2 12 4 9" xfId="22422" xr:uid="{00000000-0005-0000-0000-000073570000}"/>
    <cellStyle name="Normal 2 2 4 2 2 12 5" xfId="22423" xr:uid="{00000000-0005-0000-0000-000074570000}"/>
    <cellStyle name="Normal 2 2 4 2 2 12 5 10" xfId="22424" xr:uid="{00000000-0005-0000-0000-000075570000}"/>
    <cellStyle name="Normal 2 2 4 2 2 12 5 2" xfId="22425" xr:uid="{00000000-0005-0000-0000-000076570000}"/>
    <cellStyle name="Normal 2 2 4 2 2 12 5 3" xfId="22426" xr:uid="{00000000-0005-0000-0000-000077570000}"/>
    <cellStyle name="Normal 2 2 4 2 2 12 5 4" xfId="22427" xr:uid="{00000000-0005-0000-0000-000078570000}"/>
    <cellStyle name="Normal 2 2 4 2 2 12 5 5" xfId="22428" xr:uid="{00000000-0005-0000-0000-000079570000}"/>
    <cellStyle name="Normal 2 2 4 2 2 12 5 6" xfId="22429" xr:uid="{00000000-0005-0000-0000-00007A570000}"/>
    <cellStyle name="Normal 2 2 4 2 2 12 5 7" xfId="22430" xr:uid="{00000000-0005-0000-0000-00007B570000}"/>
    <cellStyle name="Normal 2 2 4 2 2 12 5 8" xfId="22431" xr:uid="{00000000-0005-0000-0000-00007C570000}"/>
    <cellStyle name="Normal 2 2 4 2 2 12 5 9" xfId="22432" xr:uid="{00000000-0005-0000-0000-00007D570000}"/>
    <cellStyle name="Normal 2 2 4 2 2 12 6" xfId="22433" xr:uid="{00000000-0005-0000-0000-00007E570000}"/>
    <cellStyle name="Normal 2 2 4 2 2 12 7" xfId="22434" xr:uid="{00000000-0005-0000-0000-00007F570000}"/>
    <cellStyle name="Normal 2 2 4 2 2 12 8" xfId="22435" xr:uid="{00000000-0005-0000-0000-000080570000}"/>
    <cellStyle name="Normal 2 2 4 2 2 12 9" xfId="22436" xr:uid="{00000000-0005-0000-0000-000081570000}"/>
    <cellStyle name="Normal 2 2 4 2 2 13" xfId="22437" xr:uid="{00000000-0005-0000-0000-000082570000}"/>
    <cellStyle name="Normal 2 2 4 2 2 13 10" xfId="22438" xr:uid="{00000000-0005-0000-0000-000083570000}"/>
    <cellStyle name="Normal 2 2 4 2 2 13 11" xfId="22439" xr:uid="{00000000-0005-0000-0000-000084570000}"/>
    <cellStyle name="Normal 2 2 4 2 2 13 12" xfId="22440" xr:uid="{00000000-0005-0000-0000-000085570000}"/>
    <cellStyle name="Normal 2 2 4 2 2 13 13" xfId="22441" xr:uid="{00000000-0005-0000-0000-000086570000}"/>
    <cellStyle name="Normal 2 2 4 2 2 13 14" xfId="22442" xr:uid="{00000000-0005-0000-0000-000087570000}"/>
    <cellStyle name="Normal 2 2 4 2 2 13 2" xfId="22443" xr:uid="{00000000-0005-0000-0000-000088570000}"/>
    <cellStyle name="Normal 2 2 4 2 2 13 2 10" xfId="22444" xr:uid="{00000000-0005-0000-0000-000089570000}"/>
    <cellStyle name="Normal 2 2 4 2 2 13 2 2" xfId="22445" xr:uid="{00000000-0005-0000-0000-00008A570000}"/>
    <cellStyle name="Normal 2 2 4 2 2 13 2 3" xfId="22446" xr:uid="{00000000-0005-0000-0000-00008B570000}"/>
    <cellStyle name="Normal 2 2 4 2 2 13 2 4" xfId="22447" xr:uid="{00000000-0005-0000-0000-00008C570000}"/>
    <cellStyle name="Normal 2 2 4 2 2 13 2 5" xfId="22448" xr:uid="{00000000-0005-0000-0000-00008D570000}"/>
    <cellStyle name="Normal 2 2 4 2 2 13 2 6" xfId="22449" xr:uid="{00000000-0005-0000-0000-00008E570000}"/>
    <cellStyle name="Normal 2 2 4 2 2 13 2 7" xfId="22450" xr:uid="{00000000-0005-0000-0000-00008F570000}"/>
    <cellStyle name="Normal 2 2 4 2 2 13 2 8" xfId="22451" xr:uid="{00000000-0005-0000-0000-000090570000}"/>
    <cellStyle name="Normal 2 2 4 2 2 13 2 9" xfId="22452" xr:uid="{00000000-0005-0000-0000-000091570000}"/>
    <cellStyle name="Normal 2 2 4 2 2 13 3" xfId="22453" xr:uid="{00000000-0005-0000-0000-000092570000}"/>
    <cellStyle name="Normal 2 2 4 2 2 13 3 10" xfId="22454" xr:uid="{00000000-0005-0000-0000-000093570000}"/>
    <cellStyle name="Normal 2 2 4 2 2 13 3 2" xfId="22455" xr:uid="{00000000-0005-0000-0000-000094570000}"/>
    <cellStyle name="Normal 2 2 4 2 2 13 3 3" xfId="22456" xr:uid="{00000000-0005-0000-0000-000095570000}"/>
    <cellStyle name="Normal 2 2 4 2 2 13 3 4" xfId="22457" xr:uid="{00000000-0005-0000-0000-000096570000}"/>
    <cellStyle name="Normal 2 2 4 2 2 13 3 5" xfId="22458" xr:uid="{00000000-0005-0000-0000-000097570000}"/>
    <cellStyle name="Normal 2 2 4 2 2 13 3 6" xfId="22459" xr:uid="{00000000-0005-0000-0000-000098570000}"/>
    <cellStyle name="Normal 2 2 4 2 2 13 3 7" xfId="22460" xr:uid="{00000000-0005-0000-0000-000099570000}"/>
    <cellStyle name="Normal 2 2 4 2 2 13 3 8" xfId="22461" xr:uid="{00000000-0005-0000-0000-00009A570000}"/>
    <cellStyle name="Normal 2 2 4 2 2 13 3 9" xfId="22462" xr:uid="{00000000-0005-0000-0000-00009B570000}"/>
    <cellStyle name="Normal 2 2 4 2 2 13 4" xfId="22463" xr:uid="{00000000-0005-0000-0000-00009C570000}"/>
    <cellStyle name="Normal 2 2 4 2 2 13 4 10" xfId="22464" xr:uid="{00000000-0005-0000-0000-00009D570000}"/>
    <cellStyle name="Normal 2 2 4 2 2 13 4 2" xfId="22465" xr:uid="{00000000-0005-0000-0000-00009E570000}"/>
    <cellStyle name="Normal 2 2 4 2 2 13 4 3" xfId="22466" xr:uid="{00000000-0005-0000-0000-00009F570000}"/>
    <cellStyle name="Normal 2 2 4 2 2 13 4 4" xfId="22467" xr:uid="{00000000-0005-0000-0000-0000A0570000}"/>
    <cellStyle name="Normal 2 2 4 2 2 13 4 5" xfId="22468" xr:uid="{00000000-0005-0000-0000-0000A1570000}"/>
    <cellStyle name="Normal 2 2 4 2 2 13 4 6" xfId="22469" xr:uid="{00000000-0005-0000-0000-0000A2570000}"/>
    <cellStyle name="Normal 2 2 4 2 2 13 4 7" xfId="22470" xr:uid="{00000000-0005-0000-0000-0000A3570000}"/>
    <cellStyle name="Normal 2 2 4 2 2 13 4 8" xfId="22471" xr:uid="{00000000-0005-0000-0000-0000A4570000}"/>
    <cellStyle name="Normal 2 2 4 2 2 13 4 9" xfId="22472" xr:uid="{00000000-0005-0000-0000-0000A5570000}"/>
    <cellStyle name="Normal 2 2 4 2 2 13 5" xfId="22473" xr:uid="{00000000-0005-0000-0000-0000A6570000}"/>
    <cellStyle name="Normal 2 2 4 2 2 13 5 10" xfId="22474" xr:uid="{00000000-0005-0000-0000-0000A7570000}"/>
    <cellStyle name="Normal 2 2 4 2 2 13 5 2" xfId="22475" xr:uid="{00000000-0005-0000-0000-0000A8570000}"/>
    <cellStyle name="Normal 2 2 4 2 2 13 5 3" xfId="22476" xr:uid="{00000000-0005-0000-0000-0000A9570000}"/>
    <cellStyle name="Normal 2 2 4 2 2 13 5 4" xfId="22477" xr:uid="{00000000-0005-0000-0000-0000AA570000}"/>
    <cellStyle name="Normal 2 2 4 2 2 13 5 5" xfId="22478" xr:uid="{00000000-0005-0000-0000-0000AB570000}"/>
    <cellStyle name="Normal 2 2 4 2 2 13 5 6" xfId="22479" xr:uid="{00000000-0005-0000-0000-0000AC570000}"/>
    <cellStyle name="Normal 2 2 4 2 2 13 5 7" xfId="22480" xr:uid="{00000000-0005-0000-0000-0000AD570000}"/>
    <cellStyle name="Normal 2 2 4 2 2 13 5 8" xfId="22481" xr:uid="{00000000-0005-0000-0000-0000AE570000}"/>
    <cellStyle name="Normal 2 2 4 2 2 13 5 9" xfId="22482" xr:uid="{00000000-0005-0000-0000-0000AF570000}"/>
    <cellStyle name="Normal 2 2 4 2 2 13 6" xfId="22483" xr:uid="{00000000-0005-0000-0000-0000B0570000}"/>
    <cellStyle name="Normal 2 2 4 2 2 13 7" xfId="22484" xr:uid="{00000000-0005-0000-0000-0000B1570000}"/>
    <cellStyle name="Normal 2 2 4 2 2 13 8" xfId="22485" xr:uid="{00000000-0005-0000-0000-0000B2570000}"/>
    <cellStyle name="Normal 2 2 4 2 2 13 9" xfId="22486" xr:uid="{00000000-0005-0000-0000-0000B3570000}"/>
    <cellStyle name="Normal 2 2 4 2 2 14" xfId="22487" xr:uid="{00000000-0005-0000-0000-0000B4570000}"/>
    <cellStyle name="Normal 2 2 4 2 2 14 10" xfId="22488" xr:uid="{00000000-0005-0000-0000-0000B5570000}"/>
    <cellStyle name="Normal 2 2 4 2 2 14 11" xfId="22489" xr:uid="{00000000-0005-0000-0000-0000B6570000}"/>
    <cellStyle name="Normal 2 2 4 2 2 14 12" xfId="22490" xr:uid="{00000000-0005-0000-0000-0000B7570000}"/>
    <cellStyle name="Normal 2 2 4 2 2 14 13" xfId="22491" xr:uid="{00000000-0005-0000-0000-0000B8570000}"/>
    <cellStyle name="Normal 2 2 4 2 2 14 14" xfId="22492" xr:uid="{00000000-0005-0000-0000-0000B9570000}"/>
    <cellStyle name="Normal 2 2 4 2 2 14 2" xfId="22493" xr:uid="{00000000-0005-0000-0000-0000BA570000}"/>
    <cellStyle name="Normal 2 2 4 2 2 14 2 10" xfId="22494" xr:uid="{00000000-0005-0000-0000-0000BB570000}"/>
    <cellStyle name="Normal 2 2 4 2 2 14 2 2" xfId="22495" xr:uid="{00000000-0005-0000-0000-0000BC570000}"/>
    <cellStyle name="Normal 2 2 4 2 2 14 2 3" xfId="22496" xr:uid="{00000000-0005-0000-0000-0000BD570000}"/>
    <cellStyle name="Normal 2 2 4 2 2 14 2 4" xfId="22497" xr:uid="{00000000-0005-0000-0000-0000BE570000}"/>
    <cellStyle name="Normal 2 2 4 2 2 14 2 5" xfId="22498" xr:uid="{00000000-0005-0000-0000-0000BF570000}"/>
    <cellStyle name="Normal 2 2 4 2 2 14 2 6" xfId="22499" xr:uid="{00000000-0005-0000-0000-0000C0570000}"/>
    <cellStyle name="Normal 2 2 4 2 2 14 2 7" xfId="22500" xr:uid="{00000000-0005-0000-0000-0000C1570000}"/>
    <cellStyle name="Normal 2 2 4 2 2 14 2 8" xfId="22501" xr:uid="{00000000-0005-0000-0000-0000C2570000}"/>
    <cellStyle name="Normal 2 2 4 2 2 14 2 9" xfId="22502" xr:uid="{00000000-0005-0000-0000-0000C3570000}"/>
    <cellStyle name="Normal 2 2 4 2 2 14 3" xfId="22503" xr:uid="{00000000-0005-0000-0000-0000C4570000}"/>
    <cellStyle name="Normal 2 2 4 2 2 14 3 10" xfId="22504" xr:uid="{00000000-0005-0000-0000-0000C5570000}"/>
    <cellStyle name="Normal 2 2 4 2 2 14 3 2" xfId="22505" xr:uid="{00000000-0005-0000-0000-0000C6570000}"/>
    <cellStyle name="Normal 2 2 4 2 2 14 3 3" xfId="22506" xr:uid="{00000000-0005-0000-0000-0000C7570000}"/>
    <cellStyle name="Normal 2 2 4 2 2 14 3 4" xfId="22507" xr:uid="{00000000-0005-0000-0000-0000C8570000}"/>
    <cellStyle name="Normal 2 2 4 2 2 14 3 5" xfId="22508" xr:uid="{00000000-0005-0000-0000-0000C9570000}"/>
    <cellStyle name="Normal 2 2 4 2 2 14 3 6" xfId="22509" xr:uid="{00000000-0005-0000-0000-0000CA570000}"/>
    <cellStyle name="Normal 2 2 4 2 2 14 3 7" xfId="22510" xr:uid="{00000000-0005-0000-0000-0000CB570000}"/>
    <cellStyle name="Normal 2 2 4 2 2 14 3 8" xfId="22511" xr:uid="{00000000-0005-0000-0000-0000CC570000}"/>
    <cellStyle name="Normal 2 2 4 2 2 14 3 9" xfId="22512" xr:uid="{00000000-0005-0000-0000-0000CD570000}"/>
    <cellStyle name="Normal 2 2 4 2 2 14 4" xfId="22513" xr:uid="{00000000-0005-0000-0000-0000CE570000}"/>
    <cellStyle name="Normal 2 2 4 2 2 14 4 10" xfId="22514" xr:uid="{00000000-0005-0000-0000-0000CF570000}"/>
    <cellStyle name="Normal 2 2 4 2 2 14 4 2" xfId="22515" xr:uid="{00000000-0005-0000-0000-0000D0570000}"/>
    <cellStyle name="Normal 2 2 4 2 2 14 4 3" xfId="22516" xr:uid="{00000000-0005-0000-0000-0000D1570000}"/>
    <cellStyle name="Normal 2 2 4 2 2 14 4 4" xfId="22517" xr:uid="{00000000-0005-0000-0000-0000D2570000}"/>
    <cellStyle name="Normal 2 2 4 2 2 14 4 5" xfId="22518" xr:uid="{00000000-0005-0000-0000-0000D3570000}"/>
    <cellStyle name="Normal 2 2 4 2 2 14 4 6" xfId="22519" xr:uid="{00000000-0005-0000-0000-0000D4570000}"/>
    <cellStyle name="Normal 2 2 4 2 2 14 4 7" xfId="22520" xr:uid="{00000000-0005-0000-0000-0000D5570000}"/>
    <cellStyle name="Normal 2 2 4 2 2 14 4 8" xfId="22521" xr:uid="{00000000-0005-0000-0000-0000D6570000}"/>
    <cellStyle name="Normal 2 2 4 2 2 14 4 9" xfId="22522" xr:uid="{00000000-0005-0000-0000-0000D7570000}"/>
    <cellStyle name="Normal 2 2 4 2 2 14 5" xfId="22523" xr:uid="{00000000-0005-0000-0000-0000D8570000}"/>
    <cellStyle name="Normal 2 2 4 2 2 14 5 10" xfId="22524" xr:uid="{00000000-0005-0000-0000-0000D9570000}"/>
    <cellStyle name="Normal 2 2 4 2 2 14 5 2" xfId="22525" xr:uid="{00000000-0005-0000-0000-0000DA570000}"/>
    <cellStyle name="Normal 2 2 4 2 2 14 5 3" xfId="22526" xr:uid="{00000000-0005-0000-0000-0000DB570000}"/>
    <cellStyle name="Normal 2 2 4 2 2 14 5 4" xfId="22527" xr:uid="{00000000-0005-0000-0000-0000DC570000}"/>
    <cellStyle name="Normal 2 2 4 2 2 14 5 5" xfId="22528" xr:uid="{00000000-0005-0000-0000-0000DD570000}"/>
    <cellStyle name="Normal 2 2 4 2 2 14 5 6" xfId="22529" xr:uid="{00000000-0005-0000-0000-0000DE570000}"/>
    <cellStyle name="Normal 2 2 4 2 2 14 5 7" xfId="22530" xr:uid="{00000000-0005-0000-0000-0000DF570000}"/>
    <cellStyle name="Normal 2 2 4 2 2 14 5 8" xfId="22531" xr:uid="{00000000-0005-0000-0000-0000E0570000}"/>
    <cellStyle name="Normal 2 2 4 2 2 14 5 9" xfId="22532" xr:uid="{00000000-0005-0000-0000-0000E1570000}"/>
    <cellStyle name="Normal 2 2 4 2 2 14 6" xfId="22533" xr:uid="{00000000-0005-0000-0000-0000E2570000}"/>
    <cellStyle name="Normal 2 2 4 2 2 14 7" xfId="22534" xr:uid="{00000000-0005-0000-0000-0000E3570000}"/>
    <cellStyle name="Normal 2 2 4 2 2 14 8" xfId="22535" xr:uid="{00000000-0005-0000-0000-0000E4570000}"/>
    <cellStyle name="Normal 2 2 4 2 2 14 9" xfId="22536" xr:uid="{00000000-0005-0000-0000-0000E5570000}"/>
    <cellStyle name="Normal 2 2 4 2 2 15" xfId="22537" xr:uid="{00000000-0005-0000-0000-0000E6570000}"/>
    <cellStyle name="Normal 2 2 4 2 2 15 10" xfId="22538" xr:uid="{00000000-0005-0000-0000-0000E7570000}"/>
    <cellStyle name="Normal 2 2 4 2 2 15 11" xfId="22539" xr:uid="{00000000-0005-0000-0000-0000E8570000}"/>
    <cellStyle name="Normal 2 2 4 2 2 15 12" xfId="22540" xr:uid="{00000000-0005-0000-0000-0000E9570000}"/>
    <cellStyle name="Normal 2 2 4 2 2 15 13" xfId="22541" xr:uid="{00000000-0005-0000-0000-0000EA570000}"/>
    <cellStyle name="Normal 2 2 4 2 2 15 14" xfId="22542" xr:uid="{00000000-0005-0000-0000-0000EB570000}"/>
    <cellStyle name="Normal 2 2 4 2 2 15 2" xfId="22543" xr:uid="{00000000-0005-0000-0000-0000EC570000}"/>
    <cellStyle name="Normal 2 2 4 2 2 15 2 10" xfId="22544" xr:uid="{00000000-0005-0000-0000-0000ED570000}"/>
    <cellStyle name="Normal 2 2 4 2 2 15 2 2" xfId="22545" xr:uid="{00000000-0005-0000-0000-0000EE570000}"/>
    <cellStyle name="Normal 2 2 4 2 2 15 2 3" xfId="22546" xr:uid="{00000000-0005-0000-0000-0000EF570000}"/>
    <cellStyle name="Normal 2 2 4 2 2 15 2 4" xfId="22547" xr:uid="{00000000-0005-0000-0000-0000F0570000}"/>
    <cellStyle name="Normal 2 2 4 2 2 15 2 5" xfId="22548" xr:uid="{00000000-0005-0000-0000-0000F1570000}"/>
    <cellStyle name="Normal 2 2 4 2 2 15 2 6" xfId="22549" xr:uid="{00000000-0005-0000-0000-0000F2570000}"/>
    <cellStyle name="Normal 2 2 4 2 2 15 2 7" xfId="22550" xr:uid="{00000000-0005-0000-0000-0000F3570000}"/>
    <cellStyle name="Normal 2 2 4 2 2 15 2 8" xfId="22551" xr:uid="{00000000-0005-0000-0000-0000F4570000}"/>
    <cellStyle name="Normal 2 2 4 2 2 15 2 9" xfId="22552" xr:uid="{00000000-0005-0000-0000-0000F5570000}"/>
    <cellStyle name="Normal 2 2 4 2 2 15 3" xfId="22553" xr:uid="{00000000-0005-0000-0000-0000F6570000}"/>
    <cellStyle name="Normal 2 2 4 2 2 15 3 10" xfId="22554" xr:uid="{00000000-0005-0000-0000-0000F7570000}"/>
    <cellStyle name="Normal 2 2 4 2 2 15 3 2" xfId="22555" xr:uid="{00000000-0005-0000-0000-0000F8570000}"/>
    <cellStyle name="Normal 2 2 4 2 2 15 3 3" xfId="22556" xr:uid="{00000000-0005-0000-0000-0000F9570000}"/>
    <cellStyle name="Normal 2 2 4 2 2 15 3 4" xfId="22557" xr:uid="{00000000-0005-0000-0000-0000FA570000}"/>
    <cellStyle name="Normal 2 2 4 2 2 15 3 5" xfId="22558" xr:uid="{00000000-0005-0000-0000-0000FB570000}"/>
    <cellStyle name="Normal 2 2 4 2 2 15 3 6" xfId="22559" xr:uid="{00000000-0005-0000-0000-0000FC570000}"/>
    <cellStyle name="Normal 2 2 4 2 2 15 3 7" xfId="22560" xr:uid="{00000000-0005-0000-0000-0000FD570000}"/>
    <cellStyle name="Normal 2 2 4 2 2 15 3 8" xfId="22561" xr:uid="{00000000-0005-0000-0000-0000FE570000}"/>
    <cellStyle name="Normal 2 2 4 2 2 15 3 9" xfId="22562" xr:uid="{00000000-0005-0000-0000-0000FF570000}"/>
    <cellStyle name="Normal 2 2 4 2 2 15 4" xfId="22563" xr:uid="{00000000-0005-0000-0000-000000580000}"/>
    <cellStyle name="Normal 2 2 4 2 2 15 4 10" xfId="22564" xr:uid="{00000000-0005-0000-0000-000001580000}"/>
    <cellStyle name="Normal 2 2 4 2 2 15 4 2" xfId="22565" xr:uid="{00000000-0005-0000-0000-000002580000}"/>
    <cellStyle name="Normal 2 2 4 2 2 15 4 3" xfId="22566" xr:uid="{00000000-0005-0000-0000-000003580000}"/>
    <cellStyle name="Normal 2 2 4 2 2 15 4 4" xfId="22567" xr:uid="{00000000-0005-0000-0000-000004580000}"/>
    <cellStyle name="Normal 2 2 4 2 2 15 4 5" xfId="22568" xr:uid="{00000000-0005-0000-0000-000005580000}"/>
    <cellStyle name="Normal 2 2 4 2 2 15 4 6" xfId="22569" xr:uid="{00000000-0005-0000-0000-000006580000}"/>
    <cellStyle name="Normal 2 2 4 2 2 15 4 7" xfId="22570" xr:uid="{00000000-0005-0000-0000-000007580000}"/>
    <cellStyle name="Normal 2 2 4 2 2 15 4 8" xfId="22571" xr:uid="{00000000-0005-0000-0000-000008580000}"/>
    <cellStyle name="Normal 2 2 4 2 2 15 4 9" xfId="22572" xr:uid="{00000000-0005-0000-0000-000009580000}"/>
    <cellStyle name="Normal 2 2 4 2 2 15 5" xfId="22573" xr:uid="{00000000-0005-0000-0000-00000A580000}"/>
    <cellStyle name="Normal 2 2 4 2 2 15 5 10" xfId="22574" xr:uid="{00000000-0005-0000-0000-00000B580000}"/>
    <cellStyle name="Normal 2 2 4 2 2 15 5 2" xfId="22575" xr:uid="{00000000-0005-0000-0000-00000C580000}"/>
    <cellStyle name="Normal 2 2 4 2 2 15 5 3" xfId="22576" xr:uid="{00000000-0005-0000-0000-00000D580000}"/>
    <cellStyle name="Normal 2 2 4 2 2 15 5 4" xfId="22577" xr:uid="{00000000-0005-0000-0000-00000E580000}"/>
    <cellStyle name="Normal 2 2 4 2 2 15 5 5" xfId="22578" xr:uid="{00000000-0005-0000-0000-00000F580000}"/>
    <cellStyle name="Normal 2 2 4 2 2 15 5 6" xfId="22579" xr:uid="{00000000-0005-0000-0000-000010580000}"/>
    <cellStyle name="Normal 2 2 4 2 2 15 5 7" xfId="22580" xr:uid="{00000000-0005-0000-0000-000011580000}"/>
    <cellStyle name="Normal 2 2 4 2 2 15 5 8" xfId="22581" xr:uid="{00000000-0005-0000-0000-000012580000}"/>
    <cellStyle name="Normal 2 2 4 2 2 15 5 9" xfId="22582" xr:uid="{00000000-0005-0000-0000-000013580000}"/>
    <cellStyle name="Normal 2 2 4 2 2 15 6" xfId="22583" xr:uid="{00000000-0005-0000-0000-000014580000}"/>
    <cellStyle name="Normal 2 2 4 2 2 15 7" xfId="22584" xr:uid="{00000000-0005-0000-0000-000015580000}"/>
    <cellStyle name="Normal 2 2 4 2 2 15 8" xfId="22585" xr:uid="{00000000-0005-0000-0000-000016580000}"/>
    <cellStyle name="Normal 2 2 4 2 2 15 9" xfId="22586" xr:uid="{00000000-0005-0000-0000-000017580000}"/>
    <cellStyle name="Normal 2 2 4 2 2 16" xfId="22587" xr:uid="{00000000-0005-0000-0000-000018580000}"/>
    <cellStyle name="Normal 2 2 4 2 2 16 10" xfId="22588" xr:uid="{00000000-0005-0000-0000-000019580000}"/>
    <cellStyle name="Normal 2 2 4 2 2 16 11" xfId="22589" xr:uid="{00000000-0005-0000-0000-00001A580000}"/>
    <cellStyle name="Normal 2 2 4 2 2 16 12" xfId="22590" xr:uid="{00000000-0005-0000-0000-00001B580000}"/>
    <cellStyle name="Normal 2 2 4 2 2 16 13" xfId="22591" xr:uid="{00000000-0005-0000-0000-00001C580000}"/>
    <cellStyle name="Normal 2 2 4 2 2 16 14" xfId="22592" xr:uid="{00000000-0005-0000-0000-00001D580000}"/>
    <cellStyle name="Normal 2 2 4 2 2 16 2" xfId="22593" xr:uid="{00000000-0005-0000-0000-00001E580000}"/>
    <cellStyle name="Normal 2 2 4 2 2 16 2 10" xfId="22594" xr:uid="{00000000-0005-0000-0000-00001F580000}"/>
    <cellStyle name="Normal 2 2 4 2 2 16 2 2" xfId="22595" xr:uid="{00000000-0005-0000-0000-000020580000}"/>
    <cellStyle name="Normal 2 2 4 2 2 16 2 3" xfId="22596" xr:uid="{00000000-0005-0000-0000-000021580000}"/>
    <cellStyle name="Normal 2 2 4 2 2 16 2 4" xfId="22597" xr:uid="{00000000-0005-0000-0000-000022580000}"/>
    <cellStyle name="Normal 2 2 4 2 2 16 2 5" xfId="22598" xr:uid="{00000000-0005-0000-0000-000023580000}"/>
    <cellStyle name="Normal 2 2 4 2 2 16 2 6" xfId="22599" xr:uid="{00000000-0005-0000-0000-000024580000}"/>
    <cellStyle name="Normal 2 2 4 2 2 16 2 7" xfId="22600" xr:uid="{00000000-0005-0000-0000-000025580000}"/>
    <cellStyle name="Normal 2 2 4 2 2 16 2 8" xfId="22601" xr:uid="{00000000-0005-0000-0000-000026580000}"/>
    <cellStyle name="Normal 2 2 4 2 2 16 2 9" xfId="22602" xr:uid="{00000000-0005-0000-0000-000027580000}"/>
    <cellStyle name="Normal 2 2 4 2 2 16 3" xfId="22603" xr:uid="{00000000-0005-0000-0000-000028580000}"/>
    <cellStyle name="Normal 2 2 4 2 2 16 3 10" xfId="22604" xr:uid="{00000000-0005-0000-0000-000029580000}"/>
    <cellStyle name="Normal 2 2 4 2 2 16 3 2" xfId="22605" xr:uid="{00000000-0005-0000-0000-00002A580000}"/>
    <cellStyle name="Normal 2 2 4 2 2 16 3 3" xfId="22606" xr:uid="{00000000-0005-0000-0000-00002B580000}"/>
    <cellStyle name="Normal 2 2 4 2 2 16 3 4" xfId="22607" xr:uid="{00000000-0005-0000-0000-00002C580000}"/>
    <cellStyle name="Normal 2 2 4 2 2 16 3 5" xfId="22608" xr:uid="{00000000-0005-0000-0000-00002D580000}"/>
    <cellStyle name="Normal 2 2 4 2 2 16 3 6" xfId="22609" xr:uid="{00000000-0005-0000-0000-00002E580000}"/>
    <cellStyle name="Normal 2 2 4 2 2 16 3 7" xfId="22610" xr:uid="{00000000-0005-0000-0000-00002F580000}"/>
    <cellStyle name="Normal 2 2 4 2 2 16 3 8" xfId="22611" xr:uid="{00000000-0005-0000-0000-000030580000}"/>
    <cellStyle name="Normal 2 2 4 2 2 16 3 9" xfId="22612" xr:uid="{00000000-0005-0000-0000-000031580000}"/>
    <cellStyle name="Normal 2 2 4 2 2 16 4" xfId="22613" xr:uid="{00000000-0005-0000-0000-000032580000}"/>
    <cellStyle name="Normal 2 2 4 2 2 16 4 10" xfId="22614" xr:uid="{00000000-0005-0000-0000-000033580000}"/>
    <cellStyle name="Normal 2 2 4 2 2 16 4 2" xfId="22615" xr:uid="{00000000-0005-0000-0000-000034580000}"/>
    <cellStyle name="Normal 2 2 4 2 2 16 4 3" xfId="22616" xr:uid="{00000000-0005-0000-0000-000035580000}"/>
    <cellStyle name="Normal 2 2 4 2 2 16 4 4" xfId="22617" xr:uid="{00000000-0005-0000-0000-000036580000}"/>
    <cellStyle name="Normal 2 2 4 2 2 16 4 5" xfId="22618" xr:uid="{00000000-0005-0000-0000-000037580000}"/>
    <cellStyle name="Normal 2 2 4 2 2 16 4 6" xfId="22619" xr:uid="{00000000-0005-0000-0000-000038580000}"/>
    <cellStyle name="Normal 2 2 4 2 2 16 4 7" xfId="22620" xr:uid="{00000000-0005-0000-0000-000039580000}"/>
    <cellStyle name="Normal 2 2 4 2 2 16 4 8" xfId="22621" xr:uid="{00000000-0005-0000-0000-00003A580000}"/>
    <cellStyle name="Normal 2 2 4 2 2 16 4 9" xfId="22622" xr:uid="{00000000-0005-0000-0000-00003B580000}"/>
    <cellStyle name="Normal 2 2 4 2 2 16 5" xfId="22623" xr:uid="{00000000-0005-0000-0000-00003C580000}"/>
    <cellStyle name="Normal 2 2 4 2 2 16 5 10" xfId="22624" xr:uid="{00000000-0005-0000-0000-00003D580000}"/>
    <cellStyle name="Normal 2 2 4 2 2 16 5 2" xfId="22625" xr:uid="{00000000-0005-0000-0000-00003E580000}"/>
    <cellStyle name="Normal 2 2 4 2 2 16 5 3" xfId="22626" xr:uid="{00000000-0005-0000-0000-00003F580000}"/>
    <cellStyle name="Normal 2 2 4 2 2 16 5 4" xfId="22627" xr:uid="{00000000-0005-0000-0000-000040580000}"/>
    <cellStyle name="Normal 2 2 4 2 2 16 5 5" xfId="22628" xr:uid="{00000000-0005-0000-0000-000041580000}"/>
    <cellStyle name="Normal 2 2 4 2 2 16 5 6" xfId="22629" xr:uid="{00000000-0005-0000-0000-000042580000}"/>
    <cellStyle name="Normal 2 2 4 2 2 16 5 7" xfId="22630" xr:uid="{00000000-0005-0000-0000-000043580000}"/>
    <cellStyle name="Normal 2 2 4 2 2 16 5 8" xfId="22631" xr:uid="{00000000-0005-0000-0000-000044580000}"/>
    <cellStyle name="Normal 2 2 4 2 2 16 5 9" xfId="22632" xr:uid="{00000000-0005-0000-0000-000045580000}"/>
    <cellStyle name="Normal 2 2 4 2 2 16 6" xfId="22633" xr:uid="{00000000-0005-0000-0000-000046580000}"/>
    <cellStyle name="Normal 2 2 4 2 2 16 7" xfId="22634" xr:uid="{00000000-0005-0000-0000-000047580000}"/>
    <cellStyle name="Normal 2 2 4 2 2 16 8" xfId="22635" xr:uid="{00000000-0005-0000-0000-000048580000}"/>
    <cellStyle name="Normal 2 2 4 2 2 16 9" xfId="22636" xr:uid="{00000000-0005-0000-0000-000049580000}"/>
    <cellStyle name="Normal 2 2 4 2 2 17" xfId="22637" xr:uid="{00000000-0005-0000-0000-00004A580000}"/>
    <cellStyle name="Normal 2 2 4 2 2 17 10" xfId="22638" xr:uid="{00000000-0005-0000-0000-00004B580000}"/>
    <cellStyle name="Normal 2 2 4 2 2 17 11" xfId="22639" xr:uid="{00000000-0005-0000-0000-00004C580000}"/>
    <cellStyle name="Normal 2 2 4 2 2 17 12" xfId="22640" xr:uid="{00000000-0005-0000-0000-00004D580000}"/>
    <cellStyle name="Normal 2 2 4 2 2 17 13" xfId="22641" xr:uid="{00000000-0005-0000-0000-00004E580000}"/>
    <cellStyle name="Normal 2 2 4 2 2 17 14" xfId="22642" xr:uid="{00000000-0005-0000-0000-00004F580000}"/>
    <cellStyle name="Normal 2 2 4 2 2 17 2" xfId="22643" xr:uid="{00000000-0005-0000-0000-000050580000}"/>
    <cellStyle name="Normal 2 2 4 2 2 17 2 10" xfId="22644" xr:uid="{00000000-0005-0000-0000-000051580000}"/>
    <cellStyle name="Normal 2 2 4 2 2 17 2 2" xfId="22645" xr:uid="{00000000-0005-0000-0000-000052580000}"/>
    <cellStyle name="Normal 2 2 4 2 2 17 2 3" xfId="22646" xr:uid="{00000000-0005-0000-0000-000053580000}"/>
    <cellStyle name="Normal 2 2 4 2 2 17 2 4" xfId="22647" xr:uid="{00000000-0005-0000-0000-000054580000}"/>
    <cellStyle name="Normal 2 2 4 2 2 17 2 5" xfId="22648" xr:uid="{00000000-0005-0000-0000-000055580000}"/>
    <cellStyle name="Normal 2 2 4 2 2 17 2 6" xfId="22649" xr:uid="{00000000-0005-0000-0000-000056580000}"/>
    <cellStyle name="Normal 2 2 4 2 2 17 2 7" xfId="22650" xr:uid="{00000000-0005-0000-0000-000057580000}"/>
    <cellStyle name="Normal 2 2 4 2 2 17 2 8" xfId="22651" xr:uid="{00000000-0005-0000-0000-000058580000}"/>
    <cellStyle name="Normal 2 2 4 2 2 17 2 9" xfId="22652" xr:uid="{00000000-0005-0000-0000-000059580000}"/>
    <cellStyle name="Normal 2 2 4 2 2 17 3" xfId="22653" xr:uid="{00000000-0005-0000-0000-00005A580000}"/>
    <cellStyle name="Normal 2 2 4 2 2 17 3 10" xfId="22654" xr:uid="{00000000-0005-0000-0000-00005B580000}"/>
    <cellStyle name="Normal 2 2 4 2 2 17 3 2" xfId="22655" xr:uid="{00000000-0005-0000-0000-00005C580000}"/>
    <cellStyle name="Normal 2 2 4 2 2 17 3 3" xfId="22656" xr:uid="{00000000-0005-0000-0000-00005D580000}"/>
    <cellStyle name="Normal 2 2 4 2 2 17 3 4" xfId="22657" xr:uid="{00000000-0005-0000-0000-00005E580000}"/>
    <cellStyle name="Normal 2 2 4 2 2 17 3 5" xfId="22658" xr:uid="{00000000-0005-0000-0000-00005F580000}"/>
    <cellStyle name="Normal 2 2 4 2 2 17 3 6" xfId="22659" xr:uid="{00000000-0005-0000-0000-000060580000}"/>
    <cellStyle name="Normal 2 2 4 2 2 17 3 7" xfId="22660" xr:uid="{00000000-0005-0000-0000-000061580000}"/>
    <cellStyle name="Normal 2 2 4 2 2 17 3 8" xfId="22661" xr:uid="{00000000-0005-0000-0000-000062580000}"/>
    <cellStyle name="Normal 2 2 4 2 2 17 3 9" xfId="22662" xr:uid="{00000000-0005-0000-0000-000063580000}"/>
    <cellStyle name="Normal 2 2 4 2 2 17 4" xfId="22663" xr:uid="{00000000-0005-0000-0000-000064580000}"/>
    <cellStyle name="Normal 2 2 4 2 2 17 4 10" xfId="22664" xr:uid="{00000000-0005-0000-0000-000065580000}"/>
    <cellStyle name="Normal 2 2 4 2 2 17 4 2" xfId="22665" xr:uid="{00000000-0005-0000-0000-000066580000}"/>
    <cellStyle name="Normal 2 2 4 2 2 17 4 3" xfId="22666" xr:uid="{00000000-0005-0000-0000-000067580000}"/>
    <cellStyle name="Normal 2 2 4 2 2 17 4 4" xfId="22667" xr:uid="{00000000-0005-0000-0000-000068580000}"/>
    <cellStyle name="Normal 2 2 4 2 2 17 4 5" xfId="22668" xr:uid="{00000000-0005-0000-0000-000069580000}"/>
    <cellStyle name="Normal 2 2 4 2 2 17 4 6" xfId="22669" xr:uid="{00000000-0005-0000-0000-00006A580000}"/>
    <cellStyle name="Normal 2 2 4 2 2 17 4 7" xfId="22670" xr:uid="{00000000-0005-0000-0000-00006B580000}"/>
    <cellStyle name="Normal 2 2 4 2 2 17 4 8" xfId="22671" xr:uid="{00000000-0005-0000-0000-00006C580000}"/>
    <cellStyle name="Normal 2 2 4 2 2 17 4 9" xfId="22672" xr:uid="{00000000-0005-0000-0000-00006D580000}"/>
    <cellStyle name="Normal 2 2 4 2 2 17 5" xfId="22673" xr:uid="{00000000-0005-0000-0000-00006E580000}"/>
    <cellStyle name="Normal 2 2 4 2 2 17 5 10" xfId="22674" xr:uid="{00000000-0005-0000-0000-00006F580000}"/>
    <cellStyle name="Normal 2 2 4 2 2 17 5 2" xfId="22675" xr:uid="{00000000-0005-0000-0000-000070580000}"/>
    <cellStyle name="Normal 2 2 4 2 2 17 5 3" xfId="22676" xr:uid="{00000000-0005-0000-0000-000071580000}"/>
    <cellStyle name="Normal 2 2 4 2 2 17 5 4" xfId="22677" xr:uid="{00000000-0005-0000-0000-000072580000}"/>
    <cellStyle name="Normal 2 2 4 2 2 17 5 5" xfId="22678" xr:uid="{00000000-0005-0000-0000-000073580000}"/>
    <cellStyle name="Normal 2 2 4 2 2 17 5 6" xfId="22679" xr:uid="{00000000-0005-0000-0000-000074580000}"/>
    <cellStyle name="Normal 2 2 4 2 2 17 5 7" xfId="22680" xr:uid="{00000000-0005-0000-0000-000075580000}"/>
    <cellStyle name="Normal 2 2 4 2 2 17 5 8" xfId="22681" xr:uid="{00000000-0005-0000-0000-000076580000}"/>
    <cellStyle name="Normal 2 2 4 2 2 17 5 9" xfId="22682" xr:uid="{00000000-0005-0000-0000-000077580000}"/>
    <cellStyle name="Normal 2 2 4 2 2 17 6" xfId="22683" xr:uid="{00000000-0005-0000-0000-000078580000}"/>
    <cellStyle name="Normal 2 2 4 2 2 17 7" xfId="22684" xr:uid="{00000000-0005-0000-0000-000079580000}"/>
    <cellStyle name="Normal 2 2 4 2 2 17 8" xfId="22685" xr:uid="{00000000-0005-0000-0000-00007A580000}"/>
    <cellStyle name="Normal 2 2 4 2 2 17 9" xfId="22686" xr:uid="{00000000-0005-0000-0000-00007B580000}"/>
    <cellStyle name="Normal 2 2 4 2 2 18" xfId="22687" xr:uid="{00000000-0005-0000-0000-00007C580000}"/>
    <cellStyle name="Normal 2 2 4 2 2 18 10" xfId="22688" xr:uid="{00000000-0005-0000-0000-00007D580000}"/>
    <cellStyle name="Normal 2 2 4 2 2 18 11" xfId="22689" xr:uid="{00000000-0005-0000-0000-00007E580000}"/>
    <cellStyle name="Normal 2 2 4 2 2 18 12" xfId="22690" xr:uid="{00000000-0005-0000-0000-00007F580000}"/>
    <cellStyle name="Normal 2 2 4 2 2 18 13" xfId="22691" xr:uid="{00000000-0005-0000-0000-000080580000}"/>
    <cellStyle name="Normal 2 2 4 2 2 18 14" xfId="22692" xr:uid="{00000000-0005-0000-0000-000081580000}"/>
    <cellStyle name="Normal 2 2 4 2 2 18 2" xfId="22693" xr:uid="{00000000-0005-0000-0000-000082580000}"/>
    <cellStyle name="Normal 2 2 4 2 2 18 2 10" xfId="22694" xr:uid="{00000000-0005-0000-0000-000083580000}"/>
    <cellStyle name="Normal 2 2 4 2 2 18 2 2" xfId="22695" xr:uid="{00000000-0005-0000-0000-000084580000}"/>
    <cellStyle name="Normal 2 2 4 2 2 18 2 3" xfId="22696" xr:uid="{00000000-0005-0000-0000-000085580000}"/>
    <cellStyle name="Normal 2 2 4 2 2 18 2 4" xfId="22697" xr:uid="{00000000-0005-0000-0000-000086580000}"/>
    <cellStyle name="Normal 2 2 4 2 2 18 2 5" xfId="22698" xr:uid="{00000000-0005-0000-0000-000087580000}"/>
    <cellStyle name="Normal 2 2 4 2 2 18 2 6" xfId="22699" xr:uid="{00000000-0005-0000-0000-000088580000}"/>
    <cellStyle name="Normal 2 2 4 2 2 18 2 7" xfId="22700" xr:uid="{00000000-0005-0000-0000-000089580000}"/>
    <cellStyle name="Normal 2 2 4 2 2 18 2 8" xfId="22701" xr:uid="{00000000-0005-0000-0000-00008A580000}"/>
    <cellStyle name="Normal 2 2 4 2 2 18 2 9" xfId="22702" xr:uid="{00000000-0005-0000-0000-00008B580000}"/>
    <cellStyle name="Normal 2 2 4 2 2 18 3" xfId="22703" xr:uid="{00000000-0005-0000-0000-00008C580000}"/>
    <cellStyle name="Normal 2 2 4 2 2 18 3 10" xfId="22704" xr:uid="{00000000-0005-0000-0000-00008D580000}"/>
    <cellStyle name="Normal 2 2 4 2 2 18 3 2" xfId="22705" xr:uid="{00000000-0005-0000-0000-00008E580000}"/>
    <cellStyle name="Normal 2 2 4 2 2 18 3 3" xfId="22706" xr:uid="{00000000-0005-0000-0000-00008F580000}"/>
    <cellStyle name="Normal 2 2 4 2 2 18 3 4" xfId="22707" xr:uid="{00000000-0005-0000-0000-000090580000}"/>
    <cellStyle name="Normal 2 2 4 2 2 18 3 5" xfId="22708" xr:uid="{00000000-0005-0000-0000-000091580000}"/>
    <cellStyle name="Normal 2 2 4 2 2 18 3 6" xfId="22709" xr:uid="{00000000-0005-0000-0000-000092580000}"/>
    <cellStyle name="Normal 2 2 4 2 2 18 3 7" xfId="22710" xr:uid="{00000000-0005-0000-0000-000093580000}"/>
    <cellStyle name="Normal 2 2 4 2 2 18 3 8" xfId="22711" xr:uid="{00000000-0005-0000-0000-000094580000}"/>
    <cellStyle name="Normal 2 2 4 2 2 18 3 9" xfId="22712" xr:uid="{00000000-0005-0000-0000-000095580000}"/>
    <cellStyle name="Normal 2 2 4 2 2 18 4" xfId="22713" xr:uid="{00000000-0005-0000-0000-000096580000}"/>
    <cellStyle name="Normal 2 2 4 2 2 18 4 10" xfId="22714" xr:uid="{00000000-0005-0000-0000-000097580000}"/>
    <cellStyle name="Normal 2 2 4 2 2 18 4 2" xfId="22715" xr:uid="{00000000-0005-0000-0000-000098580000}"/>
    <cellStyle name="Normal 2 2 4 2 2 18 4 3" xfId="22716" xr:uid="{00000000-0005-0000-0000-000099580000}"/>
    <cellStyle name="Normal 2 2 4 2 2 18 4 4" xfId="22717" xr:uid="{00000000-0005-0000-0000-00009A580000}"/>
    <cellStyle name="Normal 2 2 4 2 2 18 4 5" xfId="22718" xr:uid="{00000000-0005-0000-0000-00009B580000}"/>
    <cellStyle name="Normal 2 2 4 2 2 18 4 6" xfId="22719" xr:uid="{00000000-0005-0000-0000-00009C580000}"/>
    <cellStyle name="Normal 2 2 4 2 2 18 4 7" xfId="22720" xr:uid="{00000000-0005-0000-0000-00009D580000}"/>
    <cellStyle name="Normal 2 2 4 2 2 18 4 8" xfId="22721" xr:uid="{00000000-0005-0000-0000-00009E580000}"/>
    <cellStyle name="Normal 2 2 4 2 2 18 4 9" xfId="22722" xr:uid="{00000000-0005-0000-0000-00009F580000}"/>
    <cellStyle name="Normal 2 2 4 2 2 18 5" xfId="22723" xr:uid="{00000000-0005-0000-0000-0000A0580000}"/>
    <cellStyle name="Normal 2 2 4 2 2 18 5 10" xfId="22724" xr:uid="{00000000-0005-0000-0000-0000A1580000}"/>
    <cellStyle name="Normal 2 2 4 2 2 18 5 2" xfId="22725" xr:uid="{00000000-0005-0000-0000-0000A2580000}"/>
    <cellStyle name="Normal 2 2 4 2 2 18 5 3" xfId="22726" xr:uid="{00000000-0005-0000-0000-0000A3580000}"/>
    <cellStyle name="Normal 2 2 4 2 2 18 5 4" xfId="22727" xr:uid="{00000000-0005-0000-0000-0000A4580000}"/>
    <cellStyle name="Normal 2 2 4 2 2 18 5 5" xfId="22728" xr:uid="{00000000-0005-0000-0000-0000A5580000}"/>
    <cellStyle name="Normal 2 2 4 2 2 18 5 6" xfId="22729" xr:uid="{00000000-0005-0000-0000-0000A6580000}"/>
    <cellStyle name="Normal 2 2 4 2 2 18 5 7" xfId="22730" xr:uid="{00000000-0005-0000-0000-0000A7580000}"/>
    <cellStyle name="Normal 2 2 4 2 2 18 5 8" xfId="22731" xr:uid="{00000000-0005-0000-0000-0000A8580000}"/>
    <cellStyle name="Normal 2 2 4 2 2 18 5 9" xfId="22732" xr:uid="{00000000-0005-0000-0000-0000A9580000}"/>
    <cellStyle name="Normal 2 2 4 2 2 18 6" xfId="22733" xr:uid="{00000000-0005-0000-0000-0000AA580000}"/>
    <cellStyle name="Normal 2 2 4 2 2 18 7" xfId="22734" xr:uid="{00000000-0005-0000-0000-0000AB580000}"/>
    <cellStyle name="Normal 2 2 4 2 2 18 8" xfId="22735" xr:uid="{00000000-0005-0000-0000-0000AC580000}"/>
    <cellStyle name="Normal 2 2 4 2 2 18 9" xfId="22736" xr:uid="{00000000-0005-0000-0000-0000AD580000}"/>
    <cellStyle name="Normal 2 2 4 2 2 19" xfId="22737" xr:uid="{00000000-0005-0000-0000-0000AE580000}"/>
    <cellStyle name="Normal 2 2 4 2 2 19 10" xfId="22738" xr:uid="{00000000-0005-0000-0000-0000AF580000}"/>
    <cellStyle name="Normal 2 2 4 2 2 19 11" xfId="22739" xr:uid="{00000000-0005-0000-0000-0000B0580000}"/>
    <cellStyle name="Normal 2 2 4 2 2 19 12" xfId="22740" xr:uid="{00000000-0005-0000-0000-0000B1580000}"/>
    <cellStyle name="Normal 2 2 4 2 2 19 13" xfId="22741" xr:uid="{00000000-0005-0000-0000-0000B2580000}"/>
    <cellStyle name="Normal 2 2 4 2 2 19 14" xfId="22742" xr:uid="{00000000-0005-0000-0000-0000B3580000}"/>
    <cellStyle name="Normal 2 2 4 2 2 19 2" xfId="22743" xr:uid="{00000000-0005-0000-0000-0000B4580000}"/>
    <cellStyle name="Normal 2 2 4 2 2 19 2 10" xfId="22744" xr:uid="{00000000-0005-0000-0000-0000B5580000}"/>
    <cellStyle name="Normal 2 2 4 2 2 19 2 2" xfId="22745" xr:uid="{00000000-0005-0000-0000-0000B6580000}"/>
    <cellStyle name="Normal 2 2 4 2 2 19 2 3" xfId="22746" xr:uid="{00000000-0005-0000-0000-0000B7580000}"/>
    <cellStyle name="Normal 2 2 4 2 2 19 2 4" xfId="22747" xr:uid="{00000000-0005-0000-0000-0000B8580000}"/>
    <cellStyle name="Normal 2 2 4 2 2 19 2 5" xfId="22748" xr:uid="{00000000-0005-0000-0000-0000B9580000}"/>
    <cellStyle name="Normal 2 2 4 2 2 19 2 6" xfId="22749" xr:uid="{00000000-0005-0000-0000-0000BA580000}"/>
    <cellStyle name="Normal 2 2 4 2 2 19 2 7" xfId="22750" xr:uid="{00000000-0005-0000-0000-0000BB580000}"/>
    <cellStyle name="Normal 2 2 4 2 2 19 2 8" xfId="22751" xr:uid="{00000000-0005-0000-0000-0000BC580000}"/>
    <cellStyle name="Normal 2 2 4 2 2 19 2 9" xfId="22752" xr:uid="{00000000-0005-0000-0000-0000BD580000}"/>
    <cellStyle name="Normal 2 2 4 2 2 19 3" xfId="22753" xr:uid="{00000000-0005-0000-0000-0000BE580000}"/>
    <cellStyle name="Normal 2 2 4 2 2 19 3 10" xfId="22754" xr:uid="{00000000-0005-0000-0000-0000BF580000}"/>
    <cellStyle name="Normal 2 2 4 2 2 19 3 2" xfId="22755" xr:uid="{00000000-0005-0000-0000-0000C0580000}"/>
    <cellStyle name="Normal 2 2 4 2 2 19 3 3" xfId="22756" xr:uid="{00000000-0005-0000-0000-0000C1580000}"/>
    <cellStyle name="Normal 2 2 4 2 2 19 3 4" xfId="22757" xr:uid="{00000000-0005-0000-0000-0000C2580000}"/>
    <cellStyle name="Normal 2 2 4 2 2 19 3 5" xfId="22758" xr:uid="{00000000-0005-0000-0000-0000C3580000}"/>
    <cellStyle name="Normal 2 2 4 2 2 19 3 6" xfId="22759" xr:uid="{00000000-0005-0000-0000-0000C4580000}"/>
    <cellStyle name="Normal 2 2 4 2 2 19 3 7" xfId="22760" xr:uid="{00000000-0005-0000-0000-0000C5580000}"/>
    <cellStyle name="Normal 2 2 4 2 2 19 3 8" xfId="22761" xr:uid="{00000000-0005-0000-0000-0000C6580000}"/>
    <cellStyle name="Normal 2 2 4 2 2 19 3 9" xfId="22762" xr:uid="{00000000-0005-0000-0000-0000C7580000}"/>
    <cellStyle name="Normal 2 2 4 2 2 19 4" xfId="22763" xr:uid="{00000000-0005-0000-0000-0000C8580000}"/>
    <cellStyle name="Normal 2 2 4 2 2 19 4 10" xfId="22764" xr:uid="{00000000-0005-0000-0000-0000C9580000}"/>
    <cellStyle name="Normal 2 2 4 2 2 19 4 2" xfId="22765" xr:uid="{00000000-0005-0000-0000-0000CA580000}"/>
    <cellStyle name="Normal 2 2 4 2 2 19 4 3" xfId="22766" xr:uid="{00000000-0005-0000-0000-0000CB580000}"/>
    <cellStyle name="Normal 2 2 4 2 2 19 4 4" xfId="22767" xr:uid="{00000000-0005-0000-0000-0000CC580000}"/>
    <cellStyle name="Normal 2 2 4 2 2 19 4 5" xfId="22768" xr:uid="{00000000-0005-0000-0000-0000CD580000}"/>
    <cellStyle name="Normal 2 2 4 2 2 19 4 6" xfId="22769" xr:uid="{00000000-0005-0000-0000-0000CE580000}"/>
    <cellStyle name="Normal 2 2 4 2 2 19 4 7" xfId="22770" xr:uid="{00000000-0005-0000-0000-0000CF580000}"/>
    <cellStyle name="Normal 2 2 4 2 2 19 4 8" xfId="22771" xr:uid="{00000000-0005-0000-0000-0000D0580000}"/>
    <cellStyle name="Normal 2 2 4 2 2 19 4 9" xfId="22772" xr:uid="{00000000-0005-0000-0000-0000D1580000}"/>
    <cellStyle name="Normal 2 2 4 2 2 19 5" xfId="22773" xr:uid="{00000000-0005-0000-0000-0000D2580000}"/>
    <cellStyle name="Normal 2 2 4 2 2 19 5 10" xfId="22774" xr:uid="{00000000-0005-0000-0000-0000D3580000}"/>
    <cellStyle name="Normal 2 2 4 2 2 19 5 2" xfId="22775" xr:uid="{00000000-0005-0000-0000-0000D4580000}"/>
    <cellStyle name="Normal 2 2 4 2 2 19 5 3" xfId="22776" xr:uid="{00000000-0005-0000-0000-0000D5580000}"/>
    <cellStyle name="Normal 2 2 4 2 2 19 5 4" xfId="22777" xr:uid="{00000000-0005-0000-0000-0000D6580000}"/>
    <cellStyle name="Normal 2 2 4 2 2 19 5 5" xfId="22778" xr:uid="{00000000-0005-0000-0000-0000D7580000}"/>
    <cellStyle name="Normal 2 2 4 2 2 19 5 6" xfId="22779" xr:uid="{00000000-0005-0000-0000-0000D8580000}"/>
    <cellStyle name="Normal 2 2 4 2 2 19 5 7" xfId="22780" xr:uid="{00000000-0005-0000-0000-0000D9580000}"/>
    <cellStyle name="Normal 2 2 4 2 2 19 5 8" xfId="22781" xr:uid="{00000000-0005-0000-0000-0000DA580000}"/>
    <cellStyle name="Normal 2 2 4 2 2 19 5 9" xfId="22782" xr:uid="{00000000-0005-0000-0000-0000DB580000}"/>
    <cellStyle name="Normal 2 2 4 2 2 19 6" xfId="22783" xr:uid="{00000000-0005-0000-0000-0000DC580000}"/>
    <cellStyle name="Normal 2 2 4 2 2 19 7" xfId="22784" xr:uid="{00000000-0005-0000-0000-0000DD580000}"/>
    <cellStyle name="Normal 2 2 4 2 2 19 8" xfId="22785" xr:uid="{00000000-0005-0000-0000-0000DE580000}"/>
    <cellStyle name="Normal 2 2 4 2 2 19 9" xfId="22786" xr:uid="{00000000-0005-0000-0000-0000DF580000}"/>
    <cellStyle name="Normal 2 2 4 2 2 2" xfId="22787" xr:uid="{00000000-0005-0000-0000-0000E0580000}"/>
    <cellStyle name="Normal 2 2 4 2 2 2 10" xfId="22788" xr:uid="{00000000-0005-0000-0000-0000E1580000}"/>
    <cellStyle name="Normal 2 2 4 2 2 2 11" xfId="22789" xr:uid="{00000000-0005-0000-0000-0000E2580000}"/>
    <cellStyle name="Normal 2 2 4 2 2 2 12" xfId="22790" xr:uid="{00000000-0005-0000-0000-0000E3580000}"/>
    <cellStyle name="Normal 2 2 4 2 2 2 13" xfId="22791" xr:uid="{00000000-0005-0000-0000-0000E4580000}"/>
    <cellStyle name="Normal 2 2 4 2 2 2 14" xfId="22792" xr:uid="{00000000-0005-0000-0000-0000E5580000}"/>
    <cellStyle name="Normal 2 2 4 2 2 2 2" xfId="22793" xr:uid="{00000000-0005-0000-0000-0000E6580000}"/>
    <cellStyle name="Normal 2 2 4 2 2 2 2 10" xfId="22794" xr:uid="{00000000-0005-0000-0000-0000E7580000}"/>
    <cellStyle name="Normal 2 2 4 2 2 2 2 2" xfId="22795" xr:uid="{00000000-0005-0000-0000-0000E8580000}"/>
    <cellStyle name="Normal 2 2 4 2 2 2 2 3" xfId="22796" xr:uid="{00000000-0005-0000-0000-0000E9580000}"/>
    <cellStyle name="Normal 2 2 4 2 2 2 2 4" xfId="22797" xr:uid="{00000000-0005-0000-0000-0000EA580000}"/>
    <cellStyle name="Normal 2 2 4 2 2 2 2 5" xfId="22798" xr:uid="{00000000-0005-0000-0000-0000EB580000}"/>
    <cellStyle name="Normal 2 2 4 2 2 2 2 6" xfId="22799" xr:uid="{00000000-0005-0000-0000-0000EC580000}"/>
    <cellStyle name="Normal 2 2 4 2 2 2 2 7" xfId="22800" xr:uid="{00000000-0005-0000-0000-0000ED580000}"/>
    <cellStyle name="Normal 2 2 4 2 2 2 2 8" xfId="22801" xr:uid="{00000000-0005-0000-0000-0000EE580000}"/>
    <cellStyle name="Normal 2 2 4 2 2 2 2 9" xfId="22802" xr:uid="{00000000-0005-0000-0000-0000EF580000}"/>
    <cellStyle name="Normal 2 2 4 2 2 2 3" xfId="22803" xr:uid="{00000000-0005-0000-0000-0000F0580000}"/>
    <cellStyle name="Normal 2 2 4 2 2 2 3 10" xfId="22804" xr:uid="{00000000-0005-0000-0000-0000F1580000}"/>
    <cellStyle name="Normal 2 2 4 2 2 2 3 2" xfId="22805" xr:uid="{00000000-0005-0000-0000-0000F2580000}"/>
    <cellStyle name="Normal 2 2 4 2 2 2 3 3" xfId="22806" xr:uid="{00000000-0005-0000-0000-0000F3580000}"/>
    <cellStyle name="Normal 2 2 4 2 2 2 3 4" xfId="22807" xr:uid="{00000000-0005-0000-0000-0000F4580000}"/>
    <cellStyle name="Normal 2 2 4 2 2 2 3 5" xfId="22808" xr:uid="{00000000-0005-0000-0000-0000F5580000}"/>
    <cellStyle name="Normal 2 2 4 2 2 2 3 6" xfId="22809" xr:uid="{00000000-0005-0000-0000-0000F6580000}"/>
    <cellStyle name="Normal 2 2 4 2 2 2 3 7" xfId="22810" xr:uid="{00000000-0005-0000-0000-0000F7580000}"/>
    <cellStyle name="Normal 2 2 4 2 2 2 3 8" xfId="22811" xr:uid="{00000000-0005-0000-0000-0000F8580000}"/>
    <cellStyle name="Normal 2 2 4 2 2 2 3 9" xfId="22812" xr:uid="{00000000-0005-0000-0000-0000F9580000}"/>
    <cellStyle name="Normal 2 2 4 2 2 2 4" xfId="22813" xr:uid="{00000000-0005-0000-0000-0000FA580000}"/>
    <cellStyle name="Normal 2 2 4 2 2 2 4 10" xfId="22814" xr:uid="{00000000-0005-0000-0000-0000FB580000}"/>
    <cellStyle name="Normal 2 2 4 2 2 2 4 2" xfId="22815" xr:uid="{00000000-0005-0000-0000-0000FC580000}"/>
    <cellStyle name="Normal 2 2 4 2 2 2 4 3" xfId="22816" xr:uid="{00000000-0005-0000-0000-0000FD580000}"/>
    <cellStyle name="Normal 2 2 4 2 2 2 4 4" xfId="22817" xr:uid="{00000000-0005-0000-0000-0000FE580000}"/>
    <cellStyle name="Normal 2 2 4 2 2 2 4 5" xfId="22818" xr:uid="{00000000-0005-0000-0000-0000FF580000}"/>
    <cellStyle name="Normal 2 2 4 2 2 2 4 6" xfId="22819" xr:uid="{00000000-0005-0000-0000-000000590000}"/>
    <cellStyle name="Normal 2 2 4 2 2 2 4 7" xfId="22820" xr:uid="{00000000-0005-0000-0000-000001590000}"/>
    <cellStyle name="Normal 2 2 4 2 2 2 4 8" xfId="22821" xr:uid="{00000000-0005-0000-0000-000002590000}"/>
    <cellStyle name="Normal 2 2 4 2 2 2 4 9" xfId="22822" xr:uid="{00000000-0005-0000-0000-000003590000}"/>
    <cellStyle name="Normal 2 2 4 2 2 2 5" xfId="22823" xr:uid="{00000000-0005-0000-0000-000004590000}"/>
    <cellStyle name="Normal 2 2 4 2 2 2 5 10" xfId="22824" xr:uid="{00000000-0005-0000-0000-000005590000}"/>
    <cellStyle name="Normal 2 2 4 2 2 2 5 2" xfId="22825" xr:uid="{00000000-0005-0000-0000-000006590000}"/>
    <cellStyle name="Normal 2 2 4 2 2 2 5 3" xfId="22826" xr:uid="{00000000-0005-0000-0000-000007590000}"/>
    <cellStyle name="Normal 2 2 4 2 2 2 5 4" xfId="22827" xr:uid="{00000000-0005-0000-0000-000008590000}"/>
    <cellStyle name="Normal 2 2 4 2 2 2 5 5" xfId="22828" xr:uid="{00000000-0005-0000-0000-000009590000}"/>
    <cellStyle name="Normal 2 2 4 2 2 2 5 6" xfId="22829" xr:uid="{00000000-0005-0000-0000-00000A590000}"/>
    <cellStyle name="Normal 2 2 4 2 2 2 5 7" xfId="22830" xr:uid="{00000000-0005-0000-0000-00000B590000}"/>
    <cellStyle name="Normal 2 2 4 2 2 2 5 8" xfId="22831" xr:uid="{00000000-0005-0000-0000-00000C590000}"/>
    <cellStyle name="Normal 2 2 4 2 2 2 5 9" xfId="22832" xr:uid="{00000000-0005-0000-0000-00000D590000}"/>
    <cellStyle name="Normal 2 2 4 2 2 2 6" xfId="22833" xr:uid="{00000000-0005-0000-0000-00000E590000}"/>
    <cellStyle name="Normal 2 2 4 2 2 2 7" xfId="22834" xr:uid="{00000000-0005-0000-0000-00000F590000}"/>
    <cellStyle name="Normal 2 2 4 2 2 2 8" xfId="22835" xr:uid="{00000000-0005-0000-0000-000010590000}"/>
    <cellStyle name="Normal 2 2 4 2 2 2 9" xfId="22836" xr:uid="{00000000-0005-0000-0000-000011590000}"/>
    <cellStyle name="Normal 2 2 4 2 2 20" xfId="22837" xr:uid="{00000000-0005-0000-0000-000012590000}"/>
    <cellStyle name="Normal 2 2 4 2 2 20 10" xfId="22838" xr:uid="{00000000-0005-0000-0000-000013590000}"/>
    <cellStyle name="Normal 2 2 4 2 2 20 11" xfId="22839" xr:uid="{00000000-0005-0000-0000-000014590000}"/>
    <cellStyle name="Normal 2 2 4 2 2 20 12" xfId="22840" xr:uid="{00000000-0005-0000-0000-000015590000}"/>
    <cellStyle name="Normal 2 2 4 2 2 20 13" xfId="22841" xr:uid="{00000000-0005-0000-0000-000016590000}"/>
    <cellStyle name="Normal 2 2 4 2 2 20 14" xfId="22842" xr:uid="{00000000-0005-0000-0000-000017590000}"/>
    <cellStyle name="Normal 2 2 4 2 2 20 2" xfId="22843" xr:uid="{00000000-0005-0000-0000-000018590000}"/>
    <cellStyle name="Normal 2 2 4 2 2 20 2 10" xfId="22844" xr:uid="{00000000-0005-0000-0000-000019590000}"/>
    <cellStyle name="Normal 2 2 4 2 2 20 2 2" xfId="22845" xr:uid="{00000000-0005-0000-0000-00001A590000}"/>
    <cellStyle name="Normal 2 2 4 2 2 20 2 3" xfId="22846" xr:uid="{00000000-0005-0000-0000-00001B590000}"/>
    <cellStyle name="Normal 2 2 4 2 2 20 2 4" xfId="22847" xr:uid="{00000000-0005-0000-0000-00001C590000}"/>
    <cellStyle name="Normal 2 2 4 2 2 20 2 5" xfId="22848" xr:uid="{00000000-0005-0000-0000-00001D590000}"/>
    <cellStyle name="Normal 2 2 4 2 2 20 2 6" xfId="22849" xr:uid="{00000000-0005-0000-0000-00001E590000}"/>
    <cellStyle name="Normal 2 2 4 2 2 20 2 7" xfId="22850" xr:uid="{00000000-0005-0000-0000-00001F590000}"/>
    <cellStyle name="Normal 2 2 4 2 2 20 2 8" xfId="22851" xr:uid="{00000000-0005-0000-0000-000020590000}"/>
    <cellStyle name="Normal 2 2 4 2 2 20 2 9" xfId="22852" xr:uid="{00000000-0005-0000-0000-000021590000}"/>
    <cellStyle name="Normal 2 2 4 2 2 20 3" xfId="22853" xr:uid="{00000000-0005-0000-0000-000022590000}"/>
    <cellStyle name="Normal 2 2 4 2 2 20 3 10" xfId="22854" xr:uid="{00000000-0005-0000-0000-000023590000}"/>
    <cellStyle name="Normal 2 2 4 2 2 20 3 2" xfId="22855" xr:uid="{00000000-0005-0000-0000-000024590000}"/>
    <cellStyle name="Normal 2 2 4 2 2 20 3 3" xfId="22856" xr:uid="{00000000-0005-0000-0000-000025590000}"/>
    <cellStyle name="Normal 2 2 4 2 2 20 3 4" xfId="22857" xr:uid="{00000000-0005-0000-0000-000026590000}"/>
    <cellStyle name="Normal 2 2 4 2 2 20 3 5" xfId="22858" xr:uid="{00000000-0005-0000-0000-000027590000}"/>
    <cellStyle name="Normal 2 2 4 2 2 20 3 6" xfId="22859" xr:uid="{00000000-0005-0000-0000-000028590000}"/>
    <cellStyle name="Normal 2 2 4 2 2 20 3 7" xfId="22860" xr:uid="{00000000-0005-0000-0000-000029590000}"/>
    <cellStyle name="Normal 2 2 4 2 2 20 3 8" xfId="22861" xr:uid="{00000000-0005-0000-0000-00002A590000}"/>
    <cellStyle name="Normal 2 2 4 2 2 20 3 9" xfId="22862" xr:uid="{00000000-0005-0000-0000-00002B590000}"/>
    <cellStyle name="Normal 2 2 4 2 2 20 4" xfId="22863" xr:uid="{00000000-0005-0000-0000-00002C590000}"/>
    <cellStyle name="Normal 2 2 4 2 2 20 4 10" xfId="22864" xr:uid="{00000000-0005-0000-0000-00002D590000}"/>
    <cellStyle name="Normal 2 2 4 2 2 20 4 2" xfId="22865" xr:uid="{00000000-0005-0000-0000-00002E590000}"/>
    <cellStyle name="Normal 2 2 4 2 2 20 4 3" xfId="22866" xr:uid="{00000000-0005-0000-0000-00002F590000}"/>
    <cellStyle name="Normal 2 2 4 2 2 20 4 4" xfId="22867" xr:uid="{00000000-0005-0000-0000-000030590000}"/>
    <cellStyle name="Normal 2 2 4 2 2 20 4 5" xfId="22868" xr:uid="{00000000-0005-0000-0000-000031590000}"/>
    <cellStyle name="Normal 2 2 4 2 2 20 4 6" xfId="22869" xr:uid="{00000000-0005-0000-0000-000032590000}"/>
    <cellStyle name="Normal 2 2 4 2 2 20 4 7" xfId="22870" xr:uid="{00000000-0005-0000-0000-000033590000}"/>
    <cellStyle name="Normal 2 2 4 2 2 20 4 8" xfId="22871" xr:uid="{00000000-0005-0000-0000-000034590000}"/>
    <cellStyle name="Normal 2 2 4 2 2 20 4 9" xfId="22872" xr:uid="{00000000-0005-0000-0000-000035590000}"/>
    <cellStyle name="Normal 2 2 4 2 2 20 5" xfId="22873" xr:uid="{00000000-0005-0000-0000-000036590000}"/>
    <cellStyle name="Normal 2 2 4 2 2 20 5 10" xfId="22874" xr:uid="{00000000-0005-0000-0000-000037590000}"/>
    <cellStyle name="Normal 2 2 4 2 2 20 5 2" xfId="22875" xr:uid="{00000000-0005-0000-0000-000038590000}"/>
    <cellStyle name="Normal 2 2 4 2 2 20 5 3" xfId="22876" xr:uid="{00000000-0005-0000-0000-000039590000}"/>
    <cellStyle name="Normal 2 2 4 2 2 20 5 4" xfId="22877" xr:uid="{00000000-0005-0000-0000-00003A590000}"/>
    <cellStyle name="Normal 2 2 4 2 2 20 5 5" xfId="22878" xr:uid="{00000000-0005-0000-0000-00003B590000}"/>
    <cellStyle name="Normal 2 2 4 2 2 20 5 6" xfId="22879" xr:uid="{00000000-0005-0000-0000-00003C590000}"/>
    <cellStyle name="Normal 2 2 4 2 2 20 5 7" xfId="22880" xr:uid="{00000000-0005-0000-0000-00003D590000}"/>
    <cellStyle name="Normal 2 2 4 2 2 20 5 8" xfId="22881" xr:uid="{00000000-0005-0000-0000-00003E590000}"/>
    <cellStyle name="Normal 2 2 4 2 2 20 5 9" xfId="22882" xr:uid="{00000000-0005-0000-0000-00003F590000}"/>
    <cellStyle name="Normal 2 2 4 2 2 20 6" xfId="22883" xr:uid="{00000000-0005-0000-0000-000040590000}"/>
    <cellStyle name="Normal 2 2 4 2 2 20 7" xfId="22884" xr:uid="{00000000-0005-0000-0000-000041590000}"/>
    <cellStyle name="Normal 2 2 4 2 2 20 8" xfId="22885" xr:uid="{00000000-0005-0000-0000-000042590000}"/>
    <cellStyle name="Normal 2 2 4 2 2 20 9" xfId="22886" xr:uid="{00000000-0005-0000-0000-000043590000}"/>
    <cellStyle name="Normal 2 2 4 2 2 3" xfId="22887" xr:uid="{00000000-0005-0000-0000-000044590000}"/>
    <cellStyle name="Normal 2 2 4 2 2 3 10" xfId="22888" xr:uid="{00000000-0005-0000-0000-000045590000}"/>
    <cellStyle name="Normal 2 2 4 2 2 3 11" xfId="22889" xr:uid="{00000000-0005-0000-0000-000046590000}"/>
    <cellStyle name="Normal 2 2 4 2 2 3 12" xfId="22890" xr:uid="{00000000-0005-0000-0000-000047590000}"/>
    <cellStyle name="Normal 2 2 4 2 2 3 13" xfId="22891" xr:uid="{00000000-0005-0000-0000-000048590000}"/>
    <cellStyle name="Normal 2 2 4 2 2 3 14" xfId="22892" xr:uid="{00000000-0005-0000-0000-000049590000}"/>
    <cellStyle name="Normal 2 2 4 2 2 3 2" xfId="22893" xr:uid="{00000000-0005-0000-0000-00004A590000}"/>
    <cellStyle name="Normal 2 2 4 2 2 3 2 10" xfId="22894" xr:uid="{00000000-0005-0000-0000-00004B590000}"/>
    <cellStyle name="Normal 2 2 4 2 2 3 2 2" xfId="22895" xr:uid="{00000000-0005-0000-0000-00004C590000}"/>
    <cellStyle name="Normal 2 2 4 2 2 3 2 3" xfId="22896" xr:uid="{00000000-0005-0000-0000-00004D590000}"/>
    <cellStyle name="Normal 2 2 4 2 2 3 2 4" xfId="22897" xr:uid="{00000000-0005-0000-0000-00004E590000}"/>
    <cellStyle name="Normal 2 2 4 2 2 3 2 5" xfId="22898" xr:uid="{00000000-0005-0000-0000-00004F590000}"/>
    <cellStyle name="Normal 2 2 4 2 2 3 2 6" xfId="22899" xr:uid="{00000000-0005-0000-0000-000050590000}"/>
    <cellStyle name="Normal 2 2 4 2 2 3 2 7" xfId="22900" xr:uid="{00000000-0005-0000-0000-000051590000}"/>
    <cellStyle name="Normal 2 2 4 2 2 3 2 8" xfId="22901" xr:uid="{00000000-0005-0000-0000-000052590000}"/>
    <cellStyle name="Normal 2 2 4 2 2 3 2 9" xfId="22902" xr:uid="{00000000-0005-0000-0000-000053590000}"/>
    <cellStyle name="Normal 2 2 4 2 2 3 3" xfId="22903" xr:uid="{00000000-0005-0000-0000-000054590000}"/>
    <cellStyle name="Normal 2 2 4 2 2 3 3 10" xfId="22904" xr:uid="{00000000-0005-0000-0000-000055590000}"/>
    <cellStyle name="Normal 2 2 4 2 2 3 3 2" xfId="22905" xr:uid="{00000000-0005-0000-0000-000056590000}"/>
    <cellStyle name="Normal 2 2 4 2 2 3 3 3" xfId="22906" xr:uid="{00000000-0005-0000-0000-000057590000}"/>
    <cellStyle name="Normal 2 2 4 2 2 3 3 4" xfId="22907" xr:uid="{00000000-0005-0000-0000-000058590000}"/>
    <cellStyle name="Normal 2 2 4 2 2 3 3 5" xfId="22908" xr:uid="{00000000-0005-0000-0000-000059590000}"/>
    <cellStyle name="Normal 2 2 4 2 2 3 3 6" xfId="22909" xr:uid="{00000000-0005-0000-0000-00005A590000}"/>
    <cellStyle name="Normal 2 2 4 2 2 3 3 7" xfId="22910" xr:uid="{00000000-0005-0000-0000-00005B590000}"/>
    <cellStyle name="Normal 2 2 4 2 2 3 3 8" xfId="22911" xr:uid="{00000000-0005-0000-0000-00005C590000}"/>
    <cellStyle name="Normal 2 2 4 2 2 3 3 9" xfId="22912" xr:uid="{00000000-0005-0000-0000-00005D590000}"/>
    <cellStyle name="Normal 2 2 4 2 2 3 4" xfId="22913" xr:uid="{00000000-0005-0000-0000-00005E590000}"/>
    <cellStyle name="Normal 2 2 4 2 2 3 4 10" xfId="22914" xr:uid="{00000000-0005-0000-0000-00005F590000}"/>
    <cellStyle name="Normal 2 2 4 2 2 3 4 2" xfId="22915" xr:uid="{00000000-0005-0000-0000-000060590000}"/>
    <cellStyle name="Normal 2 2 4 2 2 3 4 3" xfId="22916" xr:uid="{00000000-0005-0000-0000-000061590000}"/>
    <cellStyle name="Normal 2 2 4 2 2 3 4 4" xfId="22917" xr:uid="{00000000-0005-0000-0000-000062590000}"/>
    <cellStyle name="Normal 2 2 4 2 2 3 4 5" xfId="22918" xr:uid="{00000000-0005-0000-0000-000063590000}"/>
    <cellStyle name="Normal 2 2 4 2 2 3 4 6" xfId="22919" xr:uid="{00000000-0005-0000-0000-000064590000}"/>
    <cellStyle name="Normal 2 2 4 2 2 3 4 7" xfId="22920" xr:uid="{00000000-0005-0000-0000-000065590000}"/>
    <cellStyle name="Normal 2 2 4 2 2 3 4 8" xfId="22921" xr:uid="{00000000-0005-0000-0000-000066590000}"/>
    <cellStyle name="Normal 2 2 4 2 2 3 4 9" xfId="22922" xr:uid="{00000000-0005-0000-0000-000067590000}"/>
    <cellStyle name="Normal 2 2 4 2 2 3 5" xfId="22923" xr:uid="{00000000-0005-0000-0000-000068590000}"/>
    <cellStyle name="Normal 2 2 4 2 2 3 5 10" xfId="22924" xr:uid="{00000000-0005-0000-0000-000069590000}"/>
    <cellStyle name="Normal 2 2 4 2 2 3 5 2" xfId="22925" xr:uid="{00000000-0005-0000-0000-00006A590000}"/>
    <cellStyle name="Normal 2 2 4 2 2 3 5 3" xfId="22926" xr:uid="{00000000-0005-0000-0000-00006B590000}"/>
    <cellStyle name="Normal 2 2 4 2 2 3 5 4" xfId="22927" xr:uid="{00000000-0005-0000-0000-00006C590000}"/>
    <cellStyle name="Normal 2 2 4 2 2 3 5 5" xfId="22928" xr:uid="{00000000-0005-0000-0000-00006D590000}"/>
    <cellStyle name="Normal 2 2 4 2 2 3 5 6" xfId="22929" xr:uid="{00000000-0005-0000-0000-00006E590000}"/>
    <cellStyle name="Normal 2 2 4 2 2 3 5 7" xfId="22930" xr:uid="{00000000-0005-0000-0000-00006F590000}"/>
    <cellStyle name="Normal 2 2 4 2 2 3 5 8" xfId="22931" xr:uid="{00000000-0005-0000-0000-000070590000}"/>
    <cellStyle name="Normal 2 2 4 2 2 3 5 9" xfId="22932" xr:uid="{00000000-0005-0000-0000-000071590000}"/>
    <cellStyle name="Normal 2 2 4 2 2 3 6" xfId="22933" xr:uid="{00000000-0005-0000-0000-000072590000}"/>
    <cellStyle name="Normal 2 2 4 2 2 3 7" xfId="22934" xr:uid="{00000000-0005-0000-0000-000073590000}"/>
    <cellStyle name="Normal 2 2 4 2 2 3 8" xfId="22935" xr:uid="{00000000-0005-0000-0000-000074590000}"/>
    <cellStyle name="Normal 2 2 4 2 2 3 9" xfId="22936" xr:uid="{00000000-0005-0000-0000-000075590000}"/>
    <cellStyle name="Normal 2 2 4 2 2 4" xfId="22937" xr:uid="{00000000-0005-0000-0000-000076590000}"/>
    <cellStyle name="Normal 2 2 4 2 2 4 10" xfId="22938" xr:uid="{00000000-0005-0000-0000-000077590000}"/>
    <cellStyle name="Normal 2 2 4 2 2 4 11" xfId="22939" xr:uid="{00000000-0005-0000-0000-000078590000}"/>
    <cellStyle name="Normal 2 2 4 2 2 4 12" xfId="22940" xr:uid="{00000000-0005-0000-0000-000079590000}"/>
    <cellStyle name="Normal 2 2 4 2 2 4 13" xfId="22941" xr:uid="{00000000-0005-0000-0000-00007A590000}"/>
    <cellStyle name="Normal 2 2 4 2 2 4 14" xfId="22942" xr:uid="{00000000-0005-0000-0000-00007B590000}"/>
    <cellStyle name="Normal 2 2 4 2 2 4 2" xfId="22943" xr:uid="{00000000-0005-0000-0000-00007C590000}"/>
    <cellStyle name="Normal 2 2 4 2 2 4 2 10" xfId="22944" xr:uid="{00000000-0005-0000-0000-00007D590000}"/>
    <cellStyle name="Normal 2 2 4 2 2 4 2 2" xfId="22945" xr:uid="{00000000-0005-0000-0000-00007E590000}"/>
    <cellStyle name="Normal 2 2 4 2 2 4 2 3" xfId="22946" xr:uid="{00000000-0005-0000-0000-00007F590000}"/>
    <cellStyle name="Normal 2 2 4 2 2 4 2 4" xfId="22947" xr:uid="{00000000-0005-0000-0000-000080590000}"/>
    <cellStyle name="Normal 2 2 4 2 2 4 2 5" xfId="22948" xr:uid="{00000000-0005-0000-0000-000081590000}"/>
    <cellStyle name="Normal 2 2 4 2 2 4 2 6" xfId="22949" xr:uid="{00000000-0005-0000-0000-000082590000}"/>
    <cellStyle name="Normal 2 2 4 2 2 4 2 7" xfId="22950" xr:uid="{00000000-0005-0000-0000-000083590000}"/>
    <cellStyle name="Normal 2 2 4 2 2 4 2 8" xfId="22951" xr:uid="{00000000-0005-0000-0000-000084590000}"/>
    <cellStyle name="Normal 2 2 4 2 2 4 2 9" xfId="22952" xr:uid="{00000000-0005-0000-0000-000085590000}"/>
    <cellStyle name="Normal 2 2 4 2 2 4 3" xfId="22953" xr:uid="{00000000-0005-0000-0000-000086590000}"/>
    <cellStyle name="Normal 2 2 4 2 2 4 3 10" xfId="22954" xr:uid="{00000000-0005-0000-0000-000087590000}"/>
    <cellStyle name="Normal 2 2 4 2 2 4 3 2" xfId="22955" xr:uid="{00000000-0005-0000-0000-000088590000}"/>
    <cellStyle name="Normal 2 2 4 2 2 4 3 3" xfId="22956" xr:uid="{00000000-0005-0000-0000-000089590000}"/>
    <cellStyle name="Normal 2 2 4 2 2 4 3 4" xfId="22957" xr:uid="{00000000-0005-0000-0000-00008A590000}"/>
    <cellStyle name="Normal 2 2 4 2 2 4 3 5" xfId="22958" xr:uid="{00000000-0005-0000-0000-00008B590000}"/>
    <cellStyle name="Normal 2 2 4 2 2 4 3 6" xfId="22959" xr:uid="{00000000-0005-0000-0000-00008C590000}"/>
    <cellStyle name="Normal 2 2 4 2 2 4 3 7" xfId="22960" xr:uid="{00000000-0005-0000-0000-00008D590000}"/>
    <cellStyle name="Normal 2 2 4 2 2 4 3 8" xfId="22961" xr:uid="{00000000-0005-0000-0000-00008E590000}"/>
    <cellStyle name="Normal 2 2 4 2 2 4 3 9" xfId="22962" xr:uid="{00000000-0005-0000-0000-00008F590000}"/>
    <cellStyle name="Normal 2 2 4 2 2 4 4" xfId="22963" xr:uid="{00000000-0005-0000-0000-000090590000}"/>
    <cellStyle name="Normal 2 2 4 2 2 4 4 10" xfId="22964" xr:uid="{00000000-0005-0000-0000-000091590000}"/>
    <cellStyle name="Normal 2 2 4 2 2 4 4 2" xfId="22965" xr:uid="{00000000-0005-0000-0000-000092590000}"/>
    <cellStyle name="Normal 2 2 4 2 2 4 4 3" xfId="22966" xr:uid="{00000000-0005-0000-0000-000093590000}"/>
    <cellStyle name="Normal 2 2 4 2 2 4 4 4" xfId="22967" xr:uid="{00000000-0005-0000-0000-000094590000}"/>
    <cellStyle name="Normal 2 2 4 2 2 4 4 5" xfId="22968" xr:uid="{00000000-0005-0000-0000-000095590000}"/>
    <cellStyle name="Normal 2 2 4 2 2 4 4 6" xfId="22969" xr:uid="{00000000-0005-0000-0000-000096590000}"/>
    <cellStyle name="Normal 2 2 4 2 2 4 4 7" xfId="22970" xr:uid="{00000000-0005-0000-0000-000097590000}"/>
    <cellStyle name="Normal 2 2 4 2 2 4 4 8" xfId="22971" xr:uid="{00000000-0005-0000-0000-000098590000}"/>
    <cellStyle name="Normal 2 2 4 2 2 4 4 9" xfId="22972" xr:uid="{00000000-0005-0000-0000-000099590000}"/>
    <cellStyle name="Normal 2 2 4 2 2 4 5" xfId="22973" xr:uid="{00000000-0005-0000-0000-00009A590000}"/>
    <cellStyle name="Normal 2 2 4 2 2 4 5 10" xfId="22974" xr:uid="{00000000-0005-0000-0000-00009B590000}"/>
    <cellStyle name="Normal 2 2 4 2 2 4 5 2" xfId="22975" xr:uid="{00000000-0005-0000-0000-00009C590000}"/>
    <cellStyle name="Normal 2 2 4 2 2 4 5 3" xfId="22976" xr:uid="{00000000-0005-0000-0000-00009D590000}"/>
    <cellStyle name="Normal 2 2 4 2 2 4 5 4" xfId="22977" xr:uid="{00000000-0005-0000-0000-00009E590000}"/>
    <cellStyle name="Normal 2 2 4 2 2 4 5 5" xfId="22978" xr:uid="{00000000-0005-0000-0000-00009F590000}"/>
    <cellStyle name="Normal 2 2 4 2 2 4 5 6" xfId="22979" xr:uid="{00000000-0005-0000-0000-0000A0590000}"/>
    <cellStyle name="Normal 2 2 4 2 2 4 5 7" xfId="22980" xr:uid="{00000000-0005-0000-0000-0000A1590000}"/>
    <cellStyle name="Normal 2 2 4 2 2 4 5 8" xfId="22981" xr:uid="{00000000-0005-0000-0000-0000A2590000}"/>
    <cellStyle name="Normal 2 2 4 2 2 4 5 9" xfId="22982" xr:uid="{00000000-0005-0000-0000-0000A3590000}"/>
    <cellStyle name="Normal 2 2 4 2 2 4 6" xfId="22983" xr:uid="{00000000-0005-0000-0000-0000A4590000}"/>
    <cellStyle name="Normal 2 2 4 2 2 4 7" xfId="22984" xr:uid="{00000000-0005-0000-0000-0000A5590000}"/>
    <cellStyle name="Normal 2 2 4 2 2 4 8" xfId="22985" xr:uid="{00000000-0005-0000-0000-0000A6590000}"/>
    <cellStyle name="Normal 2 2 4 2 2 4 9" xfId="22986" xr:uid="{00000000-0005-0000-0000-0000A7590000}"/>
    <cellStyle name="Normal 2 2 4 2 2 5" xfId="22987" xr:uid="{00000000-0005-0000-0000-0000A8590000}"/>
    <cellStyle name="Normal 2 2 4 2 2 5 10" xfId="22988" xr:uid="{00000000-0005-0000-0000-0000A9590000}"/>
    <cellStyle name="Normal 2 2 4 2 2 5 11" xfId="22989" xr:uid="{00000000-0005-0000-0000-0000AA590000}"/>
    <cellStyle name="Normal 2 2 4 2 2 5 12" xfId="22990" xr:uid="{00000000-0005-0000-0000-0000AB590000}"/>
    <cellStyle name="Normal 2 2 4 2 2 5 13" xfId="22991" xr:uid="{00000000-0005-0000-0000-0000AC590000}"/>
    <cellStyle name="Normal 2 2 4 2 2 5 14" xfId="22992" xr:uid="{00000000-0005-0000-0000-0000AD590000}"/>
    <cellStyle name="Normal 2 2 4 2 2 5 2" xfId="22993" xr:uid="{00000000-0005-0000-0000-0000AE590000}"/>
    <cellStyle name="Normal 2 2 4 2 2 5 2 10" xfId="22994" xr:uid="{00000000-0005-0000-0000-0000AF590000}"/>
    <cellStyle name="Normal 2 2 4 2 2 5 2 2" xfId="22995" xr:uid="{00000000-0005-0000-0000-0000B0590000}"/>
    <cellStyle name="Normal 2 2 4 2 2 5 2 3" xfId="22996" xr:uid="{00000000-0005-0000-0000-0000B1590000}"/>
    <cellStyle name="Normal 2 2 4 2 2 5 2 4" xfId="22997" xr:uid="{00000000-0005-0000-0000-0000B2590000}"/>
    <cellStyle name="Normal 2 2 4 2 2 5 2 5" xfId="22998" xr:uid="{00000000-0005-0000-0000-0000B3590000}"/>
    <cellStyle name="Normal 2 2 4 2 2 5 2 6" xfId="22999" xr:uid="{00000000-0005-0000-0000-0000B4590000}"/>
    <cellStyle name="Normal 2 2 4 2 2 5 2 7" xfId="23000" xr:uid="{00000000-0005-0000-0000-0000B5590000}"/>
    <cellStyle name="Normal 2 2 4 2 2 5 2 8" xfId="23001" xr:uid="{00000000-0005-0000-0000-0000B6590000}"/>
    <cellStyle name="Normal 2 2 4 2 2 5 2 9" xfId="23002" xr:uid="{00000000-0005-0000-0000-0000B7590000}"/>
    <cellStyle name="Normal 2 2 4 2 2 5 3" xfId="23003" xr:uid="{00000000-0005-0000-0000-0000B8590000}"/>
    <cellStyle name="Normal 2 2 4 2 2 5 3 10" xfId="23004" xr:uid="{00000000-0005-0000-0000-0000B9590000}"/>
    <cellStyle name="Normal 2 2 4 2 2 5 3 2" xfId="23005" xr:uid="{00000000-0005-0000-0000-0000BA590000}"/>
    <cellStyle name="Normal 2 2 4 2 2 5 3 3" xfId="23006" xr:uid="{00000000-0005-0000-0000-0000BB590000}"/>
    <cellStyle name="Normal 2 2 4 2 2 5 3 4" xfId="23007" xr:uid="{00000000-0005-0000-0000-0000BC590000}"/>
    <cellStyle name="Normal 2 2 4 2 2 5 3 5" xfId="23008" xr:uid="{00000000-0005-0000-0000-0000BD590000}"/>
    <cellStyle name="Normal 2 2 4 2 2 5 3 6" xfId="23009" xr:uid="{00000000-0005-0000-0000-0000BE590000}"/>
    <cellStyle name="Normal 2 2 4 2 2 5 3 7" xfId="23010" xr:uid="{00000000-0005-0000-0000-0000BF590000}"/>
    <cellStyle name="Normal 2 2 4 2 2 5 3 8" xfId="23011" xr:uid="{00000000-0005-0000-0000-0000C0590000}"/>
    <cellStyle name="Normal 2 2 4 2 2 5 3 9" xfId="23012" xr:uid="{00000000-0005-0000-0000-0000C1590000}"/>
    <cellStyle name="Normal 2 2 4 2 2 5 4" xfId="23013" xr:uid="{00000000-0005-0000-0000-0000C2590000}"/>
    <cellStyle name="Normal 2 2 4 2 2 5 4 10" xfId="23014" xr:uid="{00000000-0005-0000-0000-0000C3590000}"/>
    <cellStyle name="Normal 2 2 4 2 2 5 4 2" xfId="23015" xr:uid="{00000000-0005-0000-0000-0000C4590000}"/>
    <cellStyle name="Normal 2 2 4 2 2 5 4 3" xfId="23016" xr:uid="{00000000-0005-0000-0000-0000C5590000}"/>
    <cellStyle name="Normal 2 2 4 2 2 5 4 4" xfId="23017" xr:uid="{00000000-0005-0000-0000-0000C6590000}"/>
    <cellStyle name="Normal 2 2 4 2 2 5 4 5" xfId="23018" xr:uid="{00000000-0005-0000-0000-0000C7590000}"/>
    <cellStyle name="Normal 2 2 4 2 2 5 4 6" xfId="23019" xr:uid="{00000000-0005-0000-0000-0000C8590000}"/>
    <cellStyle name="Normal 2 2 4 2 2 5 4 7" xfId="23020" xr:uid="{00000000-0005-0000-0000-0000C9590000}"/>
    <cellStyle name="Normal 2 2 4 2 2 5 4 8" xfId="23021" xr:uid="{00000000-0005-0000-0000-0000CA590000}"/>
    <cellStyle name="Normal 2 2 4 2 2 5 4 9" xfId="23022" xr:uid="{00000000-0005-0000-0000-0000CB590000}"/>
    <cellStyle name="Normal 2 2 4 2 2 5 5" xfId="23023" xr:uid="{00000000-0005-0000-0000-0000CC590000}"/>
    <cellStyle name="Normal 2 2 4 2 2 5 5 10" xfId="23024" xr:uid="{00000000-0005-0000-0000-0000CD590000}"/>
    <cellStyle name="Normal 2 2 4 2 2 5 5 2" xfId="23025" xr:uid="{00000000-0005-0000-0000-0000CE590000}"/>
    <cellStyle name="Normal 2 2 4 2 2 5 5 3" xfId="23026" xr:uid="{00000000-0005-0000-0000-0000CF590000}"/>
    <cellStyle name="Normal 2 2 4 2 2 5 5 4" xfId="23027" xr:uid="{00000000-0005-0000-0000-0000D0590000}"/>
    <cellStyle name="Normal 2 2 4 2 2 5 5 5" xfId="23028" xr:uid="{00000000-0005-0000-0000-0000D1590000}"/>
    <cellStyle name="Normal 2 2 4 2 2 5 5 6" xfId="23029" xr:uid="{00000000-0005-0000-0000-0000D2590000}"/>
    <cellStyle name="Normal 2 2 4 2 2 5 5 7" xfId="23030" xr:uid="{00000000-0005-0000-0000-0000D3590000}"/>
    <cellStyle name="Normal 2 2 4 2 2 5 5 8" xfId="23031" xr:uid="{00000000-0005-0000-0000-0000D4590000}"/>
    <cellStyle name="Normal 2 2 4 2 2 5 5 9" xfId="23032" xr:uid="{00000000-0005-0000-0000-0000D5590000}"/>
    <cellStyle name="Normal 2 2 4 2 2 5 6" xfId="23033" xr:uid="{00000000-0005-0000-0000-0000D6590000}"/>
    <cellStyle name="Normal 2 2 4 2 2 5 7" xfId="23034" xr:uid="{00000000-0005-0000-0000-0000D7590000}"/>
    <cellStyle name="Normal 2 2 4 2 2 5 8" xfId="23035" xr:uid="{00000000-0005-0000-0000-0000D8590000}"/>
    <cellStyle name="Normal 2 2 4 2 2 5 9" xfId="23036" xr:uid="{00000000-0005-0000-0000-0000D9590000}"/>
    <cellStyle name="Normal 2 2 4 2 2 6" xfId="23037" xr:uid="{00000000-0005-0000-0000-0000DA590000}"/>
    <cellStyle name="Normal 2 2 4 2 2 6 10" xfId="23038" xr:uid="{00000000-0005-0000-0000-0000DB590000}"/>
    <cellStyle name="Normal 2 2 4 2 2 6 11" xfId="23039" xr:uid="{00000000-0005-0000-0000-0000DC590000}"/>
    <cellStyle name="Normal 2 2 4 2 2 6 12" xfId="23040" xr:uid="{00000000-0005-0000-0000-0000DD590000}"/>
    <cellStyle name="Normal 2 2 4 2 2 6 13" xfId="23041" xr:uid="{00000000-0005-0000-0000-0000DE590000}"/>
    <cellStyle name="Normal 2 2 4 2 2 6 14" xfId="23042" xr:uid="{00000000-0005-0000-0000-0000DF590000}"/>
    <cellStyle name="Normal 2 2 4 2 2 6 2" xfId="23043" xr:uid="{00000000-0005-0000-0000-0000E0590000}"/>
    <cellStyle name="Normal 2 2 4 2 2 6 2 10" xfId="23044" xr:uid="{00000000-0005-0000-0000-0000E1590000}"/>
    <cellStyle name="Normal 2 2 4 2 2 6 2 2" xfId="23045" xr:uid="{00000000-0005-0000-0000-0000E2590000}"/>
    <cellStyle name="Normal 2 2 4 2 2 6 2 3" xfId="23046" xr:uid="{00000000-0005-0000-0000-0000E3590000}"/>
    <cellStyle name="Normal 2 2 4 2 2 6 2 4" xfId="23047" xr:uid="{00000000-0005-0000-0000-0000E4590000}"/>
    <cellStyle name="Normal 2 2 4 2 2 6 2 5" xfId="23048" xr:uid="{00000000-0005-0000-0000-0000E5590000}"/>
    <cellStyle name="Normal 2 2 4 2 2 6 2 6" xfId="23049" xr:uid="{00000000-0005-0000-0000-0000E6590000}"/>
    <cellStyle name="Normal 2 2 4 2 2 6 2 7" xfId="23050" xr:uid="{00000000-0005-0000-0000-0000E7590000}"/>
    <cellStyle name="Normal 2 2 4 2 2 6 2 8" xfId="23051" xr:uid="{00000000-0005-0000-0000-0000E8590000}"/>
    <cellStyle name="Normal 2 2 4 2 2 6 2 9" xfId="23052" xr:uid="{00000000-0005-0000-0000-0000E9590000}"/>
    <cellStyle name="Normal 2 2 4 2 2 6 3" xfId="23053" xr:uid="{00000000-0005-0000-0000-0000EA590000}"/>
    <cellStyle name="Normal 2 2 4 2 2 6 3 10" xfId="23054" xr:uid="{00000000-0005-0000-0000-0000EB590000}"/>
    <cellStyle name="Normal 2 2 4 2 2 6 3 2" xfId="23055" xr:uid="{00000000-0005-0000-0000-0000EC590000}"/>
    <cellStyle name="Normal 2 2 4 2 2 6 3 3" xfId="23056" xr:uid="{00000000-0005-0000-0000-0000ED590000}"/>
    <cellStyle name="Normal 2 2 4 2 2 6 3 4" xfId="23057" xr:uid="{00000000-0005-0000-0000-0000EE590000}"/>
    <cellStyle name="Normal 2 2 4 2 2 6 3 5" xfId="23058" xr:uid="{00000000-0005-0000-0000-0000EF590000}"/>
    <cellStyle name="Normal 2 2 4 2 2 6 3 6" xfId="23059" xr:uid="{00000000-0005-0000-0000-0000F0590000}"/>
    <cellStyle name="Normal 2 2 4 2 2 6 3 7" xfId="23060" xr:uid="{00000000-0005-0000-0000-0000F1590000}"/>
    <cellStyle name="Normal 2 2 4 2 2 6 3 8" xfId="23061" xr:uid="{00000000-0005-0000-0000-0000F2590000}"/>
    <cellStyle name="Normal 2 2 4 2 2 6 3 9" xfId="23062" xr:uid="{00000000-0005-0000-0000-0000F3590000}"/>
    <cellStyle name="Normal 2 2 4 2 2 6 4" xfId="23063" xr:uid="{00000000-0005-0000-0000-0000F4590000}"/>
    <cellStyle name="Normal 2 2 4 2 2 6 4 10" xfId="23064" xr:uid="{00000000-0005-0000-0000-0000F5590000}"/>
    <cellStyle name="Normal 2 2 4 2 2 6 4 2" xfId="23065" xr:uid="{00000000-0005-0000-0000-0000F6590000}"/>
    <cellStyle name="Normal 2 2 4 2 2 6 4 3" xfId="23066" xr:uid="{00000000-0005-0000-0000-0000F7590000}"/>
    <cellStyle name="Normal 2 2 4 2 2 6 4 4" xfId="23067" xr:uid="{00000000-0005-0000-0000-0000F8590000}"/>
    <cellStyle name="Normal 2 2 4 2 2 6 4 5" xfId="23068" xr:uid="{00000000-0005-0000-0000-0000F9590000}"/>
    <cellStyle name="Normal 2 2 4 2 2 6 4 6" xfId="23069" xr:uid="{00000000-0005-0000-0000-0000FA590000}"/>
    <cellStyle name="Normal 2 2 4 2 2 6 4 7" xfId="23070" xr:uid="{00000000-0005-0000-0000-0000FB590000}"/>
    <cellStyle name="Normal 2 2 4 2 2 6 4 8" xfId="23071" xr:uid="{00000000-0005-0000-0000-0000FC590000}"/>
    <cellStyle name="Normal 2 2 4 2 2 6 4 9" xfId="23072" xr:uid="{00000000-0005-0000-0000-0000FD590000}"/>
    <cellStyle name="Normal 2 2 4 2 2 6 5" xfId="23073" xr:uid="{00000000-0005-0000-0000-0000FE590000}"/>
    <cellStyle name="Normal 2 2 4 2 2 6 5 10" xfId="23074" xr:uid="{00000000-0005-0000-0000-0000FF590000}"/>
    <cellStyle name="Normal 2 2 4 2 2 6 5 2" xfId="23075" xr:uid="{00000000-0005-0000-0000-0000005A0000}"/>
    <cellStyle name="Normal 2 2 4 2 2 6 5 3" xfId="23076" xr:uid="{00000000-0005-0000-0000-0000015A0000}"/>
    <cellStyle name="Normal 2 2 4 2 2 6 5 4" xfId="23077" xr:uid="{00000000-0005-0000-0000-0000025A0000}"/>
    <cellStyle name="Normal 2 2 4 2 2 6 5 5" xfId="23078" xr:uid="{00000000-0005-0000-0000-0000035A0000}"/>
    <cellStyle name="Normal 2 2 4 2 2 6 5 6" xfId="23079" xr:uid="{00000000-0005-0000-0000-0000045A0000}"/>
    <cellStyle name="Normal 2 2 4 2 2 6 5 7" xfId="23080" xr:uid="{00000000-0005-0000-0000-0000055A0000}"/>
    <cellStyle name="Normal 2 2 4 2 2 6 5 8" xfId="23081" xr:uid="{00000000-0005-0000-0000-0000065A0000}"/>
    <cellStyle name="Normal 2 2 4 2 2 6 5 9" xfId="23082" xr:uid="{00000000-0005-0000-0000-0000075A0000}"/>
    <cellStyle name="Normal 2 2 4 2 2 6 6" xfId="23083" xr:uid="{00000000-0005-0000-0000-0000085A0000}"/>
    <cellStyle name="Normal 2 2 4 2 2 6 7" xfId="23084" xr:uid="{00000000-0005-0000-0000-0000095A0000}"/>
    <cellStyle name="Normal 2 2 4 2 2 6 8" xfId="23085" xr:uid="{00000000-0005-0000-0000-00000A5A0000}"/>
    <cellStyle name="Normal 2 2 4 2 2 6 9" xfId="23086" xr:uid="{00000000-0005-0000-0000-00000B5A0000}"/>
    <cellStyle name="Normal 2 2 4 2 2 7" xfId="23087" xr:uid="{00000000-0005-0000-0000-00000C5A0000}"/>
    <cellStyle name="Normal 2 2 4 2 2 7 10" xfId="23088" xr:uid="{00000000-0005-0000-0000-00000D5A0000}"/>
    <cellStyle name="Normal 2 2 4 2 2 7 11" xfId="23089" xr:uid="{00000000-0005-0000-0000-00000E5A0000}"/>
    <cellStyle name="Normal 2 2 4 2 2 7 12" xfId="23090" xr:uid="{00000000-0005-0000-0000-00000F5A0000}"/>
    <cellStyle name="Normal 2 2 4 2 2 7 13" xfId="23091" xr:uid="{00000000-0005-0000-0000-0000105A0000}"/>
    <cellStyle name="Normal 2 2 4 2 2 7 14" xfId="23092" xr:uid="{00000000-0005-0000-0000-0000115A0000}"/>
    <cellStyle name="Normal 2 2 4 2 2 7 2" xfId="23093" xr:uid="{00000000-0005-0000-0000-0000125A0000}"/>
    <cellStyle name="Normal 2 2 4 2 2 7 2 10" xfId="23094" xr:uid="{00000000-0005-0000-0000-0000135A0000}"/>
    <cellStyle name="Normal 2 2 4 2 2 7 2 2" xfId="23095" xr:uid="{00000000-0005-0000-0000-0000145A0000}"/>
    <cellStyle name="Normal 2 2 4 2 2 7 2 3" xfId="23096" xr:uid="{00000000-0005-0000-0000-0000155A0000}"/>
    <cellStyle name="Normal 2 2 4 2 2 7 2 4" xfId="23097" xr:uid="{00000000-0005-0000-0000-0000165A0000}"/>
    <cellStyle name="Normal 2 2 4 2 2 7 2 5" xfId="23098" xr:uid="{00000000-0005-0000-0000-0000175A0000}"/>
    <cellStyle name="Normal 2 2 4 2 2 7 2 6" xfId="23099" xr:uid="{00000000-0005-0000-0000-0000185A0000}"/>
    <cellStyle name="Normal 2 2 4 2 2 7 2 7" xfId="23100" xr:uid="{00000000-0005-0000-0000-0000195A0000}"/>
    <cellStyle name="Normal 2 2 4 2 2 7 2 8" xfId="23101" xr:uid="{00000000-0005-0000-0000-00001A5A0000}"/>
    <cellStyle name="Normal 2 2 4 2 2 7 2 9" xfId="23102" xr:uid="{00000000-0005-0000-0000-00001B5A0000}"/>
    <cellStyle name="Normal 2 2 4 2 2 7 3" xfId="23103" xr:uid="{00000000-0005-0000-0000-00001C5A0000}"/>
    <cellStyle name="Normal 2 2 4 2 2 7 3 10" xfId="23104" xr:uid="{00000000-0005-0000-0000-00001D5A0000}"/>
    <cellStyle name="Normal 2 2 4 2 2 7 3 2" xfId="23105" xr:uid="{00000000-0005-0000-0000-00001E5A0000}"/>
    <cellStyle name="Normal 2 2 4 2 2 7 3 3" xfId="23106" xr:uid="{00000000-0005-0000-0000-00001F5A0000}"/>
    <cellStyle name="Normal 2 2 4 2 2 7 3 4" xfId="23107" xr:uid="{00000000-0005-0000-0000-0000205A0000}"/>
    <cellStyle name="Normal 2 2 4 2 2 7 3 5" xfId="23108" xr:uid="{00000000-0005-0000-0000-0000215A0000}"/>
    <cellStyle name="Normal 2 2 4 2 2 7 3 6" xfId="23109" xr:uid="{00000000-0005-0000-0000-0000225A0000}"/>
    <cellStyle name="Normal 2 2 4 2 2 7 3 7" xfId="23110" xr:uid="{00000000-0005-0000-0000-0000235A0000}"/>
    <cellStyle name="Normal 2 2 4 2 2 7 3 8" xfId="23111" xr:uid="{00000000-0005-0000-0000-0000245A0000}"/>
    <cellStyle name="Normal 2 2 4 2 2 7 3 9" xfId="23112" xr:uid="{00000000-0005-0000-0000-0000255A0000}"/>
    <cellStyle name="Normal 2 2 4 2 2 7 4" xfId="23113" xr:uid="{00000000-0005-0000-0000-0000265A0000}"/>
    <cellStyle name="Normal 2 2 4 2 2 7 4 10" xfId="23114" xr:uid="{00000000-0005-0000-0000-0000275A0000}"/>
    <cellStyle name="Normal 2 2 4 2 2 7 4 2" xfId="23115" xr:uid="{00000000-0005-0000-0000-0000285A0000}"/>
    <cellStyle name="Normal 2 2 4 2 2 7 4 3" xfId="23116" xr:uid="{00000000-0005-0000-0000-0000295A0000}"/>
    <cellStyle name="Normal 2 2 4 2 2 7 4 4" xfId="23117" xr:uid="{00000000-0005-0000-0000-00002A5A0000}"/>
    <cellStyle name="Normal 2 2 4 2 2 7 4 5" xfId="23118" xr:uid="{00000000-0005-0000-0000-00002B5A0000}"/>
    <cellStyle name="Normal 2 2 4 2 2 7 4 6" xfId="23119" xr:uid="{00000000-0005-0000-0000-00002C5A0000}"/>
    <cellStyle name="Normal 2 2 4 2 2 7 4 7" xfId="23120" xr:uid="{00000000-0005-0000-0000-00002D5A0000}"/>
    <cellStyle name="Normal 2 2 4 2 2 7 4 8" xfId="23121" xr:uid="{00000000-0005-0000-0000-00002E5A0000}"/>
    <cellStyle name="Normal 2 2 4 2 2 7 4 9" xfId="23122" xr:uid="{00000000-0005-0000-0000-00002F5A0000}"/>
    <cellStyle name="Normal 2 2 4 2 2 7 5" xfId="23123" xr:uid="{00000000-0005-0000-0000-0000305A0000}"/>
    <cellStyle name="Normal 2 2 4 2 2 7 5 10" xfId="23124" xr:uid="{00000000-0005-0000-0000-0000315A0000}"/>
    <cellStyle name="Normal 2 2 4 2 2 7 5 2" xfId="23125" xr:uid="{00000000-0005-0000-0000-0000325A0000}"/>
    <cellStyle name="Normal 2 2 4 2 2 7 5 3" xfId="23126" xr:uid="{00000000-0005-0000-0000-0000335A0000}"/>
    <cellStyle name="Normal 2 2 4 2 2 7 5 4" xfId="23127" xr:uid="{00000000-0005-0000-0000-0000345A0000}"/>
    <cellStyle name="Normal 2 2 4 2 2 7 5 5" xfId="23128" xr:uid="{00000000-0005-0000-0000-0000355A0000}"/>
    <cellStyle name="Normal 2 2 4 2 2 7 5 6" xfId="23129" xr:uid="{00000000-0005-0000-0000-0000365A0000}"/>
    <cellStyle name="Normal 2 2 4 2 2 7 5 7" xfId="23130" xr:uid="{00000000-0005-0000-0000-0000375A0000}"/>
    <cellStyle name="Normal 2 2 4 2 2 7 5 8" xfId="23131" xr:uid="{00000000-0005-0000-0000-0000385A0000}"/>
    <cellStyle name="Normal 2 2 4 2 2 7 5 9" xfId="23132" xr:uid="{00000000-0005-0000-0000-0000395A0000}"/>
    <cellStyle name="Normal 2 2 4 2 2 7 6" xfId="23133" xr:uid="{00000000-0005-0000-0000-00003A5A0000}"/>
    <cellStyle name="Normal 2 2 4 2 2 7 7" xfId="23134" xr:uid="{00000000-0005-0000-0000-00003B5A0000}"/>
    <cellStyle name="Normal 2 2 4 2 2 7 8" xfId="23135" xr:uid="{00000000-0005-0000-0000-00003C5A0000}"/>
    <cellStyle name="Normal 2 2 4 2 2 7 9" xfId="23136" xr:uid="{00000000-0005-0000-0000-00003D5A0000}"/>
    <cellStyle name="Normal 2 2 4 2 2 8" xfId="23137" xr:uid="{00000000-0005-0000-0000-00003E5A0000}"/>
    <cellStyle name="Normal 2 2 4 2 2 8 10" xfId="23138" xr:uid="{00000000-0005-0000-0000-00003F5A0000}"/>
    <cellStyle name="Normal 2 2 4 2 2 8 11" xfId="23139" xr:uid="{00000000-0005-0000-0000-0000405A0000}"/>
    <cellStyle name="Normal 2 2 4 2 2 8 12" xfId="23140" xr:uid="{00000000-0005-0000-0000-0000415A0000}"/>
    <cellStyle name="Normal 2 2 4 2 2 8 13" xfId="23141" xr:uid="{00000000-0005-0000-0000-0000425A0000}"/>
    <cellStyle name="Normal 2 2 4 2 2 8 14" xfId="23142" xr:uid="{00000000-0005-0000-0000-0000435A0000}"/>
    <cellStyle name="Normal 2 2 4 2 2 8 2" xfId="23143" xr:uid="{00000000-0005-0000-0000-0000445A0000}"/>
    <cellStyle name="Normal 2 2 4 2 2 8 2 10" xfId="23144" xr:uid="{00000000-0005-0000-0000-0000455A0000}"/>
    <cellStyle name="Normal 2 2 4 2 2 8 2 2" xfId="23145" xr:uid="{00000000-0005-0000-0000-0000465A0000}"/>
    <cellStyle name="Normal 2 2 4 2 2 8 2 3" xfId="23146" xr:uid="{00000000-0005-0000-0000-0000475A0000}"/>
    <cellStyle name="Normal 2 2 4 2 2 8 2 4" xfId="23147" xr:uid="{00000000-0005-0000-0000-0000485A0000}"/>
    <cellStyle name="Normal 2 2 4 2 2 8 2 5" xfId="23148" xr:uid="{00000000-0005-0000-0000-0000495A0000}"/>
    <cellStyle name="Normal 2 2 4 2 2 8 2 6" xfId="23149" xr:uid="{00000000-0005-0000-0000-00004A5A0000}"/>
    <cellStyle name="Normal 2 2 4 2 2 8 2 7" xfId="23150" xr:uid="{00000000-0005-0000-0000-00004B5A0000}"/>
    <cellStyle name="Normal 2 2 4 2 2 8 2 8" xfId="23151" xr:uid="{00000000-0005-0000-0000-00004C5A0000}"/>
    <cellStyle name="Normal 2 2 4 2 2 8 2 9" xfId="23152" xr:uid="{00000000-0005-0000-0000-00004D5A0000}"/>
    <cellStyle name="Normal 2 2 4 2 2 8 3" xfId="23153" xr:uid="{00000000-0005-0000-0000-00004E5A0000}"/>
    <cellStyle name="Normal 2 2 4 2 2 8 3 10" xfId="23154" xr:uid="{00000000-0005-0000-0000-00004F5A0000}"/>
    <cellStyle name="Normal 2 2 4 2 2 8 3 2" xfId="23155" xr:uid="{00000000-0005-0000-0000-0000505A0000}"/>
    <cellStyle name="Normal 2 2 4 2 2 8 3 3" xfId="23156" xr:uid="{00000000-0005-0000-0000-0000515A0000}"/>
    <cellStyle name="Normal 2 2 4 2 2 8 3 4" xfId="23157" xr:uid="{00000000-0005-0000-0000-0000525A0000}"/>
    <cellStyle name="Normal 2 2 4 2 2 8 3 5" xfId="23158" xr:uid="{00000000-0005-0000-0000-0000535A0000}"/>
    <cellStyle name="Normal 2 2 4 2 2 8 3 6" xfId="23159" xr:uid="{00000000-0005-0000-0000-0000545A0000}"/>
    <cellStyle name="Normal 2 2 4 2 2 8 3 7" xfId="23160" xr:uid="{00000000-0005-0000-0000-0000555A0000}"/>
    <cellStyle name="Normal 2 2 4 2 2 8 3 8" xfId="23161" xr:uid="{00000000-0005-0000-0000-0000565A0000}"/>
    <cellStyle name="Normal 2 2 4 2 2 8 3 9" xfId="23162" xr:uid="{00000000-0005-0000-0000-0000575A0000}"/>
    <cellStyle name="Normal 2 2 4 2 2 8 4" xfId="23163" xr:uid="{00000000-0005-0000-0000-0000585A0000}"/>
    <cellStyle name="Normal 2 2 4 2 2 8 4 10" xfId="23164" xr:uid="{00000000-0005-0000-0000-0000595A0000}"/>
    <cellStyle name="Normal 2 2 4 2 2 8 4 2" xfId="23165" xr:uid="{00000000-0005-0000-0000-00005A5A0000}"/>
    <cellStyle name="Normal 2 2 4 2 2 8 4 3" xfId="23166" xr:uid="{00000000-0005-0000-0000-00005B5A0000}"/>
    <cellStyle name="Normal 2 2 4 2 2 8 4 4" xfId="23167" xr:uid="{00000000-0005-0000-0000-00005C5A0000}"/>
    <cellStyle name="Normal 2 2 4 2 2 8 4 5" xfId="23168" xr:uid="{00000000-0005-0000-0000-00005D5A0000}"/>
    <cellStyle name="Normal 2 2 4 2 2 8 4 6" xfId="23169" xr:uid="{00000000-0005-0000-0000-00005E5A0000}"/>
    <cellStyle name="Normal 2 2 4 2 2 8 4 7" xfId="23170" xr:uid="{00000000-0005-0000-0000-00005F5A0000}"/>
    <cellStyle name="Normal 2 2 4 2 2 8 4 8" xfId="23171" xr:uid="{00000000-0005-0000-0000-0000605A0000}"/>
    <cellStyle name="Normal 2 2 4 2 2 8 4 9" xfId="23172" xr:uid="{00000000-0005-0000-0000-0000615A0000}"/>
    <cellStyle name="Normal 2 2 4 2 2 8 5" xfId="23173" xr:uid="{00000000-0005-0000-0000-0000625A0000}"/>
    <cellStyle name="Normal 2 2 4 2 2 8 5 10" xfId="23174" xr:uid="{00000000-0005-0000-0000-0000635A0000}"/>
    <cellStyle name="Normal 2 2 4 2 2 8 5 2" xfId="23175" xr:uid="{00000000-0005-0000-0000-0000645A0000}"/>
    <cellStyle name="Normal 2 2 4 2 2 8 5 3" xfId="23176" xr:uid="{00000000-0005-0000-0000-0000655A0000}"/>
    <cellStyle name="Normal 2 2 4 2 2 8 5 4" xfId="23177" xr:uid="{00000000-0005-0000-0000-0000665A0000}"/>
    <cellStyle name="Normal 2 2 4 2 2 8 5 5" xfId="23178" xr:uid="{00000000-0005-0000-0000-0000675A0000}"/>
    <cellStyle name="Normal 2 2 4 2 2 8 5 6" xfId="23179" xr:uid="{00000000-0005-0000-0000-0000685A0000}"/>
    <cellStyle name="Normal 2 2 4 2 2 8 5 7" xfId="23180" xr:uid="{00000000-0005-0000-0000-0000695A0000}"/>
    <cellStyle name="Normal 2 2 4 2 2 8 5 8" xfId="23181" xr:uid="{00000000-0005-0000-0000-00006A5A0000}"/>
    <cellStyle name="Normal 2 2 4 2 2 8 5 9" xfId="23182" xr:uid="{00000000-0005-0000-0000-00006B5A0000}"/>
    <cellStyle name="Normal 2 2 4 2 2 8 6" xfId="23183" xr:uid="{00000000-0005-0000-0000-00006C5A0000}"/>
    <cellStyle name="Normal 2 2 4 2 2 8 7" xfId="23184" xr:uid="{00000000-0005-0000-0000-00006D5A0000}"/>
    <cellStyle name="Normal 2 2 4 2 2 8 8" xfId="23185" xr:uid="{00000000-0005-0000-0000-00006E5A0000}"/>
    <cellStyle name="Normal 2 2 4 2 2 8 9" xfId="23186" xr:uid="{00000000-0005-0000-0000-00006F5A0000}"/>
    <cellStyle name="Normal 2 2 4 2 2 9" xfId="23187" xr:uid="{00000000-0005-0000-0000-0000705A0000}"/>
    <cellStyle name="Normal 2 2 4 2 2 9 10" xfId="23188" xr:uid="{00000000-0005-0000-0000-0000715A0000}"/>
    <cellStyle name="Normal 2 2 4 2 2 9 11" xfId="23189" xr:uid="{00000000-0005-0000-0000-0000725A0000}"/>
    <cellStyle name="Normal 2 2 4 2 2 9 12" xfId="23190" xr:uid="{00000000-0005-0000-0000-0000735A0000}"/>
    <cellStyle name="Normal 2 2 4 2 2 9 13" xfId="23191" xr:uid="{00000000-0005-0000-0000-0000745A0000}"/>
    <cellStyle name="Normal 2 2 4 2 2 9 14" xfId="23192" xr:uid="{00000000-0005-0000-0000-0000755A0000}"/>
    <cellStyle name="Normal 2 2 4 2 2 9 2" xfId="23193" xr:uid="{00000000-0005-0000-0000-0000765A0000}"/>
    <cellStyle name="Normal 2 2 4 2 2 9 2 10" xfId="23194" xr:uid="{00000000-0005-0000-0000-0000775A0000}"/>
    <cellStyle name="Normal 2 2 4 2 2 9 2 2" xfId="23195" xr:uid="{00000000-0005-0000-0000-0000785A0000}"/>
    <cellStyle name="Normal 2 2 4 2 2 9 2 3" xfId="23196" xr:uid="{00000000-0005-0000-0000-0000795A0000}"/>
    <cellStyle name="Normal 2 2 4 2 2 9 2 4" xfId="23197" xr:uid="{00000000-0005-0000-0000-00007A5A0000}"/>
    <cellStyle name="Normal 2 2 4 2 2 9 2 5" xfId="23198" xr:uid="{00000000-0005-0000-0000-00007B5A0000}"/>
    <cellStyle name="Normal 2 2 4 2 2 9 2 6" xfId="23199" xr:uid="{00000000-0005-0000-0000-00007C5A0000}"/>
    <cellStyle name="Normal 2 2 4 2 2 9 2 7" xfId="23200" xr:uid="{00000000-0005-0000-0000-00007D5A0000}"/>
    <cellStyle name="Normal 2 2 4 2 2 9 2 8" xfId="23201" xr:uid="{00000000-0005-0000-0000-00007E5A0000}"/>
    <cellStyle name="Normal 2 2 4 2 2 9 2 9" xfId="23202" xr:uid="{00000000-0005-0000-0000-00007F5A0000}"/>
    <cellStyle name="Normal 2 2 4 2 2 9 3" xfId="23203" xr:uid="{00000000-0005-0000-0000-0000805A0000}"/>
    <cellStyle name="Normal 2 2 4 2 2 9 3 10" xfId="23204" xr:uid="{00000000-0005-0000-0000-0000815A0000}"/>
    <cellStyle name="Normal 2 2 4 2 2 9 3 2" xfId="23205" xr:uid="{00000000-0005-0000-0000-0000825A0000}"/>
    <cellStyle name="Normal 2 2 4 2 2 9 3 3" xfId="23206" xr:uid="{00000000-0005-0000-0000-0000835A0000}"/>
    <cellStyle name="Normal 2 2 4 2 2 9 3 4" xfId="23207" xr:uid="{00000000-0005-0000-0000-0000845A0000}"/>
    <cellStyle name="Normal 2 2 4 2 2 9 3 5" xfId="23208" xr:uid="{00000000-0005-0000-0000-0000855A0000}"/>
    <cellStyle name="Normal 2 2 4 2 2 9 3 6" xfId="23209" xr:uid="{00000000-0005-0000-0000-0000865A0000}"/>
    <cellStyle name="Normal 2 2 4 2 2 9 3 7" xfId="23210" xr:uid="{00000000-0005-0000-0000-0000875A0000}"/>
    <cellStyle name="Normal 2 2 4 2 2 9 3 8" xfId="23211" xr:uid="{00000000-0005-0000-0000-0000885A0000}"/>
    <cellStyle name="Normal 2 2 4 2 2 9 3 9" xfId="23212" xr:uid="{00000000-0005-0000-0000-0000895A0000}"/>
    <cellStyle name="Normal 2 2 4 2 2 9 4" xfId="23213" xr:uid="{00000000-0005-0000-0000-00008A5A0000}"/>
    <cellStyle name="Normal 2 2 4 2 2 9 4 10" xfId="23214" xr:uid="{00000000-0005-0000-0000-00008B5A0000}"/>
    <cellStyle name="Normal 2 2 4 2 2 9 4 2" xfId="23215" xr:uid="{00000000-0005-0000-0000-00008C5A0000}"/>
    <cellStyle name="Normal 2 2 4 2 2 9 4 3" xfId="23216" xr:uid="{00000000-0005-0000-0000-00008D5A0000}"/>
    <cellStyle name="Normal 2 2 4 2 2 9 4 4" xfId="23217" xr:uid="{00000000-0005-0000-0000-00008E5A0000}"/>
    <cellStyle name="Normal 2 2 4 2 2 9 4 5" xfId="23218" xr:uid="{00000000-0005-0000-0000-00008F5A0000}"/>
    <cellStyle name="Normal 2 2 4 2 2 9 4 6" xfId="23219" xr:uid="{00000000-0005-0000-0000-0000905A0000}"/>
    <cellStyle name="Normal 2 2 4 2 2 9 4 7" xfId="23220" xr:uid="{00000000-0005-0000-0000-0000915A0000}"/>
    <cellStyle name="Normal 2 2 4 2 2 9 4 8" xfId="23221" xr:uid="{00000000-0005-0000-0000-0000925A0000}"/>
    <cellStyle name="Normal 2 2 4 2 2 9 4 9" xfId="23222" xr:uid="{00000000-0005-0000-0000-0000935A0000}"/>
    <cellStyle name="Normal 2 2 4 2 2 9 5" xfId="23223" xr:uid="{00000000-0005-0000-0000-0000945A0000}"/>
    <cellStyle name="Normal 2 2 4 2 2 9 5 10" xfId="23224" xr:uid="{00000000-0005-0000-0000-0000955A0000}"/>
    <cellStyle name="Normal 2 2 4 2 2 9 5 2" xfId="23225" xr:uid="{00000000-0005-0000-0000-0000965A0000}"/>
    <cellStyle name="Normal 2 2 4 2 2 9 5 3" xfId="23226" xr:uid="{00000000-0005-0000-0000-0000975A0000}"/>
    <cellStyle name="Normal 2 2 4 2 2 9 5 4" xfId="23227" xr:uid="{00000000-0005-0000-0000-0000985A0000}"/>
    <cellStyle name="Normal 2 2 4 2 2 9 5 5" xfId="23228" xr:uid="{00000000-0005-0000-0000-0000995A0000}"/>
    <cellStyle name="Normal 2 2 4 2 2 9 5 6" xfId="23229" xr:uid="{00000000-0005-0000-0000-00009A5A0000}"/>
    <cellStyle name="Normal 2 2 4 2 2 9 5 7" xfId="23230" xr:uid="{00000000-0005-0000-0000-00009B5A0000}"/>
    <cellStyle name="Normal 2 2 4 2 2 9 5 8" xfId="23231" xr:uid="{00000000-0005-0000-0000-00009C5A0000}"/>
    <cellStyle name="Normal 2 2 4 2 2 9 5 9" xfId="23232" xr:uid="{00000000-0005-0000-0000-00009D5A0000}"/>
    <cellStyle name="Normal 2 2 4 2 2 9 6" xfId="23233" xr:uid="{00000000-0005-0000-0000-00009E5A0000}"/>
    <cellStyle name="Normal 2 2 4 2 2 9 7" xfId="23234" xr:uid="{00000000-0005-0000-0000-00009F5A0000}"/>
    <cellStyle name="Normal 2 2 4 2 2 9 8" xfId="23235" xr:uid="{00000000-0005-0000-0000-0000A05A0000}"/>
    <cellStyle name="Normal 2 2 4 2 2 9 9" xfId="23236" xr:uid="{00000000-0005-0000-0000-0000A15A0000}"/>
    <cellStyle name="Normal 2 2 4 2 20" xfId="23237" xr:uid="{00000000-0005-0000-0000-0000A25A0000}"/>
    <cellStyle name="Normal 2 2 4 2 21" xfId="23238" xr:uid="{00000000-0005-0000-0000-0000A35A0000}"/>
    <cellStyle name="Normal 2 2 4 2 21 10" xfId="23239" xr:uid="{00000000-0005-0000-0000-0000A45A0000}"/>
    <cellStyle name="Normal 2 2 4 2 21 2" xfId="23240" xr:uid="{00000000-0005-0000-0000-0000A55A0000}"/>
    <cellStyle name="Normal 2 2 4 2 21 3" xfId="23241" xr:uid="{00000000-0005-0000-0000-0000A65A0000}"/>
    <cellStyle name="Normal 2 2 4 2 21 4" xfId="23242" xr:uid="{00000000-0005-0000-0000-0000A75A0000}"/>
    <cellStyle name="Normal 2 2 4 2 21 5" xfId="23243" xr:uid="{00000000-0005-0000-0000-0000A85A0000}"/>
    <cellStyle name="Normal 2 2 4 2 21 6" xfId="23244" xr:uid="{00000000-0005-0000-0000-0000A95A0000}"/>
    <cellStyle name="Normal 2 2 4 2 21 7" xfId="23245" xr:uid="{00000000-0005-0000-0000-0000AA5A0000}"/>
    <cellStyle name="Normal 2 2 4 2 21 8" xfId="23246" xr:uid="{00000000-0005-0000-0000-0000AB5A0000}"/>
    <cellStyle name="Normal 2 2 4 2 21 9" xfId="23247" xr:uid="{00000000-0005-0000-0000-0000AC5A0000}"/>
    <cellStyle name="Normal 2 2 4 2 22" xfId="23248" xr:uid="{00000000-0005-0000-0000-0000AD5A0000}"/>
    <cellStyle name="Normal 2 2 4 2 22 10" xfId="23249" xr:uid="{00000000-0005-0000-0000-0000AE5A0000}"/>
    <cellStyle name="Normal 2 2 4 2 22 2" xfId="23250" xr:uid="{00000000-0005-0000-0000-0000AF5A0000}"/>
    <cellStyle name="Normal 2 2 4 2 22 3" xfId="23251" xr:uid="{00000000-0005-0000-0000-0000B05A0000}"/>
    <cellStyle name="Normal 2 2 4 2 22 4" xfId="23252" xr:uid="{00000000-0005-0000-0000-0000B15A0000}"/>
    <cellStyle name="Normal 2 2 4 2 22 5" xfId="23253" xr:uid="{00000000-0005-0000-0000-0000B25A0000}"/>
    <cellStyle name="Normal 2 2 4 2 22 6" xfId="23254" xr:uid="{00000000-0005-0000-0000-0000B35A0000}"/>
    <cellStyle name="Normal 2 2 4 2 22 7" xfId="23255" xr:uid="{00000000-0005-0000-0000-0000B45A0000}"/>
    <cellStyle name="Normal 2 2 4 2 22 8" xfId="23256" xr:uid="{00000000-0005-0000-0000-0000B55A0000}"/>
    <cellStyle name="Normal 2 2 4 2 22 9" xfId="23257" xr:uid="{00000000-0005-0000-0000-0000B65A0000}"/>
    <cellStyle name="Normal 2 2 4 2 23" xfId="23258" xr:uid="{00000000-0005-0000-0000-0000B75A0000}"/>
    <cellStyle name="Normal 2 2 4 2 23 10" xfId="23259" xr:uid="{00000000-0005-0000-0000-0000B85A0000}"/>
    <cellStyle name="Normal 2 2 4 2 23 2" xfId="23260" xr:uid="{00000000-0005-0000-0000-0000B95A0000}"/>
    <cellStyle name="Normal 2 2 4 2 23 3" xfId="23261" xr:uid="{00000000-0005-0000-0000-0000BA5A0000}"/>
    <cellStyle name="Normal 2 2 4 2 23 4" xfId="23262" xr:uid="{00000000-0005-0000-0000-0000BB5A0000}"/>
    <cellStyle name="Normal 2 2 4 2 23 5" xfId="23263" xr:uid="{00000000-0005-0000-0000-0000BC5A0000}"/>
    <cellStyle name="Normal 2 2 4 2 23 6" xfId="23264" xr:uid="{00000000-0005-0000-0000-0000BD5A0000}"/>
    <cellStyle name="Normal 2 2 4 2 23 7" xfId="23265" xr:uid="{00000000-0005-0000-0000-0000BE5A0000}"/>
    <cellStyle name="Normal 2 2 4 2 23 8" xfId="23266" xr:uid="{00000000-0005-0000-0000-0000BF5A0000}"/>
    <cellStyle name="Normal 2 2 4 2 23 9" xfId="23267" xr:uid="{00000000-0005-0000-0000-0000C05A0000}"/>
    <cellStyle name="Normal 2 2 4 2 24" xfId="23268" xr:uid="{00000000-0005-0000-0000-0000C15A0000}"/>
    <cellStyle name="Normal 2 2 4 2 24 10" xfId="23269" xr:uid="{00000000-0005-0000-0000-0000C25A0000}"/>
    <cellStyle name="Normal 2 2 4 2 24 2" xfId="23270" xr:uid="{00000000-0005-0000-0000-0000C35A0000}"/>
    <cellStyle name="Normal 2 2 4 2 24 3" xfId="23271" xr:uid="{00000000-0005-0000-0000-0000C45A0000}"/>
    <cellStyle name="Normal 2 2 4 2 24 4" xfId="23272" xr:uid="{00000000-0005-0000-0000-0000C55A0000}"/>
    <cellStyle name="Normal 2 2 4 2 24 5" xfId="23273" xr:uid="{00000000-0005-0000-0000-0000C65A0000}"/>
    <cellStyle name="Normal 2 2 4 2 24 6" xfId="23274" xr:uid="{00000000-0005-0000-0000-0000C75A0000}"/>
    <cellStyle name="Normal 2 2 4 2 24 7" xfId="23275" xr:uid="{00000000-0005-0000-0000-0000C85A0000}"/>
    <cellStyle name="Normal 2 2 4 2 24 8" xfId="23276" xr:uid="{00000000-0005-0000-0000-0000C95A0000}"/>
    <cellStyle name="Normal 2 2 4 2 24 9" xfId="23277" xr:uid="{00000000-0005-0000-0000-0000CA5A0000}"/>
    <cellStyle name="Normal 2 2 4 2 25" xfId="23278" xr:uid="{00000000-0005-0000-0000-0000CB5A0000}"/>
    <cellStyle name="Normal 2 2 4 2 26" xfId="23279" xr:uid="{00000000-0005-0000-0000-0000CC5A0000}"/>
    <cellStyle name="Normal 2 2 4 2 27" xfId="23280" xr:uid="{00000000-0005-0000-0000-0000CD5A0000}"/>
    <cellStyle name="Normal 2 2 4 2 28" xfId="23281" xr:uid="{00000000-0005-0000-0000-0000CE5A0000}"/>
    <cellStyle name="Normal 2 2 4 2 29" xfId="23282" xr:uid="{00000000-0005-0000-0000-0000CF5A0000}"/>
    <cellStyle name="Normal 2 2 4 2 3" xfId="23283" xr:uid="{00000000-0005-0000-0000-0000D05A0000}"/>
    <cellStyle name="Normal 2 2 4 2 30" xfId="23284" xr:uid="{00000000-0005-0000-0000-0000D15A0000}"/>
    <cellStyle name="Normal 2 2 4 2 31" xfId="23285" xr:uid="{00000000-0005-0000-0000-0000D25A0000}"/>
    <cellStyle name="Normal 2 2 4 2 32" xfId="23286" xr:uid="{00000000-0005-0000-0000-0000D35A0000}"/>
    <cellStyle name="Normal 2 2 4 2 33" xfId="23287" xr:uid="{00000000-0005-0000-0000-0000D45A0000}"/>
    <cellStyle name="Normal 2 2 4 2 34" xfId="22275" xr:uid="{00000000-0005-0000-0000-0000D55A0000}"/>
    <cellStyle name="Normal 2 2 4 2 4" xfId="23288" xr:uid="{00000000-0005-0000-0000-0000D65A0000}"/>
    <cellStyle name="Normal 2 2 4 2 5" xfId="23289" xr:uid="{00000000-0005-0000-0000-0000D75A0000}"/>
    <cellStyle name="Normal 2 2 4 2 6" xfId="23290" xr:uid="{00000000-0005-0000-0000-0000D85A0000}"/>
    <cellStyle name="Normal 2 2 4 2 7" xfId="23291" xr:uid="{00000000-0005-0000-0000-0000D95A0000}"/>
    <cellStyle name="Normal 2 2 4 2 8" xfId="23292" xr:uid="{00000000-0005-0000-0000-0000DA5A0000}"/>
    <cellStyle name="Normal 2 2 4 2 9" xfId="23293" xr:uid="{00000000-0005-0000-0000-0000DB5A0000}"/>
    <cellStyle name="Normal 2 2 4 20" xfId="23294" xr:uid="{00000000-0005-0000-0000-0000DC5A0000}"/>
    <cellStyle name="Normal 2 2 4 20 10" xfId="23295" xr:uid="{00000000-0005-0000-0000-0000DD5A0000}"/>
    <cellStyle name="Normal 2 2 4 20 11" xfId="23296" xr:uid="{00000000-0005-0000-0000-0000DE5A0000}"/>
    <cellStyle name="Normal 2 2 4 20 12" xfId="23297" xr:uid="{00000000-0005-0000-0000-0000DF5A0000}"/>
    <cellStyle name="Normal 2 2 4 20 13" xfId="23298" xr:uid="{00000000-0005-0000-0000-0000E05A0000}"/>
    <cellStyle name="Normal 2 2 4 20 14" xfId="23299" xr:uid="{00000000-0005-0000-0000-0000E15A0000}"/>
    <cellStyle name="Normal 2 2 4 20 2" xfId="23300" xr:uid="{00000000-0005-0000-0000-0000E25A0000}"/>
    <cellStyle name="Normal 2 2 4 20 2 10" xfId="23301" xr:uid="{00000000-0005-0000-0000-0000E35A0000}"/>
    <cellStyle name="Normal 2 2 4 20 2 2" xfId="23302" xr:uid="{00000000-0005-0000-0000-0000E45A0000}"/>
    <cellStyle name="Normal 2 2 4 20 2 3" xfId="23303" xr:uid="{00000000-0005-0000-0000-0000E55A0000}"/>
    <cellStyle name="Normal 2 2 4 20 2 4" xfId="23304" xr:uid="{00000000-0005-0000-0000-0000E65A0000}"/>
    <cellStyle name="Normal 2 2 4 20 2 5" xfId="23305" xr:uid="{00000000-0005-0000-0000-0000E75A0000}"/>
    <cellStyle name="Normal 2 2 4 20 2 6" xfId="23306" xr:uid="{00000000-0005-0000-0000-0000E85A0000}"/>
    <cellStyle name="Normal 2 2 4 20 2 7" xfId="23307" xr:uid="{00000000-0005-0000-0000-0000E95A0000}"/>
    <cellStyle name="Normal 2 2 4 20 2 8" xfId="23308" xr:uid="{00000000-0005-0000-0000-0000EA5A0000}"/>
    <cellStyle name="Normal 2 2 4 20 2 9" xfId="23309" xr:uid="{00000000-0005-0000-0000-0000EB5A0000}"/>
    <cellStyle name="Normal 2 2 4 20 3" xfId="23310" xr:uid="{00000000-0005-0000-0000-0000EC5A0000}"/>
    <cellStyle name="Normal 2 2 4 20 3 10" xfId="23311" xr:uid="{00000000-0005-0000-0000-0000ED5A0000}"/>
    <cellStyle name="Normal 2 2 4 20 3 2" xfId="23312" xr:uid="{00000000-0005-0000-0000-0000EE5A0000}"/>
    <cellStyle name="Normal 2 2 4 20 3 3" xfId="23313" xr:uid="{00000000-0005-0000-0000-0000EF5A0000}"/>
    <cellStyle name="Normal 2 2 4 20 3 4" xfId="23314" xr:uid="{00000000-0005-0000-0000-0000F05A0000}"/>
    <cellStyle name="Normal 2 2 4 20 3 5" xfId="23315" xr:uid="{00000000-0005-0000-0000-0000F15A0000}"/>
    <cellStyle name="Normal 2 2 4 20 3 6" xfId="23316" xr:uid="{00000000-0005-0000-0000-0000F25A0000}"/>
    <cellStyle name="Normal 2 2 4 20 3 7" xfId="23317" xr:uid="{00000000-0005-0000-0000-0000F35A0000}"/>
    <cellStyle name="Normal 2 2 4 20 3 8" xfId="23318" xr:uid="{00000000-0005-0000-0000-0000F45A0000}"/>
    <cellStyle name="Normal 2 2 4 20 3 9" xfId="23319" xr:uid="{00000000-0005-0000-0000-0000F55A0000}"/>
    <cellStyle name="Normal 2 2 4 20 4" xfId="23320" xr:uid="{00000000-0005-0000-0000-0000F65A0000}"/>
    <cellStyle name="Normal 2 2 4 20 4 10" xfId="23321" xr:uid="{00000000-0005-0000-0000-0000F75A0000}"/>
    <cellStyle name="Normal 2 2 4 20 4 2" xfId="23322" xr:uid="{00000000-0005-0000-0000-0000F85A0000}"/>
    <cellStyle name="Normal 2 2 4 20 4 3" xfId="23323" xr:uid="{00000000-0005-0000-0000-0000F95A0000}"/>
    <cellStyle name="Normal 2 2 4 20 4 4" xfId="23324" xr:uid="{00000000-0005-0000-0000-0000FA5A0000}"/>
    <cellStyle name="Normal 2 2 4 20 4 5" xfId="23325" xr:uid="{00000000-0005-0000-0000-0000FB5A0000}"/>
    <cellStyle name="Normal 2 2 4 20 4 6" xfId="23326" xr:uid="{00000000-0005-0000-0000-0000FC5A0000}"/>
    <cellStyle name="Normal 2 2 4 20 4 7" xfId="23327" xr:uid="{00000000-0005-0000-0000-0000FD5A0000}"/>
    <cellStyle name="Normal 2 2 4 20 4 8" xfId="23328" xr:uid="{00000000-0005-0000-0000-0000FE5A0000}"/>
    <cellStyle name="Normal 2 2 4 20 4 9" xfId="23329" xr:uid="{00000000-0005-0000-0000-0000FF5A0000}"/>
    <cellStyle name="Normal 2 2 4 20 5" xfId="23330" xr:uid="{00000000-0005-0000-0000-0000005B0000}"/>
    <cellStyle name="Normal 2 2 4 20 5 10" xfId="23331" xr:uid="{00000000-0005-0000-0000-0000015B0000}"/>
    <cellStyle name="Normal 2 2 4 20 5 2" xfId="23332" xr:uid="{00000000-0005-0000-0000-0000025B0000}"/>
    <cellStyle name="Normal 2 2 4 20 5 3" xfId="23333" xr:uid="{00000000-0005-0000-0000-0000035B0000}"/>
    <cellStyle name="Normal 2 2 4 20 5 4" xfId="23334" xr:uid="{00000000-0005-0000-0000-0000045B0000}"/>
    <cellStyle name="Normal 2 2 4 20 5 5" xfId="23335" xr:uid="{00000000-0005-0000-0000-0000055B0000}"/>
    <cellStyle name="Normal 2 2 4 20 5 6" xfId="23336" xr:uid="{00000000-0005-0000-0000-0000065B0000}"/>
    <cellStyle name="Normal 2 2 4 20 5 7" xfId="23337" xr:uid="{00000000-0005-0000-0000-0000075B0000}"/>
    <cellStyle name="Normal 2 2 4 20 5 8" xfId="23338" xr:uid="{00000000-0005-0000-0000-0000085B0000}"/>
    <cellStyle name="Normal 2 2 4 20 5 9" xfId="23339" xr:uid="{00000000-0005-0000-0000-0000095B0000}"/>
    <cellStyle name="Normal 2 2 4 20 6" xfId="23340" xr:uid="{00000000-0005-0000-0000-00000A5B0000}"/>
    <cellStyle name="Normal 2 2 4 20 7" xfId="23341" xr:uid="{00000000-0005-0000-0000-00000B5B0000}"/>
    <cellStyle name="Normal 2 2 4 20 8" xfId="23342" xr:uid="{00000000-0005-0000-0000-00000C5B0000}"/>
    <cellStyle name="Normal 2 2 4 20 9" xfId="23343" xr:uid="{00000000-0005-0000-0000-00000D5B0000}"/>
    <cellStyle name="Normal 2 2 4 21" xfId="23344" xr:uid="{00000000-0005-0000-0000-00000E5B0000}"/>
    <cellStyle name="Normal 2 2 4 21 10" xfId="23345" xr:uid="{00000000-0005-0000-0000-00000F5B0000}"/>
    <cellStyle name="Normal 2 2 4 21 11" xfId="23346" xr:uid="{00000000-0005-0000-0000-0000105B0000}"/>
    <cellStyle name="Normal 2 2 4 21 12" xfId="23347" xr:uid="{00000000-0005-0000-0000-0000115B0000}"/>
    <cellStyle name="Normal 2 2 4 21 13" xfId="23348" xr:uid="{00000000-0005-0000-0000-0000125B0000}"/>
    <cellStyle name="Normal 2 2 4 21 14" xfId="23349" xr:uid="{00000000-0005-0000-0000-0000135B0000}"/>
    <cellStyle name="Normal 2 2 4 21 2" xfId="23350" xr:uid="{00000000-0005-0000-0000-0000145B0000}"/>
    <cellStyle name="Normal 2 2 4 21 2 10" xfId="23351" xr:uid="{00000000-0005-0000-0000-0000155B0000}"/>
    <cellStyle name="Normal 2 2 4 21 2 2" xfId="23352" xr:uid="{00000000-0005-0000-0000-0000165B0000}"/>
    <cellStyle name="Normal 2 2 4 21 2 3" xfId="23353" xr:uid="{00000000-0005-0000-0000-0000175B0000}"/>
    <cellStyle name="Normal 2 2 4 21 2 4" xfId="23354" xr:uid="{00000000-0005-0000-0000-0000185B0000}"/>
    <cellStyle name="Normal 2 2 4 21 2 5" xfId="23355" xr:uid="{00000000-0005-0000-0000-0000195B0000}"/>
    <cellStyle name="Normal 2 2 4 21 2 6" xfId="23356" xr:uid="{00000000-0005-0000-0000-00001A5B0000}"/>
    <cellStyle name="Normal 2 2 4 21 2 7" xfId="23357" xr:uid="{00000000-0005-0000-0000-00001B5B0000}"/>
    <cellStyle name="Normal 2 2 4 21 2 8" xfId="23358" xr:uid="{00000000-0005-0000-0000-00001C5B0000}"/>
    <cellStyle name="Normal 2 2 4 21 2 9" xfId="23359" xr:uid="{00000000-0005-0000-0000-00001D5B0000}"/>
    <cellStyle name="Normal 2 2 4 21 3" xfId="23360" xr:uid="{00000000-0005-0000-0000-00001E5B0000}"/>
    <cellStyle name="Normal 2 2 4 21 3 10" xfId="23361" xr:uid="{00000000-0005-0000-0000-00001F5B0000}"/>
    <cellStyle name="Normal 2 2 4 21 3 2" xfId="23362" xr:uid="{00000000-0005-0000-0000-0000205B0000}"/>
    <cellStyle name="Normal 2 2 4 21 3 3" xfId="23363" xr:uid="{00000000-0005-0000-0000-0000215B0000}"/>
    <cellStyle name="Normal 2 2 4 21 3 4" xfId="23364" xr:uid="{00000000-0005-0000-0000-0000225B0000}"/>
    <cellStyle name="Normal 2 2 4 21 3 5" xfId="23365" xr:uid="{00000000-0005-0000-0000-0000235B0000}"/>
    <cellStyle name="Normal 2 2 4 21 3 6" xfId="23366" xr:uid="{00000000-0005-0000-0000-0000245B0000}"/>
    <cellStyle name="Normal 2 2 4 21 3 7" xfId="23367" xr:uid="{00000000-0005-0000-0000-0000255B0000}"/>
    <cellStyle name="Normal 2 2 4 21 3 8" xfId="23368" xr:uid="{00000000-0005-0000-0000-0000265B0000}"/>
    <cellStyle name="Normal 2 2 4 21 3 9" xfId="23369" xr:uid="{00000000-0005-0000-0000-0000275B0000}"/>
    <cellStyle name="Normal 2 2 4 21 4" xfId="23370" xr:uid="{00000000-0005-0000-0000-0000285B0000}"/>
    <cellStyle name="Normal 2 2 4 21 4 10" xfId="23371" xr:uid="{00000000-0005-0000-0000-0000295B0000}"/>
    <cellStyle name="Normal 2 2 4 21 4 2" xfId="23372" xr:uid="{00000000-0005-0000-0000-00002A5B0000}"/>
    <cellStyle name="Normal 2 2 4 21 4 3" xfId="23373" xr:uid="{00000000-0005-0000-0000-00002B5B0000}"/>
    <cellStyle name="Normal 2 2 4 21 4 4" xfId="23374" xr:uid="{00000000-0005-0000-0000-00002C5B0000}"/>
    <cellStyle name="Normal 2 2 4 21 4 5" xfId="23375" xr:uid="{00000000-0005-0000-0000-00002D5B0000}"/>
    <cellStyle name="Normal 2 2 4 21 4 6" xfId="23376" xr:uid="{00000000-0005-0000-0000-00002E5B0000}"/>
    <cellStyle name="Normal 2 2 4 21 4 7" xfId="23377" xr:uid="{00000000-0005-0000-0000-00002F5B0000}"/>
    <cellStyle name="Normal 2 2 4 21 4 8" xfId="23378" xr:uid="{00000000-0005-0000-0000-0000305B0000}"/>
    <cellStyle name="Normal 2 2 4 21 4 9" xfId="23379" xr:uid="{00000000-0005-0000-0000-0000315B0000}"/>
    <cellStyle name="Normal 2 2 4 21 5" xfId="23380" xr:uid="{00000000-0005-0000-0000-0000325B0000}"/>
    <cellStyle name="Normal 2 2 4 21 5 10" xfId="23381" xr:uid="{00000000-0005-0000-0000-0000335B0000}"/>
    <cellStyle name="Normal 2 2 4 21 5 2" xfId="23382" xr:uid="{00000000-0005-0000-0000-0000345B0000}"/>
    <cellStyle name="Normal 2 2 4 21 5 3" xfId="23383" xr:uid="{00000000-0005-0000-0000-0000355B0000}"/>
    <cellStyle name="Normal 2 2 4 21 5 4" xfId="23384" xr:uid="{00000000-0005-0000-0000-0000365B0000}"/>
    <cellStyle name="Normal 2 2 4 21 5 5" xfId="23385" xr:uid="{00000000-0005-0000-0000-0000375B0000}"/>
    <cellStyle name="Normal 2 2 4 21 5 6" xfId="23386" xr:uid="{00000000-0005-0000-0000-0000385B0000}"/>
    <cellStyle name="Normal 2 2 4 21 5 7" xfId="23387" xr:uid="{00000000-0005-0000-0000-0000395B0000}"/>
    <cellStyle name="Normal 2 2 4 21 5 8" xfId="23388" xr:uid="{00000000-0005-0000-0000-00003A5B0000}"/>
    <cellStyle name="Normal 2 2 4 21 5 9" xfId="23389" xr:uid="{00000000-0005-0000-0000-00003B5B0000}"/>
    <cellStyle name="Normal 2 2 4 21 6" xfId="23390" xr:uid="{00000000-0005-0000-0000-00003C5B0000}"/>
    <cellStyle name="Normal 2 2 4 21 7" xfId="23391" xr:uid="{00000000-0005-0000-0000-00003D5B0000}"/>
    <cellStyle name="Normal 2 2 4 21 8" xfId="23392" xr:uid="{00000000-0005-0000-0000-00003E5B0000}"/>
    <cellStyle name="Normal 2 2 4 21 9" xfId="23393" xr:uid="{00000000-0005-0000-0000-00003F5B0000}"/>
    <cellStyle name="Normal 2 2 4 22" xfId="23394" xr:uid="{00000000-0005-0000-0000-0000405B0000}"/>
    <cellStyle name="Normal 2 2 4 22 10" xfId="23395" xr:uid="{00000000-0005-0000-0000-0000415B0000}"/>
    <cellStyle name="Normal 2 2 4 22 11" xfId="23396" xr:uid="{00000000-0005-0000-0000-0000425B0000}"/>
    <cellStyle name="Normal 2 2 4 22 12" xfId="23397" xr:uid="{00000000-0005-0000-0000-0000435B0000}"/>
    <cellStyle name="Normal 2 2 4 22 13" xfId="23398" xr:uid="{00000000-0005-0000-0000-0000445B0000}"/>
    <cellStyle name="Normal 2 2 4 22 14" xfId="23399" xr:uid="{00000000-0005-0000-0000-0000455B0000}"/>
    <cellStyle name="Normal 2 2 4 22 2" xfId="23400" xr:uid="{00000000-0005-0000-0000-0000465B0000}"/>
    <cellStyle name="Normal 2 2 4 22 2 10" xfId="23401" xr:uid="{00000000-0005-0000-0000-0000475B0000}"/>
    <cellStyle name="Normal 2 2 4 22 2 2" xfId="23402" xr:uid="{00000000-0005-0000-0000-0000485B0000}"/>
    <cellStyle name="Normal 2 2 4 22 2 3" xfId="23403" xr:uid="{00000000-0005-0000-0000-0000495B0000}"/>
    <cellStyle name="Normal 2 2 4 22 2 4" xfId="23404" xr:uid="{00000000-0005-0000-0000-00004A5B0000}"/>
    <cellStyle name="Normal 2 2 4 22 2 5" xfId="23405" xr:uid="{00000000-0005-0000-0000-00004B5B0000}"/>
    <cellStyle name="Normal 2 2 4 22 2 6" xfId="23406" xr:uid="{00000000-0005-0000-0000-00004C5B0000}"/>
    <cellStyle name="Normal 2 2 4 22 2 7" xfId="23407" xr:uid="{00000000-0005-0000-0000-00004D5B0000}"/>
    <cellStyle name="Normal 2 2 4 22 2 8" xfId="23408" xr:uid="{00000000-0005-0000-0000-00004E5B0000}"/>
    <cellStyle name="Normal 2 2 4 22 2 9" xfId="23409" xr:uid="{00000000-0005-0000-0000-00004F5B0000}"/>
    <cellStyle name="Normal 2 2 4 22 3" xfId="23410" xr:uid="{00000000-0005-0000-0000-0000505B0000}"/>
    <cellStyle name="Normal 2 2 4 22 3 10" xfId="23411" xr:uid="{00000000-0005-0000-0000-0000515B0000}"/>
    <cellStyle name="Normal 2 2 4 22 3 2" xfId="23412" xr:uid="{00000000-0005-0000-0000-0000525B0000}"/>
    <cellStyle name="Normal 2 2 4 22 3 3" xfId="23413" xr:uid="{00000000-0005-0000-0000-0000535B0000}"/>
    <cellStyle name="Normal 2 2 4 22 3 4" xfId="23414" xr:uid="{00000000-0005-0000-0000-0000545B0000}"/>
    <cellStyle name="Normal 2 2 4 22 3 5" xfId="23415" xr:uid="{00000000-0005-0000-0000-0000555B0000}"/>
    <cellStyle name="Normal 2 2 4 22 3 6" xfId="23416" xr:uid="{00000000-0005-0000-0000-0000565B0000}"/>
    <cellStyle name="Normal 2 2 4 22 3 7" xfId="23417" xr:uid="{00000000-0005-0000-0000-0000575B0000}"/>
    <cellStyle name="Normal 2 2 4 22 3 8" xfId="23418" xr:uid="{00000000-0005-0000-0000-0000585B0000}"/>
    <cellStyle name="Normal 2 2 4 22 3 9" xfId="23419" xr:uid="{00000000-0005-0000-0000-0000595B0000}"/>
    <cellStyle name="Normal 2 2 4 22 4" xfId="23420" xr:uid="{00000000-0005-0000-0000-00005A5B0000}"/>
    <cellStyle name="Normal 2 2 4 22 4 10" xfId="23421" xr:uid="{00000000-0005-0000-0000-00005B5B0000}"/>
    <cellStyle name="Normal 2 2 4 22 4 2" xfId="23422" xr:uid="{00000000-0005-0000-0000-00005C5B0000}"/>
    <cellStyle name="Normal 2 2 4 22 4 3" xfId="23423" xr:uid="{00000000-0005-0000-0000-00005D5B0000}"/>
    <cellStyle name="Normal 2 2 4 22 4 4" xfId="23424" xr:uid="{00000000-0005-0000-0000-00005E5B0000}"/>
    <cellStyle name="Normal 2 2 4 22 4 5" xfId="23425" xr:uid="{00000000-0005-0000-0000-00005F5B0000}"/>
    <cellStyle name="Normal 2 2 4 22 4 6" xfId="23426" xr:uid="{00000000-0005-0000-0000-0000605B0000}"/>
    <cellStyle name="Normal 2 2 4 22 4 7" xfId="23427" xr:uid="{00000000-0005-0000-0000-0000615B0000}"/>
    <cellStyle name="Normal 2 2 4 22 4 8" xfId="23428" xr:uid="{00000000-0005-0000-0000-0000625B0000}"/>
    <cellStyle name="Normal 2 2 4 22 4 9" xfId="23429" xr:uid="{00000000-0005-0000-0000-0000635B0000}"/>
    <cellStyle name="Normal 2 2 4 22 5" xfId="23430" xr:uid="{00000000-0005-0000-0000-0000645B0000}"/>
    <cellStyle name="Normal 2 2 4 22 5 10" xfId="23431" xr:uid="{00000000-0005-0000-0000-0000655B0000}"/>
    <cellStyle name="Normal 2 2 4 22 5 2" xfId="23432" xr:uid="{00000000-0005-0000-0000-0000665B0000}"/>
    <cellStyle name="Normal 2 2 4 22 5 3" xfId="23433" xr:uid="{00000000-0005-0000-0000-0000675B0000}"/>
    <cellStyle name="Normal 2 2 4 22 5 4" xfId="23434" xr:uid="{00000000-0005-0000-0000-0000685B0000}"/>
    <cellStyle name="Normal 2 2 4 22 5 5" xfId="23435" xr:uid="{00000000-0005-0000-0000-0000695B0000}"/>
    <cellStyle name="Normal 2 2 4 22 5 6" xfId="23436" xr:uid="{00000000-0005-0000-0000-00006A5B0000}"/>
    <cellStyle name="Normal 2 2 4 22 5 7" xfId="23437" xr:uid="{00000000-0005-0000-0000-00006B5B0000}"/>
    <cellStyle name="Normal 2 2 4 22 5 8" xfId="23438" xr:uid="{00000000-0005-0000-0000-00006C5B0000}"/>
    <cellStyle name="Normal 2 2 4 22 5 9" xfId="23439" xr:uid="{00000000-0005-0000-0000-00006D5B0000}"/>
    <cellStyle name="Normal 2 2 4 22 6" xfId="23440" xr:uid="{00000000-0005-0000-0000-00006E5B0000}"/>
    <cellStyle name="Normal 2 2 4 22 7" xfId="23441" xr:uid="{00000000-0005-0000-0000-00006F5B0000}"/>
    <cellStyle name="Normal 2 2 4 22 8" xfId="23442" xr:uid="{00000000-0005-0000-0000-0000705B0000}"/>
    <cellStyle name="Normal 2 2 4 22 9" xfId="23443" xr:uid="{00000000-0005-0000-0000-0000715B0000}"/>
    <cellStyle name="Normal 2 2 4 23" xfId="23444" xr:uid="{00000000-0005-0000-0000-0000725B0000}"/>
    <cellStyle name="Normal 2 2 4 23 10" xfId="23445" xr:uid="{00000000-0005-0000-0000-0000735B0000}"/>
    <cellStyle name="Normal 2 2 4 23 11" xfId="23446" xr:uid="{00000000-0005-0000-0000-0000745B0000}"/>
    <cellStyle name="Normal 2 2 4 23 12" xfId="23447" xr:uid="{00000000-0005-0000-0000-0000755B0000}"/>
    <cellStyle name="Normal 2 2 4 23 13" xfId="23448" xr:uid="{00000000-0005-0000-0000-0000765B0000}"/>
    <cellStyle name="Normal 2 2 4 23 14" xfId="23449" xr:uid="{00000000-0005-0000-0000-0000775B0000}"/>
    <cellStyle name="Normal 2 2 4 23 2" xfId="23450" xr:uid="{00000000-0005-0000-0000-0000785B0000}"/>
    <cellStyle name="Normal 2 2 4 23 2 10" xfId="23451" xr:uid="{00000000-0005-0000-0000-0000795B0000}"/>
    <cellStyle name="Normal 2 2 4 23 2 2" xfId="23452" xr:uid="{00000000-0005-0000-0000-00007A5B0000}"/>
    <cellStyle name="Normal 2 2 4 23 2 3" xfId="23453" xr:uid="{00000000-0005-0000-0000-00007B5B0000}"/>
    <cellStyle name="Normal 2 2 4 23 2 4" xfId="23454" xr:uid="{00000000-0005-0000-0000-00007C5B0000}"/>
    <cellStyle name="Normal 2 2 4 23 2 5" xfId="23455" xr:uid="{00000000-0005-0000-0000-00007D5B0000}"/>
    <cellStyle name="Normal 2 2 4 23 2 6" xfId="23456" xr:uid="{00000000-0005-0000-0000-00007E5B0000}"/>
    <cellStyle name="Normal 2 2 4 23 2 7" xfId="23457" xr:uid="{00000000-0005-0000-0000-00007F5B0000}"/>
    <cellStyle name="Normal 2 2 4 23 2 8" xfId="23458" xr:uid="{00000000-0005-0000-0000-0000805B0000}"/>
    <cellStyle name="Normal 2 2 4 23 2 9" xfId="23459" xr:uid="{00000000-0005-0000-0000-0000815B0000}"/>
    <cellStyle name="Normal 2 2 4 23 3" xfId="23460" xr:uid="{00000000-0005-0000-0000-0000825B0000}"/>
    <cellStyle name="Normal 2 2 4 23 3 10" xfId="23461" xr:uid="{00000000-0005-0000-0000-0000835B0000}"/>
    <cellStyle name="Normal 2 2 4 23 3 2" xfId="23462" xr:uid="{00000000-0005-0000-0000-0000845B0000}"/>
    <cellStyle name="Normal 2 2 4 23 3 3" xfId="23463" xr:uid="{00000000-0005-0000-0000-0000855B0000}"/>
    <cellStyle name="Normal 2 2 4 23 3 4" xfId="23464" xr:uid="{00000000-0005-0000-0000-0000865B0000}"/>
    <cellStyle name="Normal 2 2 4 23 3 5" xfId="23465" xr:uid="{00000000-0005-0000-0000-0000875B0000}"/>
    <cellStyle name="Normal 2 2 4 23 3 6" xfId="23466" xr:uid="{00000000-0005-0000-0000-0000885B0000}"/>
    <cellStyle name="Normal 2 2 4 23 3 7" xfId="23467" xr:uid="{00000000-0005-0000-0000-0000895B0000}"/>
    <cellStyle name="Normal 2 2 4 23 3 8" xfId="23468" xr:uid="{00000000-0005-0000-0000-00008A5B0000}"/>
    <cellStyle name="Normal 2 2 4 23 3 9" xfId="23469" xr:uid="{00000000-0005-0000-0000-00008B5B0000}"/>
    <cellStyle name="Normal 2 2 4 23 4" xfId="23470" xr:uid="{00000000-0005-0000-0000-00008C5B0000}"/>
    <cellStyle name="Normal 2 2 4 23 4 10" xfId="23471" xr:uid="{00000000-0005-0000-0000-00008D5B0000}"/>
    <cellStyle name="Normal 2 2 4 23 4 2" xfId="23472" xr:uid="{00000000-0005-0000-0000-00008E5B0000}"/>
    <cellStyle name="Normal 2 2 4 23 4 3" xfId="23473" xr:uid="{00000000-0005-0000-0000-00008F5B0000}"/>
    <cellStyle name="Normal 2 2 4 23 4 4" xfId="23474" xr:uid="{00000000-0005-0000-0000-0000905B0000}"/>
    <cellStyle name="Normal 2 2 4 23 4 5" xfId="23475" xr:uid="{00000000-0005-0000-0000-0000915B0000}"/>
    <cellStyle name="Normal 2 2 4 23 4 6" xfId="23476" xr:uid="{00000000-0005-0000-0000-0000925B0000}"/>
    <cellStyle name="Normal 2 2 4 23 4 7" xfId="23477" xr:uid="{00000000-0005-0000-0000-0000935B0000}"/>
    <cellStyle name="Normal 2 2 4 23 4 8" xfId="23478" xr:uid="{00000000-0005-0000-0000-0000945B0000}"/>
    <cellStyle name="Normal 2 2 4 23 4 9" xfId="23479" xr:uid="{00000000-0005-0000-0000-0000955B0000}"/>
    <cellStyle name="Normal 2 2 4 23 5" xfId="23480" xr:uid="{00000000-0005-0000-0000-0000965B0000}"/>
    <cellStyle name="Normal 2 2 4 23 5 10" xfId="23481" xr:uid="{00000000-0005-0000-0000-0000975B0000}"/>
    <cellStyle name="Normal 2 2 4 23 5 2" xfId="23482" xr:uid="{00000000-0005-0000-0000-0000985B0000}"/>
    <cellStyle name="Normal 2 2 4 23 5 3" xfId="23483" xr:uid="{00000000-0005-0000-0000-0000995B0000}"/>
    <cellStyle name="Normal 2 2 4 23 5 4" xfId="23484" xr:uid="{00000000-0005-0000-0000-00009A5B0000}"/>
    <cellStyle name="Normal 2 2 4 23 5 5" xfId="23485" xr:uid="{00000000-0005-0000-0000-00009B5B0000}"/>
    <cellStyle name="Normal 2 2 4 23 5 6" xfId="23486" xr:uid="{00000000-0005-0000-0000-00009C5B0000}"/>
    <cellStyle name="Normal 2 2 4 23 5 7" xfId="23487" xr:uid="{00000000-0005-0000-0000-00009D5B0000}"/>
    <cellStyle name="Normal 2 2 4 23 5 8" xfId="23488" xr:uid="{00000000-0005-0000-0000-00009E5B0000}"/>
    <cellStyle name="Normal 2 2 4 23 5 9" xfId="23489" xr:uid="{00000000-0005-0000-0000-00009F5B0000}"/>
    <cellStyle name="Normal 2 2 4 23 6" xfId="23490" xr:uid="{00000000-0005-0000-0000-0000A05B0000}"/>
    <cellStyle name="Normal 2 2 4 23 7" xfId="23491" xr:uid="{00000000-0005-0000-0000-0000A15B0000}"/>
    <cellStyle name="Normal 2 2 4 23 8" xfId="23492" xr:uid="{00000000-0005-0000-0000-0000A25B0000}"/>
    <cellStyle name="Normal 2 2 4 23 9" xfId="23493" xr:uid="{00000000-0005-0000-0000-0000A35B0000}"/>
    <cellStyle name="Normal 2 2 4 24" xfId="23494" xr:uid="{00000000-0005-0000-0000-0000A45B0000}"/>
    <cellStyle name="Normal 2 2 4 24 10" xfId="23495" xr:uid="{00000000-0005-0000-0000-0000A55B0000}"/>
    <cellStyle name="Normal 2 2 4 24 11" xfId="23496" xr:uid="{00000000-0005-0000-0000-0000A65B0000}"/>
    <cellStyle name="Normal 2 2 4 24 12" xfId="23497" xr:uid="{00000000-0005-0000-0000-0000A75B0000}"/>
    <cellStyle name="Normal 2 2 4 24 13" xfId="23498" xr:uid="{00000000-0005-0000-0000-0000A85B0000}"/>
    <cellStyle name="Normal 2 2 4 24 14" xfId="23499" xr:uid="{00000000-0005-0000-0000-0000A95B0000}"/>
    <cellStyle name="Normal 2 2 4 24 2" xfId="23500" xr:uid="{00000000-0005-0000-0000-0000AA5B0000}"/>
    <cellStyle name="Normal 2 2 4 24 2 10" xfId="23501" xr:uid="{00000000-0005-0000-0000-0000AB5B0000}"/>
    <cellStyle name="Normal 2 2 4 24 2 2" xfId="23502" xr:uid="{00000000-0005-0000-0000-0000AC5B0000}"/>
    <cellStyle name="Normal 2 2 4 24 2 3" xfId="23503" xr:uid="{00000000-0005-0000-0000-0000AD5B0000}"/>
    <cellStyle name="Normal 2 2 4 24 2 4" xfId="23504" xr:uid="{00000000-0005-0000-0000-0000AE5B0000}"/>
    <cellStyle name="Normal 2 2 4 24 2 5" xfId="23505" xr:uid="{00000000-0005-0000-0000-0000AF5B0000}"/>
    <cellStyle name="Normal 2 2 4 24 2 6" xfId="23506" xr:uid="{00000000-0005-0000-0000-0000B05B0000}"/>
    <cellStyle name="Normal 2 2 4 24 2 7" xfId="23507" xr:uid="{00000000-0005-0000-0000-0000B15B0000}"/>
    <cellStyle name="Normal 2 2 4 24 2 8" xfId="23508" xr:uid="{00000000-0005-0000-0000-0000B25B0000}"/>
    <cellStyle name="Normal 2 2 4 24 2 9" xfId="23509" xr:uid="{00000000-0005-0000-0000-0000B35B0000}"/>
    <cellStyle name="Normal 2 2 4 24 3" xfId="23510" xr:uid="{00000000-0005-0000-0000-0000B45B0000}"/>
    <cellStyle name="Normal 2 2 4 24 3 10" xfId="23511" xr:uid="{00000000-0005-0000-0000-0000B55B0000}"/>
    <cellStyle name="Normal 2 2 4 24 3 2" xfId="23512" xr:uid="{00000000-0005-0000-0000-0000B65B0000}"/>
    <cellStyle name="Normal 2 2 4 24 3 3" xfId="23513" xr:uid="{00000000-0005-0000-0000-0000B75B0000}"/>
    <cellStyle name="Normal 2 2 4 24 3 4" xfId="23514" xr:uid="{00000000-0005-0000-0000-0000B85B0000}"/>
    <cellStyle name="Normal 2 2 4 24 3 5" xfId="23515" xr:uid="{00000000-0005-0000-0000-0000B95B0000}"/>
    <cellStyle name="Normal 2 2 4 24 3 6" xfId="23516" xr:uid="{00000000-0005-0000-0000-0000BA5B0000}"/>
    <cellStyle name="Normal 2 2 4 24 3 7" xfId="23517" xr:uid="{00000000-0005-0000-0000-0000BB5B0000}"/>
    <cellStyle name="Normal 2 2 4 24 3 8" xfId="23518" xr:uid="{00000000-0005-0000-0000-0000BC5B0000}"/>
    <cellStyle name="Normal 2 2 4 24 3 9" xfId="23519" xr:uid="{00000000-0005-0000-0000-0000BD5B0000}"/>
    <cellStyle name="Normal 2 2 4 24 4" xfId="23520" xr:uid="{00000000-0005-0000-0000-0000BE5B0000}"/>
    <cellStyle name="Normal 2 2 4 24 4 10" xfId="23521" xr:uid="{00000000-0005-0000-0000-0000BF5B0000}"/>
    <cellStyle name="Normal 2 2 4 24 4 2" xfId="23522" xr:uid="{00000000-0005-0000-0000-0000C05B0000}"/>
    <cellStyle name="Normal 2 2 4 24 4 3" xfId="23523" xr:uid="{00000000-0005-0000-0000-0000C15B0000}"/>
    <cellStyle name="Normal 2 2 4 24 4 4" xfId="23524" xr:uid="{00000000-0005-0000-0000-0000C25B0000}"/>
    <cellStyle name="Normal 2 2 4 24 4 5" xfId="23525" xr:uid="{00000000-0005-0000-0000-0000C35B0000}"/>
    <cellStyle name="Normal 2 2 4 24 4 6" xfId="23526" xr:uid="{00000000-0005-0000-0000-0000C45B0000}"/>
    <cellStyle name="Normal 2 2 4 24 4 7" xfId="23527" xr:uid="{00000000-0005-0000-0000-0000C55B0000}"/>
    <cellStyle name="Normal 2 2 4 24 4 8" xfId="23528" xr:uid="{00000000-0005-0000-0000-0000C65B0000}"/>
    <cellStyle name="Normal 2 2 4 24 4 9" xfId="23529" xr:uid="{00000000-0005-0000-0000-0000C75B0000}"/>
    <cellStyle name="Normal 2 2 4 24 5" xfId="23530" xr:uid="{00000000-0005-0000-0000-0000C85B0000}"/>
    <cellStyle name="Normal 2 2 4 24 5 10" xfId="23531" xr:uid="{00000000-0005-0000-0000-0000C95B0000}"/>
    <cellStyle name="Normal 2 2 4 24 5 2" xfId="23532" xr:uid="{00000000-0005-0000-0000-0000CA5B0000}"/>
    <cellStyle name="Normal 2 2 4 24 5 3" xfId="23533" xr:uid="{00000000-0005-0000-0000-0000CB5B0000}"/>
    <cellStyle name="Normal 2 2 4 24 5 4" xfId="23534" xr:uid="{00000000-0005-0000-0000-0000CC5B0000}"/>
    <cellStyle name="Normal 2 2 4 24 5 5" xfId="23535" xr:uid="{00000000-0005-0000-0000-0000CD5B0000}"/>
    <cellStyle name="Normal 2 2 4 24 5 6" xfId="23536" xr:uid="{00000000-0005-0000-0000-0000CE5B0000}"/>
    <cellStyle name="Normal 2 2 4 24 5 7" xfId="23537" xr:uid="{00000000-0005-0000-0000-0000CF5B0000}"/>
    <cellStyle name="Normal 2 2 4 24 5 8" xfId="23538" xr:uid="{00000000-0005-0000-0000-0000D05B0000}"/>
    <cellStyle name="Normal 2 2 4 24 5 9" xfId="23539" xr:uid="{00000000-0005-0000-0000-0000D15B0000}"/>
    <cellStyle name="Normal 2 2 4 24 6" xfId="23540" xr:uid="{00000000-0005-0000-0000-0000D25B0000}"/>
    <cellStyle name="Normal 2 2 4 24 7" xfId="23541" xr:uid="{00000000-0005-0000-0000-0000D35B0000}"/>
    <cellStyle name="Normal 2 2 4 24 8" xfId="23542" xr:uid="{00000000-0005-0000-0000-0000D45B0000}"/>
    <cellStyle name="Normal 2 2 4 24 9" xfId="23543" xr:uid="{00000000-0005-0000-0000-0000D55B0000}"/>
    <cellStyle name="Normal 2 2 4 25" xfId="23544" xr:uid="{00000000-0005-0000-0000-0000D65B0000}"/>
    <cellStyle name="Normal 2 2 4 25 10" xfId="23545" xr:uid="{00000000-0005-0000-0000-0000D75B0000}"/>
    <cellStyle name="Normal 2 2 4 25 11" xfId="23546" xr:uid="{00000000-0005-0000-0000-0000D85B0000}"/>
    <cellStyle name="Normal 2 2 4 25 12" xfId="23547" xr:uid="{00000000-0005-0000-0000-0000D95B0000}"/>
    <cellStyle name="Normal 2 2 4 25 13" xfId="23548" xr:uid="{00000000-0005-0000-0000-0000DA5B0000}"/>
    <cellStyle name="Normal 2 2 4 25 14" xfId="23549" xr:uid="{00000000-0005-0000-0000-0000DB5B0000}"/>
    <cellStyle name="Normal 2 2 4 25 2" xfId="23550" xr:uid="{00000000-0005-0000-0000-0000DC5B0000}"/>
    <cellStyle name="Normal 2 2 4 25 2 10" xfId="23551" xr:uid="{00000000-0005-0000-0000-0000DD5B0000}"/>
    <cellStyle name="Normal 2 2 4 25 2 2" xfId="23552" xr:uid="{00000000-0005-0000-0000-0000DE5B0000}"/>
    <cellStyle name="Normal 2 2 4 25 2 3" xfId="23553" xr:uid="{00000000-0005-0000-0000-0000DF5B0000}"/>
    <cellStyle name="Normal 2 2 4 25 2 4" xfId="23554" xr:uid="{00000000-0005-0000-0000-0000E05B0000}"/>
    <cellStyle name="Normal 2 2 4 25 2 5" xfId="23555" xr:uid="{00000000-0005-0000-0000-0000E15B0000}"/>
    <cellStyle name="Normal 2 2 4 25 2 6" xfId="23556" xr:uid="{00000000-0005-0000-0000-0000E25B0000}"/>
    <cellStyle name="Normal 2 2 4 25 2 7" xfId="23557" xr:uid="{00000000-0005-0000-0000-0000E35B0000}"/>
    <cellStyle name="Normal 2 2 4 25 2 8" xfId="23558" xr:uid="{00000000-0005-0000-0000-0000E45B0000}"/>
    <cellStyle name="Normal 2 2 4 25 2 9" xfId="23559" xr:uid="{00000000-0005-0000-0000-0000E55B0000}"/>
    <cellStyle name="Normal 2 2 4 25 3" xfId="23560" xr:uid="{00000000-0005-0000-0000-0000E65B0000}"/>
    <cellStyle name="Normal 2 2 4 25 3 10" xfId="23561" xr:uid="{00000000-0005-0000-0000-0000E75B0000}"/>
    <cellStyle name="Normal 2 2 4 25 3 2" xfId="23562" xr:uid="{00000000-0005-0000-0000-0000E85B0000}"/>
    <cellStyle name="Normal 2 2 4 25 3 3" xfId="23563" xr:uid="{00000000-0005-0000-0000-0000E95B0000}"/>
    <cellStyle name="Normal 2 2 4 25 3 4" xfId="23564" xr:uid="{00000000-0005-0000-0000-0000EA5B0000}"/>
    <cellStyle name="Normal 2 2 4 25 3 5" xfId="23565" xr:uid="{00000000-0005-0000-0000-0000EB5B0000}"/>
    <cellStyle name="Normal 2 2 4 25 3 6" xfId="23566" xr:uid="{00000000-0005-0000-0000-0000EC5B0000}"/>
    <cellStyle name="Normal 2 2 4 25 3 7" xfId="23567" xr:uid="{00000000-0005-0000-0000-0000ED5B0000}"/>
    <cellStyle name="Normal 2 2 4 25 3 8" xfId="23568" xr:uid="{00000000-0005-0000-0000-0000EE5B0000}"/>
    <cellStyle name="Normal 2 2 4 25 3 9" xfId="23569" xr:uid="{00000000-0005-0000-0000-0000EF5B0000}"/>
    <cellStyle name="Normal 2 2 4 25 4" xfId="23570" xr:uid="{00000000-0005-0000-0000-0000F05B0000}"/>
    <cellStyle name="Normal 2 2 4 25 4 10" xfId="23571" xr:uid="{00000000-0005-0000-0000-0000F15B0000}"/>
    <cellStyle name="Normal 2 2 4 25 4 2" xfId="23572" xr:uid="{00000000-0005-0000-0000-0000F25B0000}"/>
    <cellStyle name="Normal 2 2 4 25 4 3" xfId="23573" xr:uid="{00000000-0005-0000-0000-0000F35B0000}"/>
    <cellStyle name="Normal 2 2 4 25 4 4" xfId="23574" xr:uid="{00000000-0005-0000-0000-0000F45B0000}"/>
    <cellStyle name="Normal 2 2 4 25 4 5" xfId="23575" xr:uid="{00000000-0005-0000-0000-0000F55B0000}"/>
    <cellStyle name="Normal 2 2 4 25 4 6" xfId="23576" xr:uid="{00000000-0005-0000-0000-0000F65B0000}"/>
    <cellStyle name="Normal 2 2 4 25 4 7" xfId="23577" xr:uid="{00000000-0005-0000-0000-0000F75B0000}"/>
    <cellStyle name="Normal 2 2 4 25 4 8" xfId="23578" xr:uid="{00000000-0005-0000-0000-0000F85B0000}"/>
    <cellStyle name="Normal 2 2 4 25 4 9" xfId="23579" xr:uid="{00000000-0005-0000-0000-0000F95B0000}"/>
    <cellStyle name="Normal 2 2 4 25 5" xfId="23580" xr:uid="{00000000-0005-0000-0000-0000FA5B0000}"/>
    <cellStyle name="Normal 2 2 4 25 5 10" xfId="23581" xr:uid="{00000000-0005-0000-0000-0000FB5B0000}"/>
    <cellStyle name="Normal 2 2 4 25 5 2" xfId="23582" xr:uid="{00000000-0005-0000-0000-0000FC5B0000}"/>
    <cellStyle name="Normal 2 2 4 25 5 3" xfId="23583" xr:uid="{00000000-0005-0000-0000-0000FD5B0000}"/>
    <cellStyle name="Normal 2 2 4 25 5 4" xfId="23584" xr:uid="{00000000-0005-0000-0000-0000FE5B0000}"/>
    <cellStyle name="Normal 2 2 4 25 5 5" xfId="23585" xr:uid="{00000000-0005-0000-0000-0000FF5B0000}"/>
    <cellStyle name="Normal 2 2 4 25 5 6" xfId="23586" xr:uid="{00000000-0005-0000-0000-0000005C0000}"/>
    <cellStyle name="Normal 2 2 4 25 5 7" xfId="23587" xr:uid="{00000000-0005-0000-0000-0000015C0000}"/>
    <cellStyle name="Normal 2 2 4 25 5 8" xfId="23588" xr:uid="{00000000-0005-0000-0000-0000025C0000}"/>
    <cellStyle name="Normal 2 2 4 25 5 9" xfId="23589" xr:uid="{00000000-0005-0000-0000-0000035C0000}"/>
    <cellStyle name="Normal 2 2 4 25 6" xfId="23590" xr:uid="{00000000-0005-0000-0000-0000045C0000}"/>
    <cellStyle name="Normal 2 2 4 25 7" xfId="23591" xr:uid="{00000000-0005-0000-0000-0000055C0000}"/>
    <cellStyle name="Normal 2 2 4 25 8" xfId="23592" xr:uid="{00000000-0005-0000-0000-0000065C0000}"/>
    <cellStyle name="Normal 2 2 4 25 9" xfId="23593" xr:uid="{00000000-0005-0000-0000-0000075C0000}"/>
    <cellStyle name="Normal 2 2 4 26" xfId="23594" xr:uid="{00000000-0005-0000-0000-0000085C0000}"/>
    <cellStyle name="Normal 2 2 4 26 10" xfId="23595" xr:uid="{00000000-0005-0000-0000-0000095C0000}"/>
    <cellStyle name="Normal 2 2 4 26 11" xfId="23596" xr:uid="{00000000-0005-0000-0000-00000A5C0000}"/>
    <cellStyle name="Normal 2 2 4 26 12" xfId="23597" xr:uid="{00000000-0005-0000-0000-00000B5C0000}"/>
    <cellStyle name="Normal 2 2 4 26 13" xfId="23598" xr:uid="{00000000-0005-0000-0000-00000C5C0000}"/>
    <cellStyle name="Normal 2 2 4 26 14" xfId="23599" xr:uid="{00000000-0005-0000-0000-00000D5C0000}"/>
    <cellStyle name="Normal 2 2 4 26 2" xfId="23600" xr:uid="{00000000-0005-0000-0000-00000E5C0000}"/>
    <cellStyle name="Normal 2 2 4 26 2 10" xfId="23601" xr:uid="{00000000-0005-0000-0000-00000F5C0000}"/>
    <cellStyle name="Normal 2 2 4 26 2 2" xfId="23602" xr:uid="{00000000-0005-0000-0000-0000105C0000}"/>
    <cellStyle name="Normal 2 2 4 26 2 3" xfId="23603" xr:uid="{00000000-0005-0000-0000-0000115C0000}"/>
    <cellStyle name="Normal 2 2 4 26 2 4" xfId="23604" xr:uid="{00000000-0005-0000-0000-0000125C0000}"/>
    <cellStyle name="Normal 2 2 4 26 2 5" xfId="23605" xr:uid="{00000000-0005-0000-0000-0000135C0000}"/>
    <cellStyle name="Normal 2 2 4 26 2 6" xfId="23606" xr:uid="{00000000-0005-0000-0000-0000145C0000}"/>
    <cellStyle name="Normal 2 2 4 26 2 7" xfId="23607" xr:uid="{00000000-0005-0000-0000-0000155C0000}"/>
    <cellStyle name="Normal 2 2 4 26 2 8" xfId="23608" xr:uid="{00000000-0005-0000-0000-0000165C0000}"/>
    <cellStyle name="Normal 2 2 4 26 2 9" xfId="23609" xr:uid="{00000000-0005-0000-0000-0000175C0000}"/>
    <cellStyle name="Normal 2 2 4 26 3" xfId="23610" xr:uid="{00000000-0005-0000-0000-0000185C0000}"/>
    <cellStyle name="Normal 2 2 4 26 3 10" xfId="23611" xr:uid="{00000000-0005-0000-0000-0000195C0000}"/>
    <cellStyle name="Normal 2 2 4 26 3 2" xfId="23612" xr:uid="{00000000-0005-0000-0000-00001A5C0000}"/>
    <cellStyle name="Normal 2 2 4 26 3 3" xfId="23613" xr:uid="{00000000-0005-0000-0000-00001B5C0000}"/>
    <cellStyle name="Normal 2 2 4 26 3 4" xfId="23614" xr:uid="{00000000-0005-0000-0000-00001C5C0000}"/>
    <cellStyle name="Normal 2 2 4 26 3 5" xfId="23615" xr:uid="{00000000-0005-0000-0000-00001D5C0000}"/>
    <cellStyle name="Normal 2 2 4 26 3 6" xfId="23616" xr:uid="{00000000-0005-0000-0000-00001E5C0000}"/>
    <cellStyle name="Normal 2 2 4 26 3 7" xfId="23617" xr:uid="{00000000-0005-0000-0000-00001F5C0000}"/>
    <cellStyle name="Normal 2 2 4 26 3 8" xfId="23618" xr:uid="{00000000-0005-0000-0000-0000205C0000}"/>
    <cellStyle name="Normal 2 2 4 26 3 9" xfId="23619" xr:uid="{00000000-0005-0000-0000-0000215C0000}"/>
    <cellStyle name="Normal 2 2 4 26 4" xfId="23620" xr:uid="{00000000-0005-0000-0000-0000225C0000}"/>
    <cellStyle name="Normal 2 2 4 26 4 10" xfId="23621" xr:uid="{00000000-0005-0000-0000-0000235C0000}"/>
    <cellStyle name="Normal 2 2 4 26 4 2" xfId="23622" xr:uid="{00000000-0005-0000-0000-0000245C0000}"/>
    <cellStyle name="Normal 2 2 4 26 4 3" xfId="23623" xr:uid="{00000000-0005-0000-0000-0000255C0000}"/>
    <cellStyle name="Normal 2 2 4 26 4 4" xfId="23624" xr:uid="{00000000-0005-0000-0000-0000265C0000}"/>
    <cellStyle name="Normal 2 2 4 26 4 5" xfId="23625" xr:uid="{00000000-0005-0000-0000-0000275C0000}"/>
    <cellStyle name="Normal 2 2 4 26 4 6" xfId="23626" xr:uid="{00000000-0005-0000-0000-0000285C0000}"/>
    <cellStyle name="Normal 2 2 4 26 4 7" xfId="23627" xr:uid="{00000000-0005-0000-0000-0000295C0000}"/>
    <cellStyle name="Normal 2 2 4 26 4 8" xfId="23628" xr:uid="{00000000-0005-0000-0000-00002A5C0000}"/>
    <cellStyle name="Normal 2 2 4 26 4 9" xfId="23629" xr:uid="{00000000-0005-0000-0000-00002B5C0000}"/>
    <cellStyle name="Normal 2 2 4 26 5" xfId="23630" xr:uid="{00000000-0005-0000-0000-00002C5C0000}"/>
    <cellStyle name="Normal 2 2 4 26 5 10" xfId="23631" xr:uid="{00000000-0005-0000-0000-00002D5C0000}"/>
    <cellStyle name="Normal 2 2 4 26 5 2" xfId="23632" xr:uid="{00000000-0005-0000-0000-00002E5C0000}"/>
    <cellStyle name="Normal 2 2 4 26 5 3" xfId="23633" xr:uid="{00000000-0005-0000-0000-00002F5C0000}"/>
    <cellStyle name="Normal 2 2 4 26 5 4" xfId="23634" xr:uid="{00000000-0005-0000-0000-0000305C0000}"/>
    <cellStyle name="Normal 2 2 4 26 5 5" xfId="23635" xr:uid="{00000000-0005-0000-0000-0000315C0000}"/>
    <cellStyle name="Normal 2 2 4 26 5 6" xfId="23636" xr:uid="{00000000-0005-0000-0000-0000325C0000}"/>
    <cellStyle name="Normal 2 2 4 26 5 7" xfId="23637" xr:uid="{00000000-0005-0000-0000-0000335C0000}"/>
    <cellStyle name="Normal 2 2 4 26 5 8" xfId="23638" xr:uid="{00000000-0005-0000-0000-0000345C0000}"/>
    <cellStyle name="Normal 2 2 4 26 5 9" xfId="23639" xr:uid="{00000000-0005-0000-0000-0000355C0000}"/>
    <cellStyle name="Normal 2 2 4 26 6" xfId="23640" xr:uid="{00000000-0005-0000-0000-0000365C0000}"/>
    <cellStyle name="Normal 2 2 4 26 7" xfId="23641" xr:uid="{00000000-0005-0000-0000-0000375C0000}"/>
    <cellStyle name="Normal 2 2 4 26 8" xfId="23642" xr:uid="{00000000-0005-0000-0000-0000385C0000}"/>
    <cellStyle name="Normal 2 2 4 26 9" xfId="23643" xr:uid="{00000000-0005-0000-0000-0000395C0000}"/>
    <cellStyle name="Normal 2 2 4 27" xfId="23644" xr:uid="{00000000-0005-0000-0000-00003A5C0000}"/>
    <cellStyle name="Normal 2 2 4 27 10" xfId="23645" xr:uid="{00000000-0005-0000-0000-00003B5C0000}"/>
    <cellStyle name="Normal 2 2 4 27 11" xfId="23646" xr:uid="{00000000-0005-0000-0000-00003C5C0000}"/>
    <cellStyle name="Normal 2 2 4 27 12" xfId="23647" xr:uid="{00000000-0005-0000-0000-00003D5C0000}"/>
    <cellStyle name="Normal 2 2 4 27 13" xfId="23648" xr:uid="{00000000-0005-0000-0000-00003E5C0000}"/>
    <cellStyle name="Normal 2 2 4 27 14" xfId="23649" xr:uid="{00000000-0005-0000-0000-00003F5C0000}"/>
    <cellStyle name="Normal 2 2 4 27 2" xfId="23650" xr:uid="{00000000-0005-0000-0000-0000405C0000}"/>
    <cellStyle name="Normal 2 2 4 27 2 10" xfId="23651" xr:uid="{00000000-0005-0000-0000-0000415C0000}"/>
    <cellStyle name="Normal 2 2 4 27 2 2" xfId="23652" xr:uid="{00000000-0005-0000-0000-0000425C0000}"/>
    <cellStyle name="Normal 2 2 4 27 2 3" xfId="23653" xr:uid="{00000000-0005-0000-0000-0000435C0000}"/>
    <cellStyle name="Normal 2 2 4 27 2 4" xfId="23654" xr:uid="{00000000-0005-0000-0000-0000445C0000}"/>
    <cellStyle name="Normal 2 2 4 27 2 5" xfId="23655" xr:uid="{00000000-0005-0000-0000-0000455C0000}"/>
    <cellStyle name="Normal 2 2 4 27 2 6" xfId="23656" xr:uid="{00000000-0005-0000-0000-0000465C0000}"/>
    <cellStyle name="Normal 2 2 4 27 2 7" xfId="23657" xr:uid="{00000000-0005-0000-0000-0000475C0000}"/>
    <cellStyle name="Normal 2 2 4 27 2 8" xfId="23658" xr:uid="{00000000-0005-0000-0000-0000485C0000}"/>
    <cellStyle name="Normal 2 2 4 27 2 9" xfId="23659" xr:uid="{00000000-0005-0000-0000-0000495C0000}"/>
    <cellStyle name="Normal 2 2 4 27 3" xfId="23660" xr:uid="{00000000-0005-0000-0000-00004A5C0000}"/>
    <cellStyle name="Normal 2 2 4 27 3 10" xfId="23661" xr:uid="{00000000-0005-0000-0000-00004B5C0000}"/>
    <cellStyle name="Normal 2 2 4 27 3 2" xfId="23662" xr:uid="{00000000-0005-0000-0000-00004C5C0000}"/>
    <cellStyle name="Normal 2 2 4 27 3 3" xfId="23663" xr:uid="{00000000-0005-0000-0000-00004D5C0000}"/>
    <cellStyle name="Normal 2 2 4 27 3 4" xfId="23664" xr:uid="{00000000-0005-0000-0000-00004E5C0000}"/>
    <cellStyle name="Normal 2 2 4 27 3 5" xfId="23665" xr:uid="{00000000-0005-0000-0000-00004F5C0000}"/>
    <cellStyle name="Normal 2 2 4 27 3 6" xfId="23666" xr:uid="{00000000-0005-0000-0000-0000505C0000}"/>
    <cellStyle name="Normal 2 2 4 27 3 7" xfId="23667" xr:uid="{00000000-0005-0000-0000-0000515C0000}"/>
    <cellStyle name="Normal 2 2 4 27 3 8" xfId="23668" xr:uid="{00000000-0005-0000-0000-0000525C0000}"/>
    <cellStyle name="Normal 2 2 4 27 3 9" xfId="23669" xr:uid="{00000000-0005-0000-0000-0000535C0000}"/>
    <cellStyle name="Normal 2 2 4 27 4" xfId="23670" xr:uid="{00000000-0005-0000-0000-0000545C0000}"/>
    <cellStyle name="Normal 2 2 4 27 4 10" xfId="23671" xr:uid="{00000000-0005-0000-0000-0000555C0000}"/>
    <cellStyle name="Normal 2 2 4 27 4 2" xfId="23672" xr:uid="{00000000-0005-0000-0000-0000565C0000}"/>
    <cellStyle name="Normal 2 2 4 27 4 3" xfId="23673" xr:uid="{00000000-0005-0000-0000-0000575C0000}"/>
    <cellStyle name="Normal 2 2 4 27 4 4" xfId="23674" xr:uid="{00000000-0005-0000-0000-0000585C0000}"/>
    <cellStyle name="Normal 2 2 4 27 4 5" xfId="23675" xr:uid="{00000000-0005-0000-0000-0000595C0000}"/>
    <cellStyle name="Normal 2 2 4 27 4 6" xfId="23676" xr:uid="{00000000-0005-0000-0000-00005A5C0000}"/>
    <cellStyle name="Normal 2 2 4 27 4 7" xfId="23677" xr:uid="{00000000-0005-0000-0000-00005B5C0000}"/>
    <cellStyle name="Normal 2 2 4 27 4 8" xfId="23678" xr:uid="{00000000-0005-0000-0000-00005C5C0000}"/>
    <cellStyle name="Normal 2 2 4 27 4 9" xfId="23679" xr:uid="{00000000-0005-0000-0000-00005D5C0000}"/>
    <cellStyle name="Normal 2 2 4 27 5" xfId="23680" xr:uid="{00000000-0005-0000-0000-00005E5C0000}"/>
    <cellStyle name="Normal 2 2 4 27 5 10" xfId="23681" xr:uid="{00000000-0005-0000-0000-00005F5C0000}"/>
    <cellStyle name="Normal 2 2 4 27 5 2" xfId="23682" xr:uid="{00000000-0005-0000-0000-0000605C0000}"/>
    <cellStyle name="Normal 2 2 4 27 5 3" xfId="23683" xr:uid="{00000000-0005-0000-0000-0000615C0000}"/>
    <cellStyle name="Normal 2 2 4 27 5 4" xfId="23684" xr:uid="{00000000-0005-0000-0000-0000625C0000}"/>
    <cellStyle name="Normal 2 2 4 27 5 5" xfId="23685" xr:uid="{00000000-0005-0000-0000-0000635C0000}"/>
    <cellStyle name="Normal 2 2 4 27 5 6" xfId="23686" xr:uid="{00000000-0005-0000-0000-0000645C0000}"/>
    <cellStyle name="Normal 2 2 4 27 5 7" xfId="23687" xr:uid="{00000000-0005-0000-0000-0000655C0000}"/>
    <cellStyle name="Normal 2 2 4 27 5 8" xfId="23688" xr:uid="{00000000-0005-0000-0000-0000665C0000}"/>
    <cellStyle name="Normal 2 2 4 27 5 9" xfId="23689" xr:uid="{00000000-0005-0000-0000-0000675C0000}"/>
    <cellStyle name="Normal 2 2 4 27 6" xfId="23690" xr:uid="{00000000-0005-0000-0000-0000685C0000}"/>
    <cellStyle name="Normal 2 2 4 27 7" xfId="23691" xr:uid="{00000000-0005-0000-0000-0000695C0000}"/>
    <cellStyle name="Normal 2 2 4 27 8" xfId="23692" xr:uid="{00000000-0005-0000-0000-00006A5C0000}"/>
    <cellStyle name="Normal 2 2 4 27 9" xfId="23693" xr:uid="{00000000-0005-0000-0000-00006B5C0000}"/>
    <cellStyle name="Normal 2 2 4 28" xfId="23694" xr:uid="{00000000-0005-0000-0000-00006C5C0000}"/>
    <cellStyle name="Normal 2 2 4 28 10" xfId="23695" xr:uid="{00000000-0005-0000-0000-00006D5C0000}"/>
    <cellStyle name="Normal 2 2 4 28 11" xfId="23696" xr:uid="{00000000-0005-0000-0000-00006E5C0000}"/>
    <cellStyle name="Normal 2 2 4 28 12" xfId="23697" xr:uid="{00000000-0005-0000-0000-00006F5C0000}"/>
    <cellStyle name="Normal 2 2 4 28 13" xfId="23698" xr:uid="{00000000-0005-0000-0000-0000705C0000}"/>
    <cellStyle name="Normal 2 2 4 28 14" xfId="23699" xr:uid="{00000000-0005-0000-0000-0000715C0000}"/>
    <cellStyle name="Normal 2 2 4 28 2" xfId="23700" xr:uid="{00000000-0005-0000-0000-0000725C0000}"/>
    <cellStyle name="Normal 2 2 4 28 2 10" xfId="23701" xr:uid="{00000000-0005-0000-0000-0000735C0000}"/>
    <cellStyle name="Normal 2 2 4 28 2 2" xfId="23702" xr:uid="{00000000-0005-0000-0000-0000745C0000}"/>
    <cellStyle name="Normal 2 2 4 28 2 3" xfId="23703" xr:uid="{00000000-0005-0000-0000-0000755C0000}"/>
    <cellStyle name="Normal 2 2 4 28 2 4" xfId="23704" xr:uid="{00000000-0005-0000-0000-0000765C0000}"/>
    <cellStyle name="Normal 2 2 4 28 2 5" xfId="23705" xr:uid="{00000000-0005-0000-0000-0000775C0000}"/>
    <cellStyle name="Normal 2 2 4 28 2 6" xfId="23706" xr:uid="{00000000-0005-0000-0000-0000785C0000}"/>
    <cellStyle name="Normal 2 2 4 28 2 7" xfId="23707" xr:uid="{00000000-0005-0000-0000-0000795C0000}"/>
    <cellStyle name="Normal 2 2 4 28 2 8" xfId="23708" xr:uid="{00000000-0005-0000-0000-00007A5C0000}"/>
    <cellStyle name="Normal 2 2 4 28 2 9" xfId="23709" xr:uid="{00000000-0005-0000-0000-00007B5C0000}"/>
    <cellStyle name="Normal 2 2 4 28 3" xfId="23710" xr:uid="{00000000-0005-0000-0000-00007C5C0000}"/>
    <cellStyle name="Normal 2 2 4 28 3 10" xfId="23711" xr:uid="{00000000-0005-0000-0000-00007D5C0000}"/>
    <cellStyle name="Normal 2 2 4 28 3 2" xfId="23712" xr:uid="{00000000-0005-0000-0000-00007E5C0000}"/>
    <cellStyle name="Normal 2 2 4 28 3 3" xfId="23713" xr:uid="{00000000-0005-0000-0000-00007F5C0000}"/>
    <cellStyle name="Normal 2 2 4 28 3 4" xfId="23714" xr:uid="{00000000-0005-0000-0000-0000805C0000}"/>
    <cellStyle name="Normal 2 2 4 28 3 5" xfId="23715" xr:uid="{00000000-0005-0000-0000-0000815C0000}"/>
    <cellStyle name="Normal 2 2 4 28 3 6" xfId="23716" xr:uid="{00000000-0005-0000-0000-0000825C0000}"/>
    <cellStyle name="Normal 2 2 4 28 3 7" xfId="23717" xr:uid="{00000000-0005-0000-0000-0000835C0000}"/>
    <cellStyle name="Normal 2 2 4 28 3 8" xfId="23718" xr:uid="{00000000-0005-0000-0000-0000845C0000}"/>
    <cellStyle name="Normal 2 2 4 28 3 9" xfId="23719" xr:uid="{00000000-0005-0000-0000-0000855C0000}"/>
    <cellStyle name="Normal 2 2 4 28 4" xfId="23720" xr:uid="{00000000-0005-0000-0000-0000865C0000}"/>
    <cellStyle name="Normal 2 2 4 28 4 10" xfId="23721" xr:uid="{00000000-0005-0000-0000-0000875C0000}"/>
    <cellStyle name="Normal 2 2 4 28 4 2" xfId="23722" xr:uid="{00000000-0005-0000-0000-0000885C0000}"/>
    <cellStyle name="Normal 2 2 4 28 4 3" xfId="23723" xr:uid="{00000000-0005-0000-0000-0000895C0000}"/>
    <cellStyle name="Normal 2 2 4 28 4 4" xfId="23724" xr:uid="{00000000-0005-0000-0000-00008A5C0000}"/>
    <cellStyle name="Normal 2 2 4 28 4 5" xfId="23725" xr:uid="{00000000-0005-0000-0000-00008B5C0000}"/>
    <cellStyle name="Normal 2 2 4 28 4 6" xfId="23726" xr:uid="{00000000-0005-0000-0000-00008C5C0000}"/>
    <cellStyle name="Normal 2 2 4 28 4 7" xfId="23727" xr:uid="{00000000-0005-0000-0000-00008D5C0000}"/>
    <cellStyle name="Normal 2 2 4 28 4 8" xfId="23728" xr:uid="{00000000-0005-0000-0000-00008E5C0000}"/>
    <cellStyle name="Normal 2 2 4 28 4 9" xfId="23729" xr:uid="{00000000-0005-0000-0000-00008F5C0000}"/>
    <cellStyle name="Normal 2 2 4 28 5" xfId="23730" xr:uid="{00000000-0005-0000-0000-0000905C0000}"/>
    <cellStyle name="Normal 2 2 4 28 5 10" xfId="23731" xr:uid="{00000000-0005-0000-0000-0000915C0000}"/>
    <cellStyle name="Normal 2 2 4 28 5 2" xfId="23732" xr:uid="{00000000-0005-0000-0000-0000925C0000}"/>
    <cellStyle name="Normal 2 2 4 28 5 3" xfId="23733" xr:uid="{00000000-0005-0000-0000-0000935C0000}"/>
    <cellStyle name="Normal 2 2 4 28 5 4" xfId="23734" xr:uid="{00000000-0005-0000-0000-0000945C0000}"/>
    <cellStyle name="Normal 2 2 4 28 5 5" xfId="23735" xr:uid="{00000000-0005-0000-0000-0000955C0000}"/>
    <cellStyle name="Normal 2 2 4 28 5 6" xfId="23736" xr:uid="{00000000-0005-0000-0000-0000965C0000}"/>
    <cellStyle name="Normal 2 2 4 28 5 7" xfId="23737" xr:uid="{00000000-0005-0000-0000-0000975C0000}"/>
    <cellStyle name="Normal 2 2 4 28 5 8" xfId="23738" xr:uid="{00000000-0005-0000-0000-0000985C0000}"/>
    <cellStyle name="Normal 2 2 4 28 5 9" xfId="23739" xr:uid="{00000000-0005-0000-0000-0000995C0000}"/>
    <cellStyle name="Normal 2 2 4 28 6" xfId="23740" xr:uid="{00000000-0005-0000-0000-00009A5C0000}"/>
    <cellStyle name="Normal 2 2 4 28 7" xfId="23741" xr:uid="{00000000-0005-0000-0000-00009B5C0000}"/>
    <cellStyle name="Normal 2 2 4 28 8" xfId="23742" xr:uid="{00000000-0005-0000-0000-00009C5C0000}"/>
    <cellStyle name="Normal 2 2 4 28 9" xfId="23743" xr:uid="{00000000-0005-0000-0000-00009D5C0000}"/>
    <cellStyle name="Normal 2 2 4 29" xfId="23744" xr:uid="{00000000-0005-0000-0000-00009E5C0000}"/>
    <cellStyle name="Normal 2 2 4 29 10" xfId="23745" xr:uid="{00000000-0005-0000-0000-00009F5C0000}"/>
    <cellStyle name="Normal 2 2 4 29 11" xfId="23746" xr:uid="{00000000-0005-0000-0000-0000A05C0000}"/>
    <cellStyle name="Normal 2 2 4 29 12" xfId="23747" xr:uid="{00000000-0005-0000-0000-0000A15C0000}"/>
    <cellStyle name="Normal 2 2 4 29 13" xfId="23748" xr:uid="{00000000-0005-0000-0000-0000A25C0000}"/>
    <cellStyle name="Normal 2 2 4 29 14" xfId="23749" xr:uid="{00000000-0005-0000-0000-0000A35C0000}"/>
    <cellStyle name="Normal 2 2 4 29 2" xfId="23750" xr:uid="{00000000-0005-0000-0000-0000A45C0000}"/>
    <cellStyle name="Normal 2 2 4 29 2 10" xfId="23751" xr:uid="{00000000-0005-0000-0000-0000A55C0000}"/>
    <cellStyle name="Normal 2 2 4 29 2 2" xfId="23752" xr:uid="{00000000-0005-0000-0000-0000A65C0000}"/>
    <cellStyle name="Normal 2 2 4 29 2 3" xfId="23753" xr:uid="{00000000-0005-0000-0000-0000A75C0000}"/>
    <cellStyle name="Normal 2 2 4 29 2 4" xfId="23754" xr:uid="{00000000-0005-0000-0000-0000A85C0000}"/>
    <cellStyle name="Normal 2 2 4 29 2 5" xfId="23755" xr:uid="{00000000-0005-0000-0000-0000A95C0000}"/>
    <cellStyle name="Normal 2 2 4 29 2 6" xfId="23756" xr:uid="{00000000-0005-0000-0000-0000AA5C0000}"/>
    <cellStyle name="Normal 2 2 4 29 2 7" xfId="23757" xr:uid="{00000000-0005-0000-0000-0000AB5C0000}"/>
    <cellStyle name="Normal 2 2 4 29 2 8" xfId="23758" xr:uid="{00000000-0005-0000-0000-0000AC5C0000}"/>
    <cellStyle name="Normal 2 2 4 29 2 9" xfId="23759" xr:uid="{00000000-0005-0000-0000-0000AD5C0000}"/>
    <cellStyle name="Normal 2 2 4 29 3" xfId="23760" xr:uid="{00000000-0005-0000-0000-0000AE5C0000}"/>
    <cellStyle name="Normal 2 2 4 29 3 10" xfId="23761" xr:uid="{00000000-0005-0000-0000-0000AF5C0000}"/>
    <cellStyle name="Normal 2 2 4 29 3 2" xfId="23762" xr:uid="{00000000-0005-0000-0000-0000B05C0000}"/>
    <cellStyle name="Normal 2 2 4 29 3 3" xfId="23763" xr:uid="{00000000-0005-0000-0000-0000B15C0000}"/>
    <cellStyle name="Normal 2 2 4 29 3 4" xfId="23764" xr:uid="{00000000-0005-0000-0000-0000B25C0000}"/>
    <cellStyle name="Normal 2 2 4 29 3 5" xfId="23765" xr:uid="{00000000-0005-0000-0000-0000B35C0000}"/>
    <cellStyle name="Normal 2 2 4 29 3 6" xfId="23766" xr:uid="{00000000-0005-0000-0000-0000B45C0000}"/>
    <cellStyle name="Normal 2 2 4 29 3 7" xfId="23767" xr:uid="{00000000-0005-0000-0000-0000B55C0000}"/>
    <cellStyle name="Normal 2 2 4 29 3 8" xfId="23768" xr:uid="{00000000-0005-0000-0000-0000B65C0000}"/>
    <cellStyle name="Normal 2 2 4 29 3 9" xfId="23769" xr:uid="{00000000-0005-0000-0000-0000B75C0000}"/>
    <cellStyle name="Normal 2 2 4 29 4" xfId="23770" xr:uid="{00000000-0005-0000-0000-0000B85C0000}"/>
    <cellStyle name="Normal 2 2 4 29 4 10" xfId="23771" xr:uid="{00000000-0005-0000-0000-0000B95C0000}"/>
    <cellStyle name="Normal 2 2 4 29 4 2" xfId="23772" xr:uid="{00000000-0005-0000-0000-0000BA5C0000}"/>
    <cellStyle name="Normal 2 2 4 29 4 3" xfId="23773" xr:uid="{00000000-0005-0000-0000-0000BB5C0000}"/>
    <cellStyle name="Normal 2 2 4 29 4 4" xfId="23774" xr:uid="{00000000-0005-0000-0000-0000BC5C0000}"/>
    <cellStyle name="Normal 2 2 4 29 4 5" xfId="23775" xr:uid="{00000000-0005-0000-0000-0000BD5C0000}"/>
    <cellStyle name="Normal 2 2 4 29 4 6" xfId="23776" xr:uid="{00000000-0005-0000-0000-0000BE5C0000}"/>
    <cellStyle name="Normal 2 2 4 29 4 7" xfId="23777" xr:uid="{00000000-0005-0000-0000-0000BF5C0000}"/>
    <cellStyle name="Normal 2 2 4 29 4 8" xfId="23778" xr:uid="{00000000-0005-0000-0000-0000C05C0000}"/>
    <cellStyle name="Normal 2 2 4 29 4 9" xfId="23779" xr:uid="{00000000-0005-0000-0000-0000C15C0000}"/>
    <cellStyle name="Normal 2 2 4 29 5" xfId="23780" xr:uid="{00000000-0005-0000-0000-0000C25C0000}"/>
    <cellStyle name="Normal 2 2 4 29 5 10" xfId="23781" xr:uid="{00000000-0005-0000-0000-0000C35C0000}"/>
    <cellStyle name="Normal 2 2 4 29 5 2" xfId="23782" xr:uid="{00000000-0005-0000-0000-0000C45C0000}"/>
    <cellStyle name="Normal 2 2 4 29 5 3" xfId="23783" xr:uid="{00000000-0005-0000-0000-0000C55C0000}"/>
    <cellStyle name="Normal 2 2 4 29 5 4" xfId="23784" xr:uid="{00000000-0005-0000-0000-0000C65C0000}"/>
    <cellStyle name="Normal 2 2 4 29 5 5" xfId="23785" xr:uid="{00000000-0005-0000-0000-0000C75C0000}"/>
    <cellStyle name="Normal 2 2 4 29 5 6" xfId="23786" xr:uid="{00000000-0005-0000-0000-0000C85C0000}"/>
    <cellStyle name="Normal 2 2 4 29 5 7" xfId="23787" xr:uid="{00000000-0005-0000-0000-0000C95C0000}"/>
    <cellStyle name="Normal 2 2 4 29 5 8" xfId="23788" xr:uid="{00000000-0005-0000-0000-0000CA5C0000}"/>
    <cellStyle name="Normal 2 2 4 29 5 9" xfId="23789" xr:uid="{00000000-0005-0000-0000-0000CB5C0000}"/>
    <cellStyle name="Normal 2 2 4 29 6" xfId="23790" xr:uid="{00000000-0005-0000-0000-0000CC5C0000}"/>
    <cellStyle name="Normal 2 2 4 29 7" xfId="23791" xr:uid="{00000000-0005-0000-0000-0000CD5C0000}"/>
    <cellStyle name="Normal 2 2 4 29 8" xfId="23792" xr:uid="{00000000-0005-0000-0000-0000CE5C0000}"/>
    <cellStyle name="Normal 2 2 4 29 9" xfId="23793" xr:uid="{00000000-0005-0000-0000-0000CF5C0000}"/>
    <cellStyle name="Normal 2 2 4 3" xfId="23794" xr:uid="{00000000-0005-0000-0000-0000D05C0000}"/>
    <cellStyle name="Normal 2 2 4 3 10" xfId="23795" xr:uid="{00000000-0005-0000-0000-0000D15C0000}"/>
    <cellStyle name="Normal 2 2 4 3 11" xfId="23796" xr:uid="{00000000-0005-0000-0000-0000D25C0000}"/>
    <cellStyle name="Normal 2 2 4 3 12" xfId="23797" xr:uid="{00000000-0005-0000-0000-0000D35C0000}"/>
    <cellStyle name="Normal 2 2 4 3 13" xfId="23798" xr:uid="{00000000-0005-0000-0000-0000D45C0000}"/>
    <cellStyle name="Normal 2 2 4 3 14" xfId="23799" xr:uid="{00000000-0005-0000-0000-0000D55C0000}"/>
    <cellStyle name="Normal 2 2 4 3 2" xfId="23800" xr:uid="{00000000-0005-0000-0000-0000D65C0000}"/>
    <cellStyle name="Normal 2 2 4 3 2 10" xfId="23801" xr:uid="{00000000-0005-0000-0000-0000D75C0000}"/>
    <cellStyle name="Normal 2 2 4 3 2 2" xfId="23802" xr:uid="{00000000-0005-0000-0000-0000D85C0000}"/>
    <cellStyle name="Normal 2 2 4 3 2 3" xfId="23803" xr:uid="{00000000-0005-0000-0000-0000D95C0000}"/>
    <cellStyle name="Normal 2 2 4 3 2 4" xfId="23804" xr:uid="{00000000-0005-0000-0000-0000DA5C0000}"/>
    <cellStyle name="Normal 2 2 4 3 2 5" xfId="23805" xr:uid="{00000000-0005-0000-0000-0000DB5C0000}"/>
    <cellStyle name="Normal 2 2 4 3 2 6" xfId="23806" xr:uid="{00000000-0005-0000-0000-0000DC5C0000}"/>
    <cellStyle name="Normal 2 2 4 3 2 7" xfId="23807" xr:uid="{00000000-0005-0000-0000-0000DD5C0000}"/>
    <cellStyle name="Normal 2 2 4 3 2 8" xfId="23808" xr:uid="{00000000-0005-0000-0000-0000DE5C0000}"/>
    <cellStyle name="Normal 2 2 4 3 2 9" xfId="23809" xr:uid="{00000000-0005-0000-0000-0000DF5C0000}"/>
    <cellStyle name="Normal 2 2 4 3 3" xfId="23810" xr:uid="{00000000-0005-0000-0000-0000E05C0000}"/>
    <cellStyle name="Normal 2 2 4 3 3 10" xfId="23811" xr:uid="{00000000-0005-0000-0000-0000E15C0000}"/>
    <cellStyle name="Normal 2 2 4 3 3 2" xfId="23812" xr:uid="{00000000-0005-0000-0000-0000E25C0000}"/>
    <cellStyle name="Normal 2 2 4 3 3 3" xfId="23813" xr:uid="{00000000-0005-0000-0000-0000E35C0000}"/>
    <cellStyle name="Normal 2 2 4 3 3 4" xfId="23814" xr:uid="{00000000-0005-0000-0000-0000E45C0000}"/>
    <cellStyle name="Normal 2 2 4 3 3 5" xfId="23815" xr:uid="{00000000-0005-0000-0000-0000E55C0000}"/>
    <cellStyle name="Normal 2 2 4 3 3 6" xfId="23816" xr:uid="{00000000-0005-0000-0000-0000E65C0000}"/>
    <cellStyle name="Normal 2 2 4 3 3 7" xfId="23817" xr:uid="{00000000-0005-0000-0000-0000E75C0000}"/>
    <cellStyle name="Normal 2 2 4 3 3 8" xfId="23818" xr:uid="{00000000-0005-0000-0000-0000E85C0000}"/>
    <cellStyle name="Normal 2 2 4 3 3 9" xfId="23819" xr:uid="{00000000-0005-0000-0000-0000E95C0000}"/>
    <cellStyle name="Normal 2 2 4 3 4" xfId="23820" xr:uid="{00000000-0005-0000-0000-0000EA5C0000}"/>
    <cellStyle name="Normal 2 2 4 3 4 10" xfId="23821" xr:uid="{00000000-0005-0000-0000-0000EB5C0000}"/>
    <cellStyle name="Normal 2 2 4 3 4 2" xfId="23822" xr:uid="{00000000-0005-0000-0000-0000EC5C0000}"/>
    <cellStyle name="Normal 2 2 4 3 4 3" xfId="23823" xr:uid="{00000000-0005-0000-0000-0000ED5C0000}"/>
    <cellStyle name="Normal 2 2 4 3 4 4" xfId="23824" xr:uid="{00000000-0005-0000-0000-0000EE5C0000}"/>
    <cellStyle name="Normal 2 2 4 3 4 5" xfId="23825" xr:uid="{00000000-0005-0000-0000-0000EF5C0000}"/>
    <cellStyle name="Normal 2 2 4 3 4 6" xfId="23826" xr:uid="{00000000-0005-0000-0000-0000F05C0000}"/>
    <cellStyle name="Normal 2 2 4 3 4 7" xfId="23827" xr:uid="{00000000-0005-0000-0000-0000F15C0000}"/>
    <cellStyle name="Normal 2 2 4 3 4 8" xfId="23828" xr:uid="{00000000-0005-0000-0000-0000F25C0000}"/>
    <cellStyle name="Normal 2 2 4 3 4 9" xfId="23829" xr:uid="{00000000-0005-0000-0000-0000F35C0000}"/>
    <cellStyle name="Normal 2 2 4 3 5" xfId="23830" xr:uid="{00000000-0005-0000-0000-0000F45C0000}"/>
    <cellStyle name="Normal 2 2 4 3 5 10" xfId="23831" xr:uid="{00000000-0005-0000-0000-0000F55C0000}"/>
    <cellStyle name="Normal 2 2 4 3 5 2" xfId="23832" xr:uid="{00000000-0005-0000-0000-0000F65C0000}"/>
    <cellStyle name="Normal 2 2 4 3 5 3" xfId="23833" xr:uid="{00000000-0005-0000-0000-0000F75C0000}"/>
    <cellStyle name="Normal 2 2 4 3 5 4" xfId="23834" xr:uid="{00000000-0005-0000-0000-0000F85C0000}"/>
    <cellStyle name="Normal 2 2 4 3 5 5" xfId="23835" xr:uid="{00000000-0005-0000-0000-0000F95C0000}"/>
    <cellStyle name="Normal 2 2 4 3 5 6" xfId="23836" xr:uid="{00000000-0005-0000-0000-0000FA5C0000}"/>
    <cellStyle name="Normal 2 2 4 3 5 7" xfId="23837" xr:uid="{00000000-0005-0000-0000-0000FB5C0000}"/>
    <cellStyle name="Normal 2 2 4 3 5 8" xfId="23838" xr:uid="{00000000-0005-0000-0000-0000FC5C0000}"/>
    <cellStyle name="Normal 2 2 4 3 5 9" xfId="23839" xr:uid="{00000000-0005-0000-0000-0000FD5C0000}"/>
    <cellStyle name="Normal 2 2 4 3 6" xfId="23840" xr:uid="{00000000-0005-0000-0000-0000FE5C0000}"/>
    <cellStyle name="Normal 2 2 4 3 7" xfId="23841" xr:uid="{00000000-0005-0000-0000-0000FF5C0000}"/>
    <cellStyle name="Normal 2 2 4 3 8" xfId="23842" xr:uid="{00000000-0005-0000-0000-0000005D0000}"/>
    <cellStyle name="Normal 2 2 4 3 9" xfId="23843" xr:uid="{00000000-0005-0000-0000-0000015D0000}"/>
    <cellStyle name="Normal 2 2 4 30" xfId="23844" xr:uid="{00000000-0005-0000-0000-0000025D0000}"/>
    <cellStyle name="Normal 2 2 4 30 10" xfId="23845" xr:uid="{00000000-0005-0000-0000-0000035D0000}"/>
    <cellStyle name="Normal 2 2 4 30 11" xfId="23846" xr:uid="{00000000-0005-0000-0000-0000045D0000}"/>
    <cellStyle name="Normal 2 2 4 30 12" xfId="23847" xr:uid="{00000000-0005-0000-0000-0000055D0000}"/>
    <cellStyle name="Normal 2 2 4 30 13" xfId="23848" xr:uid="{00000000-0005-0000-0000-0000065D0000}"/>
    <cellStyle name="Normal 2 2 4 30 14" xfId="23849" xr:uid="{00000000-0005-0000-0000-0000075D0000}"/>
    <cellStyle name="Normal 2 2 4 30 2" xfId="23850" xr:uid="{00000000-0005-0000-0000-0000085D0000}"/>
    <cellStyle name="Normal 2 2 4 30 2 10" xfId="23851" xr:uid="{00000000-0005-0000-0000-0000095D0000}"/>
    <cellStyle name="Normal 2 2 4 30 2 2" xfId="23852" xr:uid="{00000000-0005-0000-0000-00000A5D0000}"/>
    <cellStyle name="Normal 2 2 4 30 2 3" xfId="23853" xr:uid="{00000000-0005-0000-0000-00000B5D0000}"/>
    <cellStyle name="Normal 2 2 4 30 2 4" xfId="23854" xr:uid="{00000000-0005-0000-0000-00000C5D0000}"/>
    <cellStyle name="Normal 2 2 4 30 2 5" xfId="23855" xr:uid="{00000000-0005-0000-0000-00000D5D0000}"/>
    <cellStyle name="Normal 2 2 4 30 2 6" xfId="23856" xr:uid="{00000000-0005-0000-0000-00000E5D0000}"/>
    <cellStyle name="Normal 2 2 4 30 2 7" xfId="23857" xr:uid="{00000000-0005-0000-0000-00000F5D0000}"/>
    <cellStyle name="Normal 2 2 4 30 2 8" xfId="23858" xr:uid="{00000000-0005-0000-0000-0000105D0000}"/>
    <cellStyle name="Normal 2 2 4 30 2 9" xfId="23859" xr:uid="{00000000-0005-0000-0000-0000115D0000}"/>
    <cellStyle name="Normal 2 2 4 30 3" xfId="23860" xr:uid="{00000000-0005-0000-0000-0000125D0000}"/>
    <cellStyle name="Normal 2 2 4 30 3 10" xfId="23861" xr:uid="{00000000-0005-0000-0000-0000135D0000}"/>
    <cellStyle name="Normal 2 2 4 30 3 2" xfId="23862" xr:uid="{00000000-0005-0000-0000-0000145D0000}"/>
    <cellStyle name="Normal 2 2 4 30 3 3" xfId="23863" xr:uid="{00000000-0005-0000-0000-0000155D0000}"/>
    <cellStyle name="Normal 2 2 4 30 3 4" xfId="23864" xr:uid="{00000000-0005-0000-0000-0000165D0000}"/>
    <cellStyle name="Normal 2 2 4 30 3 5" xfId="23865" xr:uid="{00000000-0005-0000-0000-0000175D0000}"/>
    <cellStyle name="Normal 2 2 4 30 3 6" xfId="23866" xr:uid="{00000000-0005-0000-0000-0000185D0000}"/>
    <cellStyle name="Normal 2 2 4 30 3 7" xfId="23867" xr:uid="{00000000-0005-0000-0000-0000195D0000}"/>
    <cellStyle name="Normal 2 2 4 30 3 8" xfId="23868" xr:uid="{00000000-0005-0000-0000-00001A5D0000}"/>
    <cellStyle name="Normal 2 2 4 30 3 9" xfId="23869" xr:uid="{00000000-0005-0000-0000-00001B5D0000}"/>
    <cellStyle name="Normal 2 2 4 30 4" xfId="23870" xr:uid="{00000000-0005-0000-0000-00001C5D0000}"/>
    <cellStyle name="Normal 2 2 4 30 4 10" xfId="23871" xr:uid="{00000000-0005-0000-0000-00001D5D0000}"/>
    <cellStyle name="Normal 2 2 4 30 4 2" xfId="23872" xr:uid="{00000000-0005-0000-0000-00001E5D0000}"/>
    <cellStyle name="Normal 2 2 4 30 4 3" xfId="23873" xr:uid="{00000000-0005-0000-0000-00001F5D0000}"/>
    <cellStyle name="Normal 2 2 4 30 4 4" xfId="23874" xr:uid="{00000000-0005-0000-0000-0000205D0000}"/>
    <cellStyle name="Normal 2 2 4 30 4 5" xfId="23875" xr:uid="{00000000-0005-0000-0000-0000215D0000}"/>
    <cellStyle name="Normal 2 2 4 30 4 6" xfId="23876" xr:uid="{00000000-0005-0000-0000-0000225D0000}"/>
    <cellStyle name="Normal 2 2 4 30 4 7" xfId="23877" xr:uid="{00000000-0005-0000-0000-0000235D0000}"/>
    <cellStyle name="Normal 2 2 4 30 4 8" xfId="23878" xr:uid="{00000000-0005-0000-0000-0000245D0000}"/>
    <cellStyle name="Normal 2 2 4 30 4 9" xfId="23879" xr:uid="{00000000-0005-0000-0000-0000255D0000}"/>
    <cellStyle name="Normal 2 2 4 30 5" xfId="23880" xr:uid="{00000000-0005-0000-0000-0000265D0000}"/>
    <cellStyle name="Normal 2 2 4 30 5 10" xfId="23881" xr:uid="{00000000-0005-0000-0000-0000275D0000}"/>
    <cellStyle name="Normal 2 2 4 30 5 2" xfId="23882" xr:uid="{00000000-0005-0000-0000-0000285D0000}"/>
    <cellStyle name="Normal 2 2 4 30 5 3" xfId="23883" xr:uid="{00000000-0005-0000-0000-0000295D0000}"/>
    <cellStyle name="Normal 2 2 4 30 5 4" xfId="23884" xr:uid="{00000000-0005-0000-0000-00002A5D0000}"/>
    <cellStyle name="Normal 2 2 4 30 5 5" xfId="23885" xr:uid="{00000000-0005-0000-0000-00002B5D0000}"/>
    <cellStyle name="Normal 2 2 4 30 5 6" xfId="23886" xr:uid="{00000000-0005-0000-0000-00002C5D0000}"/>
    <cellStyle name="Normal 2 2 4 30 5 7" xfId="23887" xr:uid="{00000000-0005-0000-0000-00002D5D0000}"/>
    <cellStyle name="Normal 2 2 4 30 5 8" xfId="23888" xr:uid="{00000000-0005-0000-0000-00002E5D0000}"/>
    <cellStyle name="Normal 2 2 4 30 5 9" xfId="23889" xr:uid="{00000000-0005-0000-0000-00002F5D0000}"/>
    <cellStyle name="Normal 2 2 4 30 6" xfId="23890" xr:uid="{00000000-0005-0000-0000-0000305D0000}"/>
    <cellStyle name="Normal 2 2 4 30 7" xfId="23891" xr:uid="{00000000-0005-0000-0000-0000315D0000}"/>
    <cellStyle name="Normal 2 2 4 30 8" xfId="23892" xr:uid="{00000000-0005-0000-0000-0000325D0000}"/>
    <cellStyle name="Normal 2 2 4 30 9" xfId="23893" xr:uid="{00000000-0005-0000-0000-0000335D0000}"/>
    <cellStyle name="Normal 2 2 4 31" xfId="23894" xr:uid="{00000000-0005-0000-0000-0000345D0000}"/>
    <cellStyle name="Normal 2 2 4 31 10" xfId="23895" xr:uid="{00000000-0005-0000-0000-0000355D0000}"/>
    <cellStyle name="Normal 2 2 4 31 11" xfId="23896" xr:uid="{00000000-0005-0000-0000-0000365D0000}"/>
    <cellStyle name="Normal 2 2 4 31 12" xfId="23897" xr:uid="{00000000-0005-0000-0000-0000375D0000}"/>
    <cellStyle name="Normal 2 2 4 31 13" xfId="23898" xr:uid="{00000000-0005-0000-0000-0000385D0000}"/>
    <cellStyle name="Normal 2 2 4 31 14" xfId="23899" xr:uid="{00000000-0005-0000-0000-0000395D0000}"/>
    <cellStyle name="Normal 2 2 4 31 2" xfId="23900" xr:uid="{00000000-0005-0000-0000-00003A5D0000}"/>
    <cellStyle name="Normal 2 2 4 31 2 10" xfId="23901" xr:uid="{00000000-0005-0000-0000-00003B5D0000}"/>
    <cellStyle name="Normal 2 2 4 31 2 2" xfId="23902" xr:uid="{00000000-0005-0000-0000-00003C5D0000}"/>
    <cellStyle name="Normal 2 2 4 31 2 3" xfId="23903" xr:uid="{00000000-0005-0000-0000-00003D5D0000}"/>
    <cellStyle name="Normal 2 2 4 31 2 4" xfId="23904" xr:uid="{00000000-0005-0000-0000-00003E5D0000}"/>
    <cellStyle name="Normal 2 2 4 31 2 5" xfId="23905" xr:uid="{00000000-0005-0000-0000-00003F5D0000}"/>
    <cellStyle name="Normal 2 2 4 31 2 6" xfId="23906" xr:uid="{00000000-0005-0000-0000-0000405D0000}"/>
    <cellStyle name="Normal 2 2 4 31 2 7" xfId="23907" xr:uid="{00000000-0005-0000-0000-0000415D0000}"/>
    <cellStyle name="Normal 2 2 4 31 2 8" xfId="23908" xr:uid="{00000000-0005-0000-0000-0000425D0000}"/>
    <cellStyle name="Normal 2 2 4 31 2 9" xfId="23909" xr:uid="{00000000-0005-0000-0000-0000435D0000}"/>
    <cellStyle name="Normal 2 2 4 31 3" xfId="23910" xr:uid="{00000000-0005-0000-0000-0000445D0000}"/>
    <cellStyle name="Normal 2 2 4 31 3 10" xfId="23911" xr:uid="{00000000-0005-0000-0000-0000455D0000}"/>
    <cellStyle name="Normal 2 2 4 31 3 2" xfId="23912" xr:uid="{00000000-0005-0000-0000-0000465D0000}"/>
    <cellStyle name="Normal 2 2 4 31 3 3" xfId="23913" xr:uid="{00000000-0005-0000-0000-0000475D0000}"/>
    <cellStyle name="Normal 2 2 4 31 3 4" xfId="23914" xr:uid="{00000000-0005-0000-0000-0000485D0000}"/>
    <cellStyle name="Normal 2 2 4 31 3 5" xfId="23915" xr:uid="{00000000-0005-0000-0000-0000495D0000}"/>
    <cellStyle name="Normal 2 2 4 31 3 6" xfId="23916" xr:uid="{00000000-0005-0000-0000-00004A5D0000}"/>
    <cellStyle name="Normal 2 2 4 31 3 7" xfId="23917" xr:uid="{00000000-0005-0000-0000-00004B5D0000}"/>
    <cellStyle name="Normal 2 2 4 31 3 8" xfId="23918" xr:uid="{00000000-0005-0000-0000-00004C5D0000}"/>
    <cellStyle name="Normal 2 2 4 31 3 9" xfId="23919" xr:uid="{00000000-0005-0000-0000-00004D5D0000}"/>
    <cellStyle name="Normal 2 2 4 31 4" xfId="23920" xr:uid="{00000000-0005-0000-0000-00004E5D0000}"/>
    <cellStyle name="Normal 2 2 4 31 4 10" xfId="23921" xr:uid="{00000000-0005-0000-0000-00004F5D0000}"/>
    <cellStyle name="Normal 2 2 4 31 4 2" xfId="23922" xr:uid="{00000000-0005-0000-0000-0000505D0000}"/>
    <cellStyle name="Normal 2 2 4 31 4 3" xfId="23923" xr:uid="{00000000-0005-0000-0000-0000515D0000}"/>
    <cellStyle name="Normal 2 2 4 31 4 4" xfId="23924" xr:uid="{00000000-0005-0000-0000-0000525D0000}"/>
    <cellStyle name="Normal 2 2 4 31 4 5" xfId="23925" xr:uid="{00000000-0005-0000-0000-0000535D0000}"/>
    <cellStyle name="Normal 2 2 4 31 4 6" xfId="23926" xr:uid="{00000000-0005-0000-0000-0000545D0000}"/>
    <cellStyle name="Normal 2 2 4 31 4 7" xfId="23927" xr:uid="{00000000-0005-0000-0000-0000555D0000}"/>
    <cellStyle name="Normal 2 2 4 31 4 8" xfId="23928" xr:uid="{00000000-0005-0000-0000-0000565D0000}"/>
    <cellStyle name="Normal 2 2 4 31 4 9" xfId="23929" xr:uid="{00000000-0005-0000-0000-0000575D0000}"/>
    <cellStyle name="Normal 2 2 4 31 5" xfId="23930" xr:uid="{00000000-0005-0000-0000-0000585D0000}"/>
    <cellStyle name="Normal 2 2 4 31 5 10" xfId="23931" xr:uid="{00000000-0005-0000-0000-0000595D0000}"/>
    <cellStyle name="Normal 2 2 4 31 5 2" xfId="23932" xr:uid="{00000000-0005-0000-0000-00005A5D0000}"/>
    <cellStyle name="Normal 2 2 4 31 5 3" xfId="23933" xr:uid="{00000000-0005-0000-0000-00005B5D0000}"/>
    <cellStyle name="Normal 2 2 4 31 5 4" xfId="23934" xr:uid="{00000000-0005-0000-0000-00005C5D0000}"/>
    <cellStyle name="Normal 2 2 4 31 5 5" xfId="23935" xr:uid="{00000000-0005-0000-0000-00005D5D0000}"/>
    <cellStyle name="Normal 2 2 4 31 5 6" xfId="23936" xr:uid="{00000000-0005-0000-0000-00005E5D0000}"/>
    <cellStyle name="Normal 2 2 4 31 5 7" xfId="23937" xr:uid="{00000000-0005-0000-0000-00005F5D0000}"/>
    <cellStyle name="Normal 2 2 4 31 5 8" xfId="23938" xr:uid="{00000000-0005-0000-0000-0000605D0000}"/>
    <cellStyle name="Normal 2 2 4 31 5 9" xfId="23939" xr:uid="{00000000-0005-0000-0000-0000615D0000}"/>
    <cellStyle name="Normal 2 2 4 31 6" xfId="23940" xr:uid="{00000000-0005-0000-0000-0000625D0000}"/>
    <cellStyle name="Normal 2 2 4 31 7" xfId="23941" xr:uid="{00000000-0005-0000-0000-0000635D0000}"/>
    <cellStyle name="Normal 2 2 4 31 8" xfId="23942" xr:uid="{00000000-0005-0000-0000-0000645D0000}"/>
    <cellStyle name="Normal 2 2 4 31 9" xfId="23943" xr:uid="{00000000-0005-0000-0000-0000655D0000}"/>
    <cellStyle name="Normal 2 2 4 32" xfId="23944" xr:uid="{00000000-0005-0000-0000-0000665D0000}"/>
    <cellStyle name="Normal 2 2 4 32 10" xfId="23945" xr:uid="{00000000-0005-0000-0000-0000675D0000}"/>
    <cellStyle name="Normal 2 2 4 32 11" xfId="23946" xr:uid="{00000000-0005-0000-0000-0000685D0000}"/>
    <cellStyle name="Normal 2 2 4 32 12" xfId="23947" xr:uid="{00000000-0005-0000-0000-0000695D0000}"/>
    <cellStyle name="Normal 2 2 4 32 13" xfId="23948" xr:uid="{00000000-0005-0000-0000-00006A5D0000}"/>
    <cellStyle name="Normal 2 2 4 32 14" xfId="23949" xr:uid="{00000000-0005-0000-0000-00006B5D0000}"/>
    <cellStyle name="Normal 2 2 4 32 2" xfId="23950" xr:uid="{00000000-0005-0000-0000-00006C5D0000}"/>
    <cellStyle name="Normal 2 2 4 32 2 10" xfId="23951" xr:uid="{00000000-0005-0000-0000-00006D5D0000}"/>
    <cellStyle name="Normal 2 2 4 32 2 2" xfId="23952" xr:uid="{00000000-0005-0000-0000-00006E5D0000}"/>
    <cellStyle name="Normal 2 2 4 32 2 3" xfId="23953" xr:uid="{00000000-0005-0000-0000-00006F5D0000}"/>
    <cellStyle name="Normal 2 2 4 32 2 4" xfId="23954" xr:uid="{00000000-0005-0000-0000-0000705D0000}"/>
    <cellStyle name="Normal 2 2 4 32 2 5" xfId="23955" xr:uid="{00000000-0005-0000-0000-0000715D0000}"/>
    <cellStyle name="Normal 2 2 4 32 2 6" xfId="23956" xr:uid="{00000000-0005-0000-0000-0000725D0000}"/>
    <cellStyle name="Normal 2 2 4 32 2 7" xfId="23957" xr:uid="{00000000-0005-0000-0000-0000735D0000}"/>
    <cellStyle name="Normal 2 2 4 32 2 8" xfId="23958" xr:uid="{00000000-0005-0000-0000-0000745D0000}"/>
    <cellStyle name="Normal 2 2 4 32 2 9" xfId="23959" xr:uid="{00000000-0005-0000-0000-0000755D0000}"/>
    <cellStyle name="Normal 2 2 4 32 3" xfId="23960" xr:uid="{00000000-0005-0000-0000-0000765D0000}"/>
    <cellStyle name="Normal 2 2 4 32 3 10" xfId="23961" xr:uid="{00000000-0005-0000-0000-0000775D0000}"/>
    <cellStyle name="Normal 2 2 4 32 3 2" xfId="23962" xr:uid="{00000000-0005-0000-0000-0000785D0000}"/>
    <cellStyle name="Normal 2 2 4 32 3 3" xfId="23963" xr:uid="{00000000-0005-0000-0000-0000795D0000}"/>
    <cellStyle name="Normal 2 2 4 32 3 4" xfId="23964" xr:uid="{00000000-0005-0000-0000-00007A5D0000}"/>
    <cellStyle name="Normal 2 2 4 32 3 5" xfId="23965" xr:uid="{00000000-0005-0000-0000-00007B5D0000}"/>
    <cellStyle name="Normal 2 2 4 32 3 6" xfId="23966" xr:uid="{00000000-0005-0000-0000-00007C5D0000}"/>
    <cellStyle name="Normal 2 2 4 32 3 7" xfId="23967" xr:uid="{00000000-0005-0000-0000-00007D5D0000}"/>
    <cellStyle name="Normal 2 2 4 32 3 8" xfId="23968" xr:uid="{00000000-0005-0000-0000-00007E5D0000}"/>
    <cellStyle name="Normal 2 2 4 32 3 9" xfId="23969" xr:uid="{00000000-0005-0000-0000-00007F5D0000}"/>
    <cellStyle name="Normal 2 2 4 32 4" xfId="23970" xr:uid="{00000000-0005-0000-0000-0000805D0000}"/>
    <cellStyle name="Normal 2 2 4 32 4 10" xfId="23971" xr:uid="{00000000-0005-0000-0000-0000815D0000}"/>
    <cellStyle name="Normal 2 2 4 32 4 2" xfId="23972" xr:uid="{00000000-0005-0000-0000-0000825D0000}"/>
    <cellStyle name="Normal 2 2 4 32 4 3" xfId="23973" xr:uid="{00000000-0005-0000-0000-0000835D0000}"/>
    <cellStyle name="Normal 2 2 4 32 4 4" xfId="23974" xr:uid="{00000000-0005-0000-0000-0000845D0000}"/>
    <cellStyle name="Normal 2 2 4 32 4 5" xfId="23975" xr:uid="{00000000-0005-0000-0000-0000855D0000}"/>
    <cellStyle name="Normal 2 2 4 32 4 6" xfId="23976" xr:uid="{00000000-0005-0000-0000-0000865D0000}"/>
    <cellStyle name="Normal 2 2 4 32 4 7" xfId="23977" xr:uid="{00000000-0005-0000-0000-0000875D0000}"/>
    <cellStyle name="Normal 2 2 4 32 4 8" xfId="23978" xr:uid="{00000000-0005-0000-0000-0000885D0000}"/>
    <cellStyle name="Normal 2 2 4 32 4 9" xfId="23979" xr:uid="{00000000-0005-0000-0000-0000895D0000}"/>
    <cellStyle name="Normal 2 2 4 32 5" xfId="23980" xr:uid="{00000000-0005-0000-0000-00008A5D0000}"/>
    <cellStyle name="Normal 2 2 4 32 5 10" xfId="23981" xr:uid="{00000000-0005-0000-0000-00008B5D0000}"/>
    <cellStyle name="Normal 2 2 4 32 5 2" xfId="23982" xr:uid="{00000000-0005-0000-0000-00008C5D0000}"/>
    <cellStyle name="Normal 2 2 4 32 5 3" xfId="23983" xr:uid="{00000000-0005-0000-0000-00008D5D0000}"/>
    <cellStyle name="Normal 2 2 4 32 5 4" xfId="23984" xr:uid="{00000000-0005-0000-0000-00008E5D0000}"/>
    <cellStyle name="Normal 2 2 4 32 5 5" xfId="23985" xr:uid="{00000000-0005-0000-0000-00008F5D0000}"/>
    <cellStyle name="Normal 2 2 4 32 5 6" xfId="23986" xr:uid="{00000000-0005-0000-0000-0000905D0000}"/>
    <cellStyle name="Normal 2 2 4 32 5 7" xfId="23987" xr:uid="{00000000-0005-0000-0000-0000915D0000}"/>
    <cellStyle name="Normal 2 2 4 32 5 8" xfId="23988" xr:uid="{00000000-0005-0000-0000-0000925D0000}"/>
    <cellStyle name="Normal 2 2 4 32 5 9" xfId="23989" xr:uid="{00000000-0005-0000-0000-0000935D0000}"/>
    <cellStyle name="Normal 2 2 4 32 6" xfId="23990" xr:uid="{00000000-0005-0000-0000-0000945D0000}"/>
    <cellStyle name="Normal 2 2 4 32 7" xfId="23991" xr:uid="{00000000-0005-0000-0000-0000955D0000}"/>
    <cellStyle name="Normal 2 2 4 32 8" xfId="23992" xr:uid="{00000000-0005-0000-0000-0000965D0000}"/>
    <cellStyle name="Normal 2 2 4 32 9" xfId="23993" xr:uid="{00000000-0005-0000-0000-0000975D0000}"/>
    <cellStyle name="Normal 2 2 4 33" xfId="23994" xr:uid="{00000000-0005-0000-0000-0000985D0000}"/>
    <cellStyle name="Normal 2 2 4 33 10" xfId="23995" xr:uid="{00000000-0005-0000-0000-0000995D0000}"/>
    <cellStyle name="Normal 2 2 4 33 11" xfId="23996" xr:uid="{00000000-0005-0000-0000-00009A5D0000}"/>
    <cellStyle name="Normal 2 2 4 33 12" xfId="23997" xr:uid="{00000000-0005-0000-0000-00009B5D0000}"/>
    <cellStyle name="Normal 2 2 4 33 13" xfId="23998" xr:uid="{00000000-0005-0000-0000-00009C5D0000}"/>
    <cellStyle name="Normal 2 2 4 33 14" xfId="23999" xr:uid="{00000000-0005-0000-0000-00009D5D0000}"/>
    <cellStyle name="Normal 2 2 4 33 2" xfId="24000" xr:uid="{00000000-0005-0000-0000-00009E5D0000}"/>
    <cellStyle name="Normal 2 2 4 33 2 10" xfId="24001" xr:uid="{00000000-0005-0000-0000-00009F5D0000}"/>
    <cellStyle name="Normal 2 2 4 33 2 2" xfId="24002" xr:uid="{00000000-0005-0000-0000-0000A05D0000}"/>
    <cellStyle name="Normal 2 2 4 33 2 3" xfId="24003" xr:uid="{00000000-0005-0000-0000-0000A15D0000}"/>
    <cellStyle name="Normal 2 2 4 33 2 4" xfId="24004" xr:uid="{00000000-0005-0000-0000-0000A25D0000}"/>
    <cellStyle name="Normal 2 2 4 33 2 5" xfId="24005" xr:uid="{00000000-0005-0000-0000-0000A35D0000}"/>
    <cellStyle name="Normal 2 2 4 33 2 6" xfId="24006" xr:uid="{00000000-0005-0000-0000-0000A45D0000}"/>
    <cellStyle name="Normal 2 2 4 33 2 7" xfId="24007" xr:uid="{00000000-0005-0000-0000-0000A55D0000}"/>
    <cellStyle name="Normal 2 2 4 33 2 8" xfId="24008" xr:uid="{00000000-0005-0000-0000-0000A65D0000}"/>
    <cellStyle name="Normal 2 2 4 33 2 9" xfId="24009" xr:uid="{00000000-0005-0000-0000-0000A75D0000}"/>
    <cellStyle name="Normal 2 2 4 33 3" xfId="24010" xr:uid="{00000000-0005-0000-0000-0000A85D0000}"/>
    <cellStyle name="Normal 2 2 4 33 3 10" xfId="24011" xr:uid="{00000000-0005-0000-0000-0000A95D0000}"/>
    <cellStyle name="Normal 2 2 4 33 3 2" xfId="24012" xr:uid="{00000000-0005-0000-0000-0000AA5D0000}"/>
    <cellStyle name="Normal 2 2 4 33 3 3" xfId="24013" xr:uid="{00000000-0005-0000-0000-0000AB5D0000}"/>
    <cellStyle name="Normal 2 2 4 33 3 4" xfId="24014" xr:uid="{00000000-0005-0000-0000-0000AC5D0000}"/>
    <cellStyle name="Normal 2 2 4 33 3 5" xfId="24015" xr:uid="{00000000-0005-0000-0000-0000AD5D0000}"/>
    <cellStyle name="Normal 2 2 4 33 3 6" xfId="24016" xr:uid="{00000000-0005-0000-0000-0000AE5D0000}"/>
    <cellStyle name="Normal 2 2 4 33 3 7" xfId="24017" xr:uid="{00000000-0005-0000-0000-0000AF5D0000}"/>
    <cellStyle name="Normal 2 2 4 33 3 8" xfId="24018" xr:uid="{00000000-0005-0000-0000-0000B05D0000}"/>
    <cellStyle name="Normal 2 2 4 33 3 9" xfId="24019" xr:uid="{00000000-0005-0000-0000-0000B15D0000}"/>
    <cellStyle name="Normal 2 2 4 33 4" xfId="24020" xr:uid="{00000000-0005-0000-0000-0000B25D0000}"/>
    <cellStyle name="Normal 2 2 4 33 4 10" xfId="24021" xr:uid="{00000000-0005-0000-0000-0000B35D0000}"/>
    <cellStyle name="Normal 2 2 4 33 4 2" xfId="24022" xr:uid="{00000000-0005-0000-0000-0000B45D0000}"/>
    <cellStyle name="Normal 2 2 4 33 4 3" xfId="24023" xr:uid="{00000000-0005-0000-0000-0000B55D0000}"/>
    <cellStyle name="Normal 2 2 4 33 4 4" xfId="24024" xr:uid="{00000000-0005-0000-0000-0000B65D0000}"/>
    <cellStyle name="Normal 2 2 4 33 4 5" xfId="24025" xr:uid="{00000000-0005-0000-0000-0000B75D0000}"/>
    <cellStyle name="Normal 2 2 4 33 4 6" xfId="24026" xr:uid="{00000000-0005-0000-0000-0000B85D0000}"/>
    <cellStyle name="Normal 2 2 4 33 4 7" xfId="24027" xr:uid="{00000000-0005-0000-0000-0000B95D0000}"/>
    <cellStyle name="Normal 2 2 4 33 4 8" xfId="24028" xr:uid="{00000000-0005-0000-0000-0000BA5D0000}"/>
    <cellStyle name="Normal 2 2 4 33 4 9" xfId="24029" xr:uid="{00000000-0005-0000-0000-0000BB5D0000}"/>
    <cellStyle name="Normal 2 2 4 33 5" xfId="24030" xr:uid="{00000000-0005-0000-0000-0000BC5D0000}"/>
    <cellStyle name="Normal 2 2 4 33 5 10" xfId="24031" xr:uid="{00000000-0005-0000-0000-0000BD5D0000}"/>
    <cellStyle name="Normal 2 2 4 33 5 2" xfId="24032" xr:uid="{00000000-0005-0000-0000-0000BE5D0000}"/>
    <cellStyle name="Normal 2 2 4 33 5 3" xfId="24033" xr:uid="{00000000-0005-0000-0000-0000BF5D0000}"/>
    <cellStyle name="Normal 2 2 4 33 5 4" xfId="24034" xr:uid="{00000000-0005-0000-0000-0000C05D0000}"/>
    <cellStyle name="Normal 2 2 4 33 5 5" xfId="24035" xr:uid="{00000000-0005-0000-0000-0000C15D0000}"/>
    <cellStyle name="Normal 2 2 4 33 5 6" xfId="24036" xr:uid="{00000000-0005-0000-0000-0000C25D0000}"/>
    <cellStyle name="Normal 2 2 4 33 5 7" xfId="24037" xr:uid="{00000000-0005-0000-0000-0000C35D0000}"/>
    <cellStyle name="Normal 2 2 4 33 5 8" xfId="24038" xr:uid="{00000000-0005-0000-0000-0000C45D0000}"/>
    <cellStyle name="Normal 2 2 4 33 5 9" xfId="24039" xr:uid="{00000000-0005-0000-0000-0000C55D0000}"/>
    <cellStyle name="Normal 2 2 4 33 6" xfId="24040" xr:uid="{00000000-0005-0000-0000-0000C65D0000}"/>
    <cellStyle name="Normal 2 2 4 33 7" xfId="24041" xr:uid="{00000000-0005-0000-0000-0000C75D0000}"/>
    <cellStyle name="Normal 2 2 4 33 8" xfId="24042" xr:uid="{00000000-0005-0000-0000-0000C85D0000}"/>
    <cellStyle name="Normal 2 2 4 33 9" xfId="24043" xr:uid="{00000000-0005-0000-0000-0000C95D0000}"/>
    <cellStyle name="Normal 2 2 4 34" xfId="24044" xr:uid="{00000000-0005-0000-0000-0000CA5D0000}"/>
    <cellStyle name="Normal 2 2 4 35" xfId="24045" xr:uid="{00000000-0005-0000-0000-0000CB5D0000}"/>
    <cellStyle name="Normal 2 2 4 36" xfId="24046" xr:uid="{00000000-0005-0000-0000-0000CC5D0000}"/>
    <cellStyle name="Normal 2 2 4 37" xfId="21774" xr:uid="{00000000-0005-0000-0000-0000CD5D0000}"/>
    <cellStyle name="Normal 2 2 4 4" xfId="24047" xr:uid="{00000000-0005-0000-0000-0000CE5D0000}"/>
    <cellStyle name="Normal 2 2 4 4 10" xfId="24048" xr:uid="{00000000-0005-0000-0000-0000CF5D0000}"/>
    <cellStyle name="Normal 2 2 4 4 11" xfId="24049" xr:uid="{00000000-0005-0000-0000-0000D05D0000}"/>
    <cellStyle name="Normal 2 2 4 4 12" xfId="24050" xr:uid="{00000000-0005-0000-0000-0000D15D0000}"/>
    <cellStyle name="Normal 2 2 4 4 13" xfId="24051" xr:uid="{00000000-0005-0000-0000-0000D25D0000}"/>
    <cellStyle name="Normal 2 2 4 4 14" xfId="24052" xr:uid="{00000000-0005-0000-0000-0000D35D0000}"/>
    <cellStyle name="Normal 2 2 4 4 2" xfId="24053" xr:uid="{00000000-0005-0000-0000-0000D45D0000}"/>
    <cellStyle name="Normal 2 2 4 4 2 10" xfId="24054" xr:uid="{00000000-0005-0000-0000-0000D55D0000}"/>
    <cellStyle name="Normal 2 2 4 4 2 2" xfId="24055" xr:uid="{00000000-0005-0000-0000-0000D65D0000}"/>
    <cellStyle name="Normal 2 2 4 4 2 3" xfId="24056" xr:uid="{00000000-0005-0000-0000-0000D75D0000}"/>
    <cellStyle name="Normal 2 2 4 4 2 4" xfId="24057" xr:uid="{00000000-0005-0000-0000-0000D85D0000}"/>
    <cellStyle name="Normal 2 2 4 4 2 5" xfId="24058" xr:uid="{00000000-0005-0000-0000-0000D95D0000}"/>
    <cellStyle name="Normal 2 2 4 4 2 6" xfId="24059" xr:uid="{00000000-0005-0000-0000-0000DA5D0000}"/>
    <cellStyle name="Normal 2 2 4 4 2 7" xfId="24060" xr:uid="{00000000-0005-0000-0000-0000DB5D0000}"/>
    <cellStyle name="Normal 2 2 4 4 2 8" xfId="24061" xr:uid="{00000000-0005-0000-0000-0000DC5D0000}"/>
    <cellStyle name="Normal 2 2 4 4 2 9" xfId="24062" xr:uid="{00000000-0005-0000-0000-0000DD5D0000}"/>
    <cellStyle name="Normal 2 2 4 4 3" xfId="24063" xr:uid="{00000000-0005-0000-0000-0000DE5D0000}"/>
    <cellStyle name="Normal 2 2 4 4 3 10" xfId="24064" xr:uid="{00000000-0005-0000-0000-0000DF5D0000}"/>
    <cellStyle name="Normal 2 2 4 4 3 2" xfId="24065" xr:uid="{00000000-0005-0000-0000-0000E05D0000}"/>
    <cellStyle name="Normal 2 2 4 4 3 3" xfId="24066" xr:uid="{00000000-0005-0000-0000-0000E15D0000}"/>
    <cellStyle name="Normal 2 2 4 4 3 4" xfId="24067" xr:uid="{00000000-0005-0000-0000-0000E25D0000}"/>
    <cellStyle name="Normal 2 2 4 4 3 5" xfId="24068" xr:uid="{00000000-0005-0000-0000-0000E35D0000}"/>
    <cellStyle name="Normal 2 2 4 4 3 6" xfId="24069" xr:uid="{00000000-0005-0000-0000-0000E45D0000}"/>
    <cellStyle name="Normal 2 2 4 4 3 7" xfId="24070" xr:uid="{00000000-0005-0000-0000-0000E55D0000}"/>
    <cellStyle name="Normal 2 2 4 4 3 8" xfId="24071" xr:uid="{00000000-0005-0000-0000-0000E65D0000}"/>
    <cellStyle name="Normal 2 2 4 4 3 9" xfId="24072" xr:uid="{00000000-0005-0000-0000-0000E75D0000}"/>
    <cellStyle name="Normal 2 2 4 4 4" xfId="24073" xr:uid="{00000000-0005-0000-0000-0000E85D0000}"/>
    <cellStyle name="Normal 2 2 4 4 4 10" xfId="24074" xr:uid="{00000000-0005-0000-0000-0000E95D0000}"/>
    <cellStyle name="Normal 2 2 4 4 4 2" xfId="24075" xr:uid="{00000000-0005-0000-0000-0000EA5D0000}"/>
    <cellStyle name="Normal 2 2 4 4 4 3" xfId="24076" xr:uid="{00000000-0005-0000-0000-0000EB5D0000}"/>
    <cellStyle name="Normal 2 2 4 4 4 4" xfId="24077" xr:uid="{00000000-0005-0000-0000-0000EC5D0000}"/>
    <cellStyle name="Normal 2 2 4 4 4 5" xfId="24078" xr:uid="{00000000-0005-0000-0000-0000ED5D0000}"/>
    <cellStyle name="Normal 2 2 4 4 4 6" xfId="24079" xr:uid="{00000000-0005-0000-0000-0000EE5D0000}"/>
    <cellStyle name="Normal 2 2 4 4 4 7" xfId="24080" xr:uid="{00000000-0005-0000-0000-0000EF5D0000}"/>
    <cellStyle name="Normal 2 2 4 4 4 8" xfId="24081" xr:uid="{00000000-0005-0000-0000-0000F05D0000}"/>
    <cellStyle name="Normal 2 2 4 4 4 9" xfId="24082" xr:uid="{00000000-0005-0000-0000-0000F15D0000}"/>
    <cellStyle name="Normal 2 2 4 4 5" xfId="24083" xr:uid="{00000000-0005-0000-0000-0000F25D0000}"/>
    <cellStyle name="Normal 2 2 4 4 5 10" xfId="24084" xr:uid="{00000000-0005-0000-0000-0000F35D0000}"/>
    <cellStyle name="Normal 2 2 4 4 5 2" xfId="24085" xr:uid="{00000000-0005-0000-0000-0000F45D0000}"/>
    <cellStyle name="Normal 2 2 4 4 5 3" xfId="24086" xr:uid="{00000000-0005-0000-0000-0000F55D0000}"/>
    <cellStyle name="Normal 2 2 4 4 5 4" xfId="24087" xr:uid="{00000000-0005-0000-0000-0000F65D0000}"/>
    <cellStyle name="Normal 2 2 4 4 5 5" xfId="24088" xr:uid="{00000000-0005-0000-0000-0000F75D0000}"/>
    <cellStyle name="Normal 2 2 4 4 5 6" xfId="24089" xr:uid="{00000000-0005-0000-0000-0000F85D0000}"/>
    <cellStyle name="Normal 2 2 4 4 5 7" xfId="24090" xr:uid="{00000000-0005-0000-0000-0000F95D0000}"/>
    <cellStyle name="Normal 2 2 4 4 5 8" xfId="24091" xr:uid="{00000000-0005-0000-0000-0000FA5D0000}"/>
    <cellStyle name="Normal 2 2 4 4 5 9" xfId="24092" xr:uid="{00000000-0005-0000-0000-0000FB5D0000}"/>
    <cellStyle name="Normal 2 2 4 4 6" xfId="24093" xr:uid="{00000000-0005-0000-0000-0000FC5D0000}"/>
    <cellStyle name="Normal 2 2 4 4 7" xfId="24094" xr:uid="{00000000-0005-0000-0000-0000FD5D0000}"/>
    <cellStyle name="Normal 2 2 4 4 8" xfId="24095" xr:uid="{00000000-0005-0000-0000-0000FE5D0000}"/>
    <cellStyle name="Normal 2 2 4 4 9" xfId="24096" xr:uid="{00000000-0005-0000-0000-0000FF5D0000}"/>
    <cellStyle name="Normal 2 2 4 5" xfId="24097" xr:uid="{00000000-0005-0000-0000-0000005E0000}"/>
    <cellStyle name="Normal 2 2 4 5 10" xfId="24098" xr:uid="{00000000-0005-0000-0000-0000015E0000}"/>
    <cellStyle name="Normal 2 2 4 5 11" xfId="24099" xr:uid="{00000000-0005-0000-0000-0000025E0000}"/>
    <cellStyle name="Normal 2 2 4 5 12" xfId="24100" xr:uid="{00000000-0005-0000-0000-0000035E0000}"/>
    <cellStyle name="Normal 2 2 4 5 13" xfId="24101" xr:uid="{00000000-0005-0000-0000-0000045E0000}"/>
    <cellStyle name="Normal 2 2 4 5 14" xfId="24102" xr:uid="{00000000-0005-0000-0000-0000055E0000}"/>
    <cellStyle name="Normal 2 2 4 5 2" xfId="24103" xr:uid="{00000000-0005-0000-0000-0000065E0000}"/>
    <cellStyle name="Normal 2 2 4 5 2 10" xfId="24104" xr:uid="{00000000-0005-0000-0000-0000075E0000}"/>
    <cellStyle name="Normal 2 2 4 5 2 2" xfId="24105" xr:uid="{00000000-0005-0000-0000-0000085E0000}"/>
    <cellStyle name="Normal 2 2 4 5 2 3" xfId="24106" xr:uid="{00000000-0005-0000-0000-0000095E0000}"/>
    <cellStyle name="Normal 2 2 4 5 2 4" xfId="24107" xr:uid="{00000000-0005-0000-0000-00000A5E0000}"/>
    <cellStyle name="Normal 2 2 4 5 2 5" xfId="24108" xr:uid="{00000000-0005-0000-0000-00000B5E0000}"/>
    <cellStyle name="Normal 2 2 4 5 2 6" xfId="24109" xr:uid="{00000000-0005-0000-0000-00000C5E0000}"/>
    <cellStyle name="Normal 2 2 4 5 2 7" xfId="24110" xr:uid="{00000000-0005-0000-0000-00000D5E0000}"/>
    <cellStyle name="Normal 2 2 4 5 2 8" xfId="24111" xr:uid="{00000000-0005-0000-0000-00000E5E0000}"/>
    <cellStyle name="Normal 2 2 4 5 2 9" xfId="24112" xr:uid="{00000000-0005-0000-0000-00000F5E0000}"/>
    <cellStyle name="Normal 2 2 4 5 3" xfId="24113" xr:uid="{00000000-0005-0000-0000-0000105E0000}"/>
    <cellStyle name="Normal 2 2 4 5 3 10" xfId="24114" xr:uid="{00000000-0005-0000-0000-0000115E0000}"/>
    <cellStyle name="Normal 2 2 4 5 3 2" xfId="24115" xr:uid="{00000000-0005-0000-0000-0000125E0000}"/>
    <cellStyle name="Normal 2 2 4 5 3 3" xfId="24116" xr:uid="{00000000-0005-0000-0000-0000135E0000}"/>
    <cellStyle name="Normal 2 2 4 5 3 4" xfId="24117" xr:uid="{00000000-0005-0000-0000-0000145E0000}"/>
    <cellStyle name="Normal 2 2 4 5 3 5" xfId="24118" xr:uid="{00000000-0005-0000-0000-0000155E0000}"/>
    <cellStyle name="Normal 2 2 4 5 3 6" xfId="24119" xr:uid="{00000000-0005-0000-0000-0000165E0000}"/>
    <cellStyle name="Normal 2 2 4 5 3 7" xfId="24120" xr:uid="{00000000-0005-0000-0000-0000175E0000}"/>
    <cellStyle name="Normal 2 2 4 5 3 8" xfId="24121" xr:uid="{00000000-0005-0000-0000-0000185E0000}"/>
    <cellStyle name="Normal 2 2 4 5 3 9" xfId="24122" xr:uid="{00000000-0005-0000-0000-0000195E0000}"/>
    <cellStyle name="Normal 2 2 4 5 4" xfId="24123" xr:uid="{00000000-0005-0000-0000-00001A5E0000}"/>
    <cellStyle name="Normal 2 2 4 5 4 10" xfId="24124" xr:uid="{00000000-0005-0000-0000-00001B5E0000}"/>
    <cellStyle name="Normal 2 2 4 5 4 2" xfId="24125" xr:uid="{00000000-0005-0000-0000-00001C5E0000}"/>
    <cellStyle name="Normal 2 2 4 5 4 3" xfId="24126" xr:uid="{00000000-0005-0000-0000-00001D5E0000}"/>
    <cellStyle name="Normal 2 2 4 5 4 4" xfId="24127" xr:uid="{00000000-0005-0000-0000-00001E5E0000}"/>
    <cellStyle name="Normal 2 2 4 5 4 5" xfId="24128" xr:uid="{00000000-0005-0000-0000-00001F5E0000}"/>
    <cellStyle name="Normal 2 2 4 5 4 6" xfId="24129" xr:uid="{00000000-0005-0000-0000-0000205E0000}"/>
    <cellStyle name="Normal 2 2 4 5 4 7" xfId="24130" xr:uid="{00000000-0005-0000-0000-0000215E0000}"/>
    <cellStyle name="Normal 2 2 4 5 4 8" xfId="24131" xr:uid="{00000000-0005-0000-0000-0000225E0000}"/>
    <cellStyle name="Normal 2 2 4 5 4 9" xfId="24132" xr:uid="{00000000-0005-0000-0000-0000235E0000}"/>
    <cellStyle name="Normal 2 2 4 5 5" xfId="24133" xr:uid="{00000000-0005-0000-0000-0000245E0000}"/>
    <cellStyle name="Normal 2 2 4 5 5 10" xfId="24134" xr:uid="{00000000-0005-0000-0000-0000255E0000}"/>
    <cellStyle name="Normal 2 2 4 5 5 2" xfId="24135" xr:uid="{00000000-0005-0000-0000-0000265E0000}"/>
    <cellStyle name="Normal 2 2 4 5 5 3" xfId="24136" xr:uid="{00000000-0005-0000-0000-0000275E0000}"/>
    <cellStyle name="Normal 2 2 4 5 5 4" xfId="24137" xr:uid="{00000000-0005-0000-0000-0000285E0000}"/>
    <cellStyle name="Normal 2 2 4 5 5 5" xfId="24138" xr:uid="{00000000-0005-0000-0000-0000295E0000}"/>
    <cellStyle name="Normal 2 2 4 5 5 6" xfId="24139" xr:uid="{00000000-0005-0000-0000-00002A5E0000}"/>
    <cellStyle name="Normal 2 2 4 5 5 7" xfId="24140" xr:uid="{00000000-0005-0000-0000-00002B5E0000}"/>
    <cellStyle name="Normal 2 2 4 5 5 8" xfId="24141" xr:uid="{00000000-0005-0000-0000-00002C5E0000}"/>
    <cellStyle name="Normal 2 2 4 5 5 9" xfId="24142" xr:uid="{00000000-0005-0000-0000-00002D5E0000}"/>
    <cellStyle name="Normal 2 2 4 5 6" xfId="24143" xr:uid="{00000000-0005-0000-0000-00002E5E0000}"/>
    <cellStyle name="Normal 2 2 4 5 7" xfId="24144" xr:uid="{00000000-0005-0000-0000-00002F5E0000}"/>
    <cellStyle name="Normal 2 2 4 5 8" xfId="24145" xr:uid="{00000000-0005-0000-0000-0000305E0000}"/>
    <cellStyle name="Normal 2 2 4 5 9" xfId="24146" xr:uid="{00000000-0005-0000-0000-0000315E0000}"/>
    <cellStyle name="Normal 2 2 4 6" xfId="24147" xr:uid="{00000000-0005-0000-0000-0000325E0000}"/>
    <cellStyle name="Normal 2 2 4 6 10" xfId="24148" xr:uid="{00000000-0005-0000-0000-0000335E0000}"/>
    <cellStyle name="Normal 2 2 4 6 11" xfId="24149" xr:uid="{00000000-0005-0000-0000-0000345E0000}"/>
    <cellStyle name="Normal 2 2 4 6 12" xfId="24150" xr:uid="{00000000-0005-0000-0000-0000355E0000}"/>
    <cellStyle name="Normal 2 2 4 6 13" xfId="24151" xr:uid="{00000000-0005-0000-0000-0000365E0000}"/>
    <cellStyle name="Normal 2 2 4 6 14" xfId="24152" xr:uid="{00000000-0005-0000-0000-0000375E0000}"/>
    <cellStyle name="Normal 2 2 4 6 2" xfId="24153" xr:uid="{00000000-0005-0000-0000-0000385E0000}"/>
    <cellStyle name="Normal 2 2 4 6 2 10" xfId="24154" xr:uid="{00000000-0005-0000-0000-0000395E0000}"/>
    <cellStyle name="Normal 2 2 4 6 2 2" xfId="24155" xr:uid="{00000000-0005-0000-0000-00003A5E0000}"/>
    <cellStyle name="Normal 2 2 4 6 2 3" xfId="24156" xr:uid="{00000000-0005-0000-0000-00003B5E0000}"/>
    <cellStyle name="Normal 2 2 4 6 2 4" xfId="24157" xr:uid="{00000000-0005-0000-0000-00003C5E0000}"/>
    <cellStyle name="Normal 2 2 4 6 2 5" xfId="24158" xr:uid="{00000000-0005-0000-0000-00003D5E0000}"/>
    <cellStyle name="Normal 2 2 4 6 2 6" xfId="24159" xr:uid="{00000000-0005-0000-0000-00003E5E0000}"/>
    <cellStyle name="Normal 2 2 4 6 2 7" xfId="24160" xr:uid="{00000000-0005-0000-0000-00003F5E0000}"/>
    <cellStyle name="Normal 2 2 4 6 2 8" xfId="24161" xr:uid="{00000000-0005-0000-0000-0000405E0000}"/>
    <cellStyle name="Normal 2 2 4 6 2 9" xfId="24162" xr:uid="{00000000-0005-0000-0000-0000415E0000}"/>
    <cellStyle name="Normal 2 2 4 6 3" xfId="24163" xr:uid="{00000000-0005-0000-0000-0000425E0000}"/>
    <cellStyle name="Normal 2 2 4 6 3 10" xfId="24164" xr:uid="{00000000-0005-0000-0000-0000435E0000}"/>
    <cellStyle name="Normal 2 2 4 6 3 2" xfId="24165" xr:uid="{00000000-0005-0000-0000-0000445E0000}"/>
    <cellStyle name="Normal 2 2 4 6 3 3" xfId="24166" xr:uid="{00000000-0005-0000-0000-0000455E0000}"/>
    <cellStyle name="Normal 2 2 4 6 3 4" xfId="24167" xr:uid="{00000000-0005-0000-0000-0000465E0000}"/>
    <cellStyle name="Normal 2 2 4 6 3 5" xfId="24168" xr:uid="{00000000-0005-0000-0000-0000475E0000}"/>
    <cellStyle name="Normal 2 2 4 6 3 6" xfId="24169" xr:uid="{00000000-0005-0000-0000-0000485E0000}"/>
    <cellStyle name="Normal 2 2 4 6 3 7" xfId="24170" xr:uid="{00000000-0005-0000-0000-0000495E0000}"/>
    <cellStyle name="Normal 2 2 4 6 3 8" xfId="24171" xr:uid="{00000000-0005-0000-0000-00004A5E0000}"/>
    <cellStyle name="Normal 2 2 4 6 3 9" xfId="24172" xr:uid="{00000000-0005-0000-0000-00004B5E0000}"/>
    <cellStyle name="Normal 2 2 4 6 4" xfId="24173" xr:uid="{00000000-0005-0000-0000-00004C5E0000}"/>
    <cellStyle name="Normal 2 2 4 6 4 10" xfId="24174" xr:uid="{00000000-0005-0000-0000-00004D5E0000}"/>
    <cellStyle name="Normal 2 2 4 6 4 2" xfId="24175" xr:uid="{00000000-0005-0000-0000-00004E5E0000}"/>
    <cellStyle name="Normal 2 2 4 6 4 3" xfId="24176" xr:uid="{00000000-0005-0000-0000-00004F5E0000}"/>
    <cellStyle name="Normal 2 2 4 6 4 4" xfId="24177" xr:uid="{00000000-0005-0000-0000-0000505E0000}"/>
    <cellStyle name="Normal 2 2 4 6 4 5" xfId="24178" xr:uid="{00000000-0005-0000-0000-0000515E0000}"/>
    <cellStyle name="Normal 2 2 4 6 4 6" xfId="24179" xr:uid="{00000000-0005-0000-0000-0000525E0000}"/>
    <cellStyle name="Normal 2 2 4 6 4 7" xfId="24180" xr:uid="{00000000-0005-0000-0000-0000535E0000}"/>
    <cellStyle name="Normal 2 2 4 6 4 8" xfId="24181" xr:uid="{00000000-0005-0000-0000-0000545E0000}"/>
    <cellStyle name="Normal 2 2 4 6 4 9" xfId="24182" xr:uid="{00000000-0005-0000-0000-0000555E0000}"/>
    <cellStyle name="Normal 2 2 4 6 5" xfId="24183" xr:uid="{00000000-0005-0000-0000-0000565E0000}"/>
    <cellStyle name="Normal 2 2 4 6 5 10" xfId="24184" xr:uid="{00000000-0005-0000-0000-0000575E0000}"/>
    <cellStyle name="Normal 2 2 4 6 5 2" xfId="24185" xr:uid="{00000000-0005-0000-0000-0000585E0000}"/>
    <cellStyle name="Normal 2 2 4 6 5 3" xfId="24186" xr:uid="{00000000-0005-0000-0000-0000595E0000}"/>
    <cellStyle name="Normal 2 2 4 6 5 4" xfId="24187" xr:uid="{00000000-0005-0000-0000-00005A5E0000}"/>
    <cellStyle name="Normal 2 2 4 6 5 5" xfId="24188" xr:uid="{00000000-0005-0000-0000-00005B5E0000}"/>
    <cellStyle name="Normal 2 2 4 6 5 6" xfId="24189" xr:uid="{00000000-0005-0000-0000-00005C5E0000}"/>
    <cellStyle name="Normal 2 2 4 6 5 7" xfId="24190" xr:uid="{00000000-0005-0000-0000-00005D5E0000}"/>
    <cellStyle name="Normal 2 2 4 6 5 8" xfId="24191" xr:uid="{00000000-0005-0000-0000-00005E5E0000}"/>
    <cellStyle name="Normal 2 2 4 6 5 9" xfId="24192" xr:uid="{00000000-0005-0000-0000-00005F5E0000}"/>
    <cellStyle name="Normal 2 2 4 6 6" xfId="24193" xr:uid="{00000000-0005-0000-0000-0000605E0000}"/>
    <cellStyle name="Normal 2 2 4 6 7" xfId="24194" xr:uid="{00000000-0005-0000-0000-0000615E0000}"/>
    <cellStyle name="Normal 2 2 4 6 8" xfId="24195" xr:uid="{00000000-0005-0000-0000-0000625E0000}"/>
    <cellStyle name="Normal 2 2 4 6 9" xfId="24196" xr:uid="{00000000-0005-0000-0000-0000635E0000}"/>
    <cellStyle name="Normal 2 2 4 7" xfId="24197" xr:uid="{00000000-0005-0000-0000-0000645E0000}"/>
    <cellStyle name="Normal 2 2 4 7 10" xfId="24198" xr:uid="{00000000-0005-0000-0000-0000655E0000}"/>
    <cellStyle name="Normal 2 2 4 7 11" xfId="24199" xr:uid="{00000000-0005-0000-0000-0000665E0000}"/>
    <cellStyle name="Normal 2 2 4 7 12" xfId="24200" xr:uid="{00000000-0005-0000-0000-0000675E0000}"/>
    <cellStyle name="Normal 2 2 4 7 13" xfId="24201" xr:uid="{00000000-0005-0000-0000-0000685E0000}"/>
    <cellStyle name="Normal 2 2 4 7 14" xfId="24202" xr:uid="{00000000-0005-0000-0000-0000695E0000}"/>
    <cellStyle name="Normal 2 2 4 7 2" xfId="24203" xr:uid="{00000000-0005-0000-0000-00006A5E0000}"/>
    <cellStyle name="Normal 2 2 4 7 2 10" xfId="24204" xr:uid="{00000000-0005-0000-0000-00006B5E0000}"/>
    <cellStyle name="Normal 2 2 4 7 2 2" xfId="24205" xr:uid="{00000000-0005-0000-0000-00006C5E0000}"/>
    <cellStyle name="Normal 2 2 4 7 2 3" xfId="24206" xr:uid="{00000000-0005-0000-0000-00006D5E0000}"/>
    <cellStyle name="Normal 2 2 4 7 2 4" xfId="24207" xr:uid="{00000000-0005-0000-0000-00006E5E0000}"/>
    <cellStyle name="Normal 2 2 4 7 2 5" xfId="24208" xr:uid="{00000000-0005-0000-0000-00006F5E0000}"/>
    <cellStyle name="Normal 2 2 4 7 2 6" xfId="24209" xr:uid="{00000000-0005-0000-0000-0000705E0000}"/>
    <cellStyle name="Normal 2 2 4 7 2 7" xfId="24210" xr:uid="{00000000-0005-0000-0000-0000715E0000}"/>
    <cellStyle name="Normal 2 2 4 7 2 8" xfId="24211" xr:uid="{00000000-0005-0000-0000-0000725E0000}"/>
    <cellStyle name="Normal 2 2 4 7 2 9" xfId="24212" xr:uid="{00000000-0005-0000-0000-0000735E0000}"/>
    <cellStyle name="Normal 2 2 4 7 3" xfId="24213" xr:uid="{00000000-0005-0000-0000-0000745E0000}"/>
    <cellStyle name="Normal 2 2 4 7 3 10" xfId="24214" xr:uid="{00000000-0005-0000-0000-0000755E0000}"/>
    <cellStyle name="Normal 2 2 4 7 3 2" xfId="24215" xr:uid="{00000000-0005-0000-0000-0000765E0000}"/>
    <cellStyle name="Normal 2 2 4 7 3 3" xfId="24216" xr:uid="{00000000-0005-0000-0000-0000775E0000}"/>
    <cellStyle name="Normal 2 2 4 7 3 4" xfId="24217" xr:uid="{00000000-0005-0000-0000-0000785E0000}"/>
    <cellStyle name="Normal 2 2 4 7 3 5" xfId="24218" xr:uid="{00000000-0005-0000-0000-0000795E0000}"/>
    <cellStyle name="Normal 2 2 4 7 3 6" xfId="24219" xr:uid="{00000000-0005-0000-0000-00007A5E0000}"/>
    <cellStyle name="Normal 2 2 4 7 3 7" xfId="24220" xr:uid="{00000000-0005-0000-0000-00007B5E0000}"/>
    <cellStyle name="Normal 2 2 4 7 3 8" xfId="24221" xr:uid="{00000000-0005-0000-0000-00007C5E0000}"/>
    <cellStyle name="Normal 2 2 4 7 3 9" xfId="24222" xr:uid="{00000000-0005-0000-0000-00007D5E0000}"/>
    <cellStyle name="Normal 2 2 4 7 4" xfId="24223" xr:uid="{00000000-0005-0000-0000-00007E5E0000}"/>
    <cellStyle name="Normal 2 2 4 7 4 10" xfId="24224" xr:uid="{00000000-0005-0000-0000-00007F5E0000}"/>
    <cellStyle name="Normal 2 2 4 7 4 2" xfId="24225" xr:uid="{00000000-0005-0000-0000-0000805E0000}"/>
    <cellStyle name="Normal 2 2 4 7 4 3" xfId="24226" xr:uid="{00000000-0005-0000-0000-0000815E0000}"/>
    <cellStyle name="Normal 2 2 4 7 4 4" xfId="24227" xr:uid="{00000000-0005-0000-0000-0000825E0000}"/>
    <cellStyle name="Normal 2 2 4 7 4 5" xfId="24228" xr:uid="{00000000-0005-0000-0000-0000835E0000}"/>
    <cellStyle name="Normal 2 2 4 7 4 6" xfId="24229" xr:uid="{00000000-0005-0000-0000-0000845E0000}"/>
    <cellStyle name="Normal 2 2 4 7 4 7" xfId="24230" xr:uid="{00000000-0005-0000-0000-0000855E0000}"/>
    <cellStyle name="Normal 2 2 4 7 4 8" xfId="24231" xr:uid="{00000000-0005-0000-0000-0000865E0000}"/>
    <cellStyle name="Normal 2 2 4 7 4 9" xfId="24232" xr:uid="{00000000-0005-0000-0000-0000875E0000}"/>
    <cellStyle name="Normal 2 2 4 7 5" xfId="24233" xr:uid="{00000000-0005-0000-0000-0000885E0000}"/>
    <cellStyle name="Normal 2 2 4 7 5 10" xfId="24234" xr:uid="{00000000-0005-0000-0000-0000895E0000}"/>
    <cellStyle name="Normal 2 2 4 7 5 2" xfId="24235" xr:uid="{00000000-0005-0000-0000-00008A5E0000}"/>
    <cellStyle name="Normal 2 2 4 7 5 3" xfId="24236" xr:uid="{00000000-0005-0000-0000-00008B5E0000}"/>
    <cellStyle name="Normal 2 2 4 7 5 4" xfId="24237" xr:uid="{00000000-0005-0000-0000-00008C5E0000}"/>
    <cellStyle name="Normal 2 2 4 7 5 5" xfId="24238" xr:uid="{00000000-0005-0000-0000-00008D5E0000}"/>
    <cellStyle name="Normal 2 2 4 7 5 6" xfId="24239" xr:uid="{00000000-0005-0000-0000-00008E5E0000}"/>
    <cellStyle name="Normal 2 2 4 7 5 7" xfId="24240" xr:uid="{00000000-0005-0000-0000-00008F5E0000}"/>
    <cellStyle name="Normal 2 2 4 7 5 8" xfId="24241" xr:uid="{00000000-0005-0000-0000-0000905E0000}"/>
    <cellStyle name="Normal 2 2 4 7 5 9" xfId="24242" xr:uid="{00000000-0005-0000-0000-0000915E0000}"/>
    <cellStyle name="Normal 2 2 4 7 6" xfId="24243" xr:uid="{00000000-0005-0000-0000-0000925E0000}"/>
    <cellStyle name="Normal 2 2 4 7 7" xfId="24244" xr:uid="{00000000-0005-0000-0000-0000935E0000}"/>
    <cellStyle name="Normal 2 2 4 7 8" xfId="24245" xr:uid="{00000000-0005-0000-0000-0000945E0000}"/>
    <cellStyle name="Normal 2 2 4 7 9" xfId="24246" xr:uid="{00000000-0005-0000-0000-0000955E0000}"/>
    <cellStyle name="Normal 2 2 4 8" xfId="24247" xr:uid="{00000000-0005-0000-0000-0000965E0000}"/>
    <cellStyle name="Normal 2 2 4 8 10" xfId="24248" xr:uid="{00000000-0005-0000-0000-0000975E0000}"/>
    <cellStyle name="Normal 2 2 4 8 11" xfId="24249" xr:uid="{00000000-0005-0000-0000-0000985E0000}"/>
    <cellStyle name="Normal 2 2 4 8 12" xfId="24250" xr:uid="{00000000-0005-0000-0000-0000995E0000}"/>
    <cellStyle name="Normal 2 2 4 8 13" xfId="24251" xr:uid="{00000000-0005-0000-0000-00009A5E0000}"/>
    <cellStyle name="Normal 2 2 4 8 14" xfId="24252" xr:uid="{00000000-0005-0000-0000-00009B5E0000}"/>
    <cellStyle name="Normal 2 2 4 8 2" xfId="24253" xr:uid="{00000000-0005-0000-0000-00009C5E0000}"/>
    <cellStyle name="Normal 2 2 4 8 2 10" xfId="24254" xr:uid="{00000000-0005-0000-0000-00009D5E0000}"/>
    <cellStyle name="Normal 2 2 4 8 2 2" xfId="24255" xr:uid="{00000000-0005-0000-0000-00009E5E0000}"/>
    <cellStyle name="Normal 2 2 4 8 2 3" xfId="24256" xr:uid="{00000000-0005-0000-0000-00009F5E0000}"/>
    <cellStyle name="Normal 2 2 4 8 2 4" xfId="24257" xr:uid="{00000000-0005-0000-0000-0000A05E0000}"/>
    <cellStyle name="Normal 2 2 4 8 2 5" xfId="24258" xr:uid="{00000000-0005-0000-0000-0000A15E0000}"/>
    <cellStyle name="Normal 2 2 4 8 2 6" xfId="24259" xr:uid="{00000000-0005-0000-0000-0000A25E0000}"/>
    <cellStyle name="Normal 2 2 4 8 2 7" xfId="24260" xr:uid="{00000000-0005-0000-0000-0000A35E0000}"/>
    <cellStyle name="Normal 2 2 4 8 2 8" xfId="24261" xr:uid="{00000000-0005-0000-0000-0000A45E0000}"/>
    <cellStyle name="Normal 2 2 4 8 2 9" xfId="24262" xr:uid="{00000000-0005-0000-0000-0000A55E0000}"/>
    <cellStyle name="Normal 2 2 4 8 3" xfId="24263" xr:uid="{00000000-0005-0000-0000-0000A65E0000}"/>
    <cellStyle name="Normal 2 2 4 8 3 10" xfId="24264" xr:uid="{00000000-0005-0000-0000-0000A75E0000}"/>
    <cellStyle name="Normal 2 2 4 8 3 2" xfId="24265" xr:uid="{00000000-0005-0000-0000-0000A85E0000}"/>
    <cellStyle name="Normal 2 2 4 8 3 3" xfId="24266" xr:uid="{00000000-0005-0000-0000-0000A95E0000}"/>
    <cellStyle name="Normal 2 2 4 8 3 4" xfId="24267" xr:uid="{00000000-0005-0000-0000-0000AA5E0000}"/>
    <cellStyle name="Normal 2 2 4 8 3 5" xfId="24268" xr:uid="{00000000-0005-0000-0000-0000AB5E0000}"/>
    <cellStyle name="Normal 2 2 4 8 3 6" xfId="24269" xr:uid="{00000000-0005-0000-0000-0000AC5E0000}"/>
    <cellStyle name="Normal 2 2 4 8 3 7" xfId="24270" xr:uid="{00000000-0005-0000-0000-0000AD5E0000}"/>
    <cellStyle name="Normal 2 2 4 8 3 8" xfId="24271" xr:uid="{00000000-0005-0000-0000-0000AE5E0000}"/>
    <cellStyle name="Normal 2 2 4 8 3 9" xfId="24272" xr:uid="{00000000-0005-0000-0000-0000AF5E0000}"/>
    <cellStyle name="Normal 2 2 4 8 4" xfId="24273" xr:uid="{00000000-0005-0000-0000-0000B05E0000}"/>
    <cellStyle name="Normal 2 2 4 8 4 10" xfId="24274" xr:uid="{00000000-0005-0000-0000-0000B15E0000}"/>
    <cellStyle name="Normal 2 2 4 8 4 2" xfId="24275" xr:uid="{00000000-0005-0000-0000-0000B25E0000}"/>
    <cellStyle name="Normal 2 2 4 8 4 3" xfId="24276" xr:uid="{00000000-0005-0000-0000-0000B35E0000}"/>
    <cellStyle name="Normal 2 2 4 8 4 4" xfId="24277" xr:uid="{00000000-0005-0000-0000-0000B45E0000}"/>
    <cellStyle name="Normal 2 2 4 8 4 5" xfId="24278" xr:uid="{00000000-0005-0000-0000-0000B55E0000}"/>
    <cellStyle name="Normal 2 2 4 8 4 6" xfId="24279" xr:uid="{00000000-0005-0000-0000-0000B65E0000}"/>
    <cellStyle name="Normal 2 2 4 8 4 7" xfId="24280" xr:uid="{00000000-0005-0000-0000-0000B75E0000}"/>
    <cellStyle name="Normal 2 2 4 8 4 8" xfId="24281" xr:uid="{00000000-0005-0000-0000-0000B85E0000}"/>
    <cellStyle name="Normal 2 2 4 8 4 9" xfId="24282" xr:uid="{00000000-0005-0000-0000-0000B95E0000}"/>
    <cellStyle name="Normal 2 2 4 8 5" xfId="24283" xr:uid="{00000000-0005-0000-0000-0000BA5E0000}"/>
    <cellStyle name="Normal 2 2 4 8 5 10" xfId="24284" xr:uid="{00000000-0005-0000-0000-0000BB5E0000}"/>
    <cellStyle name="Normal 2 2 4 8 5 2" xfId="24285" xr:uid="{00000000-0005-0000-0000-0000BC5E0000}"/>
    <cellStyle name="Normal 2 2 4 8 5 3" xfId="24286" xr:uid="{00000000-0005-0000-0000-0000BD5E0000}"/>
    <cellStyle name="Normal 2 2 4 8 5 4" xfId="24287" xr:uid="{00000000-0005-0000-0000-0000BE5E0000}"/>
    <cellStyle name="Normal 2 2 4 8 5 5" xfId="24288" xr:uid="{00000000-0005-0000-0000-0000BF5E0000}"/>
    <cellStyle name="Normal 2 2 4 8 5 6" xfId="24289" xr:uid="{00000000-0005-0000-0000-0000C05E0000}"/>
    <cellStyle name="Normal 2 2 4 8 5 7" xfId="24290" xr:uid="{00000000-0005-0000-0000-0000C15E0000}"/>
    <cellStyle name="Normal 2 2 4 8 5 8" xfId="24291" xr:uid="{00000000-0005-0000-0000-0000C25E0000}"/>
    <cellStyle name="Normal 2 2 4 8 5 9" xfId="24292" xr:uid="{00000000-0005-0000-0000-0000C35E0000}"/>
    <cellStyle name="Normal 2 2 4 8 6" xfId="24293" xr:uid="{00000000-0005-0000-0000-0000C45E0000}"/>
    <cellStyle name="Normal 2 2 4 8 7" xfId="24294" xr:uid="{00000000-0005-0000-0000-0000C55E0000}"/>
    <cellStyle name="Normal 2 2 4 8 8" xfId="24295" xr:uid="{00000000-0005-0000-0000-0000C65E0000}"/>
    <cellStyle name="Normal 2 2 4 8 9" xfId="24296" xr:uid="{00000000-0005-0000-0000-0000C75E0000}"/>
    <cellStyle name="Normal 2 2 4 9" xfId="24297" xr:uid="{00000000-0005-0000-0000-0000C85E0000}"/>
    <cellStyle name="Normal 2 2 4 9 10" xfId="24298" xr:uid="{00000000-0005-0000-0000-0000C95E0000}"/>
    <cellStyle name="Normal 2 2 4 9 11" xfId="24299" xr:uid="{00000000-0005-0000-0000-0000CA5E0000}"/>
    <cellStyle name="Normal 2 2 4 9 12" xfId="24300" xr:uid="{00000000-0005-0000-0000-0000CB5E0000}"/>
    <cellStyle name="Normal 2 2 4 9 13" xfId="24301" xr:uid="{00000000-0005-0000-0000-0000CC5E0000}"/>
    <cellStyle name="Normal 2 2 4 9 14" xfId="24302" xr:uid="{00000000-0005-0000-0000-0000CD5E0000}"/>
    <cellStyle name="Normal 2 2 4 9 2" xfId="24303" xr:uid="{00000000-0005-0000-0000-0000CE5E0000}"/>
    <cellStyle name="Normal 2 2 4 9 2 10" xfId="24304" xr:uid="{00000000-0005-0000-0000-0000CF5E0000}"/>
    <cellStyle name="Normal 2 2 4 9 2 2" xfId="24305" xr:uid="{00000000-0005-0000-0000-0000D05E0000}"/>
    <cellStyle name="Normal 2 2 4 9 2 3" xfId="24306" xr:uid="{00000000-0005-0000-0000-0000D15E0000}"/>
    <cellStyle name="Normal 2 2 4 9 2 4" xfId="24307" xr:uid="{00000000-0005-0000-0000-0000D25E0000}"/>
    <cellStyle name="Normal 2 2 4 9 2 5" xfId="24308" xr:uid="{00000000-0005-0000-0000-0000D35E0000}"/>
    <cellStyle name="Normal 2 2 4 9 2 6" xfId="24309" xr:uid="{00000000-0005-0000-0000-0000D45E0000}"/>
    <cellStyle name="Normal 2 2 4 9 2 7" xfId="24310" xr:uid="{00000000-0005-0000-0000-0000D55E0000}"/>
    <cellStyle name="Normal 2 2 4 9 2 8" xfId="24311" xr:uid="{00000000-0005-0000-0000-0000D65E0000}"/>
    <cellStyle name="Normal 2 2 4 9 2 9" xfId="24312" xr:uid="{00000000-0005-0000-0000-0000D75E0000}"/>
    <cellStyle name="Normal 2 2 4 9 3" xfId="24313" xr:uid="{00000000-0005-0000-0000-0000D85E0000}"/>
    <cellStyle name="Normal 2 2 4 9 3 10" xfId="24314" xr:uid="{00000000-0005-0000-0000-0000D95E0000}"/>
    <cellStyle name="Normal 2 2 4 9 3 2" xfId="24315" xr:uid="{00000000-0005-0000-0000-0000DA5E0000}"/>
    <cellStyle name="Normal 2 2 4 9 3 3" xfId="24316" xr:uid="{00000000-0005-0000-0000-0000DB5E0000}"/>
    <cellStyle name="Normal 2 2 4 9 3 4" xfId="24317" xr:uid="{00000000-0005-0000-0000-0000DC5E0000}"/>
    <cellStyle name="Normal 2 2 4 9 3 5" xfId="24318" xr:uid="{00000000-0005-0000-0000-0000DD5E0000}"/>
    <cellStyle name="Normal 2 2 4 9 3 6" xfId="24319" xr:uid="{00000000-0005-0000-0000-0000DE5E0000}"/>
    <cellStyle name="Normal 2 2 4 9 3 7" xfId="24320" xr:uid="{00000000-0005-0000-0000-0000DF5E0000}"/>
    <cellStyle name="Normal 2 2 4 9 3 8" xfId="24321" xr:uid="{00000000-0005-0000-0000-0000E05E0000}"/>
    <cellStyle name="Normal 2 2 4 9 3 9" xfId="24322" xr:uid="{00000000-0005-0000-0000-0000E15E0000}"/>
    <cellStyle name="Normal 2 2 4 9 4" xfId="24323" xr:uid="{00000000-0005-0000-0000-0000E25E0000}"/>
    <cellStyle name="Normal 2 2 4 9 4 10" xfId="24324" xr:uid="{00000000-0005-0000-0000-0000E35E0000}"/>
    <cellStyle name="Normal 2 2 4 9 4 2" xfId="24325" xr:uid="{00000000-0005-0000-0000-0000E45E0000}"/>
    <cellStyle name="Normal 2 2 4 9 4 3" xfId="24326" xr:uid="{00000000-0005-0000-0000-0000E55E0000}"/>
    <cellStyle name="Normal 2 2 4 9 4 4" xfId="24327" xr:uid="{00000000-0005-0000-0000-0000E65E0000}"/>
    <cellStyle name="Normal 2 2 4 9 4 5" xfId="24328" xr:uid="{00000000-0005-0000-0000-0000E75E0000}"/>
    <cellStyle name="Normal 2 2 4 9 4 6" xfId="24329" xr:uid="{00000000-0005-0000-0000-0000E85E0000}"/>
    <cellStyle name="Normal 2 2 4 9 4 7" xfId="24330" xr:uid="{00000000-0005-0000-0000-0000E95E0000}"/>
    <cellStyle name="Normal 2 2 4 9 4 8" xfId="24331" xr:uid="{00000000-0005-0000-0000-0000EA5E0000}"/>
    <cellStyle name="Normal 2 2 4 9 4 9" xfId="24332" xr:uid="{00000000-0005-0000-0000-0000EB5E0000}"/>
    <cellStyle name="Normal 2 2 4 9 5" xfId="24333" xr:uid="{00000000-0005-0000-0000-0000EC5E0000}"/>
    <cellStyle name="Normal 2 2 4 9 5 10" xfId="24334" xr:uid="{00000000-0005-0000-0000-0000ED5E0000}"/>
    <cellStyle name="Normal 2 2 4 9 5 2" xfId="24335" xr:uid="{00000000-0005-0000-0000-0000EE5E0000}"/>
    <cellStyle name="Normal 2 2 4 9 5 3" xfId="24336" xr:uid="{00000000-0005-0000-0000-0000EF5E0000}"/>
    <cellStyle name="Normal 2 2 4 9 5 4" xfId="24337" xr:uid="{00000000-0005-0000-0000-0000F05E0000}"/>
    <cellStyle name="Normal 2 2 4 9 5 5" xfId="24338" xr:uid="{00000000-0005-0000-0000-0000F15E0000}"/>
    <cellStyle name="Normal 2 2 4 9 5 6" xfId="24339" xr:uid="{00000000-0005-0000-0000-0000F25E0000}"/>
    <cellStyle name="Normal 2 2 4 9 5 7" xfId="24340" xr:uid="{00000000-0005-0000-0000-0000F35E0000}"/>
    <cellStyle name="Normal 2 2 4 9 5 8" xfId="24341" xr:uid="{00000000-0005-0000-0000-0000F45E0000}"/>
    <cellStyle name="Normal 2 2 4 9 5 9" xfId="24342" xr:uid="{00000000-0005-0000-0000-0000F55E0000}"/>
    <cellStyle name="Normal 2 2 4 9 6" xfId="24343" xr:uid="{00000000-0005-0000-0000-0000F65E0000}"/>
    <cellStyle name="Normal 2 2 4 9 7" xfId="24344" xr:uid="{00000000-0005-0000-0000-0000F75E0000}"/>
    <cellStyle name="Normal 2 2 4 9 8" xfId="24345" xr:uid="{00000000-0005-0000-0000-0000F85E0000}"/>
    <cellStyle name="Normal 2 2 4 9 9" xfId="24346" xr:uid="{00000000-0005-0000-0000-0000F95E0000}"/>
    <cellStyle name="Normal 2 2 40" xfId="24347" xr:uid="{00000000-0005-0000-0000-0000FA5E0000}"/>
    <cellStyle name="Normal 2 2 41" xfId="24348" xr:uid="{00000000-0005-0000-0000-0000FB5E0000}"/>
    <cellStyle name="Normal 2 2 41 10" xfId="24349" xr:uid="{00000000-0005-0000-0000-0000FC5E0000}"/>
    <cellStyle name="Normal 2 2 41 2" xfId="24350" xr:uid="{00000000-0005-0000-0000-0000FD5E0000}"/>
    <cellStyle name="Normal 2 2 41 3" xfId="24351" xr:uid="{00000000-0005-0000-0000-0000FE5E0000}"/>
    <cellStyle name="Normal 2 2 41 4" xfId="24352" xr:uid="{00000000-0005-0000-0000-0000FF5E0000}"/>
    <cellStyle name="Normal 2 2 41 5" xfId="24353" xr:uid="{00000000-0005-0000-0000-0000005F0000}"/>
    <cellStyle name="Normal 2 2 41 6" xfId="24354" xr:uid="{00000000-0005-0000-0000-0000015F0000}"/>
    <cellStyle name="Normal 2 2 41 7" xfId="24355" xr:uid="{00000000-0005-0000-0000-0000025F0000}"/>
    <cellStyle name="Normal 2 2 41 8" xfId="24356" xr:uid="{00000000-0005-0000-0000-0000035F0000}"/>
    <cellStyle name="Normal 2 2 41 9" xfId="24357" xr:uid="{00000000-0005-0000-0000-0000045F0000}"/>
    <cellStyle name="Normal 2 2 42" xfId="24358" xr:uid="{00000000-0005-0000-0000-0000055F0000}"/>
    <cellStyle name="Normal 2 2 43" xfId="24359" xr:uid="{00000000-0005-0000-0000-0000065F0000}"/>
    <cellStyle name="Normal 2 2 44" xfId="24360" xr:uid="{00000000-0005-0000-0000-0000075F0000}"/>
    <cellStyle name="Normal 2 2 45" xfId="24361" xr:uid="{00000000-0005-0000-0000-0000085F0000}"/>
    <cellStyle name="Normal 2 2 46" xfId="24362" xr:uid="{00000000-0005-0000-0000-0000095F0000}"/>
    <cellStyle name="Normal 2 2 47" xfId="24363" xr:uid="{00000000-0005-0000-0000-00000A5F0000}"/>
    <cellStyle name="Normal 2 2 48" xfId="24364" xr:uid="{00000000-0005-0000-0000-00000B5F0000}"/>
    <cellStyle name="Normal 2 2 49" xfId="24365" xr:uid="{00000000-0005-0000-0000-00000C5F0000}"/>
    <cellStyle name="Normal 2 2 5" xfId="36" xr:uid="{00000000-0005-0000-0000-00000D5F0000}"/>
    <cellStyle name="Normal 2 2 5 10" xfId="24367" xr:uid="{00000000-0005-0000-0000-00000E5F0000}"/>
    <cellStyle name="Normal 2 2 5 10 10" xfId="24368" xr:uid="{00000000-0005-0000-0000-00000F5F0000}"/>
    <cellStyle name="Normal 2 2 5 10 11" xfId="24369" xr:uid="{00000000-0005-0000-0000-0000105F0000}"/>
    <cellStyle name="Normal 2 2 5 10 12" xfId="24370" xr:uid="{00000000-0005-0000-0000-0000115F0000}"/>
    <cellStyle name="Normal 2 2 5 10 13" xfId="24371" xr:uid="{00000000-0005-0000-0000-0000125F0000}"/>
    <cellStyle name="Normal 2 2 5 10 14" xfId="24372" xr:uid="{00000000-0005-0000-0000-0000135F0000}"/>
    <cellStyle name="Normal 2 2 5 10 2" xfId="24373" xr:uid="{00000000-0005-0000-0000-0000145F0000}"/>
    <cellStyle name="Normal 2 2 5 10 2 10" xfId="24374" xr:uid="{00000000-0005-0000-0000-0000155F0000}"/>
    <cellStyle name="Normal 2 2 5 10 2 2" xfId="24375" xr:uid="{00000000-0005-0000-0000-0000165F0000}"/>
    <cellStyle name="Normal 2 2 5 10 2 3" xfId="24376" xr:uid="{00000000-0005-0000-0000-0000175F0000}"/>
    <cellStyle name="Normal 2 2 5 10 2 4" xfId="24377" xr:uid="{00000000-0005-0000-0000-0000185F0000}"/>
    <cellStyle name="Normal 2 2 5 10 2 5" xfId="24378" xr:uid="{00000000-0005-0000-0000-0000195F0000}"/>
    <cellStyle name="Normal 2 2 5 10 2 6" xfId="24379" xr:uid="{00000000-0005-0000-0000-00001A5F0000}"/>
    <cellStyle name="Normal 2 2 5 10 2 7" xfId="24380" xr:uid="{00000000-0005-0000-0000-00001B5F0000}"/>
    <cellStyle name="Normal 2 2 5 10 2 8" xfId="24381" xr:uid="{00000000-0005-0000-0000-00001C5F0000}"/>
    <cellStyle name="Normal 2 2 5 10 2 9" xfId="24382" xr:uid="{00000000-0005-0000-0000-00001D5F0000}"/>
    <cellStyle name="Normal 2 2 5 10 3" xfId="24383" xr:uid="{00000000-0005-0000-0000-00001E5F0000}"/>
    <cellStyle name="Normal 2 2 5 10 3 10" xfId="24384" xr:uid="{00000000-0005-0000-0000-00001F5F0000}"/>
    <cellStyle name="Normal 2 2 5 10 3 2" xfId="24385" xr:uid="{00000000-0005-0000-0000-0000205F0000}"/>
    <cellStyle name="Normal 2 2 5 10 3 3" xfId="24386" xr:uid="{00000000-0005-0000-0000-0000215F0000}"/>
    <cellStyle name="Normal 2 2 5 10 3 4" xfId="24387" xr:uid="{00000000-0005-0000-0000-0000225F0000}"/>
    <cellStyle name="Normal 2 2 5 10 3 5" xfId="24388" xr:uid="{00000000-0005-0000-0000-0000235F0000}"/>
    <cellStyle name="Normal 2 2 5 10 3 6" xfId="24389" xr:uid="{00000000-0005-0000-0000-0000245F0000}"/>
    <cellStyle name="Normal 2 2 5 10 3 7" xfId="24390" xr:uid="{00000000-0005-0000-0000-0000255F0000}"/>
    <cellStyle name="Normal 2 2 5 10 3 8" xfId="24391" xr:uid="{00000000-0005-0000-0000-0000265F0000}"/>
    <cellStyle name="Normal 2 2 5 10 3 9" xfId="24392" xr:uid="{00000000-0005-0000-0000-0000275F0000}"/>
    <cellStyle name="Normal 2 2 5 10 4" xfId="24393" xr:uid="{00000000-0005-0000-0000-0000285F0000}"/>
    <cellStyle name="Normal 2 2 5 10 4 10" xfId="24394" xr:uid="{00000000-0005-0000-0000-0000295F0000}"/>
    <cellStyle name="Normal 2 2 5 10 4 2" xfId="24395" xr:uid="{00000000-0005-0000-0000-00002A5F0000}"/>
    <cellStyle name="Normal 2 2 5 10 4 3" xfId="24396" xr:uid="{00000000-0005-0000-0000-00002B5F0000}"/>
    <cellStyle name="Normal 2 2 5 10 4 4" xfId="24397" xr:uid="{00000000-0005-0000-0000-00002C5F0000}"/>
    <cellStyle name="Normal 2 2 5 10 4 5" xfId="24398" xr:uid="{00000000-0005-0000-0000-00002D5F0000}"/>
    <cellStyle name="Normal 2 2 5 10 4 6" xfId="24399" xr:uid="{00000000-0005-0000-0000-00002E5F0000}"/>
    <cellStyle name="Normal 2 2 5 10 4 7" xfId="24400" xr:uid="{00000000-0005-0000-0000-00002F5F0000}"/>
    <cellStyle name="Normal 2 2 5 10 4 8" xfId="24401" xr:uid="{00000000-0005-0000-0000-0000305F0000}"/>
    <cellStyle name="Normal 2 2 5 10 4 9" xfId="24402" xr:uid="{00000000-0005-0000-0000-0000315F0000}"/>
    <cellStyle name="Normal 2 2 5 10 5" xfId="24403" xr:uid="{00000000-0005-0000-0000-0000325F0000}"/>
    <cellStyle name="Normal 2 2 5 10 5 10" xfId="24404" xr:uid="{00000000-0005-0000-0000-0000335F0000}"/>
    <cellStyle name="Normal 2 2 5 10 5 2" xfId="24405" xr:uid="{00000000-0005-0000-0000-0000345F0000}"/>
    <cellStyle name="Normal 2 2 5 10 5 3" xfId="24406" xr:uid="{00000000-0005-0000-0000-0000355F0000}"/>
    <cellStyle name="Normal 2 2 5 10 5 4" xfId="24407" xr:uid="{00000000-0005-0000-0000-0000365F0000}"/>
    <cellStyle name="Normal 2 2 5 10 5 5" xfId="24408" xr:uid="{00000000-0005-0000-0000-0000375F0000}"/>
    <cellStyle name="Normal 2 2 5 10 5 6" xfId="24409" xr:uid="{00000000-0005-0000-0000-0000385F0000}"/>
    <cellStyle name="Normal 2 2 5 10 5 7" xfId="24410" xr:uid="{00000000-0005-0000-0000-0000395F0000}"/>
    <cellStyle name="Normal 2 2 5 10 5 8" xfId="24411" xr:uid="{00000000-0005-0000-0000-00003A5F0000}"/>
    <cellStyle name="Normal 2 2 5 10 5 9" xfId="24412" xr:uid="{00000000-0005-0000-0000-00003B5F0000}"/>
    <cellStyle name="Normal 2 2 5 10 6" xfId="24413" xr:uid="{00000000-0005-0000-0000-00003C5F0000}"/>
    <cellStyle name="Normal 2 2 5 10 7" xfId="24414" xr:uid="{00000000-0005-0000-0000-00003D5F0000}"/>
    <cellStyle name="Normal 2 2 5 10 8" xfId="24415" xr:uid="{00000000-0005-0000-0000-00003E5F0000}"/>
    <cellStyle name="Normal 2 2 5 10 9" xfId="24416" xr:uid="{00000000-0005-0000-0000-00003F5F0000}"/>
    <cellStyle name="Normal 2 2 5 11" xfId="24417" xr:uid="{00000000-0005-0000-0000-0000405F0000}"/>
    <cellStyle name="Normal 2 2 5 11 10" xfId="24418" xr:uid="{00000000-0005-0000-0000-0000415F0000}"/>
    <cellStyle name="Normal 2 2 5 11 11" xfId="24419" xr:uid="{00000000-0005-0000-0000-0000425F0000}"/>
    <cellStyle name="Normal 2 2 5 11 12" xfId="24420" xr:uid="{00000000-0005-0000-0000-0000435F0000}"/>
    <cellStyle name="Normal 2 2 5 11 13" xfId="24421" xr:uid="{00000000-0005-0000-0000-0000445F0000}"/>
    <cellStyle name="Normal 2 2 5 11 14" xfId="24422" xr:uid="{00000000-0005-0000-0000-0000455F0000}"/>
    <cellStyle name="Normal 2 2 5 11 2" xfId="24423" xr:uid="{00000000-0005-0000-0000-0000465F0000}"/>
    <cellStyle name="Normal 2 2 5 11 2 10" xfId="24424" xr:uid="{00000000-0005-0000-0000-0000475F0000}"/>
    <cellStyle name="Normal 2 2 5 11 2 2" xfId="24425" xr:uid="{00000000-0005-0000-0000-0000485F0000}"/>
    <cellStyle name="Normal 2 2 5 11 2 3" xfId="24426" xr:uid="{00000000-0005-0000-0000-0000495F0000}"/>
    <cellStyle name="Normal 2 2 5 11 2 4" xfId="24427" xr:uid="{00000000-0005-0000-0000-00004A5F0000}"/>
    <cellStyle name="Normal 2 2 5 11 2 5" xfId="24428" xr:uid="{00000000-0005-0000-0000-00004B5F0000}"/>
    <cellStyle name="Normal 2 2 5 11 2 6" xfId="24429" xr:uid="{00000000-0005-0000-0000-00004C5F0000}"/>
    <cellStyle name="Normal 2 2 5 11 2 7" xfId="24430" xr:uid="{00000000-0005-0000-0000-00004D5F0000}"/>
    <cellStyle name="Normal 2 2 5 11 2 8" xfId="24431" xr:uid="{00000000-0005-0000-0000-00004E5F0000}"/>
    <cellStyle name="Normal 2 2 5 11 2 9" xfId="24432" xr:uid="{00000000-0005-0000-0000-00004F5F0000}"/>
    <cellStyle name="Normal 2 2 5 11 3" xfId="24433" xr:uid="{00000000-0005-0000-0000-0000505F0000}"/>
    <cellStyle name="Normal 2 2 5 11 3 10" xfId="24434" xr:uid="{00000000-0005-0000-0000-0000515F0000}"/>
    <cellStyle name="Normal 2 2 5 11 3 2" xfId="24435" xr:uid="{00000000-0005-0000-0000-0000525F0000}"/>
    <cellStyle name="Normal 2 2 5 11 3 3" xfId="24436" xr:uid="{00000000-0005-0000-0000-0000535F0000}"/>
    <cellStyle name="Normal 2 2 5 11 3 4" xfId="24437" xr:uid="{00000000-0005-0000-0000-0000545F0000}"/>
    <cellStyle name="Normal 2 2 5 11 3 5" xfId="24438" xr:uid="{00000000-0005-0000-0000-0000555F0000}"/>
    <cellStyle name="Normal 2 2 5 11 3 6" xfId="24439" xr:uid="{00000000-0005-0000-0000-0000565F0000}"/>
    <cellStyle name="Normal 2 2 5 11 3 7" xfId="24440" xr:uid="{00000000-0005-0000-0000-0000575F0000}"/>
    <cellStyle name="Normal 2 2 5 11 3 8" xfId="24441" xr:uid="{00000000-0005-0000-0000-0000585F0000}"/>
    <cellStyle name="Normal 2 2 5 11 3 9" xfId="24442" xr:uid="{00000000-0005-0000-0000-0000595F0000}"/>
    <cellStyle name="Normal 2 2 5 11 4" xfId="24443" xr:uid="{00000000-0005-0000-0000-00005A5F0000}"/>
    <cellStyle name="Normal 2 2 5 11 4 10" xfId="24444" xr:uid="{00000000-0005-0000-0000-00005B5F0000}"/>
    <cellStyle name="Normal 2 2 5 11 4 2" xfId="24445" xr:uid="{00000000-0005-0000-0000-00005C5F0000}"/>
    <cellStyle name="Normal 2 2 5 11 4 3" xfId="24446" xr:uid="{00000000-0005-0000-0000-00005D5F0000}"/>
    <cellStyle name="Normal 2 2 5 11 4 4" xfId="24447" xr:uid="{00000000-0005-0000-0000-00005E5F0000}"/>
    <cellStyle name="Normal 2 2 5 11 4 5" xfId="24448" xr:uid="{00000000-0005-0000-0000-00005F5F0000}"/>
    <cellStyle name="Normal 2 2 5 11 4 6" xfId="24449" xr:uid="{00000000-0005-0000-0000-0000605F0000}"/>
    <cellStyle name="Normal 2 2 5 11 4 7" xfId="24450" xr:uid="{00000000-0005-0000-0000-0000615F0000}"/>
    <cellStyle name="Normal 2 2 5 11 4 8" xfId="24451" xr:uid="{00000000-0005-0000-0000-0000625F0000}"/>
    <cellStyle name="Normal 2 2 5 11 4 9" xfId="24452" xr:uid="{00000000-0005-0000-0000-0000635F0000}"/>
    <cellStyle name="Normal 2 2 5 11 5" xfId="24453" xr:uid="{00000000-0005-0000-0000-0000645F0000}"/>
    <cellStyle name="Normal 2 2 5 11 5 10" xfId="24454" xr:uid="{00000000-0005-0000-0000-0000655F0000}"/>
    <cellStyle name="Normal 2 2 5 11 5 2" xfId="24455" xr:uid="{00000000-0005-0000-0000-0000665F0000}"/>
    <cellStyle name="Normal 2 2 5 11 5 3" xfId="24456" xr:uid="{00000000-0005-0000-0000-0000675F0000}"/>
    <cellStyle name="Normal 2 2 5 11 5 4" xfId="24457" xr:uid="{00000000-0005-0000-0000-0000685F0000}"/>
    <cellStyle name="Normal 2 2 5 11 5 5" xfId="24458" xr:uid="{00000000-0005-0000-0000-0000695F0000}"/>
    <cellStyle name="Normal 2 2 5 11 5 6" xfId="24459" xr:uid="{00000000-0005-0000-0000-00006A5F0000}"/>
    <cellStyle name="Normal 2 2 5 11 5 7" xfId="24460" xr:uid="{00000000-0005-0000-0000-00006B5F0000}"/>
    <cellStyle name="Normal 2 2 5 11 5 8" xfId="24461" xr:uid="{00000000-0005-0000-0000-00006C5F0000}"/>
    <cellStyle name="Normal 2 2 5 11 5 9" xfId="24462" xr:uid="{00000000-0005-0000-0000-00006D5F0000}"/>
    <cellStyle name="Normal 2 2 5 11 6" xfId="24463" xr:uid="{00000000-0005-0000-0000-00006E5F0000}"/>
    <cellStyle name="Normal 2 2 5 11 7" xfId="24464" xr:uid="{00000000-0005-0000-0000-00006F5F0000}"/>
    <cellStyle name="Normal 2 2 5 11 8" xfId="24465" xr:uid="{00000000-0005-0000-0000-0000705F0000}"/>
    <cellStyle name="Normal 2 2 5 11 9" xfId="24466" xr:uid="{00000000-0005-0000-0000-0000715F0000}"/>
    <cellStyle name="Normal 2 2 5 12" xfId="24467" xr:uid="{00000000-0005-0000-0000-0000725F0000}"/>
    <cellStyle name="Normal 2 2 5 12 10" xfId="24468" xr:uid="{00000000-0005-0000-0000-0000735F0000}"/>
    <cellStyle name="Normal 2 2 5 12 11" xfId="24469" xr:uid="{00000000-0005-0000-0000-0000745F0000}"/>
    <cellStyle name="Normal 2 2 5 12 12" xfId="24470" xr:uid="{00000000-0005-0000-0000-0000755F0000}"/>
    <cellStyle name="Normal 2 2 5 12 13" xfId="24471" xr:uid="{00000000-0005-0000-0000-0000765F0000}"/>
    <cellStyle name="Normal 2 2 5 12 14" xfId="24472" xr:uid="{00000000-0005-0000-0000-0000775F0000}"/>
    <cellStyle name="Normal 2 2 5 12 2" xfId="24473" xr:uid="{00000000-0005-0000-0000-0000785F0000}"/>
    <cellStyle name="Normal 2 2 5 12 2 10" xfId="24474" xr:uid="{00000000-0005-0000-0000-0000795F0000}"/>
    <cellStyle name="Normal 2 2 5 12 2 2" xfId="24475" xr:uid="{00000000-0005-0000-0000-00007A5F0000}"/>
    <cellStyle name="Normal 2 2 5 12 2 3" xfId="24476" xr:uid="{00000000-0005-0000-0000-00007B5F0000}"/>
    <cellStyle name="Normal 2 2 5 12 2 4" xfId="24477" xr:uid="{00000000-0005-0000-0000-00007C5F0000}"/>
    <cellStyle name="Normal 2 2 5 12 2 5" xfId="24478" xr:uid="{00000000-0005-0000-0000-00007D5F0000}"/>
    <cellStyle name="Normal 2 2 5 12 2 6" xfId="24479" xr:uid="{00000000-0005-0000-0000-00007E5F0000}"/>
    <cellStyle name="Normal 2 2 5 12 2 7" xfId="24480" xr:uid="{00000000-0005-0000-0000-00007F5F0000}"/>
    <cellStyle name="Normal 2 2 5 12 2 8" xfId="24481" xr:uid="{00000000-0005-0000-0000-0000805F0000}"/>
    <cellStyle name="Normal 2 2 5 12 2 9" xfId="24482" xr:uid="{00000000-0005-0000-0000-0000815F0000}"/>
    <cellStyle name="Normal 2 2 5 12 3" xfId="24483" xr:uid="{00000000-0005-0000-0000-0000825F0000}"/>
    <cellStyle name="Normal 2 2 5 12 3 10" xfId="24484" xr:uid="{00000000-0005-0000-0000-0000835F0000}"/>
    <cellStyle name="Normal 2 2 5 12 3 2" xfId="24485" xr:uid="{00000000-0005-0000-0000-0000845F0000}"/>
    <cellStyle name="Normal 2 2 5 12 3 3" xfId="24486" xr:uid="{00000000-0005-0000-0000-0000855F0000}"/>
    <cellStyle name="Normal 2 2 5 12 3 4" xfId="24487" xr:uid="{00000000-0005-0000-0000-0000865F0000}"/>
    <cellStyle name="Normal 2 2 5 12 3 5" xfId="24488" xr:uid="{00000000-0005-0000-0000-0000875F0000}"/>
    <cellStyle name="Normal 2 2 5 12 3 6" xfId="24489" xr:uid="{00000000-0005-0000-0000-0000885F0000}"/>
    <cellStyle name="Normal 2 2 5 12 3 7" xfId="24490" xr:uid="{00000000-0005-0000-0000-0000895F0000}"/>
    <cellStyle name="Normal 2 2 5 12 3 8" xfId="24491" xr:uid="{00000000-0005-0000-0000-00008A5F0000}"/>
    <cellStyle name="Normal 2 2 5 12 3 9" xfId="24492" xr:uid="{00000000-0005-0000-0000-00008B5F0000}"/>
    <cellStyle name="Normal 2 2 5 12 4" xfId="24493" xr:uid="{00000000-0005-0000-0000-00008C5F0000}"/>
    <cellStyle name="Normal 2 2 5 12 4 10" xfId="24494" xr:uid="{00000000-0005-0000-0000-00008D5F0000}"/>
    <cellStyle name="Normal 2 2 5 12 4 2" xfId="24495" xr:uid="{00000000-0005-0000-0000-00008E5F0000}"/>
    <cellStyle name="Normal 2 2 5 12 4 3" xfId="24496" xr:uid="{00000000-0005-0000-0000-00008F5F0000}"/>
    <cellStyle name="Normal 2 2 5 12 4 4" xfId="24497" xr:uid="{00000000-0005-0000-0000-0000905F0000}"/>
    <cellStyle name="Normal 2 2 5 12 4 5" xfId="24498" xr:uid="{00000000-0005-0000-0000-0000915F0000}"/>
    <cellStyle name="Normal 2 2 5 12 4 6" xfId="24499" xr:uid="{00000000-0005-0000-0000-0000925F0000}"/>
    <cellStyle name="Normal 2 2 5 12 4 7" xfId="24500" xr:uid="{00000000-0005-0000-0000-0000935F0000}"/>
    <cellStyle name="Normal 2 2 5 12 4 8" xfId="24501" xr:uid="{00000000-0005-0000-0000-0000945F0000}"/>
    <cellStyle name="Normal 2 2 5 12 4 9" xfId="24502" xr:uid="{00000000-0005-0000-0000-0000955F0000}"/>
    <cellStyle name="Normal 2 2 5 12 5" xfId="24503" xr:uid="{00000000-0005-0000-0000-0000965F0000}"/>
    <cellStyle name="Normal 2 2 5 12 5 10" xfId="24504" xr:uid="{00000000-0005-0000-0000-0000975F0000}"/>
    <cellStyle name="Normal 2 2 5 12 5 2" xfId="24505" xr:uid="{00000000-0005-0000-0000-0000985F0000}"/>
    <cellStyle name="Normal 2 2 5 12 5 3" xfId="24506" xr:uid="{00000000-0005-0000-0000-0000995F0000}"/>
    <cellStyle name="Normal 2 2 5 12 5 4" xfId="24507" xr:uid="{00000000-0005-0000-0000-00009A5F0000}"/>
    <cellStyle name="Normal 2 2 5 12 5 5" xfId="24508" xr:uid="{00000000-0005-0000-0000-00009B5F0000}"/>
    <cellStyle name="Normal 2 2 5 12 5 6" xfId="24509" xr:uid="{00000000-0005-0000-0000-00009C5F0000}"/>
    <cellStyle name="Normal 2 2 5 12 5 7" xfId="24510" xr:uid="{00000000-0005-0000-0000-00009D5F0000}"/>
    <cellStyle name="Normal 2 2 5 12 5 8" xfId="24511" xr:uid="{00000000-0005-0000-0000-00009E5F0000}"/>
    <cellStyle name="Normal 2 2 5 12 5 9" xfId="24512" xr:uid="{00000000-0005-0000-0000-00009F5F0000}"/>
    <cellStyle name="Normal 2 2 5 12 6" xfId="24513" xr:uid="{00000000-0005-0000-0000-0000A05F0000}"/>
    <cellStyle name="Normal 2 2 5 12 7" xfId="24514" xr:uid="{00000000-0005-0000-0000-0000A15F0000}"/>
    <cellStyle name="Normal 2 2 5 12 8" xfId="24515" xr:uid="{00000000-0005-0000-0000-0000A25F0000}"/>
    <cellStyle name="Normal 2 2 5 12 9" xfId="24516" xr:uid="{00000000-0005-0000-0000-0000A35F0000}"/>
    <cellStyle name="Normal 2 2 5 13" xfId="24517" xr:uid="{00000000-0005-0000-0000-0000A45F0000}"/>
    <cellStyle name="Normal 2 2 5 13 10" xfId="24518" xr:uid="{00000000-0005-0000-0000-0000A55F0000}"/>
    <cellStyle name="Normal 2 2 5 13 11" xfId="24519" xr:uid="{00000000-0005-0000-0000-0000A65F0000}"/>
    <cellStyle name="Normal 2 2 5 13 12" xfId="24520" xr:uid="{00000000-0005-0000-0000-0000A75F0000}"/>
    <cellStyle name="Normal 2 2 5 13 13" xfId="24521" xr:uid="{00000000-0005-0000-0000-0000A85F0000}"/>
    <cellStyle name="Normal 2 2 5 13 14" xfId="24522" xr:uid="{00000000-0005-0000-0000-0000A95F0000}"/>
    <cellStyle name="Normal 2 2 5 13 2" xfId="24523" xr:uid="{00000000-0005-0000-0000-0000AA5F0000}"/>
    <cellStyle name="Normal 2 2 5 13 2 10" xfId="24524" xr:uid="{00000000-0005-0000-0000-0000AB5F0000}"/>
    <cellStyle name="Normal 2 2 5 13 2 2" xfId="24525" xr:uid="{00000000-0005-0000-0000-0000AC5F0000}"/>
    <cellStyle name="Normal 2 2 5 13 2 3" xfId="24526" xr:uid="{00000000-0005-0000-0000-0000AD5F0000}"/>
    <cellStyle name="Normal 2 2 5 13 2 4" xfId="24527" xr:uid="{00000000-0005-0000-0000-0000AE5F0000}"/>
    <cellStyle name="Normal 2 2 5 13 2 5" xfId="24528" xr:uid="{00000000-0005-0000-0000-0000AF5F0000}"/>
    <cellStyle name="Normal 2 2 5 13 2 6" xfId="24529" xr:uid="{00000000-0005-0000-0000-0000B05F0000}"/>
    <cellStyle name="Normal 2 2 5 13 2 7" xfId="24530" xr:uid="{00000000-0005-0000-0000-0000B15F0000}"/>
    <cellStyle name="Normal 2 2 5 13 2 8" xfId="24531" xr:uid="{00000000-0005-0000-0000-0000B25F0000}"/>
    <cellStyle name="Normal 2 2 5 13 2 9" xfId="24532" xr:uid="{00000000-0005-0000-0000-0000B35F0000}"/>
    <cellStyle name="Normal 2 2 5 13 3" xfId="24533" xr:uid="{00000000-0005-0000-0000-0000B45F0000}"/>
    <cellStyle name="Normal 2 2 5 13 3 10" xfId="24534" xr:uid="{00000000-0005-0000-0000-0000B55F0000}"/>
    <cellStyle name="Normal 2 2 5 13 3 2" xfId="24535" xr:uid="{00000000-0005-0000-0000-0000B65F0000}"/>
    <cellStyle name="Normal 2 2 5 13 3 3" xfId="24536" xr:uid="{00000000-0005-0000-0000-0000B75F0000}"/>
    <cellStyle name="Normal 2 2 5 13 3 4" xfId="24537" xr:uid="{00000000-0005-0000-0000-0000B85F0000}"/>
    <cellStyle name="Normal 2 2 5 13 3 5" xfId="24538" xr:uid="{00000000-0005-0000-0000-0000B95F0000}"/>
    <cellStyle name="Normal 2 2 5 13 3 6" xfId="24539" xr:uid="{00000000-0005-0000-0000-0000BA5F0000}"/>
    <cellStyle name="Normal 2 2 5 13 3 7" xfId="24540" xr:uid="{00000000-0005-0000-0000-0000BB5F0000}"/>
    <cellStyle name="Normal 2 2 5 13 3 8" xfId="24541" xr:uid="{00000000-0005-0000-0000-0000BC5F0000}"/>
    <cellStyle name="Normal 2 2 5 13 3 9" xfId="24542" xr:uid="{00000000-0005-0000-0000-0000BD5F0000}"/>
    <cellStyle name="Normal 2 2 5 13 4" xfId="24543" xr:uid="{00000000-0005-0000-0000-0000BE5F0000}"/>
    <cellStyle name="Normal 2 2 5 13 4 10" xfId="24544" xr:uid="{00000000-0005-0000-0000-0000BF5F0000}"/>
    <cellStyle name="Normal 2 2 5 13 4 2" xfId="24545" xr:uid="{00000000-0005-0000-0000-0000C05F0000}"/>
    <cellStyle name="Normal 2 2 5 13 4 3" xfId="24546" xr:uid="{00000000-0005-0000-0000-0000C15F0000}"/>
    <cellStyle name="Normal 2 2 5 13 4 4" xfId="24547" xr:uid="{00000000-0005-0000-0000-0000C25F0000}"/>
    <cellStyle name="Normal 2 2 5 13 4 5" xfId="24548" xr:uid="{00000000-0005-0000-0000-0000C35F0000}"/>
    <cellStyle name="Normal 2 2 5 13 4 6" xfId="24549" xr:uid="{00000000-0005-0000-0000-0000C45F0000}"/>
    <cellStyle name="Normal 2 2 5 13 4 7" xfId="24550" xr:uid="{00000000-0005-0000-0000-0000C55F0000}"/>
    <cellStyle name="Normal 2 2 5 13 4 8" xfId="24551" xr:uid="{00000000-0005-0000-0000-0000C65F0000}"/>
    <cellStyle name="Normal 2 2 5 13 4 9" xfId="24552" xr:uid="{00000000-0005-0000-0000-0000C75F0000}"/>
    <cellStyle name="Normal 2 2 5 13 5" xfId="24553" xr:uid="{00000000-0005-0000-0000-0000C85F0000}"/>
    <cellStyle name="Normal 2 2 5 13 5 10" xfId="24554" xr:uid="{00000000-0005-0000-0000-0000C95F0000}"/>
    <cellStyle name="Normal 2 2 5 13 5 2" xfId="24555" xr:uid="{00000000-0005-0000-0000-0000CA5F0000}"/>
    <cellStyle name="Normal 2 2 5 13 5 3" xfId="24556" xr:uid="{00000000-0005-0000-0000-0000CB5F0000}"/>
    <cellStyle name="Normal 2 2 5 13 5 4" xfId="24557" xr:uid="{00000000-0005-0000-0000-0000CC5F0000}"/>
    <cellStyle name="Normal 2 2 5 13 5 5" xfId="24558" xr:uid="{00000000-0005-0000-0000-0000CD5F0000}"/>
    <cellStyle name="Normal 2 2 5 13 5 6" xfId="24559" xr:uid="{00000000-0005-0000-0000-0000CE5F0000}"/>
    <cellStyle name="Normal 2 2 5 13 5 7" xfId="24560" xr:uid="{00000000-0005-0000-0000-0000CF5F0000}"/>
    <cellStyle name="Normal 2 2 5 13 5 8" xfId="24561" xr:uid="{00000000-0005-0000-0000-0000D05F0000}"/>
    <cellStyle name="Normal 2 2 5 13 5 9" xfId="24562" xr:uid="{00000000-0005-0000-0000-0000D15F0000}"/>
    <cellStyle name="Normal 2 2 5 13 6" xfId="24563" xr:uid="{00000000-0005-0000-0000-0000D25F0000}"/>
    <cellStyle name="Normal 2 2 5 13 7" xfId="24564" xr:uid="{00000000-0005-0000-0000-0000D35F0000}"/>
    <cellStyle name="Normal 2 2 5 13 8" xfId="24565" xr:uid="{00000000-0005-0000-0000-0000D45F0000}"/>
    <cellStyle name="Normal 2 2 5 13 9" xfId="24566" xr:uid="{00000000-0005-0000-0000-0000D55F0000}"/>
    <cellStyle name="Normal 2 2 5 14" xfId="24567" xr:uid="{00000000-0005-0000-0000-0000D65F0000}"/>
    <cellStyle name="Normal 2 2 5 14 10" xfId="24568" xr:uid="{00000000-0005-0000-0000-0000D75F0000}"/>
    <cellStyle name="Normal 2 2 5 14 11" xfId="24569" xr:uid="{00000000-0005-0000-0000-0000D85F0000}"/>
    <cellStyle name="Normal 2 2 5 14 12" xfId="24570" xr:uid="{00000000-0005-0000-0000-0000D95F0000}"/>
    <cellStyle name="Normal 2 2 5 14 13" xfId="24571" xr:uid="{00000000-0005-0000-0000-0000DA5F0000}"/>
    <cellStyle name="Normal 2 2 5 14 14" xfId="24572" xr:uid="{00000000-0005-0000-0000-0000DB5F0000}"/>
    <cellStyle name="Normal 2 2 5 14 2" xfId="24573" xr:uid="{00000000-0005-0000-0000-0000DC5F0000}"/>
    <cellStyle name="Normal 2 2 5 14 2 10" xfId="24574" xr:uid="{00000000-0005-0000-0000-0000DD5F0000}"/>
    <cellStyle name="Normal 2 2 5 14 2 2" xfId="24575" xr:uid="{00000000-0005-0000-0000-0000DE5F0000}"/>
    <cellStyle name="Normal 2 2 5 14 2 3" xfId="24576" xr:uid="{00000000-0005-0000-0000-0000DF5F0000}"/>
    <cellStyle name="Normal 2 2 5 14 2 4" xfId="24577" xr:uid="{00000000-0005-0000-0000-0000E05F0000}"/>
    <cellStyle name="Normal 2 2 5 14 2 5" xfId="24578" xr:uid="{00000000-0005-0000-0000-0000E15F0000}"/>
    <cellStyle name="Normal 2 2 5 14 2 6" xfId="24579" xr:uid="{00000000-0005-0000-0000-0000E25F0000}"/>
    <cellStyle name="Normal 2 2 5 14 2 7" xfId="24580" xr:uid="{00000000-0005-0000-0000-0000E35F0000}"/>
    <cellStyle name="Normal 2 2 5 14 2 8" xfId="24581" xr:uid="{00000000-0005-0000-0000-0000E45F0000}"/>
    <cellStyle name="Normal 2 2 5 14 2 9" xfId="24582" xr:uid="{00000000-0005-0000-0000-0000E55F0000}"/>
    <cellStyle name="Normal 2 2 5 14 3" xfId="24583" xr:uid="{00000000-0005-0000-0000-0000E65F0000}"/>
    <cellStyle name="Normal 2 2 5 14 3 10" xfId="24584" xr:uid="{00000000-0005-0000-0000-0000E75F0000}"/>
    <cellStyle name="Normal 2 2 5 14 3 2" xfId="24585" xr:uid="{00000000-0005-0000-0000-0000E85F0000}"/>
    <cellStyle name="Normal 2 2 5 14 3 3" xfId="24586" xr:uid="{00000000-0005-0000-0000-0000E95F0000}"/>
    <cellStyle name="Normal 2 2 5 14 3 4" xfId="24587" xr:uid="{00000000-0005-0000-0000-0000EA5F0000}"/>
    <cellStyle name="Normal 2 2 5 14 3 5" xfId="24588" xr:uid="{00000000-0005-0000-0000-0000EB5F0000}"/>
    <cellStyle name="Normal 2 2 5 14 3 6" xfId="24589" xr:uid="{00000000-0005-0000-0000-0000EC5F0000}"/>
    <cellStyle name="Normal 2 2 5 14 3 7" xfId="24590" xr:uid="{00000000-0005-0000-0000-0000ED5F0000}"/>
    <cellStyle name="Normal 2 2 5 14 3 8" xfId="24591" xr:uid="{00000000-0005-0000-0000-0000EE5F0000}"/>
    <cellStyle name="Normal 2 2 5 14 3 9" xfId="24592" xr:uid="{00000000-0005-0000-0000-0000EF5F0000}"/>
    <cellStyle name="Normal 2 2 5 14 4" xfId="24593" xr:uid="{00000000-0005-0000-0000-0000F05F0000}"/>
    <cellStyle name="Normal 2 2 5 14 4 10" xfId="24594" xr:uid="{00000000-0005-0000-0000-0000F15F0000}"/>
    <cellStyle name="Normal 2 2 5 14 4 2" xfId="24595" xr:uid="{00000000-0005-0000-0000-0000F25F0000}"/>
    <cellStyle name="Normal 2 2 5 14 4 3" xfId="24596" xr:uid="{00000000-0005-0000-0000-0000F35F0000}"/>
    <cellStyle name="Normal 2 2 5 14 4 4" xfId="24597" xr:uid="{00000000-0005-0000-0000-0000F45F0000}"/>
    <cellStyle name="Normal 2 2 5 14 4 5" xfId="24598" xr:uid="{00000000-0005-0000-0000-0000F55F0000}"/>
    <cellStyle name="Normal 2 2 5 14 4 6" xfId="24599" xr:uid="{00000000-0005-0000-0000-0000F65F0000}"/>
    <cellStyle name="Normal 2 2 5 14 4 7" xfId="24600" xr:uid="{00000000-0005-0000-0000-0000F75F0000}"/>
    <cellStyle name="Normal 2 2 5 14 4 8" xfId="24601" xr:uid="{00000000-0005-0000-0000-0000F85F0000}"/>
    <cellStyle name="Normal 2 2 5 14 4 9" xfId="24602" xr:uid="{00000000-0005-0000-0000-0000F95F0000}"/>
    <cellStyle name="Normal 2 2 5 14 5" xfId="24603" xr:uid="{00000000-0005-0000-0000-0000FA5F0000}"/>
    <cellStyle name="Normal 2 2 5 14 5 10" xfId="24604" xr:uid="{00000000-0005-0000-0000-0000FB5F0000}"/>
    <cellStyle name="Normal 2 2 5 14 5 2" xfId="24605" xr:uid="{00000000-0005-0000-0000-0000FC5F0000}"/>
    <cellStyle name="Normal 2 2 5 14 5 3" xfId="24606" xr:uid="{00000000-0005-0000-0000-0000FD5F0000}"/>
    <cellStyle name="Normal 2 2 5 14 5 4" xfId="24607" xr:uid="{00000000-0005-0000-0000-0000FE5F0000}"/>
    <cellStyle name="Normal 2 2 5 14 5 5" xfId="24608" xr:uid="{00000000-0005-0000-0000-0000FF5F0000}"/>
    <cellStyle name="Normal 2 2 5 14 5 6" xfId="24609" xr:uid="{00000000-0005-0000-0000-000000600000}"/>
    <cellStyle name="Normal 2 2 5 14 5 7" xfId="24610" xr:uid="{00000000-0005-0000-0000-000001600000}"/>
    <cellStyle name="Normal 2 2 5 14 5 8" xfId="24611" xr:uid="{00000000-0005-0000-0000-000002600000}"/>
    <cellStyle name="Normal 2 2 5 14 5 9" xfId="24612" xr:uid="{00000000-0005-0000-0000-000003600000}"/>
    <cellStyle name="Normal 2 2 5 14 6" xfId="24613" xr:uid="{00000000-0005-0000-0000-000004600000}"/>
    <cellStyle name="Normal 2 2 5 14 7" xfId="24614" xr:uid="{00000000-0005-0000-0000-000005600000}"/>
    <cellStyle name="Normal 2 2 5 14 8" xfId="24615" xr:uid="{00000000-0005-0000-0000-000006600000}"/>
    <cellStyle name="Normal 2 2 5 14 9" xfId="24616" xr:uid="{00000000-0005-0000-0000-000007600000}"/>
    <cellStyle name="Normal 2 2 5 15" xfId="24617" xr:uid="{00000000-0005-0000-0000-000008600000}"/>
    <cellStyle name="Normal 2 2 5 15 10" xfId="24618" xr:uid="{00000000-0005-0000-0000-000009600000}"/>
    <cellStyle name="Normal 2 2 5 15 11" xfId="24619" xr:uid="{00000000-0005-0000-0000-00000A600000}"/>
    <cellStyle name="Normal 2 2 5 15 12" xfId="24620" xr:uid="{00000000-0005-0000-0000-00000B600000}"/>
    <cellStyle name="Normal 2 2 5 15 13" xfId="24621" xr:uid="{00000000-0005-0000-0000-00000C600000}"/>
    <cellStyle name="Normal 2 2 5 15 14" xfId="24622" xr:uid="{00000000-0005-0000-0000-00000D600000}"/>
    <cellStyle name="Normal 2 2 5 15 2" xfId="24623" xr:uid="{00000000-0005-0000-0000-00000E600000}"/>
    <cellStyle name="Normal 2 2 5 15 2 10" xfId="24624" xr:uid="{00000000-0005-0000-0000-00000F600000}"/>
    <cellStyle name="Normal 2 2 5 15 2 2" xfId="24625" xr:uid="{00000000-0005-0000-0000-000010600000}"/>
    <cellStyle name="Normal 2 2 5 15 2 3" xfId="24626" xr:uid="{00000000-0005-0000-0000-000011600000}"/>
    <cellStyle name="Normal 2 2 5 15 2 4" xfId="24627" xr:uid="{00000000-0005-0000-0000-000012600000}"/>
    <cellStyle name="Normal 2 2 5 15 2 5" xfId="24628" xr:uid="{00000000-0005-0000-0000-000013600000}"/>
    <cellStyle name="Normal 2 2 5 15 2 6" xfId="24629" xr:uid="{00000000-0005-0000-0000-000014600000}"/>
    <cellStyle name="Normal 2 2 5 15 2 7" xfId="24630" xr:uid="{00000000-0005-0000-0000-000015600000}"/>
    <cellStyle name="Normal 2 2 5 15 2 8" xfId="24631" xr:uid="{00000000-0005-0000-0000-000016600000}"/>
    <cellStyle name="Normal 2 2 5 15 2 9" xfId="24632" xr:uid="{00000000-0005-0000-0000-000017600000}"/>
    <cellStyle name="Normal 2 2 5 15 3" xfId="24633" xr:uid="{00000000-0005-0000-0000-000018600000}"/>
    <cellStyle name="Normal 2 2 5 15 3 10" xfId="24634" xr:uid="{00000000-0005-0000-0000-000019600000}"/>
    <cellStyle name="Normal 2 2 5 15 3 2" xfId="24635" xr:uid="{00000000-0005-0000-0000-00001A600000}"/>
    <cellStyle name="Normal 2 2 5 15 3 3" xfId="24636" xr:uid="{00000000-0005-0000-0000-00001B600000}"/>
    <cellStyle name="Normal 2 2 5 15 3 4" xfId="24637" xr:uid="{00000000-0005-0000-0000-00001C600000}"/>
    <cellStyle name="Normal 2 2 5 15 3 5" xfId="24638" xr:uid="{00000000-0005-0000-0000-00001D600000}"/>
    <cellStyle name="Normal 2 2 5 15 3 6" xfId="24639" xr:uid="{00000000-0005-0000-0000-00001E600000}"/>
    <cellStyle name="Normal 2 2 5 15 3 7" xfId="24640" xr:uid="{00000000-0005-0000-0000-00001F600000}"/>
    <cellStyle name="Normal 2 2 5 15 3 8" xfId="24641" xr:uid="{00000000-0005-0000-0000-000020600000}"/>
    <cellStyle name="Normal 2 2 5 15 3 9" xfId="24642" xr:uid="{00000000-0005-0000-0000-000021600000}"/>
    <cellStyle name="Normal 2 2 5 15 4" xfId="24643" xr:uid="{00000000-0005-0000-0000-000022600000}"/>
    <cellStyle name="Normal 2 2 5 15 4 10" xfId="24644" xr:uid="{00000000-0005-0000-0000-000023600000}"/>
    <cellStyle name="Normal 2 2 5 15 4 2" xfId="24645" xr:uid="{00000000-0005-0000-0000-000024600000}"/>
    <cellStyle name="Normal 2 2 5 15 4 3" xfId="24646" xr:uid="{00000000-0005-0000-0000-000025600000}"/>
    <cellStyle name="Normal 2 2 5 15 4 4" xfId="24647" xr:uid="{00000000-0005-0000-0000-000026600000}"/>
    <cellStyle name="Normal 2 2 5 15 4 5" xfId="24648" xr:uid="{00000000-0005-0000-0000-000027600000}"/>
    <cellStyle name="Normal 2 2 5 15 4 6" xfId="24649" xr:uid="{00000000-0005-0000-0000-000028600000}"/>
    <cellStyle name="Normal 2 2 5 15 4 7" xfId="24650" xr:uid="{00000000-0005-0000-0000-000029600000}"/>
    <cellStyle name="Normal 2 2 5 15 4 8" xfId="24651" xr:uid="{00000000-0005-0000-0000-00002A600000}"/>
    <cellStyle name="Normal 2 2 5 15 4 9" xfId="24652" xr:uid="{00000000-0005-0000-0000-00002B600000}"/>
    <cellStyle name="Normal 2 2 5 15 5" xfId="24653" xr:uid="{00000000-0005-0000-0000-00002C600000}"/>
    <cellStyle name="Normal 2 2 5 15 5 10" xfId="24654" xr:uid="{00000000-0005-0000-0000-00002D600000}"/>
    <cellStyle name="Normal 2 2 5 15 5 2" xfId="24655" xr:uid="{00000000-0005-0000-0000-00002E600000}"/>
    <cellStyle name="Normal 2 2 5 15 5 3" xfId="24656" xr:uid="{00000000-0005-0000-0000-00002F600000}"/>
    <cellStyle name="Normal 2 2 5 15 5 4" xfId="24657" xr:uid="{00000000-0005-0000-0000-000030600000}"/>
    <cellStyle name="Normal 2 2 5 15 5 5" xfId="24658" xr:uid="{00000000-0005-0000-0000-000031600000}"/>
    <cellStyle name="Normal 2 2 5 15 5 6" xfId="24659" xr:uid="{00000000-0005-0000-0000-000032600000}"/>
    <cellStyle name="Normal 2 2 5 15 5 7" xfId="24660" xr:uid="{00000000-0005-0000-0000-000033600000}"/>
    <cellStyle name="Normal 2 2 5 15 5 8" xfId="24661" xr:uid="{00000000-0005-0000-0000-000034600000}"/>
    <cellStyle name="Normal 2 2 5 15 5 9" xfId="24662" xr:uid="{00000000-0005-0000-0000-000035600000}"/>
    <cellStyle name="Normal 2 2 5 15 6" xfId="24663" xr:uid="{00000000-0005-0000-0000-000036600000}"/>
    <cellStyle name="Normal 2 2 5 15 7" xfId="24664" xr:uid="{00000000-0005-0000-0000-000037600000}"/>
    <cellStyle name="Normal 2 2 5 15 8" xfId="24665" xr:uid="{00000000-0005-0000-0000-000038600000}"/>
    <cellStyle name="Normal 2 2 5 15 9" xfId="24666" xr:uid="{00000000-0005-0000-0000-000039600000}"/>
    <cellStyle name="Normal 2 2 5 16" xfId="24667" xr:uid="{00000000-0005-0000-0000-00003A600000}"/>
    <cellStyle name="Normal 2 2 5 16 10" xfId="24668" xr:uid="{00000000-0005-0000-0000-00003B600000}"/>
    <cellStyle name="Normal 2 2 5 16 11" xfId="24669" xr:uid="{00000000-0005-0000-0000-00003C600000}"/>
    <cellStyle name="Normal 2 2 5 16 12" xfId="24670" xr:uid="{00000000-0005-0000-0000-00003D600000}"/>
    <cellStyle name="Normal 2 2 5 16 13" xfId="24671" xr:uid="{00000000-0005-0000-0000-00003E600000}"/>
    <cellStyle name="Normal 2 2 5 16 14" xfId="24672" xr:uid="{00000000-0005-0000-0000-00003F600000}"/>
    <cellStyle name="Normal 2 2 5 16 2" xfId="24673" xr:uid="{00000000-0005-0000-0000-000040600000}"/>
    <cellStyle name="Normal 2 2 5 16 2 10" xfId="24674" xr:uid="{00000000-0005-0000-0000-000041600000}"/>
    <cellStyle name="Normal 2 2 5 16 2 2" xfId="24675" xr:uid="{00000000-0005-0000-0000-000042600000}"/>
    <cellStyle name="Normal 2 2 5 16 2 3" xfId="24676" xr:uid="{00000000-0005-0000-0000-000043600000}"/>
    <cellStyle name="Normal 2 2 5 16 2 4" xfId="24677" xr:uid="{00000000-0005-0000-0000-000044600000}"/>
    <cellStyle name="Normal 2 2 5 16 2 5" xfId="24678" xr:uid="{00000000-0005-0000-0000-000045600000}"/>
    <cellStyle name="Normal 2 2 5 16 2 6" xfId="24679" xr:uid="{00000000-0005-0000-0000-000046600000}"/>
    <cellStyle name="Normal 2 2 5 16 2 7" xfId="24680" xr:uid="{00000000-0005-0000-0000-000047600000}"/>
    <cellStyle name="Normal 2 2 5 16 2 8" xfId="24681" xr:uid="{00000000-0005-0000-0000-000048600000}"/>
    <cellStyle name="Normal 2 2 5 16 2 9" xfId="24682" xr:uid="{00000000-0005-0000-0000-000049600000}"/>
    <cellStyle name="Normal 2 2 5 16 3" xfId="24683" xr:uid="{00000000-0005-0000-0000-00004A600000}"/>
    <cellStyle name="Normal 2 2 5 16 3 10" xfId="24684" xr:uid="{00000000-0005-0000-0000-00004B600000}"/>
    <cellStyle name="Normal 2 2 5 16 3 2" xfId="24685" xr:uid="{00000000-0005-0000-0000-00004C600000}"/>
    <cellStyle name="Normal 2 2 5 16 3 3" xfId="24686" xr:uid="{00000000-0005-0000-0000-00004D600000}"/>
    <cellStyle name="Normal 2 2 5 16 3 4" xfId="24687" xr:uid="{00000000-0005-0000-0000-00004E600000}"/>
    <cellStyle name="Normal 2 2 5 16 3 5" xfId="24688" xr:uid="{00000000-0005-0000-0000-00004F600000}"/>
    <cellStyle name="Normal 2 2 5 16 3 6" xfId="24689" xr:uid="{00000000-0005-0000-0000-000050600000}"/>
    <cellStyle name="Normal 2 2 5 16 3 7" xfId="24690" xr:uid="{00000000-0005-0000-0000-000051600000}"/>
    <cellStyle name="Normal 2 2 5 16 3 8" xfId="24691" xr:uid="{00000000-0005-0000-0000-000052600000}"/>
    <cellStyle name="Normal 2 2 5 16 3 9" xfId="24692" xr:uid="{00000000-0005-0000-0000-000053600000}"/>
    <cellStyle name="Normal 2 2 5 16 4" xfId="24693" xr:uid="{00000000-0005-0000-0000-000054600000}"/>
    <cellStyle name="Normal 2 2 5 16 4 10" xfId="24694" xr:uid="{00000000-0005-0000-0000-000055600000}"/>
    <cellStyle name="Normal 2 2 5 16 4 2" xfId="24695" xr:uid="{00000000-0005-0000-0000-000056600000}"/>
    <cellStyle name="Normal 2 2 5 16 4 3" xfId="24696" xr:uid="{00000000-0005-0000-0000-000057600000}"/>
    <cellStyle name="Normal 2 2 5 16 4 4" xfId="24697" xr:uid="{00000000-0005-0000-0000-000058600000}"/>
    <cellStyle name="Normal 2 2 5 16 4 5" xfId="24698" xr:uid="{00000000-0005-0000-0000-000059600000}"/>
    <cellStyle name="Normal 2 2 5 16 4 6" xfId="24699" xr:uid="{00000000-0005-0000-0000-00005A600000}"/>
    <cellStyle name="Normal 2 2 5 16 4 7" xfId="24700" xr:uid="{00000000-0005-0000-0000-00005B600000}"/>
    <cellStyle name="Normal 2 2 5 16 4 8" xfId="24701" xr:uid="{00000000-0005-0000-0000-00005C600000}"/>
    <cellStyle name="Normal 2 2 5 16 4 9" xfId="24702" xr:uid="{00000000-0005-0000-0000-00005D600000}"/>
    <cellStyle name="Normal 2 2 5 16 5" xfId="24703" xr:uid="{00000000-0005-0000-0000-00005E600000}"/>
    <cellStyle name="Normal 2 2 5 16 5 10" xfId="24704" xr:uid="{00000000-0005-0000-0000-00005F600000}"/>
    <cellStyle name="Normal 2 2 5 16 5 2" xfId="24705" xr:uid="{00000000-0005-0000-0000-000060600000}"/>
    <cellStyle name="Normal 2 2 5 16 5 3" xfId="24706" xr:uid="{00000000-0005-0000-0000-000061600000}"/>
    <cellStyle name="Normal 2 2 5 16 5 4" xfId="24707" xr:uid="{00000000-0005-0000-0000-000062600000}"/>
    <cellStyle name="Normal 2 2 5 16 5 5" xfId="24708" xr:uid="{00000000-0005-0000-0000-000063600000}"/>
    <cellStyle name="Normal 2 2 5 16 5 6" xfId="24709" xr:uid="{00000000-0005-0000-0000-000064600000}"/>
    <cellStyle name="Normal 2 2 5 16 5 7" xfId="24710" xr:uid="{00000000-0005-0000-0000-000065600000}"/>
    <cellStyle name="Normal 2 2 5 16 5 8" xfId="24711" xr:uid="{00000000-0005-0000-0000-000066600000}"/>
    <cellStyle name="Normal 2 2 5 16 5 9" xfId="24712" xr:uid="{00000000-0005-0000-0000-000067600000}"/>
    <cellStyle name="Normal 2 2 5 16 6" xfId="24713" xr:uid="{00000000-0005-0000-0000-000068600000}"/>
    <cellStyle name="Normal 2 2 5 16 7" xfId="24714" xr:uid="{00000000-0005-0000-0000-000069600000}"/>
    <cellStyle name="Normal 2 2 5 16 8" xfId="24715" xr:uid="{00000000-0005-0000-0000-00006A600000}"/>
    <cellStyle name="Normal 2 2 5 16 9" xfId="24716" xr:uid="{00000000-0005-0000-0000-00006B600000}"/>
    <cellStyle name="Normal 2 2 5 17" xfId="24717" xr:uid="{00000000-0005-0000-0000-00006C600000}"/>
    <cellStyle name="Normal 2 2 5 17 10" xfId="24718" xr:uid="{00000000-0005-0000-0000-00006D600000}"/>
    <cellStyle name="Normal 2 2 5 17 11" xfId="24719" xr:uid="{00000000-0005-0000-0000-00006E600000}"/>
    <cellStyle name="Normal 2 2 5 17 12" xfId="24720" xr:uid="{00000000-0005-0000-0000-00006F600000}"/>
    <cellStyle name="Normal 2 2 5 17 13" xfId="24721" xr:uid="{00000000-0005-0000-0000-000070600000}"/>
    <cellStyle name="Normal 2 2 5 17 14" xfId="24722" xr:uid="{00000000-0005-0000-0000-000071600000}"/>
    <cellStyle name="Normal 2 2 5 17 2" xfId="24723" xr:uid="{00000000-0005-0000-0000-000072600000}"/>
    <cellStyle name="Normal 2 2 5 17 2 10" xfId="24724" xr:uid="{00000000-0005-0000-0000-000073600000}"/>
    <cellStyle name="Normal 2 2 5 17 2 2" xfId="24725" xr:uid="{00000000-0005-0000-0000-000074600000}"/>
    <cellStyle name="Normal 2 2 5 17 2 3" xfId="24726" xr:uid="{00000000-0005-0000-0000-000075600000}"/>
    <cellStyle name="Normal 2 2 5 17 2 4" xfId="24727" xr:uid="{00000000-0005-0000-0000-000076600000}"/>
    <cellStyle name="Normal 2 2 5 17 2 5" xfId="24728" xr:uid="{00000000-0005-0000-0000-000077600000}"/>
    <cellStyle name="Normal 2 2 5 17 2 6" xfId="24729" xr:uid="{00000000-0005-0000-0000-000078600000}"/>
    <cellStyle name="Normal 2 2 5 17 2 7" xfId="24730" xr:uid="{00000000-0005-0000-0000-000079600000}"/>
    <cellStyle name="Normal 2 2 5 17 2 8" xfId="24731" xr:uid="{00000000-0005-0000-0000-00007A600000}"/>
    <cellStyle name="Normal 2 2 5 17 2 9" xfId="24732" xr:uid="{00000000-0005-0000-0000-00007B600000}"/>
    <cellStyle name="Normal 2 2 5 17 3" xfId="24733" xr:uid="{00000000-0005-0000-0000-00007C600000}"/>
    <cellStyle name="Normal 2 2 5 17 3 10" xfId="24734" xr:uid="{00000000-0005-0000-0000-00007D600000}"/>
    <cellStyle name="Normal 2 2 5 17 3 2" xfId="24735" xr:uid="{00000000-0005-0000-0000-00007E600000}"/>
    <cellStyle name="Normal 2 2 5 17 3 3" xfId="24736" xr:uid="{00000000-0005-0000-0000-00007F600000}"/>
    <cellStyle name="Normal 2 2 5 17 3 4" xfId="24737" xr:uid="{00000000-0005-0000-0000-000080600000}"/>
    <cellStyle name="Normal 2 2 5 17 3 5" xfId="24738" xr:uid="{00000000-0005-0000-0000-000081600000}"/>
    <cellStyle name="Normal 2 2 5 17 3 6" xfId="24739" xr:uid="{00000000-0005-0000-0000-000082600000}"/>
    <cellStyle name="Normal 2 2 5 17 3 7" xfId="24740" xr:uid="{00000000-0005-0000-0000-000083600000}"/>
    <cellStyle name="Normal 2 2 5 17 3 8" xfId="24741" xr:uid="{00000000-0005-0000-0000-000084600000}"/>
    <cellStyle name="Normal 2 2 5 17 3 9" xfId="24742" xr:uid="{00000000-0005-0000-0000-000085600000}"/>
    <cellStyle name="Normal 2 2 5 17 4" xfId="24743" xr:uid="{00000000-0005-0000-0000-000086600000}"/>
    <cellStyle name="Normal 2 2 5 17 4 10" xfId="24744" xr:uid="{00000000-0005-0000-0000-000087600000}"/>
    <cellStyle name="Normal 2 2 5 17 4 2" xfId="24745" xr:uid="{00000000-0005-0000-0000-000088600000}"/>
    <cellStyle name="Normal 2 2 5 17 4 3" xfId="24746" xr:uid="{00000000-0005-0000-0000-000089600000}"/>
    <cellStyle name="Normal 2 2 5 17 4 4" xfId="24747" xr:uid="{00000000-0005-0000-0000-00008A600000}"/>
    <cellStyle name="Normal 2 2 5 17 4 5" xfId="24748" xr:uid="{00000000-0005-0000-0000-00008B600000}"/>
    <cellStyle name="Normal 2 2 5 17 4 6" xfId="24749" xr:uid="{00000000-0005-0000-0000-00008C600000}"/>
    <cellStyle name="Normal 2 2 5 17 4 7" xfId="24750" xr:uid="{00000000-0005-0000-0000-00008D600000}"/>
    <cellStyle name="Normal 2 2 5 17 4 8" xfId="24751" xr:uid="{00000000-0005-0000-0000-00008E600000}"/>
    <cellStyle name="Normal 2 2 5 17 4 9" xfId="24752" xr:uid="{00000000-0005-0000-0000-00008F600000}"/>
    <cellStyle name="Normal 2 2 5 17 5" xfId="24753" xr:uid="{00000000-0005-0000-0000-000090600000}"/>
    <cellStyle name="Normal 2 2 5 17 5 10" xfId="24754" xr:uid="{00000000-0005-0000-0000-000091600000}"/>
    <cellStyle name="Normal 2 2 5 17 5 2" xfId="24755" xr:uid="{00000000-0005-0000-0000-000092600000}"/>
    <cellStyle name="Normal 2 2 5 17 5 3" xfId="24756" xr:uid="{00000000-0005-0000-0000-000093600000}"/>
    <cellStyle name="Normal 2 2 5 17 5 4" xfId="24757" xr:uid="{00000000-0005-0000-0000-000094600000}"/>
    <cellStyle name="Normal 2 2 5 17 5 5" xfId="24758" xr:uid="{00000000-0005-0000-0000-000095600000}"/>
    <cellStyle name="Normal 2 2 5 17 5 6" xfId="24759" xr:uid="{00000000-0005-0000-0000-000096600000}"/>
    <cellStyle name="Normal 2 2 5 17 5 7" xfId="24760" xr:uid="{00000000-0005-0000-0000-000097600000}"/>
    <cellStyle name="Normal 2 2 5 17 5 8" xfId="24761" xr:uid="{00000000-0005-0000-0000-000098600000}"/>
    <cellStyle name="Normal 2 2 5 17 5 9" xfId="24762" xr:uid="{00000000-0005-0000-0000-000099600000}"/>
    <cellStyle name="Normal 2 2 5 17 6" xfId="24763" xr:uid="{00000000-0005-0000-0000-00009A600000}"/>
    <cellStyle name="Normal 2 2 5 17 7" xfId="24764" xr:uid="{00000000-0005-0000-0000-00009B600000}"/>
    <cellStyle name="Normal 2 2 5 17 8" xfId="24765" xr:uid="{00000000-0005-0000-0000-00009C600000}"/>
    <cellStyle name="Normal 2 2 5 17 9" xfId="24766" xr:uid="{00000000-0005-0000-0000-00009D600000}"/>
    <cellStyle name="Normal 2 2 5 18" xfId="24767" xr:uid="{00000000-0005-0000-0000-00009E600000}"/>
    <cellStyle name="Normal 2 2 5 18 10" xfId="24768" xr:uid="{00000000-0005-0000-0000-00009F600000}"/>
    <cellStyle name="Normal 2 2 5 18 11" xfId="24769" xr:uid="{00000000-0005-0000-0000-0000A0600000}"/>
    <cellStyle name="Normal 2 2 5 18 12" xfId="24770" xr:uid="{00000000-0005-0000-0000-0000A1600000}"/>
    <cellStyle name="Normal 2 2 5 18 13" xfId="24771" xr:uid="{00000000-0005-0000-0000-0000A2600000}"/>
    <cellStyle name="Normal 2 2 5 18 14" xfId="24772" xr:uid="{00000000-0005-0000-0000-0000A3600000}"/>
    <cellStyle name="Normal 2 2 5 18 2" xfId="24773" xr:uid="{00000000-0005-0000-0000-0000A4600000}"/>
    <cellStyle name="Normal 2 2 5 18 2 10" xfId="24774" xr:uid="{00000000-0005-0000-0000-0000A5600000}"/>
    <cellStyle name="Normal 2 2 5 18 2 2" xfId="24775" xr:uid="{00000000-0005-0000-0000-0000A6600000}"/>
    <cellStyle name="Normal 2 2 5 18 2 3" xfId="24776" xr:uid="{00000000-0005-0000-0000-0000A7600000}"/>
    <cellStyle name="Normal 2 2 5 18 2 4" xfId="24777" xr:uid="{00000000-0005-0000-0000-0000A8600000}"/>
    <cellStyle name="Normal 2 2 5 18 2 5" xfId="24778" xr:uid="{00000000-0005-0000-0000-0000A9600000}"/>
    <cellStyle name="Normal 2 2 5 18 2 6" xfId="24779" xr:uid="{00000000-0005-0000-0000-0000AA600000}"/>
    <cellStyle name="Normal 2 2 5 18 2 7" xfId="24780" xr:uid="{00000000-0005-0000-0000-0000AB600000}"/>
    <cellStyle name="Normal 2 2 5 18 2 8" xfId="24781" xr:uid="{00000000-0005-0000-0000-0000AC600000}"/>
    <cellStyle name="Normal 2 2 5 18 2 9" xfId="24782" xr:uid="{00000000-0005-0000-0000-0000AD600000}"/>
    <cellStyle name="Normal 2 2 5 18 3" xfId="24783" xr:uid="{00000000-0005-0000-0000-0000AE600000}"/>
    <cellStyle name="Normal 2 2 5 18 3 10" xfId="24784" xr:uid="{00000000-0005-0000-0000-0000AF600000}"/>
    <cellStyle name="Normal 2 2 5 18 3 2" xfId="24785" xr:uid="{00000000-0005-0000-0000-0000B0600000}"/>
    <cellStyle name="Normal 2 2 5 18 3 3" xfId="24786" xr:uid="{00000000-0005-0000-0000-0000B1600000}"/>
    <cellStyle name="Normal 2 2 5 18 3 4" xfId="24787" xr:uid="{00000000-0005-0000-0000-0000B2600000}"/>
    <cellStyle name="Normal 2 2 5 18 3 5" xfId="24788" xr:uid="{00000000-0005-0000-0000-0000B3600000}"/>
    <cellStyle name="Normal 2 2 5 18 3 6" xfId="24789" xr:uid="{00000000-0005-0000-0000-0000B4600000}"/>
    <cellStyle name="Normal 2 2 5 18 3 7" xfId="24790" xr:uid="{00000000-0005-0000-0000-0000B5600000}"/>
    <cellStyle name="Normal 2 2 5 18 3 8" xfId="24791" xr:uid="{00000000-0005-0000-0000-0000B6600000}"/>
    <cellStyle name="Normal 2 2 5 18 3 9" xfId="24792" xr:uid="{00000000-0005-0000-0000-0000B7600000}"/>
    <cellStyle name="Normal 2 2 5 18 4" xfId="24793" xr:uid="{00000000-0005-0000-0000-0000B8600000}"/>
    <cellStyle name="Normal 2 2 5 18 4 10" xfId="24794" xr:uid="{00000000-0005-0000-0000-0000B9600000}"/>
    <cellStyle name="Normal 2 2 5 18 4 2" xfId="24795" xr:uid="{00000000-0005-0000-0000-0000BA600000}"/>
    <cellStyle name="Normal 2 2 5 18 4 3" xfId="24796" xr:uid="{00000000-0005-0000-0000-0000BB600000}"/>
    <cellStyle name="Normal 2 2 5 18 4 4" xfId="24797" xr:uid="{00000000-0005-0000-0000-0000BC600000}"/>
    <cellStyle name="Normal 2 2 5 18 4 5" xfId="24798" xr:uid="{00000000-0005-0000-0000-0000BD600000}"/>
    <cellStyle name="Normal 2 2 5 18 4 6" xfId="24799" xr:uid="{00000000-0005-0000-0000-0000BE600000}"/>
    <cellStyle name="Normal 2 2 5 18 4 7" xfId="24800" xr:uid="{00000000-0005-0000-0000-0000BF600000}"/>
    <cellStyle name="Normal 2 2 5 18 4 8" xfId="24801" xr:uid="{00000000-0005-0000-0000-0000C0600000}"/>
    <cellStyle name="Normal 2 2 5 18 4 9" xfId="24802" xr:uid="{00000000-0005-0000-0000-0000C1600000}"/>
    <cellStyle name="Normal 2 2 5 18 5" xfId="24803" xr:uid="{00000000-0005-0000-0000-0000C2600000}"/>
    <cellStyle name="Normal 2 2 5 18 5 10" xfId="24804" xr:uid="{00000000-0005-0000-0000-0000C3600000}"/>
    <cellStyle name="Normal 2 2 5 18 5 2" xfId="24805" xr:uid="{00000000-0005-0000-0000-0000C4600000}"/>
    <cellStyle name="Normal 2 2 5 18 5 3" xfId="24806" xr:uid="{00000000-0005-0000-0000-0000C5600000}"/>
    <cellStyle name="Normal 2 2 5 18 5 4" xfId="24807" xr:uid="{00000000-0005-0000-0000-0000C6600000}"/>
    <cellStyle name="Normal 2 2 5 18 5 5" xfId="24808" xr:uid="{00000000-0005-0000-0000-0000C7600000}"/>
    <cellStyle name="Normal 2 2 5 18 5 6" xfId="24809" xr:uid="{00000000-0005-0000-0000-0000C8600000}"/>
    <cellStyle name="Normal 2 2 5 18 5 7" xfId="24810" xr:uid="{00000000-0005-0000-0000-0000C9600000}"/>
    <cellStyle name="Normal 2 2 5 18 5 8" xfId="24811" xr:uid="{00000000-0005-0000-0000-0000CA600000}"/>
    <cellStyle name="Normal 2 2 5 18 5 9" xfId="24812" xr:uid="{00000000-0005-0000-0000-0000CB600000}"/>
    <cellStyle name="Normal 2 2 5 18 6" xfId="24813" xr:uid="{00000000-0005-0000-0000-0000CC600000}"/>
    <cellStyle name="Normal 2 2 5 18 7" xfId="24814" xr:uid="{00000000-0005-0000-0000-0000CD600000}"/>
    <cellStyle name="Normal 2 2 5 18 8" xfId="24815" xr:uid="{00000000-0005-0000-0000-0000CE600000}"/>
    <cellStyle name="Normal 2 2 5 18 9" xfId="24816" xr:uid="{00000000-0005-0000-0000-0000CF600000}"/>
    <cellStyle name="Normal 2 2 5 19" xfId="24817" xr:uid="{00000000-0005-0000-0000-0000D0600000}"/>
    <cellStyle name="Normal 2 2 5 19 10" xfId="24818" xr:uid="{00000000-0005-0000-0000-0000D1600000}"/>
    <cellStyle name="Normal 2 2 5 19 11" xfId="24819" xr:uid="{00000000-0005-0000-0000-0000D2600000}"/>
    <cellStyle name="Normal 2 2 5 19 12" xfId="24820" xr:uid="{00000000-0005-0000-0000-0000D3600000}"/>
    <cellStyle name="Normal 2 2 5 19 13" xfId="24821" xr:uid="{00000000-0005-0000-0000-0000D4600000}"/>
    <cellStyle name="Normal 2 2 5 19 14" xfId="24822" xr:uid="{00000000-0005-0000-0000-0000D5600000}"/>
    <cellStyle name="Normal 2 2 5 19 2" xfId="24823" xr:uid="{00000000-0005-0000-0000-0000D6600000}"/>
    <cellStyle name="Normal 2 2 5 19 2 10" xfId="24824" xr:uid="{00000000-0005-0000-0000-0000D7600000}"/>
    <cellStyle name="Normal 2 2 5 19 2 2" xfId="24825" xr:uid="{00000000-0005-0000-0000-0000D8600000}"/>
    <cellStyle name="Normal 2 2 5 19 2 3" xfId="24826" xr:uid="{00000000-0005-0000-0000-0000D9600000}"/>
    <cellStyle name="Normal 2 2 5 19 2 4" xfId="24827" xr:uid="{00000000-0005-0000-0000-0000DA600000}"/>
    <cellStyle name="Normal 2 2 5 19 2 5" xfId="24828" xr:uid="{00000000-0005-0000-0000-0000DB600000}"/>
    <cellStyle name="Normal 2 2 5 19 2 6" xfId="24829" xr:uid="{00000000-0005-0000-0000-0000DC600000}"/>
    <cellStyle name="Normal 2 2 5 19 2 7" xfId="24830" xr:uid="{00000000-0005-0000-0000-0000DD600000}"/>
    <cellStyle name="Normal 2 2 5 19 2 8" xfId="24831" xr:uid="{00000000-0005-0000-0000-0000DE600000}"/>
    <cellStyle name="Normal 2 2 5 19 2 9" xfId="24832" xr:uid="{00000000-0005-0000-0000-0000DF600000}"/>
    <cellStyle name="Normal 2 2 5 19 3" xfId="24833" xr:uid="{00000000-0005-0000-0000-0000E0600000}"/>
    <cellStyle name="Normal 2 2 5 19 3 10" xfId="24834" xr:uid="{00000000-0005-0000-0000-0000E1600000}"/>
    <cellStyle name="Normal 2 2 5 19 3 2" xfId="24835" xr:uid="{00000000-0005-0000-0000-0000E2600000}"/>
    <cellStyle name="Normal 2 2 5 19 3 3" xfId="24836" xr:uid="{00000000-0005-0000-0000-0000E3600000}"/>
    <cellStyle name="Normal 2 2 5 19 3 4" xfId="24837" xr:uid="{00000000-0005-0000-0000-0000E4600000}"/>
    <cellStyle name="Normal 2 2 5 19 3 5" xfId="24838" xr:uid="{00000000-0005-0000-0000-0000E5600000}"/>
    <cellStyle name="Normal 2 2 5 19 3 6" xfId="24839" xr:uid="{00000000-0005-0000-0000-0000E6600000}"/>
    <cellStyle name="Normal 2 2 5 19 3 7" xfId="24840" xr:uid="{00000000-0005-0000-0000-0000E7600000}"/>
    <cellStyle name="Normal 2 2 5 19 3 8" xfId="24841" xr:uid="{00000000-0005-0000-0000-0000E8600000}"/>
    <cellStyle name="Normal 2 2 5 19 3 9" xfId="24842" xr:uid="{00000000-0005-0000-0000-0000E9600000}"/>
    <cellStyle name="Normal 2 2 5 19 4" xfId="24843" xr:uid="{00000000-0005-0000-0000-0000EA600000}"/>
    <cellStyle name="Normal 2 2 5 19 4 10" xfId="24844" xr:uid="{00000000-0005-0000-0000-0000EB600000}"/>
    <cellStyle name="Normal 2 2 5 19 4 2" xfId="24845" xr:uid="{00000000-0005-0000-0000-0000EC600000}"/>
    <cellStyle name="Normal 2 2 5 19 4 3" xfId="24846" xr:uid="{00000000-0005-0000-0000-0000ED600000}"/>
    <cellStyle name="Normal 2 2 5 19 4 4" xfId="24847" xr:uid="{00000000-0005-0000-0000-0000EE600000}"/>
    <cellStyle name="Normal 2 2 5 19 4 5" xfId="24848" xr:uid="{00000000-0005-0000-0000-0000EF600000}"/>
    <cellStyle name="Normal 2 2 5 19 4 6" xfId="24849" xr:uid="{00000000-0005-0000-0000-0000F0600000}"/>
    <cellStyle name="Normal 2 2 5 19 4 7" xfId="24850" xr:uid="{00000000-0005-0000-0000-0000F1600000}"/>
    <cellStyle name="Normal 2 2 5 19 4 8" xfId="24851" xr:uid="{00000000-0005-0000-0000-0000F2600000}"/>
    <cellStyle name="Normal 2 2 5 19 4 9" xfId="24852" xr:uid="{00000000-0005-0000-0000-0000F3600000}"/>
    <cellStyle name="Normal 2 2 5 19 5" xfId="24853" xr:uid="{00000000-0005-0000-0000-0000F4600000}"/>
    <cellStyle name="Normal 2 2 5 19 5 10" xfId="24854" xr:uid="{00000000-0005-0000-0000-0000F5600000}"/>
    <cellStyle name="Normal 2 2 5 19 5 2" xfId="24855" xr:uid="{00000000-0005-0000-0000-0000F6600000}"/>
    <cellStyle name="Normal 2 2 5 19 5 3" xfId="24856" xr:uid="{00000000-0005-0000-0000-0000F7600000}"/>
    <cellStyle name="Normal 2 2 5 19 5 4" xfId="24857" xr:uid="{00000000-0005-0000-0000-0000F8600000}"/>
    <cellStyle name="Normal 2 2 5 19 5 5" xfId="24858" xr:uid="{00000000-0005-0000-0000-0000F9600000}"/>
    <cellStyle name="Normal 2 2 5 19 5 6" xfId="24859" xr:uid="{00000000-0005-0000-0000-0000FA600000}"/>
    <cellStyle name="Normal 2 2 5 19 5 7" xfId="24860" xr:uid="{00000000-0005-0000-0000-0000FB600000}"/>
    <cellStyle name="Normal 2 2 5 19 5 8" xfId="24861" xr:uid="{00000000-0005-0000-0000-0000FC600000}"/>
    <cellStyle name="Normal 2 2 5 19 5 9" xfId="24862" xr:uid="{00000000-0005-0000-0000-0000FD600000}"/>
    <cellStyle name="Normal 2 2 5 19 6" xfId="24863" xr:uid="{00000000-0005-0000-0000-0000FE600000}"/>
    <cellStyle name="Normal 2 2 5 19 7" xfId="24864" xr:uid="{00000000-0005-0000-0000-0000FF600000}"/>
    <cellStyle name="Normal 2 2 5 19 8" xfId="24865" xr:uid="{00000000-0005-0000-0000-000000610000}"/>
    <cellStyle name="Normal 2 2 5 19 9" xfId="24866" xr:uid="{00000000-0005-0000-0000-000001610000}"/>
    <cellStyle name="Normal 2 2 5 2" xfId="24867" xr:uid="{00000000-0005-0000-0000-000002610000}"/>
    <cellStyle name="Normal 2 2 5 2 10" xfId="24868" xr:uid="{00000000-0005-0000-0000-000003610000}"/>
    <cellStyle name="Normal 2 2 5 2 11" xfId="24869" xr:uid="{00000000-0005-0000-0000-000004610000}"/>
    <cellStyle name="Normal 2 2 5 2 12" xfId="24870" xr:uid="{00000000-0005-0000-0000-000005610000}"/>
    <cellStyle name="Normal 2 2 5 2 13" xfId="24871" xr:uid="{00000000-0005-0000-0000-000006610000}"/>
    <cellStyle name="Normal 2 2 5 2 14" xfId="24872" xr:uid="{00000000-0005-0000-0000-000007610000}"/>
    <cellStyle name="Normal 2 2 5 2 15" xfId="24873" xr:uid="{00000000-0005-0000-0000-000008610000}"/>
    <cellStyle name="Normal 2 2 5 2 16" xfId="24874" xr:uid="{00000000-0005-0000-0000-000009610000}"/>
    <cellStyle name="Normal 2 2 5 2 17" xfId="24875" xr:uid="{00000000-0005-0000-0000-00000A610000}"/>
    <cellStyle name="Normal 2 2 5 2 18" xfId="24876" xr:uid="{00000000-0005-0000-0000-00000B610000}"/>
    <cellStyle name="Normal 2 2 5 2 19" xfId="24877" xr:uid="{00000000-0005-0000-0000-00000C610000}"/>
    <cellStyle name="Normal 2 2 5 2 2" xfId="24878" xr:uid="{00000000-0005-0000-0000-00000D610000}"/>
    <cellStyle name="Normal 2 2 5 2 20" xfId="24879" xr:uid="{00000000-0005-0000-0000-00000E610000}"/>
    <cellStyle name="Normal 2 2 5 2 21" xfId="24880" xr:uid="{00000000-0005-0000-0000-00000F610000}"/>
    <cellStyle name="Normal 2 2 5 2 21 10" xfId="24881" xr:uid="{00000000-0005-0000-0000-000010610000}"/>
    <cellStyle name="Normal 2 2 5 2 21 2" xfId="24882" xr:uid="{00000000-0005-0000-0000-000011610000}"/>
    <cellStyle name="Normal 2 2 5 2 21 3" xfId="24883" xr:uid="{00000000-0005-0000-0000-000012610000}"/>
    <cellStyle name="Normal 2 2 5 2 21 4" xfId="24884" xr:uid="{00000000-0005-0000-0000-000013610000}"/>
    <cellStyle name="Normal 2 2 5 2 21 5" xfId="24885" xr:uid="{00000000-0005-0000-0000-000014610000}"/>
    <cellStyle name="Normal 2 2 5 2 21 6" xfId="24886" xr:uid="{00000000-0005-0000-0000-000015610000}"/>
    <cellStyle name="Normal 2 2 5 2 21 7" xfId="24887" xr:uid="{00000000-0005-0000-0000-000016610000}"/>
    <cellStyle name="Normal 2 2 5 2 21 8" xfId="24888" xr:uid="{00000000-0005-0000-0000-000017610000}"/>
    <cellStyle name="Normal 2 2 5 2 21 9" xfId="24889" xr:uid="{00000000-0005-0000-0000-000018610000}"/>
    <cellStyle name="Normal 2 2 5 2 22" xfId="24890" xr:uid="{00000000-0005-0000-0000-000019610000}"/>
    <cellStyle name="Normal 2 2 5 2 22 10" xfId="24891" xr:uid="{00000000-0005-0000-0000-00001A610000}"/>
    <cellStyle name="Normal 2 2 5 2 22 2" xfId="24892" xr:uid="{00000000-0005-0000-0000-00001B610000}"/>
    <cellStyle name="Normal 2 2 5 2 22 3" xfId="24893" xr:uid="{00000000-0005-0000-0000-00001C610000}"/>
    <cellStyle name="Normal 2 2 5 2 22 4" xfId="24894" xr:uid="{00000000-0005-0000-0000-00001D610000}"/>
    <cellStyle name="Normal 2 2 5 2 22 5" xfId="24895" xr:uid="{00000000-0005-0000-0000-00001E610000}"/>
    <cellStyle name="Normal 2 2 5 2 22 6" xfId="24896" xr:uid="{00000000-0005-0000-0000-00001F610000}"/>
    <cellStyle name="Normal 2 2 5 2 22 7" xfId="24897" xr:uid="{00000000-0005-0000-0000-000020610000}"/>
    <cellStyle name="Normal 2 2 5 2 22 8" xfId="24898" xr:uid="{00000000-0005-0000-0000-000021610000}"/>
    <cellStyle name="Normal 2 2 5 2 22 9" xfId="24899" xr:uid="{00000000-0005-0000-0000-000022610000}"/>
    <cellStyle name="Normal 2 2 5 2 23" xfId="24900" xr:uid="{00000000-0005-0000-0000-000023610000}"/>
    <cellStyle name="Normal 2 2 5 2 23 10" xfId="24901" xr:uid="{00000000-0005-0000-0000-000024610000}"/>
    <cellStyle name="Normal 2 2 5 2 23 2" xfId="24902" xr:uid="{00000000-0005-0000-0000-000025610000}"/>
    <cellStyle name="Normal 2 2 5 2 23 3" xfId="24903" xr:uid="{00000000-0005-0000-0000-000026610000}"/>
    <cellStyle name="Normal 2 2 5 2 23 4" xfId="24904" xr:uid="{00000000-0005-0000-0000-000027610000}"/>
    <cellStyle name="Normal 2 2 5 2 23 5" xfId="24905" xr:uid="{00000000-0005-0000-0000-000028610000}"/>
    <cellStyle name="Normal 2 2 5 2 23 6" xfId="24906" xr:uid="{00000000-0005-0000-0000-000029610000}"/>
    <cellStyle name="Normal 2 2 5 2 23 7" xfId="24907" xr:uid="{00000000-0005-0000-0000-00002A610000}"/>
    <cellStyle name="Normal 2 2 5 2 23 8" xfId="24908" xr:uid="{00000000-0005-0000-0000-00002B610000}"/>
    <cellStyle name="Normal 2 2 5 2 23 9" xfId="24909" xr:uid="{00000000-0005-0000-0000-00002C610000}"/>
    <cellStyle name="Normal 2 2 5 2 24" xfId="24910" xr:uid="{00000000-0005-0000-0000-00002D610000}"/>
    <cellStyle name="Normal 2 2 5 2 24 10" xfId="24911" xr:uid="{00000000-0005-0000-0000-00002E610000}"/>
    <cellStyle name="Normal 2 2 5 2 24 2" xfId="24912" xr:uid="{00000000-0005-0000-0000-00002F610000}"/>
    <cellStyle name="Normal 2 2 5 2 24 3" xfId="24913" xr:uid="{00000000-0005-0000-0000-000030610000}"/>
    <cellStyle name="Normal 2 2 5 2 24 4" xfId="24914" xr:uid="{00000000-0005-0000-0000-000031610000}"/>
    <cellStyle name="Normal 2 2 5 2 24 5" xfId="24915" xr:uid="{00000000-0005-0000-0000-000032610000}"/>
    <cellStyle name="Normal 2 2 5 2 24 6" xfId="24916" xr:uid="{00000000-0005-0000-0000-000033610000}"/>
    <cellStyle name="Normal 2 2 5 2 24 7" xfId="24917" xr:uid="{00000000-0005-0000-0000-000034610000}"/>
    <cellStyle name="Normal 2 2 5 2 24 8" xfId="24918" xr:uid="{00000000-0005-0000-0000-000035610000}"/>
    <cellStyle name="Normal 2 2 5 2 24 9" xfId="24919" xr:uid="{00000000-0005-0000-0000-000036610000}"/>
    <cellStyle name="Normal 2 2 5 2 25" xfId="24920" xr:uid="{00000000-0005-0000-0000-000037610000}"/>
    <cellStyle name="Normal 2 2 5 2 26" xfId="24921" xr:uid="{00000000-0005-0000-0000-000038610000}"/>
    <cellStyle name="Normal 2 2 5 2 27" xfId="24922" xr:uid="{00000000-0005-0000-0000-000039610000}"/>
    <cellStyle name="Normal 2 2 5 2 28" xfId="24923" xr:uid="{00000000-0005-0000-0000-00003A610000}"/>
    <cellStyle name="Normal 2 2 5 2 29" xfId="24924" xr:uid="{00000000-0005-0000-0000-00003B610000}"/>
    <cellStyle name="Normal 2 2 5 2 3" xfId="24925" xr:uid="{00000000-0005-0000-0000-00003C610000}"/>
    <cellStyle name="Normal 2 2 5 2 30" xfId="24926" xr:uid="{00000000-0005-0000-0000-00003D610000}"/>
    <cellStyle name="Normal 2 2 5 2 31" xfId="24927" xr:uid="{00000000-0005-0000-0000-00003E610000}"/>
    <cellStyle name="Normal 2 2 5 2 32" xfId="24928" xr:uid="{00000000-0005-0000-0000-00003F610000}"/>
    <cellStyle name="Normal 2 2 5 2 33" xfId="24929" xr:uid="{00000000-0005-0000-0000-000040610000}"/>
    <cellStyle name="Normal 2 2 5 2 4" xfId="24930" xr:uid="{00000000-0005-0000-0000-000041610000}"/>
    <cellStyle name="Normal 2 2 5 2 5" xfId="24931" xr:uid="{00000000-0005-0000-0000-000042610000}"/>
    <cellStyle name="Normal 2 2 5 2 6" xfId="24932" xr:uid="{00000000-0005-0000-0000-000043610000}"/>
    <cellStyle name="Normal 2 2 5 2 7" xfId="24933" xr:uid="{00000000-0005-0000-0000-000044610000}"/>
    <cellStyle name="Normal 2 2 5 2 8" xfId="24934" xr:uid="{00000000-0005-0000-0000-000045610000}"/>
    <cellStyle name="Normal 2 2 5 2 9" xfId="24935" xr:uid="{00000000-0005-0000-0000-000046610000}"/>
    <cellStyle name="Normal 2 2 5 20" xfId="24936" xr:uid="{00000000-0005-0000-0000-000047610000}"/>
    <cellStyle name="Normal 2 2 5 20 10" xfId="24937" xr:uid="{00000000-0005-0000-0000-000048610000}"/>
    <cellStyle name="Normal 2 2 5 20 11" xfId="24938" xr:uid="{00000000-0005-0000-0000-000049610000}"/>
    <cellStyle name="Normal 2 2 5 20 12" xfId="24939" xr:uid="{00000000-0005-0000-0000-00004A610000}"/>
    <cellStyle name="Normal 2 2 5 20 13" xfId="24940" xr:uid="{00000000-0005-0000-0000-00004B610000}"/>
    <cellStyle name="Normal 2 2 5 20 14" xfId="24941" xr:uid="{00000000-0005-0000-0000-00004C610000}"/>
    <cellStyle name="Normal 2 2 5 20 2" xfId="24942" xr:uid="{00000000-0005-0000-0000-00004D610000}"/>
    <cellStyle name="Normal 2 2 5 20 2 10" xfId="24943" xr:uid="{00000000-0005-0000-0000-00004E610000}"/>
    <cellStyle name="Normal 2 2 5 20 2 2" xfId="24944" xr:uid="{00000000-0005-0000-0000-00004F610000}"/>
    <cellStyle name="Normal 2 2 5 20 2 3" xfId="24945" xr:uid="{00000000-0005-0000-0000-000050610000}"/>
    <cellStyle name="Normal 2 2 5 20 2 4" xfId="24946" xr:uid="{00000000-0005-0000-0000-000051610000}"/>
    <cellStyle name="Normal 2 2 5 20 2 5" xfId="24947" xr:uid="{00000000-0005-0000-0000-000052610000}"/>
    <cellStyle name="Normal 2 2 5 20 2 6" xfId="24948" xr:uid="{00000000-0005-0000-0000-000053610000}"/>
    <cellStyle name="Normal 2 2 5 20 2 7" xfId="24949" xr:uid="{00000000-0005-0000-0000-000054610000}"/>
    <cellStyle name="Normal 2 2 5 20 2 8" xfId="24950" xr:uid="{00000000-0005-0000-0000-000055610000}"/>
    <cellStyle name="Normal 2 2 5 20 2 9" xfId="24951" xr:uid="{00000000-0005-0000-0000-000056610000}"/>
    <cellStyle name="Normal 2 2 5 20 3" xfId="24952" xr:uid="{00000000-0005-0000-0000-000057610000}"/>
    <cellStyle name="Normal 2 2 5 20 3 10" xfId="24953" xr:uid="{00000000-0005-0000-0000-000058610000}"/>
    <cellStyle name="Normal 2 2 5 20 3 2" xfId="24954" xr:uid="{00000000-0005-0000-0000-000059610000}"/>
    <cellStyle name="Normal 2 2 5 20 3 3" xfId="24955" xr:uid="{00000000-0005-0000-0000-00005A610000}"/>
    <cellStyle name="Normal 2 2 5 20 3 4" xfId="24956" xr:uid="{00000000-0005-0000-0000-00005B610000}"/>
    <cellStyle name="Normal 2 2 5 20 3 5" xfId="24957" xr:uid="{00000000-0005-0000-0000-00005C610000}"/>
    <cellStyle name="Normal 2 2 5 20 3 6" xfId="24958" xr:uid="{00000000-0005-0000-0000-00005D610000}"/>
    <cellStyle name="Normal 2 2 5 20 3 7" xfId="24959" xr:uid="{00000000-0005-0000-0000-00005E610000}"/>
    <cellStyle name="Normal 2 2 5 20 3 8" xfId="24960" xr:uid="{00000000-0005-0000-0000-00005F610000}"/>
    <cellStyle name="Normal 2 2 5 20 3 9" xfId="24961" xr:uid="{00000000-0005-0000-0000-000060610000}"/>
    <cellStyle name="Normal 2 2 5 20 4" xfId="24962" xr:uid="{00000000-0005-0000-0000-000061610000}"/>
    <cellStyle name="Normal 2 2 5 20 4 10" xfId="24963" xr:uid="{00000000-0005-0000-0000-000062610000}"/>
    <cellStyle name="Normal 2 2 5 20 4 2" xfId="24964" xr:uid="{00000000-0005-0000-0000-000063610000}"/>
    <cellStyle name="Normal 2 2 5 20 4 3" xfId="24965" xr:uid="{00000000-0005-0000-0000-000064610000}"/>
    <cellStyle name="Normal 2 2 5 20 4 4" xfId="24966" xr:uid="{00000000-0005-0000-0000-000065610000}"/>
    <cellStyle name="Normal 2 2 5 20 4 5" xfId="24967" xr:uid="{00000000-0005-0000-0000-000066610000}"/>
    <cellStyle name="Normal 2 2 5 20 4 6" xfId="24968" xr:uid="{00000000-0005-0000-0000-000067610000}"/>
    <cellStyle name="Normal 2 2 5 20 4 7" xfId="24969" xr:uid="{00000000-0005-0000-0000-000068610000}"/>
    <cellStyle name="Normal 2 2 5 20 4 8" xfId="24970" xr:uid="{00000000-0005-0000-0000-000069610000}"/>
    <cellStyle name="Normal 2 2 5 20 4 9" xfId="24971" xr:uid="{00000000-0005-0000-0000-00006A610000}"/>
    <cellStyle name="Normal 2 2 5 20 5" xfId="24972" xr:uid="{00000000-0005-0000-0000-00006B610000}"/>
    <cellStyle name="Normal 2 2 5 20 5 10" xfId="24973" xr:uid="{00000000-0005-0000-0000-00006C610000}"/>
    <cellStyle name="Normal 2 2 5 20 5 2" xfId="24974" xr:uid="{00000000-0005-0000-0000-00006D610000}"/>
    <cellStyle name="Normal 2 2 5 20 5 3" xfId="24975" xr:uid="{00000000-0005-0000-0000-00006E610000}"/>
    <cellStyle name="Normal 2 2 5 20 5 4" xfId="24976" xr:uid="{00000000-0005-0000-0000-00006F610000}"/>
    <cellStyle name="Normal 2 2 5 20 5 5" xfId="24977" xr:uid="{00000000-0005-0000-0000-000070610000}"/>
    <cellStyle name="Normal 2 2 5 20 5 6" xfId="24978" xr:uid="{00000000-0005-0000-0000-000071610000}"/>
    <cellStyle name="Normal 2 2 5 20 5 7" xfId="24979" xr:uid="{00000000-0005-0000-0000-000072610000}"/>
    <cellStyle name="Normal 2 2 5 20 5 8" xfId="24980" xr:uid="{00000000-0005-0000-0000-000073610000}"/>
    <cellStyle name="Normal 2 2 5 20 5 9" xfId="24981" xr:uid="{00000000-0005-0000-0000-000074610000}"/>
    <cellStyle name="Normal 2 2 5 20 6" xfId="24982" xr:uid="{00000000-0005-0000-0000-000075610000}"/>
    <cellStyle name="Normal 2 2 5 20 7" xfId="24983" xr:uid="{00000000-0005-0000-0000-000076610000}"/>
    <cellStyle name="Normal 2 2 5 20 8" xfId="24984" xr:uid="{00000000-0005-0000-0000-000077610000}"/>
    <cellStyle name="Normal 2 2 5 20 9" xfId="24985" xr:uid="{00000000-0005-0000-0000-000078610000}"/>
    <cellStyle name="Normal 2 2 5 21" xfId="24986" xr:uid="{00000000-0005-0000-0000-000079610000}"/>
    <cellStyle name="Normal 2 2 5 22" xfId="24987" xr:uid="{00000000-0005-0000-0000-00007A610000}"/>
    <cellStyle name="Normal 2 2 5 23" xfId="24988" xr:uid="{00000000-0005-0000-0000-00007B610000}"/>
    <cellStyle name="Normal 2 2 5 24" xfId="24366" xr:uid="{00000000-0005-0000-0000-00007C610000}"/>
    <cellStyle name="Normal 2 2 5 3" xfId="24989" xr:uid="{00000000-0005-0000-0000-00007D610000}"/>
    <cellStyle name="Normal 2 2 5 3 10" xfId="24990" xr:uid="{00000000-0005-0000-0000-00007E610000}"/>
    <cellStyle name="Normal 2 2 5 3 11" xfId="24991" xr:uid="{00000000-0005-0000-0000-00007F610000}"/>
    <cellStyle name="Normal 2 2 5 3 12" xfId="24992" xr:uid="{00000000-0005-0000-0000-000080610000}"/>
    <cellStyle name="Normal 2 2 5 3 13" xfId="24993" xr:uid="{00000000-0005-0000-0000-000081610000}"/>
    <cellStyle name="Normal 2 2 5 3 14" xfId="24994" xr:uid="{00000000-0005-0000-0000-000082610000}"/>
    <cellStyle name="Normal 2 2 5 3 2" xfId="24995" xr:uid="{00000000-0005-0000-0000-000083610000}"/>
    <cellStyle name="Normal 2 2 5 3 2 10" xfId="24996" xr:uid="{00000000-0005-0000-0000-000084610000}"/>
    <cellStyle name="Normal 2 2 5 3 2 2" xfId="24997" xr:uid="{00000000-0005-0000-0000-000085610000}"/>
    <cellStyle name="Normal 2 2 5 3 2 3" xfId="24998" xr:uid="{00000000-0005-0000-0000-000086610000}"/>
    <cellStyle name="Normal 2 2 5 3 2 4" xfId="24999" xr:uid="{00000000-0005-0000-0000-000087610000}"/>
    <cellStyle name="Normal 2 2 5 3 2 5" xfId="25000" xr:uid="{00000000-0005-0000-0000-000088610000}"/>
    <cellStyle name="Normal 2 2 5 3 2 6" xfId="25001" xr:uid="{00000000-0005-0000-0000-000089610000}"/>
    <cellStyle name="Normal 2 2 5 3 2 7" xfId="25002" xr:uid="{00000000-0005-0000-0000-00008A610000}"/>
    <cellStyle name="Normal 2 2 5 3 2 8" xfId="25003" xr:uid="{00000000-0005-0000-0000-00008B610000}"/>
    <cellStyle name="Normal 2 2 5 3 2 9" xfId="25004" xr:uid="{00000000-0005-0000-0000-00008C610000}"/>
    <cellStyle name="Normal 2 2 5 3 3" xfId="25005" xr:uid="{00000000-0005-0000-0000-00008D610000}"/>
    <cellStyle name="Normal 2 2 5 3 3 10" xfId="25006" xr:uid="{00000000-0005-0000-0000-00008E610000}"/>
    <cellStyle name="Normal 2 2 5 3 3 2" xfId="25007" xr:uid="{00000000-0005-0000-0000-00008F610000}"/>
    <cellStyle name="Normal 2 2 5 3 3 3" xfId="25008" xr:uid="{00000000-0005-0000-0000-000090610000}"/>
    <cellStyle name="Normal 2 2 5 3 3 4" xfId="25009" xr:uid="{00000000-0005-0000-0000-000091610000}"/>
    <cellStyle name="Normal 2 2 5 3 3 5" xfId="25010" xr:uid="{00000000-0005-0000-0000-000092610000}"/>
    <cellStyle name="Normal 2 2 5 3 3 6" xfId="25011" xr:uid="{00000000-0005-0000-0000-000093610000}"/>
    <cellStyle name="Normal 2 2 5 3 3 7" xfId="25012" xr:uid="{00000000-0005-0000-0000-000094610000}"/>
    <cellStyle name="Normal 2 2 5 3 3 8" xfId="25013" xr:uid="{00000000-0005-0000-0000-000095610000}"/>
    <cellStyle name="Normal 2 2 5 3 3 9" xfId="25014" xr:uid="{00000000-0005-0000-0000-000096610000}"/>
    <cellStyle name="Normal 2 2 5 3 4" xfId="25015" xr:uid="{00000000-0005-0000-0000-000097610000}"/>
    <cellStyle name="Normal 2 2 5 3 4 10" xfId="25016" xr:uid="{00000000-0005-0000-0000-000098610000}"/>
    <cellStyle name="Normal 2 2 5 3 4 2" xfId="25017" xr:uid="{00000000-0005-0000-0000-000099610000}"/>
    <cellStyle name="Normal 2 2 5 3 4 3" xfId="25018" xr:uid="{00000000-0005-0000-0000-00009A610000}"/>
    <cellStyle name="Normal 2 2 5 3 4 4" xfId="25019" xr:uid="{00000000-0005-0000-0000-00009B610000}"/>
    <cellStyle name="Normal 2 2 5 3 4 5" xfId="25020" xr:uid="{00000000-0005-0000-0000-00009C610000}"/>
    <cellStyle name="Normal 2 2 5 3 4 6" xfId="25021" xr:uid="{00000000-0005-0000-0000-00009D610000}"/>
    <cellStyle name="Normal 2 2 5 3 4 7" xfId="25022" xr:uid="{00000000-0005-0000-0000-00009E610000}"/>
    <cellStyle name="Normal 2 2 5 3 4 8" xfId="25023" xr:uid="{00000000-0005-0000-0000-00009F610000}"/>
    <cellStyle name="Normal 2 2 5 3 4 9" xfId="25024" xr:uid="{00000000-0005-0000-0000-0000A0610000}"/>
    <cellStyle name="Normal 2 2 5 3 5" xfId="25025" xr:uid="{00000000-0005-0000-0000-0000A1610000}"/>
    <cellStyle name="Normal 2 2 5 3 5 10" xfId="25026" xr:uid="{00000000-0005-0000-0000-0000A2610000}"/>
    <cellStyle name="Normal 2 2 5 3 5 2" xfId="25027" xr:uid="{00000000-0005-0000-0000-0000A3610000}"/>
    <cellStyle name="Normal 2 2 5 3 5 3" xfId="25028" xr:uid="{00000000-0005-0000-0000-0000A4610000}"/>
    <cellStyle name="Normal 2 2 5 3 5 4" xfId="25029" xr:uid="{00000000-0005-0000-0000-0000A5610000}"/>
    <cellStyle name="Normal 2 2 5 3 5 5" xfId="25030" xr:uid="{00000000-0005-0000-0000-0000A6610000}"/>
    <cellStyle name="Normal 2 2 5 3 5 6" xfId="25031" xr:uid="{00000000-0005-0000-0000-0000A7610000}"/>
    <cellStyle name="Normal 2 2 5 3 5 7" xfId="25032" xr:uid="{00000000-0005-0000-0000-0000A8610000}"/>
    <cellStyle name="Normal 2 2 5 3 5 8" xfId="25033" xr:uid="{00000000-0005-0000-0000-0000A9610000}"/>
    <cellStyle name="Normal 2 2 5 3 5 9" xfId="25034" xr:uid="{00000000-0005-0000-0000-0000AA610000}"/>
    <cellStyle name="Normal 2 2 5 3 6" xfId="25035" xr:uid="{00000000-0005-0000-0000-0000AB610000}"/>
    <cellStyle name="Normal 2 2 5 3 7" xfId="25036" xr:uid="{00000000-0005-0000-0000-0000AC610000}"/>
    <cellStyle name="Normal 2 2 5 3 8" xfId="25037" xr:uid="{00000000-0005-0000-0000-0000AD610000}"/>
    <cellStyle name="Normal 2 2 5 3 9" xfId="25038" xr:uid="{00000000-0005-0000-0000-0000AE610000}"/>
    <cellStyle name="Normal 2 2 5 4" xfId="25039" xr:uid="{00000000-0005-0000-0000-0000AF610000}"/>
    <cellStyle name="Normal 2 2 5 4 10" xfId="25040" xr:uid="{00000000-0005-0000-0000-0000B0610000}"/>
    <cellStyle name="Normal 2 2 5 4 11" xfId="25041" xr:uid="{00000000-0005-0000-0000-0000B1610000}"/>
    <cellStyle name="Normal 2 2 5 4 12" xfId="25042" xr:uid="{00000000-0005-0000-0000-0000B2610000}"/>
    <cellStyle name="Normal 2 2 5 4 13" xfId="25043" xr:uid="{00000000-0005-0000-0000-0000B3610000}"/>
    <cellStyle name="Normal 2 2 5 4 14" xfId="25044" xr:uid="{00000000-0005-0000-0000-0000B4610000}"/>
    <cellStyle name="Normal 2 2 5 4 2" xfId="25045" xr:uid="{00000000-0005-0000-0000-0000B5610000}"/>
    <cellStyle name="Normal 2 2 5 4 2 10" xfId="25046" xr:uid="{00000000-0005-0000-0000-0000B6610000}"/>
    <cellStyle name="Normal 2 2 5 4 2 2" xfId="25047" xr:uid="{00000000-0005-0000-0000-0000B7610000}"/>
    <cellStyle name="Normal 2 2 5 4 2 3" xfId="25048" xr:uid="{00000000-0005-0000-0000-0000B8610000}"/>
    <cellStyle name="Normal 2 2 5 4 2 4" xfId="25049" xr:uid="{00000000-0005-0000-0000-0000B9610000}"/>
    <cellStyle name="Normal 2 2 5 4 2 5" xfId="25050" xr:uid="{00000000-0005-0000-0000-0000BA610000}"/>
    <cellStyle name="Normal 2 2 5 4 2 6" xfId="25051" xr:uid="{00000000-0005-0000-0000-0000BB610000}"/>
    <cellStyle name="Normal 2 2 5 4 2 7" xfId="25052" xr:uid="{00000000-0005-0000-0000-0000BC610000}"/>
    <cellStyle name="Normal 2 2 5 4 2 8" xfId="25053" xr:uid="{00000000-0005-0000-0000-0000BD610000}"/>
    <cellStyle name="Normal 2 2 5 4 2 9" xfId="25054" xr:uid="{00000000-0005-0000-0000-0000BE610000}"/>
    <cellStyle name="Normal 2 2 5 4 3" xfId="25055" xr:uid="{00000000-0005-0000-0000-0000BF610000}"/>
    <cellStyle name="Normal 2 2 5 4 3 10" xfId="25056" xr:uid="{00000000-0005-0000-0000-0000C0610000}"/>
    <cellStyle name="Normal 2 2 5 4 3 2" xfId="25057" xr:uid="{00000000-0005-0000-0000-0000C1610000}"/>
    <cellStyle name="Normal 2 2 5 4 3 3" xfId="25058" xr:uid="{00000000-0005-0000-0000-0000C2610000}"/>
    <cellStyle name="Normal 2 2 5 4 3 4" xfId="25059" xr:uid="{00000000-0005-0000-0000-0000C3610000}"/>
    <cellStyle name="Normal 2 2 5 4 3 5" xfId="25060" xr:uid="{00000000-0005-0000-0000-0000C4610000}"/>
    <cellStyle name="Normal 2 2 5 4 3 6" xfId="25061" xr:uid="{00000000-0005-0000-0000-0000C5610000}"/>
    <cellStyle name="Normal 2 2 5 4 3 7" xfId="25062" xr:uid="{00000000-0005-0000-0000-0000C6610000}"/>
    <cellStyle name="Normal 2 2 5 4 3 8" xfId="25063" xr:uid="{00000000-0005-0000-0000-0000C7610000}"/>
    <cellStyle name="Normal 2 2 5 4 3 9" xfId="25064" xr:uid="{00000000-0005-0000-0000-0000C8610000}"/>
    <cellStyle name="Normal 2 2 5 4 4" xfId="25065" xr:uid="{00000000-0005-0000-0000-0000C9610000}"/>
    <cellStyle name="Normal 2 2 5 4 4 10" xfId="25066" xr:uid="{00000000-0005-0000-0000-0000CA610000}"/>
    <cellStyle name="Normal 2 2 5 4 4 2" xfId="25067" xr:uid="{00000000-0005-0000-0000-0000CB610000}"/>
    <cellStyle name="Normal 2 2 5 4 4 3" xfId="25068" xr:uid="{00000000-0005-0000-0000-0000CC610000}"/>
    <cellStyle name="Normal 2 2 5 4 4 4" xfId="25069" xr:uid="{00000000-0005-0000-0000-0000CD610000}"/>
    <cellStyle name="Normal 2 2 5 4 4 5" xfId="25070" xr:uid="{00000000-0005-0000-0000-0000CE610000}"/>
    <cellStyle name="Normal 2 2 5 4 4 6" xfId="25071" xr:uid="{00000000-0005-0000-0000-0000CF610000}"/>
    <cellStyle name="Normal 2 2 5 4 4 7" xfId="25072" xr:uid="{00000000-0005-0000-0000-0000D0610000}"/>
    <cellStyle name="Normal 2 2 5 4 4 8" xfId="25073" xr:uid="{00000000-0005-0000-0000-0000D1610000}"/>
    <cellStyle name="Normal 2 2 5 4 4 9" xfId="25074" xr:uid="{00000000-0005-0000-0000-0000D2610000}"/>
    <cellStyle name="Normal 2 2 5 4 5" xfId="25075" xr:uid="{00000000-0005-0000-0000-0000D3610000}"/>
    <cellStyle name="Normal 2 2 5 4 5 10" xfId="25076" xr:uid="{00000000-0005-0000-0000-0000D4610000}"/>
    <cellStyle name="Normal 2 2 5 4 5 2" xfId="25077" xr:uid="{00000000-0005-0000-0000-0000D5610000}"/>
    <cellStyle name="Normal 2 2 5 4 5 3" xfId="25078" xr:uid="{00000000-0005-0000-0000-0000D6610000}"/>
    <cellStyle name="Normal 2 2 5 4 5 4" xfId="25079" xr:uid="{00000000-0005-0000-0000-0000D7610000}"/>
    <cellStyle name="Normal 2 2 5 4 5 5" xfId="25080" xr:uid="{00000000-0005-0000-0000-0000D8610000}"/>
    <cellStyle name="Normal 2 2 5 4 5 6" xfId="25081" xr:uid="{00000000-0005-0000-0000-0000D9610000}"/>
    <cellStyle name="Normal 2 2 5 4 5 7" xfId="25082" xr:uid="{00000000-0005-0000-0000-0000DA610000}"/>
    <cellStyle name="Normal 2 2 5 4 5 8" xfId="25083" xr:uid="{00000000-0005-0000-0000-0000DB610000}"/>
    <cellStyle name="Normal 2 2 5 4 5 9" xfId="25084" xr:uid="{00000000-0005-0000-0000-0000DC610000}"/>
    <cellStyle name="Normal 2 2 5 4 6" xfId="25085" xr:uid="{00000000-0005-0000-0000-0000DD610000}"/>
    <cellStyle name="Normal 2 2 5 4 7" xfId="25086" xr:uid="{00000000-0005-0000-0000-0000DE610000}"/>
    <cellStyle name="Normal 2 2 5 4 8" xfId="25087" xr:uid="{00000000-0005-0000-0000-0000DF610000}"/>
    <cellStyle name="Normal 2 2 5 4 9" xfId="25088" xr:uid="{00000000-0005-0000-0000-0000E0610000}"/>
    <cellStyle name="Normal 2 2 5 5" xfId="25089" xr:uid="{00000000-0005-0000-0000-0000E1610000}"/>
    <cellStyle name="Normal 2 2 5 5 10" xfId="25090" xr:uid="{00000000-0005-0000-0000-0000E2610000}"/>
    <cellStyle name="Normal 2 2 5 5 11" xfId="25091" xr:uid="{00000000-0005-0000-0000-0000E3610000}"/>
    <cellStyle name="Normal 2 2 5 5 12" xfId="25092" xr:uid="{00000000-0005-0000-0000-0000E4610000}"/>
    <cellStyle name="Normal 2 2 5 5 13" xfId="25093" xr:uid="{00000000-0005-0000-0000-0000E5610000}"/>
    <cellStyle name="Normal 2 2 5 5 14" xfId="25094" xr:uid="{00000000-0005-0000-0000-0000E6610000}"/>
    <cellStyle name="Normal 2 2 5 5 2" xfId="25095" xr:uid="{00000000-0005-0000-0000-0000E7610000}"/>
    <cellStyle name="Normal 2 2 5 5 2 10" xfId="25096" xr:uid="{00000000-0005-0000-0000-0000E8610000}"/>
    <cellStyle name="Normal 2 2 5 5 2 2" xfId="25097" xr:uid="{00000000-0005-0000-0000-0000E9610000}"/>
    <cellStyle name="Normal 2 2 5 5 2 3" xfId="25098" xr:uid="{00000000-0005-0000-0000-0000EA610000}"/>
    <cellStyle name="Normal 2 2 5 5 2 4" xfId="25099" xr:uid="{00000000-0005-0000-0000-0000EB610000}"/>
    <cellStyle name="Normal 2 2 5 5 2 5" xfId="25100" xr:uid="{00000000-0005-0000-0000-0000EC610000}"/>
    <cellStyle name="Normal 2 2 5 5 2 6" xfId="25101" xr:uid="{00000000-0005-0000-0000-0000ED610000}"/>
    <cellStyle name="Normal 2 2 5 5 2 7" xfId="25102" xr:uid="{00000000-0005-0000-0000-0000EE610000}"/>
    <cellStyle name="Normal 2 2 5 5 2 8" xfId="25103" xr:uid="{00000000-0005-0000-0000-0000EF610000}"/>
    <cellStyle name="Normal 2 2 5 5 2 9" xfId="25104" xr:uid="{00000000-0005-0000-0000-0000F0610000}"/>
    <cellStyle name="Normal 2 2 5 5 3" xfId="25105" xr:uid="{00000000-0005-0000-0000-0000F1610000}"/>
    <cellStyle name="Normal 2 2 5 5 3 10" xfId="25106" xr:uid="{00000000-0005-0000-0000-0000F2610000}"/>
    <cellStyle name="Normal 2 2 5 5 3 2" xfId="25107" xr:uid="{00000000-0005-0000-0000-0000F3610000}"/>
    <cellStyle name="Normal 2 2 5 5 3 3" xfId="25108" xr:uid="{00000000-0005-0000-0000-0000F4610000}"/>
    <cellStyle name="Normal 2 2 5 5 3 4" xfId="25109" xr:uid="{00000000-0005-0000-0000-0000F5610000}"/>
    <cellStyle name="Normal 2 2 5 5 3 5" xfId="25110" xr:uid="{00000000-0005-0000-0000-0000F6610000}"/>
    <cellStyle name="Normal 2 2 5 5 3 6" xfId="25111" xr:uid="{00000000-0005-0000-0000-0000F7610000}"/>
    <cellStyle name="Normal 2 2 5 5 3 7" xfId="25112" xr:uid="{00000000-0005-0000-0000-0000F8610000}"/>
    <cellStyle name="Normal 2 2 5 5 3 8" xfId="25113" xr:uid="{00000000-0005-0000-0000-0000F9610000}"/>
    <cellStyle name="Normal 2 2 5 5 3 9" xfId="25114" xr:uid="{00000000-0005-0000-0000-0000FA610000}"/>
    <cellStyle name="Normal 2 2 5 5 4" xfId="25115" xr:uid="{00000000-0005-0000-0000-0000FB610000}"/>
    <cellStyle name="Normal 2 2 5 5 4 10" xfId="25116" xr:uid="{00000000-0005-0000-0000-0000FC610000}"/>
    <cellStyle name="Normal 2 2 5 5 4 2" xfId="25117" xr:uid="{00000000-0005-0000-0000-0000FD610000}"/>
    <cellStyle name="Normal 2 2 5 5 4 3" xfId="25118" xr:uid="{00000000-0005-0000-0000-0000FE610000}"/>
    <cellStyle name="Normal 2 2 5 5 4 4" xfId="25119" xr:uid="{00000000-0005-0000-0000-0000FF610000}"/>
    <cellStyle name="Normal 2 2 5 5 4 5" xfId="25120" xr:uid="{00000000-0005-0000-0000-000000620000}"/>
    <cellStyle name="Normal 2 2 5 5 4 6" xfId="25121" xr:uid="{00000000-0005-0000-0000-000001620000}"/>
    <cellStyle name="Normal 2 2 5 5 4 7" xfId="25122" xr:uid="{00000000-0005-0000-0000-000002620000}"/>
    <cellStyle name="Normal 2 2 5 5 4 8" xfId="25123" xr:uid="{00000000-0005-0000-0000-000003620000}"/>
    <cellStyle name="Normal 2 2 5 5 4 9" xfId="25124" xr:uid="{00000000-0005-0000-0000-000004620000}"/>
    <cellStyle name="Normal 2 2 5 5 5" xfId="25125" xr:uid="{00000000-0005-0000-0000-000005620000}"/>
    <cellStyle name="Normal 2 2 5 5 5 10" xfId="25126" xr:uid="{00000000-0005-0000-0000-000006620000}"/>
    <cellStyle name="Normal 2 2 5 5 5 2" xfId="25127" xr:uid="{00000000-0005-0000-0000-000007620000}"/>
    <cellStyle name="Normal 2 2 5 5 5 3" xfId="25128" xr:uid="{00000000-0005-0000-0000-000008620000}"/>
    <cellStyle name="Normal 2 2 5 5 5 4" xfId="25129" xr:uid="{00000000-0005-0000-0000-000009620000}"/>
    <cellStyle name="Normal 2 2 5 5 5 5" xfId="25130" xr:uid="{00000000-0005-0000-0000-00000A620000}"/>
    <cellStyle name="Normal 2 2 5 5 5 6" xfId="25131" xr:uid="{00000000-0005-0000-0000-00000B620000}"/>
    <cellStyle name="Normal 2 2 5 5 5 7" xfId="25132" xr:uid="{00000000-0005-0000-0000-00000C620000}"/>
    <cellStyle name="Normal 2 2 5 5 5 8" xfId="25133" xr:uid="{00000000-0005-0000-0000-00000D620000}"/>
    <cellStyle name="Normal 2 2 5 5 5 9" xfId="25134" xr:uid="{00000000-0005-0000-0000-00000E620000}"/>
    <cellStyle name="Normal 2 2 5 5 6" xfId="25135" xr:uid="{00000000-0005-0000-0000-00000F620000}"/>
    <cellStyle name="Normal 2 2 5 5 7" xfId="25136" xr:uid="{00000000-0005-0000-0000-000010620000}"/>
    <cellStyle name="Normal 2 2 5 5 8" xfId="25137" xr:uid="{00000000-0005-0000-0000-000011620000}"/>
    <cellStyle name="Normal 2 2 5 5 9" xfId="25138" xr:uid="{00000000-0005-0000-0000-000012620000}"/>
    <cellStyle name="Normal 2 2 5 6" xfId="25139" xr:uid="{00000000-0005-0000-0000-000013620000}"/>
    <cellStyle name="Normal 2 2 5 6 10" xfId="25140" xr:uid="{00000000-0005-0000-0000-000014620000}"/>
    <cellStyle name="Normal 2 2 5 6 11" xfId="25141" xr:uid="{00000000-0005-0000-0000-000015620000}"/>
    <cellStyle name="Normal 2 2 5 6 12" xfId="25142" xr:uid="{00000000-0005-0000-0000-000016620000}"/>
    <cellStyle name="Normal 2 2 5 6 13" xfId="25143" xr:uid="{00000000-0005-0000-0000-000017620000}"/>
    <cellStyle name="Normal 2 2 5 6 14" xfId="25144" xr:uid="{00000000-0005-0000-0000-000018620000}"/>
    <cellStyle name="Normal 2 2 5 6 2" xfId="25145" xr:uid="{00000000-0005-0000-0000-000019620000}"/>
    <cellStyle name="Normal 2 2 5 6 2 10" xfId="25146" xr:uid="{00000000-0005-0000-0000-00001A620000}"/>
    <cellStyle name="Normal 2 2 5 6 2 2" xfId="25147" xr:uid="{00000000-0005-0000-0000-00001B620000}"/>
    <cellStyle name="Normal 2 2 5 6 2 3" xfId="25148" xr:uid="{00000000-0005-0000-0000-00001C620000}"/>
    <cellStyle name="Normal 2 2 5 6 2 4" xfId="25149" xr:uid="{00000000-0005-0000-0000-00001D620000}"/>
    <cellStyle name="Normal 2 2 5 6 2 5" xfId="25150" xr:uid="{00000000-0005-0000-0000-00001E620000}"/>
    <cellStyle name="Normal 2 2 5 6 2 6" xfId="25151" xr:uid="{00000000-0005-0000-0000-00001F620000}"/>
    <cellStyle name="Normal 2 2 5 6 2 7" xfId="25152" xr:uid="{00000000-0005-0000-0000-000020620000}"/>
    <cellStyle name="Normal 2 2 5 6 2 8" xfId="25153" xr:uid="{00000000-0005-0000-0000-000021620000}"/>
    <cellStyle name="Normal 2 2 5 6 2 9" xfId="25154" xr:uid="{00000000-0005-0000-0000-000022620000}"/>
    <cellStyle name="Normal 2 2 5 6 3" xfId="25155" xr:uid="{00000000-0005-0000-0000-000023620000}"/>
    <cellStyle name="Normal 2 2 5 6 3 10" xfId="25156" xr:uid="{00000000-0005-0000-0000-000024620000}"/>
    <cellStyle name="Normal 2 2 5 6 3 2" xfId="25157" xr:uid="{00000000-0005-0000-0000-000025620000}"/>
    <cellStyle name="Normal 2 2 5 6 3 3" xfId="25158" xr:uid="{00000000-0005-0000-0000-000026620000}"/>
    <cellStyle name="Normal 2 2 5 6 3 4" xfId="25159" xr:uid="{00000000-0005-0000-0000-000027620000}"/>
    <cellStyle name="Normal 2 2 5 6 3 5" xfId="25160" xr:uid="{00000000-0005-0000-0000-000028620000}"/>
    <cellStyle name="Normal 2 2 5 6 3 6" xfId="25161" xr:uid="{00000000-0005-0000-0000-000029620000}"/>
    <cellStyle name="Normal 2 2 5 6 3 7" xfId="25162" xr:uid="{00000000-0005-0000-0000-00002A620000}"/>
    <cellStyle name="Normal 2 2 5 6 3 8" xfId="25163" xr:uid="{00000000-0005-0000-0000-00002B620000}"/>
    <cellStyle name="Normal 2 2 5 6 3 9" xfId="25164" xr:uid="{00000000-0005-0000-0000-00002C620000}"/>
    <cellStyle name="Normal 2 2 5 6 4" xfId="25165" xr:uid="{00000000-0005-0000-0000-00002D620000}"/>
    <cellStyle name="Normal 2 2 5 6 4 10" xfId="25166" xr:uid="{00000000-0005-0000-0000-00002E620000}"/>
    <cellStyle name="Normal 2 2 5 6 4 2" xfId="25167" xr:uid="{00000000-0005-0000-0000-00002F620000}"/>
    <cellStyle name="Normal 2 2 5 6 4 3" xfId="25168" xr:uid="{00000000-0005-0000-0000-000030620000}"/>
    <cellStyle name="Normal 2 2 5 6 4 4" xfId="25169" xr:uid="{00000000-0005-0000-0000-000031620000}"/>
    <cellStyle name="Normal 2 2 5 6 4 5" xfId="25170" xr:uid="{00000000-0005-0000-0000-000032620000}"/>
    <cellStyle name="Normal 2 2 5 6 4 6" xfId="25171" xr:uid="{00000000-0005-0000-0000-000033620000}"/>
    <cellStyle name="Normal 2 2 5 6 4 7" xfId="25172" xr:uid="{00000000-0005-0000-0000-000034620000}"/>
    <cellStyle name="Normal 2 2 5 6 4 8" xfId="25173" xr:uid="{00000000-0005-0000-0000-000035620000}"/>
    <cellStyle name="Normal 2 2 5 6 4 9" xfId="25174" xr:uid="{00000000-0005-0000-0000-000036620000}"/>
    <cellStyle name="Normal 2 2 5 6 5" xfId="25175" xr:uid="{00000000-0005-0000-0000-000037620000}"/>
    <cellStyle name="Normal 2 2 5 6 5 10" xfId="25176" xr:uid="{00000000-0005-0000-0000-000038620000}"/>
    <cellStyle name="Normal 2 2 5 6 5 2" xfId="25177" xr:uid="{00000000-0005-0000-0000-000039620000}"/>
    <cellStyle name="Normal 2 2 5 6 5 3" xfId="25178" xr:uid="{00000000-0005-0000-0000-00003A620000}"/>
    <cellStyle name="Normal 2 2 5 6 5 4" xfId="25179" xr:uid="{00000000-0005-0000-0000-00003B620000}"/>
    <cellStyle name="Normal 2 2 5 6 5 5" xfId="25180" xr:uid="{00000000-0005-0000-0000-00003C620000}"/>
    <cellStyle name="Normal 2 2 5 6 5 6" xfId="25181" xr:uid="{00000000-0005-0000-0000-00003D620000}"/>
    <cellStyle name="Normal 2 2 5 6 5 7" xfId="25182" xr:uid="{00000000-0005-0000-0000-00003E620000}"/>
    <cellStyle name="Normal 2 2 5 6 5 8" xfId="25183" xr:uid="{00000000-0005-0000-0000-00003F620000}"/>
    <cellStyle name="Normal 2 2 5 6 5 9" xfId="25184" xr:uid="{00000000-0005-0000-0000-000040620000}"/>
    <cellStyle name="Normal 2 2 5 6 6" xfId="25185" xr:uid="{00000000-0005-0000-0000-000041620000}"/>
    <cellStyle name="Normal 2 2 5 6 7" xfId="25186" xr:uid="{00000000-0005-0000-0000-000042620000}"/>
    <cellStyle name="Normal 2 2 5 6 8" xfId="25187" xr:uid="{00000000-0005-0000-0000-000043620000}"/>
    <cellStyle name="Normal 2 2 5 6 9" xfId="25188" xr:uid="{00000000-0005-0000-0000-000044620000}"/>
    <cellStyle name="Normal 2 2 5 7" xfId="25189" xr:uid="{00000000-0005-0000-0000-000045620000}"/>
    <cellStyle name="Normal 2 2 5 7 10" xfId="25190" xr:uid="{00000000-0005-0000-0000-000046620000}"/>
    <cellStyle name="Normal 2 2 5 7 11" xfId="25191" xr:uid="{00000000-0005-0000-0000-000047620000}"/>
    <cellStyle name="Normal 2 2 5 7 12" xfId="25192" xr:uid="{00000000-0005-0000-0000-000048620000}"/>
    <cellStyle name="Normal 2 2 5 7 13" xfId="25193" xr:uid="{00000000-0005-0000-0000-000049620000}"/>
    <cellStyle name="Normal 2 2 5 7 14" xfId="25194" xr:uid="{00000000-0005-0000-0000-00004A620000}"/>
    <cellStyle name="Normal 2 2 5 7 2" xfId="25195" xr:uid="{00000000-0005-0000-0000-00004B620000}"/>
    <cellStyle name="Normal 2 2 5 7 2 10" xfId="25196" xr:uid="{00000000-0005-0000-0000-00004C620000}"/>
    <cellStyle name="Normal 2 2 5 7 2 2" xfId="25197" xr:uid="{00000000-0005-0000-0000-00004D620000}"/>
    <cellStyle name="Normal 2 2 5 7 2 3" xfId="25198" xr:uid="{00000000-0005-0000-0000-00004E620000}"/>
    <cellStyle name="Normal 2 2 5 7 2 4" xfId="25199" xr:uid="{00000000-0005-0000-0000-00004F620000}"/>
    <cellStyle name="Normal 2 2 5 7 2 5" xfId="25200" xr:uid="{00000000-0005-0000-0000-000050620000}"/>
    <cellStyle name="Normal 2 2 5 7 2 6" xfId="25201" xr:uid="{00000000-0005-0000-0000-000051620000}"/>
    <cellStyle name="Normal 2 2 5 7 2 7" xfId="25202" xr:uid="{00000000-0005-0000-0000-000052620000}"/>
    <cellStyle name="Normal 2 2 5 7 2 8" xfId="25203" xr:uid="{00000000-0005-0000-0000-000053620000}"/>
    <cellStyle name="Normal 2 2 5 7 2 9" xfId="25204" xr:uid="{00000000-0005-0000-0000-000054620000}"/>
    <cellStyle name="Normal 2 2 5 7 3" xfId="25205" xr:uid="{00000000-0005-0000-0000-000055620000}"/>
    <cellStyle name="Normal 2 2 5 7 3 10" xfId="25206" xr:uid="{00000000-0005-0000-0000-000056620000}"/>
    <cellStyle name="Normal 2 2 5 7 3 2" xfId="25207" xr:uid="{00000000-0005-0000-0000-000057620000}"/>
    <cellStyle name="Normal 2 2 5 7 3 3" xfId="25208" xr:uid="{00000000-0005-0000-0000-000058620000}"/>
    <cellStyle name="Normal 2 2 5 7 3 4" xfId="25209" xr:uid="{00000000-0005-0000-0000-000059620000}"/>
    <cellStyle name="Normal 2 2 5 7 3 5" xfId="25210" xr:uid="{00000000-0005-0000-0000-00005A620000}"/>
    <cellStyle name="Normal 2 2 5 7 3 6" xfId="25211" xr:uid="{00000000-0005-0000-0000-00005B620000}"/>
    <cellStyle name="Normal 2 2 5 7 3 7" xfId="25212" xr:uid="{00000000-0005-0000-0000-00005C620000}"/>
    <cellStyle name="Normal 2 2 5 7 3 8" xfId="25213" xr:uid="{00000000-0005-0000-0000-00005D620000}"/>
    <cellStyle name="Normal 2 2 5 7 3 9" xfId="25214" xr:uid="{00000000-0005-0000-0000-00005E620000}"/>
    <cellStyle name="Normal 2 2 5 7 4" xfId="25215" xr:uid="{00000000-0005-0000-0000-00005F620000}"/>
    <cellStyle name="Normal 2 2 5 7 4 10" xfId="25216" xr:uid="{00000000-0005-0000-0000-000060620000}"/>
    <cellStyle name="Normal 2 2 5 7 4 2" xfId="25217" xr:uid="{00000000-0005-0000-0000-000061620000}"/>
    <cellStyle name="Normal 2 2 5 7 4 3" xfId="25218" xr:uid="{00000000-0005-0000-0000-000062620000}"/>
    <cellStyle name="Normal 2 2 5 7 4 4" xfId="25219" xr:uid="{00000000-0005-0000-0000-000063620000}"/>
    <cellStyle name="Normal 2 2 5 7 4 5" xfId="25220" xr:uid="{00000000-0005-0000-0000-000064620000}"/>
    <cellStyle name="Normal 2 2 5 7 4 6" xfId="25221" xr:uid="{00000000-0005-0000-0000-000065620000}"/>
    <cellStyle name="Normal 2 2 5 7 4 7" xfId="25222" xr:uid="{00000000-0005-0000-0000-000066620000}"/>
    <cellStyle name="Normal 2 2 5 7 4 8" xfId="25223" xr:uid="{00000000-0005-0000-0000-000067620000}"/>
    <cellStyle name="Normal 2 2 5 7 4 9" xfId="25224" xr:uid="{00000000-0005-0000-0000-000068620000}"/>
    <cellStyle name="Normal 2 2 5 7 5" xfId="25225" xr:uid="{00000000-0005-0000-0000-000069620000}"/>
    <cellStyle name="Normal 2 2 5 7 5 10" xfId="25226" xr:uid="{00000000-0005-0000-0000-00006A620000}"/>
    <cellStyle name="Normal 2 2 5 7 5 2" xfId="25227" xr:uid="{00000000-0005-0000-0000-00006B620000}"/>
    <cellStyle name="Normal 2 2 5 7 5 3" xfId="25228" xr:uid="{00000000-0005-0000-0000-00006C620000}"/>
    <cellStyle name="Normal 2 2 5 7 5 4" xfId="25229" xr:uid="{00000000-0005-0000-0000-00006D620000}"/>
    <cellStyle name="Normal 2 2 5 7 5 5" xfId="25230" xr:uid="{00000000-0005-0000-0000-00006E620000}"/>
    <cellStyle name="Normal 2 2 5 7 5 6" xfId="25231" xr:uid="{00000000-0005-0000-0000-00006F620000}"/>
    <cellStyle name="Normal 2 2 5 7 5 7" xfId="25232" xr:uid="{00000000-0005-0000-0000-000070620000}"/>
    <cellStyle name="Normal 2 2 5 7 5 8" xfId="25233" xr:uid="{00000000-0005-0000-0000-000071620000}"/>
    <cellStyle name="Normal 2 2 5 7 5 9" xfId="25234" xr:uid="{00000000-0005-0000-0000-000072620000}"/>
    <cellStyle name="Normal 2 2 5 7 6" xfId="25235" xr:uid="{00000000-0005-0000-0000-000073620000}"/>
    <cellStyle name="Normal 2 2 5 7 7" xfId="25236" xr:uid="{00000000-0005-0000-0000-000074620000}"/>
    <cellStyle name="Normal 2 2 5 7 8" xfId="25237" xr:uid="{00000000-0005-0000-0000-000075620000}"/>
    <cellStyle name="Normal 2 2 5 7 9" xfId="25238" xr:uid="{00000000-0005-0000-0000-000076620000}"/>
    <cellStyle name="Normal 2 2 5 8" xfId="25239" xr:uid="{00000000-0005-0000-0000-000077620000}"/>
    <cellStyle name="Normal 2 2 5 8 10" xfId="25240" xr:uid="{00000000-0005-0000-0000-000078620000}"/>
    <cellStyle name="Normal 2 2 5 8 11" xfId="25241" xr:uid="{00000000-0005-0000-0000-000079620000}"/>
    <cellStyle name="Normal 2 2 5 8 12" xfId="25242" xr:uid="{00000000-0005-0000-0000-00007A620000}"/>
    <cellStyle name="Normal 2 2 5 8 13" xfId="25243" xr:uid="{00000000-0005-0000-0000-00007B620000}"/>
    <cellStyle name="Normal 2 2 5 8 14" xfId="25244" xr:uid="{00000000-0005-0000-0000-00007C620000}"/>
    <cellStyle name="Normal 2 2 5 8 2" xfId="25245" xr:uid="{00000000-0005-0000-0000-00007D620000}"/>
    <cellStyle name="Normal 2 2 5 8 2 10" xfId="25246" xr:uid="{00000000-0005-0000-0000-00007E620000}"/>
    <cellStyle name="Normal 2 2 5 8 2 2" xfId="25247" xr:uid="{00000000-0005-0000-0000-00007F620000}"/>
    <cellStyle name="Normal 2 2 5 8 2 3" xfId="25248" xr:uid="{00000000-0005-0000-0000-000080620000}"/>
    <cellStyle name="Normal 2 2 5 8 2 4" xfId="25249" xr:uid="{00000000-0005-0000-0000-000081620000}"/>
    <cellStyle name="Normal 2 2 5 8 2 5" xfId="25250" xr:uid="{00000000-0005-0000-0000-000082620000}"/>
    <cellStyle name="Normal 2 2 5 8 2 6" xfId="25251" xr:uid="{00000000-0005-0000-0000-000083620000}"/>
    <cellStyle name="Normal 2 2 5 8 2 7" xfId="25252" xr:uid="{00000000-0005-0000-0000-000084620000}"/>
    <cellStyle name="Normal 2 2 5 8 2 8" xfId="25253" xr:uid="{00000000-0005-0000-0000-000085620000}"/>
    <cellStyle name="Normal 2 2 5 8 2 9" xfId="25254" xr:uid="{00000000-0005-0000-0000-000086620000}"/>
    <cellStyle name="Normal 2 2 5 8 3" xfId="25255" xr:uid="{00000000-0005-0000-0000-000087620000}"/>
    <cellStyle name="Normal 2 2 5 8 3 10" xfId="25256" xr:uid="{00000000-0005-0000-0000-000088620000}"/>
    <cellStyle name="Normal 2 2 5 8 3 2" xfId="25257" xr:uid="{00000000-0005-0000-0000-000089620000}"/>
    <cellStyle name="Normal 2 2 5 8 3 3" xfId="25258" xr:uid="{00000000-0005-0000-0000-00008A620000}"/>
    <cellStyle name="Normal 2 2 5 8 3 4" xfId="25259" xr:uid="{00000000-0005-0000-0000-00008B620000}"/>
    <cellStyle name="Normal 2 2 5 8 3 5" xfId="25260" xr:uid="{00000000-0005-0000-0000-00008C620000}"/>
    <cellStyle name="Normal 2 2 5 8 3 6" xfId="25261" xr:uid="{00000000-0005-0000-0000-00008D620000}"/>
    <cellStyle name="Normal 2 2 5 8 3 7" xfId="25262" xr:uid="{00000000-0005-0000-0000-00008E620000}"/>
    <cellStyle name="Normal 2 2 5 8 3 8" xfId="25263" xr:uid="{00000000-0005-0000-0000-00008F620000}"/>
    <cellStyle name="Normal 2 2 5 8 3 9" xfId="25264" xr:uid="{00000000-0005-0000-0000-000090620000}"/>
    <cellStyle name="Normal 2 2 5 8 4" xfId="25265" xr:uid="{00000000-0005-0000-0000-000091620000}"/>
    <cellStyle name="Normal 2 2 5 8 4 10" xfId="25266" xr:uid="{00000000-0005-0000-0000-000092620000}"/>
    <cellStyle name="Normal 2 2 5 8 4 2" xfId="25267" xr:uid="{00000000-0005-0000-0000-000093620000}"/>
    <cellStyle name="Normal 2 2 5 8 4 3" xfId="25268" xr:uid="{00000000-0005-0000-0000-000094620000}"/>
    <cellStyle name="Normal 2 2 5 8 4 4" xfId="25269" xr:uid="{00000000-0005-0000-0000-000095620000}"/>
    <cellStyle name="Normal 2 2 5 8 4 5" xfId="25270" xr:uid="{00000000-0005-0000-0000-000096620000}"/>
    <cellStyle name="Normal 2 2 5 8 4 6" xfId="25271" xr:uid="{00000000-0005-0000-0000-000097620000}"/>
    <cellStyle name="Normal 2 2 5 8 4 7" xfId="25272" xr:uid="{00000000-0005-0000-0000-000098620000}"/>
    <cellStyle name="Normal 2 2 5 8 4 8" xfId="25273" xr:uid="{00000000-0005-0000-0000-000099620000}"/>
    <cellStyle name="Normal 2 2 5 8 4 9" xfId="25274" xr:uid="{00000000-0005-0000-0000-00009A620000}"/>
    <cellStyle name="Normal 2 2 5 8 5" xfId="25275" xr:uid="{00000000-0005-0000-0000-00009B620000}"/>
    <cellStyle name="Normal 2 2 5 8 5 10" xfId="25276" xr:uid="{00000000-0005-0000-0000-00009C620000}"/>
    <cellStyle name="Normal 2 2 5 8 5 2" xfId="25277" xr:uid="{00000000-0005-0000-0000-00009D620000}"/>
    <cellStyle name="Normal 2 2 5 8 5 3" xfId="25278" xr:uid="{00000000-0005-0000-0000-00009E620000}"/>
    <cellStyle name="Normal 2 2 5 8 5 4" xfId="25279" xr:uid="{00000000-0005-0000-0000-00009F620000}"/>
    <cellStyle name="Normal 2 2 5 8 5 5" xfId="25280" xr:uid="{00000000-0005-0000-0000-0000A0620000}"/>
    <cellStyle name="Normal 2 2 5 8 5 6" xfId="25281" xr:uid="{00000000-0005-0000-0000-0000A1620000}"/>
    <cellStyle name="Normal 2 2 5 8 5 7" xfId="25282" xr:uid="{00000000-0005-0000-0000-0000A2620000}"/>
    <cellStyle name="Normal 2 2 5 8 5 8" xfId="25283" xr:uid="{00000000-0005-0000-0000-0000A3620000}"/>
    <cellStyle name="Normal 2 2 5 8 5 9" xfId="25284" xr:uid="{00000000-0005-0000-0000-0000A4620000}"/>
    <cellStyle name="Normal 2 2 5 8 6" xfId="25285" xr:uid="{00000000-0005-0000-0000-0000A5620000}"/>
    <cellStyle name="Normal 2 2 5 8 7" xfId="25286" xr:uid="{00000000-0005-0000-0000-0000A6620000}"/>
    <cellStyle name="Normal 2 2 5 8 8" xfId="25287" xr:uid="{00000000-0005-0000-0000-0000A7620000}"/>
    <cellStyle name="Normal 2 2 5 8 9" xfId="25288" xr:uid="{00000000-0005-0000-0000-0000A8620000}"/>
    <cellStyle name="Normal 2 2 5 9" xfId="25289" xr:uid="{00000000-0005-0000-0000-0000A9620000}"/>
    <cellStyle name="Normal 2 2 5 9 10" xfId="25290" xr:uid="{00000000-0005-0000-0000-0000AA620000}"/>
    <cellStyle name="Normal 2 2 5 9 11" xfId="25291" xr:uid="{00000000-0005-0000-0000-0000AB620000}"/>
    <cellStyle name="Normal 2 2 5 9 12" xfId="25292" xr:uid="{00000000-0005-0000-0000-0000AC620000}"/>
    <cellStyle name="Normal 2 2 5 9 13" xfId="25293" xr:uid="{00000000-0005-0000-0000-0000AD620000}"/>
    <cellStyle name="Normal 2 2 5 9 14" xfId="25294" xr:uid="{00000000-0005-0000-0000-0000AE620000}"/>
    <cellStyle name="Normal 2 2 5 9 2" xfId="25295" xr:uid="{00000000-0005-0000-0000-0000AF620000}"/>
    <cellStyle name="Normal 2 2 5 9 2 10" xfId="25296" xr:uid="{00000000-0005-0000-0000-0000B0620000}"/>
    <cellStyle name="Normal 2 2 5 9 2 2" xfId="25297" xr:uid="{00000000-0005-0000-0000-0000B1620000}"/>
    <cellStyle name="Normal 2 2 5 9 2 3" xfId="25298" xr:uid="{00000000-0005-0000-0000-0000B2620000}"/>
    <cellStyle name="Normal 2 2 5 9 2 4" xfId="25299" xr:uid="{00000000-0005-0000-0000-0000B3620000}"/>
    <cellStyle name="Normal 2 2 5 9 2 5" xfId="25300" xr:uid="{00000000-0005-0000-0000-0000B4620000}"/>
    <cellStyle name="Normal 2 2 5 9 2 6" xfId="25301" xr:uid="{00000000-0005-0000-0000-0000B5620000}"/>
    <cellStyle name="Normal 2 2 5 9 2 7" xfId="25302" xr:uid="{00000000-0005-0000-0000-0000B6620000}"/>
    <cellStyle name="Normal 2 2 5 9 2 8" xfId="25303" xr:uid="{00000000-0005-0000-0000-0000B7620000}"/>
    <cellStyle name="Normal 2 2 5 9 2 9" xfId="25304" xr:uid="{00000000-0005-0000-0000-0000B8620000}"/>
    <cellStyle name="Normal 2 2 5 9 3" xfId="25305" xr:uid="{00000000-0005-0000-0000-0000B9620000}"/>
    <cellStyle name="Normal 2 2 5 9 3 10" xfId="25306" xr:uid="{00000000-0005-0000-0000-0000BA620000}"/>
    <cellStyle name="Normal 2 2 5 9 3 2" xfId="25307" xr:uid="{00000000-0005-0000-0000-0000BB620000}"/>
    <cellStyle name="Normal 2 2 5 9 3 3" xfId="25308" xr:uid="{00000000-0005-0000-0000-0000BC620000}"/>
    <cellStyle name="Normal 2 2 5 9 3 4" xfId="25309" xr:uid="{00000000-0005-0000-0000-0000BD620000}"/>
    <cellStyle name="Normal 2 2 5 9 3 5" xfId="25310" xr:uid="{00000000-0005-0000-0000-0000BE620000}"/>
    <cellStyle name="Normal 2 2 5 9 3 6" xfId="25311" xr:uid="{00000000-0005-0000-0000-0000BF620000}"/>
    <cellStyle name="Normal 2 2 5 9 3 7" xfId="25312" xr:uid="{00000000-0005-0000-0000-0000C0620000}"/>
    <cellStyle name="Normal 2 2 5 9 3 8" xfId="25313" xr:uid="{00000000-0005-0000-0000-0000C1620000}"/>
    <cellStyle name="Normal 2 2 5 9 3 9" xfId="25314" xr:uid="{00000000-0005-0000-0000-0000C2620000}"/>
    <cellStyle name="Normal 2 2 5 9 4" xfId="25315" xr:uid="{00000000-0005-0000-0000-0000C3620000}"/>
    <cellStyle name="Normal 2 2 5 9 4 10" xfId="25316" xr:uid="{00000000-0005-0000-0000-0000C4620000}"/>
    <cellStyle name="Normal 2 2 5 9 4 2" xfId="25317" xr:uid="{00000000-0005-0000-0000-0000C5620000}"/>
    <cellStyle name="Normal 2 2 5 9 4 3" xfId="25318" xr:uid="{00000000-0005-0000-0000-0000C6620000}"/>
    <cellStyle name="Normal 2 2 5 9 4 4" xfId="25319" xr:uid="{00000000-0005-0000-0000-0000C7620000}"/>
    <cellStyle name="Normal 2 2 5 9 4 5" xfId="25320" xr:uid="{00000000-0005-0000-0000-0000C8620000}"/>
    <cellStyle name="Normal 2 2 5 9 4 6" xfId="25321" xr:uid="{00000000-0005-0000-0000-0000C9620000}"/>
    <cellStyle name="Normal 2 2 5 9 4 7" xfId="25322" xr:uid="{00000000-0005-0000-0000-0000CA620000}"/>
    <cellStyle name="Normal 2 2 5 9 4 8" xfId="25323" xr:uid="{00000000-0005-0000-0000-0000CB620000}"/>
    <cellStyle name="Normal 2 2 5 9 4 9" xfId="25324" xr:uid="{00000000-0005-0000-0000-0000CC620000}"/>
    <cellStyle name="Normal 2 2 5 9 5" xfId="25325" xr:uid="{00000000-0005-0000-0000-0000CD620000}"/>
    <cellStyle name="Normal 2 2 5 9 5 10" xfId="25326" xr:uid="{00000000-0005-0000-0000-0000CE620000}"/>
    <cellStyle name="Normal 2 2 5 9 5 2" xfId="25327" xr:uid="{00000000-0005-0000-0000-0000CF620000}"/>
    <cellStyle name="Normal 2 2 5 9 5 3" xfId="25328" xr:uid="{00000000-0005-0000-0000-0000D0620000}"/>
    <cellStyle name="Normal 2 2 5 9 5 4" xfId="25329" xr:uid="{00000000-0005-0000-0000-0000D1620000}"/>
    <cellStyle name="Normal 2 2 5 9 5 5" xfId="25330" xr:uid="{00000000-0005-0000-0000-0000D2620000}"/>
    <cellStyle name="Normal 2 2 5 9 5 6" xfId="25331" xr:uid="{00000000-0005-0000-0000-0000D3620000}"/>
    <cellStyle name="Normal 2 2 5 9 5 7" xfId="25332" xr:uid="{00000000-0005-0000-0000-0000D4620000}"/>
    <cellStyle name="Normal 2 2 5 9 5 8" xfId="25333" xr:uid="{00000000-0005-0000-0000-0000D5620000}"/>
    <cellStyle name="Normal 2 2 5 9 5 9" xfId="25334" xr:uid="{00000000-0005-0000-0000-0000D6620000}"/>
    <cellStyle name="Normal 2 2 5 9 6" xfId="25335" xr:uid="{00000000-0005-0000-0000-0000D7620000}"/>
    <cellStyle name="Normal 2 2 5 9 7" xfId="25336" xr:uid="{00000000-0005-0000-0000-0000D8620000}"/>
    <cellStyle name="Normal 2 2 5 9 8" xfId="25337" xr:uid="{00000000-0005-0000-0000-0000D9620000}"/>
    <cellStyle name="Normal 2 2 5 9 9" xfId="25338" xr:uid="{00000000-0005-0000-0000-0000DA620000}"/>
    <cellStyle name="Normal 2 2 50" xfId="25339" xr:uid="{00000000-0005-0000-0000-0000DB620000}"/>
    <cellStyle name="Normal 2 2 51" xfId="25340" xr:uid="{00000000-0005-0000-0000-0000DC620000}"/>
    <cellStyle name="Normal 2 2 52" xfId="55" xr:uid="{00000000-0005-0000-0000-0000DD620000}"/>
    <cellStyle name="Normal 2 2 52 2" xfId="25341" xr:uid="{00000000-0005-0000-0000-0000DE620000}"/>
    <cellStyle name="Normal 2 2 53" xfId="6201" xr:uid="{00000000-0005-0000-0000-0000DF620000}"/>
    <cellStyle name="Normal 2 2 6" xfId="25342" xr:uid="{00000000-0005-0000-0000-0000E0620000}"/>
    <cellStyle name="Normal 2 2 6 2" xfId="25343" xr:uid="{00000000-0005-0000-0000-0000E1620000}"/>
    <cellStyle name="Normal 2 2 6 3" xfId="25344" xr:uid="{00000000-0005-0000-0000-0000E2620000}"/>
    <cellStyle name="Normal 2 2 7" xfId="25345" xr:uid="{00000000-0005-0000-0000-0000E3620000}"/>
    <cellStyle name="Normal 2 2 7 2" xfId="25346" xr:uid="{00000000-0005-0000-0000-0000E4620000}"/>
    <cellStyle name="Normal 2 2 7 3" xfId="25347" xr:uid="{00000000-0005-0000-0000-0000E5620000}"/>
    <cellStyle name="Normal 2 2 8" xfId="25348" xr:uid="{00000000-0005-0000-0000-0000E6620000}"/>
    <cellStyle name="Normal 2 2 8 2" xfId="25349" xr:uid="{00000000-0005-0000-0000-0000E7620000}"/>
    <cellStyle name="Normal 2 2 8 3" xfId="25350" xr:uid="{00000000-0005-0000-0000-0000E8620000}"/>
    <cellStyle name="Normal 2 2 9" xfId="25351" xr:uid="{00000000-0005-0000-0000-0000E9620000}"/>
    <cellStyle name="Normal 2 2 9 2" xfId="25352" xr:uid="{00000000-0005-0000-0000-0000EA620000}"/>
    <cellStyle name="Normal 2 2 9 3" xfId="25353" xr:uid="{00000000-0005-0000-0000-0000EB620000}"/>
    <cellStyle name="Normal 2 20" xfId="25354" xr:uid="{00000000-0005-0000-0000-0000EC620000}"/>
    <cellStyle name="Normal 2 20 2" xfId="25355" xr:uid="{00000000-0005-0000-0000-0000ED620000}"/>
    <cellStyle name="Normal 2 20 3" xfId="25356" xr:uid="{00000000-0005-0000-0000-0000EE620000}"/>
    <cellStyle name="Normal 2 21" xfId="25357" xr:uid="{00000000-0005-0000-0000-0000EF620000}"/>
    <cellStyle name="Normal 2 21 2" xfId="25358" xr:uid="{00000000-0005-0000-0000-0000F0620000}"/>
    <cellStyle name="Normal 2 21 3" xfId="25359" xr:uid="{00000000-0005-0000-0000-0000F1620000}"/>
    <cellStyle name="Normal 2 22" xfId="25360" xr:uid="{00000000-0005-0000-0000-0000F2620000}"/>
    <cellStyle name="Normal 2 22 2" xfId="25361" xr:uid="{00000000-0005-0000-0000-0000F3620000}"/>
    <cellStyle name="Normal 2 22 3" xfId="25362" xr:uid="{00000000-0005-0000-0000-0000F4620000}"/>
    <cellStyle name="Normal 2 23" xfId="25363" xr:uid="{00000000-0005-0000-0000-0000F5620000}"/>
    <cellStyle name="Normal 2 23 2" xfId="25364" xr:uid="{00000000-0005-0000-0000-0000F6620000}"/>
    <cellStyle name="Normal 2 23 2 2" xfId="25365" xr:uid="{00000000-0005-0000-0000-0000F7620000}"/>
    <cellStyle name="Normal 2 23 3" xfId="25366" xr:uid="{00000000-0005-0000-0000-0000F8620000}"/>
    <cellStyle name="Normal 2 24" xfId="25367" xr:uid="{00000000-0005-0000-0000-0000F9620000}"/>
    <cellStyle name="Normal 2 24 2" xfId="25368" xr:uid="{00000000-0005-0000-0000-0000FA620000}"/>
    <cellStyle name="Normal 2 24 3" xfId="25369" xr:uid="{00000000-0005-0000-0000-0000FB620000}"/>
    <cellStyle name="Normal 2 25" xfId="25370" xr:uid="{00000000-0005-0000-0000-0000FC620000}"/>
    <cellStyle name="Normal 2 25 2" xfId="25371" xr:uid="{00000000-0005-0000-0000-0000FD620000}"/>
    <cellStyle name="Normal 2 25 3" xfId="25372" xr:uid="{00000000-0005-0000-0000-0000FE620000}"/>
    <cellStyle name="Normal 2 26" xfId="25373" xr:uid="{00000000-0005-0000-0000-0000FF620000}"/>
    <cellStyle name="Normal 2 26 2" xfId="25374" xr:uid="{00000000-0005-0000-0000-000000630000}"/>
    <cellStyle name="Normal 2 26 3" xfId="25375" xr:uid="{00000000-0005-0000-0000-000001630000}"/>
    <cellStyle name="Normal 2 27" xfId="25376" xr:uid="{00000000-0005-0000-0000-000002630000}"/>
    <cellStyle name="Normal 2 27 2" xfId="25377" xr:uid="{00000000-0005-0000-0000-000003630000}"/>
    <cellStyle name="Normal 2 27 3" xfId="25378" xr:uid="{00000000-0005-0000-0000-000004630000}"/>
    <cellStyle name="Normal 2 28" xfId="25379" xr:uid="{00000000-0005-0000-0000-000005630000}"/>
    <cellStyle name="Normal 2 28 2" xfId="25380" xr:uid="{00000000-0005-0000-0000-000006630000}"/>
    <cellStyle name="Normal 2 28 3" xfId="25381" xr:uid="{00000000-0005-0000-0000-000007630000}"/>
    <cellStyle name="Normal 2 29" xfId="25382" xr:uid="{00000000-0005-0000-0000-000008630000}"/>
    <cellStyle name="Normal 2 29 2" xfId="25383" xr:uid="{00000000-0005-0000-0000-000009630000}"/>
    <cellStyle name="Normal 2 29 3" xfId="25384" xr:uid="{00000000-0005-0000-0000-00000A630000}"/>
    <cellStyle name="Normal 2 3" xfId="27" xr:uid="{00000000-0005-0000-0000-00000B630000}"/>
    <cellStyle name="Normal 2 3 10" xfId="25386" xr:uid="{00000000-0005-0000-0000-00000C630000}"/>
    <cellStyle name="Normal 2 3 10 10" xfId="25387" xr:uid="{00000000-0005-0000-0000-00000D630000}"/>
    <cellStyle name="Normal 2 3 10 11" xfId="25388" xr:uid="{00000000-0005-0000-0000-00000E630000}"/>
    <cellStyle name="Normal 2 3 10 12" xfId="25389" xr:uid="{00000000-0005-0000-0000-00000F630000}"/>
    <cellStyle name="Normal 2 3 10 13" xfId="25390" xr:uid="{00000000-0005-0000-0000-000010630000}"/>
    <cellStyle name="Normal 2 3 10 14" xfId="25391" xr:uid="{00000000-0005-0000-0000-000011630000}"/>
    <cellStyle name="Normal 2 3 10 2" xfId="25392" xr:uid="{00000000-0005-0000-0000-000012630000}"/>
    <cellStyle name="Normal 2 3 10 2 10" xfId="25393" xr:uid="{00000000-0005-0000-0000-000013630000}"/>
    <cellStyle name="Normal 2 3 10 2 2" xfId="25394" xr:uid="{00000000-0005-0000-0000-000014630000}"/>
    <cellStyle name="Normal 2 3 10 2 3" xfId="25395" xr:uid="{00000000-0005-0000-0000-000015630000}"/>
    <cellStyle name="Normal 2 3 10 2 4" xfId="25396" xr:uid="{00000000-0005-0000-0000-000016630000}"/>
    <cellStyle name="Normal 2 3 10 2 5" xfId="25397" xr:uid="{00000000-0005-0000-0000-000017630000}"/>
    <cellStyle name="Normal 2 3 10 2 6" xfId="25398" xr:uid="{00000000-0005-0000-0000-000018630000}"/>
    <cellStyle name="Normal 2 3 10 2 7" xfId="25399" xr:uid="{00000000-0005-0000-0000-000019630000}"/>
    <cellStyle name="Normal 2 3 10 2 8" xfId="25400" xr:uid="{00000000-0005-0000-0000-00001A630000}"/>
    <cellStyle name="Normal 2 3 10 2 9" xfId="25401" xr:uid="{00000000-0005-0000-0000-00001B630000}"/>
    <cellStyle name="Normal 2 3 10 3" xfId="25402" xr:uid="{00000000-0005-0000-0000-00001C630000}"/>
    <cellStyle name="Normal 2 3 10 3 10" xfId="25403" xr:uid="{00000000-0005-0000-0000-00001D630000}"/>
    <cellStyle name="Normal 2 3 10 3 2" xfId="25404" xr:uid="{00000000-0005-0000-0000-00001E630000}"/>
    <cellStyle name="Normal 2 3 10 3 3" xfId="25405" xr:uid="{00000000-0005-0000-0000-00001F630000}"/>
    <cellStyle name="Normal 2 3 10 3 4" xfId="25406" xr:uid="{00000000-0005-0000-0000-000020630000}"/>
    <cellStyle name="Normal 2 3 10 3 5" xfId="25407" xr:uid="{00000000-0005-0000-0000-000021630000}"/>
    <cellStyle name="Normal 2 3 10 3 6" xfId="25408" xr:uid="{00000000-0005-0000-0000-000022630000}"/>
    <cellStyle name="Normal 2 3 10 3 7" xfId="25409" xr:uid="{00000000-0005-0000-0000-000023630000}"/>
    <cellStyle name="Normal 2 3 10 3 8" xfId="25410" xr:uid="{00000000-0005-0000-0000-000024630000}"/>
    <cellStyle name="Normal 2 3 10 3 9" xfId="25411" xr:uid="{00000000-0005-0000-0000-000025630000}"/>
    <cellStyle name="Normal 2 3 10 4" xfId="25412" xr:uid="{00000000-0005-0000-0000-000026630000}"/>
    <cellStyle name="Normal 2 3 10 4 10" xfId="25413" xr:uid="{00000000-0005-0000-0000-000027630000}"/>
    <cellStyle name="Normal 2 3 10 4 2" xfId="25414" xr:uid="{00000000-0005-0000-0000-000028630000}"/>
    <cellStyle name="Normal 2 3 10 4 3" xfId="25415" xr:uid="{00000000-0005-0000-0000-000029630000}"/>
    <cellStyle name="Normal 2 3 10 4 4" xfId="25416" xr:uid="{00000000-0005-0000-0000-00002A630000}"/>
    <cellStyle name="Normal 2 3 10 4 5" xfId="25417" xr:uid="{00000000-0005-0000-0000-00002B630000}"/>
    <cellStyle name="Normal 2 3 10 4 6" xfId="25418" xr:uid="{00000000-0005-0000-0000-00002C630000}"/>
    <cellStyle name="Normal 2 3 10 4 7" xfId="25419" xr:uid="{00000000-0005-0000-0000-00002D630000}"/>
    <cellStyle name="Normal 2 3 10 4 8" xfId="25420" xr:uid="{00000000-0005-0000-0000-00002E630000}"/>
    <cellStyle name="Normal 2 3 10 4 9" xfId="25421" xr:uid="{00000000-0005-0000-0000-00002F630000}"/>
    <cellStyle name="Normal 2 3 10 5" xfId="25422" xr:uid="{00000000-0005-0000-0000-000030630000}"/>
    <cellStyle name="Normal 2 3 10 5 10" xfId="25423" xr:uid="{00000000-0005-0000-0000-000031630000}"/>
    <cellStyle name="Normal 2 3 10 5 2" xfId="25424" xr:uid="{00000000-0005-0000-0000-000032630000}"/>
    <cellStyle name="Normal 2 3 10 5 3" xfId="25425" xr:uid="{00000000-0005-0000-0000-000033630000}"/>
    <cellStyle name="Normal 2 3 10 5 4" xfId="25426" xr:uid="{00000000-0005-0000-0000-000034630000}"/>
    <cellStyle name="Normal 2 3 10 5 5" xfId="25427" xr:uid="{00000000-0005-0000-0000-000035630000}"/>
    <cellStyle name="Normal 2 3 10 5 6" xfId="25428" xr:uid="{00000000-0005-0000-0000-000036630000}"/>
    <cellStyle name="Normal 2 3 10 5 7" xfId="25429" xr:uid="{00000000-0005-0000-0000-000037630000}"/>
    <cellStyle name="Normal 2 3 10 5 8" xfId="25430" xr:uid="{00000000-0005-0000-0000-000038630000}"/>
    <cellStyle name="Normal 2 3 10 5 9" xfId="25431" xr:uid="{00000000-0005-0000-0000-000039630000}"/>
    <cellStyle name="Normal 2 3 10 6" xfId="25432" xr:uid="{00000000-0005-0000-0000-00003A630000}"/>
    <cellStyle name="Normal 2 3 10 7" xfId="25433" xr:uid="{00000000-0005-0000-0000-00003B630000}"/>
    <cellStyle name="Normal 2 3 10 8" xfId="25434" xr:uid="{00000000-0005-0000-0000-00003C630000}"/>
    <cellStyle name="Normal 2 3 10 9" xfId="25435" xr:uid="{00000000-0005-0000-0000-00003D630000}"/>
    <cellStyle name="Normal 2 3 11" xfId="25436" xr:uid="{00000000-0005-0000-0000-00003E630000}"/>
    <cellStyle name="Normal 2 3 11 10" xfId="25437" xr:uid="{00000000-0005-0000-0000-00003F630000}"/>
    <cellStyle name="Normal 2 3 11 11" xfId="25438" xr:uid="{00000000-0005-0000-0000-000040630000}"/>
    <cellStyle name="Normal 2 3 11 12" xfId="25439" xr:uid="{00000000-0005-0000-0000-000041630000}"/>
    <cellStyle name="Normal 2 3 11 13" xfId="25440" xr:uid="{00000000-0005-0000-0000-000042630000}"/>
    <cellStyle name="Normal 2 3 11 14" xfId="25441" xr:uid="{00000000-0005-0000-0000-000043630000}"/>
    <cellStyle name="Normal 2 3 11 2" xfId="25442" xr:uid="{00000000-0005-0000-0000-000044630000}"/>
    <cellStyle name="Normal 2 3 11 2 10" xfId="25443" xr:uid="{00000000-0005-0000-0000-000045630000}"/>
    <cellStyle name="Normal 2 3 11 2 2" xfId="25444" xr:uid="{00000000-0005-0000-0000-000046630000}"/>
    <cellStyle name="Normal 2 3 11 2 3" xfId="25445" xr:uid="{00000000-0005-0000-0000-000047630000}"/>
    <cellStyle name="Normal 2 3 11 2 4" xfId="25446" xr:uid="{00000000-0005-0000-0000-000048630000}"/>
    <cellStyle name="Normal 2 3 11 2 5" xfId="25447" xr:uid="{00000000-0005-0000-0000-000049630000}"/>
    <cellStyle name="Normal 2 3 11 2 6" xfId="25448" xr:uid="{00000000-0005-0000-0000-00004A630000}"/>
    <cellStyle name="Normal 2 3 11 2 7" xfId="25449" xr:uid="{00000000-0005-0000-0000-00004B630000}"/>
    <cellStyle name="Normal 2 3 11 2 8" xfId="25450" xr:uid="{00000000-0005-0000-0000-00004C630000}"/>
    <cellStyle name="Normal 2 3 11 2 9" xfId="25451" xr:uid="{00000000-0005-0000-0000-00004D630000}"/>
    <cellStyle name="Normal 2 3 11 3" xfId="25452" xr:uid="{00000000-0005-0000-0000-00004E630000}"/>
    <cellStyle name="Normal 2 3 11 3 10" xfId="25453" xr:uid="{00000000-0005-0000-0000-00004F630000}"/>
    <cellStyle name="Normal 2 3 11 3 2" xfId="25454" xr:uid="{00000000-0005-0000-0000-000050630000}"/>
    <cellStyle name="Normal 2 3 11 3 3" xfId="25455" xr:uid="{00000000-0005-0000-0000-000051630000}"/>
    <cellStyle name="Normal 2 3 11 3 4" xfId="25456" xr:uid="{00000000-0005-0000-0000-000052630000}"/>
    <cellStyle name="Normal 2 3 11 3 5" xfId="25457" xr:uid="{00000000-0005-0000-0000-000053630000}"/>
    <cellStyle name="Normal 2 3 11 3 6" xfId="25458" xr:uid="{00000000-0005-0000-0000-000054630000}"/>
    <cellStyle name="Normal 2 3 11 3 7" xfId="25459" xr:uid="{00000000-0005-0000-0000-000055630000}"/>
    <cellStyle name="Normal 2 3 11 3 8" xfId="25460" xr:uid="{00000000-0005-0000-0000-000056630000}"/>
    <cellStyle name="Normal 2 3 11 3 9" xfId="25461" xr:uid="{00000000-0005-0000-0000-000057630000}"/>
    <cellStyle name="Normal 2 3 11 4" xfId="25462" xr:uid="{00000000-0005-0000-0000-000058630000}"/>
    <cellStyle name="Normal 2 3 11 4 10" xfId="25463" xr:uid="{00000000-0005-0000-0000-000059630000}"/>
    <cellStyle name="Normal 2 3 11 4 2" xfId="25464" xr:uid="{00000000-0005-0000-0000-00005A630000}"/>
    <cellStyle name="Normal 2 3 11 4 3" xfId="25465" xr:uid="{00000000-0005-0000-0000-00005B630000}"/>
    <cellStyle name="Normal 2 3 11 4 4" xfId="25466" xr:uid="{00000000-0005-0000-0000-00005C630000}"/>
    <cellStyle name="Normal 2 3 11 4 5" xfId="25467" xr:uid="{00000000-0005-0000-0000-00005D630000}"/>
    <cellStyle name="Normal 2 3 11 4 6" xfId="25468" xr:uid="{00000000-0005-0000-0000-00005E630000}"/>
    <cellStyle name="Normal 2 3 11 4 7" xfId="25469" xr:uid="{00000000-0005-0000-0000-00005F630000}"/>
    <cellStyle name="Normal 2 3 11 4 8" xfId="25470" xr:uid="{00000000-0005-0000-0000-000060630000}"/>
    <cellStyle name="Normal 2 3 11 4 9" xfId="25471" xr:uid="{00000000-0005-0000-0000-000061630000}"/>
    <cellStyle name="Normal 2 3 11 5" xfId="25472" xr:uid="{00000000-0005-0000-0000-000062630000}"/>
    <cellStyle name="Normal 2 3 11 5 10" xfId="25473" xr:uid="{00000000-0005-0000-0000-000063630000}"/>
    <cellStyle name="Normal 2 3 11 5 2" xfId="25474" xr:uid="{00000000-0005-0000-0000-000064630000}"/>
    <cellStyle name="Normal 2 3 11 5 3" xfId="25475" xr:uid="{00000000-0005-0000-0000-000065630000}"/>
    <cellStyle name="Normal 2 3 11 5 4" xfId="25476" xr:uid="{00000000-0005-0000-0000-000066630000}"/>
    <cellStyle name="Normal 2 3 11 5 5" xfId="25477" xr:uid="{00000000-0005-0000-0000-000067630000}"/>
    <cellStyle name="Normal 2 3 11 5 6" xfId="25478" xr:uid="{00000000-0005-0000-0000-000068630000}"/>
    <cellStyle name="Normal 2 3 11 5 7" xfId="25479" xr:uid="{00000000-0005-0000-0000-000069630000}"/>
    <cellStyle name="Normal 2 3 11 5 8" xfId="25480" xr:uid="{00000000-0005-0000-0000-00006A630000}"/>
    <cellStyle name="Normal 2 3 11 5 9" xfId="25481" xr:uid="{00000000-0005-0000-0000-00006B630000}"/>
    <cellStyle name="Normal 2 3 11 6" xfId="25482" xr:uid="{00000000-0005-0000-0000-00006C630000}"/>
    <cellStyle name="Normal 2 3 11 7" xfId="25483" xr:uid="{00000000-0005-0000-0000-00006D630000}"/>
    <cellStyle name="Normal 2 3 11 8" xfId="25484" xr:uid="{00000000-0005-0000-0000-00006E630000}"/>
    <cellStyle name="Normal 2 3 11 9" xfId="25485" xr:uid="{00000000-0005-0000-0000-00006F630000}"/>
    <cellStyle name="Normal 2 3 12" xfId="25486" xr:uid="{00000000-0005-0000-0000-000070630000}"/>
    <cellStyle name="Normal 2 3 12 10" xfId="25487" xr:uid="{00000000-0005-0000-0000-000071630000}"/>
    <cellStyle name="Normal 2 3 12 11" xfId="25488" xr:uid="{00000000-0005-0000-0000-000072630000}"/>
    <cellStyle name="Normal 2 3 12 12" xfId="25489" xr:uid="{00000000-0005-0000-0000-000073630000}"/>
    <cellStyle name="Normal 2 3 12 13" xfId="25490" xr:uid="{00000000-0005-0000-0000-000074630000}"/>
    <cellStyle name="Normal 2 3 12 14" xfId="25491" xr:uid="{00000000-0005-0000-0000-000075630000}"/>
    <cellStyle name="Normal 2 3 12 2" xfId="25492" xr:uid="{00000000-0005-0000-0000-000076630000}"/>
    <cellStyle name="Normal 2 3 12 2 10" xfId="25493" xr:uid="{00000000-0005-0000-0000-000077630000}"/>
    <cellStyle name="Normal 2 3 12 2 2" xfId="25494" xr:uid="{00000000-0005-0000-0000-000078630000}"/>
    <cellStyle name="Normal 2 3 12 2 3" xfId="25495" xr:uid="{00000000-0005-0000-0000-000079630000}"/>
    <cellStyle name="Normal 2 3 12 2 4" xfId="25496" xr:uid="{00000000-0005-0000-0000-00007A630000}"/>
    <cellStyle name="Normal 2 3 12 2 5" xfId="25497" xr:uid="{00000000-0005-0000-0000-00007B630000}"/>
    <cellStyle name="Normal 2 3 12 2 6" xfId="25498" xr:uid="{00000000-0005-0000-0000-00007C630000}"/>
    <cellStyle name="Normal 2 3 12 2 7" xfId="25499" xr:uid="{00000000-0005-0000-0000-00007D630000}"/>
    <cellStyle name="Normal 2 3 12 2 8" xfId="25500" xr:uid="{00000000-0005-0000-0000-00007E630000}"/>
    <cellStyle name="Normal 2 3 12 2 9" xfId="25501" xr:uid="{00000000-0005-0000-0000-00007F630000}"/>
    <cellStyle name="Normal 2 3 12 3" xfId="25502" xr:uid="{00000000-0005-0000-0000-000080630000}"/>
    <cellStyle name="Normal 2 3 12 3 10" xfId="25503" xr:uid="{00000000-0005-0000-0000-000081630000}"/>
    <cellStyle name="Normal 2 3 12 3 2" xfId="25504" xr:uid="{00000000-0005-0000-0000-000082630000}"/>
    <cellStyle name="Normal 2 3 12 3 3" xfId="25505" xr:uid="{00000000-0005-0000-0000-000083630000}"/>
    <cellStyle name="Normal 2 3 12 3 4" xfId="25506" xr:uid="{00000000-0005-0000-0000-000084630000}"/>
    <cellStyle name="Normal 2 3 12 3 5" xfId="25507" xr:uid="{00000000-0005-0000-0000-000085630000}"/>
    <cellStyle name="Normal 2 3 12 3 6" xfId="25508" xr:uid="{00000000-0005-0000-0000-000086630000}"/>
    <cellStyle name="Normal 2 3 12 3 7" xfId="25509" xr:uid="{00000000-0005-0000-0000-000087630000}"/>
    <cellStyle name="Normal 2 3 12 3 8" xfId="25510" xr:uid="{00000000-0005-0000-0000-000088630000}"/>
    <cellStyle name="Normal 2 3 12 3 9" xfId="25511" xr:uid="{00000000-0005-0000-0000-000089630000}"/>
    <cellStyle name="Normal 2 3 12 4" xfId="25512" xr:uid="{00000000-0005-0000-0000-00008A630000}"/>
    <cellStyle name="Normal 2 3 12 4 10" xfId="25513" xr:uid="{00000000-0005-0000-0000-00008B630000}"/>
    <cellStyle name="Normal 2 3 12 4 2" xfId="25514" xr:uid="{00000000-0005-0000-0000-00008C630000}"/>
    <cellStyle name="Normal 2 3 12 4 3" xfId="25515" xr:uid="{00000000-0005-0000-0000-00008D630000}"/>
    <cellStyle name="Normal 2 3 12 4 4" xfId="25516" xr:uid="{00000000-0005-0000-0000-00008E630000}"/>
    <cellStyle name="Normal 2 3 12 4 5" xfId="25517" xr:uid="{00000000-0005-0000-0000-00008F630000}"/>
    <cellStyle name="Normal 2 3 12 4 6" xfId="25518" xr:uid="{00000000-0005-0000-0000-000090630000}"/>
    <cellStyle name="Normal 2 3 12 4 7" xfId="25519" xr:uid="{00000000-0005-0000-0000-000091630000}"/>
    <cellStyle name="Normal 2 3 12 4 8" xfId="25520" xr:uid="{00000000-0005-0000-0000-000092630000}"/>
    <cellStyle name="Normal 2 3 12 4 9" xfId="25521" xr:uid="{00000000-0005-0000-0000-000093630000}"/>
    <cellStyle name="Normal 2 3 12 5" xfId="25522" xr:uid="{00000000-0005-0000-0000-000094630000}"/>
    <cellStyle name="Normal 2 3 12 5 10" xfId="25523" xr:uid="{00000000-0005-0000-0000-000095630000}"/>
    <cellStyle name="Normal 2 3 12 5 2" xfId="25524" xr:uid="{00000000-0005-0000-0000-000096630000}"/>
    <cellStyle name="Normal 2 3 12 5 3" xfId="25525" xr:uid="{00000000-0005-0000-0000-000097630000}"/>
    <cellStyle name="Normal 2 3 12 5 4" xfId="25526" xr:uid="{00000000-0005-0000-0000-000098630000}"/>
    <cellStyle name="Normal 2 3 12 5 5" xfId="25527" xr:uid="{00000000-0005-0000-0000-000099630000}"/>
    <cellStyle name="Normal 2 3 12 5 6" xfId="25528" xr:uid="{00000000-0005-0000-0000-00009A630000}"/>
    <cellStyle name="Normal 2 3 12 5 7" xfId="25529" xr:uid="{00000000-0005-0000-0000-00009B630000}"/>
    <cellStyle name="Normal 2 3 12 5 8" xfId="25530" xr:uid="{00000000-0005-0000-0000-00009C630000}"/>
    <cellStyle name="Normal 2 3 12 5 9" xfId="25531" xr:uid="{00000000-0005-0000-0000-00009D630000}"/>
    <cellStyle name="Normal 2 3 12 6" xfId="25532" xr:uid="{00000000-0005-0000-0000-00009E630000}"/>
    <cellStyle name="Normal 2 3 12 7" xfId="25533" xr:uid="{00000000-0005-0000-0000-00009F630000}"/>
    <cellStyle name="Normal 2 3 12 8" xfId="25534" xr:uid="{00000000-0005-0000-0000-0000A0630000}"/>
    <cellStyle name="Normal 2 3 12 9" xfId="25535" xr:uid="{00000000-0005-0000-0000-0000A1630000}"/>
    <cellStyle name="Normal 2 3 13" xfId="25536" xr:uid="{00000000-0005-0000-0000-0000A2630000}"/>
    <cellStyle name="Normal 2 3 13 10" xfId="25537" xr:uid="{00000000-0005-0000-0000-0000A3630000}"/>
    <cellStyle name="Normal 2 3 13 11" xfId="25538" xr:uid="{00000000-0005-0000-0000-0000A4630000}"/>
    <cellStyle name="Normal 2 3 13 12" xfId="25539" xr:uid="{00000000-0005-0000-0000-0000A5630000}"/>
    <cellStyle name="Normal 2 3 13 13" xfId="25540" xr:uid="{00000000-0005-0000-0000-0000A6630000}"/>
    <cellStyle name="Normal 2 3 13 14" xfId="25541" xr:uid="{00000000-0005-0000-0000-0000A7630000}"/>
    <cellStyle name="Normal 2 3 13 2" xfId="25542" xr:uid="{00000000-0005-0000-0000-0000A8630000}"/>
    <cellStyle name="Normal 2 3 13 2 10" xfId="25543" xr:uid="{00000000-0005-0000-0000-0000A9630000}"/>
    <cellStyle name="Normal 2 3 13 2 2" xfId="25544" xr:uid="{00000000-0005-0000-0000-0000AA630000}"/>
    <cellStyle name="Normal 2 3 13 2 3" xfId="25545" xr:uid="{00000000-0005-0000-0000-0000AB630000}"/>
    <cellStyle name="Normal 2 3 13 2 4" xfId="25546" xr:uid="{00000000-0005-0000-0000-0000AC630000}"/>
    <cellStyle name="Normal 2 3 13 2 5" xfId="25547" xr:uid="{00000000-0005-0000-0000-0000AD630000}"/>
    <cellStyle name="Normal 2 3 13 2 6" xfId="25548" xr:uid="{00000000-0005-0000-0000-0000AE630000}"/>
    <cellStyle name="Normal 2 3 13 2 7" xfId="25549" xr:uid="{00000000-0005-0000-0000-0000AF630000}"/>
    <cellStyle name="Normal 2 3 13 2 8" xfId="25550" xr:uid="{00000000-0005-0000-0000-0000B0630000}"/>
    <cellStyle name="Normal 2 3 13 2 9" xfId="25551" xr:uid="{00000000-0005-0000-0000-0000B1630000}"/>
    <cellStyle name="Normal 2 3 13 3" xfId="25552" xr:uid="{00000000-0005-0000-0000-0000B2630000}"/>
    <cellStyle name="Normal 2 3 13 3 10" xfId="25553" xr:uid="{00000000-0005-0000-0000-0000B3630000}"/>
    <cellStyle name="Normal 2 3 13 3 2" xfId="25554" xr:uid="{00000000-0005-0000-0000-0000B4630000}"/>
    <cellStyle name="Normal 2 3 13 3 3" xfId="25555" xr:uid="{00000000-0005-0000-0000-0000B5630000}"/>
    <cellStyle name="Normal 2 3 13 3 4" xfId="25556" xr:uid="{00000000-0005-0000-0000-0000B6630000}"/>
    <cellStyle name="Normal 2 3 13 3 5" xfId="25557" xr:uid="{00000000-0005-0000-0000-0000B7630000}"/>
    <cellStyle name="Normal 2 3 13 3 6" xfId="25558" xr:uid="{00000000-0005-0000-0000-0000B8630000}"/>
    <cellStyle name="Normal 2 3 13 3 7" xfId="25559" xr:uid="{00000000-0005-0000-0000-0000B9630000}"/>
    <cellStyle name="Normal 2 3 13 3 8" xfId="25560" xr:uid="{00000000-0005-0000-0000-0000BA630000}"/>
    <cellStyle name="Normal 2 3 13 3 9" xfId="25561" xr:uid="{00000000-0005-0000-0000-0000BB630000}"/>
    <cellStyle name="Normal 2 3 13 4" xfId="25562" xr:uid="{00000000-0005-0000-0000-0000BC630000}"/>
    <cellStyle name="Normal 2 3 13 4 10" xfId="25563" xr:uid="{00000000-0005-0000-0000-0000BD630000}"/>
    <cellStyle name="Normal 2 3 13 4 2" xfId="25564" xr:uid="{00000000-0005-0000-0000-0000BE630000}"/>
    <cellStyle name="Normal 2 3 13 4 3" xfId="25565" xr:uid="{00000000-0005-0000-0000-0000BF630000}"/>
    <cellStyle name="Normal 2 3 13 4 4" xfId="25566" xr:uid="{00000000-0005-0000-0000-0000C0630000}"/>
    <cellStyle name="Normal 2 3 13 4 5" xfId="25567" xr:uid="{00000000-0005-0000-0000-0000C1630000}"/>
    <cellStyle name="Normal 2 3 13 4 6" xfId="25568" xr:uid="{00000000-0005-0000-0000-0000C2630000}"/>
    <cellStyle name="Normal 2 3 13 4 7" xfId="25569" xr:uid="{00000000-0005-0000-0000-0000C3630000}"/>
    <cellStyle name="Normal 2 3 13 4 8" xfId="25570" xr:uid="{00000000-0005-0000-0000-0000C4630000}"/>
    <cellStyle name="Normal 2 3 13 4 9" xfId="25571" xr:uid="{00000000-0005-0000-0000-0000C5630000}"/>
    <cellStyle name="Normal 2 3 13 5" xfId="25572" xr:uid="{00000000-0005-0000-0000-0000C6630000}"/>
    <cellStyle name="Normal 2 3 13 5 10" xfId="25573" xr:uid="{00000000-0005-0000-0000-0000C7630000}"/>
    <cellStyle name="Normal 2 3 13 5 2" xfId="25574" xr:uid="{00000000-0005-0000-0000-0000C8630000}"/>
    <cellStyle name="Normal 2 3 13 5 3" xfId="25575" xr:uid="{00000000-0005-0000-0000-0000C9630000}"/>
    <cellStyle name="Normal 2 3 13 5 4" xfId="25576" xr:uid="{00000000-0005-0000-0000-0000CA630000}"/>
    <cellStyle name="Normal 2 3 13 5 5" xfId="25577" xr:uid="{00000000-0005-0000-0000-0000CB630000}"/>
    <cellStyle name="Normal 2 3 13 5 6" xfId="25578" xr:uid="{00000000-0005-0000-0000-0000CC630000}"/>
    <cellStyle name="Normal 2 3 13 5 7" xfId="25579" xr:uid="{00000000-0005-0000-0000-0000CD630000}"/>
    <cellStyle name="Normal 2 3 13 5 8" xfId="25580" xr:uid="{00000000-0005-0000-0000-0000CE630000}"/>
    <cellStyle name="Normal 2 3 13 5 9" xfId="25581" xr:uid="{00000000-0005-0000-0000-0000CF630000}"/>
    <cellStyle name="Normal 2 3 13 6" xfId="25582" xr:uid="{00000000-0005-0000-0000-0000D0630000}"/>
    <cellStyle name="Normal 2 3 13 7" xfId="25583" xr:uid="{00000000-0005-0000-0000-0000D1630000}"/>
    <cellStyle name="Normal 2 3 13 8" xfId="25584" xr:uid="{00000000-0005-0000-0000-0000D2630000}"/>
    <cellStyle name="Normal 2 3 13 9" xfId="25585" xr:uid="{00000000-0005-0000-0000-0000D3630000}"/>
    <cellStyle name="Normal 2 3 14" xfId="25586" xr:uid="{00000000-0005-0000-0000-0000D4630000}"/>
    <cellStyle name="Normal 2 3 14 10" xfId="25587" xr:uid="{00000000-0005-0000-0000-0000D5630000}"/>
    <cellStyle name="Normal 2 3 14 11" xfId="25588" xr:uid="{00000000-0005-0000-0000-0000D6630000}"/>
    <cellStyle name="Normal 2 3 14 12" xfId="25589" xr:uid="{00000000-0005-0000-0000-0000D7630000}"/>
    <cellStyle name="Normal 2 3 14 13" xfId="25590" xr:uid="{00000000-0005-0000-0000-0000D8630000}"/>
    <cellStyle name="Normal 2 3 14 14" xfId="25591" xr:uid="{00000000-0005-0000-0000-0000D9630000}"/>
    <cellStyle name="Normal 2 3 14 2" xfId="25592" xr:uid="{00000000-0005-0000-0000-0000DA630000}"/>
    <cellStyle name="Normal 2 3 14 2 10" xfId="25593" xr:uid="{00000000-0005-0000-0000-0000DB630000}"/>
    <cellStyle name="Normal 2 3 14 2 2" xfId="25594" xr:uid="{00000000-0005-0000-0000-0000DC630000}"/>
    <cellStyle name="Normal 2 3 14 2 3" xfId="25595" xr:uid="{00000000-0005-0000-0000-0000DD630000}"/>
    <cellStyle name="Normal 2 3 14 2 4" xfId="25596" xr:uid="{00000000-0005-0000-0000-0000DE630000}"/>
    <cellStyle name="Normal 2 3 14 2 5" xfId="25597" xr:uid="{00000000-0005-0000-0000-0000DF630000}"/>
    <cellStyle name="Normal 2 3 14 2 6" xfId="25598" xr:uid="{00000000-0005-0000-0000-0000E0630000}"/>
    <cellStyle name="Normal 2 3 14 2 7" xfId="25599" xr:uid="{00000000-0005-0000-0000-0000E1630000}"/>
    <cellStyle name="Normal 2 3 14 2 8" xfId="25600" xr:uid="{00000000-0005-0000-0000-0000E2630000}"/>
    <cellStyle name="Normal 2 3 14 2 9" xfId="25601" xr:uid="{00000000-0005-0000-0000-0000E3630000}"/>
    <cellStyle name="Normal 2 3 14 3" xfId="25602" xr:uid="{00000000-0005-0000-0000-0000E4630000}"/>
    <cellStyle name="Normal 2 3 14 3 10" xfId="25603" xr:uid="{00000000-0005-0000-0000-0000E5630000}"/>
    <cellStyle name="Normal 2 3 14 3 2" xfId="25604" xr:uid="{00000000-0005-0000-0000-0000E6630000}"/>
    <cellStyle name="Normal 2 3 14 3 3" xfId="25605" xr:uid="{00000000-0005-0000-0000-0000E7630000}"/>
    <cellStyle name="Normal 2 3 14 3 4" xfId="25606" xr:uid="{00000000-0005-0000-0000-0000E8630000}"/>
    <cellStyle name="Normal 2 3 14 3 5" xfId="25607" xr:uid="{00000000-0005-0000-0000-0000E9630000}"/>
    <cellStyle name="Normal 2 3 14 3 6" xfId="25608" xr:uid="{00000000-0005-0000-0000-0000EA630000}"/>
    <cellStyle name="Normal 2 3 14 3 7" xfId="25609" xr:uid="{00000000-0005-0000-0000-0000EB630000}"/>
    <cellStyle name="Normal 2 3 14 3 8" xfId="25610" xr:uid="{00000000-0005-0000-0000-0000EC630000}"/>
    <cellStyle name="Normal 2 3 14 3 9" xfId="25611" xr:uid="{00000000-0005-0000-0000-0000ED630000}"/>
    <cellStyle name="Normal 2 3 14 4" xfId="25612" xr:uid="{00000000-0005-0000-0000-0000EE630000}"/>
    <cellStyle name="Normal 2 3 14 4 10" xfId="25613" xr:uid="{00000000-0005-0000-0000-0000EF630000}"/>
    <cellStyle name="Normal 2 3 14 4 2" xfId="25614" xr:uid="{00000000-0005-0000-0000-0000F0630000}"/>
    <cellStyle name="Normal 2 3 14 4 3" xfId="25615" xr:uid="{00000000-0005-0000-0000-0000F1630000}"/>
    <cellStyle name="Normal 2 3 14 4 4" xfId="25616" xr:uid="{00000000-0005-0000-0000-0000F2630000}"/>
    <cellStyle name="Normal 2 3 14 4 5" xfId="25617" xr:uid="{00000000-0005-0000-0000-0000F3630000}"/>
    <cellStyle name="Normal 2 3 14 4 6" xfId="25618" xr:uid="{00000000-0005-0000-0000-0000F4630000}"/>
    <cellStyle name="Normal 2 3 14 4 7" xfId="25619" xr:uid="{00000000-0005-0000-0000-0000F5630000}"/>
    <cellStyle name="Normal 2 3 14 4 8" xfId="25620" xr:uid="{00000000-0005-0000-0000-0000F6630000}"/>
    <cellStyle name="Normal 2 3 14 4 9" xfId="25621" xr:uid="{00000000-0005-0000-0000-0000F7630000}"/>
    <cellStyle name="Normal 2 3 14 5" xfId="25622" xr:uid="{00000000-0005-0000-0000-0000F8630000}"/>
    <cellStyle name="Normal 2 3 14 5 10" xfId="25623" xr:uid="{00000000-0005-0000-0000-0000F9630000}"/>
    <cellStyle name="Normal 2 3 14 5 2" xfId="25624" xr:uid="{00000000-0005-0000-0000-0000FA630000}"/>
    <cellStyle name="Normal 2 3 14 5 3" xfId="25625" xr:uid="{00000000-0005-0000-0000-0000FB630000}"/>
    <cellStyle name="Normal 2 3 14 5 4" xfId="25626" xr:uid="{00000000-0005-0000-0000-0000FC630000}"/>
    <cellStyle name="Normal 2 3 14 5 5" xfId="25627" xr:uid="{00000000-0005-0000-0000-0000FD630000}"/>
    <cellStyle name="Normal 2 3 14 5 6" xfId="25628" xr:uid="{00000000-0005-0000-0000-0000FE630000}"/>
    <cellStyle name="Normal 2 3 14 5 7" xfId="25629" xr:uid="{00000000-0005-0000-0000-0000FF630000}"/>
    <cellStyle name="Normal 2 3 14 5 8" xfId="25630" xr:uid="{00000000-0005-0000-0000-000000640000}"/>
    <cellStyle name="Normal 2 3 14 5 9" xfId="25631" xr:uid="{00000000-0005-0000-0000-000001640000}"/>
    <cellStyle name="Normal 2 3 14 6" xfId="25632" xr:uid="{00000000-0005-0000-0000-000002640000}"/>
    <cellStyle name="Normal 2 3 14 7" xfId="25633" xr:uid="{00000000-0005-0000-0000-000003640000}"/>
    <cellStyle name="Normal 2 3 14 8" xfId="25634" xr:uid="{00000000-0005-0000-0000-000004640000}"/>
    <cellStyle name="Normal 2 3 14 9" xfId="25635" xr:uid="{00000000-0005-0000-0000-000005640000}"/>
    <cellStyle name="Normal 2 3 15" xfId="25636" xr:uid="{00000000-0005-0000-0000-000006640000}"/>
    <cellStyle name="Normal 2 3 15 10" xfId="25637" xr:uid="{00000000-0005-0000-0000-000007640000}"/>
    <cellStyle name="Normal 2 3 15 11" xfId="25638" xr:uid="{00000000-0005-0000-0000-000008640000}"/>
    <cellStyle name="Normal 2 3 15 12" xfId="25639" xr:uid="{00000000-0005-0000-0000-000009640000}"/>
    <cellStyle name="Normal 2 3 15 13" xfId="25640" xr:uid="{00000000-0005-0000-0000-00000A640000}"/>
    <cellStyle name="Normal 2 3 15 14" xfId="25641" xr:uid="{00000000-0005-0000-0000-00000B640000}"/>
    <cellStyle name="Normal 2 3 15 2" xfId="25642" xr:uid="{00000000-0005-0000-0000-00000C640000}"/>
    <cellStyle name="Normal 2 3 15 2 10" xfId="25643" xr:uid="{00000000-0005-0000-0000-00000D640000}"/>
    <cellStyle name="Normal 2 3 15 2 2" xfId="25644" xr:uid="{00000000-0005-0000-0000-00000E640000}"/>
    <cellStyle name="Normal 2 3 15 2 3" xfId="25645" xr:uid="{00000000-0005-0000-0000-00000F640000}"/>
    <cellStyle name="Normal 2 3 15 2 4" xfId="25646" xr:uid="{00000000-0005-0000-0000-000010640000}"/>
    <cellStyle name="Normal 2 3 15 2 5" xfId="25647" xr:uid="{00000000-0005-0000-0000-000011640000}"/>
    <cellStyle name="Normal 2 3 15 2 6" xfId="25648" xr:uid="{00000000-0005-0000-0000-000012640000}"/>
    <cellStyle name="Normal 2 3 15 2 7" xfId="25649" xr:uid="{00000000-0005-0000-0000-000013640000}"/>
    <cellStyle name="Normal 2 3 15 2 8" xfId="25650" xr:uid="{00000000-0005-0000-0000-000014640000}"/>
    <cellStyle name="Normal 2 3 15 2 9" xfId="25651" xr:uid="{00000000-0005-0000-0000-000015640000}"/>
    <cellStyle name="Normal 2 3 15 3" xfId="25652" xr:uid="{00000000-0005-0000-0000-000016640000}"/>
    <cellStyle name="Normal 2 3 15 3 10" xfId="25653" xr:uid="{00000000-0005-0000-0000-000017640000}"/>
    <cellStyle name="Normal 2 3 15 3 2" xfId="25654" xr:uid="{00000000-0005-0000-0000-000018640000}"/>
    <cellStyle name="Normal 2 3 15 3 3" xfId="25655" xr:uid="{00000000-0005-0000-0000-000019640000}"/>
    <cellStyle name="Normal 2 3 15 3 4" xfId="25656" xr:uid="{00000000-0005-0000-0000-00001A640000}"/>
    <cellStyle name="Normal 2 3 15 3 5" xfId="25657" xr:uid="{00000000-0005-0000-0000-00001B640000}"/>
    <cellStyle name="Normal 2 3 15 3 6" xfId="25658" xr:uid="{00000000-0005-0000-0000-00001C640000}"/>
    <cellStyle name="Normal 2 3 15 3 7" xfId="25659" xr:uid="{00000000-0005-0000-0000-00001D640000}"/>
    <cellStyle name="Normal 2 3 15 3 8" xfId="25660" xr:uid="{00000000-0005-0000-0000-00001E640000}"/>
    <cellStyle name="Normal 2 3 15 3 9" xfId="25661" xr:uid="{00000000-0005-0000-0000-00001F640000}"/>
    <cellStyle name="Normal 2 3 15 4" xfId="25662" xr:uid="{00000000-0005-0000-0000-000020640000}"/>
    <cellStyle name="Normal 2 3 15 4 10" xfId="25663" xr:uid="{00000000-0005-0000-0000-000021640000}"/>
    <cellStyle name="Normal 2 3 15 4 2" xfId="25664" xr:uid="{00000000-0005-0000-0000-000022640000}"/>
    <cellStyle name="Normal 2 3 15 4 3" xfId="25665" xr:uid="{00000000-0005-0000-0000-000023640000}"/>
    <cellStyle name="Normal 2 3 15 4 4" xfId="25666" xr:uid="{00000000-0005-0000-0000-000024640000}"/>
    <cellStyle name="Normal 2 3 15 4 5" xfId="25667" xr:uid="{00000000-0005-0000-0000-000025640000}"/>
    <cellStyle name="Normal 2 3 15 4 6" xfId="25668" xr:uid="{00000000-0005-0000-0000-000026640000}"/>
    <cellStyle name="Normal 2 3 15 4 7" xfId="25669" xr:uid="{00000000-0005-0000-0000-000027640000}"/>
    <cellStyle name="Normal 2 3 15 4 8" xfId="25670" xr:uid="{00000000-0005-0000-0000-000028640000}"/>
    <cellStyle name="Normal 2 3 15 4 9" xfId="25671" xr:uid="{00000000-0005-0000-0000-000029640000}"/>
    <cellStyle name="Normal 2 3 15 5" xfId="25672" xr:uid="{00000000-0005-0000-0000-00002A640000}"/>
    <cellStyle name="Normal 2 3 15 5 10" xfId="25673" xr:uid="{00000000-0005-0000-0000-00002B640000}"/>
    <cellStyle name="Normal 2 3 15 5 2" xfId="25674" xr:uid="{00000000-0005-0000-0000-00002C640000}"/>
    <cellStyle name="Normal 2 3 15 5 3" xfId="25675" xr:uid="{00000000-0005-0000-0000-00002D640000}"/>
    <cellStyle name="Normal 2 3 15 5 4" xfId="25676" xr:uid="{00000000-0005-0000-0000-00002E640000}"/>
    <cellStyle name="Normal 2 3 15 5 5" xfId="25677" xr:uid="{00000000-0005-0000-0000-00002F640000}"/>
    <cellStyle name="Normal 2 3 15 5 6" xfId="25678" xr:uid="{00000000-0005-0000-0000-000030640000}"/>
    <cellStyle name="Normal 2 3 15 5 7" xfId="25679" xr:uid="{00000000-0005-0000-0000-000031640000}"/>
    <cellStyle name="Normal 2 3 15 5 8" xfId="25680" xr:uid="{00000000-0005-0000-0000-000032640000}"/>
    <cellStyle name="Normal 2 3 15 5 9" xfId="25681" xr:uid="{00000000-0005-0000-0000-000033640000}"/>
    <cellStyle name="Normal 2 3 15 6" xfId="25682" xr:uid="{00000000-0005-0000-0000-000034640000}"/>
    <cellStyle name="Normal 2 3 15 7" xfId="25683" xr:uid="{00000000-0005-0000-0000-000035640000}"/>
    <cellStyle name="Normal 2 3 15 8" xfId="25684" xr:uid="{00000000-0005-0000-0000-000036640000}"/>
    <cellStyle name="Normal 2 3 15 9" xfId="25685" xr:uid="{00000000-0005-0000-0000-000037640000}"/>
    <cellStyle name="Normal 2 3 16" xfId="25686" xr:uid="{00000000-0005-0000-0000-000038640000}"/>
    <cellStyle name="Normal 2 3 16 10" xfId="25687" xr:uid="{00000000-0005-0000-0000-000039640000}"/>
    <cellStyle name="Normal 2 3 16 11" xfId="25688" xr:uid="{00000000-0005-0000-0000-00003A640000}"/>
    <cellStyle name="Normal 2 3 16 12" xfId="25689" xr:uid="{00000000-0005-0000-0000-00003B640000}"/>
    <cellStyle name="Normal 2 3 16 13" xfId="25690" xr:uid="{00000000-0005-0000-0000-00003C640000}"/>
    <cellStyle name="Normal 2 3 16 14" xfId="25691" xr:uid="{00000000-0005-0000-0000-00003D640000}"/>
    <cellStyle name="Normal 2 3 16 2" xfId="25692" xr:uid="{00000000-0005-0000-0000-00003E640000}"/>
    <cellStyle name="Normal 2 3 16 2 10" xfId="25693" xr:uid="{00000000-0005-0000-0000-00003F640000}"/>
    <cellStyle name="Normal 2 3 16 2 2" xfId="25694" xr:uid="{00000000-0005-0000-0000-000040640000}"/>
    <cellStyle name="Normal 2 3 16 2 3" xfId="25695" xr:uid="{00000000-0005-0000-0000-000041640000}"/>
    <cellStyle name="Normal 2 3 16 2 4" xfId="25696" xr:uid="{00000000-0005-0000-0000-000042640000}"/>
    <cellStyle name="Normal 2 3 16 2 5" xfId="25697" xr:uid="{00000000-0005-0000-0000-000043640000}"/>
    <cellStyle name="Normal 2 3 16 2 6" xfId="25698" xr:uid="{00000000-0005-0000-0000-000044640000}"/>
    <cellStyle name="Normal 2 3 16 2 7" xfId="25699" xr:uid="{00000000-0005-0000-0000-000045640000}"/>
    <cellStyle name="Normal 2 3 16 2 8" xfId="25700" xr:uid="{00000000-0005-0000-0000-000046640000}"/>
    <cellStyle name="Normal 2 3 16 2 9" xfId="25701" xr:uid="{00000000-0005-0000-0000-000047640000}"/>
    <cellStyle name="Normal 2 3 16 3" xfId="25702" xr:uid="{00000000-0005-0000-0000-000048640000}"/>
    <cellStyle name="Normal 2 3 16 3 10" xfId="25703" xr:uid="{00000000-0005-0000-0000-000049640000}"/>
    <cellStyle name="Normal 2 3 16 3 2" xfId="25704" xr:uid="{00000000-0005-0000-0000-00004A640000}"/>
    <cellStyle name="Normal 2 3 16 3 3" xfId="25705" xr:uid="{00000000-0005-0000-0000-00004B640000}"/>
    <cellStyle name="Normal 2 3 16 3 4" xfId="25706" xr:uid="{00000000-0005-0000-0000-00004C640000}"/>
    <cellStyle name="Normal 2 3 16 3 5" xfId="25707" xr:uid="{00000000-0005-0000-0000-00004D640000}"/>
    <cellStyle name="Normal 2 3 16 3 6" xfId="25708" xr:uid="{00000000-0005-0000-0000-00004E640000}"/>
    <cellStyle name="Normal 2 3 16 3 7" xfId="25709" xr:uid="{00000000-0005-0000-0000-00004F640000}"/>
    <cellStyle name="Normal 2 3 16 3 8" xfId="25710" xr:uid="{00000000-0005-0000-0000-000050640000}"/>
    <cellStyle name="Normal 2 3 16 3 9" xfId="25711" xr:uid="{00000000-0005-0000-0000-000051640000}"/>
    <cellStyle name="Normal 2 3 16 4" xfId="25712" xr:uid="{00000000-0005-0000-0000-000052640000}"/>
    <cellStyle name="Normal 2 3 16 4 10" xfId="25713" xr:uid="{00000000-0005-0000-0000-000053640000}"/>
    <cellStyle name="Normal 2 3 16 4 2" xfId="25714" xr:uid="{00000000-0005-0000-0000-000054640000}"/>
    <cellStyle name="Normal 2 3 16 4 3" xfId="25715" xr:uid="{00000000-0005-0000-0000-000055640000}"/>
    <cellStyle name="Normal 2 3 16 4 4" xfId="25716" xr:uid="{00000000-0005-0000-0000-000056640000}"/>
    <cellStyle name="Normal 2 3 16 4 5" xfId="25717" xr:uid="{00000000-0005-0000-0000-000057640000}"/>
    <cellStyle name="Normal 2 3 16 4 6" xfId="25718" xr:uid="{00000000-0005-0000-0000-000058640000}"/>
    <cellStyle name="Normal 2 3 16 4 7" xfId="25719" xr:uid="{00000000-0005-0000-0000-000059640000}"/>
    <cellStyle name="Normal 2 3 16 4 8" xfId="25720" xr:uid="{00000000-0005-0000-0000-00005A640000}"/>
    <cellStyle name="Normal 2 3 16 4 9" xfId="25721" xr:uid="{00000000-0005-0000-0000-00005B640000}"/>
    <cellStyle name="Normal 2 3 16 5" xfId="25722" xr:uid="{00000000-0005-0000-0000-00005C640000}"/>
    <cellStyle name="Normal 2 3 16 5 10" xfId="25723" xr:uid="{00000000-0005-0000-0000-00005D640000}"/>
    <cellStyle name="Normal 2 3 16 5 2" xfId="25724" xr:uid="{00000000-0005-0000-0000-00005E640000}"/>
    <cellStyle name="Normal 2 3 16 5 3" xfId="25725" xr:uid="{00000000-0005-0000-0000-00005F640000}"/>
    <cellStyle name="Normal 2 3 16 5 4" xfId="25726" xr:uid="{00000000-0005-0000-0000-000060640000}"/>
    <cellStyle name="Normal 2 3 16 5 5" xfId="25727" xr:uid="{00000000-0005-0000-0000-000061640000}"/>
    <cellStyle name="Normal 2 3 16 5 6" xfId="25728" xr:uid="{00000000-0005-0000-0000-000062640000}"/>
    <cellStyle name="Normal 2 3 16 5 7" xfId="25729" xr:uid="{00000000-0005-0000-0000-000063640000}"/>
    <cellStyle name="Normal 2 3 16 5 8" xfId="25730" xr:uid="{00000000-0005-0000-0000-000064640000}"/>
    <cellStyle name="Normal 2 3 16 5 9" xfId="25731" xr:uid="{00000000-0005-0000-0000-000065640000}"/>
    <cellStyle name="Normal 2 3 16 6" xfId="25732" xr:uid="{00000000-0005-0000-0000-000066640000}"/>
    <cellStyle name="Normal 2 3 16 7" xfId="25733" xr:uid="{00000000-0005-0000-0000-000067640000}"/>
    <cellStyle name="Normal 2 3 16 8" xfId="25734" xr:uid="{00000000-0005-0000-0000-000068640000}"/>
    <cellStyle name="Normal 2 3 16 9" xfId="25735" xr:uid="{00000000-0005-0000-0000-000069640000}"/>
    <cellStyle name="Normal 2 3 17" xfId="25736" xr:uid="{00000000-0005-0000-0000-00006A640000}"/>
    <cellStyle name="Normal 2 3 17 10" xfId="25737" xr:uid="{00000000-0005-0000-0000-00006B640000}"/>
    <cellStyle name="Normal 2 3 17 11" xfId="25738" xr:uid="{00000000-0005-0000-0000-00006C640000}"/>
    <cellStyle name="Normal 2 3 17 12" xfId="25739" xr:uid="{00000000-0005-0000-0000-00006D640000}"/>
    <cellStyle name="Normal 2 3 17 13" xfId="25740" xr:uid="{00000000-0005-0000-0000-00006E640000}"/>
    <cellStyle name="Normal 2 3 17 14" xfId="25741" xr:uid="{00000000-0005-0000-0000-00006F640000}"/>
    <cellStyle name="Normal 2 3 17 2" xfId="25742" xr:uid="{00000000-0005-0000-0000-000070640000}"/>
    <cellStyle name="Normal 2 3 17 2 10" xfId="25743" xr:uid="{00000000-0005-0000-0000-000071640000}"/>
    <cellStyle name="Normal 2 3 17 2 2" xfId="25744" xr:uid="{00000000-0005-0000-0000-000072640000}"/>
    <cellStyle name="Normal 2 3 17 2 3" xfId="25745" xr:uid="{00000000-0005-0000-0000-000073640000}"/>
    <cellStyle name="Normal 2 3 17 2 4" xfId="25746" xr:uid="{00000000-0005-0000-0000-000074640000}"/>
    <cellStyle name="Normal 2 3 17 2 5" xfId="25747" xr:uid="{00000000-0005-0000-0000-000075640000}"/>
    <cellStyle name="Normal 2 3 17 2 6" xfId="25748" xr:uid="{00000000-0005-0000-0000-000076640000}"/>
    <cellStyle name="Normal 2 3 17 2 7" xfId="25749" xr:uid="{00000000-0005-0000-0000-000077640000}"/>
    <cellStyle name="Normal 2 3 17 2 8" xfId="25750" xr:uid="{00000000-0005-0000-0000-000078640000}"/>
    <cellStyle name="Normal 2 3 17 2 9" xfId="25751" xr:uid="{00000000-0005-0000-0000-000079640000}"/>
    <cellStyle name="Normal 2 3 17 3" xfId="25752" xr:uid="{00000000-0005-0000-0000-00007A640000}"/>
    <cellStyle name="Normal 2 3 17 3 10" xfId="25753" xr:uid="{00000000-0005-0000-0000-00007B640000}"/>
    <cellStyle name="Normal 2 3 17 3 2" xfId="25754" xr:uid="{00000000-0005-0000-0000-00007C640000}"/>
    <cellStyle name="Normal 2 3 17 3 3" xfId="25755" xr:uid="{00000000-0005-0000-0000-00007D640000}"/>
    <cellStyle name="Normal 2 3 17 3 4" xfId="25756" xr:uid="{00000000-0005-0000-0000-00007E640000}"/>
    <cellStyle name="Normal 2 3 17 3 5" xfId="25757" xr:uid="{00000000-0005-0000-0000-00007F640000}"/>
    <cellStyle name="Normal 2 3 17 3 6" xfId="25758" xr:uid="{00000000-0005-0000-0000-000080640000}"/>
    <cellStyle name="Normal 2 3 17 3 7" xfId="25759" xr:uid="{00000000-0005-0000-0000-000081640000}"/>
    <cellStyle name="Normal 2 3 17 3 8" xfId="25760" xr:uid="{00000000-0005-0000-0000-000082640000}"/>
    <cellStyle name="Normal 2 3 17 3 9" xfId="25761" xr:uid="{00000000-0005-0000-0000-000083640000}"/>
    <cellStyle name="Normal 2 3 17 4" xfId="25762" xr:uid="{00000000-0005-0000-0000-000084640000}"/>
    <cellStyle name="Normal 2 3 17 4 10" xfId="25763" xr:uid="{00000000-0005-0000-0000-000085640000}"/>
    <cellStyle name="Normal 2 3 17 4 2" xfId="25764" xr:uid="{00000000-0005-0000-0000-000086640000}"/>
    <cellStyle name="Normal 2 3 17 4 3" xfId="25765" xr:uid="{00000000-0005-0000-0000-000087640000}"/>
    <cellStyle name="Normal 2 3 17 4 4" xfId="25766" xr:uid="{00000000-0005-0000-0000-000088640000}"/>
    <cellStyle name="Normal 2 3 17 4 5" xfId="25767" xr:uid="{00000000-0005-0000-0000-000089640000}"/>
    <cellStyle name="Normal 2 3 17 4 6" xfId="25768" xr:uid="{00000000-0005-0000-0000-00008A640000}"/>
    <cellStyle name="Normal 2 3 17 4 7" xfId="25769" xr:uid="{00000000-0005-0000-0000-00008B640000}"/>
    <cellStyle name="Normal 2 3 17 4 8" xfId="25770" xr:uid="{00000000-0005-0000-0000-00008C640000}"/>
    <cellStyle name="Normal 2 3 17 4 9" xfId="25771" xr:uid="{00000000-0005-0000-0000-00008D640000}"/>
    <cellStyle name="Normal 2 3 17 5" xfId="25772" xr:uid="{00000000-0005-0000-0000-00008E640000}"/>
    <cellStyle name="Normal 2 3 17 5 10" xfId="25773" xr:uid="{00000000-0005-0000-0000-00008F640000}"/>
    <cellStyle name="Normal 2 3 17 5 2" xfId="25774" xr:uid="{00000000-0005-0000-0000-000090640000}"/>
    <cellStyle name="Normal 2 3 17 5 3" xfId="25775" xr:uid="{00000000-0005-0000-0000-000091640000}"/>
    <cellStyle name="Normal 2 3 17 5 4" xfId="25776" xr:uid="{00000000-0005-0000-0000-000092640000}"/>
    <cellStyle name="Normal 2 3 17 5 5" xfId="25777" xr:uid="{00000000-0005-0000-0000-000093640000}"/>
    <cellStyle name="Normal 2 3 17 5 6" xfId="25778" xr:uid="{00000000-0005-0000-0000-000094640000}"/>
    <cellStyle name="Normal 2 3 17 5 7" xfId="25779" xr:uid="{00000000-0005-0000-0000-000095640000}"/>
    <cellStyle name="Normal 2 3 17 5 8" xfId="25780" xr:uid="{00000000-0005-0000-0000-000096640000}"/>
    <cellStyle name="Normal 2 3 17 5 9" xfId="25781" xr:uid="{00000000-0005-0000-0000-000097640000}"/>
    <cellStyle name="Normal 2 3 17 6" xfId="25782" xr:uid="{00000000-0005-0000-0000-000098640000}"/>
    <cellStyle name="Normal 2 3 17 7" xfId="25783" xr:uid="{00000000-0005-0000-0000-000099640000}"/>
    <cellStyle name="Normal 2 3 17 8" xfId="25784" xr:uid="{00000000-0005-0000-0000-00009A640000}"/>
    <cellStyle name="Normal 2 3 17 9" xfId="25785" xr:uid="{00000000-0005-0000-0000-00009B640000}"/>
    <cellStyle name="Normal 2 3 18" xfId="25786" xr:uid="{00000000-0005-0000-0000-00009C640000}"/>
    <cellStyle name="Normal 2 3 18 10" xfId="25787" xr:uid="{00000000-0005-0000-0000-00009D640000}"/>
    <cellStyle name="Normal 2 3 18 11" xfId="25788" xr:uid="{00000000-0005-0000-0000-00009E640000}"/>
    <cellStyle name="Normal 2 3 18 12" xfId="25789" xr:uid="{00000000-0005-0000-0000-00009F640000}"/>
    <cellStyle name="Normal 2 3 18 13" xfId="25790" xr:uid="{00000000-0005-0000-0000-0000A0640000}"/>
    <cellStyle name="Normal 2 3 18 14" xfId="25791" xr:uid="{00000000-0005-0000-0000-0000A1640000}"/>
    <cellStyle name="Normal 2 3 18 2" xfId="25792" xr:uid="{00000000-0005-0000-0000-0000A2640000}"/>
    <cellStyle name="Normal 2 3 18 2 10" xfId="25793" xr:uid="{00000000-0005-0000-0000-0000A3640000}"/>
    <cellStyle name="Normal 2 3 18 2 2" xfId="25794" xr:uid="{00000000-0005-0000-0000-0000A4640000}"/>
    <cellStyle name="Normal 2 3 18 2 3" xfId="25795" xr:uid="{00000000-0005-0000-0000-0000A5640000}"/>
    <cellStyle name="Normal 2 3 18 2 4" xfId="25796" xr:uid="{00000000-0005-0000-0000-0000A6640000}"/>
    <cellStyle name="Normal 2 3 18 2 5" xfId="25797" xr:uid="{00000000-0005-0000-0000-0000A7640000}"/>
    <cellStyle name="Normal 2 3 18 2 6" xfId="25798" xr:uid="{00000000-0005-0000-0000-0000A8640000}"/>
    <cellStyle name="Normal 2 3 18 2 7" xfId="25799" xr:uid="{00000000-0005-0000-0000-0000A9640000}"/>
    <cellStyle name="Normal 2 3 18 2 8" xfId="25800" xr:uid="{00000000-0005-0000-0000-0000AA640000}"/>
    <cellStyle name="Normal 2 3 18 2 9" xfId="25801" xr:uid="{00000000-0005-0000-0000-0000AB640000}"/>
    <cellStyle name="Normal 2 3 18 3" xfId="25802" xr:uid="{00000000-0005-0000-0000-0000AC640000}"/>
    <cellStyle name="Normal 2 3 18 3 10" xfId="25803" xr:uid="{00000000-0005-0000-0000-0000AD640000}"/>
    <cellStyle name="Normal 2 3 18 3 2" xfId="25804" xr:uid="{00000000-0005-0000-0000-0000AE640000}"/>
    <cellStyle name="Normal 2 3 18 3 3" xfId="25805" xr:uid="{00000000-0005-0000-0000-0000AF640000}"/>
    <cellStyle name="Normal 2 3 18 3 4" xfId="25806" xr:uid="{00000000-0005-0000-0000-0000B0640000}"/>
    <cellStyle name="Normal 2 3 18 3 5" xfId="25807" xr:uid="{00000000-0005-0000-0000-0000B1640000}"/>
    <cellStyle name="Normal 2 3 18 3 6" xfId="25808" xr:uid="{00000000-0005-0000-0000-0000B2640000}"/>
    <cellStyle name="Normal 2 3 18 3 7" xfId="25809" xr:uid="{00000000-0005-0000-0000-0000B3640000}"/>
    <cellStyle name="Normal 2 3 18 3 8" xfId="25810" xr:uid="{00000000-0005-0000-0000-0000B4640000}"/>
    <cellStyle name="Normal 2 3 18 3 9" xfId="25811" xr:uid="{00000000-0005-0000-0000-0000B5640000}"/>
    <cellStyle name="Normal 2 3 18 4" xfId="25812" xr:uid="{00000000-0005-0000-0000-0000B6640000}"/>
    <cellStyle name="Normal 2 3 18 4 10" xfId="25813" xr:uid="{00000000-0005-0000-0000-0000B7640000}"/>
    <cellStyle name="Normal 2 3 18 4 2" xfId="25814" xr:uid="{00000000-0005-0000-0000-0000B8640000}"/>
    <cellStyle name="Normal 2 3 18 4 3" xfId="25815" xr:uid="{00000000-0005-0000-0000-0000B9640000}"/>
    <cellStyle name="Normal 2 3 18 4 4" xfId="25816" xr:uid="{00000000-0005-0000-0000-0000BA640000}"/>
    <cellStyle name="Normal 2 3 18 4 5" xfId="25817" xr:uid="{00000000-0005-0000-0000-0000BB640000}"/>
    <cellStyle name="Normal 2 3 18 4 6" xfId="25818" xr:uid="{00000000-0005-0000-0000-0000BC640000}"/>
    <cellStyle name="Normal 2 3 18 4 7" xfId="25819" xr:uid="{00000000-0005-0000-0000-0000BD640000}"/>
    <cellStyle name="Normal 2 3 18 4 8" xfId="25820" xr:uid="{00000000-0005-0000-0000-0000BE640000}"/>
    <cellStyle name="Normal 2 3 18 4 9" xfId="25821" xr:uid="{00000000-0005-0000-0000-0000BF640000}"/>
    <cellStyle name="Normal 2 3 18 5" xfId="25822" xr:uid="{00000000-0005-0000-0000-0000C0640000}"/>
    <cellStyle name="Normal 2 3 18 5 10" xfId="25823" xr:uid="{00000000-0005-0000-0000-0000C1640000}"/>
    <cellStyle name="Normal 2 3 18 5 2" xfId="25824" xr:uid="{00000000-0005-0000-0000-0000C2640000}"/>
    <cellStyle name="Normal 2 3 18 5 3" xfId="25825" xr:uid="{00000000-0005-0000-0000-0000C3640000}"/>
    <cellStyle name="Normal 2 3 18 5 4" xfId="25826" xr:uid="{00000000-0005-0000-0000-0000C4640000}"/>
    <cellStyle name="Normal 2 3 18 5 5" xfId="25827" xr:uid="{00000000-0005-0000-0000-0000C5640000}"/>
    <cellStyle name="Normal 2 3 18 5 6" xfId="25828" xr:uid="{00000000-0005-0000-0000-0000C6640000}"/>
    <cellStyle name="Normal 2 3 18 5 7" xfId="25829" xr:uid="{00000000-0005-0000-0000-0000C7640000}"/>
    <cellStyle name="Normal 2 3 18 5 8" xfId="25830" xr:uid="{00000000-0005-0000-0000-0000C8640000}"/>
    <cellStyle name="Normal 2 3 18 5 9" xfId="25831" xr:uid="{00000000-0005-0000-0000-0000C9640000}"/>
    <cellStyle name="Normal 2 3 18 6" xfId="25832" xr:uid="{00000000-0005-0000-0000-0000CA640000}"/>
    <cellStyle name="Normal 2 3 18 7" xfId="25833" xr:uid="{00000000-0005-0000-0000-0000CB640000}"/>
    <cellStyle name="Normal 2 3 18 8" xfId="25834" xr:uid="{00000000-0005-0000-0000-0000CC640000}"/>
    <cellStyle name="Normal 2 3 18 9" xfId="25835" xr:uid="{00000000-0005-0000-0000-0000CD640000}"/>
    <cellStyle name="Normal 2 3 19" xfId="25836" xr:uid="{00000000-0005-0000-0000-0000CE640000}"/>
    <cellStyle name="Normal 2 3 19 10" xfId="25837" xr:uid="{00000000-0005-0000-0000-0000CF640000}"/>
    <cellStyle name="Normal 2 3 19 11" xfId="25838" xr:uid="{00000000-0005-0000-0000-0000D0640000}"/>
    <cellStyle name="Normal 2 3 19 12" xfId="25839" xr:uid="{00000000-0005-0000-0000-0000D1640000}"/>
    <cellStyle name="Normal 2 3 19 13" xfId="25840" xr:uid="{00000000-0005-0000-0000-0000D2640000}"/>
    <cellStyle name="Normal 2 3 19 14" xfId="25841" xr:uid="{00000000-0005-0000-0000-0000D3640000}"/>
    <cellStyle name="Normal 2 3 19 2" xfId="25842" xr:uid="{00000000-0005-0000-0000-0000D4640000}"/>
    <cellStyle name="Normal 2 3 19 2 10" xfId="25843" xr:uid="{00000000-0005-0000-0000-0000D5640000}"/>
    <cellStyle name="Normal 2 3 19 2 2" xfId="25844" xr:uid="{00000000-0005-0000-0000-0000D6640000}"/>
    <cellStyle name="Normal 2 3 19 2 3" xfId="25845" xr:uid="{00000000-0005-0000-0000-0000D7640000}"/>
    <cellStyle name="Normal 2 3 19 2 4" xfId="25846" xr:uid="{00000000-0005-0000-0000-0000D8640000}"/>
    <cellStyle name="Normal 2 3 19 2 5" xfId="25847" xr:uid="{00000000-0005-0000-0000-0000D9640000}"/>
    <cellStyle name="Normal 2 3 19 2 6" xfId="25848" xr:uid="{00000000-0005-0000-0000-0000DA640000}"/>
    <cellStyle name="Normal 2 3 19 2 7" xfId="25849" xr:uid="{00000000-0005-0000-0000-0000DB640000}"/>
    <cellStyle name="Normal 2 3 19 2 8" xfId="25850" xr:uid="{00000000-0005-0000-0000-0000DC640000}"/>
    <cellStyle name="Normal 2 3 19 2 9" xfId="25851" xr:uid="{00000000-0005-0000-0000-0000DD640000}"/>
    <cellStyle name="Normal 2 3 19 3" xfId="25852" xr:uid="{00000000-0005-0000-0000-0000DE640000}"/>
    <cellStyle name="Normal 2 3 19 3 10" xfId="25853" xr:uid="{00000000-0005-0000-0000-0000DF640000}"/>
    <cellStyle name="Normal 2 3 19 3 2" xfId="25854" xr:uid="{00000000-0005-0000-0000-0000E0640000}"/>
    <cellStyle name="Normal 2 3 19 3 3" xfId="25855" xr:uid="{00000000-0005-0000-0000-0000E1640000}"/>
    <cellStyle name="Normal 2 3 19 3 4" xfId="25856" xr:uid="{00000000-0005-0000-0000-0000E2640000}"/>
    <cellStyle name="Normal 2 3 19 3 5" xfId="25857" xr:uid="{00000000-0005-0000-0000-0000E3640000}"/>
    <cellStyle name="Normal 2 3 19 3 6" xfId="25858" xr:uid="{00000000-0005-0000-0000-0000E4640000}"/>
    <cellStyle name="Normal 2 3 19 3 7" xfId="25859" xr:uid="{00000000-0005-0000-0000-0000E5640000}"/>
    <cellStyle name="Normal 2 3 19 3 8" xfId="25860" xr:uid="{00000000-0005-0000-0000-0000E6640000}"/>
    <cellStyle name="Normal 2 3 19 3 9" xfId="25861" xr:uid="{00000000-0005-0000-0000-0000E7640000}"/>
    <cellStyle name="Normal 2 3 19 4" xfId="25862" xr:uid="{00000000-0005-0000-0000-0000E8640000}"/>
    <cellStyle name="Normal 2 3 19 4 10" xfId="25863" xr:uid="{00000000-0005-0000-0000-0000E9640000}"/>
    <cellStyle name="Normal 2 3 19 4 2" xfId="25864" xr:uid="{00000000-0005-0000-0000-0000EA640000}"/>
    <cellStyle name="Normal 2 3 19 4 3" xfId="25865" xr:uid="{00000000-0005-0000-0000-0000EB640000}"/>
    <cellStyle name="Normal 2 3 19 4 4" xfId="25866" xr:uid="{00000000-0005-0000-0000-0000EC640000}"/>
    <cellStyle name="Normal 2 3 19 4 5" xfId="25867" xr:uid="{00000000-0005-0000-0000-0000ED640000}"/>
    <cellStyle name="Normal 2 3 19 4 6" xfId="25868" xr:uid="{00000000-0005-0000-0000-0000EE640000}"/>
    <cellStyle name="Normal 2 3 19 4 7" xfId="25869" xr:uid="{00000000-0005-0000-0000-0000EF640000}"/>
    <cellStyle name="Normal 2 3 19 4 8" xfId="25870" xr:uid="{00000000-0005-0000-0000-0000F0640000}"/>
    <cellStyle name="Normal 2 3 19 4 9" xfId="25871" xr:uid="{00000000-0005-0000-0000-0000F1640000}"/>
    <cellStyle name="Normal 2 3 19 5" xfId="25872" xr:uid="{00000000-0005-0000-0000-0000F2640000}"/>
    <cellStyle name="Normal 2 3 19 5 10" xfId="25873" xr:uid="{00000000-0005-0000-0000-0000F3640000}"/>
    <cellStyle name="Normal 2 3 19 5 2" xfId="25874" xr:uid="{00000000-0005-0000-0000-0000F4640000}"/>
    <cellStyle name="Normal 2 3 19 5 3" xfId="25875" xr:uid="{00000000-0005-0000-0000-0000F5640000}"/>
    <cellStyle name="Normal 2 3 19 5 4" xfId="25876" xr:uid="{00000000-0005-0000-0000-0000F6640000}"/>
    <cellStyle name="Normal 2 3 19 5 5" xfId="25877" xr:uid="{00000000-0005-0000-0000-0000F7640000}"/>
    <cellStyle name="Normal 2 3 19 5 6" xfId="25878" xr:uid="{00000000-0005-0000-0000-0000F8640000}"/>
    <cellStyle name="Normal 2 3 19 5 7" xfId="25879" xr:uid="{00000000-0005-0000-0000-0000F9640000}"/>
    <cellStyle name="Normal 2 3 19 5 8" xfId="25880" xr:uid="{00000000-0005-0000-0000-0000FA640000}"/>
    <cellStyle name="Normal 2 3 19 5 9" xfId="25881" xr:uid="{00000000-0005-0000-0000-0000FB640000}"/>
    <cellStyle name="Normal 2 3 19 6" xfId="25882" xr:uid="{00000000-0005-0000-0000-0000FC640000}"/>
    <cellStyle name="Normal 2 3 19 7" xfId="25883" xr:uid="{00000000-0005-0000-0000-0000FD640000}"/>
    <cellStyle name="Normal 2 3 19 8" xfId="25884" xr:uid="{00000000-0005-0000-0000-0000FE640000}"/>
    <cellStyle name="Normal 2 3 19 9" xfId="25885" xr:uid="{00000000-0005-0000-0000-0000FF640000}"/>
    <cellStyle name="Normal 2 3 2" xfId="56" xr:uid="{00000000-0005-0000-0000-000000650000}"/>
    <cellStyle name="Normal 2 3 2 10" xfId="25887" xr:uid="{00000000-0005-0000-0000-000001650000}"/>
    <cellStyle name="Normal 2 3 2 10 10" xfId="25888" xr:uid="{00000000-0005-0000-0000-000002650000}"/>
    <cellStyle name="Normal 2 3 2 10 11" xfId="25889" xr:uid="{00000000-0005-0000-0000-000003650000}"/>
    <cellStyle name="Normal 2 3 2 10 12" xfId="25890" xr:uid="{00000000-0005-0000-0000-000004650000}"/>
    <cellStyle name="Normal 2 3 2 10 13" xfId="25891" xr:uid="{00000000-0005-0000-0000-000005650000}"/>
    <cellStyle name="Normal 2 3 2 10 14" xfId="25892" xr:uid="{00000000-0005-0000-0000-000006650000}"/>
    <cellStyle name="Normal 2 3 2 10 2" xfId="25893" xr:uid="{00000000-0005-0000-0000-000007650000}"/>
    <cellStyle name="Normal 2 3 2 10 2 10" xfId="25894" xr:uid="{00000000-0005-0000-0000-000008650000}"/>
    <cellStyle name="Normal 2 3 2 10 2 2" xfId="25895" xr:uid="{00000000-0005-0000-0000-000009650000}"/>
    <cellStyle name="Normal 2 3 2 10 2 3" xfId="25896" xr:uid="{00000000-0005-0000-0000-00000A650000}"/>
    <cellStyle name="Normal 2 3 2 10 2 4" xfId="25897" xr:uid="{00000000-0005-0000-0000-00000B650000}"/>
    <cellStyle name="Normal 2 3 2 10 2 5" xfId="25898" xr:uid="{00000000-0005-0000-0000-00000C650000}"/>
    <cellStyle name="Normal 2 3 2 10 2 6" xfId="25899" xr:uid="{00000000-0005-0000-0000-00000D650000}"/>
    <cellStyle name="Normal 2 3 2 10 2 7" xfId="25900" xr:uid="{00000000-0005-0000-0000-00000E650000}"/>
    <cellStyle name="Normal 2 3 2 10 2 8" xfId="25901" xr:uid="{00000000-0005-0000-0000-00000F650000}"/>
    <cellStyle name="Normal 2 3 2 10 2 9" xfId="25902" xr:uid="{00000000-0005-0000-0000-000010650000}"/>
    <cellStyle name="Normal 2 3 2 10 3" xfId="25903" xr:uid="{00000000-0005-0000-0000-000011650000}"/>
    <cellStyle name="Normal 2 3 2 10 3 10" xfId="25904" xr:uid="{00000000-0005-0000-0000-000012650000}"/>
    <cellStyle name="Normal 2 3 2 10 3 2" xfId="25905" xr:uid="{00000000-0005-0000-0000-000013650000}"/>
    <cellStyle name="Normal 2 3 2 10 3 3" xfId="25906" xr:uid="{00000000-0005-0000-0000-000014650000}"/>
    <cellStyle name="Normal 2 3 2 10 3 4" xfId="25907" xr:uid="{00000000-0005-0000-0000-000015650000}"/>
    <cellStyle name="Normal 2 3 2 10 3 5" xfId="25908" xr:uid="{00000000-0005-0000-0000-000016650000}"/>
    <cellStyle name="Normal 2 3 2 10 3 6" xfId="25909" xr:uid="{00000000-0005-0000-0000-000017650000}"/>
    <cellStyle name="Normal 2 3 2 10 3 7" xfId="25910" xr:uid="{00000000-0005-0000-0000-000018650000}"/>
    <cellStyle name="Normal 2 3 2 10 3 8" xfId="25911" xr:uid="{00000000-0005-0000-0000-000019650000}"/>
    <cellStyle name="Normal 2 3 2 10 3 9" xfId="25912" xr:uid="{00000000-0005-0000-0000-00001A650000}"/>
    <cellStyle name="Normal 2 3 2 10 4" xfId="25913" xr:uid="{00000000-0005-0000-0000-00001B650000}"/>
    <cellStyle name="Normal 2 3 2 10 4 10" xfId="25914" xr:uid="{00000000-0005-0000-0000-00001C650000}"/>
    <cellStyle name="Normal 2 3 2 10 4 2" xfId="25915" xr:uid="{00000000-0005-0000-0000-00001D650000}"/>
    <cellStyle name="Normal 2 3 2 10 4 3" xfId="25916" xr:uid="{00000000-0005-0000-0000-00001E650000}"/>
    <cellStyle name="Normal 2 3 2 10 4 4" xfId="25917" xr:uid="{00000000-0005-0000-0000-00001F650000}"/>
    <cellStyle name="Normal 2 3 2 10 4 5" xfId="25918" xr:uid="{00000000-0005-0000-0000-000020650000}"/>
    <cellStyle name="Normal 2 3 2 10 4 6" xfId="25919" xr:uid="{00000000-0005-0000-0000-000021650000}"/>
    <cellStyle name="Normal 2 3 2 10 4 7" xfId="25920" xr:uid="{00000000-0005-0000-0000-000022650000}"/>
    <cellStyle name="Normal 2 3 2 10 4 8" xfId="25921" xr:uid="{00000000-0005-0000-0000-000023650000}"/>
    <cellStyle name="Normal 2 3 2 10 4 9" xfId="25922" xr:uid="{00000000-0005-0000-0000-000024650000}"/>
    <cellStyle name="Normal 2 3 2 10 5" xfId="25923" xr:uid="{00000000-0005-0000-0000-000025650000}"/>
    <cellStyle name="Normal 2 3 2 10 5 10" xfId="25924" xr:uid="{00000000-0005-0000-0000-000026650000}"/>
    <cellStyle name="Normal 2 3 2 10 5 2" xfId="25925" xr:uid="{00000000-0005-0000-0000-000027650000}"/>
    <cellStyle name="Normal 2 3 2 10 5 3" xfId="25926" xr:uid="{00000000-0005-0000-0000-000028650000}"/>
    <cellStyle name="Normal 2 3 2 10 5 4" xfId="25927" xr:uid="{00000000-0005-0000-0000-000029650000}"/>
    <cellStyle name="Normal 2 3 2 10 5 5" xfId="25928" xr:uid="{00000000-0005-0000-0000-00002A650000}"/>
    <cellStyle name="Normal 2 3 2 10 5 6" xfId="25929" xr:uid="{00000000-0005-0000-0000-00002B650000}"/>
    <cellStyle name="Normal 2 3 2 10 5 7" xfId="25930" xr:uid="{00000000-0005-0000-0000-00002C650000}"/>
    <cellStyle name="Normal 2 3 2 10 5 8" xfId="25931" xr:uid="{00000000-0005-0000-0000-00002D650000}"/>
    <cellStyle name="Normal 2 3 2 10 5 9" xfId="25932" xr:uid="{00000000-0005-0000-0000-00002E650000}"/>
    <cellStyle name="Normal 2 3 2 10 6" xfId="25933" xr:uid="{00000000-0005-0000-0000-00002F650000}"/>
    <cellStyle name="Normal 2 3 2 10 7" xfId="25934" xr:uid="{00000000-0005-0000-0000-000030650000}"/>
    <cellStyle name="Normal 2 3 2 10 8" xfId="25935" xr:uid="{00000000-0005-0000-0000-000031650000}"/>
    <cellStyle name="Normal 2 3 2 10 9" xfId="25936" xr:uid="{00000000-0005-0000-0000-000032650000}"/>
    <cellStyle name="Normal 2 3 2 11" xfId="25937" xr:uid="{00000000-0005-0000-0000-000033650000}"/>
    <cellStyle name="Normal 2 3 2 11 10" xfId="25938" xr:uid="{00000000-0005-0000-0000-000034650000}"/>
    <cellStyle name="Normal 2 3 2 11 11" xfId="25939" xr:uid="{00000000-0005-0000-0000-000035650000}"/>
    <cellStyle name="Normal 2 3 2 11 12" xfId="25940" xr:uid="{00000000-0005-0000-0000-000036650000}"/>
    <cellStyle name="Normal 2 3 2 11 13" xfId="25941" xr:uid="{00000000-0005-0000-0000-000037650000}"/>
    <cellStyle name="Normal 2 3 2 11 14" xfId="25942" xr:uid="{00000000-0005-0000-0000-000038650000}"/>
    <cellStyle name="Normal 2 3 2 11 2" xfId="25943" xr:uid="{00000000-0005-0000-0000-000039650000}"/>
    <cellStyle name="Normal 2 3 2 11 2 10" xfId="25944" xr:uid="{00000000-0005-0000-0000-00003A650000}"/>
    <cellStyle name="Normal 2 3 2 11 2 2" xfId="25945" xr:uid="{00000000-0005-0000-0000-00003B650000}"/>
    <cellStyle name="Normal 2 3 2 11 2 3" xfId="25946" xr:uid="{00000000-0005-0000-0000-00003C650000}"/>
    <cellStyle name="Normal 2 3 2 11 2 4" xfId="25947" xr:uid="{00000000-0005-0000-0000-00003D650000}"/>
    <cellStyle name="Normal 2 3 2 11 2 5" xfId="25948" xr:uid="{00000000-0005-0000-0000-00003E650000}"/>
    <cellStyle name="Normal 2 3 2 11 2 6" xfId="25949" xr:uid="{00000000-0005-0000-0000-00003F650000}"/>
    <cellStyle name="Normal 2 3 2 11 2 7" xfId="25950" xr:uid="{00000000-0005-0000-0000-000040650000}"/>
    <cellStyle name="Normal 2 3 2 11 2 8" xfId="25951" xr:uid="{00000000-0005-0000-0000-000041650000}"/>
    <cellStyle name="Normal 2 3 2 11 2 9" xfId="25952" xr:uid="{00000000-0005-0000-0000-000042650000}"/>
    <cellStyle name="Normal 2 3 2 11 3" xfId="25953" xr:uid="{00000000-0005-0000-0000-000043650000}"/>
    <cellStyle name="Normal 2 3 2 11 3 10" xfId="25954" xr:uid="{00000000-0005-0000-0000-000044650000}"/>
    <cellStyle name="Normal 2 3 2 11 3 2" xfId="25955" xr:uid="{00000000-0005-0000-0000-000045650000}"/>
    <cellStyle name="Normal 2 3 2 11 3 3" xfId="25956" xr:uid="{00000000-0005-0000-0000-000046650000}"/>
    <cellStyle name="Normal 2 3 2 11 3 4" xfId="25957" xr:uid="{00000000-0005-0000-0000-000047650000}"/>
    <cellStyle name="Normal 2 3 2 11 3 5" xfId="25958" xr:uid="{00000000-0005-0000-0000-000048650000}"/>
    <cellStyle name="Normal 2 3 2 11 3 6" xfId="25959" xr:uid="{00000000-0005-0000-0000-000049650000}"/>
    <cellStyle name="Normal 2 3 2 11 3 7" xfId="25960" xr:uid="{00000000-0005-0000-0000-00004A650000}"/>
    <cellStyle name="Normal 2 3 2 11 3 8" xfId="25961" xr:uid="{00000000-0005-0000-0000-00004B650000}"/>
    <cellStyle name="Normal 2 3 2 11 3 9" xfId="25962" xr:uid="{00000000-0005-0000-0000-00004C650000}"/>
    <cellStyle name="Normal 2 3 2 11 4" xfId="25963" xr:uid="{00000000-0005-0000-0000-00004D650000}"/>
    <cellStyle name="Normal 2 3 2 11 4 10" xfId="25964" xr:uid="{00000000-0005-0000-0000-00004E650000}"/>
    <cellStyle name="Normal 2 3 2 11 4 2" xfId="25965" xr:uid="{00000000-0005-0000-0000-00004F650000}"/>
    <cellStyle name="Normal 2 3 2 11 4 3" xfId="25966" xr:uid="{00000000-0005-0000-0000-000050650000}"/>
    <cellStyle name="Normal 2 3 2 11 4 4" xfId="25967" xr:uid="{00000000-0005-0000-0000-000051650000}"/>
    <cellStyle name="Normal 2 3 2 11 4 5" xfId="25968" xr:uid="{00000000-0005-0000-0000-000052650000}"/>
    <cellStyle name="Normal 2 3 2 11 4 6" xfId="25969" xr:uid="{00000000-0005-0000-0000-000053650000}"/>
    <cellStyle name="Normal 2 3 2 11 4 7" xfId="25970" xr:uid="{00000000-0005-0000-0000-000054650000}"/>
    <cellStyle name="Normal 2 3 2 11 4 8" xfId="25971" xr:uid="{00000000-0005-0000-0000-000055650000}"/>
    <cellStyle name="Normal 2 3 2 11 4 9" xfId="25972" xr:uid="{00000000-0005-0000-0000-000056650000}"/>
    <cellStyle name="Normal 2 3 2 11 5" xfId="25973" xr:uid="{00000000-0005-0000-0000-000057650000}"/>
    <cellStyle name="Normal 2 3 2 11 5 10" xfId="25974" xr:uid="{00000000-0005-0000-0000-000058650000}"/>
    <cellStyle name="Normal 2 3 2 11 5 2" xfId="25975" xr:uid="{00000000-0005-0000-0000-000059650000}"/>
    <cellStyle name="Normal 2 3 2 11 5 3" xfId="25976" xr:uid="{00000000-0005-0000-0000-00005A650000}"/>
    <cellStyle name="Normal 2 3 2 11 5 4" xfId="25977" xr:uid="{00000000-0005-0000-0000-00005B650000}"/>
    <cellStyle name="Normal 2 3 2 11 5 5" xfId="25978" xr:uid="{00000000-0005-0000-0000-00005C650000}"/>
    <cellStyle name="Normal 2 3 2 11 5 6" xfId="25979" xr:uid="{00000000-0005-0000-0000-00005D650000}"/>
    <cellStyle name="Normal 2 3 2 11 5 7" xfId="25980" xr:uid="{00000000-0005-0000-0000-00005E650000}"/>
    <cellStyle name="Normal 2 3 2 11 5 8" xfId="25981" xr:uid="{00000000-0005-0000-0000-00005F650000}"/>
    <cellStyle name="Normal 2 3 2 11 5 9" xfId="25982" xr:uid="{00000000-0005-0000-0000-000060650000}"/>
    <cellStyle name="Normal 2 3 2 11 6" xfId="25983" xr:uid="{00000000-0005-0000-0000-000061650000}"/>
    <cellStyle name="Normal 2 3 2 11 7" xfId="25984" xr:uid="{00000000-0005-0000-0000-000062650000}"/>
    <cellStyle name="Normal 2 3 2 11 8" xfId="25985" xr:uid="{00000000-0005-0000-0000-000063650000}"/>
    <cellStyle name="Normal 2 3 2 11 9" xfId="25986" xr:uid="{00000000-0005-0000-0000-000064650000}"/>
    <cellStyle name="Normal 2 3 2 12" xfId="25987" xr:uid="{00000000-0005-0000-0000-000065650000}"/>
    <cellStyle name="Normal 2 3 2 12 10" xfId="25988" xr:uid="{00000000-0005-0000-0000-000066650000}"/>
    <cellStyle name="Normal 2 3 2 12 11" xfId="25989" xr:uid="{00000000-0005-0000-0000-000067650000}"/>
    <cellStyle name="Normal 2 3 2 12 12" xfId="25990" xr:uid="{00000000-0005-0000-0000-000068650000}"/>
    <cellStyle name="Normal 2 3 2 12 13" xfId="25991" xr:uid="{00000000-0005-0000-0000-000069650000}"/>
    <cellStyle name="Normal 2 3 2 12 14" xfId="25992" xr:uid="{00000000-0005-0000-0000-00006A650000}"/>
    <cellStyle name="Normal 2 3 2 12 2" xfId="25993" xr:uid="{00000000-0005-0000-0000-00006B650000}"/>
    <cellStyle name="Normal 2 3 2 12 2 10" xfId="25994" xr:uid="{00000000-0005-0000-0000-00006C650000}"/>
    <cellStyle name="Normal 2 3 2 12 2 2" xfId="25995" xr:uid="{00000000-0005-0000-0000-00006D650000}"/>
    <cellStyle name="Normal 2 3 2 12 2 3" xfId="25996" xr:uid="{00000000-0005-0000-0000-00006E650000}"/>
    <cellStyle name="Normal 2 3 2 12 2 4" xfId="25997" xr:uid="{00000000-0005-0000-0000-00006F650000}"/>
    <cellStyle name="Normal 2 3 2 12 2 5" xfId="25998" xr:uid="{00000000-0005-0000-0000-000070650000}"/>
    <cellStyle name="Normal 2 3 2 12 2 6" xfId="25999" xr:uid="{00000000-0005-0000-0000-000071650000}"/>
    <cellStyle name="Normal 2 3 2 12 2 7" xfId="26000" xr:uid="{00000000-0005-0000-0000-000072650000}"/>
    <cellStyle name="Normal 2 3 2 12 2 8" xfId="26001" xr:uid="{00000000-0005-0000-0000-000073650000}"/>
    <cellStyle name="Normal 2 3 2 12 2 9" xfId="26002" xr:uid="{00000000-0005-0000-0000-000074650000}"/>
    <cellStyle name="Normal 2 3 2 12 3" xfId="26003" xr:uid="{00000000-0005-0000-0000-000075650000}"/>
    <cellStyle name="Normal 2 3 2 12 3 10" xfId="26004" xr:uid="{00000000-0005-0000-0000-000076650000}"/>
    <cellStyle name="Normal 2 3 2 12 3 2" xfId="26005" xr:uid="{00000000-0005-0000-0000-000077650000}"/>
    <cellStyle name="Normal 2 3 2 12 3 3" xfId="26006" xr:uid="{00000000-0005-0000-0000-000078650000}"/>
    <cellStyle name="Normal 2 3 2 12 3 4" xfId="26007" xr:uid="{00000000-0005-0000-0000-000079650000}"/>
    <cellStyle name="Normal 2 3 2 12 3 5" xfId="26008" xr:uid="{00000000-0005-0000-0000-00007A650000}"/>
    <cellStyle name="Normal 2 3 2 12 3 6" xfId="26009" xr:uid="{00000000-0005-0000-0000-00007B650000}"/>
    <cellStyle name="Normal 2 3 2 12 3 7" xfId="26010" xr:uid="{00000000-0005-0000-0000-00007C650000}"/>
    <cellStyle name="Normal 2 3 2 12 3 8" xfId="26011" xr:uid="{00000000-0005-0000-0000-00007D650000}"/>
    <cellStyle name="Normal 2 3 2 12 3 9" xfId="26012" xr:uid="{00000000-0005-0000-0000-00007E650000}"/>
    <cellStyle name="Normal 2 3 2 12 4" xfId="26013" xr:uid="{00000000-0005-0000-0000-00007F650000}"/>
    <cellStyle name="Normal 2 3 2 12 4 10" xfId="26014" xr:uid="{00000000-0005-0000-0000-000080650000}"/>
    <cellStyle name="Normal 2 3 2 12 4 2" xfId="26015" xr:uid="{00000000-0005-0000-0000-000081650000}"/>
    <cellStyle name="Normal 2 3 2 12 4 3" xfId="26016" xr:uid="{00000000-0005-0000-0000-000082650000}"/>
    <cellStyle name="Normal 2 3 2 12 4 4" xfId="26017" xr:uid="{00000000-0005-0000-0000-000083650000}"/>
    <cellStyle name="Normal 2 3 2 12 4 5" xfId="26018" xr:uid="{00000000-0005-0000-0000-000084650000}"/>
    <cellStyle name="Normal 2 3 2 12 4 6" xfId="26019" xr:uid="{00000000-0005-0000-0000-000085650000}"/>
    <cellStyle name="Normal 2 3 2 12 4 7" xfId="26020" xr:uid="{00000000-0005-0000-0000-000086650000}"/>
    <cellStyle name="Normal 2 3 2 12 4 8" xfId="26021" xr:uid="{00000000-0005-0000-0000-000087650000}"/>
    <cellStyle name="Normal 2 3 2 12 4 9" xfId="26022" xr:uid="{00000000-0005-0000-0000-000088650000}"/>
    <cellStyle name="Normal 2 3 2 12 5" xfId="26023" xr:uid="{00000000-0005-0000-0000-000089650000}"/>
    <cellStyle name="Normal 2 3 2 12 5 10" xfId="26024" xr:uid="{00000000-0005-0000-0000-00008A650000}"/>
    <cellStyle name="Normal 2 3 2 12 5 2" xfId="26025" xr:uid="{00000000-0005-0000-0000-00008B650000}"/>
    <cellStyle name="Normal 2 3 2 12 5 3" xfId="26026" xr:uid="{00000000-0005-0000-0000-00008C650000}"/>
    <cellStyle name="Normal 2 3 2 12 5 4" xfId="26027" xr:uid="{00000000-0005-0000-0000-00008D650000}"/>
    <cellStyle name="Normal 2 3 2 12 5 5" xfId="26028" xr:uid="{00000000-0005-0000-0000-00008E650000}"/>
    <cellStyle name="Normal 2 3 2 12 5 6" xfId="26029" xr:uid="{00000000-0005-0000-0000-00008F650000}"/>
    <cellStyle name="Normal 2 3 2 12 5 7" xfId="26030" xr:uid="{00000000-0005-0000-0000-000090650000}"/>
    <cellStyle name="Normal 2 3 2 12 5 8" xfId="26031" xr:uid="{00000000-0005-0000-0000-000091650000}"/>
    <cellStyle name="Normal 2 3 2 12 5 9" xfId="26032" xr:uid="{00000000-0005-0000-0000-000092650000}"/>
    <cellStyle name="Normal 2 3 2 12 6" xfId="26033" xr:uid="{00000000-0005-0000-0000-000093650000}"/>
    <cellStyle name="Normal 2 3 2 12 7" xfId="26034" xr:uid="{00000000-0005-0000-0000-000094650000}"/>
    <cellStyle name="Normal 2 3 2 12 8" xfId="26035" xr:uid="{00000000-0005-0000-0000-000095650000}"/>
    <cellStyle name="Normal 2 3 2 12 9" xfId="26036" xr:uid="{00000000-0005-0000-0000-000096650000}"/>
    <cellStyle name="Normal 2 3 2 13" xfId="26037" xr:uid="{00000000-0005-0000-0000-000097650000}"/>
    <cellStyle name="Normal 2 3 2 13 10" xfId="26038" xr:uid="{00000000-0005-0000-0000-000098650000}"/>
    <cellStyle name="Normal 2 3 2 13 11" xfId="26039" xr:uid="{00000000-0005-0000-0000-000099650000}"/>
    <cellStyle name="Normal 2 3 2 13 12" xfId="26040" xr:uid="{00000000-0005-0000-0000-00009A650000}"/>
    <cellStyle name="Normal 2 3 2 13 13" xfId="26041" xr:uid="{00000000-0005-0000-0000-00009B650000}"/>
    <cellStyle name="Normal 2 3 2 13 14" xfId="26042" xr:uid="{00000000-0005-0000-0000-00009C650000}"/>
    <cellStyle name="Normal 2 3 2 13 2" xfId="26043" xr:uid="{00000000-0005-0000-0000-00009D650000}"/>
    <cellStyle name="Normal 2 3 2 13 2 10" xfId="26044" xr:uid="{00000000-0005-0000-0000-00009E650000}"/>
    <cellStyle name="Normal 2 3 2 13 2 2" xfId="26045" xr:uid="{00000000-0005-0000-0000-00009F650000}"/>
    <cellStyle name="Normal 2 3 2 13 2 3" xfId="26046" xr:uid="{00000000-0005-0000-0000-0000A0650000}"/>
    <cellStyle name="Normal 2 3 2 13 2 4" xfId="26047" xr:uid="{00000000-0005-0000-0000-0000A1650000}"/>
    <cellStyle name="Normal 2 3 2 13 2 5" xfId="26048" xr:uid="{00000000-0005-0000-0000-0000A2650000}"/>
    <cellStyle name="Normal 2 3 2 13 2 6" xfId="26049" xr:uid="{00000000-0005-0000-0000-0000A3650000}"/>
    <cellStyle name="Normal 2 3 2 13 2 7" xfId="26050" xr:uid="{00000000-0005-0000-0000-0000A4650000}"/>
    <cellStyle name="Normal 2 3 2 13 2 8" xfId="26051" xr:uid="{00000000-0005-0000-0000-0000A5650000}"/>
    <cellStyle name="Normal 2 3 2 13 2 9" xfId="26052" xr:uid="{00000000-0005-0000-0000-0000A6650000}"/>
    <cellStyle name="Normal 2 3 2 13 3" xfId="26053" xr:uid="{00000000-0005-0000-0000-0000A7650000}"/>
    <cellStyle name="Normal 2 3 2 13 3 10" xfId="26054" xr:uid="{00000000-0005-0000-0000-0000A8650000}"/>
    <cellStyle name="Normal 2 3 2 13 3 2" xfId="26055" xr:uid="{00000000-0005-0000-0000-0000A9650000}"/>
    <cellStyle name="Normal 2 3 2 13 3 3" xfId="26056" xr:uid="{00000000-0005-0000-0000-0000AA650000}"/>
    <cellStyle name="Normal 2 3 2 13 3 4" xfId="26057" xr:uid="{00000000-0005-0000-0000-0000AB650000}"/>
    <cellStyle name="Normal 2 3 2 13 3 5" xfId="26058" xr:uid="{00000000-0005-0000-0000-0000AC650000}"/>
    <cellStyle name="Normal 2 3 2 13 3 6" xfId="26059" xr:uid="{00000000-0005-0000-0000-0000AD650000}"/>
    <cellStyle name="Normal 2 3 2 13 3 7" xfId="26060" xr:uid="{00000000-0005-0000-0000-0000AE650000}"/>
    <cellStyle name="Normal 2 3 2 13 3 8" xfId="26061" xr:uid="{00000000-0005-0000-0000-0000AF650000}"/>
    <cellStyle name="Normal 2 3 2 13 3 9" xfId="26062" xr:uid="{00000000-0005-0000-0000-0000B0650000}"/>
    <cellStyle name="Normal 2 3 2 13 4" xfId="26063" xr:uid="{00000000-0005-0000-0000-0000B1650000}"/>
    <cellStyle name="Normal 2 3 2 13 4 10" xfId="26064" xr:uid="{00000000-0005-0000-0000-0000B2650000}"/>
    <cellStyle name="Normal 2 3 2 13 4 2" xfId="26065" xr:uid="{00000000-0005-0000-0000-0000B3650000}"/>
    <cellStyle name="Normal 2 3 2 13 4 3" xfId="26066" xr:uid="{00000000-0005-0000-0000-0000B4650000}"/>
    <cellStyle name="Normal 2 3 2 13 4 4" xfId="26067" xr:uid="{00000000-0005-0000-0000-0000B5650000}"/>
    <cellStyle name="Normal 2 3 2 13 4 5" xfId="26068" xr:uid="{00000000-0005-0000-0000-0000B6650000}"/>
    <cellStyle name="Normal 2 3 2 13 4 6" xfId="26069" xr:uid="{00000000-0005-0000-0000-0000B7650000}"/>
    <cellStyle name="Normal 2 3 2 13 4 7" xfId="26070" xr:uid="{00000000-0005-0000-0000-0000B8650000}"/>
    <cellStyle name="Normal 2 3 2 13 4 8" xfId="26071" xr:uid="{00000000-0005-0000-0000-0000B9650000}"/>
    <cellStyle name="Normal 2 3 2 13 4 9" xfId="26072" xr:uid="{00000000-0005-0000-0000-0000BA650000}"/>
    <cellStyle name="Normal 2 3 2 13 5" xfId="26073" xr:uid="{00000000-0005-0000-0000-0000BB650000}"/>
    <cellStyle name="Normal 2 3 2 13 5 10" xfId="26074" xr:uid="{00000000-0005-0000-0000-0000BC650000}"/>
    <cellStyle name="Normal 2 3 2 13 5 2" xfId="26075" xr:uid="{00000000-0005-0000-0000-0000BD650000}"/>
    <cellStyle name="Normal 2 3 2 13 5 3" xfId="26076" xr:uid="{00000000-0005-0000-0000-0000BE650000}"/>
    <cellStyle name="Normal 2 3 2 13 5 4" xfId="26077" xr:uid="{00000000-0005-0000-0000-0000BF650000}"/>
    <cellStyle name="Normal 2 3 2 13 5 5" xfId="26078" xr:uid="{00000000-0005-0000-0000-0000C0650000}"/>
    <cellStyle name="Normal 2 3 2 13 5 6" xfId="26079" xr:uid="{00000000-0005-0000-0000-0000C1650000}"/>
    <cellStyle name="Normal 2 3 2 13 5 7" xfId="26080" xr:uid="{00000000-0005-0000-0000-0000C2650000}"/>
    <cellStyle name="Normal 2 3 2 13 5 8" xfId="26081" xr:uid="{00000000-0005-0000-0000-0000C3650000}"/>
    <cellStyle name="Normal 2 3 2 13 5 9" xfId="26082" xr:uid="{00000000-0005-0000-0000-0000C4650000}"/>
    <cellStyle name="Normal 2 3 2 13 6" xfId="26083" xr:uid="{00000000-0005-0000-0000-0000C5650000}"/>
    <cellStyle name="Normal 2 3 2 13 7" xfId="26084" xr:uid="{00000000-0005-0000-0000-0000C6650000}"/>
    <cellStyle name="Normal 2 3 2 13 8" xfId="26085" xr:uid="{00000000-0005-0000-0000-0000C7650000}"/>
    <cellStyle name="Normal 2 3 2 13 9" xfId="26086" xr:uid="{00000000-0005-0000-0000-0000C8650000}"/>
    <cellStyle name="Normal 2 3 2 14" xfId="26087" xr:uid="{00000000-0005-0000-0000-0000C9650000}"/>
    <cellStyle name="Normal 2 3 2 14 10" xfId="26088" xr:uid="{00000000-0005-0000-0000-0000CA650000}"/>
    <cellStyle name="Normal 2 3 2 14 11" xfId="26089" xr:uid="{00000000-0005-0000-0000-0000CB650000}"/>
    <cellStyle name="Normal 2 3 2 14 12" xfId="26090" xr:uid="{00000000-0005-0000-0000-0000CC650000}"/>
    <cellStyle name="Normal 2 3 2 14 13" xfId="26091" xr:uid="{00000000-0005-0000-0000-0000CD650000}"/>
    <cellStyle name="Normal 2 3 2 14 14" xfId="26092" xr:uid="{00000000-0005-0000-0000-0000CE650000}"/>
    <cellStyle name="Normal 2 3 2 14 2" xfId="26093" xr:uid="{00000000-0005-0000-0000-0000CF650000}"/>
    <cellStyle name="Normal 2 3 2 14 2 10" xfId="26094" xr:uid="{00000000-0005-0000-0000-0000D0650000}"/>
    <cellStyle name="Normal 2 3 2 14 2 2" xfId="26095" xr:uid="{00000000-0005-0000-0000-0000D1650000}"/>
    <cellStyle name="Normal 2 3 2 14 2 3" xfId="26096" xr:uid="{00000000-0005-0000-0000-0000D2650000}"/>
    <cellStyle name="Normal 2 3 2 14 2 4" xfId="26097" xr:uid="{00000000-0005-0000-0000-0000D3650000}"/>
    <cellStyle name="Normal 2 3 2 14 2 5" xfId="26098" xr:uid="{00000000-0005-0000-0000-0000D4650000}"/>
    <cellStyle name="Normal 2 3 2 14 2 6" xfId="26099" xr:uid="{00000000-0005-0000-0000-0000D5650000}"/>
    <cellStyle name="Normal 2 3 2 14 2 7" xfId="26100" xr:uid="{00000000-0005-0000-0000-0000D6650000}"/>
    <cellStyle name="Normal 2 3 2 14 2 8" xfId="26101" xr:uid="{00000000-0005-0000-0000-0000D7650000}"/>
    <cellStyle name="Normal 2 3 2 14 2 9" xfId="26102" xr:uid="{00000000-0005-0000-0000-0000D8650000}"/>
    <cellStyle name="Normal 2 3 2 14 3" xfId="26103" xr:uid="{00000000-0005-0000-0000-0000D9650000}"/>
    <cellStyle name="Normal 2 3 2 14 3 10" xfId="26104" xr:uid="{00000000-0005-0000-0000-0000DA650000}"/>
    <cellStyle name="Normal 2 3 2 14 3 2" xfId="26105" xr:uid="{00000000-0005-0000-0000-0000DB650000}"/>
    <cellStyle name="Normal 2 3 2 14 3 3" xfId="26106" xr:uid="{00000000-0005-0000-0000-0000DC650000}"/>
    <cellStyle name="Normal 2 3 2 14 3 4" xfId="26107" xr:uid="{00000000-0005-0000-0000-0000DD650000}"/>
    <cellStyle name="Normal 2 3 2 14 3 5" xfId="26108" xr:uid="{00000000-0005-0000-0000-0000DE650000}"/>
    <cellStyle name="Normal 2 3 2 14 3 6" xfId="26109" xr:uid="{00000000-0005-0000-0000-0000DF650000}"/>
    <cellStyle name="Normal 2 3 2 14 3 7" xfId="26110" xr:uid="{00000000-0005-0000-0000-0000E0650000}"/>
    <cellStyle name="Normal 2 3 2 14 3 8" xfId="26111" xr:uid="{00000000-0005-0000-0000-0000E1650000}"/>
    <cellStyle name="Normal 2 3 2 14 3 9" xfId="26112" xr:uid="{00000000-0005-0000-0000-0000E2650000}"/>
    <cellStyle name="Normal 2 3 2 14 4" xfId="26113" xr:uid="{00000000-0005-0000-0000-0000E3650000}"/>
    <cellStyle name="Normal 2 3 2 14 4 10" xfId="26114" xr:uid="{00000000-0005-0000-0000-0000E4650000}"/>
    <cellStyle name="Normal 2 3 2 14 4 2" xfId="26115" xr:uid="{00000000-0005-0000-0000-0000E5650000}"/>
    <cellStyle name="Normal 2 3 2 14 4 3" xfId="26116" xr:uid="{00000000-0005-0000-0000-0000E6650000}"/>
    <cellStyle name="Normal 2 3 2 14 4 4" xfId="26117" xr:uid="{00000000-0005-0000-0000-0000E7650000}"/>
    <cellStyle name="Normal 2 3 2 14 4 5" xfId="26118" xr:uid="{00000000-0005-0000-0000-0000E8650000}"/>
    <cellStyle name="Normal 2 3 2 14 4 6" xfId="26119" xr:uid="{00000000-0005-0000-0000-0000E9650000}"/>
    <cellStyle name="Normal 2 3 2 14 4 7" xfId="26120" xr:uid="{00000000-0005-0000-0000-0000EA650000}"/>
    <cellStyle name="Normal 2 3 2 14 4 8" xfId="26121" xr:uid="{00000000-0005-0000-0000-0000EB650000}"/>
    <cellStyle name="Normal 2 3 2 14 4 9" xfId="26122" xr:uid="{00000000-0005-0000-0000-0000EC650000}"/>
    <cellStyle name="Normal 2 3 2 14 5" xfId="26123" xr:uid="{00000000-0005-0000-0000-0000ED650000}"/>
    <cellStyle name="Normal 2 3 2 14 5 10" xfId="26124" xr:uid="{00000000-0005-0000-0000-0000EE650000}"/>
    <cellStyle name="Normal 2 3 2 14 5 2" xfId="26125" xr:uid="{00000000-0005-0000-0000-0000EF650000}"/>
    <cellStyle name="Normal 2 3 2 14 5 3" xfId="26126" xr:uid="{00000000-0005-0000-0000-0000F0650000}"/>
    <cellStyle name="Normal 2 3 2 14 5 4" xfId="26127" xr:uid="{00000000-0005-0000-0000-0000F1650000}"/>
    <cellStyle name="Normal 2 3 2 14 5 5" xfId="26128" xr:uid="{00000000-0005-0000-0000-0000F2650000}"/>
    <cellStyle name="Normal 2 3 2 14 5 6" xfId="26129" xr:uid="{00000000-0005-0000-0000-0000F3650000}"/>
    <cellStyle name="Normal 2 3 2 14 5 7" xfId="26130" xr:uid="{00000000-0005-0000-0000-0000F4650000}"/>
    <cellStyle name="Normal 2 3 2 14 5 8" xfId="26131" xr:uid="{00000000-0005-0000-0000-0000F5650000}"/>
    <cellStyle name="Normal 2 3 2 14 5 9" xfId="26132" xr:uid="{00000000-0005-0000-0000-0000F6650000}"/>
    <cellStyle name="Normal 2 3 2 14 6" xfId="26133" xr:uid="{00000000-0005-0000-0000-0000F7650000}"/>
    <cellStyle name="Normal 2 3 2 14 7" xfId="26134" xr:uid="{00000000-0005-0000-0000-0000F8650000}"/>
    <cellStyle name="Normal 2 3 2 14 8" xfId="26135" xr:uid="{00000000-0005-0000-0000-0000F9650000}"/>
    <cellStyle name="Normal 2 3 2 14 9" xfId="26136" xr:uid="{00000000-0005-0000-0000-0000FA650000}"/>
    <cellStyle name="Normal 2 3 2 15" xfId="26137" xr:uid="{00000000-0005-0000-0000-0000FB650000}"/>
    <cellStyle name="Normal 2 3 2 15 10" xfId="26138" xr:uid="{00000000-0005-0000-0000-0000FC650000}"/>
    <cellStyle name="Normal 2 3 2 15 11" xfId="26139" xr:uid="{00000000-0005-0000-0000-0000FD650000}"/>
    <cellStyle name="Normal 2 3 2 15 12" xfId="26140" xr:uid="{00000000-0005-0000-0000-0000FE650000}"/>
    <cellStyle name="Normal 2 3 2 15 13" xfId="26141" xr:uid="{00000000-0005-0000-0000-0000FF650000}"/>
    <cellStyle name="Normal 2 3 2 15 14" xfId="26142" xr:uid="{00000000-0005-0000-0000-000000660000}"/>
    <cellStyle name="Normal 2 3 2 15 2" xfId="26143" xr:uid="{00000000-0005-0000-0000-000001660000}"/>
    <cellStyle name="Normal 2 3 2 15 2 10" xfId="26144" xr:uid="{00000000-0005-0000-0000-000002660000}"/>
    <cellStyle name="Normal 2 3 2 15 2 2" xfId="26145" xr:uid="{00000000-0005-0000-0000-000003660000}"/>
    <cellStyle name="Normal 2 3 2 15 2 3" xfId="26146" xr:uid="{00000000-0005-0000-0000-000004660000}"/>
    <cellStyle name="Normal 2 3 2 15 2 4" xfId="26147" xr:uid="{00000000-0005-0000-0000-000005660000}"/>
    <cellStyle name="Normal 2 3 2 15 2 5" xfId="26148" xr:uid="{00000000-0005-0000-0000-000006660000}"/>
    <cellStyle name="Normal 2 3 2 15 2 6" xfId="26149" xr:uid="{00000000-0005-0000-0000-000007660000}"/>
    <cellStyle name="Normal 2 3 2 15 2 7" xfId="26150" xr:uid="{00000000-0005-0000-0000-000008660000}"/>
    <cellStyle name="Normal 2 3 2 15 2 8" xfId="26151" xr:uid="{00000000-0005-0000-0000-000009660000}"/>
    <cellStyle name="Normal 2 3 2 15 2 9" xfId="26152" xr:uid="{00000000-0005-0000-0000-00000A660000}"/>
    <cellStyle name="Normal 2 3 2 15 3" xfId="26153" xr:uid="{00000000-0005-0000-0000-00000B660000}"/>
    <cellStyle name="Normal 2 3 2 15 3 10" xfId="26154" xr:uid="{00000000-0005-0000-0000-00000C660000}"/>
    <cellStyle name="Normal 2 3 2 15 3 2" xfId="26155" xr:uid="{00000000-0005-0000-0000-00000D660000}"/>
    <cellStyle name="Normal 2 3 2 15 3 3" xfId="26156" xr:uid="{00000000-0005-0000-0000-00000E660000}"/>
    <cellStyle name="Normal 2 3 2 15 3 4" xfId="26157" xr:uid="{00000000-0005-0000-0000-00000F660000}"/>
    <cellStyle name="Normal 2 3 2 15 3 5" xfId="26158" xr:uid="{00000000-0005-0000-0000-000010660000}"/>
    <cellStyle name="Normal 2 3 2 15 3 6" xfId="26159" xr:uid="{00000000-0005-0000-0000-000011660000}"/>
    <cellStyle name="Normal 2 3 2 15 3 7" xfId="26160" xr:uid="{00000000-0005-0000-0000-000012660000}"/>
    <cellStyle name="Normal 2 3 2 15 3 8" xfId="26161" xr:uid="{00000000-0005-0000-0000-000013660000}"/>
    <cellStyle name="Normal 2 3 2 15 3 9" xfId="26162" xr:uid="{00000000-0005-0000-0000-000014660000}"/>
    <cellStyle name="Normal 2 3 2 15 4" xfId="26163" xr:uid="{00000000-0005-0000-0000-000015660000}"/>
    <cellStyle name="Normal 2 3 2 15 4 10" xfId="26164" xr:uid="{00000000-0005-0000-0000-000016660000}"/>
    <cellStyle name="Normal 2 3 2 15 4 2" xfId="26165" xr:uid="{00000000-0005-0000-0000-000017660000}"/>
    <cellStyle name="Normal 2 3 2 15 4 3" xfId="26166" xr:uid="{00000000-0005-0000-0000-000018660000}"/>
    <cellStyle name="Normal 2 3 2 15 4 4" xfId="26167" xr:uid="{00000000-0005-0000-0000-000019660000}"/>
    <cellStyle name="Normal 2 3 2 15 4 5" xfId="26168" xr:uid="{00000000-0005-0000-0000-00001A660000}"/>
    <cellStyle name="Normal 2 3 2 15 4 6" xfId="26169" xr:uid="{00000000-0005-0000-0000-00001B660000}"/>
    <cellStyle name="Normal 2 3 2 15 4 7" xfId="26170" xr:uid="{00000000-0005-0000-0000-00001C660000}"/>
    <cellStyle name="Normal 2 3 2 15 4 8" xfId="26171" xr:uid="{00000000-0005-0000-0000-00001D660000}"/>
    <cellStyle name="Normal 2 3 2 15 4 9" xfId="26172" xr:uid="{00000000-0005-0000-0000-00001E660000}"/>
    <cellStyle name="Normal 2 3 2 15 5" xfId="26173" xr:uid="{00000000-0005-0000-0000-00001F660000}"/>
    <cellStyle name="Normal 2 3 2 15 5 10" xfId="26174" xr:uid="{00000000-0005-0000-0000-000020660000}"/>
    <cellStyle name="Normal 2 3 2 15 5 2" xfId="26175" xr:uid="{00000000-0005-0000-0000-000021660000}"/>
    <cellStyle name="Normal 2 3 2 15 5 3" xfId="26176" xr:uid="{00000000-0005-0000-0000-000022660000}"/>
    <cellStyle name="Normal 2 3 2 15 5 4" xfId="26177" xr:uid="{00000000-0005-0000-0000-000023660000}"/>
    <cellStyle name="Normal 2 3 2 15 5 5" xfId="26178" xr:uid="{00000000-0005-0000-0000-000024660000}"/>
    <cellStyle name="Normal 2 3 2 15 5 6" xfId="26179" xr:uid="{00000000-0005-0000-0000-000025660000}"/>
    <cellStyle name="Normal 2 3 2 15 5 7" xfId="26180" xr:uid="{00000000-0005-0000-0000-000026660000}"/>
    <cellStyle name="Normal 2 3 2 15 5 8" xfId="26181" xr:uid="{00000000-0005-0000-0000-000027660000}"/>
    <cellStyle name="Normal 2 3 2 15 5 9" xfId="26182" xr:uid="{00000000-0005-0000-0000-000028660000}"/>
    <cellStyle name="Normal 2 3 2 15 6" xfId="26183" xr:uid="{00000000-0005-0000-0000-000029660000}"/>
    <cellStyle name="Normal 2 3 2 15 7" xfId="26184" xr:uid="{00000000-0005-0000-0000-00002A660000}"/>
    <cellStyle name="Normal 2 3 2 15 8" xfId="26185" xr:uid="{00000000-0005-0000-0000-00002B660000}"/>
    <cellStyle name="Normal 2 3 2 15 9" xfId="26186" xr:uid="{00000000-0005-0000-0000-00002C660000}"/>
    <cellStyle name="Normal 2 3 2 16" xfId="26187" xr:uid="{00000000-0005-0000-0000-00002D660000}"/>
    <cellStyle name="Normal 2 3 2 16 10" xfId="26188" xr:uid="{00000000-0005-0000-0000-00002E660000}"/>
    <cellStyle name="Normal 2 3 2 16 11" xfId="26189" xr:uid="{00000000-0005-0000-0000-00002F660000}"/>
    <cellStyle name="Normal 2 3 2 16 12" xfId="26190" xr:uid="{00000000-0005-0000-0000-000030660000}"/>
    <cellStyle name="Normal 2 3 2 16 13" xfId="26191" xr:uid="{00000000-0005-0000-0000-000031660000}"/>
    <cellStyle name="Normal 2 3 2 16 14" xfId="26192" xr:uid="{00000000-0005-0000-0000-000032660000}"/>
    <cellStyle name="Normal 2 3 2 16 2" xfId="26193" xr:uid="{00000000-0005-0000-0000-000033660000}"/>
    <cellStyle name="Normal 2 3 2 16 2 10" xfId="26194" xr:uid="{00000000-0005-0000-0000-000034660000}"/>
    <cellStyle name="Normal 2 3 2 16 2 2" xfId="26195" xr:uid="{00000000-0005-0000-0000-000035660000}"/>
    <cellStyle name="Normal 2 3 2 16 2 3" xfId="26196" xr:uid="{00000000-0005-0000-0000-000036660000}"/>
    <cellStyle name="Normal 2 3 2 16 2 4" xfId="26197" xr:uid="{00000000-0005-0000-0000-000037660000}"/>
    <cellStyle name="Normal 2 3 2 16 2 5" xfId="26198" xr:uid="{00000000-0005-0000-0000-000038660000}"/>
    <cellStyle name="Normal 2 3 2 16 2 6" xfId="26199" xr:uid="{00000000-0005-0000-0000-000039660000}"/>
    <cellStyle name="Normal 2 3 2 16 2 7" xfId="26200" xr:uid="{00000000-0005-0000-0000-00003A660000}"/>
    <cellStyle name="Normal 2 3 2 16 2 8" xfId="26201" xr:uid="{00000000-0005-0000-0000-00003B660000}"/>
    <cellStyle name="Normal 2 3 2 16 2 9" xfId="26202" xr:uid="{00000000-0005-0000-0000-00003C660000}"/>
    <cellStyle name="Normal 2 3 2 16 3" xfId="26203" xr:uid="{00000000-0005-0000-0000-00003D660000}"/>
    <cellStyle name="Normal 2 3 2 16 3 10" xfId="26204" xr:uid="{00000000-0005-0000-0000-00003E660000}"/>
    <cellStyle name="Normal 2 3 2 16 3 2" xfId="26205" xr:uid="{00000000-0005-0000-0000-00003F660000}"/>
    <cellStyle name="Normal 2 3 2 16 3 3" xfId="26206" xr:uid="{00000000-0005-0000-0000-000040660000}"/>
    <cellStyle name="Normal 2 3 2 16 3 4" xfId="26207" xr:uid="{00000000-0005-0000-0000-000041660000}"/>
    <cellStyle name="Normal 2 3 2 16 3 5" xfId="26208" xr:uid="{00000000-0005-0000-0000-000042660000}"/>
    <cellStyle name="Normal 2 3 2 16 3 6" xfId="26209" xr:uid="{00000000-0005-0000-0000-000043660000}"/>
    <cellStyle name="Normal 2 3 2 16 3 7" xfId="26210" xr:uid="{00000000-0005-0000-0000-000044660000}"/>
    <cellStyle name="Normal 2 3 2 16 3 8" xfId="26211" xr:uid="{00000000-0005-0000-0000-000045660000}"/>
    <cellStyle name="Normal 2 3 2 16 3 9" xfId="26212" xr:uid="{00000000-0005-0000-0000-000046660000}"/>
    <cellStyle name="Normal 2 3 2 16 4" xfId="26213" xr:uid="{00000000-0005-0000-0000-000047660000}"/>
    <cellStyle name="Normal 2 3 2 16 4 10" xfId="26214" xr:uid="{00000000-0005-0000-0000-000048660000}"/>
    <cellStyle name="Normal 2 3 2 16 4 2" xfId="26215" xr:uid="{00000000-0005-0000-0000-000049660000}"/>
    <cellStyle name="Normal 2 3 2 16 4 3" xfId="26216" xr:uid="{00000000-0005-0000-0000-00004A660000}"/>
    <cellStyle name="Normal 2 3 2 16 4 4" xfId="26217" xr:uid="{00000000-0005-0000-0000-00004B660000}"/>
    <cellStyle name="Normal 2 3 2 16 4 5" xfId="26218" xr:uid="{00000000-0005-0000-0000-00004C660000}"/>
    <cellStyle name="Normal 2 3 2 16 4 6" xfId="26219" xr:uid="{00000000-0005-0000-0000-00004D660000}"/>
    <cellStyle name="Normal 2 3 2 16 4 7" xfId="26220" xr:uid="{00000000-0005-0000-0000-00004E660000}"/>
    <cellStyle name="Normal 2 3 2 16 4 8" xfId="26221" xr:uid="{00000000-0005-0000-0000-00004F660000}"/>
    <cellStyle name="Normal 2 3 2 16 4 9" xfId="26222" xr:uid="{00000000-0005-0000-0000-000050660000}"/>
    <cellStyle name="Normal 2 3 2 16 5" xfId="26223" xr:uid="{00000000-0005-0000-0000-000051660000}"/>
    <cellStyle name="Normal 2 3 2 16 5 10" xfId="26224" xr:uid="{00000000-0005-0000-0000-000052660000}"/>
    <cellStyle name="Normal 2 3 2 16 5 2" xfId="26225" xr:uid="{00000000-0005-0000-0000-000053660000}"/>
    <cellStyle name="Normal 2 3 2 16 5 3" xfId="26226" xr:uid="{00000000-0005-0000-0000-000054660000}"/>
    <cellStyle name="Normal 2 3 2 16 5 4" xfId="26227" xr:uid="{00000000-0005-0000-0000-000055660000}"/>
    <cellStyle name="Normal 2 3 2 16 5 5" xfId="26228" xr:uid="{00000000-0005-0000-0000-000056660000}"/>
    <cellStyle name="Normal 2 3 2 16 5 6" xfId="26229" xr:uid="{00000000-0005-0000-0000-000057660000}"/>
    <cellStyle name="Normal 2 3 2 16 5 7" xfId="26230" xr:uid="{00000000-0005-0000-0000-000058660000}"/>
    <cellStyle name="Normal 2 3 2 16 5 8" xfId="26231" xr:uid="{00000000-0005-0000-0000-000059660000}"/>
    <cellStyle name="Normal 2 3 2 16 5 9" xfId="26232" xr:uid="{00000000-0005-0000-0000-00005A660000}"/>
    <cellStyle name="Normal 2 3 2 16 6" xfId="26233" xr:uid="{00000000-0005-0000-0000-00005B660000}"/>
    <cellStyle name="Normal 2 3 2 16 7" xfId="26234" xr:uid="{00000000-0005-0000-0000-00005C660000}"/>
    <cellStyle name="Normal 2 3 2 16 8" xfId="26235" xr:uid="{00000000-0005-0000-0000-00005D660000}"/>
    <cellStyle name="Normal 2 3 2 16 9" xfId="26236" xr:uid="{00000000-0005-0000-0000-00005E660000}"/>
    <cellStyle name="Normal 2 3 2 17" xfId="26237" xr:uid="{00000000-0005-0000-0000-00005F660000}"/>
    <cellStyle name="Normal 2 3 2 17 10" xfId="26238" xr:uid="{00000000-0005-0000-0000-000060660000}"/>
    <cellStyle name="Normal 2 3 2 17 11" xfId="26239" xr:uid="{00000000-0005-0000-0000-000061660000}"/>
    <cellStyle name="Normal 2 3 2 17 12" xfId="26240" xr:uid="{00000000-0005-0000-0000-000062660000}"/>
    <cellStyle name="Normal 2 3 2 17 13" xfId="26241" xr:uid="{00000000-0005-0000-0000-000063660000}"/>
    <cellStyle name="Normal 2 3 2 17 14" xfId="26242" xr:uid="{00000000-0005-0000-0000-000064660000}"/>
    <cellStyle name="Normal 2 3 2 17 2" xfId="26243" xr:uid="{00000000-0005-0000-0000-000065660000}"/>
    <cellStyle name="Normal 2 3 2 17 2 10" xfId="26244" xr:uid="{00000000-0005-0000-0000-000066660000}"/>
    <cellStyle name="Normal 2 3 2 17 2 2" xfId="26245" xr:uid="{00000000-0005-0000-0000-000067660000}"/>
    <cellStyle name="Normal 2 3 2 17 2 3" xfId="26246" xr:uid="{00000000-0005-0000-0000-000068660000}"/>
    <cellStyle name="Normal 2 3 2 17 2 4" xfId="26247" xr:uid="{00000000-0005-0000-0000-000069660000}"/>
    <cellStyle name="Normal 2 3 2 17 2 5" xfId="26248" xr:uid="{00000000-0005-0000-0000-00006A660000}"/>
    <cellStyle name="Normal 2 3 2 17 2 6" xfId="26249" xr:uid="{00000000-0005-0000-0000-00006B660000}"/>
    <cellStyle name="Normal 2 3 2 17 2 7" xfId="26250" xr:uid="{00000000-0005-0000-0000-00006C660000}"/>
    <cellStyle name="Normal 2 3 2 17 2 8" xfId="26251" xr:uid="{00000000-0005-0000-0000-00006D660000}"/>
    <cellStyle name="Normal 2 3 2 17 2 9" xfId="26252" xr:uid="{00000000-0005-0000-0000-00006E660000}"/>
    <cellStyle name="Normal 2 3 2 17 3" xfId="26253" xr:uid="{00000000-0005-0000-0000-00006F660000}"/>
    <cellStyle name="Normal 2 3 2 17 3 10" xfId="26254" xr:uid="{00000000-0005-0000-0000-000070660000}"/>
    <cellStyle name="Normal 2 3 2 17 3 2" xfId="26255" xr:uid="{00000000-0005-0000-0000-000071660000}"/>
    <cellStyle name="Normal 2 3 2 17 3 3" xfId="26256" xr:uid="{00000000-0005-0000-0000-000072660000}"/>
    <cellStyle name="Normal 2 3 2 17 3 4" xfId="26257" xr:uid="{00000000-0005-0000-0000-000073660000}"/>
    <cellStyle name="Normal 2 3 2 17 3 5" xfId="26258" xr:uid="{00000000-0005-0000-0000-000074660000}"/>
    <cellStyle name="Normal 2 3 2 17 3 6" xfId="26259" xr:uid="{00000000-0005-0000-0000-000075660000}"/>
    <cellStyle name="Normal 2 3 2 17 3 7" xfId="26260" xr:uid="{00000000-0005-0000-0000-000076660000}"/>
    <cellStyle name="Normal 2 3 2 17 3 8" xfId="26261" xr:uid="{00000000-0005-0000-0000-000077660000}"/>
    <cellStyle name="Normal 2 3 2 17 3 9" xfId="26262" xr:uid="{00000000-0005-0000-0000-000078660000}"/>
    <cellStyle name="Normal 2 3 2 17 4" xfId="26263" xr:uid="{00000000-0005-0000-0000-000079660000}"/>
    <cellStyle name="Normal 2 3 2 17 4 10" xfId="26264" xr:uid="{00000000-0005-0000-0000-00007A660000}"/>
    <cellStyle name="Normal 2 3 2 17 4 2" xfId="26265" xr:uid="{00000000-0005-0000-0000-00007B660000}"/>
    <cellStyle name="Normal 2 3 2 17 4 3" xfId="26266" xr:uid="{00000000-0005-0000-0000-00007C660000}"/>
    <cellStyle name="Normal 2 3 2 17 4 4" xfId="26267" xr:uid="{00000000-0005-0000-0000-00007D660000}"/>
    <cellStyle name="Normal 2 3 2 17 4 5" xfId="26268" xr:uid="{00000000-0005-0000-0000-00007E660000}"/>
    <cellStyle name="Normal 2 3 2 17 4 6" xfId="26269" xr:uid="{00000000-0005-0000-0000-00007F660000}"/>
    <cellStyle name="Normal 2 3 2 17 4 7" xfId="26270" xr:uid="{00000000-0005-0000-0000-000080660000}"/>
    <cellStyle name="Normal 2 3 2 17 4 8" xfId="26271" xr:uid="{00000000-0005-0000-0000-000081660000}"/>
    <cellStyle name="Normal 2 3 2 17 4 9" xfId="26272" xr:uid="{00000000-0005-0000-0000-000082660000}"/>
    <cellStyle name="Normal 2 3 2 17 5" xfId="26273" xr:uid="{00000000-0005-0000-0000-000083660000}"/>
    <cellStyle name="Normal 2 3 2 17 5 10" xfId="26274" xr:uid="{00000000-0005-0000-0000-000084660000}"/>
    <cellStyle name="Normal 2 3 2 17 5 2" xfId="26275" xr:uid="{00000000-0005-0000-0000-000085660000}"/>
    <cellStyle name="Normal 2 3 2 17 5 3" xfId="26276" xr:uid="{00000000-0005-0000-0000-000086660000}"/>
    <cellStyle name="Normal 2 3 2 17 5 4" xfId="26277" xr:uid="{00000000-0005-0000-0000-000087660000}"/>
    <cellStyle name="Normal 2 3 2 17 5 5" xfId="26278" xr:uid="{00000000-0005-0000-0000-000088660000}"/>
    <cellStyle name="Normal 2 3 2 17 5 6" xfId="26279" xr:uid="{00000000-0005-0000-0000-000089660000}"/>
    <cellStyle name="Normal 2 3 2 17 5 7" xfId="26280" xr:uid="{00000000-0005-0000-0000-00008A660000}"/>
    <cellStyle name="Normal 2 3 2 17 5 8" xfId="26281" xr:uid="{00000000-0005-0000-0000-00008B660000}"/>
    <cellStyle name="Normal 2 3 2 17 5 9" xfId="26282" xr:uid="{00000000-0005-0000-0000-00008C660000}"/>
    <cellStyle name="Normal 2 3 2 17 6" xfId="26283" xr:uid="{00000000-0005-0000-0000-00008D660000}"/>
    <cellStyle name="Normal 2 3 2 17 7" xfId="26284" xr:uid="{00000000-0005-0000-0000-00008E660000}"/>
    <cellStyle name="Normal 2 3 2 17 8" xfId="26285" xr:uid="{00000000-0005-0000-0000-00008F660000}"/>
    <cellStyle name="Normal 2 3 2 17 9" xfId="26286" xr:uid="{00000000-0005-0000-0000-000090660000}"/>
    <cellStyle name="Normal 2 3 2 18" xfId="26287" xr:uid="{00000000-0005-0000-0000-000091660000}"/>
    <cellStyle name="Normal 2 3 2 18 10" xfId="26288" xr:uid="{00000000-0005-0000-0000-000092660000}"/>
    <cellStyle name="Normal 2 3 2 18 11" xfId="26289" xr:uid="{00000000-0005-0000-0000-000093660000}"/>
    <cellStyle name="Normal 2 3 2 18 12" xfId="26290" xr:uid="{00000000-0005-0000-0000-000094660000}"/>
    <cellStyle name="Normal 2 3 2 18 13" xfId="26291" xr:uid="{00000000-0005-0000-0000-000095660000}"/>
    <cellStyle name="Normal 2 3 2 18 14" xfId="26292" xr:uid="{00000000-0005-0000-0000-000096660000}"/>
    <cellStyle name="Normal 2 3 2 18 2" xfId="26293" xr:uid="{00000000-0005-0000-0000-000097660000}"/>
    <cellStyle name="Normal 2 3 2 18 2 10" xfId="26294" xr:uid="{00000000-0005-0000-0000-000098660000}"/>
    <cellStyle name="Normal 2 3 2 18 2 2" xfId="26295" xr:uid="{00000000-0005-0000-0000-000099660000}"/>
    <cellStyle name="Normal 2 3 2 18 2 3" xfId="26296" xr:uid="{00000000-0005-0000-0000-00009A660000}"/>
    <cellStyle name="Normal 2 3 2 18 2 4" xfId="26297" xr:uid="{00000000-0005-0000-0000-00009B660000}"/>
    <cellStyle name="Normal 2 3 2 18 2 5" xfId="26298" xr:uid="{00000000-0005-0000-0000-00009C660000}"/>
    <cellStyle name="Normal 2 3 2 18 2 6" xfId="26299" xr:uid="{00000000-0005-0000-0000-00009D660000}"/>
    <cellStyle name="Normal 2 3 2 18 2 7" xfId="26300" xr:uid="{00000000-0005-0000-0000-00009E660000}"/>
    <cellStyle name="Normal 2 3 2 18 2 8" xfId="26301" xr:uid="{00000000-0005-0000-0000-00009F660000}"/>
    <cellStyle name="Normal 2 3 2 18 2 9" xfId="26302" xr:uid="{00000000-0005-0000-0000-0000A0660000}"/>
    <cellStyle name="Normal 2 3 2 18 3" xfId="26303" xr:uid="{00000000-0005-0000-0000-0000A1660000}"/>
    <cellStyle name="Normal 2 3 2 18 3 10" xfId="26304" xr:uid="{00000000-0005-0000-0000-0000A2660000}"/>
    <cellStyle name="Normal 2 3 2 18 3 2" xfId="26305" xr:uid="{00000000-0005-0000-0000-0000A3660000}"/>
    <cellStyle name="Normal 2 3 2 18 3 3" xfId="26306" xr:uid="{00000000-0005-0000-0000-0000A4660000}"/>
    <cellStyle name="Normal 2 3 2 18 3 4" xfId="26307" xr:uid="{00000000-0005-0000-0000-0000A5660000}"/>
    <cellStyle name="Normal 2 3 2 18 3 5" xfId="26308" xr:uid="{00000000-0005-0000-0000-0000A6660000}"/>
    <cellStyle name="Normal 2 3 2 18 3 6" xfId="26309" xr:uid="{00000000-0005-0000-0000-0000A7660000}"/>
    <cellStyle name="Normal 2 3 2 18 3 7" xfId="26310" xr:uid="{00000000-0005-0000-0000-0000A8660000}"/>
    <cellStyle name="Normal 2 3 2 18 3 8" xfId="26311" xr:uid="{00000000-0005-0000-0000-0000A9660000}"/>
    <cellStyle name="Normal 2 3 2 18 3 9" xfId="26312" xr:uid="{00000000-0005-0000-0000-0000AA660000}"/>
    <cellStyle name="Normal 2 3 2 18 4" xfId="26313" xr:uid="{00000000-0005-0000-0000-0000AB660000}"/>
    <cellStyle name="Normal 2 3 2 18 4 10" xfId="26314" xr:uid="{00000000-0005-0000-0000-0000AC660000}"/>
    <cellStyle name="Normal 2 3 2 18 4 2" xfId="26315" xr:uid="{00000000-0005-0000-0000-0000AD660000}"/>
    <cellStyle name="Normal 2 3 2 18 4 3" xfId="26316" xr:uid="{00000000-0005-0000-0000-0000AE660000}"/>
    <cellStyle name="Normal 2 3 2 18 4 4" xfId="26317" xr:uid="{00000000-0005-0000-0000-0000AF660000}"/>
    <cellStyle name="Normal 2 3 2 18 4 5" xfId="26318" xr:uid="{00000000-0005-0000-0000-0000B0660000}"/>
    <cellStyle name="Normal 2 3 2 18 4 6" xfId="26319" xr:uid="{00000000-0005-0000-0000-0000B1660000}"/>
    <cellStyle name="Normal 2 3 2 18 4 7" xfId="26320" xr:uid="{00000000-0005-0000-0000-0000B2660000}"/>
    <cellStyle name="Normal 2 3 2 18 4 8" xfId="26321" xr:uid="{00000000-0005-0000-0000-0000B3660000}"/>
    <cellStyle name="Normal 2 3 2 18 4 9" xfId="26322" xr:uid="{00000000-0005-0000-0000-0000B4660000}"/>
    <cellStyle name="Normal 2 3 2 18 5" xfId="26323" xr:uid="{00000000-0005-0000-0000-0000B5660000}"/>
    <cellStyle name="Normal 2 3 2 18 5 10" xfId="26324" xr:uid="{00000000-0005-0000-0000-0000B6660000}"/>
    <cellStyle name="Normal 2 3 2 18 5 2" xfId="26325" xr:uid="{00000000-0005-0000-0000-0000B7660000}"/>
    <cellStyle name="Normal 2 3 2 18 5 3" xfId="26326" xr:uid="{00000000-0005-0000-0000-0000B8660000}"/>
    <cellStyle name="Normal 2 3 2 18 5 4" xfId="26327" xr:uid="{00000000-0005-0000-0000-0000B9660000}"/>
    <cellStyle name="Normal 2 3 2 18 5 5" xfId="26328" xr:uid="{00000000-0005-0000-0000-0000BA660000}"/>
    <cellStyle name="Normal 2 3 2 18 5 6" xfId="26329" xr:uid="{00000000-0005-0000-0000-0000BB660000}"/>
    <cellStyle name="Normal 2 3 2 18 5 7" xfId="26330" xr:uid="{00000000-0005-0000-0000-0000BC660000}"/>
    <cellStyle name="Normal 2 3 2 18 5 8" xfId="26331" xr:uid="{00000000-0005-0000-0000-0000BD660000}"/>
    <cellStyle name="Normal 2 3 2 18 5 9" xfId="26332" xr:uid="{00000000-0005-0000-0000-0000BE660000}"/>
    <cellStyle name="Normal 2 3 2 18 6" xfId="26333" xr:uid="{00000000-0005-0000-0000-0000BF660000}"/>
    <cellStyle name="Normal 2 3 2 18 7" xfId="26334" xr:uid="{00000000-0005-0000-0000-0000C0660000}"/>
    <cellStyle name="Normal 2 3 2 18 8" xfId="26335" xr:uid="{00000000-0005-0000-0000-0000C1660000}"/>
    <cellStyle name="Normal 2 3 2 18 9" xfId="26336" xr:uid="{00000000-0005-0000-0000-0000C2660000}"/>
    <cellStyle name="Normal 2 3 2 19" xfId="26337" xr:uid="{00000000-0005-0000-0000-0000C3660000}"/>
    <cellStyle name="Normal 2 3 2 19 10" xfId="26338" xr:uid="{00000000-0005-0000-0000-0000C4660000}"/>
    <cellStyle name="Normal 2 3 2 19 11" xfId="26339" xr:uid="{00000000-0005-0000-0000-0000C5660000}"/>
    <cellStyle name="Normal 2 3 2 19 12" xfId="26340" xr:uid="{00000000-0005-0000-0000-0000C6660000}"/>
    <cellStyle name="Normal 2 3 2 19 13" xfId="26341" xr:uid="{00000000-0005-0000-0000-0000C7660000}"/>
    <cellStyle name="Normal 2 3 2 19 14" xfId="26342" xr:uid="{00000000-0005-0000-0000-0000C8660000}"/>
    <cellStyle name="Normal 2 3 2 19 2" xfId="26343" xr:uid="{00000000-0005-0000-0000-0000C9660000}"/>
    <cellStyle name="Normal 2 3 2 19 2 10" xfId="26344" xr:uid="{00000000-0005-0000-0000-0000CA660000}"/>
    <cellStyle name="Normal 2 3 2 19 2 2" xfId="26345" xr:uid="{00000000-0005-0000-0000-0000CB660000}"/>
    <cellStyle name="Normal 2 3 2 19 2 3" xfId="26346" xr:uid="{00000000-0005-0000-0000-0000CC660000}"/>
    <cellStyle name="Normal 2 3 2 19 2 4" xfId="26347" xr:uid="{00000000-0005-0000-0000-0000CD660000}"/>
    <cellStyle name="Normal 2 3 2 19 2 5" xfId="26348" xr:uid="{00000000-0005-0000-0000-0000CE660000}"/>
    <cellStyle name="Normal 2 3 2 19 2 6" xfId="26349" xr:uid="{00000000-0005-0000-0000-0000CF660000}"/>
    <cellStyle name="Normal 2 3 2 19 2 7" xfId="26350" xr:uid="{00000000-0005-0000-0000-0000D0660000}"/>
    <cellStyle name="Normal 2 3 2 19 2 8" xfId="26351" xr:uid="{00000000-0005-0000-0000-0000D1660000}"/>
    <cellStyle name="Normal 2 3 2 19 2 9" xfId="26352" xr:uid="{00000000-0005-0000-0000-0000D2660000}"/>
    <cellStyle name="Normal 2 3 2 19 3" xfId="26353" xr:uid="{00000000-0005-0000-0000-0000D3660000}"/>
    <cellStyle name="Normal 2 3 2 19 3 10" xfId="26354" xr:uid="{00000000-0005-0000-0000-0000D4660000}"/>
    <cellStyle name="Normal 2 3 2 19 3 2" xfId="26355" xr:uid="{00000000-0005-0000-0000-0000D5660000}"/>
    <cellStyle name="Normal 2 3 2 19 3 3" xfId="26356" xr:uid="{00000000-0005-0000-0000-0000D6660000}"/>
    <cellStyle name="Normal 2 3 2 19 3 4" xfId="26357" xr:uid="{00000000-0005-0000-0000-0000D7660000}"/>
    <cellStyle name="Normal 2 3 2 19 3 5" xfId="26358" xr:uid="{00000000-0005-0000-0000-0000D8660000}"/>
    <cellStyle name="Normal 2 3 2 19 3 6" xfId="26359" xr:uid="{00000000-0005-0000-0000-0000D9660000}"/>
    <cellStyle name="Normal 2 3 2 19 3 7" xfId="26360" xr:uid="{00000000-0005-0000-0000-0000DA660000}"/>
    <cellStyle name="Normal 2 3 2 19 3 8" xfId="26361" xr:uid="{00000000-0005-0000-0000-0000DB660000}"/>
    <cellStyle name="Normal 2 3 2 19 3 9" xfId="26362" xr:uid="{00000000-0005-0000-0000-0000DC660000}"/>
    <cellStyle name="Normal 2 3 2 19 4" xfId="26363" xr:uid="{00000000-0005-0000-0000-0000DD660000}"/>
    <cellStyle name="Normal 2 3 2 19 4 10" xfId="26364" xr:uid="{00000000-0005-0000-0000-0000DE660000}"/>
    <cellStyle name="Normal 2 3 2 19 4 2" xfId="26365" xr:uid="{00000000-0005-0000-0000-0000DF660000}"/>
    <cellStyle name="Normal 2 3 2 19 4 3" xfId="26366" xr:uid="{00000000-0005-0000-0000-0000E0660000}"/>
    <cellStyle name="Normal 2 3 2 19 4 4" xfId="26367" xr:uid="{00000000-0005-0000-0000-0000E1660000}"/>
    <cellStyle name="Normal 2 3 2 19 4 5" xfId="26368" xr:uid="{00000000-0005-0000-0000-0000E2660000}"/>
    <cellStyle name="Normal 2 3 2 19 4 6" xfId="26369" xr:uid="{00000000-0005-0000-0000-0000E3660000}"/>
    <cellStyle name="Normal 2 3 2 19 4 7" xfId="26370" xr:uid="{00000000-0005-0000-0000-0000E4660000}"/>
    <cellStyle name="Normal 2 3 2 19 4 8" xfId="26371" xr:uid="{00000000-0005-0000-0000-0000E5660000}"/>
    <cellStyle name="Normal 2 3 2 19 4 9" xfId="26372" xr:uid="{00000000-0005-0000-0000-0000E6660000}"/>
    <cellStyle name="Normal 2 3 2 19 5" xfId="26373" xr:uid="{00000000-0005-0000-0000-0000E7660000}"/>
    <cellStyle name="Normal 2 3 2 19 5 10" xfId="26374" xr:uid="{00000000-0005-0000-0000-0000E8660000}"/>
    <cellStyle name="Normal 2 3 2 19 5 2" xfId="26375" xr:uid="{00000000-0005-0000-0000-0000E9660000}"/>
    <cellStyle name="Normal 2 3 2 19 5 3" xfId="26376" xr:uid="{00000000-0005-0000-0000-0000EA660000}"/>
    <cellStyle name="Normal 2 3 2 19 5 4" xfId="26377" xr:uid="{00000000-0005-0000-0000-0000EB660000}"/>
    <cellStyle name="Normal 2 3 2 19 5 5" xfId="26378" xr:uid="{00000000-0005-0000-0000-0000EC660000}"/>
    <cellStyle name="Normal 2 3 2 19 5 6" xfId="26379" xr:uid="{00000000-0005-0000-0000-0000ED660000}"/>
    <cellStyle name="Normal 2 3 2 19 5 7" xfId="26380" xr:uid="{00000000-0005-0000-0000-0000EE660000}"/>
    <cellStyle name="Normal 2 3 2 19 5 8" xfId="26381" xr:uid="{00000000-0005-0000-0000-0000EF660000}"/>
    <cellStyle name="Normal 2 3 2 19 5 9" xfId="26382" xr:uid="{00000000-0005-0000-0000-0000F0660000}"/>
    <cellStyle name="Normal 2 3 2 19 6" xfId="26383" xr:uid="{00000000-0005-0000-0000-0000F1660000}"/>
    <cellStyle name="Normal 2 3 2 19 7" xfId="26384" xr:uid="{00000000-0005-0000-0000-0000F2660000}"/>
    <cellStyle name="Normal 2 3 2 19 8" xfId="26385" xr:uid="{00000000-0005-0000-0000-0000F3660000}"/>
    <cellStyle name="Normal 2 3 2 19 9" xfId="26386" xr:uid="{00000000-0005-0000-0000-0000F4660000}"/>
    <cellStyle name="Normal 2 3 2 2" xfId="26387" xr:uid="{00000000-0005-0000-0000-0000F5660000}"/>
    <cellStyle name="Normal 2 3 2 2 10" xfId="26388" xr:uid="{00000000-0005-0000-0000-0000F6660000}"/>
    <cellStyle name="Normal 2 3 2 2 11" xfId="26389" xr:uid="{00000000-0005-0000-0000-0000F7660000}"/>
    <cellStyle name="Normal 2 3 2 2 12" xfId="26390" xr:uid="{00000000-0005-0000-0000-0000F8660000}"/>
    <cellStyle name="Normal 2 3 2 2 13" xfId="26391" xr:uid="{00000000-0005-0000-0000-0000F9660000}"/>
    <cellStyle name="Normal 2 3 2 2 14" xfId="26392" xr:uid="{00000000-0005-0000-0000-0000FA660000}"/>
    <cellStyle name="Normal 2 3 2 2 15" xfId="26393" xr:uid="{00000000-0005-0000-0000-0000FB660000}"/>
    <cellStyle name="Normal 2 3 2 2 16" xfId="26394" xr:uid="{00000000-0005-0000-0000-0000FC660000}"/>
    <cellStyle name="Normal 2 3 2 2 2" xfId="26395" xr:uid="{00000000-0005-0000-0000-0000FD660000}"/>
    <cellStyle name="Normal 2 3 2 2 2 10" xfId="26396" xr:uid="{00000000-0005-0000-0000-0000FE660000}"/>
    <cellStyle name="Normal 2 3 2 2 2 11" xfId="26397" xr:uid="{00000000-0005-0000-0000-0000FF660000}"/>
    <cellStyle name="Normal 2 3 2 2 2 12" xfId="26398" xr:uid="{00000000-0005-0000-0000-000000670000}"/>
    <cellStyle name="Normal 2 3 2 2 2 2" xfId="26399" xr:uid="{00000000-0005-0000-0000-000001670000}"/>
    <cellStyle name="Normal 2 3 2 2 2 3" xfId="26400" xr:uid="{00000000-0005-0000-0000-000002670000}"/>
    <cellStyle name="Normal 2 3 2 2 2 4" xfId="26401" xr:uid="{00000000-0005-0000-0000-000003670000}"/>
    <cellStyle name="Normal 2 3 2 2 2 5" xfId="26402" xr:uid="{00000000-0005-0000-0000-000004670000}"/>
    <cellStyle name="Normal 2 3 2 2 2 6" xfId="26403" xr:uid="{00000000-0005-0000-0000-000005670000}"/>
    <cellStyle name="Normal 2 3 2 2 2 7" xfId="26404" xr:uid="{00000000-0005-0000-0000-000006670000}"/>
    <cellStyle name="Normal 2 3 2 2 2 8" xfId="26405" xr:uid="{00000000-0005-0000-0000-000007670000}"/>
    <cellStyle name="Normal 2 3 2 2 2 9" xfId="26406" xr:uid="{00000000-0005-0000-0000-000008670000}"/>
    <cellStyle name="Normal 2 3 2 2 3" xfId="26407" xr:uid="{00000000-0005-0000-0000-000009670000}"/>
    <cellStyle name="Normal 2 3 2 2 3 10" xfId="26408" xr:uid="{00000000-0005-0000-0000-00000A670000}"/>
    <cellStyle name="Normal 2 3 2 2 3 2" xfId="26409" xr:uid="{00000000-0005-0000-0000-00000B670000}"/>
    <cellStyle name="Normal 2 3 2 2 3 3" xfId="26410" xr:uid="{00000000-0005-0000-0000-00000C670000}"/>
    <cellStyle name="Normal 2 3 2 2 3 4" xfId="26411" xr:uid="{00000000-0005-0000-0000-00000D670000}"/>
    <cellStyle name="Normal 2 3 2 2 3 5" xfId="26412" xr:uid="{00000000-0005-0000-0000-00000E670000}"/>
    <cellStyle name="Normal 2 3 2 2 3 6" xfId="26413" xr:uid="{00000000-0005-0000-0000-00000F670000}"/>
    <cellStyle name="Normal 2 3 2 2 3 7" xfId="26414" xr:uid="{00000000-0005-0000-0000-000010670000}"/>
    <cellStyle name="Normal 2 3 2 2 3 8" xfId="26415" xr:uid="{00000000-0005-0000-0000-000011670000}"/>
    <cellStyle name="Normal 2 3 2 2 3 9" xfId="26416" xr:uid="{00000000-0005-0000-0000-000012670000}"/>
    <cellStyle name="Normal 2 3 2 2 4" xfId="26417" xr:uid="{00000000-0005-0000-0000-000013670000}"/>
    <cellStyle name="Normal 2 3 2 2 4 10" xfId="26418" xr:uid="{00000000-0005-0000-0000-000014670000}"/>
    <cellStyle name="Normal 2 3 2 2 4 2" xfId="26419" xr:uid="{00000000-0005-0000-0000-000015670000}"/>
    <cellStyle name="Normal 2 3 2 2 4 3" xfId="26420" xr:uid="{00000000-0005-0000-0000-000016670000}"/>
    <cellStyle name="Normal 2 3 2 2 4 4" xfId="26421" xr:uid="{00000000-0005-0000-0000-000017670000}"/>
    <cellStyle name="Normal 2 3 2 2 4 5" xfId="26422" xr:uid="{00000000-0005-0000-0000-000018670000}"/>
    <cellStyle name="Normal 2 3 2 2 4 6" xfId="26423" xr:uid="{00000000-0005-0000-0000-000019670000}"/>
    <cellStyle name="Normal 2 3 2 2 4 7" xfId="26424" xr:uid="{00000000-0005-0000-0000-00001A670000}"/>
    <cellStyle name="Normal 2 3 2 2 4 8" xfId="26425" xr:uid="{00000000-0005-0000-0000-00001B670000}"/>
    <cellStyle name="Normal 2 3 2 2 4 9" xfId="26426" xr:uid="{00000000-0005-0000-0000-00001C670000}"/>
    <cellStyle name="Normal 2 3 2 2 5" xfId="26427" xr:uid="{00000000-0005-0000-0000-00001D670000}"/>
    <cellStyle name="Normal 2 3 2 2 5 10" xfId="26428" xr:uid="{00000000-0005-0000-0000-00001E670000}"/>
    <cellStyle name="Normal 2 3 2 2 5 2" xfId="26429" xr:uid="{00000000-0005-0000-0000-00001F670000}"/>
    <cellStyle name="Normal 2 3 2 2 5 3" xfId="26430" xr:uid="{00000000-0005-0000-0000-000020670000}"/>
    <cellStyle name="Normal 2 3 2 2 5 4" xfId="26431" xr:uid="{00000000-0005-0000-0000-000021670000}"/>
    <cellStyle name="Normal 2 3 2 2 5 5" xfId="26432" xr:uid="{00000000-0005-0000-0000-000022670000}"/>
    <cellStyle name="Normal 2 3 2 2 5 6" xfId="26433" xr:uid="{00000000-0005-0000-0000-000023670000}"/>
    <cellStyle name="Normal 2 3 2 2 5 7" xfId="26434" xr:uid="{00000000-0005-0000-0000-000024670000}"/>
    <cellStyle name="Normal 2 3 2 2 5 8" xfId="26435" xr:uid="{00000000-0005-0000-0000-000025670000}"/>
    <cellStyle name="Normal 2 3 2 2 5 9" xfId="26436" xr:uid="{00000000-0005-0000-0000-000026670000}"/>
    <cellStyle name="Normal 2 3 2 2 6" xfId="26437" xr:uid="{00000000-0005-0000-0000-000027670000}"/>
    <cellStyle name="Normal 2 3 2 2 7" xfId="26438" xr:uid="{00000000-0005-0000-0000-000028670000}"/>
    <cellStyle name="Normal 2 3 2 2 8" xfId="26439" xr:uid="{00000000-0005-0000-0000-000029670000}"/>
    <cellStyle name="Normal 2 3 2 2 9" xfId="26440" xr:uid="{00000000-0005-0000-0000-00002A670000}"/>
    <cellStyle name="Normal 2 3 2 20" xfId="26441" xr:uid="{00000000-0005-0000-0000-00002B670000}"/>
    <cellStyle name="Normal 2 3 2 20 10" xfId="26442" xr:uid="{00000000-0005-0000-0000-00002C670000}"/>
    <cellStyle name="Normal 2 3 2 20 11" xfId="26443" xr:uid="{00000000-0005-0000-0000-00002D670000}"/>
    <cellStyle name="Normal 2 3 2 20 12" xfId="26444" xr:uid="{00000000-0005-0000-0000-00002E670000}"/>
    <cellStyle name="Normal 2 3 2 20 13" xfId="26445" xr:uid="{00000000-0005-0000-0000-00002F670000}"/>
    <cellStyle name="Normal 2 3 2 20 14" xfId="26446" xr:uid="{00000000-0005-0000-0000-000030670000}"/>
    <cellStyle name="Normal 2 3 2 20 2" xfId="26447" xr:uid="{00000000-0005-0000-0000-000031670000}"/>
    <cellStyle name="Normal 2 3 2 20 2 10" xfId="26448" xr:uid="{00000000-0005-0000-0000-000032670000}"/>
    <cellStyle name="Normal 2 3 2 20 2 2" xfId="26449" xr:uid="{00000000-0005-0000-0000-000033670000}"/>
    <cellStyle name="Normal 2 3 2 20 2 3" xfId="26450" xr:uid="{00000000-0005-0000-0000-000034670000}"/>
    <cellStyle name="Normal 2 3 2 20 2 4" xfId="26451" xr:uid="{00000000-0005-0000-0000-000035670000}"/>
    <cellStyle name="Normal 2 3 2 20 2 5" xfId="26452" xr:uid="{00000000-0005-0000-0000-000036670000}"/>
    <cellStyle name="Normal 2 3 2 20 2 6" xfId="26453" xr:uid="{00000000-0005-0000-0000-000037670000}"/>
    <cellStyle name="Normal 2 3 2 20 2 7" xfId="26454" xr:uid="{00000000-0005-0000-0000-000038670000}"/>
    <cellStyle name="Normal 2 3 2 20 2 8" xfId="26455" xr:uid="{00000000-0005-0000-0000-000039670000}"/>
    <cellStyle name="Normal 2 3 2 20 2 9" xfId="26456" xr:uid="{00000000-0005-0000-0000-00003A670000}"/>
    <cellStyle name="Normal 2 3 2 20 3" xfId="26457" xr:uid="{00000000-0005-0000-0000-00003B670000}"/>
    <cellStyle name="Normal 2 3 2 20 3 10" xfId="26458" xr:uid="{00000000-0005-0000-0000-00003C670000}"/>
    <cellStyle name="Normal 2 3 2 20 3 2" xfId="26459" xr:uid="{00000000-0005-0000-0000-00003D670000}"/>
    <cellStyle name="Normal 2 3 2 20 3 3" xfId="26460" xr:uid="{00000000-0005-0000-0000-00003E670000}"/>
    <cellStyle name="Normal 2 3 2 20 3 4" xfId="26461" xr:uid="{00000000-0005-0000-0000-00003F670000}"/>
    <cellStyle name="Normal 2 3 2 20 3 5" xfId="26462" xr:uid="{00000000-0005-0000-0000-000040670000}"/>
    <cellStyle name="Normal 2 3 2 20 3 6" xfId="26463" xr:uid="{00000000-0005-0000-0000-000041670000}"/>
    <cellStyle name="Normal 2 3 2 20 3 7" xfId="26464" xr:uid="{00000000-0005-0000-0000-000042670000}"/>
    <cellStyle name="Normal 2 3 2 20 3 8" xfId="26465" xr:uid="{00000000-0005-0000-0000-000043670000}"/>
    <cellStyle name="Normal 2 3 2 20 3 9" xfId="26466" xr:uid="{00000000-0005-0000-0000-000044670000}"/>
    <cellStyle name="Normal 2 3 2 20 4" xfId="26467" xr:uid="{00000000-0005-0000-0000-000045670000}"/>
    <cellStyle name="Normal 2 3 2 20 4 10" xfId="26468" xr:uid="{00000000-0005-0000-0000-000046670000}"/>
    <cellStyle name="Normal 2 3 2 20 4 2" xfId="26469" xr:uid="{00000000-0005-0000-0000-000047670000}"/>
    <cellStyle name="Normal 2 3 2 20 4 3" xfId="26470" xr:uid="{00000000-0005-0000-0000-000048670000}"/>
    <cellStyle name="Normal 2 3 2 20 4 4" xfId="26471" xr:uid="{00000000-0005-0000-0000-000049670000}"/>
    <cellStyle name="Normal 2 3 2 20 4 5" xfId="26472" xr:uid="{00000000-0005-0000-0000-00004A670000}"/>
    <cellStyle name="Normal 2 3 2 20 4 6" xfId="26473" xr:uid="{00000000-0005-0000-0000-00004B670000}"/>
    <cellStyle name="Normal 2 3 2 20 4 7" xfId="26474" xr:uid="{00000000-0005-0000-0000-00004C670000}"/>
    <cellStyle name="Normal 2 3 2 20 4 8" xfId="26475" xr:uid="{00000000-0005-0000-0000-00004D670000}"/>
    <cellStyle name="Normal 2 3 2 20 4 9" xfId="26476" xr:uid="{00000000-0005-0000-0000-00004E670000}"/>
    <cellStyle name="Normal 2 3 2 20 5" xfId="26477" xr:uid="{00000000-0005-0000-0000-00004F670000}"/>
    <cellStyle name="Normal 2 3 2 20 5 10" xfId="26478" xr:uid="{00000000-0005-0000-0000-000050670000}"/>
    <cellStyle name="Normal 2 3 2 20 5 2" xfId="26479" xr:uid="{00000000-0005-0000-0000-000051670000}"/>
    <cellStyle name="Normal 2 3 2 20 5 3" xfId="26480" xr:uid="{00000000-0005-0000-0000-000052670000}"/>
    <cellStyle name="Normal 2 3 2 20 5 4" xfId="26481" xr:uid="{00000000-0005-0000-0000-000053670000}"/>
    <cellStyle name="Normal 2 3 2 20 5 5" xfId="26482" xr:uid="{00000000-0005-0000-0000-000054670000}"/>
    <cellStyle name="Normal 2 3 2 20 5 6" xfId="26483" xr:uid="{00000000-0005-0000-0000-000055670000}"/>
    <cellStyle name="Normal 2 3 2 20 5 7" xfId="26484" xr:uid="{00000000-0005-0000-0000-000056670000}"/>
    <cellStyle name="Normal 2 3 2 20 5 8" xfId="26485" xr:uid="{00000000-0005-0000-0000-000057670000}"/>
    <cellStyle name="Normal 2 3 2 20 5 9" xfId="26486" xr:uid="{00000000-0005-0000-0000-000058670000}"/>
    <cellStyle name="Normal 2 3 2 20 6" xfId="26487" xr:uid="{00000000-0005-0000-0000-000059670000}"/>
    <cellStyle name="Normal 2 3 2 20 7" xfId="26488" xr:uid="{00000000-0005-0000-0000-00005A670000}"/>
    <cellStyle name="Normal 2 3 2 20 8" xfId="26489" xr:uid="{00000000-0005-0000-0000-00005B670000}"/>
    <cellStyle name="Normal 2 3 2 20 9" xfId="26490" xr:uid="{00000000-0005-0000-0000-00005C670000}"/>
    <cellStyle name="Normal 2 3 2 21" xfId="26491" xr:uid="{00000000-0005-0000-0000-00005D670000}"/>
    <cellStyle name="Normal 2 3 2 21 10" xfId="26492" xr:uid="{00000000-0005-0000-0000-00005E670000}"/>
    <cellStyle name="Normal 2 3 2 21 11" xfId="26493" xr:uid="{00000000-0005-0000-0000-00005F670000}"/>
    <cellStyle name="Normal 2 3 2 21 12" xfId="26494" xr:uid="{00000000-0005-0000-0000-000060670000}"/>
    <cellStyle name="Normal 2 3 2 21 13" xfId="26495" xr:uid="{00000000-0005-0000-0000-000061670000}"/>
    <cellStyle name="Normal 2 3 2 21 14" xfId="26496" xr:uid="{00000000-0005-0000-0000-000062670000}"/>
    <cellStyle name="Normal 2 3 2 21 2" xfId="26497" xr:uid="{00000000-0005-0000-0000-000063670000}"/>
    <cellStyle name="Normal 2 3 2 21 2 10" xfId="26498" xr:uid="{00000000-0005-0000-0000-000064670000}"/>
    <cellStyle name="Normal 2 3 2 21 2 2" xfId="26499" xr:uid="{00000000-0005-0000-0000-000065670000}"/>
    <cellStyle name="Normal 2 3 2 21 2 3" xfId="26500" xr:uid="{00000000-0005-0000-0000-000066670000}"/>
    <cellStyle name="Normal 2 3 2 21 2 4" xfId="26501" xr:uid="{00000000-0005-0000-0000-000067670000}"/>
    <cellStyle name="Normal 2 3 2 21 2 5" xfId="26502" xr:uid="{00000000-0005-0000-0000-000068670000}"/>
    <cellStyle name="Normal 2 3 2 21 2 6" xfId="26503" xr:uid="{00000000-0005-0000-0000-000069670000}"/>
    <cellStyle name="Normal 2 3 2 21 2 7" xfId="26504" xr:uid="{00000000-0005-0000-0000-00006A670000}"/>
    <cellStyle name="Normal 2 3 2 21 2 8" xfId="26505" xr:uid="{00000000-0005-0000-0000-00006B670000}"/>
    <cellStyle name="Normal 2 3 2 21 2 9" xfId="26506" xr:uid="{00000000-0005-0000-0000-00006C670000}"/>
    <cellStyle name="Normal 2 3 2 21 3" xfId="26507" xr:uid="{00000000-0005-0000-0000-00006D670000}"/>
    <cellStyle name="Normal 2 3 2 21 3 10" xfId="26508" xr:uid="{00000000-0005-0000-0000-00006E670000}"/>
    <cellStyle name="Normal 2 3 2 21 3 2" xfId="26509" xr:uid="{00000000-0005-0000-0000-00006F670000}"/>
    <cellStyle name="Normal 2 3 2 21 3 3" xfId="26510" xr:uid="{00000000-0005-0000-0000-000070670000}"/>
    <cellStyle name="Normal 2 3 2 21 3 4" xfId="26511" xr:uid="{00000000-0005-0000-0000-000071670000}"/>
    <cellStyle name="Normal 2 3 2 21 3 5" xfId="26512" xr:uid="{00000000-0005-0000-0000-000072670000}"/>
    <cellStyle name="Normal 2 3 2 21 3 6" xfId="26513" xr:uid="{00000000-0005-0000-0000-000073670000}"/>
    <cellStyle name="Normal 2 3 2 21 3 7" xfId="26514" xr:uid="{00000000-0005-0000-0000-000074670000}"/>
    <cellStyle name="Normal 2 3 2 21 3 8" xfId="26515" xr:uid="{00000000-0005-0000-0000-000075670000}"/>
    <cellStyle name="Normal 2 3 2 21 3 9" xfId="26516" xr:uid="{00000000-0005-0000-0000-000076670000}"/>
    <cellStyle name="Normal 2 3 2 21 4" xfId="26517" xr:uid="{00000000-0005-0000-0000-000077670000}"/>
    <cellStyle name="Normal 2 3 2 21 4 10" xfId="26518" xr:uid="{00000000-0005-0000-0000-000078670000}"/>
    <cellStyle name="Normal 2 3 2 21 4 2" xfId="26519" xr:uid="{00000000-0005-0000-0000-000079670000}"/>
    <cellStyle name="Normal 2 3 2 21 4 3" xfId="26520" xr:uid="{00000000-0005-0000-0000-00007A670000}"/>
    <cellStyle name="Normal 2 3 2 21 4 4" xfId="26521" xr:uid="{00000000-0005-0000-0000-00007B670000}"/>
    <cellStyle name="Normal 2 3 2 21 4 5" xfId="26522" xr:uid="{00000000-0005-0000-0000-00007C670000}"/>
    <cellStyle name="Normal 2 3 2 21 4 6" xfId="26523" xr:uid="{00000000-0005-0000-0000-00007D670000}"/>
    <cellStyle name="Normal 2 3 2 21 4 7" xfId="26524" xr:uid="{00000000-0005-0000-0000-00007E670000}"/>
    <cellStyle name="Normal 2 3 2 21 4 8" xfId="26525" xr:uid="{00000000-0005-0000-0000-00007F670000}"/>
    <cellStyle name="Normal 2 3 2 21 4 9" xfId="26526" xr:uid="{00000000-0005-0000-0000-000080670000}"/>
    <cellStyle name="Normal 2 3 2 21 5" xfId="26527" xr:uid="{00000000-0005-0000-0000-000081670000}"/>
    <cellStyle name="Normal 2 3 2 21 5 10" xfId="26528" xr:uid="{00000000-0005-0000-0000-000082670000}"/>
    <cellStyle name="Normal 2 3 2 21 5 2" xfId="26529" xr:uid="{00000000-0005-0000-0000-000083670000}"/>
    <cellStyle name="Normal 2 3 2 21 5 3" xfId="26530" xr:uid="{00000000-0005-0000-0000-000084670000}"/>
    <cellStyle name="Normal 2 3 2 21 5 4" xfId="26531" xr:uid="{00000000-0005-0000-0000-000085670000}"/>
    <cellStyle name="Normal 2 3 2 21 5 5" xfId="26532" xr:uid="{00000000-0005-0000-0000-000086670000}"/>
    <cellStyle name="Normal 2 3 2 21 5 6" xfId="26533" xr:uid="{00000000-0005-0000-0000-000087670000}"/>
    <cellStyle name="Normal 2 3 2 21 5 7" xfId="26534" xr:uid="{00000000-0005-0000-0000-000088670000}"/>
    <cellStyle name="Normal 2 3 2 21 5 8" xfId="26535" xr:uid="{00000000-0005-0000-0000-000089670000}"/>
    <cellStyle name="Normal 2 3 2 21 5 9" xfId="26536" xr:uid="{00000000-0005-0000-0000-00008A670000}"/>
    <cellStyle name="Normal 2 3 2 21 6" xfId="26537" xr:uid="{00000000-0005-0000-0000-00008B670000}"/>
    <cellStyle name="Normal 2 3 2 21 7" xfId="26538" xr:uid="{00000000-0005-0000-0000-00008C670000}"/>
    <cellStyle name="Normal 2 3 2 21 8" xfId="26539" xr:uid="{00000000-0005-0000-0000-00008D670000}"/>
    <cellStyle name="Normal 2 3 2 21 9" xfId="26540" xr:uid="{00000000-0005-0000-0000-00008E670000}"/>
    <cellStyle name="Normal 2 3 2 22" xfId="26541" xr:uid="{00000000-0005-0000-0000-00008F670000}"/>
    <cellStyle name="Normal 2 3 2 22 10" xfId="26542" xr:uid="{00000000-0005-0000-0000-000090670000}"/>
    <cellStyle name="Normal 2 3 2 22 11" xfId="26543" xr:uid="{00000000-0005-0000-0000-000091670000}"/>
    <cellStyle name="Normal 2 3 2 22 12" xfId="26544" xr:uid="{00000000-0005-0000-0000-000092670000}"/>
    <cellStyle name="Normal 2 3 2 22 13" xfId="26545" xr:uid="{00000000-0005-0000-0000-000093670000}"/>
    <cellStyle name="Normal 2 3 2 22 14" xfId="26546" xr:uid="{00000000-0005-0000-0000-000094670000}"/>
    <cellStyle name="Normal 2 3 2 22 2" xfId="26547" xr:uid="{00000000-0005-0000-0000-000095670000}"/>
    <cellStyle name="Normal 2 3 2 22 2 10" xfId="26548" xr:uid="{00000000-0005-0000-0000-000096670000}"/>
    <cellStyle name="Normal 2 3 2 22 2 2" xfId="26549" xr:uid="{00000000-0005-0000-0000-000097670000}"/>
    <cellStyle name="Normal 2 3 2 22 2 3" xfId="26550" xr:uid="{00000000-0005-0000-0000-000098670000}"/>
    <cellStyle name="Normal 2 3 2 22 2 4" xfId="26551" xr:uid="{00000000-0005-0000-0000-000099670000}"/>
    <cellStyle name="Normal 2 3 2 22 2 5" xfId="26552" xr:uid="{00000000-0005-0000-0000-00009A670000}"/>
    <cellStyle name="Normal 2 3 2 22 2 6" xfId="26553" xr:uid="{00000000-0005-0000-0000-00009B670000}"/>
    <cellStyle name="Normal 2 3 2 22 2 7" xfId="26554" xr:uid="{00000000-0005-0000-0000-00009C670000}"/>
    <cellStyle name="Normal 2 3 2 22 2 8" xfId="26555" xr:uid="{00000000-0005-0000-0000-00009D670000}"/>
    <cellStyle name="Normal 2 3 2 22 2 9" xfId="26556" xr:uid="{00000000-0005-0000-0000-00009E670000}"/>
    <cellStyle name="Normal 2 3 2 22 3" xfId="26557" xr:uid="{00000000-0005-0000-0000-00009F670000}"/>
    <cellStyle name="Normal 2 3 2 22 3 10" xfId="26558" xr:uid="{00000000-0005-0000-0000-0000A0670000}"/>
    <cellStyle name="Normal 2 3 2 22 3 2" xfId="26559" xr:uid="{00000000-0005-0000-0000-0000A1670000}"/>
    <cellStyle name="Normal 2 3 2 22 3 3" xfId="26560" xr:uid="{00000000-0005-0000-0000-0000A2670000}"/>
    <cellStyle name="Normal 2 3 2 22 3 4" xfId="26561" xr:uid="{00000000-0005-0000-0000-0000A3670000}"/>
    <cellStyle name="Normal 2 3 2 22 3 5" xfId="26562" xr:uid="{00000000-0005-0000-0000-0000A4670000}"/>
    <cellStyle name="Normal 2 3 2 22 3 6" xfId="26563" xr:uid="{00000000-0005-0000-0000-0000A5670000}"/>
    <cellStyle name="Normal 2 3 2 22 3 7" xfId="26564" xr:uid="{00000000-0005-0000-0000-0000A6670000}"/>
    <cellStyle name="Normal 2 3 2 22 3 8" xfId="26565" xr:uid="{00000000-0005-0000-0000-0000A7670000}"/>
    <cellStyle name="Normal 2 3 2 22 3 9" xfId="26566" xr:uid="{00000000-0005-0000-0000-0000A8670000}"/>
    <cellStyle name="Normal 2 3 2 22 4" xfId="26567" xr:uid="{00000000-0005-0000-0000-0000A9670000}"/>
    <cellStyle name="Normal 2 3 2 22 4 10" xfId="26568" xr:uid="{00000000-0005-0000-0000-0000AA670000}"/>
    <cellStyle name="Normal 2 3 2 22 4 2" xfId="26569" xr:uid="{00000000-0005-0000-0000-0000AB670000}"/>
    <cellStyle name="Normal 2 3 2 22 4 3" xfId="26570" xr:uid="{00000000-0005-0000-0000-0000AC670000}"/>
    <cellStyle name="Normal 2 3 2 22 4 4" xfId="26571" xr:uid="{00000000-0005-0000-0000-0000AD670000}"/>
    <cellStyle name="Normal 2 3 2 22 4 5" xfId="26572" xr:uid="{00000000-0005-0000-0000-0000AE670000}"/>
    <cellStyle name="Normal 2 3 2 22 4 6" xfId="26573" xr:uid="{00000000-0005-0000-0000-0000AF670000}"/>
    <cellStyle name="Normal 2 3 2 22 4 7" xfId="26574" xr:uid="{00000000-0005-0000-0000-0000B0670000}"/>
    <cellStyle name="Normal 2 3 2 22 4 8" xfId="26575" xr:uid="{00000000-0005-0000-0000-0000B1670000}"/>
    <cellStyle name="Normal 2 3 2 22 4 9" xfId="26576" xr:uid="{00000000-0005-0000-0000-0000B2670000}"/>
    <cellStyle name="Normal 2 3 2 22 5" xfId="26577" xr:uid="{00000000-0005-0000-0000-0000B3670000}"/>
    <cellStyle name="Normal 2 3 2 22 5 10" xfId="26578" xr:uid="{00000000-0005-0000-0000-0000B4670000}"/>
    <cellStyle name="Normal 2 3 2 22 5 2" xfId="26579" xr:uid="{00000000-0005-0000-0000-0000B5670000}"/>
    <cellStyle name="Normal 2 3 2 22 5 3" xfId="26580" xr:uid="{00000000-0005-0000-0000-0000B6670000}"/>
    <cellStyle name="Normal 2 3 2 22 5 4" xfId="26581" xr:uid="{00000000-0005-0000-0000-0000B7670000}"/>
    <cellStyle name="Normal 2 3 2 22 5 5" xfId="26582" xr:uid="{00000000-0005-0000-0000-0000B8670000}"/>
    <cellStyle name="Normal 2 3 2 22 5 6" xfId="26583" xr:uid="{00000000-0005-0000-0000-0000B9670000}"/>
    <cellStyle name="Normal 2 3 2 22 5 7" xfId="26584" xr:uid="{00000000-0005-0000-0000-0000BA670000}"/>
    <cellStyle name="Normal 2 3 2 22 5 8" xfId="26585" xr:uid="{00000000-0005-0000-0000-0000BB670000}"/>
    <cellStyle name="Normal 2 3 2 22 5 9" xfId="26586" xr:uid="{00000000-0005-0000-0000-0000BC670000}"/>
    <cellStyle name="Normal 2 3 2 22 6" xfId="26587" xr:uid="{00000000-0005-0000-0000-0000BD670000}"/>
    <cellStyle name="Normal 2 3 2 22 7" xfId="26588" xr:uid="{00000000-0005-0000-0000-0000BE670000}"/>
    <cellStyle name="Normal 2 3 2 22 8" xfId="26589" xr:uid="{00000000-0005-0000-0000-0000BF670000}"/>
    <cellStyle name="Normal 2 3 2 22 9" xfId="26590" xr:uid="{00000000-0005-0000-0000-0000C0670000}"/>
    <cellStyle name="Normal 2 3 2 23" xfId="26591" xr:uid="{00000000-0005-0000-0000-0000C1670000}"/>
    <cellStyle name="Normal 2 3 2 23 10" xfId="26592" xr:uid="{00000000-0005-0000-0000-0000C2670000}"/>
    <cellStyle name="Normal 2 3 2 23 11" xfId="26593" xr:uid="{00000000-0005-0000-0000-0000C3670000}"/>
    <cellStyle name="Normal 2 3 2 23 12" xfId="26594" xr:uid="{00000000-0005-0000-0000-0000C4670000}"/>
    <cellStyle name="Normal 2 3 2 23 13" xfId="26595" xr:uid="{00000000-0005-0000-0000-0000C5670000}"/>
    <cellStyle name="Normal 2 3 2 23 14" xfId="26596" xr:uid="{00000000-0005-0000-0000-0000C6670000}"/>
    <cellStyle name="Normal 2 3 2 23 2" xfId="26597" xr:uid="{00000000-0005-0000-0000-0000C7670000}"/>
    <cellStyle name="Normal 2 3 2 23 2 10" xfId="26598" xr:uid="{00000000-0005-0000-0000-0000C8670000}"/>
    <cellStyle name="Normal 2 3 2 23 2 2" xfId="26599" xr:uid="{00000000-0005-0000-0000-0000C9670000}"/>
    <cellStyle name="Normal 2 3 2 23 2 3" xfId="26600" xr:uid="{00000000-0005-0000-0000-0000CA670000}"/>
    <cellStyle name="Normal 2 3 2 23 2 4" xfId="26601" xr:uid="{00000000-0005-0000-0000-0000CB670000}"/>
    <cellStyle name="Normal 2 3 2 23 2 5" xfId="26602" xr:uid="{00000000-0005-0000-0000-0000CC670000}"/>
    <cellStyle name="Normal 2 3 2 23 2 6" xfId="26603" xr:uid="{00000000-0005-0000-0000-0000CD670000}"/>
    <cellStyle name="Normal 2 3 2 23 2 7" xfId="26604" xr:uid="{00000000-0005-0000-0000-0000CE670000}"/>
    <cellStyle name="Normal 2 3 2 23 2 8" xfId="26605" xr:uid="{00000000-0005-0000-0000-0000CF670000}"/>
    <cellStyle name="Normal 2 3 2 23 2 9" xfId="26606" xr:uid="{00000000-0005-0000-0000-0000D0670000}"/>
    <cellStyle name="Normal 2 3 2 23 3" xfId="26607" xr:uid="{00000000-0005-0000-0000-0000D1670000}"/>
    <cellStyle name="Normal 2 3 2 23 3 10" xfId="26608" xr:uid="{00000000-0005-0000-0000-0000D2670000}"/>
    <cellStyle name="Normal 2 3 2 23 3 2" xfId="26609" xr:uid="{00000000-0005-0000-0000-0000D3670000}"/>
    <cellStyle name="Normal 2 3 2 23 3 3" xfId="26610" xr:uid="{00000000-0005-0000-0000-0000D4670000}"/>
    <cellStyle name="Normal 2 3 2 23 3 4" xfId="26611" xr:uid="{00000000-0005-0000-0000-0000D5670000}"/>
    <cellStyle name="Normal 2 3 2 23 3 5" xfId="26612" xr:uid="{00000000-0005-0000-0000-0000D6670000}"/>
    <cellStyle name="Normal 2 3 2 23 3 6" xfId="26613" xr:uid="{00000000-0005-0000-0000-0000D7670000}"/>
    <cellStyle name="Normal 2 3 2 23 3 7" xfId="26614" xr:uid="{00000000-0005-0000-0000-0000D8670000}"/>
    <cellStyle name="Normal 2 3 2 23 3 8" xfId="26615" xr:uid="{00000000-0005-0000-0000-0000D9670000}"/>
    <cellStyle name="Normal 2 3 2 23 3 9" xfId="26616" xr:uid="{00000000-0005-0000-0000-0000DA670000}"/>
    <cellStyle name="Normal 2 3 2 23 4" xfId="26617" xr:uid="{00000000-0005-0000-0000-0000DB670000}"/>
    <cellStyle name="Normal 2 3 2 23 4 10" xfId="26618" xr:uid="{00000000-0005-0000-0000-0000DC670000}"/>
    <cellStyle name="Normal 2 3 2 23 4 2" xfId="26619" xr:uid="{00000000-0005-0000-0000-0000DD670000}"/>
    <cellStyle name="Normal 2 3 2 23 4 3" xfId="26620" xr:uid="{00000000-0005-0000-0000-0000DE670000}"/>
    <cellStyle name="Normal 2 3 2 23 4 4" xfId="26621" xr:uid="{00000000-0005-0000-0000-0000DF670000}"/>
    <cellStyle name="Normal 2 3 2 23 4 5" xfId="26622" xr:uid="{00000000-0005-0000-0000-0000E0670000}"/>
    <cellStyle name="Normal 2 3 2 23 4 6" xfId="26623" xr:uid="{00000000-0005-0000-0000-0000E1670000}"/>
    <cellStyle name="Normal 2 3 2 23 4 7" xfId="26624" xr:uid="{00000000-0005-0000-0000-0000E2670000}"/>
    <cellStyle name="Normal 2 3 2 23 4 8" xfId="26625" xr:uid="{00000000-0005-0000-0000-0000E3670000}"/>
    <cellStyle name="Normal 2 3 2 23 4 9" xfId="26626" xr:uid="{00000000-0005-0000-0000-0000E4670000}"/>
    <cellStyle name="Normal 2 3 2 23 5" xfId="26627" xr:uid="{00000000-0005-0000-0000-0000E5670000}"/>
    <cellStyle name="Normal 2 3 2 23 5 10" xfId="26628" xr:uid="{00000000-0005-0000-0000-0000E6670000}"/>
    <cellStyle name="Normal 2 3 2 23 5 2" xfId="26629" xr:uid="{00000000-0005-0000-0000-0000E7670000}"/>
    <cellStyle name="Normal 2 3 2 23 5 3" xfId="26630" xr:uid="{00000000-0005-0000-0000-0000E8670000}"/>
    <cellStyle name="Normal 2 3 2 23 5 4" xfId="26631" xr:uid="{00000000-0005-0000-0000-0000E9670000}"/>
    <cellStyle name="Normal 2 3 2 23 5 5" xfId="26632" xr:uid="{00000000-0005-0000-0000-0000EA670000}"/>
    <cellStyle name="Normal 2 3 2 23 5 6" xfId="26633" xr:uid="{00000000-0005-0000-0000-0000EB670000}"/>
    <cellStyle name="Normal 2 3 2 23 5 7" xfId="26634" xr:uid="{00000000-0005-0000-0000-0000EC670000}"/>
    <cellStyle name="Normal 2 3 2 23 5 8" xfId="26635" xr:uid="{00000000-0005-0000-0000-0000ED670000}"/>
    <cellStyle name="Normal 2 3 2 23 5 9" xfId="26636" xr:uid="{00000000-0005-0000-0000-0000EE670000}"/>
    <cellStyle name="Normal 2 3 2 23 6" xfId="26637" xr:uid="{00000000-0005-0000-0000-0000EF670000}"/>
    <cellStyle name="Normal 2 3 2 23 7" xfId="26638" xr:uid="{00000000-0005-0000-0000-0000F0670000}"/>
    <cellStyle name="Normal 2 3 2 23 8" xfId="26639" xr:uid="{00000000-0005-0000-0000-0000F1670000}"/>
    <cellStyle name="Normal 2 3 2 23 9" xfId="26640" xr:uid="{00000000-0005-0000-0000-0000F2670000}"/>
    <cellStyle name="Normal 2 3 2 24" xfId="26641" xr:uid="{00000000-0005-0000-0000-0000F3670000}"/>
    <cellStyle name="Normal 2 3 2 24 10" xfId="26642" xr:uid="{00000000-0005-0000-0000-0000F4670000}"/>
    <cellStyle name="Normal 2 3 2 24 11" xfId="26643" xr:uid="{00000000-0005-0000-0000-0000F5670000}"/>
    <cellStyle name="Normal 2 3 2 24 12" xfId="26644" xr:uid="{00000000-0005-0000-0000-0000F6670000}"/>
    <cellStyle name="Normal 2 3 2 24 13" xfId="26645" xr:uid="{00000000-0005-0000-0000-0000F7670000}"/>
    <cellStyle name="Normal 2 3 2 24 14" xfId="26646" xr:uid="{00000000-0005-0000-0000-0000F8670000}"/>
    <cellStyle name="Normal 2 3 2 24 2" xfId="26647" xr:uid="{00000000-0005-0000-0000-0000F9670000}"/>
    <cellStyle name="Normal 2 3 2 24 2 10" xfId="26648" xr:uid="{00000000-0005-0000-0000-0000FA670000}"/>
    <cellStyle name="Normal 2 3 2 24 2 2" xfId="26649" xr:uid="{00000000-0005-0000-0000-0000FB670000}"/>
    <cellStyle name="Normal 2 3 2 24 2 3" xfId="26650" xr:uid="{00000000-0005-0000-0000-0000FC670000}"/>
    <cellStyle name="Normal 2 3 2 24 2 4" xfId="26651" xr:uid="{00000000-0005-0000-0000-0000FD670000}"/>
    <cellStyle name="Normal 2 3 2 24 2 5" xfId="26652" xr:uid="{00000000-0005-0000-0000-0000FE670000}"/>
    <cellStyle name="Normal 2 3 2 24 2 6" xfId="26653" xr:uid="{00000000-0005-0000-0000-0000FF670000}"/>
    <cellStyle name="Normal 2 3 2 24 2 7" xfId="26654" xr:uid="{00000000-0005-0000-0000-000000680000}"/>
    <cellStyle name="Normal 2 3 2 24 2 8" xfId="26655" xr:uid="{00000000-0005-0000-0000-000001680000}"/>
    <cellStyle name="Normal 2 3 2 24 2 9" xfId="26656" xr:uid="{00000000-0005-0000-0000-000002680000}"/>
    <cellStyle name="Normal 2 3 2 24 3" xfId="26657" xr:uid="{00000000-0005-0000-0000-000003680000}"/>
    <cellStyle name="Normal 2 3 2 24 3 10" xfId="26658" xr:uid="{00000000-0005-0000-0000-000004680000}"/>
    <cellStyle name="Normal 2 3 2 24 3 2" xfId="26659" xr:uid="{00000000-0005-0000-0000-000005680000}"/>
    <cellStyle name="Normal 2 3 2 24 3 3" xfId="26660" xr:uid="{00000000-0005-0000-0000-000006680000}"/>
    <cellStyle name="Normal 2 3 2 24 3 4" xfId="26661" xr:uid="{00000000-0005-0000-0000-000007680000}"/>
    <cellStyle name="Normal 2 3 2 24 3 5" xfId="26662" xr:uid="{00000000-0005-0000-0000-000008680000}"/>
    <cellStyle name="Normal 2 3 2 24 3 6" xfId="26663" xr:uid="{00000000-0005-0000-0000-000009680000}"/>
    <cellStyle name="Normal 2 3 2 24 3 7" xfId="26664" xr:uid="{00000000-0005-0000-0000-00000A680000}"/>
    <cellStyle name="Normal 2 3 2 24 3 8" xfId="26665" xr:uid="{00000000-0005-0000-0000-00000B680000}"/>
    <cellStyle name="Normal 2 3 2 24 3 9" xfId="26666" xr:uid="{00000000-0005-0000-0000-00000C680000}"/>
    <cellStyle name="Normal 2 3 2 24 4" xfId="26667" xr:uid="{00000000-0005-0000-0000-00000D680000}"/>
    <cellStyle name="Normal 2 3 2 24 4 10" xfId="26668" xr:uid="{00000000-0005-0000-0000-00000E680000}"/>
    <cellStyle name="Normal 2 3 2 24 4 2" xfId="26669" xr:uid="{00000000-0005-0000-0000-00000F680000}"/>
    <cellStyle name="Normal 2 3 2 24 4 3" xfId="26670" xr:uid="{00000000-0005-0000-0000-000010680000}"/>
    <cellStyle name="Normal 2 3 2 24 4 4" xfId="26671" xr:uid="{00000000-0005-0000-0000-000011680000}"/>
    <cellStyle name="Normal 2 3 2 24 4 5" xfId="26672" xr:uid="{00000000-0005-0000-0000-000012680000}"/>
    <cellStyle name="Normal 2 3 2 24 4 6" xfId="26673" xr:uid="{00000000-0005-0000-0000-000013680000}"/>
    <cellStyle name="Normal 2 3 2 24 4 7" xfId="26674" xr:uid="{00000000-0005-0000-0000-000014680000}"/>
    <cellStyle name="Normal 2 3 2 24 4 8" xfId="26675" xr:uid="{00000000-0005-0000-0000-000015680000}"/>
    <cellStyle name="Normal 2 3 2 24 4 9" xfId="26676" xr:uid="{00000000-0005-0000-0000-000016680000}"/>
    <cellStyle name="Normal 2 3 2 24 5" xfId="26677" xr:uid="{00000000-0005-0000-0000-000017680000}"/>
    <cellStyle name="Normal 2 3 2 24 5 10" xfId="26678" xr:uid="{00000000-0005-0000-0000-000018680000}"/>
    <cellStyle name="Normal 2 3 2 24 5 2" xfId="26679" xr:uid="{00000000-0005-0000-0000-000019680000}"/>
    <cellStyle name="Normal 2 3 2 24 5 3" xfId="26680" xr:uid="{00000000-0005-0000-0000-00001A680000}"/>
    <cellStyle name="Normal 2 3 2 24 5 4" xfId="26681" xr:uid="{00000000-0005-0000-0000-00001B680000}"/>
    <cellStyle name="Normal 2 3 2 24 5 5" xfId="26682" xr:uid="{00000000-0005-0000-0000-00001C680000}"/>
    <cellStyle name="Normal 2 3 2 24 5 6" xfId="26683" xr:uid="{00000000-0005-0000-0000-00001D680000}"/>
    <cellStyle name="Normal 2 3 2 24 5 7" xfId="26684" xr:uid="{00000000-0005-0000-0000-00001E680000}"/>
    <cellStyle name="Normal 2 3 2 24 5 8" xfId="26685" xr:uid="{00000000-0005-0000-0000-00001F680000}"/>
    <cellStyle name="Normal 2 3 2 24 5 9" xfId="26686" xr:uid="{00000000-0005-0000-0000-000020680000}"/>
    <cellStyle name="Normal 2 3 2 24 6" xfId="26687" xr:uid="{00000000-0005-0000-0000-000021680000}"/>
    <cellStyle name="Normal 2 3 2 24 7" xfId="26688" xr:uid="{00000000-0005-0000-0000-000022680000}"/>
    <cellStyle name="Normal 2 3 2 24 8" xfId="26689" xr:uid="{00000000-0005-0000-0000-000023680000}"/>
    <cellStyle name="Normal 2 3 2 24 9" xfId="26690" xr:uid="{00000000-0005-0000-0000-000024680000}"/>
    <cellStyle name="Normal 2 3 2 25" xfId="26691" xr:uid="{00000000-0005-0000-0000-000025680000}"/>
    <cellStyle name="Normal 2 3 2 25 10" xfId="26692" xr:uid="{00000000-0005-0000-0000-000026680000}"/>
    <cellStyle name="Normal 2 3 2 25 11" xfId="26693" xr:uid="{00000000-0005-0000-0000-000027680000}"/>
    <cellStyle name="Normal 2 3 2 25 12" xfId="26694" xr:uid="{00000000-0005-0000-0000-000028680000}"/>
    <cellStyle name="Normal 2 3 2 25 13" xfId="26695" xr:uid="{00000000-0005-0000-0000-000029680000}"/>
    <cellStyle name="Normal 2 3 2 25 14" xfId="26696" xr:uid="{00000000-0005-0000-0000-00002A680000}"/>
    <cellStyle name="Normal 2 3 2 25 2" xfId="26697" xr:uid="{00000000-0005-0000-0000-00002B680000}"/>
    <cellStyle name="Normal 2 3 2 25 2 10" xfId="26698" xr:uid="{00000000-0005-0000-0000-00002C680000}"/>
    <cellStyle name="Normal 2 3 2 25 2 2" xfId="26699" xr:uid="{00000000-0005-0000-0000-00002D680000}"/>
    <cellStyle name="Normal 2 3 2 25 2 3" xfId="26700" xr:uid="{00000000-0005-0000-0000-00002E680000}"/>
    <cellStyle name="Normal 2 3 2 25 2 4" xfId="26701" xr:uid="{00000000-0005-0000-0000-00002F680000}"/>
    <cellStyle name="Normal 2 3 2 25 2 5" xfId="26702" xr:uid="{00000000-0005-0000-0000-000030680000}"/>
    <cellStyle name="Normal 2 3 2 25 2 6" xfId="26703" xr:uid="{00000000-0005-0000-0000-000031680000}"/>
    <cellStyle name="Normal 2 3 2 25 2 7" xfId="26704" xr:uid="{00000000-0005-0000-0000-000032680000}"/>
    <cellStyle name="Normal 2 3 2 25 2 8" xfId="26705" xr:uid="{00000000-0005-0000-0000-000033680000}"/>
    <cellStyle name="Normal 2 3 2 25 2 9" xfId="26706" xr:uid="{00000000-0005-0000-0000-000034680000}"/>
    <cellStyle name="Normal 2 3 2 25 3" xfId="26707" xr:uid="{00000000-0005-0000-0000-000035680000}"/>
    <cellStyle name="Normal 2 3 2 25 3 10" xfId="26708" xr:uid="{00000000-0005-0000-0000-000036680000}"/>
    <cellStyle name="Normal 2 3 2 25 3 2" xfId="26709" xr:uid="{00000000-0005-0000-0000-000037680000}"/>
    <cellStyle name="Normal 2 3 2 25 3 3" xfId="26710" xr:uid="{00000000-0005-0000-0000-000038680000}"/>
    <cellStyle name="Normal 2 3 2 25 3 4" xfId="26711" xr:uid="{00000000-0005-0000-0000-000039680000}"/>
    <cellStyle name="Normal 2 3 2 25 3 5" xfId="26712" xr:uid="{00000000-0005-0000-0000-00003A680000}"/>
    <cellStyle name="Normal 2 3 2 25 3 6" xfId="26713" xr:uid="{00000000-0005-0000-0000-00003B680000}"/>
    <cellStyle name="Normal 2 3 2 25 3 7" xfId="26714" xr:uid="{00000000-0005-0000-0000-00003C680000}"/>
    <cellStyle name="Normal 2 3 2 25 3 8" xfId="26715" xr:uid="{00000000-0005-0000-0000-00003D680000}"/>
    <cellStyle name="Normal 2 3 2 25 3 9" xfId="26716" xr:uid="{00000000-0005-0000-0000-00003E680000}"/>
    <cellStyle name="Normal 2 3 2 25 4" xfId="26717" xr:uid="{00000000-0005-0000-0000-00003F680000}"/>
    <cellStyle name="Normal 2 3 2 25 4 10" xfId="26718" xr:uid="{00000000-0005-0000-0000-000040680000}"/>
    <cellStyle name="Normal 2 3 2 25 4 2" xfId="26719" xr:uid="{00000000-0005-0000-0000-000041680000}"/>
    <cellStyle name="Normal 2 3 2 25 4 3" xfId="26720" xr:uid="{00000000-0005-0000-0000-000042680000}"/>
    <cellStyle name="Normal 2 3 2 25 4 4" xfId="26721" xr:uid="{00000000-0005-0000-0000-000043680000}"/>
    <cellStyle name="Normal 2 3 2 25 4 5" xfId="26722" xr:uid="{00000000-0005-0000-0000-000044680000}"/>
    <cellStyle name="Normal 2 3 2 25 4 6" xfId="26723" xr:uid="{00000000-0005-0000-0000-000045680000}"/>
    <cellStyle name="Normal 2 3 2 25 4 7" xfId="26724" xr:uid="{00000000-0005-0000-0000-000046680000}"/>
    <cellStyle name="Normal 2 3 2 25 4 8" xfId="26725" xr:uid="{00000000-0005-0000-0000-000047680000}"/>
    <cellStyle name="Normal 2 3 2 25 4 9" xfId="26726" xr:uid="{00000000-0005-0000-0000-000048680000}"/>
    <cellStyle name="Normal 2 3 2 25 5" xfId="26727" xr:uid="{00000000-0005-0000-0000-000049680000}"/>
    <cellStyle name="Normal 2 3 2 25 5 10" xfId="26728" xr:uid="{00000000-0005-0000-0000-00004A680000}"/>
    <cellStyle name="Normal 2 3 2 25 5 2" xfId="26729" xr:uid="{00000000-0005-0000-0000-00004B680000}"/>
    <cellStyle name="Normal 2 3 2 25 5 3" xfId="26730" xr:uid="{00000000-0005-0000-0000-00004C680000}"/>
    <cellStyle name="Normal 2 3 2 25 5 4" xfId="26731" xr:uid="{00000000-0005-0000-0000-00004D680000}"/>
    <cellStyle name="Normal 2 3 2 25 5 5" xfId="26732" xr:uid="{00000000-0005-0000-0000-00004E680000}"/>
    <cellStyle name="Normal 2 3 2 25 5 6" xfId="26733" xr:uid="{00000000-0005-0000-0000-00004F680000}"/>
    <cellStyle name="Normal 2 3 2 25 5 7" xfId="26734" xr:uid="{00000000-0005-0000-0000-000050680000}"/>
    <cellStyle name="Normal 2 3 2 25 5 8" xfId="26735" xr:uid="{00000000-0005-0000-0000-000051680000}"/>
    <cellStyle name="Normal 2 3 2 25 5 9" xfId="26736" xr:uid="{00000000-0005-0000-0000-000052680000}"/>
    <cellStyle name="Normal 2 3 2 25 6" xfId="26737" xr:uid="{00000000-0005-0000-0000-000053680000}"/>
    <cellStyle name="Normal 2 3 2 25 7" xfId="26738" xr:uid="{00000000-0005-0000-0000-000054680000}"/>
    <cellStyle name="Normal 2 3 2 25 8" xfId="26739" xr:uid="{00000000-0005-0000-0000-000055680000}"/>
    <cellStyle name="Normal 2 3 2 25 9" xfId="26740" xr:uid="{00000000-0005-0000-0000-000056680000}"/>
    <cellStyle name="Normal 2 3 2 26" xfId="26741" xr:uid="{00000000-0005-0000-0000-000057680000}"/>
    <cellStyle name="Normal 2 3 2 26 10" xfId="26742" xr:uid="{00000000-0005-0000-0000-000058680000}"/>
    <cellStyle name="Normal 2 3 2 26 11" xfId="26743" xr:uid="{00000000-0005-0000-0000-000059680000}"/>
    <cellStyle name="Normal 2 3 2 26 12" xfId="26744" xr:uid="{00000000-0005-0000-0000-00005A680000}"/>
    <cellStyle name="Normal 2 3 2 26 13" xfId="26745" xr:uid="{00000000-0005-0000-0000-00005B680000}"/>
    <cellStyle name="Normal 2 3 2 26 14" xfId="26746" xr:uid="{00000000-0005-0000-0000-00005C680000}"/>
    <cellStyle name="Normal 2 3 2 26 2" xfId="26747" xr:uid="{00000000-0005-0000-0000-00005D680000}"/>
    <cellStyle name="Normal 2 3 2 26 2 10" xfId="26748" xr:uid="{00000000-0005-0000-0000-00005E680000}"/>
    <cellStyle name="Normal 2 3 2 26 2 2" xfId="26749" xr:uid="{00000000-0005-0000-0000-00005F680000}"/>
    <cellStyle name="Normal 2 3 2 26 2 3" xfId="26750" xr:uid="{00000000-0005-0000-0000-000060680000}"/>
    <cellStyle name="Normal 2 3 2 26 2 4" xfId="26751" xr:uid="{00000000-0005-0000-0000-000061680000}"/>
    <cellStyle name="Normal 2 3 2 26 2 5" xfId="26752" xr:uid="{00000000-0005-0000-0000-000062680000}"/>
    <cellStyle name="Normal 2 3 2 26 2 6" xfId="26753" xr:uid="{00000000-0005-0000-0000-000063680000}"/>
    <cellStyle name="Normal 2 3 2 26 2 7" xfId="26754" xr:uid="{00000000-0005-0000-0000-000064680000}"/>
    <cellStyle name="Normal 2 3 2 26 2 8" xfId="26755" xr:uid="{00000000-0005-0000-0000-000065680000}"/>
    <cellStyle name="Normal 2 3 2 26 2 9" xfId="26756" xr:uid="{00000000-0005-0000-0000-000066680000}"/>
    <cellStyle name="Normal 2 3 2 26 3" xfId="26757" xr:uid="{00000000-0005-0000-0000-000067680000}"/>
    <cellStyle name="Normal 2 3 2 26 3 10" xfId="26758" xr:uid="{00000000-0005-0000-0000-000068680000}"/>
    <cellStyle name="Normal 2 3 2 26 3 2" xfId="26759" xr:uid="{00000000-0005-0000-0000-000069680000}"/>
    <cellStyle name="Normal 2 3 2 26 3 3" xfId="26760" xr:uid="{00000000-0005-0000-0000-00006A680000}"/>
    <cellStyle name="Normal 2 3 2 26 3 4" xfId="26761" xr:uid="{00000000-0005-0000-0000-00006B680000}"/>
    <cellStyle name="Normal 2 3 2 26 3 5" xfId="26762" xr:uid="{00000000-0005-0000-0000-00006C680000}"/>
    <cellStyle name="Normal 2 3 2 26 3 6" xfId="26763" xr:uid="{00000000-0005-0000-0000-00006D680000}"/>
    <cellStyle name="Normal 2 3 2 26 3 7" xfId="26764" xr:uid="{00000000-0005-0000-0000-00006E680000}"/>
    <cellStyle name="Normal 2 3 2 26 3 8" xfId="26765" xr:uid="{00000000-0005-0000-0000-00006F680000}"/>
    <cellStyle name="Normal 2 3 2 26 3 9" xfId="26766" xr:uid="{00000000-0005-0000-0000-000070680000}"/>
    <cellStyle name="Normal 2 3 2 26 4" xfId="26767" xr:uid="{00000000-0005-0000-0000-000071680000}"/>
    <cellStyle name="Normal 2 3 2 26 4 10" xfId="26768" xr:uid="{00000000-0005-0000-0000-000072680000}"/>
    <cellStyle name="Normal 2 3 2 26 4 2" xfId="26769" xr:uid="{00000000-0005-0000-0000-000073680000}"/>
    <cellStyle name="Normal 2 3 2 26 4 3" xfId="26770" xr:uid="{00000000-0005-0000-0000-000074680000}"/>
    <cellStyle name="Normal 2 3 2 26 4 4" xfId="26771" xr:uid="{00000000-0005-0000-0000-000075680000}"/>
    <cellStyle name="Normal 2 3 2 26 4 5" xfId="26772" xr:uid="{00000000-0005-0000-0000-000076680000}"/>
    <cellStyle name="Normal 2 3 2 26 4 6" xfId="26773" xr:uid="{00000000-0005-0000-0000-000077680000}"/>
    <cellStyle name="Normal 2 3 2 26 4 7" xfId="26774" xr:uid="{00000000-0005-0000-0000-000078680000}"/>
    <cellStyle name="Normal 2 3 2 26 4 8" xfId="26775" xr:uid="{00000000-0005-0000-0000-000079680000}"/>
    <cellStyle name="Normal 2 3 2 26 4 9" xfId="26776" xr:uid="{00000000-0005-0000-0000-00007A680000}"/>
    <cellStyle name="Normal 2 3 2 26 5" xfId="26777" xr:uid="{00000000-0005-0000-0000-00007B680000}"/>
    <cellStyle name="Normal 2 3 2 26 5 10" xfId="26778" xr:uid="{00000000-0005-0000-0000-00007C680000}"/>
    <cellStyle name="Normal 2 3 2 26 5 2" xfId="26779" xr:uid="{00000000-0005-0000-0000-00007D680000}"/>
    <cellStyle name="Normal 2 3 2 26 5 3" xfId="26780" xr:uid="{00000000-0005-0000-0000-00007E680000}"/>
    <cellStyle name="Normal 2 3 2 26 5 4" xfId="26781" xr:uid="{00000000-0005-0000-0000-00007F680000}"/>
    <cellStyle name="Normal 2 3 2 26 5 5" xfId="26782" xr:uid="{00000000-0005-0000-0000-000080680000}"/>
    <cellStyle name="Normal 2 3 2 26 5 6" xfId="26783" xr:uid="{00000000-0005-0000-0000-000081680000}"/>
    <cellStyle name="Normal 2 3 2 26 5 7" xfId="26784" xr:uid="{00000000-0005-0000-0000-000082680000}"/>
    <cellStyle name="Normal 2 3 2 26 5 8" xfId="26785" xr:uid="{00000000-0005-0000-0000-000083680000}"/>
    <cellStyle name="Normal 2 3 2 26 5 9" xfId="26786" xr:uid="{00000000-0005-0000-0000-000084680000}"/>
    <cellStyle name="Normal 2 3 2 26 6" xfId="26787" xr:uid="{00000000-0005-0000-0000-000085680000}"/>
    <cellStyle name="Normal 2 3 2 26 7" xfId="26788" xr:uid="{00000000-0005-0000-0000-000086680000}"/>
    <cellStyle name="Normal 2 3 2 26 8" xfId="26789" xr:uid="{00000000-0005-0000-0000-000087680000}"/>
    <cellStyle name="Normal 2 3 2 26 9" xfId="26790" xr:uid="{00000000-0005-0000-0000-000088680000}"/>
    <cellStyle name="Normal 2 3 2 27" xfId="26791" xr:uid="{00000000-0005-0000-0000-000089680000}"/>
    <cellStyle name="Normal 2 3 2 27 10" xfId="26792" xr:uid="{00000000-0005-0000-0000-00008A680000}"/>
    <cellStyle name="Normal 2 3 2 27 11" xfId="26793" xr:uid="{00000000-0005-0000-0000-00008B680000}"/>
    <cellStyle name="Normal 2 3 2 27 12" xfId="26794" xr:uid="{00000000-0005-0000-0000-00008C680000}"/>
    <cellStyle name="Normal 2 3 2 27 13" xfId="26795" xr:uid="{00000000-0005-0000-0000-00008D680000}"/>
    <cellStyle name="Normal 2 3 2 27 14" xfId="26796" xr:uid="{00000000-0005-0000-0000-00008E680000}"/>
    <cellStyle name="Normal 2 3 2 27 2" xfId="26797" xr:uid="{00000000-0005-0000-0000-00008F680000}"/>
    <cellStyle name="Normal 2 3 2 27 2 10" xfId="26798" xr:uid="{00000000-0005-0000-0000-000090680000}"/>
    <cellStyle name="Normal 2 3 2 27 2 2" xfId="26799" xr:uid="{00000000-0005-0000-0000-000091680000}"/>
    <cellStyle name="Normal 2 3 2 27 2 3" xfId="26800" xr:uid="{00000000-0005-0000-0000-000092680000}"/>
    <cellStyle name="Normal 2 3 2 27 2 4" xfId="26801" xr:uid="{00000000-0005-0000-0000-000093680000}"/>
    <cellStyle name="Normal 2 3 2 27 2 5" xfId="26802" xr:uid="{00000000-0005-0000-0000-000094680000}"/>
    <cellStyle name="Normal 2 3 2 27 2 6" xfId="26803" xr:uid="{00000000-0005-0000-0000-000095680000}"/>
    <cellStyle name="Normal 2 3 2 27 2 7" xfId="26804" xr:uid="{00000000-0005-0000-0000-000096680000}"/>
    <cellStyle name="Normal 2 3 2 27 2 8" xfId="26805" xr:uid="{00000000-0005-0000-0000-000097680000}"/>
    <cellStyle name="Normal 2 3 2 27 2 9" xfId="26806" xr:uid="{00000000-0005-0000-0000-000098680000}"/>
    <cellStyle name="Normal 2 3 2 27 3" xfId="26807" xr:uid="{00000000-0005-0000-0000-000099680000}"/>
    <cellStyle name="Normal 2 3 2 27 3 10" xfId="26808" xr:uid="{00000000-0005-0000-0000-00009A680000}"/>
    <cellStyle name="Normal 2 3 2 27 3 2" xfId="26809" xr:uid="{00000000-0005-0000-0000-00009B680000}"/>
    <cellStyle name="Normal 2 3 2 27 3 3" xfId="26810" xr:uid="{00000000-0005-0000-0000-00009C680000}"/>
    <cellStyle name="Normal 2 3 2 27 3 4" xfId="26811" xr:uid="{00000000-0005-0000-0000-00009D680000}"/>
    <cellStyle name="Normal 2 3 2 27 3 5" xfId="26812" xr:uid="{00000000-0005-0000-0000-00009E680000}"/>
    <cellStyle name="Normal 2 3 2 27 3 6" xfId="26813" xr:uid="{00000000-0005-0000-0000-00009F680000}"/>
    <cellStyle name="Normal 2 3 2 27 3 7" xfId="26814" xr:uid="{00000000-0005-0000-0000-0000A0680000}"/>
    <cellStyle name="Normal 2 3 2 27 3 8" xfId="26815" xr:uid="{00000000-0005-0000-0000-0000A1680000}"/>
    <cellStyle name="Normal 2 3 2 27 3 9" xfId="26816" xr:uid="{00000000-0005-0000-0000-0000A2680000}"/>
    <cellStyle name="Normal 2 3 2 27 4" xfId="26817" xr:uid="{00000000-0005-0000-0000-0000A3680000}"/>
    <cellStyle name="Normal 2 3 2 27 4 10" xfId="26818" xr:uid="{00000000-0005-0000-0000-0000A4680000}"/>
    <cellStyle name="Normal 2 3 2 27 4 2" xfId="26819" xr:uid="{00000000-0005-0000-0000-0000A5680000}"/>
    <cellStyle name="Normal 2 3 2 27 4 3" xfId="26820" xr:uid="{00000000-0005-0000-0000-0000A6680000}"/>
    <cellStyle name="Normal 2 3 2 27 4 4" xfId="26821" xr:uid="{00000000-0005-0000-0000-0000A7680000}"/>
    <cellStyle name="Normal 2 3 2 27 4 5" xfId="26822" xr:uid="{00000000-0005-0000-0000-0000A8680000}"/>
    <cellStyle name="Normal 2 3 2 27 4 6" xfId="26823" xr:uid="{00000000-0005-0000-0000-0000A9680000}"/>
    <cellStyle name="Normal 2 3 2 27 4 7" xfId="26824" xr:uid="{00000000-0005-0000-0000-0000AA680000}"/>
    <cellStyle name="Normal 2 3 2 27 4 8" xfId="26825" xr:uid="{00000000-0005-0000-0000-0000AB680000}"/>
    <cellStyle name="Normal 2 3 2 27 4 9" xfId="26826" xr:uid="{00000000-0005-0000-0000-0000AC680000}"/>
    <cellStyle name="Normal 2 3 2 27 5" xfId="26827" xr:uid="{00000000-0005-0000-0000-0000AD680000}"/>
    <cellStyle name="Normal 2 3 2 27 5 10" xfId="26828" xr:uid="{00000000-0005-0000-0000-0000AE680000}"/>
    <cellStyle name="Normal 2 3 2 27 5 2" xfId="26829" xr:uid="{00000000-0005-0000-0000-0000AF680000}"/>
    <cellStyle name="Normal 2 3 2 27 5 3" xfId="26830" xr:uid="{00000000-0005-0000-0000-0000B0680000}"/>
    <cellStyle name="Normal 2 3 2 27 5 4" xfId="26831" xr:uid="{00000000-0005-0000-0000-0000B1680000}"/>
    <cellStyle name="Normal 2 3 2 27 5 5" xfId="26832" xr:uid="{00000000-0005-0000-0000-0000B2680000}"/>
    <cellStyle name="Normal 2 3 2 27 5 6" xfId="26833" xr:uid="{00000000-0005-0000-0000-0000B3680000}"/>
    <cellStyle name="Normal 2 3 2 27 5 7" xfId="26834" xr:uid="{00000000-0005-0000-0000-0000B4680000}"/>
    <cellStyle name="Normal 2 3 2 27 5 8" xfId="26835" xr:uid="{00000000-0005-0000-0000-0000B5680000}"/>
    <cellStyle name="Normal 2 3 2 27 5 9" xfId="26836" xr:uid="{00000000-0005-0000-0000-0000B6680000}"/>
    <cellStyle name="Normal 2 3 2 27 6" xfId="26837" xr:uid="{00000000-0005-0000-0000-0000B7680000}"/>
    <cellStyle name="Normal 2 3 2 27 7" xfId="26838" xr:uid="{00000000-0005-0000-0000-0000B8680000}"/>
    <cellStyle name="Normal 2 3 2 27 8" xfId="26839" xr:uid="{00000000-0005-0000-0000-0000B9680000}"/>
    <cellStyle name="Normal 2 3 2 27 9" xfId="26840" xr:uid="{00000000-0005-0000-0000-0000BA680000}"/>
    <cellStyle name="Normal 2 3 2 28" xfId="26841" xr:uid="{00000000-0005-0000-0000-0000BB680000}"/>
    <cellStyle name="Normal 2 3 2 28 10" xfId="26842" xr:uid="{00000000-0005-0000-0000-0000BC680000}"/>
    <cellStyle name="Normal 2 3 2 28 11" xfId="26843" xr:uid="{00000000-0005-0000-0000-0000BD680000}"/>
    <cellStyle name="Normal 2 3 2 28 12" xfId="26844" xr:uid="{00000000-0005-0000-0000-0000BE680000}"/>
    <cellStyle name="Normal 2 3 2 28 13" xfId="26845" xr:uid="{00000000-0005-0000-0000-0000BF680000}"/>
    <cellStyle name="Normal 2 3 2 28 14" xfId="26846" xr:uid="{00000000-0005-0000-0000-0000C0680000}"/>
    <cellStyle name="Normal 2 3 2 28 2" xfId="26847" xr:uid="{00000000-0005-0000-0000-0000C1680000}"/>
    <cellStyle name="Normal 2 3 2 28 2 10" xfId="26848" xr:uid="{00000000-0005-0000-0000-0000C2680000}"/>
    <cellStyle name="Normal 2 3 2 28 2 2" xfId="26849" xr:uid="{00000000-0005-0000-0000-0000C3680000}"/>
    <cellStyle name="Normal 2 3 2 28 2 3" xfId="26850" xr:uid="{00000000-0005-0000-0000-0000C4680000}"/>
    <cellStyle name="Normal 2 3 2 28 2 4" xfId="26851" xr:uid="{00000000-0005-0000-0000-0000C5680000}"/>
    <cellStyle name="Normal 2 3 2 28 2 5" xfId="26852" xr:uid="{00000000-0005-0000-0000-0000C6680000}"/>
    <cellStyle name="Normal 2 3 2 28 2 6" xfId="26853" xr:uid="{00000000-0005-0000-0000-0000C7680000}"/>
    <cellStyle name="Normal 2 3 2 28 2 7" xfId="26854" xr:uid="{00000000-0005-0000-0000-0000C8680000}"/>
    <cellStyle name="Normal 2 3 2 28 2 8" xfId="26855" xr:uid="{00000000-0005-0000-0000-0000C9680000}"/>
    <cellStyle name="Normal 2 3 2 28 2 9" xfId="26856" xr:uid="{00000000-0005-0000-0000-0000CA680000}"/>
    <cellStyle name="Normal 2 3 2 28 3" xfId="26857" xr:uid="{00000000-0005-0000-0000-0000CB680000}"/>
    <cellStyle name="Normal 2 3 2 28 3 10" xfId="26858" xr:uid="{00000000-0005-0000-0000-0000CC680000}"/>
    <cellStyle name="Normal 2 3 2 28 3 2" xfId="26859" xr:uid="{00000000-0005-0000-0000-0000CD680000}"/>
    <cellStyle name="Normal 2 3 2 28 3 3" xfId="26860" xr:uid="{00000000-0005-0000-0000-0000CE680000}"/>
    <cellStyle name="Normal 2 3 2 28 3 4" xfId="26861" xr:uid="{00000000-0005-0000-0000-0000CF680000}"/>
    <cellStyle name="Normal 2 3 2 28 3 5" xfId="26862" xr:uid="{00000000-0005-0000-0000-0000D0680000}"/>
    <cellStyle name="Normal 2 3 2 28 3 6" xfId="26863" xr:uid="{00000000-0005-0000-0000-0000D1680000}"/>
    <cellStyle name="Normal 2 3 2 28 3 7" xfId="26864" xr:uid="{00000000-0005-0000-0000-0000D2680000}"/>
    <cellStyle name="Normal 2 3 2 28 3 8" xfId="26865" xr:uid="{00000000-0005-0000-0000-0000D3680000}"/>
    <cellStyle name="Normal 2 3 2 28 3 9" xfId="26866" xr:uid="{00000000-0005-0000-0000-0000D4680000}"/>
    <cellStyle name="Normal 2 3 2 28 4" xfId="26867" xr:uid="{00000000-0005-0000-0000-0000D5680000}"/>
    <cellStyle name="Normal 2 3 2 28 4 10" xfId="26868" xr:uid="{00000000-0005-0000-0000-0000D6680000}"/>
    <cellStyle name="Normal 2 3 2 28 4 2" xfId="26869" xr:uid="{00000000-0005-0000-0000-0000D7680000}"/>
    <cellStyle name="Normal 2 3 2 28 4 3" xfId="26870" xr:uid="{00000000-0005-0000-0000-0000D8680000}"/>
    <cellStyle name="Normal 2 3 2 28 4 4" xfId="26871" xr:uid="{00000000-0005-0000-0000-0000D9680000}"/>
    <cellStyle name="Normal 2 3 2 28 4 5" xfId="26872" xr:uid="{00000000-0005-0000-0000-0000DA680000}"/>
    <cellStyle name="Normal 2 3 2 28 4 6" xfId="26873" xr:uid="{00000000-0005-0000-0000-0000DB680000}"/>
    <cellStyle name="Normal 2 3 2 28 4 7" xfId="26874" xr:uid="{00000000-0005-0000-0000-0000DC680000}"/>
    <cellStyle name="Normal 2 3 2 28 4 8" xfId="26875" xr:uid="{00000000-0005-0000-0000-0000DD680000}"/>
    <cellStyle name="Normal 2 3 2 28 4 9" xfId="26876" xr:uid="{00000000-0005-0000-0000-0000DE680000}"/>
    <cellStyle name="Normal 2 3 2 28 5" xfId="26877" xr:uid="{00000000-0005-0000-0000-0000DF680000}"/>
    <cellStyle name="Normal 2 3 2 28 5 10" xfId="26878" xr:uid="{00000000-0005-0000-0000-0000E0680000}"/>
    <cellStyle name="Normal 2 3 2 28 5 2" xfId="26879" xr:uid="{00000000-0005-0000-0000-0000E1680000}"/>
    <cellStyle name="Normal 2 3 2 28 5 3" xfId="26880" xr:uid="{00000000-0005-0000-0000-0000E2680000}"/>
    <cellStyle name="Normal 2 3 2 28 5 4" xfId="26881" xr:uid="{00000000-0005-0000-0000-0000E3680000}"/>
    <cellStyle name="Normal 2 3 2 28 5 5" xfId="26882" xr:uid="{00000000-0005-0000-0000-0000E4680000}"/>
    <cellStyle name="Normal 2 3 2 28 5 6" xfId="26883" xr:uid="{00000000-0005-0000-0000-0000E5680000}"/>
    <cellStyle name="Normal 2 3 2 28 5 7" xfId="26884" xr:uid="{00000000-0005-0000-0000-0000E6680000}"/>
    <cellStyle name="Normal 2 3 2 28 5 8" xfId="26885" xr:uid="{00000000-0005-0000-0000-0000E7680000}"/>
    <cellStyle name="Normal 2 3 2 28 5 9" xfId="26886" xr:uid="{00000000-0005-0000-0000-0000E8680000}"/>
    <cellStyle name="Normal 2 3 2 28 6" xfId="26887" xr:uid="{00000000-0005-0000-0000-0000E9680000}"/>
    <cellStyle name="Normal 2 3 2 28 7" xfId="26888" xr:uid="{00000000-0005-0000-0000-0000EA680000}"/>
    <cellStyle name="Normal 2 3 2 28 8" xfId="26889" xr:uid="{00000000-0005-0000-0000-0000EB680000}"/>
    <cellStyle name="Normal 2 3 2 28 9" xfId="26890" xr:uid="{00000000-0005-0000-0000-0000EC680000}"/>
    <cellStyle name="Normal 2 3 2 29" xfId="26891" xr:uid="{00000000-0005-0000-0000-0000ED680000}"/>
    <cellStyle name="Normal 2 3 2 29 10" xfId="26892" xr:uid="{00000000-0005-0000-0000-0000EE680000}"/>
    <cellStyle name="Normal 2 3 2 29 11" xfId="26893" xr:uid="{00000000-0005-0000-0000-0000EF680000}"/>
    <cellStyle name="Normal 2 3 2 29 12" xfId="26894" xr:uid="{00000000-0005-0000-0000-0000F0680000}"/>
    <cellStyle name="Normal 2 3 2 29 13" xfId="26895" xr:uid="{00000000-0005-0000-0000-0000F1680000}"/>
    <cellStyle name="Normal 2 3 2 29 14" xfId="26896" xr:uid="{00000000-0005-0000-0000-0000F2680000}"/>
    <cellStyle name="Normal 2 3 2 29 2" xfId="26897" xr:uid="{00000000-0005-0000-0000-0000F3680000}"/>
    <cellStyle name="Normal 2 3 2 29 2 10" xfId="26898" xr:uid="{00000000-0005-0000-0000-0000F4680000}"/>
    <cellStyle name="Normal 2 3 2 29 2 2" xfId="26899" xr:uid="{00000000-0005-0000-0000-0000F5680000}"/>
    <cellStyle name="Normal 2 3 2 29 2 3" xfId="26900" xr:uid="{00000000-0005-0000-0000-0000F6680000}"/>
    <cellStyle name="Normal 2 3 2 29 2 4" xfId="26901" xr:uid="{00000000-0005-0000-0000-0000F7680000}"/>
    <cellStyle name="Normal 2 3 2 29 2 5" xfId="26902" xr:uid="{00000000-0005-0000-0000-0000F8680000}"/>
    <cellStyle name="Normal 2 3 2 29 2 6" xfId="26903" xr:uid="{00000000-0005-0000-0000-0000F9680000}"/>
    <cellStyle name="Normal 2 3 2 29 2 7" xfId="26904" xr:uid="{00000000-0005-0000-0000-0000FA680000}"/>
    <cellStyle name="Normal 2 3 2 29 2 8" xfId="26905" xr:uid="{00000000-0005-0000-0000-0000FB680000}"/>
    <cellStyle name="Normal 2 3 2 29 2 9" xfId="26906" xr:uid="{00000000-0005-0000-0000-0000FC680000}"/>
    <cellStyle name="Normal 2 3 2 29 3" xfId="26907" xr:uid="{00000000-0005-0000-0000-0000FD680000}"/>
    <cellStyle name="Normal 2 3 2 29 3 10" xfId="26908" xr:uid="{00000000-0005-0000-0000-0000FE680000}"/>
    <cellStyle name="Normal 2 3 2 29 3 2" xfId="26909" xr:uid="{00000000-0005-0000-0000-0000FF680000}"/>
    <cellStyle name="Normal 2 3 2 29 3 3" xfId="26910" xr:uid="{00000000-0005-0000-0000-000000690000}"/>
    <cellStyle name="Normal 2 3 2 29 3 4" xfId="26911" xr:uid="{00000000-0005-0000-0000-000001690000}"/>
    <cellStyle name="Normal 2 3 2 29 3 5" xfId="26912" xr:uid="{00000000-0005-0000-0000-000002690000}"/>
    <cellStyle name="Normal 2 3 2 29 3 6" xfId="26913" xr:uid="{00000000-0005-0000-0000-000003690000}"/>
    <cellStyle name="Normal 2 3 2 29 3 7" xfId="26914" xr:uid="{00000000-0005-0000-0000-000004690000}"/>
    <cellStyle name="Normal 2 3 2 29 3 8" xfId="26915" xr:uid="{00000000-0005-0000-0000-000005690000}"/>
    <cellStyle name="Normal 2 3 2 29 3 9" xfId="26916" xr:uid="{00000000-0005-0000-0000-000006690000}"/>
    <cellStyle name="Normal 2 3 2 29 4" xfId="26917" xr:uid="{00000000-0005-0000-0000-000007690000}"/>
    <cellStyle name="Normal 2 3 2 29 4 10" xfId="26918" xr:uid="{00000000-0005-0000-0000-000008690000}"/>
    <cellStyle name="Normal 2 3 2 29 4 2" xfId="26919" xr:uid="{00000000-0005-0000-0000-000009690000}"/>
    <cellStyle name="Normal 2 3 2 29 4 3" xfId="26920" xr:uid="{00000000-0005-0000-0000-00000A690000}"/>
    <cellStyle name="Normal 2 3 2 29 4 4" xfId="26921" xr:uid="{00000000-0005-0000-0000-00000B690000}"/>
    <cellStyle name="Normal 2 3 2 29 4 5" xfId="26922" xr:uid="{00000000-0005-0000-0000-00000C690000}"/>
    <cellStyle name="Normal 2 3 2 29 4 6" xfId="26923" xr:uid="{00000000-0005-0000-0000-00000D690000}"/>
    <cellStyle name="Normal 2 3 2 29 4 7" xfId="26924" xr:uid="{00000000-0005-0000-0000-00000E690000}"/>
    <cellStyle name="Normal 2 3 2 29 4 8" xfId="26925" xr:uid="{00000000-0005-0000-0000-00000F690000}"/>
    <cellStyle name="Normal 2 3 2 29 4 9" xfId="26926" xr:uid="{00000000-0005-0000-0000-000010690000}"/>
    <cellStyle name="Normal 2 3 2 29 5" xfId="26927" xr:uid="{00000000-0005-0000-0000-000011690000}"/>
    <cellStyle name="Normal 2 3 2 29 5 10" xfId="26928" xr:uid="{00000000-0005-0000-0000-000012690000}"/>
    <cellStyle name="Normal 2 3 2 29 5 2" xfId="26929" xr:uid="{00000000-0005-0000-0000-000013690000}"/>
    <cellStyle name="Normal 2 3 2 29 5 3" xfId="26930" xr:uid="{00000000-0005-0000-0000-000014690000}"/>
    <cellStyle name="Normal 2 3 2 29 5 4" xfId="26931" xr:uid="{00000000-0005-0000-0000-000015690000}"/>
    <cellStyle name="Normal 2 3 2 29 5 5" xfId="26932" xr:uid="{00000000-0005-0000-0000-000016690000}"/>
    <cellStyle name="Normal 2 3 2 29 5 6" xfId="26933" xr:uid="{00000000-0005-0000-0000-000017690000}"/>
    <cellStyle name="Normal 2 3 2 29 5 7" xfId="26934" xr:uid="{00000000-0005-0000-0000-000018690000}"/>
    <cellStyle name="Normal 2 3 2 29 5 8" xfId="26935" xr:uid="{00000000-0005-0000-0000-000019690000}"/>
    <cellStyle name="Normal 2 3 2 29 5 9" xfId="26936" xr:uid="{00000000-0005-0000-0000-00001A690000}"/>
    <cellStyle name="Normal 2 3 2 29 6" xfId="26937" xr:uid="{00000000-0005-0000-0000-00001B690000}"/>
    <cellStyle name="Normal 2 3 2 29 7" xfId="26938" xr:uid="{00000000-0005-0000-0000-00001C690000}"/>
    <cellStyle name="Normal 2 3 2 29 8" xfId="26939" xr:uid="{00000000-0005-0000-0000-00001D690000}"/>
    <cellStyle name="Normal 2 3 2 29 9" xfId="26940" xr:uid="{00000000-0005-0000-0000-00001E690000}"/>
    <cellStyle name="Normal 2 3 2 3" xfId="26941" xr:uid="{00000000-0005-0000-0000-00001F690000}"/>
    <cellStyle name="Normal 2 3 2 3 10" xfId="26942" xr:uid="{00000000-0005-0000-0000-000020690000}"/>
    <cellStyle name="Normal 2 3 2 3 11" xfId="26943" xr:uid="{00000000-0005-0000-0000-000021690000}"/>
    <cellStyle name="Normal 2 3 2 3 12" xfId="26944" xr:uid="{00000000-0005-0000-0000-000022690000}"/>
    <cellStyle name="Normal 2 3 2 3 13" xfId="26945" xr:uid="{00000000-0005-0000-0000-000023690000}"/>
    <cellStyle name="Normal 2 3 2 3 14" xfId="26946" xr:uid="{00000000-0005-0000-0000-000024690000}"/>
    <cellStyle name="Normal 2 3 2 3 15" xfId="26947" xr:uid="{00000000-0005-0000-0000-000025690000}"/>
    <cellStyle name="Normal 2 3 2 3 16" xfId="26948" xr:uid="{00000000-0005-0000-0000-000026690000}"/>
    <cellStyle name="Normal 2 3 2 3 2" xfId="26949" xr:uid="{00000000-0005-0000-0000-000027690000}"/>
    <cellStyle name="Normal 2 3 2 3 2 10" xfId="26950" xr:uid="{00000000-0005-0000-0000-000028690000}"/>
    <cellStyle name="Normal 2 3 2 3 2 2" xfId="26951" xr:uid="{00000000-0005-0000-0000-000029690000}"/>
    <cellStyle name="Normal 2 3 2 3 2 3" xfId="26952" xr:uid="{00000000-0005-0000-0000-00002A690000}"/>
    <cellStyle name="Normal 2 3 2 3 2 4" xfId="26953" xr:uid="{00000000-0005-0000-0000-00002B690000}"/>
    <cellStyle name="Normal 2 3 2 3 2 5" xfId="26954" xr:uid="{00000000-0005-0000-0000-00002C690000}"/>
    <cellStyle name="Normal 2 3 2 3 2 6" xfId="26955" xr:uid="{00000000-0005-0000-0000-00002D690000}"/>
    <cellStyle name="Normal 2 3 2 3 2 7" xfId="26956" xr:uid="{00000000-0005-0000-0000-00002E690000}"/>
    <cellStyle name="Normal 2 3 2 3 2 8" xfId="26957" xr:uid="{00000000-0005-0000-0000-00002F690000}"/>
    <cellStyle name="Normal 2 3 2 3 2 9" xfId="26958" xr:uid="{00000000-0005-0000-0000-000030690000}"/>
    <cellStyle name="Normal 2 3 2 3 3" xfId="26959" xr:uid="{00000000-0005-0000-0000-000031690000}"/>
    <cellStyle name="Normal 2 3 2 3 3 10" xfId="26960" xr:uid="{00000000-0005-0000-0000-000032690000}"/>
    <cellStyle name="Normal 2 3 2 3 3 2" xfId="26961" xr:uid="{00000000-0005-0000-0000-000033690000}"/>
    <cellStyle name="Normal 2 3 2 3 3 3" xfId="26962" xr:uid="{00000000-0005-0000-0000-000034690000}"/>
    <cellStyle name="Normal 2 3 2 3 3 4" xfId="26963" xr:uid="{00000000-0005-0000-0000-000035690000}"/>
    <cellStyle name="Normal 2 3 2 3 3 5" xfId="26964" xr:uid="{00000000-0005-0000-0000-000036690000}"/>
    <cellStyle name="Normal 2 3 2 3 3 6" xfId="26965" xr:uid="{00000000-0005-0000-0000-000037690000}"/>
    <cellStyle name="Normal 2 3 2 3 3 7" xfId="26966" xr:uid="{00000000-0005-0000-0000-000038690000}"/>
    <cellStyle name="Normal 2 3 2 3 3 8" xfId="26967" xr:uid="{00000000-0005-0000-0000-000039690000}"/>
    <cellStyle name="Normal 2 3 2 3 3 9" xfId="26968" xr:uid="{00000000-0005-0000-0000-00003A690000}"/>
    <cellStyle name="Normal 2 3 2 3 4" xfId="26969" xr:uid="{00000000-0005-0000-0000-00003B690000}"/>
    <cellStyle name="Normal 2 3 2 3 4 10" xfId="26970" xr:uid="{00000000-0005-0000-0000-00003C690000}"/>
    <cellStyle name="Normal 2 3 2 3 4 2" xfId="26971" xr:uid="{00000000-0005-0000-0000-00003D690000}"/>
    <cellStyle name="Normal 2 3 2 3 4 3" xfId="26972" xr:uid="{00000000-0005-0000-0000-00003E690000}"/>
    <cellStyle name="Normal 2 3 2 3 4 4" xfId="26973" xr:uid="{00000000-0005-0000-0000-00003F690000}"/>
    <cellStyle name="Normal 2 3 2 3 4 5" xfId="26974" xr:uid="{00000000-0005-0000-0000-000040690000}"/>
    <cellStyle name="Normal 2 3 2 3 4 6" xfId="26975" xr:uid="{00000000-0005-0000-0000-000041690000}"/>
    <cellStyle name="Normal 2 3 2 3 4 7" xfId="26976" xr:uid="{00000000-0005-0000-0000-000042690000}"/>
    <cellStyle name="Normal 2 3 2 3 4 8" xfId="26977" xr:uid="{00000000-0005-0000-0000-000043690000}"/>
    <cellStyle name="Normal 2 3 2 3 4 9" xfId="26978" xr:uid="{00000000-0005-0000-0000-000044690000}"/>
    <cellStyle name="Normal 2 3 2 3 5" xfId="26979" xr:uid="{00000000-0005-0000-0000-000045690000}"/>
    <cellStyle name="Normal 2 3 2 3 5 10" xfId="26980" xr:uid="{00000000-0005-0000-0000-000046690000}"/>
    <cellStyle name="Normal 2 3 2 3 5 2" xfId="26981" xr:uid="{00000000-0005-0000-0000-000047690000}"/>
    <cellStyle name="Normal 2 3 2 3 5 3" xfId="26982" xr:uid="{00000000-0005-0000-0000-000048690000}"/>
    <cellStyle name="Normal 2 3 2 3 5 4" xfId="26983" xr:uid="{00000000-0005-0000-0000-000049690000}"/>
    <cellStyle name="Normal 2 3 2 3 5 5" xfId="26984" xr:uid="{00000000-0005-0000-0000-00004A690000}"/>
    <cellStyle name="Normal 2 3 2 3 5 6" xfId="26985" xr:uid="{00000000-0005-0000-0000-00004B690000}"/>
    <cellStyle name="Normal 2 3 2 3 5 7" xfId="26986" xr:uid="{00000000-0005-0000-0000-00004C690000}"/>
    <cellStyle name="Normal 2 3 2 3 5 8" xfId="26987" xr:uid="{00000000-0005-0000-0000-00004D690000}"/>
    <cellStyle name="Normal 2 3 2 3 5 9" xfId="26988" xr:uid="{00000000-0005-0000-0000-00004E690000}"/>
    <cellStyle name="Normal 2 3 2 3 6" xfId="26989" xr:uid="{00000000-0005-0000-0000-00004F690000}"/>
    <cellStyle name="Normal 2 3 2 3 7" xfId="26990" xr:uid="{00000000-0005-0000-0000-000050690000}"/>
    <cellStyle name="Normal 2 3 2 3 8" xfId="26991" xr:uid="{00000000-0005-0000-0000-000051690000}"/>
    <cellStyle name="Normal 2 3 2 3 9" xfId="26992" xr:uid="{00000000-0005-0000-0000-000052690000}"/>
    <cellStyle name="Normal 2 3 2 30" xfId="26993" xr:uid="{00000000-0005-0000-0000-000053690000}"/>
    <cellStyle name="Normal 2 3 2 30 10" xfId="26994" xr:uid="{00000000-0005-0000-0000-000054690000}"/>
    <cellStyle name="Normal 2 3 2 30 11" xfId="26995" xr:uid="{00000000-0005-0000-0000-000055690000}"/>
    <cellStyle name="Normal 2 3 2 30 12" xfId="26996" xr:uid="{00000000-0005-0000-0000-000056690000}"/>
    <cellStyle name="Normal 2 3 2 30 13" xfId="26997" xr:uid="{00000000-0005-0000-0000-000057690000}"/>
    <cellStyle name="Normal 2 3 2 30 14" xfId="26998" xr:uid="{00000000-0005-0000-0000-000058690000}"/>
    <cellStyle name="Normal 2 3 2 30 2" xfId="26999" xr:uid="{00000000-0005-0000-0000-000059690000}"/>
    <cellStyle name="Normal 2 3 2 30 2 10" xfId="27000" xr:uid="{00000000-0005-0000-0000-00005A690000}"/>
    <cellStyle name="Normal 2 3 2 30 2 2" xfId="27001" xr:uid="{00000000-0005-0000-0000-00005B690000}"/>
    <cellStyle name="Normal 2 3 2 30 2 3" xfId="27002" xr:uid="{00000000-0005-0000-0000-00005C690000}"/>
    <cellStyle name="Normal 2 3 2 30 2 4" xfId="27003" xr:uid="{00000000-0005-0000-0000-00005D690000}"/>
    <cellStyle name="Normal 2 3 2 30 2 5" xfId="27004" xr:uid="{00000000-0005-0000-0000-00005E690000}"/>
    <cellStyle name="Normal 2 3 2 30 2 6" xfId="27005" xr:uid="{00000000-0005-0000-0000-00005F690000}"/>
    <cellStyle name="Normal 2 3 2 30 2 7" xfId="27006" xr:uid="{00000000-0005-0000-0000-000060690000}"/>
    <cellStyle name="Normal 2 3 2 30 2 8" xfId="27007" xr:uid="{00000000-0005-0000-0000-000061690000}"/>
    <cellStyle name="Normal 2 3 2 30 2 9" xfId="27008" xr:uid="{00000000-0005-0000-0000-000062690000}"/>
    <cellStyle name="Normal 2 3 2 30 3" xfId="27009" xr:uid="{00000000-0005-0000-0000-000063690000}"/>
    <cellStyle name="Normal 2 3 2 30 3 10" xfId="27010" xr:uid="{00000000-0005-0000-0000-000064690000}"/>
    <cellStyle name="Normal 2 3 2 30 3 2" xfId="27011" xr:uid="{00000000-0005-0000-0000-000065690000}"/>
    <cellStyle name="Normal 2 3 2 30 3 3" xfId="27012" xr:uid="{00000000-0005-0000-0000-000066690000}"/>
    <cellStyle name="Normal 2 3 2 30 3 4" xfId="27013" xr:uid="{00000000-0005-0000-0000-000067690000}"/>
    <cellStyle name="Normal 2 3 2 30 3 5" xfId="27014" xr:uid="{00000000-0005-0000-0000-000068690000}"/>
    <cellStyle name="Normal 2 3 2 30 3 6" xfId="27015" xr:uid="{00000000-0005-0000-0000-000069690000}"/>
    <cellStyle name="Normal 2 3 2 30 3 7" xfId="27016" xr:uid="{00000000-0005-0000-0000-00006A690000}"/>
    <cellStyle name="Normal 2 3 2 30 3 8" xfId="27017" xr:uid="{00000000-0005-0000-0000-00006B690000}"/>
    <cellStyle name="Normal 2 3 2 30 3 9" xfId="27018" xr:uid="{00000000-0005-0000-0000-00006C690000}"/>
    <cellStyle name="Normal 2 3 2 30 4" xfId="27019" xr:uid="{00000000-0005-0000-0000-00006D690000}"/>
    <cellStyle name="Normal 2 3 2 30 4 10" xfId="27020" xr:uid="{00000000-0005-0000-0000-00006E690000}"/>
    <cellStyle name="Normal 2 3 2 30 4 2" xfId="27021" xr:uid="{00000000-0005-0000-0000-00006F690000}"/>
    <cellStyle name="Normal 2 3 2 30 4 3" xfId="27022" xr:uid="{00000000-0005-0000-0000-000070690000}"/>
    <cellStyle name="Normal 2 3 2 30 4 4" xfId="27023" xr:uid="{00000000-0005-0000-0000-000071690000}"/>
    <cellStyle name="Normal 2 3 2 30 4 5" xfId="27024" xr:uid="{00000000-0005-0000-0000-000072690000}"/>
    <cellStyle name="Normal 2 3 2 30 4 6" xfId="27025" xr:uid="{00000000-0005-0000-0000-000073690000}"/>
    <cellStyle name="Normal 2 3 2 30 4 7" xfId="27026" xr:uid="{00000000-0005-0000-0000-000074690000}"/>
    <cellStyle name="Normal 2 3 2 30 4 8" xfId="27027" xr:uid="{00000000-0005-0000-0000-000075690000}"/>
    <cellStyle name="Normal 2 3 2 30 4 9" xfId="27028" xr:uid="{00000000-0005-0000-0000-000076690000}"/>
    <cellStyle name="Normal 2 3 2 30 5" xfId="27029" xr:uid="{00000000-0005-0000-0000-000077690000}"/>
    <cellStyle name="Normal 2 3 2 30 5 10" xfId="27030" xr:uid="{00000000-0005-0000-0000-000078690000}"/>
    <cellStyle name="Normal 2 3 2 30 5 2" xfId="27031" xr:uid="{00000000-0005-0000-0000-000079690000}"/>
    <cellStyle name="Normal 2 3 2 30 5 3" xfId="27032" xr:uid="{00000000-0005-0000-0000-00007A690000}"/>
    <cellStyle name="Normal 2 3 2 30 5 4" xfId="27033" xr:uid="{00000000-0005-0000-0000-00007B690000}"/>
    <cellStyle name="Normal 2 3 2 30 5 5" xfId="27034" xr:uid="{00000000-0005-0000-0000-00007C690000}"/>
    <cellStyle name="Normal 2 3 2 30 5 6" xfId="27035" xr:uid="{00000000-0005-0000-0000-00007D690000}"/>
    <cellStyle name="Normal 2 3 2 30 5 7" xfId="27036" xr:uid="{00000000-0005-0000-0000-00007E690000}"/>
    <cellStyle name="Normal 2 3 2 30 5 8" xfId="27037" xr:uid="{00000000-0005-0000-0000-00007F690000}"/>
    <cellStyle name="Normal 2 3 2 30 5 9" xfId="27038" xr:uid="{00000000-0005-0000-0000-000080690000}"/>
    <cellStyle name="Normal 2 3 2 30 6" xfId="27039" xr:uid="{00000000-0005-0000-0000-000081690000}"/>
    <cellStyle name="Normal 2 3 2 30 7" xfId="27040" xr:uid="{00000000-0005-0000-0000-000082690000}"/>
    <cellStyle name="Normal 2 3 2 30 8" xfId="27041" xr:uid="{00000000-0005-0000-0000-000083690000}"/>
    <cellStyle name="Normal 2 3 2 30 9" xfId="27042" xr:uid="{00000000-0005-0000-0000-000084690000}"/>
    <cellStyle name="Normal 2 3 2 31" xfId="27043" xr:uid="{00000000-0005-0000-0000-000085690000}"/>
    <cellStyle name="Normal 2 3 2 31 10" xfId="27044" xr:uid="{00000000-0005-0000-0000-000086690000}"/>
    <cellStyle name="Normal 2 3 2 31 11" xfId="27045" xr:uid="{00000000-0005-0000-0000-000087690000}"/>
    <cellStyle name="Normal 2 3 2 31 12" xfId="27046" xr:uid="{00000000-0005-0000-0000-000088690000}"/>
    <cellStyle name="Normal 2 3 2 31 13" xfId="27047" xr:uid="{00000000-0005-0000-0000-000089690000}"/>
    <cellStyle name="Normal 2 3 2 31 14" xfId="27048" xr:uid="{00000000-0005-0000-0000-00008A690000}"/>
    <cellStyle name="Normal 2 3 2 31 2" xfId="27049" xr:uid="{00000000-0005-0000-0000-00008B690000}"/>
    <cellStyle name="Normal 2 3 2 31 2 10" xfId="27050" xr:uid="{00000000-0005-0000-0000-00008C690000}"/>
    <cellStyle name="Normal 2 3 2 31 2 2" xfId="27051" xr:uid="{00000000-0005-0000-0000-00008D690000}"/>
    <cellStyle name="Normal 2 3 2 31 2 3" xfId="27052" xr:uid="{00000000-0005-0000-0000-00008E690000}"/>
    <cellStyle name="Normal 2 3 2 31 2 4" xfId="27053" xr:uid="{00000000-0005-0000-0000-00008F690000}"/>
    <cellStyle name="Normal 2 3 2 31 2 5" xfId="27054" xr:uid="{00000000-0005-0000-0000-000090690000}"/>
    <cellStyle name="Normal 2 3 2 31 2 6" xfId="27055" xr:uid="{00000000-0005-0000-0000-000091690000}"/>
    <cellStyle name="Normal 2 3 2 31 2 7" xfId="27056" xr:uid="{00000000-0005-0000-0000-000092690000}"/>
    <cellStyle name="Normal 2 3 2 31 2 8" xfId="27057" xr:uid="{00000000-0005-0000-0000-000093690000}"/>
    <cellStyle name="Normal 2 3 2 31 2 9" xfId="27058" xr:uid="{00000000-0005-0000-0000-000094690000}"/>
    <cellStyle name="Normal 2 3 2 31 3" xfId="27059" xr:uid="{00000000-0005-0000-0000-000095690000}"/>
    <cellStyle name="Normal 2 3 2 31 3 10" xfId="27060" xr:uid="{00000000-0005-0000-0000-000096690000}"/>
    <cellStyle name="Normal 2 3 2 31 3 2" xfId="27061" xr:uid="{00000000-0005-0000-0000-000097690000}"/>
    <cellStyle name="Normal 2 3 2 31 3 3" xfId="27062" xr:uid="{00000000-0005-0000-0000-000098690000}"/>
    <cellStyle name="Normal 2 3 2 31 3 4" xfId="27063" xr:uid="{00000000-0005-0000-0000-000099690000}"/>
    <cellStyle name="Normal 2 3 2 31 3 5" xfId="27064" xr:uid="{00000000-0005-0000-0000-00009A690000}"/>
    <cellStyle name="Normal 2 3 2 31 3 6" xfId="27065" xr:uid="{00000000-0005-0000-0000-00009B690000}"/>
    <cellStyle name="Normal 2 3 2 31 3 7" xfId="27066" xr:uid="{00000000-0005-0000-0000-00009C690000}"/>
    <cellStyle name="Normal 2 3 2 31 3 8" xfId="27067" xr:uid="{00000000-0005-0000-0000-00009D690000}"/>
    <cellStyle name="Normal 2 3 2 31 3 9" xfId="27068" xr:uid="{00000000-0005-0000-0000-00009E690000}"/>
    <cellStyle name="Normal 2 3 2 31 4" xfId="27069" xr:uid="{00000000-0005-0000-0000-00009F690000}"/>
    <cellStyle name="Normal 2 3 2 31 4 10" xfId="27070" xr:uid="{00000000-0005-0000-0000-0000A0690000}"/>
    <cellStyle name="Normal 2 3 2 31 4 2" xfId="27071" xr:uid="{00000000-0005-0000-0000-0000A1690000}"/>
    <cellStyle name="Normal 2 3 2 31 4 3" xfId="27072" xr:uid="{00000000-0005-0000-0000-0000A2690000}"/>
    <cellStyle name="Normal 2 3 2 31 4 4" xfId="27073" xr:uid="{00000000-0005-0000-0000-0000A3690000}"/>
    <cellStyle name="Normal 2 3 2 31 4 5" xfId="27074" xr:uid="{00000000-0005-0000-0000-0000A4690000}"/>
    <cellStyle name="Normal 2 3 2 31 4 6" xfId="27075" xr:uid="{00000000-0005-0000-0000-0000A5690000}"/>
    <cellStyle name="Normal 2 3 2 31 4 7" xfId="27076" xr:uid="{00000000-0005-0000-0000-0000A6690000}"/>
    <cellStyle name="Normal 2 3 2 31 4 8" xfId="27077" xr:uid="{00000000-0005-0000-0000-0000A7690000}"/>
    <cellStyle name="Normal 2 3 2 31 4 9" xfId="27078" xr:uid="{00000000-0005-0000-0000-0000A8690000}"/>
    <cellStyle name="Normal 2 3 2 31 5" xfId="27079" xr:uid="{00000000-0005-0000-0000-0000A9690000}"/>
    <cellStyle name="Normal 2 3 2 31 5 10" xfId="27080" xr:uid="{00000000-0005-0000-0000-0000AA690000}"/>
    <cellStyle name="Normal 2 3 2 31 5 2" xfId="27081" xr:uid="{00000000-0005-0000-0000-0000AB690000}"/>
    <cellStyle name="Normal 2 3 2 31 5 3" xfId="27082" xr:uid="{00000000-0005-0000-0000-0000AC690000}"/>
    <cellStyle name="Normal 2 3 2 31 5 4" xfId="27083" xr:uid="{00000000-0005-0000-0000-0000AD690000}"/>
    <cellStyle name="Normal 2 3 2 31 5 5" xfId="27084" xr:uid="{00000000-0005-0000-0000-0000AE690000}"/>
    <cellStyle name="Normal 2 3 2 31 5 6" xfId="27085" xr:uid="{00000000-0005-0000-0000-0000AF690000}"/>
    <cellStyle name="Normal 2 3 2 31 5 7" xfId="27086" xr:uid="{00000000-0005-0000-0000-0000B0690000}"/>
    <cellStyle name="Normal 2 3 2 31 5 8" xfId="27087" xr:uid="{00000000-0005-0000-0000-0000B1690000}"/>
    <cellStyle name="Normal 2 3 2 31 5 9" xfId="27088" xr:uid="{00000000-0005-0000-0000-0000B2690000}"/>
    <cellStyle name="Normal 2 3 2 31 6" xfId="27089" xr:uid="{00000000-0005-0000-0000-0000B3690000}"/>
    <cellStyle name="Normal 2 3 2 31 7" xfId="27090" xr:uid="{00000000-0005-0000-0000-0000B4690000}"/>
    <cellStyle name="Normal 2 3 2 31 8" xfId="27091" xr:uid="{00000000-0005-0000-0000-0000B5690000}"/>
    <cellStyle name="Normal 2 3 2 31 9" xfId="27092" xr:uid="{00000000-0005-0000-0000-0000B6690000}"/>
    <cellStyle name="Normal 2 3 2 32" xfId="27093" xr:uid="{00000000-0005-0000-0000-0000B7690000}"/>
    <cellStyle name="Normal 2 3 2 32 10" xfId="27094" xr:uid="{00000000-0005-0000-0000-0000B8690000}"/>
    <cellStyle name="Normal 2 3 2 32 11" xfId="27095" xr:uid="{00000000-0005-0000-0000-0000B9690000}"/>
    <cellStyle name="Normal 2 3 2 32 12" xfId="27096" xr:uid="{00000000-0005-0000-0000-0000BA690000}"/>
    <cellStyle name="Normal 2 3 2 32 13" xfId="27097" xr:uid="{00000000-0005-0000-0000-0000BB690000}"/>
    <cellStyle name="Normal 2 3 2 32 14" xfId="27098" xr:uid="{00000000-0005-0000-0000-0000BC690000}"/>
    <cellStyle name="Normal 2 3 2 32 2" xfId="27099" xr:uid="{00000000-0005-0000-0000-0000BD690000}"/>
    <cellStyle name="Normal 2 3 2 32 2 10" xfId="27100" xr:uid="{00000000-0005-0000-0000-0000BE690000}"/>
    <cellStyle name="Normal 2 3 2 32 2 2" xfId="27101" xr:uid="{00000000-0005-0000-0000-0000BF690000}"/>
    <cellStyle name="Normal 2 3 2 32 2 3" xfId="27102" xr:uid="{00000000-0005-0000-0000-0000C0690000}"/>
    <cellStyle name="Normal 2 3 2 32 2 4" xfId="27103" xr:uid="{00000000-0005-0000-0000-0000C1690000}"/>
    <cellStyle name="Normal 2 3 2 32 2 5" xfId="27104" xr:uid="{00000000-0005-0000-0000-0000C2690000}"/>
    <cellStyle name="Normal 2 3 2 32 2 6" xfId="27105" xr:uid="{00000000-0005-0000-0000-0000C3690000}"/>
    <cellStyle name="Normal 2 3 2 32 2 7" xfId="27106" xr:uid="{00000000-0005-0000-0000-0000C4690000}"/>
    <cellStyle name="Normal 2 3 2 32 2 8" xfId="27107" xr:uid="{00000000-0005-0000-0000-0000C5690000}"/>
    <cellStyle name="Normal 2 3 2 32 2 9" xfId="27108" xr:uid="{00000000-0005-0000-0000-0000C6690000}"/>
    <cellStyle name="Normal 2 3 2 32 3" xfId="27109" xr:uid="{00000000-0005-0000-0000-0000C7690000}"/>
    <cellStyle name="Normal 2 3 2 32 3 10" xfId="27110" xr:uid="{00000000-0005-0000-0000-0000C8690000}"/>
    <cellStyle name="Normal 2 3 2 32 3 2" xfId="27111" xr:uid="{00000000-0005-0000-0000-0000C9690000}"/>
    <cellStyle name="Normal 2 3 2 32 3 3" xfId="27112" xr:uid="{00000000-0005-0000-0000-0000CA690000}"/>
    <cellStyle name="Normal 2 3 2 32 3 4" xfId="27113" xr:uid="{00000000-0005-0000-0000-0000CB690000}"/>
    <cellStyle name="Normal 2 3 2 32 3 5" xfId="27114" xr:uid="{00000000-0005-0000-0000-0000CC690000}"/>
    <cellStyle name="Normal 2 3 2 32 3 6" xfId="27115" xr:uid="{00000000-0005-0000-0000-0000CD690000}"/>
    <cellStyle name="Normal 2 3 2 32 3 7" xfId="27116" xr:uid="{00000000-0005-0000-0000-0000CE690000}"/>
    <cellStyle name="Normal 2 3 2 32 3 8" xfId="27117" xr:uid="{00000000-0005-0000-0000-0000CF690000}"/>
    <cellStyle name="Normal 2 3 2 32 3 9" xfId="27118" xr:uid="{00000000-0005-0000-0000-0000D0690000}"/>
    <cellStyle name="Normal 2 3 2 32 4" xfId="27119" xr:uid="{00000000-0005-0000-0000-0000D1690000}"/>
    <cellStyle name="Normal 2 3 2 32 4 10" xfId="27120" xr:uid="{00000000-0005-0000-0000-0000D2690000}"/>
    <cellStyle name="Normal 2 3 2 32 4 2" xfId="27121" xr:uid="{00000000-0005-0000-0000-0000D3690000}"/>
    <cellStyle name="Normal 2 3 2 32 4 3" xfId="27122" xr:uid="{00000000-0005-0000-0000-0000D4690000}"/>
    <cellStyle name="Normal 2 3 2 32 4 4" xfId="27123" xr:uid="{00000000-0005-0000-0000-0000D5690000}"/>
    <cellStyle name="Normal 2 3 2 32 4 5" xfId="27124" xr:uid="{00000000-0005-0000-0000-0000D6690000}"/>
    <cellStyle name="Normal 2 3 2 32 4 6" xfId="27125" xr:uid="{00000000-0005-0000-0000-0000D7690000}"/>
    <cellStyle name="Normal 2 3 2 32 4 7" xfId="27126" xr:uid="{00000000-0005-0000-0000-0000D8690000}"/>
    <cellStyle name="Normal 2 3 2 32 4 8" xfId="27127" xr:uid="{00000000-0005-0000-0000-0000D9690000}"/>
    <cellStyle name="Normal 2 3 2 32 4 9" xfId="27128" xr:uid="{00000000-0005-0000-0000-0000DA690000}"/>
    <cellStyle name="Normal 2 3 2 32 5" xfId="27129" xr:uid="{00000000-0005-0000-0000-0000DB690000}"/>
    <cellStyle name="Normal 2 3 2 32 5 10" xfId="27130" xr:uid="{00000000-0005-0000-0000-0000DC690000}"/>
    <cellStyle name="Normal 2 3 2 32 5 2" xfId="27131" xr:uid="{00000000-0005-0000-0000-0000DD690000}"/>
    <cellStyle name="Normal 2 3 2 32 5 3" xfId="27132" xr:uid="{00000000-0005-0000-0000-0000DE690000}"/>
    <cellStyle name="Normal 2 3 2 32 5 4" xfId="27133" xr:uid="{00000000-0005-0000-0000-0000DF690000}"/>
    <cellStyle name="Normal 2 3 2 32 5 5" xfId="27134" xr:uid="{00000000-0005-0000-0000-0000E0690000}"/>
    <cellStyle name="Normal 2 3 2 32 5 6" xfId="27135" xr:uid="{00000000-0005-0000-0000-0000E1690000}"/>
    <cellStyle name="Normal 2 3 2 32 5 7" xfId="27136" xr:uid="{00000000-0005-0000-0000-0000E2690000}"/>
    <cellStyle name="Normal 2 3 2 32 5 8" xfId="27137" xr:uid="{00000000-0005-0000-0000-0000E3690000}"/>
    <cellStyle name="Normal 2 3 2 32 5 9" xfId="27138" xr:uid="{00000000-0005-0000-0000-0000E4690000}"/>
    <cellStyle name="Normal 2 3 2 32 6" xfId="27139" xr:uid="{00000000-0005-0000-0000-0000E5690000}"/>
    <cellStyle name="Normal 2 3 2 32 7" xfId="27140" xr:uid="{00000000-0005-0000-0000-0000E6690000}"/>
    <cellStyle name="Normal 2 3 2 32 8" xfId="27141" xr:uid="{00000000-0005-0000-0000-0000E7690000}"/>
    <cellStyle name="Normal 2 3 2 32 9" xfId="27142" xr:uid="{00000000-0005-0000-0000-0000E8690000}"/>
    <cellStyle name="Normal 2 3 2 33" xfId="27143" xr:uid="{00000000-0005-0000-0000-0000E9690000}"/>
    <cellStyle name="Normal 2 3 2 33 10" xfId="27144" xr:uid="{00000000-0005-0000-0000-0000EA690000}"/>
    <cellStyle name="Normal 2 3 2 33 11" xfId="27145" xr:uid="{00000000-0005-0000-0000-0000EB690000}"/>
    <cellStyle name="Normal 2 3 2 33 12" xfId="27146" xr:uid="{00000000-0005-0000-0000-0000EC690000}"/>
    <cellStyle name="Normal 2 3 2 33 13" xfId="27147" xr:uid="{00000000-0005-0000-0000-0000ED690000}"/>
    <cellStyle name="Normal 2 3 2 33 14" xfId="27148" xr:uid="{00000000-0005-0000-0000-0000EE690000}"/>
    <cellStyle name="Normal 2 3 2 33 2" xfId="27149" xr:uid="{00000000-0005-0000-0000-0000EF690000}"/>
    <cellStyle name="Normal 2 3 2 33 2 10" xfId="27150" xr:uid="{00000000-0005-0000-0000-0000F0690000}"/>
    <cellStyle name="Normal 2 3 2 33 2 2" xfId="27151" xr:uid="{00000000-0005-0000-0000-0000F1690000}"/>
    <cellStyle name="Normal 2 3 2 33 2 3" xfId="27152" xr:uid="{00000000-0005-0000-0000-0000F2690000}"/>
    <cellStyle name="Normal 2 3 2 33 2 4" xfId="27153" xr:uid="{00000000-0005-0000-0000-0000F3690000}"/>
    <cellStyle name="Normal 2 3 2 33 2 5" xfId="27154" xr:uid="{00000000-0005-0000-0000-0000F4690000}"/>
    <cellStyle name="Normal 2 3 2 33 2 6" xfId="27155" xr:uid="{00000000-0005-0000-0000-0000F5690000}"/>
    <cellStyle name="Normal 2 3 2 33 2 7" xfId="27156" xr:uid="{00000000-0005-0000-0000-0000F6690000}"/>
    <cellStyle name="Normal 2 3 2 33 2 8" xfId="27157" xr:uid="{00000000-0005-0000-0000-0000F7690000}"/>
    <cellStyle name="Normal 2 3 2 33 2 9" xfId="27158" xr:uid="{00000000-0005-0000-0000-0000F8690000}"/>
    <cellStyle name="Normal 2 3 2 33 3" xfId="27159" xr:uid="{00000000-0005-0000-0000-0000F9690000}"/>
    <cellStyle name="Normal 2 3 2 33 3 10" xfId="27160" xr:uid="{00000000-0005-0000-0000-0000FA690000}"/>
    <cellStyle name="Normal 2 3 2 33 3 2" xfId="27161" xr:uid="{00000000-0005-0000-0000-0000FB690000}"/>
    <cellStyle name="Normal 2 3 2 33 3 3" xfId="27162" xr:uid="{00000000-0005-0000-0000-0000FC690000}"/>
    <cellStyle name="Normal 2 3 2 33 3 4" xfId="27163" xr:uid="{00000000-0005-0000-0000-0000FD690000}"/>
    <cellStyle name="Normal 2 3 2 33 3 5" xfId="27164" xr:uid="{00000000-0005-0000-0000-0000FE690000}"/>
    <cellStyle name="Normal 2 3 2 33 3 6" xfId="27165" xr:uid="{00000000-0005-0000-0000-0000FF690000}"/>
    <cellStyle name="Normal 2 3 2 33 3 7" xfId="27166" xr:uid="{00000000-0005-0000-0000-0000006A0000}"/>
    <cellStyle name="Normal 2 3 2 33 3 8" xfId="27167" xr:uid="{00000000-0005-0000-0000-0000016A0000}"/>
    <cellStyle name="Normal 2 3 2 33 3 9" xfId="27168" xr:uid="{00000000-0005-0000-0000-0000026A0000}"/>
    <cellStyle name="Normal 2 3 2 33 4" xfId="27169" xr:uid="{00000000-0005-0000-0000-0000036A0000}"/>
    <cellStyle name="Normal 2 3 2 33 4 10" xfId="27170" xr:uid="{00000000-0005-0000-0000-0000046A0000}"/>
    <cellStyle name="Normal 2 3 2 33 4 2" xfId="27171" xr:uid="{00000000-0005-0000-0000-0000056A0000}"/>
    <cellStyle name="Normal 2 3 2 33 4 3" xfId="27172" xr:uid="{00000000-0005-0000-0000-0000066A0000}"/>
    <cellStyle name="Normal 2 3 2 33 4 4" xfId="27173" xr:uid="{00000000-0005-0000-0000-0000076A0000}"/>
    <cellStyle name="Normal 2 3 2 33 4 5" xfId="27174" xr:uid="{00000000-0005-0000-0000-0000086A0000}"/>
    <cellStyle name="Normal 2 3 2 33 4 6" xfId="27175" xr:uid="{00000000-0005-0000-0000-0000096A0000}"/>
    <cellStyle name="Normal 2 3 2 33 4 7" xfId="27176" xr:uid="{00000000-0005-0000-0000-00000A6A0000}"/>
    <cellStyle name="Normal 2 3 2 33 4 8" xfId="27177" xr:uid="{00000000-0005-0000-0000-00000B6A0000}"/>
    <cellStyle name="Normal 2 3 2 33 4 9" xfId="27178" xr:uid="{00000000-0005-0000-0000-00000C6A0000}"/>
    <cellStyle name="Normal 2 3 2 33 5" xfId="27179" xr:uid="{00000000-0005-0000-0000-00000D6A0000}"/>
    <cellStyle name="Normal 2 3 2 33 5 10" xfId="27180" xr:uid="{00000000-0005-0000-0000-00000E6A0000}"/>
    <cellStyle name="Normal 2 3 2 33 5 2" xfId="27181" xr:uid="{00000000-0005-0000-0000-00000F6A0000}"/>
    <cellStyle name="Normal 2 3 2 33 5 3" xfId="27182" xr:uid="{00000000-0005-0000-0000-0000106A0000}"/>
    <cellStyle name="Normal 2 3 2 33 5 4" xfId="27183" xr:uid="{00000000-0005-0000-0000-0000116A0000}"/>
    <cellStyle name="Normal 2 3 2 33 5 5" xfId="27184" xr:uid="{00000000-0005-0000-0000-0000126A0000}"/>
    <cellStyle name="Normal 2 3 2 33 5 6" xfId="27185" xr:uid="{00000000-0005-0000-0000-0000136A0000}"/>
    <cellStyle name="Normal 2 3 2 33 5 7" xfId="27186" xr:uid="{00000000-0005-0000-0000-0000146A0000}"/>
    <cellStyle name="Normal 2 3 2 33 5 8" xfId="27187" xr:uid="{00000000-0005-0000-0000-0000156A0000}"/>
    <cellStyle name="Normal 2 3 2 33 5 9" xfId="27188" xr:uid="{00000000-0005-0000-0000-0000166A0000}"/>
    <cellStyle name="Normal 2 3 2 33 6" xfId="27189" xr:uid="{00000000-0005-0000-0000-0000176A0000}"/>
    <cellStyle name="Normal 2 3 2 33 7" xfId="27190" xr:uid="{00000000-0005-0000-0000-0000186A0000}"/>
    <cellStyle name="Normal 2 3 2 33 8" xfId="27191" xr:uid="{00000000-0005-0000-0000-0000196A0000}"/>
    <cellStyle name="Normal 2 3 2 33 9" xfId="27192" xr:uid="{00000000-0005-0000-0000-00001A6A0000}"/>
    <cellStyle name="Normal 2 3 2 34" xfId="27193" xr:uid="{00000000-0005-0000-0000-00001B6A0000}"/>
    <cellStyle name="Normal 2 3 2 34 10" xfId="27194" xr:uid="{00000000-0005-0000-0000-00001C6A0000}"/>
    <cellStyle name="Normal 2 3 2 34 2" xfId="27195" xr:uid="{00000000-0005-0000-0000-00001D6A0000}"/>
    <cellStyle name="Normal 2 3 2 34 3" xfId="27196" xr:uid="{00000000-0005-0000-0000-00001E6A0000}"/>
    <cellStyle name="Normal 2 3 2 34 4" xfId="27197" xr:uid="{00000000-0005-0000-0000-00001F6A0000}"/>
    <cellStyle name="Normal 2 3 2 34 5" xfId="27198" xr:uid="{00000000-0005-0000-0000-0000206A0000}"/>
    <cellStyle name="Normal 2 3 2 34 6" xfId="27199" xr:uid="{00000000-0005-0000-0000-0000216A0000}"/>
    <cellStyle name="Normal 2 3 2 34 7" xfId="27200" xr:uid="{00000000-0005-0000-0000-0000226A0000}"/>
    <cellStyle name="Normal 2 3 2 34 8" xfId="27201" xr:uid="{00000000-0005-0000-0000-0000236A0000}"/>
    <cellStyle name="Normal 2 3 2 34 9" xfId="27202" xr:uid="{00000000-0005-0000-0000-0000246A0000}"/>
    <cellStyle name="Normal 2 3 2 35" xfId="27203" xr:uid="{00000000-0005-0000-0000-0000256A0000}"/>
    <cellStyle name="Normal 2 3 2 35 10" xfId="27204" xr:uid="{00000000-0005-0000-0000-0000266A0000}"/>
    <cellStyle name="Normal 2 3 2 35 2" xfId="27205" xr:uid="{00000000-0005-0000-0000-0000276A0000}"/>
    <cellStyle name="Normal 2 3 2 35 3" xfId="27206" xr:uid="{00000000-0005-0000-0000-0000286A0000}"/>
    <cellStyle name="Normal 2 3 2 35 4" xfId="27207" xr:uid="{00000000-0005-0000-0000-0000296A0000}"/>
    <cellStyle name="Normal 2 3 2 35 5" xfId="27208" xr:uid="{00000000-0005-0000-0000-00002A6A0000}"/>
    <cellStyle name="Normal 2 3 2 35 6" xfId="27209" xr:uid="{00000000-0005-0000-0000-00002B6A0000}"/>
    <cellStyle name="Normal 2 3 2 35 7" xfId="27210" xr:uid="{00000000-0005-0000-0000-00002C6A0000}"/>
    <cellStyle name="Normal 2 3 2 35 8" xfId="27211" xr:uid="{00000000-0005-0000-0000-00002D6A0000}"/>
    <cellStyle name="Normal 2 3 2 35 9" xfId="27212" xr:uid="{00000000-0005-0000-0000-00002E6A0000}"/>
    <cellStyle name="Normal 2 3 2 36" xfId="27213" xr:uid="{00000000-0005-0000-0000-00002F6A0000}"/>
    <cellStyle name="Normal 2 3 2 36 10" xfId="27214" xr:uid="{00000000-0005-0000-0000-0000306A0000}"/>
    <cellStyle name="Normal 2 3 2 36 2" xfId="27215" xr:uid="{00000000-0005-0000-0000-0000316A0000}"/>
    <cellStyle name="Normal 2 3 2 36 3" xfId="27216" xr:uid="{00000000-0005-0000-0000-0000326A0000}"/>
    <cellStyle name="Normal 2 3 2 36 4" xfId="27217" xr:uid="{00000000-0005-0000-0000-0000336A0000}"/>
    <cellStyle name="Normal 2 3 2 36 5" xfId="27218" xr:uid="{00000000-0005-0000-0000-0000346A0000}"/>
    <cellStyle name="Normal 2 3 2 36 6" xfId="27219" xr:uid="{00000000-0005-0000-0000-0000356A0000}"/>
    <cellStyle name="Normal 2 3 2 36 7" xfId="27220" xr:uid="{00000000-0005-0000-0000-0000366A0000}"/>
    <cellStyle name="Normal 2 3 2 36 8" xfId="27221" xr:uid="{00000000-0005-0000-0000-0000376A0000}"/>
    <cellStyle name="Normal 2 3 2 36 9" xfId="27222" xr:uid="{00000000-0005-0000-0000-0000386A0000}"/>
    <cellStyle name="Normal 2 3 2 37" xfId="27223" xr:uid="{00000000-0005-0000-0000-0000396A0000}"/>
    <cellStyle name="Normal 2 3 2 37 10" xfId="27224" xr:uid="{00000000-0005-0000-0000-00003A6A0000}"/>
    <cellStyle name="Normal 2 3 2 37 2" xfId="27225" xr:uid="{00000000-0005-0000-0000-00003B6A0000}"/>
    <cellStyle name="Normal 2 3 2 37 3" xfId="27226" xr:uid="{00000000-0005-0000-0000-00003C6A0000}"/>
    <cellStyle name="Normal 2 3 2 37 4" xfId="27227" xr:uid="{00000000-0005-0000-0000-00003D6A0000}"/>
    <cellStyle name="Normal 2 3 2 37 5" xfId="27228" xr:uid="{00000000-0005-0000-0000-00003E6A0000}"/>
    <cellStyle name="Normal 2 3 2 37 6" xfId="27229" xr:uid="{00000000-0005-0000-0000-00003F6A0000}"/>
    <cellStyle name="Normal 2 3 2 37 7" xfId="27230" xr:uid="{00000000-0005-0000-0000-0000406A0000}"/>
    <cellStyle name="Normal 2 3 2 37 8" xfId="27231" xr:uid="{00000000-0005-0000-0000-0000416A0000}"/>
    <cellStyle name="Normal 2 3 2 37 9" xfId="27232" xr:uid="{00000000-0005-0000-0000-0000426A0000}"/>
    <cellStyle name="Normal 2 3 2 38" xfId="27233" xr:uid="{00000000-0005-0000-0000-0000436A0000}"/>
    <cellStyle name="Normal 2 3 2 39" xfId="27234" xr:uid="{00000000-0005-0000-0000-0000446A0000}"/>
    <cellStyle name="Normal 2 3 2 4" xfId="27235" xr:uid="{00000000-0005-0000-0000-0000456A0000}"/>
    <cellStyle name="Normal 2 3 2 4 10" xfId="27236" xr:uid="{00000000-0005-0000-0000-0000466A0000}"/>
    <cellStyle name="Normal 2 3 2 4 11" xfId="27237" xr:uid="{00000000-0005-0000-0000-0000476A0000}"/>
    <cellStyle name="Normal 2 3 2 4 12" xfId="27238" xr:uid="{00000000-0005-0000-0000-0000486A0000}"/>
    <cellStyle name="Normal 2 3 2 4 13" xfId="27239" xr:uid="{00000000-0005-0000-0000-0000496A0000}"/>
    <cellStyle name="Normal 2 3 2 4 14" xfId="27240" xr:uid="{00000000-0005-0000-0000-00004A6A0000}"/>
    <cellStyle name="Normal 2 3 2 4 2" xfId="27241" xr:uid="{00000000-0005-0000-0000-00004B6A0000}"/>
    <cellStyle name="Normal 2 3 2 4 2 10" xfId="27242" xr:uid="{00000000-0005-0000-0000-00004C6A0000}"/>
    <cellStyle name="Normal 2 3 2 4 2 2" xfId="27243" xr:uid="{00000000-0005-0000-0000-00004D6A0000}"/>
    <cellStyle name="Normal 2 3 2 4 2 3" xfId="27244" xr:uid="{00000000-0005-0000-0000-00004E6A0000}"/>
    <cellStyle name="Normal 2 3 2 4 2 4" xfId="27245" xr:uid="{00000000-0005-0000-0000-00004F6A0000}"/>
    <cellStyle name="Normal 2 3 2 4 2 5" xfId="27246" xr:uid="{00000000-0005-0000-0000-0000506A0000}"/>
    <cellStyle name="Normal 2 3 2 4 2 6" xfId="27247" xr:uid="{00000000-0005-0000-0000-0000516A0000}"/>
    <cellStyle name="Normal 2 3 2 4 2 7" xfId="27248" xr:uid="{00000000-0005-0000-0000-0000526A0000}"/>
    <cellStyle name="Normal 2 3 2 4 2 8" xfId="27249" xr:uid="{00000000-0005-0000-0000-0000536A0000}"/>
    <cellStyle name="Normal 2 3 2 4 2 9" xfId="27250" xr:uid="{00000000-0005-0000-0000-0000546A0000}"/>
    <cellStyle name="Normal 2 3 2 4 3" xfId="27251" xr:uid="{00000000-0005-0000-0000-0000556A0000}"/>
    <cellStyle name="Normal 2 3 2 4 3 10" xfId="27252" xr:uid="{00000000-0005-0000-0000-0000566A0000}"/>
    <cellStyle name="Normal 2 3 2 4 3 2" xfId="27253" xr:uid="{00000000-0005-0000-0000-0000576A0000}"/>
    <cellStyle name="Normal 2 3 2 4 3 3" xfId="27254" xr:uid="{00000000-0005-0000-0000-0000586A0000}"/>
    <cellStyle name="Normal 2 3 2 4 3 4" xfId="27255" xr:uid="{00000000-0005-0000-0000-0000596A0000}"/>
    <cellStyle name="Normal 2 3 2 4 3 5" xfId="27256" xr:uid="{00000000-0005-0000-0000-00005A6A0000}"/>
    <cellStyle name="Normal 2 3 2 4 3 6" xfId="27257" xr:uid="{00000000-0005-0000-0000-00005B6A0000}"/>
    <cellStyle name="Normal 2 3 2 4 3 7" xfId="27258" xr:uid="{00000000-0005-0000-0000-00005C6A0000}"/>
    <cellStyle name="Normal 2 3 2 4 3 8" xfId="27259" xr:uid="{00000000-0005-0000-0000-00005D6A0000}"/>
    <cellStyle name="Normal 2 3 2 4 3 9" xfId="27260" xr:uid="{00000000-0005-0000-0000-00005E6A0000}"/>
    <cellStyle name="Normal 2 3 2 4 4" xfId="27261" xr:uid="{00000000-0005-0000-0000-00005F6A0000}"/>
    <cellStyle name="Normal 2 3 2 4 4 10" xfId="27262" xr:uid="{00000000-0005-0000-0000-0000606A0000}"/>
    <cellStyle name="Normal 2 3 2 4 4 2" xfId="27263" xr:uid="{00000000-0005-0000-0000-0000616A0000}"/>
    <cellStyle name="Normal 2 3 2 4 4 3" xfId="27264" xr:uid="{00000000-0005-0000-0000-0000626A0000}"/>
    <cellStyle name="Normal 2 3 2 4 4 4" xfId="27265" xr:uid="{00000000-0005-0000-0000-0000636A0000}"/>
    <cellStyle name="Normal 2 3 2 4 4 5" xfId="27266" xr:uid="{00000000-0005-0000-0000-0000646A0000}"/>
    <cellStyle name="Normal 2 3 2 4 4 6" xfId="27267" xr:uid="{00000000-0005-0000-0000-0000656A0000}"/>
    <cellStyle name="Normal 2 3 2 4 4 7" xfId="27268" xr:uid="{00000000-0005-0000-0000-0000666A0000}"/>
    <cellStyle name="Normal 2 3 2 4 4 8" xfId="27269" xr:uid="{00000000-0005-0000-0000-0000676A0000}"/>
    <cellStyle name="Normal 2 3 2 4 4 9" xfId="27270" xr:uid="{00000000-0005-0000-0000-0000686A0000}"/>
    <cellStyle name="Normal 2 3 2 4 5" xfId="27271" xr:uid="{00000000-0005-0000-0000-0000696A0000}"/>
    <cellStyle name="Normal 2 3 2 4 5 10" xfId="27272" xr:uid="{00000000-0005-0000-0000-00006A6A0000}"/>
    <cellStyle name="Normal 2 3 2 4 5 2" xfId="27273" xr:uid="{00000000-0005-0000-0000-00006B6A0000}"/>
    <cellStyle name="Normal 2 3 2 4 5 3" xfId="27274" xr:uid="{00000000-0005-0000-0000-00006C6A0000}"/>
    <cellStyle name="Normal 2 3 2 4 5 4" xfId="27275" xr:uid="{00000000-0005-0000-0000-00006D6A0000}"/>
    <cellStyle name="Normal 2 3 2 4 5 5" xfId="27276" xr:uid="{00000000-0005-0000-0000-00006E6A0000}"/>
    <cellStyle name="Normal 2 3 2 4 5 6" xfId="27277" xr:uid="{00000000-0005-0000-0000-00006F6A0000}"/>
    <cellStyle name="Normal 2 3 2 4 5 7" xfId="27278" xr:uid="{00000000-0005-0000-0000-0000706A0000}"/>
    <cellStyle name="Normal 2 3 2 4 5 8" xfId="27279" xr:uid="{00000000-0005-0000-0000-0000716A0000}"/>
    <cellStyle name="Normal 2 3 2 4 5 9" xfId="27280" xr:uid="{00000000-0005-0000-0000-0000726A0000}"/>
    <cellStyle name="Normal 2 3 2 4 6" xfId="27281" xr:uid="{00000000-0005-0000-0000-0000736A0000}"/>
    <cellStyle name="Normal 2 3 2 4 7" xfId="27282" xr:uid="{00000000-0005-0000-0000-0000746A0000}"/>
    <cellStyle name="Normal 2 3 2 4 8" xfId="27283" xr:uid="{00000000-0005-0000-0000-0000756A0000}"/>
    <cellStyle name="Normal 2 3 2 4 9" xfId="27284" xr:uid="{00000000-0005-0000-0000-0000766A0000}"/>
    <cellStyle name="Normal 2 3 2 40" xfId="27285" xr:uid="{00000000-0005-0000-0000-0000776A0000}"/>
    <cellStyle name="Normal 2 3 2 41" xfId="27286" xr:uid="{00000000-0005-0000-0000-0000786A0000}"/>
    <cellStyle name="Normal 2 3 2 42" xfId="27287" xr:uid="{00000000-0005-0000-0000-0000796A0000}"/>
    <cellStyle name="Normal 2 3 2 43" xfId="27288" xr:uid="{00000000-0005-0000-0000-00007A6A0000}"/>
    <cellStyle name="Normal 2 3 2 44" xfId="27289" xr:uid="{00000000-0005-0000-0000-00007B6A0000}"/>
    <cellStyle name="Normal 2 3 2 45" xfId="27290" xr:uid="{00000000-0005-0000-0000-00007C6A0000}"/>
    <cellStyle name="Normal 2 3 2 46" xfId="27291" xr:uid="{00000000-0005-0000-0000-00007D6A0000}"/>
    <cellStyle name="Normal 2 3 2 47" xfId="27292" xr:uid="{00000000-0005-0000-0000-00007E6A0000}"/>
    <cellStyle name="Normal 2 3 2 48" xfId="27293" xr:uid="{00000000-0005-0000-0000-00007F6A0000}"/>
    <cellStyle name="Normal 2 3 2 49" xfId="25886" xr:uid="{00000000-0005-0000-0000-0000806A0000}"/>
    <cellStyle name="Normal 2 3 2 5" xfId="27294" xr:uid="{00000000-0005-0000-0000-0000816A0000}"/>
    <cellStyle name="Normal 2 3 2 5 10" xfId="27295" xr:uid="{00000000-0005-0000-0000-0000826A0000}"/>
    <cellStyle name="Normal 2 3 2 5 11" xfId="27296" xr:uid="{00000000-0005-0000-0000-0000836A0000}"/>
    <cellStyle name="Normal 2 3 2 5 12" xfId="27297" xr:uid="{00000000-0005-0000-0000-0000846A0000}"/>
    <cellStyle name="Normal 2 3 2 5 13" xfId="27298" xr:uid="{00000000-0005-0000-0000-0000856A0000}"/>
    <cellStyle name="Normal 2 3 2 5 14" xfId="27299" xr:uid="{00000000-0005-0000-0000-0000866A0000}"/>
    <cellStyle name="Normal 2 3 2 5 2" xfId="27300" xr:uid="{00000000-0005-0000-0000-0000876A0000}"/>
    <cellStyle name="Normal 2 3 2 5 2 10" xfId="27301" xr:uid="{00000000-0005-0000-0000-0000886A0000}"/>
    <cellStyle name="Normal 2 3 2 5 2 2" xfId="27302" xr:uid="{00000000-0005-0000-0000-0000896A0000}"/>
    <cellStyle name="Normal 2 3 2 5 2 3" xfId="27303" xr:uid="{00000000-0005-0000-0000-00008A6A0000}"/>
    <cellStyle name="Normal 2 3 2 5 2 4" xfId="27304" xr:uid="{00000000-0005-0000-0000-00008B6A0000}"/>
    <cellStyle name="Normal 2 3 2 5 2 5" xfId="27305" xr:uid="{00000000-0005-0000-0000-00008C6A0000}"/>
    <cellStyle name="Normal 2 3 2 5 2 6" xfId="27306" xr:uid="{00000000-0005-0000-0000-00008D6A0000}"/>
    <cellStyle name="Normal 2 3 2 5 2 7" xfId="27307" xr:uid="{00000000-0005-0000-0000-00008E6A0000}"/>
    <cellStyle name="Normal 2 3 2 5 2 8" xfId="27308" xr:uid="{00000000-0005-0000-0000-00008F6A0000}"/>
    <cellStyle name="Normal 2 3 2 5 2 9" xfId="27309" xr:uid="{00000000-0005-0000-0000-0000906A0000}"/>
    <cellStyle name="Normal 2 3 2 5 3" xfId="27310" xr:uid="{00000000-0005-0000-0000-0000916A0000}"/>
    <cellStyle name="Normal 2 3 2 5 3 10" xfId="27311" xr:uid="{00000000-0005-0000-0000-0000926A0000}"/>
    <cellStyle name="Normal 2 3 2 5 3 2" xfId="27312" xr:uid="{00000000-0005-0000-0000-0000936A0000}"/>
    <cellStyle name="Normal 2 3 2 5 3 3" xfId="27313" xr:uid="{00000000-0005-0000-0000-0000946A0000}"/>
    <cellStyle name="Normal 2 3 2 5 3 4" xfId="27314" xr:uid="{00000000-0005-0000-0000-0000956A0000}"/>
    <cellStyle name="Normal 2 3 2 5 3 5" xfId="27315" xr:uid="{00000000-0005-0000-0000-0000966A0000}"/>
    <cellStyle name="Normal 2 3 2 5 3 6" xfId="27316" xr:uid="{00000000-0005-0000-0000-0000976A0000}"/>
    <cellStyle name="Normal 2 3 2 5 3 7" xfId="27317" xr:uid="{00000000-0005-0000-0000-0000986A0000}"/>
    <cellStyle name="Normal 2 3 2 5 3 8" xfId="27318" xr:uid="{00000000-0005-0000-0000-0000996A0000}"/>
    <cellStyle name="Normal 2 3 2 5 3 9" xfId="27319" xr:uid="{00000000-0005-0000-0000-00009A6A0000}"/>
    <cellStyle name="Normal 2 3 2 5 4" xfId="27320" xr:uid="{00000000-0005-0000-0000-00009B6A0000}"/>
    <cellStyle name="Normal 2 3 2 5 4 10" xfId="27321" xr:uid="{00000000-0005-0000-0000-00009C6A0000}"/>
    <cellStyle name="Normal 2 3 2 5 4 2" xfId="27322" xr:uid="{00000000-0005-0000-0000-00009D6A0000}"/>
    <cellStyle name="Normal 2 3 2 5 4 3" xfId="27323" xr:uid="{00000000-0005-0000-0000-00009E6A0000}"/>
    <cellStyle name="Normal 2 3 2 5 4 4" xfId="27324" xr:uid="{00000000-0005-0000-0000-00009F6A0000}"/>
    <cellStyle name="Normal 2 3 2 5 4 5" xfId="27325" xr:uid="{00000000-0005-0000-0000-0000A06A0000}"/>
    <cellStyle name="Normal 2 3 2 5 4 6" xfId="27326" xr:uid="{00000000-0005-0000-0000-0000A16A0000}"/>
    <cellStyle name="Normal 2 3 2 5 4 7" xfId="27327" xr:uid="{00000000-0005-0000-0000-0000A26A0000}"/>
    <cellStyle name="Normal 2 3 2 5 4 8" xfId="27328" xr:uid="{00000000-0005-0000-0000-0000A36A0000}"/>
    <cellStyle name="Normal 2 3 2 5 4 9" xfId="27329" xr:uid="{00000000-0005-0000-0000-0000A46A0000}"/>
    <cellStyle name="Normal 2 3 2 5 5" xfId="27330" xr:uid="{00000000-0005-0000-0000-0000A56A0000}"/>
    <cellStyle name="Normal 2 3 2 5 5 10" xfId="27331" xr:uid="{00000000-0005-0000-0000-0000A66A0000}"/>
    <cellStyle name="Normal 2 3 2 5 5 2" xfId="27332" xr:uid="{00000000-0005-0000-0000-0000A76A0000}"/>
    <cellStyle name="Normal 2 3 2 5 5 3" xfId="27333" xr:uid="{00000000-0005-0000-0000-0000A86A0000}"/>
    <cellStyle name="Normal 2 3 2 5 5 4" xfId="27334" xr:uid="{00000000-0005-0000-0000-0000A96A0000}"/>
    <cellStyle name="Normal 2 3 2 5 5 5" xfId="27335" xr:uid="{00000000-0005-0000-0000-0000AA6A0000}"/>
    <cellStyle name="Normal 2 3 2 5 5 6" xfId="27336" xr:uid="{00000000-0005-0000-0000-0000AB6A0000}"/>
    <cellStyle name="Normal 2 3 2 5 5 7" xfId="27337" xr:uid="{00000000-0005-0000-0000-0000AC6A0000}"/>
    <cellStyle name="Normal 2 3 2 5 5 8" xfId="27338" xr:uid="{00000000-0005-0000-0000-0000AD6A0000}"/>
    <cellStyle name="Normal 2 3 2 5 5 9" xfId="27339" xr:uid="{00000000-0005-0000-0000-0000AE6A0000}"/>
    <cellStyle name="Normal 2 3 2 5 6" xfId="27340" xr:uid="{00000000-0005-0000-0000-0000AF6A0000}"/>
    <cellStyle name="Normal 2 3 2 5 7" xfId="27341" xr:uid="{00000000-0005-0000-0000-0000B06A0000}"/>
    <cellStyle name="Normal 2 3 2 5 8" xfId="27342" xr:uid="{00000000-0005-0000-0000-0000B16A0000}"/>
    <cellStyle name="Normal 2 3 2 5 9" xfId="27343" xr:uid="{00000000-0005-0000-0000-0000B26A0000}"/>
    <cellStyle name="Normal 2 3 2 6" xfId="27344" xr:uid="{00000000-0005-0000-0000-0000B36A0000}"/>
    <cellStyle name="Normal 2 3 2 6 10" xfId="27345" xr:uid="{00000000-0005-0000-0000-0000B46A0000}"/>
    <cellStyle name="Normal 2 3 2 6 11" xfId="27346" xr:uid="{00000000-0005-0000-0000-0000B56A0000}"/>
    <cellStyle name="Normal 2 3 2 6 12" xfId="27347" xr:uid="{00000000-0005-0000-0000-0000B66A0000}"/>
    <cellStyle name="Normal 2 3 2 6 13" xfId="27348" xr:uid="{00000000-0005-0000-0000-0000B76A0000}"/>
    <cellStyle name="Normal 2 3 2 6 14" xfId="27349" xr:uid="{00000000-0005-0000-0000-0000B86A0000}"/>
    <cellStyle name="Normal 2 3 2 6 2" xfId="27350" xr:uid="{00000000-0005-0000-0000-0000B96A0000}"/>
    <cellStyle name="Normal 2 3 2 6 2 10" xfId="27351" xr:uid="{00000000-0005-0000-0000-0000BA6A0000}"/>
    <cellStyle name="Normal 2 3 2 6 2 2" xfId="27352" xr:uid="{00000000-0005-0000-0000-0000BB6A0000}"/>
    <cellStyle name="Normal 2 3 2 6 2 3" xfId="27353" xr:uid="{00000000-0005-0000-0000-0000BC6A0000}"/>
    <cellStyle name="Normal 2 3 2 6 2 4" xfId="27354" xr:uid="{00000000-0005-0000-0000-0000BD6A0000}"/>
    <cellStyle name="Normal 2 3 2 6 2 5" xfId="27355" xr:uid="{00000000-0005-0000-0000-0000BE6A0000}"/>
    <cellStyle name="Normal 2 3 2 6 2 6" xfId="27356" xr:uid="{00000000-0005-0000-0000-0000BF6A0000}"/>
    <cellStyle name="Normal 2 3 2 6 2 7" xfId="27357" xr:uid="{00000000-0005-0000-0000-0000C06A0000}"/>
    <cellStyle name="Normal 2 3 2 6 2 8" xfId="27358" xr:uid="{00000000-0005-0000-0000-0000C16A0000}"/>
    <cellStyle name="Normal 2 3 2 6 2 9" xfId="27359" xr:uid="{00000000-0005-0000-0000-0000C26A0000}"/>
    <cellStyle name="Normal 2 3 2 6 3" xfId="27360" xr:uid="{00000000-0005-0000-0000-0000C36A0000}"/>
    <cellStyle name="Normal 2 3 2 6 3 10" xfId="27361" xr:uid="{00000000-0005-0000-0000-0000C46A0000}"/>
    <cellStyle name="Normal 2 3 2 6 3 2" xfId="27362" xr:uid="{00000000-0005-0000-0000-0000C56A0000}"/>
    <cellStyle name="Normal 2 3 2 6 3 3" xfId="27363" xr:uid="{00000000-0005-0000-0000-0000C66A0000}"/>
    <cellStyle name="Normal 2 3 2 6 3 4" xfId="27364" xr:uid="{00000000-0005-0000-0000-0000C76A0000}"/>
    <cellStyle name="Normal 2 3 2 6 3 5" xfId="27365" xr:uid="{00000000-0005-0000-0000-0000C86A0000}"/>
    <cellStyle name="Normal 2 3 2 6 3 6" xfId="27366" xr:uid="{00000000-0005-0000-0000-0000C96A0000}"/>
    <cellStyle name="Normal 2 3 2 6 3 7" xfId="27367" xr:uid="{00000000-0005-0000-0000-0000CA6A0000}"/>
    <cellStyle name="Normal 2 3 2 6 3 8" xfId="27368" xr:uid="{00000000-0005-0000-0000-0000CB6A0000}"/>
    <cellStyle name="Normal 2 3 2 6 3 9" xfId="27369" xr:uid="{00000000-0005-0000-0000-0000CC6A0000}"/>
    <cellStyle name="Normal 2 3 2 6 4" xfId="27370" xr:uid="{00000000-0005-0000-0000-0000CD6A0000}"/>
    <cellStyle name="Normal 2 3 2 6 4 10" xfId="27371" xr:uid="{00000000-0005-0000-0000-0000CE6A0000}"/>
    <cellStyle name="Normal 2 3 2 6 4 2" xfId="27372" xr:uid="{00000000-0005-0000-0000-0000CF6A0000}"/>
    <cellStyle name="Normal 2 3 2 6 4 3" xfId="27373" xr:uid="{00000000-0005-0000-0000-0000D06A0000}"/>
    <cellStyle name="Normal 2 3 2 6 4 4" xfId="27374" xr:uid="{00000000-0005-0000-0000-0000D16A0000}"/>
    <cellStyle name="Normal 2 3 2 6 4 5" xfId="27375" xr:uid="{00000000-0005-0000-0000-0000D26A0000}"/>
    <cellStyle name="Normal 2 3 2 6 4 6" xfId="27376" xr:uid="{00000000-0005-0000-0000-0000D36A0000}"/>
    <cellStyle name="Normal 2 3 2 6 4 7" xfId="27377" xr:uid="{00000000-0005-0000-0000-0000D46A0000}"/>
    <cellStyle name="Normal 2 3 2 6 4 8" xfId="27378" xr:uid="{00000000-0005-0000-0000-0000D56A0000}"/>
    <cellStyle name="Normal 2 3 2 6 4 9" xfId="27379" xr:uid="{00000000-0005-0000-0000-0000D66A0000}"/>
    <cellStyle name="Normal 2 3 2 6 5" xfId="27380" xr:uid="{00000000-0005-0000-0000-0000D76A0000}"/>
    <cellStyle name="Normal 2 3 2 6 5 10" xfId="27381" xr:uid="{00000000-0005-0000-0000-0000D86A0000}"/>
    <cellStyle name="Normal 2 3 2 6 5 2" xfId="27382" xr:uid="{00000000-0005-0000-0000-0000D96A0000}"/>
    <cellStyle name="Normal 2 3 2 6 5 3" xfId="27383" xr:uid="{00000000-0005-0000-0000-0000DA6A0000}"/>
    <cellStyle name="Normal 2 3 2 6 5 4" xfId="27384" xr:uid="{00000000-0005-0000-0000-0000DB6A0000}"/>
    <cellStyle name="Normal 2 3 2 6 5 5" xfId="27385" xr:uid="{00000000-0005-0000-0000-0000DC6A0000}"/>
    <cellStyle name="Normal 2 3 2 6 5 6" xfId="27386" xr:uid="{00000000-0005-0000-0000-0000DD6A0000}"/>
    <cellStyle name="Normal 2 3 2 6 5 7" xfId="27387" xr:uid="{00000000-0005-0000-0000-0000DE6A0000}"/>
    <cellStyle name="Normal 2 3 2 6 5 8" xfId="27388" xr:uid="{00000000-0005-0000-0000-0000DF6A0000}"/>
    <cellStyle name="Normal 2 3 2 6 5 9" xfId="27389" xr:uid="{00000000-0005-0000-0000-0000E06A0000}"/>
    <cellStyle name="Normal 2 3 2 6 6" xfId="27390" xr:uid="{00000000-0005-0000-0000-0000E16A0000}"/>
    <cellStyle name="Normal 2 3 2 6 7" xfId="27391" xr:uid="{00000000-0005-0000-0000-0000E26A0000}"/>
    <cellStyle name="Normal 2 3 2 6 8" xfId="27392" xr:uid="{00000000-0005-0000-0000-0000E36A0000}"/>
    <cellStyle name="Normal 2 3 2 6 9" xfId="27393" xr:uid="{00000000-0005-0000-0000-0000E46A0000}"/>
    <cellStyle name="Normal 2 3 2 7" xfId="27394" xr:uid="{00000000-0005-0000-0000-0000E56A0000}"/>
    <cellStyle name="Normal 2 3 2 7 10" xfId="27395" xr:uid="{00000000-0005-0000-0000-0000E66A0000}"/>
    <cellStyle name="Normal 2 3 2 7 11" xfId="27396" xr:uid="{00000000-0005-0000-0000-0000E76A0000}"/>
    <cellStyle name="Normal 2 3 2 7 12" xfId="27397" xr:uid="{00000000-0005-0000-0000-0000E86A0000}"/>
    <cellStyle name="Normal 2 3 2 7 13" xfId="27398" xr:uid="{00000000-0005-0000-0000-0000E96A0000}"/>
    <cellStyle name="Normal 2 3 2 7 14" xfId="27399" xr:uid="{00000000-0005-0000-0000-0000EA6A0000}"/>
    <cellStyle name="Normal 2 3 2 7 2" xfId="27400" xr:uid="{00000000-0005-0000-0000-0000EB6A0000}"/>
    <cellStyle name="Normal 2 3 2 7 2 10" xfId="27401" xr:uid="{00000000-0005-0000-0000-0000EC6A0000}"/>
    <cellStyle name="Normal 2 3 2 7 2 2" xfId="27402" xr:uid="{00000000-0005-0000-0000-0000ED6A0000}"/>
    <cellStyle name="Normal 2 3 2 7 2 3" xfId="27403" xr:uid="{00000000-0005-0000-0000-0000EE6A0000}"/>
    <cellStyle name="Normal 2 3 2 7 2 4" xfId="27404" xr:uid="{00000000-0005-0000-0000-0000EF6A0000}"/>
    <cellStyle name="Normal 2 3 2 7 2 5" xfId="27405" xr:uid="{00000000-0005-0000-0000-0000F06A0000}"/>
    <cellStyle name="Normal 2 3 2 7 2 6" xfId="27406" xr:uid="{00000000-0005-0000-0000-0000F16A0000}"/>
    <cellStyle name="Normal 2 3 2 7 2 7" xfId="27407" xr:uid="{00000000-0005-0000-0000-0000F26A0000}"/>
    <cellStyle name="Normal 2 3 2 7 2 8" xfId="27408" xr:uid="{00000000-0005-0000-0000-0000F36A0000}"/>
    <cellStyle name="Normal 2 3 2 7 2 9" xfId="27409" xr:uid="{00000000-0005-0000-0000-0000F46A0000}"/>
    <cellStyle name="Normal 2 3 2 7 3" xfId="27410" xr:uid="{00000000-0005-0000-0000-0000F56A0000}"/>
    <cellStyle name="Normal 2 3 2 7 3 10" xfId="27411" xr:uid="{00000000-0005-0000-0000-0000F66A0000}"/>
    <cellStyle name="Normal 2 3 2 7 3 2" xfId="27412" xr:uid="{00000000-0005-0000-0000-0000F76A0000}"/>
    <cellStyle name="Normal 2 3 2 7 3 3" xfId="27413" xr:uid="{00000000-0005-0000-0000-0000F86A0000}"/>
    <cellStyle name="Normal 2 3 2 7 3 4" xfId="27414" xr:uid="{00000000-0005-0000-0000-0000F96A0000}"/>
    <cellStyle name="Normal 2 3 2 7 3 5" xfId="27415" xr:uid="{00000000-0005-0000-0000-0000FA6A0000}"/>
    <cellStyle name="Normal 2 3 2 7 3 6" xfId="27416" xr:uid="{00000000-0005-0000-0000-0000FB6A0000}"/>
    <cellStyle name="Normal 2 3 2 7 3 7" xfId="27417" xr:uid="{00000000-0005-0000-0000-0000FC6A0000}"/>
    <cellStyle name="Normal 2 3 2 7 3 8" xfId="27418" xr:uid="{00000000-0005-0000-0000-0000FD6A0000}"/>
    <cellStyle name="Normal 2 3 2 7 3 9" xfId="27419" xr:uid="{00000000-0005-0000-0000-0000FE6A0000}"/>
    <cellStyle name="Normal 2 3 2 7 4" xfId="27420" xr:uid="{00000000-0005-0000-0000-0000FF6A0000}"/>
    <cellStyle name="Normal 2 3 2 7 4 10" xfId="27421" xr:uid="{00000000-0005-0000-0000-0000006B0000}"/>
    <cellStyle name="Normal 2 3 2 7 4 2" xfId="27422" xr:uid="{00000000-0005-0000-0000-0000016B0000}"/>
    <cellStyle name="Normal 2 3 2 7 4 3" xfId="27423" xr:uid="{00000000-0005-0000-0000-0000026B0000}"/>
    <cellStyle name="Normal 2 3 2 7 4 4" xfId="27424" xr:uid="{00000000-0005-0000-0000-0000036B0000}"/>
    <cellStyle name="Normal 2 3 2 7 4 5" xfId="27425" xr:uid="{00000000-0005-0000-0000-0000046B0000}"/>
    <cellStyle name="Normal 2 3 2 7 4 6" xfId="27426" xr:uid="{00000000-0005-0000-0000-0000056B0000}"/>
    <cellStyle name="Normal 2 3 2 7 4 7" xfId="27427" xr:uid="{00000000-0005-0000-0000-0000066B0000}"/>
    <cellStyle name="Normal 2 3 2 7 4 8" xfId="27428" xr:uid="{00000000-0005-0000-0000-0000076B0000}"/>
    <cellStyle name="Normal 2 3 2 7 4 9" xfId="27429" xr:uid="{00000000-0005-0000-0000-0000086B0000}"/>
    <cellStyle name="Normal 2 3 2 7 5" xfId="27430" xr:uid="{00000000-0005-0000-0000-0000096B0000}"/>
    <cellStyle name="Normal 2 3 2 7 5 10" xfId="27431" xr:uid="{00000000-0005-0000-0000-00000A6B0000}"/>
    <cellStyle name="Normal 2 3 2 7 5 2" xfId="27432" xr:uid="{00000000-0005-0000-0000-00000B6B0000}"/>
    <cellStyle name="Normal 2 3 2 7 5 3" xfId="27433" xr:uid="{00000000-0005-0000-0000-00000C6B0000}"/>
    <cellStyle name="Normal 2 3 2 7 5 4" xfId="27434" xr:uid="{00000000-0005-0000-0000-00000D6B0000}"/>
    <cellStyle name="Normal 2 3 2 7 5 5" xfId="27435" xr:uid="{00000000-0005-0000-0000-00000E6B0000}"/>
    <cellStyle name="Normal 2 3 2 7 5 6" xfId="27436" xr:uid="{00000000-0005-0000-0000-00000F6B0000}"/>
    <cellStyle name="Normal 2 3 2 7 5 7" xfId="27437" xr:uid="{00000000-0005-0000-0000-0000106B0000}"/>
    <cellStyle name="Normal 2 3 2 7 5 8" xfId="27438" xr:uid="{00000000-0005-0000-0000-0000116B0000}"/>
    <cellStyle name="Normal 2 3 2 7 5 9" xfId="27439" xr:uid="{00000000-0005-0000-0000-0000126B0000}"/>
    <cellStyle name="Normal 2 3 2 7 6" xfId="27440" xr:uid="{00000000-0005-0000-0000-0000136B0000}"/>
    <cellStyle name="Normal 2 3 2 7 7" xfId="27441" xr:uid="{00000000-0005-0000-0000-0000146B0000}"/>
    <cellStyle name="Normal 2 3 2 7 8" xfId="27442" xr:uid="{00000000-0005-0000-0000-0000156B0000}"/>
    <cellStyle name="Normal 2 3 2 7 9" xfId="27443" xr:uid="{00000000-0005-0000-0000-0000166B0000}"/>
    <cellStyle name="Normal 2 3 2 8" xfId="27444" xr:uid="{00000000-0005-0000-0000-0000176B0000}"/>
    <cellStyle name="Normal 2 3 2 8 10" xfId="27445" xr:uid="{00000000-0005-0000-0000-0000186B0000}"/>
    <cellStyle name="Normal 2 3 2 8 11" xfId="27446" xr:uid="{00000000-0005-0000-0000-0000196B0000}"/>
    <cellStyle name="Normal 2 3 2 8 12" xfId="27447" xr:uid="{00000000-0005-0000-0000-00001A6B0000}"/>
    <cellStyle name="Normal 2 3 2 8 13" xfId="27448" xr:uid="{00000000-0005-0000-0000-00001B6B0000}"/>
    <cellStyle name="Normal 2 3 2 8 14" xfId="27449" xr:uid="{00000000-0005-0000-0000-00001C6B0000}"/>
    <cellStyle name="Normal 2 3 2 8 2" xfId="27450" xr:uid="{00000000-0005-0000-0000-00001D6B0000}"/>
    <cellStyle name="Normal 2 3 2 8 2 10" xfId="27451" xr:uid="{00000000-0005-0000-0000-00001E6B0000}"/>
    <cellStyle name="Normal 2 3 2 8 2 2" xfId="27452" xr:uid="{00000000-0005-0000-0000-00001F6B0000}"/>
    <cellStyle name="Normal 2 3 2 8 2 3" xfId="27453" xr:uid="{00000000-0005-0000-0000-0000206B0000}"/>
    <cellStyle name="Normal 2 3 2 8 2 4" xfId="27454" xr:uid="{00000000-0005-0000-0000-0000216B0000}"/>
    <cellStyle name="Normal 2 3 2 8 2 5" xfId="27455" xr:uid="{00000000-0005-0000-0000-0000226B0000}"/>
    <cellStyle name="Normal 2 3 2 8 2 6" xfId="27456" xr:uid="{00000000-0005-0000-0000-0000236B0000}"/>
    <cellStyle name="Normal 2 3 2 8 2 7" xfId="27457" xr:uid="{00000000-0005-0000-0000-0000246B0000}"/>
    <cellStyle name="Normal 2 3 2 8 2 8" xfId="27458" xr:uid="{00000000-0005-0000-0000-0000256B0000}"/>
    <cellStyle name="Normal 2 3 2 8 2 9" xfId="27459" xr:uid="{00000000-0005-0000-0000-0000266B0000}"/>
    <cellStyle name="Normal 2 3 2 8 3" xfId="27460" xr:uid="{00000000-0005-0000-0000-0000276B0000}"/>
    <cellStyle name="Normal 2 3 2 8 3 10" xfId="27461" xr:uid="{00000000-0005-0000-0000-0000286B0000}"/>
    <cellStyle name="Normal 2 3 2 8 3 2" xfId="27462" xr:uid="{00000000-0005-0000-0000-0000296B0000}"/>
    <cellStyle name="Normal 2 3 2 8 3 3" xfId="27463" xr:uid="{00000000-0005-0000-0000-00002A6B0000}"/>
    <cellStyle name="Normal 2 3 2 8 3 4" xfId="27464" xr:uid="{00000000-0005-0000-0000-00002B6B0000}"/>
    <cellStyle name="Normal 2 3 2 8 3 5" xfId="27465" xr:uid="{00000000-0005-0000-0000-00002C6B0000}"/>
    <cellStyle name="Normal 2 3 2 8 3 6" xfId="27466" xr:uid="{00000000-0005-0000-0000-00002D6B0000}"/>
    <cellStyle name="Normal 2 3 2 8 3 7" xfId="27467" xr:uid="{00000000-0005-0000-0000-00002E6B0000}"/>
    <cellStyle name="Normal 2 3 2 8 3 8" xfId="27468" xr:uid="{00000000-0005-0000-0000-00002F6B0000}"/>
    <cellStyle name="Normal 2 3 2 8 3 9" xfId="27469" xr:uid="{00000000-0005-0000-0000-0000306B0000}"/>
    <cellStyle name="Normal 2 3 2 8 4" xfId="27470" xr:uid="{00000000-0005-0000-0000-0000316B0000}"/>
    <cellStyle name="Normal 2 3 2 8 4 10" xfId="27471" xr:uid="{00000000-0005-0000-0000-0000326B0000}"/>
    <cellStyle name="Normal 2 3 2 8 4 2" xfId="27472" xr:uid="{00000000-0005-0000-0000-0000336B0000}"/>
    <cellStyle name="Normal 2 3 2 8 4 3" xfId="27473" xr:uid="{00000000-0005-0000-0000-0000346B0000}"/>
    <cellStyle name="Normal 2 3 2 8 4 4" xfId="27474" xr:uid="{00000000-0005-0000-0000-0000356B0000}"/>
    <cellStyle name="Normal 2 3 2 8 4 5" xfId="27475" xr:uid="{00000000-0005-0000-0000-0000366B0000}"/>
    <cellStyle name="Normal 2 3 2 8 4 6" xfId="27476" xr:uid="{00000000-0005-0000-0000-0000376B0000}"/>
    <cellStyle name="Normal 2 3 2 8 4 7" xfId="27477" xr:uid="{00000000-0005-0000-0000-0000386B0000}"/>
    <cellStyle name="Normal 2 3 2 8 4 8" xfId="27478" xr:uid="{00000000-0005-0000-0000-0000396B0000}"/>
    <cellStyle name="Normal 2 3 2 8 4 9" xfId="27479" xr:uid="{00000000-0005-0000-0000-00003A6B0000}"/>
    <cellStyle name="Normal 2 3 2 8 5" xfId="27480" xr:uid="{00000000-0005-0000-0000-00003B6B0000}"/>
    <cellStyle name="Normal 2 3 2 8 5 10" xfId="27481" xr:uid="{00000000-0005-0000-0000-00003C6B0000}"/>
    <cellStyle name="Normal 2 3 2 8 5 2" xfId="27482" xr:uid="{00000000-0005-0000-0000-00003D6B0000}"/>
    <cellStyle name="Normal 2 3 2 8 5 3" xfId="27483" xr:uid="{00000000-0005-0000-0000-00003E6B0000}"/>
    <cellStyle name="Normal 2 3 2 8 5 4" xfId="27484" xr:uid="{00000000-0005-0000-0000-00003F6B0000}"/>
    <cellStyle name="Normal 2 3 2 8 5 5" xfId="27485" xr:uid="{00000000-0005-0000-0000-0000406B0000}"/>
    <cellStyle name="Normal 2 3 2 8 5 6" xfId="27486" xr:uid="{00000000-0005-0000-0000-0000416B0000}"/>
    <cellStyle name="Normal 2 3 2 8 5 7" xfId="27487" xr:uid="{00000000-0005-0000-0000-0000426B0000}"/>
    <cellStyle name="Normal 2 3 2 8 5 8" xfId="27488" xr:uid="{00000000-0005-0000-0000-0000436B0000}"/>
    <cellStyle name="Normal 2 3 2 8 5 9" xfId="27489" xr:uid="{00000000-0005-0000-0000-0000446B0000}"/>
    <cellStyle name="Normal 2 3 2 8 6" xfId="27490" xr:uid="{00000000-0005-0000-0000-0000456B0000}"/>
    <cellStyle name="Normal 2 3 2 8 7" xfId="27491" xr:uid="{00000000-0005-0000-0000-0000466B0000}"/>
    <cellStyle name="Normal 2 3 2 8 8" xfId="27492" xr:uid="{00000000-0005-0000-0000-0000476B0000}"/>
    <cellStyle name="Normal 2 3 2 8 9" xfId="27493" xr:uid="{00000000-0005-0000-0000-0000486B0000}"/>
    <cellStyle name="Normal 2 3 2 9" xfId="27494" xr:uid="{00000000-0005-0000-0000-0000496B0000}"/>
    <cellStyle name="Normal 2 3 2 9 10" xfId="27495" xr:uid="{00000000-0005-0000-0000-00004A6B0000}"/>
    <cellStyle name="Normal 2 3 2 9 11" xfId="27496" xr:uid="{00000000-0005-0000-0000-00004B6B0000}"/>
    <cellStyle name="Normal 2 3 2 9 12" xfId="27497" xr:uid="{00000000-0005-0000-0000-00004C6B0000}"/>
    <cellStyle name="Normal 2 3 2 9 13" xfId="27498" xr:uid="{00000000-0005-0000-0000-00004D6B0000}"/>
    <cellStyle name="Normal 2 3 2 9 14" xfId="27499" xr:uid="{00000000-0005-0000-0000-00004E6B0000}"/>
    <cellStyle name="Normal 2 3 2 9 2" xfId="27500" xr:uid="{00000000-0005-0000-0000-00004F6B0000}"/>
    <cellStyle name="Normal 2 3 2 9 2 10" xfId="27501" xr:uid="{00000000-0005-0000-0000-0000506B0000}"/>
    <cellStyle name="Normal 2 3 2 9 2 2" xfId="27502" xr:uid="{00000000-0005-0000-0000-0000516B0000}"/>
    <cellStyle name="Normal 2 3 2 9 2 3" xfId="27503" xr:uid="{00000000-0005-0000-0000-0000526B0000}"/>
    <cellStyle name="Normal 2 3 2 9 2 4" xfId="27504" xr:uid="{00000000-0005-0000-0000-0000536B0000}"/>
    <cellStyle name="Normal 2 3 2 9 2 5" xfId="27505" xr:uid="{00000000-0005-0000-0000-0000546B0000}"/>
    <cellStyle name="Normal 2 3 2 9 2 6" xfId="27506" xr:uid="{00000000-0005-0000-0000-0000556B0000}"/>
    <cellStyle name="Normal 2 3 2 9 2 7" xfId="27507" xr:uid="{00000000-0005-0000-0000-0000566B0000}"/>
    <cellStyle name="Normal 2 3 2 9 2 8" xfId="27508" xr:uid="{00000000-0005-0000-0000-0000576B0000}"/>
    <cellStyle name="Normal 2 3 2 9 2 9" xfId="27509" xr:uid="{00000000-0005-0000-0000-0000586B0000}"/>
    <cellStyle name="Normal 2 3 2 9 3" xfId="27510" xr:uid="{00000000-0005-0000-0000-0000596B0000}"/>
    <cellStyle name="Normal 2 3 2 9 3 10" xfId="27511" xr:uid="{00000000-0005-0000-0000-00005A6B0000}"/>
    <cellStyle name="Normal 2 3 2 9 3 2" xfId="27512" xr:uid="{00000000-0005-0000-0000-00005B6B0000}"/>
    <cellStyle name="Normal 2 3 2 9 3 3" xfId="27513" xr:uid="{00000000-0005-0000-0000-00005C6B0000}"/>
    <cellStyle name="Normal 2 3 2 9 3 4" xfId="27514" xr:uid="{00000000-0005-0000-0000-00005D6B0000}"/>
    <cellStyle name="Normal 2 3 2 9 3 5" xfId="27515" xr:uid="{00000000-0005-0000-0000-00005E6B0000}"/>
    <cellStyle name="Normal 2 3 2 9 3 6" xfId="27516" xr:uid="{00000000-0005-0000-0000-00005F6B0000}"/>
    <cellStyle name="Normal 2 3 2 9 3 7" xfId="27517" xr:uid="{00000000-0005-0000-0000-0000606B0000}"/>
    <cellStyle name="Normal 2 3 2 9 3 8" xfId="27518" xr:uid="{00000000-0005-0000-0000-0000616B0000}"/>
    <cellStyle name="Normal 2 3 2 9 3 9" xfId="27519" xr:uid="{00000000-0005-0000-0000-0000626B0000}"/>
    <cellStyle name="Normal 2 3 2 9 4" xfId="27520" xr:uid="{00000000-0005-0000-0000-0000636B0000}"/>
    <cellStyle name="Normal 2 3 2 9 4 10" xfId="27521" xr:uid="{00000000-0005-0000-0000-0000646B0000}"/>
    <cellStyle name="Normal 2 3 2 9 4 2" xfId="27522" xr:uid="{00000000-0005-0000-0000-0000656B0000}"/>
    <cellStyle name="Normal 2 3 2 9 4 3" xfId="27523" xr:uid="{00000000-0005-0000-0000-0000666B0000}"/>
    <cellStyle name="Normal 2 3 2 9 4 4" xfId="27524" xr:uid="{00000000-0005-0000-0000-0000676B0000}"/>
    <cellStyle name="Normal 2 3 2 9 4 5" xfId="27525" xr:uid="{00000000-0005-0000-0000-0000686B0000}"/>
    <cellStyle name="Normal 2 3 2 9 4 6" xfId="27526" xr:uid="{00000000-0005-0000-0000-0000696B0000}"/>
    <cellStyle name="Normal 2 3 2 9 4 7" xfId="27527" xr:uid="{00000000-0005-0000-0000-00006A6B0000}"/>
    <cellStyle name="Normal 2 3 2 9 4 8" xfId="27528" xr:uid="{00000000-0005-0000-0000-00006B6B0000}"/>
    <cellStyle name="Normal 2 3 2 9 4 9" xfId="27529" xr:uid="{00000000-0005-0000-0000-00006C6B0000}"/>
    <cellStyle name="Normal 2 3 2 9 5" xfId="27530" xr:uid="{00000000-0005-0000-0000-00006D6B0000}"/>
    <cellStyle name="Normal 2 3 2 9 5 10" xfId="27531" xr:uid="{00000000-0005-0000-0000-00006E6B0000}"/>
    <cellStyle name="Normal 2 3 2 9 5 2" xfId="27532" xr:uid="{00000000-0005-0000-0000-00006F6B0000}"/>
    <cellStyle name="Normal 2 3 2 9 5 3" xfId="27533" xr:uid="{00000000-0005-0000-0000-0000706B0000}"/>
    <cellStyle name="Normal 2 3 2 9 5 4" xfId="27534" xr:uid="{00000000-0005-0000-0000-0000716B0000}"/>
    <cellStyle name="Normal 2 3 2 9 5 5" xfId="27535" xr:uid="{00000000-0005-0000-0000-0000726B0000}"/>
    <cellStyle name="Normal 2 3 2 9 5 6" xfId="27536" xr:uid="{00000000-0005-0000-0000-0000736B0000}"/>
    <cellStyle name="Normal 2 3 2 9 5 7" xfId="27537" xr:uid="{00000000-0005-0000-0000-0000746B0000}"/>
    <cellStyle name="Normal 2 3 2 9 5 8" xfId="27538" xr:uid="{00000000-0005-0000-0000-0000756B0000}"/>
    <cellStyle name="Normal 2 3 2 9 5 9" xfId="27539" xr:uid="{00000000-0005-0000-0000-0000766B0000}"/>
    <cellStyle name="Normal 2 3 2 9 6" xfId="27540" xr:uid="{00000000-0005-0000-0000-0000776B0000}"/>
    <cellStyle name="Normal 2 3 2 9 7" xfId="27541" xr:uid="{00000000-0005-0000-0000-0000786B0000}"/>
    <cellStyle name="Normal 2 3 2 9 8" xfId="27542" xr:uid="{00000000-0005-0000-0000-0000796B0000}"/>
    <cellStyle name="Normal 2 3 2 9 9" xfId="27543" xr:uid="{00000000-0005-0000-0000-00007A6B0000}"/>
    <cellStyle name="Normal 2 3 20" xfId="27544" xr:uid="{00000000-0005-0000-0000-00007B6B0000}"/>
    <cellStyle name="Normal 2 3 20 10" xfId="27545" xr:uid="{00000000-0005-0000-0000-00007C6B0000}"/>
    <cellStyle name="Normal 2 3 20 11" xfId="27546" xr:uid="{00000000-0005-0000-0000-00007D6B0000}"/>
    <cellStyle name="Normal 2 3 20 12" xfId="27547" xr:uid="{00000000-0005-0000-0000-00007E6B0000}"/>
    <cellStyle name="Normal 2 3 20 13" xfId="27548" xr:uid="{00000000-0005-0000-0000-00007F6B0000}"/>
    <cellStyle name="Normal 2 3 20 14" xfId="27549" xr:uid="{00000000-0005-0000-0000-0000806B0000}"/>
    <cellStyle name="Normal 2 3 20 2" xfId="27550" xr:uid="{00000000-0005-0000-0000-0000816B0000}"/>
    <cellStyle name="Normal 2 3 20 2 10" xfId="27551" xr:uid="{00000000-0005-0000-0000-0000826B0000}"/>
    <cellStyle name="Normal 2 3 20 2 2" xfId="27552" xr:uid="{00000000-0005-0000-0000-0000836B0000}"/>
    <cellStyle name="Normal 2 3 20 2 3" xfId="27553" xr:uid="{00000000-0005-0000-0000-0000846B0000}"/>
    <cellStyle name="Normal 2 3 20 2 4" xfId="27554" xr:uid="{00000000-0005-0000-0000-0000856B0000}"/>
    <cellStyle name="Normal 2 3 20 2 5" xfId="27555" xr:uid="{00000000-0005-0000-0000-0000866B0000}"/>
    <cellStyle name="Normal 2 3 20 2 6" xfId="27556" xr:uid="{00000000-0005-0000-0000-0000876B0000}"/>
    <cellStyle name="Normal 2 3 20 2 7" xfId="27557" xr:uid="{00000000-0005-0000-0000-0000886B0000}"/>
    <cellStyle name="Normal 2 3 20 2 8" xfId="27558" xr:uid="{00000000-0005-0000-0000-0000896B0000}"/>
    <cellStyle name="Normal 2 3 20 2 9" xfId="27559" xr:uid="{00000000-0005-0000-0000-00008A6B0000}"/>
    <cellStyle name="Normal 2 3 20 3" xfId="27560" xr:uid="{00000000-0005-0000-0000-00008B6B0000}"/>
    <cellStyle name="Normal 2 3 20 3 10" xfId="27561" xr:uid="{00000000-0005-0000-0000-00008C6B0000}"/>
    <cellStyle name="Normal 2 3 20 3 2" xfId="27562" xr:uid="{00000000-0005-0000-0000-00008D6B0000}"/>
    <cellStyle name="Normal 2 3 20 3 3" xfId="27563" xr:uid="{00000000-0005-0000-0000-00008E6B0000}"/>
    <cellStyle name="Normal 2 3 20 3 4" xfId="27564" xr:uid="{00000000-0005-0000-0000-00008F6B0000}"/>
    <cellStyle name="Normal 2 3 20 3 5" xfId="27565" xr:uid="{00000000-0005-0000-0000-0000906B0000}"/>
    <cellStyle name="Normal 2 3 20 3 6" xfId="27566" xr:uid="{00000000-0005-0000-0000-0000916B0000}"/>
    <cellStyle name="Normal 2 3 20 3 7" xfId="27567" xr:uid="{00000000-0005-0000-0000-0000926B0000}"/>
    <cellStyle name="Normal 2 3 20 3 8" xfId="27568" xr:uid="{00000000-0005-0000-0000-0000936B0000}"/>
    <cellStyle name="Normal 2 3 20 3 9" xfId="27569" xr:uid="{00000000-0005-0000-0000-0000946B0000}"/>
    <cellStyle name="Normal 2 3 20 4" xfId="27570" xr:uid="{00000000-0005-0000-0000-0000956B0000}"/>
    <cellStyle name="Normal 2 3 20 4 10" xfId="27571" xr:uid="{00000000-0005-0000-0000-0000966B0000}"/>
    <cellStyle name="Normal 2 3 20 4 2" xfId="27572" xr:uid="{00000000-0005-0000-0000-0000976B0000}"/>
    <cellStyle name="Normal 2 3 20 4 3" xfId="27573" xr:uid="{00000000-0005-0000-0000-0000986B0000}"/>
    <cellStyle name="Normal 2 3 20 4 4" xfId="27574" xr:uid="{00000000-0005-0000-0000-0000996B0000}"/>
    <cellStyle name="Normal 2 3 20 4 5" xfId="27575" xr:uid="{00000000-0005-0000-0000-00009A6B0000}"/>
    <cellStyle name="Normal 2 3 20 4 6" xfId="27576" xr:uid="{00000000-0005-0000-0000-00009B6B0000}"/>
    <cellStyle name="Normal 2 3 20 4 7" xfId="27577" xr:uid="{00000000-0005-0000-0000-00009C6B0000}"/>
    <cellStyle name="Normal 2 3 20 4 8" xfId="27578" xr:uid="{00000000-0005-0000-0000-00009D6B0000}"/>
    <cellStyle name="Normal 2 3 20 4 9" xfId="27579" xr:uid="{00000000-0005-0000-0000-00009E6B0000}"/>
    <cellStyle name="Normal 2 3 20 5" xfId="27580" xr:uid="{00000000-0005-0000-0000-00009F6B0000}"/>
    <cellStyle name="Normal 2 3 20 5 10" xfId="27581" xr:uid="{00000000-0005-0000-0000-0000A06B0000}"/>
    <cellStyle name="Normal 2 3 20 5 2" xfId="27582" xr:uid="{00000000-0005-0000-0000-0000A16B0000}"/>
    <cellStyle name="Normal 2 3 20 5 3" xfId="27583" xr:uid="{00000000-0005-0000-0000-0000A26B0000}"/>
    <cellStyle name="Normal 2 3 20 5 4" xfId="27584" xr:uid="{00000000-0005-0000-0000-0000A36B0000}"/>
    <cellStyle name="Normal 2 3 20 5 5" xfId="27585" xr:uid="{00000000-0005-0000-0000-0000A46B0000}"/>
    <cellStyle name="Normal 2 3 20 5 6" xfId="27586" xr:uid="{00000000-0005-0000-0000-0000A56B0000}"/>
    <cellStyle name="Normal 2 3 20 5 7" xfId="27587" xr:uid="{00000000-0005-0000-0000-0000A66B0000}"/>
    <cellStyle name="Normal 2 3 20 5 8" xfId="27588" xr:uid="{00000000-0005-0000-0000-0000A76B0000}"/>
    <cellStyle name="Normal 2 3 20 5 9" xfId="27589" xr:uid="{00000000-0005-0000-0000-0000A86B0000}"/>
    <cellStyle name="Normal 2 3 20 6" xfId="27590" xr:uid="{00000000-0005-0000-0000-0000A96B0000}"/>
    <cellStyle name="Normal 2 3 20 7" xfId="27591" xr:uid="{00000000-0005-0000-0000-0000AA6B0000}"/>
    <cellStyle name="Normal 2 3 20 8" xfId="27592" xr:uid="{00000000-0005-0000-0000-0000AB6B0000}"/>
    <cellStyle name="Normal 2 3 20 9" xfId="27593" xr:uid="{00000000-0005-0000-0000-0000AC6B0000}"/>
    <cellStyle name="Normal 2 3 21" xfId="27594" xr:uid="{00000000-0005-0000-0000-0000AD6B0000}"/>
    <cellStyle name="Normal 2 3 21 10" xfId="27595" xr:uid="{00000000-0005-0000-0000-0000AE6B0000}"/>
    <cellStyle name="Normal 2 3 21 11" xfId="27596" xr:uid="{00000000-0005-0000-0000-0000AF6B0000}"/>
    <cellStyle name="Normal 2 3 21 12" xfId="27597" xr:uid="{00000000-0005-0000-0000-0000B06B0000}"/>
    <cellStyle name="Normal 2 3 21 13" xfId="27598" xr:uid="{00000000-0005-0000-0000-0000B16B0000}"/>
    <cellStyle name="Normal 2 3 21 14" xfId="27599" xr:uid="{00000000-0005-0000-0000-0000B26B0000}"/>
    <cellStyle name="Normal 2 3 21 2" xfId="27600" xr:uid="{00000000-0005-0000-0000-0000B36B0000}"/>
    <cellStyle name="Normal 2 3 21 2 10" xfId="27601" xr:uid="{00000000-0005-0000-0000-0000B46B0000}"/>
    <cellStyle name="Normal 2 3 21 2 2" xfId="27602" xr:uid="{00000000-0005-0000-0000-0000B56B0000}"/>
    <cellStyle name="Normal 2 3 21 2 3" xfId="27603" xr:uid="{00000000-0005-0000-0000-0000B66B0000}"/>
    <cellStyle name="Normal 2 3 21 2 4" xfId="27604" xr:uid="{00000000-0005-0000-0000-0000B76B0000}"/>
    <cellStyle name="Normal 2 3 21 2 5" xfId="27605" xr:uid="{00000000-0005-0000-0000-0000B86B0000}"/>
    <cellStyle name="Normal 2 3 21 2 6" xfId="27606" xr:uid="{00000000-0005-0000-0000-0000B96B0000}"/>
    <cellStyle name="Normal 2 3 21 2 7" xfId="27607" xr:uid="{00000000-0005-0000-0000-0000BA6B0000}"/>
    <cellStyle name="Normal 2 3 21 2 8" xfId="27608" xr:uid="{00000000-0005-0000-0000-0000BB6B0000}"/>
    <cellStyle name="Normal 2 3 21 2 9" xfId="27609" xr:uid="{00000000-0005-0000-0000-0000BC6B0000}"/>
    <cellStyle name="Normal 2 3 21 3" xfId="27610" xr:uid="{00000000-0005-0000-0000-0000BD6B0000}"/>
    <cellStyle name="Normal 2 3 21 3 10" xfId="27611" xr:uid="{00000000-0005-0000-0000-0000BE6B0000}"/>
    <cellStyle name="Normal 2 3 21 3 2" xfId="27612" xr:uid="{00000000-0005-0000-0000-0000BF6B0000}"/>
    <cellStyle name="Normal 2 3 21 3 3" xfId="27613" xr:uid="{00000000-0005-0000-0000-0000C06B0000}"/>
    <cellStyle name="Normal 2 3 21 3 4" xfId="27614" xr:uid="{00000000-0005-0000-0000-0000C16B0000}"/>
    <cellStyle name="Normal 2 3 21 3 5" xfId="27615" xr:uid="{00000000-0005-0000-0000-0000C26B0000}"/>
    <cellStyle name="Normal 2 3 21 3 6" xfId="27616" xr:uid="{00000000-0005-0000-0000-0000C36B0000}"/>
    <cellStyle name="Normal 2 3 21 3 7" xfId="27617" xr:uid="{00000000-0005-0000-0000-0000C46B0000}"/>
    <cellStyle name="Normal 2 3 21 3 8" xfId="27618" xr:uid="{00000000-0005-0000-0000-0000C56B0000}"/>
    <cellStyle name="Normal 2 3 21 3 9" xfId="27619" xr:uid="{00000000-0005-0000-0000-0000C66B0000}"/>
    <cellStyle name="Normal 2 3 21 4" xfId="27620" xr:uid="{00000000-0005-0000-0000-0000C76B0000}"/>
    <cellStyle name="Normal 2 3 21 4 10" xfId="27621" xr:uid="{00000000-0005-0000-0000-0000C86B0000}"/>
    <cellStyle name="Normal 2 3 21 4 2" xfId="27622" xr:uid="{00000000-0005-0000-0000-0000C96B0000}"/>
    <cellStyle name="Normal 2 3 21 4 3" xfId="27623" xr:uid="{00000000-0005-0000-0000-0000CA6B0000}"/>
    <cellStyle name="Normal 2 3 21 4 4" xfId="27624" xr:uid="{00000000-0005-0000-0000-0000CB6B0000}"/>
    <cellStyle name="Normal 2 3 21 4 5" xfId="27625" xr:uid="{00000000-0005-0000-0000-0000CC6B0000}"/>
    <cellStyle name="Normal 2 3 21 4 6" xfId="27626" xr:uid="{00000000-0005-0000-0000-0000CD6B0000}"/>
    <cellStyle name="Normal 2 3 21 4 7" xfId="27627" xr:uid="{00000000-0005-0000-0000-0000CE6B0000}"/>
    <cellStyle name="Normal 2 3 21 4 8" xfId="27628" xr:uid="{00000000-0005-0000-0000-0000CF6B0000}"/>
    <cellStyle name="Normal 2 3 21 4 9" xfId="27629" xr:uid="{00000000-0005-0000-0000-0000D06B0000}"/>
    <cellStyle name="Normal 2 3 21 5" xfId="27630" xr:uid="{00000000-0005-0000-0000-0000D16B0000}"/>
    <cellStyle name="Normal 2 3 21 5 10" xfId="27631" xr:uid="{00000000-0005-0000-0000-0000D26B0000}"/>
    <cellStyle name="Normal 2 3 21 5 2" xfId="27632" xr:uid="{00000000-0005-0000-0000-0000D36B0000}"/>
    <cellStyle name="Normal 2 3 21 5 3" xfId="27633" xr:uid="{00000000-0005-0000-0000-0000D46B0000}"/>
    <cellStyle name="Normal 2 3 21 5 4" xfId="27634" xr:uid="{00000000-0005-0000-0000-0000D56B0000}"/>
    <cellStyle name="Normal 2 3 21 5 5" xfId="27635" xr:uid="{00000000-0005-0000-0000-0000D66B0000}"/>
    <cellStyle name="Normal 2 3 21 5 6" xfId="27636" xr:uid="{00000000-0005-0000-0000-0000D76B0000}"/>
    <cellStyle name="Normal 2 3 21 5 7" xfId="27637" xr:uid="{00000000-0005-0000-0000-0000D86B0000}"/>
    <cellStyle name="Normal 2 3 21 5 8" xfId="27638" xr:uid="{00000000-0005-0000-0000-0000D96B0000}"/>
    <cellStyle name="Normal 2 3 21 5 9" xfId="27639" xr:uid="{00000000-0005-0000-0000-0000DA6B0000}"/>
    <cellStyle name="Normal 2 3 21 6" xfId="27640" xr:uid="{00000000-0005-0000-0000-0000DB6B0000}"/>
    <cellStyle name="Normal 2 3 21 7" xfId="27641" xr:uid="{00000000-0005-0000-0000-0000DC6B0000}"/>
    <cellStyle name="Normal 2 3 21 8" xfId="27642" xr:uid="{00000000-0005-0000-0000-0000DD6B0000}"/>
    <cellStyle name="Normal 2 3 21 9" xfId="27643" xr:uid="{00000000-0005-0000-0000-0000DE6B0000}"/>
    <cellStyle name="Normal 2 3 22" xfId="27644" xr:uid="{00000000-0005-0000-0000-0000DF6B0000}"/>
    <cellStyle name="Normal 2 3 22 10" xfId="27645" xr:uid="{00000000-0005-0000-0000-0000E06B0000}"/>
    <cellStyle name="Normal 2 3 22 11" xfId="27646" xr:uid="{00000000-0005-0000-0000-0000E16B0000}"/>
    <cellStyle name="Normal 2 3 22 12" xfId="27647" xr:uid="{00000000-0005-0000-0000-0000E26B0000}"/>
    <cellStyle name="Normal 2 3 22 13" xfId="27648" xr:uid="{00000000-0005-0000-0000-0000E36B0000}"/>
    <cellStyle name="Normal 2 3 22 14" xfId="27649" xr:uid="{00000000-0005-0000-0000-0000E46B0000}"/>
    <cellStyle name="Normal 2 3 22 2" xfId="27650" xr:uid="{00000000-0005-0000-0000-0000E56B0000}"/>
    <cellStyle name="Normal 2 3 22 2 10" xfId="27651" xr:uid="{00000000-0005-0000-0000-0000E66B0000}"/>
    <cellStyle name="Normal 2 3 22 2 2" xfId="27652" xr:uid="{00000000-0005-0000-0000-0000E76B0000}"/>
    <cellStyle name="Normal 2 3 22 2 3" xfId="27653" xr:uid="{00000000-0005-0000-0000-0000E86B0000}"/>
    <cellStyle name="Normal 2 3 22 2 4" xfId="27654" xr:uid="{00000000-0005-0000-0000-0000E96B0000}"/>
    <cellStyle name="Normal 2 3 22 2 5" xfId="27655" xr:uid="{00000000-0005-0000-0000-0000EA6B0000}"/>
    <cellStyle name="Normal 2 3 22 2 6" xfId="27656" xr:uid="{00000000-0005-0000-0000-0000EB6B0000}"/>
    <cellStyle name="Normal 2 3 22 2 7" xfId="27657" xr:uid="{00000000-0005-0000-0000-0000EC6B0000}"/>
    <cellStyle name="Normal 2 3 22 2 8" xfId="27658" xr:uid="{00000000-0005-0000-0000-0000ED6B0000}"/>
    <cellStyle name="Normal 2 3 22 2 9" xfId="27659" xr:uid="{00000000-0005-0000-0000-0000EE6B0000}"/>
    <cellStyle name="Normal 2 3 22 3" xfId="27660" xr:uid="{00000000-0005-0000-0000-0000EF6B0000}"/>
    <cellStyle name="Normal 2 3 22 3 10" xfId="27661" xr:uid="{00000000-0005-0000-0000-0000F06B0000}"/>
    <cellStyle name="Normal 2 3 22 3 2" xfId="27662" xr:uid="{00000000-0005-0000-0000-0000F16B0000}"/>
    <cellStyle name="Normal 2 3 22 3 3" xfId="27663" xr:uid="{00000000-0005-0000-0000-0000F26B0000}"/>
    <cellStyle name="Normal 2 3 22 3 4" xfId="27664" xr:uid="{00000000-0005-0000-0000-0000F36B0000}"/>
    <cellStyle name="Normal 2 3 22 3 5" xfId="27665" xr:uid="{00000000-0005-0000-0000-0000F46B0000}"/>
    <cellStyle name="Normal 2 3 22 3 6" xfId="27666" xr:uid="{00000000-0005-0000-0000-0000F56B0000}"/>
    <cellStyle name="Normal 2 3 22 3 7" xfId="27667" xr:uid="{00000000-0005-0000-0000-0000F66B0000}"/>
    <cellStyle name="Normal 2 3 22 3 8" xfId="27668" xr:uid="{00000000-0005-0000-0000-0000F76B0000}"/>
    <cellStyle name="Normal 2 3 22 3 9" xfId="27669" xr:uid="{00000000-0005-0000-0000-0000F86B0000}"/>
    <cellStyle name="Normal 2 3 22 4" xfId="27670" xr:uid="{00000000-0005-0000-0000-0000F96B0000}"/>
    <cellStyle name="Normal 2 3 22 4 10" xfId="27671" xr:uid="{00000000-0005-0000-0000-0000FA6B0000}"/>
    <cellStyle name="Normal 2 3 22 4 2" xfId="27672" xr:uid="{00000000-0005-0000-0000-0000FB6B0000}"/>
    <cellStyle name="Normal 2 3 22 4 3" xfId="27673" xr:uid="{00000000-0005-0000-0000-0000FC6B0000}"/>
    <cellStyle name="Normal 2 3 22 4 4" xfId="27674" xr:uid="{00000000-0005-0000-0000-0000FD6B0000}"/>
    <cellStyle name="Normal 2 3 22 4 5" xfId="27675" xr:uid="{00000000-0005-0000-0000-0000FE6B0000}"/>
    <cellStyle name="Normal 2 3 22 4 6" xfId="27676" xr:uid="{00000000-0005-0000-0000-0000FF6B0000}"/>
    <cellStyle name="Normal 2 3 22 4 7" xfId="27677" xr:uid="{00000000-0005-0000-0000-0000006C0000}"/>
    <cellStyle name="Normal 2 3 22 4 8" xfId="27678" xr:uid="{00000000-0005-0000-0000-0000016C0000}"/>
    <cellStyle name="Normal 2 3 22 4 9" xfId="27679" xr:uid="{00000000-0005-0000-0000-0000026C0000}"/>
    <cellStyle name="Normal 2 3 22 5" xfId="27680" xr:uid="{00000000-0005-0000-0000-0000036C0000}"/>
    <cellStyle name="Normal 2 3 22 5 10" xfId="27681" xr:uid="{00000000-0005-0000-0000-0000046C0000}"/>
    <cellStyle name="Normal 2 3 22 5 2" xfId="27682" xr:uid="{00000000-0005-0000-0000-0000056C0000}"/>
    <cellStyle name="Normal 2 3 22 5 3" xfId="27683" xr:uid="{00000000-0005-0000-0000-0000066C0000}"/>
    <cellStyle name="Normal 2 3 22 5 4" xfId="27684" xr:uid="{00000000-0005-0000-0000-0000076C0000}"/>
    <cellStyle name="Normal 2 3 22 5 5" xfId="27685" xr:uid="{00000000-0005-0000-0000-0000086C0000}"/>
    <cellStyle name="Normal 2 3 22 5 6" xfId="27686" xr:uid="{00000000-0005-0000-0000-0000096C0000}"/>
    <cellStyle name="Normal 2 3 22 5 7" xfId="27687" xr:uid="{00000000-0005-0000-0000-00000A6C0000}"/>
    <cellStyle name="Normal 2 3 22 5 8" xfId="27688" xr:uid="{00000000-0005-0000-0000-00000B6C0000}"/>
    <cellStyle name="Normal 2 3 22 5 9" xfId="27689" xr:uid="{00000000-0005-0000-0000-00000C6C0000}"/>
    <cellStyle name="Normal 2 3 22 6" xfId="27690" xr:uid="{00000000-0005-0000-0000-00000D6C0000}"/>
    <cellStyle name="Normal 2 3 22 7" xfId="27691" xr:uid="{00000000-0005-0000-0000-00000E6C0000}"/>
    <cellStyle name="Normal 2 3 22 8" xfId="27692" xr:uid="{00000000-0005-0000-0000-00000F6C0000}"/>
    <cellStyle name="Normal 2 3 22 9" xfId="27693" xr:uid="{00000000-0005-0000-0000-0000106C0000}"/>
    <cellStyle name="Normal 2 3 23" xfId="27694" xr:uid="{00000000-0005-0000-0000-0000116C0000}"/>
    <cellStyle name="Normal 2 3 23 10" xfId="27695" xr:uid="{00000000-0005-0000-0000-0000126C0000}"/>
    <cellStyle name="Normal 2 3 23 11" xfId="27696" xr:uid="{00000000-0005-0000-0000-0000136C0000}"/>
    <cellStyle name="Normal 2 3 23 12" xfId="27697" xr:uid="{00000000-0005-0000-0000-0000146C0000}"/>
    <cellStyle name="Normal 2 3 23 13" xfId="27698" xr:uid="{00000000-0005-0000-0000-0000156C0000}"/>
    <cellStyle name="Normal 2 3 23 14" xfId="27699" xr:uid="{00000000-0005-0000-0000-0000166C0000}"/>
    <cellStyle name="Normal 2 3 23 2" xfId="27700" xr:uid="{00000000-0005-0000-0000-0000176C0000}"/>
    <cellStyle name="Normal 2 3 23 2 10" xfId="27701" xr:uid="{00000000-0005-0000-0000-0000186C0000}"/>
    <cellStyle name="Normal 2 3 23 2 2" xfId="27702" xr:uid="{00000000-0005-0000-0000-0000196C0000}"/>
    <cellStyle name="Normal 2 3 23 2 3" xfId="27703" xr:uid="{00000000-0005-0000-0000-00001A6C0000}"/>
    <cellStyle name="Normal 2 3 23 2 4" xfId="27704" xr:uid="{00000000-0005-0000-0000-00001B6C0000}"/>
    <cellStyle name="Normal 2 3 23 2 5" xfId="27705" xr:uid="{00000000-0005-0000-0000-00001C6C0000}"/>
    <cellStyle name="Normal 2 3 23 2 6" xfId="27706" xr:uid="{00000000-0005-0000-0000-00001D6C0000}"/>
    <cellStyle name="Normal 2 3 23 2 7" xfId="27707" xr:uid="{00000000-0005-0000-0000-00001E6C0000}"/>
    <cellStyle name="Normal 2 3 23 2 8" xfId="27708" xr:uid="{00000000-0005-0000-0000-00001F6C0000}"/>
    <cellStyle name="Normal 2 3 23 2 9" xfId="27709" xr:uid="{00000000-0005-0000-0000-0000206C0000}"/>
    <cellStyle name="Normal 2 3 23 3" xfId="27710" xr:uid="{00000000-0005-0000-0000-0000216C0000}"/>
    <cellStyle name="Normal 2 3 23 3 10" xfId="27711" xr:uid="{00000000-0005-0000-0000-0000226C0000}"/>
    <cellStyle name="Normal 2 3 23 3 2" xfId="27712" xr:uid="{00000000-0005-0000-0000-0000236C0000}"/>
    <cellStyle name="Normal 2 3 23 3 3" xfId="27713" xr:uid="{00000000-0005-0000-0000-0000246C0000}"/>
    <cellStyle name="Normal 2 3 23 3 4" xfId="27714" xr:uid="{00000000-0005-0000-0000-0000256C0000}"/>
    <cellStyle name="Normal 2 3 23 3 5" xfId="27715" xr:uid="{00000000-0005-0000-0000-0000266C0000}"/>
    <cellStyle name="Normal 2 3 23 3 6" xfId="27716" xr:uid="{00000000-0005-0000-0000-0000276C0000}"/>
    <cellStyle name="Normal 2 3 23 3 7" xfId="27717" xr:uid="{00000000-0005-0000-0000-0000286C0000}"/>
    <cellStyle name="Normal 2 3 23 3 8" xfId="27718" xr:uid="{00000000-0005-0000-0000-0000296C0000}"/>
    <cellStyle name="Normal 2 3 23 3 9" xfId="27719" xr:uid="{00000000-0005-0000-0000-00002A6C0000}"/>
    <cellStyle name="Normal 2 3 23 4" xfId="27720" xr:uid="{00000000-0005-0000-0000-00002B6C0000}"/>
    <cellStyle name="Normal 2 3 23 4 10" xfId="27721" xr:uid="{00000000-0005-0000-0000-00002C6C0000}"/>
    <cellStyle name="Normal 2 3 23 4 2" xfId="27722" xr:uid="{00000000-0005-0000-0000-00002D6C0000}"/>
    <cellStyle name="Normal 2 3 23 4 3" xfId="27723" xr:uid="{00000000-0005-0000-0000-00002E6C0000}"/>
    <cellStyle name="Normal 2 3 23 4 4" xfId="27724" xr:uid="{00000000-0005-0000-0000-00002F6C0000}"/>
    <cellStyle name="Normal 2 3 23 4 5" xfId="27725" xr:uid="{00000000-0005-0000-0000-0000306C0000}"/>
    <cellStyle name="Normal 2 3 23 4 6" xfId="27726" xr:uid="{00000000-0005-0000-0000-0000316C0000}"/>
    <cellStyle name="Normal 2 3 23 4 7" xfId="27727" xr:uid="{00000000-0005-0000-0000-0000326C0000}"/>
    <cellStyle name="Normal 2 3 23 4 8" xfId="27728" xr:uid="{00000000-0005-0000-0000-0000336C0000}"/>
    <cellStyle name="Normal 2 3 23 4 9" xfId="27729" xr:uid="{00000000-0005-0000-0000-0000346C0000}"/>
    <cellStyle name="Normal 2 3 23 5" xfId="27730" xr:uid="{00000000-0005-0000-0000-0000356C0000}"/>
    <cellStyle name="Normal 2 3 23 5 10" xfId="27731" xr:uid="{00000000-0005-0000-0000-0000366C0000}"/>
    <cellStyle name="Normal 2 3 23 5 2" xfId="27732" xr:uid="{00000000-0005-0000-0000-0000376C0000}"/>
    <cellStyle name="Normal 2 3 23 5 3" xfId="27733" xr:uid="{00000000-0005-0000-0000-0000386C0000}"/>
    <cellStyle name="Normal 2 3 23 5 4" xfId="27734" xr:uid="{00000000-0005-0000-0000-0000396C0000}"/>
    <cellStyle name="Normal 2 3 23 5 5" xfId="27735" xr:uid="{00000000-0005-0000-0000-00003A6C0000}"/>
    <cellStyle name="Normal 2 3 23 5 6" xfId="27736" xr:uid="{00000000-0005-0000-0000-00003B6C0000}"/>
    <cellStyle name="Normal 2 3 23 5 7" xfId="27737" xr:uid="{00000000-0005-0000-0000-00003C6C0000}"/>
    <cellStyle name="Normal 2 3 23 5 8" xfId="27738" xr:uid="{00000000-0005-0000-0000-00003D6C0000}"/>
    <cellStyle name="Normal 2 3 23 5 9" xfId="27739" xr:uid="{00000000-0005-0000-0000-00003E6C0000}"/>
    <cellStyle name="Normal 2 3 23 6" xfId="27740" xr:uid="{00000000-0005-0000-0000-00003F6C0000}"/>
    <cellStyle name="Normal 2 3 23 7" xfId="27741" xr:uid="{00000000-0005-0000-0000-0000406C0000}"/>
    <cellStyle name="Normal 2 3 23 8" xfId="27742" xr:uid="{00000000-0005-0000-0000-0000416C0000}"/>
    <cellStyle name="Normal 2 3 23 9" xfId="27743" xr:uid="{00000000-0005-0000-0000-0000426C0000}"/>
    <cellStyle name="Normal 2 3 24" xfId="27744" xr:uid="{00000000-0005-0000-0000-0000436C0000}"/>
    <cellStyle name="Normal 2 3 24 10" xfId="27745" xr:uid="{00000000-0005-0000-0000-0000446C0000}"/>
    <cellStyle name="Normal 2 3 24 11" xfId="27746" xr:uid="{00000000-0005-0000-0000-0000456C0000}"/>
    <cellStyle name="Normal 2 3 24 12" xfId="27747" xr:uid="{00000000-0005-0000-0000-0000466C0000}"/>
    <cellStyle name="Normal 2 3 24 13" xfId="27748" xr:uid="{00000000-0005-0000-0000-0000476C0000}"/>
    <cellStyle name="Normal 2 3 24 14" xfId="27749" xr:uid="{00000000-0005-0000-0000-0000486C0000}"/>
    <cellStyle name="Normal 2 3 24 2" xfId="27750" xr:uid="{00000000-0005-0000-0000-0000496C0000}"/>
    <cellStyle name="Normal 2 3 24 2 10" xfId="27751" xr:uid="{00000000-0005-0000-0000-00004A6C0000}"/>
    <cellStyle name="Normal 2 3 24 2 2" xfId="27752" xr:uid="{00000000-0005-0000-0000-00004B6C0000}"/>
    <cellStyle name="Normal 2 3 24 2 3" xfId="27753" xr:uid="{00000000-0005-0000-0000-00004C6C0000}"/>
    <cellStyle name="Normal 2 3 24 2 4" xfId="27754" xr:uid="{00000000-0005-0000-0000-00004D6C0000}"/>
    <cellStyle name="Normal 2 3 24 2 5" xfId="27755" xr:uid="{00000000-0005-0000-0000-00004E6C0000}"/>
    <cellStyle name="Normal 2 3 24 2 6" xfId="27756" xr:uid="{00000000-0005-0000-0000-00004F6C0000}"/>
    <cellStyle name="Normal 2 3 24 2 7" xfId="27757" xr:uid="{00000000-0005-0000-0000-0000506C0000}"/>
    <cellStyle name="Normal 2 3 24 2 8" xfId="27758" xr:uid="{00000000-0005-0000-0000-0000516C0000}"/>
    <cellStyle name="Normal 2 3 24 2 9" xfId="27759" xr:uid="{00000000-0005-0000-0000-0000526C0000}"/>
    <cellStyle name="Normal 2 3 24 3" xfId="27760" xr:uid="{00000000-0005-0000-0000-0000536C0000}"/>
    <cellStyle name="Normal 2 3 24 3 10" xfId="27761" xr:uid="{00000000-0005-0000-0000-0000546C0000}"/>
    <cellStyle name="Normal 2 3 24 3 2" xfId="27762" xr:uid="{00000000-0005-0000-0000-0000556C0000}"/>
    <cellStyle name="Normal 2 3 24 3 3" xfId="27763" xr:uid="{00000000-0005-0000-0000-0000566C0000}"/>
    <cellStyle name="Normal 2 3 24 3 4" xfId="27764" xr:uid="{00000000-0005-0000-0000-0000576C0000}"/>
    <cellStyle name="Normal 2 3 24 3 5" xfId="27765" xr:uid="{00000000-0005-0000-0000-0000586C0000}"/>
    <cellStyle name="Normal 2 3 24 3 6" xfId="27766" xr:uid="{00000000-0005-0000-0000-0000596C0000}"/>
    <cellStyle name="Normal 2 3 24 3 7" xfId="27767" xr:uid="{00000000-0005-0000-0000-00005A6C0000}"/>
    <cellStyle name="Normal 2 3 24 3 8" xfId="27768" xr:uid="{00000000-0005-0000-0000-00005B6C0000}"/>
    <cellStyle name="Normal 2 3 24 3 9" xfId="27769" xr:uid="{00000000-0005-0000-0000-00005C6C0000}"/>
    <cellStyle name="Normal 2 3 24 4" xfId="27770" xr:uid="{00000000-0005-0000-0000-00005D6C0000}"/>
    <cellStyle name="Normal 2 3 24 4 10" xfId="27771" xr:uid="{00000000-0005-0000-0000-00005E6C0000}"/>
    <cellStyle name="Normal 2 3 24 4 2" xfId="27772" xr:uid="{00000000-0005-0000-0000-00005F6C0000}"/>
    <cellStyle name="Normal 2 3 24 4 3" xfId="27773" xr:uid="{00000000-0005-0000-0000-0000606C0000}"/>
    <cellStyle name="Normal 2 3 24 4 4" xfId="27774" xr:uid="{00000000-0005-0000-0000-0000616C0000}"/>
    <cellStyle name="Normal 2 3 24 4 5" xfId="27775" xr:uid="{00000000-0005-0000-0000-0000626C0000}"/>
    <cellStyle name="Normal 2 3 24 4 6" xfId="27776" xr:uid="{00000000-0005-0000-0000-0000636C0000}"/>
    <cellStyle name="Normal 2 3 24 4 7" xfId="27777" xr:uid="{00000000-0005-0000-0000-0000646C0000}"/>
    <cellStyle name="Normal 2 3 24 4 8" xfId="27778" xr:uid="{00000000-0005-0000-0000-0000656C0000}"/>
    <cellStyle name="Normal 2 3 24 4 9" xfId="27779" xr:uid="{00000000-0005-0000-0000-0000666C0000}"/>
    <cellStyle name="Normal 2 3 24 5" xfId="27780" xr:uid="{00000000-0005-0000-0000-0000676C0000}"/>
    <cellStyle name="Normal 2 3 24 5 10" xfId="27781" xr:uid="{00000000-0005-0000-0000-0000686C0000}"/>
    <cellStyle name="Normal 2 3 24 5 2" xfId="27782" xr:uid="{00000000-0005-0000-0000-0000696C0000}"/>
    <cellStyle name="Normal 2 3 24 5 3" xfId="27783" xr:uid="{00000000-0005-0000-0000-00006A6C0000}"/>
    <cellStyle name="Normal 2 3 24 5 4" xfId="27784" xr:uid="{00000000-0005-0000-0000-00006B6C0000}"/>
    <cellStyle name="Normal 2 3 24 5 5" xfId="27785" xr:uid="{00000000-0005-0000-0000-00006C6C0000}"/>
    <cellStyle name="Normal 2 3 24 5 6" xfId="27786" xr:uid="{00000000-0005-0000-0000-00006D6C0000}"/>
    <cellStyle name="Normal 2 3 24 5 7" xfId="27787" xr:uid="{00000000-0005-0000-0000-00006E6C0000}"/>
    <cellStyle name="Normal 2 3 24 5 8" xfId="27788" xr:uid="{00000000-0005-0000-0000-00006F6C0000}"/>
    <cellStyle name="Normal 2 3 24 5 9" xfId="27789" xr:uid="{00000000-0005-0000-0000-0000706C0000}"/>
    <cellStyle name="Normal 2 3 24 6" xfId="27790" xr:uid="{00000000-0005-0000-0000-0000716C0000}"/>
    <cellStyle name="Normal 2 3 24 7" xfId="27791" xr:uid="{00000000-0005-0000-0000-0000726C0000}"/>
    <cellStyle name="Normal 2 3 24 8" xfId="27792" xr:uid="{00000000-0005-0000-0000-0000736C0000}"/>
    <cellStyle name="Normal 2 3 24 9" xfId="27793" xr:uid="{00000000-0005-0000-0000-0000746C0000}"/>
    <cellStyle name="Normal 2 3 25" xfId="27794" xr:uid="{00000000-0005-0000-0000-0000756C0000}"/>
    <cellStyle name="Normal 2 3 25 10" xfId="27795" xr:uid="{00000000-0005-0000-0000-0000766C0000}"/>
    <cellStyle name="Normal 2 3 25 11" xfId="27796" xr:uid="{00000000-0005-0000-0000-0000776C0000}"/>
    <cellStyle name="Normal 2 3 25 12" xfId="27797" xr:uid="{00000000-0005-0000-0000-0000786C0000}"/>
    <cellStyle name="Normal 2 3 25 13" xfId="27798" xr:uid="{00000000-0005-0000-0000-0000796C0000}"/>
    <cellStyle name="Normal 2 3 25 14" xfId="27799" xr:uid="{00000000-0005-0000-0000-00007A6C0000}"/>
    <cellStyle name="Normal 2 3 25 2" xfId="27800" xr:uid="{00000000-0005-0000-0000-00007B6C0000}"/>
    <cellStyle name="Normal 2 3 25 2 10" xfId="27801" xr:uid="{00000000-0005-0000-0000-00007C6C0000}"/>
    <cellStyle name="Normal 2 3 25 2 2" xfId="27802" xr:uid="{00000000-0005-0000-0000-00007D6C0000}"/>
    <cellStyle name="Normal 2 3 25 2 3" xfId="27803" xr:uid="{00000000-0005-0000-0000-00007E6C0000}"/>
    <cellStyle name="Normal 2 3 25 2 4" xfId="27804" xr:uid="{00000000-0005-0000-0000-00007F6C0000}"/>
    <cellStyle name="Normal 2 3 25 2 5" xfId="27805" xr:uid="{00000000-0005-0000-0000-0000806C0000}"/>
    <cellStyle name="Normal 2 3 25 2 6" xfId="27806" xr:uid="{00000000-0005-0000-0000-0000816C0000}"/>
    <cellStyle name="Normal 2 3 25 2 7" xfId="27807" xr:uid="{00000000-0005-0000-0000-0000826C0000}"/>
    <cellStyle name="Normal 2 3 25 2 8" xfId="27808" xr:uid="{00000000-0005-0000-0000-0000836C0000}"/>
    <cellStyle name="Normal 2 3 25 2 9" xfId="27809" xr:uid="{00000000-0005-0000-0000-0000846C0000}"/>
    <cellStyle name="Normal 2 3 25 3" xfId="27810" xr:uid="{00000000-0005-0000-0000-0000856C0000}"/>
    <cellStyle name="Normal 2 3 25 3 10" xfId="27811" xr:uid="{00000000-0005-0000-0000-0000866C0000}"/>
    <cellStyle name="Normal 2 3 25 3 2" xfId="27812" xr:uid="{00000000-0005-0000-0000-0000876C0000}"/>
    <cellStyle name="Normal 2 3 25 3 3" xfId="27813" xr:uid="{00000000-0005-0000-0000-0000886C0000}"/>
    <cellStyle name="Normal 2 3 25 3 4" xfId="27814" xr:uid="{00000000-0005-0000-0000-0000896C0000}"/>
    <cellStyle name="Normal 2 3 25 3 5" xfId="27815" xr:uid="{00000000-0005-0000-0000-00008A6C0000}"/>
    <cellStyle name="Normal 2 3 25 3 6" xfId="27816" xr:uid="{00000000-0005-0000-0000-00008B6C0000}"/>
    <cellStyle name="Normal 2 3 25 3 7" xfId="27817" xr:uid="{00000000-0005-0000-0000-00008C6C0000}"/>
    <cellStyle name="Normal 2 3 25 3 8" xfId="27818" xr:uid="{00000000-0005-0000-0000-00008D6C0000}"/>
    <cellStyle name="Normal 2 3 25 3 9" xfId="27819" xr:uid="{00000000-0005-0000-0000-00008E6C0000}"/>
    <cellStyle name="Normal 2 3 25 4" xfId="27820" xr:uid="{00000000-0005-0000-0000-00008F6C0000}"/>
    <cellStyle name="Normal 2 3 25 4 10" xfId="27821" xr:uid="{00000000-0005-0000-0000-0000906C0000}"/>
    <cellStyle name="Normal 2 3 25 4 2" xfId="27822" xr:uid="{00000000-0005-0000-0000-0000916C0000}"/>
    <cellStyle name="Normal 2 3 25 4 3" xfId="27823" xr:uid="{00000000-0005-0000-0000-0000926C0000}"/>
    <cellStyle name="Normal 2 3 25 4 4" xfId="27824" xr:uid="{00000000-0005-0000-0000-0000936C0000}"/>
    <cellStyle name="Normal 2 3 25 4 5" xfId="27825" xr:uid="{00000000-0005-0000-0000-0000946C0000}"/>
    <cellStyle name="Normal 2 3 25 4 6" xfId="27826" xr:uid="{00000000-0005-0000-0000-0000956C0000}"/>
    <cellStyle name="Normal 2 3 25 4 7" xfId="27827" xr:uid="{00000000-0005-0000-0000-0000966C0000}"/>
    <cellStyle name="Normal 2 3 25 4 8" xfId="27828" xr:uid="{00000000-0005-0000-0000-0000976C0000}"/>
    <cellStyle name="Normal 2 3 25 4 9" xfId="27829" xr:uid="{00000000-0005-0000-0000-0000986C0000}"/>
    <cellStyle name="Normal 2 3 25 5" xfId="27830" xr:uid="{00000000-0005-0000-0000-0000996C0000}"/>
    <cellStyle name="Normal 2 3 25 5 10" xfId="27831" xr:uid="{00000000-0005-0000-0000-00009A6C0000}"/>
    <cellStyle name="Normal 2 3 25 5 2" xfId="27832" xr:uid="{00000000-0005-0000-0000-00009B6C0000}"/>
    <cellStyle name="Normal 2 3 25 5 3" xfId="27833" xr:uid="{00000000-0005-0000-0000-00009C6C0000}"/>
    <cellStyle name="Normal 2 3 25 5 4" xfId="27834" xr:uid="{00000000-0005-0000-0000-00009D6C0000}"/>
    <cellStyle name="Normal 2 3 25 5 5" xfId="27835" xr:uid="{00000000-0005-0000-0000-00009E6C0000}"/>
    <cellStyle name="Normal 2 3 25 5 6" xfId="27836" xr:uid="{00000000-0005-0000-0000-00009F6C0000}"/>
    <cellStyle name="Normal 2 3 25 5 7" xfId="27837" xr:uid="{00000000-0005-0000-0000-0000A06C0000}"/>
    <cellStyle name="Normal 2 3 25 5 8" xfId="27838" xr:uid="{00000000-0005-0000-0000-0000A16C0000}"/>
    <cellStyle name="Normal 2 3 25 5 9" xfId="27839" xr:uid="{00000000-0005-0000-0000-0000A26C0000}"/>
    <cellStyle name="Normal 2 3 25 6" xfId="27840" xr:uid="{00000000-0005-0000-0000-0000A36C0000}"/>
    <cellStyle name="Normal 2 3 25 7" xfId="27841" xr:uid="{00000000-0005-0000-0000-0000A46C0000}"/>
    <cellStyle name="Normal 2 3 25 8" xfId="27842" xr:uid="{00000000-0005-0000-0000-0000A56C0000}"/>
    <cellStyle name="Normal 2 3 25 9" xfId="27843" xr:uid="{00000000-0005-0000-0000-0000A66C0000}"/>
    <cellStyle name="Normal 2 3 26" xfId="27844" xr:uid="{00000000-0005-0000-0000-0000A76C0000}"/>
    <cellStyle name="Normal 2 3 26 10" xfId="27845" xr:uid="{00000000-0005-0000-0000-0000A86C0000}"/>
    <cellStyle name="Normal 2 3 26 11" xfId="27846" xr:uid="{00000000-0005-0000-0000-0000A96C0000}"/>
    <cellStyle name="Normal 2 3 26 12" xfId="27847" xr:uid="{00000000-0005-0000-0000-0000AA6C0000}"/>
    <cellStyle name="Normal 2 3 26 13" xfId="27848" xr:uid="{00000000-0005-0000-0000-0000AB6C0000}"/>
    <cellStyle name="Normal 2 3 26 14" xfId="27849" xr:uid="{00000000-0005-0000-0000-0000AC6C0000}"/>
    <cellStyle name="Normal 2 3 26 2" xfId="27850" xr:uid="{00000000-0005-0000-0000-0000AD6C0000}"/>
    <cellStyle name="Normal 2 3 26 2 10" xfId="27851" xr:uid="{00000000-0005-0000-0000-0000AE6C0000}"/>
    <cellStyle name="Normal 2 3 26 2 2" xfId="27852" xr:uid="{00000000-0005-0000-0000-0000AF6C0000}"/>
    <cellStyle name="Normal 2 3 26 2 3" xfId="27853" xr:uid="{00000000-0005-0000-0000-0000B06C0000}"/>
    <cellStyle name="Normal 2 3 26 2 4" xfId="27854" xr:uid="{00000000-0005-0000-0000-0000B16C0000}"/>
    <cellStyle name="Normal 2 3 26 2 5" xfId="27855" xr:uid="{00000000-0005-0000-0000-0000B26C0000}"/>
    <cellStyle name="Normal 2 3 26 2 6" xfId="27856" xr:uid="{00000000-0005-0000-0000-0000B36C0000}"/>
    <cellStyle name="Normal 2 3 26 2 7" xfId="27857" xr:uid="{00000000-0005-0000-0000-0000B46C0000}"/>
    <cellStyle name="Normal 2 3 26 2 8" xfId="27858" xr:uid="{00000000-0005-0000-0000-0000B56C0000}"/>
    <cellStyle name="Normal 2 3 26 2 9" xfId="27859" xr:uid="{00000000-0005-0000-0000-0000B66C0000}"/>
    <cellStyle name="Normal 2 3 26 3" xfId="27860" xr:uid="{00000000-0005-0000-0000-0000B76C0000}"/>
    <cellStyle name="Normal 2 3 26 3 10" xfId="27861" xr:uid="{00000000-0005-0000-0000-0000B86C0000}"/>
    <cellStyle name="Normal 2 3 26 3 2" xfId="27862" xr:uid="{00000000-0005-0000-0000-0000B96C0000}"/>
    <cellStyle name="Normal 2 3 26 3 3" xfId="27863" xr:uid="{00000000-0005-0000-0000-0000BA6C0000}"/>
    <cellStyle name="Normal 2 3 26 3 4" xfId="27864" xr:uid="{00000000-0005-0000-0000-0000BB6C0000}"/>
    <cellStyle name="Normal 2 3 26 3 5" xfId="27865" xr:uid="{00000000-0005-0000-0000-0000BC6C0000}"/>
    <cellStyle name="Normal 2 3 26 3 6" xfId="27866" xr:uid="{00000000-0005-0000-0000-0000BD6C0000}"/>
    <cellStyle name="Normal 2 3 26 3 7" xfId="27867" xr:uid="{00000000-0005-0000-0000-0000BE6C0000}"/>
    <cellStyle name="Normal 2 3 26 3 8" xfId="27868" xr:uid="{00000000-0005-0000-0000-0000BF6C0000}"/>
    <cellStyle name="Normal 2 3 26 3 9" xfId="27869" xr:uid="{00000000-0005-0000-0000-0000C06C0000}"/>
    <cellStyle name="Normal 2 3 26 4" xfId="27870" xr:uid="{00000000-0005-0000-0000-0000C16C0000}"/>
    <cellStyle name="Normal 2 3 26 4 10" xfId="27871" xr:uid="{00000000-0005-0000-0000-0000C26C0000}"/>
    <cellStyle name="Normal 2 3 26 4 2" xfId="27872" xr:uid="{00000000-0005-0000-0000-0000C36C0000}"/>
    <cellStyle name="Normal 2 3 26 4 3" xfId="27873" xr:uid="{00000000-0005-0000-0000-0000C46C0000}"/>
    <cellStyle name="Normal 2 3 26 4 4" xfId="27874" xr:uid="{00000000-0005-0000-0000-0000C56C0000}"/>
    <cellStyle name="Normal 2 3 26 4 5" xfId="27875" xr:uid="{00000000-0005-0000-0000-0000C66C0000}"/>
    <cellStyle name="Normal 2 3 26 4 6" xfId="27876" xr:uid="{00000000-0005-0000-0000-0000C76C0000}"/>
    <cellStyle name="Normal 2 3 26 4 7" xfId="27877" xr:uid="{00000000-0005-0000-0000-0000C86C0000}"/>
    <cellStyle name="Normal 2 3 26 4 8" xfId="27878" xr:uid="{00000000-0005-0000-0000-0000C96C0000}"/>
    <cellStyle name="Normal 2 3 26 4 9" xfId="27879" xr:uid="{00000000-0005-0000-0000-0000CA6C0000}"/>
    <cellStyle name="Normal 2 3 26 5" xfId="27880" xr:uid="{00000000-0005-0000-0000-0000CB6C0000}"/>
    <cellStyle name="Normal 2 3 26 5 10" xfId="27881" xr:uid="{00000000-0005-0000-0000-0000CC6C0000}"/>
    <cellStyle name="Normal 2 3 26 5 2" xfId="27882" xr:uid="{00000000-0005-0000-0000-0000CD6C0000}"/>
    <cellStyle name="Normal 2 3 26 5 3" xfId="27883" xr:uid="{00000000-0005-0000-0000-0000CE6C0000}"/>
    <cellStyle name="Normal 2 3 26 5 4" xfId="27884" xr:uid="{00000000-0005-0000-0000-0000CF6C0000}"/>
    <cellStyle name="Normal 2 3 26 5 5" xfId="27885" xr:uid="{00000000-0005-0000-0000-0000D06C0000}"/>
    <cellStyle name="Normal 2 3 26 5 6" xfId="27886" xr:uid="{00000000-0005-0000-0000-0000D16C0000}"/>
    <cellStyle name="Normal 2 3 26 5 7" xfId="27887" xr:uid="{00000000-0005-0000-0000-0000D26C0000}"/>
    <cellStyle name="Normal 2 3 26 5 8" xfId="27888" xr:uid="{00000000-0005-0000-0000-0000D36C0000}"/>
    <cellStyle name="Normal 2 3 26 5 9" xfId="27889" xr:uid="{00000000-0005-0000-0000-0000D46C0000}"/>
    <cellStyle name="Normal 2 3 26 6" xfId="27890" xr:uid="{00000000-0005-0000-0000-0000D56C0000}"/>
    <cellStyle name="Normal 2 3 26 7" xfId="27891" xr:uid="{00000000-0005-0000-0000-0000D66C0000}"/>
    <cellStyle name="Normal 2 3 26 8" xfId="27892" xr:uid="{00000000-0005-0000-0000-0000D76C0000}"/>
    <cellStyle name="Normal 2 3 26 9" xfId="27893" xr:uid="{00000000-0005-0000-0000-0000D86C0000}"/>
    <cellStyle name="Normal 2 3 27" xfId="27894" xr:uid="{00000000-0005-0000-0000-0000D96C0000}"/>
    <cellStyle name="Normal 2 3 27 10" xfId="27895" xr:uid="{00000000-0005-0000-0000-0000DA6C0000}"/>
    <cellStyle name="Normal 2 3 27 11" xfId="27896" xr:uid="{00000000-0005-0000-0000-0000DB6C0000}"/>
    <cellStyle name="Normal 2 3 27 12" xfId="27897" xr:uid="{00000000-0005-0000-0000-0000DC6C0000}"/>
    <cellStyle name="Normal 2 3 27 13" xfId="27898" xr:uid="{00000000-0005-0000-0000-0000DD6C0000}"/>
    <cellStyle name="Normal 2 3 27 14" xfId="27899" xr:uid="{00000000-0005-0000-0000-0000DE6C0000}"/>
    <cellStyle name="Normal 2 3 27 2" xfId="27900" xr:uid="{00000000-0005-0000-0000-0000DF6C0000}"/>
    <cellStyle name="Normal 2 3 27 2 10" xfId="27901" xr:uid="{00000000-0005-0000-0000-0000E06C0000}"/>
    <cellStyle name="Normal 2 3 27 2 2" xfId="27902" xr:uid="{00000000-0005-0000-0000-0000E16C0000}"/>
    <cellStyle name="Normal 2 3 27 2 3" xfId="27903" xr:uid="{00000000-0005-0000-0000-0000E26C0000}"/>
    <cellStyle name="Normal 2 3 27 2 4" xfId="27904" xr:uid="{00000000-0005-0000-0000-0000E36C0000}"/>
    <cellStyle name="Normal 2 3 27 2 5" xfId="27905" xr:uid="{00000000-0005-0000-0000-0000E46C0000}"/>
    <cellStyle name="Normal 2 3 27 2 6" xfId="27906" xr:uid="{00000000-0005-0000-0000-0000E56C0000}"/>
    <cellStyle name="Normal 2 3 27 2 7" xfId="27907" xr:uid="{00000000-0005-0000-0000-0000E66C0000}"/>
    <cellStyle name="Normal 2 3 27 2 8" xfId="27908" xr:uid="{00000000-0005-0000-0000-0000E76C0000}"/>
    <cellStyle name="Normal 2 3 27 2 9" xfId="27909" xr:uid="{00000000-0005-0000-0000-0000E86C0000}"/>
    <cellStyle name="Normal 2 3 27 3" xfId="27910" xr:uid="{00000000-0005-0000-0000-0000E96C0000}"/>
    <cellStyle name="Normal 2 3 27 3 10" xfId="27911" xr:uid="{00000000-0005-0000-0000-0000EA6C0000}"/>
    <cellStyle name="Normal 2 3 27 3 2" xfId="27912" xr:uid="{00000000-0005-0000-0000-0000EB6C0000}"/>
    <cellStyle name="Normal 2 3 27 3 3" xfId="27913" xr:uid="{00000000-0005-0000-0000-0000EC6C0000}"/>
    <cellStyle name="Normal 2 3 27 3 4" xfId="27914" xr:uid="{00000000-0005-0000-0000-0000ED6C0000}"/>
    <cellStyle name="Normal 2 3 27 3 5" xfId="27915" xr:uid="{00000000-0005-0000-0000-0000EE6C0000}"/>
    <cellStyle name="Normal 2 3 27 3 6" xfId="27916" xr:uid="{00000000-0005-0000-0000-0000EF6C0000}"/>
    <cellStyle name="Normal 2 3 27 3 7" xfId="27917" xr:uid="{00000000-0005-0000-0000-0000F06C0000}"/>
    <cellStyle name="Normal 2 3 27 3 8" xfId="27918" xr:uid="{00000000-0005-0000-0000-0000F16C0000}"/>
    <cellStyle name="Normal 2 3 27 3 9" xfId="27919" xr:uid="{00000000-0005-0000-0000-0000F26C0000}"/>
    <cellStyle name="Normal 2 3 27 4" xfId="27920" xr:uid="{00000000-0005-0000-0000-0000F36C0000}"/>
    <cellStyle name="Normal 2 3 27 4 10" xfId="27921" xr:uid="{00000000-0005-0000-0000-0000F46C0000}"/>
    <cellStyle name="Normal 2 3 27 4 2" xfId="27922" xr:uid="{00000000-0005-0000-0000-0000F56C0000}"/>
    <cellStyle name="Normal 2 3 27 4 3" xfId="27923" xr:uid="{00000000-0005-0000-0000-0000F66C0000}"/>
    <cellStyle name="Normal 2 3 27 4 4" xfId="27924" xr:uid="{00000000-0005-0000-0000-0000F76C0000}"/>
    <cellStyle name="Normal 2 3 27 4 5" xfId="27925" xr:uid="{00000000-0005-0000-0000-0000F86C0000}"/>
    <cellStyle name="Normal 2 3 27 4 6" xfId="27926" xr:uid="{00000000-0005-0000-0000-0000F96C0000}"/>
    <cellStyle name="Normal 2 3 27 4 7" xfId="27927" xr:uid="{00000000-0005-0000-0000-0000FA6C0000}"/>
    <cellStyle name="Normal 2 3 27 4 8" xfId="27928" xr:uid="{00000000-0005-0000-0000-0000FB6C0000}"/>
    <cellStyle name="Normal 2 3 27 4 9" xfId="27929" xr:uid="{00000000-0005-0000-0000-0000FC6C0000}"/>
    <cellStyle name="Normal 2 3 27 5" xfId="27930" xr:uid="{00000000-0005-0000-0000-0000FD6C0000}"/>
    <cellStyle name="Normal 2 3 27 5 10" xfId="27931" xr:uid="{00000000-0005-0000-0000-0000FE6C0000}"/>
    <cellStyle name="Normal 2 3 27 5 2" xfId="27932" xr:uid="{00000000-0005-0000-0000-0000FF6C0000}"/>
    <cellStyle name="Normal 2 3 27 5 3" xfId="27933" xr:uid="{00000000-0005-0000-0000-0000006D0000}"/>
    <cellStyle name="Normal 2 3 27 5 4" xfId="27934" xr:uid="{00000000-0005-0000-0000-0000016D0000}"/>
    <cellStyle name="Normal 2 3 27 5 5" xfId="27935" xr:uid="{00000000-0005-0000-0000-0000026D0000}"/>
    <cellStyle name="Normal 2 3 27 5 6" xfId="27936" xr:uid="{00000000-0005-0000-0000-0000036D0000}"/>
    <cellStyle name="Normal 2 3 27 5 7" xfId="27937" xr:uid="{00000000-0005-0000-0000-0000046D0000}"/>
    <cellStyle name="Normal 2 3 27 5 8" xfId="27938" xr:uid="{00000000-0005-0000-0000-0000056D0000}"/>
    <cellStyle name="Normal 2 3 27 5 9" xfId="27939" xr:uid="{00000000-0005-0000-0000-0000066D0000}"/>
    <cellStyle name="Normal 2 3 27 6" xfId="27940" xr:uid="{00000000-0005-0000-0000-0000076D0000}"/>
    <cellStyle name="Normal 2 3 27 7" xfId="27941" xr:uid="{00000000-0005-0000-0000-0000086D0000}"/>
    <cellStyle name="Normal 2 3 27 8" xfId="27942" xr:uid="{00000000-0005-0000-0000-0000096D0000}"/>
    <cellStyle name="Normal 2 3 27 9" xfId="27943" xr:uid="{00000000-0005-0000-0000-00000A6D0000}"/>
    <cellStyle name="Normal 2 3 28" xfId="27944" xr:uid="{00000000-0005-0000-0000-00000B6D0000}"/>
    <cellStyle name="Normal 2 3 28 10" xfId="27945" xr:uid="{00000000-0005-0000-0000-00000C6D0000}"/>
    <cellStyle name="Normal 2 3 28 11" xfId="27946" xr:uid="{00000000-0005-0000-0000-00000D6D0000}"/>
    <cellStyle name="Normal 2 3 28 12" xfId="27947" xr:uid="{00000000-0005-0000-0000-00000E6D0000}"/>
    <cellStyle name="Normal 2 3 28 13" xfId="27948" xr:uid="{00000000-0005-0000-0000-00000F6D0000}"/>
    <cellStyle name="Normal 2 3 28 14" xfId="27949" xr:uid="{00000000-0005-0000-0000-0000106D0000}"/>
    <cellStyle name="Normal 2 3 28 2" xfId="27950" xr:uid="{00000000-0005-0000-0000-0000116D0000}"/>
    <cellStyle name="Normal 2 3 28 2 10" xfId="27951" xr:uid="{00000000-0005-0000-0000-0000126D0000}"/>
    <cellStyle name="Normal 2 3 28 2 2" xfId="27952" xr:uid="{00000000-0005-0000-0000-0000136D0000}"/>
    <cellStyle name="Normal 2 3 28 2 3" xfId="27953" xr:uid="{00000000-0005-0000-0000-0000146D0000}"/>
    <cellStyle name="Normal 2 3 28 2 4" xfId="27954" xr:uid="{00000000-0005-0000-0000-0000156D0000}"/>
    <cellStyle name="Normal 2 3 28 2 5" xfId="27955" xr:uid="{00000000-0005-0000-0000-0000166D0000}"/>
    <cellStyle name="Normal 2 3 28 2 6" xfId="27956" xr:uid="{00000000-0005-0000-0000-0000176D0000}"/>
    <cellStyle name="Normal 2 3 28 2 7" xfId="27957" xr:uid="{00000000-0005-0000-0000-0000186D0000}"/>
    <cellStyle name="Normal 2 3 28 2 8" xfId="27958" xr:uid="{00000000-0005-0000-0000-0000196D0000}"/>
    <cellStyle name="Normal 2 3 28 2 9" xfId="27959" xr:uid="{00000000-0005-0000-0000-00001A6D0000}"/>
    <cellStyle name="Normal 2 3 28 3" xfId="27960" xr:uid="{00000000-0005-0000-0000-00001B6D0000}"/>
    <cellStyle name="Normal 2 3 28 3 10" xfId="27961" xr:uid="{00000000-0005-0000-0000-00001C6D0000}"/>
    <cellStyle name="Normal 2 3 28 3 2" xfId="27962" xr:uid="{00000000-0005-0000-0000-00001D6D0000}"/>
    <cellStyle name="Normal 2 3 28 3 3" xfId="27963" xr:uid="{00000000-0005-0000-0000-00001E6D0000}"/>
    <cellStyle name="Normal 2 3 28 3 4" xfId="27964" xr:uid="{00000000-0005-0000-0000-00001F6D0000}"/>
    <cellStyle name="Normal 2 3 28 3 5" xfId="27965" xr:uid="{00000000-0005-0000-0000-0000206D0000}"/>
    <cellStyle name="Normal 2 3 28 3 6" xfId="27966" xr:uid="{00000000-0005-0000-0000-0000216D0000}"/>
    <cellStyle name="Normal 2 3 28 3 7" xfId="27967" xr:uid="{00000000-0005-0000-0000-0000226D0000}"/>
    <cellStyle name="Normal 2 3 28 3 8" xfId="27968" xr:uid="{00000000-0005-0000-0000-0000236D0000}"/>
    <cellStyle name="Normal 2 3 28 3 9" xfId="27969" xr:uid="{00000000-0005-0000-0000-0000246D0000}"/>
    <cellStyle name="Normal 2 3 28 4" xfId="27970" xr:uid="{00000000-0005-0000-0000-0000256D0000}"/>
    <cellStyle name="Normal 2 3 28 4 10" xfId="27971" xr:uid="{00000000-0005-0000-0000-0000266D0000}"/>
    <cellStyle name="Normal 2 3 28 4 2" xfId="27972" xr:uid="{00000000-0005-0000-0000-0000276D0000}"/>
    <cellStyle name="Normal 2 3 28 4 3" xfId="27973" xr:uid="{00000000-0005-0000-0000-0000286D0000}"/>
    <cellStyle name="Normal 2 3 28 4 4" xfId="27974" xr:uid="{00000000-0005-0000-0000-0000296D0000}"/>
    <cellStyle name="Normal 2 3 28 4 5" xfId="27975" xr:uid="{00000000-0005-0000-0000-00002A6D0000}"/>
    <cellStyle name="Normal 2 3 28 4 6" xfId="27976" xr:uid="{00000000-0005-0000-0000-00002B6D0000}"/>
    <cellStyle name="Normal 2 3 28 4 7" xfId="27977" xr:uid="{00000000-0005-0000-0000-00002C6D0000}"/>
    <cellStyle name="Normal 2 3 28 4 8" xfId="27978" xr:uid="{00000000-0005-0000-0000-00002D6D0000}"/>
    <cellStyle name="Normal 2 3 28 4 9" xfId="27979" xr:uid="{00000000-0005-0000-0000-00002E6D0000}"/>
    <cellStyle name="Normal 2 3 28 5" xfId="27980" xr:uid="{00000000-0005-0000-0000-00002F6D0000}"/>
    <cellStyle name="Normal 2 3 28 5 10" xfId="27981" xr:uid="{00000000-0005-0000-0000-0000306D0000}"/>
    <cellStyle name="Normal 2 3 28 5 2" xfId="27982" xr:uid="{00000000-0005-0000-0000-0000316D0000}"/>
    <cellStyle name="Normal 2 3 28 5 3" xfId="27983" xr:uid="{00000000-0005-0000-0000-0000326D0000}"/>
    <cellStyle name="Normal 2 3 28 5 4" xfId="27984" xr:uid="{00000000-0005-0000-0000-0000336D0000}"/>
    <cellStyle name="Normal 2 3 28 5 5" xfId="27985" xr:uid="{00000000-0005-0000-0000-0000346D0000}"/>
    <cellStyle name="Normal 2 3 28 5 6" xfId="27986" xr:uid="{00000000-0005-0000-0000-0000356D0000}"/>
    <cellStyle name="Normal 2 3 28 5 7" xfId="27987" xr:uid="{00000000-0005-0000-0000-0000366D0000}"/>
    <cellStyle name="Normal 2 3 28 5 8" xfId="27988" xr:uid="{00000000-0005-0000-0000-0000376D0000}"/>
    <cellStyle name="Normal 2 3 28 5 9" xfId="27989" xr:uid="{00000000-0005-0000-0000-0000386D0000}"/>
    <cellStyle name="Normal 2 3 28 6" xfId="27990" xr:uid="{00000000-0005-0000-0000-0000396D0000}"/>
    <cellStyle name="Normal 2 3 28 7" xfId="27991" xr:uid="{00000000-0005-0000-0000-00003A6D0000}"/>
    <cellStyle name="Normal 2 3 28 8" xfId="27992" xr:uid="{00000000-0005-0000-0000-00003B6D0000}"/>
    <cellStyle name="Normal 2 3 28 9" xfId="27993" xr:uid="{00000000-0005-0000-0000-00003C6D0000}"/>
    <cellStyle name="Normal 2 3 29" xfId="27994" xr:uid="{00000000-0005-0000-0000-00003D6D0000}"/>
    <cellStyle name="Normal 2 3 29 10" xfId="27995" xr:uid="{00000000-0005-0000-0000-00003E6D0000}"/>
    <cellStyle name="Normal 2 3 29 11" xfId="27996" xr:uid="{00000000-0005-0000-0000-00003F6D0000}"/>
    <cellStyle name="Normal 2 3 29 12" xfId="27997" xr:uid="{00000000-0005-0000-0000-0000406D0000}"/>
    <cellStyle name="Normal 2 3 29 13" xfId="27998" xr:uid="{00000000-0005-0000-0000-0000416D0000}"/>
    <cellStyle name="Normal 2 3 29 14" xfId="27999" xr:uid="{00000000-0005-0000-0000-0000426D0000}"/>
    <cellStyle name="Normal 2 3 29 2" xfId="28000" xr:uid="{00000000-0005-0000-0000-0000436D0000}"/>
    <cellStyle name="Normal 2 3 29 2 10" xfId="28001" xr:uid="{00000000-0005-0000-0000-0000446D0000}"/>
    <cellStyle name="Normal 2 3 29 2 2" xfId="28002" xr:uid="{00000000-0005-0000-0000-0000456D0000}"/>
    <cellStyle name="Normal 2 3 29 2 3" xfId="28003" xr:uid="{00000000-0005-0000-0000-0000466D0000}"/>
    <cellStyle name="Normal 2 3 29 2 4" xfId="28004" xr:uid="{00000000-0005-0000-0000-0000476D0000}"/>
    <cellStyle name="Normal 2 3 29 2 5" xfId="28005" xr:uid="{00000000-0005-0000-0000-0000486D0000}"/>
    <cellStyle name="Normal 2 3 29 2 6" xfId="28006" xr:uid="{00000000-0005-0000-0000-0000496D0000}"/>
    <cellStyle name="Normal 2 3 29 2 7" xfId="28007" xr:uid="{00000000-0005-0000-0000-00004A6D0000}"/>
    <cellStyle name="Normal 2 3 29 2 8" xfId="28008" xr:uid="{00000000-0005-0000-0000-00004B6D0000}"/>
    <cellStyle name="Normal 2 3 29 2 9" xfId="28009" xr:uid="{00000000-0005-0000-0000-00004C6D0000}"/>
    <cellStyle name="Normal 2 3 29 3" xfId="28010" xr:uid="{00000000-0005-0000-0000-00004D6D0000}"/>
    <cellStyle name="Normal 2 3 29 3 10" xfId="28011" xr:uid="{00000000-0005-0000-0000-00004E6D0000}"/>
    <cellStyle name="Normal 2 3 29 3 2" xfId="28012" xr:uid="{00000000-0005-0000-0000-00004F6D0000}"/>
    <cellStyle name="Normal 2 3 29 3 3" xfId="28013" xr:uid="{00000000-0005-0000-0000-0000506D0000}"/>
    <cellStyle name="Normal 2 3 29 3 4" xfId="28014" xr:uid="{00000000-0005-0000-0000-0000516D0000}"/>
    <cellStyle name="Normal 2 3 29 3 5" xfId="28015" xr:uid="{00000000-0005-0000-0000-0000526D0000}"/>
    <cellStyle name="Normal 2 3 29 3 6" xfId="28016" xr:uid="{00000000-0005-0000-0000-0000536D0000}"/>
    <cellStyle name="Normal 2 3 29 3 7" xfId="28017" xr:uid="{00000000-0005-0000-0000-0000546D0000}"/>
    <cellStyle name="Normal 2 3 29 3 8" xfId="28018" xr:uid="{00000000-0005-0000-0000-0000556D0000}"/>
    <cellStyle name="Normal 2 3 29 3 9" xfId="28019" xr:uid="{00000000-0005-0000-0000-0000566D0000}"/>
    <cellStyle name="Normal 2 3 29 4" xfId="28020" xr:uid="{00000000-0005-0000-0000-0000576D0000}"/>
    <cellStyle name="Normal 2 3 29 4 10" xfId="28021" xr:uid="{00000000-0005-0000-0000-0000586D0000}"/>
    <cellStyle name="Normal 2 3 29 4 2" xfId="28022" xr:uid="{00000000-0005-0000-0000-0000596D0000}"/>
    <cellStyle name="Normal 2 3 29 4 3" xfId="28023" xr:uid="{00000000-0005-0000-0000-00005A6D0000}"/>
    <cellStyle name="Normal 2 3 29 4 4" xfId="28024" xr:uid="{00000000-0005-0000-0000-00005B6D0000}"/>
    <cellStyle name="Normal 2 3 29 4 5" xfId="28025" xr:uid="{00000000-0005-0000-0000-00005C6D0000}"/>
    <cellStyle name="Normal 2 3 29 4 6" xfId="28026" xr:uid="{00000000-0005-0000-0000-00005D6D0000}"/>
    <cellStyle name="Normal 2 3 29 4 7" xfId="28027" xr:uid="{00000000-0005-0000-0000-00005E6D0000}"/>
    <cellStyle name="Normal 2 3 29 4 8" xfId="28028" xr:uid="{00000000-0005-0000-0000-00005F6D0000}"/>
    <cellStyle name="Normal 2 3 29 4 9" xfId="28029" xr:uid="{00000000-0005-0000-0000-0000606D0000}"/>
    <cellStyle name="Normal 2 3 29 5" xfId="28030" xr:uid="{00000000-0005-0000-0000-0000616D0000}"/>
    <cellStyle name="Normal 2 3 29 5 10" xfId="28031" xr:uid="{00000000-0005-0000-0000-0000626D0000}"/>
    <cellStyle name="Normal 2 3 29 5 2" xfId="28032" xr:uid="{00000000-0005-0000-0000-0000636D0000}"/>
    <cellStyle name="Normal 2 3 29 5 3" xfId="28033" xr:uid="{00000000-0005-0000-0000-0000646D0000}"/>
    <cellStyle name="Normal 2 3 29 5 4" xfId="28034" xr:uid="{00000000-0005-0000-0000-0000656D0000}"/>
    <cellStyle name="Normal 2 3 29 5 5" xfId="28035" xr:uid="{00000000-0005-0000-0000-0000666D0000}"/>
    <cellStyle name="Normal 2 3 29 5 6" xfId="28036" xr:uid="{00000000-0005-0000-0000-0000676D0000}"/>
    <cellStyle name="Normal 2 3 29 5 7" xfId="28037" xr:uid="{00000000-0005-0000-0000-0000686D0000}"/>
    <cellStyle name="Normal 2 3 29 5 8" xfId="28038" xr:uid="{00000000-0005-0000-0000-0000696D0000}"/>
    <cellStyle name="Normal 2 3 29 5 9" xfId="28039" xr:uid="{00000000-0005-0000-0000-00006A6D0000}"/>
    <cellStyle name="Normal 2 3 29 6" xfId="28040" xr:uid="{00000000-0005-0000-0000-00006B6D0000}"/>
    <cellStyle name="Normal 2 3 29 7" xfId="28041" xr:uid="{00000000-0005-0000-0000-00006C6D0000}"/>
    <cellStyle name="Normal 2 3 29 8" xfId="28042" xr:uid="{00000000-0005-0000-0000-00006D6D0000}"/>
    <cellStyle name="Normal 2 3 29 9" xfId="28043" xr:uid="{00000000-0005-0000-0000-00006E6D0000}"/>
    <cellStyle name="Normal 2 3 3" xfId="28044" xr:uid="{00000000-0005-0000-0000-00006F6D0000}"/>
    <cellStyle name="Normal 2 3 3 10" xfId="28045" xr:uid="{00000000-0005-0000-0000-0000706D0000}"/>
    <cellStyle name="Normal 2 3 3 11" xfId="28046" xr:uid="{00000000-0005-0000-0000-0000716D0000}"/>
    <cellStyle name="Normal 2 3 3 12" xfId="28047" xr:uid="{00000000-0005-0000-0000-0000726D0000}"/>
    <cellStyle name="Normal 2 3 3 13" xfId="28048" xr:uid="{00000000-0005-0000-0000-0000736D0000}"/>
    <cellStyle name="Normal 2 3 3 14" xfId="28049" xr:uid="{00000000-0005-0000-0000-0000746D0000}"/>
    <cellStyle name="Normal 2 3 3 15" xfId="28050" xr:uid="{00000000-0005-0000-0000-0000756D0000}"/>
    <cellStyle name="Normal 2 3 3 16" xfId="28051" xr:uid="{00000000-0005-0000-0000-0000766D0000}"/>
    <cellStyle name="Normal 2 3 3 2" xfId="28052" xr:uid="{00000000-0005-0000-0000-0000776D0000}"/>
    <cellStyle name="Normal 2 3 3 2 10" xfId="28053" xr:uid="{00000000-0005-0000-0000-0000786D0000}"/>
    <cellStyle name="Normal 2 3 3 2 2" xfId="28054" xr:uid="{00000000-0005-0000-0000-0000796D0000}"/>
    <cellStyle name="Normal 2 3 3 2 3" xfId="28055" xr:uid="{00000000-0005-0000-0000-00007A6D0000}"/>
    <cellStyle name="Normal 2 3 3 2 4" xfId="28056" xr:uid="{00000000-0005-0000-0000-00007B6D0000}"/>
    <cellStyle name="Normal 2 3 3 2 5" xfId="28057" xr:uid="{00000000-0005-0000-0000-00007C6D0000}"/>
    <cellStyle name="Normal 2 3 3 2 6" xfId="28058" xr:uid="{00000000-0005-0000-0000-00007D6D0000}"/>
    <cellStyle name="Normal 2 3 3 2 7" xfId="28059" xr:uid="{00000000-0005-0000-0000-00007E6D0000}"/>
    <cellStyle name="Normal 2 3 3 2 8" xfId="28060" xr:uid="{00000000-0005-0000-0000-00007F6D0000}"/>
    <cellStyle name="Normal 2 3 3 2 9" xfId="28061" xr:uid="{00000000-0005-0000-0000-0000806D0000}"/>
    <cellStyle name="Normal 2 3 3 3" xfId="28062" xr:uid="{00000000-0005-0000-0000-0000816D0000}"/>
    <cellStyle name="Normal 2 3 3 3 10" xfId="28063" xr:uid="{00000000-0005-0000-0000-0000826D0000}"/>
    <cellStyle name="Normal 2 3 3 3 2" xfId="28064" xr:uid="{00000000-0005-0000-0000-0000836D0000}"/>
    <cellStyle name="Normal 2 3 3 3 3" xfId="28065" xr:uid="{00000000-0005-0000-0000-0000846D0000}"/>
    <cellStyle name="Normal 2 3 3 3 4" xfId="28066" xr:uid="{00000000-0005-0000-0000-0000856D0000}"/>
    <cellStyle name="Normal 2 3 3 3 5" xfId="28067" xr:uid="{00000000-0005-0000-0000-0000866D0000}"/>
    <cellStyle name="Normal 2 3 3 3 6" xfId="28068" xr:uid="{00000000-0005-0000-0000-0000876D0000}"/>
    <cellStyle name="Normal 2 3 3 3 7" xfId="28069" xr:uid="{00000000-0005-0000-0000-0000886D0000}"/>
    <cellStyle name="Normal 2 3 3 3 8" xfId="28070" xr:uid="{00000000-0005-0000-0000-0000896D0000}"/>
    <cellStyle name="Normal 2 3 3 3 9" xfId="28071" xr:uid="{00000000-0005-0000-0000-00008A6D0000}"/>
    <cellStyle name="Normal 2 3 3 4" xfId="28072" xr:uid="{00000000-0005-0000-0000-00008B6D0000}"/>
    <cellStyle name="Normal 2 3 3 4 10" xfId="28073" xr:uid="{00000000-0005-0000-0000-00008C6D0000}"/>
    <cellStyle name="Normal 2 3 3 4 2" xfId="28074" xr:uid="{00000000-0005-0000-0000-00008D6D0000}"/>
    <cellStyle name="Normal 2 3 3 4 3" xfId="28075" xr:uid="{00000000-0005-0000-0000-00008E6D0000}"/>
    <cellStyle name="Normal 2 3 3 4 4" xfId="28076" xr:uid="{00000000-0005-0000-0000-00008F6D0000}"/>
    <cellStyle name="Normal 2 3 3 4 5" xfId="28077" xr:uid="{00000000-0005-0000-0000-0000906D0000}"/>
    <cellStyle name="Normal 2 3 3 4 6" xfId="28078" xr:uid="{00000000-0005-0000-0000-0000916D0000}"/>
    <cellStyle name="Normal 2 3 3 4 7" xfId="28079" xr:uid="{00000000-0005-0000-0000-0000926D0000}"/>
    <cellStyle name="Normal 2 3 3 4 8" xfId="28080" xr:uid="{00000000-0005-0000-0000-0000936D0000}"/>
    <cellStyle name="Normal 2 3 3 4 9" xfId="28081" xr:uid="{00000000-0005-0000-0000-0000946D0000}"/>
    <cellStyle name="Normal 2 3 3 5" xfId="28082" xr:uid="{00000000-0005-0000-0000-0000956D0000}"/>
    <cellStyle name="Normal 2 3 3 5 10" xfId="28083" xr:uid="{00000000-0005-0000-0000-0000966D0000}"/>
    <cellStyle name="Normal 2 3 3 5 2" xfId="28084" xr:uid="{00000000-0005-0000-0000-0000976D0000}"/>
    <cellStyle name="Normal 2 3 3 5 3" xfId="28085" xr:uid="{00000000-0005-0000-0000-0000986D0000}"/>
    <cellStyle name="Normal 2 3 3 5 4" xfId="28086" xr:uid="{00000000-0005-0000-0000-0000996D0000}"/>
    <cellStyle name="Normal 2 3 3 5 5" xfId="28087" xr:uid="{00000000-0005-0000-0000-00009A6D0000}"/>
    <cellStyle name="Normal 2 3 3 5 6" xfId="28088" xr:uid="{00000000-0005-0000-0000-00009B6D0000}"/>
    <cellStyle name="Normal 2 3 3 5 7" xfId="28089" xr:uid="{00000000-0005-0000-0000-00009C6D0000}"/>
    <cellStyle name="Normal 2 3 3 5 8" xfId="28090" xr:uid="{00000000-0005-0000-0000-00009D6D0000}"/>
    <cellStyle name="Normal 2 3 3 5 9" xfId="28091" xr:uid="{00000000-0005-0000-0000-00009E6D0000}"/>
    <cellStyle name="Normal 2 3 3 6" xfId="28092" xr:uid="{00000000-0005-0000-0000-00009F6D0000}"/>
    <cellStyle name="Normal 2 3 3 7" xfId="28093" xr:uid="{00000000-0005-0000-0000-0000A06D0000}"/>
    <cellStyle name="Normal 2 3 3 8" xfId="28094" xr:uid="{00000000-0005-0000-0000-0000A16D0000}"/>
    <cellStyle name="Normal 2 3 3 9" xfId="28095" xr:uid="{00000000-0005-0000-0000-0000A26D0000}"/>
    <cellStyle name="Normal 2 3 30" xfId="28096" xr:uid="{00000000-0005-0000-0000-0000A36D0000}"/>
    <cellStyle name="Normal 2 3 30 10" xfId="28097" xr:uid="{00000000-0005-0000-0000-0000A46D0000}"/>
    <cellStyle name="Normal 2 3 30 11" xfId="28098" xr:uid="{00000000-0005-0000-0000-0000A56D0000}"/>
    <cellStyle name="Normal 2 3 30 12" xfId="28099" xr:uid="{00000000-0005-0000-0000-0000A66D0000}"/>
    <cellStyle name="Normal 2 3 30 13" xfId="28100" xr:uid="{00000000-0005-0000-0000-0000A76D0000}"/>
    <cellStyle name="Normal 2 3 30 14" xfId="28101" xr:uid="{00000000-0005-0000-0000-0000A86D0000}"/>
    <cellStyle name="Normal 2 3 30 2" xfId="28102" xr:uid="{00000000-0005-0000-0000-0000A96D0000}"/>
    <cellStyle name="Normal 2 3 30 2 10" xfId="28103" xr:uid="{00000000-0005-0000-0000-0000AA6D0000}"/>
    <cellStyle name="Normal 2 3 30 2 2" xfId="28104" xr:uid="{00000000-0005-0000-0000-0000AB6D0000}"/>
    <cellStyle name="Normal 2 3 30 2 3" xfId="28105" xr:uid="{00000000-0005-0000-0000-0000AC6D0000}"/>
    <cellStyle name="Normal 2 3 30 2 4" xfId="28106" xr:uid="{00000000-0005-0000-0000-0000AD6D0000}"/>
    <cellStyle name="Normal 2 3 30 2 5" xfId="28107" xr:uid="{00000000-0005-0000-0000-0000AE6D0000}"/>
    <cellStyle name="Normal 2 3 30 2 6" xfId="28108" xr:uid="{00000000-0005-0000-0000-0000AF6D0000}"/>
    <cellStyle name="Normal 2 3 30 2 7" xfId="28109" xr:uid="{00000000-0005-0000-0000-0000B06D0000}"/>
    <cellStyle name="Normal 2 3 30 2 8" xfId="28110" xr:uid="{00000000-0005-0000-0000-0000B16D0000}"/>
    <cellStyle name="Normal 2 3 30 2 9" xfId="28111" xr:uid="{00000000-0005-0000-0000-0000B26D0000}"/>
    <cellStyle name="Normal 2 3 30 3" xfId="28112" xr:uid="{00000000-0005-0000-0000-0000B36D0000}"/>
    <cellStyle name="Normal 2 3 30 3 10" xfId="28113" xr:uid="{00000000-0005-0000-0000-0000B46D0000}"/>
    <cellStyle name="Normal 2 3 30 3 2" xfId="28114" xr:uid="{00000000-0005-0000-0000-0000B56D0000}"/>
    <cellStyle name="Normal 2 3 30 3 3" xfId="28115" xr:uid="{00000000-0005-0000-0000-0000B66D0000}"/>
    <cellStyle name="Normal 2 3 30 3 4" xfId="28116" xr:uid="{00000000-0005-0000-0000-0000B76D0000}"/>
    <cellStyle name="Normal 2 3 30 3 5" xfId="28117" xr:uid="{00000000-0005-0000-0000-0000B86D0000}"/>
    <cellStyle name="Normal 2 3 30 3 6" xfId="28118" xr:uid="{00000000-0005-0000-0000-0000B96D0000}"/>
    <cellStyle name="Normal 2 3 30 3 7" xfId="28119" xr:uid="{00000000-0005-0000-0000-0000BA6D0000}"/>
    <cellStyle name="Normal 2 3 30 3 8" xfId="28120" xr:uid="{00000000-0005-0000-0000-0000BB6D0000}"/>
    <cellStyle name="Normal 2 3 30 3 9" xfId="28121" xr:uid="{00000000-0005-0000-0000-0000BC6D0000}"/>
    <cellStyle name="Normal 2 3 30 4" xfId="28122" xr:uid="{00000000-0005-0000-0000-0000BD6D0000}"/>
    <cellStyle name="Normal 2 3 30 4 10" xfId="28123" xr:uid="{00000000-0005-0000-0000-0000BE6D0000}"/>
    <cellStyle name="Normal 2 3 30 4 2" xfId="28124" xr:uid="{00000000-0005-0000-0000-0000BF6D0000}"/>
    <cellStyle name="Normal 2 3 30 4 3" xfId="28125" xr:uid="{00000000-0005-0000-0000-0000C06D0000}"/>
    <cellStyle name="Normal 2 3 30 4 4" xfId="28126" xr:uid="{00000000-0005-0000-0000-0000C16D0000}"/>
    <cellStyle name="Normal 2 3 30 4 5" xfId="28127" xr:uid="{00000000-0005-0000-0000-0000C26D0000}"/>
    <cellStyle name="Normal 2 3 30 4 6" xfId="28128" xr:uid="{00000000-0005-0000-0000-0000C36D0000}"/>
    <cellStyle name="Normal 2 3 30 4 7" xfId="28129" xr:uid="{00000000-0005-0000-0000-0000C46D0000}"/>
    <cellStyle name="Normal 2 3 30 4 8" xfId="28130" xr:uid="{00000000-0005-0000-0000-0000C56D0000}"/>
    <cellStyle name="Normal 2 3 30 4 9" xfId="28131" xr:uid="{00000000-0005-0000-0000-0000C66D0000}"/>
    <cellStyle name="Normal 2 3 30 5" xfId="28132" xr:uid="{00000000-0005-0000-0000-0000C76D0000}"/>
    <cellStyle name="Normal 2 3 30 5 10" xfId="28133" xr:uid="{00000000-0005-0000-0000-0000C86D0000}"/>
    <cellStyle name="Normal 2 3 30 5 2" xfId="28134" xr:uid="{00000000-0005-0000-0000-0000C96D0000}"/>
    <cellStyle name="Normal 2 3 30 5 3" xfId="28135" xr:uid="{00000000-0005-0000-0000-0000CA6D0000}"/>
    <cellStyle name="Normal 2 3 30 5 4" xfId="28136" xr:uid="{00000000-0005-0000-0000-0000CB6D0000}"/>
    <cellStyle name="Normal 2 3 30 5 5" xfId="28137" xr:uid="{00000000-0005-0000-0000-0000CC6D0000}"/>
    <cellStyle name="Normal 2 3 30 5 6" xfId="28138" xr:uid="{00000000-0005-0000-0000-0000CD6D0000}"/>
    <cellStyle name="Normal 2 3 30 5 7" xfId="28139" xr:uid="{00000000-0005-0000-0000-0000CE6D0000}"/>
    <cellStyle name="Normal 2 3 30 5 8" xfId="28140" xr:uid="{00000000-0005-0000-0000-0000CF6D0000}"/>
    <cellStyle name="Normal 2 3 30 5 9" xfId="28141" xr:uid="{00000000-0005-0000-0000-0000D06D0000}"/>
    <cellStyle name="Normal 2 3 30 6" xfId="28142" xr:uid="{00000000-0005-0000-0000-0000D16D0000}"/>
    <cellStyle name="Normal 2 3 30 7" xfId="28143" xr:uid="{00000000-0005-0000-0000-0000D26D0000}"/>
    <cellStyle name="Normal 2 3 30 8" xfId="28144" xr:uid="{00000000-0005-0000-0000-0000D36D0000}"/>
    <cellStyle name="Normal 2 3 30 9" xfId="28145" xr:uid="{00000000-0005-0000-0000-0000D46D0000}"/>
    <cellStyle name="Normal 2 3 31" xfId="28146" xr:uid="{00000000-0005-0000-0000-0000D56D0000}"/>
    <cellStyle name="Normal 2 3 31 10" xfId="28147" xr:uid="{00000000-0005-0000-0000-0000D66D0000}"/>
    <cellStyle name="Normal 2 3 31 11" xfId="28148" xr:uid="{00000000-0005-0000-0000-0000D76D0000}"/>
    <cellStyle name="Normal 2 3 31 12" xfId="28149" xr:uid="{00000000-0005-0000-0000-0000D86D0000}"/>
    <cellStyle name="Normal 2 3 31 13" xfId="28150" xr:uid="{00000000-0005-0000-0000-0000D96D0000}"/>
    <cellStyle name="Normal 2 3 31 14" xfId="28151" xr:uid="{00000000-0005-0000-0000-0000DA6D0000}"/>
    <cellStyle name="Normal 2 3 31 2" xfId="28152" xr:uid="{00000000-0005-0000-0000-0000DB6D0000}"/>
    <cellStyle name="Normal 2 3 31 2 10" xfId="28153" xr:uid="{00000000-0005-0000-0000-0000DC6D0000}"/>
    <cellStyle name="Normal 2 3 31 2 2" xfId="28154" xr:uid="{00000000-0005-0000-0000-0000DD6D0000}"/>
    <cellStyle name="Normal 2 3 31 2 3" xfId="28155" xr:uid="{00000000-0005-0000-0000-0000DE6D0000}"/>
    <cellStyle name="Normal 2 3 31 2 4" xfId="28156" xr:uid="{00000000-0005-0000-0000-0000DF6D0000}"/>
    <cellStyle name="Normal 2 3 31 2 5" xfId="28157" xr:uid="{00000000-0005-0000-0000-0000E06D0000}"/>
    <cellStyle name="Normal 2 3 31 2 6" xfId="28158" xr:uid="{00000000-0005-0000-0000-0000E16D0000}"/>
    <cellStyle name="Normal 2 3 31 2 7" xfId="28159" xr:uid="{00000000-0005-0000-0000-0000E26D0000}"/>
    <cellStyle name="Normal 2 3 31 2 8" xfId="28160" xr:uid="{00000000-0005-0000-0000-0000E36D0000}"/>
    <cellStyle name="Normal 2 3 31 2 9" xfId="28161" xr:uid="{00000000-0005-0000-0000-0000E46D0000}"/>
    <cellStyle name="Normal 2 3 31 3" xfId="28162" xr:uid="{00000000-0005-0000-0000-0000E56D0000}"/>
    <cellStyle name="Normal 2 3 31 3 10" xfId="28163" xr:uid="{00000000-0005-0000-0000-0000E66D0000}"/>
    <cellStyle name="Normal 2 3 31 3 2" xfId="28164" xr:uid="{00000000-0005-0000-0000-0000E76D0000}"/>
    <cellStyle name="Normal 2 3 31 3 3" xfId="28165" xr:uid="{00000000-0005-0000-0000-0000E86D0000}"/>
    <cellStyle name="Normal 2 3 31 3 4" xfId="28166" xr:uid="{00000000-0005-0000-0000-0000E96D0000}"/>
    <cellStyle name="Normal 2 3 31 3 5" xfId="28167" xr:uid="{00000000-0005-0000-0000-0000EA6D0000}"/>
    <cellStyle name="Normal 2 3 31 3 6" xfId="28168" xr:uid="{00000000-0005-0000-0000-0000EB6D0000}"/>
    <cellStyle name="Normal 2 3 31 3 7" xfId="28169" xr:uid="{00000000-0005-0000-0000-0000EC6D0000}"/>
    <cellStyle name="Normal 2 3 31 3 8" xfId="28170" xr:uid="{00000000-0005-0000-0000-0000ED6D0000}"/>
    <cellStyle name="Normal 2 3 31 3 9" xfId="28171" xr:uid="{00000000-0005-0000-0000-0000EE6D0000}"/>
    <cellStyle name="Normal 2 3 31 4" xfId="28172" xr:uid="{00000000-0005-0000-0000-0000EF6D0000}"/>
    <cellStyle name="Normal 2 3 31 4 10" xfId="28173" xr:uid="{00000000-0005-0000-0000-0000F06D0000}"/>
    <cellStyle name="Normal 2 3 31 4 2" xfId="28174" xr:uid="{00000000-0005-0000-0000-0000F16D0000}"/>
    <cellStyle name="Normal 2 3 31 4 3" xfId="28175" xr:uid="{00000000-0005-0000-0000-0000F26D0000}"/>
    <cellStyle name="Normal 2 3 31 4 4" xfId="28176" xr:uid="{00000000-0005-0000-0000-0000F36D0000}"/>
    <cellStyle name="Normal 2 3 31 4 5" xfId="28177" xr:uid="{00000000-0005-0000-0000-0000F46D0000}"/>
    <cellStyle name="Normal 2 3 31 4 6" xfId="28178" xr:uid="{00000000-0005-0000-0000-0000F56D0000}"/>
    <cellStyle name="Normal 2 3 31 4 7" xfId="28179" xr:uid="{00000000-0005-0000-0000-0000F66D0000}"/>
    <cellStyle name="Normal 2 3 31 4 8" xfId="28180" xr:uid="{00000000-0005-0000-0000-0000F76D0000}"/>
    <cellStyle name="Normal 2 3 31 4 9" xfId="28181" xr:uid="{00000000-0005-0000-0000-0000F86D0000}"/>
    <cellStyle name="Normal 2 3 31 5" xfId="28182" xr:uid="{00000000-0005-0000-0000-0000F96D0000}"/>
    <cellStyle name="Normal 2 3 31 5 10" xfId="28183" xr:uid="{00000000-0005-0000-0000-0000FA6D0000}"/>
    <cellStyle name="Normal 2 3 31 5 2" xfId="28184" xr:uid="{00000000-0005-0000-0000-0000FB6D0000}"/>
    <cellStyle name="Normal 2 3 31 5 3" xfId="28185" xr:uid="{00000000-0005-0000-0000-0000FC6D0000}"/>
    <cellStyle name="Normal 2 3 31 5 4" xfId="28186" xr:uid="{00000000-0005-0000-0000-0000FD6D0000}"/>
    <cellStyle name="Normal 2 3 31 5 5" xfId="28187" xr:uid="{00000000-0005-0000-0000-0000FE6D0000}"/>
    <cellStyle name="Normal 2 3 31 5 6" xfId="28188" xr:uid="{00000000-0005-0000-0000-0000FF6D0000}"/>
    <cellStyle name="Normal 2 3 31 5 7" xfId="28189" xr:uid="{00000000-0005-0000-0000-0000006E0000}"/>
    <cellStyle name="Normal 2 3 31 5 8" xfId="28190" xr:uid="{00000000-0005-0000-0000-0000016E0000}"/>
    <cellStyle name="Normal 2 3 31 5 9" xfId="28191" xr:uid="{00000000-0005-0000-0000-0000026E0000}"/>
    <cellStyle name="Normal 2 3 31 6" xfId="28192" xr:uid="{00000000-0005-0000-0000-0000036E0000}"/>
    <cellStyle name="Normal 2 3 31 7" xfId="28193" xr:uid="{00000000-0005-0000-0000-0000046E0000}"/>
    <cellStyle name="Normal 2 3 31 8" xfId="28194" xr:uid="{00000000-0005-0000-0000-0000056E0000}"/>
    <cellStyle name="Normal 2 3 31 9" xfId="28195" xr:uid="{00000000-0005-0000-0000-0000066E0000}"/>
    <cellStyle name="Normal 2 3 32" xfId="28196" xr:uid="{00000000-0005-0000-0000-0000076E0000}"/>
    <cellStyle name="Normal 2 3 32 10" xfId="28197" xr:uid="{00000000-0005-0000-0000-0000086E0000}"/>
    <cellStyle name="Normal 2 3 32 11" xfId="28198" xr:uid="{00000000-0005-0000-0000-0000096E0000}"/>
    <cellStyle name="Normal 2 3 32 12" xfId="28199" xr:uid="{00000000-0005-0000-0000-00000A6E0000}"/>
    <cellStyle name="Normal 2 3 32 13" xfId="28200" xr:uid="{00000000-0005-0000-0000-00000B6E0000}"/>
    <cellStyle name="Normal 2 3 32 14" xfId="28201" xr:uid="{00000000-0005-0000-0000-00000C6E0000}"/>
    <cellStyle name="Normal 2 3 32 2" xfId="28202" xr:uid="{00000000-0005-0000-0000-00000D6E0000}"/>
    <cellStyle name="Normal 2 3 32 2 10" xfId="28203" xr:uid="{00000000-0005-0000-0000-00000E6E0000}"/>
    <cellStyle name="Normal 2 3 32 2 2" xfId="28204" xr:uid="{00000000-0005-0000-0000-00000F6E0000}"/>
    <cellStyle name="Normal 2 3 32 2 3" xfId="28205" xr:uid="{00000000-0005-0000-0000-0000106E0000}"/>
    <cellStyle name="Normal 2 3 32 2 4" xfId="28206" xr:uid="{00000000-0005-0000-0000-0000116E0000}"/>
    <cellStyle name="Normal 2 3 32 2 5" xfId="28207" xr:uid="{00000000-0005-0000-0000-0000126E0000}"/>
    <cellStyle name="Normal 2 3 32 2 6" xfId="28208" xr:uid="{00000000-0005-0000-0000-0000136E0000}"/>
    <cellStyle name="Normal 2 3 32 2 7" xfId="28209" xr:uid="{00000000-0005-0000-0000-0000146E0000}"/>
    <cellStyle name="Normal 2 3 32 2 8" xfId="28210" xr:uid="{00000000-0005-0000-0000-0000156E0000}"/>
    <cellStyle name="Normal 2 3 32 2 9" xfId="28211" xr:uid="{00000000-0005-0000-0000-0000166E0000}"/>
    <cellStyle name="Normal 2 3 32 3" xfId="28212" xr:uid="{00000000-0005-0000-0000-0000176E0000}"/>
    <cellStyle name="Normal 2 3 32 3 10" xfId="28213" xr:uid="{00000000-0005-0000-0000-0000186E0000}"/>
    <cellStyle name="Normal 2 3 32 3 2" xfId="28214" xr:uid="{00000000-0005-0000-0000-0000196E0000}"/>
    <cellStyle name="Normal 2 3 32 3 3" xfId="28215" xr:uid="{00000000-0005-0000-0000-00001A6E0000}"/>
    <cellStyle name="Normal 2 3 32 3 4" xfId="28216" xr:uid="{00000000-0005-0000-0000-00001B6E0000}"/>
    <cellStyle name="Normal 2 3 32 3 5" xfId="28217" xr:uid="{00000000-0005-0000-0000-00001C6E0000}"/>
    <cellStyle name="Normal 2 3 32 3 6" xfId="28218" xr:uid="{00000000-0005-0000-0000-00001D6E0000}"/>
    <cellStyle name="Normal 2 3 32 3 7" xfId="28219" xr:uid="{00000000-0005-0000-0000-00001E6E0000}"/>
    <cellStyle name="Normal 2 3 32 3 8" xfId="28220" xr:uid="{00000000-0005-0000-0000-00001F6E0000}"/>
    <cellStyle name="Normal 2 3 32 3 9" xfId="28221" xr:uid="{00000000-0005-0000-0000-0000206E0000}"/>
    <cellStyle name="Normal 2 3 32 4" xfId="28222" xr:uid="{00000000-0005-0000-0000-0000216E0000}"/>
    <cellStyle name="Normal 2 3 32 4 10" xfId="28223" xr:uid="{00000000-0005-0000-0000-0000226E0000}"/>
    <cellStyle name="Normal 2 3 32 4 2" xfId="28224" xr:uid="{00000000-0005-0000-0000-0000236E0000}"/>
    <cellStyle name="Normal 2 3 32 4 3" xfId="28225" xr:uid="{00000000-0005-0000-0000-0000246E0000}"/>
    <cellStyle name="Normal 2 3 32 4 4" xfId="28226" xr:uid="{00000000-0005-0000-0000-0000256E0000}"/>
    <cellStyle name="Normal 2 3 32 4 5" xfId="28227" xr:uid="{00000000-0005-0000-0000-0000266E0000}"/>
    <cellStyle name="Normal 2 3 32 4 6" xfId="28228" xr:uid="{00000000-0005-0000-0000-0000276E0000}"/>
    <cellStyle name="Normal 2 3 32 4 7" xfId="28229" xr:uid="{00000000-0005-0000-0000-0000286E0000}"/>
    <cellStyle name="Normal 2 3 32 4 8" xfId="28230" xr:uid="{00000000-0005-0000-0000-0000296E0000}"/>
    <cellStyle name="Normal 2 3 32 4 9" xfId="28231" xr:uid="{00000000-0005-0000-0000-00002A6E0000}"/>
    <cellStyle name="Normal 2 3 32 5" xfId="28232" xr:uid="{00000000-0005-0000-0000-00002B6E0000}"/>
    <cellStyle name="Normal 2 3 32 5 10" xfId="28233" xr:uid="{00000000-0005-0000-0000-00002C6E0000}"/>
    <cellStyle name="Normal 2 3 32 5 2" xfId="28234" xr:uid="{00000000-0005-0000-0000-00002D6E0000}"/>
    <cellStyle name="Normal 2 3 32 5 3" xfId="28235" xr:uid="{00000000-0005-0000-0000-00002E6E0000}"/>
    <cellStyle name="Normal 2 3 32 5 4" xfId="28236" xr:uid="{00000000-0005-0000-0000-00002F6E0000}"/>
    <cellStyle name="Normal 2 3 32 5 5" xfId="28237" xr:uid="{00000000-0005-0000-0000-0000306E0000}"/>
    <cellStyle name="Normal 2 3 32 5 6" xfId="28238" xr:uid="{00000000-0005-0000-0000-0000316E0000}"/>
    <cellStyle name="Normal 2 3 32 5 7" xfId="28239" xr:uid="{00000000-0005-0000-0000-0000326E0000}"/>
    <cellStyle name="Normal 2 3 32 5 8" xfId="28240" xr:uid="{00000000-0005-0000-0000-0000336E0000}"/>
    <cellStyle name="Normal 2 3 32 5 9" xfId="28241" xr:uid="{00000000-0005-0000-0000-0000346E0000}"/>
    <cellStyle name="Normal 2 3 32 6" xfId="28242" xr:uid="{00000000-0005-0000-0000-0000356E0000}"/>
    <cellStyle name="Normal 2 3 32 7" xfId="28243" xr:uid="{00000000-0005-0000-0000-0000366E0000}"/>
    <cellStyle name="Normal 2 3 32 8" xfId="28244" xr:uid="{00000000-0005-0000-0000-0000376E0000}"/>
    <cellStyle name="Normal 2 3 32 9" xfId="28245" xr:uid="{00000000-0005-0000-0000-0000386E0000}"/>
    <cellStyle name="Normal 2 3 33" xfId="28246" xr:uid="{00000000-0005-0000-0000-0000396E0000}"/>
    <cellStyle name="Normal 2 3 33 10" xfId="28247" xr:uid="{00000000-0005-0000-0000-00003A6E0000}"/>
    <cellStyle name="Normal 2 3 33 11" xfId="28248" xr:uid="{00000000-0005-0000-0000-00003B6E0000}"/>
    <cellStyle name="Normal 2 3 33 12" xfId="28249" xr:uid="{00000000-0005-0000-0000-00003C6E0000}"/>
    <cellStyle name="Normal 2 3 33 13" xfId="28250" xr:uid="{00000000-0005-0000-0000-00003D6E0000}"/>
    <cellStyle name="Normal 2 3 33 14" xfId="28251" xr:uid="{00000000-0005-0000-0000-00003E6E0000}"/>
    <cellStyle name="Normal 2 3 33 2" xfId="28252" xr:uid="{00000000-0005-0000-0000-00003F6E0000}"/>
    <cellStyle name="Normal 2 3 33 2 10" xfId="28253" xr:uid="{00000000-0005-0000-0000-0000406E0000}"/>
    <cellStyle name="Normal 2 3 33 2 2" xfId="28254" xr:uid="{00000000-0005-0000-0000-0000416E0000}"/>
    <cellStyle name="Normal 2 3 33 2 3" xfId="28255" xr:uid="{00000000-0005-0000-0000-0000426E0000}"/>
    <cellStyle name="Normal 2 3 33 2 4" xfId="28256" xr:uid="{00000000-0005-0000-0000-0000436E0000}"/>
    <cellStyle name="Normal 2 3 33 2 5" xfId="28257" xr:uid="{00000000-0005-0000-0000-0000446E0000}"/>
    <cellStyle name="Normal 2 3 33 2 6" xfId="28258" xr:uid="{00000000-0005-0000-0000-0000456E0000}"/>
    <cellStyle name="Normal 2 3 33 2 7" xfId="28259" xr:uid="{00000000-0005-0000-0000-0000466E0000}"/>
    <cellStyle name="Normal 2 3 33 2 8" xfId="28260" xr:uid="{00000000-0005-0000-0000-0000476E0000}"/>
    <cellStyle name="Normal 2 3 33 2 9" xfId="28261" xr:uid="{00000000-0005-0000-0000-0000486E0000}"/>
    <cellStyle name="Normal 2 3 33 3" xfId="28262" xr:uid="{00000000-0005-0000-0000-0000496E0000}"/>
    <cellStyle name="Normal 2 3 33 3 10" xfId="28263" xr:uid="{00000000-0005-0000-0000-00004A6E0000}"/>
    <cellStyle name="Normal 2 3 33 3 2" xfId="28264" xr:uid="{00000000-0005-0000-0000-00004B6E0000}"/>
    <cellStyle name="Normal 2 3 33 3 3" xfId="28265" xr:uid="{00000000-0005-0000-0000-00004C6E0000}"/>
    <cellStyle name="Normal 2 3 33 3 4" xfId="28266" xr:uid="{00000000-0005-0000-0000-00004D6E0000}"/>
    <cellStyle name="Normal 2 3 33 3 5" xfId="28267" xr:uid="{00000000-0005-0000-0000-00004E6E0000}"/>
    <cellStyle name="Normal 2 3 33 3 6" xfId="28268" xr:uid="{00000000-0005-0000-0000-00004F6E0000}"/>
    <cellStyle name="Normal 2 3 33 3 7" xfId="28269" xr:uid="{00000000-0005-0000-0000-0000506E0000}"/>
    <cellStyle name="Normal 2 3 33 3 8" xfId="28270" xr:uid="{00000000-0005-0000-0000-0000516E0000}"/>
    <cellStyle name="Normal 2 3 33 3 9" xfId="28271" xr:uid="{00000000-0005-0000-0000-0000526E0000}"/>
    <cellStyle name="Normal 2 3 33 4" xfId="28272" xr:uid="{00000000-0005-0000-0000-0000536E0000}"/>
    <cellStyle name="Normal 2 3 33 4 10" xfId="28273" xr:uid="{00000000-0005-0000-0000-0000546E0000}"/>
    <cellStyle name="Normal 2 3 33 4 2" xfId="28274" xr:uid="{00000000-0005-0000-0000-0000556E0000}"/>
    <cellStyle name="Normal 2 3 33 4 3" xfId="28275" xr:uid="{00000000-0005-0000-0000-0000566E0000}"/>
    <cellStyle name="Normal 2 3 33 4 4" xfId="28276" xr:uid="{00000000-0005-0000-0000-0000576E0000}"/>
    <cellStyle name="Normal 2 3 33 4 5" xfId="28277" xr:uid="{00000000-0005-0000-0000-0000586E0000}"/>
    <cellStyle name="Normal 2 3 33 4 6" xfId="28278" xr:uid="{00000000-0005-0000-0000-0000596E0000}"/>
    <cellStyle name="Normal 2 3 33 4 7" xfId="28279" xr:uid="{00000000-0005-0000-0000-00005A6E0000}"/>
    <cellStyle name="Normal 2 3 33 4 8" xfId="28280" xr:uid="{00000000-0005-0000-0000-00005B6E0000}"/>
    <cellStyle name="Normal 2 3 33 4 9" xfId="28281" xr:uid="{00000000-0005-0000-0000-00005C6E0000}"/>
    <cellStyle name="Normal 2 3 33 5" xfId="28282" xr:uid="{00000000-0005-0000-0000-00005D6E0000}"/>
    <cellStyle name="Normal 2 3 33 5 10" xfId="28283" xr:uid="{00000000-0005-0000-0000-00005E6E0000}"/>
    <cellStyle name="Normal 2 3 33 5 2" xfId="28284" xr:uid="{00000000-0005-0000-0000-00005F6E0000}"/>
    <cellStyle name="Normal 2 3 33 5 3" xfId="28285" xr:uid="{00000000-0005-0000-0000-0000606E0000}"/>
    <cellStyle name="Normal 2 3 33 5 4" xfId="28286" xr:uid="{00000000-0005-0000-0000-0000616E0000}"/>
    <cellStyle name="Normal 2 3 33 5 5" xfId="28287" xr:uid="{00000000-0005-0000-0000-0000626E0000}"/>
    <cellStyle name="Normal 2 3 33 5 6" xfId="28288" xr:uid="{00000000-0005-0000-0000-0000636E0000}"/>
    <cellStyle name="Normal 2 3 33 5 7" xfId="28289" xr:uid="{00000000-0005-0000-0000-0000646E0000}"/>
    <cellStyle name="Normal 2 3 33 5 8" xfId="28290" xr:uid="{00000000-0005-0000-0000-0000656E0000}"/>
    <cellStyle name="Normal 2 3 33 5 9" xfId="28291" xr:uid="{00000000-0005-0000-0000-0000666E0000}"/>
    <cellStyle name="Normal 2 3 33 6" xfId="28292" xr:uid="{00000000-0005-0000-0000-0000676E0000}"/>
    <cellStyle name="Normal 2 3 33 7" xfId="28293" xr:uid="{00000000-0005-0000-0000-0000686E0000}"/>
    <cellStyle name="Normal 2 3 33 8" xfId="28294" xr:uid="{00000000-0005-0000-0000-0000696E0000}"/>
    <cellStyle name="Normal 2 3 33 9" xfId="28295" xr:uid="{00000000-0005-0000-0000-00006A6E0000}"/>
    <cellStyle name="Normal 2 3 34" xfId="28296" xr:uid="{00000000-0005-0000-0000-00006B6E0000}"/>
    <cellStyle name="Normal 2 3 34 10" xfId="28297" xr:uid="{00000000-0005-0000-0000-00006C6E0000}"/>
    <cellStyle name="Normal 2 3 34 11" xfId="28298" xr:uid="{00000000-0005-0000-0000-00006D6E0000}"/>
    <cellStyle name="Normal 2 3 34 12" xfId="28299" xr:uid="{00000000-0005-0000-0000-00006E6E0000}"/>
    <cellStyle name="Normal 2 3 34 13" xfId="28300" xr:uid="{00000000-0005-0000-0000-00006F6E0000}"/>
    <cellStyle name="Normal 2 3 34 14" xfId="28301" xr:uid="{00000000-0005-0000-0000-0000706E0000}"/>
    <cellStyle name="Normal 2 3 34 2" xfId="28302" xr:uid="{00000000-0005-0000-0000-0000716E0000}"/>
    <cellStyle name="Normal 2 3 34 2 10" xfId="28303" xr:uid="{00000000-0005-0000-0000-0000726E0000}"/>
    <cellStyle name="Normal 2 3 34 2 2" xfId="28304" xr:uid="{00000000-0005-0000-0000-0000736E0000}"/>
    <cellStyle name="Normal 2 3 34 2 3" xfId="28305" xr:uid="{00000000-0005-0000-0000-0000746E0000}"/>
    <cellStyle name="Normal 2 3 34 2 4" xfId="28306" xr:uid="{00000000-0005-0000-0000-0000756E0000}"/>
    <cellStyle name="Normal 2 3 34 2 5" xfId="28307" xr:uid="{00000000-0005-0000-0000-0000766E0000}"/>
    <cellStyle name="Normal 2 3 34 2 6" xfId="28308" xr:uid="{00000000-0005-0000-0000-0000776E0000}"/>
    <cellStyle name="Normal 2 3 34 2 7" xfId="28309" xr:uid="{00000000-0005-0000-0000-0000786E0000}"/>
    <cellStyle name="Normal 2 3 34 2 8" xfId="28310" xr:uid="{00000000-0005-0000-0000-0000796E0000}"/>
    <cellStyle name="Normal 2 3 34 2 9" xfId="28311" xr:uid="{00000000-0005-0000-0000-00007A6E0000}"/>
    <cellStyle name="Normal 2 3 34 3" xfId="28312" xr:uid="{00000000-0005-0000-0000-00007B6E0000}"/>
    <cellStyle name="Normal 2 3 34 3 10" xfId="28313" xr:uid="{00000000-0005-0000-0000-00007C6E0000}"/>
    <cellStyle name="Normal 2 3 34 3 2" xfId="28314" xr:uid="{00000000-0005-0000-0000-00007D6E0000}"/>
    <cellStyle name="Normal 2 3 34 3 3" xfId="28315" xr:uid="{00000000-0005-0000-0000-00007E6E0000}"/>
    <cellStyle name="Normal 2 3 34 3 4" xfId="28316" xr:uid="{00000000-0005-0000-0000-00007F6E0000}"/>
    <cellStyle name="Normal 2 3 34 3 5" xfId="28317" xr:uid="{00000000-0005-0000-0000-0000806E0000}"/>
    <cellStyle name="Normal 2 3 34 3 6" xfId="28318" xr:uid="{00000000-0005-0000-0000-0000816E0000}"/>
    <cellStyle name="Normal 2 3 34 3 7" xfId="28319" xr:uid="{00000000-0005-0000-0000-0000826E0000}"/>
    <cellStyle name="Normal 2 3 34 3 8" xfId="28320" xr:uid="{00000000-0005-0000-0000-0000836E0000}"/>
    <cellStyle name="Normal 2 3 34 3 9" xfId="28321" xr:uid="{00000000-0005-0000-0000-0000846E0000}"/>
    <cellStyle name="Normal 2 3 34 4" xfId="28322" xr:uid="{00000000-0005-0000-0000-0000856E0000}"/>
    <cellStyle name="Normal 2 3 34 4 10" xfId="28323" xr:uid="{00000000-0005-0000-0000-0000866E0000}"/>
    <cellStyle name="Normal 2 3 34 4 2" xfId="28324" xr:uid="{00000000-0005-0000-0000-0000876E0000}"/>
    <cellStyle name="Normal 2 3 34 4 3" xfId="28325" xr:uid="{00000000-0005-0000-0000-0000886E0000}"/>
    <cellStyle name="Normal 2 3 34 4 4" xfId="28326" xr:uid="{00000000-0005-0000-0000-0000896E0000}"/>
    <cellStyle name="Normal 2 3 34 4 5" xfId="28327" xr:uid="{00000000-0005-0000-0000-00008A6E0000}"/>
    <cellStyle name="Normal 2 3 34 4 6" xfId="28328" xr:uid="{00000000-0005-0000-0000-00008B6E0000}"/>
    <cellStyle name="Normal 2 3 34 4 7" xfId="28329" xr:uid="{00000000-0005-0000-0000-00008C6E0000}"/>
    <cellStyle name="Normal 2 3 34 4 8" xfId="28330" xr:uid="{00000000-0005-0000-0000-00008D6E0000}"/>
    <cellStyle name="Normal 2 3 34 4 9" xfId="28331" xr:uid="{00000000-0005-0000-0000-00008E6E0000}"/>
    <cellStyle name="Normal 2 3 34 5" xfId="28332" xr:uid="{00000000-0005-0000-0000-00008F6E0000}"/>
    <cellStyle name="Normal 2 3 34 5 10" xfId="28333" xr:uid="{00000000-0005-0000-0000-0000906E0000}"/>
    <cellStyle name="Normal 2 3 34 5 2" xfId="28334" xr:uid="{00000000-0005-0000-0000-0000916E0000}"/>
    <cellStyle name="Normal 2 3 34 5 3" xfId="28335" xr:uid="{00000000-0005-0000-0000-0000926E0000}"/>
    <cellStyle name="Normal 2 3 34 5 4" xfId="28336" xr:uid="{00000000-0005-0000-0000-0000936E0000}"/>
    <cellStyle name="Normal 2 3 34 5 5" xfId="28337" xr:uid="{00000000-0005-0000-0000-0000946E0000}"/>
    <cellStyle name="Normal 2 3 34 5 6" xfId="28338" xr:uid="{00000000-0005-0000-0000-0000956E0000}"/>
    <cellStyle name="Normal 2 3 34 5 7" xfId="28339" xr:uid="{00000000-0005-0000-0000-0000966E0000}"/>
    <cellStyle name="Normal 2 3 34 5 8" xfId="28340" xr:uid="{00000000-0005-0000-0000-0000976E0000}"/>
    <cellStyle name="Normal 2 3 34 5 9" xfId="28341" xr:uid="{00000000-0005-0000-0000-0000986E0000}"/>
    <cellStyle name="Normal 2 3 34 6" xfId="28342" xr:uid="{00000000-0005-0000-0000-0000996E0000}"/>
    <cellStyle name="Normal 2 3 34 7" xfId="28343" xr:uid="{00000000-0005-0000-0000-00009A6E0000}"/>
    <cellStyle name="Normal 2 3 34 8" xfId="28344" xr:uid="{00000000-0005-0000-0000-00009B6E0000}"/>
    <cellStyle name="Normal 2 3 34 9" xfId="28345" xr:uid="{00000000-0005-0000-0000-00009C6E0000}"/>
    <cellStyle name="Normal 2 3 35" xfId="28346" xr:uid="{00000000-0005-0000-0000-00009D6E0000}"/>
    <cellStyle name="Normal 2 3 35 10" xfId="28347" xr:uid="{00000000-0005-0000-0000-00009E6E0000}"/>
    <cellStyle name="Normal 2 3 35 2" xfId="28348" xr:uid="{00000000-0005-0000-0000-00009F6E0000}"/>
    <cellStyle name="Normal 2 3 35 3" xfId="28349" xr:uid="{00000000-0005-0000-0000-0000A06E0000}"/>
    <cellStyle name="Normal 2 3 35 4" xfId="28350" xr:uid="{00000000-0005-0000-0000-0000A16E0000}"/>
    <cellStyle name="Normal 2 3 35 5" xfId="28351" xr:uid="{00000000-0005-0000-0000-0000A26E0000}"/>
    <cellStyle name="Normal 2 3 35 6" xfId="28352" xr:uid="{00000000-0005-0000-0000-0000A36E0000}"/>
    <cellStyle name="Normal 2 3 35 7" xfId="28353" xr:uid="{00000000-0005-0000-0000-0000A46E0000}"/>
    <cellStyle name="Normal 2 3 35 8" xfId="28354" xr:uid="{00000000-0005-0000-0000-0000A56E0000}"/>
    <cellStyle name="Normal 2 3 35 9" xfId="28355" xr:uid="{00000000-0005-0000-0000-0000A66E0000}"/>
    <cellStyle name="Normal 2 3 36" xfId="28356" xr:uid="{00000000-0005-0000-0000-0000A76E0000}"/>
    <cellStyle name="Normal 2 3 36 10" xfId="28357" xr:uid="{00000000-0005-0000-0000-0000A86E0000}"/>
    <cellStyle name="Normal 2 3 36 2" xfId="28358" xr:uid="{00000000-0005-0000-0000-0000A96E0000}"/>
    <cellStyle name="Normal 2 3 36 3" xfId="28359" xr:uid="{00000000-0005-0000-0000-0000AA6E0000}"/>
    <cellStyle name="Normal 2 3 36 4" xfId="28360" xr:uid="{00000000-0005-0000-0000-0000AB6E0000}"/>
    <cellStyle name="Normal 2 3 36 5" xfId="28361" xr:uid="{00000000-0005-0000-0000-0000AC6E0000}"/>
    <cellStyle name="Normal 2 3 36 6" xfId="28362" xr:uid="{00000000-0005-0000-0000-0000AD6E0000}"/>
    <cellStyle name="Normal 2 3 36 7" xfId="28363" xr:uid="{00000000-0005-0000-0000-0000AE6E0000}"/>
    <cellStyle name="Normal 2 3 36 8" xfId="28364" xr:uid="{00000000-0005-0000-0000-0000AF6E0000}"/>
    <cellStyle name="Normal 2 3 36 9" xfId="28365" xr:uid="{00000000-0005-0000-0000-0000B06E0000}"/>
    <cellStyle name="Normal 2 3 37" xfId="28366" xr:uid="{00000000-0005-0000-0000-0000B16E0000}"/>
    <cellStyle name="Normal 2 3 37 10" xfId="28367" xr:uid="{00000000-0005-0000-0000-0000B26E0000}"/>
    <cellStyle name="Normal 2 3 37 2" xfId="28368" xr:uid="{00000000-0005-0000-0000-0000B36E0000}"/>
    <cellStyle name="Normal 2 3 37 3" xfId="28369" xr:uid="{00000000-0005-0000-0000-0000B46E0000}"/>
    <cellStyle name="Normal 2 3 37 4" xfId="28370" xr:uid="{00000000-0005-0000-0000-0000B56E0000}"/>
    <cellStyle name="Normal 2 3 37 5" xfId="28371" xr:uid="{00000000-0005-0000-0000-0000B66E0000}"/>
    <cellStyle name="Normal 2 3 37 6" xfId="28372" xr:uid="{00000000-0005-0000-0000-0000B76E0000}"/>
    <cellStyle name="Normal 2 3 37 7" xfId="28373" xr:uid="{00000000-0005-0000-0000-0000B86E0000}"/>
    <cellStyle name="Normal 2 3 37 8" xfId="28374" xr:uid="{00000000-0005-0000-0000-0000B96E0000}"/>
    <cellStyle name="Normal 2 3 37 9" xfId="28375" xr:uid="{00000000-0005-0000-0000-0000BA6E0000}"/>
    <cellStyle name="Normal 2 3 38" xfId="28376" xr:uid="{00000000-0005-0000-0000-0000BB6E0000}"/>
    <cellStyle name="Normal 2 3 38 10" xfId="28377" xr:uid="{00000000-0005-0000-0000-0000BC6E0000}"/>
    <cellStyle name="Normal 2 3 38 2" xfId="28378" xr:uid="{00000000-0005-0000-0000-0000BD6E0000}"/>
    <cellStyle name="Normal 2 3 38 3" xfId="28379" xr:uid="{00000000-0005-0000-0000-0000BE6E0000}"/>
    <cellStyle name="Normal 2 3 38 4" xfId="28380" xr:uid="{00000000-0005-0000-0000-0000BF6E0000}"/>
    <cellStyle name="Normal 2 3 38 5" xfId="28381" xr:uid="{00000000-0005-0000-0000-0000C06E0000}"/>
    <cellStyle name="Normal 2 3 38 6" xfId="28382" xr:uid="{00000000-0005-0000-0000-0000C16E0000}"/>
    <cellStyle name="Normal 2 3 38 7" xfId="28383" xr:uid="{00000000-0005-0000-0000-0000C26E0000}"/>
    <cellStyle name="Normal 2 3 38 8" xfId="28384" xr:uid="{00000000-0005-0000-0000-0000C36E0000}"/>
    <cellStyle name="Normal 2 3 38 9" xfId="28385" xr:uid="{00000000-0005-0000-0000-0000C46E0000}"/>
    <cellStyle name="Normal 2 3 39" xfId="28386" xr:uid="{00000000-0005-0000-0000-0000C56E0000}"/>
    <cellStyle name="Normal 2 3 4" xfId="28387" xr:uid="{00000000-0005-0000-0000-0000C66E0000}"/>
    <cellStyle name="Normal 2 3 4 10" xfId="28388" xr:uid="{00000000-0005-0000-0000-0000C76E0000}"/>
    <cellStyle name="Normal 2 3 4 11" xfId="28389" xr:uid="{00000000-0005-0000-0000-0000C86E0000}"/>
    <cellStyle name="Normal 2 3 4 12" xfId="28390" xr:uid="{00000000-0005-0000-0000-0000C96E0000}"/>
    <cellStyle name="Normal 2 3 4 13" xfId="28391" xr:uid="{00000000-0005-0000-0000-0000CA6E0000}"/>
    <cellStyle name="Normal 2 3 4 14" xfId="28392" xr:uid="{00000000-0005-0000-0000-0000CB6E0000}"/>
    <cellStyle name="Normal 2 3 4 15" xfId="28393" xr:uid="{00000000-0005-0000-0000-0000CC6E0000}"/>
    <cellStyle name="Normal 2 3 4 16" xfId="28394" xr:uid="{00000000-0005-0000-0000-0000CD6E0000}"/>
    <cellStyle name="Normal 2 3 4 2" xfId="28395" xr:uid="{00000000-0005-0000-0000-0000CE6E0000}"/>
    <cellStyle name="Normal 2 3 4 2 10" xfId="28396" xr:uid="{00000000-0005-0000-0000-0000CF6E0000}"/>
    <cellStyle name="Normal 2 3 4 2 2" xfId="28397" xr:uid="{00000000-0005-0000-0000-0000D06E0000}"/>
    <cellStyle name="Normal 2 3 4 2 3" xfId="28398" xr:uid="{00000000-0005-0000-0000-0000D16E0000}"/>
    <cellStyle name="Normal 2 3 4 2 4" xfId="28399" xr:uid="{00000000-0005-0000-0000-0000D26E0000}"/>
    <cellStyle name="Normal 2 3 4 2 5" xfId="28400" xr:uid="{00000000-0005-0000-0000-0000D36E0000}"/>
    <cellStyle name="Normal 2 3 4 2 6" xfId="28401" xr:uid="{00000000-0005-0000-0000-0000D46E0000}"/>
    <cellStyle name="Normal 2 3 4 2 7" xfId="28402" xr:uid="{00000000-0005-0000-0000-0000D56E0000}"/>
    <cellStyle name="Normal 2 3 4 2 8" xfId="28403" xr:uid="{00000000-0005-0000-0000-0000D66E0000}"/>
    <cellStyle name="Normal 2 3 4 2 9" xfId="28404" xr:uid="{00000000-0005-0000-0000-0000D76E0000}"/>
    <cellStyle name="Normal 2 3 4 3" xfId="28405" xr:uid="{00000000-0005-0000-0000-0000D86E0000}"/>
    <cellStyle name="Normal 2 3 4 3 10" xfId="28406" xr:uid="{00000000-0005-0000-0000-0000D96E0000}"/>
    <cellStyle name="Normal 2 3 4 3 2" xfId="28407" xr:uid="{00000000-0005-0000-0000-0000DA6E0000}"/>
    <cellStyle name="Normal 2 3 4 3 3" xfId="28408" xr:uid="{00000000-0005-0000-0000-0000DB6E0000}"/>
    <cellStyle name="Normal 2 3 4 3 4" xfId="28409" xr:uid="{00000000-0005-0000-0000-0000DC6E0000}"/>
    <cellStyle name="Normal 2 3 4 3 5" xfId="28410" xr:uid="{00000000-0005-0000-0000-0000DD6E0000}"/>
    <cellStyle name="Normal 2 3 4 3 6" xfId="28411" xr:uid="{00000000-0005-0000-0000-0000DE6E0000}"/>
    <cellStyle name="Normal 2 3 4 3 7" xfId="28412" xr:uid="{00000000-0005-0000-0000-0000DF6E0000}"/>
    <cellStyle name="Normal 2 3 4 3 8" xfId="28413" xr:uid="{00000000-0005-0000-0000-0000E06E0000}"/>
    <cellStyle name="Normal 2 3 4 3 9" xfId="28414" xr:uid="{00000000-0005-0000-0000-0000E16E0000}"/>
    <cellStyle name="Normal 2 3 4 4" xfId="28415" xr:uid="{00000000-0005-0000-0000-0000E26E0000}"/>
    <cellStyle name="Normal 2 3 4 4 10" xfId="28416" xr:uid="{00000000-0005-0000-0000-0000E36E0000}"/>
    <cellStyle name="Normal 2 3 4 4 2" xfId="28417" xr:uid="{00000000-0005-0000-0000-0000E46E0000}"/>
    <cellStyle name="Normal 2 3 4 4 3" xfId="28418" xr:uid="{00000000-0005-0000-0000-0000E56E0000}"/>
    <cellStyle name="Normal 2 3 4 4 4" xfId="28419" xr:uid="{00000000-0005-0000-0000-0000E66E0000}"/>
    <cellStyle name="Normal 2 3 4 4 5" xfId="28420" xr:uid="{00000000-0005-0000-0000-0000E76E0000}"/>
    <cellStyle name="Normal 2 3 4 4 6" xfId="28421" xr:uid="{00000000-0005-0000-0000-0000E86E0000}"/>
    <cellStyle name="Normal 2 3 4 4 7" xfId="28422" xr:uid="{00000000-0005-0000-0000-0000E96E0000}"/>
    <cellStyle name="Normal 2 3 4 4 8" xfId="28423" xr:uid="{00000000-0005-0000-0000-0000EA6E0000}"/>
    <cellStyle name="Normal 2 3 4 4 9" xfId="28424" xr:uid="{00000000-0005-0000-0000-0000EB6E0000}"/>
    <cellStyle name="Normal 2 3 4 5" xfId="28425" xr:uid="{00000000-0005-0000-0000-0000EC6E0000}"/>
    <cellStyle name="Normal 2 3 4 5 10" xfId="28426" xr:uid="{00000000-0005-0000-0000-0000ED6E0000}"/>
    <cellStyle name="Normal 2 3 4 5 2" xfId="28427" xr:uid="{00000000-0005-0000-0000-0000EE6E0000}"/>
    <cellStyle name="Normal 2 3 4 5 3" xfId="28428" xr:uid="{00000000-0005-0000-0000-0000EF6E0000}"/>
    <cellStyle name="Normal 2 3 4 5 4" xfId="28429" xr:uid="{00000000-0005-0000-0000-0000F06E0000}"/>
    <cellStyle name="Normal 2 3 4 5 5" xfId="28430" xr:uid="{00000000-0005-0000-0000-0000F16E0000}"/>
    <cellStyle name="Normal 2 3 4 5 6" xfId="28431" xr:uid="{00000000-0005-0000-0000-0000F26E0000}"/>
    <cellStyle name="Normal 2 3 4 5 7" xfId="28432" xr:uid="{00000000-0005-0000-0000-0000F36E0000}"/>
    <cellStyle name="Normal 2 3 4 5 8" xfId="28433" xr:uid="{00000000-0005-0000-0000-0000F46E0000}"/>
    <cellStyle name="Normal 2 3 4 5 9" xfId="28434" xr:uid="{00000000-0005-0000-0000-0000F56E0000}"/>
    <cellStyle name="Normal 2 3 4 6" xfId="28435" xr:uid="{00000000-0005-0000-0000-0000F66E0000}"/>
    <cellStyle name="Normal 2 3 4 7" xfId="28436" xr:uid="{00000000-0005-0000-0000-0000F76E0000}"/>
    <cellStyle name="Normal 2 3 4 8" xfId="28437" xr:uid="{00000000-0005-0000-0000-0000F86E0000}"/>
    <cellStyle name="Normal 2 3 4 9" xfId="28438" xr:uid="{00000000-0005-0000-0000-0000F96E0000}"/>
    <cellStyle name="Normal 2 3 40" xfId="28439" xr:uid="{00000000-0005-0000-0000-0000FA6E0000}"/>
    <cellStyle name="Normal 2 3 41" xfId="28440" xr:uid="{00000000-0005-0000-0000-0000FB6E0000}"/>
    <cellStyle name="Normal 2 3 42" xfId="28441" xr:uid="{00000000-0005-0000-0000-0000FC6E0000}"/>
    <cellStyle name="Normal 2 3 43" xfId="28442" xr:uid="{00000000-0005-0000-0000-0000FD6E0000}"/>
    <cellStyle name="Normal 2 3 44" xfId="28443" xr:uid="{00000000-0005-0000-0000-0000FE6E0000}"/>
    <cellStyle name="Normal 2 3 45" xfId="28444" xr:uid="{00000000-0005-0000-0000-0000FF6E0000}"/>
    <cellStyle name="Normal 2 3 46" xfId="28445" xr:uid="{00000000-0005-0000-0000-0000006F0000}"/>
    <cellStyle name="Normal 2 3 47" xfId="28446" xr:uid="{00000000-0005-0000-0000-0000016F0000}"/>
    <cellStyle name="Normal 2 3 48" xfId="28447" xr:uid="{00000000-0005-0000-0000-0000026F0000}"/>
    <cellStyle name="Normal 2 3 49" xfId="28448" xr:uid="{00000000-0005-0000-0000-0000036F0000}"/>
    <cellStyle name="Normal 2 3 5" xfId="28449" xr:uid="{00000000-0005-0000-0000-0000046F0000}"/>
    <cellStyle name="Normal 2 3 5 10" xfId="28450" xr:uid="{00000000-0005-0000-0000-0000056F0000}"/>
    <cellStyle name="Normal 2 3 5 11" xfId="28451" xr:uid="{00000000-0005-0000-0000-0000066F0000}"/>
    <cellStyle name="Normal 2 3 5 12" xfId="28452" xr:uid="{00000000-0005-0000-0000-0000076F0000}"/>
    <cellStyle name="Normal 2 3 5 13" xfId="28453" xr:uid="{00000000-0005-0000-0000-0000086F0000}"/>
    <cellStyle name="Normal 2 3 5 14" xfId="28454" xr:uid="{00000000-0005-0000-0000-0000096F0000}"/>
    <cellStyle name="Normal 2 3 5 15" xfId="28455" xr:uid="{00000000-0005-0000-0000-00000A6F0000}"/>
    <cellStyle name="Normal 2 3 5 16" xfId="28456" xr:uid="{00000000-0005-0000-0000-00000B6F0000}"/>
    <cellStyle name="Normal 2 3 5 2" xfId="28457" xr:uid="{00000000-0005-0000-0000-00000C6F0000}"/>
    <cellStyle name="Normal 2 3 5 2 10" xfId="28458" xr:uid="{00000000-0005-0000-0000-00000D6F0000}"/>
    <cellStyle name="Normal 2 3 5 2 11" xfId="28459" xr:uid="{00000000-0005-0000-0000-00000E6F0000}"/>
    <cellStyle name="Normal 2 3 5 2 12" xfId="28460" xr:uid="{00000000-0005-0000-0000-00000F6F0000}"/>
    <cellStyle name="Normal 2 3 5 2 2" xfId="28461" xr:uid="{00000000-0005-0000-0000-0000106F0000}"/>
    <cellStyle name="Normal 2 3 5 2 3" xfId="28462" xr:uid="{00000000-0005-0000-0000-0000116F0000}"/>
    <cellStyle name="Normal 2 3 5 2 4" xfId="28463" xr:uid="{00000000-0005-0000-0000-0000126F0000}"/>
    <cellStyle name="Normal 2 3 5 2 5" xfId="28464" xr:uid="{00000000-0005-0000-0000-0000136F0000}"/>
    <cellStyle name="Normal 2 3 5 2 6" xfId="28465" xr:uid="{00000000-0005-0000-0000-0000146F0000}"/>
    <cellStyle name="Normal 2 3 5 2 7" xfId="28466" xr:uid="{00000000-0005-0000-0000-0000156F0000}"/>
    <cellStyle name="Normal 2 3 5 2 8" xfId="28467" xr:uid="{00000000-0005-0000-0000-0000166F0000}"/>
    <cellStyle name="Normal 2 3 5 2 9" xfId="28468" xr:uid="{00000000-0005-0000-0000-0000176F0000}"/>
    <cellStyle name="Normal 2 3 5 3" xfId="28469" xr:uid="{00000000-0005-0000-0000-0000186F0000}"/>
    <cellStyle name="Normal 2 3 5 3 10" xfId="28470" xr:uid="{00000000-0005-0000-0000-0000196F0000}"/>
    <cellStyle name="Normal 2 3 5 3 2" xfId="28471" xr:uid="{00000000-0005-0000-0000-00001A6F0000}"/>
    <cellStyle name="Normal 2 3 5 3 3" xfId="28472" xr:uid="{00000000-0005-0000-0000-00001B6F0000}"/>
    <cellStyle name="Normal 2 3 5 3 4" xfId="28473" xr:uid="{00000000-0005-0000-0000-00001C6F0000}"/>
    <cellStyle name="Normal 2 3 5 3 5" xfId="28474" xr:uid="{00000000-0005-0000-0000-00001D6F0000}"/>
    <cellStyle name="Normal 2 3 5 3 6" xfId="28475" xr:uid="{00000000-0005-0000-0000-00001E6F0000}"/>
    <cellStyle name="Normal 2 3 5 3 7" xfId="28476" xr:uid="{00000000-0005-0000-0000-00001F6F0000}"/>
    <cellStyle name="Normal 2 3 5 3 8" xfId="28477" xr:uid="{00000000-0005-0000-0000-0000206F0000}"/>
    <cellStyle name="Normal 2 3 5 3 9" xfId="28478" xr:uid="{00000000-0005-0000-0000-0000216F0000}"/>
    <cellStyle name="Normal 2 3 5 4" xfId="28479" xr:uid="{00000000-0005-0000-0000-0000226F0000}"/>
    <cellStyle name="Normal 2 3 5 4 10" xfId="28480" xr:uid="{00000000-0005-0000-0000-0000236F0000}"/>
    <cellStyle name="Normal 2 3 5 4 2" xfId="28481" xr:uid="{00000000-0005-0000-0000-0000246F0000}"/>
    <cellStyle name="Normal 2 3 5 4 3" xfId="28482" xr:uid="{00000000-0005-0000-0000-0000256F0000}"/>
    <cellStyle name="Normal 2 3 5 4 4" xfId="28483" xr:uid="{00000000-0005-0000-0000-0000266F0000}"/>
    <cellStyle name="Normal 2 3 5 4 5" xfId="28484" xr:uid="{00000000-0005-0000-0000-0000276F0000}"/>
    <cellStyle name="Normal 2 3 5 4 6" xfId="28485" xr:uid="{00000000-0005-0000-0000-0000286F0000}"/>
    <cellStyle name="Normal 2 3 5 4 7" xfId="28486" xr:uid="{00000000-0005-0000-0000-0000296F0000}"/>
    <cellStyle name="Normal 2 3 5 4 8" xfId="28487" xr:uid="{00000000-0005-0000-0000-00002A6F0000}"/>
    <cellStyle name="Normal 2 3 5 4 9" xfId="28488" xr:uid="{00000000-0005-0000-0000-00002B6F0000}"/>
    <cellStyle name="Normal 2 3 5 5" xfId="28489" xr:uid="{00000000-0005-0000-0000-00002C6F0000}"/>
    <cellStyle name="Normal 2 3 5 5 10" xfId="28490" xr:uid="{00000000-0005-0000-0000-00002D6F0000}"/>
    <cellStyle name="Normal 2 3 5 5 2" xfId="28491" xr:uid="{00000000-0005-0000-0000-00002E6F0000}"/>
    <cellStyle name="Normal 2 3 5 5 3" xfId="28492" xr:uid="{00000000-0005-0000-0000-00002F6F0000}"/>
    <cellStyle name="Normal 2 3 5 5 4" xfId="28493" xr:uid="{00000000-0005-0000-0000-0000306F0000}"/>
    <cellStyle name="Normal 2 3 5 5 5" xfId="28494" xr:uid="{00000000-0005-0000-0000-0000316F0000}"/>
    <cellStyle name="Normal 2 3 5 5 6" xfId="28495" xr:uid="{00000000-0005-0000-0000-0000326F0000}"/>
    <cellStyle name="Normal 2 3 5 5 7" xfId="28496" xr:uid="{00000000-0005-0000-0000-0000336F0000}"/>
    <cellStyle name="Normal 2 3 5 5 8" xfId="28497" xr:uid="{00000000-0005-0000-0000-0000346F0000}"/>
    <cellStyle name="Normal 2 3 5 5 9" xfId="28498" xr:uid="{00000000-0005-0000-0000-0000356F0000}"/>
    <cellStyle name="Normal 2 3 5 6" xfId="28499" xr:uid="{00000000-0005-0000-0000-0000366F0000}"/>
    <cellStyle name="Normal 2 3 5 7" xfId="28500" xr:uid="{00000000-0005-0000-0000-0000376F0000}"/>
    <cellStyle name="Normal 2 3 5 8" xfId="28501" xr:uid="{00000000-0005-0000-0000-0000386F0000}"/>
    <cellStyle name="Normal 2 3 5 9" xfId="28502" xr:uid="{00000000-0005-0000-0000-0000396F0000}"/>
    <cellStyle name="Normal 2 3 50" xfId="25385" xr:uid="{00000000-0005-0000-0000-00003A6F0000}"/>
    <cellStyle name="Normal 2 3 6" xfId="28503" xr:uid="{00000000-0005-0000-0000-00003B6F0000}"/>
    <cellStyle name="Normal 2 3 6 10" xfId="28504" xr:uid="{00000000-0005-0000-0000-00003C6F0000}"/>
    <cellStyle name="Normal 2 3 6 11" xfId="28505" xr:uid="{00000000-0005-0000-0000-00003D6F0000}"/>
    <cellStyle name="Normal 2 3 6 12" xfId="28506" xr:uid="{00000000-0005-0000-0000-00003E6F0000}"/>
    <cellStyle name="Normal 2 3 6 13" xfId="28507" xr:uid="{00000000-0005-0000-0000-00003F6F0000}"/>
    <cellStyle name="Normal 2 3 6 14" xfId="28508" xr:uid="{00000000-0005-0000-0000-0000406F0000}"/>
    <cellStyle name="Normal 2 3 6 2" xfId="28509" xr:uid="{00000000-0005-0000-0000-0000416F0000}"/>
    <cellStyle name="Normal 2 3 6 2 10" xfId="28510" xr:uid="{00000000-0005-0000-0000-0000426F0000}"/>
    <cellStyle name="Normal 2 3 6 2 2" xfId="28511" xr:uid="{00000000-0005-0000-0000-0000436F0000}"/>
    <cellStyle name="Normal 2 3 6 2 3" xfId="28512" xr:uid="{00000000-0005-0000-0000-0000446F0000}"/>
    <cellStyle name="Normal 2 3 6 2 4" xfId="28513" xr:uid="{00000000-0005-0000-0000-0000456F0000}"/>
    <cellStyle name="Normal 2 3 6 2 5" xfId="28514" xr:uid="{00000000-0005-0000-0000-0000466F0000}"/>
    <cellStyle name="Normal 2 3 6 2 6" xfId="28515" xr:uid="{00000000-0005-0000-0000-0000476F0000}"/>
    <cellStyle name="Normal 2 3 6 2 7" xfId="28516" xr:uid="{00000000-0005-0000-0000-0000486F0000}"/>
    <cellStyle name="Normal 2 3 6 2 8" xfId="28517" xr:uid="{00000000-0005-0000-0000-0000496F0000}"/>
    <cellStyle name="Normal 2 3 6 2 9" xfId="28518" xr:uid="{00000000-0005-0000-0000-00004A6F0000}"/>
    <cellStyle name="Normal 2 3 6 3" xfId="28519" xr:uid="{00000000-0005-0000-0000-00004B6F0000}"/>
    <cellStyle name="Normal 2 3 6 3 10" xfId="28520" xr:uid="{00000000-0005-0000-0000-00004C6F0000}"/>
    <cellStyle name="Normal 2 3 6 3 2" xfId="28521" xr:uid="{00000000-0005-0000-0000-00004D6F0000}"/>
    <cellStyle name="Normal 2 3 6 3 3" xfId="28522" xr:uid="{00000000-0005-0000-0000-00004E6F0000}"/>
    <cellStyle name="Normal 2 3 6 3 4" xfId="28523" xr:uid="{00000000-0005-0000-0000-00004F6F0000}"/>
    <cellStyle name="Normal 2 3 6 3 5" xfId="28524" xr:uid="{00000000-0005-0000-0000-0000506F0000}"/>
    <cellStyle name="Normal 2 3 6 3 6" xfId="28525" xr:uid="{00000000-0005-0000-0000-0000516F0000}"/>
    <cellStyle name="Normal 2 3 6 3 7" xfId="28526" xr:uid="{00000000-0005-0000-0000-0000526F0000}"/>
    <cellStyle name="Normal 2 3 6 3 8" xfId="28527" xr:uid="{00000000-0005-0000-0000-0000536F0000}"/>
    <cellStyle name="Normal 2 3 6 3 9" xfId="28528" xr:uid="{00000000-0005-0000-0000-0000546F0000}"/>
    <cellStyle name="Normal 2 3 6 4" xfId="28529" xr:uid="{00000000-0005-0000-0000-0000556F0000}"/>
    <cellStyle name="Normal 2 3 6 4 10" xfId="28530" xr:uid="{00000000-0005-0000-0000-0000566F0000}"/>
    <cellStyle name="Normal 2 3 6 4 2" xfId="28531" xr:uid="{00000000-0005-0000-0000-0000576F0000}"/>
    <cellStyle name="Normal 2 3 6 4 3" xfId="28532" xr:uid="{00000000-0005-0000-0000-0000586F0000}"/>
    <cellStyle name="Normal 2 3 6 4 4" xfId="28533" xr:uid="{00000000-0005-0000-0000-0000596F0000}"/>
    <cellStyle name="Normal 2 3 6 4 5" xfId="28534" xr:uid="{00000000-0005-0000-0000-00005A6F0000}"/>
    <cellStyle name="Normal 2 3 6 4 6" xfId="28535" xr:uid="{00000000-0005-0000-0000-00005B6F0000}"/>
    <cellStyle name="Normal 2 3 6 4 7" xfId="28536" xr:uid="{00000000-0005-0000-0000-00005C6F0000}"/>
    <cellStyle name="Normal 2 3 6 4 8" xfId="28537" xr:uid="{00000000-0005-0000-0000-00005D6F0000}"/>
    <cellStyle name="Normal 2 3 6 4 9" xfId="28538" xr:uid="{00000000-0005-0000-0000-00005E6F0000}"/>
    <cellStyle name="Normal 2 3 6 5" xfId="28539" xr:uid="{00000000-0005-0000-0000-00005F6F0000}"/>
    <cellStyle name="Normal 2 3 6 5 10" xfId="28540" xr:uid="{00000000-0005-0000-0000-0000606F0000}"/>
    <cellStyle name="Normal 2 3 6 5 2" xfId="28541" xr:uid="{00000000-0005-0000-0000-0000616F0000}"/>
    <cellStyle name="Normal 2 3 6 5 3" xfId="28542" xr:uid="{00000000-0005-0000-0000-0000626F0000}"/>
    <cellStyle name="Normal 2 3 6 5 4" xfId="28543" xr:uid="{00000000-0005-0000-0000-0000636F0000}"/>
    <cellStyle name="Normal 2 3 6 5 5" xfId="28544" xr:uid="{00000000-0005-0000-0000-0000646F0000}"/>
    <cellStyle name="Normal 2 3 6 5 6" xfId="28545" xr:uid="{00000000-0005-0000-0000-0000656F0000}"/>
    <cellStyle name="Normal 2 3 6 5 7" xfId="28546" xr:uid="{00000000-0005-0000-0000-0000666F0000}"/>
    <cellStyle name="Normal 2 3 6 5 8" xfId="28547" xr:uid="{00000000-0005-0000-0000-0000676F0000}"/>
    <cellStyle name="Normal 2 3 6 5 9" xfId="28548" xr:uid="{00000000-0005-0000-0000-0000686F0000}"/>
    <cellStyle name="Normal 2 3 6 6" xfId="28549" xr:uid="{00000000-0005-0000-0000-0000696F0000}"/>
    <cellStyle name="Normal 2 3 6 7" xfId="28550" xr:uid="{00000000-0005-0000-0000-00006A6F0000}"/>
    <cellStyle name="Normal 2 3 6 8" xfId="28551" xr:uid="{00000000-0005-0000-0000-00006B6F0000}"/>
    <cellStyle name="Normal 2 3 6 9" xfId="28552" xr:uid="{00000000-0005-0000-0000-00006C6F0000}"/>
    <cellStyle name="Normal 2 3 7" xfId="28553" xr:uid="{00000000-0005-0000-0000-00006D6F0000}"/>
    <cellStyle name="Normal 2 3 7 10" xfId="28554" xr:uid="{00000000-0005-0000-0000-00006E6F0000}"/>
    <cellStyle name="Normal 2 3 7 11" xfId="28555" xr:uid="{00000000-0005-0000-0000-00006F6F0000}"/>
    <cellStyle name="Normal 2 3 7 12" xfId="28556" xr:uid="{00000000-0005-0000-0000-0000706F0000}"/>
    <cellStyle name="Normal 2 3 7 13" xfId="28557" xr:uid="{00000000-0005-0000-0000-0000716F0000}"/>
    <cellStyle name="Normal 2 3 7 14" xfId="28558" xr:uid="{00000000-0005-0000-0000-0000726F0000}"/>
    <cellStyle name="Normal 2 3 7 2" xfId="28559" xr:uid="{00000000-0005-0000-0000-0000736F0000}"/>
    <cellStyle name="Normal 2 3 7 2 10" xfId="28560" xr:uid="{00000000-0005-0000-0000-0000746F0000}"/>
    <cellStyle name="Normal 2 3 7 2 2" xfId="28561" xr:uid="{00000000-0005-0000-0000-0000756F0000}"/>
    <cellStyle name="Normal 2 3 7 2 3" xfId="28562" xr:uid="{00000000-0005-0000-0000-0000766F0000}"/>
    <cellStyle name="Normal 2 3 7 2 4" xfId="28563" xr:uid="{00000000-0005-0000-0000-0000776F0000}"/>
    <cellStyle name="Normal 2 3 7 2 5" xfId="28564" xr:uid="{00000000-0005-0000-0000-0000786F0000}"/>
    <cellStyle name="Normal 2 3 7 2 6" xfId="28565" xr:uid="{00000000-0005-0000-0000-0000796F0000}"/>
    <cellStyle name="Normal 2 3 7 2 7" xfId="28566" xr:uid="{00000000-0005-0000-0000-00007A6F0000}"/>
    <cellStyle name="Normal 2 3 7 2 8" xfId="28567" xr:uid="{00000000-0005-0000-0000-00007B6F0000}"/>
    <cellStyle name="Normal 2 3 7 2 9" xfId="28568" xr:uid="{00000000-0005-0000-0000-00007C6F0000}"/>
    <cellStyle name="Normal 2 3 7 3" xfId="28569" xr:uid="{00000000-0005-0000-0000-00007D6F0000}"/>
    <cellStyle name="Normal 2 3 7 3 10" xfId="28570" xr:uid="{00000000-0005-0000-0000-00007E6F0000}"/>
    <cellStyle name="Normal 2 3 7 3 2" xfId="28571" xr:uid="{00000000-0005-0000-0000-00007F6F0000}"/>
    <cellStyle name="Normal 2 3 7 3 3" xfId="28572" xr:uid="{00000000-0005-0000-0000-0000806F0000}"/>
    <cellStyle name="Normal 2 3 7 3 4" xfId="28573" xr:uid="{00000000-0005-0000-0000-0000816F0000}"/>
    <cellStyle name="Normal 2 3 7 3 5" xfId="28574" xr:uid="{00000000-0005-0000-0000-0000826F0000}"/>
    <cellStyle name="Normal 2 3 7 3 6" xfId="28575" xr:uid="{00000000-0005-0000-0000-0000836F0000}"/>
    <cellStyle name="Normal 2 3 7 3 7" xfId="28576" xr:uid="{00000000-0005-0000-0000-0000846F0000}"/>
    <cellStyle name="Normal 2 3 7 3 8" xfId="28577" xr:uid="{00000000-0005-0000-0000-0000856F0000}"/>
    <cellStyle name="Normal 2 3 7 3 9" xfId="28578" xr:uid="{00000000-0005-0000-0000-0000866F0000}"/>
    <cellStyle name="Normal 2 3 7 4" xfId="28579" xr:uid="{00000000-0005-0000-0000-0000876F0000}"/>
    <cellStyle name="Normal 2 3 7 4 10" xfId="28580" xr:uid="{00000000-0005-0000-0000-0000886F0000}"/>
    <cellStyle name="Normal 2 3 7 4 2" xfId="28581" xr:uid="{00000000-0005-0000-0000-0000896F0000}"/>
    <cellStyle name="Normal 2 3 7 4 3" xfId="28582" xr:uid="{00000000-0005-0000-0000-00008A6F0000}"/>
    <cellStyle name="Normal 2 3 7 4 4" xfId="28583" xr:uid="{00000000-0005-0000-0000-00008B6F0000}"/>
    <cellStyle name="Normal 2 3 7 4 5" xfId="28584" xr:uid="{00000000-0005-0000-0000-00008C6F0000}"/>
    <cellStyle name="Normal 2 3 7 4 6" xfId="28585" xr:uid="{00000000-0005-0000-0000-00008D6F0000}"/>
    <cellStyle name="Normal 2 3 7 4 7" xfId="28586" xr:uid="{00000000-0005-0000-0000-00008E6F0000}"/>
    <cellStyle name="Normal 2 3 7 4 8" xfId="28587" xr:uid="{00000000-0005-0000-0000-00008F6F0000}"/>
    <cellStyle name="Normal 2 3 7 4 9" xfId="28588" xr:uid="{00000000-0005-0000-0000-0000906F0000}"/>
    <cellStyle name="Normal 2 3 7 5" xfId="28589" xr:uid="{00000000-0005-0000-0000-0000916F0000}"/>
    <cellStyle name="Normal 2 3 7 5 10" xfId="28590" xr:uid="{00000000-0005-0000-0000-0000926F0000}"/>
    <cellStyle name="Normal 2 3 7 5 2" xfId="28591" xr:uid="{00000000-0005-0000-0000-0000936F0000}"/>
    <cellStyle name="Normal 2 3 7 5 3" xfId="28592" xr:uid="{00000000-0005-0000-0000-0000946F0000}"/>
    <cellStyle name="Normal 2 3 7 5 4" xfId="28593" xr:uid="{00000000-0005-0000-0000-0000956F0000}"/>
    <cellStyle name="Normal 2 3 7 5 5" xfId="28594" xr:uid="{00000000-0005-0000-0000-0000966F0000}"/>
    <cellStyle name="Normal 2 3 7 5 6" xfId="28595" xr:uid="{00000000-0005-0000-0000-0000976F0000}"/>
    <cellStyle name="Normal 2 3 7 5 7" xfId="28596" xr:uid="{00000000-0005-0000-0000-0000986F0000}"/>
    <cellStyle name="Normal 2 3 7 5 8" xfId="28597" xr:uid="{00000000-0005-0000-0000-0000996F0000}"/>
    <cellStyle name="Normal 2 3 7 5 9" xfId="28598" xr:uid="{00000000-0005-0000-0000-00009A6F0000}"/>
    <cellStyle name="Normal 2 3 7 6" xfId="28599" xr:uid="{00000000-0005-0000-0000-00009B6F0000}"/>
    <cellStyle name="Normal 2 3 7 7" xfId="28600" xr:uid="{00000000-0005-0000-0000-00009C6F0000}"/>
    <cellStyle name="Normal 2 3 7 8" xfId="28601" xr:uid="{00000000-0005-0000-0000-00009D6F0000}"/>
    <cellStyle name="Normal 2 3 7 9" xfId="28602" xr:uid="{00000000-0005-0000-0000-00009E6F0000}"/>
    <cellStyle name="Normal 2 3 8" xfId="28603" xr:uid="{00000000-0005-0000-0000-00009F6F0000}"/>
    <cellStyle name="Normal 2 3 8 10" xfId="28604" xr:uid="{00000000-0005-0000-0000-0000A06F0000}"/>
    <cellStyle name="Normal 2 3 8 11" xfId="28605" xr:uid="{00000000-0005-0000-0000-0000A16F0000}"/>
    <cellStyle name="Normal 2 3 8 12" xfId="28606" xr:uid="{00000000-0005-0000-0000-0000A26F0000}"/>
    <cellStyle name="Normal 2 3 8 13" xfId="28607" xr:uid="{00000000-0005-0000-0000-0000A36F0000}"/>
    <cellStyle name="Normal 2 3 8 14" xfId="28608" xr:uid="{00000000-0005-0000-0000-0000A46F0000}"/>
    <cellStyle name="Normal 2 3 8 2" xfId="28609" xr:uid="{00000000-0005-0000-0000-0000A56F0000}"/>
    <cellStyle name="Normal 2 3 8 2 10" xfId="28610" xr:uid="{00000000-0005-0000-0000-0000A66F0000}"/>
    <cellStyle name="Normal 2 3 8 2 2" xfId="28611" xr:uid="{00000000-0005-0000-0000-0000A76F0000}"/>
    <cellStyle name="Normal 2 3 8 2 3" xfId="28612" xr:uid="{00000000-0005-0000-0000-0000A86F0000}"/>
    <cellStyle name="Normal 2 3 8 2 4" xfId="28613" xr:uid="{00000000-0005-0000-0000-0000A96F0000}"/>
    <cellStyle name="Normal 2 3 8 2 5" xfId="28614" xr:uid="{00000000-0005-0000-0000-0000AA6F0000}"/>
    <cellStyle name="Normal 2 3 8 2 6" xfId="28615" xr:uid="{00000000-0005-0000-0000-0000AB6F0000}"/>
    <cellStyle name="Normal 2 3 8 2 7" xfId="28616" xr:uid="{00000000-0005-0000-0000-0000AC6F0000}"/>
    <cellStyle name="Normal 2 3 8 2 8" xfId="28617" xr:uid="{00000000-0005-0000-0000-0000AD6F0000}"/>
    <cellStyle name="Normal 2 3 8 2 9" xfId="28618" xr:uid="{00000000-0005-0000-0000-0000AE6F0000}"/>
    <cellStyle name="Normal 2 3 8 3" xfId="28619" xr:uid="{00000000-0005-0000-0000-0000AF6F0000}"/>
    <cellStyle name="Normal 2 3 8 3 10" xfId="28620" xr:uid="{00000000-0005-0000-0000-0000B06F0000}"/>
    <cellStyle name="Normal 2 3 8 3 2" xfId="28621" xr:uid="{00000000-0005-0000-0000-0000B16F0000}"/>
    <cellStyle name="Normal 2 3 8 3 3" xfId="28622" xr:uid="{00000000-0005-0000-0000-0000B26F0000}"/>
    <cellStyle name="Normal 2 3 8 3 4" xfId="28623" xr:uid="{00000000-0005-0000-0000-0000B36F0000}"/>
    <cellStyle name="Normal 2 3 8 3 5" xfId="28624" xr:uid="{00000000-0005-0000-0000-0000B46F0000}"/>
    <cellStyle name="Normal 2 3 8 3 6" xfId="28625" xr:uid="{00000000-0005-0000-0000-0000B56F0000}"/>
    <cellStyle name="Normal 2 3 8 3 7" xfId="28626" xr:uid="{00000000-0005-0000-0000-0000B66F0000}"/>
    <cellStyle name="Normal 2 3 8 3 8" xfId="28627" xr:uid="{00000000-0005-0000-0000-0000B76F0000}"/>
    <cellStyle name="Normal 2 3 8 3 9" xfId="28628" xr:uid="{00000000-0005-0000-0000-0000B86F0000}"/>
    <cellStyle name="Normal 2 3 8 4" xfId="28629" xr:uid="{00000000-0005-0000-0000-0000B96F0000}"/>
    <cellStyle name="Normal 2 3 8 4 10" xfId="28630" xr:uid="{00000000-0005-0000-0000-0000BA6F0000}"/>
    <cellStyle name="Normal 2 3 8 4 2" xfId="28631" xr:uid="{00000000-0005-0000-0000-0000BB6F0000}"/>
    <cellStyle name="Normal 2 3 8 4 3" xfId="28632" xr:uid="{00000000-0005-0000-0000-0000BC6F0000}"/>
    <cellStyle name="Normal 2 3 8 4 4" xfId="28633" xr:uid="{00000000-0005-0000-0000-0000BD6F0000}"/>
    <cellStyle name="Normal 2 3 8 4 5" xfId="28634" xr:uid="{00000000-0005-0000-0000-0000BE6F0000}"/>
    <cellStyle name="Normal 2 3 8 4 6" xfId="28635" xr:uid="{00000000-0005-0000-0000-0000BF6F0000}"/>
    <cellStyle name="Normal 2 3 8 4 7" xfId="28636" xr:uid="{00000000-0005-0000-0000-0000C06F0000}"/>
    <cellStyle name="Normal 2 3 8 4 8" xfId="28637" xr:uid="{00000000-0005-0000-0000-0000C16F0000}"/>
    <cellStyle name="Normal 2 3 8 4 9" xfId="28638" xr:uid="{00000000-0005-0000-0000-0000C26F0000}"/>
    <cellStyle name="Normal 2 3 8 5" xfId="28639" xr:uid="{00000000-0005-0000-0000-0000C36F0000}"/>
    <cellStyle name="Normal 2 3 8 5 10" xfId="28640" xr:uid="{00000000-0005-0000-0000-0000C46F0000}"/>
    <cellStyle name="Normal 2 3 8 5 2" xfId="28641" xr:uid="{00000000-0005-0000-0000-0000C56F0000}"/>
    <cellStyle name="Normal 2 3 8 5 3" xfId="28642" xr:uid="{00000000-0005-0000-0000-0000C66F0000}"/>
    <cellStyle name="Normal 2 3 8 5 4" xfId="28643" xr:uid="{00000000-0005-0000-0000-0000C76F0000}"/>
    <cellStyle name="Normal 2 3 8 5 5" xfId="28644" xr:uid="{00000000-0005-0000-0000-0000C86F0000}"/>
    <cellStyle name="Normal 2 3 8 5 6" xfId="28645" xr:uid="{00000000-0005-0000-0000-0000C96F0000}"/>
    <cellStyle name="Normal 2 3 8 5 7" xfId="28646" xr:uid="{00000000-0005-0000-0000-0000CA6F0000}"/>
    <cellStyle name="Normal 2 3 8 5 8" xfId="28647" xr:uid="{00000000-0005-0000-0000-0000CB6F0000}"/>
    <cellStyle name="Normal 2 3 8 5 9" xfId="28648" xr:uid="{00000000-0005-0000-0000-0000CC6F0000}"/>
    <cellStyle name="Normal 2 3 8 6" xfId="28649" xr:uid="{00000000-0005-0000-0000-0000CD6F0000}"/>
    <cellStyle name="Normal 2 3 8 7" xfId="28650" xr:uid="{00000000-0005-0000-0000-0000CE6F0000}"/>
    <cellStyle name="Normal 2 3 8 8" xfId="28651" xr:uid="{00000000-0005-0000-0000-0000CF6F0000}"/>
    <cellStyle name="Normal 2 3 8 9" xfId="28652" xr:uid="{00000000-0005-0000-0000-0000D06F0000}"/>
    <cellStyle name="Normal 2 3 9" xfId="28653" xr:uid="{00000000-0005-0000-0000-0000D16F0000}"/>
    <cellStyle name="Normal 2 3 9 10" xfId="28654" xr:uid="{00000000-0005-0000-0000-0000D26F0000}"/>
    <cellStyle name="Normal 2 3 9 11" xfId="28655" xr:uid="{00000000-0005-0000-0000-0000D36F0000}"/>
    <cellStyle name="Normal 2 3 9 12" xfId="28656" xr:uid="{00000000-0005-0000-0000-0000D46F0000}"/>
    <cellStyle name="Normal 2 3 9 13" xfId="28657" xr:uid="{00000000-0005-0000-0000-0000D56F0000}"/>
    <cellStyle name="Normal 2 3 9 14" xfId="28658" xr:uid="{00000000-0005-0000-0000-0000D66F0000}"/>
    <cellStyle name="Normal 2 3 9 2" xfId="28659" xr:uid="{00000000-0005-0000-0000-0000D76F0000}"/>
    <cellStyle name="Normal 2 3 9 2 10" xfId="28660" xr:uid="{00000000-0005-0000-0000-0000D86F0000}"/>
    <cellStyle name="Normal 2 3 9 2 2" xfId="28661" xr:uid="{00000000-0005-0000-0000-0000D96F0000}"/>
    <cellStyle name="Normal 2 3 9 2 3" xfId="28662" xr:uid="{00000000-0005-0000-0000-0000DA6F0000}"/>
    <cellStyle name="Normal 2 3 9 2 4" xfId="28663" xr:uid="{00000000-0005-0000-0000-0000DB6F0000}"/>
    <cellStyle name="Normal 2 3 9 2 5" xfId="28664" xr:uid="{00000000-0005-0000-0000-0000DC6F0000}"/>
    <cellStyle name="Normal 2 3 9 2 6" xfId="28665" xr:uid="{00000000-0005-0000-0000-0000DD6F0000}"/>
    <cellStyle name="Normal 2 3 9 2 7" xfId="28666" xr:uid="{00000000-0005-0000-0000-0000DE6F0000}"/>
    <cellStyle name="Normal 2 3 9 2 8" xfId="28667" xr:uid="{00000000-0005-0000-0000-0000DF6F0000}"/>
    <cellStyle name="Normal 2 3 9 2 9" xfId="28668" xr:uid="{00000000-0005-0000-0000-0000E06F0000}"/>
    <cellStyle name="Normal 2 3 9 3" xfId="28669" xr:uid="{00000000-0005-0000-0000-0000E16F0000}"/>
    <cellStyle name="Normal 2 3 9 3 10" xfId="28670" xr:uid="{00000000-0005-0000-0000-0000E26F0000}"/>
    <cellStyle name="Normal 2 3 9 3 2" xfId="28671" xr:uid="{00000000-0005-0000-0000-0000E36F0000}"/>
    <cellStyle name="Normal 2 3 9 3 3" xfId="28672" xr:uid="{00000000-0005-0000-0000-0000E46F0000}"/>
    <cellStyle name="Normal 2 3 9 3 4" xfId="28673" xr:uid="{00000000-0005-0000-0000-0000E56F0000}"/>
    <cellStyle name="Normal 2 3 9 3 5" xfId="28674" xr:uid="{00000000-0005-0000-0000-0000E66F0000}"/>
    <cellStyle name="Normal 2 3 9 3 6" xfId="28675" xr:uid="{00000000-0005-0000-0000-0000E76F0000}"/>
    <cellStyle name="Normal 2 3 9 3 7" xfId="28676" xr:uid="{00000000-0005-0000-0000-0000E86F0000}"/>
    <cellStyle name="Normal 2 3 9 3 8" xfId="28677" xr:uid="{00000000-0005-0000-0000-0000E96F0000}"/>
    <cellStyle name="Normal 2 3 9 3 9" xfId="28678" xr:uid="{00000000-0005-0000-0000-0000EA6F0000}"/>
    <cellStyle name="Normal 2 3 9 4" xfId="28679" xr:uid="{00000000-0005-0000-0000-0000EB6F0000}"/>
    <cellStyle name="Normal 2 3 9 4 10" xfId="28680" xr:uid="{00000000-0005-0000-0000-0000EC6F0000}"/>
    <cellStyle name="Normal 2 3 9 4 2" xfId="28681" xr:uid="{00000000-0005-0000-0000-0000ED6F0000}"/>
    <cellStyle name="Normal 2 3 9 4 3" xfId="28682" xr:uid="{00000000-0005-0000-0000-0000EE6F0000}"/>
    <cellStyle name="Normal 2 3 9 4 4" xfId="28683" xr:uid="{00000000-0005-0000-0000-0000EF6F0000}"/>
    <cellStyle name="Normal 2 3 9 4 5" xfId="28684" xr:uid="{00000000-0005-0000-0000-0000F06F0000}"/>
    <cellStyle name="Normal 2 3 9 4 6" xfId="28685" xr:uid="{00000000-0005-0000-0000-0000F16F0000}"/>
    <cellStyle name="Normal 2 3 9 4 7" xfId="28686" xr:uid="{00000000-0005-0000-0000-0000F26F0000}"/>
    <cellStyle name="Normal 2 3 9 4 8" xfId="28687" xr:uid="{00000000-0005-0000-0000-0000F36F0000}"/>
    <cellStyle name="Normal 2 3 9 4 9" xfId="28688" xr:uid="{00000000-0005-0000-0000-0000F46F0000}"/>
    <cellStyle name="Normal 2 3 9 5" xfId="28689" xr:uid="{00000000-0005-0000-0000-0000F56F0000}"/>
    <cellStyle name="Normal 2 3 9 5 10" xfId="28690" xr:uid="{00000000-0005-0000-0000-0000F66F0000}"/>
    <cellStyle name="Normal 2 3 9 5 2" xfId="28691" xr:uid="{00000000-0005-0000-0000-0000F76F0000}"/>
    <cellStyle name="Normal 2 3 9 5 3" xfId="28692" xr:uid="{00000000-0005-0000-0000-0000F86F0000}"/>
    <cellStyle name="Normal 2 3 9 5 4" xfId="28693" xr:uid="{00000000-0005-0000-0000-0000F96F0000}"/>
    <cellStyle name="Normal 2 3 9 5 5" xfId="28694" xr:uid="{00000000-0005-0000-0000-0000FA6F0000}"/>
    <cellStyle name="Normal 2 3 9 5 6" xfId="28695" xr:uid="{00000000-0005-0000-0000-0000FB6F0000}"/>
    <cellStyle name="Normal 2 3 9 5 7" xfId="28696" xr:uid="{00000000-0005-0000-0000-0000FC6F0000}"/>
    <cellStyle name="Normal 2 3 9 5 8" xfId="28697" xr:uid="{00000000-0005-0000-0000-0000FD6F0000}"/>
    <cellStyle name="Normal 2 3 9 5 9" xfId="28698" xr:uid="{00000000-0005-0000-0000-0000FE6F0000}"/>
    <cellStyle name="Normal 2 3 9 6" xfId="28699" xr:uid="{00000000-0005-0000-0000-0000FF6F0000}"/>
    <cellStyle name="Normal 2 3 9 7" xfId="28700" xr:uid="{00000000-0005-0000-0000-000000700000}"/>
    <cellStyle name="Normal 2 3 9 8" xfId="28701" xr:uid="{00000000-0005-0000-0000-000001700000}"/>
    <cellStyle name="Normal 2 3 9 9" xfId="28702" xr:uid="{00000000-0005-0000-0000-000002700000}"/>
    <cellStyle name="Normal 2 30" xfId="28703" xr:uid="{00000000-0005-0000-0000-000003700000}"/>
    <cellStyle name="Normal 2 30 2" xfId="28704" xr:uid="{00000000-0005-0000-0000-000004700000}"/>
    <cellStyle name="Normal 2 30 3" xfId="28705" xr:uid="{00000000-0005-0000-0000-000005700000}"/>
    <cellStyle name="Normal 2 31" xfId="28706" xr:uid="{00000000-0005-0000-0000-000006700000}"/>
    <cellStyle name="Normal 2 31 2" xfId="28707" xr:uid="{00000000-0005-0000-0000-000007700000}"/>
    <cellStyle name="Normal 2 31 2 2" xfId="28708" xr:uid="{00000000-0005-0000-0000-000008700000}"/>
    <cellStyle name="Normal 2 31 3" xfId="28709" xr:uid="{00000000-0005-0000-0000-000009700000}"/>
    <cellStyle name="Normal 2 32" xfId="28710" xr:uid="{00000000-0005-0000-0000-00000A700000}"/>
    <cellStyle name="Normal 2 32 2" xfId="28711" xr:uid="{00000000-0005-0000-0000-00000B700000}"/>
    <cellStyle name="Normal 2 32 2 2" xfId="28712" xr:uid="{00000000-0005-0000-0000-00000C700000}"/>
    <cellStyle name="Normal 2 32 3" xfId="28713" xr:uid="{00000000-0005-0000-0000-00000D700000}"/>
    <cellStyle name="Normal 2 33" xfId="28714" xr:uid="{00000000-0005-0000-0000-00000E700000}"/>
    <cellStyle name="Normal 2 33 2" xfId="28715" xr:uid="{00000000-0005-0000-0000-00000F700000}"/>
    <cellStyle name="Normal 2 33 2 2" xfId="28716" xr:uid="{00000000-0005-0000-0000-000010700000}"/>
    <cellStyle name="Normal 2 33 2 2 2" xfId="28717" xr:uid="{00000000-0005-0000-0000-000011700000}"/>
    <cellStyle name="Normal 2 33 2 2 2 2" xfId="28718" xr:uid="{00000000-0005-0000-0000-000012700000}"/>
    <cellStyle name="Normal 2 33 2 3" xfId="28719" xr:uid="{00000000-0005-0000-0000-000013700000}"/>
    <cellStyle name="Normal 2 33 2 4" xfId="28720" xr:uid="{00000000-0005-0000-0000-000014700000}"/>
    <cellStyle name="Normal 2 33 3" xfId="28721" xr:uid="{00000000-0005-0000-0000-000015700000}"/>
    <cellStyle name="Normal 2 33 3 2" xfId="28722" xr:uid="{00000000-0005-0000-0000-000016700000}"/>
    <cellStyle name="Normal 2 33 3 3" xfId="28723" xr:uid="{00000000-0005-0000-0000-000017700000}"/>
    <cellStyle name="Normal 2 33 4" xfId="28724" xr:uid="{00000000-0005-0000-0000-000018700000}"/>
    <cellStyle name="Normal 2 34" xfId="28725" xr:uid="{00000000-0005-0000-0000-000019700000}"/>
    <cellStyle name="Normal 2 34 2" xfId="28726" xr:uid="{00000000-0005-0000-0000-00001A700000}"/>
    <cellStyle name="Normal 2 34 2 2" xfId="28727" xr:uid="{00000000-0005-0000-0000-00001B700000}"/>
    <cellStyle name="Normal 2 34 3" xfId="28728" xr:uid="{00000000-0005-0000-0000-00001C700000}"/>
    <cellStyle name="Normal 2 35" xfId="28729" xr:uid="{00000000-0005-0000-0000-00001D700000}"/>
    <cellStyle name="Normal 2 35 2" xfId="28730" xr:uid="{00000000-0005-0000-0000-00001E700000}"/>
    <cellStyle name="Normal 2 35 2 2" xfId="28731" xr:uid="{00000000-0005-0000-0000-00001F700000}"/>
    <cellStyle name="Normal 2 35 3" xfId="28732" xr:uid="{00000000-0005-0000-0000-000020700000}"/>
    <cellStyle name="Normal 2 36" xfId="28733" xr:uid="{00000000-0005-0000-0000-000021700000}"/>
    <cellStyle name="Normal 2 36 2" xfId="28734" xr:uid="{00000000-0005-0000-0000-000022700000}"/>
    <cellStyle name="Normal 2 36 2 2" xfId="28735" xr:uid="{00000000-0005-0000-0000-000023700000}"/>
    <cellStyle name="Normal 2 36 3" xfId="28736" xr:uid="{00000000-0005-0000-0000-000024700000}"/>
    <cellStyle name="Normal 2 37" xfId="28737" xr:uid="{00000000-0005-0000-0000-000025700000}"/>
    <cellStyle name="Normal 2 37 2" xfId="28738" xr:uid="{00000000-0005-0000-0000-000026700000}"/>
    <cellStyle name="Normal 2 37 3" xfId="28739" xr:uid="{00000000-0005-0000-0000-000027700000}"/>
    <cellStyle name="Normal 2 38" xfId="28740" xr:uid="{00000000-0005-0000-0000-000028700000}"/>
    <cellStyle name="Normal 2 38 2" xfId="28741" xr:uid="{00000000-0005-0000-0000-000029700000}"/>
    <cellStyle name="Normal 2 38 3" xfId="28742" xr:uid="{00000000-0005-0000-0000-00002A700000}"/>
    <cellStyle name="Normal 2 39" xfId="28743" xr:uid="{00000000-0005-0000-0000-00002B700000}"/>
    <cellStyle name="Normal 2 39 2" xfId="28744" xr:uid="{00000000-0005-0000-0000-00002C700000}"/>
    <cellStyle name="Normal 2 39 3" xfId="28745" xr:uid="{00000000-0005-0000-0000-00002D700000}"/>
    <cellStyle name="Normal 2 4" xfId="12" xr:uid="{00000000-0005-0000-0000-00002E700000}"/>
    <cellStyle name="Normal 2 4 10" xfId="28746" xr:uid="{00000000-0005-0000-0000-00002F700000}"/>
    <cellStyle name="Normal 2 4 11" xfId="28747" xr:uid="{00000000-0005-0000-0000-000030700000}"/>
    <cellStyle name="Normal 2 4 12" xfId="28748" xr:uid="{00000000-0005-0000-0000-000031700000}"/>
    <cellStyle name="Normal 2 4 13" xfId="28749" xr:uid="{00000000-0005-0000-0000-000032700000}"/>
    <cellStyle name="Normal 2 4 14" xfId="28750" xr:uid="{00000000-0005-0000-0000-000033700000}"/>
    <cellStyle name="Normal 2 4 15" xfId="28751" xr:uid="{00000000-0005-0000-0000-000034700000}"/>
    <cellStyle name="Normal 2 4 16" xfId="28752" xr:uid="{00000000-0005-0000-0000-000035700000}"/>
    <cellStyle name="Normal 2 4 17" xfId="28753" xr:uid="{00000000-0005-0000-0000-000036700000}"/>
    <cellStyle name="Normal 2 4 18" xfId="28754" xr:uid="{00000000-0005-0000-0000-000037700000}"/>
    <cellStyle name="Normal 2 4 19" xfId="28755" xr:uid="{00000000-0005-0000-0000-000038700000}"/>
    <cellStyle name="Normal 2 4 2" xfId="57" xr:uid="{00000000-0005-0000-0000-000039700000}"/>
    <cellStyle name="Normal 2 4 2 10" xfId="28757" xr:uid="{00000000-0005-0000-0000-00003A700000}"/>
    <cellStyle name="Normal 2 4 2 11" xfId="28758" xr:uid="{00000000-0005-0000-0000-00003B700000}"/>
    <cellStyle name="Normal 2 4 2 12" xfId="28759" xr:uid="{00000000-0005-0000-0000-00003C700000}"/>
    <cellStyle name="Normal 2 4 2 13" xfId="28760" xr:uid="{00000000-0005-0000-0000-00003D700000}"/>
    <cellStyle name="Normal 2 4 2 14" xfId="28761" xr:uid="{00000000-0005-0000-0000-00003E700000}"/>
    <cellStyle name="Normal 2 4 2 15" xfId="28762" xr:uid="{00000000-0005-0000-0000-00003F700000}"/>
    <cellStyle name="Normal 2 4 2 16" xfId="28763" xr:uid="{00000000-0005-0000-0000-000040700000}"/>
    <cellStyle name="Normal 2 4 2 17" xfId="28764" xr:uid="{00000000-0005-0000-0000-000041700000}"/>
    <cellStyle name="Normal 2 4 2 18" xfId="28765" xr:uid="{00000000-0005-0000-0000-000042700000}"/>
    <cellStyle name="Normal 2 4 2 18 2" xfId="28766" xr:uid="{00000000-0005-0000-0000-000043700000}"/>
    <cellStyle name="Normal 2 4 2 18 2 2" xfId="28767" xr:uid="{00000000-0005-0000-0000-000044700000}"/>
    <cellStyle name="Normal 2 4 2 18 2 2 2" xfId="28768" xr:uid="{00000000-0005-0000-0000-000045700000}"/>
    <cellStyle name="Normal 2 4 2 18 2 2 2 2" xfId="28769" xr:uid="{00000000-0005-0000-0000-000046700000}"/>
    <cellStyle name="Normal 2 4 2 18 2 3" xfId="28770" xr:uid="{00000000-0005-0000-0000-000047700000}"/>
    <cellStyle name="Normal 2 4 2 18 3" xfId="28771" xr:uid="{00000000-0005-0000-0000-000048700000}"/>
    <cellStyle name="Normal 2 4 2 18 3 2" xfId="28772" xr:uid="{00000000-0005-0000-0000-000049700000}"/>
    <cellStyle name="Normal 2 4 2 19" xfId="28773" xr:uid="{00000000-0005-0000-0000-00004A700000}"/>
    <cellStyle name="Normal 2 4 2 2" xfId="28774" xr:uid="{00000000-0005-0000-0000-00004B700000}"/>
    <cellStyle name="Normal 2 4 2 2 2" xfId="28775" xr:uid="{00000000-0005-0000-0000-00004C700000}"/>
    <cellStyle name="Normal 2 4 2 20" xfId="28776" xr:uid="{00000000-0005-0000-0000-00004D700000}"/>
    <cellStyle name="Normal 2 4 2 21" xfId="28756" xr:uid="{00000000-0005-0000-0000-00004E700000}"/>
    <cellStyle name="Normal 2 4 2 3" xfId="28777" xr:uid="{00000000-0005-0000-0000-00004F700000}"/>
    <cellStyle name="Normal 2 4 2 4" xfId="28778" xr:uid="{00000000-0005-0000-0000-000050700000}"/>
    <cellStyle name="Normal 2 4 2 5" xfId="28779" xr:uid="{00000000-0005-0000-0000-000051700000}"/>
    <cellStyle name="Normal 2 4 2 6" xfId="28780" xr:uid="{00000000-0005-0000-0000-000052700000}"/>
    <cellStyle name="Normal 2 4 2 7" xfId="28781" xr:uid="{00000000-0005-0000-0000-000053700000}"/>
    <cellStyle name="Normal 2 4 2 8" xfId="28782" xr:uid="{00000000-0005-0000-0000-000054700000}"/>
    <cellStyle name="Normal 2 4 2 9" xfId="28783" xr:uid="{00000000-0005-0000-0000-000055700000}"/>
    <cellStyle name="Normal 2 4 3" xfId="28784" xr:uid="{00000000-0005-0000-0000-000056700000}"/>
    <cellStyle name="Normal 2 4 3 2" xfId="28785" xr:uid="{00000000-0005-0000-0000-000057700000}"/>
    <cellStyle name="Normal 2 4 3 3" xfId="28786" xr:uid="{00000000-0005-0000-0000-000058700000}"/>
    <cellStyle name="Normal 2 4 4" xfId="28787" xr:uid="{00000000-0005-0000-0000-000059700000}"/>
    <cellStyle name="Normal 2 4 4 2" xfId="28788" xr:uid="{00000000-0005-0000-0000-00005A700000}"/>
    <cellStyle name="Normal 2 4 4 3" xfId="28789" xr:uid="{00000000-0005-0000-0000-00005B700000}"/>
    <cellStyle name="Normal 2 4 5" xfId="28790" xr:uid="{00000000-0005-0000-0000-00005C700000}"/>
    <cellStyle name="Normal 2 4 5 2" xfId="28791" xr:uid="{00000000-0005-0000-0000-00005D700000}"/>
    <cellStyle name="Normal 2 4 6" xfId="28792" xr:uid="{00000000-0005-0000-0000-00005E700000}"/>
    <cellStyle name="Normal 2 4 6 2" xfId="28793" xr:uid="{00000000-0005-0000-0000-00005F700000}"/>
    <cellStyle name="Normal 2 4 7" xfId="28794" xr:uid="{00000000-0005-0000-0000-000060700000}"/>
    <cellStyle name="Normal 2 4 8" xfId="28795" xr:uid="{00000000-0005-0000-0000-000061700000}"/>
    <cellStyle name="Normal 2 4 9" xfId="28796" xr:uid="{00000000-0005-0000-0000-000062700000}"/>
    <cellStyle name="Normal 2 40" xfId="28797" xr:uid="{00000000-0005-0000-0000-000063700000}"/>
    <cellStyle name="Normal 2 40 2" xfId="28798" xr:uid="{00000000-0005-0000-0000-000064700000}"/>
    <cellStyle name="Normal 2 40 3" xfId="28799" xr:uid="{00000000-0005-0000-0000-000065700000}"/>
    <cellStyle name="Normal 2 41" xfId="21" xr:uid="{00000000-0005-0000-0000-000066700000}"/>
    <cellStyle name="Normal 2 41 2" xfId="28800" xr:uid="{00000000-0005-0000-0000-000067700000}"/>
    <cellStyle name="Normal 2 41 2 2" xfId="28801" xr:uid="{00000000-0005-0000-0000-000068700000}"/>
    <cellStyle name="Normal 2 41 3" xfId="28802" xr:uid="{00000000-0005-0000-0000-000069700000}"/>
    <cellStyle name="Normal 2 41 4" xfId="28803" xr:uid="{00000000-0005-0000-0000-00006A700000}"/>
    <cellStyle name="Normal 2 41 5" xfId="28804" xr:uid="{00000000-0005-0000-0000-00006B700000}"/>
    <cellStyle name="Normal 2 41 6" xfId="28805" xr:uid="{00000000-0005-0000-0000-00006C700000}"/>
    <cellStyle name="Normal 2 41 7" xfId="28806" xr:uid="{00000000-0005-0000-0000-00006D700000}"/>
    <cellStyle name="Normal 2 41 8" xfId="28807" xr:uid="{00000000-0005-0000-0000-00006E700000}"/>
    <cellStyle name="Normal 2 41 8 2" xfId="28808" xr:uid="{00000000-0005-0000-0000-00006F700000}"/>
    <cellStyle name="Normal 2 41 9" xfId="28809" xr:uid="{00000000-0005-0000-0000-000070700000}"/>
    <cellStyle name="Normal 2 42" xfId="28810" xr:uid="{00000000-0005-0000-0000-000071700000}"/>
    <cellStyle name="Normal 2 42 2" xfId="28811" xr:uid="{00000000-0005-0000-0000-000072700000}"/>
    <cellStyle name="Normal 2 42 3" xfId="28812" xr:uid="{00000000-0005-0000-0000-000073700000}"/>
    <cellStyle name="Normal 2 42 4" xfId="28813" xr:uid="{00000000-0005-0000-0000-000074700000}"/>
    <cellStyle name="Normal 2 42 5" xfId="28814" xr:uid="{00000000-0005-0000-0000-000075700000}"/>
    <cellStyle name="Normal 2 42 6" xfId="28815" xr:uid="{00000000-0005-0000-0000-000076700000}"/>
    <cellStyle name="Normal 2 42 7" xfId="28816" xr:uid="{00000000-0005-0000-0000-000077700000}"/>
    <cellStyle name="Normal 2 42 8" xfId="28817" xr:uid="{00000000-0005-0000-0000-000078700000}"/>
    <cellStyle name="Normal 2 43" xfId="28818" xr:uid="{00000000-0005-0000-0000-000079700000}"/>
    <cellStyle name="Normal 2 43 2" xfId="28819" xr:uid="{00000000-0005-0000-0000-00007A700000}"/>
    <cellStyle name="Normal 2 43 3" xfId="28820" xr:uid="{00000000-0005-0000-0000-00007B700000}"/>
    <cellStyle name="Normal 2 44" xfId="28821" xr:uid="{00000000-0005-0000-0000-00007C700000}"/>
    <cellStyle name="Normal 2 44 2" xfId="28822" xr:uid="{00000000-0005-0000-0000-00007D700000}"/>
    <cellStyle name="Normal 2 44 3" xfId="28823" xr:uid="{00000000-0005-0000-0000-00007E700000}"/>
    <cellStyle name="Normal 2 45" xfId="28824" xr:uid="{00000000-0005-0000-0000-00007F700000}"/>
    <cellStyle name="Normal 2 45 2" xfId="28825" xr:uid="{00000000-0005-0000-0000-000080700000}"/>
    <cellStyle name="Normal 2 45 3" xfId="28826" xr:uid="{00000000-0005-0000-0000-000081700000}"/>
    <cellStyle name="Normal 2 46" xfId="28827" xr:uid="{00000000-0005-0000-0000-000082700000}"/>
    <cellStyle name="Normal 2 46 2" xfId="28828" xr:uid="{00000000-0005-0000-0000-000083700000}"/>
    <cellStyle name="Normal 2 46 3" xfId="28829" xr:uid="{00000000-0005-0000-0000-000084700000}"/>
    <cellStyle name="Normal 2 47" xfId="28830" xr:uid="{00000000-0005-0000-0000-000085700000}"/>
    <cellStyle name="Normal 2 47 2" xfId="28831" xr:uid="{00000000-0005-0000-0000-000086700000}"/>
    <cellStyle name="Normal 2 47 3" xfId="28832" xr:uid="{00000000-0005-0000-0000-000087700000}"/>
    <cellStyle name="Normal 2 48" xfId="28833" xr:uid="{00000000-0005-0000-0000-000088700000}"/>
    <cellStyle name="Normal 2 48 2" xfId="28834" xr:uid="{00000000-0005-0000-0000-000089700000}"/>
    <cellStyle name="Normal 2 48 3" xfId="28835" xr:uid="{00000000-0005-0000-0000-00008A700000}"/>
    <cellStyle name="Normal 2 49" xfId="28836" xr:uid="{00000000-0005-0000-0000-00008B700000}"/>
    <cellStyle name="Normal 2 49 2" xfId="28837" xr:uid="{00000000-0005-0000-0000-00008C700000}"/>
    <cellStyle name="Normal 2 49 3" xfId="28838" xr:uid="{00000000-0005-0000-0000-00008D700000}"/>
    <cellStyle name="Normal 2 5" xfId="34" xr:uid="{00000000-0005-0000-0000-00008E700000}"/>
    <cellStyle name="Normal 2 5 10" xfId="28840" xr:uid="{00000000-0005-0000-0000-00008F700000}"/>
    <cellStyle name="Normal 2 5 11" xfId="28841" xr:uid="{00000000-0005-0000-0000-000090700000}"/>
    <cellStyle name="Normal 2 5 12" xfId="28842" xr:uid="{00000000-0005-0000-0000-000091700000}"/>
    <cellStyle name="Normal 2 5 13" xfId="28843" xr:uid="{00000000-0005-0000-0000-000092700000}"/>
    <cellStyle name="Normal 2 5 14" xfId="28844" xr:uid="{00000000-0005-0000-0000-000093700000}"/>
    <cellStyle name="Normal 2 5 15" xfId="28845" xr:uid="{00000000-0005-0000-0000-000094700000}"/>
    <cellStyle name="Normal 2 5 16" xfId="28846" xr:uid="{00000000-0005-0000-0000-000095700000}"/>
    <cellStyle name="Normal 2 5 17" xfId="28847" xr:uid="{00000000-0005-0000-0000-000096700000}"/>
    <cellStyle name="Normal 2 5 18" xfId="28848" xr:uid="{00000000-0005-0000-0000-000097700000}"/>
    <cellStyle name="Normal 2 5 19" xfId="28849" xr:uid="{00000000-0005-0000-0000-000098700000}"/>
    <cellStyle name="Normal 2 5 2" xfId="28850" xr:uid="{00000000-0005-0000-0000-000099700000}"/>
    <cellStyle name="Normal 2 5 2 10" xfId="28851" xr:uid="{00000000-0005-0000-0000-00009A700000}"/>
    <cellStyle name="Normal 2 5 2 11" xfId="28852" xr:uid="{00000000-0005-0000-0000-00009B700000}"/>
    <cellStyle name="Normal 2 5 2 12" xfId="28853" xr:uid="{00000000-0005-0000-0000-00009C700000}"/>
    <cellStyle name="Normal 2 5 2 13" xfId="28854" xr:uid="{00000000-0005-0000-0000-00009D700000}"/>
    <cellStyle name="Normal 2 5 2 14" xfId="28855" xr:uid="{00000000-0005-0000-0000-00009E700000}"/>
    <cellStyle name="Normal 2 5 2 15" xfId="28856" xr:uid="{00000000-0005-0000-0000-00009F700000}"/>
    <cellStyle name="Normal 2 5 2 16" xfId="28857" xr:uid="{00000000-0005-0000-0000-0000A0700000}"/>
    <cellStyle name="Normal 2 5 2 17" xfId="28858" xr:uid="{00000000-0005-0000-0000-0000A1700000}"/>
    <cellStyle name="Normal 2 5 2 18" xfId="28859" xr:uid="{00000000-0005-0000-0000-0000A2700000}"/>
    <cellStyle name="Normal 2 5 2 19" xfId="28860" xr:uid="{00000000-0005-0000-0000-0000A3700000}"/>
    <cellStyle name="Normal 2 5 2 2" xfId="28861" xr:uid="{00000000-0005-0000-0000-0000A4700000}"/>
    <cellStyle name="Normal 2 5 2 2 10" xfId="28862" xr:uid="{00000000-0005-0000-0000-0000A5700000}"/>
    <cellStyle name="Normal 2 5 2 2 11" xfId="28863" xr:uid="{00000000-0005-0000-0000-0000A6700000}"/>
    <cellStyle name="Normal 2 5 2 2 12" xfId="28864" xr:uid="{00000000-0005-0000-0000-0000A7700000}"/>
    <cellStyle name="Normal 2 5 2 2 13" xfId="28865" xr:uid="{00000000-0005-0000-0000-0000A8700000}"/>
    <cellStyle name="Normal 2 5 2 2 14" xfId="28866" xr:uid="{00000000-0005-0000-0000-0000A9700000}"/>
    <cellStyle name="Normal 2 5 2 2 15" xfId="28867" xr:uid="{00000000-0005-0000-0000-0000AA700000}"/>
    <cellStyle name="Normal 2 5 2 2 16" xfId="28868" xr:uid="{00000000-0005-0000-0000-0000AB700000}"/>
    <cellStyle name="Normal 2 5 2 2 17" xfId="28869" xr:uid="{00000000-0005-0000-0000-0000AC700000}"/>
    <cellStyle name="Normal 2 5 2 2 18" xfId="28870" xr:uid="{00000000-0005-0000-0000-0000AD700000}"/>
    <cellStyle name="Normal 2 5 2 2 19" xfId="28871" xr:uid="{00000000-0005-0000-0000-0000AE700000}"/>
    <cellStyle name="Normal 2 5 2 2 2" xfId="28872" xr:uid="{00000000-0005-0000-0000-0000AF700000}"/>
    <cellStyle name="Normal 2 5 2 2 20" xfId="28873" xr:uid="{00000000-0005-0000-0000-0000B0700000}"/>
    <cellStyle name="Normal 2 5 2 2 3" xfId="28874" xr:uid="{00000000-0005-0000-0000-0000B1700000}"/>
    <cellStyle name="Normal 2 5 2 2 4" xfId="28875" xr:uid="{00000000-0005-0000-0000-0000B2700000}"/>
    <cellStyle name="Normal 2 5 2 2 5" xfId="28876" xr:uid="{00000000-0005-0000-0000-0000B3700000}"/>
    <cellStyle name="Normal 2 5 2 2 6" xfId="28877" xr:uid="{00000000-0005-0000-0000-0000B4700000}"/>
    <cellStyle name="Normal 2 5 2 2 7" xfId="28878" xr:uid="{00000000-0005-0000-0000-0000B5700000}"/>
    <cellStyle name="Normal 2 5 2 2 8" xfId="28879" xr:uid="{00000000-0005-0000-0000-0000B6700000}"/>
    <cellStyle name="Normal 2 5 2 2 9" xfId="28880" xr:uid="{00000000-0005-0000-0000-0000B7700000}"/>
    <cellStyle name="Normal 2 5 2 20" xfId="28881" xr:uid="{00000000-0005-0000-0000-0000B8700000}"/>
    <cellStyle name="Normal 2 5 2 21" xfId="28882" xr:uid="{00000000-0005-0000-0000-0000B9700000}"/>
    <cellStyle name="Normal 2 5 2 22" xfId="28883" xr:uid="{00000000-0005-0000-0000-0000BA700000}"/>
    <cellStyle name="Normal 2 5 2 23" xfId="28884" xr:uid="{00000000-0005-0000-0000-0000BB700000}"/>
    <cellStyle name="Normal 2 5 2 3" xfId="28885" xr:uid="{00000000-0005-0000-0000-0000BC700000}"/>
    <cellStyle name="Normal 2 5 2 4" xfId="28886" xr:uid="{00000000-0005-0000-0000-0000BD700000}"/>
    <cellStyle name="Normal 2 5 2 5" xfId="28887" xr:uid="{00000000-0005-0000-0000-0000BE700000}"/>
    <cellStyle name="Normal 2 5 2 6" xfId="28888" xr:uid="{00000000-0005-0000-0000-0000BF700000}"/>
    <cellStyle name="Normal 2 5 2 7" xfId="28889" xr:uid="{00000000-0005-0000-0000-0000C0700000}"/>
    <cellStyle name="Normal 2 5 2 8" xfId="28890" xr:uid="{00000000-0005-0000-0000-0000C1700000}"/>
    <cellStyle name="Normal 2 5 2 9" xfId="28891" xr:uid="{00000000-0005-0000-0000-0000C2700000}"/>
    <cellStyle name="Normal 2 5 20" xfId="28892" xr:uid="{00000000-0005-0000-0000-0000C3700000}"/>
    <cellStyle name="Normal 2 5 21" xfId="28893" xr:uid="{00000000-0005-0000-0000-0000C4700000}"/>
    <cellStyle name="Normal 2 5 22" xfId="28894" xr:uid="{00000000-0005-0000-0000-0000C5700000}"/>
    <cellStyle name="Normal 2 5 23" xfId="28895" xr:uid="{00000000-0005-0000-0000-0000C6700000}"/>
    <cellStyle name="Normal 2 5 24" xfId="28896" xr:uid="{00000000-0005-0000-0000-0000C7700000}"/>
    <cellStyle name="Normal 2 5 25" xfId="28897" xr:uid="{00000000-0005-0000-0000-0000C8700000}"/>
    <cellStyle name="Normal 2 5 26" xfId="28898" xr:uid="{00000000-0005-0000-0000-0000C9700000}"/>
    <cellStyle name="Normal 2 5 27" xfId="28899" xr:uid="{00000000-0005-0000-0000-0000CA700000}"/>
    <cellStyle name="Normal 2 5 28" xfId="28900" xr:uid="{00000000-0005-0000-0000-0000CB700000}"/>
    <cellStyle name="Normal 2 5 29" xfId="28901" xr:uid="{00000000-0005-0000-0000-0000CC700000}"/>
    <cellStyle name="Normal 2 5 3" xfId="28902" xr:uid="{00000000-0005-0000-0000-0000CD700000}"/>
    <cellStyle name="Normal 2 5 3 2" xfId="28903" xr:uid="{00000000-0005-0000-0000-0000CE700000}"/>
    <cellStyle name="Normal 2 5 3 3" xfId="28904" xr:uid="{00000000-0005-0000-0000-0000CF700000}"/>
    <cellStyle name="Normal 2 5 3 4" xfId="28905" xr:uid="{00000000-0005-0000-0000-0000D0700000}"/>
    <cellStyle name="Normal 2 5 30" xfId="28906" xr:uid="{00000000-0005-0000-0000-0000D1700000}"/>
    <cellStyle name="Normal 2 5 31" xfId="28907" xr:uid="{00000000-0005-0000-0000-0000D2700000}"/>
    <cellStyle name="Normal 2 5 32" xfId="28908" xr:uid="{00000000-0005-0000-0000-0000D3700000}"/>
    <cellStyle name="Normal 2 5 33" xfId="28909" xr:uid="{00000000-0005-0000-0000-0000D4700000}"/>
    <cellStyle name="Normal 2 5 34" xfId="28910" xr:uid="{00000000-0005-0000-0000-0000D5700000}"/>
    <cellStyle name="Normal 2 5 35" xfId="28911" xr:uid="{00000000-0005-0000-0000-0000D6700000}"/>
    <cellStyle name="Normal 2 5 36" xfId="28839" xr:uid="{00000000-0005-0000-0000-0000D7700000}"/>
    <cellStyle name="Normal 2 5 4" xfId="28912" xr:uid="{00000000-0005-0000-0000-0000D8700000}"/>
    <cellStyle name="Normal 2 5 4 2" xfId="28913" xr:uid="{00000000-0005-0000-0000-0000D9700000}"/>
    <cellStyle name="Normal 2 5 5" xfId="28914" xr:uid="{00000000-0005-0000-0000-0000DA700000}"/>
    <cellStyle name="Normal 2 5 5 2" xfId="28915" xr:uid="{00000000-0005-0000-0000-0000DB700000}"/>
    <cellStyle name="Normal 2 5 6" xfId="28916" xr:uid="{00000000-0005-0000-0000-0000DC700000}"/>
    <cellStyle name="Normal 2 5 6 2" xfId="28917" xr:uid="{00000000-0005-0000-0000-0000DD700000}"/>
    <cellStyle name="Normal 2 5 7" xfId="28918" xr:uid="{00000000-0005-0000-0000-0000DE700000}"/>
    <cellStyle name="Normal 2 5 7 2" xfId="28919" xr:uid="{00000000-0005-0000-0000-0000DF700000}"/>
    <cellStyle name="Normal 2 5 8" xfId="28920" xr:uid="{00000000-0005-0000-0000-0000E0700000}"/>
    <cellStyle name="Normal 2 5 9" xfId="28921" xr:uid="{00000000-0005-0000-0000-0000E1700000}"/>
    <cellStyle name="Normal 2 50" xfId="28922" xr:uid="{00000000-0005-0000-0000-0000E2700000}"/>
    <cellStyle name="Normal 2 50 2" xfId="28923" xr:uid="{00000000-0005-0000-0000-0000E3700000}"/>
    <cellStyle name="Normal 2 50 3" xfId="28924" xr:uid="{00000000-0005-0000-0000-0000E4700000}"/>
    <cellStyle name="Normal 2 51" xfId="28925" xr:uid="{00000000-0005-0000-0000-0000E5700000}"/>
    <cellStyle name="Normal 2 51 2" xfId="28926" xr:uid="{00000000-0005-0000-0000-0000E6700000}"/>
    <cellStyle name="Normal 2 51 3" xfId="28927" xr:uid="{00000000-0005-0000-0000-0000E7700000}"/>
    <cellStyle name="Normal 2 51 4" xfId="28928" xr:uid="{00000000-0005-0000-0000-0000E8700000}"/>
    <cellStyle name="Normal 2 51 5" xfId="28929" xr:uid="{00000000-0005-0000-0000-0000E9700000}"/>
    <cellStyle name="Normal 2 52" xfId="28930" xr:uid="{00000000-0005-0000-0000-0000EA700000}"/>
    <cellStyle name="Normal 2 52 2" xfId="28931" xr:uid="{00000000-0005-0000-0000-0000EB700000}"/>
    <cellStyle name="Normal 2 52 3" xfId="28932" xr:uid="{00000000-0005-0000-0000-0000EC700000}"/>
    <cellStyle name="Normal 2 52 4" xfId="28933" xr:uid="{00000000-0005-0000-0000-0000ED700000}"/>
    <cellStyle name="Normal 2 52 5" xfId="28934" xr:uid="{00000000-0005-0000-0000-0000EE700000}"/>
    <cellStyle name="Normal 2 53" xfId="28935" xr:uid="{00000000-0005-0000-0000-0000EF700000}"/>
    <cellStyle name="Normal 2 53 2" xfId="28936" xr:uid="{00000000-0005-0000-0000-0000F0700000}"/>
    <cellStyle name="Normal 2 53 3" xfId="28937" xr:uid="{00000000-0005-0000-0000-0000F1700000}"/>
    <cellStyle name="Normal 2 53 4" xfId="28938" xr:uid="{00000000-0005-0000-0000-0000F2700000}"/>
    <cellStyle name="Normal 2 53 5" xfId="28939" xr:uid="{00000000-0005-0000-0000-0000F3700000}"/>
    <cellStyle name="Normal 2 54" xfId="28940" xr:uid="{00000000-0005-0000-0000-0000F4700000}"/>
    <cellStyle name="Normal 2 54 2" xfId="28941" xr:uid="{00000000-0005-0000-0000-0000F5700000}"/>
    <cellStyle name="Normal 2 54 3" xfId="28942" xr:uid="{00000000-0005-0000-0000-0000F6700000}"/>
    <cellStyle name="Normal 2 54 4" xfId="28943" xr:uid="{00000000-0005-0000-0000-0000F7700000}"/>
    <cellStyle name="Normal 2 54 5" xfId="28944" xr:uid="{00000000-0005-0000-0000-0000F8700000}"/>
    <cellStyle name="Normal 2 55" xfId="28945" xr:uid="{00000000-0005-0000-0000-0000F9700000}"/>
    <cellStyle name="Normal 2 55 2" xfId="28946" xr:uid="{00000000-0005-0000-0000-0000FA700000}"/>
    <cellStyle name="Normal 2 55 3" xfId="28947" xr:uid="{00000000-0005-0000-0000-0000FB700000}"/>
    <cellStyle name="Normal 2 55 4" xfId="28948" xr:uid="{00000000-0005-0000-0000-0000FC700000}"/>
    <cellStyle name="Normal 2 55 5" xfId="28949" xr:uid="{00000000-0005-0000-0000-0000FD700000}"/>
    <cellStyle name="Normal 2 56" xfId="28950" xr:uid="{00000000-0005-0000-0000-0000FE700000}"/>
    <cellStyle name="Normal 2 56 2" xfId="28951" xr:uid="{00000000-0005-0000-0000-0000FF700000}"/>
    <cellStyle name="Normal 2 56 3" xfId="28952" xr:uid="{00000000-0005-0000-0000-000000710000}"/>
    <cellStyle name="Normal 2 56 4" xfId="28953" xr:uid="{00000000-0005-0000-0000-000001710000}"/>
    <cellStyle name="Normal 2 56 5" xfId="28954" xr:uid="{00000000-0005-0000-0000-000002710000}"/>
    <cellStyle name="Normal 2 57" xfId="28955" xr:uid="{00000000-0005-0000-0000-000003710000}"/>
    <cellStyle name="Normal 2 57 2" xfId="28956" xr:uid="{00000000-0005-0000-0000-000004710000}"/>
    <cellStyle name="Normal 2 57 3" xfId="28957" xr:uid="{00000000-0005-0000-0000-000005710000}"/>
    <cellStyle name="Normal 2 57 4" xfId="28958" xr:uid="{00000000-0005-0000-0000-000006710000}"/>
    <cellStyle name="Normal 2 57 5" xfId="28959" xr:uid="{00000000-0005-0000-0000-000007710000}"/>
    <cellStyle name="Normal 2 58" xfId="28960" xr:uid="{00000000-0005-0000-0000-000008710000}"/>
    <cellStyle name="Normal 2 58 2" xfId="28961" xr:uid="{00000000-0005-0000-0000-000009710000}"/>
    <cellStyle name="Normal 2 58 3" xfId="28962" xr:uid="{00000000-0005-0000-0000-00000A710000}"/>
    <cellStyle name="Normal 2 58 4" xfId="28963" xr:uid="{00000000-0005-0000-0000-00000B710000}"/>
    <cellStyle name="Normal 2 58 5" xfId="28964" xr:uid="{00000000-0005-0000-0000-00000C710000}"/>
    <cellStyle name="Normal 2 59" xfId="28965" xr:uid="{00000000-0005-0000-0000-00000D710000}"/>
    <cellStyle name="Normal 2 59 2" xfId="28966" xr:uid="{00000000-0005-0000-0000-00000E710000}"/>
    <cellStyle name="Normal 2 59 3" xfId="28967" xr:uid="{00000000-0005-0000-0000-00000F710000}"/>
    <cellStyle name="Normal 2 59 4" xfId="28968" xr:uid="{00000000-0005-0000-0000-000010710000}"/>
    <cellStyle name="Normal 2 59 5" xfId="28969" xr:uid="{00000000-0005-0000-0000-000011710000}"/>
    <cellStyle name="Normal 2 6" xfId="28970" xr:uid="{00000000-0005-0000-0000-000012710000}"/>
    <cellStyle name="Normal 2 6 10" xfId="28971" xr:uid="{00000000-0005-0000-0000-000013710000}"/>
    <cellStyle name="Normal 2 6 11" xfId="28972" xr:uid="{00000000-0005-0000-0000-000014710000}"/>
    <cellStyle name="Normal 2 6 12" xfId="28973" xr:uid="{00000000-0005-0000-0000-000015710000}"/>
    <cellStyle name="Normal 2 6 13" xfId="28974" xr:uid="{00000000-0005-0000-0000-000016710000}"/>
    <cellStyle name="Normal 2 6 14" xfId="28975" xr:uid="{00000000-0005-0000-0000-000017710000}"/>
    <cellStyle name="Normal 2 6 15" xfId="28976" xr:uid="{00000000-0005-0000-0000-000018710000}"/>
    <cellStyle name="Normal 2 6 16" xfId="28977" xr:uid="{00000000-0005-0000-0000-000019710000}"/>
    <cellStyle name="Normal 2 6 17" xfId="28978" xr:uid="{00000000-0005-0000-0000-00001A710000}"/>
    <cellStyle name="Normal 2 6 18" xfId="28979" xr:uid="{00000000-0005-0000-0000-00001B710000}"/>
    <cellStyle name="Normal 2 6 19" xfId="28980" xr:uid="{00000000-0005-0000-0000-00001C710000}"/>
    <cellStyle name="Normal 2 6 2" xfId="28981" xr:uid="{00000000-0005-0000-0000-00001D710000}"/>
    <cellStyle name="Normal 2 6 2 10" xfId="28982" xr:uid="{00000000-0005-0000-0000-00001E710000}"/>
    <cellStyle name="Normal 2 6 2 11" xfId="28983" xr:uid="{00000000-0005-0000-0000-00001F710000}"/>
    <cellStyle name="Normal 2 6 2 12" xfId="28984" xr:uid="{00000000-0005-0000-0000-000020710000}"/>
    <cellStyle name="Normal 2 6 2 13" xfId="28985" xr:uid="{00000000-0005-0000-0000-000021710000}"/>
    <cellStyle name="Normal 2 6 2 14" xfId="28986" xr:uid="{00000000-0005-0000-0000-000022710000}"/>
    <cellStyle name="Normal 2 6 2 15" xfId="28987" xr:uid="{00000000-0005-0000-0000-000023710000}"/>
    <cellStyle name="Normal 2 6 2 16" xfId="28988" xr:uid="{00000000-0005-0000-0000-000024710000}"/>
    <cellStyle name="Normal 2 6 2 17" xfId="28989" xr:uid="{00000000-0005-0000-0000-000025710000}"/>
    <cellStyle name="Normal 2 6 2 18" xfId="28990" xr:uid="{00000000-0005-0000-0000-000026710000}"/>
    <cellStyle name="Normal 2 6 2 19" xfId="28991" xr:uid="{00000000-0005-0000-0000-000027710000}"/>
    <cellStyle name="Normal 2 6 2 2" xfId="28992" xr:uid="{00000000-0005-0000-0000-000028710000}"/>
    <cellStyle name="Normal 2 6 2 20" xfId="28993" xr:uid="{00000000-0005-0000-0000-000029710000}"/>
    <cellStyle name="Normal 2 6 2 21" xfId="28994" xr:uid="{00000000-0005-0000-0000-00002A710000}"/>
    <cellStyle name="Normal 2 6 2 3" xfId="28995" xr:uid="{00000000-0005-0000-0000-00002B710000}"/>
    <cellStyle name="Normal 2 6 2 4" xfId="28996" xr:uid="{00000000-0005-0000-0000-00002C710000}"/>
    <cellStyle name="Normal 2 6 2 5" xfId="28997" xr:uid="{00000000-0005-0000-0000-00002D710000}"/>
    <cellStyle name="Normal 2 6 2 6" xfId="28998" xr:uid="{00000000-0005-0000-0000-00002E710000}"/>
    <cellStyle name="Normal 2 6 2 7" xfId="28999" xr:uid="{00000000-0005-0000-0000-00002F710000}"/>
    <cellStyle name="Normal 2 6 2 8" xfId="29000" xr:uid="{00000000-0005-0000-0000-000030710000}"/>
    <cellStyle name="Normal 2 6 2 9" xfId="29001" xr:uid="{00000000-0005-0000-0000-000031710000}"/>
    <cellStyle name="Normal 2 6 20" xfId="29002" xr:uid="{00000000-0005-0000-0000-000032710000}"/>
    <cellStyle name="Normal 2 6 21" xfId="29003" xr:uid="{00000000-0005-0000-0000-000033710000}"/>
    <cellStyle name="Normal 2 6 22" xfId="29004" xr:uid="{00000000-0005-0000-0000-000034710000}"/>
    <cellStyle name="Normal 2 6 3" xfId="29005" xr:uid="{00000000-0005-0000-0000-000035710000}"/>
    <cellStyle name="Normal 2 6 4" xfId="29006" xr:uid="{00000000-0005-0000-0000-000036710000}"/>
    <cellStyle name="Normal 2 6 5" xfId="29007" xr:uid="{00000000-0005-0000-0000-000037710000}"/>
    <cellStyle name="Normal 2 6 6" xfId="29008" xr:uid="{00000000-0005-0000-0000-000038710000}"/>
    <cellStyle name="Normal 2 6 7" xfId="29009" xr:uid="{00000000-0005-0000-0000-000039710000}"/>
    <cellStyle name="Normal 2 6 8" xfId="29010" xr:uid="{00000000-0005-0000-0000-00003A710000}"/>
    <cellStyle name="Normal 2 6 9" xfId="29011" xr:uid="{00000000-0005-0000-0000-00003B710000}"/>
    <cellStyle name="Normal 2 60" xfId="29012" xr:uid="{00000000-0005-0000-0000-00003C710000}"/>
    <cellStyle name="Normal 2 60 2" xfId="29013" xr:uid="{00000000-0005-0000-0000-00003D710000}"/>
    <cellStyle name="Normal 2 60 3" xfId="29014" xr:uid="{00000000-0005-0000-0000-00003E710000}"/>
    <cellStyle name="Normal 2 61" xfId="29015" xr:uid="{00000000-0005-0000-0000-00003F710000}"/>
    <cellStyle name="Normal 2 61 2" xfId="29016" xr:uid="{00000000-0005-0000-0000-000040710000}"/>
    <cellStyle name="Normal 2 61 3" xfId="29017" xr:uid="{00000000-0005-0000-0000-000041710000}"/>
    <cellStyle name="Normal 2 62" xfId="29018" xr:uid="{00000000-0005-0000-0000-000042710000}"/>
    <cellStyle name="Normal 2 62 2" xfId="29019" xr:uid="{00000000-0005-0000-0000-000043710000}"/>
    <cellStyle name="Normal 2 62 3" xfId="29020" xr:uid="{00000000-0005-0000-0000-000044710000}"/>
    <cellStyle name="Normal 2 63" xfId="29021" xr:uid="{00000000-0005-0000-0000-000045710000}"/>
    <cellStyle name="Normal 2 63 2" xfId="29022" xr:uid="{00000000-0005-0000-0000-000046710000}"/>
    <cellStyle name="Normal 2 63 3" xfId="29023" xr:uid="{00000000-0005-0000-0000-000047710000}"/>
    <cellStyle name="Normal 2 64" xfId="29024" xr:uid="{00000000-0005-0000-0000-000048710000}"/>
    <cellStyle name="Normal 2 64 2" xfId="29025" xr:uid="{00000000-0005-0000-0000-000049710000}"/>
    <cellStyle name="Normal 2 64 3" xfId="29026" xr:uid="{00000000-0005-0000-0000-00004A710000}"/>
    <cellStyle name="Normal 2 65" xfId="29027" xr:uid="{00000000-0005-0000-0000-00004B710000}"/>
    <cellStyle name="Normal 2 65 2" xfId="29028" xr:uid="{00000000-0005-0000-0000-00004C710000}"/>
    <cellStyle name="Normal 2 65 3" xfId="29029" xr:uid="{00000000-0005-0000-0000-00004D710000}"/>
    <cellStyle name="Normal 2 66" xfId="29030" xr:uid="{00000000-0005-0000-0000-00004E710000}"/>
    <cellStyle name="Normal 2 66 2" xfId="29031" xr:uid="{00000000-0005-0000-0000-00004F710000}"/>
    <cellStyle name="Normal 2 66 3" xfId="29032" xr:uid="{00000000-0005-0000-0000-000050710000}"/>
    <cellStyle name="Normal 2 67" xfId="29033" xr:uid="{00000000-0005-0000-0000-000051710000}"/>
    <cellStyle name="Normal 2 67 2" xfId="29034" xr:uid="{00000000-0005-0000-0000-000052710000}"/>
    <cellStyle name="Normal 2 67 3" xfId="29035" xr:uid="{00000000-0005-0000-0000-000053710000}"/>
    <cellStyle name="Normal 2 68" xfId="29036" xr:uid="{00000000-0005-0000-0000-000054710000}"/>
    <cellStyle name="Normal 2 68 2" xfId="29037" xr:uid="{00000000-0005-0000-0000-000055710000}"/>
    <cellStyle name="Normal 2 68 3" xfId="29038" xr:uid="{00000000-0005-0000-0000-000056710000}"/>
    <cellStyle name="Normal 2 69" xfId="29039" xr:uid="{00000000-0005-0000-0000-000057710000}"/>
    <cellStyle name="Normal 2 69 2" xfId="29040" xr:uid="{00000000-0005-0000-0000-000058710000}"/>
    <cellStyle name="Normal 2 69 3" xfId="29041" xr:uid="{00000000-0005-0000-0000-000059710000}"/>
    <cellStyle name="Normal 2 7" xfId="29042" xr:uid="{00000000-0005-0000-0000-00005A710000}"/>
    <cellStyle name="Normal 2 7 2" xfId="29043" xr:uid="{00000000-0005-0000-0000-00005B710000}"/>
    <cellStyle name="Normal 2 7 3" xfId="29044" xr:uid="{00000000-0005-0000-0000-00005C710000}"/>
    <cellStyle name="Normal 2 70" xfId="29045" xr:uid="{00000000-0005-0000-0000-00005D710000}"/>
    <cellStyle name="Normal 2 70 2" xfId="29046" xr:uid="{00000000-0005-0000-0000-00005E710000}"/>
    <cellStyle name="Normal 2 70 3" xfId="29047" xr:uid="{00000000-0005-0000-0000-00005F710000}"/>
    <cellStyle name="Normal 2 71" xfId="29048" xr:uid="{00000000-0005-0000-0000-000060710000}"/>
    <cellStyle name="Normal 2 71 2" xfId="29049" xr:uid="{00000000-0005-0000-0000-000061710000}"/>
    <cellStyle name="Normal 2 71 3" xfId="29050" xr:uid="{00000000-0005-0000-0000-000062710000}"/>
    <cellStyle name="Normal 2 72" xfId="29051" xr:uid="{00000000-0005-0000-0000-000063710000}"/>
    <cellStyle name="Normal 2 72 2" xfId="29052" xr:uid="{00000000-0005-0000-0000-000064710000}"/>
    <cellStyle name="Normal 2 72 3" xfId="29053" xr:uid="{00000000-0005-0000-0000-000065710000}"/>
    <cellStyle name="Normal 2 73" xfId="29054" xr:uid="{00000000-0005-0000-0000-000066710000}"/>
    <cellStyle name="Normal 2 73 2" xfId="29055" xr:uid="{00000000-0005-0000-0000-000067710000}"/>
    <cellStyle name="Normal 2 73 3" xfId="29056" xr:uid="{00000000-0005-0000-0000-000068710000}"/>
    <cellStyle name="Normal 2 74" xfId="29057" xr:uid="{00000000-0005-0000-0000-000069710000}"/>
    <cellStyle name="Normal 2 74 2" xfId="29058" xr:uid="{00000000-0005-0000-0000-00006A710000}"/>
    <cellStyle name="Normal 2 74 3" xfId="29059" xr:uid="{00000000-0005-0000-0000-00006B710000}"/>
    <cellStyle name="Normal 2 75" xfId="29060" xr:uid="{00000000-0005-0000-0000-00006C710000}"/>
    <cellStyle name="Normal 2 76" xfId="29061" xr:uid="{00000000-0005-0000-0000-00006D710000}"/>
    <cellStyle name="Normal 2 77" xfId="29062" xr:uid="{00000000-0005-0000-0000-00006E710000}"/>
    <cellStyle name="Normal 2 78" xfId="29063" xr:uid="{00000000-0005-0000-0000-00006F710000}"/>
    <cellStyle name="Normal 2 79" xfId="29064" xr:uid="{00000000-0005-0000-0000-000070710000}"/>
    <cellStyle name="Normal 2 8" xfId="29065" xr:uid="{00000000-0005-0000-0000-000071710000}"/>
    <cellStyle name="Normal 2 8 2" xfId="29066" xr:uid="{00000000-0005-0000-0000-000072710000}"/>
    <cellStyle name="Normal 2 8 3" xfId="29067" xr:uid="{00000000-0005-0000-0000-000073710000}"/>
    <cellStyle name="Normal 2 80" xfId="29068" xr:uid="{00000000-0005-0000-0000-000074710000}"/>
    <cellStyle name="Normal 2 81" xfId="29069" xr:uid="{00000000-0005-0000-0000-000075710000}"/>
    <cellStyle name="Normal 2 82" xfId="29070" xr:uid="{00000000-0005-0000-0000-000076710000}"/>
    <cellStyle name="Normal 2 82 2" xfId="29071" xr:uid="{00000000-0005-0000-0000-000077710000}"/>
    <cellStyle name="Normal 2 82 2 2" xfId="29072" xr:uid="{00000000-0005-0000-0000-000078710000}"/>
    <cellStyle name="Normal 2 82 2 3" xfId="29073" xr:uid="{00000000-0005-0000-0000-000079710000}"/>
    <cellStyle name="Normal 2 82 3" xfId="29074" xr:uid="{00000000-0005-0000-0000-00007A710000}"/>
    <cellStyle name="Normal 2 82 4" xfId="29075" xr:uid="{00000000-0005-0000-0000-00007B710000}"/>
    <cellStyle name="Normal 2 83" xfId="29076" xr:uid="{00000000-0005-0000-0000-00007C710000}"/>
    <cellStyle name="Normal 2 83 2" xfId="29077" xr:uid="{00000000-0005-0000-0000-00007D710000}"/>
    <cellStyle name="Normal 2 84" xfId="29078" xr:uid="{00000000-0005-0000-0000-00007E710000}"/>
    <cellStyle name="Normal 2 84 2" xfId="29079" xr:uid="{00000000-0005-0000-0000-00007F710000}"/>
    <cellStyle name="Normal 2 85" xfId="29080" xr:uid="{00000000-0005-0000-0000-000080710000}"/>
    <cellStyle name="Normal 2 85 2" xfId="29081" xr:uid="{00000000-0005-0000-0000-000081710000}"/>
    <cellStyle name="Normal 2 85 2 2" xfId="29082" xr:uid="{00000000-0005-0000-0000-000082710000}"/>
    <cellStyle name="Normal 2 85 3" xfId="29083" xr:uid="{00000000-0005-0000-0000-000083710000}"/>
    <cellStyle name="Normal 2 85 4" xfId="29084" xr:uid="{00000000-0005-0000-0000-000084710000}"/>
    <cellStyle name="Normal 2 85 5" xfId="29085" xr:uid="{00000000-0005-0000-0000-000085710000}"/>
    <cellStyle name="Normal 2 86" xfId="29086" xr:uid="{00000000-0005-0000-0000-000086710000}"/>
    <cellStyle name="Normal 2 86 2" xfId="29087" xr:uid="{00000000-0005-0000-0000-000087710000}"/>
    <cellStyle name="Normal 2 86 2 2" xfId="29088" xr:uid="{00000000-0005-0000-0000-000088710000}"/>
    <cellStyle name="Normal 2 86 3" xfId="29089" xr:uid="{00000000-0005-0000-0000-000089710000}"/>
    <cellStyle name="Normal 2 87" xfId="29090" xr:uid="{00000000-0005-0000-0000-00008A710000}"/>
    <cellStyle name="Normal 2 87 2" xfId="29091" xr:uid="{00000000-0005-0000-0000-00008B710000}"/>
    <cellStyle name="Normal 2 87 3" xfId="29092" xr:uid="{00000000-0005-0000-0000-00008C710000}"/>
    <cellStyle name="Normal 2 87 4" xfId="29093" xr:uid="{00000000-0005-0000-0000-00008D710000}"/>
    <cellStyle name="Normal 2 87 5" xfId="29094" xr:uid="{00000000-0005-0000-0000-00008E710000}"/>
    <cellStyle name="Normal 2 88" xfId="29095" xr:uid="{00000000-0005-0000-0000-00008F710000}"/>
    <cellStyle name="Normal 2 88 2" xfId="29096" xr:uid="{00000000-0005-0000-0000-000090710000}"/>
    <cellStyle name="Normal 2 88 3" xfId="29097" xr:uid="{00000000-0005-0000-0000-000091710000}"/>
    <cellStyle name="Normal 2 88 4" xfId="29098" xr:uid="{00000000-0005-0000-0000-000092710000}"/>
    <cellStyle name="Normal 2 88 5" xfId="29099" xr:uid="{00000000-0005-0000-0000-000093710000}"/>
    <cellStyle name="Normal 2 89" xfId="29100" xr:uid="{00000000-0005-0000-0000-000094710000}"/>
    <cellStyle name="Normal 2 89 2" xfId="29101" xr:uid="{00000000-0005-0000-0000-000095710000}"/>
    <cellStyle name="Normal 2 9" xfId="29102" xr:uid="{00000000-0005-0000-0000-000096710000}"/>
    <cellStyle name="Normal 2 9 2" xfId="29103" xr:uid="{00000000-0005-0000-0000-000097710000}"/>
    <cellStyle name="Normal 2 9 3" xfId="29104" xr:uid="{00000000-0005-0000-0000-000098710000}"/>
    <cellStyle name="Normal 2 9 4" xfId="29105" xr:uid="{00000000-0005-0000-0000-000099710000}"/>
    <cellStyle name="Normal 2 9 5" xfId="29106" xr:uid="{00000000-0005-0000-0000-00009A710000}"/>
    <cellStyle name="Normal 2 9_Enlaces" xfId="29107" xr:uid="{00000000-0005-0000-0000-00009B710000}"/>
    <cellStyle name="Normal 2 90" xfId="29108" xr:uid="{00000000-0005-0000-0000-00009C710000}"/>
    <cellStyle name="Normal 2 90 2" xfId="29109" xr:uid="{00000000-0005-0000-0000-00009D710000}"/>
    <cellStyle name="Normal 2 91" xfId="29110" xr:uid="{00000000-0005-0000-0000-00009E710000}"/>
    <cellStyle name="Normal 2 91 2" xfId="29111" xr:uid="{00000000-0005-0000-0000-00009F710000}"/>
    <cellStyle name="Normal 2 92" xfId="29112" xr:uid="{00000000-0005-0000-0000-0000A0710000}"/>
    <cellStyle name="Normal 2 92 2" xfId="29113" xr:uid="{00000000-0005-0000-0000-0000A1710000}"/>
    <cellStyle name="Normal 2 93" xfId="29114" xr:uid="{00000000-0005-0000-0000-0000A2710000}"/>
    <cellStyle name="Normal 2 93 2" xfId="29115" xr:uid="{00000000-0005-0000-0000-0000A3710000}"/>
    <cellStyle name="Normal 2 94" xfId="29116" xr:uid="{00000000-0005-0000-0000-0000A4710000}"/>
    <cellStyle name="Normal 2 94 2" xfId="29117" xr:uid="{00000000-0005-0000-0000-0000A5710000}"/>
    <cellStyle name="Normal 2 95" xfId="29118" xr:uid="{00000000-0005-0000-0000-0000A6710000}"/>
    <cellStyle name="Normal 2 95 2" xfId="29119" xr:uid="{00000000-0005-0000-0000-0000A7710000}"/>
    <cellStyle name="Normal 2 96" xfId="29120" xr:uid="{00000000-0005-0000-0000-0000A8710000}"/>
    <cellStyle name="Normal 2 96 2" xfId="29121" xr:uid="{00000000-0005-0000-0000-0000A9710000}"/>
    <cellStyle name="Normal 2 97" xfId="29122" xr:uid="{00000000-0005-0000-0000-0000AA710000}"/>
    <cellStyle name="Normal 2 97 2" xfId="29123" xr:uid="{00000000-0005-0000-0000-0000AB710000}"/>
    <cellStyle name="Normal 2 98" xfId="29124" xr:uid="{00000000-0005-0000-0000-0000AC710000}"/>
    <cellStyle name="Normal 2 98 2" xfId="29125" xr:uid="{00000000-0005-0000-0000-0000AD710000}"/>
    <cellStyle name="Normal 2 99" xfId="29126" xr:uid="{00000000-0005-0000-0000-0000AE710000}"/>
    <cellStyle name="Normal 2 99 2" xfId="29127" xr:uid="{00000000-0005-0000-0000-0000AF710000}"/>
    <cellStyle name="Normal 20" xfId="29128" xr:uid="{00000000-0005-0000-0000-0000B0710000}"/>
    <cellStyle name="Normal 20 10" xfId="29129" xr:uid="{00000000-0005-0000-0000-0000B1710000}"/>
    <cellStyle name="Normal 20 11" xfId="29130" xr:uid="{00000000-0005-0000-0000-0000B2710000}"/>
    <cellStyle name="Normal 20 12" xfId="29131" xr:uid="{00000000-0005-0000-0000-0000B3710000}"/>
    <cellStyle name="Normal 20 13" xfId="29132" xr:uid="{00000000-0005-0000-0000-0000B4710000}"/>
    <cellStyle name="Normal 20 14" xfId="29133" xr:uid="{00000000-0005-0000-0000-0000B5710000}"/>
    <cellStyle name="Normal 20 15" xfId="29134" xr:uid="{00000000-0005-0000-0000-0000B6710000}"/>
    <cellStyle name="Normal 20 16" xfId="29135" xr:uid="{00000000-0005-0000-0000-0000B7710000}"/>
    <cellStyle name="Normal 20 17" xfId="29136" xr:uid="{00000000-0005-0000-0000-0000B8710000}"/>
    <cellStyle name="Normal 20 18" xfId="29137" xr:uid="{00000000-0005-0000-0000-0000B9710000}"/>
    <cellStyle name="Normal 20 19" xfId="29138" xr:uid="{00000000-0005-0000-0000-0000BA710000}"/>
    <cellStyle name="Normal 20 2" xfId="29139" xr:uid="{00000000-0005-0000-0000-0000BB710000}"/>
    <cellStyle name="Normal 20 2 2" xfId="29140" xr:uid="{00000000-0005-0000-0000-0000BC710000}"/>
    <cellStyle name="Normal 20 2 3" xfId="29141" xr:uid="{00000000-0005-0000-0000-0000BD710000}"/>
    <cellStyle name="Normal 20 2 4" xfId="29142" xr:uid="{00000000-0005-0000-0000-0000BE710000}"/>
    <cellStyle name="Normal 20 20" xfId="29143" xr:uid="{00000000-0005-0000-0000-0000BF710000}"/>
    <cellStyle name="Normal 20 21" xfId="29144" xr:uid="{00000000-0005-0000-0000-0000C0710000}"/>
    <cellStyle name="Normal 20 22" xfId="29145" xr:uid="{00000000-0005-0000-0000-0000C1710000}"/>
    <cellStyle name="Normal 20 23" xfId="29146" xr:uid="{00000000-0005-0000-0000-0000C2710000}"/>
    <cellStyle name="Normal 20 24" xfId="29147" xr:uid="{00000000-0005-0000-0000-0000C3710000}"/>
    <cellStyle name="Normal 20 25" xfId="29148" xr:uid="{00000000-0005-0000-0000-0000C4710000}"/>
    <cellStyle name="Normal 20 26" xfId="29149" xr:uid="{00000000-0005-0000-0000-0000C5710000}"/>
    <cellStyle name="Normal 20 3" xfId="29150" xr:uid="{00000000-0005-0000-0000-0000C6710000}"/>
    <cellStyle name="Normal 20 4" xfId="29151" xr:uid="{00000000-0005-0000-0000-0000C7710000}"/>
    <cellStyle name="Normal 20 5" xfId="29152" xr:uid="{00000000-0005-0000-0000-0000C8710000}"/>
    <cellStyle name="Normal 20 6" xfId="29153" xr:uid="{00000000-0005-0000-0000-0000C9710000}"/>
    <cellStyle name="Normal 20 7" xfId="29154" xr:uid="{00000000-0005-0000-0000-0000CA710000}"/>
    <cellStyle name="Normal 20 8" xfId="29155" xr:uid="{00000000-0005-0000-0000-0000CB710000}"/>
    <cellStyle name="Normal 20 9" xfId="29156" xr:uid="{00000000-0005-0000-0000-0000CC710000}"/>
    <cellStyle name="Normal 200" xfId="39232" xr:uid="{729482A8-8A0D-4C11-ADEE-7C73C9A18343}"/>
    <cellStyle name="Normal 201" xfId="39233" xr:uid="{F8558074-3957-4AFB-8F85-594567BB7AB4}"/>
    <cellStyle name="Normal 202" xfId="39234" xr:uid="{5F031282-A862-4D59-9C19-2123204028B4}"/>
    <cellStyle name="Normal 203" xfId="39235" xr:uid="{09065D28-D92D-4FA4-B02A-4A775C534BAF}"/>
    <cellStyle name="Normal 204" xfId="39236" xr:uid="{FFBD703D-743B-4D92-BBC7-53C0A30C6BD3}"/>
    <cellStyle name="Normal 205" xfId="39237" xr:uid="{02859D48-7BE5-4402-95B0-41B784FB339E}"/>
    <cellStyle name="Normal 206" xfId="39238" xr:uid="{022E3371-EB70-42D5-96CD-4F09470ADC31}"/>
    <cellStyle name="Normal 207" xfId="39239" xr:uid="{13FD3F7C-9BCE-4A59-BFE8-C0458E3CA35D}"/>
    <cellStyle name="Normal 208" xfId="39240" xr:uid="{4AC006FA-3372-46B4-BAA0-20CF2994CC71}"/>
    <cellStyle name="Normal 209" xfId="39241" xr:uid="{58B46305-5AF7-447D-A42D-7401AB2AF45E}"/>
    <cellStyle name="Normal 21" xfId="29157" xr:uid="{00000000-0005-0000-0000-0000CD710000}"/>
    <cellStyle name="Normal 21 10" xfId="29158" xr:uid="{00000000-0005-0000-0000-0000CE710000}"/>
    <cellStyle name="Normal 21 11" xfId="29159" xr:uid="{00000000-0005-0000-0000-0000CF710000}"/>
    <cellStyle name="Normal 21 12" xfId="29160" xr:uid="{00000000-0005-0000-0000-0000D0710000}"/>
    <cellStyle name="Normal 21 13" xfId="29161" xr:uid="{00000000-0005-0000-0000-0000D1710000}"/>
    <cellStyle name="Normal 21 14" xfId="29162" xr:uid="{00000000-0005-0000-0000-0000D2710000}"/>
    <cellStyle name="Normal 21 15" xfId="29163" xr:uid="{00000000-0005-0000-0000-0000D3710000}"/>
    <cellStyle name="Normal 21 16" xfId="29164" xr:uid="{00000000-0005-0000-0000-0000D4710000}"/>
    <cellStyle name="Normal 21 17" xfId="29165" xr:uid="{00000000-0005-0000-0000-0000D5710000}"/>
    <cellStyle name="Normal 21 18" xfId="29166" xr:uid="{00000000-0005-0000-0000-0000D6710000}"/>
    <cellStyle name="Normal 21 19" xfId="29167" xr:uid="{00000000-0005-0000-0000-0000D7710000}"/>
    <cellStyle name="Normal 21 2" xfId="29168" xr:uid="{00000000-0005-0000-0000-0000D8710000}"/>
    <cellStyle name="Normal 21 2 2" xfId="29169" xr:uid="{00000000-0005-0000-0000-0000D9710000}"/>
    <cellStyle name="Normal 21 2 3" xfId="29170" xr:uid="{00000000-0005-0000-0000-0000DA710000}"/>
    <cellStyle name="Normal 21 20" xfId="29171" xr:uid="{00000000-0005-0000-0000-0000DB710000}"/>
    <cellStyle name="Normal 21 21" xfId="29172" xr:uid="{00000000-0005-0000-0000-0000DC710000}"/>
    <cellStyle name="Normal 21 22" xfId="29173" xr:uid="{00000000-0005-0000-0000-0000DD710000}"/>
    <cellStyle name="Normal 21 23" xfId="29174" xr:uid="{00000000-0005-0000-0000-0000DE710000}"/>
    <cellStyle name="Normal 21 24" xfId="29175" xr:uid="{00000000-0005-0000-0000-0000DF710000}"/>
    <cellStyle name="Normal 21 25" xfId="29176" xr:uid="{00000000-0005-0000-0000-0000E0710000}"/>
    <cellStyle name="Normal 21 26" xfId="29177" xr:uid="{00000000-0005-0000-0000-0000E1710000}"/>
    <cellStyle name="Normal 21 3" xfId="29178" xr:uid="{00000000-0005-0000-0000-0000E2710000}"/>
    <cellStyle name="Normal 21 3 2" xfId="29179" xr:uid="{00000000-0005-0000-0000-0000E3710000}"/>
    <cellStyle name="Normal 21 3 3" xfId="29180" xr:uid="{00000000-0005-0000-0000-0000E4710000}"/>
    <cellStyle name="Normal 21 4" xfId="29181" xr:uid="{00000000-0005-0000-0000-0000E5710000}"/>
    <cellStyle name="Normal 21 5" xfId="29182" xr:uid="{00000000-0005-0000-0000-0000E6710000}"/>
    <cellStyle name="Normal 21 6" xfId="29183" xr:uid="{00000000-0005-0000-0000-0000E7710000}"/>
    <cellStyle name="Normal 21 7" xfId="29184" xr:uid="{00000000-0005-0000-0000-0000E8710000}"/>
    <cellStyle name="Normal 21 8" xfId="29185" xr:uid="{00000000-0005-0000-0000-0000E9710000}"/>
    <cellStyle name="Normal 21 9" xfId="29186" xr:uid="{00000000-0005-0000-0000-0000EA710000}"/>
    <cellStyle name="Normal 210" xfId="39242" xr:uid="{CC02FBAF-68F5-4BA0-854B-392EBE7F8C59}"/>
    <cellStyle name="Normal 211" xfId="39243" xr:uid="{A80269C7-B7E0-4999-9A6F-55934096208B}"/>
    <cellStyle name="Normal 212" xfId="39244" xr:uid="{DF49ED4F-A569-42CC-88B1-60DF3ADAB028}"/>
    <cellStyle name="Normal 213" xfId="39245" xr:uid="{C3E274A0-6D3C-40BF-B5EC-31226CEBF058}"/>
    <cellStyle name="Normal 214" xfId="39246" xr:uid="{B039948A-C1AF-45C5-AEF3-D9C5718DE4E8}"/>
    <cellStyle name="Normal 22" xfId="29187" xr:uid="{00000000-0005-0000-0000-0000EB710000}"/>
    <cellStyle name="Normal 22 10" xfId="29188" xr:uid="{00000000-0005-0000-0000-0000EC710000}"/>
    <cellStyle name="Normal 22 11" xfId="29189" xr:uid="{00000000-0005-0000-0000-0000ED710000}"/>
    <cellStyle name="Normal 22 12" xfId="29190" xr:uid="{00000000-0005-0000-0000-0000EE710000}"/>
    <cellStyle name="Normal 22 13" xfId="29191" xr:uid="{00000000-0005-0000-0000-0000EF710000}"/>
    <cellStyle name="Normal 22 14" xfId="29192" xr:uid="{00000000-0005-0000-0000-0000F0710000}"/>
    <cellStyle name="Normal 22 15" xfId="29193" xr:uid="{00000000-0005-0000-0000-0000F1710000}"/>
    <cellStyle name="Normal 22 16" xfId="29194" xr:uid="{00000000-0005-0000-0000-0000F2710000}"/>
    <cellStyle name="Normal 22 17" xfId="29195" xr:uid="{00000000-0005-0000-0000-0000F3710000}"/>
    <cellStyle name="Normal 22 18" xfId="29196" xr:uid="{00000000-0005-0000-0000-0000F4710000}"/>
    <cellStyle name="Normal 22 19" xfId="29197" xr:uid="{00000000-0005-0000-0000-0000F5710000}"/>
    <cellStyle name="Normal 22 2" xfId="29198" xr:uid="{00000000-0005-0000-0000-0000F6710000}"/>
    <cellStyle name="Normal 22 2 2" xfId="29199" xr:uid="{00000000-0005-0000-0000-0000F7710000}"/>
    <cellStyle name="Normal 22 2 3" xfId="29200" xr:uid="{00000000-0005-0000-0000-0000F8710000}"/>
    <cellStyle name="Normal 22 20" xfId="29201" xr:uid="{00000000-0005-0000-0000-0000F9710000}"/>
    <cellStyle name="Normal 22 21" xfId="29202" xr:uid="{00000000-0005-0000-0000-0000FA710000}"/>
    <cellStyle name="Normal 22 22" xfId="29203" xr:uid="{00000000-0005-0000-0000-0000FB710000}"/>
    <cellStyle name="Normal 22 23" xfId="29204" xr:uid="{00000000-0005-0000-0000-0000FC710000}"/>
    <cellStyle name="Normal 22 24" xfId="29205" xr:uid="{00000000-0005-0000-0000-0000FD710000}"/>
    <cellStyle name="Normal 22 25" xfId="29206" xr:uid="{00000000-0005-0000-0000-0000FE710000}"/>
    <cellStyle name="Normal 22 26" xfId="29207" xr:uid="{00000000-0005-0000-0000-0000FF710000}"/>
    <cellStyle name="Normal 22 3" xfId="29208" xr:uid="{00000000-0005-0000-0000-000000720000}"/>
    <cellStyle name="Normal 22 3 2" xfId="29209" xr:uid="{00000000-0005-0000-0000-000001720000}"/>
    <cellStyle name="Normal 22 3 3" xfId="29210" xr:uid="{00000000-0005-0000-0000-000002720000}"/>
    <cellStyle name="Normal 22 3 4" xfId="29211" xr:uid="{00000000-0005-0000-0000-000003720000}"/>
    <cellStyle name="Normal 22 3 5" xfId="29212" xr:uid="{00000000-0005-0000-0000-000004720000}"/>
    <cellStyle name="Normal 22 4" xfId="29213" xr:uid="{00000000-0005-0000-0000-000005720000}"/>
    <cellStyle name="Normal 22 5" xfId="29214" xr:uid="{00000000-0005-0000-0000-000006720000}"/>
    <cellStyle name="Normal 22 6" xfId="29215" xr:uid="{00000000-0005-0000-0000-000007720000}"/>
    <cellStyle name="Normal 22 7" xfId="29216" xr:uid="{00000000-0005-0000-0000-000008720000}"/>
    <cellStyle name="Normal 22 8" xfId="29217" xr:uid="{00000000-0005-0000-0000-000009720000}"/>
    <cellStyle name="Normal 22 9" xfId="29218" xr:uid="{00000000-0005-0000-0000-00000A720000}"/>
    <cellStyle name="Normal 23" xfId="29219" xr:uid="{00000000-0005-0000-0000-00000B720000}"/>
    <cellStyle name="Normal 23 10" xfId="29220" xr:uid="{00000000-0005-0000-0000-00000C720000}"/>
    <cellStyle name="Normal 23 11" xfId="29221" xr:uid="{00000000-0005-0000-0000-00000D720000}"/>
    <cellStyle name="Normal 23 12" xfId="29222" xr:uid="{00000000-0005-0000-0000-00000E720000}"/>
    <cellStyle name="Normal 23 13" xfId="29223" xr:uid="{00000000-0005-0000-0000-00000F720000}"/>
    <cellStyle name="Normal 23 14" xfId="29224" xr:uid="{00000000-0005-0000-0000-000010720000}"/>
    <cellStyle name="Normal 23 15" xfId="29225" xr:uid="{00000000-0005-0000-0000-000011720000}"/>
    <cellStyle name="Normal 23 16" xfId="29226" xr:uid="{00000000-0005-0000-0000-000012720000}"/>
    <cellStyle name="Normal 23 17" xfId="29227" xr:uid="{00000000-0005-0000-0000-000013720000}"/>
    <cellStyle name="Normal 23 18" xfId="29228" xr:uid="{00000000-0005-0000-0000-000014720000}"/>
    <cellStyle name="Normal 23 19" xfId="29229" xr:uid="{00000000-0005-0000-0000-000015720000}"/>
    <cellStyle name="Normal 23 2" xfId="29230" xr:uid="{00000000-0005-0000-0000-000016720000}"/>
    <cellStyle name="Normal 23 2 2" xfId="29231" xr:uid="{00000000-0005-0000-0000-000017720000}"/>
    <cellStyle name="Normal 23 2 3" xfId="29232" xr:uid="{00000000-0005-0000-0000-000018720000}"/>
    <cellStyle name="Normal 23 20" xfId="29233" xr:uid="{00000000-0005-0000-0000-000019720000}"/>
    <cellStyle name="Normal 23 21" xfId="29234" xr:uid="{00000000-0005-0000-0000-00001A720000}"/>
    <cellStyle name="Normal 23 22" xfId="29235" xr:uid="{00000000-0005-0000-0000-00001B720000}"/>
    <cellStyle name="Normal 23 23" xfId="29236" xr:uid="{00000000-0005-0000-0000-00001C720000}"/>
    <cellStyle name="Normal 23 24" xfId="29237" xr:uid="{00000000-0005-0000-0000-00001D720000}"/>
    <cellStyle name="Normal 23 25" xfId="29238" xr:uid="{00000000-0005-0000-0000-00001E720000}"/>
    <cellStyle name="Normal 23 26" xfId="29239" xr:uid="{00000000-0005-0000-0000-00001F720000}"/>
    <cellStyle name="Normal 23 3" xfId="29240" xr:uid="{00000000-0005-0000-0000-000020720000}"/>
    <cellStyle name="Normal 23 3 2" xfId="29241" xr:uid="{00000000-0005-0000-0000-000021720000}"/>
    <cellStyle name="Normal 23 3 3" xfId="29242" xr:uid="{00000000-0005-0000-0000-000022720000}"/>
    <cellStyle name="Normal 23 3 4" xfId="29243" xr:uid="{00000000-0005-0000-0000-000023720000}"/>
    <cellStyle name="Normal 23 3 5" xfId="29244" xr:uid="{00000000-0005-0000-0000-000024720000}"/>
    <cellStyle name="Normal 23 4" xfId="29245" xr:uid="{00000000-0005-0000-0000-000025720000}"/>
    <cellStyle name="Normal 23 5" xfId="29246" xr:uid="{00000000-0005-0000-0000-000026720000}"/>
    <cellStyle name="Normal 23 6" xfId="29247" xr:uid="{00000000-0005-0000-0000-000027720000}"/>
    <cellStyle name="Normal 23 7" xfId="29248" xr:uid="{00000000-0005-0000-0000-000028720000}"/>
    <cellStyle name="Normal 23 8" xfId="29249" xr:uid="{00000000-0005-0000-0000-000029720000}"/>
    <cellStyle name="Normal 23 9" xfId="29250" xr:uid="{00000000-0005-0000-0000-00002A720000}"/>
    <cellStyle name="Normal 24" xfId="29251" xr:uid="{00000000-0005-0000-0000-00002B720000}"/>
    <cellStyle name="Normal 24 10" xfId="29252" xr:uid="{00000000-0005-0000-0000-00002C720000}"/>
    <cellStyle name="Normal 24 11" xfId="29253" xr:uid="{00000000-0005-0000-0000-00002D720000}"/>
    <cellStyle name="Normal 24 12" xfId="29254" xr:uid="{00000000-0005-0000-0000-00002E720000}"/>
    <cellStyle name="Normal 24 13" xfId="29255" xr:uid="{00000000-0005-0000-0000-00002F720000}"/>
    <cellStyle name="Normal 24 14" xfId="29256" xr:uid="{00000000-0005-0000-0000-000030720000}"/>
    <cellStyle name="Normal 24 15" xfId="29257" xr:uid="{00000000-0005-0000-0000-000031720000}"/>
    <cellStyle name="Normal 24 16" xfId="29258" xr:uid="{00000000-0005-0000-0000-000032720000}"/>
    <cellStyle name="Normal 24 17" xfId="29259" xr:uid="{00000000-0005-0000-0000-000033720000}"/>
    <cellStyle name="Normal 24 18" xfId="29260" xr:uid="{00000000-0005-0000-0000-000034720000}"/>
    <cellStyle name="Normal 24 19" xfId="29261" xr:uid="{00000000-0005-0000-0000-000035720000}"/>
    <cellStyle name="Normal 24 2" xfId="29262" xr:uid="{00000000-0005-0000-0000-000036720000}"/>
    <cellStyle name="Normal 24 20" xfId="29263" xr:uid="{00000000-0005-0000-0000-000037720000}"/>
    <cellStyle name="Normal 24 21" xfId="29264" xr:uid="{00000000-0005-0000-0000-000038720000}"/>
    <cellStyle name="Normal 24 22" xfId="29265" xr:uid="{00000000-0005-0000-0000-000039720000}"/>
    <cellStyle name="Normal 24 23" xfId="29266" xr:uid="{00000000-0005-0000-0000-00003A720000}"/>
    <cellStyle name="Normal 24 24" xfId="29267" xr:uid="{00000000-0005-0000-0000-00003B720000}"/>
    <cellStyle name="Normal 24 25" xfId="29268" xr:uid="{00000000-0005-0000-0000-00003C720000}"/>
    <cellStyle name="Normal 24 26" xfId="29269" xr:uid="{00000000-0005-0000-0000-00003D720000}"/>
    <cellStyle name="Normal 24 27" xfId="29270" xr:uid="{00000000-0005-0000-0000-00003E720000}"/>
    <cellStyle name="Normal 24 3" xfId="29271" xr:uid="{00000000-0005-0000-0000-00003F720000}"/>
    <cellStyle name="Normal 24 4" xfId="29272" xr:uid="{00000000-0005-0000-0000-000040720000}"/>
    <cellStyle name="Normal 24 5" xfId="29273" xr:uid="{00000000-0005-0000-0000-000041720000}"/>
    <cellStyle name="Normal 24 6" xfId="29274" xr:uid="{00000000-0005-0000-0000-000042720000}"/>
    <cellStyle name="Normal 24 7" xfId="29275" xr:uid="{00000000-0005-0000-0000-000043720000}"/>
    <cellStyle name="Normal 24 8" xfId="29276" xr:uid="{00000000-0005-0000-0000-000044720000}"/>
    <cellStyle name="Normal 24 9" xfId="29277" xr:uid="{00000000-0005-0000-0000-000045720000}"/>
    <cellStyle name="Normal 25" xfId="29278" xr:uid="{00000000-0005-0000-0000-000046720000}"/>
    <cellStyle name="Normal 25 10" xfId="29279" xr:uid="{00000000-0005-0000-0000-000047720000}"/>
    <cellStyle name="Normal 25 11" xfId="29280" xr:uid="{00000000-0005-0000-0000-000048720000}"/>
    <cellStyle name="Normal 25 12" xfId="29281" xr:uid="{00000000-0005-0000-0000-000049720000}"/>
    <cellStyle name="Normal 25 13" xfId="29282" xr:uid="{00000000-0005-0000-0000-00004A720000}"/>
    <cellStyle name="Normal 25 14" xfId="29283" xr:uid="{00000000-0005-0000-0000-00004B720000}"/>
    <cellStyle name="Normal 25 15" xfId="29284" xr:uid="{00000000-0005-0000-0000-00004C720000}"/>
    <cellStyle name="Normal 25 16" xfId="29285" xr:uid="{00000000-0005-0000-0000-00004D720000}"/>
    <cellStyle name="Normal 25 17" xfId="29286" xr:uid="{00000000-0005-0000-0000-00004E720000}"/>
    <cellStyle name="Normal 25 18" xfId="29287" xr:uid="{00000000-0005-0000-0000-00004F720000}"/>
    <cellStyle name="Normal 25 19" xfId="29288" xr:uid="{00000000-0005-0000-0000-000050720000}"/>
    <cellStyle name="Normal 25 2" xfId="29289" xr:uid="{00000000-0005-0000-0000-000051720000}"/>
    <cellStyle name="Normal 25 20" xfId="29290" xr:uid="{00000000-0005-0000-0000-000052720000}"/>
    <cellStyle name="Normal 25 21" xfId="29291" xr:uid="{00000000-0005-0000-0000-000053720000}"/>
    <cellStyle name="Normal 25 22" xfId="29292" xr:uid="{00000000-0005-0000-0000-000054720000}"/>
    <cellStyle name="Normal 25 23" xfId="29293" xr:uid="{00000000-0005-0000-0000-000055720000}"/>
    <cellStyle name="Normal 25 24" xfId="29294" xr:uid="{00000000-0005-0000-0000-000056720000}"/>
    <cellStyle name="Normal 25 25" xfId="29295" xr:uid="{00000000-0005-0000-0000-000057720000}"/>
    <cellStyle name="Normal 25 3" xfId="29296" xr:uid="{00000000-0005-0000-0000-000058720000}"/>
    <cellStyle name="Normal 25 4" xfId="29297" xr:uid="{00000000-0005-0000-0000-000059720000}"/>
    <cellStyle name="Normal 25 5" xfId="29298" xr:uid="{00000000-0005-0000-0000-00005A720000}"/>
    <cellStyle name="Normal 25 6" xfId="29299" xr:uid="{00000000-0005-0000-0000-00005B720000}"/>
    <cellStyle name="Normal 25 7" xfId="29300" xr:uid="{00000000-0005-0000-0000-00005C720000}"/>
    <cellStyle name="Normal 25 8" xfId="29301" xr:uid="{00000000-0005-0000-0000-00005D720000}"/>
    <cellStyle name="Normal 25 9" xfId="29302" xr:uid="{00000000-0005-0000-0000-00005E720000}"/>
    <cellStyle name="Normal 26" xfId="29303" xr:uid="{00000000-0005-0000-0000-00005F720000}"/>
    <cellStyle name="Normal 26 10" xfId="29304" xr:uid="{00000000-0005-0000-0000-000060720000}"/>
    <cellStyle name="Normal 26 11" xfId="29305" xr:uid="{00000000-0005-0000-0000-000061720000}"/>
    <cellStyle name="Normal 26 12" xfId="29306" xr:uid="{00000000-0005-0000-0000-000062720000}"/>
    <cellStyle name="Normal 26 13" xfId="29307" xr:uid="{00000000-0005-0000-0000-000063720000}"/>
    <cellStyle name="Normal 26 14" xfId="29308" xr:uid="{00000000-0005-0000-0000-000064720000}"/>
    <cellStyle name="Normal 26 15" xfId="29309" xr:uid="{00000000-0005-0000-0000-000065720000}"/>
    <cellStyle name="Normal 26 16" xfId="29310" xr:uid="{00000000-0005-0000-0000-000066720000}"/>
    <cellStyle name="Normal 26 17" xfId="29311" xr:uid="{00000000-0005-0000-0000-000067720000}"/>
    <cellStyle name="Normal 26 18" xfId="29312" xr:uid="{00000000-0005-0000-0000-000068720000}"/>
    <cellStyle name="Normal 26 19" xfId="29313" xr:uid="{00000000-0005-0000-0000-000069720000}"/>
    <cellStyle name="Normal 26 2" xfId="29314" xr:uid="{00000000-0005-0000-0000-00006A720000}"/>
    <cellStyle name="Normal 26 20" xfId="29315" xr:uid="{00000000-0005-0000-0000-00006B720000}"/>
    <cellStyle name="Normal 26 21" xfId="29316" xr:uid="{00000000-0005-0000-0000-00006C720000}"/>
    <cellStyle name="Normal 26 22" xfId="29317" xr:uid="{00000000-0005-0000-0000-00006D720000}"/>
    <cellStyle name="Normal 26 23" xfId="29318" xr:uid="{00000000-0005-0000-0000-00006E720000}"/>
    <cellStyle name="Normal 26 24" xfId="29319" xr:uid="{00000000-0005-0000-0000-00006F720000}"/>
    <cellStyle name="Normal 26 25" xfId="29320" xr:uid="{00000000-0005-0000-0000-000070720000}"/>
    <cellStyle name="Normal 26 3" xfId="29321" xr:uid="{00000000-0005-0000-0000-000071720000}"/>
    <cellStyle name="Normal 26 4" xfId="29322" xr:uid="{00000000-0005-0000-0000-000072720000}"/>
    <cellStyle name="Normal 26 5" xfId="29323" xr:uid="{00000000-0005-0000-0000-000073720000}"/>
    <cellStyle name="Normal 26 6" xfId="29324" xr:uid="{00000000-0005-0000-0000-000074720000}"/>
    <cellStyle name="Normal 26 7" xfId="29325" xr:uid="{00000000-0005-0000-0000-000075720000}"/>
    <cellStyle name="Normal 26 8" xfId="29326" xr:uid="{00000000-0005-0000-0000-000076720000}"/>
    <cellStyle name="Normal 26 9" xfId="29327" xr:uid="{00000000-0005-0000-0000-000077720000}"/>
    <cellStyle name="Normal 27" xfId="29328" xr:uid="{00000000-0005-0000-0000-000078720000}"/>
    <cellStyle name="Normal 27 2" xfId="29329" xr:uid="{00000000-0005-0000-0000-000079720000}"/>
    <cellStyle name="Normal 28" xfId="29330" xr:uid="{00000000-0005-0000-0000-00007A720000}"/>
    <cellStyle name="Normal 28 10" xfId="29331" xr:uid="{00000000-0005-0000-0000-00007B720000}"/>
    <cellStyle name="Normal 28 11" xfId="29332" xr:uid="{00000000-0005-0000-0000-00007C720000}"/>
    <cellStyle name="Normal 28 12" xfId="29333" xr:uid="{00000000-0005-0000-0000-00007D720000}"/>
    <cellStyle name="Normal 28 13" xfId="29334" xr:uid="{00000000-0005-0000-0000-00007E720000}"/>
    <cellStyle name="Normal 28 14" xfId="29335" xr:uid="{00000000-0005-0000-0000-00007F720000}"/>
    <cellStyle name="Normal 28 15" xfId="29336" xr:uid="{00000000-0005-0000-0000-000080720000}"/>
    <cellStyle name="Normal 28 16" xfId="29337" xr:uid="{00000000-0005-0000-0000-000081720000}"/>
    <cellStyle name="Normal 28 17" xfId="29338" xr:uid="{00000000-0005-0000-0000-000082720000}"/>
    <cellStyle name="Normal 28 18" xfId="29339" xr:uid="{00000000-0005-0000-0000-000083720000}"/>
    <cellStyle name="Normal 28 19" xfId="29340" xr:uid="{00000000-0005-0000-0000-000084720000}"/>
    <cellStyle name="Normal 28 2" xfId="29341" xr:uid="{00000000-0005-0000-0000-000085720000}"/>
    <cellStyle name="Normal 28 2 2" xfId="29342" xr:uid="{00000000-0005-0000-0000-000086720000}"/>
    <cellStyle name="Normal 28 2 3" xfId="29343" xr:uid="{00000000-0005-0000-0000-000087720000}"/>
    <cellStyle name="Normal 28 20" xfId="29344" xr:uid="{00000000-0005-0000-0000-000088720000}"/>
    <cellStyle name="Normal 28 21" xfId="29345" xr:uid="{00000000-0005-0000-0000-000089720000}"/>
    <cellStyle name="Normal 28 22" xfId="29346" xr:uid="{00000000-0005-0000-0000-00008A720000}"/>
    <cellStyle name="Normal 28 23" xfId="29347" xr:uid="{00000000-0005-0000-0000-00008B720000}"/>
    <cellStyle name="Normal 28 24" xfId="29348" xr:uid="{00000000-0005-0000-0000-00008C720000}"/>
    <cellStyle name="Normal 28 25" xfId="29349" xr:uid="{00000000-0005-0000-0000-00008D720000}"/>
    <cellStyle name="Normal 28 26" xfId="29350" xr:uid="{00000000-0005-0000-0000-00008E720000}"/>
    <cellStyle name="Normal 28 3" xfId="29351" xr:uid="{00000000-0005-0000-0000-00008F720000}"/>
    <cellStyle name="Normal 28 3 2" xfId="29352" xr:uid="{00000000-0005-0000-0000-000090720000}"/>
    <cellStyle name="Normal 28 3 3" xfId="29353" xr:uid="{00000000-0005-0000-0000-000091720000}"/>
    <cellStyle name="Normal 28 4" xfId="29354" xr:uid="{00000000-0005-0000-0000-000092720000}"/>
    <cellStyle name="Normal 28 5" xfId="29355" xr:uid="{00000000-0005-0000-0000-000093720000}"/>
    <cellStyle name="Normal 28 6" xfId="29356" xr:uid="{00000000-0005-0000-0000-000094720000}"/>
    <cellStyle name="Normal 28 7" xfId="29357" xr:uid="{00000000-0005-0000-0000-000095720000}"/>
    <cellStyle name="Normal 28 8" xfId="29358" xr:uid="{00000000-0005-0000-0000-000096720000}"/>
    <cellStyle name="Normal 28 9" xfId="29359" xr:uid="{00000000-0005-0000-0000-000097720000}"/>
    <cellStyle name="Normal 29" xfId="29360" xr:uid="{00000000-0005-0000-0000-000098720000}"/>
    <cellStyle name="Normal 29 10" xfId="29361" xr:uid="{00000000-0005-0000-0000-000099720000}"/>
    <cellStyle name="Normal 29 11" xfId="29362" xr:uid="{00000000-0005-0000-0000-00009A720000}"/>
    <cellStyle name="Normal 29 12" xfId="29363" xr:uid="{00000000-0005-0000-0000-00009B720000}"/>
    <cellStyle name="Normal 29 13" xfId="29364" xr:uid="{00000000-0005-0000-0000-00009C720000}"/>
    <cellStyle name="Normal 29 14" xfId="29365" xr:uid="{00000000-0005-0000-0000-00009D720000}"/>
    <cellStyle name="Normal 29 15" xfId="29366" xr:uid="{00000000-0005-0000-0000-00009E720000}"/>
    <cellStyle name="Normal 29 16" xfId="29367" xr:uid="{00000000-0005-0000-0000-00009F720000}"/>
    <cellStyle name="Normal 29 17" xfId="29368" xr:uid="{00000000-0005-0000-0000-0000A0720000}"/>
    <cellStyle name="Normal 29 18" xfId="29369" xr:uid="{00000000-0005-0000-0000-0000A1720000}"/>
    <cellStyle name="Normal 29 19" xfId="29370" xr:uid="{00000000-0005-0000-0000-0000A2720000}"/>
    <cellStyle name="Normal 29 2" xfId="29371" xr:uid="{00000000-0005-0000-0000-0000A3720000}"/>
    <cellStyle name="Normal 29 2 2" xfId="29372" xr:uid="{00000000-0005-0000-0000-0000A4720000}"/>
    <cellStyle name="Normal 29 2 3" xfId="29373" xr:uid="{00000000-0005-0000-0000-0000A5720000}"/>
    <cellStyle name="Normal 29 20" xfId="29374" xr:uid="{00000000-0005-0000-0000-0000A6720000}"/>
    <cellStyle name="Normal 29 21" xfId="29375" xr:uid="{00000000-0005-0000-0000-0000A7720000}"/>
    <cellStyle name="Normal 29 22" xfId="29376" xr:uid="{00000000-0005-0000-0000-0000A8720000}"/>
    <cellStyle name="Normal 29 23" xfId="29377" xr:uid="{00000000-0005-0000-0000-0000A9720000}"/>
    <cellStyle name="Normal 29 24" xfId="29378" xr:uid="{00000000-0005-0000-0000-0000AA720000}"/>
    <cellStyle name="Normal 29 25" xfId="29379" xr:uid="{00000000-0005-0000-0000-0000AB720000}"/>
    <cellStyle name="Normal 29 26" xfId="29380" xr:uid="{00000000-0005-0000-0000-0000AC720000}"/>
    <cellStyle name="Normal 29 3" xfId="29381" xr:uid="{00000000-0005-0000-0000-0000AD720000}"/>
    <cellStyle name="Normal 29 3 2" xfId="29382" xr:uid="{00000000-0005-0000-0000-0000AE720000}"/>
    <cellStyle name="Normal 29 3 3" xfId="29383" xr:uid="{00000000-0005-0000-0000-0000AF720000}"/>
    <cellStyle name="Normal 29 4" xfId="29384" xr:uid="{00000000-0005-0000-0000-0000B0720000}"/>
    <cellStyle name="Normal 29 5" xfId="29385" xr:uid="{00000000-0005-0000-0000-0000B1720000}"/>
    <cellStyle name="Normal 29 6" xfId="29386" xr:uid="{00000000-0005-0000-0000-0000B2720000}"/>
    <cellStyle name="Normal 29 7" xfId="29387" xr:uid="{00000000-0005-0000-0000-0000B3720000}"/>
    <cellStyle name="Normal 29 8" xfId="29388" xr:uid="{00000000-0005-0000-0000-0000B4720000}"/>
    <cellStyle name="Normal 29 9" xfId="29389" xr:uid="{00000000-0005-0000-0000-0000B5720000}"/>
    <cellStyle name="Normal 3" xfId="13" xr:uid="{00000000-0005-0000-0000-0000B6720000}"/>
    <cellStyle name="Normal 3 10" xfId="29391" xr:uid="{00000000-0005-0000-0000-0000B7720000}"/>
    <cellStyle name="Normal 3 10 2" xfId="29392" xr:uid="{00000000-0005-0000-0000-0000B8720000}"/>
    <cellStyle name="Normal 3 10 3" xfId="29393" xr:uid="{00000000-0005-0000-0000-0000B9720000}"/>
    <cellStyle name="Normal 3 10 4" xfId="29394" xr:uid="{00000000-0005-0000-0000-0000BA720000}"/>
    <cellStyle name="Normal 3 10 5" xfId="29395" xr:uid="{00000000-0005-0000-0000-0000BB720000}"/>
    <cellStyle name="Normal 3 10 6" xfId="29396" xr:uid="{00000000-0005-0000-0000-0000BC720000}"/>
    <cellStyle name="Normal 3 10_Enlaces" xfId="29397" xr:uid="{00000000-0005-0000-0000-0000BD720000}"/>
    <cellStyle name="Normal 3 100" xfId="29398" xr:uid="{00000000-0005-0000-0000-0000BE720000}"/>
    <cellStyle name="Normal 3 100 2" xfId="29399" xr:uid="{00000000-0005-0000-0000-0000BF720000}"/>
    <cellStyle name="Normal 3 100 3" xfId="29400" xr:uid="{00000000-0005-0000-0000-0000C0720000}"/>
    <cellStyle name="Normal 3 101" xfId="29401" xr:uid="{00000000-0005-0000-0000-0000C1720000}"/>
    <cellStyle name="Normal 3 101 2" xfId="29402" xr:uid="{00000000-0005-0000-0000-0000C2720000}"/>
    <cellStyle name="Normal 3 101 3" xfId="29403" xr:uid="{00000000-0005-0000-0000-0000C3720000}"/>
    <cellStyle name="Normal 3 102" xfId="29404" xr:uid="{00000000-0005-0000-0000-0000C4720000}"/>
    <cellStyle name="Normal 3 102 2" xfId="29405" xr:uid="{00000000-0005-0000-0000-0000C5720000}"/>
    <cellStyle name="Normal 3 102 3" xfId="29406" xr:uid="{00000000-0005-0000-0000-0000C6720000}"/>
    <cellStyle name="Normal 3 103" xfId="29407" xr:uid="{00000000-0005-0000-0000-0000C7720000}"/>
    <cellStyle name="Normal 3 103 2" xfId="29408" xr:uid="{00000000-0005-0000-0000-0000C8720000}"/>
    <cellStyle name="Normal 3 103 3" xfId="29409" xr:uid="{00000000-0005-0000-0000-0000C9720000}"/>
    <cellStyle name="Normal 3 104" xfId="29410" xr:uid="{00000000-0005-0000-0000-0000CA720000}"/>
    <cellStyle name="Normal 3 104 2" xfId="29411" xr:uid="{00000000-0005-0000-0000-0000CB720000}"/>
    <cellStyle name="Normal 3 104 3" xfId="29412" xr:uid="{00000000-0005-0000-0000-0000CC720000}"/>
    <cellStyle name="Normal 3 105" xfId="29413" xr:uid="{00000000-0005-0000-0000-0000CD720000}"/>
    <cellStyle name="Normal 3 105 2" xfId="29414" xr:uid="{00000000-0005-0000-0000-0000CE720000}"/>
    <cellStyle name="Normal 3 105 3" xfId="29415" xr:uid="{00000000-0005-0000-0000-0000CF720000}"/>
    <cellStyle name="Normal 3 106" xfId="29416" xr:uid="{00000000-0005-0000-0000-0000D0720000}"/>
    <cellStyle name="Normal 3 106 2" xfId="29417" xr:uid="{00000000-0005-0000-0000-0000D1720000}"/>
    <cellStyle name="Normal 3 106 3" xfId="29418" xr:uid="{00000000-0005-0000-0000-0000D2720000}"/>
    <cellStyle name="Normal 3 107" xfId="29419" xr:uid="{00000000-0005-0000-0000-0000D3720000}"/>
    <cellStyle name="Normal 3 107 2" xfId="29420" xr:uid="{00000000-0005-0000-0000-0000D4720000}"/>
    <cellStyle name="Normal 3 107 3" xfId="29421" xr:uid="{00000000-0005-0000-0000-0000D5720000}"/>
    <cellStyle name="Normal 3 108" xfId="29422" xr:uid="{00000000-0005-0000-0000-0000D6720000}"/>
    <cellStyle name="Normal 3 108 2" xfId="29423" xr:uid="{00000000-0005-0000-0000-0000D7720000}"/>
    <cellStyle name="Normal 3 108 3" xfId="29424" xr:uid="{00000000-0005-0000-0000-0000D8720000}"/>
    <cellStyle name="Normal 3 109" xfId="29425" xr:uid="{00000000-0005-0000-0000-0000D9720000}"/>
    <cellStyle name="Normal 3 109 2" xfId="29426" xr:uid="{00000000-0005-0000-0000-0000DA720000}"/>
    <cellStyle name="Normal 3 109 3" xfId="29427" xr:uid="{00000000-0005-0000-0000-0000DB720000}"/>
    <cellStyle name="Normal 3 11" xfId="29428" xr:uid="{00000000-0005-0000-0000-0000DC720000}"/>
    <cellStyle name="Normal 3 11 2" xfId="29429" xr:uid="{00000000-0005-0000-0000-0000DD720000}"/>
    <cellStyle name="Normal 3 11 3" xfId="29430" xr:uid="{00000000-0005-0000-0000-0000DE720000}"/>
    <cellStyle name="Normal 3 11 4" xfId="29431" xr:uid="{00000000-0005-0000-0000-0000DF720000}"/>
    <cellStyle name="Normal 3 11_Enlaces" xfId="29432" xr:uid="{00000000-0005-0000-0000-0000E0720000}"/>
    <cellStyle name="Normal 3 110" xfId="29433" xr:uid="{00000000-0005-0000-0000-0000E1720000}"/>
    <cellStyle name="Normal 3 110 2" xfId="29434" xr:uid="{00000000-0005-0000-0000-0000E2720000}"/>
    <cellStyle name="Normal 3 110 3" xfId="29435" xr:uid="{00000000-0005-0000-0000-0000E3720000}"/>
    <cellStyle name="Normal 3 111" xfId="29436" xr:uid="{00000000-0005-0000-0000-0000E4720000}"/>
    <cellStyle name="Normal 3 111 2" xfId="29437" xr:uid="{00000000-0005-0000-0000-0000E5720000}"/>
    <cellStyle name="Normal 3 111 3" xfId="29438" xr:uid="{00000000-0005-0000-0000-0000E6720000}"/>
    <cellStyle name="Normal 3 112" xfId="29439" xr:uid="{00000000-0005-0000-0000-0000E7720000}"/>
    <cellStyle name="Normal 3 112 2" xfId="29440" xr:uid="{00000000-0005-0000-0000-0000E8720000}"/>
    <cellStyle name="Normal 3 112 3" xfId="29441" xr:uid="{00000000-0005-0000-0000-0000E9720000}"/>
    <cellStyle name="Normal 3 113" xfId="29442" xr:uid="{00000000-0005-0000-0000-0000EA720000}"/>
    <cellStyle name="Normal 3 113 2" xfId="29443" xr:uid="{00000000-0005-0000-0000-0000EB720000}"/>
    <cellStyle name="Normal 3 113 3" xfId="29444" xr:uid="{00000000-0005-0000-0000-0000EC720000}"/>
    <cellStyle name="Normal 3 114" xfId="29445" xr:uid="{00000000-0005-0000-0000-0000ED720000}"/>
    <cellStyle name="Normal 3 114 2" xfId="29446" xr:uid="{00000000-0005-0000-0000-0000EE720000}"/>
    <cellStyle name="Normal 3 114 3" xfId="29447" xr:uid="{00000000-0005-0000-0000-0000EF720000}"/>
    <cellStyle name="Normal 3 115" xfId="29448" xr:uid="{00000000-0005-0000-0000-0000F0720000}"/>
    <cellStyle name="Normal 3 115 2" xfId="29449" xr:uid="{00000000-0005-0000-0000-0000F1720000}"/>
    <cellStyle name="Normal 3 115 3" xfId="29450" xr:uid="{00000000-0005-0000-0000-0000F2720000}"/>
    <cellStyle name="Normal 3 116" xfId="29451" xr:uid="{00000000-0005-0000-0000-0000F3720000}"/>
    <cellStyle name="Normal 3 116 2" xfId="29452" xr:uid="{00000000-0005-0000-0000-0000F4720000}"/>
    <cellStyle name="Normal 3 116 3" xfId="29453" xr:uid="{00000000-0005-0000-0000-0000F5720000}"/>
    <cellStyle name="Normal 3 117" xfId="29454" xr:uid="{00000000-0005-0000-0000-0000F6720000}"/>
    <cellStyle name="Normal 3 117 2" xfId="29455" xr:uid="{00000000-0005-0000-0000-0000F7720000}"/>
    <cellStyle name="Normal 3 117 3" xfId="29456" xr:uid="{00000000-0005-0000-0000-0000F8720000}"/>
    <cellStyle name="Normal 3 118" xfId="29457" xr:uid="{00000000-0005-0000-0000-0000F9720000}"/>
    <cellStyle name="Normal 3 118 2" xfId="29458" xr:uid="{00000000-0005-0000-0000-0000FA720000}"/>
    <cellStyle name="Normal 3 118 3" xfId="29459" xr:uid="{00000000-0005-0000-0000-0000FB720000}"/>
    <cellStyle name="Normal 3 119" xfId="29460" xr:uid="{00000000-0005-0000-0000-0000FC720000}"/>
    <cellStyle name="Normal 3 119 2" xfId="29461" xr:uid="{00000000-0005-0000-0000-0000FD720000}"/>
    <cellStyle name="Normal 3 119 3" xfId="29462" xr:uid="{00000000-0005-0000-0000-0000FE720000}"/>
    <cellStyle name="Normal 3 12" xfId="29463" xr:uid="{00000000-0005-0000-0000-0000FF720000}"/>
    <cellStyle name="Normal 3 12 2" xfId="29464" xr:uid="{00000000-0005-0000-0000-000000730000}"/>
    <cellStyle name="Normal 3 12 3" xfId="29465" xr:uid="{00000000-0005-0000-0000-000001730000}"/>
    <cellStyle name="Normal 3 12_Enlaces" xfId="29466" xr:uid="{00000000-0005-0000-0000-000002730000}"/>
    <cellStyle name="Normal 3 120" xfId="29467" xr:uid="{00000000-0005-0000-0000-000003730000}"/>
    <cellStyle name="Normal 3 120 2" xfId="29468" xr:uid="{00000000-0005-0000-0000-000004730000}"/>
    <cellStyle name="Normal 3 120 3" xfId="29469" xr:uid="{00000000-0005-0000-0000-000005730000}"/>
    <cellStyle name="Normal 3 121" xfId="29470" xr:uid="{00000000-0005-0000-0000-000006730000}"/>
    <cellStyle name="Normal 3 121 2" xfId="29471" xr:uid="{00000000-0005-0000-0000-000007730000}"/>
    <cellStyle name="Normal 3 121 3" xfId="29472" xr:uid="{00000000-0005-0000-0000-000008730000}"/>
    <cellStyle name="Normal 3 122" xfId="29473" xr:uid="{00000000-0005-0000-0000-000009730000}"/>
    <cellStyle name="Normal 3 122 2" xfId="29474" xr:uid="{00000000-0005-0000-0000-00000A730000}"/>
    <cellStyle name="Normal 3 122 3" xfId="29475" xr:uid="{00000000-0005-0000-0000-00000B730000}"/>
    <cellStyle name="Normal 3 123" xfId="29476" xr:uid="{00000000-0005-0000-0000-00000C730000}"/>
    <cellStyle name="Normal 3 123 2" xfId="29477" xr:uid="{00000000-0005-0000-0000-00000D730000}"/>
    <cellStyle name="Normal 3 123 3" xfId="29478" xr:uid="{00000000-0005-0000-0000-00000E730000}"/>
    <cellStyle name="Normal 3 124" xfId="29479" xr:uid="{00000000-0005-0000-0000-00000F730000}"/>
    <cellStyle name="Normal 3 125" xfId="29480" xr:uid="{00000000-0005-0000-0000-000010730000}"/>
    <cellStyle name="Normal 3 126" xfId="29481" xr:uid="{00000000-0005-0000-0000-000011730000}"/>
    <cellStyle name="Normal 3 127" xfId="29482" xr:uid="{00000000-0005-0000-0000-000012730000}"/>
    <cellStyle name="Normal 3 128" xfId="29483" xr:uid="{00000000-0005-0000-0000-000013730000}"/>
    <cellStyle name="Normal 3 129" xfId="29484" xr:uid="{00000000-0005-0000-0000-000014730000}"/>
    <cellStyle name="Normal 3 13" xfId="29485" xr:uid="{00000000-0005-0000-0000-000015730000}"/>
    <cellStyle name="Normal 3 13 2" xfId="29486" xr:uid="{00000000-0005-0000-0000-000016730000}"/>
    <cellStyle name="Normal 3 13 3" xfId="29487" xr:uid="{00000000-0005-0000-0000-000017730000}"/>
    <cellStyle name="Normal 3 13_Enlaces" xfId="29488" xr:uid="{00000000-0005-0000-0000-000018730000}"/>
    <cellStyle name="Normal 3 130" xfId="29489" xr:uid="{00000000-0005-0000-0000-000019730000}"/>
    <cellStyle name="Normal 3 131" xfId="29490" xr:uid="{00000000-0005-0000-0000-00001A730000}"/>
    <cellStyle name="Normal 3 131 2" xfId="29491" xr:uid="{00000000-0005-0000-0000-00001B730000}"/>
    <cellStyle name="Normal 3 132" xfId="29492" xr:uid="{00000000-0005-0000-0000-00001C730000}"/>
    <cellStyle name="Normal 3 132 2" xfId="29493" xr:uid="{00000000-0005-0000-0000-00001D730000}"/>
    <cellStyle name="Normal 3 133" xfId="29494" xr:uid="{00000000-0005-0000-0000-00001E730000}"/>
    <cellStyle name="Normal 3 133 2" xfId="29495" xr:uid="{00000000-0005-0000-0000-00001F730000}"/>
    <cellStyle name="Normal 3 134" xfId="29496" xr:uid="{00000000-0005-0000-0000-000020730000}"/>
    <cellStyle name="Normal 3 134 2" xfId="29497" xr:uid="{00000000-0005-0000-0000-000021730000}"/>
    <cellStyle name="Normal 3 135" xfId="29498" xr:uid="{00000000-0005-0000-0000-000022730000}"/>
    <cellStyle name="Normal 3 135 2" xfId="29499" xr:uid="{00000000-0005-0000-0000-000023730000}"/>
    <cellStyle name="Normal 3 136" xfId="29500" xr:uid="{00000000-0005-0000-0000-000024730000}"/>
    <cellStyle name="Normal 3 136 2" xfId="29501" xr:uid="{00000000-0005-0000-0000-000025730000}"/>
    <cellStyle name="Normal 3 137" xfId="29502" xr:uid="{00000000-0005-0000-0000-000026730000}"/>
    <cellStyle name="Normal 3 137 2" xfId="29503" xr:uid="{00000000-0005-0000-0000-000027730000}"/>
    <cellStyle name="Normal 3 138" xfId="29504" xr:uid="{00000000-0005-0000-0000-000028730000}"/>
    <cellStyle name="Normal 3 138 2" xfId="29505" xr:uid="{00000000-0005-0000-0000-000029730000}"/>
    <cellStyle name="Normal 3 139" xfId="29506" xr:uid="{00000000-0005-0000-0000-00002A730000}"/>
    <cellStyle name="Normal 3 139 2" xfId="29507" xr:uid="{00000000-0005-0000-0000-00002B730000}"/>
    <cellStyle name="Normal 3 14" xfId="29508" xr:uid="{00000000-0005-0000-0000-00002C730000}"/>
    <cellStyle name="Normal 3 14 2" xfId="29509" xr:uid="{00000000-0005-0000-0000-00002D730000}"/>
    <cellStyle name="Normal 3 14 3" xfId="29510" xr:uid="{00000000-0005-0000-0000-00002E730000}"/>
    <cellStyle name="Normal 3 14_Enlaces" xfId="29511" xr:uid="{00000000-0005-0000-0000-00002F730000}"/>
    <cellStyle name="Normal 3 140" xfId="29512" xr:uid="{00000000-0005-0000-0000-000030730000}"/>
    <cellStyle name="Normal 3 140 2" xfId="29513" xr:uid="{00000000-0005-0000-0000-000031730000}"/>
    <cellStyle name="Normal 3 141" xfId="29514" xr:uid="{00000000-0005-0000-0000-000032730000}"/>
    <cellStyle name="Normal 3 141 2" xfId="29515" xr:uid="{00000000-0005-0000-0000-000033730000}"/>
    <cellStyle name="Normal 3 142" xfId="29516" xr:uid="{00000000-0005-0000-0000-000034730000}"/>
    <cellStyle name="Normal 3 143" xfId="29517" xr:uid="{00000000-0005-0000-0000-000035730000}"/>
    <cellStyle name="Normal 3 143 2" xfId="29518" xr:uid="{00000000-0005-0000-0000-000036730000}"/>
    <cellStyle name="Normal 3 144" xfId="29519" xr:uid="{00000000-0005-0000-0000-000037730000}"/>
    <cellStyle name="Normal 3 145" xfId="29520" xr:uid="{00000000-0005-0000-0000-000038730000}"/>
    <cellStyle name="Normal 3 146" xfId="29390" xr:uid="{00000000-0005-0000-0000-000039730000}"/>
    <cellStyle name="Normal 3 15" xfId="29521" xr:uid="{00000000-0005-0000-0000-00003A730000}"/>
    <cellStyle name="Normal 3 15 2" xfId="29522" xr:uid="{00000000-0005-0000-0000-00003B730000}"/>
    <cellStyle name="Normal 3 15 3" xfId="29523" xr:uid="{00000000-0005-0000-0000-00003C730000}"/>
    <cellStyle name="Normal 3 15_Enlaces" xfId="29524" xr:uid="{00000000-0005-0000-0000-00003D730000}"/>
    <cellStyle name="Normal 3 16" xfId="29525" xr:uid="{00000000-0005-0000-0000-00003E730000}"/>
    <cellStyle name="Normal 3 16 2" xfId="29526" xr:uid="{00000000-0005-0000-0000-00003F730000}"/>
    <cellStyle name="Normal 3 16 3" xfId="29527" xr:uid="{00000000-0005-0000-0000-000040730000}"/>
    <cellStyle name="Normal 3 16_Enlaces" xfId="29528" xr:uid="{00000000-0005-0000-0000-000041730000}"/>
    <cellStyle name="Normal 3 17" xfId="29529" xr:uid="{00000000-0005-0000-0000-000042730000}"/>
    <cellStyle name="Normal 3 17 2" xfId="29530" xr:uid="{00000000-0005-0000-0000-000043730000}"/>
    <cellStyle name="Normal 3 17 3" xfId="29531" xr:uid="{00000000-0005-0000-0000-000044730000}"/>
    <cellStyle name="Normal 3 17_Enlaces" xfId="29532" xr:uid="{00000000-0005-0000-0000-000045730000}"/>
    <cellStyle name="Normal 3 18" xfId="29533" xr:uid="{00000000-0005-0000-0000-000046730000}"/>
    <cellStyle name="Normal 3 18 2" xfId="29534" xr:uid="{00000000-0005-0000-0000-000047730000}"/>
    <cellStyle name="Normal 3 18 3" xfId="29535" xr:uid="{00000000-0005-0000-0000-000048730000}"/>
    <cellStyle name="Normal 3 18_Enlaces" xfId="29536" xr:uid="{00000000-0005-0000-0000-000049730000}"/>
    <cellStyle name="Normal 3 19" xfId="29537" xr:uid="{00000000-0005-0000-0000-00004A730000}"/>
    <cellStyle name="Normal 3 19 2" xfId="29538" xr:uid="{00000000-0005-0000-0000-00004B730000}"/>
    <cellStyle name="Normal 3 19 3" xfId="29539" xr:uid="{00000000-0005-0000-0000-00004C730000}"/>
    <cellStyle name="Normal 3 19_Enlaces" xfId="29540" xr:uid="{00000000-0005-0000-0000-00004D730000}"/>
    <cellStyle name="Normal 3 2" xfId="58" xr:uid="{00000000-0005-0000-0000-00004E730000}"/>
    <cellStyle name="Normal 3 2 10" xfId="29542" xr:uid="{00000000-0005-0000-0000-00004F730000}"/>
    <cellStyle name="Normal 3 2 10 2" xfId="29543" xr:uid="{00000000-0005-0000-0000-000050730000}"/>
    <cellStyle name="Normal 3 2 10 3" xfId="29544" xr:uid="{00000000-0005-0000-0000-000051730000}"/>
    <cellStyle name="Normal 3 2 11" xfId="29545" xr:uid="{00000000-0005-0000-0000-000052730000}"/>
    <cellStyle name="Normal 3 2 11 2" xfId="29546" xr:uid="{00000000-0005-0000-0000-000053730000}"/>
    <cellStyle name="Normal 3 2 12" xfId="29547" xr:uid="{00000000-0005-0000-0000-000054730000}"/>
    <cellStyle name="Normal 3 2 12 2" xfId="29548" xr:uid="{00000000-0005-0000-0000-000055730000}"/>
    <cellStyle name="Normal 3 2 13" xfId="29549" xr:uid="{00000000-0005-0000-0000-000056730000}"/>
    <cellStyle name="Normal 3 2 13 2" xfId="29550" xr:uid="{00000000-0005-0000-0000-000057730000}"/>
    <cellStyle name="Normal 3 2 14" xfId="29551" xr:uid="{00000000-0005-0000-0000-000058730000}"/>
    <cellStyle name="Normal 3 2 14 2" xfId="29552" xr:uid="{00000000-0005-0000-0000-000059730000}"/>
    <cellStyle name="Normal 3 2 15" xfId="29553" xr:uid="{00000000-0005-0000-0000-00005A730000}"/>
    <cellStyle name="Normal 3 2 15 2" xfId="29554" xr:uid="{00000000-0005-0000-0000-00005B730000}"/>
    <cellStyle name="Normal 3 2 16" xfId="29555" xr:uid="{00000000-0005-0000-0000-00005C730000}"/>
    <cellStyle name="Normal 3 2 16 2" xfId="29556" xr:uid="{00000000-0005-0000-0000-00005D730000}"/>
    <cellStyle name="Normal 3 2 17" xfId="29557" xr:uid="{00000000-0005-0000-0000-00005E730000}"/>
    <cellStyle name="Normal 3 2 17 2" xfId="29558" xr:uid="{00000000-0005-0000-0000-00005F730000}"/>
    <cellStyle name="Normal 3 2 18" xfId="29559" xr:uid="{00000000-0005-0000-0000-000060730000}"/>
    <cellStyle name="Normal 3 2 18 2" xfId="29560" xr:uid="{00000000-0005-0000-0000-000061730000}"/>
    <cellStyle name="Normal 3 2 19" xfId="29561" xr:uid="{00000000-0005-0000-0000-000062730000}"/>
    <cellStyle name="Normal 3 2 19 2" xfId="29562" xr:uid="{00000000-0005-0000-0000-000063730000}"/>
    <cellStyle name="Normal 3 2 2" xfId="29563" xr:uid="{00000000-0005-0000-0000-000064730000}"/>
    <cellStyle name="Normal 3 2 2 2" xfId="29564" xr:uid="{00000000-0005-0000-0000-000065730000}"/>
    <cellStyle name="Normal 3 2 2 2 2" xfId="29565" xr:uid="{00000000-0005-0000-0000-000066730000}"/>
    <cellStyle name="Normal 3 2 20" xfId="29566" xr:uid="{00000000-0005-0000-0000-000067730000}"/>
    <cellStyle name="Normal 3 2 20 2" xfId="29567" xr:uid="{00000000-0005-0000-0000-000068730000}"/>
    <cellStyle name="Normal 3 2 21" xfId="29568" xr:uid="{00000000-0005-0000-0000-000069730000}"/>
    <cellStyle name="Normal 3 2 21 2" xfId="29569" xr:uid="{00000000-0005-0000-0000-00006A730000}"/>
    <cellStyle name="Normal 3 2 22" xfId="29570" xr:uid="{00000000-0005-0000-0000-00006B730000}"/>
    <cellStyle name="Normal 3 2 22 2" xfId="29571" xr:uid="{00000000-0005-0000-0000-00006C730000}"/>
    <cellStyle name="Normal 3 2 23" xfId="29572" xr:uid="{00000000-0005-0000-0000-00006D730000}"/>
    <cellStyle name="Normal 3 2 23 2" xfId="29573" xr:uid="{00000000-0005-0000-0000-00006E730000}"/>
    <cellStyle name="Normal 3 2 24" xfId="29574" xr:uid="{00000000-0005-0000-0000-00006F730000}"/>
    <cellStyle name="Normal 3 2 24 2" xfId="29575" xr:uid="{00000000-0005-0000-0000-000070730000}"/>
    <cellStyle name="Normal 3 2 25" xfId="29576" xr:uid="{00000000-0005-0000-0000-000071730000}"/>
    <cellStyle name="Normal 3 2 25 2" xfId="29577" xr:uid="{00000000-0005-0000-0000-000072730000}"/>
    <cellStyle name="Normal 3 2 26" xfId="29578" xr:uid="{00000000-0005-0000-0000-000073730000}"/>
    <cellStyle name="Normal 3 2 27" xfId="29579" xr:uid="{00000000-0005-0000-0000-000074730000}"/>
    <cellStyle name="Normal 3 2 28" xfId="29580" xr:uid="{00000000-0005-0000-0000-000075730000}"/>
    <cellStyle name="Normal 3 2 29" xfId="29581" xr:uid="{00000000-0005-0000-0000-000076730000}"/>
    <cellStyle name="Normal 3 2 3" xfId="29582" xr:uid="{00000000-0005-0000-0000-000077730000}"/>
    <cellStyle name="Normal 3 2 3 2" xfId="29583" xr:uid="{00000000-0005-0000-0000-000078730000}"/>
    <cellStyle name="Normal 3 2 3 3" xfId="29584" xr:uid="{00000000-0005-0000-0000-000079730000}"/>
    <cellStyle name="Normal 3 2 30" xfId="29585" xr:uid="{00000000-0005-0000-0000-00007A730000}"/>
    <cellStyle name="Normal 3 2 31" xfId="29586" xr:uid="{00000000-0005-0000-0000-00007B730000}"/>
    <cellStyle name="Normal 3 2 32" xfId="29587" xr:uid="{00000000-0005-0000-0000-00007C730000}"/>
    <cellStyle name="Normal 3 2 33" xfId="29588" xr:uid="{00000000-0005-0000-0000-00007D730000}"/>
    <cellStyle name="Normal 3 2 34" xfId="29589" xr:uid="{00000000-0005-0000-0000-00007E730000}"/>
    <cellStyle name="Normal 3 2 35" xfId="29590" xr:uid="{00000000-0005-0000-0000-00007F730000}"/>
    <cellStyle name="Normal 3 2 36" xfId="29591" xr:uid="{00000000-0005-0000-0000-000080730000}"/>
    <cellStyle name="Normal 3 2 37" xfId="29592" xr:uid="{00000000-0005-0000-0000-000081730000}"/>
    <cellStyle name="Normal 3 2 38" xfId="29593" xr:uid="{00000000-0005-0000-0000-000082730000}"/>
    <cellStyle name="Normal 3 2 39" xfId="29594" xr:uid="{00000000-0005-0000-0000-000083730000}"/>
    <cellStyle name="Normal 3 2 4" xfId="29595" xr:uid="{00000000-0005-0000-0000-000084730000}"/>
    <cellStyle name="Normal 3 2 4 2" xfId="29596" xr:uid="{00000000-0005-0000-0000-000085730000}"/>
    <cellStyle name="Normal 3 2 4 3" xfId="29597" xr:uid="{00000000-0005-0000-0000-000086730000}"/>
    <cellStyle name="Normal 3 2 40" xfId="29598" xr:uid="{00000000-0005-0000-0000-000087730000}"/>
    <cellStyle name="Normal 3 2 41" xfId="29599" xr:uid="{00000000-0005-0000-0000-000088730000}"/>
    <cellStyle name="Normal 3 2 42" xfId="29600" xr:uid="{00000000-0005-0000-0000-000089730000}"/>
    <cellStyle name="Normal 3 2 43" xfId="29601" xr:uid="{00000000-0005-0000-0000-00008A730000}"/>
    <cellStyle name="Normal 3 2 44" xfId="29602" xr:uid="{00000000-0005-0000-0000-00008B730000}"/>
    <cellStyle name="Normal 3 2 45" xfId="29603" xr:uid="{00000000-0005-0000-0000-00008C730000}"/>
    <cellStyle name="Normal 3 2 46" xfId="29604" xr:uid="{00000000-0005-0000-0000-00008D730000}"/>
    <cellStyle name="Normal 3 2 47" xfId="29605" xr:uid="{00000000-0005-0000-0000-00008E730000}"/>
    <cellStyle name="Normal 3 2 48" xfId="29606" xr:uid="{00000000-0005-0000-0000-00008F730000}"/>
    <cellStyle name="Normal 3 2 49" xfId="29607" xr:uid="{00000000-0005-0000-0000-000090730000}"/>
    <cellStyle name="Normal 3 2 5" xfId="29608" xr:uid="{00000000-0005-0000-0000-000091730000}"/>
    <cellStyle name="Normal 3 2 5 2" xfId="29609" xr:uid="{00000000-0005-0000-0000-000092730000}"/>
    <cellStyle name="Normal 3 2 5 3" xfId="29610" xr:uid="{00000000-0005-0000-0000-000093730000}"/>
    <cellStyle name="Normal 3 2 50" xfId="29611" xr:uid="{00000000-0005-0000-0000-000094730000}"/>
    <cellStyle name="Normal 3 2 51" xfId="29612" xr:uid="{00000000-0005-0000-0000-000095730000}"/>
    <cellStyle name="Normal 3 2 52" xfId="29613" xr:uid="{00000000-0005-0000-0000-000096730000}"/>
    <cellStyle name="Normal 3 2 53" xfId="29614" xr:uid="{00000000-0005-0000-0000-000097730000}"/>
    <cellStyle name="Normal 3 2 54" xfId="29615" xr:uid="{00000000-0005-0000-0000-000098730000}"/>
    <cellStyle name="Normal 3 2 55" xfId="29616" xr:uid="{00000000-0005-0000-0000-000099730000}"/>
    <cellStyle name="Normal 3 2 56" xfId="29617" xr:uid="{00000000-0005-0000-0000-00009A730000}"/>
    <cellStyle name="Normal 3 2 57" xfId="29618" xr:uid="{00000000-0005-0000-0000-00009B730000}"/>
    <cellStyle name="Normal 3 2 58" xfId="29619" xr:uid="{00000000-0005-0000-0000-00009C730000}"/>
    <cellStyle name="Normal 3 2 59" xfId="29620" xr:uid="{00000000-0005-0000-0000-00009D730000}"/>
    <cellStyle name="Normal 3 2 6" xfId="29621" xr:uid="{00000000-0005-0000-0000-00009E730000}"/>
    <cellStyle name="Normal 3 2 6 2" xfId="29622" xr:uid="{00000000-0005-0000-0000-00009F730000}"/>
    <cellStyle name="Normal 3 2 6 3" xfId="29623" xr:uid="{00000000-0005-0000-0000-0000A0730000}"/>
    <cellStyle name="Normal 3 2 60" xfId="29624" xr:uid="{00000000-0005-0000-0000-0000A1730000}"/>
    <cellStyle name="Normal 3 2 61" xfId="29625" xr:uid="{00000000-0005-0000-0000-0000A2730000}"/>
    <cellStyle name="Normal 3 2 62" xfId="29626" xr:uid="{00000000-0005-0000-0000-0000A3730000}"/>
    <cellStyle name="Normal 3 2 63" xfId="29627" xr:uid="{00000000-0005-0000-0000-0000A4730000}"/>
    <cellStyle name="Normal 3 2 64" xfId="29628" xr:uid="{00000000-0005-0000-0000-0000A5730000}"/>
    <cellStyle name="Normal 3 2 65" xfId="29629" xr:uid="{00000000-0005-0000-0000-0000A6730000}"/>
    <cellStyle name="Normal 3 2 66" xfId="29630" xr:uid="{00000000-0005-0000-0000-0000A7730000}"/>
    <cellStyle name="Normal 3 2 67" xfId="29631" xr:uid="{00000000-0005-0000-0000-0000A8730000}"/>
    <cellStyle name="Normal 3 2 68" xfId="29632" xr:uid="{00000000-0005-0000-0000-0000A9730000}"/>
    <cellStyle name="Normal 3 2 69" xfId="29633" xr:uid="{00000000-0005-0000-0000-0000AA730000}"/>
    <cellStyle name="Normal 3 2 7" xfId="29634" xr:uid="{00000000-0005-0000-0000-0000AB730000}"/>
    <cellStyle name="Normal 3 2 7 2" xfId="29635" xr:uid="{00000000-0005-0000-0000-0000AC730000}"/>
    <cellStyle name="Normal 3 2 7 3" xfId="29636" xr:uid="{00000000-0005-0000-0000-0000AD730000}"/>
    <cellStyle name="Normal 3 2 70" xfId="29637" xr:uid="{00000000-0005-0000-0000-0000AE730000}"/>
    <cellStyle name="Normal 3 2 71" xfId="29638" xr:uid="{00000000-0005-0000-0000-0000AF730000}"/>
    <cellStyle name="Normal 3 2 72" xfId="29639" xr:uid="{00000000-0005-0000-0000-0000B0730000}"/>
    <cellStyle name="Normal 3 2 73" xfId="29640" xr:uid="{00000000-0005-0000-0000-0000B1730000}"/>
    <cellStyle name="Normal 3 2 74" xfId="29641" xr:uid="{00000000-0005-0000-0000-0000B2730000}"/>
    <cellStyle name="Normal 3 2 75" xfId="29642" xr:uid="{00000000-0005-0000-0000-0000B3730000}"/>
    <cellStyle name="Normal 3 2 76" xfId="29643" xr:uid="{00000000-0005-0000-0000-0000B4730000}"/>
    <cellStyle name="Normal 3 2 77" xfId="29644" xr:uid="{00000000-0005-0000-0000-0000B5730000}"/>
    <cellStyle name="Normal 3 2 78" xfId="29645" xr:uid="{00000000-0005-0000-0000-0000B6730000}"/>
    <cellStyle name="Normal 3 2 79" xfId="29646" xr:uid="{00000000-0005-0000-0000-0000B7730000}"/>
    <cellStyle name="Normal 3 2 8" xfId="29647" xr:uid="{00000000-0005-0000-0000-0000B8730000}"/>
    <cellStyle name="Normal 3 2 8 2" xfId="29648" xr:uid="{00000000-0005-0000-0000-0000B9730000}"/>
    <cellStyle name="Normal 3 2 8 3" xfId="29649" xr:uid="{00000000-0005-0000-0000-0000BA730000}"/>
    <cellStyle name="Normal 3 2 80" xfId="29650" xr:uid="{00000000-0005-0000-0000-0000BB730000}"/>
    <cellStyle name="Normal 3 2 81" xfId="29651" xr:uid="{00000000-0005-0000-0000-0000BC730000}"/>
    <cellStyle name="Normal 3 2 82" xfId="29652" xr:uid="{00000000-0005-0000-0000-0000BD730000}"/>
    <cellStyle name="Normal 3 2 83" xfId="29653" xr:uid="{00000000-0005-0000-0000-0000BE730000}"/>
    <cellStyle name="Normal 3 2 84" xfId="29654" xr:uid="{00000000-0005-0000-0000-0000BF730000}"/>
    <cellStyle name="Normal 3 2 85" xfId="29655" xr:uid="{00000000-0005-0000-0000-0000C0730000}"/>
    <cellStyle name="Normal 3 2 86" xfId="29656" xr:uid="{00000000-0005-0000-0000-0000C1730000}"/>
    <cellStyle name="Normal 3 2 87" xfId="29657" xr:uid="{00000000-0005-0000-0000-0000C2730000}"/>
    <cellStyle name="Normal 3 2 88" xfId="29658" xr:uid="{00000000-0005-0000-0000-0000C3730000}"/>
    <cellStyle name="Normal 3 2 89" xfId="29659" xr:uid="{00000000-0005-0000-0000-0000C4730000}"/>
    <cellStyle name="Normal 3 2 9" xfId="29660" xr:uid="{00000000-0005-0000-0000-0000C5730000}"/>
    <cellStyle name="Normal 3 2 9 2" xfId="29661" xr:uid="{00000000-0005-0000-0000-0000C6730000}"/>
    <cellStyle name="Normal 3 2 9 3" xfId="29662" xr:uid="{00000000-0005-0000-0000-0000C7730000}"/>
    <cellStyle name="Normal 3 2 90" xfId="29663" xr:uid="{00000000-0005-0000-0000-0000C8730000}"/>
    <cellStyle name="Normal 3 2 91" xfId="29664" xr:uid="{00000000-0005-0000-0000-0000C9730000}"/>
    <cellStyle name="Normal 3 2 92" xfId="29665" xr:uid="{00000000-0005-0000-0000-0000CA730000}"/>
    <cellStyle name="Normal 3 2 93" xfId="29666" xr:uid="{00000000-0005-0000-0000-0000CB730000}"/>
    <cellStyle name="Normal 3 2 94" xfId="29667" xr:uid="{00000000-0005-0000-0000-0000CC730000}"/>
    <cellStyle name="Normal 3 2 95" xfId="29541" xr:uid="{00000000-0005-0000-0000-0000CD730000}"/>
    <cellStyle name="Normal 3 2_Xa Parametrización de Usuarios" xfId="29668" xr:uid="{00000000-0005-0000-0000-0000CE730000}"/>
    <cellStyle name="Normal 3 20" xfId="29669" xr:uid="{00000000-0005-0000-0000-0000CF730000}"/>
    <cellStyle name="Normal 3 20 2" xfId="29670" xr:uid="{00000000-0005-0000-0000-0000D0730000}"/>
    <cellStyle name="Normal 3 20 3" xfId="29671" xr:uid="{00000000-0005-0000-0000-0000D1730000}"/>
    <cellStyle name="Normal 3 20_Enlaces" xfId="29672" xr:uid="{00000000-0005-0000-0000-0000D2730000}"/>
    <cellStyle name="Normal 3 21" xfId="29673" xr:uid="{00000000-0005-0000-0000-0000D3730000}"/>
    <cellStyle name="Normal 3 21 2" xfId="29674" xr:uid="{00000000-0005-0000-0000-0000D4730000}"/>
    <cellStyle name="Normal 3 21_Enlaces" xfId="29675" xr:uid="{00000000-0005-0000-0000-0000D5730000}"/>
    <cellStyle name="Normal 3 22" xfId="29676" xr:uid="{00000000-0005-0000-0000-0000D6730000}"/>
    <cellStyle name="Normal 3 22 2" xfId="29677" xr:uid="{00000000-0005-0000-0000-0000D7730000}"/>
    <cellStyle name="Normal 3 22_Enlaces" xfId="29678" xr:uid="{00000000-0005-0000-0000-0000D8730000}"/>
    <cellStyle name="Normal 3 23" xfId="29679" xr:uid="{00000000-0005-0000-0000-0000D9730000}"/>
    <cellStyle name="Normal 3 23 2" xfId="29680" xr:uid="{00000000-0005-0000-0000-0000DA730000}"/>
    <cellStyle name="Normal 3 23_Enlaces" xfId="29681" xr:uid="{00000000-0005-0000-0000-0000DB730000}"/>
    <cellStyle name="Normal 3 24" xfId="29682" xr:uid="{00000000-0005-0000-0000-0000DC730000}"/>
    <cellStyle name="Normal 3 24 2" xfId="29683" xr:uid="{00000000-0005-0000-0000-0000DD730000}"/>
    <cellStyle name="Normal 3 24_Enlaces" xfId="29684" xr:uid="{00000000-0005-0000-0000-0000DE730000}"/>
    <cellStyle name="Normal 3 25" xfId="29685" xr:uid="{00000000-0005-0000-0000-0000DF730000}"/>
    <cellStyle name="Normal 3 25 2" xfId="29686" xr:uid="{00000000-0005-0000-0000-0000E0730000}"/>
    <cellStyle name="Normal 3 25_Enlaces" xfId="29687" xr:uid="{00000000-0005-0000-0000-0000E1730000}"/>
    <cellStyle name="Normal 3 26" xfId="29688" xr:uid="{00000000-0005-0000-0000-0000E2730000}"/>
    <cellStyle name="Normal 3 26 2" xfId="29689" xr:uid="{00000000-0005-0000-0000-0000E3730000}"/>
    <cellStyle name="Normal 3 26_Enlaces" xfId="29690" xr:uid="{00000000-0005-0000-0000-0000E4730000}"/>
    <cellStyle name="Normal 3 27" xfId="29691" xr:uid="{00000000-0005-0000-0000-0000E5730000}"/>
    <cellStyle name="Normal 3 27 2" xfId="29692" xr:uid="{00000000-0005-0000-0000-0000E6730000}"/>
    <cellStyle name="Normal 3 27_Enlaces" xfId="29693" xr:uid="{00000000-0005-0000-0000-0000E7730000}"/>
    <cellStyle name="Normal 3 28" xfId="29694" xr:uid="{00000000-0005-0000-0000-0000E8730000}"/>
    <cellStyle name="Normal 3 29" xfId="29695" xr:uid="{00000000-0005-0000-0000-0000E9730000}"/>
    <cellStyle name="Normal 3 3" xfId="59" xr:uid="{00000000-0005-0000-0000-0000EA730000}"/>
    <cellStyle name="Normal 3 3 10" xfId="29697" xr:uid="{00000000-0005-0000-0000-0000EB730000}"/>
    <cellStyle name="Normal 3 3 11" xfId="29698" xr:uid="{00000000-0005-0000-0000-0000EC730000}"/>
    <cellStyle name="Normal 3 3 12" xfId="29699" xr:uid="{00000000-0005-0000-0000-0000ED730000}"/>
    <cellStyle name="Normal 3 3 13" xfId="29700" xr:uid="{00000000-0005-0000-0000-0000EE730000}"/>
    <cellStyle name="Normal 3 3 14" xfId="29701" xr:uid="{00000000-0005-0000-0000-0000EF730000}"/>
    <cellStyle name="Normal 3 3 15" xfId="29702" xr:uid="{00000000-0005-0000-0000-0000F0730000}"/>
    <cellStyle name="Normal 3 3 16" xfId="29703" xr:uid="{00000000-0005-0000-0000-0000F1730000}"/>
    <cellStyle name="Normal 3 3 17" xfId="29704" xr:uid="{00000000-0005-0000-0000-0000F2730000}"/>
    <cellStyle name="Normal 3 3 18" xfId="29705" xr:uid="{00000000-0005-0000-0000-0000F3730000}"/>
    <cellStyle name="Normal 3 3 19" xfId="29706" xr:uid="{00000000-0005-0000-0000-0000F4730000}"/>
    <cellStyle name="Normal 3 3 2" xfId="29707" xr:uid="{00000000-0005-0000-0000-0000F5730000}"/>
    <cellStyle name="Normal 3 3 2 2" xfId="29708" xr:uid="{00000000-0005-0000-0000-0000F6730000}"/>
    <cellStyle name="Normal 3 3 2 3" xfId="29709" xr:uid="{00000000-0005-0000-0000-0000F7730000}"/>
    <cellStyle name="Normal 3 3 20" xfId="29710" xr:uid="{00000000-0005-0000-0000-0000F8730000}"/>
    <cellStyle name="Normal 3 3 21" xfId="29711" xr:uid="{00000000-0005-0000-0000-0000F9730000}"/>
    <cellStyle name="Normal 3 3 22" xfId="29712" xr:uid="{00000000-0005-0000-0000-0000FA730000}"/>
    <cellStyle name="Normal 3 3 23" xfId="29713" xr:uid="{00000000-0005-0000-0000-0000FB730000}"/>
    <cellStyle name="Normal 3 3 24" xfId="29714" xr:uid="{00000000-0005-0000-0000-0000FC730000}"/>
    <cellStyle name="Normal 3 3 25" xfId="29715" xr:uid="{00000000-0005-0000-0000-0000FD730000}"/>
    <cellStyle name="Normal 3 3 26" xfId="29716" xr:uid="{00000000-0005-0000-0000-0000FE730000}"/>
    <cellStyle name="Normal 3 3 27" xfId="29717" xr:uid="{00000000-0005-0000-0000-0000FF730000}"/>
    <cellStyle name="Normal 3 3 28" xfId="29718" xr:uid="{00000000-0005-0000-0000-000000740000}"/>
    <cellStyle name="Normal 3 3 29" xfId="29719" xr:uid="{00000000-0005-0000-0000-000001740000}"/>
    <cellStyle name="Normal 3 3 3" xfId="29720" xr:uid="{00000000-0005-0000-0000-000002740000}"/>
    <cellStyle name="Normal 3 3 30" xfId="29721" xr:uid="{00000000-0005-0000-0000-000003740000}"/>
    <cellStyle name="Normal 3 3 31" xfId="29696" xr:uid="{00000000-0005-0000-0000-000004740000}"/>
    <cellStyle name="Normal 3 3 4" xfId="29722" xr:uid="{00000000-0005-0000-0000-000005740000}"/>
    <cellStyle name="Normal 3 3 5" xfId="29723" xr:uid="{00000000-0005-0000-0000-000006740000}"/>
    <cellStyle name="Normal 3 3 6" xfId="29724" xr:uid="{00000000-0005-0000-0000-000007740000}"/>
    <cellStyle name="Normal 3 3 7" xfId="29725" xr:uid="{00000000-0005-0000-0000-000008740000}"/>
    <cellStyle name="Normal 3 3 8" xfId="29726" xr:uid="{00000000-0005-0000-0000-000009740000}"/>
    <cellStyle name="Normal 3 3 9" xfId="29727" xr:uid="{00000000-0005-0000-0000-00000A740000}"/>
    <cellStyle name="Normal 3 3_Enlaces" xfId="29728" xr:uid="{00000000-0005-0000-0000-00000B740000}"/>
    <cellStyle name="Normal 3 30" xfId="29729" xr:uid="{00000000-0005-0000-0000-00000C740000}"/>
    <cellStyle name="Normal 3 31" xfId="29730" xr:uid="{00000000-0005-0000-0000-00000D740000}"/>
    <cellStyle name="Normal 3 32" xfId="29731" xr:uid="{00000000-0005-0000-0000-00000E740000}"/>
    <cellStyle name="Normal 3 33" xfId="29732" xr:uid="{00000000-0005-0000-0000-00000F740000}"/>
    <cellStyle name="Normal 3 34" xfId="29733" xr:uid="{00000000-0005-0000-0000-000010740000}"/>
    <cellStyle name="Normal 3 35" xfId="29734" xr:uid="{00000000-0005-0000-0000-000011740000}"/>
    <cellStyle name="Normal 3 36" xfId="29735" xr:uid="{00000000-0005-0000-0000-000012740000}"/>
    <cellStyle name="Normal 3 37" xfId="29736" xr:uid="{00000000-0005-0000-0000-000013740000}"/>
    <cellStyle name="Normal 3 38" xfId="29737" xr:uid="{00000000-0005-0000-0000-000014740000}"/>
    <cellStyle name="Normal 3 39" xfId="29738" xr:uid="{00000000-0005-0000-0000-000015740000}"/>
    <cellStyle name="Normal 3 4" xfId="40" xr:uid="{00000000-0005-0000-0000-000016740000}"/>
    <cellStyle name="Normal 3 4 10" xfId="29740" xr:uid="{00000000-0005-0000-0000-000017740000}"/>
    <cellStyle name="Normal 3 4 11" xfId="29741" xr:uid="{00000000-0005-0000-0000-000018740000}"/>
    <cellStyle name="Normal 3 4 12" xfId="29742" xr:uid="{00000000-0005-0000-0000-000019740000}"/>
    <cellStyle name="Normal 3 4 13" xfId="29743" xr:uid="{00000000-0005-0000-0000-00001A740000}"/>
    <cellStyle name="Normal 3 4 14" xfId="29744" xr:uid="{00000000-0005-0000-0000-00001B740000}"/>
    <cellStyle name="Normal 3 4 15" xfId="29745" xr:uid="{00000000-0005-0000-0000-00001C740000}"/>
    <cellStyle name="Normal 3 4 16" xfId="29746" xr:uid="{00000000-0005-0000-0000-00001D740000}"/>
    <cellStyle name="Normal 3 4 17" xfId="29747" xr:uid="{00000000-0005-0000-0000-00001E740000}"/>
    <cellStyle name="Normal 3 4 18" xfId="29748" xr:uid="{00000000-0005-0000-0000-00001F740000}"/>
    <cellStyle name="Normal 3 4 19" xfId="29749" xr:uid="{00000000-0005-0000-0000-000020740000}"/>
    <cellStyle name="Normal 3 4 2" xfId="29750" xr:uid="{00000000-0005-0000-0000-000021740000}"/>
    <cellStyle name="Normal 3 4 2 2" xfId="29751" xr:uid="{00000000-0005-0000-0000-000022740000}"/>
    <cellStyle name="Normal 3 4 20" xfId="29752" xr:uid="{00000000-0005-0000-0000-000023740000}"/>
    <cellStyle name="Normal 3 4 21" xfId="29753" xr:uid="{00000000-0005-0000-0000-000024740000}"/>
    <cellStyle name="Normal 3 4 22" xfId="29754" xr:uid="{00000000-0005-0000-0000-000025740000}"/>
    <cellStyle name="Normal 3 4 23" xfId="29755" xr:uid="{00000000-0005-0000-0000-000026740000}"/>
    <cellStyle name="Normal 3 4 24" xfId="29756" xr:uid="{00000000-0005-0000-0000-000027740000}"/>
    <cellStyle name="Normal 3 4 24 2" xfId="29757" xr:uid="{00000000-0005-0000-0000-000028740000}"/>
    <cellStyle name="Normal 3 4 25" xfId="29739" xr:uid="{00000000-0005-0000-0000-000029740000}"/>
    <cellStyle name="Normal 3 4 3" xfId="29758" xr:uid="{00000000-0005-0000-0000-00002A740000}"/>
    <cellStyle name="Normal 3 4 4" xfId="29759" xr:uid="{00000000-0005-0000-0000-00002B740000}"/>
    <cellStyle name="Normal 3 4 5" xfId="29760" xr:uid="{00000000-0005-0000-0000-00002C740000}"/>
    <cellStyle name="Normal 3 4 6" xfId="29761" xr:uid="{00000000-0005-0000-0000-00002D740000}"/>
    <cellStyle name="Normal 3 4 7" xfId="29762" xr:uid="{00000000-0005-0000-0000-00002E740000}"/>
    <cellStyle name="Normal 3 4 8" xfId="29763" xr:uid="{00000000-0005-0000-0000-00002F740000}"/>
    <cellStyle name="Normal 3 4 9" xfId="29764" xr:uid="{00000000-0005-0000-0000-000030740000}"/>
    <cellStyle name="Normal 3 4_Enlaces" xfId="29765" xr:uid="{00000000-0005-0000-0000-000031740000}"/>
    <cellStyle name="Normal 3 40" xfId="29766" xr:uid="{00000000-0005-0000-0000-000032740000}"/>
    <cellStyle name="Normal 3 41" xfId="29767" xr:uid="{00000000-0005-0000-0000-000033740000}"/>
    <cellStyle name="Normal 3 42" xfId="29768" xr:uid="{00000000-0005-0000-0000-000034740000}"/>
    <cellStyle name="Normal 3 43" xfId="29769" xr:uid="{00000000-0005-0000-0000-000035740000}"/>
    <cellStyle name="Normal 3 44" xfId="29770" xr:uid="{00000000-0005-0000-0000-000036740000}"/>
    <cellStyle name="Normal 3 45" xfId="29771" xr:uid="{00000000-0005-0000-0000-000037740000}"/>
    <cellStyle name="Normal 3 46" xfId="29772" xr:uid="{00000000-0005-0000-0000-000038740000}"/>
    <cellStyle name="Normal 3 47" xfId="29773" xr:uid="{00000000-0005-0000-0000-000039740000}"/>
    <cellStyle name="Normal 3 48" xfId="29774" xr:uid="{00000000-0005-0000-0000-00003A740000}"/>
    <cellStyle name="Normal 3 49" xfId="29775" xr:uid="{00000000-0005-0000-0000-00003B740000}"/>
    <cellStyle name="Normal 3 5" xfId="29776" xr:uid="{00000000-0005-0000-0000-00003C740000}"/>
    <cellStyle name="Normal 3 5 2" xfId="29777" xr:uid="{00000000-0005-0000-0000-00003D740000}"/>
    <cellStyle name="Normal 3 5 3" xfId="29778" xr:uid="{00000000-0005-0000-0000-00003E740000}"/>
    <cellStyle name="Normal 3 5 4" xfId="29779" xr:uid="{00000000-0005-0000-0000-00003F740000}"/>
    <cellStyle name="Normal 3 5_Enlaces" xfId="29780" xr:uid="{00000000-0005-0000-0000-000040740000}"/>
    <cellStyle name="Normal 3 50" xfId="29781" xr:uid="{00000000-0005-0000-0000-000041740000}"/>
    <cellStyle name="Normal 3 51" xfId="29782" xr:uid="{00000000-0005-0000-0000-000042740000}"/>
    <cellStyle name="Normal 3 52" xfId="29783" xr:uid="{00000000-0005-0000-0000-000043740000}"/>
    <cellStyle name="Normal 3 53" xfId="29784" xr:uid="{00000000-0005-0000-0000-000044740000}"/>
    <cellStyle name="Normal 3 54" xfId="29785" xr:uid="{00000000-0005-0000-0000-000045740000}"/>
    <cellStyle name="Normal 3 55" xfId="29786" xr:uid="{00000000-0005-0000-0000-000046740000}"/>
    <cellStyle name="Normal 3 56" xfId="29787" xr:uid="{00000000-0005-0000-0000-000047740000}"/>
    <cellStyle name="Normal 3 57" xfId="29788" xr:uid="{00000000-0005-0000-0000-000048740000}"/>
    <cellStyle name="Normal 3 58" xfId="29789" xr:uid="{00000000-0005-0000-0000-000049740000}"/>
    <cellStyle name="Normal 3 59" xfId="29790" xr:uid="{00000000-0005-0000-0000-00004A740000}"/>
    <cellStyle name="Normal 3 6" xfId="29791" xr:uid="{00000000-0005-0000-0000-00004B740000}"/>
    <cellStyle name="Normal 3 6 2" xfId="29792" xr:uid="{00000000-0005-0000-0000-00004C740000}"/>
    <cellStyle name="Normal 3 6 3" xfId="29793" xr:uid="{00000000-0005-0000-0000-00004D740000}"/>
    <cellStyle name="Normal 3 6 4" xfId="29794" xr:uid="{00000000-0005-0000-0000-00004E740000}"/>
    <cellStyle name="Normal 3 6_Enlaces" xfId="29795" xr:uid="{00000000-0005-0000-0000-00004F740000}"/>
    <cellStyle name="Normal 3 60" xfId="29796" xr:uid="{00000000-0005-0000-0000-000050740000}"/>
    <cellStyle name="Normal 3 61" xfId="29797" xr:uid="{00000000-0005-0000-0000-000051740000}"/>
    <cellStyle name="Normal 3 62" xfId="29798" xr:uid="{00000000-0005-0000-0000-000052740000}"/>
    <cellStyle name="Normal 3 63" xfId="29799" xr:uid="{00000000-0005-0000-0000-000053740000}"/>
    <cellStyle name="Normal 3 64" xfId="29800" xr:uid="{00000000-0005-0000-0000-000054740000}"/>
    <cellStyle name="Normal 3 65" xfId="29801" xr:uid="{00000000-0005-0000-0000-000055740000}"/>
    <cellStyle name="Normal 3 66" xfId="29802" xr:uid="{00000000-0005-0000-0000-000056740000}"/>
    <cellStyle name="Normal 3 67" xfId="29803" xr:uid="{00000000-0005-0000-0000-000057740000}"/>
    <cellStyle name="Normal 3 68" xfId="29804" xr:uid="{00000000-0005-0000-0000-000058740000}"/>
    <cellStyle name="Normal 3 69" xfId="29805" xr:uid="{00000000-0005-0000-0000-000059740000}"/>
    <cellStyle name="Normal 3 7" xfId="29806" xr:uid="{00000000-0005-0000-0000-00005A740000}"/>
    <cellStyle name="Normal 3 7 2" xfId="29807" xr:uid="{00000000-0005-0000-0000-00005B740000}"/>
    <cellStyle name="Normal 3 7 3" xfId="29808" xr:uid="{00000000-0005-0000-0000-00005C740000}"/>
    <cellStyle name="Normal 3 7 4" xfId="29809" xr:uid="{00000000-0005-0000-0000-00005D740000}"/>
    <cellStyle name="Normal 3 7_Enlaces" xfId="29810" xr:uid="{00000000-0005-0000-0000-00005E740000}"/>
    <cellStyle name="Normal 3 70" xfId="29811" xr:uid="{00000000-0005-0000-0000-00005F740000}"/>
    <cellStyle name="Normal 3 71" xfId="29812" xr:uid="{00000000-0005-0000-0000-000060740000}"/>
    <cellStyle name="Normal 3 72" xfId="29813" xr:uid="{00000000-0005-0000-0000-000061740000}"/>
    <cellStyle name="Normal 3 73" xfId="29814" xr:uid="{00000000-0005-0000-0000-000062740000}"/>
    <cellStyle name="Normal 3 74" xfId="29815" xr:uid="{00000000-0005-0000-0000-000063740000}"/>
    <cellStyle name="Normal 3 75" xfId="29816" xr:uid="{00000000-0005-0000-0000-000064740000}"/>
    <cellStyle name="Normal 3 76" xfId="29817" xr:uid="{00000000-0005-0000-0000-000065740000}"/>
    <cellStyle name="Normal 3 77" xfId="29818" xr:uid="{00000000-0005-0000-0000-000066740000}"/>
    <cellStyle name="Normal 3 78" xfId="29819" xr:uid="{00000000-0005-0000-0000-000067740000}"/>
    <cellStyle name="Normal 3 79" xfId="29820" xr:uid="{00000000-0005-0000-0000-000068740000}"/>
    <cellStyle name="Normal 3 8" xfId="29821" xr:uid="{00000000-0005-0000-0000-000069740000}"/>
    <cellStyle name="Normal 3 8 2" xfId="29822" xr:uid="{00000000-0005-0000-0000-00006A740000}"/>
    <cellStyle name="Normal 3 8 3" xfId="29823" xr:uid="{00000000-0005-0000-0000-00006B740000}"/>
    <cellStyle name="Normal 3 8 4" xfId="29824" xr:uid="{00000000-0005-0000-0000-00006C740000}"/>
    <cellStyle name="Normal 3 8_Enlaces" xfId="29825" xr:uid="{00000000-0005-0000-0000-00006D740000}"/>
    <cellStyle name="Normal 3 80" xfId="29826" xr:uid="{00000000-0005-0000-0000-00006E740000}"/>
    <cellStyle name="Normal 3 81" xfId="29827" xr:uid="{00000000-0005-0000-0000-00006F740000}"/>
    <cellStyle name="Normal 3 82" xfId="29828" xr:uid="{00000000-0005-0000-0000-000070740000}"/>
    <cellStyle name="Normal 3 83" xfId="29829" xr:uid="{00000000-0005-0000-0000-000071740000}"/>
    <cellStyle name="Normal 3 84" xfId="29830" xr:uid="{00000000-0005-0000-0000-000072740000}"/>
    <cellStyle name="Normal 3 85" xfId="29831" xr:uid="{00000000-0005-0000-0000-000073740000}"/>
    <cellStyle name="Normal 3 86" xfId="29832" xr:uid="{00000000-0005-0000-0000-000074740000}"/>
    <cellStyle name="Normal 3 87" xfId="29833" xr:uid="{00000000-0005-0000-0000-000075740000}"/>
    <cellStyle name="Normal 3 88" xfId="29834" xr:uid="{00000000-0005-0000-0000-000076740000}"/>
    <cellStyle name="Normal 3 89" xfId="29835" xr:uid="{00000000-0005-0000-0000-000077740000}"/>
    <cellStyle name="Normal 3 9" xfId="29836" xr:uid="{00000000-0005-0000-0000-000078740000}"/>
    <cellStyle name="Normal 3 9 2" xfId="29837" xr:uid="{00000000-0005-0000-0000-000079740000}"/>
    <cellStyle name="Normal 3 9 3" xfId="29838" xr:uid="{00000000-0005-0000-0000-00007A740000}"/>
    <cellStyle name="Normal 3 9 4" xfId="29839" xr:uid="{00000000-0005-0000-0000-00007B740000}"/>
    <cellStyle name="Normal 3 9_Enlaces" xfId="29840" xr:uid="{00000000-0005-0000-0000-00007C740000}"/>
    <cellStyle name="Normal 3 90" xfId="29841" xr:uid="{00000000-0005-0000-0000-00007D740000}"/>
    <cellStyle name="Normal 3 91" xfId="29842" xr:uid="{00000000-0005-0000-0000-00007E740000}"/>
    <cellStyle name="Normal 3 92" xfId="29843" xr:uid="{00000000-0005-0000-0000-00007F740000}"/>
    <cellStyle name="Normal 3 93" xfId="29844" xr:uid="{00000000-0005-0000-0000-000080740000}"/>
    <cellStyle name="Normal 3 94" xfId="29845" xr:uid="{00000000-0005-0000-0000-000081740000}"/>
    <cellStyle name="Normal 3 95" xfId="29846" xr:uid="{00000000-0005-0000-0000-000082740000}"/>
    <cellStyle name="Normal 3 96" xfId="29847" xr:uid="{00000000-0005-0000-0000-000083740000}"/>
    <cellStyle name="Normal 3 97" xfId="29848" xr:uid="{00000000-0005-0000-0000-000084740000}"/>
    <cellStyle name="Normal 3 98" xfId="29849" xr:uid="{00000000-0005-0000-0000-000085740000}"/>
    <cellStyle name="Normal 3 98 2" xfId="29850" xr:uid="{00000000-0005-0000-0000-000086740000}"/>
    <cellStyle name="Normal 3 98 3" xfId="29851" xr:uid="{00000000-0005-0000-0000-000087740000}"/>
    <cellStyle name="Normal 3 98 4" xfId="29852" xr:uid="{00000000-0005-0000-0000-000088740000}"/>
    <cellStyle name="Normal 3 98 5" xfId="29853" xr:uid="{00000000-0005-0000-0000-000089740000}"/>
    <cellStyle name="Normal 3 98 6" xfId="29854" xr:uid="{00000000-0005-0000-0000-00008A740000}"/>
    <cellStyle name="Normal 3 99" xfId="29855" xr:uid="{00000000-0005-0000-0000-00008B740000}"/>
    <cellStyle name="Normal 3 99 2" xfId="29856" xr:uid="{00000000-0005-0000-0000-00008C740000}"/>
    <cellStyle name="Normal 3 99 3" xfId="29857" xr:uid="{00000000-0005-0000-0000-00008D740000}"/>
    <cellStyle name="Normal 3 99 4" xfId="29858" xr:uid="{00000000-0005-0000-0000-00008E740000}"/>
    <cellStyle name="Normal 3 99 5" xfId="29859" xr:uid="{00000000-0005-0000-0000-00008F740000}"/>
    <cellStyle name="Normal 3 99 6" xfId="29860" xr:uid="{00000000-0005-0000-0000-000090740000}"/>
    <cellStyle name="Normal 3_Enlaces" xfId="29861" xr:uid="{00000000-0005-0000-0000-000091740000}"/>
    <cellStyle name="Normal 30" xfId="29862" xr:uid="{00000000-0005-0000-0000-000092740000}"/>
    <cellStyle name="Normal 30 10" xfId="29863" xr:uid="{00000000-0005-0000-0000-000093740000}"/>
    <cellStyle name="Normal 30 11" xfId="29864" xr:uid="{00000000-0005-0000-0000-000094740000}"/>
    <cellStyle name="Normal 30 12" xfId="29865" xr:uid="{00000000-0005-0000-0000-000095740000}"/>
    <cellStyle name="Normal 30 13" xfId="29866" xr:uid="{00000000-0005-0000-0000-000096740000}"/>
    <cellStyle name="Normal 30 14" xfId="29867" xr:uid="{00000000-0005-0000-0000-000097740000}"/>
    <cellStyle name="Normal 30 15" xfId="29868" xr:uid="{00000000-0005-0000-0000-000098740000}"/>
    <cellStyle name="Normal 30 16" xfId="29869" xr:uid="{00000000-0005-0000-0000-000099740000}"/>
    <cellStyle name="Normal 30 17" xfId="29870" xr:uid="{00000000-0005-0000-0000-00009A740000}"/>
    <cellStyle name="Normal 30 18" xfId="29871" xr:uid="{00000000-0005-0000-0000-00009B740000}"/>
    <cellStyle name="Normal 30 19" xfId="29872" xr:uid="{00000000-0005-0000-0000-00009C740000}"/>
    <cellStyle name="Normal 30 2" xfId="29873" xr:uid="{00000000-0005-0000-0000-00009D740000}"/>
    <cellStyle name="Normal 30 2 2" xfId="29874" xr:uid="{00000000-0005-0000-0000-00009E740000}"/>
    <cellStyle name="Normal 30 2 3" xfId="29875" xr:uid="{00000000-0005-0000-0000-00009F740000}"/>
    <cellStyle name="Normal 30 20" xfId="29876" xr:uid="{00000000-0005-0000-0000-0000A0740000}"/>
    <cellStyle name="Normal 30 21" xfId="29877" xr:uid="{00000000-0005-0000-0000-0000A1740000}"/>
    <cellStyle name="Normal 30 22" xfId="29878" xr:uid="{00000000-0005-0000-0000-0000A2740000}"/>
    <cellStyle name="Normal 30 23" xfId="29879" xr:uid="{00000000-0005-0000-0000-0000A3740000}"/>
    <cellStyle name="Normal 30 24" xfId="29880" xr:uid="{00000000-0005-0000-0000-0000A4740000}"/>
    <cellStyle name="Normal 30 25" xfId="29881" xr:uid="{00000000-0005-0000-0000-0000A5740000}"/>
    <cellStyle name="Normal 30 26" xfId="29882" xr:uid="{00000000-0005-0000-0000-0000A6740000}"/>
    <cellStyle name="Normal 30 3" xfId="29883" xr:uid="{00000000-0005-0000-0000-0000A7740000}"/>
    <cellStyle name="Normal 30 3 2" xfId="29884" xr:uid="{00000000-0005-0000-0000-0000A8740000}"/>
    <cellStyle name="Normal 30 3 3" xfId="29885" xr:uid="{00000000-0005-0000-0000-0000A9740000}"/>
    <cellStyle name="Normal 30 3 4" xfId="29886" xr:uid="{00000000-0005-0000-0000-0000AA740000}"/>
    <cellStyle name="Normal 30 3 5" xfId="29887" xr:uid="{00000000-0005-0000-0000-0000AB740000}"/>
    <cellStyle name="Normal 30 4" xfId="29888" xr:uid="{00000000-0005-0000-0000-0000AC740000}"/>
    <cellStyle name="Normal 30 5" xfId="29889" xr:uid="{00000000-0005-0000-0000-0000AD740000}"/>
    <cellStyle name="Normal 30 6" xfId="29890" xr:uid="{00000000-0005-0000-0000-0000AE740000}"/>
    <cellStyle name="Normal 30 7" xfId="29891" xr:uid="{00000000-0005-0000-0000-0000AF740000}"/>
    <cellStyle name="Normal 30 8" xfId="29892" xr:uid="{00000000-0005-0000-0000-0000B0740000}"/>
    <cellStyle name="Normal 30 9" xfId="29893" xr:uid="{00000000-0005-0000-0000-0000B1740000}"/>
    <cellStyle name="Normal 31" xfId="29894" xr:uid="{00000000-0005-0000-0000-0000B2740000}"/>
    <cellStyle name="Normal 31 10" xfId="29895" xr:uid="{00000000-0005-0000-0000-0000B3740000}"/>
    <cellStyle name="Normal 31 11" xfId="29896" xr:uid="{00000000-0005-0000-0000-0000B4740000}"/>
    <cellStyle name="Normal 31 12" xfId="29897" xr:uid="{00000000-0005-0000-0000-0000B5740000}"/>
    <cellStyle name="Normal 31 13" xfId="29898" xr:uid="{00000000-0005-0000-0000-0000B6740000}"/>
    <cellStyle name="Normal 31 14" xfId="29899" xr:uid="{00000000-0005-0000-0000-0000B7740000}"/>
    <cellStyle name="Normal 31 15" xfId="29900" xr:uid="{00000000-0005-0000-0000-0000B8740000}"/>
    <cellStyle name="Normal 31 16" xfId="29901" xr:uid="{00000000-0005-0000-0000-0000B9740000}"/>
    <cellStyle name="Normal 31 17" xfId="29902" xr:uid="{00000000-0005-0000-0000-0000BA740000}"/>
    <cellStyle name="Normal 31 18" xfId="29903" xr:uid="{00000000-0005-0000-0000-0000BB740000}"/>
    <cellStyle name="Normal 31 19" xfId="29904" xr:uid="{00000000-0005-0000-0000-0000BC740000}"/>
    <cellStyle name="Normal 31 2" xfId="29905" xr:uid="{00000000-0005-0000-0000-0000BD740000}"/>
    <cellStyle name="Normal 31 2 2" xfId="29906" xr:uid="{00000000-0005-0000-0000-0000BE740000}"/>
    <cellStyle name="Normal 31 2 3" xfId="29907" xr:uid="{00000000-0005-0000-0000-0000BF740000}"/>
    <cellStyle name="Normal 31 20" xfId="29908" xr:uid="{00000000-0005-0000-0000-0000C0740000}"/>
    <cellStyle name="Normal 31 21" xfId="29909" xr:uid="{00000000-0005-0000-0000-0000C1740000}"/>
    <cellStyle name="Normal 31 22" xfId="29910" xr:uid="{00000000-0005-0000-0000-0000C2740000}"/>
    <cellStyle name="Normal 31 23" xfId="29911" xr:uid="{00000000-0005-0000-0000-0000C3740000}"/>
    <cellStyle name="Normal 31 24" xfId="29912" xr:uid="{00000000-0005-0000-0000-0000C4740000}"/>
    <cellStyle name="Normal 31 25" xfId="29913" xr:uid="{00000000-0005-0000-0000-0000C5740000}"/>
    <cellStyle name="Normal 31 26" xfId="29914" xr:uid="{00000000-0005-0000-0000-0000C6740000}"/>
    <cellStyle name="Normal 31 3" xfId="29915" xr:uid="{00000000-0005-0000-0000-0000C7740000}"/>
    <cellStyle name="Normal 31 3 2" xfId="29916" xr:uid="{00000000-0005-0000-0000-0000C8740000}"/>
    <cellStyle name="Normal 31 3 3" xfId="29917" xr:uid="{00000000-0005-0000-0000-0000C9740000}"/>
    <cellStyle name="Normal 31 4" xfId="29918" xr:uid="{00000000-0005-0000-0000-0000CA740000}"/>
    <cellStyle name="Normal 31 5" xfId="29919" xr:uid="{00000000-0005-0000-0000-0000CB740000}"/>
    <cellStyle name="Normal 31 6" xfId="29920" xr:uid="{00000000-0005-0000-0000-0000CC740000}"/>
    <cellStyle name="Normal 31 7" xfId="29921" xr:uid="{00000000-0005-0000-0000-0000CD740000}"/>
    <cellStyle name="Normal 31 8" xfId="29922" xr:uid="{00000000-0005-0000-0000-0000CE740000}"/>
    <cellStyle name="Normal 31 9" xfId="29923" xr:uid="{00000000-0005-0000-0000-0000CF740000}"/>
    <cellStyle name="Normal 32" xfId="29924" xr:uid="{00000000-0005-0000-0000-0000D0740000}"/>
    <cellStyle name="Normal 32 2" xfId="29925" xr:uid="{00000000-0005-0000-0000-0000D1740000}"/>
    <cellStyle name="Normal 32 3" xfId="29926" xr:uid="{00000000-0005-0000-0000-0000D2740000}"/>
    <cellStyle name="Normal 32 4" xfId="29927" xr:uid="{00000000-0005-0000-0000-0000D3740000}"/>
    <cellStyle name="Normal 32 5" xfId="29928" xr:uid="{00000000-0005-0000-0000-0000D4740000}"/>
    <cellStyle name="Normal 33" xfId="29929" xr:uid="{00000000-0005-0000-0000-0000D5740000}"/>
    <cellStyle name="Normal 33 2" xfId="29930" xr:uid="{00000000-0005-0000-0000-0000D6740000}"/>
    <cellStyle name="Normal 33 3" xfId="29931" xr:uid="{00000000-0005-0000-0000-0000D7740000}"/>
    <cellStyle name="Normal 33 4" xfId="29932" xr:uid="{00000000-0005-0000-0000-0000D8740000}"/>
    <cellStyle name="Normal 33 5" xfId="29933" xr:uid="{00000000-0005-0000-0000-0000D9740000}"/>
    <cellStyle name="Normal 34" xfId="29934" xr:uid="{00000000-0005-0000-0000-0000DA740000}"/>
    <cellStyle name="Normal 34 10" xfId="29935" xr:uid="{00000000-0005-0000-0000-0000DB740000}"/>
    <cellStyle name="Normal 34 11" xfId="29936" xr:uid="{00000000-0005-0000-0000-0000DC740000}"/>
    <cellStyle name="Normal 34 12" xfId="29937" xr:uid="{00000000-0005-0000-0000-0000DD740000}"/>
    <cellStyle name="Normal 34 13" xfId="29938" xr:uid="{00000000-0005-0000-0000-0000DE740000}"/>
    <cellStyle name="Normal 34 14" xfId="29939" xr:uid="{00000000-0005-0000-0000-0000DF740000}"/>
    <cellStyle name="Normal 34 15" xfId="29940" xr:uid="{00000000-0005-0000-0000-0000E0740000}"/>
    <cellStyle name="Normal 34 16" xfId="29941" xr:uid="{00000000-0005-0000-0000-0000E1740000}"/>
    <cellStyle name="Normal 34 17" xfId="29942" xr:uid="{00000000-0005-0000-0000-0000E2740000}"/>
    <cellStyle name="Normal 34 18" xfId="29943" xr:uid="{00000000-0005-0000-0000-0000E3740000}"/>
    <cellStyle name="Normal 34 19" xfId="29944" xr:uid="{00000000-0005-0000-0000-0000E4740000}"/>
    <cellStyle name="Normal 34 2" xfId="29945" xr:uid="{00000000-0005-0000-0000-0000E5740000}"/>
    <cellStyle name="Normal 34 2 2" xfId="29946" xr:uid="{00000000-0005-0000-0000-0000E6740000}"/>
    <cellStyle name="Normal 34 2 3" xfId="29947" xr:uid="{00000000-0005-0000-0000-0000E7740000}"/>
    <cellStyle name="Normal 34 20" xfId="29948" xr:uid="{00000000-0005-0000-0000-0000E8740000}"/>
    <cellStyle name="Normal 34 21" xfId="29949" xr:uid="{00000000-0005-0000-0000-0000E9740000}"/>
    <cellStyle name="Normal 34 22" xfId="29950" xr:uid="{00000000-0005-0000-0000-0000EA740000}"/>
    <cellStyle name="Normal 34 23" xfId="29951" xr:uid="{00000000-0005-0000-0000-0000EB740000}"/>
    <cellStyle name="Normal 34 24" xfId="29952" xr:uid="{00000000-0005-0000-0000-0000EC740000}"/>
    <cellStyle name="Normal 34 25" xfId="29953" xr:uid="{00000000-0005-0000-0000-0000ED740000}"/>
    <cellStyle name="Normal 34 26" xfId="29954" xr:uid="{00000000-0005-0000-0000-0000EE740000}"/>
    <cellStyle name="Normal 34 3" xfId="29955" xr:uid="{00000000-0005-0000-0000-0000EF740000}"/>
    <cellStyle name="Normal 34 3 2" xfId="29956" xr:uid="{00000000-0005-0000-0000-0000F0740000}"/>
    <cellStyle name="Normal 34 3 3" xfId="29957" xr:uid="{00000000-0005-0000-0000-0000F1740000}"/>
    <cellStyle name="Normal 34 3 4" xfId="29958" xr:uid="{00000000-0005-0000-0000-0000F2740000}"/>
    <cellStyle name="Normal 34 3 5" xfId="29959" xr:uid="{00000000-0005-0000-0000-0000F3740000}"/>
    <cellStyle name="Normal 34 4" xfId="29960" xr:uid="{00000000-0005-0000-0000-0000F4740000}"/>
    <cellStyle name="Normal 34 5" xfId="29961" xr:uid="{00000000-0005-0000-0000-0000F5740000}"/>
    <cellStyle name="Normal 34 6" xfId="29962" xr:uid="{00000000-0005-0000-0000-0000F6740000}"/>
    <cellStyle name="Normal 34 7" xfId="29963" xr:uid="{00000000-0005-0000-0000-0000F7740000}"/>
    <cellStyle name="Normal 34 8" xfId="29964" xr:uid="{00000000-0005-0000-0000-0000F8740000}"/>
    <cellStyle name="Normal 34 9" xfId="29965" xr:uid="{00000000-0005-0000-0000-0000F9740000}"/>
    <cellStyle name="Normal 35" xfId="29966" xr:uid="{00000000-0005-0000-0000-0000FA740000}"/>
    <cellStyle name="Normal 35 10" xfId="29967" xr:uid="{00000000-0005-0000-0000-0000FB740000}"/>
    <cellStyle name="Normal 35 11" xfId="29968" xr:uid="{00000000-0005-0000-0000-0000FC740000}"/>
    <cellStyle name="Normal 35 12" xfId="29969" xr:uid="{00000000-0005-0000-0000-0000FD740000}"/>
    <cellStyle name="Normal 35 13" xfId="29970" xr:uid="{00000000-0005-0000-0000-0000FE740000}"/>
    <cellStyle name="Normal 35 14" xfId="29971" xr:uid="{00000000-0005-0000-0000-0000FF740000}"/>
    <cellStyle name="Normal 35 15" xfId="29972" xr:uid="{00000000-0005-0000-0000-000000750000}"/>
    <cellStyle name="Normal 35 16" xfId="29973" xr:uid="{00000000-0005-0000-0000-000001750000}"/>
    <cellStyle name="Normal 35 17" xfId="29974" xr:uid="{00000000-0005-0000-0000-000002750000}"/>
    <cellStyle name="Normal 35 18" xfId="29975" xr:uid="{00000000-0005-0000-0000-000003750000}"/>
    <cellStyle name="Normal 35 19" xfId="29976" xr:uid="{00000000-0005-0000-0000-000004750000}"/>
    <cellStyle name="Normal 35 2" xfId="29977" xr:uid="{00000000-0005-0000-0000-000005750000}"/>
    <cellStyle name="Normal 35 2 2" xfId="29978" xr:uid="{00000000-0005-0000-0000-000006750000}"/>
    <cellStyle name="Normal 35 2 3" xfId="29979" xr:uid="{00000000-0005-0000-0000-000007750000}"/>
    <cellStyle name="Normal 35 20" xfId="29980" xr:uid="{00000000-0005-0000-0000-000008750000}"/>
    <cellStyle name="Normal 35 21" xfId="29981" xr:uid="{00000000-0005-0000-0000-000009750000}"/>
    <cellStyle name="Normal 35 22" xfId="29982" xr:uid="{00000000-0005-0000-0000-00000A750000}"/>
    <cellStyle name="Normal 35 23" xfId="29983" xr:uid="{00000000-0005-0000-0000-00000B750000}"/>
    <cellStyle name="Normal 35 24" xfId="29984" xr:uid="{00000000-0005-0000-0000-00000C750000}"/>
    <cellStyle name="Normal 35 25" xfId="29985" xr:uid="{00000000-0005-0000-0000-00000D750000}"/>
    <cellStyle name="Normal 35 3" xfId="29986" xr:uid="{00000000-0005-0000-0000-00000E750000}"/>
    <cellStyle name="Normal 35 3 2" xfId="29987" xr:uid="{00000000-0005-0000-0000-00000F750000}"/>
    <cellStyle name="Normal 35 3 3" xfId="29988" xr:uid="{00000000-0005-0000-0000-000010750000}"/>
    <cellStyle name="Normal 35 3 4" xfId="29989" xr:uid="{00000000-0005-0000-0000-000011750000}"/>
    <cellStyle name="Normal 35 3 5" xfId="29990" xr:uid="{00000000-0005-0000-0000-000012750000}"/>
    <cellStyle name="Normal 35 4" xfId="29991" xr:uid="{00000000-0005-0000-0000-000013750000}"/>
    <cellStyle name="Normal 35 5" xfId="29992" xr:uid="{00000000-0005-0000-0000-000014750000}"/>
    <cellStyle name="Normal 35 6" xfId="29993" xr:uid="{00000000-0005-0000-0000-000015750000}"/>
    <cellStyle name="Normal 35 7" xfId="29994" xr:uid="{00000000-0005-0000-0000-000016750000}"/>
    <cellStyle name="Normal 35 8" xfId="29995" xr:uid="{00000000-0005-0000-0000-000017750000}"/>
    <cellStyle name="Normal 35 9" xfId="29996" xr:uid="{00000000-0005-0000-0000-000018750000}"/>
    <cellStyle name="Normal 36" xfId="29997" xr:uid="{00000000-0005-0000-0000-000019750000}"/>
    <cellStyle name="Normal 36 2" xfId="29998" xr:uid="{00000000-0005-0000-0000-00001A750000}"/>
    <cellStyle name="Normal 36 3" xfId="29999" xr:uid="{00000000-0005-0000-0000-00001B750000}"/>
    <cellStyle name="Normal 36 4" xfId="30000" xr:uid="{00000000-0005-0000-0000-00001C750000}"/>
    <cellStyle name="Normal 37" xfId="30001" xr:uid="{00000000-0005-0000-0000-00001D750000}"/>
    <cellStyle name="Normal 37 10" xfId="30002" xr:uid="{00000000-0005-0000-0000-00001E750000}"/>
    <cellStyle name="Normal 37 11" xfId="30003" xr:uid="{00000000-0005-0000-0000-00001F750000}"/>
    <cellStyle name="Normal 37 12" xfId="30004" xr:uid="{00000000-0005-0000-0000-000020750000}"/>
    <cellStyle name="Normal 37 13" xfId="30005" xr:uid="{00000000-0005-0000-0000-000021750000}"/>
    <cellStyle name="Normal 37 14" xfId="30006" xr:uid="{00000000-0005-0000-0000-000022750000}"/>
    <cellStyle name="Normal 37 15" xfId="30007" xr:uid="{00000000-0005-0000-0000-000023750000}"/>
    <cellStyle name="Normal 37 16" xfId="30008" xr:uid="{00000000-0005-0000-0000-000024750000}"/>
    <cellStyle name="Normal 37 17" xfId="30009" xr:uid="{00000000-0005-0000-0000-000025750000}"/>
    <cellStyle name="Normal 37 18" xfId="30010" xr:uid="{00000000-0005-0000-0000-000026750000}"/>
    <cellStyle name="Normal 37 19" xfId="30011" xr:uid="{00000000-0005-0000-0000-000027750000}"/>
    <cellStyle name="Normal 37 2" xfId="30012" xr:uid="{00000000-0005-0000-0000-000028750000}"/>
    <cellStyle name="Normal 37 2 2" xfId="30013" xr:uid="{00000000-0005-0000-0000-000029750000}"/>
    <cellStyle name="Normal 37 20" xfId="30014" xr:uid="{00000000-0005-0000-0000-00002A750000}"/>
    <cellStyle name="Normal 37 21" xfId="30015" xr:uid="{00000000-0005-0000-0000-00002B750000}"/>
    <cellStyle name="Normal 37 22" xfId="30016" xr:uid="{00000000-0005-0000-0000-00002C750000}"/>
    <cellStyle name="Normal 37 23" xfId="30017" xr:uid="{00000000-0005-0000-0000-00002D750000}"/>
    <cellStyle name="Normal 37 24" xfId="30018" xr:uid="{00000000-0005-0000-0000-00002E750000}"/>
    <cellStyle name="Normal 37 25" xfId="30019" xr:uid="{00000000-0005-0000-0000-00002F750000}"/>
    <cellStyle name="Normal 37 26" xfId="30020" xr:uid="{00000000-0005-0000-0000-000030750000}"/>
    <cellStyle name="Normal 37 3" xfId="30021" xr:uid="{00000000-0005-0000-0000-000031750000}"/>
    <cellStyle name="Normal 37 3 2" xfId="30022" xr:uid="{00000000-0005-0000-0000-000032750000}"/>
    <cellStyle name="Normal 37 4" xfId="30023" xr:uid="{00000000-0005-0000-0000-000033750000}"/>
    <cellStyle name="Normal 37 4 2" xfId="30024" xr:uid="{00000000-0005-0000-0000-000034750000}"/>
    <cellStyle name="Normal 37 5" xfId="30025" xr:uid="{00000000-0005-0000-0000-000035750000}"/>
    <cellStyle name="Normal 37 5 2" xfId="30026" xr:uid="{00000000-0005-0000-0000-000036750000}"/>
    <cellStyle name="Normal 37 6" xfId="30027" xr:uid="{00000000-0005-0000-0000-000037750000}"/>
    <cellStyle name="Normal 37 7" xfId="30028" xr:uid="{00000000-0005-0000-0000-000038750000}"/>
    <cellStyle name="Normal 37 8" xfId="30029" xr:uid="{00000000-0005-0000-0000-000039750000}"/>
    <cellStyle name="Normal 37 9" xfId="30030" xr:uid="{00000000-0005-0000-0000-00003A750000}"/>
    <cellStyle name="Normal 38" xfId="30031" xr:uid="{00000000-0005-0000-0000-00003B750000}"/>
    <cellStyle name="Normal 38 10" xfId="30032" xr:uid="{00000000-0005-0000-0000-00003C750000}"/>
    <cellStyle name="Normal 38 11" xfId="30033" xr:uid="{00000000-0005-0000-0000-00003D750000}"/>
    <cellStyle name="Normal 38 12" xfId="30034" xr:uid="{00000000-0005-0000-0000-00003E750000}"/>
    <cellStyle name="Normal 38 13" xfId="30035" xr:uid="{00000000-0005-0000-0000-00003F750000}"/>
    <cellStyle name="Normal 38 14" xfId="30036" xr:uid="{00000000-0005-0000-0000-000040750000}"/>
    <cellStyle name="Normal 38 15" xfId="30037" xr:uid="{00000000-0005-0000-0000-000041750000}"/>
    <cellStyle name="Normal 38 16" xfId="30038" xr:uid="{00000000-0005-0000-0000-000042750000}"/>
    <cellStyle name="Normal 38 17" xfId="30039" xr:uid="{00000000-0005-0000-0000-000043750000}"/>
    <cellStyle name="Normal 38 18" xfId="30040" xr:uid="{00000000-0005-0000-0000-000044750000}"/>
    <cellStyle name="Normal 38 19" xfId="30041" xr:uid="{00000000-0005-0000-0000-000045750000}"/>
    <cellStyle name="Normal 38 2" xfId="30042" xr:uid="{00000000-0005-0000-0000-000046750000}"/>
    <cellStyle name="Normal 38 2 2" xfId="30043" xr:uid="{00000000-0005-0000-0000-000047750000}"/>
    <cellStyle name="Normal 38 20" xfId="30044" xr:uid="{00000000-0005-0000-0000-000048750000}"/>
    <cellStyle name="Normal 38 21" xfId="30045" xr:uid="{00000000-0005-0000-0000-000049750000}"/>
    <cellStyle name="Normal 38 22" xfId="30046" xr:uid="{00000000-0005-0000-0000-00004A750000}"/>
    <cellStyle name="Normal 38 23" xfId="30047" xr:uid="{00000000-0005-0000-0000-00004B750000}"/>
    <cellStyle name="Normal 38 24" xfId="30048" xr:uid="{00000000-0005-0000-0000-00004C750000}"/>
    <cellStyle name="Normal 38 25" xfId="30049" xr:uid="{00000000-0005-0000-0000-00004D750000}"/>
    <cellStyle name="Normal 38 26" xfId="30050" xr:uid="{00000000-0005-0000-0000-00004E750000}"/>
    <cellStyle name="Normal 38 3" xfId="30051" xr:uid="{00000000-0005-0000-0000-00004F750000}"/>
    <cellStyle name="Normal 38 3 2" xfId="30052" xr:uid="{00000000-0005-0000-0000-000050750000}"/>
    <cellStyle name="Normal 38 4" xfId="30053" xr:uid="{00000000-0005-0000-0000-000051750000}"/>
    <cellStyle name="Normal 38 4 2" xfId="30054" xr:uid="{00000000-0005-0000-0000-000052750000}"/>
    <cellStyle name="Normal 38 5" xfId="30055" xr:uid="{00000000-0005-0000-0000-000053750000}"/>
    <cellStyle name="Normal 38 5 2" xfId="30056" xr:uid="{00000000-0005-0000-0000-000054750000}"/>
    <cellStyle name="Normal 38 6" xfId="30057" xr:uid="{00000000-0005-0000-0000-000055750000}"/>
    <cellStyle name="Normal 38 7" xfId="30058" xr:uid="{00000000-0005-0000-0000-000056750000}"/>
    <cellStyle name="Normal 38 8" xfId="30059" xr:uid="{00000000-0005-0000-0000-000057750000}"/>
    <cellStyle name="Normal 38 9" xfId="30060" xr:uid="{00000000-0005-0000-0000-000058750000}"/>
    <cellStyle name="Normal 39" xfId="30061" xr:uid="{00000000-0005-0000-0000-000059750000}"/>
    <cellStyle name="Normal 39 10" xfId="30062" xr:uid="{00000000-0005-0000-0000-00005A750000}"/>
    <cellStyle name="Normal 39 11" xfId="30063" xr:uid="{00000000-0005-0000-0000-00005B750000}"/>
    <cellStyle name="Normal 39 12" xfId="30064" xr:uid="{00000000-0005-0000-0000-00005C750000}"/>
    <cellStyle name="Normal 39 13" xfId="30065" xr:uid="{00000000-0005-0000-0000-00005D750000}"/>
    <cellStyle name="Normal 39 14" xfId="30066" xr:uid="{00000000-0005-0000-0000-00005E750000}"/>
    <cellStyle name="Normal 39 15" xfId="30067" xr:uid="{00000000-0005-0000-0000-00005F750000}"/>
    <cellStyle name="Normal 39 16" xfId="30068" xr:uid="{00000000-0005-0000-0000-000060750000}"/>
    <cellStyle name="Normal 39 17" xfId="30069" xr:uid="{00000000-0005-0000-0000-000061750000}"/>
    <cellStyle name="Normal 39 18" xfId="30070" xr:uid="{00000000-0005-0000-0000-000062750000}"/>
    <cellStyle name="Normal 39 19" xfId="30071" xr:uid="{00000000-0005-0000-0000-000063750000}"/>
    <cellStyle name="Normal 39 2" xfId="30072" xr:uid="{00000000-0005-0000-0000-000064750000}"/>
    <cellStyle name="Normal 39 2 2" xfId="30073" xr:uid="{00000000-0005-0000-0000-000065750000}"/>
    <cellStyle name="Normal 39 20" xfId="30074" xr:uid="{00000000-0005-0000-0000-000066750000}"/>
    <cellStyle name="Normal 39 21" xfId="30075" xr:uid="{00000000-0005-0000-0000-000067750000}"/>
    <cellStyle name="Normal 39 22" xfId="30076" xr:uid="{00000000-0005-0000-0000-000068750000}"/>
    <cellStyle name="Normal 39 23" xfId="30077" xr:uid="{00000000-0005-0000-0000-000069750000}"/>
    <cellStyle name="Normal 39 24" xfId="30078" xr:uid="{00000000-0005-0000-0000-00006A750000}"/>
    <cellStyle name="Normal 39 25" xfId="30079" xr:uid="{00000000-0005-0000-0000-00006B750000}"/>
    <cellStyle name="Normal 39 26" xfId="30080" xr:uid="{00000000-0005-0000-0000-00006C750000}"/>
    <cellStyle name="Normal 39 3" xfId="30081" xr:uid="{00000000-0005-0000-0000-00006D750000}"/>
    <cellStyle name="Normal 39 3 2" xfId="30082" xr:uid="{00000000-0005-0000-0000-00006E750000}"/>
    <cellStyle name="Normal 39 4" xfId="30083" xr:uid="{00000000-0005-0000-0000-00006F750000}"/>
    <cellStyle name="Normal 39 4 2" xfId="30084" xr:uid="{00000000-0005-0000-0000-000070750000}"/>
    <cellStyle name="Normal 39 5" xfId="30085" xr:uid="{00000000-0005-0000-0000-000071750000}"/>
    <cellStyle name="Normal 39 5 2" xfId="30086" xr:uid="{00000000-0005-0000-0000-000072750000}"/>
    <cellStyle name="Normal 39 6" xfId="30087" xr:uid="{00000000-0005-0000-0000-000073750000}"/>
    <cellStyle name="Normal 39 7" xfId="30088" xr:uid="{00000000-0005-0000-0000-000074750000}"/>
    <cellStyle name="Normal 39 8" xfId="30089" xr:uid="{00000000-0005-0000-0000-000075750000}"/>
    <cellStyle name="Normal 39 9" xfId="30090" xr:uid="{00000000-0005-0000-0000-000076750000}"/>
    <cellStyle name="Normal 4" xfId="16" xr:uid="{00000000-0005-0000-0000-000077750000}"/>
    <cellStyle name="Normal 4 10" xfId="30092" xr:uid="{00000000-0005-0000-0000-000078750000}"/>
    <cellStyle name="Normal 4 10 2" xfId="30093" xr:uid="{00000000-0005-0000-0000-000079750000}"/>
    <cellStyle name="Normal 4 10 3" xfId="30094" xr:uid="{00000000-0005-0000-0000-00007A750000}"/>
    <cellStyle name="Normal 4 10 4" xfId="30095" xr:uid="{00000000-0005-0000-0000-00007B750000}"/>
    <cellStyle name="Normal 4 10 5" xfId="30096" xr:uid="{00000000-0005-0000-0000-00007C750000}"/>
    <cellStyle name="Normal 4 10_Enlaces" xfId="30097" xr:uid="{00000000-0005-0000-0000-00007D750000}"/>
    <cellStyle name="Normal 4 100" xfId="30098" xr:uid="{00000000-0005-0000-0000-00007E750000}"/>
    <cellStyle name="Normal 4 100 2" xfId="30099" xr:uid="{00000000-0005-0000-0000-00007F750000}"/>
    <cellStyle name="Normal 4 100 3" xfId="30100" xr:uid="{00000000-0005-0000-0000-000080750000}"/>
    <cellStyle name="Normal 4 101" xfId="30101" xr:uid="{00000000-0005-0000-0000-000081750000}"/>
    <cellStyle name="Normal 4 101 2" xfId="30102" xr:uid="{00000000-0005-0000-0000-000082750000}"/>
    <cellStyle name="Normal 4 101 3" xfId="30103" xr:uid="{00000000-0005-0000-0000-000083750000}"/>
    <cellStyle name="Normal 4 102" xfId="30104" xr:uid="{00000000-0005-0000-0000-000084750000}"/>
    <cellStyle name="Normal 4 102 2" xfId="30105" xr:uid="{00000000-0005-0000-0000-000085750000}"/>
    <cellStyle name="Normal 4 102 3" xfId="30106" xr:uid="{00000000-0005-0000-0000-000086750000}"/>
    <cellStyle name="Normal 4 103" xfId="30107" xr:uid="{00000000-0005-0000-0000-000087750000}"/>
    <cellStyle name="Normal 4 103 2" xfId="30108" xr:uid="{00000000-0005-0000-0000-000088750000}"/>
    <cellStyle name="Normal 4 103 3" xfId="30109" xr:uid="{00000000-0005-0000-0000-000089750000}"/>
    <cellStyle name="Normal 4 104" xfId="30110" xr:uid="{00000000-0005-0000-0000-00008A750000}"/>
    <cellStyle name="Normal 4 104 2" xfId="30111" xr:uid="{00000000-0005-0000-0000-00008B750000}"/>
    <cellStyle name="Normal 4 104 3" xfId="30112" xr:uid="{00000000-0005-0000-0000-00008C750000}"/>
    <cellStyle name="Normal 4 105" xfId="30113" xr:uid="{00000000-0005-0000-0000-00008D750000}"/>
    <cellStyle name="Normal 4 105 2" xfId="30114" xr:uid="{00000000-0005-0000-0000-00008E750000}"/>
    <cellStyle name="Normal 4 105 3" xfId="30115" xr:uid="{00000000-0005-0000-0000-00008F750000}"/>
    <cellStyle name="Normal 4 106" xfId="30116" xr:uid="{00000000-0005-0000-0000-000090750000}"/>
    <cellStyle name="Normal 4 106 2" xfId="30117" xr:uid="{00000000-0005-0000-0000-000091750000}"/>
    <cellStyle name="Normal 4 106 3" xfId="30118" xr:uid="{00000000-0005-0000-0000-000092750000}"/>
    <cellStyle name="Normal 4 107" xfId="30119" xr:uid="{00000000-0005-0000-0000-000093750000}"/>
    <cellStyle name="Normal 4 107 2" xfId="30120" xr:uid="{00000000-0005-0000-0000-000094750000}"/>
    <cellStyle name="Normal 4 107 3" xfId="30121" xr:uid="{00000000-0005-0000-0000-000095750000}"/>
    <cellStyle name="Normal 4 108" xfId="30122" xr:uid="{00000000-0005-0000-0000-000096750000}"/>
    <cellStyle name="Normal 4 108 2" xfId="30123" xr:uid="{00000000-0005-0000-0000-000097750000}"/>
    <cellStyle name="Normal 4 108 3" xfId="30124" xr:uid="{00000000-0005-0000-0000-000098750000}"/>
    <cellStyle name="Normal 4 109" xfId="30125" xr:uid="{00000000-0005-0000-0000-000099750000}"/>
    <cellStyle name="Normal 4 109 2" xfId="30126" xr:uid="{00000000-0005-0000-0000-00009A750000}"/>
    <cellStyle name="Normal 4 109 3" xfId="30127" xr:uid="{00000000-0005-0000-0000-00009B750000}"/>
    <cellStyle name="Normal 4 11" xfId="30128" xr:uid="{00000000-0005-0000-0000-00009C750000}"/>
    <cellStyle name="Normal 4 11 2" xfId="30129" xr:uid="{00000000-0005-0000-0000-00009D750000}"/>
    <cellStyle name="Normal 4 11 3" xfId="30130" xr:uid="{00000000-0005-0000-0000-00009E750000}"/>
    <cellStyle name="Normal 4 11 4" xfId="30131" xr:uid="{00000000-0005-0000-0000-00009F750000}"/>
    <cellStyle name="Normal 4 11 5" xfId="30132" xr:uid="{00000000-0005-0000-0000-0000A0750000}"/>
    <cellStyle name="Normal 4 11_Enlaces" xfId="30133" xr:uid="{00000000-0005-0000-0000-0000A1750000}"/>
    <cellStyle name="Normal 4 110" xfId="30134" xr:uid="{00000000-0005-0000-0000-0000A2750000}"/>
    <cellStyle name="Normal 4 110 2" xfId="30135" xr:uid="{00000000-0005-0000-0000-0000A3750000}"/>
    <cellStyle name="Normal 4 110 3" xfId="30136" xr:uid="{00000000-0005-0000-0000-0000A4750000}"/>
    <cellStyle name="Normal 4 111" xfId="30137" xr:uid="{00000000-0005-0000-0000-0000A5750000}"/>
    <cellStyle name="Normal 4 111 2" xfId="30138" xr:uid="{00000000-0005-0000-0000-0000A6750000}"/>
    <cellStyle name="Normal 4 111 3" xfId="30139" xr:uid="{00000000-0005-0000-0000-0000A7750000}"/>
    <cellStyle name="Normal 4 112" xfId="30140" xr:uid="{00000000-0005-0000-0000-0000A8750000}"/>
    <cellStyle name="Normal 4 112 2" xfId="30141" xr:uid="{00000000-0005-0000-0000-0000A9750000}"/>
    <cellStyle name="Normal 4 112 3" xfId="30142" xr:uid="{00000000-0005-0000-0000-0000AA750000}"/>
    <cellStyle name="Normal 4 113" xfId="30143" xr:uid="{00000000-0005-0000-0000-0000AB750000}"/>
    <cellStyle name="Normal 4 113 2" xfId="30144" xr:uid="{00000000-0005-0000-0000-0000AC750000}"/>
    <cellStyle name="Normal 4 113 3" xfId="30145" xr:uid="{00000000-0005-0000-0000-0000AD750000}"/>
    <cellStyle name="Normal 4 114" xfId="30146" xr:uid="{00000000-0005-0000-0000-0000AE750000}"/>
    <cellStyle name="Normal 4 114 2" xfId="30147" xr:uid="{00000000-0005-0000-0000-0000AF750000}"/>
    <cellStyle name="Normal 4 114 3" xfId="30148" xr:uid="{00000000-0005-0000-0000-0000B0750000}"/>
    <cellStyle name="Normal 4 115" xfId="30149" xr:uid="{00000000-0005-0000-0000-0000B1750000}"/>
    <cellStyle name="Normal 4 115 2" xfId="30150" xr:uid="{00000000-0005-0000-0000-0000B2750000}"/>
    <cellStyle name="Normal 4 115 3" xfId="30151" xr:uid="{00000000-0005-0000-0000-0000B3750000}"/>
    <cellStyle name="Normal 4 116" xfId="30152" xr:uid="{00000000-0005-0000-0000-0000B4750000}"/>
    <cellStyle name="Normal 4 116 2" xfId="30153" xr:uid="{00000000-0005-0000-0000-0000B5750000}"/>
    <cellStyle name="Normal 4 116 3" xfId="30154" xr:uid="{00000000-0005-0000-0000-0000B6750000}"/>
    <cellStyle name="Normal 4 117" xfId="30155" xr:uid="{00000000-0005-0000-0000-0000B7750000}"/>
    <cellStyle name="Normal 4 117 2" xfId="30156" xr:uid="{00000000-0005-0000-0000-0000B8750000}"/>
    <cellStyle name="Normal 4 117 3" xfId="30157" xr:uid="{00000000-0005-0000-0000-0000B9750000}"/>
    <cellStyle name="Normal 4 118" xfId="30158" xr:uid="{00000000-0005-0000-0000-0000BA750000}"/>
    <cellStyle name="Normal 4 118 2" xfId="30159" xr:uid="{00000000-0005-0000-0000-0000BB750000}"/>
    <cellStyle name="Normal 4 118 3" xfId="30160" xr:uid="{00000000-0005-0000-0000-0000BC750000}"/>
    <cellStyle name="Normal 4 119" xfId="30161" xr:uid="{00000000-0005-0000-0000-0000BD750000}"/>
    <cellStyle name="Normal 4 119 2" xfId="30162" xr:uid="{00000000-0005-0000-0000-0000BE750000}"/>
    <cellStyle name="Normal 4 119 3" xfId="30163" xr:uid="{00000000-0005-0000-0000-0000BF750000}"/>
    <cellStyle name="Normal 4 12" xfId="30164" xr:uid="{00000000-0005-0000-0000-0000C0750000}"/>
    <cellStyle name="Normal 4 12 2" xfId="30165" xr:uid="{00000000-0005-0000-0000-0000C1750000}"/>
    <cellStyle name="Normal 4 12 3" xfId="30166" xr:uid="{00000000-0005-0000-0000-0000C2750000}"/>
    <cellStyle name="Normal 4 12 4" xfId="30167" xr:uid="{00000000-0005-0000-0000-0000C3750000}"/>
    <cellStyle name="Normal 4 12 5" xfId="30168" xr:uid="{00000000-0005-0000-0000-0000C4750000}"/>
    <cellStyle name="Normal 4 12_Enlaces" xfId="30169" xr:uid="{00000000-0005-0000-0000-0000C5750000}"/>
    <cellStyle name="Normal 4 120" xfId="30170" xr:uid="{00000000-0005-0000-0000-0000C6750000}"/>
    <cellStyle name="Normal 4 120 2" xfId="30171" xr:uid="{00000000-0005-0000-0000-0000C7750000}"/>
    <cellStyle name="Normal 4 120 3" xfId="30172" xr:uid="{00000000-0005-0000-0000-0000C8750000}"/>
    <cellStyle name="Normal 4 121" xfId="30173" xr:uid="{00000000-0005-0000-0000-0000C9750000}"/>
    <cellStyle name="Normal 4 121 2" xfId="30174" xr:uid="{00000000-0005-0000-0000-0000CA750000}"/>
    <cellStyle name="Normal 4 121 3" xfId="30175" xr:uid="{00000000-0005-0000-0000-0000CB750000}"/>
    <cellStyle name="Normal 4 122" xfId="30176" xr:uid="{00000000-0005-0000-0000-0000CC750000}"/>
    <cellStyle name="Normal 4 122 2" xfId="30177" xr:uid="{00000000-0005-0000-0000-0000CD750000}"/>
    <cellStyle name="Normal 4 122 3" xfId="30178" xr:uid="{00000000-0005-0000-0000-0000CE750000}"/>
    <cellStyle name="Normal 4 123" xfId="30179" xr:uid="{00000000-0005-0000-0000-0000CF750000}"/>
    <cellStyle name="Normal 4 123 2" xfId="30180" xr:uid="{00000000-0005-0000-0000-0000D0750000}"/>
    <cellStyle name="Normal 4 123 3" xfId="30181" xr:uid="{00000000-0005-0000-0000-0000D1750000}"/>
    <cellStyle name="Normal 4 124" xfId="30182" xr:uid="{00000000-0005-0000-0000-0000D2750000}"/>
    <cellStyle name="Normal 4 125" xfId="30183" xr:uid="{00000000-0005-0000-0000-0000D3750000}"/>
    <cellStyle name="Normal 4 126" xfId="30184" xr:uid="{00000000-0005-0000-0000-0000D4750000}"/>
    <cellStyle name="Normal 4 127" xfId="30185" xr:uid="{00000000-0005-0000-0000-0000D5750000}"/>
    <cellStyle name="Normal 4 128" xfId="30186" xr:uid="{00000000-0005-0000-0000-0000D6750000}"/>
    <cellStyle name="Normal 4 129" xfId="30187" xr:uid="{00000000-0005-0000-0000-0000D7750000}"/>
    <cellStyle name="Normal 4 13" xfId="30188" xr:uid="{00000000-0005-0000-0000-0000D8750000}"/>
    <cellStyle name="Normal 4 13 2" xfId="30189" xr:uid="{00000000-0005-0000-0000-0000D9750000}"/>
    <cellStyle name="Normal 4 13 3" xfId="30190" xr:uid="{00000000-0005-0000-0000-0000DA750000}"/>
    <cellStyle name="Normal 4 13 4" xfId="30191" xr:uid="{00000000-0005-0000-0000-0000DB750000}"/>
    <cellStyle name="Normal 4 13 5" xfId="30192" xr:uid="{00000000-0005-0000-0000-0000DC750000}"/>
    <cellStyle name="Normal 4 13_Enlaces" xfId="30193" xr:uid="{00000000-0005-0000-0000-0000DD750000}"/>
    <cellStyle name="Normal 4 130" xfId="30194" xr:uid="{00000000-0005-0000-0000-0000DE750000}"/>
    <cellStyle name="Normal 4 131" xfId="30195" xr:uid="{00000000-0005-0000-0000-0000DF750000}"/>
    <cellStyle name="Normal 4 131 2" xfId="30196" xr:uid="{00000000-0005-0000-0000-0000E0750000}"/>
    <cellStyle name="Normal 4 132" xfId="30197" xr:uid="{00000000-0005-0000-0000-0000E1750000}"/>
    <cellStyle name="Normal 4 132 2" xfId="30198" xr:uid="{00000000-0005-0000-0000-0000E2750000}"/>
    <cellStyle name="Normal 4 133" xfId="30199" xr:uid="{00000000-0005-0000-0000-0000E3750000}"/>
    <cellStyle name="Normal 4 133 2" xfId="30200" xr:uid="{00000000-0005-0000-0000-0000E4750000}"/>
    <cellStyle name="Normal 4 134" xfId="30201" xr:uid="{00000000-0005-0000-0000-0000E5750000}"/>
    <cellStyle name="Normal 4 134 2" xfId="30202" xr:uid="{00000000-0005-0000-0000-0000E6750000}"/>
    <cellStyle name="Normal 4 135" xfId="30203" xr:uid="{00000000-0005-0000-0000-0000E7750000}"/>
    <cellStyle name="Normal 4 135 2" xfId="30204" xr:uid="{00000000-0005-0000-0000-0000E8750000}"/>
    <cellStyle name="Normal 4 136" xfId="30205" xr:uid="{00000000-0005-0000-0000-0000E9750000}"/>
    <cellStyle name="Normal 4 136 2" xfId="30206" xr:uid="{00000000-0005-0000-0000-0000EA750000}"/>
    <cellStyle name="Normal 4 137" xfId="30207" xr:uid="{00000000-0005-0000-0000-0000EB750000}"/>
    <cellStyle name="Normal 4 137 2" xfId="30208" xr:uid="{00000000-0005-0000-0000-0000EC750000}"/>
    <cellStyle name="Normal 4 138" xfId="30209" xr:uid="{00000000-0005-0000-0000-0000ED750000}"/>
    <cellStyle name="Normal 4 138 2" xfId="30210" xr:uid="{00000000-0005-0000-0000-0000EE750000}"/>
    <cellStyle name="Normal 4 139" xfId="30211" xr:uid="{00000000-0005-0000-0000-0000EF750000}"/>
    <cellStyle name="Normal 4 139 2" xfId="30212" xr:uid="{00000000-0005-0000-0000-0000F0750000}"/>
    <cellStyle name="Normal 4 14" xfId="30213" xr:uid="{00000000-0005-0000-0000-0000F1750000}"/>
    <cellStyle name="Normal 4 14 2" xfId="30214" xr:uid="{00000000-0005-0000-0000-0000F2750000}"/>
    <cellStyle name="Normal 4 14 3" xfId="30215" xr:uid="{00000000-0005-0000-0000-0000F3750000}"/>
    <cellStyle name="Normal 4 14 4" xfId="30216" xr:uid="{00000000-0005-0000-0000-0000F4750000}"/>
    <cellStyle name="Normal 4 14 5" xfId="30217" xr:uid="{00000000-0005-0000-0000-0000F5750000}"/>
    <cellStyle name="Normal 4 14_Enlaces" xfId="30218" xr:uid="{00000000-0005-0000-0000-0000F6750000}"/>
    <cellStyle name="Normal 4 140" xfId="30219" xr:uid="{00000000-0005-0000-0000-0000F7750000}"/>
    <cellStyle name="Normal 4 140 2" xfId="30220" xr:uid="{00000000-0005-0000-0000-0000F8750000}"/>
    <cellStyle name="Normal 4 141" xfId="30221" xr:uid="{00000000-0005-0000-0000-0000F9750000}"/>
    <cellStyle name="Normal 4 141 2" xfId="30222" xr:uid="{00000000-0005-0000-0000-0000FA750000}"/>
    <cellStyle name="Normal 4 142" xfId="30223" xr:uid="{00000000-0005-0000-0000-0000FB750000}"/>
    <cellStyle name="Normal 4 142 2" xfId="30224" xr:uid="{00000000-0005-0000-0000-0000FC750000}"/>
    <cellStyle name="Normal 4 143" xfId="30225" xr:uid="{00000000-0005-0000-0000-0000FD750000}"/>
    <cellStyle name="Normal 4 143 2" xfId="30226" xr:uid="{00000000-0005-0000-0000-0000FE750000}"/>
    <cellStyle name="Normal 4 144" xfId="30227" xr:uid="{00000000-0005-0000-0000-0000FF750000}"/>
    <cellStyle name="Normal 4 144 2" xfId="30228" xr:uid="{00000000-0005-0000-0000-000000760000}"/>
    <cellStyle name="Normal 4 145" xfId="30229" xr:uid="{00000000-0005-0000-0000-000001760000}"/>
    <cellStyle name="Normal 4 145 2" xfId="30230" xr:uid="{00000000-0005-0000-0000-000002760000}"/>
    <cellStyle name="Normal 4 146" xfId="30231" xr:uid="{00000000-0005-0000-0000-000003760000}"/>
    <cellStyle name="Normal 4 146 2" xfId="30232" xr:uid="{00000000-0005-0000-0000-000004760000}"/>
    <cellStyle name="Normal 4 147" xfId="30233" xr:uid="{00000000-0005-0000-0000-000005760000}"/>
    <cellStyle name="Normal 4 147 2" xfId="30234" xr:uid="{00000000-0005-0000-0000-000006760000}"/>
    <cellStyle name="Normal 4 148" xfId="30235" xr:uid="{00000000-0005-0000-0000-000007760000}"/>
    <cellStyle name="Normal 4 148 2" xfId="30236" xr:uid="{00000000-0005-0000-0000-000008760000}"/>
    <cellStyle name="Normal 4 148 3" xfId="30237" xr:uid="{00000000-0005-0000-0000-000009760000}"/>
    <cellStyle name="Normal 4 149" xfId="30238" xr:uid="{00000000-0005-0000-0000-00000A760000}"/>
    <cellStyle name="Normal 4 149 2" xfId="30239" xr:uid="{00000000-0005-0000-0000-00000B760000}"/>
    <cellStyle name="Normal 4 149 3" xfId="30240" xr:uid="{00000000-0005-0000-0000-00000C760000}"/>
    <cellStyle name="Normal 4 15" xfId="30241" xr:uid="{00000000-0005-0000-0000-00000D760000}"/>
    <cellStyle name="Normal 4 15 2" xfId="30242" xr:uid="{00000000-0005-0000-0000-00000E760000}"/>
    <cellStyle name="Normal 4 15 3" xfId="30243" xr:uid="{00000000-0005-0000-0000-00000F760000}"/>
    <cellStyle name="Normal 4 15 4" xfId="30244" xr:uid="{00000000-0005-0000-0000-000010760000}"/>
    <cellStyle name="Normal 4 15 5" xfId="30245" xr:uid="{00000000-0005-0000-0000-000011760000}"/>
    <cellStyle name="Normal 4 15_Enlaces" xfId="30246" xr:uid="{00000000-0005-0000-0000-000012760000}"/>
    <cellStyle name="Normal 4 150" xfId="30247" xr:uid="{00000000-0005-0000-0000-000013760000}"/>
    <cellStyle name="Normal 4 150 2" xfId="30248" xr:uid="{00000000-0005-0000-0000-000014760000}"/>
    <cellStyle name="Normal 4 150 3" xfId="30249" xr:uid="{00000000-0005-0000-0000-000015760000}"/>
    <cellStyle name="Normal 4 151" xfId="30250" xr:uid="{00000000-0005-0000-0000-000016760000}"/>
    <cellStyle name="Normal 4 151 2" xfId="30251" xr:uid="{00000000-0005-0000-0000-000017760000}"/>
    <cellStyle name="Normal 4 151 3" xfId="30252" xr:uid="{00000000-0005-0000-0000-000018760000}"/>
    <cellStyle name="Normal 4 152" xfId="30253" xr:uid="{00000000-0005-0000-0000-000019760000}"/>
    <cellStyle name="Normal 4 152 2" xfId="30254" xr:uid="{00000000-0005-0000-0000-00001A760000}"/>
    <cellStyle name="Normal 4 152 3" xfId="30255" xr:uid="{00000000-0005-0000-0000-00001B760000}"/>
    <cellStyle name="Normal 4 153" xfId="30256" xr:uid="{00000000-0005-0000-0000-00001C760000}"/>
    <cellStyle name="Normal 4 153 2" xfId="30257" xr:uid="{00000000-0005-0000-0000-00001D760000}"/>
    <cellStyle name="Normal 4 154" xfId="30258" xr:uid="{00000000-0005-0000-0000-00001E760000}"/>
    <cellStyle name="Normal 4 155" xfId="30259" xr:uid="{00000000-0005-0000-0000-00001F760000}"/>
    <cellStyle name="Normal 4 156" xfId="30260" xr:uid="{00000000-0005-0000-0000-000020760000}"/>
    <cellStyle name="Normal 4 157" xfId="30261" xr:uid="{00000000-0005-0000-0000-000021760000}"/>
    <cellStyle name="Normal 4 158" xfId="30262" xr:uid="{00000000-0005-0000-0000-000022760000}"/>
    <cellStyle name="Normal 4 159" xfId="30263" xr:uid="{00000000-0005-0000-0000-000023760000}"/>
    <cellStyle name="Normal 4 16" xfId="30264" xr:uid="{00000000-0005-0000-0000-000024760000}"/>
    <cellStyle name="Normal 4 16 2" xfId="30265" xr:uid="{00000000-0005-0000-0000-000025760000}"/>
    <cellStyle name="Normal 4 16 3" xfId="30266" xr:uid="{00000000-0005-0000-0000-000026760000}"/>
    <cellStyle name="Normal 4 16 4" xfId="30267" xr:uid="{00000000-0005-0000-0000-000027760000}"/>
    <cellStyle name="Normal 4 16 5" xfId="30268" xr:uid="{00000000-0005-0000-0000-000028760000}"/>
    <cellStyle name="Normal 4 16_Enlaces" xfId="30269" xr:uid="{00000000-0005-0000-0000-000029760000}"/>
    <cellStyle name="Normal 4 160" xfId="30270" xr:uid="{00000000-0005-0000-0000-00002A760000}"/>
    <cellStyle name="Normal 4 161" xfId="30271" xr:uid="{00000000-0005-0000-0000-00002B760000}"/>
    <cellStyle name="Normal 4 162" xfId="30272" xr:uid="{00000000-0005-0000-0000-00002C760000}"/>
    <cellStyle name="Normal 4 163" xfId="30273" xr:uid="{00000000-0005-0000-0000-00002D760000}"/>
    <cellStyle name="Normal 4 164" xfId="30274" xr:uid="{00000000-0005-0000-0000-00002E760000}"/>
    <cellStyle name="Normal 4 165" xfId="30275" xr:uid="{00000000-0005-0000-0000-00002F760000}"/>
    <cellStyle name="Normal 4 166" xfId="30276" xr:uid="{00000000-0005-0000-0000-000030760000}"/>
    <cellStyle name="Normal 4 167" xfId="30277" xr:uid="{00000000-0005-0000-0000-000031760000}"/>
    <cellStyle name="Normal 4 168" xfId="30278" xr:uid="{00000000-0005-0000-0000-000032760000}"/>
    <cellStyle name="Normal 4 169" xfId="30279" xr:uid="{00000000-0005-0000-0000-000033760000}"/>
    <cellStyle name="Normal 4 17" xfId="30280" xr:uid="{00000000-0005-0000-0000-000034760000}"/>
    <cellStyle name="Normal 4 17 2" xfId="30281" xr:uid="{00000000-0005-0000-0000-000035760000}"/>
    <cellStyle name="Normal 4 17 3" xfId="30282" xr:uid="{00000000-0005-0000-0000-000036760000}"/>
    <cellStyle name="Normal 4 17 4" xfId="30283" xr:uid="{00000000-0005-0000-0000-000037760000}"/>
    <cellStyle name="Normal 4 17 5" xfId="30284" xr:uid="{00000000-0005-0000-0000-000038760000}"/>
    <cellStyle name="Normal 4 17_Enlaces" xfId="30285" xr:uid="{00000000-0005-0000-0000-000039760000}"/>
    <cellStyle name="Normal 4 170" xfId="30286" xr:uid="{00000000-0005-0000-0000-00003A760000}"/>
    <cellStyle name="Normal 4 171" xfId="30287" xr:uid="{00000000-0005-0000-0000-00003B760000}"/>
    <cellStyle name="Normal 4 172" xfId="30091" xr:uid="{00000000-0005-0000-0000-00003C760000}"/>
    <cellStyle name="Normal 4 18" xfId="30288" xr:uid="{00000000-0005-0000-0000-00003D760000}"/>
    <cellStyle name="Normal 4 18 2" xfId="30289" xr:uid="{00000000-0005-0000-0000-00003E760000}"/>
    <cellStyle name="Normal 4 18 3" xfId="30290" xr:uid="{00000000-0005-0000-0000-00003F760000}"/>
    <cellStyle name="Normal 4 18 4" xfId="30291" xr:uid="{00000000-0005-0000-0000-000040760000}"/>
    <cellStyle name="Normal 4 18 5" xfId="30292" xr:uid="{00000000-0005-0000-0000-000041760000}"/>
    <cellStyle name="Normal 4 18_Enlaces" xfId="30293" xr:uid="{00000000-0005-0000-0000-000042760000}"/>
    <cellStyle name="Normal 4 19" xfId="30294" xr:uid="{00000000-0005-0000-0000-000043760000}"/>
    <cellStyle name="Normal 4 19 2" xfId="30295" xr:uid="{00000000-0005-0000-0000-000044760000}"/>
    <cellStyle name="Normal 4 19 3" xfId="30296" xr:uid="{00000000-0005-0000-0000-000045760000}"/>
    <cellStyle name="Normal 4 19 4" xfId="30297" xr:uid="{00000000-0005-0000-0000-000046760000}"/>
    <cellStyle name="Normal 4 19 5" xfId="30298" xr:uid="{00000000-0005-0000-0000-000047760000}"/>
    <cellStyle name="Normal 4 19_Enlaces" xfId="30299" xr:uid="{00000000-0005-0000-0000-000048760000}"/>
    <cellStyle name="Normal 4 2" xfId="60" xr:uid="{00000000-0005-0000-0000-000049760000}"/>
    <cellStyle name="Normal 4 2 10" xfId="30301" xr:uid="{00000000-0005-0000-0000-00004A760000}"/>
    <cellStyle name="Normal 4 2 10 2" xfId="30302" xr:uid="{00000000-0005-0000-0000-00004B760000}"/>
    <cellStyle name="Normal 4 2 11" xfId="30303" xr:uid="{00000000-0005-0000-0000-00004C760000}"/>
    <cellStyle name="Normal 4 2 11 2" xfId="30304" xr:uid="{00000000-0005-0000-0000-00004D760000}"/>
    <cellStyle name="Normal 4 2 12" xfId="30305" xr:uid="{00000000-0005-0000-0000-00004E760000}"/>
    <cellStyle name="Normal 4 2 12 2" xfId="30306" xr:uid="{00000000-0005-0000-0000-00004F760000}"/>
    <cellStyle name="Normal 4 2 13" xfId="30307" xr:uid="{00000000-0005-0000-0000-000050760000}"/>
    <cellStyle name="Normal 4 2 13 2" xfId="30308" xr:uid="{00000000-0005-0000-0000-000051760000}"/>
    <cellStyle name="Normal 4 2 14" xfId="30309" xr:uid="{00000000-0005-0000-0000-000052760000}"/>
    <cellStyle name="Normal 4 2 14 2" xfId="30310" xr:uid="{00000000-0005-0000-0000-000053760000}"/>
    <cellStyle name="Normal 4 2 15" xfId="30311" xr:uid="{00000000-0005-0000-0000-000054760000}"/>
    <cellStyle name="Normal 4 2 15 2" xfId="30312" xr:uid="{00000000-0005-0000-0000-000055760000}"/>
    <cellStyle name="Normal 4 2 16" xfId="30313" xr:uid="{00000000-0005-0000-0000-000056760000}"/>
    <cellStyle name="Normal 4 2 16 2" xfId="30314" xr:uid="{00000000-0005-0000-0000-000057760000}"/>
    <cellStyle name="Normal 4 2 17" xfId="30315" xr:uid="{00000000-0005-0000-0000-000058760000}"/>
    <cellStyle name="Normal 4 2 17 2" xfId="30316" xr:uid="{00000000-0005-0000-0000-000059760000}"/>
    <cellStyle name="Normal 4 2 18" xfId="30317" xr:uid="{00000000-0005-0000-0000-00005A760000}"/>
    <cellStyle name="Normal 4 2 18 2" xfId="30318" xr:uid="{00000000-0005-0000-0000-00005B760000}"/>
    <cellStyle name="Normal 4 2 19" xfId="30319" xr:uid="{00000000-0005-0000-0000-00005C760000}"/>
    <cellStyle name="Normal 4 2 19 2" xfId="30320" xr:uid="{00000000-0005-0000-0000-00005D760000}"/>
    <cellStyle name="Normal 4 2 2" xfId="30321" xr:uid="{00000000-0005-0000-0000-00005E760000}"/>
    <cellStyle name="Normal 4 2 2 2" xfId="30322" xr:uid="{00000000-0005-0000-0000-00005F760000}"/>
    <cellStyle name="Normal 4 2 20" xfId="30323" xr:uid="{00000000-0005-0000-0000-000060760000}"/>
    <cellStyle name="Normal 4 2 20 2" xfId="30324" xr:uid="{00000000-0005-0000-0000-000061760000}"/>
    <cellStyle name="Normal 4 2 21" xfId="30325" xr:uid="{00000000-0005-0000-0000-000062760000}"/>
    <cellStyle name="Normal 4 2 21 2" xfId="30326" xr:uid="{00000000-0005-0000-0000-000063760000}"/>
    <cellStyle name="Normal 4 2 22" xfId="30327" xr:uid="{00000000-0005-0000-0000-000064760000}"/>
    <cellStyle name="Normal 4 2 22 2" xfId="30328" xr:uid="{00000000-0005-0000-0000-000065760000}"/>
    <cellStyle name="Normal 4 2 23" xfId="30329" xr:uid="{00000000-0005-0000-0000-000066760000}"/>
    <cellStyle name="Normal 4 2 23 2" xfId="30330" xr:uid="{00000000-0005-0000-0000-000067760000}"/>
    <cellStyle name="Normal 4 2 24" xfId="30331" xr:uid="{00000000-0005-0000-0000-000068760000}"/>
    <cellStyle name="Normal 4 2 25" xfId="30332" xr:uid="{00000000-0005-0000-0000-000069760000}"/>
    <cellStyle name="Normal 4 2 26" xfId="30333" xr:uid="{00000000-0005-0000-0000-00006A760000}"/>
    <cellStyle name="Normal 4 2 27" xfId="30334" xr:uid="{00000000-0005-0000-0000-00006B760000}"/>
    <cellStyle name="Normal 4 2 28" xfId="30335" xr:uid="{00000000-0005-0000-0000-00006C760000}"/>
    <cellStyle name="Normal 4 2 29" xfId="30336" xr:uid="{00000000-0005-0000-0000-00006D760000}"/>
    <cellStyle name="Normal 4 2 3" xfId="30337" xr:uid="{00000000-0005-0000-0000-00006E760000}"/>
    <cellStyle name="Normal 4 2 3 2" xfId="30338" xr:uid="{00000000-0005-0000-0000-00006F760000}"/>
    <cellStyle name="Normal 4 2 30" xfId="30339" xr:uid="{00000000-0005-0000-0000-000070760000}"/>
    <cellStyle name="Normal 4 2 31" xfId="30340" xr:uid="{00000000-0005-0000-0000-000071760000}"/>
    <cellStyle name="Normal 4 2 32" xfId="30341" xr:uid="{00000000-0005-0000-0000-000072760000}"/>
    <cellStyle name="Normal 4 2 33" xfId="30342" xr:uid="{00000000-0005-0000-0000-000073760000}"/>
    <cellStyle name="Normal 4 2 34" xfId="30343" xr:uid="{00000000-0005-0000-0000-000074760000}"/>
    <cellStyle name="Normal 4 2 35" xfId="30344" xr:uid="{00000000-0005-0000-0000-000075760000}"/>
    <cellStyle name="Normal 4 2 36" xfId="30345" xr:uid="{00000000-0005-0000-0000-000076760000}"/>
    <cellStyle name="Normal 4 2 37" xfId="30346" xr:uid="{00000000-0005-0000-0000-000077760000}"/>
    <cellStyle name="Normal 4 2 38" xfId="30347" xr:uid="{00000000-0005-0000-0000-000078760000}"/>
    <cellStyle name="Normal 4 2 39" xfId="30348" xr:uid="{00000000-0005-0000-0000-000079760000}"/>
    <cellStyle name="Normal 4 2 4" xfId="30349" xr:uid="{00000000-0005-0000-0000-00007A760000}"/>
    <cellStyle name="Normal 4 2 4 2" xfId="30350" xr:uid="{00000000-0005-0000-0000-00007B760000}"/>
    <cellStyle name="Normal 4 2 40" xfId="30351" xr:uid="{00000000-0005-0000-0000-00007C760000}"/>
    <cellStyle name="Normal 4 2 41" xfId="30352" xr:uid="{00000000-0005-0000-0000-00007D760000}"/>
    <cellStyle name="Normal 4 2 42" xfId="30353" xr:uid="{00000000-0005-0000-0000-00007E760000}"/>
    <cellStyle name="Normal 4 2 43" xfId="30354" xr:uid="{00000000-0005-0000-0000-00007F760000}"/>
    <cellStyle name="Normal 4 2 44" xfId="30355" xr:uid="{00000000-0005-0000-0000-000080760000}"/>
    <cellStyle name="Normal 4 2 45" xfId="30356" xr:uid="{00000000-0005-0000-0000-000081760000}"/>
    <cellStyle name="Normal 4 2 46" xfId="30357" xr:uid="{00000000-0005-0000-0000-000082760000}"/>
    <cellStyle name="Normal 4 2 47" xfId="30358" xr:uid="{00000000-0005-0000-0000-000083760000}"/>
    <cellStyle name="Normal 4 2 48" xfId="30359" xr:uid="{00000000-0005-0000-0000-000084760000}"/>
    <cellStyle name="Normal 4 2 49" xfId="30360" xr:uid="{00000000-0005-0000-0000-000085760000}"/>
    <cellStyle name="Normal 4 2 5" xfId="30361" xr:uid="{00000000-0005-0000-0000-000086760000}"/>
    <cellStyle name="Normal 4 2 5 2" xfId="30362" xr:uid="{00000000-0005-0000-0000-000087760000}"/>
    <cellStyle name="Normal 4 2 50" xfId="30363" xr:uid="{00000000-0005-0000-0000-000088760000}"/>
    <cellStyle name="Normal 4 2 51" xfId="30364" xr:uid="{00000000-0005-0000-0000-000089760000}"/>
    <cellStyle name="Normal 4 2 52" xfId="30365" xr:uid="{00000000-0005-0000-0000-00008A760000}"/>
    <cellStyle name="Normal 4 2 53" xfId="30366" xr:uid="{00000000-0005-0000-0000-00008B760000}"/>
    <cellStyle name="Normal 4 2 54" xfId="30367" xr:uid="{00000000-0005-0000-0000-00008C760000}"/>
    <cellStyle name="Normal 4 2 55" xfId="30368" xr:uid="{00000000-0005-0000-0000-00008D760000}"/>
    <cellStyle name="Normal 4 2 56" xfId="30369" xr:uid="{00000000-0005-0000-0000-00008E760000}"/>
    <cellStyle name="Normal 4 2 57" xfId="30370" xr:uid="{00000000-0005-0000-0000-00008F760000}"/>
    <cellStyle name="Normal 4 2 58" xfId="30371" xr:uid="{00000000-0005-0000-0000-000090760000}"/>
    <cellStyle name="Normal 4 2 59" xfId="30372" xr:uid="{00000000-0005-0000-0000-000091760000}"/>
    <cellStyle name="Normal 4 2 6" xfId="30373" xr:uid="{00000000-0005-0000-0000-000092760000}"/>
    <cellStyle name="Normal 4 2 6 2" xfId="30374" xr:uid="{00000000-0005-0000-0000-000093760000}"/>
    <cellStyle name="Normal 4 2 60" xfId="30375" xr:uid="{00000000-0005-0000-0000-000094760000}"/>
    <cellStyle name="Normal 4 2 61" xfId="30376" xr:uid="{00000000-0005-0000-0000-000095760000}"/>
    <cellStyle name="Normal 4 2 62" xfId="30377" xr:uid="{00000000-0005-0000-0000-000096760000}"/>
    <cellStyle name="Normal 4 2 63" xfId="30378" xr:uid="{00000000-0005-0000-0000-000097760000}"/>
    <cellStyle name="Normal 4 2 64" xfId="30379" xr:uid="{00000000-0005-0000-0000-000098760000}"/>
    <cellStyle name="Normal 4 2 65" xfId="30380" xr:uid="{00000000-0005-0000-0000-000099760000}"/>
    <cellStyle name="Normal 4 2 66" xfId="30381" xr:uid="{00000000-0005-0000-0000-00009A760000}"/>
    <cellStyle name="Normal 4 2 67" xfId="30382" xr:uid="{00000000-0005-0000-0000-00009B760000}"/>
    <cellStyle name="Normal 4 2 68" xfId="30383" xr:uid="{00000000-0005-0000-0000-00009C760000}"/>
    <cellStyle name="Normal 4 2 69" xfId="30384" xr:uid="{00000000-0005-0000-0000-00009D760000}"/>
    <cellStyle name="Normal 4 2 7" xfId="30385" xr:uid="{00000000-0005-0000-0000-00009E760000}"/>
    <cellStyle name="Normal 4 2 7 2" xfId="30386" xr:uid="{00000000-0005-0000-0000-00009F760000}"/>
    <cellStyle name="Normal 4 2 70" xfId="30387" xr:uid="{00000000-0005-0000-0000-0000A0760000}"/>
    <cellStyle name="Normal 4 2 71" xfId="30388" xr:uid="{00000000-0005-0000-0000-0000A1760000}"/>
    <cellStyle name="Normal 4 2 72" xfId="30389" xr:uid="{00000000-0005-0000-0000-0000A2760000}"/>
    <cellStyle name="Normal 4 2 73" xfId="30390" xr:uid="{00000000-0005-0000-0000-0000A3760000}"/>
    <cellStyle name="Normal 4 2 74" xfId="30391" xr:uid="{00000000-0005-0000-0000-0000A4760000}"/>
    <cellStyle name="Normal 4 2 75" xfId="30392" xr:uid="{00000000-0005-0000-0000-0000A5760000}"/>
    <cellStyle name="Normal 4 2 76" xfId="30393" xr:uid="{00000000-0005-0000-0000-0000A6760000}"/>
    <cellStyle name="Normal 4 2 77" xfId="30394" xr:uid="{00000000-0005-0000-0000-0000A7760000}"/>
    <cellStyle name="Normal 4 2 78" xfId="30395" xr:uid="{00000000-0005-0000-0000-0000A8760000}"/>
    <cellStyle name="Normal 4 2 79" xfId="30396" xr:uid="{00000000-0005-0000-0000-0000A9760000}"/>
    <cellStyle name="Normal 4 2 8" xfId="30397" xr:uid="{00000000-0005-0000-0000-0000AA760000}"/>
    <cellStyle name="Normal 4 2 8 2" xfId="30398" xr:uid="{00000000-0005-0000-0000-0000AB760000}"/>
    <cellStyle name="Normal 4 2 80" xfId="30399" xr:uid="{00000000-0005-0000-0000-0000AC760000}"/>
    <cellStyle name="Normal 4 2 81" xfId="30400" xr:uid="{00000000-0005-0000-0000-0000AD760000}"/>
    <cellStyle name="Normal 4 2 82" xfId="30401" xr:uid="{00000000-0005-0000-0000-0000AE760000}"/>
    <cellStyle name="Normal 4 2 83" xfId="30402" xr:uid="{00000000-0005-0000-0000-0000AF760000}"/>
    <cellStyle name="Normal 4 2 84" xfId="30403" xr:uid="{00000000-0005-0000-0000-0000B0760000}"/>
    <cellStyle name="Normal 4 2 85" xfId="30404" xr:uid="{00000000-0005-0000-0000-0000B1760000}"/>
    <cellStyle name="Normal 4 2 86" xfId="30405" xr:uid="{00000000-0005-0000-0000-0000B2760000}"/>
    <cellStyle name="Normal 4 2 87" xfId="30406" xr:uid="{00000000-0005-0000-0000-0000B3760000}"/>
    <cellStyle name="Normal 4 2 87 2" xfId="30407" xr:uid="{00000000-0005-0000-0000-0000B4760000}"/>
    <cellStyle name="Normal 4 2 88" xfId="30300" xr:uid="{00000000-0005-0000-0000-0000B5760000}"/>
    <cellStyle name="Normal 4 2 9" xfId="30408" xr:uid="{00000000-0005-0000-0000-0000B6760000}"/>
    <cellStyle name="Normal 4 2 9 2" xfId="30409" xr:uid="{00000000-0005-0000-0000-0000B7760000}"/>
    <cellStyle name="Normal 4 2_Xa Parametrización de Usuarios" xfId="30410" xr:uid="{00000000-0005-0000-0000-0000B8760000}"/>
    <cellStyle name="Normal 4 20" xfId="30411" xr:uid="{00000000-0005-0000-0000-0000B9760000}"/>
    <cellStyle name="Normal 4 20 2" xfId="30412" xr:uid="{00000000-0005-0000-0000-0000BA760000}"/>
    <cellStyle name="Normal 4 20 3" xfId="30413" xr:uid="{00000000-0005-0000-0000-0000BB760000}"/>
    <cellStyle name="Normal 4 20 4" xfId="30414" xr:uid="{00000000-0005-0000-0000-0000BC760000}"/>
    <cellStyle name="Normal 4 20_Enlaces" xfId="30415" xr:uid="{00000000-0005-0000-0000-0000BD760000}"/>
    <cellStyle name="Normal 4 21" xfId="30416" xr:uid="{00000000-0005-0000-0000-0000BE760000}"/>
    <cellStyle name="Normal 4 21 2" xfId="30417" xr:uid="{00000000-0005-0000-0000-0000BF760000}"/>
    <cellStyle name="Normal 4 21 3" xfId="30418" xr:uid="{00000000-0005-0000-0000-0000C0760000}"/>
    <cellStyle name="Normal 4 21 4" xfId="30419" xr:uid="{00000000-0005-0000-0000-0000C1760000}"/>
    <cellStyle name="Normal 4 21_Enlaces" xfId="30420" xr:uid="{00000000-0005-0000-0000-0000C2760000}"/>
    <cellStyle name="Normal 4 22" xfId="30421" xr:uid="{00000000-0005-0000-0000-0000C3760000}"/>
    <cellStyle name="Normal 4 22 2" xfId="30422" xr:uid="{00000000-0005-0000-0000-0000C4760000}"/>
    <cellStyle name="Normal 4 22 3" xfId="30423" xr:uid="{00000000-0005-0000-0000-0000C5760000}"/>
    <cellStyle name="Normal 4 22 4" xfId="30424" xr:uid="{00000000-0005-0000-0000-0000C6760000}"/>
    <cellStyle name="Normal 4 22_Enlaces" xfId="30425" xr:uid="{00000000-0005-0000-0000-0000C7760000}"/>
    <cellStyle name="Normal 4 23" xfId="30426" xr:uid="{00000000-0005-0000-0000-0000C8760000}"/>
    <cellStyle name="Normal 4 23 2" xfId="30427" xr:uid="{00000000-0005-0000-0000-0000C9760000}"/>
    <cellStyle name="Normal 4 23 3" xfId="30428" xr:uid="{00000000-0005-0000-0000-0000CA760000}"/>
    <cellStyle name="Normal 4 23 4" xfId="30429" xr:uid="{00000000-0005-0000-0000-0000CB760000}"/>
    <cellStyle name="Normal 4 23_Enlaces" xfId="30430" xr:uid="{00000000-0005-0000-0000-0000CC760000}"/>
    <cellStyle name="Normal 4 24" xfId="30431" xr:uid="{00000000-0005-0000-0000-0000CD760000}"/>
    <cellStyle name="Normal 4 24 2" xfId="30432" xr:uid="{00000000-0005-0000-0000-0000CE760000}"/>
    <cellStyle name="Normal 4 24 3" xfId="30433" xr:uid="{00000000-0005-0000-0000-0000CF760000}"/>
    <cellStyle name="Normal 4 24 4" xfId="30434" xr:uid="{00000000-0005-0000-0000-0000D0760000}"/>
    <cellStyle name="Normal 4 24_Enlaces" xfId="30435" xr:uid="{00000000-0005-0000-0000-0000D1760000}"/>
    <cellStyle name="Normal 4 25" xfId="30436" xr:uid="{00000000-0005-0000-0000-0000D2760000}"/>
    <cellStyle name="Normal 4 25 2" xfId="30437" xr:uid="{00000000-0005-0000-0000-0000D3760000}"/>
    <cellStyle name="Normal 4 25 3" xfId="30438" xr:uid="{00000000-0005-0000-0000-0000D4760000}"/>
    <cellStyle name="Normal 4 25 4" xfId="30439" xr:uid="{00000000-0005-0000-0000-0000D5760000}"/>
    <cellStyle name="Normal 4 25_Enlaces" xfId="30440" xr:uid="{00000000-0005-0000-0000-0000D6760000}"/>
    <cellStyle name="Normal 4 26" xfId="30441" xr:uid="{00000000-0005-0000-0000-0000D7760000}"/>
    <cellStyle name="Normal 4 26 2" xfId="30442" xr:uid="{00000000-0005-0000-0000-0000D8760000}"/>
    <cellStyle name="Normal 4 26 3" xfId="30443" xr:uid="{00000000-0005-0000-0000-0000D9760000}"/>
    <cellStyle name="Normal 4 26 4" xfId="30444" xr:uid="{00000000-0005-0000-0000-0000DA760000}"/>
    <cellStyle name="Normal 4 26_Enlaces" xfId="30445" xr:uid="{00000000-0005-0000-0000-0000DB760000}"/>
    <cellStyle name="Normal 4 27" xfId="30446" xr:uid="{00000000-0005-0000-0000-0000DC760000}"/>
    <cellStyle name="Normal 4 27 2" xfId="30447" xr:uid="{00000000-0005-0000-0000-0000DD760000}"/>
    <cellStyle name="Normal 4 27 3" xfId="30448" xr:uid="{00000000-0005-0000-0000-0000DE760000}"/>
    <cellStyle name="Normal 4 28" xfId="30449" xr:uid="{00000000-0005-0000-0000-0000DF760000}"/>
    <cellStyle name="Normal 4 28 2" xfId="30450" xr:uid="{00000000-0005-0000-0000-0000E0760000}"/>
    <cellStyle name="Normal 4 28 3" xfId="30451" xr:uid="{00000000-0005-0000-0000-0000E1760000}"/>
    <cellStyle name="Normal 4 29" xfId="30452" xr:uid="{00000000-0005-0000-0000-0000E2760000}"/>
    <cellStyle name="Normal 4 29 2" xfId="30453" xr:uid="{00000000-0005-0000-0000-0000E3760000}"/>
    <cellStyle name="Normal 4 29 3" xfId="30454" xr:uid="{00000000-0005-0000-0000-0000E4760000}"/>
    <cellStyle name="Normal 4 3" xfId="41" xr:uid="{00000000-0005-0000-0000-0000E5760000}"/>
    <cellStyle name="Normal 4 3 10" xfId="30456" xr:uid="{00000000-0005-0000-0000-0000E6760000}"/>
    <cellStyle name="Normal 4 3 11" xfId="30457" xr:uid="{00000000-0005-0000-0000-0000E7760000}"/>
    <cellStyle name="Normal 4 3 12" xfId="30458" xr:uid="{00000000-0005-0000-0000-0000E8760000}"/>
    <cellStyle name="Normal 4 3 13" xfId="30459" xr:uid="{00000000-0005-0000-0000-0000E9760000}"/>
    <cellStyle name="Normal 4 3 14" xfId="30460" xr:uid="{00000000-0005-0000-0000-0000EA760000}"/>
    <cellStyle name="Normal 4 3 15" xfId="30461" xr:uid="{00000000-0005-0000-0000-0000EB760000}"/>
    <cellStyle name="Normal 4 3 16" xfId="30462" xr:uid="{00000000-0005-0000-0000-0000EC760000}"/>
    <cellStyle name="Normal 4 3 17" xfId="30463" xr:uid="{00000000-0005-0000-0000-0000ED760000}"/>
    <cellStyle name="Normal 4 3 18" xfId="30464" xr:uid="{00000000-0005-0000-0000-0000EE760000}"/>
    <cellStyle name="Normal 4 3 19" xfId="30465" xr:uid="{00000000-0005-0000-0000-0000EF760000}"/>
    <cellStyle name="Normal 4 3 2" xfId="30466" xr:uid="{00000000-0005-0000-0000-0000F0760000}"/>
    <cellStyle name="Normal 4 3 2 2" xfId="30467" xr:uid="{00000000-0005-0000-0000-0000F1760000}"/>
    <cellStyle name="Normal 4 3 20" xfId="30468" xr:uid="{00000000-0005-0000-0000-0000F2760000}"/>
    <cellStyle name="Normal 4 3 21" xfId="30469" xr:uid="{00000000-0005-0000-0000-0000F3760000}"/>
    <cellStyle name="Normal 4 3 22" xfId="30470" xr:uid="{00000000-0005-0000-0000-0000F4760000}"/>
    <cellStyle name="Normal 4 3 23" xfId="30471" xr:uid="{00000000-0005-0000-0000-0000F5760000}"/>
    <cellStyle name="Normal 4 3 24" xfId="30472" xr:uid="{00000000-0005-0000-0000-0000F6760000}"/>
    <cellStyle name="Normal 4 3 25" xfId="30473" xr:uid="{00000000-0005-0000-0000-0000F7760000}"/>
    <cellStyle name="Normal 4 3 26" xfId="30474" xr:uid="{00000000-0005-0000-0000-0000F8760000}"/>
    <cellStyle name="Normal 4 3 27" xfId="30475" xr:uid="{00000000-0005-0000-0000-0000F9760000}"/>
    <cellStyle name="Normal 4 3 28" xfId="30476" xr:uid="{00000000-0005-0000-0000-0000FA760000}"/>
    <cellStyle name="Normal 4 3 29" xfId="30477" xr:uid="{00000000-0005-0000-0000-0000FB760000}"/>
    <cellStyle name="Normal 4 3 3" xfId="30478" xr:uid="{00000000-0005-0000-0000-0000FC760000}"/>
    <cellStyle name="Normal 4 3 30" xfId="30479" xr:uid="{00000000-0005-0000-0000-0000FD760000}"/>
    <cellStyle name="Normal 4 3 31" xfId="30480" xr:uid="{00000000-0005-0000-0000-0000FE760000}"/>
    <cellStyle name="Normal 4 3 32" xfId="30481" xr:uid="{00000000-0005-0000-0000-0000FF760000}"/>
    <cellStyle name="Normal 4 3 33" xfId="30482" xr:uid="{00000000-0005-0000-0000-000000770000}"/>
    <cellStyle name="Normal 4 3 34" xfId="30483" xr:uid="{00000000-0005-0000-0000-000001770000}"/>
    <cellStyle name="Normal 4 3 35" xfId="30455" xr:uid="{00000000-0005-0000-0000-000002770000}"/>
    <cellStyle name="Normal 4 3 4" xfId="30484" xr:uid="{00000000-0005-0000-0000-000003770000}"/>
    <cellStyle name="Normal 4 3 5" xfId="30485" xr:uid="{00000000-0005-0000-0000-000004770000}"/>
    <cellStyle name="Normal 4 3 6" xfId="30486" xr:uid="{00000000-0005-0000-0000-000005770000}"/>
    <cellStyle name="Normal 4 3 7" xfId="30487" xr:uid="{00000000-0005-0000-0000-000006770000}"/>
    <cellStyle name="Normal 4 3 8" xfId="30488" xr:uid="{00000000-0005-0000-0000-000007770000}"/>
    <cellStyle name="Normal 4 3 9" xfId="30489" xr:uid="{00000000-0005-0000-0000-000008770000}"/>
    <cellStyle name="Normal 4 3_Enlaces" xfId="30490" xr:uid="{00000000-0005-0000-0000-000009770000}"/>
    <cellStyle name="Normal 4 30" xfId="30491" xr:uid="{00000000-0005-0000-0000-00000A770000}"/>
    <cellStyle name="Normal 4 30 2" xfId="30492" xr:uid="{00000000-0005-0000-0000-00000B770000}"/>
    <cellStyle name="Normal 4 30 3" xfId="30493" xr:uid="{00000000-0005-0000-0000-00000C770000}"/>
    <cellStyle name="Normal 4 31" xfId="30494" xr:uid="{00000000-0005-0000-0000-00000D770000}"/>
    <cellStyle name="Normal 4 31 2" xfId="30495" xr:uid="{00000000-0005-0000-0000-00000E770000}"/>
    <cellStyle name="Normal 4 31 3" xfId="30496" xr:uid="{00000000-0005-0000-0000-00000F770000}"/>
    <cellStyle name="Normal 4 32" xfId="30497" xr:uid="{00000000-0005-0000-0000-000010770000}"/>
    <cellStyle name="Normal 4 32 2" xfId="30498" xr:uid="{00000000-0005-0000-0000-000011770000}"/>
    <cellStyle name="Normal 4 32 3" xfId="30499" xr:uid="{00000000-0005-0000-0000-000012770000}"/>
    <cellStyle name="Normal 4 33" xfId="30500" xr:uid="{00000000-0005-0000-0000-000013770000}"/>
    <cellStyle name="Normal 4 33 2" xfId="30501" xr:uid="{00000000-0005-0000-0000-000014770000}"/>
    <cellStyle name="Normal 4 33 3" xfId="30502" xr:uid="{00000000-0005-0000-0000-000015770000}"/>
    <cellStyle name="Normal 4 34" xfId="30503" xr:uid="{00000000-0005-0000-0000-000016770000}"/>
    <cellStyle name="Normal 4 34 2" xfId="30504" xr:uid="{00000000-0005-0000-0000-000017770000}"/>
    <cellStyle name="Normal 4 34 3" xfId="30505" xr:uid="{00000000-0005-0000-0000-000018770000}"/>
    <cellStyle name="Normal 4 35" xfId="30506" xr:uid="{00000000-0005-0000-0000-000019770000}"/>
    <cellStyle name="Normal 4 35 2" xfId="30507" xr:uid="{00000000-0005-0000-0000-00001A770000}"/>
    <cellStyle name="Normal 4 35 3" xfId="30508" xr:uid="{00000000-0005-0000-0000-00001B770000}"/>
    <cellStyle name="Normal 4 36" xfId="30509" xr:uid="{00000000-0005-0000-0000-00001C770000}"/>
    <cellStyle name="Normal 4 36 2" xfId="30510" xr:uid="{00000000-0005-0000-0000-00001D770000}"/>
    <cellStyle name="Normal 4 36 3" xfId="30511" xr:uid="{00000000-0005-0000-0000-00001E770000}"/>
    <cellStyle name="Normal 4 37" xfId="30512" xr:uid="{00000000-0005-0000-0000-00001F770000}"/>
    <cellStyle name="Normal 4 37 2" xfId="30513" xr:uid="{00000000-0005-0000-0000-000020770000}"/>
    <cellStyle name="Normal 4 37 3" xfId="30514" xr:uid="{00000000-0005-0000-0000-000021770000}"/>
    <cellStyle name="Normal 4 38" xfId="30515" xr:uid="{00000000-0005-0000-0000-000022770000}"/>
    <cellStyle name="Normal 4 38 2" xfId="30516" xr:uid="{00000000-0005-0000-0000-000023770000}"/>
    <cellStyle name="Normal 4 38 3" xfId="30517" xr:uid="{00000000-0005-0000-0000-000024770000}"/>
    <cellStyle name="Normal 4 39" xfId="30518" xr:uid="{00000000-0005-0000-0000-000025770000}"/>
    <cellStyle name="Normal 4 39 2" xfId="30519" xr:uid="{00000000-0005-0000-0000-000026770000}"/>
    <cellStyle name="Normal 4 39 3" xfId="30520" xr:uid="{00000000-0005-0000-0000-000027770000}"/>
    <cellStyle name="Normal 4 4" xfId="30521" xr:uid="{00000000-0005-0000-0000-000028770000}"/>
    <cellStyle name="Normal 4 4 2" xfId="30522" xr:uid="{00000000-0005-0000-0000-000029770000}"/>
    <cellStyle name="Normal 4 4 3" xfId="30523" xr:uid="{00000000-0005-0000-0000-00002A770000}"/>
    <cellStyle name="Normal 4 4 4" xfId="30524" xr:uid="{00000000-0005-0000-0000-00002B770000}"/>
    <cellStyle name="Normal 4 4 5" xfId="30525" xr:uid="{00000000-0005-0000-0000-00002C770000}"/>
    <cellStyle name="Normal 4 4_Enlaces" xfId="30526" xr:uid="{00000000-0005-0000-0000-00002D770000}"/>
    <cellStyle name="Normal 4 40" xfId="30527" xr:uid="{00000000-0005-0000-0000-00002E770000}"/>
    <cellStyle name="Normal 4 40 2" xfId="30528" xr:uid="{00000000-0005-0000-0000-00002F770000}"/>
    <cellStyle name="Normal 4 40 3" xfId="30529" xr:uid="{00000000-0005-0000-0000-000030770000}"/>
    <cellStyle name="Normal 4 41" xfId="30530" xr:uid="{00000000-0005-0000-0000-000031770000}"/>
    <cellStyle name="Normal 4 41 2" xfId="30531" xr:uid="{00000000-0005-0000-0000-000032770000}"/>
    <cellStyle name="Normal 4 41 3" xfId="30532" xr:uid="{00000000-0005-0000-0000-000033770000}"/>
    <cellStyle name="Normal 4 42" xfId="30533" xr:uid="{00000000-0005-0000-0000-000034770000}"/>
    <cellStyle name="Normal 4 42 2" xfId="30534" xr:uid="{00000000-0005-0000-0000-000035770000}"/>
    <cellStyle name="Normal 4 42 3" xfId="30535" xr:uid="{00000000-0005-0000-0000-000036770000}"/>
    <cellStyle name="Normal 4 43" xfId="30536" xr:uid="{00000000-0005-0000-0000-000037770000}"/>
    <cellStyle name="Normal 4 43 2" xfId="30537" xr:uid="{00000000-0005-0000-0000-000038770000}"/>
    <cellStyle name="Normal 4 43 3" xfId="30538" xr:uid="{00000000-0005-0000-0000-000039770000}"/>
    <cellStyle name="Normal 4 44" xfId="30539" xr:uid="{00000000-0005-0000-0000-00003A770000}"/>
    <cellStyle name="Normal 4 44 2" xfId="30540" xr:uid="{00000000-0005-0000-0000-00003B770000}"/>
    <cellStyle name="Normal 4 44 3" xfId="30541" xr:uid="{00000000-0005-0000-0000-00003C770000}"/>
    <cellStyle name="Normal 4 45" xfId="30542" xr:uid="{00000000-0005-0000-0000-00003D770000}"/>
    <cellStyle name="Normal 4 45 2" xfId="30543" xr:uid="{00000000-0005-0000-0000-00003E770000}"/>
    <cellStyle name="Normal 4 45 3" xfId="30544" xr:uid="{00000000-0005-0000-0000-00003F770000}"/>
    <cellStyle name="Normal 4 46" xfId="30545" xr:uid="{00000000-0005-0000-0000-000040770000}"/>
    <cellStyle name="Normal 4 46 2" xfId="30546" xr:uid="{00000000-0005-0000-0000-000041770000}"/>
    <cellStyle name="Normal 4 46 3" xfId="30547" xr:uid="{00000000-0005-0000-0000-000042770000}"/>
    <cellStyle name="Normal 4 47" xfId="30548" xr:uid="{00000000-0005-0000-0000-000043770000}"/>
    <cellStyle name="Normal 4 48" xfId="30549" xr:uid="{00000000-0005-0000-0000-000044770000}"/>
    <cellStyle name="Normal 4 49" xfId="30550" xr:uid="{00000000-0005-0000-0000-000045770000}"/>
    <cellStyle name="Normal 4 5" xfId="30551" xr:uid="{00000000-0005-0000-0000-000046770000}"/>
    <cellStyle name="Normal 4 5 2" xfId="30552" xr:uid="{00000000-0005-0000-0000-000047770000}"/>
    <cellStyle name="Normal 4 5 3" xfId="30553" xr:uid="{00000000-0005-0000-0000-000048770000}"/>
    <cellStyle name="Normal 4 5 4" xfId="30554" xr:uid="{00000000-0005-0000-0000-000049770000}"/>
    <cellStyle name="Normal 4 5 5" xfId="30555" xr:uid="{00000000-0005-0000-0000-00004A770000}"/>
    <cellStyle name="Normal 4 5_Enlaces" xfId="30556" xr:uid="{00000000-0005-0000-0000-00004B770000}"/>
    <cellStyle name="Normal 4 50" xfId="30557" xr:uid="{00000000-0005-0000-0000-00004C770000}"/>
    <cellStyle name="Normal 4 51" xfId="30558" xr:uid="{00000000-0005-0000-0000-00004D770000}"/>
    <cellStyle name="Normal 4 52" xfId="30559" xr:uid="{00000000-0005-0000-0000-00004E770000}"/>
    <cellStyle name="Normal 4 53" xfId="30560" xr:uid="{00000000-0005-0000-0000-00004F770000}"/>
    <cellStyle name="Normal 4 54" xfId="30561" xr:uid="{00000000-0005-0000-0000-000050770000}"/>
    <cellStyle name="Normal 4 55" xfId="30562" xr:uid="{00000000-0005-0000-0000-000051770000}"/>
    <cellStyle name="Normal 4 56" xfId="30563" xr:uid="{00000000-0005-0000-0000-000052770000}"/>
    <cellStyle name="Normal 4 57" xfId="30564" xr:uid="{00000000-0005-0000-0000-000053770000}"/>
    <cellStyle name="Normal 4 58" xfId="30565" xr:uid="{00000000-0005-0000-0000-000054770000}"/>
    <cellStyle name="Normal 4 59" xfId="30566" xr:uid="{00000000-0005-0000-0000-000055770000}"/>
    <cellStyle name="Normal 4 6" xfId="30567" xr:uid="{00000000-0005-0000-0000-000056770000}"/>
    <cellStyle name="Normal 4 6 2" xfId="30568" xr:uid="{00000000-0005-0000-0000-000057770000}"/>
    <cellStyle name="Normal 4 6 3" xfId="30569" xr:uid="{00000000-0005-0000-0000-000058770000}"/>
    <cellStyle name="Normal 4 6 4" xfId="30570" xr:uid="{00000000-0005-0000-0000-000059770000}"/>
    <cellStyle name="Normal 4 6 5" xfId="30571" xr:uid="{00000000-0005-0000-0000-00005A770000}"/>
    <cellStyle name="Normal 4 6_Enlaces" xfId="30572" xr:uid="{00000000-0005-0000-0000-00005B770000}"/>
    <cellStyle name="Normal 4 60" xfId="30573" xr:uid="{00000000-0005-0000-0000-00005C770000}"/>
    <cellStyle name="Normal 4 61" xfId="30574" xr:uid="{00000000-0005-0000-0000-00005D770000}"/>
    <cellStyle name="Normal 4 62" xfId="30575" xr:uid="{00000000-0005-0000-0000-00005E770000}"/>
    <cellStyle name="Normal 4 63" xfId="30576" xr:uid="{00000000-0005-0000-0000-00005F770000}"/>
    <cellStyle name="Normal 4 64" xfId="30577" xr:uid="{00000000-0005-0000-0000-000060770000}"/>
    <cellStyle name="Normal 4 65" xfId="30578" xr:uid="{00000000-0005-0000-0000-000061770000}"/>
    <cellStyle name="Normal 4 66" xfId="30579" xr:uid="{00000000-0005-0000-0000-000062770000}"/>
    <cellStyle name="Normal 4 67" xfId="30580" xr:uid="{00000000-0005-0000-0000-000063770000}"/>
    <cellStyle name="Normal 4 68" xfId="30581" xr:uid="{00000000-0005-0000-0000-000064770000}"/>
    <cellStyle name="Normal 4 69" xfId="30582" xr:uid="{00000000-0005-0000-0000-000065770000}"/>
    <cellStyle name="Normal 4 7" xfId="30583" xr:uid="{00000000-0005-0000-0000-000066770000}"/>
    <cellStyle name="Normal 4 7 2" xfId="30584" xr:uid="{00000000-0005-0000-0000-000067770000}"/>
    <cellStyle name="Normal 4 7 3" xfId="30585" xr:uid="{00000000-0005-0000-0000-000068770000}"/>
    <cellStyle name="Normal 4 7 4" xfId="30586" xr:uid="{00000000-0005-0000-0000-000069770000}"/>
    <cellStyle name="Normal 4 7 5" xfId="30587" xr:uid="{00000000-0005-0000-0000-00006A770000}"/>
    <cellStyle name="Normal 4 7_Enlaces" xfId="30588" xr:uid="{00000000-0005-0000-0000-00006B770000}"/>
    <cellStyle name="Normal 4 70" xfId="30589" xr:uid="{00000000-0005-0000-0000-00006C770000}"/>
    <cellStyle name="Normal 4 71" xfId="30590" xr:uid="{00000000-0005-0000-0000-00006D770000}"/>
    <cellStyle name="Normal 4 72" xfId="30591" xr:uid="{00000000-0005-0000-0000-00006E770000}"/>
    <cellStyle name="Normal 4 73" xfId="30592" xr:uid="{00000000-0005-0000-0000-00006F770000}"/>
    <cellStyle name="Normal 4 74" xfId="30593" xr:uid="{00000000-0005-0000-0000-000070770000}"/>
    <cellStyle name="Normal 4 75" xfId="30594" xr:uid="{00000000-0005-0000-0000-000071770000}"/>
    <cellStyle name="Normal 4 76" xfId="30595" xr:uid="{00000000-0005-0000-0000-000072770000}"/>
    <cellStyle name="Normal 4 77" xfId="30596" xr:uid="{00000000-0005-0000-0000-000073770000}"/>
    <cellStyle name="Normal 4 78" xfId="30597" xr:uid="{00000000-0005-0000-0000-000074770000}"/>
    <cellStyle name="Normal 4 79" xfId="30598" xr:uid="{00000000-0005-0000-0000-000075770000}"/>
    <cellStyle name="Normal 4 8" xfId="30599" xr:uid="{00000000-0005-0000-0000-000076770000}"/>
    <cellStyle name="Normal 4 8 2" xfId="30600" xr:uid="{00000000-0005-0000-0000-000077770000}"/>
    <cellStyle name="Normal 4 8 3" xfId="30601" xr:uid="{00000000-0005-0000-0000-000078770000}"/>
    <cellStyle name="Normal 4 8 4" xfId="30602" xr:uid="{00000000-0005-0000-0000-000079770000}"/>
    <cellStyle name="Normal 4 8 5" xfId="30603" xr:uid="{00000000-0005-0000-0000-00007A770000}"/>
    <cellStyle name="Normal 4 8_Enlaces" xfId="30604" xr:uid="{00000000-0005-0000-0000-00007B770000}"/>
    <cellStyle name="Normal 4 80" xfId="30605" xr:uid="{00000000-0005-0000-0000-00007C770000}"/>
    <cellStyle name="Normal 4 81" xfId="30606" xr:uid="{00000000-0005-0000-0000-00007D770000}"/>
    <cellStyle name="Normal 4 82" xfId="30607" xr:uid="{00000000-0005-0000-0000-00007E770000}"/>
    <cellStyle name="Normal 4 83" xfId="30608" xr:uid="{00000000-0005-0000-0000-00007F770000}"/>
    <cellStyle name="Normal 4 84" xfId="30609" xr:uid="{00000000-0005-0000-0000-000080770000}"/>
    <cellStyle name="Normal 4 85" xfId="30610" xr:uid="{00000000-0005-0000-0000-000081770000}"/>
    <cellStyle name="Normal 4 86" xfId="30611" xr:uid="{00000000-0005-0000-0000-000082770000}"/>
    <cellStyle name="Normal 4 87" xfId="30612" xr:uid="{00000000-0005-0000-0000-000083770000}"/>
    <cellStyle name="Normal 4 88" xfId="30613" xr:uid="{00000000-0005-0000-0000-000084770000}"/>
    <cellStyle name="Normal 4 89" xfId="30614" xr:uid="{00000000-0005-0000-0000-000085770000}"/>
    <cellStyle name="Normal 4 9" xfId="30615" xr:uid="{00000000-0005-0000-0000-000086770000}"/>
    <cellStyle name="Normal 4 9 2" xfId="30616" xr:uid="{00000000-0005-0000-0000-000087770000}"/>
    <cellStyle name="Normal 4 9 3" xfId="30617" xr:uid="{00000000-0005-0000-0000-000088770000}"/>
    <cellStyle name="Normal 4 9 4" xfId="30618" xr:uid="{00000000-0005-0000-0000-000089770000}"/>
    <cellStyle name="Normal 4 9 5" xfId="30619" xr:uid="{00000000-0005-0000-0000-00008A770000}"/>
    <cellStyle name="Normal 4 9_Enlaces" xfId="30620" xr:uid="{00000000-0005-0000-0000-00008B770000}"/>
    <cellStyle name="Normal 4 90" xfId="30621" xr:uid="{00000000-0005-0000-0000-00008C770000}"/>
    <cellStyle name="Normal 4 91" xfId="30622" xr:uid="{00000000-0005-0000-0000-00008D770000}"/>
    <cellStyle name="Normal 4 92" xfId="30623" xr:uid="{00000000-0005-0000-0000-00008E770000}"/>
    <cellStyle name="Normal 4 93" xfId="30624" xr:uid="{00000000-0005-0000-0000-00008F770000}"/>
    <cellStyle name="Normal 4 94" xfId="30625" xr:uid="{00000000-0005-0000-0000-000090770000}"/>
    <cellStyle name="Normal 4 95" xfId="30626" xr:uid="{00000000-0005-0000-0000-000091770000}"/>
    <cellStyle name="Normal 4 96" xfId="30627" xr:uid="{00000000-0005-0000-0000-000092770000}"/>
    <cellStyle name="Normal 4 97" xfId="30628" xr:uid="{00000000-0005-0000-0000-000093770000}"/>
    <cellStyle name="Normal 4 98" xfId="30629" xr:uid="{00000000-0005-0000-0000-000094770000}"/>
    <cellStyle name="Normal 4 98 2" xfId="30630" xr:uid="{00000000-0005-0000-0000-000095770000}"/>
    <cellStyle name="Normal 4 98 3" xfId="30631" xr:uid="{00000000-0005-0000-0000-000096770000}"/>
    <cellStyle name="Normal 4 98 4" xfId="30632" xr:uid="{00000000-0005-0000-0000-000097770000}"/>
    <cellStyle name="Normal 4 98 5" xfId="30633" xr:uid="{00000000-0005-0000-0000-000098770000}"/>
    <cellStyle name="Normal 4 98 6" xfId="30634" xr:uid="{00000000-0005-0000-0000-000099770000}"/>
    <cellStyle name="Normal 4 99" xfId="30635" xr:uid="{00000000-0005-0000-0000-00009A770000}"/>
    <cellStyle name="Normal 4 99 2" xfId="30636" xr:uid="{00000000-0005-0000-0000-00009B770000}"/>
    <cellStyle name="Normal 4 99 3" xfId="30637" xr:uid="{00000000-0005-0000-0000-00009C770000}"/>
    <cellStyle name="Normal 4 99 4" xfId="30638" xr:uid="{00000000-0005-0000-0000-00009D770000}"/>
    <cellStyle name="Normal 4 99 5" xfId="30639" xr:uid="{00000000-0005-0000-0000-00009E770000}"/>
    <cellStyle name="Normal 4 99 6" xfId="30640" xr:uid="{00000000-0005-0000-0000-00009F770000}"/>
    <cellStyle name="Normal 4_Enlaces" xfId="30641" xr:uid="{00000000-0005-0000-0000-0000A0770000}"/>
    <cellStyle name="Normal 40" xfId="30642" xr:uid="{00000000-0005-0000-0000-0000A1770000}"/>
    <cellStyle name="Normal 40 10" xfId="30643" xr:uid="{00000000-0005-0000-0000-0000A2770000}"/>
    <cellStyle name="Normal 40 11" xfId="30644" xr:uid="{00000000-0005-0000-0000-0000A3770000}"/>
    <cellStyle name="Normal 40 12" xfId="30645" xr:uid="{00000000-0005-0000-0000-0000A4770000}"/>
    <cellStyle name="Normal 40 13" xfId="30646" xr:uid="{00000000-0005-0000-0000-0000A5770000}"/>
    <cellStyle name="Normal 40 14" xfId="30647" xr:uid="{00000000-0005-0000-0000-0000A6770000}"/>
    <cellStyle name="Normal 40 15" xfId="30648" xr:uid="{00000000-0005-0000-0000-0000A7770000}"/>
    <cellStyle name="Normal 40 16" xfId="30649" xr:uid="{00000000-0005-0000-0000-0000A8770000}"/>
    <cellStyle name="Normal 40 17" xfId="30650" xr:uid="{00000000-0005-0000-0000-0000A9770000}"/>
    <cellStyle name="Normal 40 18" xfId="30651" xr:uid="{00000000-0005-0000-0000-0000AA770000}"/>
    <cellStyle name="Normal 40 19" xfId="30652" xr:uid="{00000000-0005-0000-0000-0000AB770000}"/>
    <cellStyle name="Normal 40 2" xfId="30653" xr:uid="{00000000-0005-0000-0000-0000AC770000}"/>
    <cellStyle name="Normal 40 2 2" xfId="30654" xr:uid="{00000000-0005-0000-0000-0000AD770000}"/>
    <cellStyle name="Normal 40 20" xfId="30655" xr:uid="{00000000-0005-0000-0000-0000AE770000}"/>
    <cellStyle name="Normal 40 21" xfId="30656" xr:uid="{00000000-0005-0000-0000-0000AF770000}"/>
    <cellStyle name="Normal 40 22" xfId="30657" xr:uid="{00000000-0005-0000-0000-0000B0770000}"/>
    <cellStyle name="Normal 40 23" xfId="30658" xr:uid="{00000000-0005-0000-0000-0000B1770000}"/>
    <cellStyle name="Normal 40 24" xfId="30659" xr:uid="{00000000-0005-0000-0000-0000B2770000}"/>
    <cellStyle name="Normal 40 25" xfId="30660" xr:uid="{00000000-0005-0000-0000-0000B3770000}"/>
    <cellStyle name="Normal 40 26" xfId="30661" xr:uid="{00000000-0005-0000-0000-0000B4770000}"/>
    <cellStyle name="Normal 40 3" xfId="30662" xr:uid="{00000000-0005-0000-0000-0000B5770000}"/>
    <cellStyle name="Normal 40 3 2" xfId="30663" xr:uid="{00000000-0005-0000-0000-0000B6770000}"/>
    <cellStyle name="Normal 40 4" xfId="30664" xr:uid="{00000000-0005-0000-0000-0000B7770000}"/>
    <cellStyle name="Normal 40 4 2" xfId="30665" xr:uid="{00000000-0005-0000-0000-0000B8770000}"/>
    <cellStyle name="Normal 40 5" xfId="30666" xr:uid="{00000000-0005-0000-0000-0000B9770000}"/>
    <cellStyle name="Normal 40 5 2" xfId="30667" xr:uid="{00000000-0005-0000-0000-0000BA770000}"/>
    <cellStyle name="Normal 40 6" xfId="30668" xr:uid="{00000000-0005-0000-0000-0000BB770000}"/>
    <cellStyle name="Normal 40 7" xfId="30669" xr:uid="{00000000-0005-0000-0000-0000BC770000}"/>
    <cellStyle name="Normal 40 8" xfId="30670" xr:uid="{00000000-0005-0000-0000-0000BD770000}"/>
    <cellStyle name="Normal 40 9" xfId="30671" xr:uid="{00000000-0005-0000-0000-0000BE770000}"/>
    <cellStyle name="Normal 41" xfId="30672" xr:uid="{00000000-0005-0000-0000-0000BF770000}"/>
    <cellStyle name="Normal 41 10" xfId="30673" xr:uid="{00000000-0005-0000-0000-0000C0770000}"/>
    <cellStyle name="Normal 41 11" xfId="30674" xr:uid="{00000000-0005-0000-0000-0000C1770000}"/>
    <cellStyle name="Normal 41 12" xfId="30675" xr:uid="{00000000-0005-0000-0000-0000C2770000}"/>
    <cellStyle name="Normal 41 13" xfId="30676" xr:uid="{00000000-0005-0000-0000-0000C3770000}"/>
    <cellStyle name="Normal 41 14" xfId="30677" xr:uid="{00000000-0005-0000-0000-0000C4770000}"/>
    <cellStyle name="Normal 41 15" xfId="30678" xr:uid="{00000000-0005-0000-0000-0000C5770000}"/>
    <cellStyle name="Normal 41 16" xfId="30679" xr:uid="{00000000-0005-0000-0000-0000C6770000}"/>
    <cellStyle name="Normal 41 17" xfId="30680" xr:uid="{00000000-0005-0000-0000-0000C7770000}"/>
    <cellStyle name="Normal 41 18" xfId="30681" xr:uid="{00000000-0005-0000-0000-0000C8770000}"/>
    <cellStyle name="Normal 41 19" xfId="30682" xr:uid="{00000000-0005-0000-0000-0000C9770000}"/>
    <cellStyle name="Normal 41 2" xfId="30683" xr:uid="{00000000-0005-0000-0000-0000CA770000}"/>
    <cellStyle name="Normal 41 2 2" xfId="30684" xr:uid="{00000000-0005-0000-0000-0000CB770000}"/>
    <cellStyle name="Normal 41 20" xfId="30685" xr:uid="{00000000-0005-0000-0000-0000CC770000}"/>
    <cellStyle name="Normal 41 21" xfId="30686" xr:uid="{00000000-0005-0000-0000-0000CD770000}"/>
    <cellStyle name="Normal 41 22" xfId="30687" xr:uid="{00000000-0005-0000-0000-0000CE770000}"/>
    <cellStyle name="Normal 41 23" xfId="30688" xr:uid="{00000000-0005-0000-0000-0000CF770000}"/>
    <cellStyle name="Normal 41 24" xfId="30689" xr:uid="{00000000-0005-0000-0000-0000D0770000}"/>
    <cellStyle name="Normal 41 25" xfId="30690" xr:uid="{00000000-0005-0000-0000-0000D1770000}"/>
    <cellStyle name="Normal 41 26" xfId="30691" xr:uid="{00000000-0005-0000-0000-0000D2770000}"/>
    <cellStyle name="Normal 41 3" xfId="30692" xr:uid="{00000000-0005-0000-0000-0000D3770000}"/>
    <cellStyle name="Normal 41 3 2" xfId="30693" xr:uid="{00000000-0005-0000-0000-0000D4770000}"/>
    <cellStyle name="Normal 41 4" xfId="30694" xr:uid="{00000000-0005-0000-0000-0000D5770000}"/>
    <cellStyle name="Normal 41 4 2" xfId="30695" xr:uid="{00000000-0005-0000-0000-0000D6770000}"/>
    <cellStyle name="Normal 41 5" xfId="30696" xr:uid="{00000000-0005-0000-0000-0000D7770000}"/>
    <cellStyle name="Normal 41 5 2" xfId="30697" xr:uid="{00000000-0005-0000-0000-0000D8770000}"/>
    <cellStyle name="Normal 41 6" xfId="30698" xr:uid="{00000000-0005-0000-0000-0000D9770000}"/>
    <cellStyle name="Normal 41 7" xfId="30699" xr:uid="{00000000-0005-0000-0000-0000DA770000}"/>
    <cellStyle name="Normal 41 8" xfId="30700" xr:uid="{00000000-0005-0000-0000-0000DB770000}"/>
    <cellStyle name="Normal 41 9" xfId="30701" xr:uid="{00000000-0005-0000-0000-0000DC770000}"/>
    <cellStyle name="Normal 42" xfId="30702" xr:uid="{00000000-0005-0000-0000-0000DD770000}"/>
    <cellStyle name="Normal 43" xfId="30703" xr:uid="{00000000-0005-0000-0000-0000DE770000}"/>
    <cellStyle name="Normal 43 10" xfId="30704" xr:uid="{00000000-0005-0000-0000-0000DF770000}"/>
    <cellStyle name="Normal 43 11" xfId="30705" xr:uid="{00000000-0005-0000-0000-0000E0770000}"/>
    <cellStyle name="Normal 43 12" xfId="30706" xr:uid="{00000000-0005-0000-0000-0000E1770000}"/>
    <cellStyle name="Normal 43 13" xfId="30707" xr:uid="{00000000-0005-0000-0000-0000E2770000}"/>
    <cellStyle name="Normal 43 14" xfId="30708" xr:uid="{00000000-0005-0000-0000-0000E3770000}"/>
    <cellStyle name="Normal 43 15" xfId="30709" xr:uid="{00000000-0005-0000-0000-0000E4770000}"/>
    <cellStyle name="Normal 43 16" xfId="30710" xr:uid="{00000000-0005-0000-0000-0000E5770000}"/>
    <cellStyle name="Normal 43 17" xfId="30711" xr:uid="{00000000-0005-0000-0000-0000E6770000}"/>
    <cellStyle name="Normal 43 18" xfId="30712" xr:uid="{00000000-0005-0000-0000-0000E7770000}"/>
    <cellStyle name="Normal 43 19" xfId="30713" xr:uid="{00000000-0005-0000-0000-0000E8770000}"/>
    <cellStyle name="Normal 43 2" xfId="30714" xr:uid="{00000000-0005-0000-0000-0000E9770000}"/>
    <cellStyle name="Normal 43 2 2" xfId="30715" xr:uid="{00000000-0005-0000-0000-0000EA770000}"/>
    <cellStyle name="Normal 43 20" xfId="30716" xr:uid="{00000000-0005-0000-0000-0000EB770000}"/>
    <cellStyle name="Normal 43 21" xfId="30717" xr:uid="{00000000-0005-0000-0000-0000EC770000}"/>
    <cellStyle name="Normal 43 22" xfId="30718" xr:uid="{00000000-0005-0000-0000-0000ED770000}"/>
    <cellStyle name="Normal 43 23" xfId="30719" xr:uid="{00000000-0005-0000-0000-0000EE770000}"/>
    <cellStyle name="Normal 43 24" xfId="30720" xr:uid="{00000000-0005-0000-0000-0000EF770000}"/>
    <cellStyle name="Normal 43 25" xfId="30721" xr:uid="{00000000-0005-0000-0000-0000F0770000}"/>
    <cellStyle name="Normal 43 26" xfId="30722" xr:uid="{00000000-0005-0000-0000-0000F1770000}"/>
    <cellStyle name="Normal 43 27" xfId="30723" xr:uid="{00000000-0005-0000-0000-0000F2770000}"/>
    <cellStyle name="Normal 43 28" xfId="30724" xr:uid="{00000000-0005-0000-0000-0000F3770000}"/>
    <cellStyle name="Normal 43 3" xfId="30725" xr:uid="{00000000-0005-0000-0000-0000F4770000}"/>
    <cellStyle name="Normal 43 3 2" xfId="30726" xr:uid="{00000000-0005-0000-0000-0000F5770000}"/>
    <cellStyle name="Normal 43 4" xfId="30727" xr:uid="{00000000-0005-0000-0000-0000F6770000}"/>
    <cellStyle name="Normal 43 4 2" xfId="30728" xr:uid="{00000000-0005-0000-0000-0000F7770000}"/>
    <cellStyle name="Normal 43 5" xfId="30729" xr:uid="{00000000-0005-0000-0000-0000F8770000}"/>
    <cellStyle name="Normal 43 5 2" xfId="30730" xr:uid="{00000000-0005-0000-0000-0000F9770000}"/>
    <cellStyle name="Normal 43 6" xfId="30731" xr:uid="{00000000-0005-0000-0000-0000FA770000}"/>
    <cellStyle name="Normal 43 7" xfId="30732" xr:uid="{00000000-0005-0000-0000-0000FB770000}"/>
    <cellStyle name="Normal 43 8" xfId="30733" xr:uid="{00000000-0005-0000-0000-0000FC770000}"/>
    <cellStyle name="Normal 43 9" xfId="30734" xr:uid="{00000000-0005-0000-0000-0000FD770000}"/>
    <cellStyle name="Normal 44" xfId="30735" xr:uid="{00000000-0005-0000-0000-0000FE770000}"/>
    <cellStyle name="Normal 44 10" xfId="30736" xr:uid="{00000000-0005-0000-0000-0000FF770000}"/>
    <cellStyle name="Normal 44 11" xfId="30737" xr:uid="{00000000-0005-0000-0000-000000780000}"/>
    <cellStyle name="Normal 44 12" xfId="30738" xr:uid="{00000000-0005-0000-0000-000001780000}"/>
    <cellStyle name="Normal 44 13" xfId="30739" xr:uid="{00000000-0005-0000-0000-000002780000}"/>
    <cellStyle name="Normal 44 14" xfId="30740" xr:uid="{00000000-0005-0000-0000-000003780000}"/>
    <cellStyle name="Normal 44 15" xfId="30741" xr:uid="{00000000-0005-0000-0000-000004780000}"/>
    <cellStyle name="Normal 44 16" xfId="30742" xr:uid="{00000000-0005-0000-0000-000005780000}"/>
    <cellStyle name="Normal 44 17" xfId="30743" xr:uid="{00000000-0005-0000-0000-000006780000}"/>
    <cellStyle name="Normal 44 18" xfId="30744" xr:uid="{00000000-0005-0000-0000-000007780000}"/>
    <cellStyle name="Normal 44 19" xfId="30745" xr:uid="{00000000-0005-0000-0000-000008780000}"/>
    <cellStyle name="Normal 44 2" xfId="30746" xr:uid="{00000000-0005-0000-0000-000009780000}"/>
    <cellStyle name="Normal 44 2 2" xfId="30747" xr:uid="{00000000-0005-0000-0000-00000A780000}"/>
    <cellStyle name="Normal 44 20" xfId="30748" xr:uid="{00000000-0005-0000-0000-00000B780000}"/>
    <cellStyle name="Normal 44 21" xfId="30749" xr:uid="{00000000-0005-0000-0000-00000C780000}"/>
    <cellStyle name="Normal 44 22" xfId="30750" xr:uid="{00000000-0005-0000-0000-00000D780000}"/>
    <cellStyle name="Normal 44 23" xfId="30751" xr:uid="{00000000-0005-0000-0000-00000E780000}"/>
    <cellStyle name="Normal 44 24" xfId="30752" xr:uid="{00000000-0005-0000-0000-00000F780000}"/>
    <cellStyle name="Normal 44 25" xfId="30753" xr:uid="{00000000-0005-0000-0000-000010780000}"/>
    <cellStyle name="Normal 44 26" xfId="30754" xr:uid="{00000000-0005-0000-0000-000011780000}"/>
    <cellStyle name="Normal 44 3" xfId="30755" xr:uid="{00000000-0005-0000-0000-000012780000}"/>
    <cellStyle name="Normal 44 3 2" xfId="30756" xr:uid="{00000000-0005-0000-0000-000013780000}"/>
    <cellStyle name="Normal 44 4" xfId="30757" xr:uid="{00000000-0005-0000-0000-000014780000}"/>
    <cellStyle name="Normal 44 4 2" xfId="30758" xr:uid="{00000000-0005-0000-0000-000015780000}"/>
    <cellStyle name="Normal 44 5" xfId="30759" xr:uid="{00000000-0005-0000-0000-000016780000}"/>
    <cellStyle name="Normal 44 5 2" xfId="30760" xr:uid="{00000000-0005-0000-0000-000017780000}"/>
    <cellStyle name="Normal 44 6" xfId="30761" xr:uid="{00000000-0005-0000-0000-000018780000}"/>
    <cellStyle name="Normal 44 7" xfId="30762" xr:uid="{00000000-0005-0000-0000-000019780000}"/>
    <cellStyle name="Normal 44 8" xfId="30763" xr:uid="{00000000-0005-0000-0000-00001A780000}"/>
    <cellStyle name="Normal 44 9" xfId="30764" xr:uid="{00000000-0005-0000-0000-00001B780000}"/>
    <cellStyle name="Normal 45" xfId="30765" xr:uid="{00000000-0005-0000-0000-00001C780000}"/>
    <cellStyle name="Normal 46" xfId="30766" xr:uid="{00000000-0005-0000-0000-00001D780000}"/>
    <cellStyle name="Normal 47" xfId="30767" xr:uid="{00000000-0005-0000-0000-00001E780000}"/>
    <cellStyle name="Normal 48" xfId="30768" xr:uid="{00000000-0005-0000-0000-00001F780000}"/>
    <cellStyle name="Normal 49" xfId="30769" xr:uid="{00000000-0005-0000-0000-000020780000}"/>
    <cellStyle name="Normal 49 10" xfId="30770" xr:uid="{00000000-0005-0000-0000-000021780000}"/>
    <cellStyle name="Normal 49 11" xfId="30771" xr:uid="{00000000-0005-0000-0000-000022780000}"/>
    <cellStyle name="Normal 49 12" xfId="30772" xr:uid="{00000000-0005-0000-0000-000023780000}"/>
    <cellStyle name="Normal 49 13" xfId="30773" xr:uid="{00000000-0005-0000-0000-000024780000}"/>
    <cellStyle name="Normal 49 14" xfId="30774" xr:uid="{00000000-0005-0000-0000-000025780000}"/>
    <cellStyle name="Normal 49 15" xfId="30775" xr:uid="{00000000-0005-0000-0000-000026780000}"/>
    <cellStyle name="Normal 49 16" xfId="30776" xr:uid="{00000000-0005-0000-0000-000027780000}"/>
    <cellStyle name="Normal 49 17" xfId="30777" xr:uid="{00000000-0005-0000-0000-000028780000}"/>
    <cellStyle name="Normal 49 18" xfId="30778" xr:uid="{00000000-0005-0000-0000-000029780000}"/>
    <cellStyle name="Normal 49 19" xfId="30779" xr:uid="{00000000-0005-0000-0000-00002A780000}"/>
    <cellStyle name="Normal 49 2" xfId="30780" xr:uid="{00000000-0005-0000-0000-00002B780000}"/>
    <cellStyle name="Normal 49 2 2" xfId="30781" xr:uid="{00000000-0005-0000-0000-00002C780000}"/>
    <cellStyle name="Normal 49 20" xfId="30782" xr:uid="{00000000-0005-0000-0000-00002D780000}"/>
    <cellStyle name="Normal 49 21" xfId="30783" xr:uid="{00000000-0005-0000-0000-00002E780000}"/>
    <cellStyle name="Normal 49 22" xfId="30784" xr:uid="{00000000-0005-0000-0000-00002F780000}"/>
    <cellStyle name="Normal 49 23" xfId="30785" xr:uid="{00000000-0005-0000-0000-000030780000}"/>
    <cellStyle name="Normal 49 24" xfId="30786" xr:uid="{00000000-0005-0000-0000-000031780000}"/>
    <cellStyle name="Normal 49 25" xfId="30787" xr:uid="{00000000-0005-0000-0000-000032780000}"/>
    <cellStyle name="Normal 49 26" xfId="30788" xr:uid="{00000000-0005-0000-0000-000033780000}"/>
    <cellStyle name="Normal 49 3" xfId="30789" xr:uid="{00000000-0005-0000-0000-000034780000}"/>
    <cellStyle name="Normal 49 3 2" xfId="30790" xr:uid="{00000000-0005-0000-0000-000035780000}"/>
    <cellStyle name="Normal 49 4" xfId="30791" xr:uid="{00000000-0005-0000-0000-000036780000}"/>
    <cellStyle name="Normal 49 4 2" xfId="30792" xr:uid="{00000000-0005-0000-0000-000037780000}"/>
    <cellStyle name="Normal 49 5" xfId="30793" xr:uid="{00000000-0005-0000-0000-000038780000}"/>
    <cellStyle name="Normal 49 5 2" xfId="30794" xr:uid="{00000000-0005-0000-0000-000039780000}"/>
    <cellStyle name="Normal 49 6" xfId="30795" xr:uid="{00000000-0005-0000-0000-00003A780000}"/>
    <cellStyle name="Normal 49 7" xfId="30796" xr:uid="{00000000-0005-0000-0000-00003B780000}"/>
    <cellStyle name="Normal 49 8" xfId="30797" xr:uid="{00000000-0005-0000-0000-00003C780000}"/>
    <cellStyle name="Normal 49 9" xfId="30798" xr:uid="{00000000-0005-0000-0000-00003D780000}"/>
    <cellStyle name="Normal 5" xfId="24" xr:uid="{00000000-0005-0000-0000-00003E780000}"/>
    <cellStyle name="Normal 5 10" xfId="37" xr:uid="{00000000-0005-0000-0000-00003F780000}"/>
    <cellStyle name="Normal 5 10 10" xfId="30800" xr:uid="{00000000-0005-0000-0000-000040780000}"/>
    <cellStyle name="Normal 5 10 10 10" xfId="30801" xr:uid="{00000000-0005-0000-0000-000041780000}"/>
    <cellStyle name="Normal 5 10 10 11" xfId="30802" xr:uid="{00000000-0005-0000-0000-000042780000}"/>
    <cellStyle name="Normal 5 10 10 12" xfId="30803" xr:uid="{00000000-0005-0000-0000-000043780000}"/>
    <cellStyle name="Normal 5 10 10 13" xfId="30804" xr:uid="{00000000-0005-0000-0000-000044780000}"/>
    <cellStyle name="Normal 5 10 10 14" xfId="30805" xr:uid="{00000000-0005-0000-0000-000045780000}"/>
    <cellStyle name="Normal 5 10 10 2" xfId="30806" xr:uid="{00000000-0005-0000-0000-000046780000}"/>
    <cellStyle name="Normal 5 10 10 2 10" xfId="30807" xr:uid="{00000000-0005-0000-0000-000047780000}"/>
    <cellStyle name="Normal 5 10 10 2 2" xfId="30808" xr:uid="{00000000-0005-0000-0000-000048780000}"/>
    <cellStyle name="Normal 5 10 10 2 3" xfId="30809" xr:uid="{00000000-0005-0000-0000-000049780000}"/>
    <cellStyle name="Normal 5 10 10 2 4" xfId="30810" xr:uid="{00000000-0005-0000-0000-00004A780000}"/>
    <cellStyle name="Normal 5 10 10 2 5" xfId="30811" xr:uid="{00000000-0005-0000-0000-00004B780000}"/>
    <cellStyle name="Normal 5 10 10 2 6" xfId="30812" xr:uid="{00000000-0005-0000-0000-00004C780000}"/>
    <cellStyle name="Normal 5 10 10 2 7" xfId="30813" xr:uid="{00000000-0005-0000-0000-00004D780000}"/>
    <cellStyle name="Normal 5 10 10 2 8" xfId="30814" xr:uid="{00000000-0005-0000-0000-00004E780000}"/>
    <cellStyle name="Normal 5 10 10 2 9" xfId="30815" xr:uid="{00000000-0005-0000-0000-00004F780000}"/>
    <cellStyle name="Normal 5 10 10 3" xfId="30816" xr:uid="{00000000-0005-0000-0000-000050780000}"/>
    <cellStyle name="Normal 5 10 10 3 10" xfId="30817" xr:uid="{00000000-0005-0000-0000-000051780000}"/>
    <cellStyle name="Normal 5 10 10 3 2" xfId="30818" xr:uid="{00000000-0005-0000-0000-000052780000}"/>
    <cellStyle name="Normal 5 10 10 3 3" xfId="30819" xr:uid="{00000000-0005-0000-0000-000053780000}"/>
    <cellStyle name="Normal 5 10 10 3 4" xfId="30820" xr:uid="{00000000-0005-0000-0000-000054780000}"/>
    <cellStyle name="Normal 5 10 10 3 5" xfId="30821" xr:uid="{00000000-0005-0000-0000-000055780000}"/>
    <cellStyle name="Normal 5 10 10 3 6" xfId="30822" xr:uid="{00000000-0005-0000-0000-000056780000}"/>
    <cellStyle name="Normal 5 10 10 3 7" xfId="30823" xr:uid="{00000000-0005-0000-0000-000057780000}"/>
    <cellStyle name="Normal 5 10 10 3 8" xfId="30824" xr:uid="{00000000-0005-0000-0000-000058780000}"/>
    <cellStyle name="Normal 5 10 10 3 9" xfId="30825" xr:uid="{00000000-0005-0000-0000-000059780000}"/>
    <cellStyle name="Normal 5 10 10 4" xfId="30826" xr:uid="{00000000-0005-0000-0000-00005A780000}"/>
    <cellStyle name="Normal 5 10 10 4 10" xfId="30827" xr:uid="{00000000-0005-0000-0000-00005B780000}"/>
    <cellStyle name="Normal 5 10 10 4 2" xfId="30828" xr:uid="{00000000-0005-0000-0000-00005C780000}"/>
    <cellStyle name="Normal 5 10 10 4 3" xfId="30829" xr:uid="{00000000-0005-0000-0000-00005D780000}"/>
    <cellStyle name="Normal 5 10 10 4 4" xfId="30830" xr:uid="{00000000-0005-0000-0000-00005E780000}"/>
    <cellStyle name="Normal 5 10 10 4 5" xfId="30831" xr:uid="{00000000-0005-0000-0000-00005F780000}"/>
    <cellStyle name="Normal 5 10 10 4 6" xfId="30832" xr:uid="{00000000-0005-0000-0000-000060780000}"/>
    <cellStyle name="Normal 5 10 10 4 7" xfId="30833" xr:uid="{00000000-0005-0000-0000-000061780000}"/>
    <cellStyle name="Normal 5 10 10 4 8" xfId="30834" xr:uid="{00000000-0005-0000-0000-000062780000}"/>
    <cellStyle name="Normal 5 10 10 4 9" xfId="30835" xr:uid="{00000000-0005-0000-0000-000063780000}"/>
    <cellStyle name="Normal 5 10 10 5" xfId="30836" xr:uid="{00000000-0005-0000-0000-000064780000}"/>
    <cellStyle name="Normal 5 10 10 5 10" xfId="30837" xr:uid="{00000000-0005-0000-0000-000065780000}"/>
    <cellStyle name="Normal 5 10 10 5 2" xfId="30838" xr:uid="{00000000-0005-0000-0000-000066780000}"/>
    <cellStyle name="Normal 5 10 10 5 3" xfId="30839" xr:uid="{00000000-0005-0000-0000-000067780000}"/>
    <cellStyle name="Normal 5 10 10 5 4" xfId="30840" xr:uid="{00000000-0005-0000-0000-000068780000}"/>
    <cellStyle name="Normal 5 10 10 5 5" xfId="30841" xr:uid="{00000000-0005-0000-0000-000069780000}"/>
    <cellStyle name="Normal 5 10 10 5 6" xfId="30842" xr:uid="{00000000-0005-0000-0000-00006A780000}"/>
    <cellStyle name="Normal 5 10 10 5 7" xfId="30843" xr:uid="{00000000-0005-0000-0000-00006B780000}"/>
    <cellStyle name="Normal 5 10 10 5 8" xfId="30844" xr:uid="{00000000-0005-0000-0000-00006C780000}"/>
    <cellStyle name="Normal 5 10 10 5 9" xfId="30845" xr:uid="{00000000-0005-0000-0000-00006D780000}"/>
    <cellStyle name="Normal 5 10 10 6" xfId="30846" xr:uid="{00000000-0005-0000-0000-00006E780000}"/>
    <cellStyle name="Normal 5 10 10 7" xfId="30847" xr:uid="{00000000-0005-0000-0000-00006F780000}"/>
    <cellStyle name="Normal 5 10 10 8" xfId="30848" xr:uid="{00000000-0005-0000-0000-000070780000}"/>
    <cellStyle name="Normal 5 10 10 9" xfId="30849" xr:uid="{00000000-0005-0000-0000-000071780000}"/>
    <cellStyle name="Normal 5 10 11" xfId="30850" xr:uid="{00000000-0005-0000-0000-000072780000}"/>
    <cellStyle name="Normal 5 10 11 10" xfId="30851" xr:uid="{00000000-0005-0000-0000-000073780000}"/>
    <cellStyle name="Normal 5 10 11 11" xfId="30852" xr:uid="{00000000-0005-0000-0000-000074780000}"/>
    <cellStyle name="Normal 5 10 11 12" xfId="30853" xr:uid="{00000000-0005-0000-0000-000075780000}"/>
    <cellStyle name="Normal 5 10 11 13" xfId="30854" xr:uid="{00000000-0005-0000-0000-000076780000}"/>
    <cellStyle name="Normal 5 10 11 14" xfId="30855" xr:uid="{00000000-0005-0000-0000-000077780000}"/>
    <cellStyle name="Normal 5 10 11 2" xfId="30856" xr:uid="{00000000-0005-0000-0000-000078780000}"/>
    <cellStyle name="Normal 5 10 11 2 10" xfId="30857" xr:uid="{00000000-0005-0000-0000-000079780000}"/>
    <cellStyle name="Normal 5 10 11 2 2" xfId="30858" xr:uid="{00000000-0005-0000-0000-00007A780000}"/>
    <cellStyle name="Normal 5 10 11 2 3" xfId="30859" xr:uid="{00000000-0005-0000-0000-00007B780000}"/>
    <cellStyle name="Normal 5 10 11 2 4" xfId="30860" xr:uid="{00000000-0005-0000-0000-00007C780000}"/>
    <cellStyle name="Normal 5 10 11 2 5" xfId="30861" xr:uid="{00000000-0005-0000-0000-00007D780000}"/>
    <cellStyle name="Normal 5 10 11 2 6" xfId="30862" xr:uid="{00000000-0005-0000-0000-00007E780000}"/>
    <cellStyle name="Normal 5 10 11 2 7" xfId="30863" xr:uid="{00000000-0005-0000-0000-00007F780000}"/>
    <cellStyle name="Normal 5 10 11 2 8" xfId="30864" xr:uid="{00000000-0005-0000-0000-000080780000}"/>
    <cellStyle name="Normal 5 10 11 2 9" xfId="30865" xr:uid="{00000000-0005-0000-0000-000081780000}"/>
    <cellStyle name="Normal 5 10 11 3" xfId="30866" xr:uid="{00000000-0005-0000-0000-000082780000}"/>
    <cellStyle name="Normal 5 10 11 3 10" xfId="30867" xr:uid="{00000000-0005-0000-0000-000083780000}"/>
    <cellStyle name="Normal 5 10 11 3 2" xfId="30868" xr:uid="{00000000-0005-0000-0000-000084780000}"/>
    <cellStyle name="Normal 5 10 11 3 3" xfId="30869" xr:uid="{00000000-0005-0000-0000-000085780000}"/>
    <cellStyle name="Normal 5 10 11 3 4" xfId="30870" xr:uid="{00000000-0005-0000-0000-000086780000}"/>
    <cellStyle name="Normal 5 10 11 3 5" xfId="30871" xr:uid="{00000000-0005-0000-0000-000087780000}"/>
    <cellStyle name="Normal 5 10 11 3 6" xfId="30872" xr:uid="{00000000-0005-0000-0000-000088780000}"/>
    <cellStyle name="Normal 5 10 11 3 7" xfId="30873" xr:uid="{00000000-0005-0000-0000-000089780000}"/>
    <cellStyle name="Normal 5 10 11 3 8" xfId="30874" xr:uid="{00000000-0005-0000-0000-00008A780000}"/>
    <cellStyle name="Normal 5 10 11 3 9" xfId="30875" xr:uid="{00000000-0005-0000-0000-00008B780000}"/>
    <cellStyle name="Normal 5 10 11 4" xfId="30876" xr:uid="{00000000-0005-0000-0000-00008C780000}"/>
    <cellStyle name="Normal 5 10 11 4 10" xfId="30877" xr:uid="{00000000-0005-0000-0000-00008D780000}"/>
    <cellStyle name="Normal 5 10 11 4 2" xfId="30878" xr:uid="{00000000-0005-0000-0000-00008E780000}"/>
    <cellStyle name="Normal 5 10 11 4 3" xfId="30879" xr:uid="{00000000-0005-0000-0000-00008F780000}"/>
    <cellStyle name="Normal 5 10 11 4 4" xfId="30880" xr:uid="{00000000-0005-0000-0000-000090780000}"/>
    <cellStyle name="Normal 5 10 11 4 5" xfId="30881" xr:uid="{00000000-0005-0000-0000-000091780000}"/>
    <cellStyle name="Normal 5 10 11 4 6" xfId="30882" xr:uid="{00000000-0005-0000-0000-000092780000}"/>
    <cellStyle name="Normal 5 10 11 4 7" xfId="30883" xr:uid="{00000000-0005-0000-0000-000093780000}"/>
    <cellStyle name="Normal 5 10 11 4 8" xfId="30884" xr:uid="{00000000-0005-0000-0000-000094780000}"/>
    <cellStyle name="Normal 5 10 11 4 9" xfId="30885" xr:uid="{00000000-0005-0000-0000-000095780000}"/>
    <cellStyle name="Normal 5 10 11 5" xfId="30886" xr:uid="{00000000-0005-0000-0000-000096780000}"/>
    <cellStyle name="Normal 5 10 11 5 10" xfId="30887" xr:uid="{00000000-0005-0000-0000-000097780000}"/>
    <cellStyle name="Normal 5 10 11 5 2" xfId="30888" xr:uid="{00000000-0005-0000-0000-000098780000}"/>
    <cellStyle name="Normal 5 10 11 5 3" xfId="30889" xr:uid="{00000000-0005-0000-0000-000099780000}"/>
    <cellStyle name="Normal 5 10 11 5 4" xfId="30890" xr:uid="{00000000-0005-0000-0000-00009A780000}"/>
    <cellStyle name="Normal 5 10 11 5 5" xfId="30891" xr:uid="{00000000-0005-0000-0000-00009B780000}"/>
    <cellStyle name="Normal 5 10 11 5 6" xfId="30892" xr:uid="{00000000-0005-0000-0000-00009C780000}"/>
    <cellStyle name="Normal 5 10 11 5 7" xfId="30893" xr:uid="{00000000-0005-0000-0000-00009D780000}"/>
    <cellStyle name="Normal 5 10 11 5 8" xfId="30894" xr:uid="{00000000-0005-0000-0000-00009E780000}"/>
    <cellStyle name="Normal 5 10 11 5 9" xfId="30895" xr:uid="{00000000-0005-0000-0000-00009F780000}"/>
    <cellStyle name="Normal 5 10 11 6" xfId="30896" xr:uid="{00000000-0005-0000-0000-0000A0780000}"/>
    <cellStyle name="Normal 5 10 11 7" xfId="30897" xr:uid="{00000000-0005-0000-0000-0000A1780000}"/>
    <cellStyle name="Normal 5 10 11 8" xfId="30898" xr:uid="{00000000-0005-0000-0000-0000A2780000}"/>
    <cellStyle name="Normal 5 10 11 9" xfId="30899" xr:uid="{00000000-0005-0000-0000-0000A3780000}"/>
    <cellStyle name="Normal 5 10 12" xfId="30900" xr:uid="{00000000-0005-0000-0000-0000A4780000}"/>
    <cellStyle name="Normal 5 10 12 10" xfId="30901" xr:uid="{00000000-0005-0000-0000-0000A5780000}"/>
    <cellStyle name="Normal 5 10 12 11" xfId="30902" xr:uid="{00000000-0005-0000-0000-0000A6780000}"/>
    <cellStyle name="Normal 5 10 12 12" xfId="30903" xr:uid="{00000000-0005-0000-0000-0000A7780000}"/>
    <cellStyle name="Normal 5 10 12 13" xfId="30904" xr:uid="{00000000-0005-0000-0000-0000A8780000}"/>
    <cellStyle name="Normal 5 10 12 14" xfId="30905" xr:uid="{00000000-0005-0000-0000-0000A9780000}"/>
    <cellStyle name="Normal 5 10 12 2" xfId="30906" xr:uid="{00000000-0005-0000-0000-0000AA780000}"/>
    <cellStyle name="Normal 5 10 12 2 10" xfId="30907" xr:uid="{00000000-0005-0000-0000-0000AB780000}"/>
    <cellStyle name="Normal 5 10 12 2 2" xfId="30908" xr:uid="{00000000-0005-0000-0000-0000AC780000}"/>
    <cellStyle name="Normal 5 10 12 2 3" xfId="30909" xr:uid="{00000000-0005-0000-0000-0000AD780000}"/>
    <cellStyle name="Normal 5 10 12 2 4" xfId="30910" xr:uid="{00000000-0005-0000-0000-0000AE780000}"/>
    <cellStyle name="Normal 5 10 12 2 5" xfId="30911" xr:uid="{00000000-0005-0000-0000-0000AF780000}"/>
    <cellStyle name="Normal 5 10 12 2 6" xfId="30912" xr:uid="{00000000-0005-0000-0000-0000B0780000}"/>
    <cellStyle name="Normal 5 10 12 2 7" xfId="30913" xr:uid="{00000000-0005-0000-0000-0000B1780000}"/>
    <cellStyle name="Normal 5 10 12 2 8" xfId="30914" xr:uid="{00000000-0005-0000-0000-0000B2780000}"/>
    <cellStyle name="Normal 5 10 12 2 9" xfId="30915" xr:uid="{00000000-0005-0000-0000-0000B3780000}"/>
    <cellStyle name="Normal 5 10 12 3" xfId="30916" xr:uid="{00000000-0005-0000-0000-0000B4780000}"/>
    <cellStyle name="Normal 5 10 12 3 10" xfId="30917" xr:uid="{00000000-0005-0000-0000-0000B5780000}"/>
    <cellStyle name="Normal 5 10 12 3 2" xfId="30918" xr:uid="{00000000-0005-0000-0000-0000B6780000}"/>
    <cellStyle name="Normal 5 10 12 3 3" xfId="30919" xr:uid="{00000000-0005-0000-0000-0000B7780000}"/>
    <cellStyle name="Normal 5 10 12 3 4" xfId="30920" xr:uid="{00000000-0005-0000-0000-0000B8780000}"/>
    <cellStyle name="Normal 5 10 12 3 5" xfId="30921" xr:uid="{00000000-0005-0000-0000-0000B9780000}"/>
    <cellStyle name="Normal 5 10 12 3 6" xfId="30922" xr:uid="{00000000-0005-0000-0000-0000BA780000}"/>
    <cellStyle name="Normal 5 10 12 3 7" xfId="30923" xr:uid="{00000000-0005-0000-0000-0000BB780000}"/>
    <cellStyle name="Normal 5 10 12 3 8" xfId="30924" xr:uid="{00000000-0005-0000-0000-0000BC780000}"/>
    <cellStyle name="Normal 5 10 12 3 9" xfId="30925" xr:uid="{00000000-0005-0000-0000-0000BD780000}"/>
    <cellStyle name="Normal 5 10 12 4" xfId="30926" xr:uid="{00000000-0005-0000-0000-0000BE780000}"/>
    <cellStyle name="Normal 5 10 12 4 10" xfId="30927" xr:uid="{00000000-0005-0000-0000-0000BF780000}"/>
    <cellStyle name="Normal 5 10 12 4 2" xfId="30928" xr:uid="{00000000-0005-0000-0000-0000C0780000}"/>
    <cellStyle name="Normal 5 10 12 4 3" xfId="30929" xr:uid="{00000000-0005-0000-0000-0000C1780000}"/>
    <cellStyle name="Normal 5 10 12 4 4" xfId="30930" xr:uid="{00000000-0005-0000-0000-0000C2780000}"/>
    <cellStyle name="Normal 5 10 12 4 5" xfId="30931" xr:uid="{00000000-0005-0000-0000-0000C3780000}"/>
    <cellStyle name="Normal 5 10 12 4 6" xfId="30932" xr:uid="{00000000-0005-0000-0000-0000C4780000}"/>
    <cellStyle name="Normal 5 10 12 4 7" xfId="30933" xr:uid="{00000000-0005-0000-0000-0000C5780000}"/>
    <cellStyle name="Normal 5 10 12 4 8" xfId="30934" xr:uid="{00000000-0005-0000-0000-0000C6780000}"/>
    <cellStyle name="Normal 5 10 12 4 9" xfId="30935" xr:uid="{00000000-0005-0000-0000-0000C7780000}"/>
    <cellStyle name="Normal 5 10 12 5" xfId="30936" xr:uid="{00000000-0005-0000-0000-0000C8780000}"/>
    <cellStyle name="Normal 5 10 12 5 10" xfId="30937" xr:uid="{00000000-0005-0000-0000-0000C9780000}"/>
    <cellStyle name="Normal 5 10 12 5 2" xfId="30938" xr:uid="{00000000-0005-0000-0000-0000CA780000}"/>
    <cellStyle name="Normal 5 10 12 5 3" xfId="30939" xr:uid="{00000000-0005-0000-0000-0000CB780000}"/>
    <cellStyle name="Normal 5 10 12 5 4" xfId="30940" xr:uid="{00000000-0005-0000-0000-0000CC780000}"/>
    <cellStyle name="Normal 5 10 12 5 5" xfId="30941" xr:uid="{00000000-0005-0000-0000-0000CD780000}"/>
    <cellStyle name="Normal 5 10 12 5 6" xfId="30942" xr:uid="{00000000-0005-0000-0000-0000CE780000}"/>
    <cellStyle name="Normal 5 10 12 5 7" xfId="30943" xr:uid="{00000000-0005-0000-0000-0000CF780000}"/>
    <cellStyle name="Normal 5 10 12 5 8" xfId="30944" xr:uid="{00000000-0005-0000-0000-0000D0780000}"/>
    <cellStyle name="Normal 5 10 12 5 9" xfId="30945" xr:uid="{00000000-0005-0000-0000-0000D1780000}"/>
    <cellStyle name="Normal 5 10 12 6" xfId="30946" xr:uid="{00000000-0005-0000-0000-0000D2780000}"/>
    <cellStyle name="Normal 5 10 12 7" xfId="30947" xr:uid="{00000000-0005-0000-0000-0000D3780000}"/>
    <cellStyle name="Normal 5 10 12 8" xfId="30948" xr:uid="{00000000-0005-0000-0000-0000D4780000}"/>
    <cellStyle name="Normal 5 10 12 9" xfId="30949" xr:uid="{00000000-0005-0000-0000-0000D5780000}"/>
    <cellStyle name="Normal 5 10 13" xfId="30950" xr:uid="{00000000-0005-0000-0000-0000D6780000}"/>
    <cellStyle name="Normal 5 10 13 10" xfId="30951" xr:uid="{00000000-0005-0000-0000-0000D7780000}"/>
    <cellStyle name="Normal 5 10 13 11" xfId="30952" xr:uid="{00000000-0005-0000-0000-0000D8780000}"/>
    <cellStyle name="Normal 5 10 13 12" xfId="30953" xr:uid="{00000000-0005-0000-0000-0000D9780000}"/>
    <cellStyle name="Normal 5 10 13 13" xfId="30954" xr:uid="{00000000-0005-0000-0000-0000DA780000}"/>
    <cellStyle name="Normal 5 10 13 14" xfId="30955" xr:uid="{00000000-0005-0000-0000-0000DB780000}"/>
    <cellStyle name="Normal 5 10 13 2" xfId="30956" xr:uid="{00000000-0005-0000-0000-0000DC780000}"/>
    <cellStyle name="Normal 5 10 13 2 10" xfId="30957" xr:uid="{00000000-0005-0000-0000-0000DD780000}"/>
    <cellStyle name="Normal 5 10 13 2 2" xfId="30958" xr:uid="{00000000-0005-0000-0000-0000DE780000}"/>
    <cellStyle name="Normal 5 10 13 2 3" xfId="30959" xr:uid="{00000000-0005-0000-0000-0000DF780000}"/>
    <cellStyle name="Normal 5 10 13 2 4" xfId="30960" xr:uid="{00000000-0005-0000-0000-0000E0780000}"/>
    <cellStyle name="Normal 5 10 13 2 5" xfId="30961" xr:uid="{00000000-0005-0000-0000-0000E1780000}"/>
    <cellStyle name="Normal 5 10 13 2 6" xfId="30962" xr:uid="{00000000-0005-0000-0000-0000E2780000}"/>
    <cellStyle name="Normal 5 10 13 2 7" xfId="30963" xr:uid="{00000000-0005-0000-0000-0000E3780000}"/>
    <cellStyle name="Normal 5 10 13 2 8" xfId="30964" xr:uid="{00000000-0005-0000-0000-0000E4780000}"/>
    <cellStyle name="Normal 5 10 13 2 9" xfId="30965" xr:uid="{00000000-0005-0000-0000-0000E5780000}"/>
    <cellStyle name="Normal 5 10 13 3" xfId="30966" xr:uid="{00000000-0005-0000-0000-0000E6780000}"/>
    <cellStyle name="Normal 5 10 13 3 10" xfId="30967" xr:uid="{00000000-0005-0000-0000-0000E7780000}"/>
    <cellStyle name="Normal 5 10 13 3 2" xfId="30968" xr:uid="{00000000-0005-0000-0000-0000E8780000}"/>
    <cellStyle name="Normal 5 10 13 3 3" xfId="30969" xr:uid="{00000000-0005-0000-0000-0000E9780000}"/>
    <cellStyle name="Normal 5 10 13 3 4" xfId="30970" xr:uid="{00000000-0005-0000-0000-0000EA780000}"/>
    <cellStyle name="Normal 5 10 13 3 5" xfId="30971" xr:uid="{00000000-0005-0000-0000-0000EB780000}"/>
    <cellStyle name="Normal 5 10 13 3 6" xfId="30972" xr:uid="{00000000-0005-0000-0000-0000EC780000}"/>
    <cellStyle name="Normal 5 10 13 3 7" xfId="30973" xr:uid="{00000000-0005-0000-0000-0000ED780000}"/>
    <cellStyle name="Normal 5 10 13 3 8" xfId="30974" xr:uid="{00000000-0005-0000-0000-0000EE780000}"/>
    <cellStyle name="Normal 5 10 13 3 9" xfId="30975" xr:uid="{00000000-0005-0000-0000-0000EF780000}"/>
    <cellStyle name="Normal 5 10 13 4" xfId="30976" xr:uid="{00000000-0005-0000-0000-0000F0780000}"/>
    <cellStyle name="Normal 5 10 13 4 10" xfId="30977" xr:uid="{00000000-0005-0000-0000-0000F1780000}"/>
    <cellStyle name="Normal 5 10 13 4 2" xfId="30978" xr:uid="{00000000-0005-0000-0000-0000F2780000}"/>
    <cellStyle name="Normal 5 10 13 4 3" xfId="30979" xr:uid="{00000000-0005-0000-0000-0000F3780000}"/>
    <cellStyle name="Normal 5 10 13 4 4" xfId="30980" xr:uid="{00000000-0005-0000-0000-0000F4780000}"/>
    <cellStyle name="Normal 5 10 13 4 5" xfId="30981" xr:uid="{00000000-0005-0000-0000-0000F5780000}"/>
    <cellStyle name="Normal 5 10 13 4 6" xfId="30982" xr:uid="{00000000-0005-0000-0000-0000F6780000}"/>
    <cellStyle name="Normal 5 10 13 4 7" xfId="30983" xr:uid="{00000000-0005-0000-0000-0000F7780000}"/>
    <cellStyle name="Normal 5 10 13 4 8" xfId="30984" xr:uid="{00000000-0005-0000-0000-0000F8780000}"/>
    <cellStyle name="Normal 5 10 13 4 9" xfId="30985" xr:uid="{00000000-0005-0000-0000-0000F9780000}"/>
    <cellStyle name="Normal 5 10 13 5" xfId="30986" xr:uid="{00000000-0005-0000-0000-0000FA780000}"/>
    <cellStyle name="Normal 5 10 13 5 10" xfId="30987" xr:uid="{00000000-0005-0000-0000-0000FB780000}"/>
    <cellStyle name="Normal 5 10 13 5 2" xfId="30988" xr:uid="{00000000-0005-0000-0000-0000FC780000}"/>
    <cellStyle name="Normal 5 10 13 5 3" xfId="30989" xr:uid="{00000000-0005-0000-0000-0000FD780000}"/>
    <cellStyle name="Normal 5 10 13 5 4" xfId="30990" xr:uid="{00000000-0005-0000-0000-0000FE780000}"/>
    <cellStyle name="Normal 5 10 13 5 5" xfId="30991" xr:uid="{00000000-0005-0000-0000-0000FF780000}"/>
    <cellStyle name="Normal 5 10 13 5 6" xfId="30992" xr:uid="{00000000-0005-0000-0000-000000790000}"/>
    <cellStyle name="Normal 5 10 13 5 7" xfId="30993" xr:uid="{00000000-0005-0000-0000-000001790000}"/>
    <cellStyle name="Normal 5 10 13 5 8" xfId="30994" xr:uid="{00000000-0005-0000-0000-000002790000}"/>
    <cellStyle name="Normal 5 10 13 5 9" xfId="30995" xr:uid="{00000000-0005-0000-0000-000003790000}"/>
    <cellStyle name="Normal 5 10 13 6" xfId="30996" xr:uid="{00000000-0005-0000-0000-000004790000}"/>
    <cellStyle name="Normal 5 10 13 7" xfId="30997" xr:uid="{00000000-0005-0000-0000-000005790000}"/>
    <cellStyle name="Normal 5 10 13 8" xfId="30998" xr:uid="{00000000-0005-0000-0000-000006790000}"/>
    <cellStyle name="Normal 5 10 13 9" xfId="30999" xr:uid="{00000000-0005-0000-0000-000007790000}"/>
    <cellStyle name="Normal 5 10 14" xfId="31000" xr:uid="{00000000-0005-0000-0000-000008790000}"/>
    <cellStyle name="Normal 5 10 14 10" xfId="31001" xr:uid="{00000000-0005-0000-0000-000009790000}"/>
    <cellStyle name="Normal 5 10 14 11" xfId="31002" xr:uid="{00000000-0005-0000-0000-00000A790000}"/>
    <cellStyle name="Normal 5 10 14 12" xfId="31003" xr:uid="{00000000-0005-0000-0000-00000B790000}"/>
    <cellStyle name="Normal 5 10 14 13" xfId="31004" xr:uid="{00000000-0005-0000-0000-00000C790000}"/>
    <cellStyle name="Normal 5 10 14 14" xfId="31005" xr:uid="{00000000-0005-0000-0000-00000D790000}"/>
    <cellStyle name="Normal 5 10 14 2" xfId="31006" xr:uid="{00000000-0005-0000-0000-00000E790000}"/>
    <cellStyle name="Normal 5 10 14 2 10" xfId="31007" xr:uid="{00000000-0005-0000-0000-00000F790000}"/>
    <cellStyle name="Normal 5 10 14 2 2" xfId="31008" xr:uid="{00000000-0005-0000-0000-000010790000}"/>
    <cellStyle name="Normal 5 10 14 2 3" xfId="31009" xr:uid="{00000000-0005-0000-0000-000011790000}"/>
    <cellStyle name="Normal 5 10 14 2 4" xfId="31010" xr:uid="{00000000-0005-0000-0000-000012790000}"/>
    <cellStyle name="Normal 5 10 14 2 5" xfId="31011" xr:uid="{00000000-0005-0000-0000-000013790000}"/>
    <cellStyle name="Normal 5 10 14 2 6" xfId="31012" xr:uid="{00000000-0005-0000-0000-000014790000}"/>
    <cellStyle name="Normal 5 10 14 2 7" xfId="31013" xr:uid="{00000000-0005-0000-0000-000015790000}"/>
    <cellStyle name="Normal 5 10 14 2 8" xfId="31014" xr:uid="{00000000-0005-0000-0000-000016790000}"/>
    <cellStyle name="Normal 5 10 14 2 9" xfId="31015" xr:uid="{00000000-0005-0000-0000-000017790000}"/>
    <cellStyle name="Normal 5 10 14 3" xfId="31016" xr:uid="{00000000-0005-0000-0000-000018790000}"/>
    <cellStyle name="Normal 5 10 14 3 10" xfId="31017" xr:uid="{00000000-0005-0000-0000-000019790000}"/>
    <cellStyle name="Normal 5 10 14 3 2" xfId="31018" xr:uid="{00000000-0005-0000-0000-00001A790000}"/>
    <cellStyle name="Normal 5 10 14 3 3" xfId="31019" xr:uid="{00000000-0005-0000-0000-00001B790000}"/>
    <cellStyle name="Normal 5 10 14 3 4" xfId="31020" xr:uid="{00000000-0005-0000-0000-00001C790000}"/>
    <cellStyle name="Normal 5 10 14 3 5" xfId="31021" xr:uid="{00000000-0005-0000-0000-00001D790000}"/>
    <cellStyle name="Normal 5 10 14 3 6" xfId="31022" xr:uid="{00000000-0005-0000-0000-00001E790000}"/>
    <cellStyle name="Normal 5 10 14 3 7" xfId="31023" xr:uid="{00000000-0005-0000-0000-00001F790000}"/>
    <cellStyle name="Normal 5 10 14 3 8" xfId="31024" xr:uid="{00000000-0005-0000-0000-000020790000}"/>
    <cellStyle name="Normal 5 10 14 3 9" xfId="31025" xr:uid="{00000000-0005-0000-0000-000021790000}"/>
    <cellStyle name="Normal 5 10 14 4" xfId="31026" xr:uid="{00000000-0005-0000-0000-000022790000}"/>
    <cellStyle name="Normal 5 10 14 4 10" xfId="31027" xr:uid="{00000000-0005-0000-0000-000023790000}"/>
    <cellStyle name="Normal 5 10 14 4 2" xfId="31028" xr:uid="{00000000-0005-0000-0000-000024790000}"/>
    <cellStyle name="Normal 5 10 14 4 3" xfId="31029" xr:uid="{00000000-0005-0000-0000-000025790000}"/>
    <cellStyle name="Normal 5 10 14 4 4" xfId="31030" xr:uid="{00000000-0005-0000-0000-000026790000}"/>
    <cellStyle name="Normal 5 10 14 4 5" xfId="31031" xr:uid="{00000000-0005-0000-0000-000027790000}"/>
    <cellStyle name="Normal 5 10 14 4 6" xfId="31032" xr:uid="{00000000-0005-0000-0000-000028790000}"/>
    <cellStyle name="Normal 5 10 14 4 7" xfId="31033" xr:uid="{00000000-0005-0000-0000-000029790000}"/>
    <cellStyle name="Normal 5 10 14 4 8" xfId="31034" xr:uid="{00000000-0005-0000-0000-00002A790000}"/>
    <cellStyle name="Normal 5 10 14 4 9" xfId="31035" xr:uid="{00000000-0005-0000-0000-00002B790000}"/>
    <cellStyle name="Normal 5 10 14 5" xfId="31036" xr:uid="{00000000-0005-0000-0000-00002C790000}"/>
    <cellStyle name="Normal 5 10 14 5 10" xfId="31037" xr:uid="{00000000-0005-0000-0000-00002D790000}"/>
    <cellStyle name="Normal 5 10 14 5 2" xfId="31038" xr:uid="{00000000-0005-0000-0000-00002E790000}"/>
    <cellStyle name="Normal 5 10 14 5 3" xfId="31039" xr:uid="{00000000-0005-0000-0000-00002F790000}"/>
    <cellStyle name="Normal 5 10 14 5 4" xfId="31040" xr:uid="{00000000-0005-0000-0000-000030790000}"/>
    <cellStyle name="Normal 5 10 14 5 5" xfId="31041" xr:uid="{00000000-0005-0000-0000-000031790000}"/>
    <cellStyle name="Normal 5 10 14 5 6" xfId="31042" xr:uid="{00000000-0005-0000-0000-000032790000}"/>
    <cellStyle name="Normal 5 10 14 5 7" xfId="31043" xr:uid="{00000000-0005-0000-0000-000033790000}"/>
    <cellStyle name="Normal 5 10 14 5 8" xfId="31044" xr:uid="{00000000-0005-0000-0000-000034790000}"/>
    <cellStyle name="Normal 5 10 14 5 9" xfId="31045" xr:uid="{00000000-0005-0000-0000-000035790000}"/>
    <cellStyle name="Normal 5 10 14 6" xfId="31046" xr:uid="{00000000-0005-0000-0000-000036790000}"/>
    <cellStyle name="Normal 5 10 14 7" xfId="31047" xr:uid="{00000000-0005-0000-0000-000037790000}"/>
    <cellStyle name="Normal 5 10 14 8" xfId="31048" xr:uid="{00000000-0005-0000-0000-000038790000}"/>
    <cellStyle name="Normal 5 10 14 9" xfId="31049" xr:uid="{00000000-0005-0000-0000-000039790000}"/>
    <cellStyle name="Normal 5 10 15" xfId="31050" xr:uid="{00000000-0005-0000-0000-00003A790000}"/>
    <cellStyle name="Normal 5 10 15 10" xfId="31051" xr:uid="{00000000-0005-0000-0000-00003B790000}"/>
    <cellStyle name="Normal 5 10 15 11" xfId="31052" xr:uid="{00000000-0005-0000-0000-00003C790000}"/>
    <cellStyle name="Normal 5 10 15 12" xfId="31053" xr:uid="{00000000-0005-0000-0000-00003D790000}"/>
    <cellStyle name="Normal 5 10 15 13" xfId="31054" xr:uid="{00000000-0005-0000-0000-00003E790000}"/>
    <cellStyle name="Normal 5 10 15 14" xfId="31055" xr:uid="{00000000-0005-0000-0000-00003F790000}"/>
    <cellStyle name="Normal 5 10 15 2" xfId="31056" xr:uid="{00000000-0005-0000-0000-000040790000}"/>
    <cellStyle name="Normal 5 10 15 2 10" xfId="31057" xr:uid="{00000000-0005-0000-0000-000041790000}"/>
    <cellStyle name="Normal 5 10 15 2 2" xfId="31058" xr:uid="{00000000-0005-0000-0000-000042790000}"/>
    <cellStyle name="Normal 5 10 15 2 3" xfId="31059" xr:uid="{00000000-0005-0000-0000-000043790000}"/>
    <cellStyle name="Normal 5 10 15 2 4" xfId="31060" xr:uid="{00000000-0005-0000-0000-000044790000}"/>
    <cellStyle name="Normal 5 10 15 2 5" xfId="31061" xr:uid="{00000000-0005-0000-0000-000045790000}"/>
    <cellStyle name="Normal 5 10 15 2 6" xfId="31062" xr:uid="{00000000-0005-0000-0000-000046790000}"/>
    <cellStyle name="Normal 5 10 15 2 7" xfId="31063" xr:uid="{00000000-0005-0000-0000-000047790000}"/>
    <cellStyle name="Normal 5 10 15 2 8" xfId="31064" xr:uid="{00000000-0005-0000-0000-000048790000}"/>
    <cellStyle name="Normal 5 10 15 2 9" xfId="31065" xr:uid="{00000000-0005-0000-0000-000049790000}"/>
    <cellStyle name="Normal 5 10 15 3" xfId="31066" xr:uid="{00000000-0005-0000-0000-00004A790000}"/>
    <cellStyle name="Normal 5 10 15 3 10" xfId="31067" xr:uid="{00000000-0005-0000-0000-00004B790000}"/>
    <cellStyle name="Normal 5 10 15 3 2" xfId="31068" xr:uid="{00000000-0005-0000-0000-00004C790000}"/>
    <cellStyle name="Normal 5 10 15 3 3" xfId="31069" xr:uid="{00000000-0005-0000-0000-00004D790000}"/>
    <cellStyle name="Normal 5 10 15 3 4" xfId="31070" xr:uid="{00000000-0005-0000-0000-00004E790000}"/>
    <cellStyle name="Normal 5 10 15 3 5" xfId="31071" xr:uid="{00000000-0005-0000-0000-00004F790000}"/>
    <cellStyle name="Normal 5 10 15 3 6" xfId="31072" xr:uid="{00000000-0005-0000-0000-000050790000}"/>
    <cellStyle name="Normal 5 10 15 3 7" xfId="31073" xr:uid="{00000000-0005-0000-0000-000051790000}"/>
    <cellStyle name="Normal 5 10 15 3 8" xfId="31074" xr:uid="{00000000-0005-0000-0000-000052790000}"/>
    <cellStyle name="Normal 5 10 15 3 9" xfId="31075" xr:uid="{00000000-0005-0000-0000-000053790000}"/>
    <cellStyle name="Normal 5 10 15 4" xfId="31076" xr:uid="{00000000-0005-0000-0000-000054790000}"/>
    <cellStyle name="Normal 5 10 15 4 10" xfId="31077" xr:uid="{00000000-0005-0000-0000-000055790000}"/>
    <cellStyle name="Normal 5 10 15 4 2" xfId="31078" xr:uid="{00000000-0005-0000-0000-000056790000}"/>
    <cellStyle name="Normal 5 10 15 4 3" xfId="31079" xr:uid="{00000000-0005-0000-0000-000057790000}"/>
    <cellStyle name="Normal 5 10 15 4 4" xfId="31080" xr:uid="{00000000-0005-0000-0000-000058790000}"/>
    <cellStyle name="Normal 5 10 15 4 5" xfId="31081" xr:uid="{00000000-0005-0000-0000-000059790000}"/>
    <cellStyle name="Normal 5 10 15 4 6" xfId="31082" xr:uid="{00000000-0005-0000-0000-00005A790000}"/>
    <cellStyle name="Normal 5 10 15 4 7" xfId="31083" xr:uid="{00000000-0005-0000-0000-00005B790000}"/>
    <cellStyle name="Normal 5 10 15 4 8" xfId="31084" xr:uid="{00000000-0005-0000-0000-00005C790000}"/>
    <cellStyle name="Normal 5 10 15 4 9" xfId="31085" xr:uid="{00000000-0005-0000-0000-00005D790000}"/>
    <cellStyle name="Normal 5 10 15 5" xfId="31086" xr:uid="{00000000-0005-0000-0000-00005E790000}"/>
    <cellStyle name="Normal 5 10 15 5 10" xfId="31087" xr:uid="{00000000-0005-0000-0000-00005F790000}"/>
    <cellStyle name="Normal 5 10 15 5 2" xfId="31088" xr:uid="{00000000-0005-0000-0000-000060790000}"/>
    <cellStyle name="Normal 5 10 15 5 3" xfId="31089" xr:uid="{00000000-0005-0000-0000-000061790000}"/>
    <cellStyle name="Normal 5 10 15 5 4" xfId="31090" xr:uid="{00000000-0005-0000-0000-000062790000}"/>
    <cellStyle name="Normal 5 10 15 5 5" xfId="31091" xr:uid="{00000000-0005-0000-0000-000063790000}"/>
    <cellStyle name="Normal 5 10 15 5 6" xfId="31092" xr:uid="{00000000-0005-0000-0000-000064790000}"/>
    <cellStyle name="Normal 5 10 15 5 7" xfId="31093" xr:uid="{00000000-0005-0000-0000-000065790000}"/>
    <cellStyle name="Normal 5 10 15 5 8" xfId="31094" xr:uid="{00000000-0005-0000-0000-000066790000}"/>
    <cellStyle name="Normal 5 10 15 5 9" xfId="31095" xr:uid="{00000000-0005-0000-0000-000067790000}"/>
    <cellStyle name="Normal 5 10 15 6" xfId="31096" xr:uid="{00000000-0005-0000-0000-000068790000}"/>
    <cellStyle name="Normal 5 10 15 7" xfId="31097" xr:uid="{00000000-0005-0000-0000-000069790000}"/>
    <cellStyle name="Normal 5 10 15 8" xfId="31098" xr:uid="{00000000-0005-0000-0000-00006A790000}"/>
    <cellStyle name="Normal 5 10 15 9" xfId="31099" xr:uid="{00000000-0005-0000-0000-00006B790000}"/>
    <cellStyle name="Normal 5 10 16" xfId="31100" xr:uid="{00000000-0005-0000-0000-00006C790000}"/>
    <cellStyle name="Normal 5 10 16 10" xfId="31101" xr:uid="{00000000-0005-0000-0000-00006D790000}"/>
    <cellStyle name="Normal 5 10 16 11" xfId="31102" xr:uid="{00000000-0005-0000-0000-00006E790000}"/>
    <cellStyle name="Normal 5 10 16 12" xfId="31103" xr:uid="{00000000-0005-0000-0000-00006F790000}"/>
    <cellStyle name="Normal 5 10 16 13" xfId="31104" xr:uid="{00000000-0005-0000-0000-000070790000}"/>
    <cellStyle name="Normal 5 10 16 14" xfId="31105" xr:uid="{00000000-0005-0000-0000-000071790000}"/>
    <cellStyle name="Normal 5 10 16 2" xfId="31106" xr:uid="{00000000-0005-0000-0000-000072790000}"/>
    <cellStyle name="Normal 5 10 16 2 10" xfId="31107" xr:uid="{00000000-0005-0000-0000-000073790000}"/>
    <cellStyle name="Normal 5 10 16 2 2" xfId="31108" xr:uid="{00000000-0005-0000-0000-000074790000}"/>
    <cellStyle name="Normal 5 10 16 2 3" xfId="31109" xr:uid="{00000000-0005-0000-0000-000075790000}"/>
    <cellStyle name="Normal 5 10 16 2 4" xfId="31110" xr:uid="{00000000-0005-0000-0000-000076790000}"/>
    <cellStyle name="Normal 5 10 16 2 5" xfId="31111" xr:uid="{00000000-0005-0000-0000-000077790000}"/>
    <cellStyle name="Normal 5 10 16 2 6" xfId="31112" xr:uid="{00000000-0005-0000-0000-000078790000}"/>
    <cellStyle name="Normal 5 10 16 2 7" xfId="31113" xr:uid="{00000000-0005-0000-0000-000079790000}"/>
    <cellStyle name="Normal 5 10 16 2 8" xfId="31114" xr:uid="{00000000-0005-0000-0000-00007A790000}"/>
    <cellStyle name="Normal 5 10 16 2 9" xfId="31115" xr:uid="{00000000-0005-0000-0000-00007B790000}"/>
    <cellStyle name="Normal 5 10 16 3" xfId="31116" xr:uid="{00000000-0005-0000-0000-00007C790000}"/>
    <cellStyle name="Normal 5 10 16 3 10" xfId="31117" xr:uid="{00000000-0005-0000-0000-00007D790000}"/>
    <cellStyle name="Normal 5 10 16 3 2" xfId="31118" xr:uid="{00000000-0005-0000-0000-00007E790000}"/>
    <cellStyle name="Normal 5 10 16 3 3" xfId="31119" xr:uid="{00000000-0005-0000-0000-00007F790000}"/>
    <cellStyle name="Normal 5 10 16 3 4" xfId="31120" xr:uid="{00000000-0005-0000-0000-000080790000}"/>
    <cellStyle name="Normal 5 10 16 3 5" xfId="31121" xr:uid="{00000000-0005-0000-0000-000081790000}"/>
    <cellStyle name="Normal 5 10 16 3 6" xfId="31122" xr:uid="{00000000-0005-0000-0000-000082790000}"/>
    <cellStyle name="Normal 5 10 16 3 7" xfId="31123" xr:uid="{00000000-0005-0000-0000-000083790000}"/>
    <cellStyle name="Normal 5 10 16 3 8" xfId="31124" xr:uid="{00000000-0005-0000-0000-000084790000}"/>
    <cellStyle name="Normal 5 10 16 3 9" xfId="31125" xr:uid="{00000000-0005-0000-0000-000085790000}"/>
    <cellStyle name="Normal 5 10 16 4" xfId="31126" xr:uid="{00000000-0005-0000-0000-000086790000}"/>
    <cellStyle name="Normal 5 10 16 4 10" xfId="31127" xr:uid="{00000000-0005-0000-0000-000087790000}"/>
    <cellStyle name="Normal 5 10 16 4 2" xfId="31128" xr:uid="{00000000-0005-0000-0000-000088790000}"/>
    <cellStyle name="Normal 5 10 16 4 3" xfId="31129" xr:uid="{00000000-0005-0000-0000-000089790000}"/>
    <cellStyle name="Normal 5 10 16 4 4" xfId="31130" xr:uid="{00000000-0005-0000-0000-00008A790000}"/>
    <cellStyle name="Normal 5 10 16 4 5" xfId="31131" xr:uid="{00000000-0005-0000-0000-00008B790000}"/>
    <cellStyle name="Normal 5 10 16 4 6" xfId="31132" xr:uid="{00000000-0005-0000-0000-00008C790000}"/>
    <cellStyle name="Normal 5 10 16 4 7" xfId="31133" xr:uid="{00000000-0005-0000-0000-00008D790000}"/>
    <cellStyle name="Normal 5 10 16 4 8" xfId="31134" xr:uid="{00000000-0005-0000-0000-00008E790000}"/>
    <cellStyle name="Normal 5 10 16 4 9" xfId="31135" xr:uid="{00000000-0005-0000-0000-00008F790000}"/>
    <cellStyle name="Normal 5 10 16 5" xfId="31136" xr:uid="{00000000-0005-0000-0000-000090790000}"/>
    <cellStyle name="Normal 5 10 16 5 10" xfId="31137" xr:uid="{00000000-0005-0000-0000-000091790000}"/>
    <cellStyle name="Normal 5 10 16 5 2" xfId="31138" xr:uid="{00000000-0005-0000-0000-000092790000}"/>
    <cellStyle name="Normal 5 10 16 5 3" xfId="31139" xr:uid="{00000000-0005-0000-0000-000093790000}"/>
    <cellStyle name="Normal 5 10 16 5 4" xfId="31140" xr:uid="{00000000-0005-0000-0000-000094790000}"/>
    <cellStyle name="Normal 5 10 16 5 5" xfId="31141" xr:uid="{00000000-0005-0000-0000-000095790000}"/>
    <cellStyle name="Normal 5 10 16 5 6" xfId="31142" xr:uid="{00000000-0005-0000-0000-000096790000}"/>
    <cellStyle name="Normal 5 10 16 5 7" xfId="31143" xr:uid="{00000000-0005-0000-0000-000097790000}"/>
    <cellStyle name="Normal 5 10 16 5 8" xfId="31144" xr:uid="{00000000-0005-0000-0000-000098790000}"/>
    <cellStyle name="Normal 5 10 16 5 9" xfId="31145" xr:uid="{00000000-0005-0000-0000-000099790000}"/>
    <cellStyle name="Normal 5 10 16 6" xfId="31146" xr:uid="{00000000-0005-0000-0000-00009A790000}"/>
    <cellStyle name="Normal 5 10 16 7" xfId="31147" xr:uid="{00000000-0005-0000-0000-00009B790000}"/>
    <cellStyle name="Normal 5 10 16 8" xfId="31148" xr:uid="{00000000-0005-0000-0000-00009C790000}"/>
    <cellStyle name="Normal 5 10 16 9" xfId="31149" xr:uid="{00000000-0005-0000-0000-00009D790000}"/>
    <cellStyle name="Normal 5 10 17" xfId="31150" xr:uid="{00000000-0005-0000-0000-00009E790000}"/>
    <cellStyle name="Normal 5 10 17 10" xfId="31151" xr:uid="{00000000-0005-0000-0000-00009F790000}"/>
    <cellStyle name="Normal 5 10 17 11" xfId="31152" xr:uid="{00000000-0005-0000-0000-0000A0790000}"/>
    <cellStyle name="Normal 5 10 17 12" xfId="31153" xr:uid="{00000000-0005-0000-0000-0000A1790000}"/>
    <cellStyle name="Normal 5 10 17 13" xfId="31154" xr:uid="{00000000-0005-0000-0000-0000A2790000}"/>
    <cellStyle name="Normal 5 10 17 14" xfId="31155" xr:uid="{00000000-0005-0000-0000-0000A3790000}"/>
    <cellStyle name="Normal 5 10 17 2" xfId="31156" xr:uid="{00000000-0005-0000-0000-0000A4790000}"/>
    <cellStyle name="Normal 5 10 17 2 10" xfId="31157" xr:uid="{00000000-0005-0000-0000-0000A5790000}"/>
    <cellStyle name="Normal 5 10 17 2 2" xfId="31158" xr:uid="{00000000-0005-0000-0000-0000A6790000}"/>
    <cellStyle name="Normal 5 10 17 2 3" xfId="31159" xr:uid="{00000000-0005-0000-0000-0000A7790000}"/>
    <cellStyle name="Normal 5 10 17 2 4" xfId="31160" xr:uid="{00000000-0005-0000-0000-0000A8790000}"/>
    <cellStyle name="Normal 5 10 17 2 5" xfId="31161" xr:uid="{00000000-0005-0000-0000-0000A9790000}"/>
    <cellStyle name="Normal 5 10 17 2 6" xfId="31162" xr:uid="{00000000-0005-0000-0000-0000AA790000}"/>
    <cellStyle name="Normal 5 10 17 2 7" xfId="31163" xr:uid="{00000000-0005-0000-0000-0000AB790000}"/>
    <cellStyle name="Normal 5 10 17 2 8" xfId="31164" xr:uid="{00000000-0005-0000-0000-0000AC790000}"/>
    <cellStyle name="Normal 5 10 17 2 9" xfId="31165" xr:uid="{00000000-0005-0000-0000-0000AD790000}"/>
    <cellStyle name="Normal 5 10 17 3" xfId="31166" xr:uid="{00000000-0005-0000-0000-0000AE790000}"/>
    <cellStyle name="Normal 5 10 17 3 10" xfId="31167" xr:uid="{00000000-0005-0000-0000-0000AF790000}"/>
    <cellStyle name="Normal 5 10 17 3 2" xfId="31168" xr:uid="{00000000-0005-0000-0000-0000B0790000}"/>
    <cellStyle name="Normal 5 10 17 3 3" xfId="31169" xr:uid="{00000000-0005-0000-0000-0000B1790000}"/>
    <cellStyle name="Normal 5 10 17 3 4" xfId="31170" xr:uid="{00000000-0005-0000-0000-0000B2790000}"/>
    <cellStyle name="Normal 5 10 17 3 5" xfId="31171" xr:uid="{00000000-0005-0000-0000-0000B3790000}"/>
    <cellStyle name="Normal 5 10 17 3 6" xfId="31172" xr:uid="{00000000-0005-0000-0000-0000B4790000}"/>
    <cellStyle name="Normal 5 10 17 3 7" xfId="31173" xr:uid="{00000000-0005-0000-0000-0000B5790000}"/>
    <cellStyle name="Normal 5 10 17 3 8" xfId="31174" xr:uid="{00000000-0005-0000-0000-0000B6790000}"/>
    <cellStyle name="Normal 5 10 17 3 9" xfId="31175" xr:uid="{00000000-0005-0000-0000-0000B7790000}"/>
    <cellStyle name="Normal 5 10 17 4" xfId="31176" xr:uid="{00000000-0005-0000-0000-0000B8790000}"/>
    <cellStyle name="Normal 5 10 17 4 10" xfId="31177" xr:uid="{00000000-0005-0000-0000-0000B9790000}"/>
    <cellStyle name="Normal 5 10 17 4 2" xfId="31178" xr:uid="{00000000-0005-0000-0000-0000BA790000}"/>
    <cellStyle name="Normal 5 10 17 4 3" xfId="31179" xr:uid="{00000000-0005-0000-0000-0000BB790000}"/>
    <cellStyle name="Normal 5 10 17 4 4" xfId="31180" xr:uid="{00000000-0005-0000-0000-0000BC790000}"/>
    <cellStyle name="Normal 5 10 17 4 5" xfId="31181" xr:uid="{00000000-0005-0000-0000-0000BD790000}"/>
    <cellStyle name="Normal 5 10 17 4 6" xfId="31182" xr:uid="{00000000-0005-0000-0000-0000BE790000}"/>
    <cellStyle name="Normal 5 10 17 4 7" xfId="31183" xr:uid="{00000000-0005-0000-0000-0000BF790000}"/>
    <cellStyle name="Normal 5 10 17 4 8" xfId="31184" xr:uid="{00000000-0005-0000-0000-0000C0790000}"/>
    <cellStyle name="Normal 5 10 17 4 9" xfId="31185" xr:uid="{00000000-0005-0000-0000-0000C1790000}"/>
    <cellStyle name="Normal 5 10 17 5" xfId="31186" xr:uid="{00000000-0005-0000-0000-0000C2790000}"/>
    <cellStyle name="Normal 5 10 17 5 10" xfId="31187" xr:uid="{00000000-0005-0000-0000-0000C3790000}"/>
    <cellStyle name="Normal 5 10 17 5 2" xfId="31188" xr:uid="{00000000-0005-0000-0000-0000C4790000}"/>
    <cellStyle name="Normal 5 10 17 5 3" xfId="31189" xr:uid="{00000000-0005-0000-0000-0000C5790000}"/>
    <cellStyle name="Normal 5 10 17 5 4" xfId="31190" xr:uid="{00000000-0005-0000-0000-0000C6790000}"/>
    <cellStyle name="Normal 5 10 17 5 5" xfId="31191" xr:uid="{00000000-0005-0000-0000-0000C7790000}"/>
    <cellStyle name="Normal 5 10 17 5 6" xfId="31192" xr:uid="{00000000-0005-0000-0000-0000C8790000}"/>
    <cellStyle name="Normal 5 10 17 5 7" xfId="31193" xr:uid="{00000000-0005-0000-0000-0000C9790000}"/>
    <cellStyle name="Normal 5 10 17 5 8" xfId="31194" xr:uid="{00000000-0005-0000-0000-0000CA790000}"/>
    <cellStyle name="Normal 5 10 17 5 9" xfId="31195" xr:uid="{00000000-0005-0000-0000-0000CB790000}"/>
    <cellStyle name="Normal 5 10 17 6" xfId="31196" xr:uid="{00000000-0005-0000-0000-0000CC790000}"/>
    <cellStyle name="Normal 5 10 17 7" xfId="31197" xr:uid="{00000000-0005-0000-0000-0000CD790000}"/>
    <cellStyle name="Normal 5 10 17 8" xfId="31198" xr:uid="{00000000-0005-0000-0000-0000CE790000}"/>
    <cellStyle name="Normal 5 10 17 9" xfId="31199" xr:uid="{00000000-0005-0000-0000-0000CF790000}"/>
    <cellStyle name="Normal 5 10 18" xfId="31200" xr:uid="{00000000-0005-0000-0000-0000D0790000}"/>
    <cellStyle name="Normal 5 10 18 10" xfId="31201" xr:uid="{00000000-0005-0000-0000-0000D1790000}"/>
    <cellStyle name="Normal 5 10 18 11" xfId="31202" xr:uid="{00000000-0005-0000-0000-0000D2790000}"/>
    <cellStyle name="Normal 5 10 18 12" xfId="31203" xr:uid="{00000000-0005-0000-0000-0000D3790000}"/>
    <cellStyle name="Normal 5 10 18 13" xfId="31204" xr:uid="{00000000-0005-0000-0000-0000D4790000}"/>
    <cellStyle name="Normal 5 10 18 14" xfId="31205" xr:uid="{00000000-0005-0000-0000-0000D5790000}"/>
    <cellStyle name="Normal 5 10 18 2" xfId="31206" xr:uid="{00000000-0005-0000-0000-0000D6790000}"/>
    <cellStyle name="Normal 5 10 18 2 10" xfId="31207" xr:uid="{00000000-0005-0000-0000-0000D7790000}"/>
    <cellStyle name="Normal 5 10 18 2 2" xfId="31208" xr:uid="{00000000-0005-0000-0000-0000D8790000}"/>
    <cellStyle name="Normal 5 10 18 2 3" xfId="31209" xr:uid="{00000000-0005-0000-0000-0000D9790000}"/>
    <cellStyle name="Normal 5 10 18 2 4" xfId="31210" xr:uid="{00000000-0005-0000-0000-0000DA790000}"/>
    <cellStyle name="Normal 5 10 18 2 5" xfId="31211" xr:uid="{00000000-0005-0000-0000-0000DB790000}"/>
    <cellStyle name="Normal 5 10 18 2 6" xfId="31212" xr:uid="{00000000-0005-0000-0000-0000DC790000}"/>
    <cellStyle name="Normal 5 10 18 2 7" xfId="31213" xr:uid="{00000000-0005-0000-0000-0000DD790000}"/>
    <cellStyle name="Normal 5 10 18 2 8" xfId="31214" xr:uid="{00000000-0005-0000-0000-0000DE790000}"/>
    <cellStyle name="Normal 5 10 18 2 9" xfId="31215" xr:uid="{00000000-0005-0000-0000-0000DF790000}"/>
    <cellStyle name="Normal 5 10 18 3" xfId="31216" xr:uid="{00000000-0005-0000-0000-0000E0790000}"/>
    <cellStyle name="Normal 5 10 18 3 10" xfId="31217" xr:uid="{00000000-0005-0000-0000-0000E1790000}"/>
    <cellStyle name="Normal 5 10 18 3 2" xfId="31218" xr:uid="{00000000-0005-0000-0000-0000E2790000}"/>
    <cellStyle name="Normal 5 10 18 3 3" xfId="31219" xr:uid="{00000000-0005-0000-0000-0000E3790000}"/>
    <cellStyle name="Normal 5 10 18 3 4" xfId="31220" xr:uid="{00000000-0005-0000-0000-0000E4790000}"/>
    <cellStyle name="Normal 5 10 18 3 5" xfId="31221" xr:uid="{00000000-0005-0000-0000-0000E5790000}"/>
    <cellStyle name="Normal 5 10 18 3 6" xfId="31222" xr:uid="{00000000-0005-0000-0000-0000E6790000}"/>
    <cellStyle name="Normal 5 10 18 3 7" xfId="31223" xr:uid="{00000000-0005-0000-0000-0000E7790000}"/>
    <cellStyle name="Normal 5 10 18 3 8" xfId="31224" xr:uid="{00000000-0005-0000-0000-0000E8790000}"/>
    <cellStyle name="Normal 5 10 18 3 9" xfId="31225" xr:uid="{00000000-0005-0000-0000-0000E9790000}"/>
    <cellStyle name="Normal 5 10 18 4" xfId="31226" xr:uid="{00000000-0005-0000-0000-0000EA790000}"/>
    <cellStyle name="Normal 5 10 18 4 10" xfId="31227" xr:uid="{00000000-0005-0000-0000-0000EB790000}"/>
    <cellStyle name="Normal 5 10 18 4 2" xfId="31228" xr:uid="{00000000-0005-0000-0000-0000EC790000}"/>
    <cellStyle name="Normal 5 10 18 4 3" xfId="31229" xr:uid="{00000000-0005-0000-0000-0000ED790000}"/>
    <cellStyle name="Normal 5 10 18 4 4" xfId="31230" xr:uid="{00000000-0005-0000-0000-0000EE790000}"/>
    <cellStyle name="Normal 5 10 18 4 5" xfId="31231" xr:uid="{00000000-0005-0000-0000-0000EF790000}"/>
    <cellStyle name="Normal 5 10 18 4 6" xfId="31232" xr:uid="{00000000-0005-0000-0000-0000F0790000}"/>
    <cellStyle name="Normal 5 10 18 4 7" xfId="31233" xr:uid="{00000000-0005-0000-0000-0000F1790000}"/>
    <cellStyle name="Normal 5 10 18 4 8" xfId="31234" xr:uid="{00000000-0005-0000-0000-0000F2790000}"/>
    <cellStyle name="Normal 5 10 18 4 9" xfId="31235" xr:uid="{00000000-0005-0000-0000-0000F3790000}"/>
    <cellStyle name="Normal 5 10 18 5" xfId="31236" xr:uid="{00000000-0005-0000-0000-0000F4790000}"/>
    <cellStyle name="Normal 5 10 18 5 10" xfId="31237" xr:uid="{00000000-0005-0000-0000-0000F5790000}"/>
    <cellStyle name="Normal 5 10 18 5 2" xfId="31238" xr:uid="{00000000-0005-0000-0000-0000F6790000}"/>
    <cellStyle name="Normal 5 10 18 5 3" xfId="31239" xr:uid="{00000000-0005-0000-0000-0000F7790000}"/>
    <cellStyle name="Normal 5 10 18 5 4" xfId="31240" xr:uid="{00000000-0005-0000-0000-0000F8790000}"/>
    <cellStyle name="Normal 5 10 18 5 5" xfId="31241" xr:uid="{00000000-0005-0000-0000-0000F9790000}"/>
    <cellStyle name="Normal 5 10 18 5 6" xfId="31242" xr:uid="{00000000-0005-0000-0000-0000FA790000}"/>
    <cellStyle name="Normal 5 10 18 5 7" xfId="31243" xr:uid="{00000000-0005-0000-0000-0000FB790000}"/>
    <cellStyle name="Normal 5 10 18 5 8" xfId="31244" xr:uid="{00000000-0005-0000-0000-0000FC790000}"/>
    <cellStyle name="Normal 5 10 18 5 9" xfId="31245" xr:uid="{00000000-0005-0000-0000-0000FD790000}"/>
    <cellStyle name="Normal 5 10 18 6" xfId="31246" xr:uid="{00000000-0005-0000-0000-0000FE790000}"/>
    <cellStyle name="Normal 5 10 18 7" xfId="31247" xr:uid="{00000000-0005-0000-0000-0000FF790000}"/>
    <cellStyle name="Normal 5 10 18 8" xfId="31248" xr:uid="{00000000-0005-0000-0000-0000007A0000}"/>
    <cellStyle name="Normal 5 10 18 9" xfId="31249" xr:uid="{00000000-0005-0000-0000-0000017A0000}"/>
    <cellStyle name="Normal 5 10 19" xfId="31250" xr:uid="{00000000-0005-0000-0000-0000027A0000}"/>
    <cellStyle name="Normal 5 10 19 10" xfId="31251" xr:uid="{00000000-0005-0000-0000-0000037A0000}"/>
    <cellStyle name="Normal 5 10 19 11" xfId="31252" xr:uid="{00000000-0005-0000-0000-0000047A0000}"/>
    <cellStyle name="Normal 5 10 19 12" xfId="31253" xr:uid="{00000000-0005-0000-0000-0000057A0000}"/>
    <cellStyle name="Normal 5 10 19 13" xfId="31254" xr:uid="{00000000-0005-0000-0000-0000067A0000}"/>
    <cellStyle name="Normal 5 10 19 14" xfId="31255" xr:uid="{00000000-0005-0000-0000-0000077A0000}"/>
    <cellStyle name="Normal 5 10 19 2" xfId="31256" xr:uid="{00000000-0005-0000-0000-0000087A0000}"/>
    <cellStyle name="Normal 5 10 19 2 10" xfId="31257" xr:uid="{00000000-0005-0000-0000-0000097A0000}"/>
    <cellStyle name="Normal 5 10 19 2 2" xfId="31258" xr:uid="{00000000-0005-0000-0000-00000A7A0000}"/>
    <cellStyle name="Normal 5 10 19 2 3" xfId="31259" xr:uid="{00000000-0005-0000-0000-00000B7A0000}"/>
    <cellStyle name="Normal 5 10 19 2 4" xfId="31260" xr:uid="{00000000-0005-0000-0000-00000C7A0000}"/>
    <cellStyle name="Normal 5 10 19 2 5" xfId="31261" xr:uid="{00000000-0005-0000-0000-00000D7A0000}"/>
    <cellStyle name="Normal 5 10 19 2 6" xfId="31262" xr:uid="{00000000-0005-0000-0000-00000E7A0000}"/>
    <cellStyle name="Normal 5 10 19 2 7" xfId="31263" xr:uid="{00000000-0005-0000-0000-00000F7A0000}"/>
    <cellStyle name="Normal 5 10 19 2 8" xfId="31264" xr:uid="{00000000-0005-0000-0000-0000107A0000}"/>
    <cellStyle name="Normal 5 10 19 2 9" xfId="31265" xr:uid="{00000000-0005-0000-0000-0000117A0000}"/>
    <cellStyle name="Normal 5 10 19 3" xfId="31266" xr:uid="{00000000-0005-0000-0000-0000127A0000}"/>
    <cellStyle name="Normal 5 10 19 3 10" xfId="31267" xr:uid="{00000000-0005-0000-0000-0000137A0000}"/>
    <cellStyle name="Normal 5 10 19 3 2" xfId="31268" xr:uid="{00000000-0005-0000-0000-0000147A0000}"/>
    <cellStyle name="Normal 5 10 19 3 3" xfId="31269" xr:uid="{00000000-0005-0000-0000-0000157A0000}"/>
    <cellStyle name="Normal 5 10 19 3 4" xfId="31270" xr:uid="{00000000-0005-0000-0000-0000167A0000}"/>
    <cellStyle name="Normal 5 10 19 3 5" xfId="31271" xr:uid="{00000000-0005-0000-0000-0000177A0000}"/>
    <cellStyle name="Normal 5 10 19 3 6" xfId="31272" xr:uid="{00000000-0005-0000-0000-0000187A0000}"/>
    <cellStyle name="Normal 5 10 19 3 7" xfId="31273" xr:uid="{00000000-0005-0000-0000-0000197A0000}"/>
    <cellStyle name="Normal 5 10 19 3 8" xfId="31274" xr:uid="{00000000-0005-0000-0000-00001A7A0000}"/>
    <cellStyle name="Normal 5 10 19 3 9" xfId="31275" xr:uid="{00000000-0005-0000-0000-00001B7A0000}"/>
    <cellStyle name="Normal 5 10 19 4" xfId="31276" xr:uid="{00000000-0005-0000-0000-00001C7A0000}"/>
    <cellStyle name="Normal 5 10 19 4 10" xfId="31277" xr:uid="{00000000-0005-0000-0000-00001D7A0000}"/>
    <cellStyle name="Normal 5 10 19 4 2" xfId="31278" xr:uid="{00000000-0005-0000-0000-00001E7A0000}"/>
    <cellStyle name="Normal 5 10 19 4 3" xfId="31279" xr:uid="{00000000-0005-0000-0000-00001F7A0000}"/>
    <cellStyle name="Normal 5 10 19 4 4" xfId="31280" xr:uid="{00000000-0005-0000-0000-0000207A0000}"/>
    <cellStyle name="Normal 5 10 19 4 5" xfId="31281" xr:uid="{00000000-0005-0000-0000-0000217A0000}"/>
    <cellStyle name="Normal 5 10 19 4 6" xfId="31282" xr:uid="{00000000-0005-0000-0000-0000227A0000}"/>
    <cellStyle name="Normal 5 10 19 4 7" xfId="31283" xr:uid="{00000000-0005-0000-0000-0000237A0000}"/>
    <cellStyle name="Normal 5 10 19 4 8" xfId="31284" xr:uid="{00000000-0005-0000-0000-0000247A0000}"/>
    <cellStyle name="Normal 5 10 19 4 9" xfId="31285" xr:uid="{00000000-0005-0000-0000-0000257A0000}"/>
    <cellStyle name="Normal 5 10 19 5" xfId="31286" xr:uid="{00000000-0005-0000-0000-0000267A0000}"/>
    <cellStyle name="Normal 5 10 19 5 10" xfId="31287" xr:uid="{00000000-0005-0000-0000-0000277A0000}"/>
    <cellStyle name="Normal 5 10 19 5 2" xfId="31288" xr:uid="{00000000-0005-0000-0000-0000287A0000}"/>
    <cellStyle name="Normal 5 10 19 5 3" xfId="31289" xr:uid="{00000000-0005-0000-0000-0000297A0000}"/>
    <cellStyle name="Normal 5 10 19 5 4" xfId="31290" xr:uid="{00000000-0005-0000-0000-00002A7A0000}"/>
    <cellStyle name="Normal 5 10 19 5 5" xfId="31291" xr:uid="{00000000-0005-0000-0000-00002B7A0000}"/>
    <cellStyle name="Normal 5 10 19 5 6" xfId="31292" xr:uid="{00000000-0005-0000-0000-00002C7A0000}"/>
    <cellStyle name="Normal 5 10 19 5 7" xfId="31293" xr:uid="{00000000-0005-0000-0000-00002D7A0000}"/>
    <cellStyle name="Normal 5 10 19 5 8" xfId="31294" xr:uid="{00000000-0005-0000-0000-00002E7A0000}"/>
    <cellStyle name="Normal 5 10 19 5 9" xfId="31295" xr:uid="{00000000-0005-0000-0000-00002F7A0000}"/>
    <cellStyle name="Normal 5 10 19 6" xfId="31296" xr:uid="{00000000-0005-0000-0000-0000307A0000}"/>
    <cellStyle name="Normal 5 10 19 7" xfId="31297" xr:uid="{00000000-0005-0000-0000-0000317A0000}"/>
    <cellStyle name="Normal 5 10 19 8" xfId="31298" xr:uid="{00000000-0005-0000-0000-0000327A0000}"/>
    <cellStyle name="Normal 5 10 19 9" xfId="31299" xr:uid="{00000000-0005-0000-0000-0000337A0000}"/>
    <cellStyle name="Normal 5 10 2" xfId="61" xr:uid="{00000000-0005-0000-0000-0000347A0000}"/>
    <cellStyle name="Normal 5 10 2 10" xfId="31301" xr:uid="{00000000-0005-0000-0000-0000357A0000}"/>
    <cellStyle name="Normal 5 10 2 10 10" xfId="31302" xr:uid="{00000000-0005-0000-0000-0000367A0000}"/>
    <cellStyle name="Normal 5 10 2 10 11" xfId="31303" xr:uid="{00000000-0005-0000-0000-0000377A0000}"/>
    <cellStyle name="Normal 5 10 2 10 12" xfId="31304" xr:uid="{00000000-0005-0000-0000-0000387A0000}"/>
    <cellStyle name="Normal 5 10 2 10 13" xfId="31305" xr:uid="{00000000-0005-0000-0000-0000397A0000}"/>
    <cellStyle name="Normal 5 10 2 10 14" xfId="31306" xr:uid="{00000000-0005-0000-0000-00003A7A0000}"/>
    <cellStyle name="Normal 5 10 2 10 2" xfId="31307" xr:uid="{00000000-0005-0000-0000-00003B7A0000}"/>
    <cellStyle name="Normal 5 10 2 10 2 10" xfId="31308" xr:uid="{00000000-0005-0000-0000-00003C7A0000}"/>
    <cellStyle name="Normal 5 10 2 10 2 2" xfId="31309" xr:uid="{00000000-0005-0000-0000-00003D7A0000}"/>
    <cellStyle name="Normal 5 10 2 10 2 3" xfId="31310" xr:uid="{00000000-0005-0000-0000-00003E7A0000}"/>
    <cellStyle name="Normal 5 10 2 10 2 4" xfId="31311" xr:uid="{00000000-0005-0000-0000-00003F7A0000}"/>
    <cellStyle name="Normal 5 10 2 10 2 5" xfId="31312" xr:uid="{00000000-0005-0000-0000-0000407A0000}"/>
    <cellStyle name="Normal 5 10 2 10 2 6" xfId="31313" xr:uid="{00000000-0005-0000-0000-0000417A0000}"/>
    <cellStyle name="Normal 5 10 2 10 2 7" xfId="31314" xr:uid="{00000000-0005-0000-0000-0000427A0000}"/>
    <cellStyle name="Normal 5 10 2 10 2 8" xfId="31315" xr:uid="{00000000-0005-0000-0000-0000437A0000}"/>
    <cellStyle name="Normal 5 10 2 10 2 9" xfId="31316" xr:uid="{00000000-0005-0000-0000-0000447A0000}"/>
    <cellStyle name="Normal 5 10 2 10 3" xfId="31317" xr:uid="{00000000-0005-0000-0000-0000457A0000}"/>
    <cellStyle name="Normal 5 10 2 10 3 10" xfId="31318" xr:uid="{00000000-0005-0000-0000-0000467A0000}"/>
    <cellStyle name="Normal 5 10 2 10 3 2" xfId="31319" xr:uid="{00000000-0005-0000-0000-0000477A0000}"/>
    <cellStyle name="Normal 5 10 2 10 3 3" xfId="31320" xr:uid="{00000000-0005-0000-0000-0000487A0000}"/>
    <cellStyle name="Normal 5 10 2 10 3 4" xfId="31321" xr:uid="{00000000-0005-0000-0000-0000497A0000}"/>
    <cellStyle name="Normal 5 10 2 10 3 5" xfId="31322" xr:uid="{00000000-0005-0000-0000-00004A7A0000}"/>
    <cellStyle name="Normal 5 10 2 10 3 6" xfId="31323" xr:uid="{00000000-0005-0000-0000-00004B7A0000}"/>
    <cellStyle name="Normal 5 10 2 10 3 7" xfId="31324" xr:uid="{00000000-0005-0000-0000-00004C7A0000}"/>
    <cellStyle name="Normal 5 10 2 10 3 8" xfId="31325" xr:uid="{00000000-0005-0000-0000-00004D7A0000}"/>
    <cellStyle name="Normal 5 10 2 10 3 9" xfId="31326" xr:uid="{00000000-0005-0000-0000-00004E7A0000}"/>
    <cellStyle name="Normal 5 10 2 10 4" xfId="31327" xr:uid="{00000000-0005-0000-0000-00004F7A0000}"/>
    <cellStyle name="Normal 5 10 2 10 4 10" xfId="31328" xr:uid="{00000000-0005-0000-0000-0000507A0000}"/>
    <cellStyle name="Normal 5 10 2 10 4 2" xfId="31329" xr:uid="{00000000-0005-0000-0000-0000517A0000}"/>
    <cellStyle name="Normal 5 10 2 10 4 3" xfId="31330" xr:uid="{00000000-0005-0000-0000-0000527A0000}"/>
    <cellStyle name="Normal 5 10 2 10 4 4" xfId="31331" xr:uid="{00000000-0005-0000-0000-0000537A0000}"/>
    <cellStyle name="Normal 5 10 2 10 4 5" xfId="31332" xr:uid="{00000000-0005-0000-0000-0000547A0000}"/>
    <cellStyle name="Normal 5 10 2 10 4 6" xfId="31333" xr:uid="{00000000-0005-0000-0000-0000557A0000}"/>
    <cellStyle name="Normal 5 10 2 10 4 7" xfId="31334" xr:uid="{00000000-0005-0000-0000-0000567A0000}"/>
    <cellStyle name="Normal 5 10 2 10 4 8" xfId="31335" xr:uid="{00000000-0005-0000-0000-0000577A0000}"/>
    <cellStyle name="Normal 5 10 2 10 4 9" xfId="31336" xr:uid="{00000000-0005-0000-0000-0000587A0000}"/>
    <cellStyle name="Normal 5 10 2 10 5" xfId="31337" xr:uid="{00000000-0005-0000-0000-0000597A0000}"/>
    <cellStyle name="Normal 5 10 2 10 5 10" xfId="31338" xr:uid="{00000000-0005-0000-0000-00005A7A0000}"/>
    <cellStyle name="Normal 5 10 2 10 5 2" xfId="31339" xr:uid="{00000000-0005-0000-0000-00005B7A0000}"/>
    <cellStyle name="Normal 5 10 2 10 5 3" xfId="31340" xr:uid="{00000000-0005-0000-0000-00005C7A0000}"/>
    <cellStyle name="Normal 5 10 2 10 5 4" xfId="31341" xr:uid="{00000000-0005-0000-0000-00005D7A0000}"/>
    <cellStyle name="Normal 5 10 2 10 5 5" xfId="31342" xr:uid="{00000000-0005-0000-0000-00005E7A0000}"/>
    <cellStyle name="Normal 5 10 2 10 5 6" xfId="31343" xr:uid="{00000000-0005-0000-0000-00005F7A0000}"/>
    <cellStyle name="Normal 5 10 2 10 5 7" xfId="31344" xr:uid="{00000000-0005-0000-0000-0000607A0000}"/>
    <cellStyle name="Normal 5 10 2 10 5 8" xfId="31345" xr:uid="{00000000-0005-0000-0000-0000617A0000}"/>
    <cellStyle name="Normal 5 10 2 10 5 9" xfId="31346" xr:uid="{00000000-0005-0000-0000-0000627A0000}"/>
    <cellStyle name="Normal 5 10 2 10 6" xfId="31347" xr:uid="{00000000-0005-0000-0000-0000637A0000}"/>
    <cellStyle name="Normal 5 10 2 10 7" xfId="31348" xr:uid="{00000000-0005-0000-0000-0000647A0000}"/>
    <cellStyle name="Normal 5 10 2 10 8" xfId="31349" xr:uid="{00000000-0005-0000-0000-0000657A0000}"/>
    <cellStyle name="Normal 5 10 2 10 9" xfId="31350" xr:uid="{00000000-0005-0000-0000-0000667A0000}"/>
    <cellStyle name="Normal 5 10 2 11" xfId="31351" xr:uid="{00000000-0005-0000-0000-0000677A0000}"/>
    <cellStyle name="Normal 5 10 2 11 10" xfId="31352" xr:uid="{00000000-0005-0000-0000-0000687A0000}"/>
    <cellStyle name="Normal 5 10 2 11 11" xfId="31353" xr:uid="{00000000-0005-0000-0000-0000697A0000}"/>
    <cellStyle name="Normal 5 10 2 11 12" xfId="31354" xr:uid="{00000000-0005-0000-0000-00006A7A0000}"/>
    <cellStyle name="Normal 5 10 2 11 13" xfId="31355" xr:uid="{00000000-0005-0000-0000-00006B7A0000}"/>
    <cellStyle name="Normal 5 10 2 11 14" xfId="31356" xr:uid="{00000000-0005-0000-0000-00006C7A0000}"/>
    <cellStyle name="Normal 5 10 2 11 2" xfId="31357" xr:uid="{00000000-0005-0000-0000-00006D7A0000}"/>
    <cellStyle name="Normal 5 10 2 11 2 10" xfId="31358" xr:uid="{00000000-0005-0000-0000-00006E7A0000}"/>
    <cellStyle name="Normal 5 10 2 11 2 2" xfId="31359" xr:uid="{00000000-0005-0000-0000-00006F7A0000}"/>
    <cellStyle name="Normal 5 10 2 11 2 3" xfId="31360" xr:uid="{00000000-0005-0000-0000-0000707A0000}"/>
    <cellStyle name="Normal 5 10 2 11 2 4" xfId="31361" xr:uid="{00000000-0005-0000-0000-0000717A0000}"/>
    <cellStyle name="Normal 5 10 2 11 2 5" xfId="31362" xr:uid="{00000000-0005-0000-0000-0000727A0000}"/>
    <cellStyle name="Normal 5 10 2 11 2 6" xfId="31363" xr:uid="{00000000-0005-0000-0000-0000737A0000}"/>
    <cellStyle name="Normal 5 10 2 11 2 7" xfId="31364" xr:uid="{00000000-0005-0000-0000-0000747A0000}"/>
    <cellStyle name="Normal 5 10 2 11 2 8" xfId="31365" xr:uid="{00000000-0005-0000-0000-0000757A0000}"/>
    <cellStyle name="Normal 5 10 2 11 2 9" xfId="31366" xr:uid="{00000000-0005-0000-0000-0000767A0000}"/>
    <cellStyle name="Normal 5 10 2 11 3" xfId="31367" xr:uid="{00000000-0005-0000-0000-0000777A0000}"/>
    <cellStyle name="Normal 5 10 2 11 3 10" xfId="31368" xr:uid="{00000000-0005-0000-0000-0000787A0000}"/>
    <cellStyle name="Normal 5 10 2 11 3 2" xfId="31369" xr:uid="{00000000-0005-0000-0000-0000797A0000}"/>
    <cellStyle name="Normal 5 10 2 11 3 3" xfId="31370" xr:uid="{00000000-0005-0000-0000-00007A7A0000}"/>
    <cellStyle name="Normal 5 10 2 11 3 4" xfId="31371" xr:uid="{00000000-0005-0000-0000-00007B7A0000}"/>
    <cellStyle name="Normal 5 10 2 11 3 5" xfId="31372" xr:uid="{00000000-0005-0000-0000-00007C7A0000}"/>
    <cellStyle name="Normal 5 10 2 11 3 6" xfId="31373" xr:uid="{00000000-0005-0000-0000-00007D7A0000}"/>
    <cellStyle name="Normal 5 10 2 11 3 7" xfId="31374" xr:uid="{00000000-0005-0000-0000-00007E7A0000}"/>
    <cellStyle name="Normal 5 10 2 11 3 8" xfId="31375" xr:uid="{00000000-0005-0000-0000-00007F7A0000}"/>
    <cellStyle name="Normal 5 10 2 11 3 9" xfId="31376" xr:uid="{00000000-0005-0000-0000-0000807A0000}"/>
    <cellStyle name="Normal 5 10 2 11 4" xfId="31377" xr:uid="{00000000-0005-0000-0000-0000817A0000}"/>
    <cellStyle name="Normal 5 10 2 11 4 10" xfId="31378" xr:uid="{00000000-0005-0000-0000-0000827A0000}"/>
    <cellStyle name="Normal 5 10 2 11 4 2" xfId="31379" xr:uid="{00000000-0005-0000-0000-0000837A0000}"/>
    <cellStyle name="Normal 5 10 2 11 4 3" xfId="31380" xr:uid="{00000000-0005-0000-0000-0000847A0000}"/>
    <cellStyle name="Normal 5 10 2 11 4 4" xfId="31381" xr:uid="{00000000-0005-0000-0000-0000857A0000}"/>
    <cellStyle name="Normal 5 10 2 11 4 5" xfId="31382" xr:uid="{00000000-0005-0000-0000-0000867A0000}"/>
    <cellStyle name="Normal 5 10 2 11 4 6" xfId="31383" xr:uid="{00000000-0005-0000-0000-0000877A0000}"/>
    <cellStyle name="Normal 5 10 2 11 4 7" xfId="31384" xr:uid="{00000000-0005-0000-0000-0000887A0000}"/>
    <cellStyle name="Normal 5 10 2 11 4 8" xfId="31385" xr:uid="{00000000-0005-0000-0000-0000897A0000}"/>
    <cellStyle name="Normal 5 10 2 11 4 9" xfId="31386" xr:uid="{00000000-0005-0000-0000-00008A7A0000}"/>
    <cellStyle name="Normal 5 10 2 11 5" xfId="31387" xr:uid="{00000000-0005-0000-0000-00008B7A0000}"/>
    <cellStyle name="Normal 5 10 2 11 5 10" xfId="31388" xr:uid="{00000000-0005-0000-0000-00008C7A0000}"/>
    <cellStyle name="Normal 5 10 2 11 5 2" xfId="31389" xr:uid="{00000000-0005-0000-0000-00008D7A0000}"/>
    <cellStyle name="Normal 5 10 2 11 5 3" xfId="31390" xr:uid="{00000000-0005-0000-0000-00008E7A0000}"/>
    <cellStyle name="Normal 5 10 2 11 5 4" xfId="31391" xr:uid="{00000000-0005-0000-0000-00008F7A0000}"/>
    <cellStyle name="Normal 5 10 2 11 5 5" xfId="31392" xr:uid="{00000000-0005-0000-0000-0000907A0000}"/>
    <cellStyle name="Normal 5 10 2 11 5 6" xfId="31393" xr:uid="{00000000-0005-0000-0000-0000917A0000}"/>
    <cellStyle name="Normal 5 10 2 11 5 7" xfId="31394" xr:uid="{00000000-0005-0000-0000-0000927A0000}"/>
    <cellStyle name="Normal 5 10 2 11 5 8" xfId="31395" xr:uid="{00000000-0005-0000-0000-0000937A0000}"/>
    <cellStyle name="Normal 5 10 2 11 5 9" xfId="31396" xr:uid="{00000000-0005-0000-0000-0000947A0000}"/>
    <cellStyle name="Normal 5 10 2 11 6" xfId="31397" xr:uid="{00000000-0005-0000-0000-0000957A0000}"/>
    <cellStyle name="Normal 5 10 2 11 7" xfId="31398" xr:uid="{00000000-0005-0000-0000-0000967A0000}"/>
    <cellStyle name="Normal 5 10 2 11 8" xfId="31399" xr:uid="{00000000-0005-0000-0000-0000977A0000}"/>
    <cellStyle name="Normal 5 10 2 11 9" xfId="31400" xr:uid="{00000000-0005-0000-0000-0000987A0000}"/>
    <cellStyle name="Normal 5 10 2 12" xfId="31401" xr:uid="{00000000-0005-0000-0000-0000997A0000}"/>
    <cellStyle name="Normal 5 10 2 12 10" xfId="31402" xr:uid="{00000000-0005-0000-0000-00009A7A0000}"/>
    <cellStyle name="Normal 5 10 2 12 11" xfId="31403" xr:uid="{00000000-0005-0000-0000-00009B7A0000}"/>
    <cellStyle name="Normal 5 10 2 12 12" xfId="31404" xr:uid="{00000000-0005-0000-0000-00009C7A0000}"/>
    <cellStyle name="Normal 5 10 2 12 13" xfId="31405" xr:uid="{00000000-0005-0000-0000-00009D7A0000}"/>
    <cellStyle name="Normal 5 10 2 12 14" xfId="31406" xr:uid="{00000000-0005-0000-0000-00009E7A0000}"/>
    <cellStyle name="Normal 5 10 2 12 2" xfId="31407" xr:uid="{00000000-0005-0000-0000-00009F7A0000}"/>
    <cellStyle name="Normal 5 10 2 12 2 10" xfId="31408" xr:uid="{00000000-0005-0000-0000-0000A07A0000}"/>
    <cellStyle name="Normal 5 10 2 12 2 2" xfId="31409" xr:uid="{00000000-0005-0000-0000-0000A17A0000}"/>
    <cellStyle name="Normal 5 10 2 12 2 3" xfId="31410" xr:uid="{00000000-0005-0000-0000-0000A27A0000}"/>
    <cellStyle name="Normal 5 10 2 12 2 4" xfId="31411" xr:uid="{00000000-0005-0000-0000-0000A37A0000}"/>
    <cellStyle name="Normal 5 10 2 12 2 5" xfId="31412" xr:uid="{00000000-0005-0000-0000-0000A47A0000}"/>
    <cellStyle name="Normal 5 10 2 12 2 6" xfId="31413" xr:uid="{00000000-0005-0000-0000-0000A57A0000}"/>
    <cellStyle name="Normal 5 10 2 12 2 7" xfId="31414" xr:uid="{00000000-0005-0000-0000-0000A67A0000}"/>
    <cellStyle name="Normal 5 10 2 12 2 8" xfId="31415" xr:uid="{00000000-0005-0000-0000-0000A77A0000}"/>
    <cellStyle name="Normal 5 10 2 12 2 9" xfId="31416" xr:uid="{00000000-0005-0000-0000-0000A87A0000}"/>
    <cellStyle name="Normal 5 10 2 12 3" xfId="31417" xr:uid="{00000000-0005-0000-0000-0000A97A0000}"/>
    <cellStyle name="Normal 5 10 2 12 3 10" xfId="31418" xr:uid="{00000000-0005-0000-0000-0000AA7A0000}"/>
    <cellStyle name="Normal 5 10 2 12 3 2" xfId="31419" xr:uid="{00000000-0005-0000-0000-0000AB7A0000}"/>
    <cellStyle name="Normal 5 10 2 12 3 3" xfId="31420" xr:uid="{00000000-0005-0000-0000-0000AC7A0000}"/>
    <cellStyle name="Normal 5 10 2 12 3 4" xfId="31421" xr:uid="{00000000-0005-0000-0000-0000AD7A0000}"/>
    <cellStyle name="Normal 5 10 2 12 3 5" xfId="31422" xr:uid="{00000000-0005-0000-0000-0000AE7A0000}"/>
    <cellStyle name="Normal 5 10 2 12 3 6" xfId="31423" xr:uid="{00000000-0005-0000-0000-0000AF7A0000}"/>
    <cellStyle name="Normal 5 10 2 12 3 7" xfId="31424" xr:uid="{00000000-0005-0000-0000-0000B07A0000}"/>
    <cellStyle name="Normal 5 10 2 12 3 8" xfId="31425" xr:uid="{00000000-0005-0000-0000-0000B17A0000}"/>
    <cellStyle name="Normal 5 10 2 12 3 9" xfId="31426" xr:uid="{00000000-0005-0000-0000-0000B27A0000}"/>
    <cellStyle name="Normal 5 10 2 12 4" xfId="31427" xr:uid="{00000000-0005-0000-0000-0000B37A0000}"/>
    <cellStyle name="Normal 5 10 2 12 4 10" xfId="31428" xr:uid="{00000000-0005-0000-0000-0000B47A0000}"/>
    <cellStyle name="Normal 5 10 2 12 4 2" xfId="31429" xr:uid="{00000000-0005-0000-0000-0000B57A0000}"/>
    <cellStyle name="Normal 5 10 2 12 4 3" xfId="31430" xr:uid="{00000000-0005-0000-0000-0000B67A0000}"/>
    <cellStyle name="Normal 5 10 2 12 4 4" xfId="31431" xr:uid="{00000000-0005-0000-0000-0000B77A0000}"/>
    <cellStyle name="Normal 5 10 2 12 4 5" xfId="31432" xr:uid="{00000000-0005-0000-0000-0000B87A0000}"/>
    <cellStyle name="Normal 5 10 2 12 4 6" xfId="31433" xr:uid="{00000000-0005-0000-0000-0000B97A0000}"/>
    <cellStyle name="Normal 5 10 2 12 4 7" xfId="31434" xr:uid="{00000000-0005-0000-0000-0000BA7A0000}"/>
    <cellStyle name="Normal 5 10 2 12 4 8" xfId="31435" xr:uid="{00000000-0005-0000-0000-0000BB7A0000}"/>
    <cellStyle name="Normal 5 10 2 12 4 9" xfId="31436" xr:uid="{00000000-0005-0000-0000-0000BC7A0000}"/>
    <cellStyle name="Normal 5 10 2 12 5" xfId="31437" xr:uid="{00000000-0005-0000-0000-0000BD7A0000}"/>
    <cellStyle name="Normal 5 10 2 12 5 10" xfId="31438" xr:uid="{00000000-0005-0000-0000-0000BE7A0000}"/>
    <cellStyle name="Normal 5 10 2 12 5 2" xfId="31439" xr:uid="{00000000-0005-0000-0000-0000BF7A0000}"/>
    <cellStyle name="Normal 5 10 2 12 5 3" xfId="31440" xr:uid="{00000000-0005-0000-0000-0000C07A0000}"/>
    <cellStyle name="Normal 5 10 2 12 5 4" xfId="31441" xr:uid="{00000000-0005-0000-0000-0000C17A0000}"/>
    <cellStyle name="Normal 5 10 2 12 5 5" xfId="31442" xr:uid="{00000000-0005-0000-0000-0000C27A0000}"/>
    <cellStyle name="Normal 5 10 2 12 5 6" xfId="31443" xr:uid="{00000000-0005-0000-0000-0000C37A0000}"/>
    <cellStyle name="Normal 5 10 2 12 5 7" xfId="31444" xr:uid="{00000000-0005-0000-0000-0000C47A0000}"/>
    <cellStyle name="Normal 5 10 2 12 5 8" xfId="31445" xr:uid="{00000000-0005-0000-0000-0000C57A0000}"/>
    <cellStyle name="Normal 5 10 2 12 5 9" xfId="31446" xr:uid="{00000000-0005-0000-0000-0000C67A0000}"/>
    <cellStyle name="Normal 5 10 2 12 6" xfId="31447" xr:uid="{00000000-0005-0000-0000-0000C77A0000}"/>
    <cellStyle name="Normal 5 10 2 12 7" xfId="31448" xr:uid="{00000000-0005-0000-0000-0000C87A0000}"/>
    <cellStyle name="Normal 5 10 2 12 8" xfId="31449" xr:uid="{00000000-0005-0000-0000-0000C97A0000}"/>
    <cellStyle name="Normal 5 10 2 12 9" xfId="31450" xr:uid="{00000000-0005-0000-0000-0000CA7A0000}"/>
    <cellStyle name="Normal 5 10 2 13" xfId="31451" xr:uid="{00000000-0005-0000-0000-0000CB7A0000}"/>
    <cellStyle name="Normal 5 10 2 13 10" xfId="31452" xr:uid="{00000000-0005-0000-0000-0000CC7A0000}"/>
    <cellStyle name="Normal 5 10 2 13 11" xfId="31453" xr:uid="{00000000-0005-0000-0000-0000CD7A0000}"/>
    <cellStyle name="Normal 5 10 2 13 12" xfId="31454" xr:uid="{00000000-0005-0000-0000-0000CE7A0000}"/>
    <cellStyle name="Normal 5 10 2 13 13" xfId="31455" xr:uid="{00000000-0005-0000-0000-0000CF7A0000}"/>
    <cellStyle name="Normal 5 10 2 13 14" xfId="31456" xr:uid="{00000000-0005-0000-0000-0000D07A0000}"/>
    <cellStyle name="Normal 5 10 2 13 2" xfId="31457" xr:uid="{00000000-0005-0000-0000-0000D17A0000}"/>
    <cellStyle name="Normal 5 10 2 13 2 10" xfId="31458" xr:uid="{00000000-0005-0000-0000-0000D27A0000}"/>
    <cellStyle name="Normal 5 10 2 13 2 2" xfId="31459" xr:uid="{00000000-0005-0000-0000-0000D37A0000}"/>
    <cellStyle name="Normal 5 10 2 13 2 3" xfId="31460" xr:uid="{00000000-0005-0000-0000-0000D47A0000}"/>
    <cellStyle name="Normal 5 10 2 13 2 4" xfId="31461" xr:uid="{00000000-0005-0000-0000-0000D57A0000}"/>
    <cellStyle name="Normal 5 10 2 13 2 5" xfId="31462" xr:uid="{00000000-0005-0000-0000-0000D67A0000}"/>
    <cellStyle name="Normal 5 10 2 13 2 6" xfId="31463" xr:uid="{00000000-0005-0000-0000-0000D77A0000}"/>
    <cellStyle name="Normal 5 10 2 13 2 7" xfId="31464" xr:uid="{00000000-0005-0000-0000-0000D87A0000}"/>
    <cellStyle name="Normal 5 10 2 13 2 8" xfId="31465" xr:uid="{00000000-0005-0000-0000-0000D97A0000}"/>
    <cellStyle name="Normal 5 10 2 13 2 9" xfId="31466" xr:uid="{00000000-0005-0000-0000-0000DA7A0000}"/>
    <cellStyle name="Normal 5 10 2 13 3" xfId="31467" xr:uid="{00000000-0005-0000-0000-0000DB7A0000}"/>
    <cellStyle name="Normal 5 10 2 13 3 10" xfId="31468" xr:uid="{00000000-0005-0000-0000-0000DC7A0000}"/>
    <cellStyle name="Normal 5 10 2 13 3 2" xfId="31469" xr:uid="{00000000-0005-0000-0000-0000DD7A0000}"/>
    <cellStyle name="Normal 5 10 2 13 3 3" xfId="31470" xr:uid="{00000000-0005-0000-0000-0000DE7A0000}"/>
    <cellStyle name="Normal 5 10 2 13 3 4" xfId="31471" xr:uid="{00000000-0005-0000-0000-0000DF7A0000}"/>
    <cellStyle name="Normal 5 10 2 13 3 5" xfId="31472" xr:uid="{00000000-0005-0000-0000-0000E07A0000}"/>
    <cellStyle name="Normal 5 10 2 13 3 6" xfId="31473" xr:uid="{00000000-0005-0000-0000-0000E17A0000}"/>
    <cellStyle name="Normal 5 10 2 13 3 7" xfId="31474" xr:uid="{00000000-0005-0000-0000-0000E27A0000}"/>
    <cellStyle name="Normal 5 10 2 13 3 8" xfId="31475" xr:uid="{00000000-0005-0000-0000-0000E37A0000}"/>
    <cellStyle name="Normal 5 10 2 13 3 9" xfId="31476" xr:uid="{00000000-0005-0000-0000-0000E47A0000}"/>
    <cellStyle name="Normal 5 10 2 13 4" xfId="31477" xr:uid="{00000000-0005-0000-0000-0000E57A0000}"/>
    <cellStyle name="Normal 5 10 2 13 4 10" xfId="31478" xr:uid="{00000000-0005-0000-0000-0000E67A0000}"/>
    <cellStyle name="Normal 5 10 2 13 4 2" xfId="31479" xr:uid="{00000000-0005-0000-0000-0000E77A0000}"/>
    <cellStyle name="Normal 5 10 2 13 4 3" xfId="31480" xr:uid="{00000000-0005-0000-0000-0000E87A0000}"/>
    <cellStyle name="Normal 5 10 2 13 4 4" xfId="31481" xr:uid="{00000000-0005-0000-0000-0000E97A0000}"/>
    <cellStyle name="Normal 5 10 2 13 4 5" xfId="31482" xr:uid="{00000000-0005-0000-0000-0000EA7A0000}"/>
    <cellStyle name="Normal 5 10 2 13 4 6" xfId="31483" xr:uid="{00000000-0005-0000-0000-0000EB7A0000}"/>
    <cellStyle name="Normal 5 10 2 13 4 7" xfId="31484" xr:uid="{00000000-0005-0000-0000-0000EC7A0000}"/>
    <cellStyle name="Normal 5 10 2 13 4 8" xfId="31485" xr:uid="{00000000-0005-0000-0000-0000ED7A0000}"/>
    <cellStyle name="Normal 5 10 2 13 4 9" xfId="31486" xr:uid="{00000000-0005-0000-0000-0000EE7A0000}"/>
    <cellStyle name="Normal 5 10 2 13 5" xfId="31487" xr:uid="{00000000-0005-0000-0000-0000EF7A0000}"/>
    <cellStyle name="Normal 5 10 2 13 5 10" xfId="31488" xr:uid="{00000000-0005-0000-0000-0000F07A0000}"/>
    <cellStyle name="Normal 5 10 2 13 5 2" xfId="31489" xr:uid="{00000000-0005-0000-0000-0000F17A0000}"/>
    <cellStyle name="Normal 5 10 2 13 5 3" xfId="31490" xr:uid="{00000000-0005-0000-0000-0000F27A0000}"/>
    <cellStyle name="Normal 5 10 2 13 5 4" xfId="31491" xr:uid="{00000000-0005-0000-0000-0000F37A0000}"/>
    <cellStyle name="Normal 5 10 2 13 5 5" xfId="31492" xr:uid="{00000000-0005-0000-0000-0000F47A0000}"/>
    <cellStyle name="Normal 5 10 2 13 5 6" xfId="31493" xr:uid="{00000000-0005-0000-0000-0000F57A0000}"/>
    <cellStyle name="Normal 5 10 2 13 5 7" xfId="31494" xr:uid="{00000000-0005-0000-0000-0000F67A0000}"/>
    <cellStyle name="Normal 5 10 2 13 5 8" xfId="31495" xr:uid="{00000000-0005-0000-0000-0000F77A0000}"/>
    <cellStyle name="Normal 5 10 2 13 5 9" xfId="31496" xr:uid="{00000000-0005-0000-0000-0000F87A0000}"/>
    <cellStyle name="Normal 5 10 2 13 6" xfId="31497" xr:uid="{00000000-0005-0000-0000-0000F97A0000}"/>
    <cellStyle name="Normal 5 10 2 13 7" xfId="31498" xr:uid="{00000000-0005-0000-0000-0000FA7A0000}"/>
    <cellStyle name="Normal 5 10 2 13 8" xfId="31499" xr:uid="{00000000-0005-0000-0000-0000FB7A0000}"/>
    <cellStyle name="Normal 5 10 2 13 9" xfId="31500" xr:uid="{00000000-0005-0000-0000-0000FC7A0000}"/>
    <cellStyle name="Normal 5 10 2 14" xfId="31501" xr:uid="{00000000-0005-0000-0000-0000FD7A0000}"/>
    <cellStyle name="Normal 5 10 2 14 10" xfId="31502" xr:uid="{00000000-0005-0000-0000-0000FE7A0000}"/>
    <cellStyle name="Normal 5 10 2 14 11" xfId="31503" xr:uid="{00000000-0005-0000-0000-0000FF7A0000}"/>
    <cellStyle name="Normal 5 10 2 14 12" xfId="31504" xr:uid="{00000000-0005-0000-0000-0000007B0000}"/>
    <cellStyle name="Normal 5 10 2 14 13" xfId="31505" xr:uid="{00000000-0005-0000-0000-0000017B0000}"/>
    <cellStyle name="Normal 5 10 2 14 14" xfId="31506" xr:uid="{00000000-0005-0000-0000-0000027B0000}"/>
    <cellStyle name="Normal 5 10 2 14 2" xfId="31507" xr:uid="{00000000-0005-0000-0000-0000037B0000}"/>
    <cellStyle name="Normal 5 10 2 14 2 10" xfId="31508" xr:uid="{00000000-0005-0000-0000-0000047B0000}"/>
    <cellStyle name="Normal 5 10 2 14 2 2" xfId="31509" xr:uid="{00000000-0005-0000-0000-0000057B0000}"/>
    <cellStyle name="Normal 5 10 2 14 2 3" xfId="31510" xr:uid="{00000000-0005-0000-0000-0000067B0000}"/>
    <cellStyle name="Normal 5 10 2 14 2 4" xfId="31511" xr:uid="{00000000-0005-0000-0000-0000077B0000}"/>
    <cellStyle name="Normal 5 10 2 14 2 5" xfId="31512" xr:uid="{00000000-0005-0000-0000-0000087B0000}"/>
    <cellStyle name="Normal 5 10 2 14 2 6" xfId="31513" xr:uid="{00000000-0005-0000-0000-0000097B0000}"/>
    <cellStyle name="Normal 5 10 2 14 2 7" xfId="31514" xr:uid="{00000000-0005-0000-0000-00000A7B0000}"/>
    <cellStyle name="Normal 5 10 2 14 2 8" xfId="31515" xr:uid="{00000000-0005-0000-0000-00000B7B0000}"/>
    <cellStyle name="Normal 5 10 2 14 2 9" xfId="31516" xr:uid="{00000000-0005-0000-0000-00000C7B0000}"/>
    <cellStyle name="Normal 5 10 2 14 3" xfId="31517" xr:uid="{00000000-0005-0000-0000-00000D7B0000}"/>
    <cellStyle name="Normal 5 10 2 14 3 10" xfId="31518" xr:uid="{00000000-0005-0000-0000-00000E7B0000}"/>
    <cellStyle name="Normal 5 10 2 14 3 2" xfId="31519" xr:uid="{00000000-0005-0000-0000-00000F7B0000}"/>
    <cellStyle name="Normal 5 10 2 14 3 3" xfId="31520" xr:uid="{00000000-0005-0000-0000-0000107B0000}"/>
    <cellStyle name="Normal 5 10 2 14 3 4" xfId="31521" xr:uid="{00000000-0005-0000-0000-0000117B0000}"/>
    <cellStyle name="Normal 5 10 2 14 3 5" xfId="31522" xr:uid="{00000000-0005-0000-0000-0000127B0000}"/>
    <cellStyle name="Normal 5 10 2 14 3 6" xfId="31523" xr:uid="{00000000-0005-0000-0000-0000137B0000}"/>
    <cellStyle name="Normal 5 10 2 14 3 7" xfId="31524" xr:uid="{00000000-0005-0000-0000-0000147B0000}"/>
    <cellStyle name="Normal 5 10 2 14 3 8" xfId="31525" xr:uid="{00000000-0005-0000-0000-0000157B0000}"/>
    <cellStyle name="Normal 5 10 2 14 3 9" xfId="31526" xr:uid="{00000000-0005-0000-0000-0000167B0000}"/>
    <cellStyle name="Normal 5 10 2 14 4" xfId="31527" xr:uid="{00000000-0005-0000-0000-0000177B0000}"/>
    <cellStyle name="Normal 5 10 2 14 4 10" xfId="31528" xr:uid="{00000000-0005-0000-0000-0000187B0000}"/>
    <cellStyle name="Normal 5 10 2 14 4 2" xfId="31529" xr:uid="{00000000-0005-0000-0000-0000197B0000}"/>
    <cellStyle name="Normal 5 10 2 14 4 3" xfId="31530" xr:uid="{00000000-0005-0000-0000-00001A7B0000}"/>
    <cellStyle name="Normal 5 10 2 14 4 4" xfId="31531" xr:uid="{00000000-0005-0000-0000-00001B7B0000}"/>
    <cellStyle name="Normal 5 10 2 14 4 5" xfId="31532" xr:uid="{00000000-0005-0000-0000-00001C7B0000}"/>
    <cellStyle name="Normal 5 10 2 14 4 6" xfId="31533" xr:uid="{00000000-0005-0000-0000-00001D7B0000}"/>
    <cellStyle name="Normal 5 10 2 14 4 7" xfId="31534" xr:uid="{00000000-0005-0000-0000-00001E7B0000}"/>
    <cellStyle name="Normal 5 10 2 14 4 8" xfId="31535" xr:uid="{00000000-0005-0000-0000-00001F7B0000}"/>
    <cellStyle name="Normal 5 10 2 14 4 9" xfId="31536" xr:uid="{00000000-0005-0000-0000-0000207B0000}"/>
    <cellStyle name="Normal 5 10 2 14 5" xfId="31537" xr:uid="{00000000-0005-0000-0000-0000217B0000}"/>
    <cellStyle name="Normal 5 10 2 14 5 10" xfId="31538" xr:uid="{00000000-0005-0000-0000-0000227B0000}"/>
    <cellStyle name="Normal 5 10 2 14 5 2" xfId="31539" xr:uid="{00000000-0005-0000-0000-0000237B0000}"/>
    <cellStyle name="Normal 5 10 2 14 5 3" xfId="31540" xr:uid="{00000000-0005-0000-0000-0000247B0000}"/>
    <cellStyle name="Normal 5 10 2 14 5 4" xfId="31541" xr:uid="{00000000-0005-0000-0000-0000257B0000}"/>
    <cellStyle name="Normal 5 10 2 14 5 5" xfId="31542" xr:uid="{00000000-0005-0000-0000-0000267B0000}"/>
    <cellStyle name="Normal 5 10 2 14 5 6" xfId="31543" xr:uid="{00000000-0005-0000-0000-0000277B0000}"/>
    <cellStyle name="Normal 5 10 2 14 5 7" xfId="31544" xr:uid="{00000000-0005-0000-0000-0000287B0000}"/>
    <cellStyle name="Normal 5 10 2 14 5 8" xfId="31545" xr:uid="{00000000-0005-0000-0000-0000297B0000}"/>
    <cellStyle name="Normal 5 10 2 14 5 9" xfId="31546" xr:uid="{00000000-0005-0000-0000-00002A7B0000}"/>
    <cellStyle name="Normal 5 10 2 14 6" xfId="31547" xr:uid="{00000000-0005-0000-0000-00002B7B0000}"/>
    <cellStyle name="Normal 5 10 2 14 7" xfId="31548" xr:uid="{00000000-0005-0000-0000-00002C7B0000}"/>
    <cellStyle name="Normal 5 10 2 14 8" xfId="31549" xr:uid="{00000000-0005-0000-0000-00002D7B0000}"/>
    <cellStyle name="Normal 5 10 2 14 9" xfId="31550" xr:uid="{00000000-0005-0000-0000-00002E7B0000}"/>
    <cellStyle name="Normal 5 10 2 15" xfId="31551" xr:uid="{00000000-0005-0000-0000-00002F7B0000}"/>
    <cellStyle name="Normal 5 10 2 15 10" xfId="31552" xr:uid="{00000000-0005-0000-0000-0000307B0000}"/>
    <cellStyle name="Normal 5 10 2 15 11" xfId="31553" xr:uid="{00000000-0005-0000-0000-0000317B0000}"/>
    <cellStyle name="Normal 5 10 2 15 12" xfId="31554" xr:uid="{00000000-0005-0000-0000-0000327B0000}"/>
    <cellStyle name="Normal 5 10 2 15 13" xfId="31555" xr:uid="{00000000-0005-0000-0000-0000337B0000}"/>
    <cellStyle name="Normal 5 10 2 15 14" xfId="31556" xr:uid="{00000000-0005-0000-0000-0000347B0000}"/>
    <cellStyle name="Normal 5 10 2 15 2" xfId="31557" xr:uid="{00000000-0005-0000-0000-0000357B0000}"/>
    <cellStyle name="Normal 5 10 2 15 2 10" xfId="31558" xr:uid="{00000000-0005-0000-0000-0000367B0000}"/>
    <cellStyle name="Normal 5 10 2 15 2 2" xfId="31559" xr:uid="{00000000-0005-0000-0000-0000377B0000}"/>
    <cellStyle name="Normal 5 10 2 15 2 3" xfId="31560" xr:uid="{00000000-0005-0000-0000-0000387B0000}"/>
    <cellStyle name="Normal 5 10 2 15 2 4" xfId="31561" xr:uid="{00000000-0005-0000-0000-0000397B0000}"/>
    <cellStyle name="Normal 5 10 2 15 2 5" xfId="31562" xr:uid="{00000000-0005-0000-0000-00003A7B0000}"/>
    <cellStyle name="Normal 5 10 2 15 2 6" xfId="31563" xr:uid="{00000000-0005-0000-0000-00003B7B0000}"/>
    <cellStyle name="Normal 5 10 2 15 2 7" xfId="31564" xr:uid="{00000000-0005-0000-0000-00003C7B0000}"/>
    <cellStyle name="Normal 5 10 2 15 2 8" xfId="31565" xr:uid="{00000000-0005-0000-0000-00003D7B0000}"/>
    <cellStyle name="Normal 5 10 2 15 2 9" xfId="31566" xr:uid="{00000000-0005-0000-0000-00003E7B0000}"/>
    <cellStyle name="Normal 5 10 2 15 3" xfId="31567" xr:uid="{00000000-0005-0000-0000-00003F7B0000}"/>
    <cellStyle name="Normal 5 10 2 15 3 10" xfId="31568" xr:uid="{00000000-0005-0000-0000-0000407B0000}"/>
    <cellStyle name="Normal 5 10 2 15 3 2" xfId="31569" xr:uid="{00000000-0005-0000-0000-0000417B0000}"/>
    <cellStyle name="Normal 5 10 2 15 3 3" xfId="31570" xr:uid="{00000000-0005-0000-0000-0000427B0000}"/>
    <cellStyle name="Normal 5 10 2 15 3 4" xfId="31571" xr:uid="{00000000-0005-0000-0000-0000437B0000}"/>
    <cellStyle name="Normal 5 10 2 15 3 5" xfId="31572" xr:uid="{00000000-0005-0000-0000-0000447B0000}"/>
    <cellStyle name="Normal 5 10 2 15 3 6" xfId="31573" xr:uid="{00000000-0005-0000-0000-0000457B0000}"/>
    <cellStyle name="Normal 5 10 2 15 3 7" xfId="31574" xr:uid="{00000000-0005-0000-0000-0000467B0000}"/>
    <cellStyle name="Normal 5 10 2 15 3 8" xfId="31575" xr:uid="{00000000-0005-0000-0000-0000477B0000}"/>
    <cellStyle name="Normal 5 10 2 15 3 9" xfId="31576" xr:uid="{00000000-0005-0000-0000-0000487B0000}"/>
    <cellStyle name="Normal 5 10 2 15 4" xfId="31577" xr:uid="{00000000-0005-0000-0000-0000497B0000}"/>
    <cellStyle name="Normal 5 10 2 15 4 10" xfId="31578" xr:uid="{00000000-0005-0000-0000-00004A7B0000}"/>
    <cellStyle name="Normal 5 10 2 15 4 2" xfId="31579" xr:uid="{00000000-0005-0000-0000-00004B7B0000}"/>
    <cellStyle name="Normal 5 10 2 15 4 3" xfId="31580" xr:uid="{00000000-0005-0000-0000-00004C7B0000}"/>
    <cellStyle name="Normal 5 10 2 15 4 4" xfId="31581" xr:uid="{00000000-0005-0000-0000-00004D7B0000}"/>
    <cellStyle name="Normal 5 10 2 15 4 5" xfId="31582" xr:uid="{00000000-0005-0000-0000-00004E7B0000}"/>
    <cellStyle name="Normal 5 10 2 15 4 6" xfId="31583" xr:uid="{00000000-0005-0000-0000-00004F7B0000}"/>
    <cellStyle name="Normal 5 10 2 15 4 7" xfId="31584" xr:uid="{00000000-0005-0000-0000-0000507B0000}"/>
    <cellStyle name="Normal 5 10 2 15 4 8" xfId="31585" xr:uid="{00000000-0005-0000-0000-0000517B0000}"/>
    <cellStyle name="Normal 5 10 2 15 4 9" xfId="31586" xr:uid="{00000000-0005-0000-0000-0000527B0000}"/>
    <cellStyle name="Normal 5 10 2 15 5" xfId="31587" xr:uid="{00000000-0005-0000-0000-0000537B0000}"/>
    <cellStyle name="Normal 5 10 2 15 5 10" xfId="31588" xr:uid="{00000000-0005-0000-0000-0000547B0000}"/>
    <cellStyle name="Normal 5 10 2 15 5 2" xfId="31589" xr:uid="{00000000-0005-0000-0000-0000557B0000}"/>
    <cellStyle name="Normal 5 10 2 15 5 3" xfId="31590" xr:uid="{00000000-0005-0000-0000-0000567B0000}"/>
    <cellStyle name="Normal 5 10 2 15 5 4" xfId="31591" xr:uid="{00000000-0005-0000-0000-0000577B0000}"/>
    <cellStyle name="Normal 5 10 2 15 5 5" xfId="31592" xr:uid="{00000000-0005-0000-0000-0000587B0000}"/>
    <cellStyle name="Normal 5 10 2 15 5 6" xfId="31593" xr:uid="{00000000-0005-0000-0000-0000597B0000}"/>
    <cellStyle name="Normal 5 10 2 15 5 7" xfId="31594" xr:uid="{00000000-0005-0000-0000-00005A7B0000}"/>
    <cellStyle name="Normal 5 10 2 15 5 8" xfId="31595" xr:uid="{00000000-0005-0000-0000-00005B7B0000}"/>
    <cellStyle name="Normal 5 10 2 15 5 9" xfId="31596" xr:uid="{00000000-0005-0000-0000-00005C7B0000}"/>
    <cellStyle name="Normal 5 10 2 15 6" xfId="31597" xr:uid="{00000000-0005-0000-0000-00005D7B0000}"/>
    <cellStyle name="Normal 5 10 2 15 7" xfId="31598" xr:uid="{00000000-0005-0000-0000-00005E7B0000}"/>
    <cellStyle name="Normal 5 10 2 15 8" xfId="31599" xr:uid="{00000000-0005-0000-0000-00005F7B0000}"/>
    <cellStyle name="Normal 5 10 2 15 9" xfId="31600" xr:uid="{00000000-0005-0000-0000-0000607B0000}"/>
    <cellStyle name="Normal 5 10 2 16" xfId="31601" xr:uid="{00000000-0005-0000-0000-0000617B0000}"/>
    <cellStyle name="Normal 5 10 2 16 10" xfId="31602" xr:uid="{00000000-0005-0000-0000-0000627B0000}"/>
    <cellStyle name="Normal 5 10 2 16 11" xfId="31603" xr:uid="{00000000-0005-0000-0000-0000637B0000}"/>
    <cellStyle name="Normal 5 10 2 16 12" xfId="31604" xr:uid="{00000000-0005-0000-0000-0000647B0000}"/>
    <cellStyle name="Normal 5 10 2 16 13" xfId="31605" xr:uid="{00000000-0005-0000-0000-0000657B0000}"/>
    <cellStyle name="Normal 5 10 2 16 14" xfId="31606" xr:uid="{00000000-0005-0000-0000-0000667B0000}"/>
    <cellStyle name="Normal 5 10 2 16 2" xfId="31607" xr:uid="{00000000-0005-0000-0000-0000677B0000}"/>
    <cellStyle name="Normal 5 10 2 16 2 10" xfId="31608" xr:uid="{00000000-0005-0000-0000-0000687B0000}"/>
    <cellStyle name="Normal 5 10 2 16 2 2" xfId="31609" xr:uid="{00000000-0005-0000-0000-0000697B0000}"/>
    <cellStyle name="Normal 5 10 2 16 2 3" xfId="31610" xr:uid="{00000000-0005-0000-0000-00006A7B0000}"/>
    <cellStyle name="Normal 5 10 2 16 2 4" xfId="31611" xr:uid="{00000000-0005-0000-0000-00006B7B0000}"/>
    <cellStyle name="Normal 5 10 2 16 2 5" xfId="31612" xr:uid="{00000000-0005-0000-0000-00006C7B0000}"/>
    <cellStyle name="Normal 5 10 2 16 2 6" xfId="31613" xr:uid="{00000000-0005-0000-0000-00006D7B0000}"/>
    <cellStyle name="Normal 5 10 2 16 2 7" xfId="31614" xr:uid="{00000000-0005-0000-0000-00006E7B0000}"/>
    <cellStyle name="Normal 5 10 2 16 2 8" xfId="31615" xr:uid="{00000000-0005-0000-0000-00006F7B0000}"/>
    <cellStyle name="Normal 5 10 2 16 2 9" xfId="31616" xr:uid="{00000000-0005-0000-0000-0000707B0000}"/>
    <cellStyle name="Normal 5 10 2 16 3" xfId="31617" xr:uid="{00000000-0005-0000-0000-0000717B0000}"/>
    <cellStyle name="Normal 5 10 2 16 3 10" xfId="31618" xr:uid="{00000000-0005-0000-0000-0000727B0000}"/>
    <cellStyle name="Normal 5 10 2 16 3 2" xfId="31619" xr:uid="{00000000-0005-0000-0000-0000737B0000}"/>
    <cellStyle name="Normal 5 10 2 16 3 3" xfId="31620" xr:uid="{00000000-0005-0000-0000-0000747B0000}"/>
    <cellStyle name="Normal 5 10 2 16 3 4" xfId="31621" xr:uid="{00000000-0005-0000-0000-0000757B0000}"/>
    <cellStyle name="Normal 5 10 2 16 3 5" xfId="31622" xr:uid="{00000000-0005-0000-0000-0000767B0000}"/>
    <cellStyle name="Normal 5 10 2 16 3 6" xfId="31623" xr:uid="{00000000-0005-0000-0000-0000777B0000}"/>
    <cellStyle name="Normal 5 10 2 16 3 7" xfId="31624" xr:uid="{00000000-0005-0000-0000-0000787B0000}"/>
    <cellStyle name="Normal 5 10 2 16 3 8" xfId="31625" xr:uid="{00000000-0005-0000-0000-0000797B0000}"/>
    <cellStyle name="Normal 5 10 2 16 3 9" xfId="31626" xr:uid="{00000000-0005-0000-0000-00007A7B0000}"/>
    <cellStyle name="Normal 5 10 2 16 4" xfId="31627" xr:uid="{00000000-0005-0000-0000-00007B7B0000}"/>
    <cellStyle name="Normal 5 10 2 16 4 10" xfId="31628" xr:uid="{00000000-0005-0000-0000-00007C7B0000}"/>
    <cellStyle name="Normal 5 10 2 16 4 2" xfId="31629" xr:uid="{00000000-0005-0000-0000-00007D7B0000}"/>
    <cellStyle name="Normal 5 10 2 16 4 3" xfId="31630" xr:uid="{00000000-0005-0000-0000-00007E7B0000}"/>
    <cellStyle name="Normal 5 10 2 16 4 4" xfId="31631" xr:uid="{00000000-0005-0000-0000-00007F7B0000}"/>
    <cellStyle name="Normal 5 10 2 16 4 5" xfId="31632" xr:uid="{00000000-0005-0000-0000-0000807B0000}"/>
    <cellStyle name="Normal 5 10 2 16 4 6" xfId="31633" xr:uid="{00000000-0005-0000-0000-0000817B0000}"/>
    <cellStyle name="Normal 5 10 2 16 4 7" xfId="31634" xr:uid="{00000000-0005-0000-0000-0000827B0000}"/>
    <cellStyle name="Normal 5 10 2 16 4 8" xfId="31635" xr:uid="{00000000-0005-0000-0000-0000837B0000}"/>
    <cellStyle name="Normal 5 10 2 16 4 9" xfId="31636" xr:uid="{00000000-0005-0000-0000-0000847B0000}"/>
    <cellStyle name="Normal 5 10 2 16 5" xfId="31637" xr:uid="{00000000-0005-0000-0000-0000857B0000}"/>
    <cellStyle name="Normal 5 10 2 16 5 10" xfId="31638" xr:uid="{00000000-0005-0000-0000-0000867B0000}"/>
    <cellStyle name="Normal 5 10 2 16 5 2" xfId="31639" xr:uid="{00000000-0005-0000-0000-0000877B0000}"/>
    <cellStyle name="Normal 5 10 2 16 5 3" xfId="31640" xr:uid="{00000000-0005-0000-0000-0000887B0000}"/>
    <cellStyle name="Normal 5 10 2 16 5 4" xfId="31641" xr:uid="{00000000-0005-0000-0000-0000897B0000}"/>
    <cellStyle name="Normal 5 10 2 16 5 5" xfId="31642" xr:uid="{00000000-0005-0000-0000-00008A7B0000}"/>
    <cellStyle name="Normal 5 10 2 16 5 6" xfId="31643" xr:uid="{00000000-0005-0000-0000-00008B7B0000}"/>
    <cellStyle name="Normal 5 10 2 16 5 7" xfId="31644" xr:uid="{00000000-0005-0000-0000-00008C7B0000}"/>
    <cellStyle name="Normal 5 10 2 16 5 8" xfId="31645" xr:uid="{00000000-0005-0000-0000-00008D7B0000}"/>
    <cellStyle name="Normal 5 10 2 16 5 9" xfId="31646" xr:uid="{00000000-0005-0000-0000-00008E7B0000}"/>
    <cellStyle name="Normal 5 10 2 16 6" xfId="31647" xr:uid="{00000000-0005-0000-0000-00008F7B0000}"/>
    <cellStyle name="Normal 5 10 2 16 7" xfId="31648" xr:uid="{00000000-0005-0000-0000-0000907B0000}"/>
    <cellStyle name="Normal 5 10 2 16 8" xfId="31649" xr:uid="{00000000-0005-0000-0000-0000917B0000}"/>
    <cellStyle name="Normal 5 10 2 16 9" xfId="31650" xr:uid="{00000000-0005-0000-0000-0000927B0000}"/>
    <cellStyle name="Normal 5 10 2 17" xfId="31651" xr:uid="{00000000-0005-0000-0000-0000937B0000}"/>
    <cellStyle name="Normal 5 10 2 17 10" xfId="31652" xr:uid="{00000000-0005-0000-0000-0000947B0000}"/>
    <cellStyle name="Normal 5 10 2 17 11" xfId="31653" xr:uid="{00000000-0005-0000-0000-0000957B0000}"/>
    <cellStyle name="Normal 5 10 2 17 12" xfId="31654" xr:uid="{00000000-0005-0000-0000-0000967B0000}"/>
    <cellStyle name="Normal 5 10 2 17 13" xfId="31655" xr:uid="{00000000-0005-0000-0000-0000977B0000}"/>
    <cellStyle name="Normal 5 10 2 17 14" xfId="31656" xr:uid="{00000000-0005-0000-0000-0000987B0000}"/>
    <cellStyle name="Normal 5 10 2 17 2" xfId="31657" xr:uid="{00000000-0005-0000-0000-0000997B0000}"/>
    <cellStyle name="Normal 5 10 2 17 2 10" xfId="31658" xr:uid="{00000000-0005-0000-0000-00009A7B0000}"/>
    <cellStyle name="Normal 5 10 2 17 2 2" xfId="31659" xr:uid="{00000000-0005-0000-0000-00009B7B0000}"/>
    <cellStyle name="Normal 5 10 2 17 2 3" xfId="31660" xr:uid="{00000000-0005-0000-0000-00009C7B0000}"/>
    <cellStyle name="Normal 5 10 2 17 2 4" xfId="31661" xr:uid="{00000000-0005-0000-0000-00009D7B0000}"/>
    <cellStyle name="Normal 5 10 2 17 2 5" xfId="31662" xr:uid="{00000000-0005-0000-0000-00009E7B0000}"/>
    <cellStyle name="Normal 5 10 2 17 2 6" xfId="31663" xr:uid="{00000000-0005-0000-0000-00009F7B0000}"/>
    <cellStyle name="Normal 5 10 2 17 2 7" xfId="31664" xr:uid="{00000000-0005-0000-0000-0000A07B0000}"/>
    <cellStyle name="Normal 5 10 2 17 2 8" xfId="31665" xr:uid="{00000000-0005-0000-0000-0000A17B0000}"/>
    <cellStyle name="Normal 5 10 2 17 2 9" xfId="31666" xr:uid="{00000000-0005-0000-0000-0000A27B0000}"/>
    <cellStyle name="Normal 5 10 2 17 3" xfId="31667" xr:uid="{00000000-0005-0000-0000-0000A37B0000}"/>
    <cellStyle name="Normal 5 10 2 17 3 10" xfId="31668" xr:uid="{00000000-0005-0000-0000-0000A47B0000}"/>
    <cellStyle name="Normal 5 10 2 17 3 2" xfId="31669" xr:uid="{00000000-0005-0000-0000-0000A57B0000}"/>
    <cellStyle name="Normal 5 10 2 17 3 3" xfId="31670" xr:uid="{00000000-0005-0000-0000-0000A67B0000}"/>
    <cellStyle name="Normal 5 10 2 17 3 4" xfId="31671" xr:uid="{00000000-0005-0000-0000-0000A77B0000}"/>
    <cellStyle name="Normal 5 10 2 17 3 5" xfId="31672" xr:uid="{00000000-0005-0000-0000-0000A87B0000}"/>
    <cellStyle name="Normal 5 10 2 17 3 6" xfId="31673" xr:uid="{00000000-0005-0000-0000-0000A97B0000}"/>
    <cellStyle name="Normal 5 10 2 17 3 7" xfId="31674" xr:uid="{00000000-0005-0000-0000-0000AA7B0000}"/>
    <cellStyle name="Normal 5 10 2 17 3 8" xfId="31675" xr:uid="{00000000-0005-0000-0000-0000AB7B0000}"/>
    <cellStyle name="Normal 5 10 2 17 3 9" xfId="31676" xr:uid="{00000000-0005-0000-0000-0000AC7B0000}"/>
    <cellStyle name="Normal 5 10 2 17 4" xfId="31677" xr:uid="{00000000-0005-0000-0000-0000AD7B0000}"/>
    <cellStyle name="Normal 5 10 2 17 4 10" xfId="31678" xr:uid="{00000000-0005-0000-0000-0000AE7B0000}"/>
    <cellStyle name="Normal 5 10 2 17 4 2" xfId="31679" xr:uid="{00000000-0005-0000-0000-0000AF7B0000}"/>
    <cellStyle name="Normal 5 10 2 17 4 3" xfId="31680" xr:uid="{00000000-0005-0000-0000-0000B07B0000}"/>
    <cellStyle name="Normal 5 10 2 17 4 4" xfId="31681" xr:uid="{00000000-0005-0000-0000-0000B17B0000}"/>
    <cellStyle name="Normal 5 10 2 17 4 5" xfId="31682" xr:uid="{00000000-0005-0000-0000-0000B27B0000}"/>
    <cellStyle name="Normal 5 10 2 17 4 6" xfId="31683" xr:uid="{00000000-0005-0000-0000-0000B37B0000}"/>
    <cellStyle name="Normal 5 10 2 17 4 7" xfId="31684" xr:uid="{00000000-0005-0000-0000-0000B47B0000}"/>
    <cellStyle name="Normal 5 10 2 17 4 8" xfId="31685" xr:uid="{00000000-0005-0000-0000-0000B57B0000}"/>
    <cellStyle name="Normal 5 10 2 17 4 9" xfId="31686" xr:uid="{00000000-0005-0000-0000-0000B67B0000}"/>
    <cellStyle name="Normal 5 10 2 17 5" xfId="31687" xr:uid="{00000000-0005-0000-0000-0000B77B0000}"/>
    <cellStyle name="Normal 5 10 2 17 5 10" xfId="31688" xr:uid="{00000000-0005-0000-0000-0000B87B0000}"/>
    <cellStyle name="Normal 5 10 2 17 5 2" xfId="31689" xr:uid="{00000000-0005-0000-0000-0000B97B0000}"/>
    <cellStyle name="Normal 5 10 2 17 5 3" xfId="31690" xr:uid="{00000000-0005-0000-0000-0000BA7B0000}"/>
    <cellStyle name="Normal 5 10 2 17 5 4" xfId="31691" xr:uid="{00000000-0005-0000-0000-0000BB7B0000}"/>
    <cellStyle name="Normal 5 10 2 17 5 5" xfId="31692" xr:uid="{00000000-0005-0000-0000-0000BC7B0000}"/>
    <cellStyle name="Normal 5 10 2 17 5 6" xfId="31693" xr:uid="{00000000-0005-0000-0000-0000BD7B0000}"/>
    <cellStyle name="Normal 5 10 2 17 5 7" xfId="31694" xr:uid="{00000000-0005-0000-0000-0000BE7B0000}"/>
    <cellStyle name="Normal 5 10 2 17 5 8" xfId="31695" xr:uid="{00000000-0005-0000-0000-0000BF7B0000}"/>
    <cellStyle name="Normal 5 10 2 17 5 9" xfId="31696" xr:uid="{00000000-0005-0000-0000-0000C07B0000}"/>
    <cellStyle name="Normal 5 10 2 17 6" xfId="31697" xr:uid="{00000000-0005-0000-0000-0000C17B0000}"/>
    <cellStyle name="Normal 5 10 2 17 7" xfId="31698" xr:uid="{00000000-0005-0000-0000-0000C27B0000}"/>
    <cellStyle name="Normal 5 10 2 17 8" xfId="31699" xr:uid="{00000000-0005-0000-0000-0000C37B0000}"/>
    <cellStyle name="Normal 5 10 2 17 9" xfId="31700" xr:uid="{00000000-0005-0000-0000-0000C47B0000}"/>
    <cellStyle name="Normal 5 10 2 18" xfId="31701" xr:uid="{00000000-0005-0000-0000-0000C57B0000}"/>
    <cellStyle name="Normal 5 10 2 18 10" xfId="31702" xr:uid="{00000000-0005-0000-0000-0000C67B0000}"/>
    <cellStyle name="Normal 5 10 2 18 11" xfId="31703" xr:uid="{00000000-0005-0000-0000-0000C77B0000}"/>
    <cellStyle name="Normal 5 10 2 18 12" xfId="31704" xr:uid="{00000000-0005-0000-0000-0000C87B0000}"/>
    <cellStyle name="Normal 5 10 2 18 13" xfId="31705" xr:uid="{00000000-0005-0000-0000-0000C97B0000}"/>
    <cellStyle name="Normal 5 10 2 18 14" xfId="31706" xr:uid="{00000000-0005-0000-0000-0000CA7B0000}"/>
    <cellStyle name="Normal 5 10 2 18 2" xfId="31707" xr:uid="{00000000-0005-0000-0000-0000CB7B0000}"/>
    <cellStyle name="Normal 5 10 2 18 2 10" xfId="31708" xr:uid="{00000000-0005-0000-0000-0000CC7B0000}"/>
    <cellStyle name="Normal 5 10 2 18 2 2" xfId="31709" xr:uid="{00000000-0005-0000-0000-0000CD7B0000}"/>
    <cellStyle name="Normal 5 10 2 18 2 3" xfId="31710" xr:uid="{00000000-0005-0000-0000-0000CE7B0000}"/>
    <cellStyle name="Normal 5 10 2 18 2 4" xfId="31711" xr:uid="{00000000-0005-0000-0000-0000CF7B0000}"/>
    <cellStyle name="Normal 5 10 2 18 2 5" xfId="31712" xr:uid="{00000000-0005-0000-0000-0000D07B0000}"/>
    <cellStyle name="Normal 5 10 2 18 2 6" xfId="31713" xr:uid="{00000000-0005-0000-0000-0000D17B0000}"/>
    <cellStyle name="Normal 5 10 2 18 2 7" xfId="31714" xr:uid="{00000000-0005-0000-0000-0000D27B0000}"/>
    <cellStyle name="Normal 5 10 2 18 2 8" xfId="31715" xr:uid="{00000000-0005-0000-0000-0000D37B0000}"/>
    <cellStyle name="Normal 5 10 2 18 2 9" xfId="31716" xr:uid="{00000000-0005-0000-0000-0000D47B0000}"/>
    <cellStyle name="Normal 5 10 2 18 3" xfId="31717" xr:uid="{00000000-0005-0000-0000-0000D57B0000}"/>
    <cellStyle name="Normal 5 10 2 18 3 10" xfId="31718" xr:uid="{00000000-0005-0000-0000-0000D67B0000}"/>
    <cellStyle name="Normal 5 10 2 18 3 2" xfId="31719" xr:uid="{00000000-0005-0000-0000-0000D77B0000}"/>
    <cellStyle name="Normal 5 10 2 18 3 3" xfId="31720" xr:uid="{00000000-0005-0000-0000-0000D87B0000}"/>
    <cellStyle name="Normal 5 10 2 18 3 4" xfId="31721" xr:uid="{00000000-0005-0000-0000-0000D97B0000}"/>
    <cellStyle name="Normal 5 10 2 18 3 5" xfId="31722" xr:uid="{00000000-0005-0000-0000-0000DA7B0000}"/>
    <cellStyle name="Normal 5 10 2 18 3 6" xfId="31723" xr:uid="{00000000-0005-0000-0000-0000DB7B0000}"/>
    <cellStyle name="Normal 5 10 2 18 3 7" xfId="31724" xr:uid="{00000000-0005-0000-0000-0000DC7B0000}"/>
    <cellStyle name="Normal 5 10 2 18 3 8" xfId="31725" xr:uid="{00000000-0005-0000-0000-0000DD7B0000}"/>
    <cellStyle name="Normal 5 10 2 18 3 9" xfId="31726" xr:uid="{00000000-0005-0000-0000-0000DE7B0000}"/>
    <cellStyle name="Normal 5 10 2 18 4" xfId="31727" xr:uid="{00000000-0005-0000-0000-0000DF7B0000}"/>
    <cellStyle name="Normal 5 10 2 18 4 10" xfId="31728" xr:uid="{00000000-0005-0000-0000-0000E07B0000}"/>
    <cellStyle name="Normal 5 10 2 18 4 2" xfId="31729" xr:uid="{00000000-0005-0000-0000-0000E17B0000}"/>
    <cellStyle name="Normal 5 10 2 18 4 3" xfId="31730" xr:uid="{00000000-0005-0000-0000-0000E27B0000}"/>
    <cellStyle name="Normal 5 10 2 18 4 4" xfId="31731" xr:uid="{00000000-0005-0000-0000-0000E37B0000}"/>
    <cellStyle name="Normal 5 10 2 18 4 5" xfId="31732" xr:uid="{00000000-0005-0000-0000-0000E47B0000}"/>
    <cellStyle name="Normal 5 10 2 18 4 6" xfId="31733" xr:uid="{00000000-0005-0000-0000-0000E57B0000}"/>
    <cellStyle name="Normal 5 10 2 18 4 7" xfId="31734" xr:uid="{00000000-0005-0000-0000-0000E67B0000}"/>
    <cellStyle name="Normal 5 10 2 18 4 8" xfId="31735" xr:uid="{00000000-0005-0000-0000-0000E77B0000}"/>
    <cellStyle name="Normal 5 10 2 18 4 9" xfId="31736" xr:uid="{00000000-0005-0000-0000-0000E87B0000}"/>
    <cellStyle name="Normal 5 10 2 18 5" xfId="31737" xr:uid="{00000000-0005-0000-0000-0000E97B0000}"/>
    <cellStyle name="Normal 5 10 2 18 5 10" xfId="31738" xr:uid="{00000000-0005-0000-0000-0000EA7B0000}"/>
    <cellStyle name="Normal 5 10 2 18 5 2" xfId="31739" xr:uid="{00000000-0005-0000-0000-0000EB7B0000}"/>
    <cellStyle name="Normal 5 10 2 18 5 3" xfId="31740" xr:uid="{00000000-0005-0000-0000-0000EC7B0000}"/>
    <cellStyle name="Normal 5 10 2 18 5 4" xfId="31741" xr:uid="{00000000-0005-0000-0000-0000ED7B0000}"/>
    <cellStyle name="Normal 5 10 2 18 5 5" xfId="31742" xr:uid="{00000000-0005-0000-0000-0000EE7B0000}"/>
    <cellStyle name="Normal 5 10 2 18 5 6" xfId="31743" xr:uid="{00000000-0005-0000-0000-0000EF7B0000}"/>
    <cellStyle name="Normal 5 10 2 18 5 7" xfId="31744" xr:uid="{00000000-0005-0000-0000-0000F07B0000}"/>
    <cellStyle name="Normal 5 10 2 18 5 8" xfId="31745" xr:uid="{00000000-0005-0000-0000-0000F17B0000}"/>
    <cellStyle name="Normal 5 10 2 18 5 9" xfId="31746" xr:uid="{00000000-0005-0000-0000-0000F27B0000}"/>
    <cellStyle name="Normal 5 10 2 18 6" xfId="31747" xr:uid="{00000000-0005-0000-0000-0000F37B0000}"/>
    <cellStyle name="Normal 5 10 2 18 7" xfId="31748" xr:uid="{00000000-0005-0000-0000-0000F47B0000}"/>
    <cellStyle name="Normal 5 10 2 18 8" xfId="31749" xr:uid="{00000000-0005-0000-0000-0000F57B0000}"/>
    <cellStyle name="Normal 5 10 2 18 9" xfId="31750" xr:uid="{00000000-0005-0000-0000-0000F67B0000}"/>
    <cellStyle name="Normal 5 10 2 19" xfId="31751" xr:uid="{00000000-0005-0000-0000-0000F77B0000}"/>
    <cellStyle name="Normal 5 10 2 19 10" xfId="31752" xr:uid="{00000000-0005-0000-0000-0000F87B0000}"/>
    <cellStyle name="Normal 5 10 2 19 11" xfId="31753" xr:uid="{00000000-0005-0000-0000-0000F97B0000}"/>
    <cellStyle name="Normal 5 10 2 19 12" xfId="31754" xr:uid="{00000000-0005-0000-0000-0000FA7B0000}"/>
    <cellStyle name="Normal 5 10 2 19 13" xfId="31755" xr:uid="{00000000-0005-0000-0000-0000FB7B0000}"/>
    <cellStyle name="Normal 5 10 2 19 14" xfId="31756" xr:uid="{00000000-0005-0000-0000-0000FC7B0000}"/>
    <cellStyle name="Normal 5 10 2 19 2" xfId="31757" xr:uid="{00000000-0005-0000-0000-0000FD7B0000}"/>
    <cellStyle name="Normal 5 10 2 19 2 10" xfId="31758" xr:uid="{00000000-0005-0000-0000-0000FE7B0000}"/>
    <cellStyle name="Normal 5 10 2 19 2 2" xfId="31759" xr:uid="{00000000-0005-0000-0000-0000FF7B0000}"/>
    <cellStyle name="Normal 5 10 2 19 2 3" xfId="31760" xr:uid="{00000000-0005-0000-0000-0000007C0000}"/>
    <cellStyle name="Normal 5 10 2 19 2 4" xfId="31761" xr:uid="{00000000-0005-0000-0000-0000017C0000}"/>
    <cellStyle name="Normal 5 10 2 19 2 5" xfId="31762" xr:uid="{00000000-0005-0000-0000-0000027C0000}"/>
    <cellStyle name="Normal 5 10 2 19 2 6" xfId="31763" xr:uid="{00000000-0005-0000-0000-0000037C0000}"/>
    <cellStyle name="Normal 5 10 2 19 2 7" xfId="31764" xr:uid="{00000000-0005-0000-0000-0000047C0000}"/>
    <cellStyle name="Normal 5 10 2 19 2 8" xfId="31765" xr:uid="{00000000-0005-0000-0000-0000057C0000}"/>
    <cellStyle name="Normal 5 10 2 19 2 9" xfId="31766" xr:uid="{00000000-0005-0000-0000-0000067C0000}"/>
    <cellStyle name="Normal 5 10 2 19 3" xfId="31767" xr:uid="{00000000-0005-0000-0000-0000077C0000}"/>
    <cellStyle name="Normal 5 10 2 19 3 10" xfId="31768" xr:uid="{00000000-0005-0000-0000-0000087C0000}"/>
    <cellStyle name="Normal 5 10 2 19 3 2" xfId="31769" xr:uid="{00000000-0005-0000-0000-0000097C0000}"/>
    <cellStyle name="Normal 5 10 2 19 3 3" xfId="31770" xr:uid="{00000000-0005-0000-0000-00000A7C0000}"/>
    <cellStyle name="Normal 5 10 2 19 3 4" xfId="31771" xr:uid="{00000000-0005-0000-0000-00000B7C0000}"/>
    <cellStyle name="Normal 5 10 2 19 3 5" xfId="31772" xr:uid="{00000000-0005-0000-0000-00000C7C0000}"/>
    <cellStyle name="Normal 5 10 2 19 3 6" xfId="31773" xr:uid="{00000000-0005-0000-0000-00000D7C0000}"/>
    <cellStyle name="Normal 5 10 2 19 3 7" xfId="31774" xr:uid="{00000000-0005-0000-0000-00000E7C0000}"/>
    <cellStyle name="Normal 5 10 2 19 3 8" xfId="31775" xr:uid="{00000000-0005-0000-0000-00000F7C0000}"/>
    <cellStyle name="Normal 5 10 2 19 3 9" xfId="31776" xr:uid="{00000000-0005-0000-0000-0000107C0000}"/>
    <cellStyle name="Normal 5 10 2 19 4" xfId="31777" xr:uid="{00000000-0005-0000-0000-0000117C0000}"/>
    <cellStyle name="Normal 5 10 2 19 4 10" xfId="31778" xr:uid="{00000000-0005-0000-0000-0000127C0000}"/>
    <cellStyle name="Normal 5 10 2 19 4 2" xfId="31779" xr:uid="{00000000-0005-0000-0000-0000137C0000}"/>
    <cellStyle name="Normal 5 10 2 19 4 3" xfId="31780" xr:uid="{00000000-0005-0000-0000-0000147C0000}"/>
    <cellStyle name="Normal 5 10 2 19 4 4" xfId="31781" xr:uid="{00000000-0005-0000-0000-0000157C0000}"/>
    <cellStyle name="Normal 5 10 2 19 4 5" xfId="31782" xr:uid="{00000000-0005-0000-0000-0000167C0000}"/>
    <cellStyle name="Normal 5 10 2 19 4 6" xfId="31783" xr:uid="{00000000-0005-0000-0000-0000177C0000}"/>
    <cellStyle name="Normal 5 10 2 19 4 7" xfId="31784" xr:uid="{00000000-0005-0000-0000-0000187C0000}"/>
    <cellStyle name="Normal 5 10 2 19 4 8" xfId="31785" xr:uid="{00000000-0005-0000-0000-0000197C0000}"/>
    <cellStyle name="Normal 5 10 2 19 4 9" xfId="31786" xr:uid="{00000000-0005-0000-0000-00001A7C0000}"/>
    <cellStyle name="Normal 5 10 2 19 5" xfId="31787" xr:uid="{00000000-0005-0000-0000-00001B7C0000}"/>
    <cellStyle name="Normal 5 10 2 19 5 10" xfId="31788" xr:uid="{00000000-0005-0000-0000-00001C7C0000}"/>
    <cellStyle name="Normal 5 10 2 19 5 2" xfId="31789" xr:uid="{00000000-0005-0000-0000-00001D7C0000}"/>
    <cellStyle name="Normal 5 10 2 19 5 3" xfId="31790" xr:uid="{00000000-0005-0000-0000-00001E7C0000}"/>
    <cellStyle name="Normal 5 10 2 19 5 4" xfId="31791" xr:uid="{00000000-0005-0000-0000-00001F7C0000}"/>
    <cellStyle name="Normal 5 10 2 19 5 5" xfId="31792" xr:uid="{00000000-0005-0000-0000-0000207C0000}"/>
    <cellStyle name="Normal 5 10 2 19 5 6" xfId="31793" xr:uid="{00000000-0005-0000-0000-0000217C0000}"/>
    <cellStyle name="Normal 5 10 2 19 5 7" xfId="31794" xr:uid="{00000000-0005-0000-0000-0000227C0000}"/>
    <cellStyle name="Normal 5 10 2 19 5 8" xfId="31795" xr:uid="{00000000-0005-0000-0000-0000237C0000}"/>
    <cellStyle name="Normal 5 10 2 19 5 9" xfId="31796" xr:uid="{00000000-0005-0000-0000-0000247C0000}"/>
    <cellStyle name="Normal 5 10 2 19 6" xfId="31797" xr:uid="{00000000-0005-0000-0000-0000257C0000}"/>
    <cellStyle name="Normal 5 10 2 19 7" xfId="31798" xr:uid="{00000000-0005-0000-0000-0000267C0000}"/>
    <cellStyle name="Normal 5 10 2 19 8" xfId="31799" xr:uid="{00000000-0005-0000-0000-0000277C0000}"/>
    <cellStyle name="Normal 5 10 2 19 9" xfId="31800" xr:uid="{00000000-0005-0000-0000-0000287C0000}"/>
    <cellStyle name="Normal 5 10 2 2" xfId="31801" xr:uid="{00000000-0005-0000-0000-0000297C0000}"/>
    <cellStyle name="Normal 5 10 2 2 10" xfId="31802" xr:uid="{00000000-0005-0000-0000-00002A7C0000}"/>
    <cellStyle name="Normal 5 10 2 2 11" xfId="31803" xr:uid="{00000000-0005-0000-0000-00002B7C0000}"/>
    <cellStyle name="Normal 5 10 2 2 12" xfId="31804" xr:uid="{00000000-0005-0000-0000-00002C7C0000}"/>
    <cellStyle name="Normal 5 10 2 2 13" xfId="31805" xr:uid="{00000000-0005-0000-0000-00002D7C0000}"/>
    <cellStyle name="Normal 5 10 2 2 14" xfId="31806" xr:uid="{00000000-0005-0000-0000-00002E7C0000}"/>
    <cellStyle name="Normal 5 10 2 2 15" xfId="31807" xr:uid="{00000000-0005-0000-0000-00002F7C0000}"/>
    <cellStyle name="Normal 5 10 2 2 16" xfId="31808" xr:uid="{00000000-0005-0000-0000-0000307C0000}"/>
    <cellStyle name="Normal 5 10 2 2 2" xfId="31809" xr:uid="{00000000-0005-0000-0000-0000317C0000}"/>
    <cellStyle name="Normal 5 10 2 2 2 10" xfId="31810" xr:uid="{00000000-0005-0000-0000-0000327C0000}"/>
    <cellStyle name="Normal 5 10 2 2 2 2" xfId="31811" xr:uid="{00000000-0005-0000-0000-0000337C0000}"/>
    <cellStyle name="Normal 5 10 2 2 2 3" xfId="31812" xr:uid="{00000000-0005-0000-0000-0000347C0000}"/>
    <cellStyle name="Normal 5 10 2 2 2 4" xfId="31813" xr:uid="{00000000-0005-0000-0000-0000357C0000}"/>
    <cellStyle name="Normal 5 10 2 2 2 5" xfId="31814" xr:uid="{00000000-0005-0000-0000-0000367C0000}"/>
    <cellStyle name="Normal 5 10 2 2 2 6" xfId="31815" xr:uid="{00000000-0005-0000-0000-0000377C0000}"/>
    <cellStyle name="Normal 5 10 2 2 2 7" xfId="31816" xr:uid="{00000000-0005-0000-0000-0000387C0000}"/>
    <cellStyle name="Normal 5 10 2 2 2 8" xfId="31817" xr:uid="{00000000-0005-0000-0000-0000397C0000}"/>
    <cellStyle name="Normal 5 10 2 2 2 9" xfId="31818" xr:uid="{00000000-0005-0000-0000-00003A7C0000}"/>
    <cellStyle name="Normal 5 10 2 2 3" xfId="31819" xr:uid="{00000000-0005-0000-0000-00003B7C0000}"/>
    <cellStyle name="Normal 5 10 2 2 3 10" xfId="31820" xr:uid="{00000000-0005-0000-0000-00003C7C0000}"/>
    <cellStyle name="Normal 5 10 2 2 3 2" xfId="31821" xr:uid="{00000000-0005-0000-0000-00003D7C0000}"/>
    <cellStyle name="Normal 5 10 2 2 3 3" xfId="31822" xr:uid="{00000000-0005-0000-0000-00003E7C0000}"/>
    <cellStyle name="Normal 5 10 2 2 3 4" xfId="31823" xr:uid="{00000000-0005-0000-0000-00003F7C0000}"/>
    <cellStyle name="Normal 5 10 2 2 3 5" xfId="31824" xr:uid="{00000000-0005-0000-0000-0000407C0000}"/>
    <cellStyle name="Normal 5 10 2 2 3 6" xfId="31825" xr:uid="{00000000-0005-0000-0000-0000417C0000}"/>
    <cellStyle name="Normal 5 10 2 2 3 7" xfId="31826" xr:uid="{00000000-0005-0000-0000-0000427C0000}"/>
    <cellStyle name="Normal 5 10 2 2 3 8" xfId="31827" xr:uid="{00000000-0005-0000-0000-0000437C0000}"/>
    <cellStyle name="Normal 5 10 2 2 3 9" xfId="31828" xr:uid="{00000000-0005-0000-0000-0000447C0000}"/>
    <cellStyle name="Normal 5 10 2 2 4" xfId="31829" xr:uid="{00000000-0005-0000-0000-0000457C0000}"/>
    <cellStyle name="Normal 5 10 2 2 4 10" xfId="31830" xr:uid="{00000000-0005-0000-0000-0000467C0000}"/>
    <cellStyle name="Normal 5 10 2 2 4 2" xfId="31831" xr:uid="{00000000-0005-0000-0000-0000477C0000}"/>
    <cellStyle name="Normal 5 10 2 2 4 3" xfId="31832" xr:uid="{00000000-0005-0000-0000-0000487C0000}"/>
    <cellStyle name="Normal 5 10 2 2 4 4" xfId="31833" xr:uid="{00000000-0005-0000-0000-0000497C0000}"/>
    <cellStyle name="Normal 5 10 2 2 4 5" xfId="31834" xr:uid="{00000000-0005-0000-0000-00004A7C0000}"/>
    <cellStyle name="Normal 5 10 2 2 4 6" xfId="31835" xr:uid="{00000000-0005-0000-0000-00004B7C0000}"/>
    <cellStyle name="Normal 5 10 2 2 4 7" xfId="31836" xr:uid="{00000000-0005-0000-0000-00004C7C0000}"/>
    <cellStyle name="Normal 5 10 2 2 4 8" xfId="31837" xr:uid="{00000000-0005-0000-0000-00004D7C0000}"/>
    <cellStyle name="Normal 5 10 2 2 4 9" xfId="31838" xr:uid="{00000000-0005-0000-0000-00004E7C0000}"/>
    <cellStyle name="Normal 5 10 2 2 5" xfId="31839" xr:uid="{00000000-0005-0000-0000-00004F7C0000}"/>
    <cellStyle name="Normal 5 10 2 2 5 10" xfId="31840" xr:uid="{00000000-0005-0000-0000-0000507C0000}"/>
    <cellStyle name="Normal 5 10 2 2 5 2" xfId="31841" xr:uid="{00000000-0005-0000-0000-0000517C0000}"/>
    <cellStyle name="Normal 5 10 2 2 5 3" xfId="31842" xr:uid="{00000000-0005-0000-0000-0000527C0000}"/>
    <cellStyle name="Normal 5 10 2 2 5 4" xfId="31843" xr:uid="{00000000-0005-0000-0000-0000537C0000}"/>
    <cellStyle name="Normal 5 10 2 2 5 5" xfId="31844" xr:uid="{00000000-0005-0000-0000-0000547C0000}"/>
    <cellStyle name="Normal 5 10 2 2 5 6" xfId="31845" xr:uid="{00000000-0005-0000-0000-0000557C0000}"/>
    <cellStyle name="Normal 5 10 2 2 5 7" xfId="31846" xr:uid="{00000000-0005-0000-0000-0000567C0000}"/>
    <cellStyle name="Normal 5 10 2 2 5 8" xfId="31847" xr:uid="{00000000-0005-0000-0000-0000577C0000}"/>
    <cellStyle name="Normal 5 10 2 2 5 9" xfId="31848" xr:uid="{00000000-0005-0000-0000-0000587C0000}"/>
    <cellStyle name="Normal 5 10 2 2 6" xfId="31849" xr:uid="{00000000-0005-0000-0000-0000597C0000}"/>
    <cellStyle name="Normal 5 10 2 2 7" xfId="31850" xr:uid="{00000000-0005-0000-0000-00005A7C0000}"/>
    <cellStyle name="Normal 5 10 2 2 8" xfId="31851" xr:uid="{00000000-0005-0000-0000-00005B7C0000}"/>
    <cellStyle name="Normal 5 10 2 2 9" xfId="31852" xr:uid="{00000000-0005-0000-0000-00005C7C0000}"/>
    <cellStyle name="Normal 5 10 2 20" xfId="31853" xr:uid="{00000000-0005-0000-0000-00005D7C0000}"/>
    <cellStyle name="Normal 5 10 2 20 10" xfId="31854" xr:uid="{00000000-0005-0000-0000-00005E7C0000}"/>
    <cellStyle name="Normal 5 10 2 20 11" xfId="31855" xr:uid="{00000000-0005-0000-0000-00005F7C0000}"/>
    <cellStyle name="Normal 5 10 2 20 12" xfId="31856" xr:uid="{00000000-0005-0000-0000-0000607C0000}"/>
    <cellStyle name="Normal 5 10 2 20 13" xfId="31857" xr:uid="{00000000-0005-0000-0000-0000617C0000}"/>
    <cellStyle name="Normal 5 10 2 20 14" xfId="31858" xr:uid="{00000000-0005-0000-0000-0000627C0000}"/>
    <cellStyle name="Normal 5 10 2 20 2" xfId="31859" xr:uid="{00000000-0005-0000-0000-0000637C0000}"/>
    <cellStyle name="Normal 5 10 2 20 2 10" xfId="31860" xr:uid="{00000000-0005-0000-0000-0000647C0000}"/>
    <cellStyle name="Normal 5 10 2 20 2 2" xfId="31861" xr:uid="{00000000-0005-0000-0000-0000657C0000}"/>
    <cellStyle name="Normal 5 10 2 20 2 3" xfId="31862" xr:uid="{00000000-0005-0000-0000-0000667C0000}"/>
    <cellStyle name="Normal 5 10 2 20 2 4" xfId="31863" xr:uid="{00000000-0005-0000-0000-0000677C0000}"/>
    <cellStyle name="Normal 5 10 2 20 2 5" xfId="31864" xr:uid="{00000000-0005-0000-0000-0000687C0000}"/>
    <cellStyle name="Normal 5 10 2 20 2 6" xfId="31865" xr:uid="{00000000-0005-0000-0000-0000697C0000}"/>
    <cellStyle name="Normal 5 10 2 20 2 7" xfId="31866" xr:uid="{00000000-0005-0000-0000-00006A7C0000}"/>
    <cellStyle name="Normal 5 10 2 20 2 8" xfId="31867" xr:uid="{00000000-0005-0000-0000-00006B7C0000}"/>
    <cellStyle name="Normal 5 10 2 20 2 9" xfId="31868" xr:uid="{00000000-0005-0000-0000-00006C7C0000}"/>
    <cellStyle name="Normal 5 10 2 20 3" xfId="31869" xr:uid="{00000000-0005-0000-0000-00006D7C0000}"/>
    <cellStyle name="Normal 5 10 2 20 3 10" xfId="31870" xr:uid="{00000000-0005-0000-0000-00006E7C0000}"/>
    <cellStyle name="Normal 5 10 2 20 3 2" xfId="31871" xr:uid="{00000000-0005-0000-0000-00006F7C0000}"/>
    <cellStyle name="Normal 5 10 2 20 3 3" xfId="31872" xr:uid="{00000000-0005-0000-0000-0000707C0000}"/>
    <cellStyle name="Normal 5 10 2 20 3 4" xfId="31873" xr:uid="{00000000-0005-0000-0000-0000717C0000}"/>
    <cellStyle name="Normal 5 10 2 20 3 5" xfId="31874" xr:uid="{00000000-0005-0000-0000-0000727C0000}"/>
    <cellStyle name="Normal 5 10 2 20 3 6" xfId="31875" xr:uid="{00000000-0005-0000-0000-0000737C0000}"/>
    <cellStyle name="Normal 5 10 2 20 3 7" xfId="31876" xr:uid="{00000000-0005-0000-0000-0000747C0000}"/>
    <cellStyle name="Normal 5 10 2 20 3 8" xfId="31877" xr:uid="{00000000-0005-0000-0000-0000757C0000}"/>
    <cellStyle name="Normal 5 10 2 20 3 9" xfId="31878" xr:uid="{00000000-0005-0000-0000-0000767C0000}"/>
    <cellStyle name="Normal 5 10 2 20 4" xfId="31879" xr:uid="{00000000-0005-0000-0000-0000777C0000}"/>
    <cellStyle name="Normal 5 10 2 20 4 10" xfId="31880" xr:uid="{00000000-0005-0000-0000-0000787C0000}"/>
    <cellStyle name="Normal 5 10 2 20 4 2" xfId="31881" xr:uid="{00000000-0005-0000-0000-0000797C0000}"/>
    <cellStyle name="Normal 5 10 2 20 4 3" xfId="31882" xr:uid="{00000000-0005-0000-0000-00007A7C0000}"/>
    <cellStyle name="Normal 5 10 2 20 4 4" xfId="31883" xr:uid="{00000000-0005-0000-0000-00007B7C0000}"/>
    <cellStyle name="Normal 5 10 2 20 4 5" xfId="31884" xr:uid="{00000000-0005-0000-0000-00007C7C0000}"/>
    <cellStyle name="Normal 5 10 2 20 4 6" xfId="31885" xr:uid="{00000000-0005-0000-0000-00007D7C0000}"/>
    <cellStyle name="Normal 5 10 2 20 4 7" xfId="31886" xr:uid="{00000000-0005-0000-0000-00007E7C0000}"/>
    <cellStyle name="Normal 5 10 2 20 4 8" xfId="31887" xr:uid="{00000000-0005-0000-0000-00007F7C0000}"/>
    <cellStyle name="Normal 5 10 2 20 4 9" xfId="31888" xr:uid="{00000000-0005-0000-0000-0000807C0000}"/>
    <cellStyle name="Normal 5 10 2 20 5" xfId="31889" xr:uid="{00000000-0005-0000-0000-0000817C0000}"/>
    <cellStyle name="Normal 5 10 2 20 5 10" xfId="31890" xr:uid="{00000000-0005-0000-0000-0000827C0000}"/>
    <cellStyle name="Normal 5 10 2 20 5 2" xfId="31891" xr:uid="{00000000-0005-0000-0000-0000837C0000}"/>
    <cellStyle name="Normal 5 10 2 20 5 3" xfId="31892" xr:uid="{00000000-0005-0000-0000-0000847C0000}"/>
    <cellStyle name="Normal 5 10 2 20 5 4" xfId="31893" xr:uid="{00000000-0005-0000-0000-0000857C0000}"/>
    <cellStyle name="Normal 5 10 2 20 5 5" xfId="31894" xr:uid="{00000000-0005-0000-0000-0000867C0000}"/>
    <cellStyle name="Normal 5 10 2 20 5 6" xfId="31895" xr:uid="{00000000-0005-0000-0000-0000877C0000}"/>
    <cellStyle name="Normal 5 10 2 20 5 7" xfId="31896" xr:uid="{00000000-0005-0000-0000-0000887C0000}"/>
    <cellStyle name="Normal 5 10 2 20 5 8" xfId="31897" xr:uid="{00000000-0005-0000-0000-0000897C0000}"/>
    <cellStyle name="Normal 5 10 2 20 5 9" xfId="31898" xr:uid="{00000000-0005-0000-0000-00008A7C0000}"/>
    <cellStyle name="Normal 5 10 2 20 6" xfId="31899" xr:uid="{00000000-0005-0000-0000-00008B7C0000}"/>
    <cellStyle name="Normal 5 10 2 20 7" xfId="31900" xr:uid="{00000000-0005-0000-0000-00008C7C0000}"/>
    <cellStyle name="Normal 5 10 2 20 8" xfId="31901" xr:uid="{00000000-0005-0000-0000-00008D7C0000}"/>
    <cellStyle name="Normal 5 10 2 20 9" xfId="31902" xr:uid="{00000000-0005-0000-0000-00008E7C0000}"/>
    <cellStyle name="Normal 5 10 2 21" xfId="31903" xr:uid="{00000000-0005-0000-0000-00008F7C0000}"/>
    <cellStyle name="Normal 5 10 2 21 10" xfId="31904" xr:uid="{00000000-0005-0000-0000-0000907C0000}"/>
    <cellStyle name="Normal 5 10 2 21 11" xfId="31905" xr:uid="{00000000-0005-0000-0000-0000917C0000}"/>
    <cellStyle name="Normal 5 10 2 21 12" xfId="31906" xr:uid="{00000000-0005-0000-0000-0000927C0000}"/>
    <cellStyle name="Normal 5 10 2 21 13" xfId="31907" xr:uid="{00000000-0005-0000-0000-0000937C0000}"/>
    <cellStyle name="Normal 5 10 2 21 14" xfId="31908" xr:uid="{00000000-0005-0000-0000-0000947C0000}"/>
    <cellStyle name="Normal 5 10 2 21 2" xfId="31909" xr:uid="{00000000-0005-0000-0000-0000957C0000}"/>
    <cellStyle name="Normal 5 10 2 21 2 10" xfId="31910" xr:uid="{00000000-0005-0000-0000-0000967C0000}"/>
    <cellStyle name="Normal 5 10 2 21 2 2" xfId="31911" xr:uid="{00000000-0005-0000-0000-0000977C0000}"/>
    <cellStyle name="Normal 5 10 2 21 2 3" xfId="31912" xr:uid="{00000000-0005-0000-0000-0000987C0000}"/>
    <cellStyle name="Normal 5 10 2 21 2 4" xfId="31913" xr:uid="{00000000-0005-0000-0000-0000997C0000}"/>
    <cellStyle name="Normal 5 10 2 21 2 5" xfId="31914" xr:uid="{00000000-0005-0000-0000-00009A7C0000}"/>
    <cellStyle name="Normal 5 10 2 21 2 6" xfId="31915" xr:uid="{00000000-0005-0000-0000-00009B7C0000}"/>
    <cellStyle name="Normal 5 10 2 21 2 7" xfId="31916" xr:uid="{00000000-0005-0000-0000-00009C7C0000}"/>
    <cellStyle name="Normal 5 10 2 21 2 8" xfId="31917" xr:uid="{00000000-0005-0000-0000-00009D7C0000}"/>
    <cellStyle name="Normal 5 10 2 21 2 9" xfId="31918" xr:uid="{00000000-0005-0000-0000-00009E7C0000}"/>
    <cellStyle name="Normal 5 10 2 21 3" xfId="31919" xr:uid="{00000000-0005-0000-0000-00009F7C0000}"/>
    <cellStyle name="Normal 5 10 2 21 3 10" xfId="31920" xr:uid="{00000000-0005-0000-0000-0000A07C0000}"/>
    <cellStyle name="Normal 5 10 2 21 3 2" xfId="31921" xr:uid="{00000000-0005-0000-0000-0000A17C0000}"/>
    <cellStyle name="Normal 5 10 2 21 3 3" xfId="31922" xr:uid="{00000000-0005-0000-0000-0000A27C0000}"/>
    <cellStyle name="Normal 5 10 2 21 3 4" xfId="31923" xr:uid="{00000000-0005-0000-0000-0000A37C0000}"/>
    <cellStyle name="Normal 5 10 2 21 3 5" xfId="31924" xr:uid="{00000000-0005-0000-0000-0000A47C0000}"/>
    <cellStyle name="Normal 5 10 2 21 3 6" xfId="31925" xr:uid="{00000000-0005-0000-0000-0000A57C0000}"/>
    <cellStyle name="Normal 5 10 2 21 3 7" xfId="31926" xr:uid="{00000000-0005-0000-0000-0000A67C0000}"/>
    <cellStyle name="Normal 5 10 2 21 3 8" xfId="31927" xr:uid="{00000000-0005-0000-0000-0000A77C0000}"/>
    <cellStyle name="Normal 5 10 2 21 3 9" xfId="31928" xr:uid="{00000000-0005-0000-0000-0000A87C0000}"/>
    <cellStyle name="Normal 5 10 2 21 4" xfId="31929" xr:uid="{00000000-0005-0000-0000-0000A97C0000}"/>
    <cellStyle name="Normal 5 10 2 21 4 10" xfId="31930" xr:uid="{00000000-0005-0000-0000-0000AA7C0000}"/>
    <cellStyle name="Normal 5 10 2 21 4 2" xfId="31931" xr:uid="{00000000-0005-0000-0000-0000AB7C0000}"/>
    <cellStyle name="Normal 5 10 2 21 4 3" xfId="31932" xr:uid="{00000000-0005-0000-0000-0000AC7C0000}"/>
    <cellStyle name="Normal 5 10 2 21 4 4" xfId="31933" xr:uid="{00000000-0005-0000-0000-0000AD7C0000}"/>
    <cellStyle name="Normal 5 10 2 21 4 5" xfId="31934" xr:uid="{00000000-0005-0000-0000-0000AE7C0000}"/>
    <cellStyle name="Normal 5 10 2 21 4 6" xfId="31935" xr:uid="{00000000-0005-0000-0000-0000AF7C0000}"/>
    <cellStyle name="Normal 5 10 2 21 4 7" xfId="31936" xr:uid="{00000000-0005-0000-0000-0000B07C0000}"/>
    <cellStyle name="Normal 5 10 2 21 4 8" xfId="31937" xr:uid="{00000000-0005-0000-0000-0000B17C0000}"/>
    <cellStyle name="Normal 5 10 2 21 4 9" xfId="31938" xr:uid="{00000000-0005-0000-0000-0000B27C0000}"/>
    <cellStyle name="Normal 5 10 2 21 5" xfId="31939" xr:uid="{00000000-0005-0000-0000-0000B37C0000}"/>
    <cellStyle name="Normal 5 10 2 21 5 10" xfId="31940" xr:uid="{00000000-0005-0000-0000-0000B47C0000}"/>
    <cellStyle name="Normal 5 10 2 21 5 2" xfId="31941" xr:uid="{00000000-0005-0000-0000-0000B57C0000}"/>
    <cellStyle name="Normal 5 10 2 21 5 3" xfId="31942" xr:uid="{00000000-0005-0000-0000-0000B67C0000}"/>
    <cellStyle name="Normal 5 10 2 21 5 4" xfId="31943" xr:uid="{00000000-0005-0000-0000-0000B77C0000}"/>
    <cellStyle name="Normal 5 10 2 21 5 5" xfId="31944" xr:uid="{00000000-0005-0000-0000-0000B87C0000}"/>
    <cellStyle name="Normal 5 10 2 21 5 6" xfId="31945" xr:uid="{00000000-0005-0000-0000-0000B97C0000}"/>
    <cellStyle name="Normal 5 10 2 21 5 7" xfId="31946" xr:uid="{00000000-0005-0000-0000-0000BA7C0000}"/>
    <cellStyle name="Normal 5 10 2 21 5 8" xfId="31947" xr:uid="{00000000-0005-0000-0000-0000BB7C0000}"/>
    <cellStyle name="Normal 5 10 2 21 5 9" xfId="31948" xr:uid="{00000000-0005-0000-0000-0000BC7C0000}"/>
    <cellStyle name="Normal 5 10 2 21 6" xfId="31949" xr:uid="{00000000-0005-0000-0000-0000BD7C0000}"/>
    <cellStyle name="Normal 5 10 2 21 7" xfId="31950" xr:uid="{00000000-0005-0000-0000-0000BE7C0000}"/>
    <cellStyle name="Normal 5 10 2 21 8" xfId="31951" xr:uid="{00000000-0005-0000-0000-0000BF7C0000}"/>
    <cellStyle name="Normal 5 10 2 21 9" xfId="31952" xr:uid="{00000000-0005-0000-0000-0000C07C0000}"/>
    <cellStyle name="Normal 5 10 2 22" xfId="31953" xr:uid="{00000000-0005-0000-0000-0000C17C0000}"/>
    <cellStyle name="Normal 5 10 2 22 10" xfId="31954" xr:uid="{00000000-0005-0000-0000-0000C27C0000}"/>
    <cellStyle name="Normal 5 10 2 22 11" xfId="31955" xr:uid="{00000000-0005-0000-0000-0000C37C0000}"/>
    <cellStyle name="Normal 5 10 2 22 12" xfId="31956" xr:uid="{00000000-0005-0000-0000-0000C47C0000}"/>
    <cellStyle name="Normal 5 10 2 22 13" xfId="31957" xr:uid="{00000000-0005-0000-0000-0000C57C0000}"/>
    <cellStyle name="Normal 5 10 2 22 14" xfId="31958" xr:uid="{00000000-0005-0000-0000-0000C67C0000}"/>
    <cellStyle name="Normal 5 10 2 22 2" xfId="31959" xr:uid="{00000000-0005-0000-0000-0000C77C0000}"/>
    <cellStyle name="Normal 5 10 2 22 2 10" xfId="31960" xr:uid="{00000000-0005-0000-0000-0000C87C0000}"/>
    <cellStyle name="Normal 5 10 2 22 2 2" xfId="31961" xr:uid="{00000000-0005-0000-0000-0000C97C0000}"/>
    <cellStyle name="Normal 5 10 2 22 2 3" xfId="31962" xr:uid="{00000000-0005-0000-0000-0000CA7C0000}"/>
    <cellStyle name="Normal 5 10 2 22 2 4" xfId="31963" xr:uid="{00000000-0005-0000-0000-0000CB7C0000}"/>
    <cellStyle name="Normal 5 10 2 22 2 5" xfId="31964" xr:uid="{00000000-0005-0000-0000-0000CC7C0000}"/>
    <cellStyle name="Normal 5 10 2 22 2 6" xfId="31965" xr:uid="{00000000-0005-0000-0000-0000CD7C0000}"/>
    <cellStyle name="Normal 5 10 2 22 2 7" xfId="31966" xr:uid="{00000000-0005-0000-0000-0000CE7C0000}"/>
    <cellStyle name="Normal 5 10 2 22 2 8" xfId="31967" xr:uid="{00000000-0005-0000-0000-0000CF7C0000}"/>
    <cellStyle name="Normal 5 10 2 22 2 9" xfId="31968" xr:uid="{00000000-0005-0000-0000-0000D07C0000}"/>
    <cellStyle name="Normal 5 10 2 22 3" xfId="31969" xr:uid="{00000000-0005-0000-0000-0000D17C0000}"/>
    <cellStyle name="Normal 5 10 2 22 3 10" xfId="31970" xr:uid="{00000000-0005-0000-0000-0000D27C0000}"/>
    <cellStyle name="Normal 5 10 2 22 3 2" xfId="31971" xr:uid="{00000000-0005-0000-0000-0000D37C0000}"/>
    <cellStyle name="Normal 5 10 2 22 3 3" xfId="31972" xr:uid="{00000000-0005-0000-0000-0000D47C0000}"/>
    <cellStyle name="Normal 5 10 2 22 3 4" xfId="31973" xr:uid="{00000000-0005-0000-0000-0000D57C0000}"/>
    <cellStyle name="Normal 5 10 2 22 3 5" xfId="31974" xr:uid="{00000000-0005-0000-0000-0000D67C0000}"/>
    <cellStyle name="Normal 5 10 2 22 3 6" xfId="31975" xr:uid="{00000000-0005-0000-0000-0000D77C0000}"/>
    <cellStyle name="Normal 5 10 2 22 3 7" xfId="31976" xr:uid="{00000000-0005-0000-0000-0000D87C0000}"/>
    <cellStyle name="Normal 5 10 2 22 3 8" xfId="31977" xr:uid="{00000000-0005-0000-0000-0000D97C0000}"/>
    <cellStyle name="Normal 5 10 2 22 3 9" xfId="31978" xr:uid="{00000000-0005-0000-0000-0000DA7C0000}"/>
    <cellStyle name="Normal 5 10 2 22 4" xfId="31979" xr:uid="{00000000-0005-0000-0000-0000DB7C0000}"/>
    <cellStyle name="Normal 5 10 2 22 4 10" xfId="31980" xr:uid="{00000000-0005-0000-0000-0000DC7C0000}"/>
    <cellStyle name="Normal 5 10 2 22 4 2" xfId="31981" xr:uid="{00000000-0005-0000-0000-0000DD7C0000}"/>
    <cellStyle name="Normal 5 10 2 22 4 3" xfId="31982" xr:uid="{00000000-0005-0000-0000-0000DE7C0000}"/>
    <cellStyle name="Normal 5 10 2 22 4 4" xfId="31983" xr:uid="{00000000-0005-0000-0000-0000DF7C0000}"/>
    <cellStyle name="Normal 5 10 2 22 4 5" xfId="31984" xr:uid="{00000000-0005-0000-0000-0000E07C0000}"/>
    <cellStyle name="Normal 5 10 2 22 4 6" xfId="31985" xr:uid="{00000000-0005-0000-0000-0000E17C0000}"/>
    <cellStyle name="Normal 5 10 2 22 4 7" xfId="31986" xr:uid="{00000000-0005-0000-0000-0000E27C0000}"/>
    <cellStyle name="Normal 5 10 2 22 4 8" xfId="31987" xr:uid="{00000000-0005-0000-0000-0000E37C0000}"/>
    <cellStyle name="Normal 5 10 2 22 4 9" xfId="31988" xr:uid="{00000000-0005-0000-0000-0000E47C0000}"/>
    <cellStyle name="Normal 5 10 2 22 5" xfId="31989" xr:uid="{00000000-0005-0000-0000-0000E57C0000}"/>
    <cellStyle name="Normal 5 10 2 22 5 10" xfId="31990" xr:uid="{00000000-0005-0000-0000-0000E67C0000}"/>
    <cellStyle name="Normal 5 10 2 22 5 2" xfId="31991" xr:uid="{00000000-0005-0000-0000-0000E77C0000}"/>
    <cellStyle name="Normal 5 10 2 22 5 3" xfId="31992" xr:uid="{00000000-0005-0000-0000-0000E87C0000}"/>
    <cellStyle name="Normal 5 10 2 22 5 4" xfId="31993" xr:uid="{00000000-0005-0000-0000-0000E97C0000}"/>
    <cellStyle name="Normal 5 10 2 22 5 5" xfId="31994" xr:uid="{00000000-0005-0000-0000-0000EA7C0000}"/>
    <cellStyle name="Normal 5 10 2 22 5 6" xfId="31995" xr:uid="{00000000-0005-0000-0000-0000EB7C0000}"/>
    <cellStyle name="Normal 5 10 2 22 5 7" xfId="31996" xr:uid="{00000000-0005-0000-0000-0000EC7C0000}"/>
    <cellStyle name="Normal 5 10 2 22 5 8" xfId="31997" xr:uid="{00000000-0005-0000-0000-0000ED7C0000}"/>
    <cellStyle name="Normal 5 10 2 22 5 9" xfId="31998" xr:uid="{00000000-0005-0000-0000-0000EE7C0000}"/>
    <cellStyle name="Normal 5 10 2 22 6" xfId="31999" xr:uid="{00000000-0005-0000-0000-0000EF7C0000}"/>
    <cellStyle name="Normal 5 10 2 22 7" xfId="32000" xr:uid="{00000000-0005-0000-0000-0000F07C0000}"/>
    <cellStyle name="Normal 5 10 2 22 8" xfId="32001" xr:uid="{00000000-0005-0000-0000-0000F17C0000}"/>
    <cellStyle name="Normal 5 10 2 22 9" xfId="32002" xr:uid="{00000000-0005-0000-0000-0000F27C0000}"/>
    <cellStyle name="Normal 5 10 2 23" xfId="32003" xr:uid="{00000000-0005-0000-0000-0000F37C0000}"/>
    <cellStyle name="Normal 5 10 2 23 10" xfId="32004" xr:uid="{00000000-0005-0000-0000-0000F47C0000}"/>
    <cellStyle name="Normal 5 10 2 23 11" xfId="32005" xr:uid="{00000000-0005-0000-0000-0000F57C0000}"/>
    <cellStyle name="Normal 5 10 2 23 12" xfId="32006" xr:uid="{00000000-0005-0000-0000-0000F67C0000}"/>
    <cellStyle name="Normal 5 10 2 23 13" xfId="32007" xr:uid="{00000000-0005-0000-0000-0000F77C0000}"/>
    <cellStyle name="Normal 5 10 2 23 14" xfId="32008" xr:uid="{00000000-0005-0000-0000-0000F87C0000}"/>
    <cellStyle name="Normal 5 10 2 23 2" xfId="32009" xr:uid="{00000000-0005-0000-0000-0000F97C0000}"/>
    <cellStyle name="Normal 5 10 2 23 2 10" xfId="32010" xr:uid="{00000000-0005-0000-0000-0000FA7C0000}"/>
    <cellStyle name="Normal 5 10 2 23 2 2" xfId="32011" xr:uid="{00000000-0005-0000-0000-0000FB7C0000}"/>
    <cellStyle name="Normal 5 10 2 23 2 3" xfId="32012" xr:uid="{00000000-0005-0000-0000-0000FC7C0000}"/>
    <cellStyle name="Normal 5 10 2 23 2 4" xfId="32013" xr:uid="{00000000-0005-0000-0000-0000FD7C0000}"/>
    <cellStyle name="Normal 5 10 2 23 2 5" xfId="32014" xr:uid="{00000000-0005-0000-0000-0000FE7C0000}"/>
    <cellStyle name="Normal 5 10 2 23 2 6" xfId="32015" xr:uid="{00000000-0005-0000-0000-0000FF7C0000}"/>
    <cellStyle name="Normal 5 10 2 23 2 7" xfId="32016" xr:uid="{00000000-0005-0000-0000-0000007D0000}"/>
    <cellStyle name="Normal 5 10 2 23 2 8" xfId="32017" xr:uid="{00000000-0005-0000-0000-0000017D0000}"/>
    <cellStyle name="Normal 5 10 2 23 2 9" xfId="32018" xr:uid="{00000000-0005-0000-0000-0000027D0000}"/>
    <cellStyle name="Normal 5 10 2 23 3" xfId="32019" xr:uid="{00000000-0005-0000-0000-0000037D0000}"/>
    <cellStyle name="Normal 5 10 2 23 3 10" xfId="32020" xr:uid="{00000000-0005-0000-0000-0000047D0000}"/>
    <cellStyle name="Normal 5 10 2 23 3 2" xfId="32021" xr:uid="{00000000-0005-0000-0000-0000057D0000}"/>
    <cellStyle name="Normal 5 10 2 23 3 3" xfId="32022" xr:uid="{00000000-0005-0000-0000-0000067D0000}"/>
    <cellStyle name="Normal 5 10 2 23 3 4" xfId="32023" xr:uid="{00000000-0005-0000-0000-0000077D0000}"/>
    <cellStyle name="Normal 5 10 2 23 3 5" xfId="32024" xr:uid="{00000000-0005-0000-0000-0000087D0000}"/>
    <cellStyle name="Normal 5 10 2 23 3 6" xfId="32025" xr:uid="{00000000-0005-0000-0000-0000097D0000}"/>
    <cellStyle name="Normal 5 10 2 23 3 7" xfId="32026" xr:uid="{00000000-0005-0000-0000-00000A7D0000}"/>
    <cellStyle name="Normal 5 10 2 23 3 8" xfId="32027" xr:uid="{00000000-0005-0000-0000-00000B7D0000}"/>
    <cellStyle name="Normal 5 10 2 23 3 9" xfId="32028" xr:uid="{00000000-0005-0000-0000-00000C7D0000}"/>
    <cellStyle name="Normal 5 10 2 23 4" xfId="32029" xr:uid="{00000000-0005-0000-0000-00000D7D0000}"/>
    <cellStyle name="Normal 5 10 2 23 4 10" xfId="32030" xr:uid="{00000000-0005-0000-0000-00000E7D0000}"/>
    <cellStyle name="Normal 5 10 2 23 4 2" xfId="32031" xr:uid="{00000000-0005-0000-0000-00000F7D0000}"/>
    <cellStyle name="Normal 5 10 2 23 4 3" xfId="32032" xr:uid="{00000000-0005-0000-0000-0000107D0000}"/>
    <cellStyle name="Normal 5 10 2 23 4 4" xfId="32033" xr:uid="{00000000-0005-0000-0000-0000117D0000}"/>
    <cellStyle name="Normal 5 10 2 23 4 5" xfId="32034" xr:uid="{00000000-0005-0000-0000-0000127D0000}"/>
    <cellStyle name="Normal 5 10 2 23 4 6" xfId="32035" xr:uid="{00000000-0005-0000-0000-0000137D0000}"/>
    <cellStyle name="Normal 5 10 2 23 4 7" xfId="32036" xr:uid="{00000000-0005-0000-0000-0000147D0000}"/>
    <cellStyle name="Normal 5 10 2 23 4 8" xfId="32037" xr:uid="{00000000-0005-0000-0000-0000157D0000}"/>
    <cellStyle name="Normal 5 10 2 23 4 9" xfId="32038" xr:uid="{00000000-0005-0000-0000-0000167D0000}"/>
    <cellStyle name="Normal 5 10 2 23 5" xfId="32039" xr:uid="{00000000-0005-0000-0000-0000177D0000}"/>
    <cellStyle name="Normal 5 10 2 23 5 10" xfId="32040" xr:uid="{00000000-0005-0000-0000-0000187D0000}"/>
    <cellStyle name="Normal 5 10 2 23 5 2" xfId="32041" xr:uid="{00000000-0005-0000-0000-0000197D0000}"/>
    <cellStyle name="Normal 5 10 2 23 5 3" xfId="32042" xr:uid="{00000000-0005-0000-0000-00001A7D0000}"/>
    <cellStyle name="Normal 5 10 2 23 5 4" xfId="32043" xr:uid="{00000000-0005-0000-0000-00001B7D0000}"/>
    <cellStyle name="Normal 5 10 2 23 5 5" xfId="32044" xr:uid="{00000000-0005-0000-0000-00001C7D0000}"/>
    <cellStyle name="Normal 5 10 2 23 5 6" xfId="32045" xr:uid="{00000000-0005-0000-0000-00001D7D0000}"/>
    <cellStyle name="Normal 5 10 2 23 5 7" xfId="32046" xr:uid="{00000000-0005-0000-0000-00001E7D0000}"/>
    <cellStyle name="Normal 5 10 2 23 5 8" xfId="32047" xr:uid="{00000000-0005-0000-0000-00001F7D0000}"/>
    <cellStyle name="Normal 5 10 2 23 5 9" xfId="32048" xr:uid="{00000000-0005-0000-0000-0000207D0000}"/>
    <cellStyle name="Normal 5 10 2 23 6" xfId="32049" xr:uid="{00000000-0005-0000-0000-0000217D0000}"/>
    <cellStyle name="Normal 5 10 2 23 7" xfId="32050" xr:uid="{00000000-0005-0000-0000-0000227D0000}"/>
    <cellStyle name="Normal 5 10 2 23 8" xfId="32051" xr:uid="{00000000-0005-0000-0000-0000237D0000}"/>
    <cellStyle name="Normal 5 10 2 23 9" xfId="32052" xr:uid="{00000000-0005-0000-0000-0000247D0000}"/>
    <cellStyle name="Normal 5 10 2 24" xfId="32053" xr:uid="{00000000-0005-0000-0000-0000257D0000}"/>
    <cellStyle name="Normal 5 10 2 24 10" xfId="32054" xr:uid="{00000000-0005-0000-0000-0000267D0000}"/>
    <cellStyle name="Normal 5 10 2 24 11" xfId="32055" xr:uid="{00000000-0005-0000-0000-0000277D0000}"/>
    <cellStyle name="Normal 5 10 2 24 12" xfId="32056" xr:uid="{00000000-0005-0000-0000-0000287D0000}"/>
    <cellStyle name="Normal 5 10 2 24 13" xfId="32057" xr:uid="{00000000-0005-0000-0000-0000297D0000}"/>
    <cellStyle name="Normal 5 10 2 24 14" xfId="32058" xr:uid="{00000000-0005-0000-0000-00002A7D0000}"/>
    <cellStyle name="Normal 5 10 2 24 2" xfId="32059" xr:uid="{00000000-0005-0000-0000-00002B7D0000}"/>
    <cellStyle name="Normal 5 10 2 24 2 10" xfId="32060" xr:uid="{00000000-0005-0000-0000-00002C7D0000}"/>
    <cellStyle name="Normal 5 10 2 24 2 2" xfId="32061" xr:uid="{00000000-0005-0000-0000-00002D7D0000}"/>
    <cellStyle name="Normal 5 10 2 24 2 3" xfId="32062" xr:uid="{00000000-0005-0000-0000-00002E7D0000}"/>
    <cellStyle name="Normal 5 10 2 24 2 4" xfId="32063" xr:uid="{00000000-0005-0000-0000-00002F7D0000}"/>
    <cellStyle name="Normal 5 10 2 24 2 5" xfId="32064" xr:uid="{00000000-0005-0000-0000-0000307D0000}"/>
    <cellStyle name="Normal 5 10 2 24 2 6" xfId="32065" xr:uid="{00000000-0005-0000-0000-0000317D0000}"/>
    <cellStyle name="Normal 5 10 2 24 2 7" xfId="32066" xr:uid="{00000000-0005-0000-0000-0000327D0000}"/>
    <cellStyle name="Normal 5 10 2 24 2 8" xfId="32067" xr:uid="{00000000-0005-0000-0000-0000337D0000}"/>
    <cellStyle name="Normal 5 10 2 24 2 9" xfId="32068" xr:uid="{00000000-0005-0000-0000-0000347D0000}"/>
    <cellStyle name="Normal 5 10 2 24 3" xfId="32069" xr:uid="{00000000-0005-0000-0000-0000357D0000}"/>
    <cellStyle name="Normal 5 10 2 24 3 10" xfId="32070" xr:uid="{00000000-0005-0000-0000-0000367D0000}"/>
    <cellStyle name="Normal 5 10 2 24 3 2" xfId="32071" xr:uid="{00000000-0005-0000-0000-0000377D0000}"/>
    <cellStyle name="Normal 5 10 2 24 3 3" xfId="32072" xr:uid="{00000000-0005-0000-0000-0000387D0000}"/>
    <cellStyle name="Normal 5 10 2 24 3 4" xfId="32073" xr:uid="{00000000-0005-0000-0000-0000397D0000}"/>
    <cellStyle name="Normal 5 10 2 24 3 5" xfId="32074" xr:uid="{00000000-0005-0000-0000-00003A7D0000}"/>
    <cellStyle name="Normal 5 10 2 24 3 6" xfId="32075" xr:uid="{00000000-0005-0000-0000-00003B7D0000}"/>
    <cellStyle name="Normal 5 10 2 24 3 7" xfId="32076" xr:uid="{00000000-0005-0000-0000-00003C7D0000}"/>
    <cellStyle name="Normal 5 10 2 24 3 8" xfId="32077" xr:uid="{00000000-0005-0000-0000-00003D7D0000}"/>
    <cellStyle name="Normal 5 10 2 24 3 9" xfId="32078" xr:uid="{00000000-0005-0000-0000-00003E7D0000}"/>
    <cellStyle name="Normal 5 10 2 24 4" xfId="32079" xr:uid="{00000000-0005-0000-0000-00003F7D0000}"/>
    <cellStyle name="Normal 5 10 2 24 4 10" xfId="32080" xr:uid="{00000000-0005-0000-0000-0000407D0000}"/>
    <cellStyle name="Normal 5 10 2 24 4 2" xfId="32081" xr:uid="{00000000-0005-0000-0000-0000417D0000}"/>
    <cellStyle name="Normal 5 10 2 24 4 3" xfId="32082" xr:uid="{00000000-0005-0000-0000-0000427D0000}"/>
    <cellStyle name="Normal 5 10 2 24 4 4" xfId="32083" xr:uid="{00000000-0005-0000-0000-0000437D0000}"/>
    <cellStyle name="Normal 5 10 2 24 4 5" xfId="32084" xr:uid="{00000000-0005-0000-0000-0000447D0000}"/>
    <cellStyle name="Normal 5 10 2 24 4 6" xfId="32085" xr:uid="{00000000-0005-0000-0000-0000457D0000}"/>
    <cellStyle name="Normal 5 10 2 24 4 7" xfId="32086" xr:uid="{00000000-0005-0000-0000-0000467D0000}"/>
    <cellStyle name="Normal 5 10 2 24 4 8" xfId="32087" xr:uid="{00000000-0005-0000-0000-0000477D0000}"/>
    <cellStyle name="Normal 5 10 2 24 4 9" xfId="32088" xr:uid="{00000000-0005-0000-0000-0000487D0000}"/>
    <cellStyle name="Normal 5 10 2 24 5" xfId="32089" xr:uid="{00000000-0005-0000-0000-0000497D0000}"/>
    <cellStyle name="Normal 5 10 2 24 5 10" xfId="32090" xr:uid="{00000000-0005-0000-0000-00004A7D0000}"/>
    <cellStyle name="Normal 5 10 2 24 5 2" xfId="32091" xr:uid="{00000000-0005-0000-0000-00004B7D0000}"/>
    <cellStyle name="Normal 5 10 2 24 5 3" xfId="32092" xr:uid="{00000000-0005-0000-0000-00004C7D0000}"/>
    <cellStyle name="Normal 5 10 2 24 5 4" xfId="32093" xr:uid="{00000000-0005-0000-0000-00004D7D0000}"/>
    <cellStyle name="Normal 5 10 2 24 5 5" xfId="32094" xr:uid="{00000000-0005-0000-0000-00004E7D0000}"/>
    <cellStyle name="Normal 5 10 2 24 5 6" xfId="32095" xr:uid="{00000000-0005-0000-0000-00004F7D0000}"/>
    <cellStyle name="Normal 5 10 2 24 5 7" xfId="32096" xr:uid="{00000000-0005-0000-0000-0000507D0000}"/>
    <cellStyle name="Normal 5 10 2 24 5 8" xfId="32097" xr:uid="{00000000-0005-0000-0000-0000517D0000}"/>
    <cellStyle name="Normal 5 10 2 24 5 9" xfId="32098" xr:uid="{00000000-0005-0000-0000-0000527D0000}"/>
    <cellStyle name="Normal 5 10 2 24 6" xfId="32099" xr:uid="{00000000-0005-0000-0000-0000537D0000}"/>
    <cellStyle name="Normal 5 10 2 24 7" xfId="32100" xr:uid="{00000000-0005-0000-0000-0000547D0000}"/>
    <cellStyle name="Normal 5 10 2 24 8" xfId="32101" xr:uid="{00000000-0005-0000-0000-0000557D0000}"/>
    <cellStyle name="Normal 5 10 2 24 9" xfId="32102" xr:uid="{00000000-0005-0000-0000-0000567D0000}"/>
    <cellStyle name="Normal 5 10 2 25" xfId="32103" xr:uid="{00000000-0005-0000-0000-0000577D0000}"/>
    <cellStyle name="Normal 5 10 2 25 10" xfId="32104" xr:uid="{00000000-0005-0000-0000-0000587D0000}"/>
    <cellStyle name="Normal 5 10 2 25 11" xfId="32105" xr:uid="{00000000-0005-0000-0000-0000597D0000}"/>
    <cellStyle name="Normal 5 10 2 25 12" xfId="32106" xr:uid="{00000000-0005-0000-0000-00005A7D0000}"/>
    <cellStyle name="Normal 5 10 2 25 13" xfId="32107" xr:uid="{00000000-0005-0000-0000-00005B7D0000}"/>
    <cellStyle name="Normal 5 10 2 25 14" xfId="32108" xr:uid="{00000000-0005-0000-0000-00005C7D0000}"/>
    <cellStyle name="Normal 5 10 2 25 2" xfId="32109" xr:uid="{00000000-0005-0000-0000-00005D7D0000}"/>
    <cellStyle name="Normal 5 10 2 25 2 10" xfId="32110" xr:uid="{00000000-0005-0000-0000-00005E7D0000}"/>
    <cellStyle name="Normal 5 10 2 25 2 2" xfId="32111" xr:uid="{00000000-0005-0000-0000-00005F7D0000}"/>
    <cellStyle name="Normal 5 10 2 25 2 3" xfId="32112" xr:uid="{00000000-0005-0000-0000-0000607D0000}"/>
    <cellStyle name="Normal 5 10 2 25 2 4" xfId="32113" xr:uid="{00000000-0005-0000-0000-0000617D0000}"/>
    <cellStyle name="Normal 5 10 2 25 2 5" xfId="32114" xr:uid="{00000000-0005-0000-0000-0000627D0000}"/>
    <cellStyle name="Normal 5 10 2 25 2 6" xfId="32115" xr:uid="{00000000-0005-0000-0000-0000637D0000}"/>
    <cellStyle name="Normal 5 10 2 25 2 7" xfId="32116" xr:uid="{00000000-0005-0000-0000-0000647D0000}"/>
    <cellStyle name="Normal 5 10 2 25 2 8" xfId="32117" xr:uid="{00000000-0005-0000-0000-0000657D0000}"/>
    <cellStyle name="Normal 5 10 2 25 2 9" xfId="32118" xr:uid="{00000000-0005-0000-0000-0000667D0000}"/>
    <cellStyle name="Normal 5 10 2 25 3" xfId="32119" xr:uid="{00000000-0005-0000-0000-0000677D0000}"/>
    <cellStyle name="Normal 5 10 2 25 3 10" xfId="32120" xr:uid="{00000000-0005-0000-0000-0000687D0000}"/>
    <cellStyle name="Normal 5 10 2 25 3 2" xfId="32121" xr:uid="{00000000-0005-0000-0000-0000697D0000}"/>
    <cellStyle name="Normal 5 10 2 25 3 3" xfId="32122" xr:uid="{00000000-0005-0000-0000-00006A7D0000}"/>
    <cellStyle name="Normal 5 10 2 25 3 4" xfId="32123" xr:uid="{00000000-0005-0000-0000-00006B7D0000}"/>
    <cellStyle name="Normal 5 10 2 25 3 5" xfId="32124" xr:uid="{00000000-0005-0000-0000-00006C7D0000}"/>
    <cellStyle name="Normal 5 10 2 25 3 6" xfId="32125" xr:uid="{00000000-0005-0000-0000-00006D7D0000}"/>
    <cellStyle name="Normal 5 10 2 25 3 7" xfId="32126" xr:uid="{00000000-0005-0000-0000-00006E7D0000}"/>
    <cellStyle name="Normal 5 10 2 25 3 8" xfId="32127" xr:uid="{00000000-0005-0000-0000-00006F7D0000}"/>
    <cellStyle name="Normal 5 10 2 25 3 9" xfId="32128" xr:uid="{00000000-0005-0000-0000-0000707D0000}"/>
    <cellStyle name="Normal 5 10 2 25 4" xfId="32129" xr:uid="{00000000-0005-0000-0000-0000717D0000}"/>
    <cellStyle name="Normal 5 10 2 25 4 10" xfId="32130" xr:uid="{00000000-0005-0000-0000-0000727D0000}"/>
    <cellStyle name="Normal 5 10 2 25 4 2" xfId="32131" xr:uid="{00000000-0005-0000-0000-0000737D0000}"/>
    <cellStyle name="Normal 5 10 2 25 4 3" xfId="32132" xr:uid="{00000000-0005-0000-0000-0000747D0000}"/>
    <cellStyle name="Normal 5 10 2 25 4 4" xfId="32133" xr:uid="{00000000-0005-0000-0000-0000757D0000}"/>
    <cellStyle name="Normal 5 10 2 25 4 5" xfId="32134" xr:uid="{00000000-0005-0000-0000-0000767D0000}"/>
    <cellStyle name="Normal 5 10 2 25 4 6" xfId="32135" xr:uid="{00000000-0005-0000-0000-0000777D0000}"/>
    <cellStyle name="Normal 5 10 2 25 4 7" xfId="32136" xr:uid="{00000000-0005-0000-0000-0000787D0000}"/>
    <cellStyle name="Normal 5 10 2 25 4 8" xfId="32137" xr:uid="{00000000-0005-0000-0000-0000797D0000}"/>
    <cellStyle name="Normal 5 10 2 25 4 9" xfId="32138" xr:uid="{00000000-0005-0000-0000-00007A7D0000}"/>
    <cellStyle name="Normal 5 10 2 25 5" xfId="32139" xr:uid="{00000000-0005-0000-0000-00007B7D0000}"/>
    <cellStyle name="Normal 5 10 2 25 5 10" xfId="32140" xr:uid="{00000000-0005-0000-0000-00007C7D0000}"/>
    <cellStyle name="Normal 5 10 2 25 5 2" xfId="32141" xr:uid="{00000000-0005-0000-0000-00007D7D0000}"/>
    <cellStyle name="Normal 5 10 2 25 5 3" xfId="32142" xr:uid="{00000000-0005-0000-0000-00007E7D0000}"/>
    <cellStyle name="Normal 5 10 2 25 5 4" xfId="32143" xr:uid="{00000000-0005-0000-0000-00007F7D0000}"/>
    <cellStyle name="Normal 5 10 2 25 5 5" xfId="32144" xr:uid="{00000000-0005-0000-0000-0000807D0000}"/>
    <cellStyle name="Normal 5 10 2 25 5 6" xfId="32145" xr:uid="{00000000-0005-0000-0000-0000817D0000}"/>
    <cellStyle name="Normal 5 10 2 25 5 7" xfId="32146" xr:uid="{00000000-0005-0000-0000-0000827D0000}"/>
    <cellStyle name="Normal 5 10 2 25 5 8" xfId="32147" xr:uid="{00000000-0005-0000-0000-0000837D0000}"/>
    <cellStyle name="Normal 5 10 2 25 5 9" xfId="32148" xr:uid="{00000000-0005-0000-0000-0000847D0000}"/>
    <cellStyle name="Normal 5 10 2 25 6" xfId="32149" xr:uid="{00000000-0005-0000-0000-0000857D0000}"/>
    <cellStyle name="Normal 5 10 2 25 7" xfId="32150" xr:uid="{00000000-0005-0000-0000-0000867D0000}"/>
    <cellStyle name="Normal 5 10 2 25 8" xfId="32151" xr:uid="{00000000-0005-0000-0000-0000877D0000}"/>
    <cellStyle name="Normal 5 10 2 25 9" xfId="32152" xr:uid="{00000000-0005-0000-0000-0000887D0000}"/>
    <cellStyle name="Normal 5 10 2 26" xfId="32153" xr:uid="{00000000-0005-0000-0000-0000897D0000}"/>
    <cellStyle name="Normal 5 10 2 26 10" xfId="32154" xr:uid="{00000000-0005-0000-0000-00008A7D0000}"/>
    <cellStyle name="Normal 5 10 2 26 11" xfId="32155" xr:uid="{00000000-0005-0000-0000-00008B7D0000}"/>
    <cellStyle name="Normal 5 10 2 26 12" xfId="32156" xr:uid="{00000000-0005-0000-0000-00008C7D0000}"/>
    <cellStyle name="Normal 5 10 2 26 13" xfId="32157" xr:uid="{00000000-0005-0000-0000-00008D7D0000}"/>
    <cellStyle name="Normal 5 10 2 26 14" xfId="32158" xr:uid="{00000000-0005-0000-0000-00008E7D0000}"/>
    <cellStyle name="Normal 5 10 2 26 2" xfId="32159" xr:uid="{00000000-0005-0000-0000-00008F7D0000}"/>
    <cellStyle name="Normal 5 10 2 26 2 10" xfId="32160" xr:uid="{00000000-0005-0000-0000-0000907D0000}"/>
    <cellStyle name="Normal 5 10 2 26 2 2" xfId="32161" xr:uid="{00000000-0005-0000-0000-0000917D0000}"/>
    <cellStyle name="Normal 5 10 2 26 2 3" xfId="32162" xr:uid="{00000000-0005-0000-0000-0000927D0000}"/>
    <cellStyle name="Normal 5 10 2 26 2 4" xfId="32163" xr:uid="{00000000-0005-0000-0000-0000937D0000}"/>
    <cellStyle name="Normal 5 10 2 26 2 5" xfId="32164" xr:uid="{00000000-0005-0000-0000-0000947D0000}"/>
    <cellStyle name="Normal 5 10 2 26 2 6" xfId="32165" xr:uid="{00000000-0005-0000-0000-0000957D0000}"/>
    <cellStyle name="Normal 5 10 2 26 2 7" xfId="32166" xr:uid="{00000000-0005-0000-0000-0000967D0000}"/>
    <cellStyle name="Normal 5 10 2 26 2 8" xfId="32167" xr:uid="{00000000-0005-0000-0000-0000977D0000}"/>
    <cellStyle name="Normal 5 10 2 26 2 9" xfId="32168" xr:uid="{00000000-0005-0000-0000-0000987D0000}"/>
    <cellStyle name="Normal 5 10 2 26 3" xfId="32169" xr:uid="{00000000-0005-0000-0000-0000997D0000}"/>
    <cellStyle name="Normal 5 10 2 26 3 10" xfId="32170" xr:uid="{00000000-0005-0000-0000-00009A7D0000}"/>
    <cellStyle name="Normal 5 10 2 26 3 2" xfId="32171" xr:uid="{00000000-0005-0000-0000-00009B7D0000}"/>
    <cellStyle name="Normal 5 10 2 26 3 3" xfId="32172" xr:uid="{00000000-0005-0000-0000-00009C7D0000}"/>
    <cellStyle name="Normal 5 10 2 26 3 4" xfId="32173" xr:uid="{00000000-0005-0000-0000-00009D7D0000}"/>
    <cellStyle name="Normal 5 10 2 26 3 5" xfId="32174" xr:uid="{00000000-0005-0000-0000-00009E7D0000}"/>
    <cellStyle name="Normal 5 10 2 26 3 6" xfId="32175" xr:uid="{00000000-0005-0000-0000-00009F7D0000}"/>
    <cellStyle name="Normal 5 10 2 26 3 7" xfId="32176" xr:uid="{00000000-0005-0000-0000-0000A07D0000}"/>
    <cellStyle name="Normal 5 10 2 26 3 8" xfId="32177" xr:uid="{00000000-0005-0000-0000-0000A17D0000}"/>
    <cellStyle name="Normal 5 10 2 26 3 9" xfId="32178" xr:uid="{00000000-0005-0000-0000-0000A27D0000}"/>
    <cellStyle name="Normal 5 10 2 26 4" xfId="32179" xr:uid="{00000000-0005-0000-0000-0000A37D0000}"/>
    <cellStyle name="Normal 5 10 2 26 4 10" xfId="32180" xr:uid="{00000000-0005-0000-0000-0000A47D0000}"/>
    <cellStyle name="Normal 5 10 2 26 4 2" xfId="32181" xr:uid="{00000000-0005-0000-0000-0000A57D0000}"/>
    <cellStyle name="Normal 5 10 2 26 4 3" xfId="32182" xr:uid="{00000000-0005-0000-0000-0000A67D0000}"/>
    <cellStyle name="Normal 5 10 2 26 4 4" xfId="32183" xr:uid="{00000000-0005-0000-0000-0000A77D0000}"/>
    <cellStyle name="Normal 5 10 2 26 4 5" xfId="32184" xr:uid="{00000000-0005-0000-0000-0000A87D0000}"/>
    <cellStyle name="Normal 5 10 2 26 4 6" xfId="32185" xr:uid="{00000000-0005-0000-0000-0000A97D0000}"/>
    <cellStyle name="Normal 5 10 2 26 4 7" xfId="32186" xr:uid="{00000000-0005-0000-0000-0000AA7D0000}"/>
    <cellStyle name="Normal 5 10 2 26 4 8" xfId="32187" xr:uid="{00000000-0005-0000-0000-0000AB7D0000}"/>
    <cellStyle name="Normal 5 10 2 26 4 9" xfId="32188" xr:uid="{00000000-0005-0000-0000-0000AC7D0000}"/>
    <cellStyle name="Normal 5 10 2 26 5" xfId="32189" xr:uid="{00000000-0005-0000-0000-0000AD7D0000}"/>
    <cellStyle name="Normal 5 10 2 26 5 10" xfId="32190" xr:uid="{00000000-0005-0000-0000-0000AE7D0000}"/>
    <cellStyle name="Normal 5 10 2 26 5 2" xfId="32191" xr:uid="{00000000-0005-0000-0000-0000AF7D0000}"/>
    <cellStyle name="Normal 5 10 2 26 5 3" xfId="32192" xr:uid="{00000000-0005-0000-0000-0000B07D0000}"/>
    <cellStyle name="Normal 5 10 2 26 5 4" xfId="32193" xr:uid="{00000000-0005-0000-0000-0000B17D0000}"/>
    <cellStyle name="Normal 5 10 2 26 5 5" xfId="32194" xr:uid="{00000000-0005-0000-0000-0000B27D0000}"/>
    <cellStyle name="Normal 5 10 2 26 5 6" xfId="32195" xr:uid="{00000000-0005-0000-0000-0000B37D0000}"/>
    <cellStyle name="Normal 5 10 2 26 5 7" xfId="32196" xr:uid="{00000000-0005-0000-0000-0000B47D0000}"/>
    <cellStyle name="Normal 5 10 2 26 5 8" xfId="32197" xr:uid="{00000000-0005-0000-0000-0000B57D0000}"/>
    <cellStyle name="Normal 5 10 2 26 5 9" xfId="32198" xr:uid="{00000000-0005-0000-0000-0000B67D0000}"/>
    <cellStyle name="Normal 5 10 2 26 6" xfId="32199" xr:uid="{00000000-0005-0000-0000-0000B77D0000}"/>
    <cellStyle name="Normal 5 10 2 26 7" xfId="32200" xr:uid="{00000000-0005-0000-0000-0000B87D0000}"/>
    <cellStyle name="Normal 5 10 2 26 8" xfId="32201" xr:uid="{00000000-0005-0000-0000-0000B97D0000}"/>
    <cellStyle name="Normal 5 10 2 26 9" xfId="32202" xr:uid="{00000000-0005-0000-0000-0000BA7D0000}"/>
    <cellStyle name="Normal 5 10 2 27" xfId="32203" xr:uid="{00000000-0005-0000-0000-0000BB7D0000}"/>
    <cellStyle name="Normal 5 10 2 27 10" xfId="32204" xr:uid="{00000000-0005-0000-0000-0000BC7D0000}"/>
    <cellStyle name="Normal 5 10 2 27 11" xfId="32205" xr:uid="{00000000-0005-0000-0000-0000BD7D0000}"/>
    <cellStyle name="Normal 5 10 2 27 12" xfId="32206" xr:uid="{00000000-0005-0000-0000-0000BE7D0000}"/>
    <cellStyle name="Normal 5 10 2 27 13" xfId="32207" xr:uid="{00000000-0005-0000-0000-0000BF7D0000}"/>
    <cellStyle name="Normal 5 10 2 27 14" xfId="32208" xr:uid="{00000000-0005-0000-0000-0000C07D0000}"/>
    <cellStyle name="Normal 5 10 2 27 2" xfId="32209" xr:uid="{00000000-0005-0000-0000-0000C17D0000}"/>
    <cellStyle name="Normal 5 10 2 27 2 10" xfId="32210" xr:uid="{00000000-0005-0000-0000-0000C27D0000}"/>
    <cellStyle name="Normal 5 10 2 27 2 2" xfId="32211" xr:uid="{00000000-0005-0000-0000-0000C37D0000}"/>
    <cellStyle name="Normal 5 10 2 27 2 3" xfId="32212" xr:uid="{00000000-0005-0000-0000-0000C47D0000}"/>
    <cellStyle name="Normal 5 10 2 27 2 4" xfId="32213" xr:uid="{00000000-0005-0000-0000-0000C57D0000}"/>
    <cellStyle name="Normal 5 10 2 27 2 5" xfId="32214" xr:uid="{00000000-0005-0000-0000-0000C67D0000}"/>
    <cellStyle name="Normal 5 10 2 27 2 6" xfId="32215" xr:uid="{00000000-0005-0000-0000-0000C77D0000}"/>
    <cellStyle name="Normal 5 10 2 27 2 7" xfId="32216" xr:uid="{00000000-0005-0000-0000-0000C87D0000}"/>
    <cellStyle name="Normal 5 10 2 27 2 8" xfId="32217" xr:uid="{00000000-0005-0000-0000-0000C97D0000}"/>
    <cellStyle name="Normal 5 10 2 27 2 9" xfId="32218" xr:uid="{00000000-0005-0000-0000-0000CA7D0000}"/>
    <cellStyle name="Normal 5 10 2 27 3" xfId="32219" xr:uid="{00000000-0005-0000-0000-0000CB7D0000}"/>
    <cellStyle name="Normal 5 10 2 27 3 10" xfId="32220" xr:uid="{00000000-0005-0000-0000-0000CC7D0000}"/>
    <cellStyle name="Normal 5 10 2 27 3 2" xfId="32221" xr:uid="{00000000-0005-0000-0000-0000CD7D0000}"/>
    <cellStyle name="Normal 5 10 2 27 3 3" xfId="32222" xr:uid="{00000000-0005-0000-0000-0000CE7D0000}"/>
    <cellStyle name="Normal 5 10 2 27 3 4" xfId="32223" xr:uid="{00000000-0005-0000-0000-0000CF7D0000}"/>
    <cellStyle name="Normal 5 10 2 27 3 5" xfId="32224" xr:uid="{00000000-0005-0000-0000-0000D07D0000}"/>
    <cellStyle name="Normal 5 10 2 27 3 6" xfId="32225" xr:uid="{00000000-0005-0000-0000-0000D17D0000}"/>
    <cellStyle name="Normal 5 10 2 27 3 7" xfId="32226" xr:uid="{00000000-0005-0000-0000-0000D27D0000}"/>
    <cellStyle name="Normal 5 10 2 27 3 8" xfId="32227" xr:uid="{00000000-0005-0000-0000-0000D37D0000}"/>
    <cellStyle name="Normal 5 10 2 27 3 9" xfId="32228" xr:uid="{00000000-0005-0000-0000-0000D47D0000}"/>
    <cellStyle name="Normal 5 10 2 27 4" xfId="32229" xr:uid="{00000000-0005-0000-0000-0000D57D0000}"/>
    <cellStyle name="Normal 5 10 2 27 4 10" xfId="32230" xr:uid="{00000000-0005-0000-0000-0000D67D0000}"/>
    <cellStyle name="Normal 5 10 2 27 4 2" xfId="32231" xr:uid="{00000000-0005-0000-0000-0000D77D0000}"/>
    <cellStyle name="Normal 5 10 2 27 4 3" xfId="32232" xr:uid="{00000000-0005-0000-0000-0000D87D0000}"/>
    <cellStyle name="Normal 5 10 2 27 4 4" xfId="32233" xr:uid="{00000000-0005-0000-0000-0000D97D0000}"/>
    <cellStyle name="Normal 5 10 2 27 4 5" xfId="32234" xr:uid="{00000000-0005-0000-0000-0000DA7D0000}"/>
    <cellStyle name="Normal 5 10 2 27 4 6" xfId="32235" xr:uid="{00000000-0005-0000-0000-0000DB7D0000}"/>
    <cellStyle name="Normal 5 10 2 27 4 7" xfId="32236" xr:uid="{00000000-0005-0000-0000-0000DC7D0000}"/>
    <cellStyle name="Normal 5 10 2 27 4 8" xfId="32237" xr:uid="{00000000-0005-0000-0000-0000DD7D0000}"/>
    <cellStyle name="Normal 5 10 2 27 4 9" xfId="32238" xr:uid="{00000000-0005-0000-0000-0000DE7D0000}"/>
    <cellStyle name="Normal 5 10 2 27 5" xfId="32239" xr:uid="{00000000-0005-0000-0000-0000DF7D0000}"/>
    <cellStyle name="Normal 5 10 2 27 5 10" xfId="32240" xr:uid="{00000000-0005-0000-0000-0000E07D0000}"/>
    <cellStyle name="Normal 5 10 2 27 5 2" xfId="32241" xr:uid="{00000000-0005-0000-0000-0000E17D0000}"/>
    <cellStyle name="Normal 5 10 2 27 5 3" xfId="32242" xr:uid="{00000000-0005-0000-0000-0000E27D0000}"/>
    <cellStyle name="Normal 5 10 2 27 5 4" xfId="32243" xr:uid="{00000000-0005-0000-0000-0000E37D0000}"/>
    <cellStyle name="Normal 5 10 2 27 5 5" xfId="32244" xr:uid="{00000000-0005-0000-0000-0000E47D0000}"/>
    <cellStyle name="Normal 5 10 2 27 5 6" xfId="32245" xr:uid="{00000000-0005-0000-0000-0000E57D0000}"/>
    <cellStyle name="Normal 5 10 2 27 5 7" xfId="32246" xr:uid="{00000000-0005-0000-0000-0000E67D0000}"/>
    <cellStyle name="Normal 5 10 2 27 5 8" xfId="32247" xr:uid="{00000000-0005-0000-0000-0000E77D0000}"/>
    <cellStyle name="Normal 5 10 2 27 5 9" xfId="32248" xr:uid="{00000000-0005-0000-0000-0000E87D0000}"/>
    <cellStyle name="Normal 5 10 2 27 6" xfId="32249" xr:uid="{00000000-0005-0000-0000-0000E97D0000}"/>
    <cellStyle name="Normal 5 10 2 27 7" xfId="32250" xr:uid="{00000000-0005-0000-0000-0000EA7D0000}"/>
    <cellStyle name="Normal 5 10 2 27 8" xfId="32251" xr:uid="{00000000-0005-0000-0000-0000EB7D0000}"/>
    <cellStyle name="Normal 5 10 2 27 9" xfId="32252" xr:uid="{00000000-0005-0000-0000-0000EC7D0000}"/>
    <cellStyle name="Normal 5 10 2 28" xfId="32253" xr:uid="{00000000-0005-0000-0000-0000ED7D0000}"/>
    <cellStyle name="Normal 5 10 2 28 10" xfId="32254" xr:uid="{00000000-0005-0000-0000-0000EE7D0000}"/>
    <cellStyle name="Normal 5 10 2 28 11" xfId="32255" xr:uid="{00000000-0005-0000-0000-0000EF7D0000}"/>
    <cellStyle name="Normal 5 10 2 28 12" xfId="32256" xr:uid="{00000000-0005-0000-0000-0000F07D0000}"/>
    <cellStyle name="Normal 5 10 2 28 13" xfId="32257" xr:uid="{00000000-0005-0000-0000-0000F17D0000}"/>
    <cellStyle name="Normal 5 10 2 28 14" xfId="32258" xr:uid="{00000000-0005-0000-0000-0000F27D0000}"/>
    <cellStyle name="Normal 5 10 2 28 2" xfId="32259" xr:uid="{00000000-0005-0000-0000-0000F37D0000}"/>
    <cellStyle name="Normal 5 10 2 28 2 10" xfId="32260" xr:uid="{00000000-0005-0000-0000-0000F47D0000}"/>
    <cellStyle name="Normal 5 10 2 28 2 2" xfId="32261" xr:uid="{00000000-0005-0000-0000-0000F57D0000}"/>
    <cellStyle name="Normal 5 10 2 28 2 3" xfId="32262" xr:uid="{00000000-0005-0000-0000-0000F67D0000}"/>
    <cellStyle name="Normal 5 10 2 28 2 4" xfId="32263" xr:uid="{00000000-0005-0000-0000-0000F77D0000}"/>
    <cellStyle name="Normal 5 10 2 28 2 5" xfId="32264" xr:uid="{00000000-0005-0000-0000-0000F87D0000}"/>
    <cellStyle name="Normal 5 10 2 28 2 6" xfId="32265" xr:uid="{00000000-0005-0000-0000-0000F97D0000}"/>
    <cellStyle name="Normal 5 10 2 28 2 7" xfId="32266" xr:uid="{00000000-0005-0000-0000-0000FA7D0000}"/>
    <cellStyle name="Normal 5 10 2 28 2 8" xfId="32267" xr:uid="{00000000-0005-0000-0000-0000FB7D0000}"/>
    <cellStyle name="Normal 5 10 2 28 2 9" xfId="32268" xr:uid="{00000000-0005-0000-0000-0000FC7D0000}"/>
    <cellStyle name="Normal 5 10 2 28 3" xfId="32269" xr:uid="{00000000-0005-0000-0000-0000FD7D0000}"/>
    <cellStyle name="Normal 5 10 2 28 3 10" xfId="32270" xr:uid="{00000000-0005-0000-0000-0000FE7D0000}"/>
    <cellStyle name="Normal 5 10 2 28 3 2" xfId="32271" xr:uid="{00000000-0005-0000-0000-0000FF7D0000}"/>
    <cellStyle name="Normal 5 10 2 28 3 3" xfId="32272" xr:uid="{00000000-0005-0000-0000-0000007E0000}"/>
    <cellStyle name="Normal 5 10 2 28 3 4" xfId="32273" xr:uid="{00000000-0005-0000-0000-0000017E0000}"/>
    <cellStyle name="Normal 5 10 2 28 3 5" xfId="32274" xr:uid="{00000000-0005-0000-0000-0000027E0000}"/>
    <cellStyle name="Normal 5 10 2 28 3 6" xfId="32275" xr:uid="{00000000-0005-0000-0000-0000037E0000}"/>
    <cellStyle name="Normal 5 10 2 28 3 7" xfId="32276" xr:uid="{00000000-0005-0000-0000-0000047E0000}"/>
    <cellStyle name="Normal 5 10 2 28 3 8" xfId="32277" xr:uid="{00000000-0005-0000-0000-0000057E0000}"/>
    <cellStyle name="Normal 5 10 2 28 3 9" xfId="32278" xr:uid="{00000000-0005-0000-0000-0000067E0000}"/>
    <cellStyle name="Normal 5 10 2 28 4" xfId="32279" xr:uid="{00000000-0005-0000-0000-0000077E0000}"/>
    <cellStyle name="Normal 5 10 2 28 4 10" xfId="32280" xr:uid="{00000000-0005-0000-0000-0000087E0000}"/>
    <cellStyle name="Normal 5 10 2 28 4 2" xfId="32281" xr:uid="{00000000-0005-0000-0000-0000097E0000}"/>
    <cellStyle name="Normal 5 10 2 28 4 3" xfId="32282" xr:uid="{00000000-0005-0000-0000-00000A7E0000}"/>
    <cellStyle name="Normal 5 10 2 28 4 4" xfId="32283" xr:uid="{00000000-0005-0000-0000-00000B7E0000}"/>
    <cellStyle name="Normal 5 10 2 28 4 5" xfId="32284" xr:uid="{00000000-0005-0000-0000-00000C7E0000}"/>
    <cellStyle name="Normal 5 10 2 28 4 6" xfId="32285" xr:uid="{00000000-0005-0000-0000-00000D7E0000}"/>
    <cellStyle name="Normal 5 10 2 28 4 7" xfId="32286" xr:uid="{00000000-0005-0000-0000-00000E7E0000}"/>
    <cellStyle name="Normal 5 10 2 28 4 8" xfId="32287" xr:uid="{00000000-0005-0000-0000-00000F7E0000}"/>
    <cellStyle name="Normal 5 10 2 28 4 9" xfId="32288" xr:uid="{00000000-0005-0000-0000-0000107E0000}"/>
    <cellStyle name="Normal 5 10 2 28 5" xfId="32289" xr:uid="{00000000-0005-0000-0000-0000117E0000}"/>
    <cellStyle name="Normal 5 10 2 28 5 10" xfId="32290" xr:uid="{00000000-0005-0000-0000-0000127E0000}"/>
    <cellStyle name="Normal 5 10 2 28 5 2" xfId="32291" xr:uid="{00000000-0005-0000-0000-0000137E0000}"/>
    <cellStyle name="Normal 5 10 2 28 5 3" xfId="32292" xr:uid="{00000000-0005-0000-0000-0000147E0000}"/>
    <cellStyle name="Normal 5 10 2 28 5 4" xfId="32293" xr:uid="{00000000-0005-0000-0000-0000157E0000}"/>
    <cellStyle name="Normal 5 10 2 28 5 5" xfId="32294" xr:uid="{00000000-0005-0000-0000-0000167E0000}"/>
    <cellStyle name="Normal 5 10 2 28 5 6" xfId="32295" xr:uid="{00000000-0005-0000-0000-0000177E0000}"/>
    <cellStyle name="Normal 5 10 2 28 5 7" xfId="32296" xr:uid="{00000000-0005-0000-0000-0000187E0000}"/>
    <cellStyle name="Normal 5 10 2 28 5 8" xfId="32297" xr:uid="{00000000-0005-0000-0000-0000197E0000}"/>
    <cellStyle name="Normal 5 10 2 28 5 9" xfId="32298" xr:uid="{00000000-0005-0000-0000-00001A7E0000}"/>
    <cellStyle name="Normal 5 10 2 28 6" xfId="32299" xr:uid="{00000000-0005-0000-0000-00001B7E0000}"/>
    <cellStyle name="Normal 5 10 2 28 7" xfId="32300" xr:uid="{00000000-0005-0000-0000-00001C7E0000}"/>
    <cellStyle name="Normal 5 10 2 28 8" xfId="32301" xr:uid="{00000000-0005-0000-0000-00001D7E0000}"/>
    <cellStyle name="Normal 5 10 2 28 9" xfId="32302" xr:uid="{00000000-0005-0000-0000-00001E7E0000}"/>
    <cellStyle name="Normal 5 10 2 29" xfId="32303" xr:uid="{00000000-0005-0000-0000-00001F7E0000}"/>
    <cellStyle name="Normal 5 10 2 29 10" xfId="32304" xr:uid="{00000000-0005-0000-0000-0000207E0000}"/>
    <cellStyle name="Normal 5 10 2 29 11" xfId="32305" xr:uid="{00000000-0005-0000-0000-0000217E0000}"/>
    <cellStyle name="Normal 5 10 2 29 12" xfId="32306" xr:uid="{00000000-0005-0000-0000-0000227E0000}"/>
    <cellStyle name="Normal 5 10 2 29 13" xfId="32307" xr:uid="{00000000-0005-0000-0000-0000237E0000}"/>
    <cellStyle name="Normal 5 10 2 29 14" xfId="32308" xr:uid="{00000000-0005-0000-0000-0000247E0000}"/>
    <cellStyle name="Normal 5 10 2 29 2" xfId="32309" xr:uid="{00000000-0005-0000-0000-0000257E0000}"/>
    <cellStyle name="Normal 5 10 2 29 2 10" xfId="32310" xr:uid="{00000000-0005-0000-0000-0000267E0000}"/>
    <cellStyle name="Normal 5 10 2 29 2 2" xfId="32311" xr:uid="{00000000-0005-0000-0000-0000277E0000}"/>
    <cellStyle name="Normal 5 10 2 29 2 3" xfId="32312" xr:uid="{00000000-0005-0000-0000-0000287E0000}"/>
    <cellStyle name="Normal 5 10 2 29 2 4" xfId="32313" xr:uid="{00000000-0005-0000-0000-0000297E0000}"/>
    <cellStyle name="Normal 5 10 2 29 2 5" xfId="32314" xr:uid="{00000000-0005-0000-0000-00002A7E0000}"/>
    <cellStyle name="Normal 5 10 2 29 2 6" xfId="32315" xr:uid="{00000000-0005-0000-0000-00002B7E0000}"/>
    <cellStyle name="Normal 5 10 2 29 2 7" xfId="32316" xr:uid="{00000000-0005-0000-0000-00002C7E0000}"/>
    <cellStyle name="Normal 5 10 2 29 2 8" xfId="32317" xr:uid="{00000000-0005-0000-0000-00002D7E0000}"/>
    <cellStyle name="Normal 5 10 2 29 2 9" xfId="32318" xr:uid="{00000000-0005-0000-0000-00002E7E0000}"/>
    <cellStyle name="Normal 5 10 2 29 3" xfId="32319" xr:uid="{00000000-0005-0000-0000-00002F7E0000}"/>
    <cellStyle name="Normal 5 10 2 29 3 10" xfId="32320" xr:uid="{00000000-0005-0000-0000-0000307E0000}"/>
    <cellStyle name="Normal 5 10 2 29 3 2" xfId="32321" xr:uid="{00000000-0005-0000-0000-0000317E0000}"/>
    <cellStyle name="Normal 5 10 2 29 3 3" xfId="32322" xr:uid="{00000000-0005-0000-0000-0000327E0000}"/>
    <cellStyle name="Normal 5 10 2 29 3 4" xfId="32323" xr:uid="{00000000-0005-0000-0000-0000337E0000}"/>
    <cellStyle name="Normal 5 10 2 29 3 5" xfId="32324" xr:uid="{00000000-0005-0000-0000-0000347E0000}"/>
    <cellStyle name="Normal 5 10 2 29 3 6" xfId="32325" xr:uid="{00000000-0005-0000-0000-0000357E0000}"/>
    <cellStyle name="Normal 5 10 2 29 3 7" xfId="32326" xr:uid="{00000000-0005-0000-0000-0000367E0000}"/>
    <cellStyle name="Normal 5 10 2 29 3 8" xfId="32327" xr:uid="{00000000-0005-0000-0000-0000377E0000}"/>
    <cellStyle name="Normal 5 10 2 29 3 9" xfId="32328" xr:uid="{00000000-0005-0000-0000-0000387E0000}"/>
    <cellStyle name="Normal 5 10 2 29 4" xfId="32329" xr:uid="{00000000-0005-0000-0000-0000397E0000}"/>
    <cellStyle name="Normal 5 10 2 29 4 10" xfId="32330" xr:uid="{00000000-0005-0000-0000-00003A7E0000}"/>
    <cellStyle name="Normal 5 10 2 29 4 2" xfId="32331" xr:uid="{00000000-0005-0000-0000-00003B7E0000}"/>
    <cellStyle name="Normal 5 10 2 29 4 3" xfId="32332" xr:uid="{00000000-0005-0000-0000-00003C7E0000}"/>
    <cellStyle name="Normal 5 10 2 29 4 4" xfId="32333" xr:uid="{00000000-0005-0000-0000-00003D7E0000}"/>
    <cellStyle name="Normal 5 10 2 29 4 5" xfId="32334" xr:uid="{00000000-0005-0000-0000-00003E7E0000}"/>
    <cellStyle name="Normal 5 10 2 29 4 6" xfId="32335" xr:uid="{00000000-0005-0000-0000-00003F7E0000}"/>
    <cellStyle name="Normal 5 10 2 29 4 7" xfId="32336" xr:uid="{00000000-0005-0000-0000-0000407E0000}"/>
    <cellStyle name="Normal 5 10 2 29 4 8" xfId="32337" xr:uid="{00000000-0005-0000-0000-0000417E0000}"/>
    <cellStyle name="Normal 5 10 2 29 4 9" xfId="32338" xr:uid="{00000000-0005-0000-0000-0000427E0000}"/>
    <cellStyle name="Normal 5 10 2 29 5" xfId="32339" xr:uid="{00000000-0005-0000-0000-0000437E0000}"/>
    <cellStyle name="Normal 5 10 2 29 5 10" xfId="32340" xr:uid="{00000000-0005-0000-0000-0000447E0000}"/>
    <cellStyle name="Normal 5 10 2 29 5 2" xfId="32341" xr:uid="{00000000-0005-0000-0000-0000457E0000}"/>
    <cellStyle name="Normal 5 10 2 29 5 3" xfId="32342" xr:uid="{00000000-0005-0000-0000-0000467E0000}"/>
    <cellStyle name="Normal 5 10 2 29 5 4" xfId="32343" xr:uid="{00000000-0005-0000-0000-0000477E0000}"/>
    <cellStyle name="Normal 5 10 2 29 5 5" xfId="32344" xr:uid="{00000000-0005-0000-0000-0000487E0000}"/>
    <cellStyle name="Normal 5 10 2 29 5 6" xfId="32345" xr:uid="{00000000-0005-0000-0000-0000497E0000}"/>
    <cellStyle name="Normal 5 10 2 29 5 7" xfId="32346" xr:uid="{00000000-0005-0000-0000-00004A7E0000}"/>
    <cellStyle name="Normal 5 10 2 29 5 8" xfId="32347" xr:uid="{00000000-0005-0000-0000-00004B7E0000}"/>
    <cellStyle name="Normal 5 10 2 29 5 9" xfId="32348" xr:uid="{00000000-0005-0000-0000-00004C7E0000}"/>
    <cellStyle name="Normal 5 10 2 29 6" xfId="32349" xr:uid="{00000000-0005-0000-0000-00004D7E0000}"/>
    <cellStyle name="Normal 5 10 2 29 7" xfId="32350" xr:uid="{00000000-0005-0000-0000-00004E7E0000}"/>
    <cellStyle name="Normal 5 10 2 29 8" xfId="32351" xr:uid="{00000000-0005-0000-0000-00004F7E0000}"/>
    <cellStyle name="Normal 5 10 2 29 9" xfId="32352" xr:uid="{00000000-0005-0000-0000-0000507E0000}"/>
    <cellStyle name="Normal 5 10 2 3" xfId="32353" xr:uid="{00000000-0005-0000-0000-0000517E0000}"/>
    <cellStyle name="Normal 5 10 2 3 10" xfId="32354" xr:uid="{00000000-0005-0000-0000-0000527E0000}"/>
    <cellStyle name="Normal 5 10 2 3 11" xfId="32355" xr:uid="{00000000-0005-0000-0000-0000537E0000}"/>
    <cellStyle name="Normal 5 10 2 3 12" xfId="32356" xr:uid="{00000000-0005-0000-0000-0000547E0000}"/>
    <cellStyle name="Normal 5 10 2 3 13" xfId="32357" xr:uid="{00000000-0005-0000-0000-0000557E0000}"/>
    <cellStyle name="Normal 5 10 2 3 14" xfId="32358" xr:uid="{00000000-0005-0000-0000-0000567E0000}"/>
    <cellStyle name="Normal 5 10 2 3 2" xfId="32359" xr:uid="{00000000-0005-0000-0000-0000577E0000}"/>
    <cellStyle name="Normal 5 10 2 3 2 10" xfId="32360" xr:uid="{00000000-0005-0000-0000-0000587E0000}"/>
    <cellStyle name="Normal 5 10 2 3 2 2" xfId="32361" xr:uid="{00000000-0005-0000-0000-0000597E0000}"/>
    <cellStyle name="Normal 5 10 2 3 2 3" xfId="32362" xr:uid="{00000000-0005-0000-0000-00005A7E0000}"/>
    <cellStyle name="Normal 5 10 2 3 2 4" xfId="32363" xr:uid="{00000000-0005-0000-0000-00005B7E0000}"/>
    <cellStyle name="Normal 5 10 2 3 2 5" xfId="32364" xr:uid="{00000000-0005-0000-0000-00005C7E0000}"/>
    <cellStyle name="Normal 5 10 2 3 2 6" xfId="32365" xr:uid="{00000000-0005-0000-0000-00005D7E0000}"/>
    <cellStyle name="Normal 5 10 2 3 2 7" xfId="32366" xr:uid="{00000000-0005-0000-0000-00005E7E0000}"/>
    <cellStyle name="Normal 5 10 2 3 2 8" xfId="32367" xr:uid="{00000000-0005-0000-0000-00005F7E0000}"/>
    <cellStyle name="Normal 5 10 2 3 2 9" xfId="32368" xr:uid="{00000000-0005-0000-0000-0000607E0000}"/>
    <cellStyle name="Normal 5 10 2 3 3" xfId="32369" xr:uid="{00000000-0005-0000-0000-0000617E0000}"/>
    <cellStyle name="Normal 5 10 2 3 3 10" xfId="32370" xr:uid="{00000000-0005-0000-0000-0000627E0000}"/>
    <cellStyle name="Normal 5 10 2 3 3 2" xfId="32371" xr:uid="{00000000-0005-0000-0000-0000637E0000}"/>
    <cellStyle name="Normal 5 10 2 3 3 3" xfId="32372" xr:uid="{00000000-0005-0000-0000-0000647E0000}"/>
    <cellStyle name="Normal 5 10 2 3 3 4" xfId="32373" xr:uid="{00000000-0005-0000-0000-0000657E0000}"/>
    <cellStyle name="Normal 5 10 2 3 3 5" xfId="32374" xr:uid="{00000000-0005-0000-0000-0000667E0000}"/>
    <cellStyle name="Normal 5 10 2 3 3 6" xfId="32375" xr:uid="{00000000-0005-0000-0000-0000677E0000}"/>
    <cellStyle name="Normal 5 10 2 3 3 7" xfId="32376" xr:uid="{00000000-0005-0000-0000-0000687E0000}"/>
    <cellStyle name="Normal 5 10 2 3 3 8" xfId="32377" xr:uid="{00000000-0005-0000-0000-0000697E0000}"/>
    <cellStyle name="Normal 5 10 2 3 3 9" xfId="32378" xr:uid="{00000000-0005-0000-0000-00006A7E0000}"/>
    <cellStyle name="Normal 5 10 2 3 4" xfId="32379" xr:uid="{00000000-0005-0000-0000-00006B7E0000}"/>
    <cellStyle name="Normal 5 10 2 3 4 10" xfId="32380" xr:uid="{00000000-0005-0000-0000-00006C7E0000}"/>
    <cellStyle name="Normal 5 10 2 3 4 2" xfId="32381" xr:uid="{00000000-0005-0000-0000-00006D7E0000}"/>
    <cellStyle name="Normal 5 10 2 3 4 3" xfId="32382" xr:uid="{00000000-0005-0000-0000-00006E7E0000}"/>
    <cellStyle name="Normal 5 10 2 3 4 4" xfId="32383" xr:uid="{00000000-0005-0000-0000-00006F7E0000}"/>
    <cellStyle name="Normal 5 10 2 3 4 5" xfId="32384" xr:uid="{00000000-0005-0000-0000-0000707E0000}"/>
    <cellStyle name="Normal 5 10 2 3 4 6" xfId="32385" xr:uid="{00000000-0005-0000-0000-0000717E0000}"/>
    <cellStyle name="Normal 5 10 2 3 4 7" xfId="32386" xr:uid="{00000000-0005-0000-0000-0000727E0000}"/>
    <cellStyle name="Normal 5 10 2 3 4 8" xfId="32387" xr:uid="{00000000-0005-0000-0000-0000737E0000}"/>
    <cellStyle name="Normal 5 10 2 3 4 9" xfId="32388" xr:uid="{00000000-0005-0000-0000-0000747E0000}"/>
    <cellStyle name="Normal 5 10 2 3 5" xfId="32389" xr:uid="{00000000-0005-0000-0000-0000757E0000}"/>
    <cellStyle name="Normal 5 10 2 3 5 10" xfId="32390" xr:uid="{00000000-0005-0000-0000-0000767E0000}"/>
    <cellStyle name="Normal 5 10 2 3 5 2" xfId="32391" xr:uid="{00000000-0005-0000-0000-0000777E0000}"/>
    <cellStyle name="Normal 5 10 2 3 5 3" xfId="32392" xr:uid="{00000000-0005-0000-0000-0000787E0000}"/>
    <cellStyle name="Normal 5 10 2 3 5 4" xfId="32393" xr:uid="{00000000-0005-0000-0000-0000797E0000}"/>
    <cellStyle name="Normal 5 10 2 3 5 5" xfId="32394" xr:uid="{00000000-0005-0000-0000-00007A7E0000}"/>
    <cellStyle name="Normal 5 10 2 3 5 6" xfId="32395" xr:uid="{00000000-0005-0000-0000-00007B7E0000}"/>
    <cellStyle name="Normal 5 10 2 3 5 7" xfId="32396" xr:uid="{00000000-0005-0000-0000-00007C7E0000}"/>
    <cellStyle name="Normal 5 10 2 3 5 8" xfId="32397" xr:uid="{00000000-0005-0000-0000-00007D7E0000}"/>
    <cellStyle name="Normal 5 10 2 3 5 9" xfId="32398" xr:uid="{00000000-0005-0000-0000-00007E7E0000}"/>
    <cellStyle name="Normal 5 10 2 3 6" xfId="32399" xr:uid="{00000000-0005-0000-0000-00007F7E0000}"/>
    <cellStyle name="Normal 5 10 2 3 7" xfId="32400" xr:uid="{00000000-0005-0000-0000-0000807E0000}"/>
    <cellStyle name="Normal 5 10 2 3 8" xfId="32401" xr:uid="{00000000-0005-0000-0000-0000817E0000}"/>
    <cellStyle name="Normal 5 10 2 3 9" xfId="32402" xr:uid="{00000000-0005-0000-0000-0000827E0000}"/>
    <cellStyle name="Normal 5 10 2 30" xfId="32403" xr:uid="{00000000-0005-0000-0000-0000837E0000}"/>
    <cellStyle name="Normal 5 10 2 30 10" xfId="32404" xr:uid="{00000000-0005-0000-0000-0000847E0000}"/>
    <cellStyle name="Normal 5 10 2 30 11" xfId="32405" xr:uid="{00000000-0005-0000-0000-0000857E0000}"/>
    <cellStyle name="Normal 5 10 2 30 12" xfId="32406" xr:uid="{00000000-0005-0000-0000-0000867E0000}"/>
    <cellStyle name="Normal 5 10 2 30 13" xfId="32407" xr:uid="{00000000-0005-0000-0000-0000877E0000}"/>
    <cellStyle name="Normal 5 10 2 30 14" xfId="32408" xr:uid="{00000000-0005-0000-0000-0000887E0000}"/>
    <cellStyle name="Normal 5 10 2 30 2" xfId="32409" xr:uid="{00000000-0005-0000-0000-0000897E0000}"/>
    <cellStyle name="Normal 5 10 2 30 2 10" xfId="32410" xr:uid="{00000000-0005-0000-0000-00008A7E0000}"/>
    <cellStyle name="Normal 5 10 2 30 2 2" xfId="32411" xr:uid="{00000000-0005-0000-0000-00008B7E0000}"/>
    <cellStyle name="Normal 5 10 2 30 2 3" xfId="32412" xr:uid="{00000000-0005-0000-0000-00008C7E0000}"/>
    <cellStyle name="Normal 5 10 2 30 2 4" xfId="32413" xr:uid="{00000000-0005-0000-0000-00008D7E0000}"/>
    <cellStyle name="Normal 5 10 2 30 2 5" xfId="32414" xr:uid="{00000000-0005-0000-0000-00008E7E0000}"/>
    <cellStyle name="Normal 5 10 2 30 2 6" xfId="32415" xr:uid="{00000000-0005-0000-0000-00008F7E0000}"/>
    <cellStyle name="Normal 5 10 2 30 2 7" xfId="32416" xr:uid="{00000000-0005-0000-0000-0000907E0000}"/>
    <cellStyle name="Normal 5 10 2 30 2 8" xfId="32417" xr:uid="{00000000-0005-0000-0000-0000917E0000}"/>
    <cellStyle name="Normal 5 10 2 30 2 9" xfId="32418" xr:uid="{00000000-0005-0000-0000-0000927E0000}"/>
    <cellStyle name="Normal 5 10 2 30 3" xfId="32419" xr:uid="{00000000-0005-0000-0000-0000937E0000}"/>
    <cellStyle name="Normal 5 10 2 30 3 10" xfId="32420" xr:uid="{00000000-0005-0000-0000-0000947E0000}"/>
    <cellStyle name="Normal 5 10 2 30 3 2" xfId="32421" xr:uid="{00000000-0005-0000-0000-0000957E0000}"/>
    <cellStyle name="Normal 5 10 2 30 3 3" xfId="32422" xr:uid="{00000000-0005-0000-0000-0000967E0000}"/>
    <cellStyle name="Normal 5 10 2 30 3 4" xfId="32423" xr:uid="{00000000-0005-0000-0000-0000977E0000}"/>
    <cellStyle name="Normal 5 10 2 30 3 5" xfId="32424" xr:uid="{00000000-0005-0000-0000-0000987E0000}"/>
    <cellStyle name="Normal 5 10 2 30 3 6" xfId="32425" xr:uid="{00000000-0005-0000-0000-0000997E0000}"/>
    <cellStyle name="Normal 5 10 2 30 3 7" xfId="32426" xr:uid="{00000000-0005-0000-0000-00009A7E0000}"/>
    <cellStyle name="Normal 5 10 2 30 3 8" xfId="32427" xr:uid="{00000000-0005-0000-0000-00009B7E0000}"/>
    <cellStyle name="Normal 5 10 2 30 3 9" xfId="32428" xr:uid="{00000000-0005-0000-0000-00009C7E0000}"/>
    <cellStyle name="Normal 5 10 2 30 4" xfId="32429" xr:uid="{00000000-0005-0000-0000-00009D7E0000}"/>
    <cellStyle name="Normal 5 10 2 30 4 10" xfId="32430" xr:uid="{00000000-0005-0000-0000-00009E7E0000}"/>
    <cellStyle name="Normal 5 10 2 30 4 2" xfId="32431" xr:uid="{00000000-0005-0000-0000-00009F7E0000}"/>
    <cellStyle name="Normal 5 10 2 30 4 3" xfId="32432" xr:uid="{00000000-0005-0000-0000-0000A07E0000}"/>
    <cellStyle name="Normal 5 10 2 30 4 4" xfId="32433" xr:uid="{00000000-0005-0000-0000-0000A17E0000}"/>
    <cellStyle name="Normal 5 10 2 30 4 5" xfId="32434" xr:uid="{00000000-0005-0000-0000-0000A27E0000}"/>
    <cellStyle name="Normal 5 10 2 30 4 6" xfId="32435" xr:uid="{00000000-0005-0000-0000-0000A37E0000}"/>
    <cellStyle name="Normal 5 10 2 30 4 7" xfId="32436" xr:uid="{00000000-0005-0000-0000-0000A47E0000}"/>
    <cellStyle name="Normal 5 10 2 30 4 8" xfId="32437" xr:uid="{00000000-0005-0000-0000-0000A57E0000}"/>
    <cellStyle name="Normal 5 10 2 30 4 9" xfId="32438" xr:uid="{00000000-0005-0000-0000-0000A67E0000}"/>
    <cellStyle name="Normal 5 10 2 30 5" xfId="32439" xr:uid="{00000000-0005-0000-0000-0000A77E0000}"/>
    <cellStyle name="Normal 5 10 2 30 5 10" xfId="32440" xr:uid="{00000000-0005-0000-0000-0000A87E0000}"/>
    <cellStyle name="Normal 5 10 2 30 5 2" xfId="32441" xr:uid="{00000000-0005-0000-0000-0000A97E0000}"/>
    <cellStyle name="Normal 5 10 2 30 5 3" xfId="32442" xr:uid="{00000000-0005-0000-0000-0000AA7E0000}"/>
    <cellStyle name="Normal 5 10 2 30 5 4" xfId="32443" xr:uid="{00000000-0005-0000-0000-0000AB7E0000}"/>
    <cellStyle name="Normal 5 10 2 30 5 5" xfId="32444" xr:uid="{00000000-0005-0000-0000-0000AC7E0000}"/>
    <cellStyle name="Normal 5 10 2 30 5 6" xfId="32445" xr:uid="{00000000-0005-0000-0000-0000AD7E0000}"/>
    <cellStyle name="Normal 5 10 2 30 5 7" xfId="32446" xr:uid="{00000000-0005-0000-0000-0000AE7E0000}"/>
    <cellStyle name="Normal 5 10 2 30 5 8" xfId="32447" xr:uid="{00000000-0005-0000-0000-0000AF7E0000}"/>
    <cellStyle name="Normal 5 10 2 30 5 9" xfId="32448" xr:uid="{00000000-0005-0000-0000-0000B07E0000}"/>
    <cellStyle name="Normal 5 10 2 30 6" xfId="32449" xr:uid="{00000000-0005-0000-0000-0000B17E0000}"/>
    <cellStyle name="Normal 5 10 2 30 7" xfId="32450" xr:uid="{00000000-0005-0000-0000-0000B27E0000}"/>
    <cellStyle name="Normal 5 10 2 30 8" xfId="32451" xr:uid="{00000000-0005-0000-0000-0000B37E0000}"/>
    <cellStyle name="Normal 5 10 2 30 9" xfId="32452" xr:uid="{00000000-0005-0000-0000-0000B47E0000}"/>
    <cellStyle name="Normal 5 10 2 31" xfId="32453" xr:uid="{00000000-0005-0000-0000-0000B57E0000}"/>
    <cellStyle name="Normal 5 10 2 31 10" xfId="32454" xr:uid="{00000000-0005-0000-0000-0000B67E0000}"/>
    <cellStyle name="Normal 5 10 2 31 11" xfId="32455" xr:uid="{00000000-0005-0000-0000-0000B77E0000}"/>
    <cellStyle name="Normal 5 10 2 31 12" xfId="32456" xr:uid="{00000000-0005-0000-0000-0000B87E0000}"/>
    <cellStyle name="Normal 5 10 2 31 13" xfId="32457" xr:uid="{00000000-0005-0000-0000-0000B97E0000}"/>
    <cellStyle name="Normal 5 10 2 31 14" xfId="32458" xr:uid="{00000000-0005-0000-0000-0000BA7E0000}"/>
    <cellStyle name="Normal 5 10 2 31 2" xfId="32459" xr:uid="{00000000-0005-0000-0000-0000BB7E0000}"/>
    <cellStyle name="Normal 5 10 2 31 2 10" xfId="32460" xr:uid="{00000000-0005-0000-0000-0000BC7E0000}"/>
    <cellStyle name="Normal 5 10 2 31 2 2" xfId="32461" xr:uid="{00000000-0005-0000-0000-0000BD7E0000}"/>
    <cellStyle name="Normal 5 10 2 31 2 3" xfId="32462" xr:uid="{00000000-0005-0000-0000-0000BE7E0000}"/>
    <cellStyle name="Normal 5 10 2 31 2 4" xfId="32463" xr:uid="{00000000-0005-0000-0000-0000BF7E0000}"/>
    <cellStyle name="Normal 5 10 2 31 2 5" xfId="32464" xr:uid="{00000000-0005-0000-0000-0000C07E0000}"/>
    <cellStyle name="Normal 5 10 2 31 2 6" xfId="32465" xr:uid="{00000000-0005-0000-0000-0000C17E0000}"/>
    <cellStyle name="Normal 5 10 2 31 2 7" xfId="32466" xr:uid="{00000000-0005-0000-0000-0000C27E0000}"/>
    <cellStyle name="Normal 5 10 2 31 2 8" xfId="32467" xr:uid="{00000000-0005-0000-0000-0000C37E0000}"/>
    <cellStyle name="Normal 5 10 2 31 2 9" xfId="32468" xr:uid="{00000000-0005-0000-0000-0000C47E0000}"/>
    <cellStyle name="Normal 5 10 2 31 3" xfId="32469" xr:uid="{00000000-0005-0000-0000-0000C57E0000}"/>
    <cellStyle name="Normal 5 10 2 31 3 10" xfId="32470" xr:uid="{00000000-0005-0000-0000-0000C67E0000}"/>
    <cellStyle name="Normal 5 10 2 31 3 2" xfId="32471" xr:uid="{00000000-0005-0000-0000-0000C77E0000}"/>
    <cellStyle name="Normal 5 10 2 31 3 3" xfId="32472" xr:uid="{00000000-0005-0000-0000-0000C87E0000}"/>
    <cellStyle name="Normal 5 10 2 31 3 4" xfId="32473" xr:uid="{00000000-0005-0000-0000-0000C97E0000}"/>
    <cellStyle name="Normal 5 10 2 31 3 5" xfId="32474" xr:uid="{00000000-0005-0000-0000-0000CA7E0000}"/>
    <cellStyle name="Normal 5 10 2 31 3 6" xfId="32475" xr:uid="{00000000-0005-0000-0000-0000CB7E0000}"/>
    <cellStyle name="Normal 5 10 2 31 3 7" xfId="32476" xr:uid="{00000000-0005-0000-0000-0000CC7E0000}"/>
    <cellStyle name="Normal 5 10 2 31 3 8" xfId="32477" xr:uid="{00000000-0005-0000-0000-0000CD7E0000}"/>
    <cellStyle name="Normal 5 10 2 31 3 9" xfId="32478" xr:uid="{00000000-0005-0000-0000-0000CE7E0000}"/>
    <cellStyle name="Normal 5 10 2 31 4" xfId="32479" xr:uid="{00000000-0005-0000-0000-0000CF7E0000}"/>
    <cellStyle name="Normal 5 10 2 31 4 10" xfId="32480" xr:uid="{00000000-0005-0000-0000-0000D07E0000}"/>
    <cellStyle name="Normal 5 10 2 31 4 2" xfId="32481" xr:uid="{00000000-0005-0000-0000-0000D17E0000}"/>
    <cellStyle name="Normal 5 10 2 31 4 3" xfId="32482" xr:uid="{00000000-0005-0000-0000-0000D27E0000}"/>
    <cellStyle name="Normal 5 10 2 31 4 4" xfId="32483" xr:uid="{00000000-0005-0000-0000-0000D37E0000}"/>
    <cellStyle name="Normal 5 10 2 31 4 5" xfId="32484" xr:uid="{00000000-0005-0000-0000-0000D47E0000}"/>
    <cellStyle name="Normal 5 10 2 31 4 6" xfId="32485" xr:uid="{00000000-0005-0000-0000-0000D57E0000}"/>
    <cellStyle name="Normal 5 10 2 31 4 7" xfId="32486" xr:uid="{00000000-0005-0000-0000-0000D67E0000}"/>
    <cellStyle name="Normal 5 10 2 31 4 8" xfId="32487" xr:uid="{00000000-0005-0000-0000-0000D77E0000}"/>
    <cellStyle name="Normal 5 10 2 31 4 9" xfId="32488" xr:uid="{00000000-0005-0000-0000-0000D87E0000}"/>
    <cellStyle name="Normal 5 10 2 31 5" xfId="32489" xr:uid="{00000000-0005-0000-0000-0000D97E0000}"/>
    <cellStyle name="Normal 5 10 2 31 5 10" xfId="32490" xr:uid="{00000000-0005-0000-0000-0000DA7E0000}"/>
    <cellStyle name="Normal 5 10 2 31 5 2" xfId="32491" xr:uid="{00000000-0005-0000-0000-0000DB7E0000}"/>
    <cellStyle name="Normal 5 10 2 31 5 3" xfId="32492" xr:uid="{00000000-0005-0000-0000-0000DC7E0000}"/>
    <cellStyle name="Normal 5 10 2 31 5 4" xfId="32493" xr:uid="{00000000-0005-0000-0000-0000DD7E0000}"/>
    <cellStyle name="Normal 5 10 2 31 5 5" xfId="32494" xr:uid="{00000000-0005-0000-0000-0000DE7E0000}"/>
    <cellStyle name="Normal 5 10 2 31 5 6" xfId="32495" xr:uid="{00000000-0005-0000-0000-0000DF7E0000}"/>
    <cellStyle name="Normal 5 10 2 31 5 7" xfId="32496" xr:uid="{00000000-0005-0000-0000-0000E07E0000}"/>
    <cellStyle name="Normal 5 10 2 31 5 8" xfId="32497" xr:uid="{00000000-0005-0000-0000-0000E17E0000}"/>
    <cellStyle name="Normal 5 10 2 31 5 9" xfId="32498" xr:uid="{00000000-0005-0000-0000-0000E27E0000}"/>
    <cellStyle name="Normal 5 10 2 31 6" xfId="32499" xr:uid="{00000000-0005-0000-0000-0000E37E0000}"/>
    <cellStyle name="Normal 5 10 2 31 7" xfId="32500" xr:uid="{00000000-0005-0000-0000-0000E47E0000}"/>
    <cellStyle name="Normal 5 10 2 31 8" xfId="32501" xr:uid="{00000000-0005-0000-0000-0000E57E0000}"/>
    <cellStyle name="Normal 5 10 2 31 9" xfId="32502" xr:uid="{00000000-0005-0000-0000-0000E67E0000}"/>
    <cellStyle name="Normal 5 10 2 32" xfId="32503" xr:uid="{00000000-0005-0000-0000-0000E77E0000}"/>
    <cellStyle name="Normal 5 10 2 32 10" xfId="32504" xr:uid="{00000000-0005-0000-0000-0000E87E0000}"/>
    <cellStyle name="Normal 5 10 2 32 11" xfId="32505" xr:uid="{00000000-0005-0000-0000-0000E97E0000}"/>
    <cellStyle name="Normal 5 10 2 32 12" xfId="32506" xr:uid="{00000000-0005-0000-0000-0000EA7E0000}"/>
    <cellStyle name="Normal 5 10 2 32 13" xfId="32507" xr:uid="{00000000-0005-0000-0000-0000EB7E0000}"/>
    <cellStyle name="Normal 5 10 2 32 14" xfId="32508" xr:uid="{00000000-0005-0000-0000-0000EC7E0000}"/>
    <cellStyle name="Normal 5 10 2 32 2" xfId="32509" xr:uid="{00000000-0005-0000-0000-0000ED7E0000}"/>
    <cellStyle name="Normal 5 10 2 32 2 10" xfId="32510" xr:uid="{00000000-0005-0000-0000-0000EE7E0000}"/>
    <cellStyle name="Normal 5 10 2 32 2 2" xfId="32511" xr:uid="{00000000-0005-0000-0000-0000EF7E0000}"/>
    <cellStyle name="Normal 5 10 2 32 2 3" xfId="32512" xr:uid="{00000000-0005-0000-0000-0000F07E0000}"/>
    <cellStyle name="Normal 5 10 2 32 2 4" xfId="32513" xr:uid="{00000000-0005-0000-0000-0000F17E0000}"/>
    <cellStyle name="Normal 5 10 2 32 2 5" xfId="32514" xr:uid="{00000000-0005-0000-0000-0000F27E0000}"/>
    <cellStyle name="Normal 5 10 2 32 2 6" xfId="32515" xr:uid="{00000000-0005-0000-0000-0000F37E0000}"/>
    <cellStyle name="Normal 5 10 2 32 2 7" xfId="32516" xr:uid="{00000000-0005-0000-0000-0000F47E0000}"/>
    <cellStyle name="Normal 5 10 2 32 2 8" xfId="32517" xr:uid="{00000000-0005-0000-0000-0000F57E0000}"/>
    <cellStyle name="Normal 5 10 2 32 2 9" xfId="32518" xr:uid="{00000000-0005-0000-0000-0000F67E0000}"/>
    <cellStyle name="Normal 5 10 2 32 3" xfId="32519" xr:uid="{00000000-0005-0000-0000-0000F77E0000}"/>
    <cellStyle name="Normal 5 10 2 32 3 10" xfId="32520" xr:uid="{00000000-0005-0000-0000-0000F87E0000}"/>
    <cellStyle name="Normal 5 10 2 32 3 2" xfId="32521" xr:uid="{00000000-0005-0000-0000-0000F97E0000}"/>
    <cellStyle name="Normal 5 10 2 32 3 3" xfId="32522" xr:uid="{00000000-0005-0000-0000-0000FA7E0000}"/>
    <cellStyle name="Normal 5 10 2 32 3 4" xfId="32523" xr:uid="{00000000-0005-0000-0000-0000FB7E0000}"/>
    <cellStyle name="Normal 5 10 2 32 3 5" xfId="32524" xr:uid="{00000000-0005-0000-0000-0000FC7E0000}"/>
    <cellStyle name="Normal 5 10 2 32 3 6" xfId="32525" xr:uid="{00000000-0005-0000-0000-0000FD7E0000}"/>
    <cellStyle name="Normal 5 10 2 32 3 7" xfId="32526" xr:uid="{00000000-0005-0000-0000-0000FE7E0000}"/>
    <cellStyle name="Normal 5 10 2 32 3 8" xfId="32527" xr:uid="{00000000-0005-0000-0000-0000FF7E0000}"/>
    <cellStyle name="Normal 5 10 2 32 3 9" xfId="32528" xr:uid="{00000000-0005-0000-0000-0000007F0000}"/>
    <cellStyle name="Normal 5 10 2 32 4" xfId="32529" xr:uid="{00000000-0005-0000-0000-0000017F0000}"/>
    <cellStyle name="Normal 5 10 2 32 4 10" xfId="32530" xr:uid="{00000000-0005-0000-0000-0000027F0000}"/>
    <cellStyle name="Normal 5 10 2 32 4 2" xfId="32531" xr:uid="{00000000-0005-0000-0000-0000037F0000}"/>
    <cellStyle name="Normal 5 10 2 32 4 3" xfId="32532" xr:uid="{00000000-0005-0000-0000-0000047F0000}"/>
    <cellStyle name="Normal 5 10 2 32 4 4" xfId="32533" xr:uid="{00000000-0005-0000-0000-0000057F0000}"/>
    <cellStyle name="Normal 5 10 2 32 4 5" xfId="32534" xr:uid="{00000000-0005-0000-0000-0000067F0000}"/>
    <cellStyle name="Normal 5 10 2 32 4 6" xfId="32535" xr:uid="{00000000-0005-0000-0000-0000077F0000}"/>
    <cellStyle name="Normal 5 10 2 32 4 7" xfId="32536" xr:uid="{00000000-0005-0000-0000-0000087F0000}"/>
    <cellStyle name="Normal 5 10 2 32 4 8" xfId="32537" xr:uid="{00000000-0005-0000-0000-0000097F0000}"/>
    <cellStyle name="Normal 5 10 2 32 4 9" xfId="32538" xr:uid="{00000000-0005-0000-0000-00000A7F0000}"/>
    <cellStyle name="Normal 5 10 2 32 5" xfId="32539" xr:uid="{00000000-0005-0000-0000-00000B7F0000}"/>
    <cellStyle name="Normal 5 10 2 32 5 10" xfId="32540" xr:uid="{00000000-0005-0000-0000-00000C7F0000}"/>
    <cellStyle name="Normal 5 10 2 32 5 2" xfId="32541" xr:uid="{00000000-0005-0000-0000-00000D7F0000}"/>
    <cellStyle name="Normal 5 10 2 32 5 3" xfId="32542" xr:uid="{00000000-0005-0000-0000-00000E7F0000}"/>
    <cellStyle name="Normal 5 10 2 32 5 4" xfId="32543" xr:uid="{00000000-0005-0000-0000-00000F7F0000}"/>
    <cellStyle name="Normal 5 10 2 32 5 5" xfId="32544" xr:uid="{00000000-0005-0000-0000-0000107F0000}"/>
    <cellStyle name="Normal 5 10 2 32 5 6" xfId="32545" xr:uid="{00000000-0005-0000-0000-0000117F0000}"/>
    <cellStyle name="Normal 5 10 2 32 5 7" xfId="32546" xr:uid="{00000000-0005-0000-0000-0000127F0000}"/>
    <cellStyle name="Normal 5 10 2 32 5 8" xfId="32547" xr:uid="{00000000-0005-0000-0000-0000137F0000}"/>
    <cellStyle name="Normal 5 10 2 32 5 9" xfId="32548" xr:uid="{00000000-0005-0000-0000-0000147F0000}"/>
    <cellStyle name="Normal 5 10 2 32 6" xfId="32549" xr:uid="{00000000-0005-0000-0000-0000157F0000}"/>
    <cellStyle name="Normal 5 10 2 32 7" xfId="32550" xr:uid="{00000000-0005-0000-0000-0000167F0000}"/>
    <cellStyle name="Normal 5 10 2 32 8" xfId="32551" xr:uid="{00000000-0005-0000-0000-0000177F0000}"/>
    <cellStyle name="Normal 5 10 2 32 9" xfId="32552" xr:uid="{00000000-0005-0000-0000-0000187F0000}"/>
    <cellStyle name="Normal 5 10 2 33" xfId="32553" xr:uid="{00000000-0005-0000-0000-0000197F0000}"/>
    <cellStyle name="Normal 5 10 2 33 10" xfId="32554" xr:uid="{00000000-0005-0000-0000-00001A7F0000}"/>
    <cellStyle name="Normal 5 10 2 33 11" xfId="32555" xr:uid="{00000000-0005-0000-0000-00001B7F0000}"/>
    <cellStyle name="Normal 5 10 2 33 12" xfId="32556" xr:uid="{00000000-0005-0000-0000-00001C7F0000}"/>
    <cellStyle name="Normal 5 10 2 33 13" xfId="32557" xr:uid="{00000000-0005-0000-0000-00001D7F0000}"/>
    <cellStyle name="Normal 5 10 2 33 14" xfId="32558" xr:uid="{00000000-0005-0000-0000-00001E7F0000}"/>
    <cellStyle name="Normal 5 10 2 33 2" xfId="32559" xr:uid="{00000000-0005-0000-0000-00001F7F0000}"/>
    <cellStyle name="Normal 5 10 2 33 2 10" xfId="32560" xr:uid="{00000000-0005-0000-0000-0000207F0000}"/>
    <cellStyle name="Normal 5 10 2 33 2 2" xfId="32561" xr:uid="{00000000-0005-0000-0000-0000217F0000}"/>
    <cellStyle name="Normal 5 10 2 33 2 3" xfId="32562" xr:uid="{00000000-0005-0000-0000-0000227F0000}"/>
    <cellStyle name="Normal 5 10 2 33 2 4" xfId="32563" xr:uid="{00000000-0005-0000-0000-0000237F0000}"/>
    <cellStyle name="Normal 5 10 2 33 2 5" xfId="32564" xr:uid="{00000000-0005-0000-0000-0000247F0000}"/>
    <cellStyle name="Normal 5 10 2 33 2 6" xfId="32565" xr:uid="{00000000-0005-0000-0000-0000257F0000}"/>
    <cellStyle name="Normal 5 10 2 33 2 7" xfId="32566" xr:uid="{00000000-0005-0000-0000-0000267F0000}"/>
    <cellStyle name="Normal 5 10 2 33 2 8" xfId="32567" xr:uid="{00000000-0005-0000-0000-0000277F0000}"/>
    <cellStyle name="Normal 5 10 2 33 2 9" xfId="32568" xr:uid="{00000000-0005-0000-0000-0000287F0000}"/>
    <cellStyle name="Normal 5 10 2 33 3" xfId="32569" xr:uid="{00000000-0005-0000-0000-0000297F0000}"/>
    <cellStyle name="Normal 5 10 2 33 3 10" xfId="32570" xr:uid="{00000000-0005-0000-0000-00002A7F0000}"/>
    <cellStyle name="Normal 5 10 2 33 3 2" xfId="32571" xr:uid="{00000000-0005-0000-0000-00002B7F0000}"/>
    <cellStyle name="Normal 5 10 2 33 3 3" xfId="32572" xr:uid="{00000000-0005-0000-0000-00002C7F0000}"/>
    <cellStyle name="Normal 5 10 2 33 3 4" xfId="32573" xr:uid="{00000000-0005-0000-0000-00002D7F0000}"/>
    <cellStyle name="Normal 5 10 2 33 3 5" xfId="32574" xr:uid="{00000000-0005-0000-0000-00002E7F0000}"/>
    <cellStyle name="Normal 5 10 2 33 3 6" xfId="32575" xr:uid="{00000000-0005-0000-0000-00002F7F0000}"/>
    <cellStyle name="Normal 5 10 2 33 3 7" xfId="32576" xr:uid="{00000000-0005-0000-0000-0000307F0000}"/>
    <cellStyle name="Normal 5 10 2 33 3 8" xfId="32577" xr:uid="{00000000-0005-0000-0000-0000317F0000}"/>
    <cellStyle name="Normal 5 10 2 33 3 9" xfId="32578" xr:uid="{00000000-0005-0000-0000-0000327F0000}"/>
    <cellStyle name="Normal 5 10 2 33 4" xfId="32579" xr:uid="{00000000-0005-0000-0000-0000337F0000}"/>
    <cellStyle name="Normal 5 10 2 33 4 10" xfId="32580" xr:uid="{00000000-0005-0000-0000-0000347F0000}"/>
    <cellStyle name="Normal 5 10 2 33 4 2" xfId="32581" xr:uid="{00000000-0005-0000-0000-0000357F0000}"/>
    <cellStyle name="Normal 5 10 2 33 4 3" xfId="32582" xr:uid="{00000000-0005-0000-0000-0000367F0000}"/>
    <cellStyle name="Normal 5 10 2 33 4 4" xfId="32583" xr:uid="{00000000-0005-0000-0000-0000377F0000}"/>
    <cellStyle name="Normal 5 10 2 33 4 5" xfId="32584" xr:uid="{00000000-0005-0000-0000-0000387F0000}"/>
    <cellStyle name="Normal 5 10 2 33 4 6" xfId="32585" xr:uid="{00000000-0005-0000-0000-0000397F0000}"/>
    <cellStyle name="Normal 5 10 2 33 4 7" xfId="32586" xr:uid="{00000000-0005-0000-0000-00003A7F0000}"/>
    <cellStyle name="Normal 5 10 2 33 4 8" xfId="32587" xr:uid="{00000000-0005-0000-0000-00003B7F0000}"/>
    <cellStyle name="Normal 5 10 2 33 4 9" xfId="32588" xr:uid="{00000000-0005-0000-0000-00003C7F0000}"/>
    <cellStyle name="Normal 5 10 2 33 5" xfId="32589" xr:uid="{00000000-0005-0000-0000-00003D7F0000}"/>
    <cellStyle name="Normal 5 10 2 33 5 10" xfId="32590" xr:uid="{00000000-0005-0000-0000-00003E7F0000}"/>
    <cellStyle name="Normal 5 10 2 33 5 2" xfId="32591" xr:uid="{00000000-0005-0000-0000-00003F7F0000}"/>
    <cellStyle name="Normal 5 10 2 33 5 3" xfId="32592" xr:uid="{00000000-0005-0000-0000-0000407F0000}"/>
    <cellStyle name="Normal 5 10 2 33 5 4" xfId="32593" xr:uid="{00000000-0005-0000-0000-0000417F0000}"/>
    <cellStyle name="Normal 5 10 2 33 5 5" xfId="32594" xr:uid="{00000000-0005-0000-0000-0000427F0000}"/>
    <cellStyle name="Normal 5 10 2 33 5 6" xfId="32595" xr:uid="{00000000-0005-0000-0000-0000437F0000}"/>
    <cellStyle name="Normal 5 10 2 33 5 7" xfId="32596" xr:uid="{00000000-0005-0000-0000-0000447F0000}"/>
    <cellStyle name="Normal 5 10 2 33 5 8" xfId="32597" xr:uid="{00000000-0005-0000-0000-0000457F0000}"/>
    <cellStyle name="Normal 5 10 2 33 5 9" xfId="32598" xr:uid="{00000000-0005-0000-0000-0000467F0000}"/>
    <cellStyle name="Normal 5 10 2 33 6" xfId="32599" xr:uid="{00000000-0005-0000-0000-0000477F0000}"/>
    <cellStyle name="Normal 5 10 2 33 7" xfId="32600" xr:uid="{00000000-0005-0000-0000-0000487F0000}"/>
    <cellStyle name="Normal 5 10 2 33 8" xfId="32601" xr:uid="{00000000-0005-0000-0000-0000497F0000}"/>
    <cellStyle name="Normal 5 10 2 33 9" xfId="32602" xr:uid="{00000000-0005-0000-0000-00004A7F0000}"/>
    <cellStyle name="Normal 5 10 2 34" xfId="32603" xr:uid="{00000000-0005-0000-0000-00004B7F0000}"/>
    <cellStyle name="Normal 5 10 2 34 10" xfId="32604" xr:uid="{00000000-0005-0000-0000-00004C7F0000}"/>
    <cellStyle name="Normal 5 10 2 34 2" xfId="32605" xr:uid="{00000000-0005-0000-0000-00004D7F0000}"/>
    <cellStyle name="Normal 5 10 2 34 3" xfId="32606" xr:uid="{00000000-0005-0000-0000-00004E7F0000}"/>
    <cellStyle name="Normal 5 10 2 34 4" xfId="32607" xr:uid="{00000000-0005-0000-0000-00004F7F0000}"/>
    <cellStyle name="Normal 5 10 2 34 5" xfId="32608" xr:uid="{00000000-0005-0000-0000-0000507F0000}"/>
    <cellStyle name="Normal 5 10 2 34 6" xfId="32609" xr:uid="{00000000-0005-0000-0000-0000517F0000}"/>
    <cellStyle name="Normal 5 10 2 34 7" xfId="32610" xr:uid="{00000000-0005-0000-0000-0000527F0000}"/>
    <cellStyle name="Normal 5 10 2 34 8" xfId="32611" xr:uid="{00000000-0005-0000-0000-0000537F0000}"/>
    <cellStyle name="Normal 5 10 2 34 9" xfId="32612" xr:uid="{00000000-0005-0000-0000-0000547F0000}"/>
    <cellStyle name="Normal 5 10 2 35" xfId="32613" xr:uid="{00000000-0005-0000-0000-0000557F0000}"/>
    <cellStyle name="Normal 5 10 2 35 10" xfId="32614" xr:uid="{00000000-0005-0000-0000-0000567F0000}"/>
    <cellStyle name="Normal 5 10 2 35 2" xfId="32615" xr:uid="{00000000-0005-0000-0000-0000577F0000}"/>
    <cellStyle name="Normal 5 10 2 35 3" xfId="32616" xr:uid="{00000000-0005-0000-0000-0000587F0000}"/>
    <cellStyle name="Normal 5 10 2 35 4" xfId="32617" xr:uid="{00000000-0005-0000-0000-0000597F0000}"/>
    <cellStyle name="Normal 5 10 2 35 5" xfId="32618" xr:uid="{00000000-0005-0000-0000-00005A7F0000}"/>
    <cellStyle name="Normal 5 10 2 35 6" xfId="32619" xr:uid="{00000000-0005-0000-0000-00005B7F0000}"/>
    <cellStyle name="Normal 5 10 2 35 7" xfId="32620" xr:uid="{00000000-0005-0000-0000-00005C7F0000}"/>
    <cellStyle name="Normal 5 10 2 35 8" xfId="32621" xr:uid="{00000000-0005-0000-0000-00005D7F0000}"/>
    <cellStyle name="Normal 5 10 2 35 9" xfId="32622" xr:uid="{00000000-0005-0000-0000-00005E7F0000}"/>
    <cellStyle name="Normal 5 10 2 36" xfId="32623" xr:uid="{00000000-0005-0000-0000-00005F7F0000}"/>
    <cellStyle name="Normal 5 10 2 36 10" xfId="32624" xr:uid="{00000000-0005-0000-0000-0000607F0000}"/>
    <cellStyle name="Normal 5 10 2 36 2" xfId="32625" xr:uid="{00000000-0005-0000-0000-0000617F0000}"/>
    <cellStyle name="Normal 5 10 2 36 3" xfId="32626" xr:uid="{00000000-0005-0000-0000-0000627F0000}"/>
    <cellStyle name="Normal 5 10 2 36 4" xfId="32627" xr:uid="{00000000-0005-0000-0000-0000637F0000}"/>
    <cellStyle name="Normal 5 10 2 36 5" xfId="32628" xr:uid="{00000000-0005-0000-0000-0000647F0000}"/>
    <cellStyle name="Normal 5 10 2 36 6" xfId="32629" xr:uid="{00000000-0005-0000-0000-0000657F0000}"/>
    <cellStyle name="Normal 5 10 2 36 7" xfId="32630" xr:uid="{00000000-0005-0000-0000-0000667F0000}"/>
    <cellStyle name="Normal 5 10 2 36 8" xfId="32631" xr:uid="{00000000-0005-0000-0000-0000677F0000}"/>
    <cellStyle name="Normal 5 10 2 36 9" xfId="32632" xr:uid="{00000000-0005-0000-0000-0000687F0000}"/>
    <cellStyle name="Normal 5 10 2 37" xfId="32633" xr:uid="{00000000-0005-0000-0000-0000697F0000}"/>
    <cellStyle name="Normal 5 10 2 37 10" xfId="32634" xr:uid="{00000000-0005-0000-0000-00006A7F0000}"/>
    <cellStyle name="Normal 5 10 2 37 2" xfId="32635" xr:uid="{00000000-0005-0000-0000-00006B7F0000}"/>
    <cellStyle name="Normal 5 10 2 37 3" xfId="32636" xr:uid="{00000000-0005-0000-0000-00006C7F0000}"/>
    <cellStyle name="Normal 5 10 2 37 4" xfId="32637" xr:uid="{00000000-0005-0000-0000-00006D7F0000}"/>
    <cellStyle name="Normal 5 10 2 37 5" xfId="32638" xr:uid="{00000000-0005-0000-0000-00006E7F0000}"/>
    <cellStyle name="Normal 5 10 2 37 6" xfId="32639" xr:uid="{00000000-0005-0000-0000-00006F7F0000}"/>
    <cellStyle name="Normal 5 10 2 37 7" xfId="32640" xr:uid="{00000000-0005-0000-0000-0000707F0000}"/>
    <cellStyle name="Normal 5 10 2 37 8" xfId="32641" xr:uid="{00000000-0005-0000-0000-0000717F0000}"/>
    <cellStyle name="Normal 5 10 2 37 9" xfId="32642" xr:uid="{00000000-0005-0000-0000-0000727F0000}"/>
    <cellStyle name="Normal 5 10 2 38" xfId="32643" xr:uid="{00000000-0005-0000-0000-0000737F0000}"/>
    <cellStyle name="Normal 5 10 2 39" xfId="32644" xr:uid="{00000000-0005-0000-0000-0000747F0000}"/>
    <cellStyle name="Normal 5 10 2 4" xfId="32645" xr:uid="{00000000-0005-0000-0000-0000757F0000}"/>
    <cellStyle name="Normal 5 10 2 4 10" xfId="32646" xr:uid="{00000000-0005-0000-0000-0000767F0000}"/>
    <cellStyle name="Normal 5 10 2 4 11" xfId="32647" xr:uid="{00000000-0005-0000-0000-0000777F0000}"/>
    <cellStyle name="Normal 5 10 2 4 12" xfId="32648" xr:uid="{00000000-0005-0000-0000-0000787F0000}"/>
    <cellStyle name="Normal 5 10 2 4 13" xfId="32649" xr:uid="{00000000-0005-0000-0000-0000797F0000}"/>
    <cellStyle name="Normal 5 10 2 4 14" xfId="32650" xr:uid="{00000000-0005-0000-0000-00007A7F0000}"/>
    <cellStyle name="Normal 5 10 2 4 2" xfId="32651" xr:uid="{00000000-0005-0000-0000-00007B7F0000}"/>
    <cellStyle name="Normal 5 10 2 4 2 10" xfId="32652" xr:uid="{00000000-0005-0000-0000-00007C7F0000}"/>
    <cellStyle name="Normal 5 10 2 4 2 2" xfId="32653" xr:uid="{00000000-0005-0000-0000-00007D7F0000}"/>
    <cellStyle name="Normal 5 10 2 4 2 3" xfId="32654" xr:uid="{00000000-0005-0000-0000-00007E7F0000}"/>
    <cellStyle name="Normal 5 10 2 4 2 4" xfId="32655" xr:uid="{00000000-0005-0000-0000-00007F7F0000}"/>
    <cellStyle name="Normal 5 10 2 4 2 5" xfId="32656" xr:uid="{00000000-0005-0000-0000-0000807F0000}"/>
    <cellStyle name="Normal 5 10 2 4 2 6" xfId="32657" xr:uid="{00000000-0005-0000-0000-0000817F0000}"/>
    <cellStyle name="Normal 5 10 2 4 2 7" xfId="32658" xr:uid="{00000000-0005-0000-0000-0000827F0000}"/>
    <cellStyle name="Normal 5 10 2 4 2 8" xfId="32659" xr:uid="{00000000-0005-0000-0000-0000837F0000}"/>
    <cellStyle name="Normal 5 10 2 4 2 9" xfId="32660" xr:uid="{00000000-0005-0000-0000-0000847F0000}"/>
    <cellStyle name="Normal 5 10 2 4 3" xfId="32661" xr:uid="{00000000-0005-0000-0000-0000857F0000}"/>
    <cellStyle name="Normal 5 10 2 4 3 10" xfId="32662" xr:uid="{00000000-0005-0000-0000-0000867F0000}"/>
    <cellStyle name="Normal 5 10 2 4 3 2" xfId="32663" xr:uid="{00000000-0005-0000-0000-0000877F0000}"/>
    <cellStyle name="Normal 5 10 2 4 3 3" xfId="32664" xr:uid="{00000000-0005-0000-0000-0000887F0000}"/>
    <cellStyle name="Normal 5 10 2 4 3 4" xfId="32665" xr:uid="{00000000-0005-0000-0000-0000897F0000}"/>
    <cellStyle name="Normal 5 10 2 4 3 5" xfId="32666" xr:uid="{00000000-0005-0000-0000-00008A7F0000}"/>
    <cellStyle name="Normal 5 10 2 4 3 6" xfId="32667" xr:uid="{00000000-0005-0000-0000-00008B7F0000}"/>
    <cellStyle name="Normal 5 10 2 4 3 7" xfId="32668" xr:uid="{00000000-0005-0000-0000-00008C7F0000}"/>
    <cellStyle name="Normal 5 10 2 4 3 8" xfId="32669" xr:uid="{00000000-0005-0000-0000-00008D7F0000}"/>
    <cellStyle name="Normal 5 10 2 4 3 9" xfId="32670" xr:uid="{00000000-0005-0000-0000-00008E7F0000}"/>
    <cellStyle name="Normal 5 10 2 4 4" xfId="32671" xr:uid="{00000000-0005-0000-0000-00008F7F0000}"/>
    <cellStyle name="Normal 5 10 2 4 4 10" xfId="32672" xr:uid="{00000000-0005-0000-0000-0000907F0000}"/>
    <cellStyle name="Normal 5 10 2 4 4 2" xfId="32673" xr:uid="{00000000-0005-0000-0000-0000917F0000}"/>
    <cellStyle name="Normal 5 10 2 4 4 3" xfId="32674" xr:uid="{00000000-0005-0000-0000-0000927F0000}"/>
    <cellStyle name="Normal 5 10 2 4 4 4" xfId="32675" xr:uid="{00000000-0005-0000-0000-0000937F0000}"/>
    <cellStyle name="Normal 5 10 2 4 4 5" xfId="32676" xr:uid="{00000000-0005-0000-0000-0000947F0000}"/>
    <cellStyle name="Normal 5 10 2 4 4 6" xfId="32677" xr:uid="{00000000-0005-0000-0000-0000957F0000}"/>
    <cellStyle name="Normal 5 10 2 4 4 7" xfId="32678" xr:uid="{00000000-0005-0000-0000-0000967F0000}"/>
    <cellStyle name="Normal 5 10 2 4 4 8" xfId="32679" xr:uid="{00000000-0005-0000-0000-0000977F0000}"/>
    <cellStyle name="Normal 5 10 2 4 4 9" xfId="32680" xr:uid="{00000000-0005-0000-0000-0000987F0000}"/>
    <cellStyle name="Normal 5 10 2 4 5" xfId="32681" xr:uid="{00000000-0005-0000-0000-0000997F0000}"/>
    <cellStyle name="Normal 5 10 2 4 5 10" xfId="32682" xr:uid="{00000000-0005-0000-0000-00009A7F0000}"/>
    <cellStyle name="Normal 5 10 2 4 5 2" xfId="32683" xr:uid="{00000000-0005-0000-0000-00009B7F0000}"/>
    <cellStyle name="Normal 5 10 2 4 5 3" xfId="32684" xr:uid="{00000000-0005-0000-0000-00009C7F0000}"/>
    <cellStyle name="Normal 5 10 2 4 5 4" xfId="32685" xr:uid="{00000000-0005-0000-0000-00009D7F0000}"/>
    <cellStyle name="Normal 5 10 2 4 5 5" xfId="32686" xr:uid="{00000000-0005-0000-0000-00009E7F0000}"/>
    <cellStyle name="Normal 5 10 2 4 5 6" xfId="32687" xr:uid="{00000000-0005-0000-0000-00009F7F0000}"/>
    <cellStyle name="Normal 5 10 2 4 5 7" xfId="32688" xr:uid="{00000000-0005-0000-0000-0000A07F0000}"/>
    <cellStyle name="Normal 5 10 2 4 5 8" xfId="32689" xr:uid="{00000000-0005-0000-0000-0000A17F0000}"/>
    <cellStyle name="Normal 5 10 2 4 5 9" xfId="32690" xr:uid="{00000000-0005-0000-0000-0000A27F0000}"/>
    <cellStyle name="Normal 5 10 2 4 6" xfId="32691" xr:uid="{00000000-0005-0000-0000-0000A37F0000}"/>
    <cellStyle name="Normal 5 10 2 4 7" xfId="32692" xr:uid="{00000000-0005-0000-0000-0000A47F0000}"/>
    <cellStyle name="Normal 5 10 2 4 8" xfId="32693" xr:uid="{00000000-0005-0000-0000-0000A57F0000}"/>
    <cellStyle name="Normal 5 10 2 4 9" xfId="32694" xr:uid="{00000000-0005-0000-0000-0000A67F0000}"/>
    <cellStyle name="Normal 5 10 2 40" xfId="32695" xr:uid="{00000000-0005-0000-0000-0000A77F0000}"/>
    <cellStyle name="Normal 5 10 2 41" xfId="32696" xr:uid="{00000000-0005-0000-0000-0000A87F0000}"/>
    <cellStyle name="Normal 5 10 2 42" xfId="32697" xr:uid="{00000000-0005-0000-0000-0000A97F0000}"/>
    <cellStyle name="Normal 5 10 2 43" xfId="32698" xr:uid="{00000000-0005-0000-0000-0000AA7F0000}"/>
    <cellStyle name="Normal 5 10 2 44" xfId="32699" xr:uid="{00000000-0005-0000-0000-0000AB7F0000}"/>
    <cellStyle name="Normal 5 10 2 45" xfId="32700" xr:uid="{00000000-0005-0000-0000-0000AC7F0000}"/>
    <cellStyle name="Normal 5 10 2 46" xfId="32701" xr:uid="{00000000-0005-0000-0000-0000AD7F0000}"/>
    <cellStyle name="Normal 5 10 2 47" xfId="32702" xr:uid="{00000000-0005-0000-0000-0000AE7F0000}"/>
    <cellStyle name="Normal 5 10 2 48" xfId="32703" xr:uid="{00000000-0005-0000-0000-0000AF7F0000}"/>
    <cellStyle name="Normal 5 10 2 49" xfId="31300" xr:uid="{00000000-0005-0000-0000-0000B07F0000}"/>
    <cellStyle name="Normal 5 10 2 5" xfId="32704" xr:uid="{00000000-0005-0000-0000-0000B17F0000}"/>
    <cellStyle name="Normal 5 10 2 5 10" xfId="32705" xr:uid="{00000000-0005-0000-0000-0000B27F0000}"/>
    <cellStyle name="Normal 5 10 2 5 11" xfId="32706" xr:uid="{00000000-0005-0000-0000-0000B37F0000}"/>
    <cellStyle name="Normal 5 10 2 5 12" xfId="32707" xr:uid="{00000000-0005-0000-0000-0000B47F0000}"/>
    <cellStyle name="Normal 5 10 2 5 13" xfId="32708" xr:uid="{00000000-0005-0000-0000-0000B57F0000}"/>
    <cellStyle name="Normal 5 10 2 5 14" xfId="32709" xr:uid="{00000000-0005-0000-0000-0000B67F0000}"/>
    <cellStyle name="Normal 5 10 2 5 2" xfId="32710" xr:uid="{00000000-0005-0000-0000-0000B77F0000}"/>
    <cellStyle name="Normal 5 10 2 5 2 10" xfId="32711" xr:uid="{00000000-0005-0000-0000-0000B87F0000}"/>
    <cellStyle name="Normal 5 10 2 5 2 2" xfId="32712" xr:uid="{00000000-0005-0000-0000-0000B97F0000}"/>
    <cellStyle name="Normal 5 10 2 5 2 3" xfId="32713" xr:uid="{00000000-0005-0000-0000-0000BA7F0000}"/>
    <cellStyle name="Normal 5 10 2 5 2 4" xfId="32714" xr:uid="{00000000-0005-0000-0000-0000BB7F0000}"/>
    <cellStyle name="Normal 5 10 2 5 2 5" xfId="32715" xr:uid="{00000000-0005-0000-0000-0000BC7F0000}"/>
    <cellStyle name="Normal 5 10 2 5 2 6" xfId="32716" xr:uid="{00000000-0005-0000-0000-0000BD7F0000}"/>
    <cellStyle name="Normal 5 10 2 5 2 7" xfId="32717" xr:uid="{00000000-0005-0000-0000-0000BE7F0000}"/>
    <cellStyle name="Normal 5 10 2 5 2 8" xfId="32718" xr:uid="{00000000-0005-0000-0000-0000BF7F0000}"/>
    <cellStyle name="Normal 5 10 2 5 2 9" xfId="32719" xr:uid="{00000000-0005-0000-0000-0000C07F0000}"/>
    <cellStyle name="Normal 5 10 2 5 3" xfId="32720" xr:uid="{00000000-0005-0000-0000-0000C17F0000}"/>
    <cellStyle name="Normal 5 10 2 5 3 10" xfId="32721" xr:uid="{00000000-0005-0000-0000-0000C27F0000}"/>
    <cellStyle name="Normal 5 10 2 5 3 2" xfId="32722" xr:uid="{00000000-0005-0000-0000-0000C37F0000}"/>
    <cellStyle name="Normal 5 10 2 5 3 3" xfId="32723" xr:uid="{00000000-0005-0000-0000-0000C47F0000}"/>
    <cellStyle name="Normal 5 10 2 5 3 4" xfId="32724" xr:uid="{00000000-0005-0000-0000-0000C57F0000}"/>
    <cellStyle name="Normal 5 10 2 5 3 5" xfId="32725" xr:uid="{00000000-0005-0000-0000-0000C67F0000}"/>
    <cellStyle name="Normal 5 10 2 5 3 6" xfId="32726" xr:uid="{00000000-0005-0000-0000-0000C77F0000}"/>
    <cellStyle name="Normal 5 10 2 5 3 7" xfId="32727" xr:uid="{00000000-0005-0000-0000-0000C87F0000}"/>
    <cellStyle name="Normal 5 10 2 5 3 8" xfId="32728" xr:uid="{00000000-0005-0000-0000-0000C97F0000}"/>
    <cellStyle name="Normal 5 10 2 5 3 9" xfId="32729" xr:uid="{00000000-0005-0000-0000-0000CA7F0000}"/>
    <cellStyle name="Normal 5 10 2 5 4" xfId="32730" xr:uid="{00000000-0005-0000-0000-0000CB7F0000}"/>
    <cellStyle name="Normal 5 10 2 5 4 10" xfId="32731" xr:uid="{00000000-0005-0000-0000-0000CC7F0000}"/>
    <cellStyle name="Normal 5 10 2 5 4 2" xfId="32732" xr:uid="{00000000-0005-0000-0000-0000CD7F0000}"/>
    <cellStyle name="Normal 5 10 2 5 4 3" xfId="32733" xr:uid="{00000000-0005-0000-0000-0000CE7F0000}"/>
    <cellStyle name="Normal 5 10 2 5 4 4" xfId="32734" xr:uid="{00000000-0005-0000-0000-0000CF7F0000}"/>
    <cellStyle name="Normal 5 10 2 5 4 5" xfId="32735" xr:uid="{00000000-0005-0000-0000-0000D07F0000}"/>
    <cellStyle name="Normal 5 10 2 5 4 6" xfId="32736" xr:uid="{00000000-0005-0000-0000-0000D17F0000}"/>
    <cellStyle name="Normal 5 10 2 5 4 7" xfId="32737" xr:uid="{00000000-0005-0000-0000-0000D27F0000}"/>
    <cellStyle name="Normal 5 10 2 5 4 8" xfId="32738" xr:uid="{00000000-0005-0000-0000-0000D37F0000}"/>
    <cellStyle name="Normal 5 10 2 5 4 9" xfId="32739" xr:uid="{00000000-0005-0000-0000-0000D47F0000}"/>
    <cellStyle name="Normal 5 10 2 5 5" xfId="32740" xr:uid="{00000000-0005-0000-0000-0000D57F0000}"/>
    <cellStyle name="Normal 5 10 2 5 5 10" xfId="32741" xr:uid="{00000000-0005-0000-0000-0000D67F0000}"/>
    <cellStyle name="Normal 5 10 2 5 5 2" xfId="32742" xr:uid="{00000000-0005-0000-0000-0000D77F0000}"/>
    <cellStyle name="Normal 5 10 2 5 5 3" xfId="32743" xr:uid="{00000000-0005-0000-0000-0000D87F0000}"/>
    <cellStyle name="Normal 5 10 2 5 5 4" xfId="32744" xr:uid="{00000000-0005-0000-0000-0000D97F0000}"/>
    <cellStyle name="Normal 5 10 2 5 5 5" xfId="32745" xr:uid="{00000000-0005-0000-0000-0000DA7F0000}"/>
    <cellStyle name="Normal 5 10 2 5 5 6" xfId="32746" xr:uid="{00000000-0005-0000-0000-0000DB7F0000}"/>
    <cellStyle name="Normal 5 10 2 5 5 7" xfId="32747" xr:uid="{00000000-0005-0000-0000-0000DC7F0000}"/>
    <cellStyle name="Normal 5 10 2 5 5 8" xfId="32748" xr:uid="{00000000-0005-0000-0000-0000DD7F0000}"/>
    <cellStyle name="Normal 5 10 2 5 5 9" xfId="32749" xr:uid="{00000000-0005-0000-0000-0000DE7F0000}"/>
    <cellStyle name="Normal 5 10 2 5 6" xfId="32750" xr:uid="{00000000-0005-0000-0000-0000DF7F0000}"/>
    <cellStyle name="Normal 5 10 2 5 7" xfId="32751" xr:uid="{00000000-0005-0000-0000-0000E07F0000}"/>
    <cellStyle name="Normal 5 10 2 5 8" xfId="32752" xr:uid="{00000000-0005-0000-0000-0000E17F0000}"/>
    <cellStyle name="Normal 5 10 2 5 9" xfId="32753" xr:uid="{00000000-0005-0000-0000-0000E27F0000}"/>
    <cellStyle name="Normal 5 10 2 6" xfId="32754" xr:uid="{00000000-0005-0000-0000-0000E37F0000}"/>
    <cellStyle name="Normal 5 10 2 6 10" xfId="32755" xr:uid="{00000000-0005-0000-0000-0000E47F0000}"/>
    <cellStyle name="Normal 5 10 2 6 11" xfId="32756" xr:uid="{00000000-0005-0000-0000-0000E57F0000}"/>
    <cellStyle name="Normal 5 10 2 6 12" xfId="32757" xr:uid="{00000000-0005-0000-0000-0000E67F0000}"/>
    <cellStyle name="Normal 5 10 2 6 13" xfId="32758" xr:uid="{00000000-0005-0000-0000-0000E77F0000}"/>
    <cellStyle name="Normal 5 10 2 6 14" xfId="32759" xr:uid="{00000000-0005-0000-0000-0000E87F0000}"/>
    <cellStyle name="Normal 5 10 2 6 2" xfId="32760" xr:uid="{00000000-0005-0000-0000-0000E97F0000}"/>
    <cellStyle name="Normal 5 10 2 6 2 10" xfId="32761" xr:uid="{00000000-0005-0000-0000-0000EA7F0000}"/>
    <cellStyle name="Normal 5 10 2 6 2 2" xfId="32762" xr:uid="{00000000-0005-0000-0000-0000EB7F0000}"/>
    <cellStyle name="Normal 5 10 2 6 2 3" xfId="32763" xr:uid="{00000000-0005-0000-0000-0000EC7F0000}"/>
    <cellStyle name="Normal 5 10 2 6 2 4" xfId="32764" xr:uid="{00000000-0005-0000-0000-0000ED7F0000}"/>
    <cellStyle name="Normal 5 10 2 6 2 5" xfId="32765" xr:uid="{00000000-0005-0000-0000-0000EE7F0000}"/>
    <cellStyle name="Normal 5 10 2 6 2 6" xfId="32766" xr:uid="{00000000-0005-0000-0000-0000EF7F0000}"/>
    <cellStyle name="Normal 5 10 2 6 2 7" xfId="32767" xr:uid="{00000000-0005-0000-0000-0000F07F0000}"/>
    <cellStyle name="Normal 5 10 2 6 2 8" xfId="32768" xr:uid="{00000000-0005-0000-0000-0000F17F0000}"/>
    <cellStyle name="Normal 5 10 2 6 2 9" xfId="32769" xr:uid="{00000000-0005-0000-0000-0000F27F0000}"/>
    <cellStyle name="Normal 5 10 2 6 3" xfId="32770" xr:uid="{00000000-0005-0000-0000-0000F37F0000}"/>
    <cellStyle name="Normal 5 10 2 6 3 10" xfId="32771" xr:uid="{00000000-0005-0000-0000-0000F47F0000}"/>
    <cellStyle name="Normal 5 10 2 6 3 2" xfId="32772" xr:uid="{00000000-0005-0000-0000-0000F57F0000}"/>
    <cellStyle name="Normal 5 10 2 6 3 3" xfId="32773" xr:uid="{00000000-0005-0000-0000-0000F67F0000}"/>
    <cellStyle name="Normal 5 10 2 6 3 4" xfId="32774" xr:uid="{00000000-0005-0000-0000-0000F77F0000}"/>
    <cellStyle name="Normal 5 10 2 6 3 5" xfId="32775" xr:uid="{00000000-0005-0000-0000-0000F87F0000}"/>
    <cellStyle name="Normal 5 10 2 6 3 6" xfId="32776" xr:uid="{00000000-0005-0000-0000-0000F97F0000}"/>
    <cellStyle name="Normal 5 10 2 6 3 7" xfId="32777" xr:uid="{00000000-0005-0000-0000-0000FA7F0000}"/>
    <cellStyle name="Normal 5 10 2 6 3 8" xfId="32778" xr:uid="{00000000-0005-0000-0000-0000FB7F0000}"/>
    <cellStyle name="Normal 5 10 2 6 3 9" xfId="32779" xr:uid="{00000000-0005-0000-0000-0000FC7F0000}"/>
    <cellStyle name="Normal 5 10 2 6 4" xfId="32780" xr:uid="{00000000-0005-0000-0000-0000FD7F0000}"/>
    <cellStyle name="Normal 5 10 2 6 4 10" xfId="32781" xr:uid="{00000000-0005-0000-0000-0000FE7F0000}"/>
    <cellStyle name="Normal 5 10 2 6 4 2" xfId="32782" xr:uid="{00000000-0005-0000-0000-0000FF7F0000}"/>
    <cellStyle name="Normal 5 10 2 6 4 3" xfId="32783" xr:uid="{00000000-0005-0000-0000-000000800000}"/>
    <cellStyle name="Normal 5 10 2 6 4 4" xfId="32784" xr:uid="{00000000-0005-0000-0000-000001800000}"/>
    <cellStyle name="Normal 5 10 2 6 4 5" xfId="32785" xr:uid="{00000000-0005-0000-0000-000002800000}"/>
    <cellStyle name="Normal 5 10 2 6 4 6" xfId="32786" xr:uid="{00000000-0005-0000-0000-000003800000}"/>
    <cellStyle name="Normal 5 10 2 6 4 7" xfId="32787" xr:uid="{00000000-0005-0000-0000-000004800000}"/>
    <cellStyle name="Normal 5 10 2 6 4 8" xfId="32788" xr:uid="{00000000-0005-0000-0000-000005800000}"/>
    <cellStyle name="Normal 5 10 2 6 4 9" xfId="32789" xr:uid="{00000000-0005-0000-0000-000006800000}"/>
    <cellStyle name="Normal 5 10 2 6 5" xfId="32790" xr:uid="{00000000-0005-0000-0000-000007800000}"/>
    <cellStyle name="Normal 5 10 2 6 5 10" xfId="32791" xr:uid="{00000000-0005-0000-0000-000008800000}"/>
    <cellStyle name="Normal 5 10 2 6 5 2" xfId="32792" xr:uid="{00000000-0005-0000-0000-000009800000}"/>
    <cellStyle name="Normal 5 10 2 6 5 3" xfId="32793" xr:uid="{00000000-0005-0000-0000-00000A800000}"/>
    <cellStyle name="Normal 5 10 2 6 5 4" xfId="32794" xr:uid="{00000000-0005-0000-0000-00000B800000}"/>
    <cellStyle name="Normal 5 10 2 6 5 5" xfId="32795" xr:uid="{00000000-0005-0000-0000-00000C800000}"/>
    <cellStyle name="Normal 5 10 2 6 5 6" xfId="32796" xr:uid="{00000000-0005-0000-0000-00000D800000}"/>
    <cellStyle name="Normal 5 10 2 6 5 7" xfId="32797" xr:uid="{00000000-0005-0000-0000-00000E800000}"/>
    <cellStyle name="Normal 5 10 2 6 5 8" xfId="32798" xr:uid="{00000000-0005-0000-0000-00000F800000}"/>
    <cellStyle name="Normal 5 10 2 6 5 9" xfId="32799" xr:uid="{00000000-0005-0000-0000-000010800000}"/>
    <cellStyle name="Normal 5 10 2 6 6" xfId="32800" xr:uid="{00000000-0005-0000-0000-000011800000}"/>
    <cellStyle name="Normal 5 10 2 6 7" xfId="32801" xr:uid="{00000000-0005-0000-0000-000012800000}"/>
    <cellStyle name="Normal 5 10 2 6 8" xfId="32802" xr:uid="{00000000-0005-0000-0000-000013800000}"/>
    <cellStyle name="Normal 5 10 2 6 9" xfId="32803" xr:uid="{00000000-0005-0000-0000-000014800000}"/>
    <cellStyle name="Normal 5 10 2 7" xfId="32804" xr:uid="{00000000-0005-0000-0000-000015800000}"/>
    <cellStyle name="Normal 5 10 2 7 10" xfId="32805" xr:uid="{00000000-0005-0000-0000-000016800000}"/>
    <cellStyle name="Normal 5 10 2 7 11" xfId="32806" xr:uid="{00000000-0005-0000-0000-000017800000}"/>
    <cellStyle name="Normal 5 10 2 7 12" xfId="32807" xr:uid="{00000000-0005-0000-0000-000018800000}"/>
    <cellStyle name="Normal 5 10 2 7 13" xfId="32808" xr:uid="{00000000-0005-0000-0000-000019800000}"/>
    <cellStyle name="Normal 5 10 2 7 14" xfId="32809" xr:uid="{00000000-0005-0000-0000-00001A800000}"/>
    <cellStyle name="Normal 5 10 2 7 2" xfId="32810" xr:uid="{00000000-0005-0000-0000-00001B800000}"/>
    <cellStyle name="Normal 5 10 2 7 2 10" xfId="32811" xr:uid="{00000000-0005-0000-0000-00001C800000}"/>
    <cellStyle name="Normal 5 10 2 7 2 2" xfId="32812" xr:uid="{00000000-0005-0000-0000-00001D800000}"/>
    <cellStyle name="Normal 5 10 2 7 2 3" xfId="32813" xr:uid="{00000000-0005-0000-0000-00001E800000}"/>
    <cellStyle name="Normal 5 10 2 7 2 4" xfId="32814" xr:uid="{00000000-0005-0000-0000-00001F800000}"/>
    <cellStyle name="Normal 5 10 2 7 2 5" xfId="32815" xr:uid="{00000000-0005-0000-0000-000020800000}"/>
    <cellStyle name="Normal 5 10 2 7 2 6" xfId="32816" xr:uid="{00000000-0005-0000-0000-000021800000}"/>
    <cellStyle name="Normal 5 10 2 7 2 7" xfId="32817" xr:uid="{00000000-0005-0000-0000-000022800000}"/>
    <cellStyle name="Normal 5 10 2 7 2 8" xfId="32818" xr:uid="{00000000-0005-0000-0000-000023800000}"/>
    <cellStyle name="Normal 5 10 2 7 2 9" xfId="32819" xr:uid="{00000000-0005-0000-0000-000024800000}"/>
    <cellStyle name="Normal 5 10 2 7 3" xfId="32820" xr:uid="{00000000-0005-0000-0000-000025800000}"/>
    <cellStyle name="Normal 5 10 2 7 3 10" xfId="32821" xr:uid="{00000000-0005-0000-0000-000026800000}"/>
    <cellStyle name="Normal 5 10 2 7 3 2" xfId="32822" xr:uid="{00000000-0005-0000-0000-000027800000}"/>
    <cellStyle name="Normal 5 10 2 7 3 3" xfId="32823" xr:uid="{00000000-0005-0000-0000-000028800000}"/>
    <cellStyle name="Normal 5 10 2 7 3 4" xfId="32824" xr:uid="{00000000-0005-0000-0000-000029800000}"/>
    <cellStyle name="Normal 5 10 2 7 3 5" xfId="32825" xr:uid="{00000000-0005-0000-0000-00002A800000}"/>
    <cellStyle name="Normal 5 10 2 7 3 6" xfId="32826" xr:uid="{00000000-0005-0000-0000-00002B800000}"/>
    <cellStyle name="Normal 5 10 2 7 3 7" xfId="32827" xr:uid="{00000000-0005-0000-0000-00002C800000}"/>
    <cellStyle name="Normal 5 10 2 7 3 8" xfId="32828" xr:uid="{00000000-0005-0000-0000-00002D800000}"/>
    <cellStyle name="Normal 5 10 2 7 3 9" xfId="32829" xr:uid="{00000000-0005-0000-0000-00002E800000}"/>
    <cellStyle name="Normal 5 10 2 7 4" xfId="32830" xr:uid="{00000000-0005-0000-0000-00002F800000}"/>
    <cellStyle name="Normal 5 10 2 7 4 10" xfId="32831" xr:uid="{00000000-0005-0000-0000-000030800000}"/>
    <cellStyle name="Normal 5 10 2 7 4 2" xfId="32832" xr:uid="{00000000-0005-0000-0000-000031800000}"/>
    <cellStyle name="Normal 5 10 2 7 4 3" xfId="32833" xr:uid="{00000000-0005-0000-0000-000032800000}"/>
    <cellStyle name="Normal 5 10 2 7 4 4" xfId="32834" xr:uid="{00000000-0005-0000-0000-000033800000}"/>
    <cellStyle name="Normal 5 10 2 7 4 5" xfId="32835" xr:uid="{00000000-0005-0000-0000-000034800000}"/>
    <cellStyle name="Normal 5 10 2 7 4 6" xfId="32836" xr:uid="{00000000-0005-0000-0000-000035800000}"/>
    <cellStyle name="Normal 5 10 2 7 4 7" xfId="32837" xr:uid="{00000000-0005-0000-0000-000036800000}"/>
    <cellStyle name="Normal 5 10 2 7 4 8" xfId="32838" xr:uid="{00000000-0005-0000-0000-000037800000}"/>
    <cellStyle name="Normal 5 10 2 7 4 9" xfId="32839" xr:uid="{00000000-0005-0000-0000-000038800000}"/>
    <cellStyle name="Normal 5 10 2 7 5" xfId="32840" xr:uid="{00000000-0005-0000-0000-000039800000}"/>
    <cellStyle name="Normal 5 10 2 7 5 10" xfId="32841" xr:uid="{00000000-0005-0000-0000-00003A800000}"/>
    <cellStyle name="Normal 5 10 2 7 5 2" xfId="32842" xr:uid="{00000000-0005-0000-0000-00003B800000}"/>
    <cellStyle name="Normal 5 10 2 7 5 3" xfId="32843" xr:uid="{00000000-0005-0000-0000-00003C800000}"/>
    <cellStyle name="Normal 5 10 2 7 5 4" xfId="32844" xr:uid="{00000000-0005-0000-0000-00003D800000}"/>
    <cellStyle name="Normal 5 10 2 7 5 5" xfId="32845" xr:uid="{00000000-0005-0000-0000-00003E800000}"/>
    <cellStyle name="Normal 5 10 2 7 5 6" xfId="32846" xr:uid="{00000000-0005-0000-0000-00003F800000}"/>
    <cellStyle name="Normal 5 10 2 7 5 7" xfId="32847" xr:uid="{00000000-0005-0000-0000-000040800000}"/>
    <cellStyle name="Normal 5 10 2 7 5 8" xfId="32848" xr:uid="{00000000-0005-0000-0000-000041800000}"/>
    <cellStyle name="Normal 5 10 2 7 5 9" xfId="32849" xr:uid="{00000000-0005-0000-0000-000042800000}"/>
    <cellStyle name="Normal 5 10 2 7 6" xfId="32850" xr:uid="{00000000-0005-0000-0000-000043800000}"/>
    <cellStyle name="Normal 5 10 2 7 7" xfId="32851" xr:uid="{00000000-0005-0000-0000-000044800000}"/>
    <cellStyle name="Normal 5 10 2 7 8" xfId="32852" xr:uid="{00000000-0005-0000-0000-000045800000}"/>
    <cellStyle name="Normal 5 10 2 7 9" xfId="32853" xr:uid="{00000000-0005-0000-0000-000046800000}"/>
    <cellStyle name="Normal 5 10 2 8" xfId="32854" xr:uid="{00000000-0005-0000-0000-000047800000}"/>
    <cellStyle name="Normal 5 10 2 8 10" xfId="32855" xr:uid="{00000000-0005-0000-0000-000048800000}"/>
    <cellStyle name="Normal 5 10 2 8 11" xfId="32856" xr:uid="{00000000-0005-0000-0000-000049800000}"/>
    <cellStyle name="Normal 5 10 2 8 12" xfId="32857" xr:uid="{00000000-0005-0000-0000-00004A800000}"/>
    <cellStyle name="Normal 5 10 2 8 13" xfId="32858" xr:uid="{00000000-0005-0000-0000-00004B800000}"/>
    <cellStyle name="Normal 5 10 2 8 14" xfId="32859" xr:uid="{00000000-0005-0000-0000-00004C800000}"/>
    <cellStyle name="Normal 5 10 2 8 2" xfId="32860" xr:uid="{00000000-0005-0000-0000-00004D800000}"/>
    <cellStyle name="Normal 5 10 2 8 2 10" xfId="32861" xr:uid="{00000000-0005-0000-0000-00004E800000}"/>
    <cellStyle name="Normal 5 10 2 8 2 2" xfId="32862" xr:uid="{00000000-0005-0000-0000-00004F800000}"/>
    <cellStyle name="Normal 5 10 2 8 2 3" xfId="32863" xr:uid="{00000000-0005-0000-0000-000050800000}"/>
    <cellStyle name="Normal 5 10 2 8 2 4" xfId="32864" xr:uid="{00000000-0005-0000-0000-000051800000}"/>
    <cellStyle name="Normal 5 10 2 8 2 5" xfId="32865" xr:uid="{00000000-0005-0000-0000-000052800000}"/>
    <cellStyle name="Normal 5 10 2 8 2 6" xfId="32866" xr:uid="{00000000-0005-0000-0000-000053800000}"/>
    <cellStyle name="Normal 5 10 2 8 2 7" xfId="32867" xr:uid="{00000000-0005-0000-0000-000054800000}"/>
    <cellStyle name="Normal 5 10 2 8 2 8" xfId="32868" xr:uid="{00000000-0005-0000-0000-000055800000}"/>
    <cellStyle name="Normal 5 10 2 8 2 9" xfId="32869" xr:uid="{00000000-0005-0000-0000-000056800000}"/>
    <cellStyle name="Normal 5 10 2 8 3" xfId="32870" xr:uid="{00000000-0005-0000-0000-000057800000}"/>
    <cellStyle name="Normal 5 10 2 8 3 10" xfId="32871" xr:uid="{00000000-0005-0000-0000-000058800000}"/>
    <cellStyle name="Normal 5 10 2 8 3 2" xfId="32872" xr:uid="{00000000-0005-0000-0000-000059800000}"/>
    <cellStyle name="Normal 5 10 2 8 3 3" xfId="32873" xr:uid="{00000000-0005-0000-0000-00005A800000}"/>
    <cellStyle name="Normal 5 10 2 8 3 4" xfId="32874" xr:uid="{00000000-0005-0000-0000-00005B800000}"/>
    <cellStyle name="Normal 5 10 2 8 3 5" xfId="32875" xr:uid="{00000000-0005-0000-0000-00005C800000}"/>
    <cellStyle name="Normal 5 10 2 8 3 6" xfId="32876" xr:uid="{00000000-0005-0000-0000-00005D800000}"/>
    <cellStyle name="Normal 5 10 2 8 3 7" xfId="32877" xr:uid="{00000000-0005-0000-0000-00005E800000}"/>
    <cellStyle name="Normal 5 10 2 8 3 8" xfId="32878" xr:uid="{00000000-0005-0000-0000-00005F800000}"/>
    <cellStyle name="Normal 5 10 2 8 3 9" xfId="32879" xr:uid="{00000000-0005-0000-0000-000060800000}"/>
    <cellStyle name="Normal 5 10 2 8 4" xfId="32880" xr:uid="{00000000-0005-0000-0000-000061800000}"/>
    <cellStyle name="Normal 5 10 2 8 4 10" xfId="32881" xr:uid="{00000000-0005-0000-0000-000062800000}"/>
    <cellStyle name="Normal 5 10 2 8 4 2" xfId="32882" xr:uid="{00000000-0005-0000-0000-000063800000}"/>
    <cellStyle name="Normal 5 10 2 8 4 3" xfId="32883" xr:uid="{00000000-0005-0000-0000-000064800000}"/>
    <cellStyle name="Normal 5 10 2 8 4 4" xfId="32884" xr:uid="{00000000-0005-0000-0000-000065800000}"/>
    <cellStyle name="Normal 5 10 2 8 4 5" xfId="32885" xr:uid="{00000000-0005-0000-0000-000066800000}"/>
    <cellStyle name="Normal 5 10 2 8 4 6" xfId="32886" xr:uid="{00000000-0005-0000-0000-000067800000}"/>
    <cellStyle name="Normal 5 10 2 8 4 7" xfId="32887" xr:uid="{00000000-0005-0000-0000-000068800000}"/>
    <cellStyle name="Normal 5 10 2 8 4 8" xfId="32888" xr:uid="{00000000-0005-0000-0000-000069800000}"/>
    <cellStyle name="Normal 5 10 2 8 4 9" xfId="32889" xr:uid="{00000000-0005-0000-0000-00006A800000}"/>
    <cellStyle name="Normal 5 10 2 8 5" xfId="32890" xr:uid="{00000000-0005-0000-0000-00006B800000}"/>
    <cellStyle name="Normal 5 10 2 8 5 10" xfId="32891" xr:uid="{00000000-0005-0000-0000-00006C800000}"/>
    <cellStyle name="Normal 5 10 2 8 5 2" xfId="32892" xr:uid="{00000000-0005-0000-0000-00006D800000}"/>
    <cellStyle name="Normal 5 10 2 8 5 3" xfId="32893" xr:uid="{00000000-0005-0000-0000-00006E800000}"/>
    <cellStyle name="Normal 5 10 2 8 5 4" xfId="32894" xr:uid="{00000000-0005-0000-0000-00006F800000}"/>
    <cellStyle name="Normal 5 10 2 8 5 5" xfId="32895" xr:uid="{00000000-0005-0000-0000-000070800000}"/>
    <cellStyle name="Normal 5 10 2 8 5 6" xfId="32896" xr:uid="{00000000-0005-0000-0000-000071800000}"/>
    <cellStyle name="Normal 5 10 2 8 5 7" xfId="32897" xr:uid="{00000000-0005-0000-0000-000072800000}"/>
    <cellStyle name="Normal 5 10 2 8 5 8" xfId="32898" xr:uid="{00000000-0005-0000-0000-000073800000}"/>
    <cellStyle name="Normal 5 10 2 8 5 9" xfId="32899" xr:uid="{00000000-0005-0000-0000-000074800000}"/>
    <cellStyle name="Normal 5 10 2 8 6" xfId="32900" xr:uid="{00000000-0005-0000-0000-000075800000}"/>
    <cellStyle name="Normal 5 10 2 8 7" xfId="32901" xr:uid="{00000000-0005-0000-0000-000076800000}"/>
    <cellStyle name="Normal 5 10 2 8 8" xfId="32902" xr:uid="{00000000-0005-0000-0000-000077800000}"/>
    <cellStyle name="Normal 5 10 2 8 9" xfId="32903" xr:uid="{00000000-0005-0000-0000-000078800000}"/>
    <cellStyle name="Normal 5 10 2 9" xfId="32904" xr:uid="{00000000-0005-0000-0000-000079800000}"/>
    <cellStyle name="Normal 5 10 2 9 10" xfId="32905" xr:uid="{00000000-0005-0000-0000-00007A800000}"/>
    <cellStyle name="Normal 5 10 2 9 11" xfId="32906" xr:uid="{00000000-0005-0000-0000-00007B800000}"/>
    <cellStyle name="Normal 5 10 2 9 12" xfId="32907" xr:uid="{00000000-0005-0000-0000-00007C800000}"/>
    <cellStyle name="Normal 5 10 2 9 13" xfId="32908" xr:uid="{00000000-0005-0000-0000-00007D800000}"/>
    <cellStyle name="Normal 5 10 2 9 14" xfId="32909" xr:uid="{00000000-0005-0000-0000-00007E800000}"/>
    <cellStyle name="Normal 5 10 2 9 2" xfId="32910" xr:uid="{00000000-0005-0000-0000-00007F800000}"/>
    <cellStyle name="Normal 5 10 2 9 2 10" xfId="32911" xr:uid="{00000000-0005-0000-0000-000080800000}"/>
    <cellStyle name="Normal 5 10 2 9 2 2" xfId="32912" xr:uid="{00000000-0005-0000-0000-000081800000}"/>
    <cellStyle name="Normal 5 10 2 9 2 3" xfId="32913" xr:uid="{00000000-0005-0000-0000-000082800000}"/>
    <cellStyle name="Normal 5 10 2 9 2 4" xfId="32914" xr:uid="{00000000-0005-0000-0000-000083800000}"/>
    <cellStyle name="Normal 5 10 2 9 2 5" xfId="32915" xr:uid="{00000000-0005-0000-0000-000084800000}"/>
    <cellStyle name="Normal 5 10 2 9 2 6" xfId="32916" xr:uid="{00000000-0005-0000-0000-000085800000}"/>
    <cellStyle name="Normal 5 10 2 9 2 7" xfId="32917" xr:uid="{00000000-0005-0000-0000-000086800000}"/>
    <cellStyle name="Normal 5 10 2 9 2 8" xfId="32918" xr:uid="{00000000-0005-0000-0000-000087800000}"/>
    <cellStyle name="Normal 5 10 2 9 2 9" xfId="32919" xr:uid="{00000000-0005-0000-0000-000088800000}"/>
    <cellStyle name="Normal 5 10 2 9 3" xfId="32920" xr:uid="{00000000-0005-0000-0000-000089800000}"/>
    <cellStyle name="Normal 5 10 2 9 3 10" xfId="32921" xr:uid="{00000000-0005-0000-0000-00008A800000}"/>
    <cellStyle name="Normal 5 10 2 9 3 2" xfId="32922" xr:uid="{00000000-0005-0000-0000-00008B800000}"/>
    <cellStyle name="Normal 5 10 2 9 3 3" xfId="32923" xr:uid="{00000000-0005-0000-0000-00008C800000}"/>
    <cellStyle name="Normal 5 10 2 9 3 4" xfId="32924" xr:uid="{00000000-0005-0000-0000-00008D800000}"/>
    <cellStyle name="Normal 5 10 2 9 3 5" xfId="32925" xr:uid="{00000000-0005-0000-0000-00008E800000}"/>
    <cellStyle name="Normal 5 10 2 9 3 6" xfId="32926" xr:uid="{00000000-0005-0000-0000-00008F800000}"/>
    <cellStyle name="Normal 5 10 2 9 3 7" xfId="32927" xr:uid="{00000000-0005-0000-0000-000090800000}"/>
    <cellStyle name="Normal 5 10 2 9 3 8" xfId="32928" xr:uid="{00000000-0005-0000-0000-000091800000}"/>
    <cellStyle name="Normal 5 10 2 9 3 9" xfId="32929" xr:uid="{00000000-0005-0000-0000-000092800000}"/>
    <cellStyle name="Normal 5 10 2 9 4" xfId="32930" xr:uid="{00000000-0005-0000-0000-000093800000}"/>
    <cellStyle name="Normal 5 10 2 9 4 10" xfId="32931" xr:uid="{00000000-0005-0000-0000-000094800000}"/>
    <cellStyle name="Normal 5 10 2 9 4 2" xfId="32932" xr:uid="{00000000-0005-0000-0000-000095800000}"/>
    <cellStyle name="Normal 5 10 2 9 4 3" xfId="32933" xr:uid="{00000000-0005-0000-0000-000096800000}"/>
    <cellStyle name="Normal 5 10 2 9 4 4" xfId="32934" xr:uid="{00000000-0005-0000-0000-000097800000}"/>
    <cellStyle name="Normal 5 10 2 9 4 5" xfId="32935" xr:uid="{00000000-0005-0000-0000-000098800000}"/>
    <cellStyle name="Normal 5 10 2 9 4 6" xfId="32936" xr:uid="{00000000-0005-0000-0000-000099800000}"/>
    <cellStyle name="Normal 5 10 2 9 4 7" xfId="32937" xr:uid="{00000000-0005-0000-0000-00009A800000}"/>
    <cellStyle name="Normal 5 10 2 9 4 8" xfId="32938" xr:uid="{00000000-0005-0000-0000-00009B800000}"/>
    <cellStyle name="Normal 5 10 2 9 4 9" xfId="32939" xr:uid="{00000000-0005-0000-0000-00009C800000}"/>
    <cellStyle name="Normal 5 10 2 9 5" xfId="32940" xr:uid="{00000000-0005-0000-0000-00009D800000}"/>
    <cellStyle name="Normal 5 10 2 9 5 10" xfId="32941" xr:uid="{00000000-0005-0000-0000-00009E800000}"/>
    <cellStyle name="Normal 5 10 2 9 5 2" xfId="32942" xr:uid="{00000000-0005-0000-0000-00009F800000}"/>
    <cellStyle name="Normal 5 10 2 9 5 3" xfId="32943" xr:uid="{00000000-0005-0000-0000-0000A0800000}"/>
    <cellStyle name="Normal 5 10 2 9 5 4" xfId="32944" xr:uid="{00000000-0005-0000-0000-0000A1800000}"/>
    <cellStyle name="Normal 5 10 2 9 5 5" xfId="32945" xr:uid="{00000000-0005-0000-0000-0000A2800000}"/>
    <cellStyle name="Normal 5 10 2 9 5 6" xfId="32946" xr:uid="{00000000-0005-0000-0000-0000A3800000}"/>
    <cellStyle name="Normal 5 10 2 9 5 7" xfId="32947" xr:uid="{00000000-0005-0000-0000-0000A4800000}"/>
    <cellStyle name="Normal 5 10 2 9 5 8" xfId="32948" xr:uid="{00000000-0005-0000-0000-0000A5800000}"/>
    <cellStyle name="Normal 5 10 2 9 5 9" xfId="32949" xr:uid="{00000000-0005-0000-0000-0000A6800000}"/>
    <cellStyle name="Normal 5 10 2 9 6" xfId="32950" xr:uid="{00000000-0005-0000-0000-0000A7800000}"/>
    <cellStyle name="Normal 5 10 2 9 7" xfId="32951" xr:uid="{00000000-0005-0000-0000-0000A8800000}"/>
    <cellStyle name="Normal 5 10 2 9 8" xfId="32952" xr:uid="{00000000-0005-0000-0000-0000A9800000}"/>
    <cellStyle name="Normal 5 10 2 9 9" xfId="32953" xr:uid="{00000000-0005-0000-0000-0000AA800000}"/>
    <cellStyle name="Normal 5 10 20" xfId="32954" xr:uid="{00000000-0005-0000-0000-0000AB800000}"/>
    <cellStyle name="Normal 5 10 20 10" xfId="32955" xr:uid="{00000000-0005-0000-0000-0000AC800000}"/>
    <cellStyle name="Normal 5 10 20 11" xfId="32956" xr:uid="{00000000-0005-0000-0000-0000AD800000}"/>
    <cellStyle name="Normal 5 10 20 12" xfId="32957" xr:uid="{00000000-0005-0000-0000-0000AE800000}"/>
    <cellStyle name="Normal 5 10 20 13" xfId="32958" xr:uid="{00000000-0005-0000-0000-0000AF800000}"/>
    <cellStyle name="Normal 5 10 20 14" xfId="32959" xr:uid="{00000000-0005-0000-0000-0000B0800000}"/>
    <cellStyle name="Normal 5 10 20 2" xfId="32960" xr:uid="{00000000-0005-0000-0000-0000B1800000}"/>
    <cellStyle name="Normal 5 10 20 2 10" xfId="32961" xr:uid="{00000000-0005-0000-0000-0000B2800000}"/>
    <cellStyle name="Normal 5 10 20 2 2" xfId="32962" xr:uid="{00000000-0005-0000-0000-0000B3800000}"/>
    <cellStyle name="Normal 5 10 20 2 3" xfId="32963" xr:uid="{00000000-0005-0000-0000-0000B4800000}"/>
    <cellStyle name="Normal 5 10 20 2 4" xfId="32964" xr:uid="{00000000-0005-0000-0000-0000B5800000}"/>
    <cellStyle name="Normal 5 10 20 2 5" xfId="32965" xr:uid="{00000000-0005-0000-0000-0000B6800000}"/>
    <cellStyle name="Normal 5 10 20 2 6" xfId="32966" xr:uid="{00000000-0005-0000-0000-0000B7800000}"/>
    <cellStyle name="Normal 5 10 20 2 7" xfId="32967" xr:uid="{00000000-0005-0000-0000-0000B8800000}"/>
    <cellStyle name="Normal 5 10 20 2 8" xfId="32968" xr:uid="{00000000-0005-0000-0000-0000B9800000}"/>
    <cellStyle name="Normal 5 10 20 2 9" xfId="32969" xr:uid="{00000000-0005-0000-0000-0000BA800000}"/>
    <cellStyle name="Normal 5 10 20 3" xfId="32970" xr:uid="{00000000-0005-0000-0000-0000BB800000}"/>
    <cellStyle name="Normal 5 10 20 3 10" xfId="32971" xr:uid="{00000000-0005-0000-0000-0000BC800000}"/>
    <cellStyle name="Normal 5 10 20 3 2" xfId="32972" xr:uid="{00000000-0005-0000-0000-0000BD800000}"/>
    <cellStyle name="Normal 5 10 20 3 3" xfId="32973" xr:uid="{00000000-0005-0000-0000-0000BE800000}"/>
    <cellStyle name="Normal 5 10 20 3 4" xfId="32974" xr:uid="{00000000-0005-0000-0000-0000BF800000}"/>
    <cellStyle name="Normal 5 10 20 3 5" xfId="32975" xr:uid="{00000000-0005-0000-0000-0000C0800000}"/>
    <cellStyle name="Normal 5 10 20 3 6" xfId="32976" xr:uid="{00000000-0005-0000-0000-0000C1800000}"/>
    <cellStyle name="Normal 5 10 20 3 7" xfId="32977" xr:uid="{00000000-0005-0000-0000-0000C2800000}"/>
    <cellStyle name="Normal 5 10 20 3 8" xfId="32978" xr:uid="{00000000-0005-0000-0000-0000C3800000}"/>
    <cellStyle name="Normal 5 10 20 3 9" xfId="32979" xr:uid="{00000000-0005-0000-0000-0000C4800000}"/>
    <cellStyle name="Normal 5 10 20 4" xfId="32980" xr:uid="{00000000-0005-0000-0000-0000C5800000}"/>
    <cellStyle name="Normal 5 10 20 4 10" xfId="32981" xr:uid="{00000000-0005-0000-0000-0000C6800000}"/>
    <cellStyle name="Normal 5 10 20 4 2" xfId="32982" xr:uid="{00000000-0005-0000-0000-0000C7800000}"/>
    <cellStyle name="Normal 5 10 20 4 3" xfId="32983" xr:uid="{00000000-0005-0000-0000-0000C8800000}"/>
    <cellStyle name="Normal 5 10 20 4 4" xfId="32984" xr:uid="{00000000-0005-0000-0000-0000C9800000}"/>
    <cellStyle name="Normal 5 10 20 4 5" xfId="32985" xr:uid="{00000000-0005-0000-0000-0000CA800000}"/>
    <cellStyle name="Normal 5 10 20 4 6" xfId="32986" xr:uid="{00000000-0005-0000-0000-0000CB800000}"/>
    <cellStyle name="Normal 5 10 20 4 7" xfId="32987" xr:uid="{00000000-0005-0000-0000-0000CC800000}"/>
    <cellStyle name="Normal 5 10 20 4 8" xfId="32988" xr:uid="{00000000-0005-0000-0000-0000CD800000}"/>
    <cellStyle name="Normal 5 10 20 4 9" xfId="32989" xr:uid="{00000000-0005-0000-0000-0000CE800000}"/>
    <cellStyle name="Normal 5 10 20 5" xfId="32990" xr:uid="{00000000-0005-0000-0000-0000CF800000}"/>
    <cellStyle name="Normal 5 10 20 5 10" xfId="32991" xr:uid="{00000000-0005-0000-0000-0000D0800000}"/>
    <cellStyle name="Normal 5 10 20 5 2" xfId="32992" xr:uid="{00000000-0005-0000-0000-0000D1800000}"/>
    <cellStyle name="Normal 5 10 20 5 3" xfId="32993" xr:uid="{00000000-0005-0000-0000-0000D2800000}"/>
    <cellStyle name="Normal 5 10 20 5 4" xfId="32994" xr:uid="{00000000-0005-0000-0000-0000D3800000}"/>
    <cellStyle name="Normal 5 10 20 5 5" xfId="32995" xr:uid="{00000000-0005-0000-0000-0000D4800000}"/>
    <cellStyle name="Normal 5 10 20 5 6" xfId="32996" xr:uid="{00000000-0005-0000-0000-0000D5800000}"/>
    <cellStyle name="Normal 5 10 20 5 7" xfId="32997" xr:uid="{00000000-0005-0000-0000-0000D6800000}"/>
    <cellStyle name="Normal 5 10 20 5 8" xfId="32998" xr:uid="{00000000-0005-0000-0000-0000D7800000}"/>
    <cellStyle name="Normal 5 10 20 5 9" xfId="32999" xr:uid="{00000000-0005-0000-0000-0000D8800000}"/>
    <cellStyle name="Normal 5 10 20 6" xfId="33000" xr:uid="{00000000-0005-0000-0000-0000D9800000}"/>
    <cellStyle name="Normal 5 10 20 7" xfId="33001" xr:uid="{00000000-0005-0000-0000-0000DA800000}"/>
    <cellStyle name="Normal 5 10 20 8" xfId="33002" xr:uid="{00000000-0005-0000-0000-0000DB800000}"/>
    <cellStyle name="Normal 5 10 20 9" xfId="33003" xr:uid="{00000000-0005-0000-0000-0000DC800000}"/>
    <cellStyle name="Normal 5 10 21" xfId="33004" xr:uid="{00000000-0005-0000-0000-0000DD800000}"/>
    <cellStyle name="Normal 5 10 21 10" xfId="33005" xr:uid="{00000000-0005-0000-0000-0000DE800000}"/>
    <cellStyle name="Normal 5 10 21 11" xfId="33006" xr:uid="{00000000-0005-0000-0000-0000DF800000}"/>
    <cellStyle name="Normal 5 10 21 12" xfId="33007" xr:uid="{00000000-0005-0000-0000-0000E0800000}"/>
    <cellStyle name="Normal 5 10 21 13" xfId="33008" xr:uid="{00000000-0005-0000-0000-0000E1800000}"/>
    <cellStyle name="Normal 5 10 21 14" xfId="33009" xr:uid="{00000000-0005-0000-0000-0000E2800000}"/>
    <cellStyle name="Normal 5 10 21 2" xfId="33010" xr:uid="{00000000-0005-0000-0000-0000E3800000}"/>
    <cellStyle name="Normal 5 10 21 2 10" xfId="33011" xr:uid="{00000000-0005-0000-0000-0000E4800000}"/>
    <cellStyle name="Normal 5 10 21 2 2" xfId="33012" xr:uid="{00000000-0005-0000-0000-0000E5800000}"/>
    <cellStyle name="Normal 5 10 21 2 3" xfId="33013" xr:uid="{00000000-0005-0000-0000-0000E6800000}"/>
    <cellStyle name="Normal 5 10 21 2 4" xfId="33014" xr:uid="{00000000-0005-0000-0000-0000E7800000}"/>
    <cellStyle name="Normal 5 10 21 2 5" xfId="33015" xr:uid="{00000000-0005-0000-0000-0000E8800000}"/>
    <cellStyle name="Normal 5 10 21 2 6" xfId="33016" xr:uid="{00000000-0005-0000-0000-0000E9800000}"/>
    <cellStyle name="Normal 5 10 21 2 7" xfId="33017" xr:uid="{00000000-0005-0000-0000-0000EA800000}"/>
    <cellStyle name="Normal 5 10 21 2 8" xfId="33018" xr:uid="{00000000-0005-0000-0000-0000EB800000}"/>
    <cellStyle name="Normal 5 10 21 2 9" xfId="33019" xr:uid="{00000000-0005-0000-0000-0000EC800000}"/>
    <cellStyle name="Normal 5 10 21 3" xfId="33020" xr:uid="{00000000-0005-0000-0000-0000ED800000}"/>
    <cellStyle name="Normal 5 10 21 3 10" xfId="33021" xr:uid="{00000000-0005-0000-0000-0000EE800000}"/>
    <cellStyle name="Normal 5 10 21 3 2" xfId="33022" xr:uid="{00000000-0005-0000-0000-0000EF800000}"/>
    <cellStyle name="Normal 5 10 21 3 3" xfId="33023" xr:uid="{00000000-0005-0000-0000-0000F0800000}"/>
    <cellStyle name="Normal 5 10 21 3 4" xfId="33024" xr:uid="{00000000-0005-0000-0000-0000F1800000}"/>
    <cellStyle name="Normal 5 10 21 3 5" xfId="33025" xr:uid="{00000000-0005-0000-0000-0000F2800000}"/>
    <cellStyle name="Normal 5 10 21 3 6" xfId="33026" xr:uid="{00000000-0005-0000-0000-0000F3800000}"/>
    <cellStyle name="Normal 5 10 21 3 7" xfId="33027" xr:uid="{00000000-0005-0000-0000-0000F4800000}"/>
    <cellStyle name="Normal 5 10 21 3 8" xfId="33028" xr:uid="{00000000-0005-0000-0000-0000F5800000}"/>
    <cellStyle name="Normal 5 10 21 3 9" xfId="33029" xr:uid="{00000000-0005-0000-0000-0000F6800000}"/>
    <cellStyle name="Normal 5 10 21 4" xfId="33030" xr:uid="{00000000-0005-0000-0000-0000F7800000}"/>
    <cellStyle name="Normal 5 10 21 4 10" xfId="33031" xr:uid="{00000000-0005-0000-0000-0000F8800000}"/>
    <cellStyle name="Normal 5 10 21 4 2" xfId="33032" xr:uid="{00000000-0005-0000-0000-0000F9800000}"/>
    <cellStyle name="Normal 5 10 21 4 3" xfId="33033" xr:uid="{00000000-0005-0000-0000-0000FA800000}"/>
    <cellStyle name="Normal 5 10 21 4 4" xfId="33034" xr:uid="{00000000-0005-0000-0000-0000FB800000}"/>
    <cellStyle name="Normal 5 10 21 4 5" xfId="33035" xr:uid="{00000000-0005-0000-0000-0000FC800000}"/>
    <cellStyle name="Normal 5 10 21 4 6" xfId="33036" xr:uid="{00000000-0005-0000-0000-0000FD800000}"/>
    <cellStyle name="Normal 5 10 21 4 7" xfId="33037" xr:uid="{00000000-0005-0000-0000-0000FE800000}"/>
    <cellStyle name="Normal 5 10 21 4 8" xfId="33038" xr:uid="{00000000-0005-0000-0000-0000FF800000}"/>
    <cellStyle name="Normal 5 10 21 4 9" xfId="33039" xr:uid="{00000000-0005-0000-0000-000000810000}"/>
    <cellStyle name="Normal 5 10 21 5" xfId="33040" xr:uid="{00000000-0005-0000-0000-000001810000}"/>
    <cellStyle name="Normal 5 10 21 5 10" xfId="33041" xr:uid="{00000000-0005-0000-0000-000002810000}"/>
    <cellStyle name="Normal 5 10 21 5 2" xfId="33042" xr:uid="{00000000-0005-0000-0000-000003810000}"/>
    <cellStyle name="Normal 5 10 21 5 3" xfId="33043" xr:uid="{00000000-0005-0000-0000-000004810000}"/>
    <cellStyle name="Normal 5 10 21 5 4" xfId="33044" xr:uid="{00000000-0005-0000-0000-000005810000}"/>
    <cellStyle name="Normal 5 10 21 5 5" xfId="33045" xr:uid="{00000000-0005-0000-0000-000006810000}"/>
    <cellStyle name="Normal 5 10 21 5 6" xfId="33046" xr:uid="{00000000-0005-0000-0000-000007810000}"/>
    <cellStyle name="Normal 5 10 21 5 7" xfId="33047" xr:uid="{00000000-0005-0000-0000-000008810000}"/>
    <cellStyle name="Normal 5 10 21 5 8" xfId="33048" xr:uid="{00000000-0005-0000-0000-000009810000}"/>
    <cellStyle name="Normal 5 10 21 5 9" xfId="33049" xr:uid="{00000000-0005-0000-0000-00000A810000}"/>
    <cellStyle name="Normal 5 10 21 6" xfId="33050" xr:uid="{00000000-0005-0000-0000-00000B810000}"/>
    <cellStyle name="Normal 5 10 21 7" xfId="33051" xr:uid="{00000000-0005-0000-0000-00000C810000}"/>
    <cellStyle name="Normal 5 10 21 8" xfId="33052" xr:uid="{00000000-0005-0000-0000-00000D810000}"/>
    <cellStyle name="Normal 5 10 21 9" xfId="33053" xr:uid="{00000000-0005-0000-0000-00000E810000}"/>
    <cellStyle name="Normal 5 10 22" xfId="33054" xr:uid="{00000000-0005-0000-0000-00000F810000}"/>
    <cellStyle name="Normal 5 10 22 10" xfId="33055" xr:uid="{00000000-0005-0000-0000-000010810000}"/>
    <cellStyle name="Normal 5 10 22 11" xfId="33056" xr:uid="{00000000-0005-0000-0000-000011810000}"/>
    <cellStyle name="Normal 5 10 22 12" xfId="33057" xr:uid="{00000000-0005-0000-0000-000012810000}"/>
    <cellStyle name="Normal 5 10 22 13" xfId="33058" xr:uid="{00000000-0005-0000-0000-000013810000}"/>
    <cellStyle name="Normal 5 10 22 14" xfId="33059" xr:uid="{00000000-0005-0000-0000-000014810000}"/>
    <cellStyle name="Normal 5 10 22 2" xfId="33060" xr:uid="{00000000-0005-0000-0000-000015810000}"/>
    <cellStyle name="Normal 5 10 22 2 10" xfId="33061" xr:uid="{00000000-0005-0000-0000-000016810000}"/>
    <cellStyle name="Normal 5 10 22 2 2" xfId="33062" xr:uid="{00000000-0005-0000-0000-000017810000}"/>
    <cellStyle name="Normal 5 10 22 2 3" xfId="33063" xr:uid="{00000000-0005-0000-0000-000018810000}"/>
    <cellStyle name="Normal 5 10 22 2 4" xfId="33064" xr:uid="{00000000-0005-0000-0000-000019810000}"/>
    <cellStyle name="Normal 5 10 22 2 5" xfId="33065" xr:uid="{00000000-0005-0000-0000-00001A810000}"/>
    <cellStyle name="Normal 5 10 22 2 6" xfId="33066" xr:uid="{00000000-0005-0000-0000-00001B810000}"/>
    <cellStyle name="Normal 5 10 22 2 7" xfId="33067" xr:uid="{00000000-0005-0000-0000-00001C810000}"/>
    <cellStyle name="Normal 5 10 22 2 8" xfId="33068" xr:uid="{00000000-0005-0000-0000-00001D810000}"/>
    <cellStyle name="Normal 5 10 22 2 9" xfId="33069" xr:uid="{00000000-0005-0000-0000-00001E810000}"/>
    <cellStyle name="Normal 5 10 22 3" xfId="33070" xr:uid="{00000000-0005-0000-0000-00001F810000}"/>
    <cellStyle name="Normal 5 10 22 3 10" xfId="33071" xr:uid="{00000000-0005-0000-0000-000020810000}"/>
    <cellStyle name="Normal 5 10 22 3 2" xfId="33072" xr:uid="{00000000-0005-0000-0000-000021810000}"/>
    <cellStyle name="Normal 5 10 22 3 3" xfId="33073" xr:uid="{00000000-0005-0000-0000-000022810000}"/>
    <cellStyle name="Normal 5 10 22 3 4" xfId="33074" xr:uid="{00000000-0005-0000-0000-000023810000}"/>
    <cellStyle name="Normal 5 10 22 3 5" xfId="33075" xr:uid="{00000000-0005-0000-0000-000024810000}"/>
    <cellStyle name="Normal 5 10 22 3 6" xfId="33076" xr:uid="{00000000-0005-0000-0000-000025810000}"/>
    <cellStyle name="Normal 5 10 22 3 7" xfId="33077" xr:uid="{00000000-0005-0000-0000-000026810000}"/>
    <cellStyle name="Normal 5 10 22 3 8" xfId="33078" xr:uid="{00000000-0005-0000-0000-000027810000}"/>
    <cellStyle name="Normal 5 10 22 3 9" xfId="33079" xr:uid="{00000000-0005-0000-0000-000028810000}"/>
    <cellStyle name="Normal 5 10 22 4" xfId="33080" xr:uid="{00000000-0005-0000-0000-000029810000}"/>
    <cellStyle name="Normal 5 10 22 4 10" xfId="33081" xr:uid="{00000000-0005-0000-0000-00002A810000}"/>
    <cellStyle name="Normal 5 10 22 4 2" xfId="33082" xr:uid="{00000000-0005-0000-0000-00002B810000}"/>
    <cellStyle name="Normal 5 10 22 4 3" xfId="33083" xr:uid="{00000000-0005-0000-0000-00002C810000}"/>
    <cellStyle name="Normal 5 10 22 4 4" xfId="33084" xr:uid="{00000000-0005-0000-0000-00002D810000}"/>
    <cellStyle name="Normal 5 10 22 4 5" xfId="33085" xr:uid="{00000000-0005-0000-0000-00002E810000}"/>
    <cellStyle name="Normal 5 10 22 4 6" xfId="33086" xr:uid="{00000000-0005-0000-0000-00002F810000}"/>
    <cellStyle name="Normal 5 10 22 4 7" xfId="33087" xr:uid="{00000000-0005-0000-0000-000030810000}"/>
    <cellStyle name="Normal 5 10 22 4 8" xfId="33088" xr:uid="{00000000-0005-0000-0000-000031810000}"/>
    <cellStyle name="Normal 5 10 22 4 9" xfId="33089" xr:uid="{00000000-0005-0000-0000-000032810000}"/>
    <cellStyle name="Normal 5 10 22 5" xfId="33090" xr:uid="{00000000-0005-0000-0000-000033810000}"/>
    <cellStyle name="Normal 5 10 22 5 10" xfId="33091" xr:uid="{00000000-0005-0000-0000-000034810000}"/>
    <cellStyle name="Normal 5 10 22 5 2" xfId="33092" xr:uid="{00000000-0005-0000-0000-000035810000}"/>
    <cellStyle name="Normal 5 10 22 5 3" xfId="33093" xr:uid="{00000000-0005-0000-0000-000036810000}"/>
    <cellStyle name="Normal 5 10 22 5 4" xfId="33094" xr:uid="{00000000-0005-0000-0000-000037810000}"/>
    <cellStyle name="Normal 5 10 22 5 5" xfId="33095" xr:uid="{00000000-0005-0000-0000-000038810000}"/>
    <cellStyle name="Normal 5 10 22 5 6" xfId="33096" xr:uid="{00000000-0005-0000-0000-000039810000}"/>
    <cellStyle name="Normal 5 10 22 5 7" xfId="33097" xr:uid="{00000000-0005-0000-0000-00003A810000}"/>
    <cellStyle name="Normal 5 10 22 5 8" xfId="33098" xr:uid="{00000000-0005-0000-0000-00003B810000}"/>
    <cellStyle name="Normal 5 10 22 5 9" xfId="33099" xr:uid="{00000000-0005-0000-0000-00003C810000}"/>
    <cellStyle name="Normal 5 10 22 6" xfId="33100" xr:uid="{00000000-0005-0000-0000-00003D810000}"/>
    <cellStyle name="Normal 5 10 22 7" xfId="33101" xr:uid="{00000000-0005-0000-0000-00003E810000}"/>
    <cellStyle name="Normal 5 10 22 8" xfId="33102" xr:uid="{00000000-0005-0000-0000-00003F810000}"/>
    <cellStyle name="Normal 5 10 22 9" xfId="33103" xr:uid="{00000000-0005-0000-0000-000040810000}"/>
    <cellStyle name="Normal 5 10 23" xfId="33104" xr:uid="{00000000-0005-0000-0000-000041810000}"/>
    <cellStyle name="Normal 5 10 23 10" xfId="33105" xr:uid="{00000000-0005-0000-0000-000042810000}"/>
    <cellStyle name="Normal 5 10 23 11" xfId="33106" xr:uid="{00000000-0005-0000-0000-000043810000}"/>
    <cellStyle name="Normal 5 10 23 12" xfId="33107" xr:uid="{00000000-0005-0000-0000-000044810000}"/>
    <cellStyle name="Normal 5 10 23 13" xfId="33108" xr:uid="{00000000-0005-0000-0000-000045810000}"/>
    <cellStyle name="Normal 5 10 23 14" xfId="33109" xr:uid="{00000000-0005-0000-0000-000046810000}"/>
    <cellStyle name="Normal 5 10 23 2" xfId="33110" xr:uid="{00000000-0005-0000-0000-000047810000}"/>
    <cellStyle name="Normal 5 10 23 2 10" xfId="33111" xr:uid="{00000000-0005-0000-0000-000048810000}"/>
    <cellStyle name="Normal 5 10 23 2 2" xfId="33112" xr:uid="{00000000-0005-0000-0000-000049810000}"/>
    <cellStyle name="Normal 5 10 23 2 3" xfId="33113" xr:uid="{00000000-0005-0000-0000-00004A810000}"/>
    <cellStyle name="Normal 5 10 23 2 4" xfId="33114" xr:uid="{00000000-0005-0000-0000-00004B810000}"/>
    <cellStyle name="Normal 5 10 23 2 5" xfId="33115" xr:uid="{00000000-0005-0000-0000-00004C810000}"/>
    <cellStyle name="Normal 5 10 23 2 6" xfId="33116" xr:uid="{00000000-0005-0000-0000-00004D810000}"/>
    <cellStyle name="Normal 5 10 23 2 7" xfId="33117" xr:uid="{00000000-0005-0000-0000-00004E810000}"/>
    <cellStyle name="Normal 5 10 23 2 8" xfId="33118" xr:uid="{00000000-0005-0000-0000-00004F810000}"/>
    <cellStyle name="Normal 5 10 23 2 9" xfId="33119" xr:uid="{00000000-0005-0000-0000-000050810000}"/>
    <cellStyle name="Normal 5 10 23 3" xfId="33120" xr:uid="{00000000-0005-0000-0000-000051810000}"/>
    <cellStyle name="Normal 5 10 23 3 10" xfId="33121" xr:uid="{00000000-0005-0000-0000-000052810000}"/>
    <cellStyle name="Normal 5 10 23 3 2" xfId="33122" xr:uid="{00000000-0005-0000-0000-000053810000}"/>
    <cellStyle name="Normal 5 10 23 3 3" xfId="33123" xr:uid="{00000000-0005-0000-0000-000054810000}"/>
    <cellStyle name="Normal 5 10 23 3 4" xfId="33124" xr:uid="{00000000-0005-0000-0000-000055810000}"/>
    <cellStyle name="Normal 5 10 23 3 5" xfId="33125" xr:uid="{00000000-0005-0000-0000-000056810000}"/>
    <cellStyle name="Normal 5 10 23 3 6" xfId="33126" xr:uid="{00000000-0005-0000-0000-000057810000}"/>
    <cellStyle name="Normal 5 10 23 3 7" xfId="33127" xr:uid="{00000000-0005-0000-0000-000058810000}"/>
    <cellStyle name="Normal 5 10 23 3 8" xfId="33128" xr:uid="{00000000-0005-0000-0000-000059810000}"/>
    <cellStyle name="Normal 5 10 23 3 9" xfId="33129" xr:uid="{00000000-0005-0000-0000-00005A810000}"/>
    <cellStyle name="Normal 5 10 23 4" xfId="33130" xr:uid="{00000000-0005-0000-0000-00005B810000}"/>
    <cellStyle name="Normal 5 10 23 4 10" xfId="33131" xr:uid="{00000000-0005-0000-0000-00005C810000}"/>
    <cellStyle name="Normal 5 10 23 4 2" xfId="33132" xr:uid="{00000000-0005-0000-0000-00005D810000}"/>
    <cellStyle name="Normal 5 10 23 4 3" xfId="33133" xr:uid="{00000000-0005-0000-0000-00005E810000}"/>
    <cellStyle name="Normal 5 10 23 4 4" xfId="33134" xr:uid="{00000000-0005-0000-0000-00005F810000}"/>
    <cellStyle name="Normal 5 10 23 4 5" xfId="33135" xr:uid="{00000000-0005-0000-0000-000060810000}"/>
    <cellStyle name="Normal 5 10 23 4 6" xfId="33136" xr:uid="{00000000-0005-0000-0000-000061810000}"/>
    <cellStyle name="Normal 5 10 23 4 7" xfId="33137" xr:uid="{00000000-0005-0000-0000-000062810000}"/>
    <cellStyle name="Normal 5 10 23 4 8" xfId="33138" xr:uid="{00000000-0005-0000-0000-000063810000}"/>
    <cellStyle name="Normal 5 10 23 4 9" xfId="33139" xr:uid="{00000000-0005-0000-0000-000064810000}"/>
    <cellStyle name="Normal 5 10 23 5" xfId="33140" xr:uid="{00000000-0005-0000-0000-000065810000}"/>
    <cellStyle name="Normal 5 10 23 5 10" xfId="33141" xr:uid="{00000000-0005-0000-0000-000066810000}"/>
    <cellStyle name="Normal 5 10 23 5 2" xfId="33142" xr:uid="{00000000-0005-0000-0000-000067810000}"/>
    <cellStyle name="Normal 5 10 23 5 3" xfId="33143" xr:uid="{00000000-0005-0000-0000-000068810000}"/>
    <cellStyle name="Normal 5 10 23 5 4" xfId="33144" xr:uid="{00000000-0005-0000-0000-000069810000}"/>
    <cellStyle name="Normal 5 10 23 5 5" xfId="33145" xr:uid="{00000000-0005-0000-0000-00006A810000}"/>
    <cellStyle name="Normal 5 10 23 5 6" xfId="33146" xr:uid="{00000000-0005-0000-0000-00006B810000}"/>
    <cellStyle name="Normal 5 10 23 5 7" xfId="33147" xr:uid="{00000000-0005-0000-0000-00006C810000}"/>
    <cellStyle name="Normal 5 10 23 5 8" xfId="33148" xr:uid="{00000000-0005-0000-0000-00006D810000}"/>
    <cellStyle name="Normal 5 10 23 5 9" xfId="33149" xr:uid="{00000000-0005-0000-0000-00006E810000}"/>
    <cellStyle name="Normal 5 10 23 6" xfId="33150" xr:uid="{00000000-0005-0000-0000-00006F810000}"/>
    <cellStyle name="Normal 5 10 23 7" xfId="33151" xr:uid="{00000000-0005-0000-0000-000070810000}"/>
    <cellStyle name="Normal 5 10 23 8" xfId="33152" xr:uid="{00000000-0005-0000-0000-000071810000}"/>
    <cellStyle name="Normal 5 10 23 9" xfId="33153" xr:uid="{00000000-0005-0000-0000-000072810000}"/>
    <cellStyle name="Normal 5 10 24" xfId="33154" xr:uid="{00000000-0005-0000-0000-000073810000}"/>
    <cellStyle name="Normal 5 10 24 10" xfId="33155" xr:uid="{00000000-0005-0000-0000-000074810000}"/>
    <cellStyle name="Normal 5 10 24 11" xfId="33156" xr:uid="{00000000-0005-0000-0000-000075810000}"/>
    <cellStyle name="Normal 5 10 24 12" xfId="33157" xr:uid="{00000000-0005-0000-0000-000076810000}"/>
    <cellStyle name="Normal 5 10 24 13" xfId="33158" xr:uid="{00000000-0005-0000-0000-000077810000}"/>
    <cellStyle name="Normal 5 10 24 14" xfId="33159" xr:uid="{00000000-0005-0000-0000-000078810000}"/>
    <cellStyle name="Normal 5 10 24 2" xfId="33160" xr:uid="{00000000-0005-0000-0000-000079810000}"/>
    <cellStyle name="Normal 5 10 24 2 10" xfId="33161" xr:uid="{00000000-0005-0000-0000-00007A810000}"/>
    <cellStyle name="Normal 5 10 24 2 2" xfId="33162" xr:uid="{00000000-0005-0000-0000-00007B810000}"/>
    <cellStyle name="Normal 5 10 24 2 3" xfId="33163" xr:uid="{00000000-0005-0000-0000-00007C810000}"/>
    <cellStyle name="Normal 5 10 24 2 4" xfId="33164" xr:uid="{00000000-0005-0000-0000-00007D810000}"/>
    <cellStyle name="Normal 5 10 24 2 5" xfId="33165" xr:uid="{00000000-0005-0000-0000-00007E810000}"/>
    <cellStyle name="Normal 5 10 24 2 6" xfId="33166" xr:uid="{00000000-0005-0000-0000-00007F810000}"/>
    <cellStyle name="Normal 5 10 24 2 7" xfId="33167" xr:uid="{00000000-0005-0000-0000-000080810000}"/>
    <cellStyle name="Normal 5 10 24 2 8" xfId="33168" xr:uid="{00000000-0005-0000-0000-000081810000}"/>
    <cellStyle name="Normal 5 10 24 2 9" xfId="33169" xr:uid="{00000000-0005-0000-0000-000082810000}"/>
    <cellStyle name="Normal 5 10 24 3" xfId="33170" xr:uid="{00000000-0005-0000-0000-000083810000}"/>
    <cellStyle name="Normal 5 10 24 3 10" xfId="33171" xr:uid="{00000000-0005-0000-0000-000084810000}"/>
    <cellStyle name="Normal 5 10 24 3 2" xfId="33172" xr:uid="{00000000-0005-0000-0000-000085810000}"/>
    <cellStyle name="Normal 5 10 24 3 3" xfId="33173" xr:uid="{00000000-0005-0000-0000-000086810000}"/>
    <cellStyle name="Normal 5 10 24 3 4" xfId="33174" xr:uid="{00000000-0005-0000-0000-000087810000}"/>
    <cellStyle name="Normal 5 10 24 3 5" xfId="33175" xr:uid="{00000000-0005-0000-0000-000088810000}"/>
    <cellStyle name="Normal 5 10 24 3 6" xfId="33176" xr:uid="{00000000-0005-0000-0000-000089810000}"/>
    <cellStyle name="Normal 5 10 24 3 7" xfId="33177" xr:uid="{00000000-0005-0000-0000-00008A810000}"/>
    <cellStyle name="Normal 5 10 24 3 8" xfId="33178" xr:uid="{00000000-0005-0000-0000-00008B810000}"/>
    <cellStyle name="Normal 5 10 24 3 9" xfId="33179" xr:uid="{00000000-0005-0000-0000-00008C810000}"/>
    <cellStyle name="Normal 5 10 24 4" xfId="33180" xr:uid="{00000000-0005-0000-0000-00008D810000}"/>
    <cellStyle name="Normal 5 10 24 4 10" xfId="33181" xr:uid="{00000000-0005-0000-0000-00008E810000}"/>
    <cellStyle name="Normal 5 10 24 4 2" xfId="33182" xr:uid="{00000000-0005-0000-0000-00008F810000}"/>
    <cellStyle name="Normal 5 10 24 4 3" xfId="33183" xr:uid="{00000000-0005-0000-0000-000090810000}"/>
    <cellStyle name="Normal 5 10 24 4 4" xfId="33184" xr:uid="{00000000-0005-0000-0000-000091810000}"/>
    <cellStyle name="Normal 5 10 24 4 5" xfId="33185" xr:uid="{00000000-0005-0000-0000-000092810000}"/>
    <cellStyle name="Normal 5 10 24 4 6" xfId="33186" xr:uid="{00000000-0005-0000-0000-000093810000}"/>
    <cellStyle name="Normal 5 10 24 4 7" xfId="33187" xr:uid="{00000000-0005-0000-0000-000094810000}"/>
    <cellStyle name="Normal 5 10 24 4 8" xfId="33188" xr:uid="{00000000-0005-0000-0000-000095810000}"/>
    <cellStyle name="Normal 5 10 24 4 9" xfId="33189" xr:uid="{00000000-0005-0000-0000-000096810000}"/>
    <cellStyle name="Normal 5 10 24 5" xfId="33190" xr:uid="{00000000-0005-0000-0000-000097810000}"/>
    <cellStyle name="Normal 5 10 24 5 10" xfId="33191" xr:uid="{00000000-0005-0000-0000-000098810000}"/>
    <cellStyle name="Normal 5 10 24 5 2" xfId="33192" xr:uid="{00000000-0005-0000-0000-000099810000}"/>
    <cellStyle name="Normal 5 10 24 5 3" xfId="33193" xr:uid="{00000000-0005-0000-0000-00009A810000}"/>
    <cellStyle name="Normal 5 10 24 5 4" xfId="33194" xr:uid="{00000000-0005-0000-0000-00009B810000}"/>
    <cellStyle name="Normal 5 10 24 5 5" xfId="33195" xr:uid="{00000000-0005-0000-0000-00009C810000}"/>
    <cellStyle name="Normal 5 10 24 5 6" xfId="33196" xr:uid="{00000000-0005-0000-0000-00009D810000}"/>
    <cellStyle name="Normal 5 10 24 5 7" xfId="33197" xr:uid="{00000000-0005-0000-0000-00009E810000}"/>
    <cellStyle name="Normal 5 10 24 5 8" xfId="33198" xr:uid="{00000000-0005-0000-0000-00009F810000}"/>
    <cellStyle name="Normal 5 10 24 5 9" xfId="33199" xr:uid="{00000000-0005-0000-0000-0000A0810000}"/>
    <cellStyle name="Normal 5 10 24 6" xfId="33200" xr:uid="{00000000-0005-0000-0000-0000A1810000}"/>
    <cellStyle name="Normal 5 10 24 7" xfId="33201" xr:uid="{00000000-0005-0000-0000-0000A2810000}"/>
    <cellStyle name="Normal 5 10 24 8" xfId="33202" xr:uid="{00000000-0005-0000-0000-0000A3810000}"/>
    <cellStyle name="Normal 5 10 24 9" xfId="33203" xr:uid="{00000000-0005-0000-0000-0000A4810000}"/>
    <cellStyle name="Normal 5 10 25" xfId="33204" xr:uid="{00000000-0005-0000-0000-0000A5810000}"/>
    <cellStyle name="Normal 5 10 25 10" xfId="33205" xr:uid="{00000000-0005-0000-0000-0000A6810000}"/>
    <cellStyle name="Normal 5 10 25 11" xfId="33206" xr:uid="{00000000-0005-0000-0000-0000A7810000}"/>
    <cellStyle name="Normal 5 10 25 12" xfId="33207" xr:uid="{00000000-0005-0000-0000-0000A8810000}"/>
    <cellStyle name="Normal 5 10 25 13" xfId="33208" xr:uid="{00000000-0005-0000-0000-0000A9810000}"/>
    <cellStyle name="Normal 5 10 25 14" xfId="33209" xr:uid="{00000000-0005-0000-0000-0000AA810000}"/>
    <cellStyle name="Normal 5 10 25 2" xfId="33210" xr:uid="{00000000-0005-0000-0000-0000AB810000}"/>
    <cellStyle name="Normal 5 10 25 2 10" xfId="33211" xr:uid="{00000000-0005-0000-0000-0000AC810000}"/>
    <cellStyle name="Normal 5 10 25 2 2" xfId="33212" xr:uid="{00000000-0005-0000-0000-0000AD810000}"/>
    <cellStyle name="Normal 5 10 25 2 3" xfId="33213" xr:uid="{00000000-0005-0000-0000-0000AE810000}"/>
    <cellStyle name="Normal 5 10 25 2 4" xfId="33214" xr:uid="{00000000-0005-0000-0000-0000AF810000}"/>
    <cellStyle name="Normal 5 10 25 2 5" xfId="33215" xr:uid="{00000000-0005-0000-0000-0000B0810000}"/>
    <cellStyle name="Normal 5 10 25 2 6" xfId="33216" xr:uid="{00000000-0005-0000-0000-0000B1810000}"/>
    <cellStyle name="Normal 5 10 25 2 7" xfId="33217" xr:uid="{00000000-0005-0000-0000-0000B2810000}"/>
    <cellStyle name="Normal 5 10 25 2 8" xfId="33218" xr:uid="{00000000-0005-0000-0000-0000B3810000}"/>
    <cellStyle name="Normal 5 10 25 2 9" xfId="33219" xr:uid="{00000000-0005-0000-0000-0000B4810000}"/>
    <cellStyle name="Normal 5 10 25 3" xfId="33220" xr:uid="{00000000-0005-0000-0000-0000B5810000}"/>
    <cellStyle name="Normal 5 10 25 3 10" xfId="33221" xr:uid="{00000000-0005-0000-0000-0000B6810000}"/>
    <cellStyle name="Normal 5 10 25 3 2" xfId="33222" xr:uid="{00000000-0005-0000-0000-0000B7810000}"/>
    <cellStyle name="Normal 5 10 25 3 3" xfId="33223" xr:uid="{00000000-0005-0000-0000-0000B8810000}"/>
    <cellStyle name="Normal 5 10 25 3 4" xfId="33224" xr:uid="{00000000-0005-0000-0000-0000B9810000}"/>
    <cellStyle name="Normal 5 10 25 3 5" xfId="33225" xr:uid="{00000000-0005-0000-0000-0000BA810000}"/>
    <cellStyle name="Normal 5 10 25 3 6" xfId="33226" xr:uid="{00000000-0005-0000-0000-0000BB810000}"/>
    <cellStyle name="Normal 5 10 25 3 7" xfId="33227" xr:uid="{00000000-0005-0000-0000-0000BC810000}"/>
    <cellStyle name="Normal 5 10 25 3 8" xfId="33228" xr:uid="{00000000-0005-0000-0000-0000BD810000}"/>
    <cellStyle name="Normal 5 10 25 3 9" xfId="33229" xr:uid="{00000000-0005-0000-0000-0000BE810000}"/>
    <cellStyle name="Normal 5 10 25 4" xfId="33230" xr:uid="{00000000-0005-0000-0000-0000BF810000}"/>
    <cellStyle name="Normal 5 10 25 4 10" xfId="33231" xr:uid="{00000000-0005-0000-0000-0000C0810000}"/>
    <cellStyle name="Normal 5 10 25 4 2" xfId="33232" xr:uid="{00000000-0005-0000-0000-0000C1810000}"/>
    <cellStyle name="Normal 5 10 25 4 3" xfId="33233" xr:uid="{00000000-0005-0000-0000-0000C2810000}"/>
    <cellStyle name="Normal 5 10 25 4 4" xfId="33234" xr:uid="{00000000-0005-0000-0000-0000C3810000}"/>
    <cellStyle name="Normal 5 10 25 4 5" xfId="33235" xr:uid="{00000000-0005-0000-0000-0000C4810000}"/>
    <cellStyle name="Normal 5 10 25 4 6" xfId="33236" xr:uid="{00000000-0005-0000-0000-0000C5810000}"/>
    <cellStyle name="Normal 5 10 25 4 7" xfId="33237" xr:uid="{00000000-0005-0000-0000-0000C6810000}"/>
    <cellStyle name="Normal 5 10 25 4 8" xfId="33238" xr:uid="{00000000-0005-0000-0000-0000C7810000}"/>
    <cellStyle name="Normal 5 10 25 4 9" xfId="33239" xr:uid="{00000000-0005-0000-0000-0000C8810000}"/>
    <cellStyle name="Normal 5 10 25 5" xfId="33240" xr:uid="{00000000-0005-0000-0000-0000C9810000}"/>
    <cellStyle name="Normal 5 10 25 5 10" xfId="33241" xr:uid="{00000000-0005-0000-0000-0000CA810000}"/>
    <cellStyle name="Normal 5 10 25 5 2" xfId="33242" xr:uid="{00000000-0005-0000-0000-0000CB810000}"/>
    <cellStyle name="Normal 5 10 25 5 3" xfId="33243" xr:uid="{00000000-0005-0000-0000-0000CC810000}"/>
    <cellStyle name="Normal 5 10 25 5 4" xfId="33244" xr:uid="{00000000-0005-0000-0000-0000CD810000}"/>
    <cellStyle name="Normal 5 10 25 5 5" xfId="33245" xr:uid="{00000000-0005-0000-0000-0000CE810000}"/>
    <cellStyle name="Normal 5 10 25 5 6" xfId="33246" xr:uid="{00000000-0005-0000-0000-0000CF810000}"/>
    <cellStyle name="Normal 5 10 25 5 7" xfId="33247" xr:uid="{00000000-0005-0000-0000-0000D0810000}"/>
    <cellStyle name="Normal 5 10 25 5 8" xfId="33248" xr:uid="{00000000-0005-0000-0000-0000D1810000}"/>
    <cellStyle name="Normal 5 10 25 5 9" xfId="33249" xr:uid="{00000000-0005-0000-0000-0000D2810000}"/>
    <cellStyle name="Normal 5 10 25 6" xfId="33250" xr:uid="{00000000-0005-0000-0000-0000D3810000}"/>
    <cellStyle name="Normal 5 10 25 7" xfId="33251" xr:uid="{00000000-0005-0000-0000-0000D4810000}"/>
    <cellStyle name="Normal 5 10 25 8" xfId="33252" xr:uid="{00000000-0005-0000-0000-0000D5810000}"/>
    <cellStyle name="Normal 5 10 25 9" xfId="33253" xr:uid="{00000000-0005-0000-0000-0000D6810000}"/>
    <cellStyle name="Normal 5 10 26" xfId="33254" xr:uid="{00000000-0005-0000-0000-0000D7810000}"/>
    <cellStyle name="Normal 5 10 26 10" xfId="33255" xr:uid="{00000000-0005-0000-0000-0000D8810000}"/>
    <cellStyle name="Normal 5 10 26 11" xfId="33256" xr:uid="{00000000-0005-0000-0000-0000D9810000}"/>
    <cellStyle name="Normal 5 10 26 12" xfId="33257" xr:uid="{00000000-0005-0000-0000-0000DA810000}"/>
    <cellStyle name="Normal 5 10 26 13" xfId="33258" xr:uid="{00000000-0005-0000-0000-0000DB810000}"/>
    <cellStyle name="Normal 5 10 26 14" xfId="33259" xr:uid="{00000000-0005-0000-0000-0000DC810000}"/>
    <cellStyle name="Normal 5 10 26 2" xfId="33260" xr:uid="{00000000-0005-0000-0000-0000DD810000}"/>
    <cellStyle name="Normal 5 10 26 2 10" xfId="33261" xr:uid="{00000000-0005-0000-0000-0000DE810000}"/>
    <cellStyle name="Normal 5 10 26 2 2" xfId="33262" xr:uid="{00000000-0005-0000-0000-0000DF810000}"/>
    <cellStyle name="Normal 5 10 26 2 3" xfId="33263" xr:uid="{00000000-0005-0000-0000-0000E0810000}"/>
    <cellStyle name="Normal 5 10 26 2 4" xfId="33264" xr:uid="{00000000-0005-0000-0000-0000E1810000}"/>
    <cellStyle name="Normal 5 10 26 2 5" xfId="33265" xr:uid="{00000000-0005-0000-0000-0000E2810000}"/>
    <cellStyle name="Normal 5 10 26 2 6" xfId="33266" xr:uid="{00000000-0005-0000-0000-0000E3810000}"/>
    <cellStyle name="Normal 5 10 26 2 7" xfId="33267" xr:uid="{00000000-0005-0000-0000-0000E4810000}"/>
    <cellStyle name="Normal 5 10 26 2 8" xfId="33268" xr:uid="{00000000-0005-0000-0000-0000E5810000}"/>
    <cellStyle name="Normal 5 10 26 2 9" xfId="33269" xr:uid="{00000000-0005-0000-0000-0000E6810000}"/>
    <cellStyle name="Normal 5 10 26 3" xfId="33270" xr:uid="{00000000-0005-0000-0000-0000E7810000}"/>
    <cellStyle name="Normal 5 10 26 3 10" xfId="33271" xr:uid="{00000000-0005-0000-0000-0000E8810000}"/>
    <cellStyle name="Normal 5 10 26 3 2" xfId="33272" xr:uid="{00000000-0005-0000-0000-0000E9810000}"/>
    <cellStyle name="Normal 5 10 26 3 3" xfId="33273" xr:uid="{00000000-0005-0000-0000-0000EA810000}"/>
    <cellStyle name="Normal 5 10 26 3 4" xfId="33274" xr:uid="{00000000-0005-0000-0000-0000EB810000}"/>
    <cellStyle name="Normal 5 10 26 3 5" xfId="33275" xr:uid="{00000000-0005-0000-0000-0000EC810000}"/>
    <cellStyle name="Normal 5 10 26 3 6" xfId="33276" xr:uid="{00000000-0005-0000-0000-0000ED810000}"/>
    <cellStyle name="Normal 5 10 26 3 7" xfId="33277" xr:uid="{00000000-0005-0000-0000-0000EE810000}"/>
    <cellStyle name="Normal 5 10 26 3 8" xfId="33278" xr:uid="{00000000-0005-0000-0000-0000EF810000}"/>
    <cellStyle name="Normal 5 10 26 3 9" xfId="33279" xr:uid="{00000000-0005-0000-0000-0000F0810000}"/>
    <cellStyle name="Normal 5 10 26 4" xfId="33280" xr:uid="{00000000-0005-0000-0000-0000F1810000}"/>
    <cellStyle name="Normal 5 10 26 4 10" xfId="33281" xr:uid="{00000000-0005-0000-0000-0000F2810000}"/>
    <cellStyle name="Normal 5 10 26 4 2" xfId="33282" xr:uid="{00000000-0005-0000-0000-0000F3810000}"/>
    <cellStyle name="Normal 5 10 26 4 3" xfId="33283" xr:uid="{00000000-0005-0000-0000-0000F4810000}"/>
    <cellStyle name="Normal 5 10 26 4 4" xfId="33284" xr:uid="{00000000-0005-0000-0000-0000F5810000}"/>
    <cellStyle name="Normal 5 10 26 4 5" xfId="33285" xr:uid="{00000000-0005-0000-0000-0000F6810000}"/>
    <cellStyle name="Normal 5 10 26 4 6" xfId="33286" xr:uid="{00000000-0005-0000-0000-0000F7810000}"/>
    <cellStyle name="Normal 5 10 26 4 7" xfId="33287" xr:uid="{00000000-0005-0000-0000-0000F8810000}"/>
    <cellStyle name="Normal 5 10 26 4 8" xfId="33288" xr:uid="{00000000-0005-0000-0000-0000F9810000}"/>
    <cellStyle name="Normal 5 10 26 4 9" xfId="33289" xr:uid="{00000000-0005-0000-0000-0000FA810000}"/>
    <cellStyle name="Normal 5 10 26 5" xfId="33290" xr:uid="{00000000-0005-0000-0000-0000FB810000}"/>
    <cellStyle name="Normal 5 10 26 5 10" xfId="33291" xr:uid="{00000000-0005-0000-0000-0000FC810000}"/>
    <cellStyle name="Normal 5 10 26 5 2" xfId="33292" xr:uid="{00000000-0005-0000-0000-0000FD810000}"/>
    <cellStyle name="Normal 5 10 26 5 3" xfId="33293" xr:uid="{00000000-0005-0000-0000-0000FE810000}"/>
    <cellStyle name="Normal 5 10 26 5 4" xfId="33294" xr:uid="{00000000-0005-0000-0000-0000FF810000}"/>
    <cellStyle name="Normal 5 10 26 5 5" xfId="33295" xr:uid="{00000000-0005-0000-0000-000000820000}"/>
    <cellStyle name="Normal 5 10 26 5 6" xfId="33296" xr:uid="{00000000-0005-0000-0000-000001820000}"/>
    <cellStyle name="Normal 5 10 26 5 7" xfId="33297" xr:uid="{00000000-0005-0000-0000-000002820000}"/>
    <cellStyle name="Normal 5 10 26 5 8" xfId="33298" xr:uid="{00000000-0005-0000-0000-000003820000}"/>
    <cellStyle name="Normal 5 10 26 5 9" xfId="33299" xr:uid="{00000000-0005-0000-0000-000004820000}"/>
    <cellStyle name="Normal 5 10 26 6" xfId="33300" xr:uid="{00000000-0005-0000-0000-000005820000}"/>
    <cellStyle name="Normal 5 10 26 7" xfId="33301" xr:uid="{00000000-0005-0000-0000-000006820000}"/>
    <cellStyle name="Normal 5 10 26 8" xfId="33302" xr:uid="{00000000-0005-0000-0000-000007820000}"/>
    <cellStyle name="Normal 5 10 26 9" xfId="33303" xr:uid="{00000000-0005-0000-0000-000008820000}"/>
    <cellStyle name="Normal 5 10 27" xfId="33304" xr:uid="{00000000-0005-0000-0000-000009820000}"/>
    <cellStyle name="Normal 5 10 27 10" xfId="33305" xr:uid="{00000000-0005-0000-0000-00000A820000}"/>
    <cellStyle name="Normal 5 10 27 11" xfId="33306" xr:uid="{00000000-0005-0000-0000-00000B820000}"/>
    <cellStyle name="Normal 5 10 27 12" xfId="33307" xr:uid="{00000000-0005-0000-0000-00000C820000}"/>
    <cellStyle name="Normal 5 10 27 13" xfId="33308" xr:uid="{00000000-0005-0000-0000-00000D820000}"/>
    <cellStyle name="Normal 5 10 27 14" xfId="33309" xr:uid="{00000000-0005-0000-0000-00000E820000}"/>
    <cellStyle name="Normal 5 10 27 2" xfId="33310" xr:uid="{00000000-0005-0000-0000-00000F820000}"/>
    <cellStyle name="Normal 5 10 27 2 10" xfId="33311" xr:uid="{00000000-0005-0000-0000-000010820000}"/>
    <cellStyle name="Normal 5 10 27 2 2" xfId="33312" xr:uid="{00000000-0005-0000-0000-000011820000}"/>
    <cellStyle name="Normal 5 10 27 2 3" xfId="33313" xr:uid="{00000000-0005-0000-0000-000012820000}"/>
    <cellStyle name="Normal 5 10 27 2 4" xfId="33314" xr:uid="{00000000-0005-0000-0000-000013820000}"/>
    <cellStyle name="Normal 5 10 27 2 5" xfId="33315" xr:uid="{00000000-0005-0000-0000-000014820000}"/>
    <cellStyle name="Normal 5 10 27 2 6" xfId="33316" xr:uid="{00000000-0005-0000-0000-000015820000}"/>
    <cellStyle name="Normal 5 10 27 2 7" xfId="33317" xr:uid="{00000000-0005-0000-0000-000016820000}"/>
    <cellStyle name="Normal 5 10 27 2 8" xfId="33318" xr:uid="{00000000-0005-0000-0000-000017820000}"/>
    <cellStyle name="Normal 5 10 27 2 9" xfId="33319" xr:uid="{00000000-0005-0000-0000-000018820000}"/>
    <cellStyle name="Normal 5 10 27 3" xfId="33320" xr:uid="{00000000-0005-0000-0000-000019820000}"/>
    <cellStyle name="Normal 5 10 27 3 10" xfId="33321" xr:uid="{00000000-0005-0000-0000-00001A820000}"/>
    <cellStyle name="Normal 5 10 27 3 2" xfId="33322" xr:uid="{00000000-0005-0000-0000-00001B820000}"/>
    <cellStyle name="Normal 5 10 27 3 3" xfId="33323" xr:uid="{00000000-0005-0000-0000-00001C820000}"/>
    <cellStyle name="Normal 5 10 27 3 4" xfId="33324" xr:uid="{00000000-0005-0000-0000-00001D820000}"/>
    <cellStyle name="Normal 5 10 27 3 5" xfId="33325" xr:uid="{00000000-0005-0000-0000-00001E820000}"/>
    <cellStyle name="Normal 5 10 27 3 6" xfId="33326" xr:uid="{00000000-0005-0000-0000-00001F820000}"/>
    <cellStyle name="Normal 5 10 27 3 7" xfId="33327" xr:uid="{00000000-0005-0000-0000-000020820000}"/>
    <cellStyle name="Normal 5 10 27 3 8" xfId="33328" xr:uid="{00000000-0005-0000-0000-000021820000}"/>
    <cellStyle name="Normal 5 10 27 3 9" xfId="33329" xr:uid="{00000000-0005-0000-0000-000022820000}"/>
    <cellStyle name="Normal 5 10 27 4" xfId="33330" xr:uid="{00000000-0005-0000-0000-000023820000}"/>
    <cellStyle name="Normal 5 10 27 4 10" xfId="33331" xr:uid="{00000000-0005-0000-0000-000024820000}"/>
    <cellStyle name="Normal 5 10 27 4 2" xfId="33332" xr:uid="{00000000-0005-0000-0000-000025820000}"/>
    <cellStyle name="Normal 5 10 27 4 3" xfId="33333" xr:uid="{00000000-0005-0000-0000-000026820000}"/>
    <cellStyle name="Normal 5 10 27 4 4" xfId="33334" xr:uid="{00000000-0005-0000-0000-000027820000}"/>
    <cellStyle name="Normal 5 10 27 4 5" xfId="33335" xr:uid="{00000000-0005-0000-0000-000028820000}"/>
    <cellStyle name="Normal 5 10 27 4 6" xfId="33336" xr:uid="{00000000-0005-0000-0000-000029820000}"/>
    <cellStyle name="Normal 5 10 27 4 7" xfId="33337" xr:uid="{00000000-0005-0000-0000-00002A820000}"/>
    <cellStyle name="Normal 5 10 27 4 8" xfId="33338" xr:uid="{00000000-0005-0000-0000-00002B820000}"/>
    <cellStyle name="Normal 5 10 27 4 9" xfId="33339" xr:uid="{00000000-0005-0000-0000-00002C820000}"/>
    <cellStyle name="Normal 5 10 27 5" xfId="33340" xr:uid="{00000000-0005-0000-0000-00002D820000}"/>
    <cellStyle name="Normal 5 10 27 5 10" xfId="33341" xr:uid="{00000000-0005-0000-0000-00002E820000}"/>
    <cellStyle name="Normal 5 10 27 5 2" xfId="33342" xr:uid="{00000000-0005-0000-0000-00002F820000}"/>
    <cellStyle name="Normal 5 10 27 5 3" xfId="33343" xr:uid="{00000000-0005-0000-0000-000030820000}"/>
    <cellStyle name="Normal 5 10 27 5 4" xfId="33344" xr:uid="{00000000-0005-0000-0000-000031820000}"/>
    <cellStyle name="Normal 5 10 27 5 5" xfId="33345" xr:uid="{00000000-0005-0000-0000-000032820000}"/>
    <cellStyle name="Normal 5 10 27 5 6" xfId="33346" xr:uid="{00000000-0005-0000-0000-000033820000}"/>
    <cellStyle name="Normal 5 10 27 5 7" xfId="33347" xr:uid="{00000000-0005-0000-0000-000034820000}"/>
    <cellStyle name="Normal 5 10 27 5 8" xfId="33348" xr:uid="{00000000-0005-0000-0000-000035820000}"/>
    <cellStyle name="Normal 5 10 27 5 9" xfId="33349" xr:uid="{00000000-0005-0000-0000-000036820000}"/>
    <cellStyle name="Normal 5 10 27 6" xfId="33350" xr:uid="{00000000-0005-0000-0000-000037820000}"/>
    <cellStyle name="Normal 5 10 27 7" xfId="33351" xr:uid="{00000000-0005-0000-0000-000038820000}"/>
    <cellStyle name="Normal 5 10 27 8" xfId="33352" xr:uid="{00000000-0005-0000-0000-000039820000}"/>
    <cellStyle name="Normal 5 10 27 9" xfId="33353" xr:uid="{00000000-0005-0000-0000-00003A820000}"/>
    <cellStyle name="Normal 5 10 28" xfId="33354" xr:uid="{00000000-0005-0000-0000-00003B820000}"/>
    <cellStyle name="Normal 5 10 28 10" xfId="33355" xr:uid="{00000000-0005-0000-0000-00003C820000}"/>
    <cellStyle name="Normal 5 10 28 11" xfId="33356" xr:uid="{00000000-0005-0000-0000-00003D820000}"/>
    <cellStyle name="Normal 5 10 28 12" xfId="33357" xr:uid="{00000000-0005-0000-0000-00003E820000}"/>
    <cellStyle name="Normal 5 10 28 13" xfId="33358" xr:uid="{00000000-0005-0000-0000-00003F820000}"/>
    <cellStyle name="Normal 5 10 28 14" xfId="33359" xr:uid="{00000000-0005-0000-0000-000040820000}"/>
    <cellStyle name="Normal 5 10 28 2" xfId="33360" xr:uid="{00000000-0005-0000-0000-000041820000}"/>
    <cellStyle name="Normal 5 10 28 2 10" xfId="33361" xr:uid="{00000000-0005-0000-0000-000042820000}"/>
    <cellStyle name="Normal 5 10 28 2 2" xfId="33362" xr:uid="{00000000-0005-0000-0000-000043820000}"/>
    <cellStyle name="Normal 5 10 28 2 3" xfId="33363" xr:uid="{00000000-0005-0000-0000-000044820000}"/>
    <cellStyle name="Normal 5 10 28 2 4" xfId="33364" xr:uid="{00000000-0005-0000-0000-000045820000}"/>
    <cellStyle name="Normal 5 10 28 2 5" xfId="33365" xr:uid="{00000000-0005-0000-0000-000046820000}"/>
    <cellStyle name="Normal 5 10 28 2 6" xfId="33366" xr:uid="{00000000-0005-0000-0000-000047820000}"/>
    <cellStyle name="Normal 5 10 28 2 7" xfId="33367" xr:uid="{00000000-0005-0000-0000-000048820000}"/>
    <cellStyle name="Normal 5 10 28 2 8" xfId="33368" xr:uid="{00000000-0005-0000-0000-000049820000}"/>
    <cellStyle name="Normal 5 10 28 2 9" xfId="33369" xr:uid="{00000000-0005-0000-0000-00004A820000}"/>
    <cellStyle name="Normal 5 10 28 3" xfId="33370" xr:uid="{00000000-0005-0000-0000-00004B820000}"/>
    <cellStyle name="Normal 5 10 28 3 10" xfId="33371" xr:uid="{00000000-0005-0000-0000-00004C820000}"/>
    <cellStyle name="Normal 5 10 28 3 2" xfId="33372" xr:uid="{00000000-0005-0000-0000-00004D820000}"/>
    <cellStyle name="Normal 5 10 28 3 3" xfId="33373" xr:uid="{00000000-0005-0000-0000-00004E820000}"/>
    <cellStyle name="Normal 5 10 28 3 4" xfId="33374" xr:uid="{00000000-0005-0000-0000-00004F820000}"/>
    <cellStyle name="Normal 5 10 28 3 5" xfId="33375" xr:uid="{00000000-0005-0000-0000-000050820000}"/>
    <cellStyle name="Normal 5 10 28 3 6" xfId="33376" xr:uid="{00000000-0005-0000-0000-000051820000}"/>
    <cellStyle name="Normal 5 10 28 3 7" xfId="33377" xr:uid="{00000000-0005-0000-0000-000052820000}"/>
    <cellStyle name="Normal 5 10 28 3 8" xfId="33378" xr:uid="{00000000-0005-0000-0000-000053820000}"/>
    <cellStyle name="Normal 5 10 28 3 9" xfId="33379" xr:uid="{00000000-0005-0000-0000-000054820000}"/>
    <cellStyle name="Normal 5 10 28 4" xfId="33380" xr:uid="{00000000-0005-0000-0000-000055820000}"/>
    <cellStyle name="Normal 5 10 28 4 10" xfId="33381" xr:uid="{00000000-0005-0000-0000-000056820000}"/>
    <cellStyle name="Normal 5 10 28 4 2" xfId="33382" xr:uid="{00000000-0005-0000-0000-000057820000}"/>
    <cellStyle name="Normal 5 10 28 4 3" xfId="33383" xr:uid="{00000000-0005-0000-0000-000058820000}"/>
    <cellStyle name="Normal 5 10 28 4 4" xfId="33384" xr:uid="{00000000-0005-0000-0000-000059820000}"/>
    <cellStyle name="Normal 5 10 28 4 5" xfId="33385" xr:uid="{00000000-0005-0000-0000-00005A820000}"/>
    <cellStyle name="Normal 5 10 28 4 6" xfId="33386" xr:uid="{00000000-0005-0000-0000-00005B820000}"/>
    <cellStyle name="Normal 5 10 28 4 7" xfId="33387" xr:uid="{00000000-0005-0000-0000-00005C820000}"/>
    <cellStyle name="Normal 5 10 28 4 8" xfId="33388" xr:uid="{00000000-0005-0000-0000-00005D820000}"/>
    <cellStyle name="Normal 5 10 28 4 9" xfId="33389" xr:uid="{00000000-0005-0000-0000-00005E820000}"/>
    <cellStyle name="Normal 5 10 28 5" xfId="33390" xr:uid="{00000000-0005-0000-0000-00005F820000}"/>
    <cellStyle name="Normal 5 10 28 5 10" xfId="33391" xr:uid="{00000000-0005-0000-0000-000060820000}"/>
    <cellStyle name="Normal 5 10 28 5 2" xfId="33392" xr:uid="{00000000-0005-0000-0000-000061820000}"/>
    <cellStyle name="Normal 5 10 28 5 3" xfId="33393" xr:uid="{00000000-0005-0000-0000-000062820000}"/>
    <cellStyle name="Normal 5 10 28 5 4" xfId="33394" xr:uid="{00000000-0005-0000-0000-000063820000}"/>
    <cellStyle name="Normal 5 10 28 5 5" xfId="33395" xr:uid="{00000000-0005-0000-0000-000064820000}"/>
    <cellStyle name="Normal 5 10 28 5 6" xfId="33396" xr:uid="{00000000-0005-0000-0000-000065820000}"/>
    <cellStyle name="Normal 5 10 28 5 7" xfId="33397" xr:uid="{00000000-0005-0000-0000-000066820000}"/>
    <cellStyle name="Normal 5 10 28 5 8" xfId="33398" xr:uid="{00000000-0005-0000-0000-000067820000}"/>
    <cellStyle name="Normal 5 10 28 5 9" xfId="33399" xr:uid="{00000000-0005-0000-0000-000068820000}"/>
    <cellStyle name="Normal 5 10 28 6" xfId="33400" xr:uid="{00000000-0005-0000-0000-000069820000}"/>
    <cellStyle name="Normal 5 10 28 7" xfId="33401" xr:uid="{00000000-0005-0000-0000-00006A820000}"/>
    <cellStyle name="Normal 5 10 28 8" xfId="33402" xr:uid="{00000000-0005-0000-0000-00006B820000}"/>
    <cellStyle name="Normal 5 10 28 9" xfId="33403" xr:uid="{00000000-0005-0000-0000-00006C820000}"/>
    <cellStyle name="Normal 5 10 29" xfId="33404" xr:uid="{00000000-0005-0000-0000-00006D820000}"/>
    <cellStyle name="Normal 5 10 29 10" xfId="33405" xr:uid="{00000000-0005-0000-0000-00006E820000}"/>
    <cellStyle name="Normal 5 10 29 11" xfId="33406" xr:uid="{00000000-0005-0000-0000-00006F820000}"/>
    <cellStyle name="Normal 5 10 29 12" xfId="33407" xr:uid="{00000000-0005-0000-0000-000070820000}"/>
    <cellStyle name="Normal 5 10 29 13" xfId="33408" xr:uid="{00000000-0005-0000-0000-000071820000}"/>
    <cellStyle name="Normal 5 10 29 14" xfId="33409" xr:uid="{00000000-0005-0000-0000-000072820000}"/>
    <cellStyle name="Normal 5 10 29 2" xfId="33410" xr:uid="{00000000-0005-0000-0000-000073820000}"/>
    <cellStyle name="Normal 5 10 29 2 10" xfId="33411" xr:uid="{00000000-0005-0000-0000-000074820000}"/>
    <cellStyle name="Normal 5 10 29 2 2" xfId="33412" xr:uid="{00000000-0005-0000-0000-000075820000}"/>
    <cellStyle name="Normal 5 10 29 2 3" xfId="33413" xr:uid="{00000000-0005-0000-0000-000076820000}"/>
    <cellStyle name="Normal 5 10 29 2 4" xfId="33414" xr:uid="{00000000-0005-0000-0000-000077820000}"/>
    <cellStyle name="Normal 5 10 29 2 5" xfId="33415" xr:uid="{00000000-0005-0000-0000-000078820000}"/>
    <cellStyle name="Normal 5 10 29 2 6" xfId="33416" xr:uid="{00000000-0005-0000-0000-000079820000}"/>
    <cellStyle name="Normal 5 10 29 2 7" xfId="33417" xr:uid="{00000000-0005-0000-0000-00007A820000}"/>
    <cellStyle name="Normal 5 10 29 2 8" xfId="33418" xr:uid="{00000000-0005-0000-0000-00007B820000}"/>
    <cellStyle name="Normal 5 10 29 2 9" xfId="33419" xr:uid="{00000000-0005-0000-0000-00007C820000}"/>
    <cellStyle name="Normal 5 10 29 3" xfId="33420" xr:uid="{00000000-0005-0000-0000-00007D820000}"/>
    <cellStyle name="Normal 5 10 29 3 10" xfId="33421" xr:uid="{00000000-0005-0000-0000-00007E820000}"/>
    <cellStyle name="Normal 5 10 29 3 2" xfId="33422" xr:uid="{00000000-0005-0000-0000-00007F820000}"/>
    <cellStyle name="Normal 5 10 29 3 3" xfId="33423" xr:uid="{00000000-0005-0000-0000-000080820000}"/>
    <cellStyle name="Normal 5 10 29 3 4" xfId="33424" xr:uid="{00000000-0005-0000-0000-000081820000}"/>
    <cellStyle name="Normal 5 10 29 3 5" xfId="33425" xr:uid="{00000000-0005-0000-0000-000082820000}"/>
    <cellStyle name="Normal 5 10 29 3 6" xfId="33426" xr:uid="{00000000-0005-0000-0000-000083820000}"/>
    <cellStyle name="Normal 5 10 29 3 7" xfId="33427" xr:uid="{00000000-0005-0000-0000-000084820000}"/>
    <cellStyle name="Normal 5 10 29 3 8" xfId="33428" xr:uid="{00000000-0005-0000-0000-000085820000}"/>
    <cellStyle name="Normal 5 10 29 3 9" xfId="33429" xr:uid="{00000000-0005-0000-0000-000086820000}"/>
    <cellStyle name="Normal 5 10 29 4" xfId="33430" xr:uid="{00000000-0005-0000-0000-000087820000}"/>
    <cellStyle name="Normal 5 10 29 4 10" xfId="33431" xr:uid="{00000000-0005-0000-0000-000088820000}"/>
    <cellStyle name="Normal 5 10 29 4 2" xfId="33432" xr:uid="{00000000-0005-0000-0000-000089820000}"/>
    <cellStyle name="Normal 5 10 29 4 3" xfId="33433" xr:uid="{00000000-0005-0000-0000-00008A820000}"/>
    <cellStyle name="Normal 5 10 29 4 4" xfId="33434" xr:uid="{00000000-0005-0000-0000-00008B820000}"/>
    <cellStyle name="Normal 5 10 29 4 5" xfId="33435" xr:uid="{00000000-0005-0000-0000-00008C820000}"/>
    <cellStyle name="Normal 5 10 29 4 6" xfId="33436" xr:uid="{00000000-0005-0000-0000-00008D820000}"/>
    <cellStyle name="Normal 5 10 29 4 7" xfId="33437" xr:uid="{00000000-0005-0000-0000-00008E820000}"/>
    <cellStyle name="Normal 5 10 29 4 8" xfId="33438" xr:uid="{00000000-0005-0000-0000-00008F820000}"/>
    <cellStyle name="Normal 5 10 29 4 9" xfId="33439" xr:uid="{00000000-0005-0000-0000-000090820000}"/>
    <cellStyle name="Normal 5 10 29 5" xfId="33440" xr:uid="{00000000-0005-0000-0000-000091820000}"/>
    <cellStyle name="Normal 5 10 29 5 10" xfId="33441" xr:uid="{00000000-0005-0000-0000-000092820000}"/>
    <cellStyle name="Normal 5 10 29 5 2" xfId="33442" xr:uid="{00000000-0005-0000-0000-000093820000}"/>
    <cellStyle name="Normal 5 10 29 5 3" xfId="33443" xr:uid="{00000000-0005-0000-0000-000094820000}"/>
    <cellStyle name="Normal 5 10 29 5 4" xfId="33444" xr:uid="{00000000-0005-0000-0000-000095820000}"/>
    <cellStyle name="Normal 5 10 29 5 5" xfId="33445" xr:uid="{00000000-0005-0000-0000-000096820000}"/>
    <cellStyle name="Normal 5 10 29 5 6" xfId="33446" xr:uid="{00000000-0005-0000-0000-000097820000}"/>
    <cellStyle name="Normal 5 10 29 5 7" xfId="33447" xr:uid="{00000000-0005-0000-0000-000098820000}"/>
    <cellStyle name="Normal 5 10 29 5 8" xfId="33448" xr:uid="{00000000-0005-0000-0000-000099820000}"/>
    <cellStyle name="Normal 5 10 29 5 9" xfId="33449" xr:uid="{00000000-0005-0000-0000-00009A820000}"/>
    <cellStyle name="Normal 5 10 29 6" xfId="33450" xr:uid="{00000000-0005-0000-0000-00009B820000}"/>
    <cellStyle name="Normal 5 10 29 7" xfId="33451" xr:uid="{00000000-0005-0000-0000-00009C820000}"/>
    <cellStyle name="Normal 5 10 29 8" xfId="33452" xr:uid="{00000000-0005-0000-0000-00009D820000}"/>
    <cellStyle name="Normal 5 10 29 9" xfId="33453" xr:uid="{00000000-0005-0000-0000-00009E820000}"/>
    <cellStyle name="Normal 5 10 3" xfId="33454" xr:uid="{00000000-0005-0000-0000-00009F820000}"/>
    <cellStyle name="Normal 5 10 3 10" xfId="33455" xr:uid="{00000000-0005-0000-0000-0000A0820000}"/>
    <cellStyle name="Normal 5 10 3 11" xfId="33456" xr:uid="{00000000-0005-0000-0000-0000A1820000}"/>
    <cellStyle name="Normal 5 10 3 12" xfId="33457" xr:uid="{00000000-0005-0000-0000-0000A2820000}"/>
    <cellStyle name="Normal 5 10 3 13" xfId="33458" xr:uid="{00000000-0005-0000-0000-0000A3820000}"/>
    <cellStyle name="Normal 5 10 3 14" xfId="33459" xr:uid="{00000000-0005-0000-0000-0000A4820000}"/>
    <cellStyle name="Normal 5 10 3 2" xfId="33460" xr:uid="{00000000-0005-0000-0000-0000A5820000}"/>
    <cellStyle name="Normal 5 10 3 2 10" xfId="33461" xr:uid="{00000000-0005-0000-0000-0000A6820000}"/>
    <cellStyle name="Normal 5 10 3 2 2" xfId="33462" xr:uid="{00000000-0005-0000-0000-0000A7820000}"/>
    <cellStyle name="Normal 5 10 3 2 3" xfId="33463" xr:uid="{00000000-0005-0000-0000-0000A8820000}"/>
    <cellStyle name="Normal 5 10 3 2 4" xfId="33464" xr:uid="{00000000-0005-0000-0000-0000A9820000}"/>
    <cellStyle name="Normal 5 10 3 2 5" xfId="33465" xr:uid="{00000000-0005-0000-0000-0000AA820000}"/>
    <cellStyle name="Normal 5 10 3 2 6" xfId="33466" xr:uid="{00000000-0005-0000-0000-0000AB820000}"/>
    <cellStyle name="Normal 5 10 3 2 7" xfId="33467" xr:uid="{00000000-0005-0000-0000-0000AC820000}"/>
    <cellStyle name="Normal 5 10 3 2 8" xfId="33468" xr:uid="{00000000-0005-0000-0000-0000AD820000}"/>
    <cellStyle name="Normal 5 10 3 2 9" xfId="33469" xr:uid="{00000000-0005-0000-0000-0000AE820000}"/>
    <cellStyle name="Normal 5 10 3 3" xfId="33470" xr:uid="{00000000-0005-0000-0000-0000AF820000}"/>
    <cellStyle name="Normal 5 10 3 3 10" xfId="33471" xr:uid="{00000000-0005-0000-0000-0000B0820000}"/>
    <cellStyle name="Normal 5 10 3 3 2" xfId="33472" xr:uid="{00000000-0005-0000-0000-0000B1820000}"/>
    <cellStyle name="Normal 5 10 3 3 3" xfId="33473" xr:uid="{00000000-0005-0000-0000-0000B2820000}"/>
    <cellStyle name="Normal 5 10 3 3 4" xfId="33474" xr:uid="{00000000-0005-0000-0000-0000B3820000}"/>
    <cellStyle name="Normal 5 10 3 3 5" xfId="33475" xr:uid="{00000000-0005-0000-0000-0000B4820000}"/>
    <cellStyle name="Normal 5 10 3 3 6" xfId="33476" xr:uid="{00000000-0005-0000-0000-0000B5820000}"/>
    <cellStyle name="Normal 5 10 3 3 7" xfId="33477" xr:uid="{00000000-0005-0000-0000-0000B6820000}"/>
    <cellStyle name="Normal 5 10 3 3 8" xfId="33478" xr:uid="{00000000-0005-0000-0000-0000B7820000}"/>
    <cellStyle name="Normal 5 10 3 3 9" xfId="33479" xr:uid="{00000000-0005-0000-0000-0000B8820000}"/>
    <cellStyle name="Normal 5 10 3 4" xfId="33480" xr:uid="{00000000-0005-0000-0000-0000B9820000}"/>
    <cellStyle name="Normal 5 10 3 4 10" xfId="33481" xr:uid="{00000000-0005-0000-0000-0000BA820000}"/>
    <cellStyle name="Normal 5 10 3 4 2" xfId="33482" xr:uid="{00000000-0005-0000-0000-0000BB820000}"/>
    <cellStyle name="Normal 5 10 3 4 3" xfId="33483" xr:uid="{00000000-0005-0000-0000-0000BC820000}"/>
    <cellStyle name="Normal 5 10 3 4 4" xfId="33484" xr:uid="{00000000-0005-0000-0000-0000BD820000}"/>
    <cellStyle name="Normal 5 10 3 4 5" xfId="33485" xr:uid="{00000000-0005-0000-0000-0000BE820000}"/>
    <cellStyle name="Normal 5 10 3 4 6" xfId="33486" xr:uid="{00000000-0005-0000-0000-0000BF820000}"/>
    <cellStyle name="Normal 5 10 3 4 7" xfId="33487" xr:uid="{00000000-0005-0000-0000-0000C0820000}"/>
    <cellStyle name="Normal 5 10 3 4 8" xfId="33488" xr:uid="{00000000-0005-0000-0000-0000C1820000}"/>
    <cellStyle name="Normal 5 10 3 4 9" xfId="33489" xr:uid="{00000000-0005-0000-0000-0000C2820000}"/>
    <cellStyle name="Normal 5 10 3 5" xfId="33490" xr:uid="{00000000-0005-0000-0000-0000C3820000}"/>
    <cellStyle name="Normal 5 10 3 5 10" xfId="33491" xr:uid="{00000000-0005-0000-0000-0000C4820000}"/>
    <cellStyle name="Normal 5 10 3 5 2" xfId="33492" xr:uid="{00000000-0005-0000-0000-0000C5820000}"/>
    <cellStyle name="Normal 5 10 3 5 3" xfId="33493" xr:uid="{00000000-0005-0000-0000-0000C6820000}"/>
    <cellStyle name="Normal 5 10 3 5 4" xfId="33494" xr:uid="{00000000-0005-0000-0000-0000C7820000}"/>
    <cellStyle name="Normal 5 10 3 5 5" xfId="33495" xr:uid="{00000000-0005-0000-0000-0000C8820000}"/>
    <cellStyle name="Normal 5 10 3 5 6" xfId="33496" xr:uid="{00000000-0005-0000-0000-0000C9820000}"/>
    <cellStyle name="Normal 5 10 3 5 7" xfId="33497" xr:uid="{00000000-0005-0000-0000-0000CA820000}"/>
    <cellStyle name="Normal 5 10 3 5 8" xfId="33498" xr:uid="{00000000-0005-0000-0000-0000CB820000}"/>
    <cellStyle name="Normal 5 10 3 5 9" xfId="33499" xr:uid="{00000000-0005-0000-0000-0000CC820000}"/>
    <cellStyle name="Normal 5 10 3 6" xfId="33500" xr:uid="{00000000-0005-0000-0000-0000CD820000}"/>
    <cellStyle name="Normal 5 10 3 7" xfId="33501" xr:uid="{00000000-0005-0000-0000-0000CE820000}"/>
    <cellStyle name="Normal 5 10 3 8" xfId="33502" xr:uid="{00000000-0005-0000-0000-0000CF820000}"/>
    <cellStyle name="Normal 5 10 3 9" xfId="33503" xr:uid="{00000000-0005-0000-0000-0000D0820000}"/>
    <cellStyle name="Normal 5 10 30" xfId="33504" xr:uid="{00000000-0005-0000-0000-0000D1820000}"/>
    <cellStyle name="Normal 5 10 30 10" xfId="33505" xr:uid="{00000000-0005-0000-0000-0000D2820000}"/>
    <cellStyle name="Normal 5 10 30 11" xfId="33506" xr:uid="{00000000-0005-0000-0000-0000D3820000}"/>
    <cellStyle name="Normal 5 10 30 12" xfId="33507" xr:uid="{00000000-0005-0000-0000-0000D4820000}"/>
    <cellStyle name="Normal 5 10 30 13" xfId="33508" xr:uid="{00000000-0005-0000-0000-0000D5820000}"/>
    <cellStyle name="Normal 5 10 30 14" xfId="33509" xr:uid="{00000000-0005-0000-0000-0000D6820000}"/>
    <cellStyle name="Normal 5 10 30 2" xfId="33510" xr:uid="{00000000-0005-0000-0000-0000D7820000}"/>
    <cellStyle name="Normal 5 10 30 2 10" xfId="33511" xr:uid="{00000000-0005-0000-0000-0000D8820000}"/>
    <cellStyle name="Normal 5 10 30 2 2" xfId="33512" xr:uid="{00000000-0005-0000-0000-0000D9820000}"/>
    <cellStyle name="Normal 5 10 30 2 3" xfId="33513" xr:uid="{00000000-0005-0000-0000-0000DA820000}"/>
    <cellStyle name="Normal 5 10 30 2 4" xfId="33514" xr:uid="{00000000-0005-0000-0000-0000DB820000}"/>
    <cellStyle name="Normal 5 10 30 2 5" xfId="33515" xr:uid="{00000000-0005-0000-0000-0000DC820000}"/>
    <cellStyle name="Normal 5 10 30 2 6" xfId="33516" xr:uid="{00000000-0005-0000-0000-0000DD820000}"/>
    <cellStyle name="Normal 5 10 30 2 7" xfId="33517" xr:uid="{00000000-0005-0000-0000-0000DE820000}"/>
    <cellStyle name="Normal 5 10 30 2 8" xfId="33518" xr:uid="{00000000-0005-0000-0000-0000DF820000}"/>
    <cellStyle name="Normal 5 10 30 2 9" xfId="33519" xr:uid="{00000000-0005-0000-0000-0000E0820000}"/>
    <cellStyle name="Normal 5 10 30 3" xfId="33520" xr:uid="{00000000-0005-0000-0000-0000E1820000}"/>
    <cellStyle name="Normal 5 10 30 3 10" xfId="33521" xr:uid="{00000000-0005-0000-0000-0000E2820000}"/>
    <cellStyle name="Normal 5 10 30 3 2" xfId="33522" xr:uid="{00000000-0005-0000-0000-0000E3820000}"/>
    <cellStyle name="Normal 5 10 30 3 3" xfId="33523" xr:uid="{00000000-0005-0000-0000-0000E4820000}"/>
    <cellStyle name="Normal 5 10 30 3 4" xfId="33524" xr:uid="{00000000-0005-0000-0000-0000E5820000}"/>
    <cellStyle name="Normal 5 10 30 3 5" xfId="33525" xr:uid="{00000000-0005-0000-0000-0000E6820000}"/>
    <cellStyle name="Normal 5 10 30 3 6" xfId="33526" xr:uid="{00000000-0005-0000-0000-0000E7820000}"/>
    <cellStyle name="Normal 5 10 30 3 7" xfId="33527" xr:uid="{00000000-0005-0000-0000-0000E8820000}"/>
    <cellStyle name="Normal 5 10 30 3 8" xfId="33528" xr:uid="{00000000-0005-0000-0000-0000E9820000}"/>
    <cellStyle name="Normal 5 10 30 3 9" xfId="33529" xr:uid="{00000000-0005-0000-0000-0000EA820000}"/>
    <cellStyle name="Normal 5 10 30 4" xfId="33530" xr:uid="{00000000-0005-0000-0000-0000EB820000}"/>
    <cellStyle name="Normal 5 10 30 4 10" xfId="33531" xr:uid="{00000000-0005-0000-0000-0000EC820000}"/>
    <cellStyle name="Normal 5 10 30 4 2" xfId="33532" xr:uid="{00000000-0005-0000-0000-0000ED820000}"/>
    <cellStyle name="Normal 5 10 30 4 3" xfId="33533" xr:uid="{00000000-0005-0000-0000-0000EE820000}"/>
    <cellStyle name="Normal 5 10 30 4 4" xfId="33534" xr:uid="{00000000-0005-0000-0000-0000EF820000}"/>
    <cellStyle name="Normal 5 10 30 4 5" xfId="33535" xr:uid="{00000000-0005-0000-0000-0000F0820000}"/>
    <cellStyle name="Normal 5 10 30 4 6" xfId="33536" xr:uid="{00000000-0005-0000-0000-0000F1820000}"/>
    <cellStyle name="Normal 5 10 30 4 7" xfId="33537" xr:uid="{00000000-0005-0000-0000-0000F2820000}"/>
    <cellStyle name="Normal 5 10 30 4 8" xfId="33538" xr:uid="{00000000-0005-0000-0000-0000F3820000}"/>
    <cellStyle name="Normal 5 10 30 4 9" xfId="33539" xr:uid="{00000000-0005-0000-0000-0000F4820000}"/>
    <cellStyle name="Normal 5 10 30 5" xfId="33540" xr:uid="{00000000-0005-0000-0000-0000F5820000}"/>
    <cellStyle name="Normal 5 10 30 5 10" xfId="33541" xr:uid="{00000000-0005-0000-0000-0000F6820000}"/>
    <cellStyle name="Normal 5 10 30 5 2" xfId="33542" xr:uid="{00000000-0005-0000-0000-0000F7820000}"/>
    <cellStyle name="Normal 5 10 30 5 3" xfId="33543" xr:uid="{00000000-0005-0000-0000-0000F8820000}"/>
    <cellStyle name="Normal 5 10 30 5 4" xfId="33544" xr:uid="{00000000-0005-0000-0000-0000F9820000}"/>
    <cellStyle name="Normal 5 10 30 5 5" xfId="33545" xr:uid="{00000000-0005-0000-0000-0000FA820000}"/>
    <cellStyle name="Normal 5 10 30 5 6" xfId="33546" xr:uid="{00000000-0005-0000-0000-0000FB820000}"/>
    <cellStyle name="Normal 5 10 30 5 7" xfId="33547" xr:uid="{00000000-0005-0000-0000-0000FC820000}"/>
    <cellStyle name="Normal 5 10 30 5 8" xfId="33548" xr:uid="{00000000-0005-0000-0000-0000FD820000}"/>
    <cellStyle name="Normal 5 10 30 5 9" xfId="33549" xr:uid="{00000000-0005-0000-0000-0000FE820000}"/>
    <cellStyle name="Normal 5 10 30 6" xfId="33550" xr:uid="{00000000-0005-0000-0000-0000FF820000}"/>
    <cellStyle name="Normal 5 10 30 7" xfId="33551" xr:uid="{00000000-0005-0000-0000-000000830000}"/>
    <cellStyle name="Normal 5 10 30 8" xfId="33552" xr:uid="{00000000-0005-0000-0000-000001830000}"/>
    <cellStyle name="Normal 5 10 30 9" xfId="33553" xr:uid="{00000000-0005-0000-0000-000002830000}"/>
    <cellStyle name="Normal 5 10 31" xfId="33554" xr:uid="{00000000-0005-0000-0000-000003830000}"/>
    <cellStyle name="Normal 5 10 31 10" xfId="33555" xr:uid="{00000000-0005-0000-0000-000004830000}"/>
    <cellStyle name="Normal 5 10 31 11" xfId="33556" xr:uid="{00000000-0005-0000-0000-000005830000}"/>
    <cellStyle name="Normal 5 10 31 12" xfId="33557" xr:uid="{00000000-0005-0000-0000-000006830000}"/>
    <cellStyle name="Normal 5 10 31 13" xfId="33558" xr:uid="{00000000-0005-0000-0000-000007830000}"/>
    <cellStyle name="Normal 5 10 31 14" xfId="33559" xr:uid="{00000000-0005-0000-0000-000008830000}"/>
    <cellStyle name="Normal 5 10 31 2" xfId="33560" xr:uid="{00000000-0005-0000-0000-000009830000}"/>
    <cellStyle name="Normal 5 10 31 2 10" xfId="33561" xr:uid="{00000000-0005-0000-0000-00000A830000}"/>
    <cellStyle name="Normal 5 10 31 2 2" xfId="33562" xr:uid="{00000000-0005-0000-0000-00000B830000}"/>
    <cellStyle name="Normal 5 10 31 2 3" xfId="33563" xr:uid="{00000000-0005-0000-0000-00000C830000}"/>
    <cellStyle name="Normal 5 10 31 2 4" xfId="33564" xr:uid="{00000000-0005-0000-0000-00000D830000}"/>
    <cellStyle name="Normal 5 10 31 2 5" xfId="33565" xr:uid="{00000000-0005-0000-0000-00000E830000}"/>
    <cellStyle name="Normal 5 10 31 2 6" xfId="33566" xr:uid="{00000000-0005-0000-0000-00000F830000}"/>
    <cellStyle name="Normal 5 10 31 2 7" xfId="33567" xr:uid="{00000000-0005-0000-0000-000010830000}"/>
    <cellStyle name="Normal 5 10 31 2 8" xfId="33568" xr:uid="{00000000-0005-0000-0000-000011830000}"/>
    <cellStyle name="Normal 5 10 31 2 9" xfId="33569" xr:uid="{00000000-0005-0000-0000-000012830000}"/>
    <cellStyle name="Normal 5 10 31 3" xfId="33570" xr:uid="{00000000-0005-0000-0000-000013830000}"/>
    <cellStyle name="Normal 5 10 31 3 10" xfId="33571" xr:uid="{00000000-0005-0000-0000-000014830000}"/>
    <cellStyle name="Normal 5 10 31 3 2" xfId="33572" xr:uid="{00000000-0005-0000-0000-000015830000}"/>
    <cellStyle name="Normal 5 10 31 3 3" xfId="33573" xr:uid="{00000000-0005-0000-0000-000016830000}"/>
    <cellStyle name="Normal 5 10 31 3 4" xfId="33574" xr:uid="{00000000-0005-0000-0000-000017830000}"/>
    <cellStyle name="Normal 5 10 31 3 5" xfId="33575" xr:uid="{00000000-0005-0000-0000-000018830000}"/>
    <cellStyle name="Normal 5 10 31 3 6" xfId="33576" xr:uid="{00000000-0005-0000-0000-000019830000}"/>
    <cellStyle name="Normal 5 10 31 3 7" xfId="33577" xr:uid="{00000000-0005-0000-0000-00001A830000}"/>
    <cellStyle name="Normal 5 10 31 3 8" xfId="33578" xr:uid="{00000000-0005-0000-0000-00001B830000}"/>
    <cellStyle name="Normal 5 10 31 3 9" xfId="33579" xr:uid="{00000000-0005-0000-0000-00001C830000}"/>
    <cellStyle name="Normal 5 10 31 4" xfId="33580" xr:uid="{00000000-0005-0000-0000-00001D830000}"/>
    <cellStyle name="Normal 5 10 31 4 10" xfId="33581" xr:uid="{00000000-0005-0000-0000-00001E830000}"/>
    <cellStyle name="Normal 5 10 31 4 2" xfId="33582" xr:uid="{00000000-0005-0000-0000-00001F830000}"/>
    <cellStyle name="Normal 5 10 31 4 3" xfId="33583" xr:uid="{00000000-0005-0000-0000-000020830000}"/>
    <cellStyle name="Normal 5 10 31 4 4" xfId="33584" xr:uid="{00000000-0005-0000-0000-000021830000}"/>
    <cellStyle name="Normal 5 10 31 4 5" xfId="33585" xr:uid="{00000000-0005-0000-0000-000022830000}"/>
    <cellStyle name="Normal 5 10 31 4 6" xfId="33586" xr:uid="{00000000-0005-0000-0000-000023830000}"/>
    <cellStyle name="Normal 5 10 31 4 7" xfId="33587" xr:uid="{00000000-0005-0000-0000-000024830000}"/>
    <cellStyle name="Normal 5 10 31 4 8" xfId="33588" xr:uid="{00000000-0005-0000-0000-000025830000}"/>
    <cellStyle name="Normal 5 10 31 4 9" xfId="33589" xr:uid="{00000000-0005-0000-0000-000026830000}"/>
    <cellStyle name="Normal 5 10 31 5" xfId="33590" xr:uid="{00000000-0005-0000-0000-000027830000}"/>
    <cellStyle name="Normal 5 10 31 5 10" xfId="33591" xr:uid="{00000000-0005-0000-0000-000028830000}"/>
    <cellStyle name="Normal 5 10 31 5 2" xfId="33592" xr:uid="{00000000-0005-0000-0000-000029830000}"/>
    <cellStyle name="Normal 5 10 31 5 3" xfId="33593" xr:uid="{00000000-0005-0000-0000-00002A830000}"/>
    <cellStyle name="Normal 5 10 31 5 4" xfId="33594" xr:uid="{00000000-0005-0000-0000-00002B830000}"/>
    <cellStyle name="Normal 5 10 31 5 5" xfId="33595" xr:uid="{00000000-0005-0000-0000-00002C830000}"/>
    <cellStyle name="Normal 5 10 31 5 6" xfId="33596" xr:uid="{00000000-0005-0000-0000-00002D830000}"/>
    <cellStyle name="Normal 5 10 31 5 7" xfId="33597" xr:uid="{00000000-0005-0000-0000-00002E830000}"/>
    <cellStyle name="Normal 5 10 31 5 8" xfId="33598" xr:uid="{00000000-0005-0000-0000-00002F830000}"/>
    <cellStyle name="Normal 5 10 31 5 9" xfId="33599" xr:uid="{00000000-0005-0000-0000-000030830000}"/>
    <cellStyle name="Normal 5 10 31 6" xfId="33600" xr:uid="{00000000-0005-0000-0000-000031830000}"/>
    <cellStyle name="Normal 5 10 31 7" xfId="33601" xr:uid="{00000000-0005-0000-0000-000032830000}"/>
    <cellStyle name="Normal 5 10 31 8" xfId="33602" xr:uid="{00000000-0005-0000-0000-000033830000}"/>
    <cellStyle name="Normal 5 10 31 9" xfId="33603" xr:uid="{00000000-0005-0000-0000-000034830000}"/>
    <cellStyle name="Normal 5 10 32" xfId="33604" xr:uid="{00000000-0005-0000-0000-000035830000}"/>
    <cellStyle name="Normal 5 10 32 10" xfId="33605" xr:uid="{00000000-0005-0000-0000-000036830000}"/>
    <cellStyle name="Normal 5 10 32 11" xfId="33606" xr:uid="{00000000-0005-0000-0000-000037830000}"/>
    <cellStyle name="Normal 5 10 32 12" xfId="33607" xr:uid="{00000000-0005-0000-0000-000038830000}"/>
    <cellStyle name="Normal 5 10 32 13" xfId="33608" xr:uid="{00000000-0005-0000-0000-000039830000}"/>
    <cellStyle name="Normal 5 10 32 14" xfId="33609" xr:uid="{00000000-0005-0000-0000-00003A830000}"/>
    <cellStyle name="Normal 5 10 32 2" xfId="33610" xr:uid="{00000000-0005-0000-0000-00003B830000}"/>
    <cellStyle name="Normal 5 10 32 2 10" xfId="33611" xr:uid="{00000000-0005-0000-0000-00003C830000}"/>
    <cellStyle name="Normal 5 10 32 2 2" xfId="33612" xr:uid="{00000000-0005-0000-0000-00003D830000}"/>
    <cellStyle name="Normal 5 10 32 2 3" xfId="33613" xr:uid="{00000000-0005-0000-0000-00003E830000}"/>
    <cellStyle name="Normal 5 10 32 2 4" xfId="33614" xr:uid="{00000000-0005-0000-0000-00003F830000}"/>
    <cellStyle name="Normal 5 10 32 2 5" xfId="33615" xr:uid="{00000000-0005-0000-0000-000040830000}"/>
    <cellStyle name="Normal 5 10 32 2 6" xfId="33616" xr:uid="{00000000-0005-0000-0000-000041830000}"/>
    <cellStyle name="Normal 5 10 32 2 7" xfId="33617" xr:uid="{00000000-0005-0000-0000-000042830000}"/>
    <cellStyle name="Normal 5 10 32 2 8" xfId="33618" xr:uid="{00000000-0005-0000-0000-000043830000}"/>
    <cellStyle name="Normal 5 10 32 2 9" xfId="33619" xr:uid="{00000000-0005-0000-0000-000044830000}"/>
    <cellStyle name="Normal 5 10 32 3" xfId="33620" xr:uid="{00000000-0005-0000-0000-000045830000}"/>
    <cellStyle name="Normal 5 10 32 3 10" xfId="33621" xr:uid="{00000000-0005-0000-0000-000046830000}"/>
    <cellStyle name="Normal 5 10 32 3 2" xfId="33622" xr:uid="{00000000-0005-0000-0000-000047830000}"/>
    <cellStyle name="Normal 5 10 32 3 3" xfId="33623" xr:uid="{00000000-0005-0000-0000-000048830000}"/>
    <cellStyle name="Normal 5 10 32 3 4" xfId="33624" xr:uid="{00000000-0005-0000-0000-000049830000}"/>
    <cellStyle name="Normal 5 10 32 3 5" xfId="33625" xr:uid="{00000000-0005-0000-0000-00004A830000}"/>
    <cellStyle name="Normal 5 10 32 3 6" xfId="33626" xr:uid="{00000000-0005-0000-0000-00004B830000}"/>
    <cellStyle name="Normal 5 10 32 3 7" xfId="33627" xr:uid="{00000000-0005-0000-0000-00004C830000}"/>
    <cellStyle name="Normal 5 10 32 3 8" xfId="33628" xr:uid="{00000000-0005-0000-0000-00004D830000}"/>
    <cellStyle name="Normal 5 10 32 3 9" xfId="33629" xr:uid="{00000000-0005-0000-0000-00004E830000}"/>
    <cellStyle name="Normal 5 10 32 4" xfId="33630" xr:uid="{00000000-0005-0000-0000-00004F830000}"/>
    <cellStyle name="Normal 5 10 32 4 10" xfId="33631" xr:uid="{00000000-0005-0000-0000-000050830000}"/>
    <cellStyle name="Normal 5 10 32 4 2" xfId="33632" xr:uid="{00000000-0005-0000-0000-000051830000}"/>
    <cellStyle name="Normal 5 10 32 4 3" xfId="33633" xr:uid="{00000000-0005-0000-0000-000052830000}"/>
    <cellStyle name="Normal 5 10 32 4 4" xfId="33634" xr:uid="{00000000-0005-0000-0000-000053830000}"/>
    <cellStyle name="Normal 5 10 32 4 5" xfId="33635" xr:uid="{00000000-0005-0000-0000-000054830000}"/>
    <cellStyle name="Normal 5 10 32 4 6" xfId="33636" xr:uid="{00000000-0005-0000-0000-000055830000}"/>
    <cellStyle name="Normal 5 10 32 4 7" xfId="33637" xr:uid="{00000000-0005-0000-0000-000056830000}"/>
    <cellStyle name="Normal 5 10 32 4 8" xfId="33638" xr:uid="{00000000-0005-0000-0000-000057830000}"/>
    <cellStyle name="Normal 5 10 32 4 9" xfId="33639" xr:uid="{00000000-0005-0000-0000-000058830000}"/>
    <cellStyle name="Normal 5 10 32 5" xfId="33640" xr:uid="{00000000-0005-0000-0000-000059830000}"/>
    <cellStyle name="Normal 5 10 32 5 10" xfId="33641" xr:uid="{00000000-0005-0000-0000-00005A830000}"/>
    <cellStyle name="Normal 5 10 32 5 2" xfId="33642" xr:uid="{00000000-0005-0000-0000-00005B830000}"/>
    <cellStyle name="Normal 5 10 32 5 3" xfId="33643" xr:uid="{00000000-0005-0000-0000-00005C830000}"/>
    <cellStyle name="Normal 5 10 32 5 4" xfId="33644" xr:uid="{00000000-0005-0000-0000-00005D830000}"/>
    <cellStyle name="Normal 5 10 32 5 5" xfId="33645" xr:uid="{00000000-0005-0000-0000-00005E830000}"/>
    <cellStyle name="Normal 5 10 32 5 6" xfId="33646" xr:uid="{00000000-0005-0000-0000-00005F830000}"/>
    <cellStyle name="Normal 5 10 32 5 7" xfId="33647" xr:uid="{00000000-0005-0000-0000-000060830000}"/>
    <cellStyle name="Normal 5 10 32 5 8" xfId="33648" xr:uid="{00000000-0005-0000-0000-000061830000}"/>
    <cellStyle name="Normal 5 10 32 5 9" xfId="33649" xr:uid="{00000000-0005-0000-0000-000062830000}"/>
    <cellStyle name="Normal 5 10 32 6" xfId="33650" xr:uid="{00000000-0005-0000-0000-000063830000}"/>
    <cellStyle name="Normal 5 10 32 7" xfId="33651" xr:uid="{00000000-0005-0000-0000-000064830000}"/>
    <cellStyle name="Normal 5 10 32 8" xfId="33652" xr:uid="{00000000-0005-0000-0000-000065830000}"/>
    <cellStyle name="Normal 5 10 32 9" xfId="33653" xr:uid="{00000000-0005-0000-0000-000066830000}"/>
    <cellStyle name="Normal 5 10 33" xfId="33654" xr:uid="{00000000-0005-0000-0000-000067830000}"/>
    <cellStyle name="Normal 5 10 33 10" xfId="33655" xr:uid="{00000000-0005-0000-0000-000068830000}"/>
    <cellStyle name="Normal 5 10 33 11" xfId="33656" xr:uid="{00000000-0005-0000-0000-000069830000}"/>
    <cellStyle name="Normal 5 10 33 12" xfId="33657" xr:uid="{00000000-0005-0000-0000-00006A830000}"/>
    <cellStyle name="Normal 5 10 33 13" xfId="33658" xr:uid="{00000000-0005-0000-0000-00006B830000}"/>
    <cellStyle name="Normal 5 10 33 14" xfId="33659" xr:uid="{00000000-0005-0000-0000-00006C830000}"/>
    <cellStyle name="Normal 5 10 33 2" xfId="33660" xr:uid="{00000000-0005-0000-0000-00006D830000}"/>
    <cellStyle name="Normal 5 10 33 2 10" xfId="33661" xr:uid="{00000000-0005-0000-0000-00006E830000}"/>
    <cellStyle name="Normal 5 10 33 2 2" xfId="33662" xr:uid="{00000000-0005-0000-0000-00006F830000}"/>
    <cellStyle name="Normal 5 10 33 2 3" xfId="33663" xr:uid="{00000000-0005-0000-0000-000070830000}"/>
    <cellStyle name="Normal 5 10 33 2 4" xfId="33664" xr:uid="{00000000-0005-0000-0000-000071830000}"/>
    <cellStyle name="Normal 5 10 33 2 5" xfId="33665" xr:uid="{00000000-0005-0000-0000-000072830000}"/>
    <cellStyle name="Normal 5 10 33 2 6" xfId="33666" xr:uid="{00000000-0005-0000-0000-000073830000}"/>
    <cellStyle name="Normal 5 10 33 2 7" xfId="33667" xr:uid="{00000000-0005-0000-0000-000074830000}"/>
    <cellStyle name="Normal 5 10 33 2 8" xfId="33668" xr:uid="{00000000-0005-0000-0000-000075830000}"/>
    <cellStyle name="Normal 5 10 33 2 9" xfId="33669" xr:uid="{00000000-0005-0000-0000-000076830000}"/>
    <cellStyle name="Normal 5 10 33 3" xfId="33670" xr:uid="{00000000-0005-0000-0000-000077830000}"/>
    <cellStyle name="Normal 5 10 33 3 10" xfId="33671" xr:uid="{00000000-0005-0000-0000-000078830000}"/>
    <cellStyle name="Normal 5 10 33 3 2" xfId="33672" xr:uid="{00000000-0005-0000-0000-000079830000}"/>
    <cellStyle name="Normal 5 10 33 3 3" xfId="33673" xr:uid="{00000000-0005-0000-0000-00007A830000}"/>
    <cellStyle name="Normal 5 10 33 3 4" xfId="33674" xr:uid="{00000000-0005-0000-0000-00007B830000}"/>
    <cellStyle name="Normal 5 10 33 3 5" xfId="33675" xr:uid="{00000000-0005-0000-0000-00007C830000}"/>
    <cellStyle name="Normal 5 10 33 3 6" xfId="33676" xr:uid="{00000000-0005-0000-0000-00007D830000}"/>
    <cellStyle name="Normal 5 10 33 3 7" xfId="33677" xr:uid="{00000000-0005-0000-0000-00007E830000}"/>
    <cellStyle name="Normal 5 10 33 3 8" xfId="33678" xr:uid="{00000000-0005-0000-0000-00007F830000}"/>
    <cellStyle name="Normal 5 10 33 3 9" xfId="33679" xr:uid="{00000000-0005-0000-0000-000080830000}"/>
    <cellStyle name="Normal 5 10 33 4" xfId="33680" xr:uid="{00000000-0005-0000-0000-000081830000}"/>
    <cellStyle name="Normal 5 10 33 4 10" xfId="33681" xr:uid="{00000000-0005-0000-0000-000082830000}"/>
    <cellStyle name="Normal 5 10 33 4 2" xfId="33682" xr:uid="{00000000-0005-0000-0000-000083830000}"/>
    <cellStyle name="Normal 5 10 33 4 3" xfId="33683" xr:uid="{00000000-0005-0000-0000-000084830000}"/>
    <cellStyle name="Normal 5 10 33 4 4" xfId="33684" xr:uid="{00000000-0005-0000-0000-000085830000}"/>
    <cellStyle name="Normal 5 10 33 4 5" xfId="33685" xr:uid="{00000000-0005-0000-0000-000086830000}"/>
    <cellStyle name="Normal 5 10 33 4 6" xfId="33686" xr:uid="{00000000-0005-0000-0000-000087830000}"/>
    <cellStyle name="Normal 5 10 33 4 7" xfId="33687" xr:uid="{00000000-0005-0000-0000-000088830000}"/>
    <cellStyle name="Normal 5 10 33 4 8" xfId="33688" xr:uid="{00000000-0005-0000-0000-000089830000}"/>
    <cellStyle name="Normal 5 10 33 4 9" xfId="33689" xr:uid="{00000000-0005-0000-0000-00008A830000}"/>
    <cellStyle name="Normal 5 10 33 5" xfId="33690" xr:uid="{00000000-0005-0000-0000-00008B830000}"/>
    <cellStyle name="Normal 5 10 33 5 10" xfId="33691" xr:uid="{00000000-0005-0000-0000-00008C830000}"/>
    <cellStyle name="Normal 5 10 33 5 2" xfId="33692" xr:uid="{00000000-0005-0000-0000-00008D830000}"/>
    <cellStyle name="Normal 5 10 33 5 3" xfId="33693" xr:uid="{00000000-0005-0000-0000-00008E830000}"/>
    <cellStyle name="Normal 5 10 33 5 4" xfId="33694" xr:uid="{00000000-0005-0000-0000-00008F830000}"/>
    <cellStyle name="Normal 5 10 33 5 5" xfId="33695" xr:uid="{00000000-0005-0000-0000-000090830000}"/>
    <cellStyle name="Normal 5 10 33 5 6" xfId="33696" xr:uid="{00000000-0005-0000-0000-000091830000}"/>
    <cellStyle name="Normal 5 10 33 5 7" xfId="33697" xr:uid="{00000000-0005-0000-0000-000092830000}"/>
    <cellStyle name="Normal 5 10 33 5 8" xfId="33698" xr:uid="{00000000-0005-0000-0000-000093830000}"/>
    <cellStyle name="Normal 5 10 33 5 9" xfId="33699" xr:uid="{00000000-0005-0000-0000-000094830000}"/>
    <cellStyle name="Normal 5 10 33 6" xfId="33700" xr:uid="{00000000-0005-0000-0000-000095830000}"/>
    <cellStyle name="Normal 5 10 33 7" xfId="33701" xr:uid="{00000000-0005-0000-0000-000096830000}"/>
    <cellStyle name="Normal 5 10 33 8" xfId="33702" xr:uid="{00000000-0005-0000-0000-000097830000}"/>
    <cellStyle name="Normal 5 10 33 9" xfId="33703" xr:uid="{00000000-0005-0000-0000-000098830000}"/>
    <cellStyle name="Normal 5 10 34" xfId="33704" xr:uid="{00000000-0005-0000-0000-000099830000}"/>
    <cellStyle name="Normal 5 10 34 10" xfId="33705" xr:uid="{00000000-0005-0000-0000-00009A830000}"/>
    <cellStyle name="Normal 5 10 34 11" xfId="33706" xr:uid="{00000000-0005-0000-0000-00009B830000}"/>
    <cellStyle name="Normal 5 10 34 12" xfId="33707" xr:uid="{00000000-0005-0000-0000-00009C830000}"/>
    <cellStyle name="Normal 5 10 34 13" xfId="33708" xr:uid="{00000000-0005-0000-0000-00009D830000}"/>
    <cellStyle name="Normal 5 10 34 14" xfId="33709" xr:uid="{00000000-0005-0000-0000-00009E830000}"/>
    <cellStyle name="Normal 5 10 34 2" xfId="33710" xr:uid="{00000000-0005-0000-0000-00009F830000}"/>
    <cellStyle name="Normal 5 10 34 2 10" xfId="33711" xr:uid="{00000000-0005-0000-0000-0000A0830000}"/>
    <cellStyle name="Normal 5 10 34 2 2" xfId="33712" xr:uid="{00000000-0005-0000-0000-0000A1830000}"/>
    <cellStyle name="Normal 5 10 34 2 3" xfId="33713" xr:uid="{00000000-0005-0000-0000-0000A2830000}"/>
    <cellStyle name="Normal 5 10 34 2 4" xfId="33714" xr:uid="{00000000-0005-0000-0000-0000A3830000}"/>
    <cellStyle name="Normal 5 10 34 2 5" xfId="33715" xr:uid="{00000000-0005-0000-0000-0000A4830000}"/>
    <cellStyle name="Normal 5 10 34 2 6" xfId="33716" xr:uid="{00000000-0005-0000-0000-0000A5830000}"/>
    <cellStyle name="Normal 5 10 34 2 7" xfId="33717" xr:uid="{00000000-0005-0000-0000-0000A6830000}"/>
    <cellStyle name="Normal 5 10 34 2 8" xfId="33718" xr:uid="{00000000-0005-0000-0000-0000A7830000}"/>
    <cellStyle name="Normal 5 10 34 2 9" xfId="33719" xr:uid="{00000000-0005-0000-0000-0000A8830000}"/>
    <cellStyle name="Normal 5 10 34 3" xfId="33720" xr:uid="{00000000-0005-0000-0000-0000A9830000}"/>
    <cellStyle name="Normal 5 10 34 3 10" xfId="33721" xr:uid="{00000000-0005-0000-0000-0000AA830000}"/>
    <cellStyle name="Normal 5 10 34 3 2" xfId="33722" xr:uid="{00000000-0005-0000-0000-0000AB830000}"/>
    <cellStyle name="Normal 5 10 34 3 3" xfId="33723" xr:uid="{00000000-0005-0000-0000-0000AC830000}"/>
    <cellStyle name="Normal 5 10 34 3 4" xfId="33724" xr:uid="{00000000-0005-0000-0000-0000AD830000}"/>
    <cellStyle name="Normal 5 10 34 3 5" xfId="33725" xr:uid="{00000000-0005-0000-0000-0000AE830000}"/>
    <cellStyle name="Normal 5 10 34 3 6" xfId="33726" xr:uid="{00000000-0005-0000-0000-0000AF830000}"/>
    <cellStyle name="Normal 5 10 34 3 7" xfId="33727" xr:uid="{00000000-0005-0000-0000-0000B0830000}"/>
    <cellStyle name="Normal 5 10 34 3 8" xfId="33728" xr:uid="{00000000-0005-0000-0000-0000B1830000}"/>
    <cellStyle name="Normal 5 10 34 3 9" xfId="33729" xr:uid="{00000000-0005-0000-0000-0000B2830000}"/>
    <cellStyle name="Normal 5 10 34 4" xfId="33730" xr:uid="{00000000-0005-0000-0000-0000B3830000}"/>
    <cellStyle name="Normal 5 10 34 4 10" xfId="33731" xr:uid="{00000000-0005-0000-0000-0000B4830000}"/>
    <cellStyle name="Normal 5 10 34 4 2" xfId="33732" xr:uid="{00000000-0005-0000-0000-0000B5830000}"/>
    <cellStyle name="Normal 5 10 34 4 3" xfId="33733" xr:uid="{00000000-0005-0000-0000-0000B6830000}"/>
    <cellStyle name="Normal 5 10 34 4 4" xfId="33734" xr:uid="{00000000-0005-0000-0000-0000B7830000}"/>
    <cellStyle name="Normal 5 10 34 4 5" xfId="33735" xr:uid="{00000000-0005-0000-0000-0000B8830000}"/>
    <cellStyle name="Normal 5 10 34 4 6" xfId="33736" xr:uid="{00000000-0005-0000-0000-0000B9830000}"/>
    <cellStyle name="Normal 5 10 34 4 7" xfId="33737" xr:uid="{00000000-0005-0000-0000-0000BA830000}"/>
    <cellStyle name="Normal 5 10 34 4 8" xfId="33738" xr:uid="{00000000-0005-0000-0000-0000BB830000}"/>
    <cellStyle name="Normal 5 10 34 4 9" xfId="33739" xr:uid="{00000000-0005-0000-0000-0000BC830000}"/>
    <cellStyle name="Normal 5 10 34 5" xfId="33740" xr:uid="{00000000-0005-0000-0000-0000BD830000}"/>
    <cellStyle name="Normal 5 10 34 5 10" xfId="33741" xr:uid="{00000000-0005-0000-0000-0000BE830000}"/>
    <cellStyle name="Normal 5 10 34 5 2" xfId="33742" xr:uid="{00000000-0005-0000-0000-0000BF830000}"/>
    <cellStyle name="Normal 5 10 34 5 3" xfId="33743" xr:uid="{00000000-0005-0000-0000-0000C0830000}"/>
    <cellStyle name="Normal 5 10 34 5 4" xfId="33744" xr:uid="{00000000-0005-0000-0000-0000C1830000}"/>
    <cellStyle name="Normal 5 10 34 5 5" xfId="33745" xr:uid="{00000000-0005-0000-0000-0000C2830000}"/>
    <cellStyle name="Normal 5 10 34 5 6" xfId="33746" xr:uid="{00000000-0005-0000-0000-0000C3830000}"/>
    <cellStyle name="Normal 5 10 34 5 7" xfId="33747" xr:uid="{00000000-0005-0000-0000-0000C4830000}"/>
    <cellStyle name="Normal 5 10 34 5 8" xfId="33748" xr:uid="{00000000-0005-0000-0000-0000C5830000}"/>
    <cellStyle name="Normal 5 10 34 5 9" xfId="33749" xr:uid="{00000000-0005-0000-0000-0000C6830000}"/>
    <cellStyle name="Normal 5 10 34 6" xfId="33750" xr:uid="{00000000-0005-0000-0000-0000C7830000}"/>
    <cellStyle name="Normal 5 10 34 7" xfId="33751" xr:uid="{00000000-0005-0000-0000-0000C8830000}"/>
    <cellStyle name="Normal 5 10 34 8" xfId="33752" xr:uid="{00000000-0005-0000-0000-0000C9830000}"/>
    <cellStyle name="Normal 5 10 34 9" xfId="33753" xr:uid="{00000000-0005-0000-0000-0000CA830000}"/>
    <cellStyle name="Normal 5 10 35" xfId="33754" xr:uid="{00000000-0005-0000-0000-0000CB830000}"/>
    <cellStyle name="Normal 5 10 35 10" xfId="33755" xr:uid="{00000000-0005-0000-0000-0000CC830000}"/>
    <cellStyle name="Normal 5 10 35 2" xfId="33756" xr:uid="{00000000-0005-0000-0000-0000CD830000}"/>
    <cellStyle name="Normal 5 10 35 3" xfId="33757" xr:uid="{00000000-0005-0000-0000-0000CE830000}"/>
    <cellStyle name="Normal 5 10 35 4" xfId="33758" xr:uid="{00000000-0005-0000-0000-0000CF830000}"/>
    <cellStyle name="Normal 5 10 35 5" xfId="33759" xr:uid="{00000000-0005-0000-0000-0000D0830000}"/>
    <cellStyle name="Normal 5 10 35 6" xfId="33760" xr:uid="{00000000-0005-0000-0000-0000D1830000}"/>
    <cellStyle name="Normal 5 10 35 7" xfId="33761" xr:uid="{00000000-0005-0000-0000-0000D2830000}"/>
    <cellStyle name="Normal 5 10 35 8" xfId="33762" xr:uid="{00000000-0005-0000-0000-0000D3830000}"/>
    <cellStyle name="Normal 5 10 35 9" xfId="33763" xr:uid="{00000000-0005-0000-0000-0000D4830000}"/>
    <cellStyle name="Normal 5 10 36" xfId="33764" xr:uid="{00000000-0005-0000-0000-0000D5830000}"/>
    <cellStyle name="Normal 5 10 36 10" xfId="33765" xr:uid="{00000000-0005-0000-0000-0000D6830000}"/>
    <cellStyle name="Normal 5 10 36 2" xfId="33766" xr:uid="{00000000-0005-0000-0000-0000D7830000}"/>
    <cellStyle name="Normal 5 10 36 3" xfId="33767" xr:uid="{00000000-0005-0000-0000-0000D8830000}"/>
    <cellStyle name="Normal 5 10 36 4" xfId="33768" xr:uid="{00000000-0005-0000-0000-0000D9830000}"/>
    <cellStyle name="Normal 5 10 36 5" xfId="33769" xr:uid="{00000000-0005-0000-0000-0000DA830000}"/>
    <cellStyle name="Normal 5 10 36 6" xfId="33770" xr:uid="{00000000-0005-0000-0000-0000DB830000}"/>
    <cellStyle name="Normal 5 10 36 7" xfId="33771" xr:uid="{00000000-0005-0000-0000-0000DC830000}"/>
    <cellStyle name="Normal 5 10 36 8" xfId="33772" xr:uid="{00000000-0005-0000-0000-0000DD830000}"/>
    <cellStyle name="Normal 5 10 36 9" xfId="33773" xr:uid="{00000000-0005-0000-0000-0000DE830000}"/>
    <cellStyle name="Normal 5 10 37" xfId="33774" xr:uid="{00000000-0005-0000-0000-0000DF830000}"/>
    <cellStyle name="Normal 5 10 37 10" xfId="33775" xr:uid="{00000000-0005-0000-0000-0000E0830000}"/>
    <cellStyle name="Normal 5 10 37 2" xfId="33776" xr:uid="{00000000-0005-0000-0000-0000E1830000}"/>
    <cellStyle name="Normal 5 10 37 3" xfId="33777" xr:uid="{00000000-0005-0000-0000-0000E2830000}"/>
    <cellStyle name="Normal 5 10 37 4" xfId="33778" xr:uid="{00000000-0005-0000-0000-0000E3830000}"/>
    <cellStyle name="Normal 5 10 37 5" xfId="33779" xr:uid="{00000000-0005-0000-0000-0000E4830000}"/>
    <cellStyle name="Normal 5 10 37 6" xfId="33780" xr:uid="{00000000-0005-0000-0000-0000E5830000}"/>
    <cellStyle name="Normal 5 10 37 7" xfId="33781" xr:uid="{00000000-0005-0000-0000-0000E6830000}"/>
    <cellStyle name="Normal 5 10 37 8" xfId="33782" xr:uid="{00000000-0005-0000-0000-0000E7830000}"/>
    <cellStyle name="Normal 5 10 37 9" xfId="33783" xr:uid="{00000000-0005-0000-0000-0000E8830000}"/>
    <cellStyle name="Normal 5 10 38" xfId="33784" xr:uid="{00000000-0005-0000-0000-0000E9830000}"/>
    <cellStyle name="Normal 5 10 38 10" xfId="33785" xr:uid="{00000000-0005-0000-0000-0000EA830000}"/>
    <cellStyle name="Normal 5 10 38 2" xfId="33786" xr:uid="{00000000-0005-0000-0000-0000EB830000}"/>
    <cellStyle name="Normal 5 10 38 3" xfId="33787" xr:uid="{00000000-0005-0000-0000-0000EC830000}"/>
    <cellStyle name="Normal 5 10 38 4" xfId="33788" xr:uid="{00000000-0005-0000-0000-0000ED830000}"/>
    <cellStyle name="Normal 5 10 38 5" xfId="33789" xr:uid="{00000000-0005-0000-0000-0000EE830000}"/>
    <cellStyle name="Normal 5 10 38 6" xfId="33790" xr:uid="{00000000-0005-0000-0000-0000EF830000}"/>
    <cellStyle name="Normal 5 10 38 7" xfId="33791" xr:uid="{00000000-0005-0000-0000-0000F0830000}"/>
    <cellStyle name="Normal 5 10 38 8" xfId="33792" xr:uid="{00000000-0005-0000-0000-0000F1830000}"/>
    <cellStyle name="Normal 5 10 38 9" xfId="33793" xr:uid="{00000000-0005-0000-0000-0000F2830000}"/>
    <cellStyle name="Normal 5 10 39" xfId="33794" xr:uid="{00000000-0005-0000-0000-0000F3830000}"/>
    <cellStyle name="Normal 5 10 4" xfId="33795" xr:uid="{00000000-0005-0000-0000-0000F4830000}"/>
    <cellStyle name="Normal 5 10 4 10" xfId="33796" xr:uid="{00000000-0005-0000-0000-0000F5830000}"/>
    <cellStyle name="Normal 5 10 4 11" xfId="33797" xr:uid="{00000000-0005-0000-0000-0000F6830000}"/>
    <cellStyle name="Normal 5 10 4 12" xfId="33798" xr:uid="{00000000-0005-0000-0000-0000F7830000}"/>
    <cellStyle name="Normal 5 10 4 13" xfId="33799" xr:uid="{00000000-0005-0000-0000-0000F8830000}"/>
    <cellStyle name="Normal 5 10 4 14" xfId="33800" xr:uid="{00000000-0005-0000-0000-0000F9830000}"/>
    <cellStyle name="Normal 5 10 4 2" xfId="33801" xr:uid="{00000000-0005-0000-0000-0000FA830000}"/>
    <cellStyle name="Normal 5 10 4 2 10" xfId="33802" xr:uid="{00000000-0005-0000-0000-0000FB830000}"/>
    <cellStyle name="Normal 5 10 4 2 2" xfId="33803" xr:uid="{00000000-0005-0000-0000-0000FC830000}"/>
    <cellStyle name="Normal 5 10 4 2 3" xfId="33804" xr:uid="{00000000-0005-0000-0000-0000FD830000}"/>
    <cellStyle name="Normal 5 10 4 2 4" xfId="33805" xr:uid="{00000000-0005-0000-0000-0000FE830000}"/>
    <cellStyle name="Normal 5 10 4 2 5" xfId="33806" xr:uid="{00000000-0005-0000-0000-0000FF830000}"/>
    <cellStyle name="Normal 5 10 4 2 6" xfId="33807" xr:uid="{00000000-0005-0000-0000-000000840000}"/>
    <cellStyle name="Normal 5 10 4 2 7" xfId="33808" xr:uid="{00000000-0005-0000-0000-000001840000}"/>
    <cellStyle name="Normal 5 10 4 2 8" xfId="33809" xr:uid="{00000000-0005-0000-0000-000002840000}"/>
    <cellStyle name="Normal 5 10 4 2 9" xfId="33810" xr:uid="{00000000-0005-0000-0000-000003840000}"/>
    <cellStyle name="Normal 5 10 4 3" xfId="33811" xr:uid="{00000000-0005-0000-0000-000004840000}"/>
    <cellStyle name="Normal 5 10 4 3 10" xfId="33812" xr:uid="{00000000-0005-0000-0000-000005840000}"/>
    <cellStyle name="Normal 5 10 4 3 2" xfId="33813" xr:uid="{00000000-0005-0000-0000-000006840000}"/>
    <cellStyle name="Normal 5 10 4 3 3" xfId="33814" xr:uid="{00000000-0005-0000-0000-000007840000}"/>
    <cellStyle name="Normal 5 10 4 3 4" xfId="33815" xr:uid="{00000000-0005-0000-0000-000008840000}"/>
    <cellStyle name="Normal 5 10 4 3 5" xfId="33816" xr:uid="{00000000-0005-0000-0000-000009840000}"/>
    <cellStyle name="Normal 5 10 4 3 6" xfId="33817" xr:uid="{00000000-0005-0000-0000-00000A840000}"/>
    <cellStyle name="Normal 5 10 4 3 7" xfId="33818" xr:uid="{00000000-0005-0000-0000-00000B840000}"/>
    <cellStyle name="Normal 5 10 4 3 8" xfId="33819" xr:uid="{00000000-0005-0000-0000-00000C840000}"/>
    <cellStyle name="Normal 5 10 4 3 9" xfId="33820" xr:uid="{00000000-0005-0000-0000-00000D840000}"/>
    <cellStyle name="Normal 5 10 4 4" xfId="33821" xr:uid="{00000000-0005-0000-0000-00000E840000}"/>
    <cellStyle name="Normal 5 10 4 4 10" xfId="33822" xr:uid="{00000000-0005-0000-0000-00000F840000}"/>
    <cellStyle name="Normal 5 10 4 4 2" xfId="33823" xr:uid="{00000000-0005-0000-0000-000010840000}"/>
    <cellStyle name="Normal 5 10 4 4 3" xfId="33824" xr:uid="{00000000-0005-0000-0000-000011840000}"/>
    <cellStyle name="Normal 5 10 4 4 4" xfId="33825" xr:uid="{00000000-0005-0000-0000-000012840000}"/>
    <cellStyle name="Normal 5 10 4 4 5" xfId="33826" xr:uid="{00000000-0005-0000-0000-000013840000}"/>
    <cellStyle name="Normal 5 10 4 4 6" xfId="33827" xr:uid="{00000000-0005-0000-0000-000014840000}"/>
    <cellStyle name="Normal 5 10 4 4 7" xfId="33828" xr:uid="{00000000-0005-0000-0000-000015840000}"/>
    <cellStyle name="Normal 5 10 4 4 8" xfId="33829" xr:uid="{00000000-0005-0000-0000-000016840000}"/>
    <cellStyle name="Normal 5 10 4 4 9" xfId="33830" xr:uid="{00000000-0005-0000-0000-000017840000}"/>
    <cellStyle name="Normal 5 10 4 5" xfId="33831" xr:uid="{00000000-0005-0000-0000-000018840000}"/>
    <cellStyle name="Normal 5 10 4 5 10" xfId="33832" xr:uid="{00000000-0005-0000-0000-000019840000}"/>
    <cellStyle name="Normal 5 10 4 5 2" xfId="33833" xr:uid="{00000000-0005-0000-0000-00001A840000}"/>
    <cellStyle name="Normal 5 10 4 5 3" xfId="33834" xr:uid="{00000000-0005-0000-0000-00001B840000}"/>
    <cellStyle name="Normal 5 10 4 5 4" xfId="33835" xr:uid="{00000000-0005-0000-0000-00001C840000}"/>
    <cellStyle name="Normal 5 10 4 5 5" xfId="33836" xr:uid="{00000000-0005-0000-0000-00001D840000}"/>
    <cellStyle name="Normal 5 10 4 5 6" xfId="33837" xr:uid="{00000000-0005-0000-0000-00001E840000}"/>
    <cellStyle name="Normal 5 10 4 5 7" xfId="33838" xr:uid="{00000000-0005-0000-0000-00001F840000}"/>
    <cellStyle name="Normal 5 10 4 5 8" xfId="33839" xr:uid="{00000000-0005-0000-0000-000020840000}"/>
    <cellStyle name="Normal 5 10 4 5 9" xfId="33840" xr:uid="{00000000-0005-0000-0000-000021840000}"/>
    <cellStyle name="Normal 5 10 4 6" xfId="33841" xr:uid="{00000000-0005-0000-0000-000022840000}"/>
    <cellStyle name="Normal 5 10 4 7" xfId="33842" xr:uid="{00000000-0005-0000-0000-000023840000}"/>
    <cellStyle name="Normal 5 10 4 8" xfId="33843" xr:uid="{00000000-0005-0000-0000-000024840000}"/>
    <cellStyle name="Normal 5 10 4 9" xfId="33844" xr:uid="{00000000-0005-0000-0000-000025840000}"/>
    <cellStyle name="Normal 5 10 40" xfId="33845" xr:uid="{00000000-0005-0000-0000-000026840000}"/>
    <cellStyle name="Normal 5 10 41" xfId="33846" xr:uid="{00000000-0005-0000-0000-000027840000}"/>
    <cellStyle name="Normal 5 10 42" xfId="33847" xr:uid="{00000000-0005-0000-0000-000028840000}"/>
    <cellStyle name="Normal 5 10 43" xfId="33848" xr:uid="{00000000-0005-0000-0000-000029840000}"/>
    <cellStyle name="Normal 5 10 44" xfId="33849" xr:uid="{00000000-0005-0000-0000-00002A840000}"/>
    <cellStyle name="Normal 5 10 45" xfId="33850" xr:uid="{00000000-0005-0000-0000-00002B840000}"/>
    <cellStyle name="Normal 5 10 46" xfId="33851" xr:uid="{00000000-0005-0000-0000-00002C840000}"/>
    <cellStyle name="Normal 5 10 47" xfId="33852" xr:uid="{00000000-0005-0000-0000-00002D840000}"/>
    <cellStyle name="Normal 5 10 48" xfId="33853" xr:uid="{00000000-0005-0000-0000-00002E840000}"/>
    <cellStyle name="Normal 5 10 49" xfId="33854" xr:uid="{00000000-0005-0000-0000-00002F840000}"/>
    <cellStyle name="Normal 5 10 5" xfId="33855" xr:uid="{00000000-0005-0000-0000-000030840000}"/>
    <cellStyle name="Normal 5 10 5 10" xfId="33856" xr:uid="{00000000-0005-0000-0000-000031840000}"/>
    <cellStyle name="Normal 5 10 5 11" xfId="33857" xr:uid="{00000000-0005-0000-0000-000032840000}"/>
    <cellStyle name="Normal 5 10 5 12" xfId="33858" xr:uid="{00000000-0005-0000-0000-000033840000}"/>
    <cellStyle name="Normal 5 10 5 13" xfId="33859" xr:uid="{00000000-0005-0000-0000-000034840000}"/>
    <cellStyle name="Normal 5 10 5 14" xfId="33860" xr:uid="{00000000-0005-0000-0000-000035840000}"/>
    <cellStyle name="Normal 5 10 5 2" xfId="33861" xr:uid="{00000000-0005-0000-0000-000036840000}"/>
    <cellStyle name="Normal 5 10 5 2 10" xfId="33862" xr:uid="{00000000-0005-0000-0000-000037840000}"/>
    <cellStyle name="Normal 5 10 5 2 2" xfId="33863" xr:uid="{00000000-0005-0000-0000-000038840000}"/>
    <cellStyle name="Normal 5 10 5 2 3" xfId="33864" xr:uid="{00000000-0005-0000-0000-000039840000}"/>
    <cellStyle name="Normal 5 10 5 2 4" xfId="33865" xr:uid="{00000000-0005-0000-0000-00003A840000}"/>
    <cellStyle name="Normal 5 10 5 2 5" xfId="33866" xr:uid="{00000000-0005-0000-0000-00003B840000}"/>
    <cellStyle name="Normal 5 10 5 2 6" xfId="33867" xr:uid="{00000000-0005-0000-0000-00003C840000}"/>
    <cellStyle name="Normal 5 10 5 2 7" xfId="33868" xr:uid="{00000000-0005-0000-0000-00003D840000}"/>
    <cellStyle name="Normal 5 10 5 2 8" xfId="33869" xr:uid="{00000000-0005-0000-0000-00003E840000}"/>
    <cellStyle name="Normal 5 10 5 2 9" xfId="33870" xr:uid="{00000000-0005-0000-0000-00003F840000}"/>
    <cellStyle name="Normal 5 10 5 3" xfId="33871" xr:uid="{00000000-0005-0000-0000-000040840000}"/>
    <cellStyle name="Normal 5 10 5 3 10" xfId="33872" xr:uid="{00000000-0005-0000-0000-000041840000}"/>
    <cellStyle name="Normal 5 10 5 3 2" xfId="33873" xr:uid="{00000000-0005-0000-0000-000042840000}"/>
    <cellStyle name="Normal 5 10 5 3 3" xfId="33874" xr:uid="{00000000-0005-0000-0000-000043840000}"/>
    <cellStyle name="Normal 5 10 5 3 4" xfId="33875" xr:uid="{00000000-0005-0000-0000-000044840000}"/>
    <cellStyle name="Normal 5 10 5 3 5" xfId="33876" xr:uid="{00000000-0005-0000-0000-000045840000}"/>
    <cellStyle name="Normal 5 10 5 3 6" xfId="33877" xr:uid="{00000000-0005-0000-0000-000046840000}"/>
    <cellStyle name="Normal 5 10 5 3 7" xfId="33878" xr:uid="{00000000-0005-0000-0000-000047840000}"/>
    <cellStyle name="Normal 5 10 5 3 8" xfId="33879" xr:uid="{00000000-0005-0000-0000-000048840000}"/>
    <cellStyle name="Normal 5 10 5 3 9" xfId="33880" xr:uid="{00000000-0005-0000-0000-000049840000}"/>
    <cellStyle name="Normal 5 10 5 4" xfId="33881" xr:uid="{00000000-0005-0000-0000-00004A840000}"/>
    <cellStyle name="Normal 5 10 5 4 10" xfId="33882" xr:uid="{00000000-0005-0000-0000-00004B840000}"/>
    <cellStyle name="Normal 5 10 5 4 2" xfId="33883" xr:uid="{00000000-0005-0000-0000-00004C840000}"/>
    <cellStyle name="Normal 5 10 5 4 3" xfId="33884" xr:uid="{00000000-0005-0000-0000-00004D840000}"/>
    <cellStyle name="Normal 5 10 5 4 4" xfId="33885" xr:uid="{00000000-0005-0000-0000-00004E840000}"/>
    <cellStyle name="Normal 5 10 5 4 5" xfId="33886" xr:uid="{00000000-0005-0000-0000-00004F840000}"/>
    <cellStyle name="Normal 5 10 5 4 6" xfId="33887" xr:uid="{00000000-0005-0000-0000-000050840000}"/>
    <cellStyle name="Normal 5 10 5 4 7" xfId="33888" xr:uid="{00000000-0005-0000-0000-000051840000}"/>
    <cellStyle name="Normal 5 10 5 4 8" xfId="33889" xr:uid="{00000000-0005-0000-0000-000052840000}"/>
    <cellStyle name="Normal 5 10 5 4 9" xfId="33890" xr:uid="{00000000-0005-0000-0000-000053840000}"/>
    <cellStyle name="Normal 5 10 5 5" xfId="33891" xr:uid="{00000000-0005-0000-0000-000054840000}"/>
    <cellStyle name="Normal 5 10 5 5 10" xfId="33892" xr:uid="{00000000-0005-0000-0000-000055840000}"/>
    <cellStyle name="Normal 5 10 5 5 2" xfId="33893" xr:uid="{00000000-0005-0000-0000-000056840000}"/>
    <cellStyle name="Normal 5 10 5 5 3" xfId="33894" xr:uid="{00000000-0005-0000-0000-000057840000}"/>
    <cellStyle name="Normal 5 10 5 5 4" xfId="33895" xr:uid="{00000000-0005-0000-0000-000058840000}"/>
    <cellStyle name="Normal 5 10 5 5 5" xfId="33896" xr:uid="{00000000-0005-0000-0000-000059840000}"/>
    <cellStyle name="Normal 5 10 5 5 6" xfId="33897" xr:uid="{00000000-0005-0000-0000-00005A840000}"/>
    <cellStyle name="Normal 5 10 5 5 7" xfId="33898" xr:uid="{00000000-0005-0000-0000-00005B840000}"/>
    <cellStyle name="Normal 5 10 5 5 8" xfId="33899" xr:uid="{00000000-0005-0000-0000-00005C840000}"/>
    <cellStyle name="Normal 5 10 5 5 9" xfId="33900" xr:uid="{00000000-0005-0000-0000-00005D840000}"/>
    <cellStyle name="Normal 5 10 5 6" xfId="33901" xr:uid="{00000000-0005-0000-0000-00005E840000}"/>
    <cellStyle name="Normal 5 10 5 7" xfId="33902" xr:uid="{00000000-0005-0000-0000-00005F840000}"/>
    <cellStyle name="Normal 5 10 5 8" xfId="33903" xr:uid="{00000000-0005-0000-0000-000060840000}"/>
    <cellStyle name="Normal 5 10 5 9" xfId="33904" xr:uid="{00000000-0005-0000-0000-000061840000}"/>
    <cellStyle name="Normal 5 10 50" xfId="30799" xr:uid="{00000000-0005-0000-0000-000062840000}"/>
    <cellStyle name="Normal 5 10 6" xfId="33905" xr:uid="{00000000-0005-0000-0000-000063840000}"/>
    <cellStyle name="Normal 5 10 6 10" xfId="33906" xr:uid="{00000000-0005-0000-0000-000064840000}"/>
    <cellStyle name="Normal 5 10 6 11" xfId="33907" xr:uid="{00000000-0005-0000-0000-000065840000}"/>
    <cellStyle name="Normal 5 10 6 12" xfId="33908" xr:uid="{00000000-0005-0000-0000-000066840000}"/>
    <cellStyle name="Normal 5 10 6 13" xfId="33909" xr:uid="{00000000-0005-0000-0000-000067840000}"/>
    <cellStyle name="Normal 5 10 6 14" xfId="33910" xr:uid="{00000000-0005-0000-0000-000068840000}"/>
    <cellStyle name="Normal 5 10 6 2" xfId="33911" xr:uid="{00000000-0005-0000-0000-000069840000}"/>
    <cellStyle name="Normal 5 10 6 2 10" xfId="33912" xr:uid="{00000000-0005-0000-0000-00006A840000}"/>
    <cellStyle name="Normal 5 10 6 2 2" xfId="33913" xr:uid="{00000000-0005-0000-0000-00006B840000}"/>
    <cellStyle name="Normal 5 10 6 2 3" xfId="33914" xr:uid="{00000000-0005-0000-0000-00006C840000}"/>
    <cellStyle name="Normal 5 10 6 2 4" xfId="33915" xr:uid="{00000000-0005-0000-0000-00006D840000}"/>
    <cellStyle name="Normal 5 10 6 2 5" xfId="33916" xr:uid="{00000000-0005-0000-0000-00006E840000}"/>
    <cellStyle name="Normal 5 10 6 2 6" xfId="33917" xr:uid="{00000000-0005-0000-0000-00006F840000}"/>
    <cellStyle name="Normal 5 10 6 2 7" xfId="33918" xr:uid="{00000000-0005-0000-0000-000070840000}"/>
    <cellStyle name="Normal 5 10 6 2 8" xfId="33919" xr:uid="{00000000-0005-0000-0000-000071840000}"/>
    <cellStyle name="Normal 5 10 6 2 9" xfId="33920" xr:uid="{00000000-0005-0000-0000-000072840000}"/>
    <cellStyle name="Normal 5 10 6 3" xfId="33921" xr:uid="{00000000-0005-0000-0000-000073840000}"/>
    <cellStyle name="Normal 5 10 6 3 10" xfId="33922" xr:uid="{00000000-0005-0000-0000-000074840000}"/>
    <cellStyle name="Normal 5 10 6 3 2" xfId="33923" xr:uid="{00000000-0005-0000-0000-000075840000}"/>
    <cellStyle name="Normal 5 10 6 3 3" xfId="33924" xr:uid="{00000000-0005-0000-0000-000076840000}"/>
    <cellStyle name="Normal 5 10 6 3 4" xfId="33925" xr:uid="{00000000-0005-0000-0000-000077840000}"/>
    <cellStyle name="Normal 5 10 6 3 5" xfId="33926" xr:uid="{00000000-0005-0000-0000-000078840000}"/>
    <cellStyle name="Normal 5 10 6 3 6" xfId="33927" xr:uid="{00000000-0005-0000-0000-000079840000}"/>
    <cellStyle name="Normal 5 10 6 3 7" xfId="33928" xr:uid="{00000000-0005-0000-0000-00007A840000}"/>
    <cellStyle name="Normal 5 10 6 3 8" xfId="33929" xr:uid="{00000000-0005-0000-0000-00007B840000}"/>
    <cellStyle name="Normal 5 10 6 3 9" xfId="33930" xr:uid="{00000000-0005-0000-0000-00007C840000}"/>
    <cellStyle name="Normal 5 10 6 4" xfId="33931" xr:uid="{00000000-0005-0000-0000-00007D840000}"/>
    <cellStyle name="Normal 5 10 6 4 10" xfId="33932" xr:uid="{00000000-0005-0000-0000-00007E840000}"/>
    <cellStyle name="Normal 5 10 6 4 2" xfId="33933" xr:uid="{00000000-0005-0000-0000-00007F840000}"/>
    <cellStyle name="Normal 5 10 6 4 3" xfId="33934" xr:uid="{00000000-0005-0000-0000-000080840000}"/>
    <cellStyle name="Normal 5 10 6 4 4" xfId="33935" xr:uid="{00000000-0005-0000-0000-000081840000}"/>
    <cellStyle name="Normal 5 10 6 4 5" xfId="33936" xr:uid="{00000000-0005-0000-0000-000082840000}"/>
    <cellStyle name="Normal 5 10 6 4 6" xfId="33937" xr:uid="{00000000-0005-0000-0000-000083840000}"/>
    <cellStyle name="Normal 5 10 6 4 7" xfId="33938" xr:uid="{00000000-0005-0000-0000-000084840000}"/>
    <cellStyle name="Normal 5 10 6 4 8" xfId="33939" xr:uid="{00000000-0005-0000-0000-000085840000}"/>
    <cellStyle name="Normal 5 10 6 4 9" xfId="33940" xr:uid="{00000000-0005-0000-0000-000086840000}"/>
    <cellStyle name="Normal 5 10 6 5" xfId="33941" xr:uid="{00000000-0005-0000-0000-000087840000}"/>
    <cellStyle name="Normal 5 10 6 5 10" xfId="33942" xr:uid="{00000000-0005-0000-0000-000088840000}"/>
    <cellStyle name="Normal 5 10 6 5 2" xfId="33943" xr:uid="{00000000-0005-0000-0000-000089840000}"/>
    <cellStyle name="Normal 5 10 6 5 3" xfId="33944" xr:uid="{00000000-0005-0000-0000-00008A840000}"/>
    <cellStyle name="Normal 5 10 6 5 4" xfId="33945" xr:uid="{00000000-0005-0000-0000-00008B840000}"/>
    <cellStyle name="Normal 5 10 6 5 5" xfId="33946" xr:uid="{00000000-0005-0000-0000-00008C840000}"/>
    <cellStyle name="Normal 5 10 6 5 6" xfId="33947" xr:uid="{00000000-0005-0000-0000-00008D840000}"/>
    <cellStyle name="Normal 5 10 6 5 7" xfId="33948" xr:uid="{00000000-0005-0000-0000-00008E840000}"/>
    <cellStyle name="Normal 5 10 6 5 8" xfId="33949" xr:uid="{00000000-0005-0000-0000-00008F840000}"/>
    <cellStyle name="Normal 5 10 6 5 9" xfId="33950" xr:uid="{00000000-0005-0000-0000-000090840000}"/>
    <cellStyle name="Normal 5 10 6 6" xfId="33951" xr:uid="{00000000-0005-0000-0000-000091840000}"/>
    <cellStyle name="Normal 5 10 6 7" xfId="33952" xr:uid="{00000000-0005-0000-0000-000092840000}"/>
    <cellStyle name="Normal 5 10 6 8" xfId="33953" xr:uid="{00000000-0005-0000-0000-000093840000}"/>
    <cellStyle name="Normal 5 10 6 9" xfId="33954" xr:uid="{00000000-0005-0000-0000-000094840000}"/>
    <cellStyle name="Normal 5 10 7" xfId="33955" xr:uid="{00000000-0005-0000-0000-000095840000}"/>
    <cellStyle name="Normal 5 10 7 10" xfId="33956" xr:uid="{00000000-0005-0000-0000-000096840000}"/>
    <cellStyle name="Normal 5 10 7 11" xfId="33957" xr:uid="{00000000-0005-0000-0000-000097840000}"/>
    <cellStyle name="Normal 5 10 7 12" xfId="33958" xr:uid="{00000000-0005-0000-0000-000098840000}"/>
    <cellStyle name="Normal 5 10 7 13" xfId="33959" xr:uid="{00000000-0005-0000-0000-000099840000}"/>
    <cellStyle name="Normal 5 10 7 14" xfId="33960" xr:uid="{00000000-0005-0000-0000-00009A840000}"/>
    <cellStyle name="Normal 5 10 7 2" xfId="33961" xr:uid="{00000000-0005-0000-0000-00009B840000}"/>
    <cellStyle name="Normal 5 10 7 2 10" xfId="33962" xr:uid="{00000000-0005-0000-0000-00009C840000}"/>
    <cellStyle name="Normal 5 10 7 2 2" xfId="33963" xr:uid="{00000000-0005-0000-0000-00009D840000}"/>
    <cellStyle name="Normal 5 10 7 2 3" xfId="33964" xr:uid="{00000000-0005-0000-0000-00009E840000}"/>
    <cellStyle name="Normal 5 10 7 2 4" xfId="33965" xr:uid="{00000000-0005-0000-0000-00009F840000}"/>
    <cellStyle name="Normal 5 10 7 2 5" xfId="33966" xr:uid="{00000000-0005-0000-0000-0000A0840000}"/>
    <cellStyle name="Normal 5 10 7 2 6" xfId="33967" xr:uid="{00000000-0005-0000-0000-0000A1840000}"/>
    <cellStyle name="Normal 5 10 7 2 7" xfId="33968" xr:uid="{00000000-0005-0000-0000-0000A2840000}"/>
    <cellStyle name="Normal 5 10 7 2 8" xfId="33969" xr:uid="{00000000-0005-0000-0000-0000A3840000}"/>
    <cellStyle name="Normal 5 10 7 2 9" xfId="33970" xr:uid="{00000000-0005-0000-0000-0000A4840000}"/>
    <cellStyle name="Normal 5 10 7 3" xfId="33971" xr:uid="{00000000-0005-0000-0000-0000A5840000}"/>
    <cellStyle name="Normal 5 10 7 3 10" xfId="33972" xr:uid="{00000000-0005-0000-0000-0000A6840000}"/>
    <cellStyle name="Normal 5 10 7 3 2" xfId="33973" xr:uid="{00000000-0005-0000-0000-0000A7840000}"/>
    <cellStyle name="Normal 5 10 7 3 3" xfId="33974" xr:uid="{00000000-0005-0000-0000-0000A8840000}"/>
    <cellStyle name="Normal 5 10 7 3 4" xfId="33975" xr:uid="{00000000-0005-0000-0000-0000A9840000}"/>
    <cellStyle name="Normal 5 10 7 3 5" xfId="33976" xr:uid="{00000000-0005-0000-0000-0000AA840000}"/>
    <cellStyle name="Normal 5 10 7 3 6" xfId="33977" xr:uid="{00000000-0005-0000-0000-0000AB840000}"/>
    <cellStyle name="Normal 5 10 7 3 7" xfId="33978" xr:uid="{00000000-0005-0000-0000-0000AC840000}"/>
    <cellStyle name="Normal 5 10 7 3 8" xfId="33979" xr:uid="{00000000-0005-0000-0000-0000AD840000}"/>
    <cellStyle name="Normal 5 10 7 3 9" xfId="33980" xr:uid="{00000000-0005-0000-0000-0000AE840000}"/>
    <cellStyle name="Normal 5 10 7 4" xfId="33981" xr:uid="{00000000-0005-0000-0000-0000AF840000}"/>
    <cellStyle name="Normal 5 10 7 4 10" xfId="33982" xr:uid="{00000000-0005-0000-0000-0000B0840000}"/>
    <cellStyle name="Normal 5 10 7 4 2" xfId="33983" xr:uid="{00000000-0005-0000-0000-0000B1840000}"/>
    <cellStyle name="Normal 5 10 7 4 3" xfId="33984" xr:uid="{00000000-0005-0000-0000-0000B2840000}"/>
    <cellStyle name="Normal 5 10 7 4 4" xfId="33985" xr:uid="{00000000-0005-0000-0000-0000B3840000}"/>
    <cellStyle name="Normal 5 10 7 4 5" xfId="33986" xr:uid="{00000000-0005-0000-0000-0000B4840000}"/>
    <cellStyle name="Normal 5 10 7 4 6" xfId="33987" xr:uid="{00000000-0005-0000-0000-0000B5840000}"/>
    <cellStyle name="Normal 5 10 7 4 7" xfId="33988" xr:uid="{00000000-0005-0000-0000-0000B6840000}"/>
    <cellStyle name="Normal 5 10 7 4 8" xfId="33989" xr:uid="{00000000-0005-0000-0000-0000B7840000}"/>
    <cellStyle name="Normal 5 10 7 4 9" xfId="33990" xr:uid="{00000000-0005-0000-0000-0000B8840000}"/>
    <cellStyle name="Normal 5 10 7 5" xfId="33991" xr:uid="{00000000-0005-0000-0000-0000B9840000}"/>
    <cellStyle name="Normal 5 10 7 5 10" xfId="33992" xr:uid="{00000000-0005-0000-0000-0000BA840000}"/>
    <cellStyle name="Normal 5 10 7 5 2" xfId="33993" xr:uid="{00000000-0005-0000-0000-0000BB840000}"/>
    <cellStyle name="Normal 5 10 7 5 3" xfId="33994" xr:uid="{00000000-0005-0000-0000-0000BC840000}"/>
    <cellStyle name="Normal 5 10 7 5 4" xfId="33995" xr:uid="{00000000-0005-0000-0000-0000BD840000}"/>
    <cellStyle name="Normal 5 10 7 5 5" xfId="33996" xr:uid="{00000000-0005-0000-0000-0000BE840000}"/>
    <cellStyle name="Normal 5 10 7 5 6" xfId="33997" xr:uid="{00000000-0005-0000-0000-0000BF840000}"/>
    <cellStyle name="Normal 5 10 7 5 7" xfId="33998" xr:uid="{00000000-0005-0000-0000-0000C0840000}"/>
    <cellStyle name="Normal 5 10 7 5 8" xfId="33999" xr:uid="{00000000-0005-0000-0000-0000C1840000}"/>
    <cellStyle name="Normal 5 10 7 5 9" xfId="34000" xr:uid="{00000000-0005-0000-0000-0000C2840000}"/>
    <cellStyle name="Normal 5 10 7 6" xfId="34001" xr:uid="{00000000-0005-0000-0000-0000C3840000}"/>
    <cellStyle name="Normal 5 10 7 7" xfId="34002" xr:uid="{00000000-0005-0000-0000-0000C4840000}"/>
    <cellStyle name="Normal 5 10 7 8" xfId="34003" xr:uid="{00000000-0005-0000-0000-0000C5840000}"/>
    <cellStyle name="Normal 5 10 7 9" xfId="34004" xr:uid="{00000000-0005-0000-0000-0000C6840000}"/>
    <cellStyle name="Normal 5 10 8" xfId="34005" xr:uid="{00000000-0005-0000-0000-0000C7840000}"/>
    <cellStyle name="Normal 5 10 8 10" xfId="34006" xr:uid="{00000000-0005-0000-0000-0000C8840000}"/>
    <cellStyle name="Normal 5 10 8 11" xfId="34007" xr:uid="{00000000-0005-0000-0000-0000C9840000}"/>
    <cellStyle name="Normal 5 10 8 12" xfId="34008" xr:uid="{00000000-0005-0000-0000-0000CA840000}"/>
    <cellStyle name="Normal 5 10 8 13" xfId="34009" xr:uid="{00000000-0005-0000-0000-0000CB840000}"/>
    <cellStyle name="Normal 5 10 8 14" xfId="34010" xr:uid="{00000000-0005-0000-0000-0000CC840000}"/>
    <cellStyle name="Normal 5 10 8 2" xfId="34011" xr:uid="{00000000-0005-0000-0000-0000CD840000}"/>
    <cellStyle name="Normal 5 10 8 2 10" xfId="34012" xr:uid="{00000000-0005-0000-0000-0000CE840000}"/>
    <cellStyle name="Normal 5 10 8 2 2" xfId="34013" xr:uid="{00000000-0005-0000-0000-0000CF840000}"/>
    <cellStyle name="Normal 5 10 8 2 3" xfId="34014" xr:uid="{00000000-0005-0000-0000-0000D0840000}"/>
    <cellStyle name="Normal 5 10 8 2 4" xfId="34015" xr:uid="{00000000-0005-0000-0000-0000D1840000}"/>
    <cellStyle name="Normal 5 10 8 2 5" xfId="34016" xr:uid="{00000000-0005-0000-0000-0000D2840000}"/>
    <cellStyle name="Normal 5 10 8 2 6" xfId="34017" xr:uid="{00000000-0005-0000-0000-0000D3840000}"/>
    <cellStyle name="Normal 5 10 8 2 7" xfId="34018" xr:uid="{00000000-0005-0000-0000-0000D4840000}"/>
    <cellStyle name="Normal 5 10 8 2 8" xfId="34019" xr:uid="{00000000-0005-0000-0000-0000D5840000}"/>
    <cellStyle name="Normal 5 10 8 2 9" xfId="34020" xr:uid="{00000000-0005-0000-0000-0000D6840000}"/>
    <cellStyle name="Normal 5 10 8 3" xfId="34021" xr:uid="{00000000-0005-0000-0000-0000D7840000}"/>
    <cellStyle name="Normal 5 10 8 3 10" xfId="34022" xr:uid="{00000000-0005-0000-0000-0000D8840000}"/>
    <cellStyle name="Normal 5 10 8 3 2" xfId="34023" xr:uid="{00000000-0005-0000-0000-0000D9840000}"/>
    <cellStyle name="Normal 5 10 8 3 3" xfId="34024" xr:uid="{00000000-0005-0000-0000-0000DA840000}"/>
    <cellStyle name="Normal 5 10 8 3 4" xfId="34025" xr:uid="{00000000-0005-0000-0000-0000DB840000}"/>
    <cellStyle name="Normal 5 10 8 3 5" xfId="34026" xr:uid="{00000000-0005-0000-0000-0000DC840000}"/>
    <cellStyle name="Normal 5 10 8 3 6" xfId="34027" xr:uid="{00000000-0005-0000-0000-0000DD840000}"/>
    <cellStyle name="Normal 5 10 8 3 7" xfId="34028" xr:uid="{00000000-0005-0000-0000-0000DE840000}"/>
    <cellStyle name="Normal 5 10 8 3 8" xfId="34029" xr:uid="{00000000-0005-0000-0000-0000DF840000}"/>
    <cellStyle name="Normal 5 10 8 3 9" xfId="34030" xr:uid="{00000000-0005-0000-0000-0000E0840000}"/>
    <cellStyle name="Normal 5 10 8 4" xfId="34031" xr:uid="{00000000-0005-0000-0000-0000E1840000}"/>
    <cellStyle name="Normal 5 10 8 4 10" xfId="34032" xr:uid="{00000000-0005-0000-0000-0000E2840000}"/>
    <cellStyle name="Normal 5 10 8 4 2" xfId="34033" xr:uid="{00000000-0005-0000-0000-0000E3840000}"/>
    <cellStyle name="Normal 5 10 8 4 3" xfId="34034" xr:uid="{00000000-0005-0000-0000-0000E4840000}"/>
    <cellStyle name="Normal 5 10 8 4 4" xfId="34035" xr:uid="{00000000-0005-0000-0000-0000E5840000}"/>
    <cellStyle name="Normal 5 10 8 4 5" xfId="34036" xr:uid="{00000000-0005-0000-0000-0000E6840000}"/>
    <cellStyle name="Normal 5 10 8 4 6" xfId="34037" xr:uid="{00000000-0005-0000-0000-0000E7840000}"/>
    <cellStyle name="Normal 5 10 8 4 7" xfId="34038" xr:uid="{00000000-0005-0000-0000-0000E8840000}"/>
    <cellStyle name="Normal 5 10 8 4 8" xfId="34039" xr:uid="{00000000-0005-0000-0000-0000E9840000}"/>
    <cellStyle name="Normal 5 10 8 4 9" xfId="34040" xr:uid="{00000000-0005-0000-0000-0000EA840000}"/>
    <cellStyle name="Normal 5 10 8 5" xfId="34041" xr:uid="{00000000-0005-0000-0000-0000EB840000}"/>
    <cellStyle name="Normal 5 10 8 5 10" xfId="34042" xr:uid="{00000000-0005-0000-0000-0000EC840000}"/>
    <cellStyle name="Normal 5 10 8 5 2" xfId="34043" xr:uid="{00000000-0005-0000-0000-0000ED840000}"/>
    <cellStyle name="Normal 5 10 8 5 3" xfId="34044" xr:uid="{00000000-0005-0000-0000-0000EE840000}"/>
    <cellStyle name="Normal 5 10 8 5 4" xfId="34045" xr:uid="{00000000-0005-0000-0000-0000EF840000}"/>
    <cellStyle name="Normal 5 10 8 5 5" xfId="34046" xr:uid="{00000000-0005-0000-0000-0000F0840000}"/>
    <cellStyle name="Normal 5 10 8 5 6" xfId="34047" xr:uid="{00000000-0005-0000-0000-0000F1840000}"/>
    <cellStyle name="Normal 5 10 8 5 7" xfId="34048" xr:uid="{00000000-0005-0000-0000-0000F2840000}"/>
    <cellStyle name="Normal 5 10 8 5 8" xfId="34049" xr:uid="{00000000-0005-0000-0000-0000F3840000}"/>
    <cellStyle name="Normal 5 10 8 5 9" xfId="34050" xr:uid="{00000000-0005-0000-0000-0000F4840000}"/>
    <cellStyle name="Normal 5 10 8 6" xfId="34051" xr:uid="{00000000-0005-0000-0000-0000F5840000}"/>
    <cellStyle name="Normal 5 10 8 7" xfId="34052" xr:uid="{00000000-0005-0000-0000-0000F6840000}"/>
    <cellStyle name="Normal 5 10 8 8" xfId="34053" xr:uid="{00000000-0005-0000-0000-0000F7840000}"/>
    <cellStyle name="Normal 5 10 8 9" xfId="34054" xr:uid="{00000000-0005-0000-0000-0000F8840000}"/>
    <cellStyle name="Normal 5 10 9" xfId="34055" xr:uid="{00000000-0005-0000-0000-0000F9840000}"/>
    <cellStyle name="Normal 5 10 9 10" xfId="34056" xr:uid="{00000000-0005-0000-0000-0000FA840000}"/>
    <cellStyle name="Normal 5 10 9 11" xfId="34057" xr:uid="{00000000-0005-0000-0000-0000FB840000}"/>
    <cellStyle name="Normal 5 10 9 12" xfId="34058" xr:uid="{00000000-0005-0000-0000-0000FC840000}"/>
    <cellStyle name="Normal 5 10 9 13" xfId="34059" xr:uid="{00000000-0005-0000-0000-0000FD840000}"/>
    <cellStyle name="Normal 5 10 9 14" xfId="34060" xr:uid="{00000000-0005-0000-0000-0000FE840000}"/>
    <cellStyle name="Normal 5 10 9 2" xfId="34061" xr:uid="{00000000-0005-0000-0000-0000FF840000}"/>
    <cellStyle name="Normal 5 10 9 2 10" xfId="34062" xr:uid="{00000000-0005-0000-0000-000000850000}"/>
    <cellStyle name="Normal 5 10 9 2 2" xfId="34063" xr:uid="{00000000-0005-0000-0000-000001850000}"/>
    <cellStyle name="Normal 5 10 9 2 3" xfId="34064" xr:uid="{00000000-0005-0000-0000-000002850000}"/>
    <cellStyle name="Normal 5 10 9 2 4" xfId="34065" xr:uid="{00000000-0005-0000-0000-000003850000}"/>
    <cellStyle name="Normal 5 10 9 2 5" xfId="34066" xr:uid="{00000000-0005-0000-0000-000004850000}"/>
    <cellStyle name="Normal 5 10 9 2 6" xfId="34067" xr:uid="{00000000-0005-0000-0000-000005850000}"/>
    <cellStyle name="Normal 5 10 9 2 7" xfId="34068" xr:uid="{00000000-0005-0000-0000-000006850000}"/>
    <cellStyle name="Normal 5 10 9 2 8" xfId="34069" xr:uid="{00000000-0005-0000-0000-000007850000}"/>
    <cellStyle name="Normal 5 10 9 2 9" xfId="34070" xr:uid="{00000000-0005-0000-0000-000008850000}"/>
    <cellStyle name="Normal 5 10 9 3" xfId="34071" xr:uid="{00000000-0005-0000-0000-000009850000}"/>
    <cellStyle name="Normal 5 10 9 3 10" xfId="34072" xr:uid="{00000000-0005-0000-0000-00000A850000}"/>
    <cellStyle name="Normal 5 10 9 3 2" xfId="34073" xr:uid="{00000000-0005-0000-0000-00000B850000}"/>
    <cellStyle name="Normal 5 10 9 3 3" xfId="34074" xr:uid="{00000000-0005-0000-0000-00000C850000}"/>
    <cellStyle name="Normal 5 10 9 3 4" xfId="34075" xr:uid="{00000000-0005-0000-0000-00000D850000}"/>
    <cellStyle name="Normal 5 10 9 3 5" xfId="34076" xr:uid="{00000000-0005-0000-0000-00000E850000}"/>
    <cellStyle name="Normal 5 10 9 3 6" xfId="34077" xr:uid="{00000000-0005-0000-0000-00000F850000}"/>
    <cellStyle name="Normal 5 10 9 3 7" xfId="34078" xr:uid="{00000000-0005-0000-0000-000010850000}"/>
    <cellStyle name="Normal 5 10 9 3 8" xfId="34079" xr:uid="{00000000-0005-0000-0000-000011850000}"/>
    <cellStyle name="Normal 5 10 9 3 9" xfId="34080" xr:uid="{00000000-0005-0000-0000-000012850000}"/>
    <cellStyle name="Normal 5 10 9 4" xfId="34081" xr:uid="{00000000-0005-0000-0000-000013850000}"/>
    <cellStyle name="Normal 5 10 9 4 10" xfId="34082" xr:uid="{00000000-0005-0000-0000-000014850000}"/>
    <cellStyle name="Normal 5 10 9 4 2" xfId="34083" xr:uid="{00000000-0005-0000-0000-000015850000}"/>
    <cellStyle name="Normal 5 10 9 4 3" xfId="34084" xr:uid="{00000000-0005-0000-0000-000016850000}"/>
    <cellStyle name="Normal 5 10 9 4 4" xfId="34085" xr:uid="{00000000-0005-0000-0000-000017850000}"/>
    <cellStyle name="Normal 5 10 9 4 5" xfId="34086" xr:uid="{00000000-0005-0000-0000-000018850000}"/>
    <cellStyle name="Normal 5 10 9 4 6" xfId="34087" xr:uid="{00000000-0005-0000-0000-000019850000}"/>
    <cellStyle name="Normal 5 10 9 4 7" xfId="34088" xr:uid="{00000000-0005-0000-0000-00001A850000}"/>
    <cellStyle name="Normal 5 10 9 4 8" xfId="34089" xr:uid="{00000000-0005-0000-0000-00001B850000}"/>
    <cellStyle name="Normal 5 10 9 4 9" xfId="34090" xr:uid="{00000000-0005-0000-0000-00001C850000}"/>
    <cellStyle name="Normal 5 10 9 5" xfId="34091" xr:uid="{00000000-0005-0000-0000-00001D850000}"/>
    <cellStyle name="Normal 5 10 9 5 10" xfId="34092" xr:uid="{00000000-0005-0000-0000-00001E850000}"/>
    <cellStyle name="Normal 5 10 9 5 2" xfId="34093" xr:uid="{00000000-0005-0000-0000-00001F850000}"/>
    <cellStyle name="Normal 5 10 9 5 3" xfId="34094" xr:uid="{00000000-0005-0000-0000-000020850000}"/>
    <cellStyle name="Normal 5 10 9 5 4" xfId="34095" xr:uid="{00000000-0005-0000-0000-000021850000}"/>
    <cellStyle name="Normal 5 10 9 5 5" xfId="34096" xr:uid="{00000000-0005-0000-0000-000022850000}"/>
    <cellStyle name="Normal 5 10 9 5 6" xfId="34097" xr:uid="{00000000-0005-0000-0000-000023850000}"/>
    <cellStyle name="Normal 5 10 9 5 7" xfId="34098" xr:uid="{00000000-0005-0000-0000-000024850000}"/>
    <cellStyle name="Normal 5 10 9 5 8" xfId="34099" xr:uid="{00000000-0005-0000-0000-000025850000}"/>
    <cellStyle name="Normal 5 10 9 5 9" xfId="34100" xr:uid="{00000000-0005-0000-0000-000026850000}"/>
    <cellStyle name="Normal 5 10 9 6" xfId="34101" xr:uid="{00000000-0005-0000-0000-000027850000}"/>
    <cellStyle name="Normal 5 10 9 7" xfId="34102" xr:uid="{00000000-0005-0000-0000-000028850000}"/>
    <cellStyle name="Normal 5 10 9 8" xfId="34103" xr:uid="{00000000-0005-0000-0000-000029850000}"/>
    <cellStyle name="Normal 5 10 9 9" xfId="34104" xr:uid="{00000000-0005-0000-0000-00002A850000}"/>
    <cellStyle name="Normal 5 11" xfId="34105" xr:uid="{00000000-0005-0000-0000-00002B850000}"/>
    <cellStyle name="Normal 5 11 2" xfId="34106" xr:uid="{00000000-0005-0000-0000-00002C850000}"/>
    <cellStyle name="Normal 5 11 2 2" xfId="34107" xr:uid="{00000000-0005-0000-0000-00002D850000}"/>
    <cellStyle name="Normal 5 11 3" xfId="34108" xr:uid="{00000000-0005-0000-0000-00002E850000}"/>
    <cellStyle name="Normal 5 11 4" xfId="34109" xr:uid="{00000000-0005-0000-0000-00002F850000}"/>
    <cellStyle name="Normal 5 12" xfId="34110" xr:uid="{00000000-0005-0000-0000-000030850000}"/>
    <cellStyle name="Normal 5 12 2" xfId="34111" xr:uid="{00000000-0005-0000-0000-000031850000}"/>
    <cellStyle name="Normal 5 12 2 2" xfId="34112" xr:uid="{00000000-0005-0000-0000-000032850000}"/>
    <cellStyle name="Normal 5 12 3" xfId="34113" xr:uid="{00000000-0005-0000-0000-000033850000}"/>
    <cellStyle name="Normal 5 12 4" xfId="34114" xr:uid="{00000000-0005-0000-0000-000034850000}"/>
    <cellStyle name="Normal 5 13" xfId="34115" xr:uid="{00000000-0005-0000-0000-000035850000}"/>
    <cellStyle name="Normal 5 13 2" xfId="34116" xr:uid="{00000000-0005-0000-0000-000036850000}"/>
    <cellStyle name="Normal 5 13 2 2" xfId="34117" xr:uid="{00000000-0005-0000-0000-000037850000}"/>
    <cellStyle name="Normal 5 13 3" xfId="34118" xr:uid="{00000000-0005-0000-0000-000038850000}"/>
    <cellStyle name="Normal 5 13 4" xfId="34119" xr:uid="{00000000-0005-0000-0000-000039850000}"/>
    <cellStyle name="Normal 5 14" xfId="34120" xr:uid="{00000000-0005-0000-0000-00003A850000}"/>
    <cellStyle name="Normal 5 14 2" xfId="34121" xr:uid="{00000000-0005-0000-0000-00003B850000}"/>
    <cellStyle name="Normal 5 14 2 2" xfId="34122" xr:uid="{00000000-0005-0000-0000-00003C850000}"/>
    <cellStyle name="Normal 5 14 3" xfId="34123" xr:uid="{00000000-0005-0000-0000-00003D850000}"/>
    <cellStyle name="Normal 5 14 4" xfId="34124" xr:uid="{00000000-0005-0000-0000-00003E850000}"/>
    <cellStyle name="Normal 5 15" xfId="34125" xr:uid="{00000000-0005-0000-0000-00003F850000}"/>
    <cellStyle name="Normal 5 15 2" xfId="34126" xr:uid="{00000000-0005-0000-0000-000040850000}"/>
    <cellStyle name="Normal 5 15 2 2" xfId="34127" xr:uid="{00000000-0005-0000-0000-000041850000}"/>
    <cellStyle name="Normal 5 15 3" xfId="34128" xr:uid="{00000000-0005-0000-0000-000042850000}"/>
    <cellStyle name="Normal 5 15 4" xfId="34129" xr:uid="{00000000-0005-0000-0000-000043850000}"/>
    <cellStyle name="Normal 5 16" xfId="34130" xr:uid="{00000000-0005-0000-0000-000044850000}"/>
    <cellStyle name="Normal 5 16 2" xfId="34131" xr:uid="{00000000-0005-0000-0000-000045850000}"/>
    <cellStyle name="Normal 5 16 2 2" xfId="34132" xr:uid="{00000000-0005-0000-0000-000046850000}"/>
    <cellStyle name="Normal 5 16 3" xfId="34133" xr:uid="{00000000-0005-0000-0000-000047850000}"/>
    <cellStyle name="Normal 5 16 4" xfId="34134" xr:uid="{00000000-0005-0000-0000-000048850000}"/>
    <cellStyle name="Normal 5 17" xfId="34135" xr:uid="{00000000-0005-0000-0000-000049850000}"/>
    <cellStyle name="Normal 5 17 10" xfId="34136" xr:uid="{00000000-0005-0000-0000-00004A850000}"/>
    <cellStyle name="Normal 5 17 10 10" xfId="34137" xr:uid="{00000000-0005-0000-0000-00004B850000}"/>
    <cellStyle name="Normal 5 17 10 11" xfId="34138" xr:uid="{00000000-0005-0000-0000-00004C850000}"/>
    <cellStyle name="Normal 5 17 10 12" xfId="34139" xr:uid="{00000000-0005-0000-0000-00004D850000}"/>
    <cellStyle name="Normal 5 17 10 13" xfId="34140" xr:uid="{00000000-0005-0000-0000-00004E850000}"/>
    <cellStyle name="Normal 5 17 10 14" xfId="34141" xr:uid="{00000000-0005-0000-0000-00004F850000}"/>
    <cellStyle name="Normal 5 17 10 2" xfId="34142" xr:uid="{00000000-0005-0000-0000-000050850000}"/>
    <cellStyle name="Normal 5 17 10 2 10" xfId="34143" xr:uid="{00000000-0005-0000-0000-000051850000}"/>
    <cellStyle name="Normal 5 17 10 2 2" xfId="34144" xr:uid="{00000000-0005-0000-0000-000052850000}"/>
    <cellStyle name="Normal 5 17 10 2 3" xfId="34145" xr:uid="{00000000-0005-0000-0000-000053850000}"/>
    <cellStyle name="Normal 5 17 10 2 4" xfId="34146" xr:uid="{00000000-0005-0000-0000-000054850000}"/>
    <cellStyle name="Normal 5 17 10 2 5" xfId="34147" xr:uid="{00000000-0005-0000-0000-000055850000}"/>
    <cellStyle name="Normal 5 17 10 2 6" xfId="34148" xr:uid="{00000000-0005-0000-0000-000056850000}"/>
    <cellStyle name="Normal 5 17 10 2 7" xfId="34149" xr:uid="{00000000-0005-0000-0000-000057850000}"/>
    <cellStyle name="Normal 5 17 10 2 8" xfId="34150" xr:uid="{00000000-0005-0000-0000-000058850000}"/>
    <cellStyle name="Normal 5 17 10 2 9" xfId="34151" xr:uid="{00000000-0005-0000-0000-000059850000}"/>
    <cellStyle name="Normal 5 17 10 3" xfId="34152" xr:uid="{00000000-0005-0000-0000-00005A850000}"/>
    <cellStyle name="Normal 5 17 10 3 10" xfId="34153" xr:uid="{00000000-0005-0000-0000-00005B850000}"/>
    <cellStyle name="Normal 5 17 10 3 2" xfId="34154" xr:uid="{00000000-0005-0000-0000-00005C850000}"/>
    <cellStyle name="Normal 5 17 10 3 3" xfId="34155" xr:uid="{00000000-0005-0000-0000-00005D850000}"/>
    <cellStyle name="Normal 5 17 10 3 4" xfId="34156" xr:uid="{00000000-0005-0000-0000-00005E850000}"/>
    <cellStyle name="Normal 5 17 10 3 5" xfId="34157" xr:uid="{00000000-0005-0000-0000-00005F850000}"/>
    <cellStyle name="Normal 5 17 10 3 6" xfId="34158" xr:uid="{00000000-0005-0000-0000-000060850000}"/>
    <cellStyle name="Normal 5 17 10 3 7" xfId="34159" xr:uid="{00000000-0005-0000-0000-000061850000}"/>
    <cellStyle name="Normal 5 17 10 3 8" xfId="34160" xr:uid="{00000000-0005-0000-0000-000062850000}"/>
    <cellStyle name="Normal 5 17 10 3 9" xfId="34161" xr:uid="{00000000-0005-0000-0000-000063850000}"/>
    <cellStyle name="Normal 5 17 10 4" xfId="34162" xr:uid="{00000000-0005-0000-0000-000064850000}"/>
    <cellStyle name="Normal 5 17 10 4 10" xfId="34163" xr:uid="{00000000-0005-0000-0000-000065850000}"/>
    <cellStyle name="Normal 5 17 10 4 2" xfId="34164" xr:uid="{00000000-0005-0000-0000-000066850000}"/>
    <cellStyle name="Normal 5 17 10 4 3" xfId="34165" xr:uid="{00000000-0005-0000-0000-000067850000}"/>
    <cellStyle name="Normal 5 17 10 4 4" xfId="34166" xr:uid="{00000000-0005-0000-0000-000068850000}"/>
    <cellStyle name="Normal 5 17 10 4 5" xfId="34167" xr:uid="{00000000-0005-0000-0000-000069850000}"/>
    <cellStyle name="Normal 5 17 10 4 6" xfId="34168" xr:uid="{00000000-0005-0000-0000-00006A850000}"/>
    <cellStyle name="Normal 5 17 10 4 7" xfId="34169" xr:uid="{00000000-0005-0000-0000-00006B850000}"/>
    <cellStyle name="Normal 5 17 10 4 8" xfId="34170" xr:uid="{00000000-0005-0000-0000-00006C850000}"/>
    <cellStyle name="Normal 5 17 10 4 9" xfId="34171" xr:uid="{00000000-0005-0000-0000-00006D850000}"/>
    <cellStyle name="Normal 5 17 10 5" xfId="34172" xr:uid="{00000000-0005-0000-0000-00006E850000}"/>
    <cellStyle name="Normal 5 17 10 5 10" xfId="34173" xr:uid="{00000000-0005-0000-0000-00006F850000}"/>
    <cellStyle name="Normal 5 17 10 5 2" xfId="34174" xr:uid="{00000000-0005-0000-0000-000070850000}"/>
    <cellStyle name="Normal 5 17 10 5 3" xfId="34175" xr:uid="{00000000-0005-0000-0000-000071850000}"/>
    <cellStyle name="Normal 5 17 10 5 4" xfId="34176" xr:uid="{00000000-0005-0000-0000-000072850000}"/>
    <cellStyle name="Normal 5 17 10 5 5" xfId="34177" xr:uid="{00000000-0005-0000-0000-000073850000}"/>
    <cellStyle name="Normal 5 17 10 5 6" xfId="34178" xr:uid="{00000000-0005-0000-0000-000074850000}"/>
    <cellStyle name="Normal 5 17 10 5 7" xfId="34179" xr:uid="{00000000-0005-0000-0000-000075850000}"/>
    <cellStyle name="Normal 5 17 10 5 8" xfId="34180" xr:uid="{00000000-0005-0000-0000-000076850000}"/>
    <cellStyle name="Normal 5 17 10 5 9" xfId="34181" xr:uid="{00000000-0005-0000-0000-000077850000}"/>
    <cellStyle name="Normal 5 17 10 6" xfId="34182" xr:uid="{00000000-0005-0000-0000-000078850000}"/>
    <cellStyle name="Normal 5 17 10 7" xfId="34183" xr:uid="{00000000-0005-0000-0000-000079850000}"/>
    <cellStyle name="Normal 5 17 10 8" xfId="34184" xr:uid="{00000000-0005-0000-0000-00007A850000}"/>
    <cellStyle name="Normal 5 17 10 9" xfId="34185" xr:uid="{00000000-0005-0000-0000-00007B850000}"/>
    <cellStyle name="Normal 5 17 11" xfId="34186" xr:uid="{00000000-0005-0000-0000-00007C850000}"/>
    <cellStyle name="Normal 5 17 11 10" xfId="34187" xr:uid="{00000000-0005-0000-0000-00007D850000}"/>
    <cellStyle name="Normal 5 17 11 11" xfId="34188" xr:uid="{00000000-0005-0000-0000-00007E850000}"/>
    <cellStyle name="Normal 5 17 11 12" xfId="34189" xr:uid="{00000000-0005-0000-0000-00007F850000}"/>
    <cellStyle name="Normal 5 17 11 13" xfId="34190" xr:uid="{00000000-0005-0000-0000-000080850000}"/>
    <cellStyle name="Normal 5 17 11 14" xfId="34191" xr:uid="{00000000-0005-0000-0000-000081850000}"/>
    <cellStyle name="Normal 5 17 11 2" xfId="34192" xr:uid="{00000000-0005-0000-0000-000082850000}"/>
    <cellStyle name="Normal 5 17 11 2 10" xfId="34193" xr:uid="{00000000-0005-0000-0000-000083850000}"/>
    <cellStyle name="Normal 5 17 11 2 2" xfId="34194" xr:uid="{00000000-0005-0000-0000-000084850000}"/>
    <cellStyle name="Normal 5 17 11 2 3" xfId="34195" xr:uid="{00000000-0005-0000-0000-000085850000}"/>
    <cellStyle name="Normal 5 17 11 2 4" xfId="34196" xr:uid="{00000000-0005-0000-0000-000086850000}"/>
    <cellStyle name="Normal 5 17 11 2 5" xfId="34197" xr:uid="{00000000-0005-0000-0000-000087850000}"/>
    <cellStyle name="Normal 5 17 11 2 6" xfId="34198" xr:uid="{00000000-0005-0000-0000-000088850000}"/>
    <cellStyle name="Normal 5 17 11 2 7" xfId="34199" xr:uid="{00000000-0005-0000-0000-000089850000}"/>
    <cellStyle name="Normal 5 17 11 2 8" xfId="34200" xr:uid="{00000000-0005-0000-0000-00008A850000}"/>
    <cellStyle name="Normal 5 17 11 2 9" xfId="34201" xr:uid="{00000000-0005-0000-0000-00008B850000}"/>
    <cellStyle name="Normal 5 17 11 3" xfId="34202" xr:uid="{00000000-0005-0000-0000-00008C850000}"/>
    <cellStyle name="Normal 5 17 11 3 10" xfId="34203" xr:uid="{00000000-0005-0000-0000-00008D850000}"/>
    <cellStyle name="Normal 5 17 11 3 2" xfId="34204" xr:uid="{00000000-0005-0000-0000-00008E850000}"/>
    <cellStyle name="Normal 5 17 11 3 3" xfId="34205" xr:uid="{00000000-0005-0000-0000-00008F850000}"/>
    <cellStyle name="Normal 5 17 11 3 4" xfId="34206" xr:uid="{00000000-0005-0000-0000-000090850000}"/>
    <cellStyle name="Normal 5 17 11 3 5" xfId="34207" xr:uid="{00000000-0005-0000-0000-000091850000}"/>
    <cellStyle name="Normal 5 17 11 3 6" xfId="34208" xr:uid="{00000000-0005-0000-0000-000092850000}"/>
    <cellStyle name="Normal 5 17 11 3 7" xfId="34209" xr:uid="{00000000-0005-0000-0000-000093850000}"/>
    <cellStyle name="Normal 5 17 11 3 8" xfId="34210" xr:uid="{00000000-0005-0000-0000-000094850000}"/>
    <cellStyle name="Normal 5 17 11 3 9" xfId="34211" xr:uid="{00000000-0005-0000-0000-000095850000}"/>
    <cellStyle name="Normal 5 17 11 4" xfId="34212" xr:uid="{00000000-0005-0000-0000-000096850000}"/>
    <cellStyle name="Normal 5 17 11 4 10" xfId="34213" xr:uid="{00000000-0005-0000-0000-000097850000}"/>
    <cellStyle name="Normal 5 17 11 4 2" xfId="34214" xr:uid="{00000000-0005-0000-0000-000098850000}"/>
    <cellStyle name="Normal 5 17 11 4 3" xfId="34215" xr:uid="{00000000-0005-0000-0000-000099850000}"/>
    <cellStyle name="Normal 5 17 11 4 4" xfId="34216" xr:uid="{00000000-0005-0000-0000-00009A850000}"/>
    <cellStyle name="Normal 5 17 11 4 5" xfId="34217" xr:uid="{00000000-0005-0000-0000-00009B850000}"/>
    <cellStyle name="Normal 5 17 11 4 6" xfId="34218" xr:uid="{00000000-0005-0000-0000-00009C850000}"/>
    <cellStyle name="Normal 5 17 11 4 7" xfId="34219" xr:uid="{00000000-0005-0000-0000-00009D850000}"/>
    <cellStyle name="Normal 5 17 11 4 8" xfId="34220" xr:uid="{00000000-0005-0000-0000-00009E850000}"/>
    <cellStyle name="Normal 5 17 11 4 9" xfId="34221" xr:uid="{00000000-0005-0000-0000-00009F850000}"/>
    <cellStyle name="Normal 5 17 11 5" xfId="34222" xr:uid="{00000000-0005-0000-0000-0000A0850000}"/>
    <cellStyle name="Normal 5 17 11 5 10" xfId="34223" xr:uid="{00000000-0005-0000-0000-0000A1850000}"/>
    <cellStyle name="Normal 5 17 11 5 2" xfId="34224" xr:uid="{00000000-0005-0000-0000-0000A2850000}"/>
    <cellStyle name="Normal 5 17 11 5 3" xfId="34225" xr:uid="{00000000-0005-0000-0000-0000A3850000}"/>
    <cellStyle name="Normal 5 17 11 5 4" xfId="34226" xr:uid="{00000000-0005-0000-0000-0000A4850000}"/>
    <cellStyle name="Normal 5 17 11 5 5" xfId="34227" xr:uid="{00000000-0005-0000-0000-0000A5850000}"/>
    <cellStyle name="Normal 5 17 11 5 6" xfId="34228" xr:uid="{00000000-0005-0000-0000-0000A6850000}"/>
    <cellStyle name="Normal 5 17 11 5 7" xfId="34229" xr:uid="{00000000-0005-0000-0000-0000A7850000}"/>
    <cellStyle name="Normal 5 17 11 5 8" xfId="34230" xr:uid="{00000000-0005-0000-0000-0000A8850000}"/>
    <cellStyle name="Normal 5 17 11 5 9" xfId="34231" xr:uid="{00000000-0005-0000-0000-0000A9850000}"/>
    <cellStyle name="Normal 5 17 11 6" xfId="34232" xr:uid="{00000000-0005-0000-0000-0000AA850000}"/>
    <cellStyle name="Normal 5 17 11 7" xfId="34233" xr:uid="{00000000-0005-0000-0000-0000AB850000}"/>
    <cellStyle name="Normal 5 17 11 8" xfId="34234" xr:uid="{00000000-0005-0000-0000-0000AC850000}"/>
    <cellStyle name="Normal 5 17 11 9" xfId="34235" xr:uid="{00000000-0005-0000-0000-0000AD850000}"/>
    <cellStyle name="Normal 5 17 12" xfId="34236" xr:uid="{00000000-0005-0000-0000-0000AE850000}"/>
    <cellStyle name="Normal 5 17 12 10" xfId="34237" xr:uid="{00000000-0005-0000-0000-0000AF850000}"/>
    <cellStyle name="Normal 5 17 12 11" xfId="34238" xr:uid="{00000000-0005-0000-0000-0000B0850000}"/>
    <cellStyle name="Normal 5 17 12 12" xfId="34239" xr:uid="{00000000-0005-0000-0000-0000B1850000}"/>
    <cellStyle name="Normal 5 17 12 13" xfId="34240" xr:uid="{00000000-0005-0000-0000-0000B2850000}"/>
    <cellStyle name="Normal 5 17 12 14" xfId="34241" xr:uid="{00000000-0005-0000-0000-0000B3850000}"/>
    <cellStyle name="Normal 5 17 12 2" xfId="34242" xr:uid="{00000000-0005-0000-0000-0000B4850000}"/>
    <cellStyle name="Normal 5 17 12 2 10" xfId="34243" xr:uid="{00000000-0005-0000-0000-0000B5850000}"/>
    <cellStyle name="Normal 5 17 12 2 2" xfId="34244" xr:uid="{00000000-0005-0000-0000-0000B6850000}"/>
    <cellStyle name="Normal 5 17 12 2 3" xfId="34245" xr:uid="{00000000-0005-0000-0000-0000B7850000}"/>
    <cellStyle name="Normal 5 17 12 2 4" xfId="34246" xr:uid="{00000000-0005-0000-0000-0000B8850000}"/>
    <cellStyle name="Normal 5 17 12 2 5" xfId="34247" xr:uid="{00000000-0005-0000-0000-0000B9850000}"/>
    <cellStyle name="Normal 5 17 12 2 6" xfId="34248" xr:uid="{00000000-0005-0000-0000-0000BA850000}"/>
    <cellStyle name="Normal 5 17 12 2 7" xfId="34249" xr:uid="{00000000-0005-0000-0000-0000BB850000}"/>
    <cellStyle name="Normal 5 17 12 2 8" xfId="34250" xr:uid="{00000000-0005-0000-0000-0000BC850000}"/>
    <cellStyle name="Normal 5 17 12 2 9" xfId="34251" xr:uid="{00000000-0005-0000-0000-0000BD850000}"/>
    <cellStyle name="Normal 5 17 12 3" xfId="34252" xr:uid="{00000000-0005-0000-0000-0000BE850000}"/>
    <cellStyle name="Normal 5 17 12 3 10" xfId="34253" xr:uid="{00000000-0005-0000-0000-0000BF850000}"/>
    <cellStyle name="Normal 5 17 12 3 2" xfId="34254" xr:uid="{00000000-0005-0000-0000-0000C0850000}"/>
    <cellStyle name="Normal 5 17 12 3 3" xfId="34255" xr:uid="{00000000-0005-0000-0000-0000C1850000}"/>
    <cellStyle name="Normal 5 17 12 3 4" xfId="34256" xr:uid="{00000000-0005-0000-0000-0000C2850000}"/>
    <cellStyle name="Normal 5 17 12 3 5" xfId="34257" xr:uid="{00000000-0005-0000-0000-0000C3850000}"/>
    <cellStyle name="Normal 5 17 12 3 6" xfId="34258" xr:uid="{00000000-0005-0000-0000-0000C4850000}"/>
    <cellStyle name="Normal 5 17 12 3 7" xfId="34259" xr:uid="{00000000-0005-0000-0000-0000C5850000}"/>
    <cellStyle name="Normal 5 17 12 3 8" xfId="34260" xr:uid="{00000000-0005-0000-0000-0000C6850000}"/>
    <cellStyle name="Normal 5 17 12 3 9" xfId="34261" xr:uid="{00000000-0005-0000-0000-0000C7850000}"/>
    <cellStyle name="Normal 5 17 12 4" xfId="34262" xr:uid="{00000000-0005-0000-0000-0000C8850000}"/>
    <cellStyle name="Normal 5 17 12 4 10" xfId="34263" xr:uid="{00000000-0005-0000-0000-0000C9850000}"/>
    <cellStyle name="Normal 5 17 12 4 2" xfId="34264" xr:uid="{00000000-0005-0000-0000-0000CA850000}"/>
    <cellStyle name="Normal 5 17 12 4 3" xfId="34265" xr:uid="{00000000-0005-0000-0000-0000CB850000}"/>
    <cellStyle name="Normal 5 17 12 4 4" xfId="34266" xr:uid="{00000000-0005-0000-0000-0000CC850000}"/>
    <cellStyle name="Normal 5 17 12 4 5" xfId="34267" xr:uid="{00000000-0005-0000-0000-0000CD850000}"/>
    <cellStyle name="Normal 5 17 12 4 6" xfId="34268" xr:uid="{00000000-0005-0000-0000-0000CE850000}"/>
    <cellStyle name="Normal 5 17 12 4 7" xfId="34269" xr:uid="{00000000-0005-0000-0000-0000CF850000}"/>
    <cellStyle name="Normal 5 17 12 4 8" xfId="34270" xr:uid="{00000000-0005-0000-0000-0000D0850000}"/>
    <cellStyle name="Normal 5 17 12 4 9" xfId="34271" xr:uid="{00000000-0005-0000-0000-0000D1850000}"/>
    <cellStyle name="Normal 5 17 12 5" xfId="34272" xr:uid="{00000000-0005-0000-0000-0000D2850000}"/>
    <cellStyle name="Normal 5 17 12 5 10" xfId="34273" xr:uid="{00000000-0005-0000-0000-0000D3850000}"/>
    <cellStyle name="Normal 5 17 12 5 2" xfId="34274" xr:uid="{00000000-0005-0000-0000-0000D4850000}"/>
    <cellStyle name="Normal 5 17 12 5 3" xfId="34275" xr:uid="{00000000-0005-0000-0000-0000D5850000}"/>
    <cellStyle name="Normal 5 17 12 5 4" xfId="34276" xr:uid="{00000000-0005-0000-0000-0000D6850000}"/>
    <cellStyle name="Normal 5 17 12 5 5" xfId="34277" xr:uid="{00000000-0005-0000-0000-0000D7850000}"/>
    <cellStyle name="Normal 5 17 12 5 6" xfId="34278" xr:uid="{00000000-0005-0000-0000-0000D8850000}"/>
    <cellStyle name="Normal 5 17 12 5 7" xfId="34279" xr:uid="{00000000-0005-0000-0000-0000D9850000}"/>
    <cellStyle name="Normal 5 17 12 5 8" xfId="34280" xr:uid="{00000000-0005-0000-0000-0000DA850000}"/>
    <cellStyle name="Normal 5 17 12 5 9" xfId="34281" xr:uid="{00000000-0005-0000-0000-0000DB850000}"/>
    <cellStyle name="Normal 5 17 12 6" xfId="34282" xr:uid="{00000000-0005-0000-0000-0000DC850000}"/>
    <cellStyle name="Normal 5 17 12 7" xfId="34283" xr:uid="{00000000-0005-0000-0000-0000DD850000}"/>
    <cellStyle name="Normal 5 17 12 8" xfId="34284" xr:uid="{00000000-0005-0000-0000-0000DE850000}"/>
    <cellStyle name="Normal 5 17 12 9" xfId="34285" xr:uid="{00000000-0005-0000-0000-0000DF850000}"/>
    <cellStyle name="Normal 5 17 13" xfId="34286" xr:uid="{00000000-0005-0000-0000-0000E0850000}"/>
    <cellStyle name="Normal 5 17 13 10" xfId="34287" xr:uid="{00000000-0005-0000-0000-0000E1850000}"/>
    <cellStyle name="Normal 5 17 13 11" xfId="34288" xr:uid="{00000000-0005-0000-0000-0000E2850000}"/>
    <cellStyle name="Normal 5 17 13 12" xfId="34289" xr:uid="{00000000-0005-0000-0000-0000E3850000}"/>
    <cellStyle name="Normal 5 17 13 13" xfId="34290" xr:uid="{00000000-0005-0000-0000-0000E4850000}"/>
    <cellStyle name="Normal 5 17 13 14" xfId="34291" xr:uid="{00000000-0005-0000-0000-0000E5850000}"/>
    <cellStyle name="Normal 5 17 13 2" xfId="34292" xr:uid="{00000000-0005-0000-0000-0000E6850000}"/>
    <cellStyle name="Normal 5 17 13 2 10" xfId="34293" xr:uid="{00000000-0005-0000-0000-0000E7850000}"/>
    <cellStyle name="Normal 5 17 13 2 2" xfId="34294" xr:uid="{00000000-0005-0000-0000-0000E8850000}"/>
    <cellStyle name="Normal 5 17 13 2 3" xfId="34295" xr:uid="{00000000-0005-0000-0000-0000E9850000}"/>
    <cellStyle name="Normal 5 17 13 2 4" xfId="34296" xr:uid="{00000000-0005-0000-0000-0000EA850000}"/>
    <cellStyle name="Normal 5 17 13 2 5" xfId="34297" xr:uid="{00000000-0005-0000-0000-0000EB850000}"/>
    <cellStyle name="Normal 5 17 13 2 6" xfId="34298" xr:uid="{00000000-0005-0000-0000-0000EC850000}"/>
    <cellStyle name="Normal 5 17 13 2 7" xfId="34299" xr:uid="{00000000-0005-0000-0000-0000ED850000}"/>
    <cellStyle name="Normal 5 17 13 2 8" xfId="34300" xr:uid="{00000000-0005-0000-0000-0000EE850000}"/>
    <cellStyle name="Normal 5 17 13 2 9" xfId="34301" xr:uid="{00000000-0005-0000-0000-0000EF850000}"/>
    <cellStyle name="Normal 5 17 13 3" xfId="34302" xr:uid="{00000000-0005-0000-0000-0000F0850000}"/>
    <cellStyle name="Normal 5 17 13 3 10" xfId="34303" xr:uid="{00000000-0005-0000-0000-0000F1850000}"/>
    <cellStyle name="Normal 5 17 13 3 2" xfId="34304" xr:uid="{00000000-0005-0000-0000-0000F2850000}"/>
    <cellStyle name="Normal 5 17 13 3 3" xfId="34305" xr:uid="{00000000-0005-0000-0000-0000F3850000}"/>
    <cellStyle name="Normal 5 17 13 3 4" xfId="34306" xr:uid="{00000000-0005-0000-0000-0000F4850000}"/>
    <cellStyle name="Normal 5 17 13 3 5" xfId="34307" xr:uid="{00000000-0005-0000-0000-0000F5850000}"/>
    <cellStyle name="Normal 5 17 13 3 6" xfId="34308" xr:uid="{00000000-0005-0000-0000-0000F6850000}"/>
    <cellStyle name="Normal 5 17 13 3 7" xfId="34309" xr:uid="{00000000-0005-0000-0000-0000F7850000}"/>
    <cellStyle name="Normal 5 17 13 3 8" xfId="34310" xr:uid="{00000000-0005-0000-0000-0000F8850000}"/>
    <cellStyle name="Normal 5 17 13 3 9" xfId="34311" xr:uid="{00000000-0005-0000-0000-0000F9850000}"/>
    <cellStyle name="Normal 5 17 13 4" xfId="34312" xr:uid="{00000000-0005-0000-0000-0000FA850000}"/>
    <cellStyle name="Normal 5 17 13 4 10" xfId="34313" xr:uid="{00000000-0005-0000-0000-0000FB850000}"/>
    <cellStyle name="Normal 5 17 13 4 2" xfId="34314" xr:uid="{00000000-0005-0000-0000-0000FC850000}"/>
    <cellStyle name="Normal 5 17 13 4 3" xfId="34315" xr:uid="{00000000-0005-0000-0000-0000FD850000}"/>
    <cellStyle name="Normal 5 17 13 4 4" xfId="34316" xr:uid="{00000000-0005-0000-0000-0000FE850000}"/>
    <cellStyle name="Normal 5 17 13 4 5" xfId="34317" xr:uid="{00000000-0005-0000-0000-0000FF850000}"/>
    <cellStyle name="Normal 5 17 13 4 6" xfId="34318" xr:uid="{00000000-0005-0000-0000-000000860000}"/>
    <cellStyle name="Normal 5 17 13 4 7" xfId="34319" xr:uid="{00000000-0005-0000-0000-000001860000}"/>
    <cellStyle name="Normal 5 17 13 4 8" xfId="34320" xr:uid="{00000000-0005-0000-0000-000002860000}"/>
    <cellStyle name="Normal 5 17 13 4 9" xfId="34321" xr:uid="{00000000-0005-0000-0000-000003860000}"/>
    <cellStyle name="Normal 5 17 13 5" xfId="34322" xr:uid="{00000000-0005-0000-0000-000004860000}"/>
    <cellStyle name="Normal 5 17 13 5 10" xfId="34323" xr:uid="{00000000-0005-0000-0000-000005860000}"/>
    <cellStyle name="Normal 5 17 13 5 2" xfId="34324" xr:uid="{00000000-0005-0000-0000-000006860000}"/>
    <cellStyle name="Normal 5 17 13 5 3" xfId="34325" xr:uid="{00000000-0005-0000-0000-000007860000}"/>
    <cellStyle name="Normal 5 17 13 5 4" xfId="34326" xr:uid="{00000000-0005-0000-0000-000008860000}"/>
    <cellStyle name="Normal 5 17 13 5 5" xfId="34327" xr:uid="{00000000-0005-0000-0000-000009860000}"/>
    <cellStyle name="Normal 5 17 13 5 6" xfId="34328" xr:uid="{00000000-0005-0000-0000-00000A860000}"/>
    <cellStyle name="Normal 5 17 13 5 7" xfId="34329" xr:uid="{00000000-0005-0000-0000-00000B860000}"/>
    <cellStyle name="Normal 5 17 13 5 8" xfId="34330" xr:uid="{00000000-0005-0000-0000-00000C860000}"/>
    <cellStyle name="Normal 5 17 13 5 9" xfId="34331" xr:uid="{00000000-0005-0000-0000-00000D860000}"/>
    <cellStyle name="Normal 5 17 13 6" xfId="34332" xr:uid="{00000000-0005-0000-0000-00000E860000}"/>
    <cellStyle name="Normal 5 17 13 7" xfId="34333" xr:uid="{00000000-0005-0000-0000-00000F860000}"/>
    <cellStyle name="Normal 5 17 13 8" xfId="34334" xr:uid="{00000000-0005-0000-0000-000010860000}"/>
    <cellStyle name="Normal 5 17 13 9" xfId="34335" xr:uid="{00000000-0005-0000-0000-000011860000}"/>
    <cellStyle name="Normal 5 17 14" xfId="34336" xr:uid="{00000000-0005-0000-0000-000012860000}"/>
    <cellStyle name="Normal 5 17 14 10" xfId="34337" xr:uid="{00000000-0005-0000-0000-000013860000}"/>
    <cellStyle name="Normal 5 17 14 11" xfId="34338" xr:uid="{00000000-0005-0000-0000-000014860000}"/>
    <cellStyle name="Normal 5 17 14 12" xfId="34339" xr:uid="{00000000-0005-0000-0000-000015860000}"/>
    <cellStyle name="Normal 5 17 14 13" xfId="34340" xr:uid="{00000000-0005-0000-0000-000016860000}"/>
    <cellStyle name="Normal 5 17 14 14" xfId="34341" xr:uid="{00000000-0005-0000-0000-000017860000}"/>
    <cellStyle name="Normal 5 17 14 2" xfId="34342" xr:uid="{00000000-0005-0000-0000-000018860000}"/>
    <cellStyle name="Normal 5 17 14 2 10" xfId="34343" xr:uid="{00000000-0005-0000-0000-000019860000}"/>
    <cellStyle name="Normal 5 17 14 2 2" xfId="34344" xr:uid="{00000000-0005-0000-0000-00001A860000}"/>
    <cellStyle name="Normal 5 17 14 2 3" xfId="34345" xr:uid="{00000000-0005-0000-0000-00001B860000}"/>
    <cellStyle name="Normal 5 17 14 2 4" xfId="34346" xr:uid="{00000000-0005-0000-0000-00001C860000}"/>
    <cellStyle name="Normal 5 17 14 2 5" xfId="34347" xr:uid="{00000000-0005-0000-0000-00001D860000}"/>
    <cellStyle name="Normal 5 17 14 2 6" xfId="34348" xr:uid="{00000000-0005-0000-0000-00001E860000}"/>
    <cellStyle name="Normal 5 17 14 2 7" xfId="34349" xr:uid="{00000000-0005-0000-0000-00001F860000}"/>
    <cellStyle name="Normal 5 17 14 2 8" xfId="34350" xr:uid="{00000000-0005-0000-0000-000020860000}"/>
    <cellStyle name="Normal 5 17 14 2 9" xfId="34351" xr:uid="{00000000-0005-0000-0000-000021860000}"/>
    <cellStyle name="Normal 5 17 14 3" xfId="34352" xr:uid="{00000000-0005-0000-0000-000022860000}"/>
    <cellStyle name="Normal 5 17 14 3 10" xfId="34353" xr:uid="{00000000-0005-0000-0000-000023860000}"/>
    <cellStyle name="Normal 5 17 14 3 2" xfId="34354" xr:uid="{00000000-0005-0000-0000-000024860000}"/>
    <cellStyle name="Normal 5 17 14 3 3" xfId="34355" xr:uid="{00000000-0005-0000-0000-000025860000}"/>
    <cellStyle name="Normal 5 17 14 3 4" xfId="34356" xr:uid="{00000000-0005-0000-0000-000026860000}"/>
    <cellStyle name="Normal 5 17 14 3 5" xfId="34357" xr:uid="{00000000-0005-0000-0000-000027860000}"/>
    <cellStyle name="Normal 5 17 14 3 6" xfId="34358" xr:uid="{00000000-0005-0000-0000-000028860000}"/>
    <cellStyle name="Normal 5 17 14 3 7" xfId="34359" xr:uid="{00000000-0005-0000-0000-000029860000}"/>
    <cellStyle name="Normal 5 17 14 3 8" xfId="34360" xr:uid="{00000000-0005-0000-0000-00002A860000}"/>
    <cellStyle name="Normal 5 17 14 3 9" xfId="34361" xr:uid="{00000000-0005-0000-0000-00002B860000}"/>
    <cellStyle name="Normal 5 17 14 4" xfId="34362" xr:uid="{00000000-0005-0000-0000-00002C860000}"/>
    <cellStyle name="Normal 5 17 14 4 10" xfId="34363" xr:uid="{00000000-0005-0000-0000-00002D860000}"/>
    <cellStyle name="Normal 5 17 14 4 2" xfId="34364" xr:uid="{00000000-0005-0000-0000-00002E860000}"/>
    <cellStyle name="Normal 5 17 14 4 3" xfId="34365" xr:uid="{00000000-0005-0000-0000-00002F860000}"/>
    <cellStyle name="Normal 5 17 14 4 4" xfId="34366" xr:uid="{00000000-0005-0000-0000-000030860000}"/>
    <cellStyle name="Normal 5 17 14 4 5" xfId="34367" xr:uid="{00000000-0005-0000-0000-000031860000}"/>
    <cellStyle name="Normal 5 17 14 4 6" xfId="34368" xr:uid="{00000000-0005-0000-0000-000032860000}"/>
    <cellStyle name="Normal 5 17 14 4 7" xfId="34369" xr:uid="{00000000-0005-0000-0000-000033860000}"/>
    <cellStyle name="Normal 5 17 14 4 8" xfId="34370" xr:uid="{00000000-0005-0000-0000-000034860000}"/>
    <cellStyle name="Normal 5 17 14 4 9" xfId="34371" xr:uid="{00000000-0005-0000-0000-000035860000}"/>
    <cellStyle name="Normal 5 17 14 5" xfId="34372" xr:uid="{00000000-0005-0000-0000-000036860000}"/>
    <cellStyle name="Normal 5 17 14 5 10" xfId="34373" xr:uid="{00000000-0005-0000-0000-000037860000}"/>
    <cellStyle name="Normal 5 17 14 5 2" xfId="34374" xr:uid="{00000000-0005-0000-0000-000038860000}"/>
    <cellStyle name="Normal 5 17 14 5 3" xfId="34375" xr:uid="{00000000-0005-0000-0000-000039860000}"/>
    <cellStyle name="Normal 5 17 14 5 4" xfId="34376" xr:uid="{00000000-0005-0000-0000-00003A860000}"/>
    <cellStyle name="Normal 5 17 14 5 5" xfId="34377" xr:uid="{00000000-0005-0000-0000-00003B860000}"/>
    <cellStyle name="Normal 5 17 14 5 6" xfId="34378" xr:uid="{00000000-0005-0000-0000-00003C860000}"/>
    <cellStyle name="Normal 5 17 14 5 7" xfId="34379" xr:uid="{00000000-0005-0000-0000-00003D860000}"/>
    <cellStyle name="Normal 5 17 14 5 8" xfId="34380" xr:uid="{00000000-0005-0000-0000-00003E860000}"/>
    <cellStyle name="Normal 5 17 14 5 9" xfId="34381" xr:uid="{00000000-0005-0000-0000-00003F860000}"/>
    <cellStyle name="Normal 5 17 14 6" xfId="34382" xr:uid="{00000000-0005-0000-0000-000040860000}"/>
    <cellStyle name="Normal 5 17 14 7" xfId="34383" xr:uid="{00000000-0005-0000-0000-000041860000}"/>
    <cellStyle name="Normal 5 17 14 8" xfId="34384" xr:uid="{00000000-0005-0000-0000-000042860000}"/>
    <cellStyle name="Normal 5 17 14 9" xfId="34385" xr:uid="{00000000-0005-0000-0000-000043860000}"/>
    <cellStyle name="Normal 5 17 15" xfId="34386" xr:uid="{00000000-0005-0000-0000-000044860000}"/>
    <cellStyle name="Normal 5 17 15 10" xfId="34387" xr:uid="{00000000-0005-0000-0000-000045860000}"/>
    <cellStyle name="Normal 5 17 15 11" xfId="34388" xr:uid="{00000000-0005-0000-0000-000046860000}"/>
    <cellStyle name="Normal 5 17 15 12" xfId="34389" xr:uid="{00000000-0005-0000-0000-000047860000}"/>
    <cellStyle name="Normal 5 17 15 13" xfId="34390" xr:uid="{00000000-0005-0000-0000-000048860000}"/>
    <cellStyle name="Normal 5 17 15 14" xfId="34391" xr:uid="{00000000-0005-0000-0000-000049860000}"/>
    <cellStyle name="Normal 5 17 15 2" xfId="34392" xr:uid="{00000000-0005-0000-0000-00004A860000}"/>
    <cellStyle name="Normal 5 17 15 2 10" xfId="34393" xr:uid="{00000000-0005-0000-0000-00004B860000}"/>
    <cellStyle name="Normal 5 17 15 2 2" xfId="34394" xr:uid="{00000000-0005-0000-0000-00004C860000}"/>
    <cellStyle name="Normal 5 17 15 2 3" xfId="34395" xr:uid="{00000000-0005-0000-0000-00004D860000}"/>
    <cellStyle name="Normal 5 17 15 2 4" xfId="34396" xr:uid="{00000000-0005-0000-0000-00004E860000}"/>
    <cellStyle name="Normal 5 17 15 2 5" xfId="34397" xr:uid="{00000000-0005-0000-0000-00004F860000}"/>
    <cellStyle name="Normal 5 17 15 2 6" xfId="34398" xr:uid="{00000000-0005-0000-0000-000050860000}"/>
    <cellStyle name="Normal 5 17 15 2 7" xfId="34399" xr:uid="{00000000-0005-0000-0000-000051860000}"/>
    <cellStyle name="Normal 5 17 15 2 8" xfId="34400" xr:uid="{00000000-0005-0000-0000-000052860000}"/>
    <cellStyle name="Normal 5 17 15 2 9" xfId="34401" xr:uid="{00000000-0005-0000-0000-000053860000}"/>
    <cellStyle name="Normal 5 17 15 3" xfId="34402" xr:uid="{00000000-0005-0000-0000-000054860000}"/>
    <cellStyle name="Normal 5 17 15 3 10" xfId="34403" xr:uid="{00000000-0005-0000-0000-000055860000}"/>
    <cellStyle name="Normal 5 17 15 3 2" xfId="34404" xr:uid="{00000000-0005-0000-0000-000056860000}"/>
    <cellStyle name="Normal 5 17 15 3 3" xfId="34405" xr:uid="{00000000-0005-0000-0000-000057860000}"/>
    <cellStyle name="Normal 5 17 15 3 4" xfId="34406" xr:uid="{00000000-0005-0000-0000-000058860000}"/>
    <cellStyle name="Normal 5 17 15 3 5" xfId="34407" xr:uid="{00000000-0005-0000-0000-000059860000}"/>
    <cellStyle name="Normal 5 17 15 3 6" xfId="34408" xr:uid="{00000000-0005-0000-0000-00005A860000}"/>
    <cellStyle name="Normal 5 17 15 3 7" xfId="34409" xr:uid="{00000000-0005-0000-0000-00005B860000}"/>
    <cellStyle name="Normal 5 17 15 3 8" xfId="34410" xr:uid="{00000000-0005-0000-0000-00005C860000}"/>
    <cellStyle name="Normal 5 17 15 3 9" xfId="34411" xr:uid="{00000000-0005-0000-0000-00005D860000}"/>
    <cellStyle name="Normal 5 17 15 4" xfId="34412" xr:uid="{00000000-0005-0000-0000-00005E860000}"/>
    <cellStyle name="Normal 5 17 15 4 10" xfId="34413" xr:uid="{00000000-0005-0000-0000-00005F860000}"/>
    <cellStyle name="Normal 5 17 15 4 2" xfId="34414" xr:uid="{00000000-0005-0000-0000-000060860000}"/>
    <cellStyle name="Normal 5 17 15 4 3" xfId="34415" xr:uid="{00000000-0005-0000-0000-000061860000}"/>
    <cellStyle name="Normal 5 17 15 4 4" xfId="34416" xr:uid="{00000000-0005-0000-0000-000062860000}"/>
    <cellStyle name="Normal 5 17 15 4 5" xfId="34417" xr:uid="{00000000-0005-0000-0000-000063860000}"/>
    <cellStyle name="Normal 5 17 15 4 6" xfId="34418" xr:uid="{00000000-0005-0000-0000-000064860000}"/>
    <cellStyle name="Normal 5 17 15 4 7" xfId="34419" xr:uid="{00000000-0005-0000-0000-000065860000}"/>
    <cellStyle name="Normal 5 17 15 4 8" xfId="34420" xr:uid="{00000000-0005-0000-0000-000066860000}"/>
    <cellStyle name="Normal 5 17 15 4 9" xfId="34421" xr:uid="{00000000-0005-0000-0000-000067860000}"/>
    <cellStyle name="Normal 5 17 15 5" xfId="34422" xr:uid="{00000000-0005-0000-0000-000068860000}"/>
    <cellStyle name="Normal 5 17 15 5 10" xfId="34423" xr:uid="{00000000-0005-0000-0000-000069860000}"/>
    <cellStyle name="Normal 5 17 15 5 2" xfId="34424" xr:uid="{00000000-0005-0000-0000-00006A860000}"/>
    <cellStyle name="Normal 5 17 15 5 3" xfId="34425" xr:uid="{00000000-0005-0000-0000-00006B860000}"/>
    <cellStyle name="Normal 5 17 15 5 4" xfId="34426" xr:uid="{00000000-0005-0000-0000-00006C860000}"/>
    <cellStyle name="Normal 5 17 15 5 5" xfId="34427" xr:uid="{00000000-0005-0000-0000-00006D860000}"/>
    <cellStyle name="Normal 5 17 15 5 6" xfId="34428" xr:uid="{00000000-0005-0000-0000-00006E860000}"/>
    <cellStyle name="Normal 5 17 15 5 7" xfId="34429" xr:uid="{00000000-0005-0000-0000-00006F860000}"/>
    <cellStyle name="Normal 5 17 15 5 8" xfId="34430" xr:uid="{00000000-0005-0000-0000-000070860000}"/>
    <cellStyle name="Normal 5 17 15 5 9" xfId="34431" xr:uid="{00000000-0005-0000-0000-000071860000}"/>
    <cellStyle name="Normal 5 17 15 6" xfId="34432" xr:uid="{00000000-0005-0000-0000-000072860000}"/>
    <cellStyle name="Normal 5 17 15 7" xfId="34433" xr:uid="{00000000-0005-0000-0000-000073860000}"/>
    <cellStyle name="Normal 5 17 15 8" xfId="34434" xr:uid="{00000000-0005-0000-0000-000074860000}"/>
    <cellStyle name="Normal 5 17 15 9" xfId="34435" xr:uid="{00000000-0005-0000-0000-000075860000}"/>
    <cellStyle name="Normal 5 17 16" xfId="34436" xr:uid="{00000000-0005-0000-0000-000076860000}"/>
    <cellStyle name="Normal 5 17 16 10" xfId="34437" xr:uid="{00000000-0005-0000-0000-000077860000}"/>
    <cellStyle name="Normal 5 17 16 11" xfId="34438" xr:uid="{00000000-0005-0000-0000-000078860000}"/>
    <cellStyle name="Normal 5 17 16 12" xfId="34439" xr:uid="{00000000-0005-0000-0000-000079860000}"/>
    <cellStyle name="Normal 5 17 16 13" xfId="34440" xr:uid="{00000000-0005-0000-0000-00007A860000}"/>
    <cellStyle name="Normal 5 17 16 14" xfId="34441" xr:uid="{00000000-0005-0000-0000-00007B860000}"/>
    <cellStyle name="Normal 5 17 16 2" xfId="34442" xr:uid="{00000000-0005-0000-0000-00007C860000}"/>
    <cellStyle name="Normal 5 17 16 2 10" xfId="34443" xr:uid="{00000000-0005-0000-0000-00007D860000}"/>
    <cellStyle name="Normal 5 17 16 2 2" xfId="34444" xr:uid="{00000000-0005-0000-0000-00007E860000}"/>
    <cellStyle name="Normal 5 17 16 2 3" xfId="34445" xr:uid="{00000000-0005-0000-0000-00007F860000}"/>
    <cellStyle name="Normal 5 17 16 2 4" xfId="34446" xr:uid="{00000000-0005-0000-0000-000080860000}"/>
    <cellStyle name="Normal 5 17 16 2 5" xfId="34447" xr:uid="{00000000-0005-0000-0000-000081860000}"/>
    <cellStyle name="Normal 5 17 16 2 6" xfId="34448" xr:uid="{00000000-0005-0000-0000-000082860000}"/>
    <cellStyle name="Normal 5 17 16 2 7" xfId="34449" xr:uid="{00000000-0005-0000-0000-000083860000}"/>
    <cellStyle name="Normal 5 17 16 2 8" xfId="34450" xr:uid="{00000000-0005-0000-0000-000084860000}"/>
    <cellStyle name="Normal 5 17 16 2 9" xfId="34451" xr:uid="{00000000-0005-0000-0000-000085860000}"/>
    <cellStyle name="Normal 5 17 16 3" xfId="34452" xr:uid="{00000000-0005-0000-0000-000086860000}"/>
    <cellStyle name="Normal 5 17 16 3 10" xfId="34453" xr:uid="{00000000-0005-0000-0000-000087860000}"/>
    <cellStyle name="Normal 5 17 16 3 2" xfId="34454" xr:uid="{00000000-0005-0000-0000-000088860000}"/>
    <cellStyle name="Normal 5 17 16 3 3" xfId="34455" xr:uid="{00000000-0005-0000-0000-000089860000}"/>
    <cellStyle name="Normal 5 17 16 3 4" xfId="34456" xr:uid="{00000000-0005-0000-0000-00008A860000}"/>
    <cellStyle name="Normal 5 17 16 3 5" xfId="34457" xr:uid="{00000000-0005-0000-0000-00008B860000}"/>
    <cellStyle name="Normal 5 17 16 3 6" xfId="34458" xr:uid="{00000000-0005-0000-0000-00008C860000}"/>
    <cellStyle name="Normal 5 17 16 3 7" xfId="34459" xr:uid="{00000000-0005-0000-0000-00008D860000}"/>
    <cellStyle name="Normal 5 17 16 3 8" xfId="34460" xr:uid="{00000000-0005-0000-0000-00008E860000}"/>
    <cellStyle name="Normal 5 17 16 3 9" xfId="34461" xr:uid="{00000000-0005-0000-0000-00008F860000}"/>
    <cellStyle name="Normal 5 17 16 4" xfId="34462" xr:uid="{00000000-0005-0000-0000-000090860000}"/>
    <cellStyle name="Normal 5 17 16 4 10" xfId="34463" xr:uid="{00000000-0005-0000-0000-000091860000}"/>
    <cellStyle name="Normal 5 17 16 4 2" xfId="34464" xr:uid="{00000000-0005-0000-0000-000092860000}"/>
    <cellStyle name="Normal 5 17 16 4 3" xfId="34465" xr:uid="{00000000-0005-0000-0000-000093860000}"/>
    <cellStyle name="Normal 5 17 16 4 4" xfId="34466" xr:uid="{00000000-0005-0000-0000-000094860000}"/>
    <cellStyle name="Normal 5 17 16 4 5" xfId="34467" xr:uid="{00000000-0005-0000-0000-000095860000}"/>
    <cellStyle name="Normal 5 17 16 4 6" xfId="34468" xr:uid="{00000000-0005-0000-0000-000096860000}"/>
    <cellStyle name="Normal 5 17 16 4 7" xfId="34469" xr:uid="{00000000-0005-0000-0000-000097860000}"/>
    <cellStyle name="Normal 5 17 16 4 8" xfId="34470" xr:uid="{00000000-0005-0000-0000-000098860000}"/>
    <cellStyle name="Normal 5 17 16 4 9" xfId="34471" xr:uid="{00000000-0005-0000-0000-000099860000}"/>
    <cellStyle name="Normal 5 17 16 5" xfId="34472" xr:uid="{00000000-0005-0000-0000-00009A860000}"/>
    <cellStyle name="Normal 5 17 16 5 10" xfId="34473" xr:uid="{00000000-0005-0000-0000-00009B860000}"/>
    <cellStyle name="Normal 5 17 16 5 2" xfId="34474" xr:uid="{00000000-0005-0000-0000-00009C860000}"/>
    <cellStyle name="Normal 5 17 16 5 3" xfId="34475" xr:uid="{00000000-0005-0000-0000-00009D860000}"/>
    <cellStyle name="Normal 5 17 16 5 4" xfId="34476" xr:uid="{00000000-0005-0000-0000-00009E860000}"/>
    <cellStyle name="Normal 5 17 16 5 5" xfId="34477" xr:uid="{00000000-0005-0000-0000-00009F860000}"/>
    <cellStyle name="Normal 5 17 16 5 6" xfId="34478" xr:uid="{00000000-0005-0000-0000-0000A0860000}"/>
    <cellStyle name="Normal 5 17 16 5 7" xfId="34479" xr:uid="{00000000-0005-0000-0000-0000A1860000}"/>
    <cellStyle name="Normal 5 17 16 5 8" xfId="34480" xr:uid="{00000000-0005-0000-0000-0000A2860000}"/>
    <cellStyle name="Normal 5 17 16 5 9" xfId="34481" xr:uid="{00000000-0005-0000-0000-0000A3860000}"/>
    <cellStyle name="Normal 5 17 16 6" xfId="34482" xr:uid="{00000000-0005-0000-0000-0000A4860000}"/>
    <cellStyle name="Normal 5 17 16 7" xfId="34483" xr:uid="{00000000-0005-0000-0000-0000A5860000}"/>
    <cellStyle name="Normal 5 17 16 8" xfId="34484" xr:uid="{00000000-0005-0000-0000-0000A6860000}"/>
    <cellStyle name="Normal 5 17 16 9" xfId="34485" xr:uid="{00000000-0005-0000-0000-0000A7860000}"/>
    <cellStyle name="Normal 5 17 17" xfId="34486" xr:uid="{00000000-0005-0000-0000-0000A8860000}"/>
    <cellStyle name="Normal 5 17 17 10" xfId="34487" xr:uid="{00000000-0005-0000-0000-0000A9860000}"/>
    <cellStyle name="Normal 5 17 17 11" xfId="34488" xr:uid="{00000000-0005-0000-0000-0000AA860000}"/>
    <cellStyle name="Normal 5 17 17 12" xfId="34489" xr:uid="{00000000-0005-0000-0000-0000AB860000}"/>
    <cellStyle name="Normal 5 17 17 13" xfId="34490" xr:uid="{00000000-0005-0000-0000-0000AC860000}"/>
    <cellStyle name="Normal 5 17 17 14" xfId="34491" xr:uid="{00000000-0005-0000-0000-0000AD860000}"/>
    <cellStyle name="Normal 5 17 17 2" xfId="34492" xr:uid="{00000000-0005-0000-0000-0000AE860000}"/>
    <cellStyle name="Normal 5 17 17 2 10" xfId="34493" xr:uid="{00000000-0005-0000-0000-0000AF860000}"/>
    <cellStyle name="Normal 5 17 17 2 2" xfId="34494" xr:uid="{00000000-0005-0000-0000-0000B0860000}"/>
    <cellStyle name="Normal 5 17 17 2 3" xfId="34495" xr:uid="{00000000-0005-0000-0000-0000B1860000}"/>
    <cellStyle name="Normal 5 17 17 2 4" xfId="34496" xr:uid="{00000000-0005-0000-0000-0000B2860000}"/>
    <cellStyle name="Normal 5 17 17 2 5" xfId="34497" xr:uid="{00000000-0005-0000-0000-0000B3860000}"/>
    <cellStyle name="Normal 5 17 17 2 6" xfId="34498" xr:uid="{00000000-0005-0000-0000-0000B4860000}"/>
    <cellStyle name="Normal 5 17 17 2 7" xfId="34499" xr:uid="{00000000-0005-0000-0000-0000B5860000}"/>
    <cellStyle name="Normal 5 17 17 2 8" xfId="34500" xr:uid="{00000000-0005-0000-0000-0000B6860000}"/>
    <cellStyle name="Normal 5 17 17 2 9" xfId="34501" xr:uid="{00000000-0005-0000-0000-0000B7860000}"/>
    <cellStyle name="Normal 5 17 17 3" xfId="34502" xr:uid="{00000000-0005-0000-0000-0000B8860000}"/>
    <cellStyle name="Normal 5 17 17 3 10" xfId="34503" xr:uid="{00000000-0005-0000-0000-0000B9860000}"/>
    <cellStyle name="Normal 5 17 17 3 2" xfId="34504" xr:uid="{00000000-0005-0000-0000-0000BA860000}"/>
    <cellStyle name="Normal 5 17 17 3 3" xfId="34505" xr:uid="{00000000-0005-0000-0000-0000BB860000}"/>
    <cellStyle name="Normal 5 17 17 3 4" xfId="34506" xr:uid="{00000000-0005-0000-0000-0000BC860000}"/>
    <cellStyle name="Normal 5 17 17 3 5" xfId="34507" xr:uid="{00000000-0005-0000-0000-0000BD860000}"/>
    <cellStyle name="Normal 5 17 17 3 6" xfId="34508" xr:uid="{00000000-0005-0000-0000-0000BE860000}"/>
    <cellStyle name="Normal 5 17 17 3 7" xfId="34509" xr:uid="{00000000-0005-0000-0000-0000BF860000}"/>
    <cellStyle name="Normal 5 17 17 3 8" xfId="34510" xr:uid="{00000000-0005-0000-0000-0000C0860000}"/>
    <cellStyle name="Normal 5 17 17 3 9" xfId="34511" xr:uid="{00000000-0005-0000-0000-0000C1860000}"/>
    <cellStyle name="Normal 5 17 17 4" xfId="34512" xr:uid="{00000000-0005-0000-0000-0000C2860000}"/>
    <cellStyle name="Normal 5 17 17 4 10" xfId="34513" xr:uid="{00000000-0005-0000-0000-0000C3860000}"/>
    <cellStyle name="Normal 5 17 17 4 2" xfId="34514" xr:uid="{00000000-0005-0000-0000-0000C4860000}"/>
    <cellStyle name="Normal 5 17 17 4 3" xfId="34515" xr:uid="{00000000-0005-0000-0000-0000C5860000}"/>
    <cellStyle name="Normal 5 17 17 4 4" xfId="34516" xr:uid="{00000000-0005-0000-0000-0000C6860000}"/>
    <cellStyle name="Normal 5 17 17 4 5" xfId="34517" xr:uid="{00000000-0005-0000-0000-0000C7860000}"/>
    <cellStyle name="Normal 5 17 17 4 6" xfId="34518" xr:uid="{00000000-0005-0000-0000-0000C8860000}"/>
    <cellStyle name="Normal 5 17 17 4 7" xfId="34519" xr:uid="{00000000-0005-0000-0000-0000C9860000}"/>
    <cellStyle name="Normal 5 17 17 4 8" xfId="34520" xr:uid="{00000000-0005-0000-0000-0000CA860000}"/>
    <cellStyle name="Normal 5 17 17 4 9" xfId="34521" xr:uid="{00000000-0005-0000-0000-0000CB860000}"/>
    <cellStyle name="Normal 5 17 17 5" xfId="34522" xr:uid="{00000000-0005-0000-0000-0000CC860000}"/>
    <cellStyle name="Normal 5 17 17 5 10" xfId="34523" xr:uid="{00000000-0005-0000-0000-0000CD860000}"/>
    <cellStyle name="Normal 5 17 17 5 2" xfId="34524" xr:uid="{00000000-0005-0000-0000-0000CE860000}"/>
    <cellStyle name="Normal 5 17 17 5 3" xfId="34525" xr:uid="{00000000-0005-0000-0000-0000CF860000}"/>
    <cellStyle name="Normal 5 17 17 5 4" xfId="34526" xr:uid="{00000000-0005-0000-0000-0000D0860000}"/>
    <cellStyle name="Normal 5 17 17 5 5" xfId="34527" xr:uid="{00000000-0005-0000-0000-0000D1860000}"/>
    <cellStyle name="Normal 5 17 17 5 6" xfId="34528" xr:uid="{00000000-0005-0000-0000-0000D2860000}"/>
    <cellStyle name="Normal 5 17 17 5 7" xfId="34529" xr:uid="{00000000-0005-0000-0000-0000D3860000}"/>
    <cellStyle name="Normal 5 17 17 5 8" xfId="34530" xr:uid="{00000000-0005-0000-0000-0000D4860000}"/>
    <cellStyle name="Normal 5 17 17 5 9" xfId="34531" xr:uid="{00000000-0005-0000-0000-0000D5860000}"/>
    <cellStyle name="Normal 5 17 17 6" xfId="34532" xr:uid="{00000000-0005-0000-0000-0000D6860000}"/>
    <cellStyle name="Normal 5 17 17 7" xfId="34533" xr:uid="{00000000-0005-0000-0000-0000D7860000}"/>
    <cellStyle name="Normal 5 17 17 8" xfId="34534" xr:uid="{00000000-0005-0000-0000-0000D8860000}"/>
    <cellStyle name="Normal 5 17 17 9" xfId="34535" xr:uid="{00000000-0005-0000-0000-0000D9860000}"/>
    <cellStyle name="Normal 5 17 18" xfId="34536" xr:uid="{00000000-0005-0000-0000-0000DA860000}"/>
    <cellStyle name="Normal 5 17 18 10" xfId="34537" xr:uid="{00000000-0005-0000-0000-0000DB860000}"/>
    <cellStyle name="Normal 5 17 18 11" xfId="34538" xr:uid="{00000000-0005-0000-0000-0000DC860000}"/>
    <cellStyle name="Normal 5 17 18 12" xfId="34539" xr:uid="{00000000-0005-0000-0000-0000DD860000}"/>
    <cellStyle name="Normal 5 17 18 13" xfId="34540" xr:uid="{00000000-0005-0000-0000-0000DE860000}"/>
    <cellStyle name="Normal 5 17 18 14" xfId="34541" xr:uid="{00000000-0005-0000-0000-0000DF860000}"/>
    <cellStyle name="Normal 5 17 18 2" xfId="34542" xr:uid="{00000000-0005-0000-0000-0000E0860000}"/>
    <cellStyle name="Normal 5 17 18 2 10" xfId="34543" xr:uid="{00000000-0005-0000-0000-0000E1860000}"/>
    <cellStyle name="Normal 5 17 18 2 2" xfId="34544" xr:uid="{00000000-0005-0000-0000-0000E2860000}"/>
    <cellStyle name="Normal 5 17 18 2 3" xfId="34545" xr:uid="{00000000-0005-0000-0000-0000E3860000}"/>
    <cellStyle name="Normal 5 17 18 2 4" xfId="34546" xr:uid="{00000000-0005-0000-0000-0000E4860000}"/>
    <cellStyle name="Normal 5 17 18 2 5" xfId="34547" xr:uid="{00000000-0005-0000-0000-0000E5860000}"/>
    <cellStyle name="Normal 5 17 18 2 6" xfId="34548" xr:uid="{00000000-0005-0000-0000-0000E6860000}"/>
    <cellStyle name="Normal 5 17 18 2 7" xfId="34549" xr:uid="{00000000-0005-0000-0000-0000E7860000}"/>
    <cellStyle name="Normal 5 17 18 2 8" xfId="34550" xr:uid="{00000000-0005-0000-0000-0000E8860000}"/>
    <cellStyle name="Normal 5 17 18 2 9" xfId="34551" xr:uid="{00000000-0005-0000-0000-0000E9860000}"/>
    <cellStyle name="Normal 5 17 18 3" xfId="34552" xr:uid="{00000000-0005-0000-0000-0000EA860000}"/>
    <cellStyle name="Normal 5 17 18 3 10" xfId="34553" xr:uid="{00000000-0005-0000-0000-0000EB860000}"/>
    <cellStyle name="Normal 5 17 18 3 2" xfId="34554" xr:uid="{00000000-0005-0000-0000-0000EC860000}"/>
    <cellStyle name="Normal 5 17 18 3 3" xfId="34555" xr:uid="{00000000-0005-0000-0000-0000ED860000}"/>
    <cellStyle name="Normal 5 17 18 3 4" xfId="34556" xr:uid="{00000000-0005-0000-0000-0000EE860000}"/>
    <cellStyle name="Normal 5 17 18 3 5" xfId="34557" xr:uid="{00000000-0005-0000-0000-0000EF860000}"/>
    <cellStyle name="Normal 5 17 18 3 6" xfId="34558" xr:uid="{00000000-0005-0000-0000-0000F0860000}"/>
    <cellStyle name="Normal 5 17 18 3 7" xfId="34559" xr:uid="{00000000-0005-0000-0000-0000F1860000}"/>
    <cellStyle name="Normal 5 17 18 3 8" xfId="34560" xr:uid="{00000000-0005-0000-0000-0000F2860000}"/>
    <cellStyle name="Normal 5 17 18 3 9" xfId="34561" xr:uid="{00000000-0005-0000-0000-0000F3860000}"/>
    <cellStyle name="Normal 5 17 18 4" xfId="34562" xr:uid="{00000000-0005-0000-0000-0000F4860000}"/>
    <cellStyle name="Normal 5 17 18 4 10" xfId="34563" xr:uid="{00000000-0005-0000-0000-0000F5860000}"/>
    <cellStyle name="Normal 5 17 18 4 2" xfId="34564" xr:uid="{00000000-0005-0000-0000-0000F6860000}"/>
    <cellStyle name="Normal 5 17 18 4 3" xfId="34565" xr:uid="{00000000-0005-0000-0000-0000F7860000}"/>
    <cellStyle name="Normal 5 17 18 4 4" xfId="34566" xr:uid="{00000000-0005-0000-0000-0000F8860000}"/>
    <cellStyle name="Normal 5 17 18 4 5" xfId="34567" xr:uid="{00000000-0005-0000-0000-0000F9860000}"/>
    <cellStyle name="Normal 5 17 18 4 6" xfId="34568" xr:uid="{00000000-0005-0000-0000-0000FA860000}"/>
    <cellStyle name="Normal 5 17 18 4 7" xfId="34569" xr:uid="{00000000-0005-0000-0000-0000FB860000}"/>
    <cellStyle name="Normal 5 17 18 4 8" xfId="34570" xr:uid="{00000000-0005-0000-0000-0000FC860000}"/>
    <cellStyle name="Normal 5 17 18 4 9" xfId="34571" xr:uid="{00000000-0005-0000-0000-0000FD860000}"/>
    <cellStyle name="Normal 5 17 18 5" xfId="34572" xr:uid="{00000000-0005-0000-0000-0000FE860000}"/>
    <cellStyle name="Normal 5 17 18 5 10" xfId="34573" xr:uid="{00000000-0005-0000-0000-0000FF860000}"/>
    <cellStyle name="Normal 5 17 18 5 2" xfId="34574" xr:uid="{00000000-0005-0000-0000-000000870000}"/>
    <cellStyle name="Normal 5 17 18 5 3" xfId="34575" xr:uid="{00000000-0005-0000-0000-000001870000}"/>
    <cellStyle name="Normal 5 17 18 5 4" xfId="34576" xr:uid="{00000000-0005-0000-0000-000002870000}"/>
    <cellStyle name="Normal 5 17 18 5 5" xfId="34577" xr:uid="{00000000-0005-0000-0000-000003870000}"/>
    <cellStyle name="Normal 5 17 18 5 6" xfId="34578" xr:uid="{00000000-0005-0000-0000-000004870000}"/>
    <cellStyle name="Normal 5 17 18 5 7" xfId="34579" xr:uid="{00000000-0005-0000-0000-000005870000}"/>
    <cellStyle name="Normal 5 17 18 5 8" xfId="34580" xr:uid="{00000000-0005-0000-0000-000006870000}"/>
    <cellStyle name="Normal 5 17 18 5 9" xfId="34581" xr:uid="{00000000-0005-0000-0000-000007870000}"/>
    <cellStyle name="Normal 5 17 18 6" xfId="34582" xr:uid="{00000000-0005-0000-0000-000008870000}"/>
    <cellStyle name="Normal 5 17 18 7" xfId="34583" xr:uid="{00000000-0005-0000-0000-000009870000}"/>
    <cellStyle name="Normal 5 17 18 8" xfId="34584" xr:uid="{00000000-0005-0000-0000-00000A870000}"/>
    <cellStyle name="Normal 5 17 18 9" xfId="34585" xr:uid="{00000000-0005-0000-0000-00000B870000}"/>
    <cellStyle name="Normal 5 17 19" xfId="34586" xr:uid="{00000000-0005-0000-0000-00000C870000}"/>
    <cellStyle name="Normal 5 17 19 10" xfId="34587" xr:uid="{00000000-0005-0000-0000-00000D870000}"/>
    <cellStyle name="Normal 5 17 19 11" xfId="34588" xr:uid="{00000000-0005-0000-0000-00000E870000}"/>
    <cellStyle name="Normal 5 17 19 12" xfId="34589" xr:uid="{00000000-0005-0000-0000-00000F870000}"/>
    <cellStyle name="Normal 5 17 19 13" xfId="34590" xr:uid="{00000000-0005-0000-0000-000010870000}"/>
    <cellStyle name="Normal 5 17 19 14" xfId="34591" xr:uid="{00000000-0005-0000-0000-000011870000}"/>
    <cellStyle name="Normal 5 17 19 2" xfId="34592" xr:uid="{00000000-0005-0000-0000-000012870000}"/>
    <cellStyle name="Normal 5 17 19 2 10" xfId="34593" xr:uid="{00000000-0005-0000-0000-000013870000}"/>
    <cellStyle name="Normal 5 17 19 2 2" xfId="34594" xr:uid="{00000000-0005-0000-0000-000014870000}"/>
    <cellStyle name="Normal 5 17 19 2 3" xfId="34595" xr:uid="{00000000-0005-0000-0000-000015870000}"/>
    <cellStyle name="Normal 5 17 19 2 4" xfId="34596" xr:uid="{00000000-0005-0000-0000-000016870000}"/>
    <cellStyle name="Normal 5 17 19 2 5" xfId="34597" xr:uid="{00000000-0005-0000-0000-000017870000}"/>
    <cellStyle name="Normal 5 17 19 2 6" xfId="34598" xr:uid="{00000000-0005-0000-0000-000018870000}"/>
    <cellStyle name="Normal 5 17 19 2 7" xfId="34599" xr:uid="{00000000-0005-0000-0000-000019870000}"/>
    <cellStyle name="Normal 5 17 19 2 8" xfId="34600" xr:uid="{00000000-0005-0000-0000-00001A870000}"/>
    <cellStyle name="Normal 5 17 19 2 9" xfId="34601" xr:uid="{00000000-0005-0000-0000-00001B870000}"/>
    <cellStyle name="Normal 5 17 19 3" xfId="34602" xr:uid="{00000000-0005-0000-0000-00001C870000}"/>
    <cellStyle name="Normal 5 17 19 3 10" xfId="34603" xr:uid="{00000000-0005-0000-0000-00001D870000}"/>
    <cellStyle name="Normal 5 17 19 3 2" xfId="34604" xr:uid="{00000000-0005-0000-0000-00001E870000}"/>
    <cellStyle name="Normal 5 17 19 3 3" xfId="34605" xr:uid="{00000000-0005-0000-0000-00001F870000}"/>
    <cellStyle name="Normal 5 17 19 3 4" xfId="34606" xr:uid="{00000000-0005-0000-0000-000020870000}"/>
    <cellStyle name="Normal 5 17 19 3 5" xfId="34607" xr:uid="{00000000-0005-0000-0000-000021870000}"/>
    <cellStyle name="Normal 5 17 19 3 6" xfId="34608" xr:uid="{00000000-0005-0000-0000-000022870000}"/>
    <cellStyle name="Normal 5 17 19 3 7" xfId="34609" xr:uid="{00000000-0005-0000-0000-000023870000}"/>
    <cellStyle name="Normal 5 17 19 3 8" xfId="34610" xr:uid="{00000000-0005-0000-0000-000024870000}"/>
    <cellStyle name="Normal 5 17 19 3 9" xfId="34611" xr:uid="{00000000-0005-0000-0000-000025870000}"/>
    <cellStyle name="Normal 5 17 19 4" xfId="34612" xr:uid="{00000000-0005-0000-0000-000026870000}"/>
    <cellStyle name="Normal 5 17 19 4 10" xfId="34613" xr:uid="{00000000-0005-0000-0000-000027870000}"/>
    <cellStyle name="Normal 5 17 19 4 2" xfId="34614" xr:uid="{00000000-0005-0000-0000-000028870000}"/>
    <cellStyle name="Normal 5 17 19 4 3" xfId="34615" xr:uid="{00000000-0005-0000-0000-000029870000}"/>
    <cellStyle name="Normal 5 17 19 4 4" xfId="34616" xr:uid="{00000000-0005-0000-0000-00002A870000}"/>
    <cellStyle name="Normal 5 17 19 4 5" xfId="34617" xr:uid="{00000000-0005-0000-0000-00002B870000}"/>
    <cellStyle name="Normal 5 17 19 4 6" xfId="34618" xr:uid="{00000000-0005-0000-0000-00002C870000}"/>
    <cellStyle name="Normal 5 17 19 4 7" xfId="34619" xr:uid="{00000000-0005-0000-0000-00002D870000}"/>
    <cellStyle name="Normal 5 17 19 4 8" xfId="34620" xr:uid="{00000000-0005-0000-0000-00002E870000}"/>
    <cellStyle name="Normal 5 17 19 4 9" xfId="34621" xr:uid="{00000000-0005-0000-0000-00002F870000}"/>
    <cellStyle name="Normal 5 17 19 5" xfId="34622" xr:uid="{00000000-0005-0000-0000-000030870000}"/>
    <cellStyle name="Normal 5 17 19 5 10" xfId="34623" xr:uid="{00000000-0005-0000-0000-000031870000}"/>
    <cellStyle name="Normal 5 17 19 5 2" xfId="34624" xr:uid="{00000000-0005-0000-0000-000032870000}"/>
    <cellStyle name="Normal 5 17 19 5 3" xfId="34625" xr:uid="{00000000-0005-0000-0000-000033870000}"/>
    <cellStyle name="Normal 5 17 19 5 4" xfId="34626" xr:uid="{00000000-0005-0000-0000-000034870000}"/>
    <cellStyle name="Normal 5 17 19 5 5" xfId="34627" xr:uid="{00000000-0005-0000-0000-000035870000}"/>
    <cellStyle name="Normal 5 17 19 5 6" xfId="34628" xr:uid="{00000000-0005-0000-0000-000036870000}"/>
    <cellStyle name="Normal 5 17 19 5 7" xfId="34629" xr:uid="{00000000-0005-0000-0000-000037870000}"/>
    <cellStyle name="Normal 5 17 19 5 8" xfId="34630" xr:uid="{00000000-0005-0000-0000-000038870000}"/>
    <cellStyle name="Normal 5 17 19 5 9" xfId="34631" xr:uid="{00000000-0005-0000-0000-000039870000}"/>
    <cellStyle name="Normal 5 17 19 6" xfId="34632" xr:uid="{00000000-0005-0000-0000-00003A870000}"/>
    <cellStyle name="Normal 5 17 19 7" xfId="34633" xr:uid="{00000000-0005-0000-0000-00003B870000}"/>
    <cellStyle name="Normal 5 17 19 8" xfId="34634" xr:uid="{00000000-0005-0000-0000-00003C870000}"/>
    <cellStyle name="Normal 5 17 19 9" xfId="34635" xr:uid="{00000000-0005-0000-0000-00003D870000}"/>
    <cellStyle name="Normal 5 17 2" xfId="34636" xr:uid="{00000000-0005-0000-0000-00003E870000}"/>
    <cellStyle name="Normal 5 17 2 10" xfId="34637" xr:uid="{00000000-0005-0000-0000-00003F870000}"/>
    <cellStyle name="Normal 5 17 2 10 10" xfId="34638" xr:uid="{00000000-0005-0000-0000-000040870000}"/>
    <cellStyle name="Normal 5 17 2 10 11" xfId="34639" xr:uid="{00000000-0005-0000-0000-000041870000}"/>
    <cellStyle name="Normal 5 17 2 10 12" xfId="34640" xr:uid="{00000000-0005-0000-0000-000042870000}"/>
    <cellStyle name="Normal 5 17 2 10 13" xfId="34641" xr:uid="{00000000-0005-0000-0000-000043870000}"/>
    <cellStyle name="Normal 5 17 2 10 14" xfId="34642" xr:uid="{00000000-0005-0000-0000-000044870000}"/>
    <cellStyle name="Normal 5 17 2 10 2" xfId="34643" xr:uid="{00000000-0005-0000-0000-000045870000}"/>
    <cellStyle name="Normal 5 17 2 10 2 10" xfId="34644" xr:uid="{00000000-0005-0000-0000-000046870000}"/>
    <cellStyle name="Normal 5 17 2 10 2 2" xfId="34645" xr:uid="{00000000-0005-0000-0000-000047870000}"/>
    <cellStyle name="Normal 5 17 2 10 2 3" xfId="34646" xr:uid="{00000000-0005-0000-0000-000048870000}"/>
    <cellStyle name="Normal 5 17 2 10 2 4" xfId="34647" xr:uid="{00000000-0005-0000-0000-000049870000}"/>
    <cellStyle name="Normal 5 17 2 10 2 5" xfId="34648" xr:uid="{00000000-0005-0000-0000-00004A870000}"/>
    <cellStyle name="Normal 5 17 2 10 2 6" xfId="34649" xr:uid="{00000000-0005-0000-0000-00004B870000}"/>
    <cellStyle name="Normal 5 17 2 10 2 7" xfId="34650" xr:uid="{00000000-0005-0000-0000-00004C870000}"/>
    <cellStyle name="Normal 5 17 2 10 2 8" xfId="34651" xr:uid="{00000000-0005-0000-0000-00004D870000}"/>
    <cellStyle name="Normal 5 17 2 10 2 9" xfId="34652" xr:uid="{00000000-0005-0000-0000-00004E870000}"/>
    <cellStyle name="Normal 5 17 2 10 3" xfId="34653" xr:uid="{00000000-0005-0000-0000-00004F870000}"/>
    <cellStyle name="Normal 5 17 2 10 3 10" xfId="34654" xr:uid="{00000000-0005-0000-0000-000050870000}"/>
    <cellStyle name="Normal 5 17 2 10 3 2" xfId="34655" xr:uid="{00000000-0005-0000-0000-000051870000}"/>
    <cellStyle name="Normal 5 17 2 10 3 3" xfId="34656" xr:uid="{00000000-0005-0000-0000-000052870000}"/>
    <cellStyle name="Normal 5 17 2 10 3 4" xfId="34657" xr:uid="{00000000-0005-0000-0000-000053870000}"/>
    <cellStyle name="Normal 5 17 2 10 3 5" xfId="34658" xr:uid="{00000000-0005-0000-0000-000054870000}"/>
    <cellStyle name="Normal 5 17 2 10 3 6" xfId="34659" xr:uid="{00000000-0005-0000-0000-000055870000}"/>
    <cellStyle name="Normal 5 17 2 10 3 7" xfId="34660" xr:uid="{00000000-0005-0000-0000-000056870000}"/>
    <cellStyle name="Normal 5 17 2 10 3 8" xfId="34661" xr:uid="{00000000-0005-0000-0000-000057870000}"/>
    <cellStyle name="Normal 5 17 2 10 3 9" xfId="34662" xr:uid="{00000000-0005-0000-0000-000058870000}"/>
    <cellStyle name="Normal 5 17 2 10 4" xfId="34663" xr:uid="{00000000-0005-0000-0000-000059870000}"/>
    <cellStyle name="Normal 5 17 2 10 4 10" xfId="34664" xr:uid="{00000000-0005-0000-0000-00005A870000}"/>
    <cellStyle name="Normal 5 17 2 10 4 2" xfId="34665" xr:uid="{00000000-0005-0000-0000-00005B870000}"/>
    <cellStyle name="Normal 5 17 2 10 4 3" xfId="34666" xr:uid="{00000000-0005-0000-0000-00005C870000}"/>
    <cellStyle name="Normal 5 17 2 10 4 4" xfId="34667" xr:uid="{00000000-0005-0000-0000-00005D870000}"/>
    <cellStyle name="Normal 5 17 2 10 4 5" xfId="34668" xr:uid="{00000000-0005-0000-0000-00005E870000}"/>
    <cellStyle name="Normal 5 17 2 10 4 6" xfId="34669" xr:uid="{00000000-0005-0000-0000-00005F870000}"/>
    <cellStyle name="Normal 5 17 2 10 4 7" xfId="34670" xr:uid="{00000000-0005-0000-0000-000060870000}"/>
    <cellStyle name="Normal 5 17 2 10 4 8" xfId="34671" xr:uid="{00000000-0005-0000-0000-000061870000}"/>
    <cellStyle name="Normal 5 17 2 10 4 9" xfId="34672" xr:uid="{00000000-0005-0000-0000-000062870000}"/>
    <cellStyle name="Normal 5 17 2 10 5" xfId="34673" xr:uid="{00000000-0005-0000-0000-000063870000}"/>
    <cellStyle name="Normal 5 17 2 10 5 10" xfId="34674" xr:uid="{00000000-0005-0000-0000-000064870000}"/>
    <cellStyle name="Normal 5 17 2 10 5 2" xfId="34675" xr:uid="{00000000-0005-0000-0000-000065870000}"/>
    <cellStyle name="Normal 5 17 2 10 5 3" xfId="34676" xr:uid="{00000000-0005-0000-0000-000066870000}"/>
    <cellStyle name="Normal 5 17 2 10 5 4" xfId="34677" xr:uid="{00000000-0005-0000-0000-000067870000}"/>
    <cellStyle name="Normal 5 17 2 10 5 5" xfId="34678" xr:uid="{00000000-0005-0000-0000-000068870000}"/>
    <cellStyle name="Normal 5 17 2 10 5 6" xfId="34679" xr:uid="{00000000-0005-0000-0000-000069870000}"/>
    <cellStyle name="Normal 5 17 2 10 5 7" xfId="34680" xr:uid="{00000000-0005-0000-0000-00006A870000}"/>
    <cellStyle name="Normal 5 17 2 10 5 8" xfId="34681" xr:uid="{00000000-0005-0000-0000-00006B870000}"/>
    <cellStyle name="Normal 5 17 2 10 5 9" xfId="34682" xr:uid="{00000000-0005-0000-0000-00006C870000}"/>
    <cellStyle name="Normal 5 17 2 10 6" xfId="34683" xr:uid="{00000000-0005-0000-0000-00006D870000}"/>
    <cellStyle name="Normal 5 17 2 10 7" xfId="34684" xr:uid="{00000000-0005-0000-0000-00006E870000}"/>
    <cellStyle name="Normal 5 17 2 10 8" xfId="34685" xr:uid="{00000000-0005-0000-0000-00006F870000}"/>
    <cellStyle name="Normal 5 17 2 10 9" xfId="34686" xr:uid="{00000000-0005-0000-0000-000070870000}"/>
    <cellStyle name="Normal 5 17 2 11" xfId="34687" xr:uid="{00000000-0005-0000-0000-000071870000}"/>
    <cellStyle name="Normal 5 17 2 11 10" xfId="34688" xr:uid="{00000000-0005-0000-0000-000072870000}"/>
    <cellStyle name="Normal 5 17 2 11 11" xfId="34689" xr:uid="{00000000-0005-0000-0000-000073870000}"/>
    <cellStyle name="Normal 5 17 2 11 12" xfId="34690" xr:uid="{00000000-0005-0000-0000-000074870000}"/>
    <cellStyle name="Normal 5 17 2 11 13" xfId="34691" xr:uid="{00000000-0005-0000-0000-000075870000}"/>
    <cellStyle name="Normal 5 17 2 11 14" xfId="34692" xr:uid="{00000000-0005-0000-0000-000076870000}"/>
    <cellStyle name="Normal 5 17 2 11 2" xfId="34693" xr:uid="{00000000-0005-0000-0000-000077870000}"/>
    <cellStyle name="Normal 5 17 2 11 2 10" xfId="34694" xr:uid="{00000000-0005-0000-0000-000078870000}"/>
    <cellStyle name="Normal 5 17 2 11 2 2" xfId="34695" xr:uid="{00000000-0005-0000-0000-000079870000}"/>
    <cellStyle name="Normal 5 17 2 11 2 3" xfId="34696" xr:uid="{00000000-0005-0000-0000-00007A870000}"/>
    <cellStyle name="Normal 5 17 2 11 2 4" xfId="34697" xr:uid="{00000000-0005-0000-0000-00007B870000}"/>
    <cellStyle name="Normal 5 17 2 11 2 5" xfId="34698" xr:uid="{00000000-0005-0000-0000-00007C870000}"/>
    <cellStyle name="Normal 5 17 2 11 2 6" xfId="34699" xr:uid="{00000000-0005-0000-0000-00007D870000}"/>
    <cellStyle name="Normal 5 17 2 11 2 7" xfId="34700" xr:uid="{00000000-0005-0000-0000-00007E870000}"/>
    <cellStyle name="Normal 5 17 2 11 2 8" xfId="34701" xr:uid="{00000000-0005-0000-0000-00007F870000}"/>
    <cellStyle name="Normal 5 17 2 11 2 9" xfId="34702" xr:uid="{00000000-0005-0000-0000-000080870000}"/>
    <cellStyle name="Normal 5 17 2 11 3" xfId="34703" xr:uid="{00000000-0005-0000-0000-000081870000}"/>
    <cellStyle name="Normal 5 17 2 11 3 10" xfId="34704" xr:uid="{00000000-0005-0000-0000-000082870000}"/>
    <cellStyle name="Normal 5 17 2 11 3 2" xfId="34705" xr:uid="{00000000-0005-0000-0000-000083870000}"/>
    <cellStyle name="Normal 5 17 2 11 3 3" xfId="34706" xr:uid="{00000000-0005-0000-0000-000084870000}"/>
    <cellStyle name="Normal 5 17 2 11 3 4" xfId="34707" xr:uid="{00000000-0005-0000-0000-000085870000}"/>
    <cellStyle name="Normal 5 17 2 11 3 5" xfId="34708" xr:uid="{00000000-0005-0000-0000-000086870000}"/>
    <cellStyle name="Normal 5 17 2 11 3 6" xfId="34709" xr:uid="{00000000-0005-0000-0000-000087870000}"/>
    <cellStyle name="Normal 5 17 2 11 3 7" xfId="34710" xr:uid="{00000000-0005-0000-0000-000088870000}"/>
    <cellStyle name="Normal 5 17 2 11 3 8" xfId="34711" xr:uid="{00000000-0005-0000-0000-000089870000}"/>
    <cellStyle name="Normal 5 17 2 11 3 9" xfId="34712" xr:uid="{00000000-0005-0000-0000-00008A870000}"/>
    <cellStyle name="Normal 5 17 2 11 4" xfId="34713" xr:uid="{00000000-0005-0000-0000-00008B870000}"/>
    <cellStyle name="Normal 5 17 2 11 4 10" xfId="34714" xr:uid="{00000000-0005-0000-0000-00008C870000}"/>
    <cellStyle name="Normal 5 17 2 11 4 2" xfId="34715" xr:uid="{00000000-0005-0000-0000-00008D870000}"/>
    <cellStyle name="Normal 5 17 2 11 4 3" xfId="34716" xr:uid="{00000000-0005-0000-0000-00008E870000}"/>
    <cellStyle name="Normal 5 17 2 11 4 4" xfId="34717" xr:uid="{00000000-0005-0000-0000-00008F870000}"/>
    <cellStyle name="Normal 5 17 2 11 4 5" xfId="34718" xr:uid="{00000000-0005-0000-0000-000090870000}"/>
    <cellStyle name="Normal 5 17 2 11 4 6" xfId="34719" xr:uid="{00000000-0005-0000-0000-000091870000}"/>
    <cellStyle name="Normal 5 17 2 11 4 7" xfId="34720" xr:uid="{00000000-0005-0000-0000-000092870000}"/>
    <cellStyle name="Normal 5 17 2 11 4 8" xfId="34721" xr:uid="{00000000-0005-0000-0000-000093870000}"/>
    <cellStyle name="Normal 5 17 2 11 4 9" xfId="34722" xr:uid="{00000000-0005-0000-0000-000094870000}"/>
    <cellStyle name="Normal 5 17 2 11 5" xfId="34723" xr:uid="{00000000-0005-0000-0000-000095870000}"/>
    <cellStyle name="Normal 5 17 2 11 5 10" xfId="34724" xr:uid="{00000000-0005-0000-0000-000096870000}"/>
    <cellStyle name="Normal 5 17 2 11 5 2" xfId="34725" xr:uid="{00000000-0005-0000-0000-000097870000}"/>
    <cellStyle name="Normal 5 17 2 11 5 3" xfId="34726" xr:uid="{00000000-0005-0000-0000-000098870000}"/>
    <cellStyle name="Normal 5 17 2 11 5 4" xfId="34727" xr:uid="{00000000-0005-0000-0000-000099870000}"/>
    <cellStyle name="Normal 5 17 2 11 5 5" xfId="34728" xr:uid="{00000000-0005-0000-0000-00009A870000}"/>
    <cellStyle name="Normal 5 17 2 11 5 6" xfId="34729" xr:uid="{00000000-0005-0000-0000-00009B870000}"/>
    <cellStyle name="Normal 5 17 2 11 5 7" xfId="34730" xr:uid="{00000000-0005-0000-0000-00009C870000}"/>
    <cellStyle name="Normal 5 17 2 11 5 8" xfId="34731" xr:uid="{00000000-0005-0000-0000-00009D870000}"/>
    <cellStyle name="Normal 5 17 2 11 5 9" xfId="34732" xr:uid="{00000000-0005-0000-0000-00009E870000}"/>
    <cellStyle name="Normal 5 17 2 11 6" xfId="34733" xr:uid="{00000000-0005-0000-0000-00009F870000}"/>
    <cellStyle name="Normal 5 17 2 11 7" xfId="34734" xr:uid="{00000000-0005-0000-0000-0000A0870000}"/>
    <cellStyle name="Normal 5 17 2 11 8" xfId="34735" xr:uid="{00000000-0005-0000-0000-0000A1870000}"/>
    <cellStyle name="Normal 5 17 2 11 9" xfId="34736" xr:uid="{00000000-0005-0000-0000-0000A2870000}"/>
    <cellStyle name="Normal 5 17 2 12" xfId="34737" xr:uid="{00000000-0005-0000-0000-0000A3870000}"/>
    <cellStyle name="Normal 5 17 2 12 10" xfId="34738" xr:uid="{00000000-0005-0000-0000-0000A4870000}"/>
    <cellStyle name="Normal 5 17 2 12 11" xfId="34739" xr:uid="{00000000-0005-0000-0000-0000A5870000}"/>
    <cellStyle name="Normal 5 17 2 12 12" xfId="34740" xr:uid="{00000000-0005-0000-0000-0000A6870000}"/>
    <cellStyle name="Normal 5 17 2 12 13" xfId="34741" xr:uid="{00000000-0005-0000-0000-0000A7870000}"/>
    <cellStyle name="Normal 5 17 2 12 14" xfId="34742" xr:uid="{00000000-0005-0000-0000-0000A8870000}"/>
    <cellStyle name="Normal 5 17 2 12 2" xfId="34743" xr:uid="{00000000-0005-0000-0000-0000A9870000}"/>
    <cellStyle name="Normal 5 17 2 12 2 10" xfId="34744" xr:uid="{00000000-0005-0000-0000-0000AA870000}"/>
    <cellStyle name="Normal 5 17 2 12 2 2" xfId="34745" xr:uid="{00000000-0005-0000-0000-0000AB870000}"/>
    <cellStyle name="Normal 5 17 2 12 2 3" xfId="34746" xr:uid="{00000000-0005-0000-0000-0000AC870000}"/>
    <cellStyle name="Normal 5 17 2 12 2 4" xfId="34747" xr:uid="{00000000-0005-0000-0000-0000AD870000}"/>
    <cellStyle name="Normal 5 17 2 12 2 5" xfId="34748" xr:uid="{00000000-0005-0000-0000-0000AE870000}"/>
    <cellStyle name="Normal 5 17 2 12 2 6" xfId="34749" xr:uid="{00000000-0005-0000-0000-0000AF870000}"/>
    <cellStyle name="Normal 5 17 2 12 2 7" xfId="34750" xr:uid="{00000000-0005-0000-0000-0000B0870000}"/>
    <cellStyle name="Normal 5 17 2 12 2 8" xfId="34751" xr:uid="{00000000-0005-0000-0000-0000B1870000}"/>
    <cellStyle name="Normal 5 17 2 12 2 9" xfId="34752" xr:uid="{00000000-0005-0000-0000-0000B2870000}"/>
    <cellStyle name="Normal 5 17 2 12 3" xfId="34753" xr:uid="{00000000-0005-0000-0000-0000B3870000}"/>
    <cellStyle name="Normal 5 17 2 12 3 10" xfId="34754" xr:uid="{00000000-0005-0000-0000-0000B4870000}"/>
    <cellStyle name="Normal 5 17 2 12 3 2" xfId="34755" xr:uid="{00000000-0005-0000-0000-0000B5870000}"/>
    <cellStyle name="Normal 5 17 2 12 3 3" xfId="34756" xr:uid="{00000000-0005-0000-0000-0000B6870000}"/>
    <cellStyle name="Normal 5 17 2 12 3 4" xfId="34757" xr:uid="{00000000-0005-0000-0000-0000B7870000}"/>
    <cellStyle name="Normal 5 17 2 12 3 5" xfId="34758" xr:uid="{00000000-0005-0000-0000-0000B8870000}"/>
    <cellStyle name="Normal 5 17 2 12 3 6" xfId="34759" xr:uid="{00000000-0005-0000-0000-0000B9870000}"/>
    <cellStyle name="Normal 5 17 2 12 3 7" xfId="34760" xr:uid="{00000000-0005-0000-0000-0000BA870000}"/>
    <cellStyle name="Normal 5 17 2 12 3 8" xfId="34761" xr:uid="{00000000-0005-0000-0000-0000BB870000}"/>
    <cellStyle name="Normal 5 17 2 12 3 9" xfId="34762" xr:uid="{00000000-0005-0000-0000-0000BC870000}"/>
    <cellStyle name="Normal 5 17 2 12 4" xfId="34763" xr:uid="{00000000-0005-0000-0000-0000BD870000}"/>
    <cellStyle name="Normal 5 17 2 12 4 10" xfId="34764" xr:uid="{00000000-0005-0000-0000-0000BE870000}"/>
    <cellStyle name="Normal 5 17 2 12 4 2" xfId="34765" xr:uid="{00000000-0005-0000-0000-0000BF870000}"/>
    <cellStyle name="Normal 5 17 2 12 4 3" xfId="34766" xr:uid="{00000000-0005-0000-0000-0000C0870000}"/>
    <cellStyle name="Normal 5 17 2 12 4 4" xfId="34767" xr:uid="{00000000-0005-0000-0000-0000C1870000}"/>
    <cellStyle name="Normal 5 17 2 12 4 5" xfId="34768" xr:uid="{00000000-0005-0000-0000-0000C2870000}"/>
    <cellStyle name="Normal 5 17 2 12 4 6" xfId="34769" xr:uid="{00000000-0005-0000-0000-0000C3870000}"/>
    <cellStyle name="Normal 5 17 2 12 4 7" xfId="34770" xr:uid="{00000000-0005-0000-0000-0000C4870000}"/>
    <cellStyle name="Normal 5 17 2 12 4 8" xfId="34771" xr:uid="{00000000-0005-0000-0000-0000C5870000}"/>
    <cellStyle name="Normal 5 17 2 12 4 9" xfId="34772" xr:uid="{00000000-0005-0000-0000-0000C6870000}"/>
    <cellStyle name="Normal 5 17 2 12 5" xfId="34773" xr:uid="{00000000-0005-0000-0000-0000C7870000}"/>
    <cellStyle name="Normal 5 17 2 12 5 10" xfId="34774" xr:uid="{00000000-0005-0000-0000-0000C8870000}"/>
    <cellStyle name="Normal 5 17 2 12 5 2" xfId="34775" xr:uid="{00000000-0005-0000-0000-0000C9870000}"/>
    <cellStyle name="Normal 5 17 2 12 5 3" xfId="34776" xr:uid="{00000000-0005-0000-0000-0000CA870000}"/>
    <cellStyle name="Normal 5 17 2 12 5 4" xfId="34777" xr:uid="{00000000-0005-0000-0000-0000CB870000}"/>
    <cellStyle name="Normal 5 17 2 12 5 5" xfId="34778" xr:uid="{00000000-0005-0000-0000-0000CC870000}"/>
    <cellStyle name="Normal 5 17 2 12 5 6" xfId="34779" xr:uid="{00000000-0005-0000-0000-0000CD870000}"/>
    <cellStyle name="Normal 5 17 2 12 5 7" xfId="34780" xr:uid="{00000000-0005-0000-0000-0000CE870000}"/>
    <cellStyle name="Normal 5 17 2 12 5 8" xfId="34781" xr:uid="{00000000-0005-0000-0000-0000CF870000}"/>
    <cellStyle name="Normal 5 17 2 12 5 9" xfId="34782" xr:uid="{00000000-0005-0000-0000-0000D0870000}"/>
    <cellStyle name="Normal 5 17 2 12 6" xfId="34783" xr:uid="{00000000-0005-0000-0000-0000D1870000}"/>
    <cellStyle name="Normal 5 17 2 12 7" xfId="34784" xr:uid="{00000000-0005-0000-0000-0000D2870000}"/>
    <cellStyle name="Normal 5 17 2 12 8" xfId="34785" xr:uid="{00000000-0005-0000-0000-0000D3870000}"/>
    <cellStyle name="Normal 5 17 2 12 9" xfId="34786" xr:uid="{00000000-0005-0000-0000-0000D4870000}"/>
    <cellStyle name="Normal 5 17 2 13" xfId="34787" xr:uid="{00000000-0005-0000-0000-0000D5870000}"/>
    <cellStyle name="Normal 5 17 2 13 10" xfId="34788" xr:uid="{00000000-0005-0000-0000-0000D6870000}"/>
    <cellStyle name="Normal 5 17 2 13 11" xfId="34789" xr:uid="{00000000-0005-0000-0000-0000D7870000}"/>
    <cellStyle name="Normal 5 17 2 13 12" xfId="34790" xr:uid="{00000000-0005-0000-0000-0000D8870000}"/>
    <cellStyle name="Normal 5 17 2 13 13" xfId="34791" xr:uid="{00000000-0005-0000-0000-0000D9870000}"/>
    <cellStyle name="Normal 5 17 2 13 14" xfId="34792" xr:uid="{00000000-0005-0000-0000-0000DA870000}"/>
    <cellStyle name="Normal 5 17 2 13 2" xfId="34793" xr:uid="{00000000-0005-0000-0000-0000DB870000}"/>
    <cellStyle name="Normal 5 17 2 13 2 10" xfId="34794" xr:uid="{00000000-0005-0000-0000-0000DC870000}"/>
    <cellStyle name="Normal 5 17 2 13 2 2" xfId="34795" xr:uid="{00000000-0005-0000-0000-0000DD870000}"/>
    <cellStyle name="Normal 5 17 2 13 2 3" xfId="34796" xr:uid="{00000000-0005-0000-0000-0000DE870000}"/>
    <cellStyle name="Normal 5 17 2 13 2 4" xfId="34797" xr:uid="{00000000-0005-0000-0000-0000DF870000}"/>
    <cellStyle name="Normal 5 17 2 13 2 5" xfId="34798" xr:uid="{00000000-0005-0000-0000-0000E0870000}"/>
    <cellStyle name="Normal 5 17 2 13 2 6" xfId="34799" xr:uid="{00000000-0005-0000-0000-0000E1870000}"/>
    <cellStyle name="Normal 5 17 2 13 2 7" xfId="34800" xr:uid="{00000000-0005-0000-0000-0000E2870000}"/>
    <cellStyle name="Normal 5 17 2 13 2 8" xfId="34801" xr:uid="{00000000-0005-0000-0000-0000E3870000}"/>
    <cellStyle name="Normal 5 17 2 13 2 9" xfId="34802" xr:uid="{00000000-0005-0000-0000-0000E4870000}"/>
    <cellStyle name="Normal 5 17 2 13 3" xfId="34803" xr:uid="{00000000-0005-0000-0000-0000E5870000}"/>
    <cellStyle name="Normal 5 17 2 13 3 10" xfId="34804" xr:uid="{00000000-0005-0000-0000-0000E6870000}"/>
    <cellStyle name="Normal 5 17 2 13 3 2" xfId="34805" xr:uid="{00000000-0005-0000-0000-0000E7870000}"/>
    <cellStyle name="Normal 5 17 2 13 3 3" xfId="34806" xr:uid="{00000000-0005-0000-0000-0000E8870000}"/>
    <cellStyle name="Normal 5 17 2 13 3 4" xfId="34807" xr:uid="{00000000-0005-0000-0000-0000E9870000}"/>
    <cellStyle name="Normal 5 17 2 13 3 5" xfId="34808" xr:uid="{00000000-0005-0000-0000-0000EA870000}"/>
    <cellStyle name="Normal 5 17 2 13 3 6" xfId="34809" xr:uid="{00000000-0005-0000-0000-0000EB870000}"/>
    <cellStyle name="Normal 5 17 2 13 3 7" xfId="34810" xr:uid="{00000000-0005-0000-0000-0000EC870000}"/>
    <cellStyle name="Normal 5 17 2 13 3 8" xfId="34811" xr:uid="{00000000-0005-0000-0000-0000ED870000}"/>
    <cellStyle name="Normal 5 17 2 13 3 9" xfId="34812" xr:uid="{00000000-0005-0000-0000-0000EE870000}"/>
    <cellStyle name="Normal 5 17 2 13 4" xfId="34813" xr:uid="{00000000-0005-0000-0000-0000EF870000}"/>
    <cellStyle name="Normal 5 17 2 13 4 10" xfId="34814" xr:uid="{00000000-0005-0000-0000-0000F0870000}"/>
    <cellStyle name="Normal 5 17 2 13 4 2" xfId="34815" xr:uid="{00000000-0005-0000-0000-0000F1870000}"/>
    <cellStyle name="Normal 5 17 2 13 4 3" xfId="34816" xr:uid="{00000000-0005-0000-0000-0000F2870000}"/>
    <cellStyle name="Normal 5 17 2 13 4 4" xfId="34817" xr:uid="{00000000-0005-0000-0000-0000F3870000}"/>
    <cellStyle name="Normal 5 17 2 13 4 5" xfId="34818" xr:uid="{00000000-0005-0000-0000-0000F4870000}"/>
    <cellStyle name="Normal 5 17 2 13 4 6" xfId="34819" xr:uid="{00000000-0005-0000-0000-0000F5870000}"/>
    <cellStyle name="Normal 5 17 2 13 4 7" xfId="34820" xr:uid="{00000000-0005-0000-0000-0000F6870000}"/>
    <cellStyle name="Normal 5 17 2 13 4 8" xfId="34821" xr:uid="{00000000-0005-0000-0000-0000F7870000}"/>
    <cellStyle name="Normal 5 17 2 13 4 9" xfId="34822" xr:uid="{00000000-0005-0000-0000-0000F8870000}"/>
    <cellStyle name="Normal 5 17 2 13 5" xfId="34823" xr:uid="{00000000-0005-0000-0000-0000F9870000}"/>
    <cellStyle name="Normal 5 17 2 13 5 10" xfId="34824" xr:uid="{00000000-0005-0000-0000-0000FA870000}"/>
    <cellStyle name="Normal 5 17 2 13 5 2" xfId="34825" xr:uid="{00000000-0005-0000-0000-0000FB870000}"/>
    <cellStyle name="Normal 5 17 2 13 5 3" xfId="34826" xr:uid="{00000000-0005-0000-0000-0000FC870000}"/>
    <cellStyle name="Normal 5 17 2 13 5 4" xfId="34827" xr:uid="{00000000-0005-0000-0000-0000FD870000}"/>
    <cellStyle name="Normal 5 17 2 13 5 5" xfId="34828" xr:uid="{00000000-0005-0000-0000-0000FE870000}"/>
    <cellStyle name="Normal 5 17 2 13 5 6" xfId="34829" xr:uid="{00000000-0005-0000-0000-0000FF870000}"/>
    <cellStyle name="Normal 5 17 2 13 5 7" xfId="34830" xr:uid="{00000000-0005-0000-0000-000000880000}"/>
    <cellStyle name="Normal 5 17 2 13 5 8" xfId="34831" xr:uid="{00000000-0005-0000-0000-000001880000}"/>
    <cellStyle name="Normal 5 17 2 13 5 9" xfId="34832" xr:uid="{00000000-0005-0000-0000-000002880000}"/>
    <cellStyle name="Normal 5 17 2 13 6" xfId="34833" xr:uid="{00000000-0005-0000-0000-000003880000}"/>
    <cellStyle name="Normal 5 17 2 13 7" xfId="34834" xr:uid="{00000000-0005-0000-0000-000004880000}"/>
    <cellStyle name="Normal 5 17 2 13 8" xfId="34835" xr:uid="{00000000-0005-0000-0000-000005880000}"/>
    <cellStyle name="Normal 5 17 2 13 9" xfId="34836" xr:uid="{00000000-0005-0000-0000-000006880000}"/>
    <cellStyle name="Normal 5 17 2 14" xfId="34837" xr:uid="{00000000-0005-0000-0000-000007880000}"/>
    <cellStyle name="Normal 5 17 2 14 10" xfId="34838" xr:uid="{00000000-0005-0000-0000-000008880000}"/>
    <cellStyle name="Normal 5 17 2 14 11" xfId="34839" xr:uid="{00000000-0005-0000-0000-000009880000}"/>
    <cellStyle name="Normal 5 17 2 14 12" xfId="34840" xr:uid="{00000000-0005-0000-0000-00000A880000}"/>
    <cellStyle name="Normal 5 17 2 14 13" xfId="34841" xr:uid="{00000000-0005-0000-0000-00000B880000}"/>
    <cellStyle name="Normal 5 17 2 14 14" xfId="34842" xr:uid="{00000000-0005-0000-0000-00000C880000}"/>
    <cellStyle name="Normal 5 17 2 14 2" xfId="34843" xr:uid="{00000000-0005-0000-0000-00000D880000}"/>
    <cellStyle name="Normal 5 17 2 14 2 10" xfId="34844" xr:uid="{00000000-0005-0000-0000-00000E880000}"/>
    <cellStyle name="Normal 5 17 2 14 2 2" xfId="34845" xr:uid="{00000000-0005-0000-0000-00000F880000}"/>
    <cellStyle name="Normal 5 17 2 14 2 3" xfId="34846" xr:uid="{00000000-0005-0000-0000-000010880000}"/>
    <cellStyle name="Normal 5 17 2 14 2 4" xfId="34847" xr:uid="{00000000-0005-0000-0000-000011880000}"/>
    <cellStyle name="Normal 5 17 2 14 2 5" xfId="34848" xr:uid="{00000000-0005-0000-0000-000012880000}"/>
    <cellStyle name="Normal 5 17 2 14 2 6" xfId="34849" xr:uid="{00000000-0005-0000-0000-000013880000}"/>
    <cellStyle name="Normal 5 17 2 14 2 7" xfId="34850" xr:uid="{00000000-0005-0000-0000-000014880000}"/>
    <cellStyle name="Normal 5 17 2 14 2 8" xfId="34851" xr:uid="{00000000-0005-0000-0000-000015880000}"/>
    <cellStyle name="Normal 5 17 2 14 2 9" xfId="34852" xr:uid="{00000000-0005-0000-0000-000016880000}"/>
    <cellStyle name="Normal 5 17 2 14 3" xfId="34853" xr:uid="{00000000-0005-0000-0000-000017880000}"/>
    <cellStyle name="Normal 5 17 2 14 3 10" xfId="34854" xr:uid="{00000000-0005-0000-0000-000018880000}"/>
    <cellStyle name="Normal 5 17 2 14 3 2" xfId="34855" xr:uid="{00000000-0005-0000-0000-000019880000}"/>
    <cellStyle name="Normal 5 17 2 14 3 3" xfId="34856" xr:uid="{00000000-0005-0000-0000-00001A880000}"/>
    <cellStyle name="Normal 5 17 2 14 3 4" xfId="34857" xr:uid="{00000000-0005-0000-0000-00001B880000}"/>
    <cellStyle name="Normal 5 17 2 14 3 5" xfId="34858" xr:uid="{00000000-0005-0000-0000-00001C880000}"/>
    <cellStyle name="Normal 5 17 2 14 3 6" xfId="34859" xr:uid="{00000000-0005-0000-0000-00001D880000}"/>
    <cellStyle name="Normal 5 17 2 14 3 7" xfId="34860" xr:uid="{00000000-0005-0000-0000-00001E880000}"/>
    <cellStyle name="Normal 5 17 2 14 3 8" xfId="34861" xr:uid="{00000000-0005-0000-0000-00001F880000}"/>
    <cellStyle name="Normal 5 17 2 14 3 9" xfId="34862" xr:uid="{00000000-0005-0000-0000-000020880000}"/>
    <cellStyle name="Normal 5 17 2 14 4" xfId="34863" xr:uid="{00000000-0005-0000-0000-000021880000}"/>
    <cellStyle name="Normal 5 17 2 14 4 10" xfId="34864" xr:uid="{00000000-0005-0000-0000-000022880000}"/>
    <cellStyle name="Normal 5 17 2 14 4 2" xfId="34865" xr:uid="{00000000-0005-0000-0000-000023880000}"/>
    <cellStyle name="Normal 5 17 2 14 4 3" xfId="34866" xr:uid="{00000000-0005-0000-0000-000024880000}"/>
    <cellStyle name="Normal 5 17 2 14 4 4" xfId="34867" xr:uid="{00000000-0005-0000-0000-000025880000}"/>
    <cellStyle name="Normal 5 17 2 14 4 5" xfId="34868" xr:uid="{00000000-0005-0000-0000-000026880000}"/>
    <cellStyle name="Normal 5 17 2 14 4 6" xfId="34869" xr:uid="{00000000-0005-0000-0000-000027880000}"/>
    <cellStyle name="Normal 5 17 2 14 4 7" xfId="34870" xr:uid="{00000000-0005-0000-0000-000028880000}"/>
    <cellStyle name="Normal 5 17 2 14 4 8" xfId="34871" xr:uid="{00000000-0005-0000-0000-000029880000}"/>
    <cellStyle name="Normal 5 17 2 14 4 9" xfId="34872" xr:uid="{00000000-0005-0000-0000-00002A880000}"/>
    <cellStyle name="Normal 5 17 2 14 5" xfId="34873" xr:uid="{00000000-0005-0000-0000-00002B880000}"/>
    <cellStyle name="Normal 5 17 2 14 5 10" xfId="34874" xr:uid="{00000000-0005-0000-0000-00002C880000}"/>
    <cellStyle name="Normal 5 17 2 14 5 2" xfId="34875" xr:uid="{00000000-0005-0000-0000-00002D880000}"/>
    <cellStyle name="Normal 5 17 2 14 5 3" xfId="34876" xr:uid="{00000000-0005-0000-0000-00002E880000}"/>
    <cellStyle name="Normal 5 17 2 14 5 4" xfId="34877" xr:uid="{00000000-0005-0000-0000-00002F880000}"/>
    <cellStyle name="Normal 5 17 2 14 5 5" xfId="34878" xr:uid="{00000000-0005-0000-0000-000030880000}"/>
    <cellStyle name="Normal 5 17 2 14 5 6" xfId="34879" xr:uid="{00000000-0005-0000-0000-000031880000}"/>
    <cellStyle name="Normal 5 17 2 14 5 7" xfId="34880" xr:uid="{00000000-0005-0000-0000-000032880000}"/>
    <cellStyle name="Normal 5 17 2 14 5 8" xfId="34881" xr:uid="{00000000-0005-0000-0000-000033880000}"/>
    <cellStyle name="Normal 5 17 2 14 5 9" xfId="34882" xr:uid="{00000000-0005-0000-0000-000034880000}"/>
    <cellStyle name="Normal 5 17 2 14 6" xfId="34883" xr:uid="{00000000-0005-0000-0000-000035880000}"/>
    <cellStyle name="Normal 5 17 2 14 7" xfId="34884" xr:uid="{00000000-0005-0000-0000-000036880000}"/>
    <cellStyle name="Normal 5 17 2 14 8" xfId="34885" xr:uid="{00000000-0005-0000-0000-000037880000}"/>
    <cellStyle name="Normal 5 17 2 14 9" xfId="34886" xr:uid="{00000000-0005-0000-0000-000038880000}"/>
    <cellStyle name="Normal 5 17 2 15" xfId="34887" xr:uid="{00000000-0005-0000-0000-000039880000}"/>
    <cellStyle name="Normal 5 17 2 15 10" xfId="34888" xr:uid="{00000000-0005-0000-0000-00003A880000}"/>
    <cellStyle name="Normal 5 17 2 15 11" xfId="34889" xr:uid="{00000000-0005-0000-0000-00003B880000}"/>
    <cellStyle name="Normal 5 17 2 15 12" xfId="34890" xr:uid="{00000000-0005-0000-0000-00003C880000}"/>
    <cellStyle name="Normal 5 17 2 15 13" xfId="34891" xr:uid="{00000000-0005-0000-0000-00003D880000}"/>
    <cellStyle name="Normal 5 17 2 15 14" xfId="34892" xr:uid="{00000000-0005-0000-0000-00003E880000}"/>
    <cellStyle name="Normal 5 17 2 15 2" xfId="34893" xr:uid="{00000000-0005-0000-0000-00003F880000}"/>
    <cellStyle name="Normal 5 17 2 15 2 10" xfId="34894" xr:uid="{00000000-0005-0000-0000-000040880000}"/>
    <cellStyle name="Normal 5 17 2 15 2 2" xfId="34895" xr:uid="{00000000-0005-0000-0000-000041880000}"/>
    <cellStyle name="Normal 5 17 2 15 2 3" xfId="34896" xr:uid="{00000000-0005-0000-0000-000042880000}"/>
    <cellStyle name="Normal 5 17 2 15 2 4" xfId="34897" xr:uid="{00000000-0005-0000-0000-000043880000}"/>
    <cellStyle name="Normal 5 17 2 15 2 5" xfId="34898" xr:uid="{00000000-0005-0000-0000-000044880000}"/>
    <cellStyle name="Normal 5 17 2 15 2 6" xfId="34899" xr:uid="{00000000-0005-0000-0000-000045880000}"/>
    <cellStyle name="Normal 5 17 2 15 2 7" xfId="34900" xr:uid="{00000000-0005-0000-0000-000046880000}"/>
    <cellStyle name="Normal 5 17 2 15 2 8" xfId="34901" xr:uid="{00000000-0005-0000-0000-000047880000}"/>
    <cellStyle name="Normal 5 17 2 15 2 9" xfId="34902" xr:uid="{00000000-0005-0000-0000-000048880000}"/>
    <cellStyle name="Normal 5 17 2 15 3" xfId="34903" xr:uid="{00000000-0005-0000-0000-000049880000}"/>
    <cellStyle name="Normal 5 17 2 15 3 10" xfId="34904" xr:uid="{00000000-0005-0000-0000-00004A880000}"/>
    <cellStyle name="Normal 5 17 2 15 3 2" xfId="34905" xr:uid="{00000000-0005-0000-0000-00004B880000}"/>
    <cellStyle name="Normal 5 17 2 15 3 3" xfId="34906" xr:uid="{00000000-0005-0000-0000-00004C880000}"/>
    <cellStyle name="Normal 5 17 2 15 3 4" xfId="34907" xr:uid="{00000000-0005-0000-0000-00004D880000}"/>
    <cellStyle name="Normal 5 17 2 15 3 5" xfId="34908" xr:uid="{00000000-0005-0000-0000-00004E880000}"/>
    <cellStyle name="Normal 5 17 2 15 3 6" xfId="34909" xr:uid="{00000000-0005-0000-0000-00004F880000}"/>
    <cellStyle name="Normal 5 17 2 15 3 7" xfId="34910" xr:uid="{00000000-0005-0000-0000-000050880000}"/>
    <cellStyle name="Normal 5 17 2 15 3 8" xfId="34911" xr:uid="{00000000-0005-0000-0000-000051880000}"/>
    <cellStyle name="Normal 5 17 2 15 3 9" xfId="34912" xr:uid="{00000000-0005-0000-0000-000052880000}"/>
    <cellStyle name="Normal 5 17 2 15 4" xfId="34913" xr:uid="{00000000-0005-0000-0000-000053880000}"/>
    <cellStyle name="Normal 5 17 2 15 4 10" xfId="34914" xr:uid="{00000000-0005-0000-0000-000054880000}"/>
    <cellStyle name="Normal 5 17 2 15 4 2" xfId="34915" xr:uid="{00000000-0005-0000-0000-000055880000}"/>
    <cellStyle name="Normal 5 17 2 15 4 3" xfId="34916" xr:uid="{00000000-0005-0000-0000-000056880000}"/>
    <cellStyle name="Normal 5 17 2 15 4 4" xfId="34917" xr:uid="{00000000-0005-0000-0000-000057880000}"/>
    <cellStyle name="Normal 5 17 2 15 4 5" xfId="34918" xr:uid="{00000000-0005-0000-0000-000058880000}"/>
    <cellStyle name="Normal 5 17 2 15 4 6" xfId="34919" xr:uid="{00000000-0005-0000-0000-000059880000}"/>
    <cellStyle name="Normal 5 17 2 15 4 7" xfId="34920" xr:uid="{00000000-0005-0000-0000-00005A880000}"/>
    <cellStyle name="Normal 5 17 2 15 4 8" xfId="34921" xr:uid="{00000000-0005-0000-0000-00005B880000}"/>
    <cellStyle name="Normal 5 17 2 15 4 9" xfId="34922" xr:uid="{00000000-0005-0000-0000-00005C880000}"/>
    <cellStyle name="Normal 5 17 2 15 5" xfId="34923" xr:uid="{00000000-0005-0000-0000-00005D880000}"/>
    <cellStyle name="Normal 5 17 2 15 5 10" xfId="34924" xr:uid="{00000000-0005-0000-0000-00005E880000}"/>
    <cellStyle name="Normal 5 17 2 15 5 2" xfId="34925" xr:uid="{00000000-0005-0000-0000-00005F880000}"/>
    <cellStyle name="Normal 5 17 2 15 5 3" xfId="34926" xr:uid="{00000000-0005-0000-0000-000060880000}"/>
    <cellStyle name="Normal 5 17 2 15 5 4" xfId="34927" xr:uid="{00000000-0005-0000-0000-000061880000}"/>
    <cellStyle name="Normal 5 17 2 15 5 5" xfId="34928" xr:uid="{00000000-0005-0000-0000-000062880000}"/>
    <cellStyle name="Normal 5 17 2 15 5 6" xfId="34929" xr:uid="{00000000-0005-0000-0000-000063880000}"/>
    <cellStyle name="Normal 5 17 2 15 5 7" xfId="34930" xr:uid="{00000000-0005-0000-0000-000064880000}"/>
    <cellStyle name="Normal 5 17 2 15 5 8" xfId="34931" xr:uid="{00000000-0005-0000-0000-000065880000}"/>
    <cellStyle name="Normal 5 17 2 15 5 9" xfId="34932" xr:uid="{00000000-0005-0000-0000-000066880000}"/>
    <cellStyle name="Normal 5 17 2 15 6" xfId="34933" xr:uid="{00000000-0005-0000-0000-000067880000}"/>
    <cellStyle name="Normal 5 17 2 15 7" xfId="34934" xr:uid="{00000000-0005-0000-0000-000068880000}"/>
    <cellStyle name="Normal 5 17 2 15 8" xfId="34935" xr:uid="{00000000-0005-0000-0000-000069880000}"/>
    <cellStyle name="Normal 5 17 2 15 9" xfId="34936" xr:uid="{00000000-0005-0000-0000-00006A880000}"/>
    <cellStyle name="Normal 5 17 2 16" xfId="34937" xr:uid="{00000000-0005-0000-0000-00006B880000}"/>
    <cellStyle name="Normal 5 17 2 16 10" xfId="34938" xr:uid="{00000000-0005-0000-0000-00006C880000}"/>
    <cellStyle name="Normal 5 17 2 16 11" xfId="34939" xr:uid="{00000000-0005-0000-0000-00006D880000}"/>
    <cellStyle name="Normal 5 17 2 16 12" xfId="34940" xr:uid="{00000000-0005-0000-0000-00006E880000}"/>
    <cellStyle name="Normal 5 17 2 16 13" xfId="34941" xr:uid="{00000000-0005-0000-0000-00006F880000}"/>
    <cellStyle name="Normal 5 17 2 16 14" xfId="34942" xr:uid="{00000000-0005-0000-0000-000070880000}"/>
    <cellStyle name="Normal 5 17 2 16 2" xfId="34943" xr:uid="{00000000-0005-0000-0000-000071880000}"/>
    <cellStyle name="Normal 5 17 2 16 2 10" xfId="34944" xr:uid="{00000000-0005-0000-0000-000072880000}"/>
    <cellStyle name="Normal 5 17 2 16 2 2" xfId="34945" xr:uid="{00000000-0005-0000-0000-000073880000}"/>
    <cellStyle name="Normal 5 17 2 16 2 3" xfId="34946" xr:uid="{00000000-0005-0000-0000-000074880000}"/>
    <cellStyle name="Normal 5 17 2 16 2 4" xfId="34947" xr:uid="{00000000-0005-0000-0000-000075880000}"/>
    <cellStyle name="Normal 5 17 2 16 2 5" xfId="34948" xr:uid="{00000000-0005-0000-0000-000076880000}"/>
    <cellStyle name="Normal 5 17 2 16 2 6" xfId="34949" xr:uid="{00000000-0005-0000-0000-000077880000}"/>
    <cellStyle name="Normal 5 17 2 16 2 7" xfId="34950" xr:uid="{00000000-0005-0000-0000-000078880000}"/>
    <cellStyle name="Normal 5 17 2 16 2 8" xfId="34951" xr:uid="{00000000-0005-0000-0000-000079880000}"/>
    <cellStyle name="Normal 5 17 2 16 2 9" xfId="34952" xr:uid="{00000000-0005-0000-0000-00007A880000}"/>
    <cellStyle name="Normal 5 17 2 16 3" xfId="34953" xr:uid="{00000000-0005-0000-0000-00007B880000}"/>
    <cellStyle name="Normal 5 17 2 16 3 10" xfId="34954" xr:uid="{00000000-0005-0000-0000-00007C880000}"/>
    <cellStyle name="Normal 5 17 2 16 3 2" xfId="34955" xr:uid="{00000000-0005-0000-0000-00007D880000}"/>
    <cellStyle name="Normal 5 17 2 16 3 3" xfId="34956" xr:uid="{00000000-0005-0000-0000-00007E880000}"/>
    <cellStyle name="Normal 5 17 2 16 3 4" xfId="34957" xr:uid="{00000000-0005-0000-0000-00007F880000}"/>
    <cellStyle name="Normal 5 17 2 16 3 5" xfId="34958" xr:uid="{00000000-0005-0000-0000-000080880000}"/>
    <cellStyle name="Normal 5 17 2 16 3 6" xfId="34959" xr:uid="{00000000-0005-0000-0000-000081880000}"/>
    <cellStyle name="Normal 5 17 2 16 3 7" xfId="34960" xr:uid="{00000000-0005-0000-0000-000082880000}"/>
    <cellStyle name="Normal 5 17 2 16 3 8" xfId="34961" xr:uid="{00000000-0005-0000-0000-000083880000}"/>
    <cellStyle name="Normal 5 17 2 16 3 9" xfId="34962" xr:uid="{00000000-0005-0000-0000-000084880000}"/>
    <cellStyle name="Normal 5 17 2 16 4" xfId="34963" xr:uid="{00000000-0005-0000-0000-000085880000}"/>
    <cellStyle name="Normal 5 17 2 16 4 10" xfId="34964" xr:uid="{00000000-0005-0000-0000-000086880000}"/>
    <cellStyle name="Normal 5 17 2 16 4 2" xfId="34965" xr:uid="{00000000-0005-0000-0000-000087880000}"/>
    <cellStyle name="Normal 5 17 2 16 4 3" xfId="34966" xr:uid="{00000000-0005-0000-0000-000088880000}"/>
    <cellStyle name="Normal 5 17 2 16 4 4" xfId="34967" xr:uid="{00000000-0005-0000-0000-000089880000}"/>
    <cellStyle name="Normal 5 17 2 16 4 5" xfId="34968" xr:uid="{00000000-0005-0000-0000-00008A880000}"/>
    <cellStyle name="Normal 5 17 2 16 4 6" xfId="34969" xr:uid="{00000000-0005-0000-0000-00008B880000}"/>
    <cellStyle name="Normal 5 17 2 16 4 7" xfId="34970" xr:uid="{00000000-0005-0000-0000-00008C880000}"/>
    <cellStyle name="Normal 5 17 2 16 4 8" xfId="34971" xr:uid="{00000000-0005-0000-0000-00008D880000}"/>
    <cellStyle name="Normal 5 17 2 16 4 9" xfId="34972" xr:uid="{00000000-0005-0000-0000-00008E880000}"/>
    <cellStyle name="Normal 5 17 2 16 5" xfId="34973" xr:uid="{00000000-0005-0000-0000-00008F880000}"/>
    <cellStyle name="Normal 5 17 2 16 5 10" xfId="34974" xr:uid="{00000000-0005-0000-0000-000090880000}"/>
    <cellStyle name="Normal 5 17 2 16 5 2" xfId="34975" xr:uid="{00000000-0005-0000-0000-000091880000}"/>
    <cellStyle name="Normal 5 17 2 16 5 3" xfId="34976" xr:uid="{00000000-0005-0000-0000-000092880000}"/>
    <cellStyle name="Normal 5 17 2 16 5 4" xfId="34977" xr:uid="{00000000-0005-0000-0000-000093880000}"/>
    <cellStyle name="Normal 5 17 2 16 5 5" xfId="34978" xr:uid="{00000000-0005-0000-0000-000094880000}"/>
    <cellStyle name="Normal 5 17 2 16 5 6" xfId="34979" xr:uid="{00000000-0005-0000-0000-000095880000}"/>
    <cellStyle name="Normal 5 17 2 16 5 7" xfId="34980" xr:uid="{00000000-0005-0000-0000-000096880000}"/>
    <cellStyle name="Normal 5 17 2 16 5 8" xfId="34981" xr:uid="{00000000-0005-0000-0000-000097880000}"/>
    <cellStyle name="Normal 5 17 2 16 5 9" xfId="34982" xr:uid="{00000000-0005-0000-0000-000098880000}"/>
    <cellStyle name="Normal 5 17 2 16 6" xfId="34983" xr:uid="{00000000-0005-0000-0000-000099880000}"/>
    <cellStyle name="Normal 5 17 2 16 7" xfId="34984" xr:uid="{00000000-0005-0000-0000-00009A880000}"/>
    <cellStyle name="Normal 5 17 2 16 8" xfId="34985" xr:uid="{00000000-0005-0000-0000-00009B880000}"/>
    <cellStyle name="Normal 5 17 2 16 9" xfId="34986" xr:uid="{00000000-0005-0000-0000-00009C880000}"/>
    <cellStyle name="Normal 5 17 2 17" xfId="34987" xr:uid="{00000000-0005-0000-0000-00009D880000}"/>
    <cellStyle name="Normal 5 17 2 17 10" xfId="34988" xr:uid="{00000000-0005-0000-0000-00009E880000}"/>
    <cellStyle name="Normal 5 17 2 17 11" xfId="34989" xr:uid="{00000000-0005-0000-0000-00009F880000}"/>
    <cellStyle name="Normal 5 17 2 17 12" xfId="34990" xr:uid="{00000000-0005-0000-0000-0000A0880000}"/>
    <cellStyle name="Normal 5 17 2 17 13" xfId="34991" xr:uid="{00000000-0005-0000-0000-0000A1880000}"/>
    <cellStyle name="Normal 5 17 2 17 14" xfId="34992" xr:uid="{00000000-0005-0000-0000-0000A2880000}"/>
    <cellStyle name="Normal 5 17 2 17 2" xfId="34993" xr:uid="{00000000-0005-0000-0000-0000A3880000}"/>
    <cellStyle name="Normal 5 17 2 17 2 10" xfId="34994" xr:uid="{00000000-0005-0000-0000-0000A4880000}"/>
    <cellStyle name="Normal 5 17 2 17 2 2" xfId="34995" xr:uid="{00000000-0005-0000-0000-0000A5880000}"/>
    <cellStyle name="Normal 5 17 2 17 2 3" xfId="34996" xr:uid="{00000000-0005-0000-0000-0000A6880000}"/>
    <cellStyle name="Normal 5 17 2 17 2 4" xfId="34997" xr:uid="{00000000-0005-0000-0000-0000A7880000}"/>
    <cellStyle name="Normal 5 17 2 17 2 5" xfId="34998" xr:uid="{00000000-0005-0000-0000-0000A8880000}"/>
    <cellStyle name="Normal 5 17 2 17 2 6" xfId="34999" xr:uid="{00000000-0005-0000-0000-0000A9880000}"/>
    <cellStyle name="Normal 5 17 2 17 2 7" xfId="35000" xr:uid="{00000000-0005-0000-0000-0000AA880000}"/>
    <cellStyle name="Normal 5 17 2 17 2 8" xfId="35001" xr:uid="{00000000-0005-0000-0000-0000AB880000}"/>
    <cellStyle name="Normal 5 17 2 17 2 9" xfId="35002" xr:uid="{00000000-0005-0000-0000-0000AC880000}"/>
    <cellStyle name="Normal 5 17 2 17 3" xfId="35003" xr:uid="{00000000-0005-0000-0000-0000AD880000}"/>
    <cellStyle name="Normal 5 17 2 17 3 10" xfId="35004" xr:uid="{00000000-0005-0000-0000-0000AE880000}"/>
    <cellStyle name="Normal 5 17 2 17 3 2" xfId="35005" xr:uid="{00000000-0005-0000-0000-0000AF880000}"/>
    <cellStyle name="Normal 5 17 2 17 3 3" xfId="35006" xr:uid="{00000000-0005-0000-0000-0000B0880000}"/>
    <cellStyle name="Normal 5 17 2 17 3 4" xfId="35007" xr:uid="{00000000-0005-0000-0000-0000B1880000}"/>
    <cellStyle name="Normal 5 17 2 17 3 5" xfId="35008" xr:uid="{00000000-0005-0000-0000-0000B2880000}"/>
    <cellStyle name="Normal 5 17 2 17 3 6" xfId="35009" xr:uid="{00000000-0005-0000-0000-0000B3880000}"/>
    <cellStyle name="Normal 5 17 2 17 3 7" xfId="35010" xr:uid="{00000000-0005-0000-0000-0000B4880000}"/>
    <cellStyle name="Normal 5 17 2 17 3 8" xfId="35011" xr:uid="{00000000-0005-0000-0000-0000B5880000}"/>
    <cellStyle name="Normal 5 17 2 17 3 9" xfId="35012" xr:uid="{00000000-0005-0000-0000-0000B6880000}"/>
    <cellStyle name="Normal 5 17 2 17 4" xfId="35013" xr:uid="{00000000-0005-0000-0000-0000B7880000}"/>
    <cellStyle name="Normal 5 17 2 17 4 10" xfId="35014" xr:uid="{00000000-0005-0000-0000-0000B8880000}"/>
    <cellStyle name="Normal 5 17 2 17 4 2" xfId="35015" xr:uid="{00000000-0005-0000-0000-0000B9880000}"/>
    <cellStyle name="Normal 5 17 2 17 4 3" xfId="35016" xr:uid="{00000000-0005-0000-0000-0000BA880000}"/>
    <cellStyle name="Normal 5 17 2 17 4 4" xfId="35017" xr:uid="{00000000-0005-0000-0000-0000BB880000}"/>
    <cellStyle name="Normal 5 17 2 17 4 5" xfId="35018" xr:uid="{00000000-0005-0000-0000-0000BC880000}"/>
    <cellStyle name="Normal 5 17 2 17 4 6" xfId="35019" xr:uid="{00000000-0005-0000-0000-0000BD880000}"/>
    <cellStyle name="Normal 5 17 2 17 4 7" xfId="35020" xr:uid="{00000000-0005-0000-0000-0000BE880000}"/>
    <cellStyle name="Normal 5 17 2 17 4 8" xfId="35021" xr:uid="{00000000-0005-0000-0000-0000BF880000}"/>
    <cellStyle name="Normal 5 17 2 17 4 9" xfId="35022" xr:uid="{00000000-0005-0000-0000-0000C0880000}"/>
    <cellStyle name="Normal 5 17 2 17 5" xfId="35023" xr:uid="{00000000-0005-0000-0000-0000C1880000}"/>
    <cellStyle name="Normal 5 17 2 17 5 10" xfId="35024" xr:uid="{00000000-0005-0000-0000-0000C2880000}"/>
    <cellStyle name="Normal 5 17 2 17 5 2" xfId="35025" xr:uid="{00000000-0005-0000-0000-0000C3880000}"/>
    <cellStyle name="Normal 5 17 2 17 5 3" xfId="35026" xr:uid="{00000000-0005-0000-0000-0000C4880000}"/>
    <cellStyle name="Normal 5 17 2 17 5 4" xfId="35027" xr:uid="{00000000-0005-0000-0000-0000C5880000}"/>
    <cellStyle name="Normal 5 17 2 17 5 5" xfId="35028" xr:uid="{00000000-0005-0000-0000-0000C6880000}"/>
    <cellStyle name="Normal 5 17 2 17 5 6" xfId="35029" xr:uid="{00000000-0005-0000-0000-0000C7880000}"/>
    <cellStyle name="Normal 5 17 2 17 5 7" xfId="35030" xr:uid="{00000000-0005-0000-0000-0000C8880000}"/>
    <cellStyle name="Normal 5 17 2 17 5 8" xfId="35031" xr:uid="{00000000-0005-0000-0000-0000C9880000}"/>
    <cellStyle name="Normal 5 17 2 17 5 9" xfId="35032" xr:uid="{00000000-0005-0000-0000-0000CA880000}"/>
    <cellStyle name="Normal 5 17 2 17 6" xfId="35033" xr:uid="{00000000-0005-0000-0000-0000CB880000}"/>
    <cellStyle name="Normal 5 17 2 17 7" xfId="35034" xr:uid="{00000000-0005-0000-0000-0000CC880000}"/>
    <cellStyle name="Normal 5 17 2 17 8" xfId="35035" xr:uid="{00000000-0005-0000-0000-0000CD880000}"/>
    <cellStyle name="Normal 5 17 2 17 9" xfId="35036" xr:uid="{00000000-0005-0000-0000-0000CE880000}"/>
    <cellStyle name="Normal 5 17 2 18" xfId="35037" xr:uid="{00000000-0005-0000-0000-0000CF880000}"/>
    <cellStyle name="Normal 5 17 2 18 10" xfId="35038" xr:uid="{00000000-0005-0000-0000-0000D0880000}"/>
    <cellStyle name="Normal 5 17 2 18 11" xfId="35039" xr:uid="{00000000-0005-0000-0000-0000D1880000}"/>
    <cellStyle name="Normal 5 17 2 18 12" xfId="35040" xr:uid="{00000000-0005-0000-0000-0000D2880000}"/>
    <cellStyle name="Normal 5 17 2 18 13" xfId="35041" xr:uid="{00000000-0005-0000-0000-0000D3880000}"/>
    <cellStyle name="Normal 5 17 2 18 14" xfId="35042" xr:uid="{00000000-0005-0000-0000-0000D4880000}"/>
    <cellStyle name="Normal 5 17 2 18 2" xfId="35043" xr:uid="{00000000-0005-0000-0000-0000D5880000}"/>
    <cellStyle name="Normal 5 17 2 18 2 10" xfId="35044" xr:uid="{00000000-0005-0000-0000-0000D6880000}"/>
    <cellStyle name="Normal 5 17 2 18 2 2" xfId="35045" xr:uid="{00000000-0005-0000-0000-0000D7880000}"/>
    <cellStyle name="Normal 5 17 2 18 2 3" xfId="35046" xr:uid="{00000000-0005-0000-0000-0000D8880000}"/>
    <cellStyle name="Normal 5 17 2 18 2 4" xfId="35047" xr:uid="{00000000-0005-0000-0000-0000D9880000}"/>
    <cellStyle name="Normal 5 17 2 18 2 5" xfId="35048" xr:uid="{00000000-0005-0000-0000-0000DA880000}"/>
    <cellStyle name="Normal 5 17 2 18 2 6" xfId="35049" xr:uid="{00000000-0005-0000-0000-0000DB880000}"/>
    <cellStyle name="Normal 5 17 2 18 2 7" xfId="35050" xr:uid="{00000000-0005-0000-0000-0000DC880000}"/>
    <cellStyle name="Normal 5 17 2 18 2 8" xfId="35051" xr:uid="{00000000-0005-0000-0000-0000DD880000}"/>
    <cellStyle name="Normal 5 17 2 18 2 9" xfId="35052" xr:uid="{00000000-0005-0000-0000-0000DE880000}"/>
    <cellStyle name="Normal 5 17 2 18 3" xfId="35053" xr:uid="{00000000-0005-0000-0000-0000DF880000}"/>
    <cellStyle name="Normal 5 17 2 18 3 10" xfId="35054" xr:uid="{00000000-0005-0000-0000-0000E0880000}"/>
    <cellStyle name="Normal 5 17 2 18 3 2" xfId="35055" xr:uid="{00000000-0005-0000-0000-0000E1880000}"/>
    <cellStyle name="Normal 5 17 2 18 3 3" xfId="35056" xr:uid="{00000000-0005-0000-0000-0000E2880000}"/>
    <cellStyle name="Normal 5 17 2 18 3 4" xfId="35057" xr:uid="{00000000-0005-0000-0000-0000E3880000}"/>
    <cellStyle name="Normal 5 17 2 18 3 5" xfId="35058" xr:uid="{00000000-0005-0000-0000-0000E4880000}"/>
    <cellStyle name="Normal 5 17 2 18 3 6" xfId="35059" xr:uid="{00000000-0005-0000-0000-0000E5880000}"/>
    <cellStyle name="Normal 5 17 2 18 3 7" xfId="35060" xr:uid="{00000000-0005-0000-0000-0000E6880000}"/>
    <cellStyle name="Normal 5 17 2 18 3 8" xfId="35061" xr:uid="{00000000-0005-0000-0000-0000E7880000}"/>
    <cellStyle name="Normal 5 17 2 18 3 9" xfId="35062" xr:uid="{00000000-0005-0000-0000-0000E8880000}"/>
    <cellStyle name="Normal 5 17 2 18 4" xfId="35063" xr:uid="{00000000-0005-0000-0000-0000E9880000}"/>
    <cellStyle name="Normal 5 17 2 18 4 10" xfId="35064" xr:uid="{00000000-0005-0000-0000-0000EA880000}"/>
    <cellStyle name="Normal 5 17 2 18 4 2" xfId="35065" xr:uid="{00000000-0005-0000-0000-0000EB880000}"/>
    <cellStyle name="Normal 5 17 2 18 4 3" xfId="35066" xr:uid="{00000000-0005-0000-0000-0000EC880000}"/>
    <cellStyle name="Normal 5 17 2 18 4 4" xfId="35067" xr:uid="{00000000-0005-0000-0000-0000ED880000}"/>
    <cellStyle name="Normal 5 17 2 18 4 5" xfId="35068" xr:uid="{00000000-0005-0000-0000-0000EE880000}"/>
    <cellStyle name="Normal 5 17 2 18 4 6" xfId="35069" xr:uid="{00000000-0005-0000-0000-0000EF880000}"/>
    <cellStyle name="Normal 5 17 2 18 4 7" xfId="35070" xr:uid="{00000000-0005-0000-0000-0000F0880000}"/>
    <cellStyle name="Normal 5 17 2 18 4 8" xfId="35071" xr:uid="{00000000-0005-0000-0000-0000F1880000}"/>
    <cellStyle name="Normal 5 17 2 18 4 9" xfId="35072" xr:uid="{00000000-0005-0000-0000-0000F2880000}"/>
    <cellStyle name="Normal 5 17 2 18 5" xfId="35073" xr:uid="{00000000-0005-0000-0000-0000F3880000}"/>
    <cellStyle name="Normal 5 17 2 18 5 10" xfId="35074" xr:uid="{00000000-0005-0000-0000-0000F4880000}"/>
    <cellStyle name="Normal 5 17 2 18 5 2" xfId="35075" xr:uid="{00000000-0005-0000-0000-0000F5880000}"/>
    <cellStyle name="Normal 5 17 2 18 5 3" xfId="35076" xr:uid="{00000000-0005-0000-0000-0000F6880000}"/>
    <cellStyle name="Normal 5 17 2 18 5 4" xfId="35077" xr:uid="{00000000-0005-0000-0000-0000F7880000}"/>
    <cellStyle name="Normal 5 17 2 18 5 5" xfId="35078" xr:uid="{00000000-0005-0000-0000-0000F8880000}"/>
    <cellStyle name="Normal 5 17 2 18 5 6" xfId="35079" xr:uid="{00000000-0005-0000-0000-0000F9880000}"/>
    <cellStyle name="Normal 5 17 2 18 5 7" xfId="35080" xr:uid="{00000000-0005-0000-0000-0000FA880000}"/>
    <cellStyle name="Normal 5 17 2 18 5 8" xfId="35081" xr:uid="{00000000-0005-0000-0000-0000FB880000}"/>
    <cellStyle name="Normal 5 17 2 18 5 9" xfId="35082" xr:uid="{00000000-0005-0000-0000-0000FC880000}"/>
    <cellStyle name="Normal 5 17 2 18 6" xfId="35083" xr:uid="{00000000-0005-0000-0000-0000FD880000}"/>
    <cellStyle name="Normal 5 17 2 18 7" xfId="35084" xr:uid="{00000000-0005-0000-0000-0000FE880000}"/>
    <cellStyle name="Normal 5 17 2 18 8" xfId="35085" xr:uid="{00000000-0005-0000-0000-0000FF880000}"/>
    <cellStyle name="Normal 5 17 2 18 9" xfId="35086" xr:uid="{00000000-0005-0000-0000-000000890000}"/>
    <cellStyle name="Normal 5 17 2 19" xfId="35087" xr:uid="{00000000-0005-0000-0000-000001890000}"/>
    <cellStyle name="Normal 5 17 2 19 10" xfId="35088" xr:uid="{00000000-0005-0000-0000-000002890000}"/>
    <cellStyle name="Normal 5 17 2 19 11" xfId="35089" xr:uid="{00000000-0005-0000-0000-000003890000}"/>
    <cellStyle name="Normal 5 17 2 19 12" xfId="35090" xr:uid="{00000000-0005-0000-0000-000004890000}"/>
    <cellStyle name="Normal 5 17 2 19 13" xfId="35091" xr:uid="{00000000-0005-0000-0000-000005890000}"/>
    <cellStyle name="Normal 5 17 2 19 14" xfId="35092" xr:uid="{00000000-0005-0000-0000-000006890000}"/>
    <cellStyle name="Normal 5 17 2 19 2" xfId="35093" xr:uid="{00000000-0005-0000-0000-000007890000}"/>
    <cellStyle name="Normal 5 17 2 19 2 10" xfId="35094" xr:uid="{00000000-0005-0000-0000-000008890000}"/>
    <cellStyle name="Normal 5 17 2 19 2 2" xfId="35095" xr:uid="{00000000-0005-0000-0000-000009890000}"/>
    <cellStyle name="Normal 5 17 2 19 2 3" xfId="35096" xr:uid="{00000000-0005-0000-0000-00000A890000}"/>
    <cellStyle name="Normal 5 17 2 19 2 4" xfId="35097" xr:uid="{00000000-0005-0000-0000-00000B890000}"/>
    <cellStyle name="Normal 5 17 2 19 2 5" xfId="35098" xr:uid="{00000000-0005-0000-0000-00000C890000}"/>
    <cellStyle name="Normal 5 17 2 19 2 6" xfId="35099" xr:uid="{00000000-0005-0000-0000-00000D890000}"/>
    <cellStyle name="Normal 5 17 2 19 2 7" xfId="35100" xr:uid="{00000000-0005-0000-0000-00000E890000}"/>
    <cellStyle name="Normal 5 17 2 19 2 8" xfId="35101" xr:uid="{00000000-0005-0000-0000-00000F890000}"/>
    <cellStyle name="Normal 5 17 2 19 2 9" xfId="35102" xr:uid="{00000000-0005-0000-0000-000010890000}"/>
    <cellStyle name="Normal 5 17 2 19 3" xfId="35103" xr:uid="{00000000-0005-0000-0000-000011890000}"/>
    <cellStyle name="Normal 5 17 2 19 3 10" xfId="35104" xr:uid="{00000000-0005-0000-0000-000012890000}"/>
    <cellStyle name="Normal 5 17 2 19 3 2" xfId="35105" xr:uid="{00000000-0005-0000-0000-000013890000}"/>
    <cellStyle name="Normal 5 17 2 19 3 3" xfId="35106" xr:uid="{00000000-0005-0000-0000-000014890000}"/>
    <cellStyle name="Normal 5 17 2 19 3 4" xfId="35107" xr:uid="{00000000-0005-0000-0000-000015890000}"/>
    <cellStyle name="Normal 5 17 2 19 3 5" xfId="35108" xr:uid="{00000000-0005-0000-0000-000016890000}"/>
    <cellStyle name="Normal 5 17 2 19 3 6" xfId="35109" xr:uid="{00000000-0005-0000-0000-000017890000}"/>
    <cellStyle name="Normal 5 17 2 19 3 7" xfId="35110" xr:uid="{00000000-0005-0000-0000-000018890000}"/>
    <cellStyle name="Normal 5 17 2 19 3 8" xfId="35111" xr:uid="{00000000-0005-0000-0000-000019890000}"/>
    <cellStyle name="Normal 5 17 2 19 3 9" xfId="35112" xr:uid="{00000000-0005-0000-0000-00001A890000}"/>
    <cellStyle name="Normal 5 17 2 19 4" xfId="35113" xr:uid="{00000000-0005-0000-0000-00001B890000}"/>
    <cellStyle name="Normal 5 17 2 19 4 10" xfId="35114" xr:uid="{00000000-0005-0000-0000-00001C890000}"/>
    <cellStyle name="Normal 5 17 2 19 4 2" xfId="35115" xr:uid="{00000000-0005-0000-0000-00001D890000}"/>
    <cellStyle name="Normal 5 17 2 19 4 3" xfId="35116" xr:uid="{00000000-0005-0000-0000-00001E890000}"/>
    <cellStyle name="Normal 5 17 2 19 4 4" xfId="35117" xr:uid="{00000000-0005-0000-0000-00001F890000}"/>
    <cellStyle name="Normal 5 17 2 19 4 5" xfId="35118" xr:uid="{00000000-0005-0000-0000-000020890000}"/>
    <cellStyle name="Normal 5 17 2 19 4 6" xfId="35119" xr:uid="{00000000-0005-0000-0000-000021890000}"/>
    <cellStyle name="Normal 5 17 2 19 4 7" xfId="35120" xr:uid="{00000000-0005-0000-0000-000022890000}"/>
    <cellStyle name="Normal 5 17 2 19 4 8" xfId="35121" xr:uid="{00000000-0005-0000-0000-000023890000}"/>
    <cellStyle name="Normal 5 17 2 19 4 9" xfId="35122" xr:uid="{00000000-0005-0000-0000-000024890000}"/>
    <cellStyle name="Normal 5 17 2 19 5" xfId="35123" xr:uid="{00000000-0005-0000-0000-000025890000}"/>
    <cellStyle name="Normal 5 17 2 19 5 10" xfId="35124" xr:uid="{00000000-0005-0000-0000-000026890000}"/>
    <cellStyle name="Normal 5 17 2 19 5 2" xfId="35125" xr:uid="{00000000-0005-0000-0000-000027890000}"/>
    <cellStyle name="Normal 5 17 2 19 5 3" xfId="35126" xr:uid="{00000000-0005-0000-0000-000028890000}"/>
    <cellStyle name="Normal 5 17 2 19 5 4" xfId="35127" xr:uid="{00000000-0005-0000-0000-000029890000}"/>
    <cellStyle name="Normal 5 17 2 19 5 5" xfId="35128" xr:uid="{00000000-0005-0000-0000-00002A890000}"/>
    <cellStyle name="Normal 5 17 2 19 5 6" xfId="35129" xr:uid="{00000000-0005-0000-0000-00002B890000}"/>
    <cellStyle name="Normal 5 17 2 19 5 7" xfId="35130" xr:uid="{00000000-0005-0000-0000-00002C890000}"/>
    <cellStyle name="Normal 5 17 2 19 5 8" xfId="35131" xr:uid="{00000000-0005-0000-0000-00002D890000}"/>
    <cellStyle name="Normal 5 17 2 19 5 9" xfId="35132" xr:uid="{00000000-0005-0000-0000-00002E890000}"/>
    <cellStyle name="Normal 5 17 2 19 6" xfId="35133" xr:uid="{00000000-0005-0000-0000-00002F890000}"/>
    <cellStyle name="Normal 5 17 2 19 7" xfId="35134" xr:uid="{00000000-0005-0000-0000-000030890000}"/>
    <cellStyle name="Normal 5 17 2 19 8" xfId="35135" xr:uid="{00000000-0005-0000-0000-000031890000}"/>
    <cellStyle name="Normal 5 17 2 19 9" xfId="35136" xr:uid="{00000000-0005-0000-0000-000032890000}"/>
    <cellStyle name="Normal 5 17 2 2" xfId="35137" xr:uid="{00000000-0005-0000-0000-000033890000}"/>
    <cellStyle name="Normal 5 17 2 2 10" xfId="35138" xr:uid="{00000000-0005-0000-0000-000034890000}"/>
    <cellStyle name="Normal 5 17 2 2 11" xfId="35139" xr:uid="{00000000-0005-0000-0000-000035890000}"/>
    <cellStyle name="Normal 5 17 2 2 12" xfId="35140" xr:uid="{00000000-0005-0000-0000-000036890000}"/>
    <cellStyle name="Normal 5 17 2 2 13" xfId="35141" xr:uid="{00000000-0005-0000-0000-000037890000}"/>
    <cellStyle name="Normal 5 17 2 2 14" xfId="35142" xr:uid="{00000000-0005-0000-0000-000038890000}"/>
    <cellStyle name="Normal 5 17 2 2 15" xfId="35143" xr:uid="{00000000-0005-0000-0000-000039890000}"/>
    <cellStyle name="Normal 5 17 2 2 16" xfId="35144" xr:uid="{00000000-0005-0000-0000-00003A890000}"/>
    <cellStyle name="Normal 5 17 2 2 2" xfId="35145" xr:uid="{00000000-0005-0000-0000-00003B890000}"/>
    <cellStyle name="Normal 5 17 2 2 2 10" xfId="35146" xr:uid="{00000000-0005-0000-0000-00003C890000}"/>
    <cellStyle name="Normal 5 17 2 2 2 2" xfId="35147" xr:uid="{00000000-0005-0000-0000-00003D890000}"/>
    <cellStyle name="Normal 5 17 2 2 2 3" xfId="35148" xr:uid="{00000000-0005-0000-0000-00003E890000}"/>
    <cellStyle name="Normal 5 17 2 2 2 4" xfId="35149" xr:uid="{00000000-0005-0000-0000-00003F890000}"/>
    <cellStyle name="Normal 5 17 2 2 2 5" xfId="35150" xr:uid="{00000000-0005-0000-0000-000040890000}"/>
    <cellStyle name="Normal 5 17 2 2 2 6" xfId="35151" xr:uid="{00000000-0005-0000-0000-000041890000}"/>
    <cellStyle name="Normal 5 17 2 2 2 7" xfId="35152" xr:uid="{00000000-0005-0000-0000-000042890000}"/>
    <cellStyle name="Normal 5 17 2 2 2 8" xfId="35153" xr:uid="{00000000-0005-0000-0000-000043890000}"/>
    <cellStyle name="Normal 5 17 2 2 2 9" xfId="35154" xr:uid="{00000000-0005-0000-0000-000044890000}"/>
    <cellStyle name="Normal 5 17 2 2 3" xfId="35155" xr:uid="{00000000-0005-0000-0000-000045890000}"/>
    <cellStyle name="Normal 5 17 2 2 3 10" xfId="35156" xr:uid="{00000000-0005-0000-0000-000046890000}"/>
    <cellStyle name="Normal 5 17 2 2 3 2" xfId="35157" xr:uid="{00000000-0005-0000-0000-000047890000}"/>
    <cellStyle name="Normal 5 17 2 2 3 3" xfId="35158" xr:uid="{00000000-0005-0000-0000-000048890000}"/>
    <cellStyle name="Normal 5 17 2 2 3 4" xfId="35159" xr:uid="{00000000-0005-0000-0000-000049890000}"/>
    <cellStyle name="Normal 5 17 2 2 3 5" xfId="35160" xr:uid="{00000000-0005-0000-0000-00004A890000}"/>
    <cellStyle name="Normal 5 17 2 2 3 6" xfId="35161" xr:uid="{00000000-0005-0000-0000-00004B890000}"/>
    <cellStyle name="Normal 5 17 2 2 3 7" xfId="35162" xr:uid="{00000000-0005-0000-0000-00004C890000}"/>
    <cellStyle name="Normal 5 17 2 2 3 8" xfId="35163" xr:uid="{00000000-0005-0000-0000-00004D890000}"/>
    <cellStyle name="Normal 5 17 2 2 3 9" xfId="35164" xr:uid="{00000000-0005-0000-0000-00004E890000}"/>
    <cellStyle name="Normal 5 17 2 2 4" xfId="35165" xr:uid="{00000000-0005-0000-0000-00004F890000}"/>
    <cellStyle name="Normal 5 17 2 2 4 10" xfId="35166" xr:uid="{00000000-0005-0000-0000-000050890000}"/>
    <cellStyle name="Normal 5 17 2 2 4 2" xfId="35167" xr:uid="{00000000-0005-0000-0000-000051890000}"/>
    <cellStyle name="Normal 5 17 2 2 4 3" xfId="35168" xr:uid="{00000000-0005-0000-0000-000052890000}"/>
    <cellStyle name="Normal 5 17 2 2 4 4" xfId="35169" xr:uid="{00000000-0005-0000-0000-000053890000}"/>
    <cellStyle name="Normal 5 17 2 2 4 5" xfId="35170" xr:uid="{00000000-0005-0000-0000-000054890000}"/>
    <cellStyle name="Normal 5 17 2 2 4 6" xfId="35171" xr:uid="{00000000-0005-0000-0000-000055890000}"/>
    <cellStyle name="Normal 5 17 2 2 4 7" xfId="35172" xr:uid="{00000000-0005-0000-0000-000056890000}"/>
    <cellStyle name="Normal 5 17 2 2 4 8" xfId="35173" xr:uid="{00000000-0005-0000-0000-000057890000}"/>
    <cellStyle name="Normal 5 17 2 2 4 9" xfId="35174" xr:uid="{00000000-0005-0000-0000-000058890000}"/>
    <cellStyle name="Normal 5 17 2 2 5" xfId="35175" xr:uid="{00000000-0005-0000-0000-000059890000}"/>
    <cellStyle name="Normal 5 17 2 2 5 10" xfId="35176" xr:uid="{00000000-0005-0000-0000-00005A890000}"/>
    <cellStyle name="Normal 5 17 2 2 5 2" xfId="35177" xr:uid="{00000000-0005-0000-0000-00005B890000}"/>
    <cellStyle name="Normal 5 17 2 2 5 3" xfId="35178" xr:uid="{00000000-0005-0000-0000-00005C890000}"/>
    <cellStyle name="Normal 5 17 2 2 5 4" xfId="35179" xr:uid="{00000000-0005-0000-0000-00005D890000}"/>
    <cellStyle name="Normal 5 17 2 2 5 5" xfId="35180" xr:uid="{00000000-0005-0000-0000-00005E890000}"/>
    <cellStyle name="Normal 5 17 2 2 5 6" xfId="35181" xr:uid="{00000000-0005-0000-0000-00005F890000}"/>
    <cellStyle name="Normal 5 17 2 2 5 7" xfId="35182" xr:uid="{00000000-0005-0000-0000-000060890000}"/>
    <cellStyle name="Normal 5 17 2 2 5 8" xfId="35183" xr:uid="{00000000-0005-0000-0000-000061890000}"/>
    <cellStyle name="Normal 5 17 2 2 5 9" xfId="35184" xr:uid="{00000000-0005-0000-0000-000062890000}"/>
    <cellStyle name="Normal 5 17 2 2 6" xfId="35185" xr:uid="{00000000-0005-0000-0000-000063890000}"/>
    <cellStyle name="Normal 5 17 2 2 7" xfId="35186" xr:uid="{00000000-0005-0000-0000-000064890000}"/>
    <cellStyle name="Normal 5 17 2 2 8" xfId="35187" xr:uid="{00000000-0005-0000-0000-000065890000}"/>
    <cellStyle name="Normal 5 17 2 2 9" xfId="35188" xr:uid="{00000000-0005-0000-0000-000066890000}"/>
    <cellStyle name="Normal 5 17 2 20" xfId="35189" xr:uid="{00000000-0005-0000-0000-000067890000}"/>
    <cellStyle name="Normal 5 17 2 20 10" xfId="35190" xr:uid="{00000000-0005-0000-0000-000068890000}"/>
    <cellStyle name="Normal 5 17 2 20 11" xfId="35191" xr:uid="{00000000-0005-0000-0000-000069890000}"/>
    <cellStyle name="Normal 5 17 2 20 12" xfId="35192" xr:uid="{00000000-0005-0000-0000-00006A890000}"/>
    <cellStyle name="Normal 5 17 2 20 13" xfId="35193" xr:uid="{00000000-0005-0000-0000-00006B890000}"/>
    <cellStyle name="Normal 5 17 2 20 14" xfId="35194" xr:uid="{00000000-0005-0000-0000-00006C890000}"/>
    <cellStyle name="Normal 5 17 2 20 2" xfId="35195" xr:uid="{00000000-0005-0000-0000-00006D890000}"/>
    <cellStyle name="Normal 5 17 2 20 2 10" xfId="35196" xr:uid="{00000000-0005-0000-0000-00006E890000}"/>
    <cellStyle name="Normal 5 17 2 20 2 2" xfId="35197" xr:uid="{00000000-0005-0000-0000-00006F890000}"/>
    <cellStyle name="Normal 5 17 2 20 2 3" xfId="35198" xr:uid="{00000000-0005-0000-0000-000070890000}"/>
    <cellStyle name="Normal 5 17 2 20 2 4" xfId="35199" xr:uid="{00000000-0005-0000-0000-000071890000}"/>
    <cellStyle name="Normal 5 17 2 20 2 5" xfId="35200" xr:uid="{00000000-0005-0000-0000-000072890000}"/>
    <cellStyle name="Normal 5 17 2 20 2 6" xfId="35201" xr:uid="{00000000-0005-0000-0000-000073890000}"/>
    <cellStyle name="Normal 5 17 2 20 2 7" xfId="35202" xr:uid="{00000000-0005-0000-0000-000074890000}"/>
    <cellStyle name="Normal 5 17 2 20 2 8" xfId="35203" xr:uid="{00000000-0005-0000-0000-000075890000}"/>
    <cellStyle name="Normal 5 17 2 20 2 9" xfId="35204" xr:uid="{00000000-0005-0000-0000-000076890000}"/>
    <cellStyle name="Normal 5 17 2 20 3" xfId="35205" xr:uid="{00000000-0005-0000-0000-000077890000}"/>
    <cellStyle name="Normal 5 17 2 20 3 10" xfId="35206" xr:uid="{00000000-0005-0000-0000-000078890000}"/>
    <cellStyle name="Normal 5 17 2 20 3 2" xfId="35207" xr:uid="{00000000-0005-0000-0000-000079890000}"/>
    <cellStyle name="Normal 5 17 2 20 3 3" xfId="35208" xr:uid="{00000000-0005-0000-0000-00007A890000}"/>
    <cellStyle name="Normal 5 17 2 20 3 4" xfId="35209" xr:uid="{00000000-0005-0000-0000-00007B890000}"/>
    <cellStyle name="Normal 5 17 2 20 3 5" xfId="35210" xr:uid="{00000000-0005-0000-0000-00007C890000}"/>
    <cellStyle name="Normal 5 17 2 20 3 6" xfId="35211" xr:uid="{00000000-0005-0000-0000-00007D890000}"/>
    <cellStyle name="Normal 5 17 2 20 3 7" xfId="35212" xr:uid="{00000000-0005-0000-0000-00007E890000}"/>
    <cellStyle name="Normal 5 17 2 20 3 8" xfId="35213" xr:uid="{00000000-0005-0000-0000-00007F890000}"/>
    <cellStyle name="Normal 5 17 2 20 3 9" xfId="35214" xr:uid="{00000000-0005-0000-0000-000080890000}"/>
    <cellStyle name="Normal 5 17 2 20 4" xfId="35215" xr:uid="{00000000-0005-0000-0000-000081890000}"/>
    <cellStyle name="Normal 5 17 2 20 4 10" xfId="35216" xr:uid="{00000000-0005-0000-0000-000082890000}"/>
    <cellStyle name="Normal 5 17 2 20 4 2" xfId="35217" xr:uid="{00000000-0005-0000-0000-000083890000}"/>
    <cellStyle name="Normal 5 17 2 20 4 3" xfId="35218" xr:uid="{00000000-0005-0000-0000-000084890000}"/>
    <cellStyle name="Normal 5 17 2 20 4 4" xfId="35219" xr:uid="{00000000-0005-0000-0000-000085890000}"/>
    <cellStyle name="Normal 5 17 2 20 4 5" xfId="35220" xr:uid="{00000000-0005-0000-0000-000086890000}"/>
    <cellStyle name="Normal 5 17 2 20 4 6" xfId="35221" xr:uid="{00000000-0005-0000-0000-000087890000}"/>
    <cellStyle name="Normal 5 17 2 20 4 7" xfId="35222" xr:uid="{00000000-0005-0000-0000-000088890000}"/>
    <cellStyle name="Normal 5 17 2 20 4 8" xfId="35223" xr:uid="{00000000-0005-0000-0000-000089890000}"/>
    <cellStyle name="Normal 5 17 2 20 4 9" xfId="35224" xr:uid="{00000000-0005-0000-0000-00008A890000}"/>
    <cellStyle name="Normal 5 17 2 20 5" xfId="35225" xr:uid="{00000000-0005-0000-0000-00008B890000}"/>
    <cellStyle name="Normal 5 17 2 20 5 10" xfId="35226" xr:uid="{00000000-0005-0000-0000-00008C890000}"/>
    <cellStyle name="Normal 5 17 2 20 5 2" xfId="35227" xr:uid="{00000000-0005-0000-0000-00008D890000}"/>
    <cellStyle name="Normal 5 17 2 20 5 3" xfId="35228" xr:uid="{00000000-0005-0000-0000-00008E890000}"/>
    <cellStyle name="Normal 5 17 2 20 5 4" xfId="35229" xr:uid="{00000000-0005-0000-0000-00008F890000}"/>
    <cellStyle name="Normal 5 17 2 20 5 5" xfId="35230" xr:uid="{00000000-0005-0000-0000-000090890000}"/>
    <cellStyle name="Normal 5 17 2 20 5 6" xfId="35231" xr:uid="{00000000-0005-0000-0000-000091890000}"/>
    <cellStyle name="Normal 5 17 2 20 5 7" xfId="35232" xr:uid="{00000000-0005-0000-0000-000092890000}"/>
    <cellStyle name="Normal 5 17 2 20 5 8" xfId="35233" xr:uid="{00000000-0005-0000-0000-000093890000}"/>
    <cellStyle name="Normal 5 17 2 20 5 9" xfId="35234" xr:uid="{00000000-0005-0000-0000-000094890000}"/>
    <cellStyle name="Normal 5 17 2 20 6" xfId="35235" xr:uid="{00000000-0005-0000-0000-000095890000}"/>
    <cellStyle name="Normal 5 17 2 20 7" xfId="35236" xr:uid="{00000000-0005-0000-0000-000096890000}"/>
    <cellStyle name="Normal 5 17 2 20 8" xfId="35237" xr:uid="{00000000-0005-0000-0000-000097890000}"/>
    <cellStyle name="Normal 5 17 2 20 9" xfId="35238" xr:uid="{00000000-0005-0000-0000-000098890000}"/>
    <cellStyle name="Normal 5 17 2 21" xfId="35239" xr:uid="{00000000-0005-0000-0000-000099890000}"/>
    <cellStyle name="Normal 5 17 2 21 10" xfId="35240" xr:uid="{00000000-0005-0000-0000-00009A890000}"/>
    <cellStyle name="Normal 5 17 2 21 11" xfId="35241" xr:uid="{00000000-0005-0000-0000-00009B890000}"/>
    <cellStyle name="Normal 5 17 2 21 12" xfId="35242" xr:uid="{00000000-0005-0000-0000-00009C890000}"/>
    <cellStyle name="Normal 5 17 2 21 13" xfId="35243" xr:uid="{00000000-0005-0000-0000-00009D890000}"/>
    <cellStyle name="Normal 5 17 2 21 14" xfId="35244" xr:uid="{00000000-0005-0000-0000-00009E890000}"/>
    <cellStyle name="Normal 5 17 2 21 2" xfId="35245" xr:uid="{00000000-0005-0000-0000-00009F890000}"/>
    <cellStyle name="Normal 5 17 2 21 2 10" xfId="35246" xr:uid="{00000000-0005-0000-0000-0000A0890000}"/>
    <cellStyle name="Normal 5 17 2 21 2 2" xfId="35247" xr:uid="{00000000-0005-0000-0000-0000A1890000}"/>
    <cellStyle name="Normal 5 17 2 21 2 3" xfId="35248" xr:uid="{00000000-0005-0000-0000-0000A2890000}"/>
    <cellStyle name="Normal 5 17 2 21 2 4" xfId="35249" xr:uid="{00000000-0005-0000-0000-0000A3890000}"/>
    <cellStyle name="Normal 5 17 2 21 2 5" xfId="35250" xr:uid="{00000000-0005-0000-0000-0000A4890000}"/>
    <cellStyle name="Normal 5 17 2 21 2 6" xfId="35251" xr:uid="{00000000-0005-0000-0000-0000A5890000}"/>
    <cellStyle name="Normal 5 17 2 21 2 7" xfId="35252" xr:uid="{00000000-0005-0000-0000-0000A6890000}"/>
    <cellStyle name="Normal 5 17 2 21 2 8" xfId="35253" xr:uid="{00000000-0005-0000-0000-0000A7890000}"/>
    <cellStyle name="Normal 5 17 2 21 2 9" xfId="35254" xr:uid="{00000000-0005-0000-0000-0000A8890000}"/>
    <cellStyle name="Normal 5 17 2 21 3" xfId="35255" xr:uid="{00000000-0005-0000-0000-0000A9890000}"/>
    <cellStyle name="Normal 5 17 2 21 3 10" xfId="35256" xr:uid="{00000000-0005-0000-0000-0000AA890000}"/>
    <cellStyle name="Normal 5 17 2 21 3 2" xfId="35257" xr:uid="{00000000-0005-0000-0000-0000AB890000}"/>
    <cellStyle name="Normal 5 17 2 21 3 3" xfId="35258" xr:uid="{00000000-0005-0000-0000-0000AC890000}"/>
    <cellStyle name="Normal 5 17 2 21 3 4" xfId="35259" xr:uid="{00000000-0005-0000-0000-0000AD890000}"/>
    <cellStyle name="Normal 5 17 2 21 3 5" xfId="35260" xr:uid="{00000000-0005-0000-0000-0000AE890000}"/>
    <cellStyle name="Normal 5 17 2 21 3 6" xfId="35261" xr:uid="{00000000-0005-0000-0000-0000AF890000}"/>
    <cellStyle name="Normal 5 17 2 21 3 7" xfId="35262" xr:uid="{00000000-0005-0000-0000-0000B0890000}"/>
    <cellStyle name="Normal 5 17 2 21 3 8" xfId="35263" xr:uid="{00000000-0005-0000-0000-0000B1890000}"/>
    <cellStyle name="Normal 5 17 2 21 3 9" xfId="35264" xr:uid="{00000000-0005-0000-0000-0000B2890000}"/>
    <cellStyle name="Normal 5 17 2 21 4" xfId="35265" xr:uid="{00000000-0005-0000-0000-0000B3890000}"/>
    <cellStyle name="Normal 5 17 2 21 4 10" xfId="35266" xr:uid="{00000000-0005-0000-0000-0000B4890000}"/>
    <cellStyle name="Normal 5 17 2 21 4 2" xfId="35267" xr:uid="{00000000-0005-0000-0000-0000B5890000}"/>
    <cellStyle name="Normal 5 17 2 21 4 3" xfId="35268" xr:uid="{00000000-0005-0000-0000-0000B6890000}"/>
    <cellStyle name="Normal 5 17 2 21 4 4" xfId="35269" xr:uid="{00000000-0005-0000-0000-0000B7890000}"/>
    <cellStyle name="Normal 5 17 2 21 4 5" xfId="35270" xr:uid="{00000000-0005-0000-0000-0000B8890000}"/>
    <cellStyle name="Normal 5 17 2 21 4 6" xfId="35271" xr:uid="{00000000-0005-0000-0000-0000B9890000}"/>
    <cellStyle name="Normal 5 17 2 21 4 7" xfId="35272" xr:uid="{00000000-0005-0000-0000-0000BA890000}"/>
    <cellStyle name="Normal 5 17 2 21 4 8" xfId="35273" xr:uid="{00000000-0005-0000-0000-0000BB890000}"/>
    <cellStyle name="Normal 5 17 2 21 4 9" xfId="35274" xr:uid="{00000000-0005-0000-0000-0000BC890000}"/>
    <cellStyle name="Normal 5 17 2 21 5" xfId="35275" xr:uid="{00000000-0005-0000-0000-0000BD890000}"/>
    <cellStyle name="Normal 5 17 2 21 5 10" xfId="35276" xr:uid="{00000000-0005-0000-0000-0000BE890000}"/>
    <cellStyle name="Normal 5 17 2 21 5 2" xfId="35277" xr:uid="{00000000-0005-0000-0000-0000BF890000}"/>
    <cellStyle name="Normal 5 17 2 21 5 3" xfId="35278" xr:uid="{00000000-0005-0000-0000-0000C0890000}"/>
    <cellStyle name="Normal 5 17 2 21 5 4" xfId="35279" xr:uid="{00000000-0005-0000-0000-0000C1890000}"/>
    <cellStyle name="Normal 5 17 2 21 5 5" xfId="35280" xr:uid="{00000000-0005-0000-0000-0000C2890000}"/>
    <cellStyle name="Normal 5 17 2 21 5 6" xfId="35281" xr:uid="{00000000-0005-0000-0000-0000C3890000}"/>
    <cellStyle name="Normal 5 17 2 21 5 7" xfId="35282" xr:uid="{00000000-0005-0000-0000-0000C4890000}"/>
    <cellStyle name="Normal 5 17 2 21 5 8" xfId="35283" xr:uid="{00000000-0005-0000-0000-0000C5890000}"/>
    <cellStyle name="Normal 5 17 2 21 5 9" xfId="35284" xr:uid="{00000000-0005-0000-0000-0000C6890000}"/>
    <cellStyle name="Normal 5 17 2 21 6" xfId="35285" xr:uid="{00000000-0005-0000-0000-0000C7890000}"/>
    <cellStyle name="Normal 5 17 2 21 7" xfId="35286" xr:uid="{00000000-0005-0000-0000-0000C8890000}"/>
    <cellStyle name="Normal 5 17 2 21 8" xfId="35287" xr:uid="{00000000-0005-0000-0000-0000C9890000}"/>
    <cellStyle name="Normal 5 17 2 21 9" xfId="35288" xr:uid="{00000000-0005-0000-0000-0000CA890000}"/>
    <cellStyle name="Normal 5 17 2 22" xfId="35289" xr:uid="{00000000-0005-0000-0000-0000CB890000}"/>
    <cellStyle name="Normal 5 17 2 22 10" xfId="35290" xr:uid="{00000000-0005-0000-0000-0000CC890000}"/>
    <cellStyle name="Normal 5 17 2 22 11" xfId="35291" xr:uid="{00000000-0005-0000-0000-0000CD890000}"/>
    <cellStyle name="Normal 5 17 2 22 12" xfId="35292" xr:uid="{00000000-0005-0000-0000-0000CE890000}"/>
    <cellStyle name="Normal 5 17 2 22 13" xfId="35293" xr:uid="{00000000-0005-0000-0000-0000CF890000}"/>
    <cellStyle name="Normal 5 17 2 22 14" xfId="35294" xr:uid="{00000000-0005-0000-0000-0000D0890000}"/>
    <cellStyle name="Normal 5 17 2 22 2" xfId="35295" xr:uid="{00000000-0005-0000-0000-0000D1890000}"/>
    <cellStyle name="Normal 5 17 2 22 2 10" xfId="35296" xr:uid="{00000000-0005-0000-0000-0000D2890000}"/>
    <cellStyle name="Normal 5 17 2 22 2 2" xfId="35297" xr:uid="{00000000-0005-0000-0000-0000D3890000}"/>
    <cellStyle name="Normal 5 17 2 22 2 3" xfId="35298" xr:uid="{00000000-0005-0000-0000-0000D4890000}"/>
    <cellStyle name="Normal 5 17 2 22 2 4" xfId="35299" xr:uid="{00000000-0005-0000-0000-0000D5890000}"/>
    <cellStyle name="Normal 5 17 2 22 2 5" xfId="35300" xr:uid="{00000000-0005-0000-0000-0000D6890000}"/>
    <cellStyle name="Normal 5 17 2 22 2 6" xfId="35301" xr:uid="{00000000-0005-0000-0000-0000D7890000}"/>
    <cellStyle name="Normal 5 17 2 22 2 7" xfId="35302" xr:uid="{00000000-0005-0000-0000-0000D8890000}"/>
    <cellStyle name="Normal 5 17 2 22 2 8" xfId="35303" xr:uid="{00000000-0005-0000-0000-0000D9890000}"/>
    <cellStyle name="Normal 5 17 2 22 2 9" xfId="35304" xr:uid="{00000000-0005-0000-0000-0000DA890000}"/>
    <cellStyle name="Normal 5 17 2 22 3" xfId="35305" xr:uid="{00000000-0005-0000-0000-0000DB890000}"/>
    <cellStyle name="Normal 5 17 2 22 3 10" xfId="35306" xr:uid="{00000000-0005-0000-0000-0000DC890000}"/>
    <cellStyle name="Normal 5 17 2 22 3 2" xfId="35307" xr:uid="{00000000-0005-0000-0000-0000DD890000}"/>
    <cellStyle name="Normal 5 17 2 22 3 3" xfId="35308" xr:uid="{00000000-0005-0000-0000-0000DE890000}"/>
    <cellStyle name="Normal 5 17 2 22 3 4" xfId="35309" xr:uid="{00000000-0005-0000-0000-0000DF890000}"/>
    <cellStyle name="Normal 5 17 2 22 3 5" xfId="35310" xr:uid="{00000000-0005-0000-0000-0000E0890000}"/>
    <cellStyle name="Normal 5 17 2 22 3 6" xfId="35311" xr:uid="{00000000-0005-0000-0000-0000E1890000}"/>
    <cellStyle name="Normal 5 17 2 22 3 7" xfId="35312" xr:uid="{00000000-0005-0000-0000-0000E2890000}"/>
    <cellStyle name="Normal 5 17 2 22 3 8" xfId="35313" xr:uid="{00000000-0005-0000-0000-0000E3890000}"/>
    <cellStyle name="Normal 5 17 2 22 3 9" xfId="35314" xr:uid="{00000000-0005-0000-0000-0000E4890000}"/>
    <cellStyle name="Normal 5 17 2 22 4" xfId="35315" xr:uid="{00000000-0005-0000-0000-0000E5890000}"/>
    <cellStyle name="Normal 5 17 2 22 4 10" xfId="35316" xr:uid="{00000000-0005-0000-0000-0000E6890000}"/>
    <cellStyle name="Normal 5 17 2 22 4 2" xfId="35317" xr:uid="{00000000-0005-0000-0000-0000E7890000}"/>
    <cellStyle name="Normal 5 17 2 22 4 3" xfId="35318" xr:uid="{00000000-0005-0000-0000-0000E8890000}"/>
    <cellStyle name="Normal 5 17 2 22 4 4" xfId="35319" xr:uid="{00000000-0005-0000-0000-0000E9890000}"/>
    <cellStyle name="Normal 5 17 2 22 4 5" xfId="35320" xr:uid="{00000000-0005-0000-0000-0000EA890000}"/>
    <cellStyle name="Normal 5 17 2 22 4 6" xfId="35321" xr:uid="{00000000-0005-0000-0000-0000EB890000}"/>
    <cellStyle name="Normal 5 17 2 22 4 7" xfId="35322" xr:uid="{00000000-0005-0000-0000-0000EC890000}"/>
    <cellStyle name="Normal 5 17 2 22 4 8" xfId="35323" xr:uid="{00000000-0005-0000-0000-0000ED890000}"/>
    <cellStyle name="Normal 5 17 2 22 4 9" xfId="35324" xr:uid="{00000000-0005-0000-0000-0000EE890000}"/>
    <cellStyle name="Normal 5 17 2 22 5" xfId="35325" xr:uid="{00000000-0005-0000-0000-0000EF890000}"/>
    <cellStyle name="Normal 5 17 2 22 5 10" xfId="35326" xr:uid="{00000000-0005-0000-0000-0000F0890000}"/>
    <cellStyle name="Normal 5 17 2 22 5 2" xfId="35327" xr:uid="{00000000-0005-0000-0000-0000F1890000}"/>
    <cellStyle name="Normal 5 17 2 22 5 3" xfId="35328" xr:uid="{00000000-0005-0000-0000-0000F2890000}"/>
    <cellStyle name="Normal 5 17 2 22 5 4" xfId="35329" xr:uid="{00000000-0005-0000-0000-0000F3890000}"/>
    <cellStyle name="Normal 5 17 2 22 5 5" xfId="35330" xr:uid="{00000000-0005-0000-0000-0000F4890000}"/>
    <cellStyle name="Normal 5 17 2 22 5 6" xfId="35331" xr:uid="{00000000-0005-0000-0000-0000F5890000}"/>
    <cellStyle name="Normal 5 17 2 22 5 7" xfId="35332" xr:uid="{00000000-0005-0000-0000-0000F6890000}"/>
    <cellStyle name="Normal 5 17 2 22 5 8" xfId="35333" xr:uid="{00000000-0005-0000-0000-0000F7890000}"/>
    <cellStyle name="Normal 5 17 2 22 5 9" xfId="35334" xr:uid="{00000000-0005-0000-0000-0000F8890000}"/>
    <cellStyle name="Normal 5 17 2 22 6" xfId="35335" xr:uid="{00000000-0005-0000-0000-0000F9890000}"/>
    <cellStyle name="Normal 5 17 2 22 7" xfId="35336" xr:uid="{00000000-0005-0000-0000-0000FA890000}"/>
    <cellStyle name="Normal 5 17 2 22 8" xfId="35337" xr:uid="{00000000-0005-0000-0000-0000FB890000}"/>
    <cellStyle name="Normal 5 17 2 22 9" xfId="35338" xr:uid="{00000000-0005-0000-0000-0000FC890000}"/>
    <cellStyle name="Normal 5 17 2 23" xfId="35339" xr:uid="{00000000-0005-0000-0000-0000FD890000}"/>
    <cellStyle name="Normal 5 17 2 23 10" xfId="35340" xr:uid="{00000000-0005-0000-0000-0000FE890000}"/>
    <cellStyle name="Normal 5 17 2 23 11" xfId="35341" xr:uid="{00000000-0005-0000-0000-0000FF890000}"/>
    <cellStyle name="Normal 5 17 2 23 12" xfId="35342" xr:uid="{00000000-0005-0000-0000-0000008A0000}"/>
    <cellStyle name="Normal 5 17 2 23 13" xfId="35343" xr:uid="{00000000-0005-0000-0000-0000018A0000}"/>
    <cellStyle name="Normal 5 17 2 23 14" xfId="35344" xr:uid="{00000000-0005-0000-0000-0000028A0000}"/>
    <cellStyle name="Normal 5 17 2 23 2" xfId="35345" xr:uid="{00000000-0005-0000-0000-0000038A0000}"/>
    <cellStyle name="Normal 5 17 2 23 2 10" xfId="35346" xr:uid="{00000000-0005-0000-0000-0000048A0000}"/>
    <cellStyle name="Normal 5 17 2 23 2 2" xfId="35347" xr:uid="{00000000-0005-0000-0000-0000058A0000}"/>
    <cellStyle name="Normal 5 17 2 23 2 3" xfId="35348" xr:uid="{00000000-0005-0000-0000-0000068A0000}"/>
    <cellStyle name="Normal 5 17 2 23 2 4" xfId="35349" xr:uid="{00000000-0005-0000-0000-0000078A0000}"/>
    <cellStyle name="Normal 5 17 2 23 2 5" xfId="35350" xr:uid="{00000000-0005-0000-0000-0000088A0000}"/>
    <cellStyle name="Normal 5 17 2 23 2 6" xfId="35351" xr:uid="{00000000-0005-0000-0000-0000098A0000}"/>
    <cellStyle name="Normal 5 17 2 23 2 7" xfId="35352" xr:uid="{00000000-0005-0000-0000-00000A8A0000}"/>
    <cellStyle name="Normal 5 17 2 23 2 8" xfId="35353" xr:uid="{00000000-0005-0000-0000-00000B8A0000}"/>
    <cellStyle name="Normal 5 17 2 23 2 9" xfId="35354" xr:uid="{00000000-0005-0000-0000-00000C8A0000}"/>
    <cellStyle name="Normal 5 17 2 23 3" xfId="35355" xr:uid="{00000000-0005-0000-0000-00000D8A0000}"/>
    <cellStyle name="Normal 5 17 2 23 3 10" xfId="35356" xr:uid="{00000000-0005-0000-0000-00000E8A0000}"/>
    <cellStyle name="Normal 5 17 2 23 3 2" xfId="35357" xr:uid="{00000000-0005-0000-0000-00000F8A0000}"/>
    <cellStyle name="Normal 5 17 2 23 3 3" xfId="35358" xr:uid="{00000000-0005-0000-0000-0000108A0000}"/>
    <cellStyle name="Normal 5 17 2 23 3 4" xfId="35359" xr:uid="{00000000-0005-0000-0000-0000118A0000}"/>
    <cellStyle name="Normal 5 17 2 23 3 5" xfId="35360" xr:uid="{00000000-0005-0000-0000-0000128A0000}"/>
    <cellStyle name="Normal 5 17 2 23 3 6" xfId="35361" xr:uid="{00000000-0005-0000-0000-0000138A0000}"/>
    <cellStyle name="Normal 5 17 2 23 3 7" xfId="35362" xr:uid="{00000000-0005-0000-0000-0000148A0000}"/>
    <cellStyle name="Normal 5 17 2 23 3 8" xfId="35363" xr:uid="{00000000-0005-0000-0000-0000158A0000}"/>
    <cellStyle name="Normal 5 17 2 23 3 9" xfId="35364" xr:uid="{00000000-0005-0000-0000-0000168A0000}"/>
    <cellStyle name="Normal 5 17 2 23 4" xfId="35365" xr:uid="{00000000-0005-0000-0000-0000178A0000}"/>
    <cellStyle name="Normal 5 17 2 23 4 10" xfId="35366" xr:uid="{00000000-0005-0000-0000-0000188A0000}"/>
    <cellStyle name="Normal 5 17 2 23 4 2" xfId="35367" xr:uid="{00000000-0005-0000-0000-0000198A0000}"/>
    <cellStyle name="Normal 5 17 2 23 4 3" xfId="35368" xr:uid="{00000000-0005-0000-0000-00001A8A0000}"/>
    <cellStyle name="Normal 5 17 2 23 4 4" xfId="35369" xr:uid="{00000000-0005-0000-0000-00001B8A0000}"/>
    <cellStyle name="Normal 5 17 2 23 4 5" xfId="35370" xr:uid="{00000000-0005-0000-0000-00001C8A0000}"/>
    <cellStyle name="Normal 5 17 2 23 4 6" xfId="35371" xr:uid="{00000000-0005-0000-0000-00001D8A0000}"/>
    <cellStyle name="Normal 5 17 2 23 4 7" xfId="35372" xr:uid="{00000000-0005-0000-0000-00001E8A0000}"/>
    <cellStyle name="Normal 5 17 2 23 4 8" xfId="35373" xr:uid="{00000000-0005-0000-0000-00001F8A0000}"/>
    <cellStyle name="Normal 5 17 2 23 4 9" xfId="35374" xr:uid="{00000000-0005-0000-0000-0000208A0000}"/>
    <cellStyle name="Normal 5 17 2 23 5" xfId="35375" xr:uid="{00000000-0005-0000-0000-0000218A0000}"/>
    <cellStyle name="Normal 5 17 2 23 5 10" xfId="35376" xr:uid="{00000000-0005-0000-0000-0000228A0000}"/>
    <cellStyle name="Normal 5 17 2 23 5 2" xfId="35377" xr:uid="{00000000-0005-0000-0000-0000238A0000}"/>
    <cellStyle name="Normal 5 17 2 23 5 3" xfId="35378" xr:uid="{00000000-0005-0000-0000-0000248A0000}"/>
    <cellStyle name="Normal 5 17 2 23 5 4" xfId="35379" xr:uid="{00000000-0005-0000-0000-0000258A0000}"/>
    <cellStyle name="Normal 5 17 2 23 5 5" xfId="35380" xr:uid="{00000000-0005-0000-0000-0000268A0000}"/>
    <cellStyle name="Normal 5 17 2 23 5 6" xfId="35381" xr:uid="{00000000-0005-0000-0000-0000278A0000}"/>
    <cellStyle name="Normal 5 17 2 23 5 7" xfId="35382" xr:uid="{00000000-0005-0000-0000-0000288A0000}"/>
    <cellStyle name="Normal 5 17 2 23 5 8" xfId="35383" xr:uid="{00000000-0005-0000-0000-0000298A0000}"/>
    <cellStyle name="Normal 5 17 2 23 5 9" xfId="35384" xr:uid="{00000000-0005-0000-0000-00002A8A0000}"/>
    <cellStyle name="Normal 5 17 2 23 6" xfId="35385" xr:uid="{00000000-0005-0000-0000-00002B8A0000}"/>
    <cellStyle name="Normal 5 17 2 23 7" xfId="35386" xr:uid="{00000000-0005-0000-0000-00002C8A0000}"/>
    <cellStyle name="Normal 5 17 2 23 8" xfId="35387" xr:uid="{00000000-0005-0000-0000-00002D8A0000}"/>
    <cellStyle name="Normal 5 17 2 23 9" xfId="35388" xr:uid="{00000000-0005-0000-0000-00002E8A0000}"/>
    <cellStyle name="Normal 5 17 2 24" xfId="35389" xr:uid="{00000000-0005-0000-0000-00002F8A0000}"/>
    <cellStyle name="Normal 5 17 2 24 10" xfId="35390" xr:uid="{00000000-0005-0000-0000-0000308A0000}"/>
    <cellStyle name="Normal 5 17 2 24 11" xfId="35391" xr:uid="{00000000-0005-0000-0000-0000318A0000}"/>
    <cellStyle name="Normal 5 17 2 24 12" xfId="35392" xr:uid="{00000000-0005-0000-0000-0000328A0000}"/>
    <cellStyle name="Normal 5 17 2 24 13" xfId="35393" xr:uid="{00000000-0005-0000-0000-0000338A0000}"/>
    <cellStyle name="Normal 5 17 2 24 14" xfId="35394" xr:uid="{00000000-0005-0000-0000-0000348A0000}"/>
    <cellStyle name="Normal 5 17 2 24 2" xfId="35395" xr:uid="{00000000-0005-0000-0000-0000358A0000}"/>
    <cellStyle name="Normal 5 17 2 24 2 10" xfId="35396" xr:uid="{00000000-0005-0000-0000-0000368A0000}"/>
    <cellStyle name="Normal 5 17 2 24 2 2" xfId="35397" xr:uid="{00000000-0005-0000-0000-0000378A0000}"/>
    <cellStyle name="Normal 5 17 2 24 2 3" xfId="35398" xr:uid="{00000000-0005-0000-0000-0000388A0000}"/>
    <cellStyle name="Normal 5 17 2 24 2 4" xfId="35399" xr:uid="{00000000-0005-0000-0000-0000398A0000}"/>
    <cellStyle name="Normal 5 17 2 24 2 5" xfId="35400" xr:uid="{00000000-0005-0000-0000-00003A8A0000}"/>
    <cellStyle name="Normal 5 17 2 24 2 6" xfId="35401" xr:uid="{00000000-0005-0000-0000-00003B8A0000}"/>
    <cellStyle name="Normal 5 17 2 24 2 7" xfId="35402" xr:uid="{00000000-0005-0000-0000-00003C8A0000}"/>
    <cellStyle name="Normal 5 17 2 24 2 8" xfId="35403" xr:uid="{00000000-0005-0000-0000-00003D8A0000}"/>
    <cellStyle name="Normal 5 17 2 24 2 9" xfId="35404" xr:uid="{00000000-0005-0000-0000-00003E8A0000}"/>
    <cellStyle name="Normal 5 17 2 24 3" xfId="35405" xr:uid="{00000000-0005-0000-0000-00003F8A0000}"/>
    <cellStyle name="Normal 5 17 2 24 3 10" xfId="35406" xr:uid="{00000000-0005-0000-0000-0000408A0000}"/>
    <cellStyle name="Normal 5 17 2 24 3 2" xfId="35407" xr:uid="{00000000-0005-0000-0000-0000418A0000}"/>
    <cellStyle name="Normal 5 17 2 24 3 3" xfId="35408" xr:uid="{00000000-0005-0000-0000-0000428A0000}"/>
    <cellStyle name="Normal 5 17 2 24 3 4" xfId="35409" xr:uid="{00000000-0005-0000-0000-0000438A0000}"/>
    <cellStyle name="Normal 5 17 2 24 3 5" xfId="35410" xr:uid="{00000000-0005-0000-0000-0000448A0000}"/>
    <cellStyle name="Normal 5 17 2 24 3 6" xfId="35411" xr:uid="{00000000-0005-0000-0000-0000458A0000}"/>
    <cellStyle name="Normal 5 17 2 24 3 7" xfId="35412" xr:uid="{00000000-0005-0000-0000-0000468A0000}"/>
    <cellStyle name="Normal 5 17 2 24 3 8" xfId="35413" xr:uid="{00000000-0005-0000-0000-0000478A0000}"/>
    <cellStyle name="Normal 5 17 2 24 3 9" xfId="35414" xr:uid="{00000000-0005-0000-0000-0000488A0000}"/>
    <cellStyle name="Normal 5 17 2 24 4" xfId="35415" xr:uid="{00000000-0005-0000-0000-0000498A0000}"/>
    <cellStyle name="Normal 5 17 2 24 4 10" xfId="35416" xr:uid="{00000000-0005-0000-0000-00004A8A0000}"/>
    <cellStyle name="Normal 5 17 2 24 4 2" xfId="35417" xr:uid="{00000000-0005-0000-0000-00004B8A0000}"/>
    <cellStyle name="Normal 5 17 2 24 4 3" xfId="35418" xr:uid="{00000000-0005-0000-0000-00004C8A0000}"/>
    <cellStyle name="Normal 5 17 2 24 4 4" xfId="35419" xr:uid="{00000000-0005-0000-0000-00004D8A0000}"/>
    <cellStyle name="Normal 5 17 2 24 4 5" xfId="35420" xr:uid="{00000000-0005-0000-0000-00004E8A0000}"/>
    <cellStyle name="Normal 5 17 2 24 4 6" xfId="35421" xr:uid="{00000000-0005-0000-0000-00004F8A0000}"/>
    <cellStyle name="Normal 5 17 2 24 4 7" xfId="35422" xr:uid="{00000000-0005-0000-0000-0000508A0000}"/>
    <cellStyle name="Normal 5 17 2 24 4 8" xfId="35423" xr:uid="{00000000-0005-0000-0000-0000518A0000}"/>
    <cellStyle name="Normal 5 17 2 24 4 9" xfId="35424" xr:uid="{00000000-0005-0000-0000-0000528A0000}"/>
    <cellStyle name="Normal 5 17 2 24 5" xfId="35425" xr:uid="{00000000-0005-0000-0000-0000538A0000}"/>
    <cellStyle name="Normal 5 17 2 24 5 10" xfId="35426" xr:uid="{00000000-0005-0000-0000-0000548A0000}"/>
    <cellStyle name="Normal 5 17 2 24 5 2" xfId="35427" xr:uid="{00000000-0005-0000-0000-0000558A0000}"/>
    <cellStyle name="Normal 5 17 2 24 5 3" xfId="35428" xr:uid="{00000000-0005-0000-0000-0000568A0000}"/>
    <cellStyle name="Normal 5 17 2 24 5 4" xfId="35429" xr:uid="{00000000-0005-0000-0000-0000578A0000}"/>
    <cellStyle name="Normal 5 17 2 24 5 5" xfId="35430" xr:uid="{00000000-0005-0000-0000-0000588A0000}"/>
    <cellStyle name="Normal 5 17 2 24 5 6" xfId="35431" xr:uid="{00000000-0005-0000-0000-0000598A0000}"/>
    <cellStyle name="Normal 5 17 2 24 5 7" xfId="35432" xr:uid="{00000000-0005-0000-0000-00005A8A0000}"/>
    <cellStyle name="Normal 5 17 2 24 5 8" xfId="35433" xr:uid="{00000000-0005-0000-0000-00005B8A0000}"/>
    <cellStyle name="Normal 5 17 2 24 5 9" xfId="35434" xr:uid="{00000000-0005-0000-0000-00005C8A0000}"/>
    <cellStyle name="Normal 5 17 2 24 6" xfId="35435" xr:uid="{00000000-0005-0000-0000-00005D8A0000}"/>
    <cellStyle name="Normal 5 17 2 24 7" xfId="35436" xr:uid="{00000000-0005-0000-0000-00005E8A0000}"/>
    <cellStyle name="Normal 5 17 2 24 8" xfId="35437" xr:uid="{00000000-0005-0000-0000-00005F8A0000}"/>
    <cellStyle name="Normal 5 17 2 24 9" xfId="35438" xr:uid="{00000000-0005-0000-0000-0000608A0000}"/>
    <cellStyle name="Normal 5 17 2 25" xfId="35439" xr:uid="{00000000-0005-0000-0000-0000618A0000}"/>
    <cellStyle name="Normal 5 17 2 25 10" xfId="35440" xr:uid="{00000000-0005-0000-0000-0000628A0000}"/>
    <cellStyle name="Normal 5 17 2 25 11" xfId="35441" xr:uid="{00000000-0005-0000-0000-0000638A0000}"/>
    <cellStyle name="Normal 5 17 2 25 12" xfId="35442" xr:uid="{00000000-0005-0000-0000-0000648A0000}"/>
    <cellStyle name="Normal 5 17 2 25 13" xfId="35443" xr:uid="{00000000-0005-0000-0000-0000658A0000}"/>
    <cellStyle name="Normal 5 17 2 25 14" xfId="35444" xr:uid="{00000000-0005-0000-0000-0000668A0000}"/>
    <cellStyle name="Normal 5 17 2 25 2" xfId="35445" xr:uid="{00000000-0005-0000-0000-0000678A0000}"/>
    <cellStyle name="Normal 5 17 2 25 2 10" xfId="35446" xr:uid="{00000000-0005-0000-0000-0000688A0000}"/>
    <cellStyle name="Normal 5 17 2 25 2 2" xfId="35447" xr:uid="{00000000-0005-0000-0000-0000698A0000}"/>
    <cellStyle name="Normal 5 17 2 25 2 3" xfId="35448" xr:uid="{00000000-0005-0000-0000-00006A8A0000}"/>
    <cellStyle name="Normal 5 17 2 25 2 4" xfId="35449" xr:uid="{00000000-0005-0000-0000-00006B8A0000}"/>
    <cellStyle name="Normal 5 17 2 25 2 5" xfId="35450" xr:uid="{00000000-0005-0000-0000-00006C8A0000}"/>
    <cellStyle name="Normal 5 17 2 25 2 6" xfId="35451" xr:uid="{00000000-0005-0000-0000-00006D8A0000}"/>
    <cellStyle name="Normal 5 17 2 25 2 7" xfId="35452" xr:uid="{00000000-0005-0000-0000-00006E8A0000}"/>
    <cellStyle name="Normal 5 17 2 25 2 8" xfId="35453" xr:uid="{00000000-0005-0000-0000-00006F8A0000}"/>
    <cellStyle name="Normal 5 17 2 25 2 9" xfId="35454" xr:uid="{00000000-0005-0000-0000-0000708A0000}"/>
    <cellStyle name="Normal 5 17 2 25 3" xfId="35455" xr:uid="{00000000-0005-0000-0000-0000718A0000}"/>
    <cellStyle name="Normal 5 17 2 25 3 10" xfId="35456" xr:uid="{00000000-0005-0000-0000-0000728A0000}"/>
    <cellStyle name="Normal 5 17 2 25 3 2" xfId="35457" xr:uid="{00000000-0005-0000-0000-0000738A0000}"/>
    <cellStyle name="Normal 5 17 2 25 3 3" xfId="35458" xr:uid="{00000000-0005-0000-0000-0000748A0000}"/>
    <cellStyle name="Normal 5 17 2 25 3 4" xfId="35459" xr:uid="{00000000-0005-0000-0000-0000758A0000}"/>
    <cellStyle name="Normal 5 17 2 25 3 5" xfId="35460" xr:uid="{00000000-0005-0000-0000-0000768A0000}"/>
    <cellStyle name="Normal 5 17 2 25 3 6" xfId="35461" xr:uid="{00000000-0005-0000-0000-0000778A0000}"/>
    <cellStyle name="Normal 5 17 2 25 3 7" xfId="35462" xr:uid="{00000000-0005-0000-0000-0000788A0000}"/>
    <cellStyle name="Normal 5 17 2 25 3 8" xfId="35463" xr:uid="{00000000-0005-0000-0000-0000798A0000}"/>
    <cellStyle name="Normal 5 17 2 25 3 9" xfId="35464" xr:uid="{00000000-0005-0000-0000-00007A8A0000}"/>
    <cellStyle name="Normal 5 17 2 25 4" xfId="35465" xr:uid="{00000000-0005-0000-0000-00007B8A0000}"/>
    <cellStyle name="Normal 5 17 2 25 4 10" xfId="35466" xr:uid="{00000000-0005-0000-0000-00007C8A0000}"/>
    <cellStyle name="Normal 5 17 2 25 4 2" xfId="35467" xr:uid="{00000000-0005-0000-0000-00007D8A0000}"/>
    <cellStyle name="Normal 5 17 2 25 4 3" xfId="35468" xr:uid="{00000000-0005-0000-0000-00007E8A0000}"/>
    <cellStyle name="Normal 5 17 2 25 4 4" xfId="35469" xr:uid="{00000000-0005-0000-0000-00007F8A0000}"/>
    <cellStyle name="Normal 5 17 2 25 4 5" xfId="35470" xr:uid="{00000000-0005-0000-0000-0000808A0000}"/>
    <cellStyle name="Normal 5 17 2 25 4 6" xfId="35471" xr:uid="{00000000-0005-0000-0000-0000818A0000}"/>
    <cellStyle name="Normal 5 17 2 25 4 7" xfId="35472" xr:uid="{00000000-0005-0000-0000-0000828A0000}"/>
    <cellStyle name="Normal 5 17 2 25 4 8" xfId="35473" xr:uid="{00000000-0005-0000-0000-0000838A0000}"/>
    <cellStyle name="Normal 5 17 2 25 4 9" xfId="35474" xr:uid="{00000000-0005-0000-0000-0000848A0000}"/>
    <cellStyle name="Normal 5 17 2 25 5" xfId="35475" xr:uid="{00000000-0005-0000-0000-0000858A0000}"/>
    <cellStyle name="Normal 5 17 2 25 5 10" xfId="35476" xr:uid="{00000000-0005-0000-0000-0000868A0000}"/>
    <cellStyle name="Normal 5 17 2 25 5 2" xfId="35477" xr:uid="{00000000-0005-0000-0000-0000878A0000}"/>
    <cellStyle name="Normal 5 17 2 25 5 3" xfId="35478" xr:uid="{00000000-0005-0000-0000-0000888A0000}"/>
    <cellStyle name="Normal 5 17 2 25 5 4" xfId="35479" xr:uid="{00000000-0005-0000-0000-0000898A0000}"/>
    <cellStyle name="Normal 5 17 2 25 5 5" xfId="35480" xr:uid="{00000000-0005-0000-0000-00008A8A0000}"/>
    <cellStyle name="Normal 5 17 2 25 5 6" xfId="35481" xr:uid="{00000000-0005-0000-0000-00008B8A0000}"/>
    <cellStyle name="Normal 5 17 2 25 5 7" xfId="35482" xr:uid="{00000000-0005-0000-0000-00008C8A0000}"/>
    <cellStyle name="Normal 5 17 2 25 5 8" xfId="35483" xr:uid="{00000000-0005-0000-0000-00008D8A0000}"/>
    <cellStyle name="Normal 5 17 2 25 5 9" xfId="35484" xr:uid="{00000000-0005-0000-0000-00008E8A0000}"/>
    <cellStyle name="Normal 5 17 2 25 6" xfId="35485" xr:uid="{00000000-0005-0000-0000-00008F8A0000}"/>
    <cellStyle name="Normal 5 17 2 25 7" xfId="35486" xr:uid="{00000000-0005-0000-0000-0000908A0000}"/>
    <cellStyle name="Normal 5 17 2 25 8" xfId="35487" xr:uid="{00000000-0005-0000-0000-0000918A0000}"/>
    <cellStyle name="Normal 5 17 2 25 9" xfId="35488" xr:uid="{00000000-0005-0000-0000-0000928A0000}"/>
    <cellStyle name="Normal 5 17 2 26" xfId="35489" xr:uid="{00000000-0005-0000-0000-0000938A0000}"/>
    <cellStyle name="Normal 5 17 2 26 10" xfId="35490" xr:uid="{00000000-0005-0000-0000-0000948A0000}"/>
    <cellStyle name="Normal 5 17 2 26 11" xfId="35491" xr:uid="{00000000-0005-0000-0000-0000958A0000}"/>
    <cellStyle name="Normal 5 17 2 26 12" xfId="35492" xr:uid="{00000000-0005-0000-0000-0000968A0000}"/>
    <cellStyle name="Normal 5 17 2 26 13" xfId="35493" xr:uid="{00000000-0005-0000-0000-0000978A0000}"/>
    <cellStyle name="Normal 5 17 2 26 14" xfId="35494" xr:uid="{00000000-0005-0000-0000-0000988A0000}"/>
    <cellStyle name="Normal 5 17 2 26 2" xfId="35495" xr:uid="{00000000-0005-0000-0000-0000998A0000}"/>
    <cellStyle name="Normal 5 17 2 26 2 10" xfId="35496" xr:uid="{00000000-0005-0000-0000-00009A8A0000}"/>
    <cellStyle name="Normal 5 17 2 26 2 2" xfId="35497" xr:uid="{00000000-0005-0000-0000-00009B8A0000}"/>
    <cellStyle name="Normal 5 17 2 26 2 3" xfId="35498" xr:uid="{00000000-0005-0000-0000-00009C8A0000}"/>
    <cellStyle name="Normal 5 17 2 26 2 4" xfId="35499" xr:uid="{00000000-0005-0000-0000-00009D8A0000}"/>
    <cellStyle name="Normal 5 17 2 26 2 5" xfId="35500" xr:uid="{00000000-0005-0000-0000-00009E8A0000}"/>
    <cellStyle name="Normal 5 17 2 26 2 6" xfId="35501" xr:uid="{00000000-0005-0000-0000-00009F8A0000}"/>
    <cellStyle name="Normal 5 17 2 26 2 7" xfId="35502" xr:uid="{00000000-0005-0000-0000-0000A08A0000}"/>
    <cellStyle name="Normal 5 17 2 26 2 8" xfId="35503" xr:uid="{00000000-0005-0000-0000-0000A18A0000}"/>
    <cellStyle name="Normal 5 17 2 26 2 9" xfId="35504" xr:uid="{00000000-0005-0000-0000-0000A28A0000}"/>
    <cellStyle name="Normal 5 17 2 26 3" xfId="35505" xr:uid="{00000000-0005-0000-0000-0000A38A0000}"/>
    <cellStyle name="Normal 5 17 2 26 3 10" xfId="35506" xr:uid="{00000000-0005-0000-0000-0000A48A0000}"/>
    <cellStyle name="Normal 5 17 2 26 3 2" xfId="35507" xr:uid="{00000000-0005-0000-0000-0000A58A0000}"/>
    <cellStyle name="Normal 5 17 2 26 3 3" xfId="35508" xr:uid="{00000000-0005-0000-0000-0000A68A0000}"/>
    <cellStyle name="Normal 5 17 2 26 3 4" xfId="35509" xr:uid="{00000000-0005-0000-0000-0000A78A0000}"/>
    <cellStyle name="Normal 5 17 2 26 3 5" xfId="35510" xr:uid="{00000000-0005-0000-0000-0000A88A0000}"/>
    <cellStyle name="Normal 5 17 2 26 3 6" xfId="35511" xr:uid="{00000000-0005-0000-0000-0000A98A0000}"/>
    <cellStyle name="Normal 5 17 2 26 3 7" xfId="35512" xr:uid="{00000000-0005-0000-0000-0000AA8A0000}"/>
    <cellStyle name="Normal 5 17 2 26 3 8" xfId="35513" xr:uid="{00000000-0005-0000-0000-0000AB8A0000}"/>
    <cellStyle name="Normal 5 17 2 26 3 9" xfId="35514" xr:uid="{00000000-0005-0000-0000-0000AC8A0000}"/>
    <cellStyle name="Normal 5 17 2 26 4" xfId="35515" xr:uid="{00000000-0005-0000-0000-0000AD8A0000}"/>
    <cellStyle name="Normal 5 17 2 26 4 10" xfId="35516" xr:uid="{00000000-0005-0000-0000-0000AE8A0000}"/>
    <cellStyle name="Normal 5 17 2 26 4 2" xfId="35517" xr:uid="{00000000-0005-0000-0000-0000AF8A0000}"/>
    <cellStyle name="Normal 5 17 2 26 4 3" xfId="35518" xr:uid="{00000000-0005-0000-0000-0000B08A0000}"/>
    <cellStyle name="Normal 5 17 2 26 4 4" xfId="35519" xr:uid="{00000000-0005-0000-0000-0000B18A0000}"/>
    <cellStyle name="Normal 5 17 2 26 4 5" xfId="35520" xr:uid="{00000000-0005-0000-0000-0000B28A0000}"/>
    <cellStyle name="Normal 5 17 2 26 4 6" xfId="35521" xr:uid="{00000000-0005-0000-0000-0000B38A0000}"/>
    <cellStyle name="Normal 5 17 2 26 4 7" xfId="35522" xr:uid="{00000000-0005-0000-0000-0000B48A0000}"/>
    <cellStyle name="Normal 5 17 2 26 4 8" xfId="35523" xr:uid="{00000000-0005-0000-0000-0000B58A0000}"/>
    <cellStyle name="Normal 5 17 2 26 4 9" xfId="35524" xr:uid="{00000000-0005-0000-0000-0000B68A0000}"/>
    <cellStyle name="Normal 5 17 2 26 5" xfId="35525" xr:uid="{00000000-0005-0000-0000-0000B78A0000}"/>
    <cellStyle name="Normal 5 17 2 26 5 10" xfId="35526" xr:uid="{00000000-0005-0000-0000-0000B88A0000}"/>
    <cellStyle name="Normal 5 17 2 26 5 2" xfId="35527" xr:uid="{00000000-0005-0000-0000-0000B98A0000}"/>
    <cellStyle name="Normal 5 17 2 26 5 3" xfId="35528" xr:uid="{00000000-0005-0000-0000-0000BA8A0000}"/>
    <cellStyle name="Normal 5 17 2 26 5 4" xfId="35529" xr:uid="{00000000-0005-0000-0000-0000BB8A0000}"/>
    <cellStyle name="Normal 5 17 2 26 5 5" xfId="35530" xr:uid="{00000000-0005-0000-0000-0000BC8A0000}"/>
    <cellStyle name="Normal 5 17 2 26 5 6" xfId="35531" xr:uid="{00000000-0005-0000-0000-0000BD8A0000}"/>
    <cellStyle name="Normal 5 17 2 26 5 7" xfId="35532" xr:uid="{00000000-0005-0000-0000-0000BE8A0000}"/>
    <cellStyle name="Normal 5 17 2 26 5 8" xfId="35533" xr:uid="{00000000-0005-0000-0000-0000BF8A0000}"/>
    <cellStyle name="Normal 5 17 2 26 5 9" xfId="35534" xr:uid="{00000000-0005-0000-0000-0000C08A0000}"/>
    <cellStyle name="Normal 5 17 2 26 6" xfId="35535" xr:uid="{00000000-0005-0000-0000-0000C18A0000}"/>
    <cellStyle name="Normal 5 17 2 26 7" xfId="35536" xr:uid="{00000000-0005-0000-0000-0000C28A0000}"/>
    <cellStyle name="Normal 5 17 2 26 8" xfId="35537" xr:uid="{00000000-0005-0000-0000-0000C38A0000}"/>
    <cellStyle name="Normal 5 17 2 26 9" xfId="35538" xr:uid="{00000000-0005-0000-0000-0000C48A0000}"/>
    <cellStyle name="Normal 5 17 2 27" xfId="35539" xr:uid="{00000000-0005-0000-0000-0000C58A0000}"/>
    <cellStyle name="Normal 5 17 2 27 10" xfId="35540" xr:uid="{00000000-0005-0000-0000-0000C68A0000}"/>
    <cellStyle name="Normal 5 17 2 27 11" xfId="35541" xr:uid="{00000000-0005-0000-0000-0000C78A0000}"/>
    <cellStyle name="Normal 5 17 2 27 12" xfId="35542" xr:uid="{00000000-0005-0000-0000-0000C88A0000}"/>
    <cellStyle name="Normal 5 17 2 27 13" xfId="35543" xr:uid="{00000000-0005-0000-0000-0000C98A0000}"/>
    <cellStyle name="Normal 5 17 2 27 14" xfId="35544" xr:uid="{00000000-0005-0000-0000-0000CA8A0000}"/>
    <cellStyle name="Normal 5 17 2 27 2" xfId="35545" xr:uid="{00000000-0005-0000-0000-0000CB8A0000}"/>
    <cellStyle name="Normal 5 17 2 27 2 10" xfId="35546" xr:uid="{00000000-0005-0000-0000-0000CC8A0000}"/>
    <cellStyle name="Normal 5 17 2 27 2 2" xfId="35547" xr:uid="{00000000-0005-0000-0000-0000CD8A0000}"/>
    <cellStyle name="Normal 5 17 2 27 2 3" xfId="35548" xr:uid="{00000000-0005-0000-0000-0000CE8A0000}"/>
    <cellStyle name="Normal 5 17 2 27 2 4" xfId="35549" xr:uid="{00000000-0005-0000-0000-0000CF8A0000}"/>
    <cellStyle name="Normal 5 17 2 27 2 5" xfId="35550" xr:uid="{00000000-0005-0000-0000-0000D08A0000}"/>
    <cellStyle name="Normal 5 17 2 27 2 6" xfId="35551" xr:uid="{00000000-0005-0000-0000-0000D18A0000}"/>
    <cellStyle name="Normal 5 17 2 27 2 7" xfId="35552" xr:uid="{00000000-0005-0000-0000-0000D28A0000}"/>
    <cellStyle name="Normal 5 17 2 27 2 8" xfId="35553" xr:uid="{00000000-0005-0000-0000-0000D38A0000}"/>
    <cellStyle name="Normal 5 17 2 27 2 9" xfId="35554" xr:uid="{00000000-0005-0000-0000-0000D48A0000}"/>
    <cellStyle name="Normal 5 17 2 27 3" xfId="35555" xr:uid="{00000000-0005-0000-0000-0000D58A0000}"/>
    <cellStyle name="Normal 5 17 2 27 3 10" xfId="35556" xr:uid="{00000000-0005-0000-0000-0000D68A0000}"/>
    <cellStyle name="Normal 5 17 2 27 3 2" xfId="35557" xr:uid="{00000000-0005-0000-0000-0000D78A0000}"/>
    <cellStyle name="Normal 5 17 2 27 3 3" xfId="35558" xr:uid="{00000000-0005-0000-0000-0000D88A0000}"/>
    <cellStyle name="Normal 5 17 2 27 3 4" xfId="35559" xr:uid="{00000000-0005-0000-0000-0000D98A0000}"/>
    <cellStyle name="Normal 5 17 2 27 3 5" xfId="35560" xr:uid="{00000000-0005-0000-0000-0000DA8A0000}"/>
    <cellStyle name="Normal 5 17 2 27 3 6" xfId="35561" xr:uid="{00000000-0005-0000-0000-0000DB8A0000}"/>
    <cellStyle name="Normal 5 17 2 27 3 7" xfId="35562" xr:uid="{00000000-0005-0000-0000-0000DC8A0000}"/>
    <cellStyle name="Normal 5 17 2 27 3 8" xfId="35563" xr:uid="{00000000-0005-0000-0000-0000DD8A0000}"/>
    <cellStyle name="Normal 5 17 2 27 3 9" xfId="35564" xr:uid="{00000000-0005-0000-0000-0000DE8A0000}"/>
    <cellStyle name="Normal 5 17 2 27 4" xfId="35565" xr:uid="{00000000-0005-0000-0000-0000DF8A0000}"/>
    <cellStyle name="Normal 5 17 2 27 4 10" xfId="35566" xr:uid="{00000000-0005-0000-0000-0000E08A0000}"/>
    <cellStyle name="Normal 5 17 2 27 4 2" xfId="35567" xr:uid="{00000000-0005-0000-0000-0000E18A0000}"/>
    <cellStyle name="Normal 5 17 2 27 4 3" xfId="35568" xr:uid="{00000000-0005-0000-0000-0000E28A0000}"/>
    <cellStyle name="Normal 5 17 2 27 4 4" xfId="35569" xr:uid="{00000000-0005-0000-0000-0000E38A0000}"/>
    <cellStyle name="Normal 5 17 2 27 4 5" xfId="35570" xr:uid="{00000000-0005-0000-0000-0000E48A0000}"/>
    <cellStyle name="Normal 5 17 2 27 4 6" xfId="35571" xr:uid="{00000000-0005-0000-0000-0000E58A0000}"/>
    <cellStyle name="Normal 5 17 2 27 4 7" xfId="35572" xr:uid="{00000000-0005-0000-0000-0000E68A0000}"/>
    <cellStyle name="Normal 5 17 2 27 4 8" xfId="35573" xr:uid="{00000000-0005-0000-0000-0000E78A0000}"/>
    <cellStyle name="Normal 5 17 2 27 4 9" xfId="35574" xr:uid="{00000000-0005-0000-0000-0000E88A0000}"/>
    <cellStyle name="Normal 5 17 2 27 5" xfId="35575" xr:uid="{00000000-0005-0000-0000-0000E98A0000}"/>
    <cellStyle name="Normal 5 17 2 27 5 10" xfId="35576" xr:uid="{00000000-0005-0000-0000-0000EA8A0000}"/>
    <cellStyle name="Normal 5 17 2 27 5 2" xfId="35577" xr:uid="{00000000-0005-0000-0000-0000EB8A0000}"/>
    <cellStyle name="Normal 5 17 2 27 5 3" xfId="35578" xr:uid="{00000000-0005-0000-0000-0000EC8A0000}"/>
    <cellStyle name="Normal 5 17 2 27 5 4" xfId="35579" xr:uid="{00000000-0005-0000-0000-0000ED8A0000}"/>
    <cellStyle name="Normal 5 17 2 27 5 5" xfId="35580" xr:uid="{00000000-0005-0000-0000-0000EE8A0000}"/>
    <cellStyle name="Normal 5 17 2 27 5 6" xfId="35581" xr:uid="{00000000-0005-0000-0000-0000EF8A0000}"/>
    <cellStyle name="Normal 5 17 2 27 5 7" xfId="35582" xr:uid="{00000000-0005-0000-0000-0000F08A0000}"/>
    <cellStyle name="Normal 5 17 2 27 5 8" xfId="35583" xr:uid="{00000000-0005-0000-0000-0000F18A0000}"/>
    <cellStyle name="Normal 5 17 2 27 5 9" xfId="35584" xr:uid="{00000000-0005-0000-0000-0000F28A0000}"/>
    <cellStyle name="Normal 5 17 2 27 6" xfId="35585" xr:uid="{00000000-0005-0000-0000-0000F38A0000}"/>
    <cellStyle name="Normal 5 17 2 27 7" xfId="35586" xr:uid="{00000000-0005-0000-0000-0000F48A0000}"/>
    <cellStyle name="Normal 5 17 2 27 8" xfId="35587" xr:uid="{00000000-0005-0000-0000-0000F58A0000}"/>
    <cellStyle name="Normal 5 17 2 27 9" xfId="35588" xr:uid="{00000000-0005-0000-0000-0000F68A0000}"/>
    <cellStyle name="Normal 5 17 2 28" xfId="35589" xr:uid="{00000000-0005-0000-0000-0000F78A0000}"/>
    <cellStyle name="Normal 5 17 2 28 10" xfId="35590" xr:uid="{00000000-0005-0000-0000-0000F88A0000}"/>
    <cellStyle name="Normal 5 17 2 28 11" xfId="35591" xr:uid="{00000000-0005-0000-0000-0000F98A0000}"/>
    <cellStyle name="Normal 5 17 2 28 12" xfId="35592" xr:uid="{00000000-0005-0000-0000-0000FA8A0000}"/>
    <cellStyle name="Normal 5 17 2 28 13" xfId="35593" xr:uid="{00000000-0005-0000-0000-0000FB8A0000}"/>
    <cellStyle name="Normal 5 17 2 28 14" xfId="35594" xr:uid="{00000000-0005-0000-0000-0000FC8A0000}"/>
    <cellStyle name="Normal 5 17 2 28 2" xfId="35595" xr:uid="{00000000-0005-0000-0000-0000FD8A0000}"/>
    <cellStyle name="Normal 5 17 2 28 2 10" xfId="35596" xr:uid="{00000000-0005-0000-0000-0000FE8A0000}"/>
    <cellStyle name="Normal 5 17 2 28 2 2" xfId="35597" xr:uid="{00000000-0005-0000-0000-0000FF8A0000}"/>
    <cellStyle name="Normal 5 17 2 28 2 3" xfId="35598" xr:uid="{00000000-0005-0000-0000-0000008B0000}"/>
    <cellStyle name="Normal 5 17 2 28 2 4" xfId="35599" xr:uid="{00000000-0005-0000-0000-0000018B0000}"/>
    <cellStyle name="Normal 5 17 2 28 2 5" xfId="35600" xr:uid="{00000000-0005-0000-0000-0000028B0000}"/>
    <cellStyle name="Normal 5 17 2 28 2 6" xfId="35601" xr:uid="{00000000-0005-0000-0000-0000038B0000}"/>
    <cellStyle name="Normal 5 17 2 28 2 7" xfId="35602" xr:uid="{00000000-0005-0000-0000-0000048B0000}"/>
    <cellStyle name="Normal 5 17 2 28 2 8" xfId="35603" xr:uid="{00000000-0005-0000-0000-0000058B0000}"/>
    <cellStyle name="Normal 5 17 2 28 2 9" xfId="35604" xr:uid="{00000000-0005-0000-0000-0000068B0000}"/>
    <cellStyle name="Normal 5 17 2 28 3" xfId="35605" xr:uid="{00000000-0005-0000-0000-0000078B0000}"/>
    <cellStyle name="Normal 5 17 2 28 3 10" xfId="35606" xr:uid="{00000000-0005-0000-0000-0000088B0000}"/>
    <cellStyle name="Normal 5 17 2 28 3 2" xfId="35607" xr:uid="{00000000-0005-0000-0000-0000098B0000}"/>
    <cellStyle name="Normal 5 17 2 28 3 3" xfId="35608" xr:uid="{00000000-0005-0000-0000-00000A8B0000}"/>
    <cellStyle name="Normal 5 17 2 28 3 4" xfId="35609" xr:uid="{00000000-0005-0000-0000-00000B8B0000}"/>
    <cellStyle name="Normal 5 17 2 28 3 5" xfId="35610" xr:uid="{00000000-0005-0000-0000-00000C8B0000}"/>
    <cellStyle name="Normal 5 17 2 28 3 6" xfId="35611" xr:uid="{00000000-0005-0000-0000-00000D8B0000}"/>
    <cellStyle name="Normal 5 17 2 28 3 7" xfId="35612" xr:uid="{00000000-0005-0000-0000-00000E8B0000}"/>
    <cellStyle name="Normal 5 17 2 28 3 8" xfId="35613" xr:uid="{00000000-0005-0000-0000-00000F8B0000}"/>
    <cellStyle name="Normal 5 17 2 28 3 9" xfId="35614" xr:uid="{00000000-0005-0000-0000-0000108B0000}"/>
    <cellStyle name="Normal 5 17 2 28 4" xfId="35615" xr:uid="{00000000-0005-0000-0000-0000118B0000}"/>
    <cellStyle name="Normal 5 17 2 28 4 10" xfId="35616" xr:uid="{00000000-0005-0000-0000-0000128B0000}"/>
    <cellStyle name="Normal 5 17 2 28 4 2" xfId="35617" xr:uid="{00000000-0005-0000-0000-0000138B0000}"/>
    <cellStyle name="Normal 5 17 2 28 4 3" xfId="35618" xr:uid="{00000000-0005-0000-0000-0000148B0000}"/>
    <cellStyle name="Normal 5 17 2 28 4 4" xfId="35619" xr:uid="{00000000-0005-0000-0000-0000158B0000}"/>
    <cellStyle name="Normal 5 17 2 28 4 5" xfId="35620" xr:uid="{00000000-0005-0000-0000-0000168B0000}"/>
    <cellStyle name="Normal 5 17 2 28 4 6" xfId="35621" xr:uid="{00000000-0005-0000-0000-0000178B0000}"/>
    <cellStyle name="Normal 5 17 2 28 4 7" xfId="35622" xr:uid="{00000000-0005-0000-0000-0000188B0000}"/>
    <cellStyle name="Normal 5 17 2 28 4 8" xfId="35623" xr:uid="{00000000-0005-0000-0000-0000198B0000}"/>
    <cellStyle name="Normal 5 17 2 28 4 9" xfId="35624" xr:uid="{00000000-0005-0000-0000-00001A8B0000}"/>
    <cellStyle name="Normal 5 17 2 28 5" xfId="35625" xr:uid="{00000000-0005-0000-0000-00001B8B0000}"/>
    <cellStyle name="Normal 5 17 2 28 5 10" xfId="35626" xr:uid="{00000000-0005-0000-0000-00001C8B0000}"/>
    <cellStyle name="Normal 5 17 2 28 5 2" xfId="35627" xr:uid="{00000000-0005-0000-0000-00001D8B0000}"/>
    <cellStyle name="Normal 5 17 2 28 5 3" xfId="35628" xr:uid="{00000000-0005-0000-0000-00001E8B0000}"/>
    <cellStyle name="Normal 5 17 2 28 5 4" xfId="35629" xr:uid="{00000000-0005-0000-0000-00001F8B0000}"/>
    <cellStyle name="Normal 5 17 2 28 5 5" xfId="35630" xr:uid="{00000000-0005-0000-0000-0000208B0000}"/>
    <cellStyle name="Normal 5 17 2 28 5 6" xfId="35631" xr:uid="{00000000-0005-0000-0000-0000218B0000}"/>
    <cellStyle name="Normal 5 17 2 28 5 7" xfId="35632" xr:uid="{00000000-0005-0000-0000-0000228B0000}"/>
    <cellStyle name="Normal 5 17 2 28 5 8" xfId="35633" xr:uid="{00000000-0005-0000-0000-0000238B0000}"/>
    <cellStyle name="Normal 5 17 2 28 5 9" xfId="35634" xr:uid="{00000000-0005-0000-0000-0000248B0000}"/>
    <cellStyle name="Normal 5 17 2 28 6" xfId="35635" xr:uid="{00000000-0005-0000-0000-0000258B0000}"/>
    <cellStyle name="Normal 5 17 2 28 7" xfId="35636" xr:uid="{00000000-0005-0000-0000-0000268B0000}"/>
    <cellStyle name="Normal 5 17 2 28 8" xfId="35637" xr:uid="{00000000-0005-0000-0000-0000278B0000}"/>
    <cellStyle name="Normal 5 17 2 28 9" xfId="35638" xr:uid="{00000000-0005-0000-0000-0000288B0000}"/>
    <cellStyle name="Normal 5 17 2 29" xfId="35639" xr:uid="{00000000-0005-0000-0000-0000298B0000}"/>
    <cellStyle name="Normal 5 17 2 29 10" xfId="35640" xr:uid="{00000000-0005-0000-0000-00002A8B0000}"/>
    <cellStyle name="Normal 5 17 2 29 11" xfId="35641" xr:uid="{00000000-0005-0000-0000-00002B8B0000}"/>
    <cellStyle name="Normal 5 17 2 29 12" xfId="35642" xr:uid="{00000000-0005-0000-0000-00002C8B0000}"/>
    <cellStyle name="Normal 5 17 2 29 13" xfId="35643" xr:uid="{00000000-0005-0000-0000-00002D8B0000}"/>
    <cellStyle name="Normal 5 17 2 29 14" xfId="35644" xr:uid="{00000000-0005-0000-0000-00002E8B0000}"/>
    <cellStyle name="Normal 5 17 2 29 2" xfId="35645" xr:uid="{00000000-0005-0000-0000-00002F8B0000}"/>
    <cellStyle name="Normal 5 17 2 29 2 10" xfId="35646" xr:uid="{00000000-0005-0000-0000-0000308B0000}"/>
    <cellStyle name="Normal 5 17 2 29 2 2" xfId="35647" xr:uid="{00000000-0005-0000-0000-0000318B0000}"/>
    <cellStyle name="Normal 5 17 2 29 2 3" xfId="35648" xr:uid="{00000000-0005-0000-0000-0000328B0000}"/>
    <cellStyle name="Normal 5 17 2 29 2 4" xfId="35649" xr:uid="{00000000-0005-0000-0000-0000338B0000}"/>
    <cellStyle name="Normal 5 17 2 29 2 5" xfId="35650" xr:uid="{00000000-0005-0000-0000-0000348B0000}"/>
    <cellStyle name="Normal 5 17 2 29 2 6" xfId="35651" xr:uid="{00000000-0005-0000-0000-0000358B0000}"/>
    <cellStyle name="Normal 5 17 2 29 2 7" xfId="35652" xr:uid="{00000000-0005-0000-0000-0000368B0000}"/>
    <cellStyle name="Normal 5 17 2 29 2 8" xfId="35653" xr:uid="{00000000-0005-0000-0000-0000378B0000}"/>
    <cellStyle name="Normal 5 17 2 29 2 9" xfId="35654" xr:uid="{00000000-0005-0000-0000-0000388B0000}"/>
    <cellStyle name="Normal 5 17 2 29 3" xfId="35655" xr:uid="{00000000-0005-0000-0000-0000398B0000}"/>
    <cellStyle name="Normal 5 17 2 29 3 10" xfId="35656" xr:uid="{00000000-0005-0000-0000-00003A8B0000}"/>
    <cellStyle name="Normal 5 17 2 29 3 2" xfId="35657" xr:uid="{00000000-0005-0000-0000-00003B8B0000}"/>
    <cellStyle name="Normal 5 17 2 29 3 3" xfId="35658" xr:uid="{00000000-0005-0000-0000-00003C8B0000}"/>
    <cellStyle name="Normal 5 17 2 29 3 4" xfId="35659" xr:uid="{00000000-0005-0000-0000-00003D8B0000}"/>
    <cellStyle name="Normal 5 17 2 29 3 5" xfId="35660" xr:uid="{00000000-0005-0000-0000-00003E8B0000}"/>
    <cellStyle name="Normal 5 17 2 29 3 6" xfId="35661" xr:uid="{00000000-0005-0000-0000-00003F8B0000}"/>
    <cellStyle name="Normal 5 17 2 29 3 7" xfId="35662" xr:uid="{00000000-0005-0000-0000-0000408B0000}"/>
    <cellStyle name="Normal 5 17 2 29 3 8" xfId="35663" xr:uid="{00000000-0005-0000-0000-0000418B0000}"/>
    <cellStyle name="Normal 5 17 2 29 3 9" xfId="35664" xr:uid="{00000000-0005-0000-0000-0000428B0000}"/>
    <cellStyle name="Normal 5 17 2 29 4" xfId="35665" xr:uid="{00000000-0005-0000-0000-0000438B0000}"/>
    <cellStyle name="Normal 5 17 2 29 4 10" xfId="35666" xr:uid="{00000000-0005-0000-0000-0000448B0000}"/>
    <cellStyle name="Normal 5 17 2 29 4 2" xfId="35667" xr:uid="{00000000-0005-0000-0000-0000458B0000}"/>
    <cellStyle name="Normal 5 17 2 29 4 3" xfId="35668" xr:uid="{00000000-0005-0000-0000-0000468B0000}"/>
    <cellStyle name="Normal 5 17 2 29 4 4" xfId="35669" xr:uid="{00000000-0005-0000-0000-0000478B0000}"/>
    <cellStyle name="Normal 5 17 2 29 4 5" xfId="35670" xr:uid="{00000000-0005-0000-0000-0000488B0000}"/>
    <cellStyle name="Normal 5 17 2 29 4 6" xfId="35671" xr:uid="{00000000-0005-0000-0000-0000498B0000}"/>
    <cellStyle name="Normal 5 17 2 29 4 7" xfId="35672" xr:uid="{00000000-0005-0000-0000-00004A8B0000}"/>
    <cellStyle name="Normal 5 17 2 29 4 8" xfId="35673" xr:uid="{00000000-0005-0000-0000-00004B8B0000}"/>
    <cellStyle name="Normal 5 17 2 29 4 9" xfId="35674" xr:uid="{00000000-0005-0000-0000-00004C8B0000}"/>
    <cellStyle name="Normal 5 17 2 29 5" xfId="35675" xr:uid="{00000000-0005-0000-0000-00004D8B0000}"/>
    <cellStyle name="Normal 5 17 2 29 5 10" xfId="35676" xr:uid="{00000000-0005-0000-0000-00004E8B0000}"/>
    <cellStyle name="Normal 5 17 2 29 5 2" xfId="35677" xr:uid="{00000000-0005-0000-0000-00004F8B0000}"/>
    <cellStyle name="Normal 5 17 2 29 5 3" xfId="35678" xr:uid="{00000000-0005-0000-0000-0000508B0000}"/>
    <cellStyle name="Normal 5 17 2 29 5 4" xfId="35679" xr:uid="{00000000-0005-0000-0000-0000518B0000}"/>
    <cellStyle name="Normal 5 17 2 29 5 5" xfId="35680" xr:uid="{00000000-0005-0000-0000-0000528B0000}"/>
    <cellStyle name="Normal 5 17 2 29 5 6" xfId="35681" xr:uid="{00000000-0005-0000-0000-0000538B0000}"/>
    <cellStyle name="Normal 5 17 2 29 5 7" xfId="35682" xr:uid="{00000000-0005-0000-0000-0000548B0000}"/>
    <cellStyle name="Normal 5 17 2 29 5 8" xfId="35683" xr:uid="{00000000-0005-0000-0000-0000558B0000}"/>
    <cellStyle name="Normal 5 17 2 29 5 9" xfId="35684" xr:uid="{00000000-0005-0000-0000-0000568B0000}"/>
    <cellStyle name="Normal 5 17 2 29 6" xfId="35685" xr:uid="{00000000-0005-0000-0000-0000578B0000}"/>
    <cellStyle name="Normal 5 17 2 29 7" xfId="35686" xr:uid="{00000000-0005-0000-0000-0000588B0000}"/>
    <cellStyle name="Normal 5 17 2 29 8" xfId="35687" xr:uid="{00000000-0005-0000-0000-0000598B0000}"/>
    <cellStyle name="Normal 5 17 2 29 9" xfId="35688" xr:uid="{00000000-0005-0000-0000-00005A8B0000}"/>
    <cellStyle name="Normal 5 17 2 3" xfId="35689" xr:uid="{00000000-0005-0000-0000-00005B8B0000}"/>
    <cellStyle name="Normal 5 17 2 3 10" xfId="35690" xr:uid="{00000000-0005-0000-0000-00005C8B0000}"/>
    <cellStyle name="Normal 5 17 2 3 11" xfId="35691" xr:uid="{00000000-0005-0000-0000-00005D8B0000}"/>
    <cellStyle name="Normal 5 17 2 3 12" xfId="35692" xr:uid="{00000000-0005-0000-0000-00005E8B0000}"/>
    <cellStyle name="Normal 5 17 2 3 13" xfId="35693" xr:uid="{00000000-0005-0000-0000-00005F8B0000}"/>
    <cellStyle name="Normal 5 17 2 3 14" xfId="35694" xr:uid="{00000000-0005-0000-0000-0000608B0000}"/>
    <cellStyle name="Normal 5 17 2 3 2" xfId="35695" xr:uid="{00000000-0005-0000-0000-0000618B0000}"/>
    <cellStyle name="Normal 5 17 2 3 2 10" xfId="35696" xr:uid="{00000000-0005-0000-0000-0000628B0000}"/>
    <cellStyle name="Normal 5 17 2 3 2 2" xfId="35697" xr:uid="{00000000-0005-0000-0000-0000638B0000}"/>
    <cellStyle name="Normal 5 17 2 3 2 3" xfId="35698" xr:uid="{00000000-0005-0000-0000-0000648B0000}"/>
    <cellStyle name="Normal 5 17 2 3 2 4" xfId="35699" xr:uid="{00000000-0005-0000-0000-0000658B0000}"/>
    <cellStyle name="Normal 5 17 2 3 2 5" xfId="35700" xr:uid="{00000000-0005-0000-0000-0000668B0000}"/>
    <cellStyle name="Normal 5 17 2 3 2 6" xfId="35701" xr:uid="{00000000-0005-0000-0000-0000678B0000}"/>
    <cellStyle name="Normal 5 17 2 3 2 7" xfId="35702" xr:uid="{00000000-0005-0000-0000-0000688B0000}"/>
    <cellStyle name="Normal 5 17 2 3 2 8" xfId="35703" xr:uid="{00000000-0005-0000-0000-0000698B0000}"/>
    <cellStyle name="Normal 5 17 2 3 2 9" xfId="35704" xr:uid="{00000000-0005-0000-0000-00006A8B0000}"/>
    <cellStyle name="Normal 5 17 2 3 3" xfId="35705" xr:uid="{00000000-0005-0000-0000-00006B8B0000}"/>
    <cellStyle name="Normal 5 17 2 3 3 10" xfId="35706" xr:uid="{00000000-0005-0000-0000-00006C8B0000}"/>
    <cellStyle name="Normal 5 17 2 3 3 2" xfId="35707" xr:uid="{00000000-0005-0000-0000-00006D8B0000}"/>
    <cellStyle name="Normal 5 17 2 3 3 3" xfId="35708" xr:uid="{00000000-0005-0000-0000-00006E8B0000}"/>
    <cellStyle name="Normal 5 17 2 3 3 4" xfId="35709" xr:uid="{00000000-0005-0000-0000-00006F8B0000}"/>
    <cellStyle name="Normal 5 17 2 3 3 5" xfId="35710" xr:uid="{00000000-0005-0000-0000-0000708B0000}"/>
    <cellStyle name="Normal 5 17 2 3 3 6" xfId="35711" xr:uid="{00000000-0005-0000-0000-0000718B0000}"/>
    <cellStyle name="Normal 5 17 2 3 3 7" xfId="35712" xr:uid="{00000000-0005-0000-0000-0000728B0000}"/>
    <cellStyle name="Normal 5 17 2 3 3 8" xfId="35713" xr:uid="{00000000-0005-0000-0000-0000738B0000}"/>
    <cellStyle name="Normal 5 17 2 3 3 9" xfId="35714" xr:uid="{00000000-0005-0000-0000-0000748B0000}"/>
    <cellStyle name="Normal 5 17 2 3 4" xfId="35715" xr:uid="{00000000-0005-0000-0000-0000758B0000}"/>
    <cellStyle name="Normal 5 17 2 3 4 10" xfId="35716" xr:uid="{00000000-0005-0000-0000-0000768B0000}"/>
    <cellStyle name="Normal 5 17 2 3 4 2" xfId="35717" xr:uid="{00000000-0005-0000-0000-0000778B0000}"/>
    <cellStyle name="Normal 5 17 2 3 4 3" xfId="35718" xr:uid="{00000000-0005-0000-0000-0000788B0000}"/>
    <cellStyle name="Normal 5 17 2 3 4 4" xfId="35719" xr:uid="{00000000-0005-0000-0000-0000798B0000}"/>
    <cellStyle name="Normal 5 17 2 3 4 5" xfId="35720" xr:uid="{00000000-0005-0000-0000-00007A8B0000}"/>
    <cellStyle name="Normal 5 17 2 3 4 6" xfId="35721" xr:uid="{00000000-0005-0000-0000-00007B8B0000}"/>
    <cellStyle name="Normal 5 17 2 3 4 7" xfId="35722" xr:uid="{00000000-0005-0000-0000-00007C8B0000}"/>
    <cellStyle name="Normal 5 17 2 3 4 8" xfId="35723" xr:uid="{00000000-0005-0000-0000-00007D8B0000}"/>
    <cellStyle name="Normal 5 17 2 3 4 9" xfId="35724" xr:uid="{00000000-0005-0000-0000-00007E8B0000}"/>
    <cellStyle name="Normal 5 17 2 3 5" xfId="35725" xr:uid="{00000000-0005-0000-0000-00007F8B0000}"/>
    <cellStyle name="Normal 5 17 2 3 5 10" xfId="35726" xr:uid="{00000000-0005-0000-0000-0000808B0000}"/>
    <cellStyle name="Normal 5 17 2 3 5 2" xfId="35727" xr:uid="{00000000-0005-0000-0000-0000818B0000}"/>
    <cellStyle name="Normal 5 17 2 3 5 3" xfId="35728" xr:uid="{00000000-0005-0000-0000-0000828B0000}"/>
    <cellStyle name="Normal 5 17 2 3 5 4" xfId="35729" xr:uid="{00000000-0005-0000-0000-0000838B0000}"/>
    <cellStyle name="Normal 5 17 2 3 5 5" xfId="35730" xr:uid="{00000000-0005-0000-0000-0000848B0000}"/>
    <cellStyle name="Normal 5 17 2 3 5 6" xfId="35731" xr:uid="{00000000-0005-0000-0000-0000858B0000}"/>
    <cellStyle name="Normal 5 17 2 3 5 7" xfId="35732" xr:uid="{00000000-0005-0000-0000-0000868B0000}"/>
    <cellStyle name="Normal 5 17 2 3 5 8" xfId="35733" xr:uid="{00000000-0005-0000-0000-0000878B0000}"/>
    <cellStyle name="Normal 5 17 2 3 5 9" xfId="35734" xr:uid="{00000000-0005-0000-0000-0000888B0000}"/>
    <cellStyle name="Normal 5 17 2 3 6" xfId="35735" xr:uid="{00000000-0005-0000-0000-0000898B0000}"/>
    <cellStyle name="Normal 5 17 2 3 7" xfId="35736" xr:uid="{00000000-0005-0000-0000-00008A8B0000}"/>
    <cellStyle name="Normal 5 17 2 3 8" xfId="35737" xr:uid="{00000000-0005-0000-0000-00008B8B0000}"/>
    <cellStyle name="Normal 5 17 2 3 9" xfId="35738" xr:uid="{00000000-0005-0000-0000-00008C8B0000}"/>
    <cellStyle name="Normal 5 17 2 30" xfId="35739" xr:uid="{00000000-0005-0000-0000-00008D8B0000}"/>
    <cellStyle name="Normal 5 17 2 30 10" xfId="35740" xr:uid="{00000000-0005-0000-0000-00008E8B0000}"/>
    <cellStyle name="Normal 5 17 2 30 11" xfId="35741" xr:uid="{00000000-0005-0000-0000-00008F8B0000}"/>
    <cellStyle name="Normal 5 17 2 30 12" xfId="35742" xr:uid="{00000000-0005-0000-0000-0000908B0000}"/>
    <cellStyle name="Normal 5 17 2 30 13" xfId="35743" xr:uid="{00000000-0005-0000-0000-0000918B0000}"/>
    <cellStyle name="Normal 5 17 2 30 14" xfId="35744" xr:uid="{00000000-0005-0000-0000-0000928B0000}"/>
    <cellStyle name="Normal 5 17 2 30 2" xfId="35745" xr:uid="{00000000-0005-0000-0000-0000938B0000}"/>
    <cellStyle name="Normal 5 17 2 30 2 10" xfId="35746" xr:uid="{00000000-0005-0000-0000-0000948B0000}"/>
    <cellStyle name="Normal 5 17 2 30 2 2" xfId="35747" xr:uid="{00000000-0005-0000-0000-0000958B0000}"/>
    <cellStyle name="Normal 5 17 2 30 2 3" xfId="35748" xr:uid="{00000000-0005-0000-0000-0000968B0000}"/>
    <cellStyle name="Normal 5 17 2 30 2 4" xfId="35749" xr:uid="{00000000-0005-0000-0000-0000978B0000}"/>
    <cellStyle name="Normal 5 17 2 30 2 5" xfId="35750" xr:uid="{00000000-0005-0000-0000-0000988B0000}"/>
    <cellStyle name="Normal 5 17 2 30 2 6" xfId="35751" xr:uid="{00000000-0005-0000-0000-0000998B0000}"/>
    <cellStyle name="Normal 5 17 2 30 2 7" xfId="35752" xr:uid="{00000000-0005-0000-0000-00009A8B0000}"/>
    <cellStyle name="Normal 5 17 2 30 2 8" xfId="35753" xr:uid="{00000000-0005-0000-0000-00009B8B0000}"/>
    <cellStyle name="Normal 5 17 2 30 2 9" xfId="35754" xr:uid="{00000000-0005-0000-0000-00009C8B0000}"/>
    <cellStyle name="Normal 5 17 2 30 3" xfId="35755" xr:uid="{00000000-0005-0000-0000-00009D8B0000}"/>
    <cellStyle name="Normal 5 17 2 30 3 10" xfId="35756" xr:uid="{00000000-0005-0000-0000-00009E8B0000}"/>
    <cellStyle name="Normal 5 17 2 30 3 2" xfId="35757" xr:uid="{00000000-0005-0000-0000-00009F8B0000}"/>
    <cellStyle name="Normal 5 17 2 30 3 3" xfId="35758" xr:uid="{00000000-0005-0000-0000-0000A08B0000}"/>
    <cellStyle name="Normal 5 17 2 30 3 4" xfId="35759" xr:uid="{00000000-0005-0000-0000-0000A18B0000}"/>
    <cellStyle name="Normal 5 17 2 30 3 5" xfId="35760" xr:uid="{00000000-0005-0000-0000-0000A28B0000}"/>
    <cellStyle name="Normal 5 17 2 30 3 6" xfId="35761" xr:uid="{00000000-0005-0000-0000-0000A38B0000}"/>
    <cellStyle name="Normal 5 17 2 30 3 7" xfId="35762" xr:uid="{00000000-0005-0000-0000-0000A48B0000}"/>
    <cellStyle name="Normal 5 17 2 30 3 8" xfId="35763" xr:uid="{00000000-0005-0000-0000-0000A58B0000}"/>
    <cellStyle name="Normal 5 17 2 30 3 9" xfId="35764" xr:uid="{00000000-0005-0000-0000-0000A68B0000}"/>
    <cellStyle name="Normal 5 17 2 30 4" xfId="35765" xr:uid="{00000000-0005-0000-0000-0000A78B0000}"/>
    <cellStyle name="Normal 5 17 2 30 4 10" xfId="35766" xr:uid="{00000000-0005-0000-0000-0000A88B0000}"/>
    <cellStyle name="Normal 5 17 2 30 4 2" xfId="35767" xr:uid="{00000000-0005-0000-0000-0000A98B0000}"/>
    <cellStyle name="Normal 5 17 2 30 4 3" xfId="35768" xr:uid="{00000000-0005-0000-0000-0000AA8B0000}"/>
    <cellStyle name="Normal 5 17 2 30 4 4" xfId="35769" xr:uid="{00000000-0005-0000-0000-0000AB8B0000}"/>
    <cellStyle name="Normal 5 17 2 30 4 5" xfId="35770" xr:uid="{00000000-0005-0000-0000-0000AC8B0000}"/>
    <cellStyle name="Normal 5 17 2 30 4 6" xfId="35771" xr:uid="{00000000-0005-0000-0000-0000AD8B0000}"/>
    <cellStyle name="Normal 5 17 2 30 4 7" xfId="35772" xr:uid="{00000000-0005-0000-0000-0000AE8B0000}"/>
    <cellStyle name="Normal 5 17 2 30 4 8" xfId="35773" xr:uid="{00000000-0005-0000-0000-0000AF8B0000}"/>
    <cellStyle name="Normal 5 17 2 30 4 9" xfId="35774" xr:uid="{00000000-0005-0000-0000-0000B08B0000}"/>
    <cellStyle name="Normal 5 17 2 30 5" xfId="35775" xr:uid="{00000000-0005-0000-0000-0000B18B0000}"/>
    <cellStyle name="Normal 5 17 2 30 5 10" xfId="35776" xr:uid="{00000000-0005-0000-0000-0000B28B0000}"/>
    <cellStyle name="Normal 5 17 2 30 5 2" xfId="35777" xr:uid="{00000000-0005-0000-0000-0000B38B0000}"/>
    <cellStyle name="Normal 5 17 2 30 5 3" xfId="35778" xr:uid="{00000000-0005-0000-0000-0000B48B0000}"/>
    <cellStyle name="Normal 5 17 2 30 5 4" xfId="35779" xr:uid="{00000000-0005-0000-0000-0000B58B0000}"/>
    <cellStyle name="Normal 5 17 2 30 5 5" xfId="35780" xr:uid="{00000000-0005-0000-0000-0000B68B0000}"/>
    <cellStyle name="Normal 5 17 2 30 5 6" xfId="35781" xr:uid="{00000000-0005-0000-0000-0000B78B0000}"/>
    <cellStyle name="Normal 5 17 2 30 5 7" xfId="35782" xr:uid="{00000000-0005-0000-0000-0000B88B0000}"/>
    <cellStyle name="Normal 5 17 2 30 5 8" xfId="35783" xr:uid="{00000000-0005-0000-0000-0000B98B0000}"/>
    <cellStyle name="Normal 5 17 2 30 5 9" xfId="35784" xr:uid="{00000000-0005-0000-0000-0000BA8B0000}"/>
    <cellStyle name="Normal 5 17 2 30 6" xfId="35785" xr:uid="{00000000-0005-0000-0000-0000BB8B0000}"/>
    <cellStyle name="Normal 5 17 2 30 7" xfId="35786" xr:uid="{00000000-0005-0000-0000-0000BC8B0000}"/>
    <cellStyle name="Normal 5 17 2 30 8" xfId="35787" xr:uid="{00000000-0005-0000-0000-0000BD8B0000}"/>
    <cellStyle name="Normal 5 17 2 30 9" xfId="35788" xr:uid="{00000000-0005-0000-0000-0000BE8B0000}"/>
    <cellStyle name="Normal 5 17 2 31" xfId="35789" xr:uid="{00000000-0005-0000-0000-0000BF8B0000}"/>
    <cellStyle name="Normal 5 17 2 31 10" xfId="35790" xr:uid="{00000000-0005-0000-0000-0000C08B0000}"/>
    <cellStyle name="Normal 5 17 2 31 11" xfId="35791" xr:uid="{00000000-0005-0000-0000-0000C18B0000}"/>
    <cellStyle name="Normal 5 17 2 31 12" xfId="35792" xr:uid="{00000000-0005-0000-0000-0000C28B0000}"/>
    <cellStyle name="Normal 5 17 2 31 13" xfId="35793" xr:uid="{00000000-0005-0000-0000-0000C38B0000}"/>
    <cellStyle name="Normal 5 17 2 31 14" xfId="35794" xr:uid="{00000000-0005-0000-0000-0000C48B0000}"/>
    <cellStyle name="Normal 5 17 2 31 2" xfId="35795" xr:uid="{00000000-0005-0000-0000-0000C58B0000}"/>
    <cellStyle name="Normal 5 17 2 31 2 10" xfId="35796" xr:uid="{00000000-0005-0000-0000-0000C68B0000}"/>
    <cellStyle name="Normal 5 17 2 31 2 2" xfId="35797" xr:uid="{00000000-0005-0000-0000-0000C78B0000}"/>
    <cellStyle name="Normal 5 17 2 31 2 3" xfId="35798" xr:uid="{00000000-0005-0000-0000-0000C88B0000}"/>
    <cellStyle name="Normal 5 17 2 31 2 4" xfId="35799" xr:uid="{00000000-0005-0000-0000-0000C98B0000}"/>
    <cellStyle name="Normal 5 17 2 31 2 5" xfId="35800" xr:uid="{00000000-0005-0000-0000-0000CA8B0000}"/>
    <cellStyle name="Normal 5 17 2 31 2 6" xfId="35801" xr:uid="{00000000-0005-0000-0000-0000CB8B0000}"/>
    <cellStyle name="Normal 5 17 2 31 2 7" xfId="35802" xr:uid="{00000000-0005-0000-0000-0000CC8B0000}"/>
    <cellStyle name="Normal 5 17 2 31 2 8" xfId="35803" xr:uid="{00000000-0005-0000-0000-0000CD8B0000}"/>
    <cellStyle name="Normal 5 17 2 31 2 9" xfId="35804" xr:uid="{00000000-0005-0000-0000-0000CE8B0000}"/>
    <cellStyle name="Normal 5 17 2 31 3" xfId="35805" xr:uid="{00000000-0005-0000-0000-0000CF8B0000}"/>
    <cellStyle name="Normal 5 17 2 31 3 10" xfId="35806" xr:uid="{00000000-0005-0000-0000-0000D08B0000}"/>
    <cellStyle name="Normal 5 17 2 31 3 2" xfId="35807" xr:uid="{00000000-0005-0000-0000-0000D18B0000}"/>
    <cellStyle name="Normal 5 17 2 31 3 3" xfId="35808" xr:uid="{00000000-0005-0000-0000-0000D28B0000}"/>
    <cellStyle name="Normal 5 17 2 31 3 4" xfId="35809" xr:uid="{00000000-0005-0000-0000-0000D38B0000}"/>
    <cellStyle name="Normal 5 17 2 31 3 5" xfId="35810" xr:uid="{00000000-0005-0000-0000-0000D48B0000}"/>
    <cellStyle name="Normal 5 17 2 31 3 6" xfId="35811" xr:uid="{00000000-0005-0000-0000-0000D58B0000}"/>
    <cellStyle name="Normal 5 17 2 31 3 7" xfId="35812" xr:uid="{00000000-0005-0000-0000-0000D68B0000}"/>
    <cellStyle name="Normal 5 17 2 31 3 8" xfId="35813" xr:uid="{00000000-0005-0000-0000-0000D78B0000}"/>
    <cellStyle name="Normal 5 17 2 31 3 9" xfId="35814" xr:uid="{00000000-0005-0000-0000-0000D88B0000}"/>
    <cellStyle name="Normal 5 17 2 31 4" xfId="35815" xr:uid="{00000000-0005-0000-0000-0000D98B0000}"/>
    <cellStyle name="Normal 5 17 2 31 4 10" xfId="35816" xr:uid="{00000000-0005-0000-0000-0000DA8B0000}"/>
    <cellStyle name="Normal 5 17 2 31 4 2" xfId="35817" xr:uid="{00000000-0005-0000-0000-0000DB8B0000}"/>
    <cellStyle name="Normal 5 17 2 31 4 3" xfId="35818" xr:uid="{00000000-0005-0000-0000-0000DC8B0000}"/>
    <cellStyle name="Normal 5 17 2 31 4 4" xfId="35819" xr:uid="{00000000-0005-0000-0000-0000DD8B0000}"/>
    <cellStyle name="Normal 5 17 2 31 4 5" xfId="35820" xr:uid="{00000000-0005-0000-0000-0000DE8B0000}"/>
    <cellStyle name="Normal 5 17 2 31 4 6" xfId="35821" xr:uid="{00000000-0005-0000-0000-0000DF8B0000}"/>
    <cellStyle name="Normal 5 17 2 31 4 7" xfId="35822" xr:uid="{00000000-0005-0000-0000-0000E08B0000}"/>
    <cellStyle name="Normal 5 17 2 31 4 8" xfId="35823" xr:uid="{00000000-0005-0000-0000-0000E18B0000}"/>
    <cellStyle name="Normal 5 17 2 31 4 9" xfId="35824" xr:uid="{00000000-0005-0000-0000-0000E28B0000}"/>
    <cellStyle name="Normal 5 17 2 31 5" xfId="35825" xr:uid="{00000000-0005-0000-0000-0000E38B0000}"/>
    <cellStyle name="Normal 5 17 2 31 5 10" xfId="35826" xr:uid="{00000000-0005-0000-0000-0000E48B0000}"/>
    <cellStyle name="Normal 5 17 2 31 5 2" xfId="35827" xr:uid="{00000000-0005-0000-0000-0000E58B0000}"/>
    <cellStyle name="Normal 5 17 2 31 5 3" xfId="35828" xr:uid="{00000000-0005-0000-0000-0000E68B0000}"/>
    <cellStyle name="Normal 5 17 2 31 5 4" xfId="35829" xr:uid="{00000000-0005-0000-0000-0000E78B0000}"/>
    <cellStyle name="Normal 5 17 2 31 5 5" xfId="35830" xr:uid="{00000000-0005-0000-0000-0000E88B0000}"/>
    <cellStyle name="Normal 5 17 2 31 5 6" xfId="35831" xr:uid="{00000000-0005-0000-0000-0000E98B0000}"/>
    <cellStyle name="Normal 5 17 2 31 5 7" xfId="35832" xr:uid="{00000000-0005-0000-0000-0000EA8B0000}"/>
    <cellStyle name="Normal 5 17 2 31 5 8" xfId="35833" xr:uid="{00000000-0005-0000-0000-0000EB8B0000}"/>
    <cellStyle name="Normal 5 17 2 31 5 9" xfId="35834" xr:uid="{00000000-0005-0000-0000-0000EC8B0000}"/>
    <cellStyle name="Normal 5 17 2 31 6" xfId="35835" xr:uid="{00000000-0005-0000-0000-0000ED8B0000}"/>
    <cellStyle name="Normal 5 17 2 31 7" xfId="35836" xr:uid="{00000000-0005-0000-0000-0000EE8B0000}"/>
    <cellStyle name="Normal 5 17 2 31 8" xfId="35837" xr:uid="{00000000-0005-0000-0000-0000EF8B0000}"/>
    <cellStyle name="Normal 5 17 2 31 9" xfId="35838" xr:uid="{00000000-0005-0000-0000-0000F08B0000}"/>
    <cellStyle name="Normal 5 17 2 32" xfId="35839" xr:uid="{00000000-0005-0000-0000-0000F18B0000}"/>
    <cellStyle name="Normal 5 17 2 32 10" xfId="35840" xr:uid="{00000000-0005-0000-0000-0000F28B0000}"/>
    <cellStyle name="Normal 5 17 2 32 11" xfId="35841" xr:uid="{00000000-0005-0000-0000-0000F38B0000}"/>
    <cellStyle name="Normal 5 17 2 32 12" xfId="35842" xr:uid="{00000000-0005-0000-0000-0000F48B0000}"/>
    <cellStyle name="Normal 5 17 2 32 13" xfId="35843" xr:uid="{00000000-0005-0000-0000-0000F58B0000}"/>
    <cellStyle name="Normal 5 17 2 32 14" xfId="35844" xr:uid="{00000000-0005-0000-0000-0000F68B0000}"/>
    <cellStyle name="Normal 5 17 2 32 2" xfId="35845" xr:uid="{00000000-0005-0000-0000-0000F78B0000}"/>
    <cellStyle name="Normal 5 17 2 32 2 10" xfId="35846" xr:uid="{00000000-0005-0000-0000-0000F88B0000}"/>
    <cellStyle name="Normal 5 17 2 32 2 2" xfId="35847" xr:uid="{00000000-0005-0000-0000-0000F98B0000}"/>
    <cellStyle name="Normal 5 17 2 32 2 3" xfId="35848" xr:uid="{00000000-0005-0000-0000-0000FA8B0000}"/>
    <cellStyle name="Normal 5 17 2 32 2 4" xfId="35849" xr:uid="{00000000-0005-0000-0000-0000FB8B0000}"/>
    <cellStyle name="Normal 5 17 2 32 2 5" xfId="35850" xr:uid="{00000000-0005-0000-0000-0000FC8B0000}"/>
    <cellStyle name="Normal 5 17 2 32 2 6" xfId="35851" xr:uid="{00000000-0005-0000-0000-0000FD8B0000}"/>
    <cellStyle name="Normal 5 17 2 32 2 7" xfId="35852" xr:uid="{00000000-0005-0000-0000-0000FE8B0000}"/>
    <cellStyle name="Normal 5 17 2 32 2 8" xfId="35853" xr:uid="{00000000-0005-0000-0000-0000FF8B0000}"/>
    <cellStyle name="Normal 5 17 2 32 2 9" xfId="35854" xr:uid="{00000000-0005-0000-0000-0000008C0000}"/>
    <cellStyle name="Normal 5 17 2 32 3" xfId="35855" xr:uid="{00000000-0005-0000-0000-0000018C0000}"/>
    <cellStyle name="Normal 5 17 2 32 3 10" xfId="35856" xr:uid="{00000000-0005-0000-0000-0000028C0000}"/>
    <cellStyle name="Normal 5 17 2 32 3 2" xfId="35857" xr:uid="{00000000-0005-0000-0000-0000038C0000}"/>
    <cellStyle name="Normal 5 17 2 32 3 3" xfId="35858" xr:uid="{00000000-0005-0000-0000-0000048C0000}"/>
    <cellStyle name="Normal 5 17 2 32 3 4" xfId="35859" xr:uid="{00000000-0005-0000-0000-0000058C0000}"/>
    <cellStyle name="Normal 5 17 2 32 3 5" xfId="35860" xr:uid="{00000000-0005-0000-0000-0000068C0000}"/>
    <cellStyle name="Normal 5 17 2 32 3 6" xfId="35861" xr:uid="{00000000-0005-0000-0000-0000078C0000}"/>
    <cellStyle name="Normal 5 17 2 32 3 7" xfId="35862" xr:uid="{00000000-0005-0000-0000-0000088C0000}"/>
    <cellStyle name="Normal 5 17 2 32 3 8" xfId="35863" xr:uid="{00000000-0005-0000-0000-0000098C0000}"/>
    <cellStyle name="Normal 5 17 2 32 3 9" xfId="35864" xr:uid="{00000000-0005-0000-0000-00000A8C0000}"/>
    <cellStyle name="Normal 5 17 2 32 4" xfId="35865" xr:uid="{00000000-0005-0000-0000-00000B8C0000}"/>
    <cellStyle name="Normal 5 17 2 32 4 10" xfId="35866" xr:uid="{00000000-0005-0000-0000-00000C8C0000}"/>
    <cellStyle name="Normal 5 17 2 32 4 2" xfId="35867" xr:uid="{00000000-0005-0000-0000-00000D8C0000}"/>
    <cellStyle name="Normal 5 17 2 32 4 3" xfId="35868" xr:uid="{00000000-0005-0000-0000-00000E8C0000}"/>
    <cellStyle name="Normal 5 17 2 32 4 4" xfId="35869" xr:uid="{00000000-0005-0000-0000-00000F8C0000}"/>
    <cellStyle name="Normal 5 17 2 32 4 5" xfId="35870" xr:uid="{00000000-0005-0000-0000-0000108C0000}"/>
    <cellStyle name="Normal 5 17 2 32 4 6" xfId="35871" xr:uid="{00000000-0005-0000-0000-0000118C0000}"/>
    <cellStyle name="Normal 5 17 2 32 4 7" xfId="35872" xr:uid="{00000000-0005-0000-0000-0000128C0000}"/>
    <cellStyle name="Normal 5 17 2 32 4 8" xfId="35873" xr:uid="{00000000-0005-0000-0000-0000138C0000}"/>
    <cellStyle name="Normal 5 17 2 32 4 9" xfId="35874" xr:uid="{00000000-0005-0000-0000-0000148C0000}"/>
    <cellStyle name="Normal 5 17 2 32 5" xfId="35875" xr:uid="{00000000-0005-0000-0000-0000158C0000}"/>
    <cellStyle name="Normal 5 17 2 32 5 10" xfId="35876" xr:uid="{00000000-0005-0000-0000-0000168C0000}"/>
    <cellStyle name="Normal 5 17 2 32 5 2" xfId="35877" xr:uid="{00000000-0005-0000-0000-0000178C0000}"/>
    <cellStyle name="Normal 5 17 2 32 5 3" xfId="35878" xr:uid="{00000000-0005-0000-0000-0000188C0000}"/>
    <cellStyle name="Normal 5 17 2 32 5 4" xfId="35879" xr:uid="{00000000-0005-0000-0000-0000198C0000}"/>
    <cellStyle name="Normal 5 17 2 32 5 5" xfId="35880" xr:uid="{00000000-0005-0000-0000-00001A8C0000}"/>
    <cellStyle name="Normal 5 17 2 32 5 6" xfId="35881" xr:uid="{00000000-0005-0000-0000-00001B8C0000}"/>
    <cellStyle name="Normal 5 17 2 32 5 7" xfId="35882" xr:uid="{00000000-0005-0000-0000-00001C8C0000}"/>
    <cellStyle name="Normal 5 17 2 32 5 8" xfId="35883" xr:uid="{00000000-0005-0000-0000-00001D8C0000}"/>
    <cellStyle name="Normal 5 17 2 32 5 9" xfId="35884" xr:uid="{00000000-0005-0000-0000-00001E8C0000}"/>
    <cellStyle name="Normal 5 17 2 32 6" xfId="35885" xr:uid="{00000000-0005-0000-0000-00001F8C0000}"/>
    <cellStyle name="Normal 5 17 2 32 7" xfId="35886" xr:uid="{00000000-0005-0000-0000-0000208C0000}"/>
    <cellStyle name="Normal 5 17 2 32 8" xfId="35887" xr:uid="{00000000-0005-0000-0000-0000218C0000}"/>
    <cellStyle name="Normal 5 17 2 32 9" xfId="35888" xr:uid="{00000000-0005-0000-0000-0000228C0000}"/>
    <cellStyle name="Normal 5 17 2 33" xfId="35889" xr:uid="{00000000-0005-0000-0000-0000238C0000}"/>
    <cellStyle name="Normal 5 17 2 33 10" xfId="35890" xr:uid="{00000000-0005-0000-0000-0000248C0000}"/>
    <cellStyle name="Normal 5 17 2 33 11" xfId="35891" xr:uid="{00000000-0005-0000-0000-0000258C0000}"/>
    <cellStyle name="Normal 5 17 2 33 12" xfId="35892" xr:uid="{00000000-0005-0000-0000-0000268C0000}"/>
    <cellStyle name="Normal 5 17 2 33 13" xfId="35893" xr:uid="{00000000-0005-0000-0000-0000278C0000}"/>
    <cellStyle name="Normal 5 17 2 33 14" xfId="35894" xr:uid="{00000000-0005-0000-0000-0000288C0000}"/>
    <cellStyle name="Normal 5 17 2 33 2" xfId="35895" xr:uid="{00000000-0005-0000-0000-0000298C0000}"/>
    <cellStyle name="Normal 5 17 2 33 2 10" xfId="35896" xr:uid="{00000000-0005-0000-0000-00002A8C0000}"/>
    <cellStyle name="Normal 5 17 2 33 2 2" xfId="35897" xr:uid="{00000000-0005-0000-0000-00002B8C0000}"/>
    <cellStyle name="Normal 5 17 2 33 2 3" xfId="35898" xr:uid="{00000000-0005-0000-0000-00002C8C0000}"/>
    <cellStyle name="Normal 5 17 2 33 2 4" xfId="35899" xr:uid="{00000000-0005-0000-0000-00002D8C0000}"/>
    <cellStyle name="Normal 5 17 2 33 2 5" xfId="35900" xr:uid="{00000000-0005-0000-0000-00002E8C0000}"/>
    <cellStyle name="Normal 5 17 2 33 2 6" xfId="35901" xr:uid="{00000000-0005-0000-0000-00002F8C0000}"/>
    <cellStyle name="Normal 5 17 2 33 2 7" xfId="35902" xr:uid="{00000000-0005-0000-0000-0000308C0000}"/>
    <cellStyle name="Normal 5 17 2 33 2 8" xfId="35903" xr:uid="{00000000-0005-0000-0000-0000318C0000}"/>
    <cellStyle name="Normal 5 17 2 33 2 9" xfId="35904" xr:uid="{00000000-0005-0000-0000-0000328C0000}"/>
    <cellStyle name="Normal 5 17 2 33 3" xfId="35905" xr:uid="{00000000-0005-0000-0000-0000338C0000}"/>
    <cellStyle name="Normal 5 17 2 33 3 10" xfId="35906" xr:uid="{00000000-0005-0000-0000-0000348C0000}"/>
    <cellStyle name="Normal 5 17 2 33 3 2" xfId="35907" xr:uid="{00000000-0005-0000-0000-0000358C0000}"/>
    <cellStyle name="Normal 5 17 2 33 3 3" xfId="35908" xr:uid="{00000000-0005-0000-0000-0000368C0000}"/>
    <cellStyle name="Normal 5 17 2 33 3 4" xfId="35909" xr:uid="{00000000-0005-0000-0000-0000378C0000}"/>
    <cellStyle name="Normal 5 17 2 33 3 5" xfId="35910" xr:uid="{00000000-0005-0000-0000-0000388C0000}"/>
    <cellStyle name="Normal 5 17 2 33 3 6" xfId="35911" xr:uid="{00000000-0005-0000-0000-0000398C0000}"/>
    <cellStyle name="Normal 5 17 2 33 3 7" xfId="35912" xr:uid="{00000000-0005-0000-0000-00003A8C0000}"/>
    <cellStyle name="Normal 5 17 2 33 3 8" xfId="35913" xr:uid="{00000000-0005-0000-0000-00003B8C0000}"/>
    <cellStyle name="Normal 5 17 2 33 3 9" xfId="35914" xr:uid="{00000000-0005-0000-0000-00003C8C0000}"/>
    <cellStyle name="Normal 5 17 2 33 4" xfId="35915" xr:uid="{00000000-0005-0000-0000-00003D8C0000}"/>
    <cellStyle name="Normal 5 17 2 33 4 10" xfId="35916" xr:uid="{00000000-0005-0000-0000-00003E8C0000}"/>
    <cellStyle name="Normal 5 17 2 33 4 2" xfId="35917" xr:uid="{00000000-0005-0000-0000-00003F8C0000}"/>
    <cellStyle name="Normal 5 17 2 33 4 3" xfId="35918" xr:uid="{00000000-0005-0000-0000-0000408C0000}"/>
    <cellStyle name="Normal 5 17 2 33 4 4" xfId="35919" xr:uid="{00000000-0005-0000-0000-0000418C0000}"/>
    <cellStyle name="Normal 5 17 2 33 4 5" xfId="35920" xr:uid="{00000000-0005-0000-0000-0000428C0000}"/>
    <cellStyle name="Normal 5 17 2 33 4 6" xfId="35921" xr:uid="{00000000-0005-0000-0000-0000438C0000}"/>
    <cellStyle name="Normal 5 17 2 33 4 7" xfId="35922" xr:uid="{00000000-0005-0000-0000-0000448C0000}"/>
    <cellStyle name="Normal 5 17 2 33 4 8" xfId="35923" xr:uid="{00000000-0005-0000-0000-0000458C0000}"/>
    <cellStyle name="Normal 5 17 2 33 4 9" xfId="35924" xr:uid="{00000000-0005-0000-0000-0000468C0000}"/>
    <cellStyle name="Normal 5 17 2 33 5" xfId="35925" xr:uid="{00000000-0005-0000-0000-0000478C0000}"/>
    <cellStyle name="Normal 5 17 2 33 5 10" xfId="35926" xr:uid="{00000000-0005-0000-0000-0000488C0000}"/>
    <cellStyle name="Normal 5 17 2 33 5 2" xfId="35927" xr:uid="{00000000-0005-0000-0000-0000498C0000}"/>
    <cellStyle name="Normal 5 17 2 33 5 3" xfId="35928" xr:uid="{00000000-0005-0000-0000-00004A8C0000}"/>
    <cellStyle name="Normal 5 17 2 33 5 4" xfId="35929" xr:uid="{00000000-0005-0000-0000-00004B8C0000}"/>
    <cellStyle name="Normal 5 17 2 33 5 5" xfId="35930" xr:uid="{00000000-0005-0000-0000-00004C8C0000}"/>
    <cellStyle name="Normal 5 17 2 33 5 6" xfId="35931" xr:uid="{00000000-0005-0000-0000-00004D8C0000}"/>
    <cellStyle name="Normal 5 17 2 33 5 7" xfId="35932" xr:uid="{00000000-0005-0000-0000-00004E8C0000}"/>
    <cellStyle name="Normal 5 17 2 33 5 8" xfId="35933" xr:uid="{00000000-0005-0000-0000-00004F8C0000}"/>
    <cellStyle name="Normal 5 17 2 33 5 9" xfId="35934" xr:uid="{00000000-0005-0000-0000-0000508C0000}"/>
    <cellStyle name="Normal 5 17 2 33 6" xfId="35935" xr:uid="{00000000-0005-0000-0000-0000518C0000}"/>
    <cellStyle name="Normal 5 17 2 33 7" xfId="35936" xr:uid="{00000000-0005-0000-0000-0000528C0000}"/>
    <cellStyle name="Normal 5 17 2 33 8" xfId="35937" xr:uid="{00000000-0005-0000-0000-0000538C0000}"/>
    <cellStyle name="Normal 5 17 2 33 9" xfId="35938" xr:uid="{00000000-0005-0000-0000-0000548C0000}"/>
    <cellStyle name="Normal 5 17 2 34" xfId="35939" xr:uid="{00000000-0005-0000-0000-0000558C0000}"/>
    <cellStyle name="Normal 5 17 2 34 10" xfId="35940" xr:uid="{00000000-0005-0000-0000-0000568C0000}"/>
    <cellStyle name="Normal 5 17 2 34 2" xfId="35941" xr:uid="{00000000-0005-0000-0000-0000578C0000}"/>
    <cellStyle name="Normal 5 17 2 34 3" xfId="35942" xr:uid="{00000000-0005-0000-0000-0000588C0000}"/>
    <cellStyle name="Normal 5 17 2 34 4" xfId="35943" xr:uid="{00000000-0005-0000-0000-0000598C0000}"/>
    <cellStyle name="Normal 5 17 2 34 5" xfId="35944" xr:uid="{00000000-0005-0000-0000-00005A8C0000}"/>
    <cellStyle name="Normal 5 17 2 34 6" xfId="35945" xr:uid="{00000000-0005-0000-0000-00005B8C0000}"/>
    <cellStyle name="Normal 5 17 2 34 7" xfId="35946" xr:uid="{00000000-0005-0000-0000-00005C8C0000}"/>
    <cellStyle name="Normal 5 17 2 34 8" xfId="35947" xr:uid="{00000000-0005-0000-0000-00005D8C0000}"/>
    <cellStyle name="Normal 5 17 2 34 9" xfId="35948" xr:uid="{00000000-0005-0000-0000-00005E8C0000}"/>
    <cellStyle name="Normal 5 17 2 35" xfId="35949" xr:uid="{00000000-0005-0000-0000-00005F8C0000}"/>
    <cellStyle name="Normal 5 17 2 35 10" xfId="35950" xr:uid="{00000000-0005-0000-0000-0000608C0000}"/>
    <cellStyle name="Normal 5 17 2 35 2" xfId="35951" xr:uid="{00000000-0005-0000-0000-0000618C0000}"/>
    <cellStyle name="Normal 5 17 2 35 3" xfId="35952" xr:uid="{00000000-0005-0000-0000-0000628C0000}"/>
    <cellStyle name="Normal 5 17 2 35 4" xfId="35953" xr:uid="{00000000-0005-0000-0000-0000638C0000}"/>
    <cellStyle name="Normal 5 17 2 35 5" xfId="35954" xr:uid="{00000000-0005-0000-0000-0000648C0000}"/>
    <cellStyle name="Normal 5 17 2 35 6" xfId="35955" xr:uid="{00000000-0005-0000-0000-0000658C0000}"/>
    <cellStyle name="Normal 5 17 2 35 7" xfId="35956" xr:uid="{00000000-0005-0000-0000-0000668C0000}"/>
    <cellStyle name="Normal 5 17 2 35 8" xfId="35957" xr:uid="{00000000-0005-0000-0000-0000678C0000}"/>
    <cellStyle name="Normal 5 17 2 35 9" xfId="35958" xr:uid="{00000000-0005-0000-0000-0000688C0000}"/>
    <cellStyle name="Normal 5 17 2 36" xfId="35959" xr:uid="{00000000-0005-0000-0000-0000698C0000}"/>
    <cellStyle name="Normal 5 17 2 36 10" xfId="35960" xr:uid="{00000000-0005-0000-0000-00006A8C0000}"/>
    <cellStyle name="Normal 5 17 2 36 2" xfId="35961" xr:uid="{00000000-0005-0000-0000-00006B8C0000}"/>
    <cellStyle name="Normal 5 17 2 36 3" xfId="35962" xr:uid="{00000000-0005-0000-0000-00006C8C0000}"/>
    <cellStyle name="Normal 5 17 2 36 4" xfId="35963" xr:uid="{00000000-0005-0000-0000-00006D8C0000}"/>
    <cellStyle name="Normal 5 17 2 36 5" xfId="35964" xr:uid="{00000000-0005-0000-0000-00006E8C0000}"/>
    <cellStyle name="Normal 5 17 2 36 6" xfId="35965" xr:uid="{00000000-0005-0000-0000-00006F8C0000}"/>
    <cellStyle name="Normal 5 17 2 36 7" xfId="35966" xr:uid="{00000000-0005-0000-0000-0000708C0000}"/>
    <cellStyle name="Normal 5 17 2 36 8" xfId="35967" xr:uid="{00000000-0005-0000-0000-0000718C0000}"/>
    <cellStyle name="Normal 5 17 2 36 9" xfId="35968" xr:uid="{00000000-0005-0000-0000-0000728C0000}"/>
    <cellStyle name="Normal 5 17 2 37" xfId="35969" xr:uid="{00000000-0005-0000-0000-0000738C0000}"/>
    <cellStyle name="Normal 5 17 2 37 10" xfId="35970" xr:uid="{00000000-0005-0000-0000-0000748C0000}"/>
    <cellStyle name="Normal 5 17 2 37 2" xfId="35971" xr:uid="{00000000-0005-0000-0000-0000758C0000}"/>
    <cellStyle name="Normal 5 17 2 37 3" xfId="35972" xr:uid="{00000000-0005-0000-0000-0000768C0000}"/>
    <cellStyle name="Normal 5 17 2 37 4" xfId="35973" xr:uid="{00000000-0005-0000-0000-0000778C0000}"/>
    <cellStyle name="Normal 5 17 2 37 5" xfId="35974" xr:uid="{00000000-0005-0000-0000-0000788C0000}"/>
    <cellStyle name="Normal 5 17 2 37 6" xfId="35975" xr:uid="{00000000-0005-0000-0000-0000798C0000}"/>
    <cellStyle name="Normal 5 17 2 37 7" xfId="35976" xr:uid="{00000000-0005-0000-0000-00007A8C0000}"/>
    <cellStyle name="Normal 5 17 2 37 8" xfId="35977" xr:uid="{00000000-0005-0000-0000-00007B8C0000}"/>
    <cellStyle name="Normal 5 17 2 37 9" xfId="35978" xr:uid="{00000000-0005-0000-0000-00007C8C0000}"/>
    <cellStyle name="Normal 5 17 2 38" xfId="35979" xr:uid="{00000000-0005-0000-0000-00007D8C0000}"/>
    <cellStyle name="Normal 5 17 2 39" xfId="35980" xr:uid="{00000000-0005-0000-0000-00007E8C0000}"/>
    <cellStyle name="Normal 5 17 2 4" xfId="35981" xr:uid="{00000000-0005-0000-0000-00007F8C0000}"/>
    <cellStyle name="Normal 5 17 2 4 10" xfId="35982" xr:uid="{00000000-0005-0000-0000-0000808C0000}"/>
    <cellStyle name="Normal 5 17 2 4 11" xfId="35983" xr:uid="{00000000-0005-0000-0000-0000818C0000}"/>
    <cellStyle name="Normal 5 17 2 4 12" xfId="35984" xr:uid="{00000000-0005-0000-0000-0000828C0000}"/>
    <cellStyle name="Normal 5 17 2 4 13" xfId="35985" xr:uid="{00000000-0005-0000-0000-0000838C0000}"/>
    <cellStyle name="Normal 5 17 2 4 14" xfId="35986" xr:uid="{00000000-0005-0000-0000-0000848C0000}"/>
    <cellStyle name="Normal 5 17 2 4 2" xfId="35987" xr:uid="{00000000-0005-0000-0000-0000858C0000}"/>
    <cellStyle name="Normal 5 17 2 4 2 10" xfId="35988" xr:uid="{00000000-0005-0000-0000-0000868C0000}"/>
    <cellStyle name="Normal 5 17 2 4 2 2" xfId="35989" xr:uid="{00000000-0005-0000-0000-0000878C0000}"/>
    <cellStyle name="Normal 5 17 2 4 2 3" xfId="35990" xr:uid="{00000000-0005-0000-0000-0000888C0000}"/>
    <cellStyle name="Normal 5 17 2 4 2 4" xfId="35991" xr:uid="{00000000-0005-0000-0000-0000898C0000}"/>
    <cellStyle name="Normal 5 17 2 4 2 5" xfId="35992" xr:uid="{00000000-0005-0000-0000-00008A8C0000}"/>
    <cellStyle name="Normal 5 17 2 4 2 6" xfId="35993" xr:uid="{00000000-0005-0000-0000-00008B8C0000}"/>
    <cellStyle name="Normal 5 17 2 4 2 7" xfId="35994" xr:uid="{00000000-0005-0000-0000-00008C8C0000}"/>
    <cellStyle name="Normal 5 17 2 4 2 8" xfId="35995" xr:uid="{00000000-0005-0000-0000-00008D8C0000}"/>
    <cellStyle name="Normal 5 17 2 4 2 9" xfId="35996" xr:uid="{00000000-0005-0000-0000-00008E8C0000}"/>
    <cellStyle name="Normal 5 17 2 4 3" xfId="35997" xr:uid="{00000000-0005-0000-0000-00008F8C0000}"/>
    <cellStyle name="Normal 5 17 2 4 3 10" xfId="35998" xr:uid="{00000000-0005-0000-0000-0000908C0000}"/>
    <cellStyle name="Normal 5 17 2 4 3 2" xfId="35999" xr:uid="{00000000-0005-0000-0000-0000918C0000}"/>
    <cellStyle name="Normal 5 17 2 4 3 3" xfId="36000" xr:uid="{00000000-0005-0000-0000-0000928C0000}"/>
    <cellStyle name="Normal 5 17 2 4 3 4" xfId="36001" xr:uid="{00000000-0005-0000-0000-0000938C0000}"/>
    <cellStyle name="Normal 5 17 2 4 3 5" xfId="36002" xr:uid="{00000000-0005-0000-0000-0000948C0000}"/>
    <cellStyle name="Normal 5 17 2 4 3 6" xfId="36003" xr:uid="{00000000-0005-0000-0000-0000958C0000}"/>
    <cellStyle name="Normal 5 17 2 4 3 7" xfId="36004" xr:uid="{00000000-0005-0000-0000-0000968C0000}"/>
    <cellStyle name="Normal 5 17 2 4 3 8" xfId="36005" xr:uid="{00000000-0005-0000-0000-0000978C0000}"/>
    <cellStyle name="Normal 5 17 2 4 3 9" xfId="36006" xr:uid="{00000000-0005-0000-0000-0000988C0000}"/>
    <cellStyle name="Normal 5 17 2 4 4" xfId="36007" xr:uid="{00000000-0005-0000-0000-0000998C0000}"/>
    <cellStyle name="Normal 5 17 2 4 4 10" xfId="36008" xr:uid="{00000000-0005-0000-0000-00009A8C0000}"/>
    <cellStyle name="Normal 5 17 2 4 4 2" xfId="36009" xr:uid="{00000000-0005-0000-0000-00009B8C0000}"/>
    <cellStyle name="Normal 5 17 2 4 4 3" xfId="36010" xr:uid="{00000000-0005-0000-0000-00009C8C0000}"/>
    <cellStyle name="Normal 5 17 2 4 4 4" xfId="36011" xr:uid="{00000000-0005-0000-0000-00009D8C0000}"/>
    <cellStyle name="Normal 5 17 2 4 4 5" xfId="36012" xr:uid="{00000000-0005-0000-0000-00009E8C0000}"/>
    <cellStyle name="Normal 5 17 2 4 4 6" xfId="36013" xr:uid="{00000000-0005-0000-0000-00009F8C0000}"/>
    <cellStyle name="Normal 5 17 2 4 4 7" xfId="36014" xr:uid="{00000000-0005-0000-0000-0000A08C0000}"/>
    <cellStyle name="Normal 5 17 2 4 4 8" xfId="36015" xr:uid="{00000000-0005-0000-0000-0000A18C0000}"/>
    <cellStyle name="Normal 5 17 2 4 4 9" xfId="36016" xr:uid="{00000000-0005-0000-0000-0000A28C0000}"/>
    <cellStyle name="Normal 5 17 2 4 5" xfId="36017" xr:uid="{00000000-0005-0000-0000-0000A38C0000}"/>
    <cellStyle name="Normal 5 17 2 4 5 10" xfId="36018" xr:uid="{00000000-0005-0000-0000-0000A48C0000}"/>
    <cellStyle name="Normal 5 17 2 4 5 2" xfId="36019" xr:uid="{00000000-0005-0000-0000-0000A58C0000}"/>
    <cellStyle name="Normal 5 17 2 4 5 3" xfId="36020" xr:uid="{00000000-0005-0000-0000-0000A68C0000}"/>
    <cellStyle name="Normal 5 17 2 4 5 4" xfId="36021" xr:uid="{00000000-0005-0000-0000-0000A78C0000}"/>
    <cellStyle name="Normal 5 17 2 4 5 5" xfId="36022" xr:uid="{00000000-0005-0000-0000-0000A88C0000}"/>
    <cellStyle name="Normal 5 17 2 4 5 6" xfId="36023" xr:uid="{00000000-0005-0000-0000-0000A98C0000}"/>
    <cellStyle name="Normal 5 17 2 4 5 7" xfId="36024" xr:uid="{00000000-0005-0000-0000-0000AA8C0000}"/>
    <cellStyle name="Normal 5 17 2 4 5 8" xfId="36025" xr:uid="{00000000-0005-0000-0000-0000AB8C0000}"/>
    <cellStyle name="Normal 5 17 2 4 5 9" xfId="36026" xr:uid="{00000000-0005-0000-0000-0000AC8C0000}"/>
    <cellStyle name="Normal 5 17 2 4 6" xfId="36027" xr:uid="{00000000-0005-0000-0000-0000AD8C0000}"/>
    <cellStyle name="Normal 5 17 2 4 7" xfId="36028" xr:uid="{00000000-0005-0000-0000-0000AE8C0000}"/>
    <cellStyle name="Normal 5 17 2 4 8" xfId="36029" xr:uid="{00000000-0005-0000-0000-0000AF8C0000}"/>
    <cellStyle name="Normal 5 17 2 4 9" xfId="36030" xr:uid="{00000000-0005-0000-0000-0000B08C0000}"/>
    <cellStyle name="Normal 5 17 2 40" xfId="36031" xr:uid="{00000000-0005-0000-0000-0000B18C0000}"/>
    <cellStyle name="Normal 5 17 2 41" xfId="36032" xr:uid="{00000000-0005-0000-0000-0000B28C0000}"/>
    <cellStyle name="Normal 5 17 2 42" xfId="36033" xr:uid="{00000000-0005-0000-0000-0000B38C0000}"/>
    <cellStyle name="Normal 5 17 2 43" xfId="36034" xr:uid="{00000000-0005-0000-0000-0000B48C0000}"/>
    <cellStyle name="Normal 5 17 2 44" xfId="36035" xr:uid="{00000000-0005-0000-0000-0000B58C0000}"/>
    <cellStyle name="Normal 5 17 2 45" xfId="36036" xr:uid="{00000000-0005-0000-0000-0000B68C0000}"/>
    <cellStyle name="Normal 5 17 2 46" xfId="36037" xr:uid="{00000000-0005-0000-0000-0000B78C0000}"/>
    <cellStyle name="Normal 5 17 2 47" xfId="36038" xr:uid="{00000000-0005-0000-0000-0000B88C0000}"/>
    <cellStyle name="Normal 5 17 2 48" xfId="36039" xr:uid="{00000000-0005-0000-0000-0000B98C0000}"/>
    <cellStyle name="Normal 5 17 2 5" xfId="36040" xr:uid="{00000000-0005-0000-0000-0000BA8C0000}"/>
    <cellStyle name="Normal 5 17 2 5 10" xfId="36041" xr:uid="{00000000-0005-0000-0000-0000BB8C0000}"/>
    <cellStyle name="Normal 5 17 2 5 11" xfId="36042" xr:uid="{00000000-0005-0000-0000-0000BC8C0000}"/>
    <cellStyle name="Normal 5 17 2 5 12" xfId="36043" xr:uid="{00000000-0005-0000-0000-0000BD8C0000}"/>
    <cellStyle name="Normal 5 17 2 5 13" xfId="36044" xr:uid="{00000000-0005-0000-0000-0000BE8C0000}"/>
    <cellStyle name="Normal 5 17 2 5 14" xfId="36045" xr:uid="{00000000-0005-0000-0000-0000BF8C0000}"/>
    <cellStyle name="Normal 5 17 2 5 2" xfId="36046" xr:uid="{00000000-0005-0000-0000-0000C08C0000}"/>
    <cellStyle name="Normal 5 17 2 5 2 10" xfId="36047" xr:uid="{00000000-0005-0000-0000-0000C18C0000}"/>
    <cellStyle name="Normal 5 17 2 5 2 2" xfId="36048" xr:uid="{00000000-0005-0000-0000-0000C28C0000}"/>
    <cellStyle name="Normal 5 17 2 5 2 3" xfId="36049" xr:uid="{00000000-0005-0000-0000-0000C38C0000}"/>
    <cellStyle name="Normal 5 17 2 5 2 4" xfId="36050" xr:uid="{00000000-0005-0000-0000-0000C48C0000}"/>
    <cellStyle name="Normal 5 17 2 5 2 5" xfId="36051" xr:uid="{00000000-0005-0000-0000-0000C58C0000}"/>
    <cellStyle name="Normal 5 17 2 5 2 6" xfId="36052" xr:uid="{00000000-0005-0000-0000-0000C68C0000}"/>
    <cellStyle name="Normal 5 17 2 5 2 7" xfId="36053" xr:uid="{00000000-0005-0000-0000-0000C78C0000}"/>
    <cellStyle name="Normal 5 17 2 5 2 8" xfId="36054" xr:uid="{00000000-0005-0000-0000-0000C88C0000}"/>
    <cellStyle name="Normal 5 17 2 5 2 9" xfId="36055" xr:uid="{00000000-0005-0000-0000-0000C98C0000}"/>
    <cellStyle name="Normal 5 17 2 5 3" xfId="36056" xr:uid="{00000000-0005-0000-0000-0000CA8C0000}"/>
    <cellStyle name="Normal 5 17 2 5 3 10" xfId="36057" xr:uid="{00000000-0005-0000-0000-0000CB8C0000}"/>
    <cellStyle name="Normal 5 17 2 5 3 2" xfId="36058" xr:uid="{00000000-0005-0000-0000-0000CC8C0000}"/>
    <cellStyle name="Normal 5 17 2 5 3 3" xfId="36059" xr:uid="{00000000-0005-0000-0000-0000CD8C0000}"/>
    <cellStyle name="Normal 5 17 2 5 3 4" xfId="36060" xr:uid="{00000000-0005-0000-0000-0000CE8C0000}"/>
    <cellStyle name="Normal 5 17 2 5 3 5" xfId="36061" xr:uid="{00000000-0005-0000-0000-0000CF8C0000}"/>
    <cellStyle name="Normal 5 17 2 5 3 6" xfId="36062" xr:uid="{00000000-0005-0000-0000-0000D08C0000}"/>
    <cellStyle name="Normal 5 17 2 5 3 7" xfId="36063" xr:uid="{00000000-0005-0000-0000-0000D18C0000}"/>
    <cellStyle name="Normal 5 17 2 5 3 8" xfId="36064" xr:uid="{00000000-0005-0000-0000-0000D28C0000}"/>
    <cellStyle name="Normal 5 17 2 5 3 9" xfId="36065" xr:uid="{00000000-0005-0000-0000-0000D38C0000}"/>
    <cellStyle name="Normal 5 17 2 5 4" xfId="36066" xr:uid="{00000000-0005-0000-0000-0000D48C0000}"/>
    <cellStyle name="Normal 5 17 2 5 4 10" xfId="36067" xr:uid="{00000000-0005-0000-0000-0000D58C0000}"/>
    <cellStyle name="Normal 5 17 2 5 4 2" xfId="36068" xr:uid="{00000000-0005-0000-0000-0000D68C0000}"/>
    <cellStyle name="Normal 5 17 2 5 4 3" xfId="36069" xr:uid="{00000000-0005-0000-0000-0000D78C0000}"/>
    <cellStyle name="Normal 5 17 2 5 4 4" xfId="36070" xr:uid="{00000000-0005-0000-0000-0000D88C0000}"/>
    <cellStyle name="Normal 5 17 2 5 4 5" xfId="36071" xr:uid="{00000000-0005-0000-0000-0000D98C0000}"/>
    <cellStyle name="Normal 5 17 2 5 4 6" xfId="36072" xr:uid="{00000000-0005-0000-0000-0000DA8C0000}"/>
    <cellStyle name="Normal 5 17 2 5 4 7" xfId="36073" xr:uid="{00000000-0005-0000-0000-0000DB8C0000}"/>
    <cellStyle name="Normal 5 17 2 5 4 8" xfId="36074" xr:uid="{00000000-0005-0000-0000-0000DC8C0000}"/>
    <cellStyle name="Normal 5 17 2 5 4 9" xfId="36075" xr:uid="{00000000-0005-0000-0000-0000DD8C0000}"/>
    <cellStyle name="Normal 5 17 2 5 5" xfId="36076" xr:uid="{00000000-0005-0000-0000-0000DE8C0000}"/>
    <cellStyle name="Normal 5 17 2 5 5 10" xfId="36077" xr:uid="{00000000-0005-0000-0000-0000DF8C0000}"/>
    <cellStyle name="Normal 5 17 2 5 5 2" xfId="36078" xr:uid="{00000000-0005-0000-0000-0000E08C0000}"/>
    <cellStyle name="Normal 5 17 2 5 5 3" xfId="36079" xr:uid="{00000000-0005-0000-0000-0000E18C0000}"/>
    <cellStyle name="Normal 5 17 2 5 5 4" xfId="36080" xr:uid="{00000000-0005-0000-0000-0000E28C0000}"/>
    <cellStyle name="Normal 5 17 2 5 5 5" xfId="36081" xr:uid="{00000000-0005-0000-0000-0000E38C0000}"/>
    <cellStyle name="Normal 5 17 2 5 5 6" xfId="36082" xr:uid="{00000000-0005-0000-0000-0000E48C0000}"/>
    <cellStyle name="Normal 5 17 2 5 5 7" xfId="36083" xr:uid="{00000000-0005-0000-0000-0000E58C0000}"/>
    <cellStyle name="Normal 5 17 2 5 5 8" xfId="36084" xr:uid="{00000000-0005-0000-0000-0000E68C0000}"/>
    <cellStyle name="Normal 5 17 2 5 5 9" xfId="36085" xr:uid="{00000000-0005-0000-0000-0000E78C0000}"/>
    <cellStyle name="Normal 5 17 2 5 6" xfId="36086" xr:uid="{00000000-0005-0000-0000-0000E88C0000}"/>
    <cellStyle name="Normal 5 17 2 5 7" xfId="36087" xr:uid="{00000000-0005-0000-0000-0000E98C0000}"/>
    <cellStyle name="Normal 5 17 2 5 8" xfId="36088" xr:uid="{00000000-0005-0000-0000-0000EA8C0000}"/>
    <cellStyle name="Normal 5 17 2 5 9" xfId="36089" xr:uid="{00000000-0005-0000-0000-0000EB8C0000}"/>
    <cellStyle name="Normal 5 17 2 6" xfId="36090" xr:uid="{00000000-0005-0000-0000-0000EC8C0000}"/>
    <cellStyle name="Normal 5 17 2 6 10" xfId="36091" xr:uid="{00000000-0005-0000-0000-0000ED8C0000}"/>
    <cellStyle name="Normal 5 17 2 6 11" xfId="36092" xr:uid="{00000000-0005-0000-0000-0000EE8C0000}"/>
    <cellStyle name="Normal 5 17 2 6 12" xfId="36093" xr:uid="{00000000-0005-0000-0000-0000EF8C0000}"/>
    <cellStyle name="Normal 5 17 2 6 13" xfId="36094" xr:uid="{00000000-0005-0000-0000-0000F08C0000}"/>
    <cellStyle name="Normal 5 17 2 6 14" xfId="36095" xr:uid="{00000000-0005-0000-0000-0000F18C0000}"/>
    <cellStyle name="Normal 5 17 2 6 2" xfId="36096" xr:uid="{00000000-0005-0000-0000-0000F28C0000}"/>
    <cellStyle name="Normal 5 17 2 6 2 10" xfId="36097" xr:uid="{00000000-0005-0000-0000-0000F38C0000}"/>
    <cellStyle name="Normal 5 17 2 6 2 2" xfId="36098" xr:uid="{00000000-0005-0000-0000-0000F48C0000}"/>
    <cellStyle name="Normal 5 17 2 6 2 3" xfId="36099" xr:uid="{00000000-0005-0000-0000-0000F58C0000}"/>
    <cellStyle name="Normal 5 17 2 6 2 4" xfId="36100" xr:uid="{00000000-0005-0000-0000-0000F68C0000}"/>
    <cellStyle name="Normal 5 17 2 6 2 5" xfId="36101" xr:uid="{00000000-0005-0000-0000-0000F78C0000}"/>
    <cellStyle name="Normal 5 17 2 6 2 6" xfId="36102" xr:uid="{00000000-0005-0000-0000-0000F88C0000}"/>
    <cellStyle name="Normal 5 17 2 6 2 7" xfId="36103" xr:uid="{00000000-0005-0000-0000-0000F98C0000}"/>
    <cellStyle name="Normal 5 17 2 6 2 8" xfId="36104" xr:uid="{00000000-0005-0000-0000-0000FA8C0000}"/>
    <cellStyle name="Normal 5 17 2 6 2 9" xfId="36105" xr:uid="{00000000-0005-0000-0000-0000FB8C0000}"/>
    <cellStyle name="Normal 5 17 2 6 3" xfId="36106" xr:uid="{00000000-0005-0000-0000-0000FC8C0000}"/>
    <cellStyle name="Normal 5 17 2 6 3 10" xfId="36107" xr:uid="{00000000-0005-0000-0000-0000FD8C0000}"/>
    <cellStyle name="Normal 5 17 2 6 3 2" xfId="36108" xr:uid="{00000000-0005-0000-0000-0000FE8C0000}"/>
    <cellStyle name="Normal 5 17 2 6 3 3" xfId="36109" xr:uid="{00000000-0005-0000-0000-0000FF8C0000}"/>
    <cellStyle name="Normal 5 17 2 6 3 4" xfId="36110" xr:uid="{00000000-0005-0000-0000-0000008D0000}"/>
    <cellStyle name="Normal 5 17 2 6 3 5" xfId="36111" xr:uid="{00000000-0005-0000-0000-0000018D0000}"/>
    <cellStyle name="Normal 5 17 2 6 3 6" xfId="36112" xr:uid="{00000000-0005-0000-0000-0000028D0000}"/>
    <cellStyle name="Normal 5 17 2 6 3 7" xfId="36113" xr:uid="{00000000-0005-0000-0000-0000038D0000}"/>
    <cellStyle name="Normal 5 17 2 6 3 8" xfId="36114" xr:uid="{00000000-0005-0000-0000-0000048D0000}"/>
    <cellStyle name="Normal 5 17 2 6 3 9" xfId="36115" xr:uid="{00000000-0005-0000-0000-0000058D0000}"/>
    <cellStyle name="Normal 5 17 2 6 4" xfId="36116" xr:uid="{00000000-0005-0000-0000-0000068D0000}"/>
    <cellStyle name="Normal 5 17 2 6 4 10" xfId="36117" xr:uid="{00000000-0005-0000-0000-0000078D0000}"/>
    <cellStyle name="Normal 5 17 2 6 4 2" xfId="36118" xr:uid="{00000000-0005-0000-0000-0000088D0000}"/>
    <cellStyle name="Normal 5 17 2 6 4 3" xfId="36119" xr:uid="{00000000-0005-0000-0000-0000098D0000}"/>
    <cellStyle name="Normal 5 17 2 6 4 4" xfId="36120" xr:uid="{00000000-0005-0000-0000-00000A8D0000}"/>
    <cellStyle name="Normal 5 17 2 6 4 5" xfId="36121" xr:uid="{00000000-0005-0000-0000-00000B8D0000}"/>
    <cellStyle name="Normal 5 17 2 6 4 6" xfId="36122" xr:uid="{00000000-0005-0000-0000-00000C8D0000}"/>
    <cellStyle name="Normal 5 17 2 6 4 7" xfId="36123" xr:uid="{00000000-0005-0000-0000-00000D8D0000}"/>
    <cellStyle name="Normal 5 17 2 6 4 8" xfId="36124" xr:uid="{00000000-0005-0000-0000-00000E8D0000}"/>
    <cellStyle name="Normal 5 17 2 6 4 9" xfId="36125" xr:uid="{00000000-0005-0000-0000-00000F8D0000}"/>
    <cellStyle name="Normal 5 17 2 6 5" xfId="36126" xr:uid="{00000000-0005-0000-0000-0000108D0000}"/>
    <cellStyle name="Normal 5 17 2 6 5 10" xfId="36127" xr:uid="{00000000-0005-0000-0000-0000118D0000}"/>
    <cellStyle name="Normal 5 17 2 6 5 2" xfId="36128" xr:uid="{00000000-0005-0000-0000-0000128D0000}"/>
    <cellStyle name="Normal 5 17 2 6 5 3" xfId="36129" xr:uid="{00000000-0005-0000-0000-0000138D0000}"/>
    <cellStyle name="Normal 5 17 2 6 5 4" xfId="36130" xr:uid="{00000000-0005-0000-0000-0000148D0000}"/>
    <cellStyle name="Normal 5 17 2 6 5 5" xfId="36131" xr:uid="{00000000-0005-0000-0000-0000158D0000}"/>
    <cellStyle name="Normal 5 17 2 6 5 6" xfId="36132" xr:uid="{00000000-0005-0000-0000-0000168D0000}"/>
    <cellStyle name="Normal 5 17 2 6 5 7" xfId="36133" xr:uid="{00000000-0005-0000-0000-0000178D0000}"/>
    <cellStyle name="Normal 5 17 2 6 5 8" xfId="36134" xr:uid="{00000000-0005-0000-0000-0000188D0000}"/>
    <cellStyle name="Normal 5 17 2 6 5 9" xfId="36135" xr:uid="{00000000-0005-0000-0000-0000198D0000}"/>
    <cellStyle name="Normal 5 17 2 6 6" xfId="36136" xr:uid="{00000000-0005-0000-0000-00001A8D0000}"/>
    <cellStyle name="Normal 5 17 2 6 7" xfId="36137" xr:uid="{00000000-0005-0000-0000-00001B8D0000}"/>
    <cellStyle name="Normal 5 17 2 6 8" xfId="36138" xr:uid="{00000000-0005-0000-0000-00001C8D0000}"/>
    <cellStyle name="Normal 5 17 2 6 9" xfId="36139" xr:uid="{00000000-0005-0000-0000-00001D8D0000}"/>
    <cellStyle name="Normal 5 17 2 7" xfId="36140" xr:uid="{00000000-0005-0000-0000-00001E8D0000}"/>
    <cellStyle name="Normal 5 17 2 7 10" xfId="36141" xr:uid="{00000000-0005-0000-0000-00001F8D0000}"/>
    <cellStyle name="Normal 5 17 2 7 11" xfId="36142" xr:uid="{00000000-0005-0000-0000-0000208D0000}"/>
    <cellStyle name="Normal 5 17 2 7 12" xfId="36143" xr:uid="{00000000-0005-0000-0000-0000218D0000}"/>
    <cellStyle name="Normal 5 17 2 7 13" xfId="36144" xr:uid="{00000000-0005-0000-0000-0000228D0000}"/>
    <cellStyle name="Normal 5 17 2 7 14" xfId="36145" xr:uid="{00000000-0005-0000-0000-0000238D0000}"/>
    <cellStyle name="Normal 5 17 2 7 2" xfId="36146" xr:uid="{00000000-0005-0000-0000-0000248D0000}"/>
    <cellStyle name="Normal 5 17 2 7 2 10" xfId="36147" xr:uid="{00000000-0005-0000-0000-0000258D0000}"/>
    <cellStyle name="Normal 5 17 2 7 2 2" xfId="36148" xr:uid="{00000000-0005-0000-0000-0000268D0000}"/>
    <cellStyle name="Normal 5 17 2 7 2 3" xfId="36149" xr:uid="{00000000-0005-0000-0000-0000278D0000}"/>
    <cellStyle name="Normal 5 17 2 7 2 4" xfId="36150" xr:uid="{00000000-0005-0000-0000-0000288D0000}"/>
    <cellStyle name="Normal 5 17 2 7 2 5" xfId="36151" xr:uid="{00000000-0005-0000-0000-0000298D0000}"/>
    <cellStyle name="Normal 5 17 2 7 2 6" xfId="36152" xr:uid="{00000000-0005-0000-0000-00002A8D0000}"/>
    <cellStyle name="Normal 5 17 2 7 2 7" xfId="36153" xr:uid="{00000000-0005-0000-0000-00002B8D0000}"/>
    <cellStyle name="Normal 5 17 2 7 2 8" xfId="36154" xr:uid="{00000000-0005-0000-0000-00002C8D0000}"/>
    <cellStyle name="Normal 5 17 2 7 2 9" xfId="36155" xr:uid="{00000000-0005-0000-0000-00002D8D0000}"/>
    <cellStyle name="Normal 5 17 2 7 3" xfId="36156" xr:uid="{00000000-0005-0000-0000-00002E8D0000}"/>
    <cellStyle name="Normal 5 17 2 7 3 10" xfId="36157" xr:uid="{00000000-0005-0000-0000-00002F8D0000}"/>
    <cellStyle name="Normal 5 17 2 7 3 2" xfId="36158" xr:uid="{00000000-0005-0000-0000-0000308D0000}"/>
    <cellStyle name="Normal 5 17 2 7 3 3" xfId="36159" xr:uid="{00000000-0005-0000-0000-0000318D0000}"/>
    <cellStyle name="Normal 5 17 2 7 3 4" xfId="36160" xr:uid="{00000000-0005-0000-0000-0000328D0000}"/>
    <cellStyle name="Normal 5 17 2 7 3 5" xfId="36161" xr:uid="{00000000-0005-0000-0000-0000338D0000}"/>
    <cellStyle name="Normal 5 17 2 7 3 6" xfId="36162" xr:uid="{00000000-0005-0000-0000-0000348D0000}"/>
    <cellStyle name="Normal 5 17 2 7 3 7" xfId="36163" xr:uid="{00000000-0005-0000-0000-0000358D0000}"/>
    <cellStyle name="Normal 5 17 2 7 3 8" xfId="36164" xr:uid="{00000000-0005-0000-0000-0000368D0000}"/>
    <cellStyle name="Normal 5 17 2 7 3 9" xfId="36165" xr:uid="{00000000-0005-0000-0000-0000378D0000}"/>
    <cellStyle name="Normal 5 17 2 7 4" xfId="36166" xr:uid="{00000000-0005-0000-0000-0000388D0000}"/>
    <cellStyle name="Normal 5 17 2 7 4 10" xfId="36167" xr:uid="{00000000-0005-0000-0000-0000398D0000}"/>
    <cellStyle name="Normal 5 17 2 7 4 2" xfId="36168" xr:uid="{00000000-0005-0000-0000-00003A8D0000}"/>
    <cellStyle name="Normal 5 17 2 7 4 3" xfId="36169" xr:uid="{00000000-0005-0000-0000-00003B8D0000}"/>
    <cellStyle name="Normal 5 17 2 7 4 4" xfId="36170" xr:uid="{00000000-0005-0000-0000-00003C8D0000}"/>
    <cellStyle name="Normal 5 17 2 7 4 5" xfId="36171" xr:uid="{00000000-0005-0000-0000-00003D8D0000}"/>
    <cellStyle name="Normal 5 17 2 7 4 6" xfId="36172" xr:uid="{00000000-0005-0000-0000-00003E8D0000}"/>
    <cellStyle name="Normal 5 17 2 7 4 7" xfId="36173" xr:uid="{00000000-0005-0000-0000-00003F8D0000}"/>
    <cellStyle name="Normal 5 17 2 7 4 8" xfId="36174" xr:uid="{00000000-0005-0000-0000-0000408D0000}"/>
    <cellStyle name="Normal 5 17 2 7 4 9" xfId="36175" xr:uid="{00000000-0005-0000-0000-0000418D0000}"/>
    <cellStyle name="Normal 5 17 2 7 5" xfId="36176" xr:uid="{00000000-0005-0000-0000-0000428D0000}"/>
    <cellStyle name="Normal 5 17 2 7 5 10" xfId="36177" xr:uid="{00000000-0005-0000-0000-0000438D0000}"/>
    <cellStyle name="Normal 5 17 2 7 5 2" xfId="36178" xr:uid="{00000000-0005-0000-0000-0000448D0000}"/>
    <cellStyle name="Normal 5 17 2 7 5 3" xfId="36179" xr:uid="{00000000-0005-0000-0000-0000458D0000}"/>
    <cellStyle name="Normal 5 17 2 7 5 4" xfId="36180" xr:uid="{00000000-0005-0000-0000-0000468D0000}"/>
    <cellStyle name="Normal 5 17 2 7 5 5" xfId="36181" xr:uid="{00000000-0005-0000-0000-0000478D0000}"/>
    <cellStyle name="Normal 5 17 2 7 5 6" xfId="36182" xr:uid="{00000000-0005-0000-0000-0000488D0000}"/>
    <cellStyle name="Normal 5 17 2 7 5 7" xfId="36183" xr:uid="{00000000-0005-0000-0000-0000498D0000}"/>
    <cellStyle name="Normal 5 17 2 7 5 8" xfId="36184" xr:uid="{00000000-0005-0000-0000-00004A8D0000}"/>
    <cellStyle name="Normal 5 17 2 7 5 9" xfId="36185" xr:uid="{00000000-0005-0000-0000-00004B8D0000}"/>
    <cellStyle name="Normal 5 17 2 7 6" xfId="36186" xr:uid="{00000000-0005-0000-0000-00004C8D0000}"/>
    <cellStyle name="Normal 5 17 2 7 7" xfId="36187" xr:uid="{00000000-0005-0000-0000-00004D8D0000}"/>
    <cellStyle name="Normal 5 17 2 7 8" xfId="36188" xr:uid="{00000000-0005-0000-0000-00004E8D0000}"/>
    <cellStyle name="Normal 5 17 2 7 9" xfId="36189" xr:uid="{00000000-0005-0000-0000-00004F8D0000}"/>
    <cellStyle name="Normal 5 17 2 8" xfId="36190" xr:uid="{00000000-0005-0000-0000-0000508D0000}"/>
    <cellStyle name="Normal 5 17 2 8 10" xfId="36191" xr:uid="{00000000-0005-0000-0000-0000518D0000}"/>
    <cellStyle name="Normal 5 17 2 8 11" xfId="36192" xr:uid="{00000000-0005-0000-0000-0000528D0000}"/>
    <cellStyle name="Normal 5 17 2 8 12" xfId="36193" xr:uid="{00000000-0005-0000-0000-0000538D0000}"/>
    <cellStyle name="Normal 5 17 2 8 13" xfId="36194" xr:uid="{00000000-0005-0000-0000-0000548D0000}"/>
    <cellStyle name="Normal 5 17 2 8 14" xfId="36195" xr:uid="{00000000-0005-0000-0000-0000558D0000}"/>
    <cellStyle name="Normal 5 17 2 8 2" xfId="36196" xr:uid="{00000000-0005-0000-0000-0000568D0000}"/>
    <cellStyle name="Normal 5 17 2 8 2 10" xfId="36197" xr:uid="{00000000-0005-0000-0000-0000578D0000}"/>
    <cellStyle name="Normal 5 17 2 8 2 2" xfId="36198" xr:uid="{00000000-0005-0000-0000-0000588D0000}"/>
    <cellStyle name="Normal 5 17 2 8 2 3" xfId="36199" xr:uid="{00000000-0005-0000-0000-0000598D0000}"/>
    <cellStyle name="Normal 5 17 2 8 2 4" xfId="36200" xr:uid="{00000000-0005-0000-0000-00005A8D0000}"/>
    <cellStyle name="Normal 5 17 2 8 2 5" xfId="36201" xr:uid="{00000000-0005-0000-0000-00005B8D0000}"/>
    <cellStyle name="Normal 5 17 2 8 2 6" xfId="36202" xr:uid="{00000000-0005-0000-0000-00005C8D0000}"/>
    <cellStyle name="Normal 5 17 2 8 2 7" xfId="36203" xr:uid="{00000000-0005-0000-0000-00005D8D0000}"/>
    <cellStyle name="Normal 5 17 2 8 2 8" xfId="36204" xr:uid="{00000000-0005-0000-0000-00005E8D0000}"/>
    <cellStyle name="Normal 5 17 2 8 2 9" xfId="36205" xr:uid="{00000000-0005-0000-0000-00005F8D0000}"/>
    <cellStyle name="Normal 5 17 2 8 3" xfId="36206" xr:uid="{00000000-0005-0000-0000-0000608D0000}"/>
    <cellStyle name="Normal 5 17 2 8 3 10" xfId="36207" xr:uid="{00000000-0005-0000-0000-0000618D0000}"/>
    <cellStyle name="Normal 5 17 2 8 3 2" xfId="36208" xr:uid="{00000000-0005-0000-0000-0000628D0000}"/>
    <cellStyle name="Normal 5 17 2 8 3 3" xfId="36209" xr:uid="{00000000-0005-0000-0000-0000638D0000}"/>
    <cellStyle name="Normal 5 17 2 8 3 4" xfId="36210" xr:uid="{00000000-0005-0000-0000-0000648D0000}"/>
    <cellStyle name="Normal 5 17 2 8 3 5" xfId="36211" xr:uid="{00000000-0005-0000-0000-0000658D0000}"/>
    <cellStyle name="Normal 5 17 2 8 3 6" xfId="36212" xr:uid="{00000000-0005-0000-0000-0000668D0000}"/>
    <cellStyle name="Normal 5 17 2 8 3 7" xfId="36213" xr:uid="{00000000-0005-0000-0000-0000678D0000}"/>
    <cellStyle name="Normal 5 17 2 8 3 8" xfId="36214" xr:uid="{00000000-0005-0000-0000-0000688D0000}"/>
    <cellStyle name="Normal 5 17 2 8 3 9" xfId="36215" xr:uid="{00000000-0005-0000-0000-0000698D0000}"/>
    <cellStyle name="Normal 5 17 2 8 4" xfId="36216" xr:uid="{00000000-0005-0000-0000-00006A8D0000}"/>
    <cellStyle name="Normal 5 17 2 8 4 10" xfId="36217" xr:uid="{00000000-0005-0000-0000-00006B8D0000}"/>
    <cellStyle name="Normal 5 17 2 8 4 2" xfId="36218" xr:uid="{00000000-0005-0000-0000-00006C8D0000}"/>
    <cellStyle name="Normal 5 17 2 8 4 3" xfId="36219" xr:uid="{00000000-0005-0000-0000-00006D8D0000}"/>
    <cellStyle name="Normal 5 17 2 8 4 4" xfId="36220" xr:uid="{00000000-0005-0000-0000-00006E8D0000}"/>
    <cellStyle name="Normal 5 17 2 8 4 5" xfId="36221" xr:uid="{00000000-0005-0000-0000-00006F8D0000}"/>
    <cellStyle name="Normal 5 17 2 8 4 6" xfId="36222" xr:uid="{00000000-0005-0000-0000-0000708D0000}"/>
    <cellStyle name="Normal 5 17 2 8 4 7" xfId="36223" xr:uid="{00000000-0005-0000-0000-0000718D0000}"/>
    <cellStyle name="Normal 5 17 2 8 4 8" xfId="36224" xr:uid="{00000000-0005-0000-0000-0000728D0000}"/>
    <cellStyle name="Normal 5 17 2 8 4 9" xfId="36225" xr:uid="{00000000-0005-0000-0000-0000738D0000}"/>
    <cellStyle name="Normal 5 17 2 8 5" xfId="36226" xr:uid="{00000000-0005-0000-0000-0000748D0000}"/>
    <cellStyle name="Normal 5 17 2 8 5 10" xfId="36227" xr:uid="{00000000-0005-0000-0000-0000758D0000}"/>
    <cellStyle name="Normal 5 17 2 8 5 2" xfId="36228" xr:uid="{00000000-0005-0000-0000-0000768D0000}"/>
    <cellStyle name="Normal 5 17 2 8 5 3" xfId="36229" xr:uid="{00000000-0005-0000-0000-0000778D0000}"/>
    <cellStyle name="Normal 5 17 2 8 5 4" xfId="36230" xr:uid="{00000000-0005-0000-0000-0000788D0000}"/>
    <cellStyle name="Normal 5 17 2 8 5 5" xfId="36231" xr:uid="{00000000-0005-0000-0000-0000798D0000}"/>
    <cellStyle name="Normal 5 17 2 8 5 6" xfId="36232" xr:uid="{00000000-0005-0000-0000-00007A8D0000}"/>
    <cellStyle name="Normal 5 17 2 8 5 7" xfId="36233" xr:uid="{00000000-0005-0000-0000-00007B8D0000}"/>
    <cellStyle name="Normal 5 17 2 8 5 8" xfId="36234" xr:uid="{00000000-0005-0000-0000-00007C8D0000}"/>
    <cellStyle name="Normal 5 17 2 8 5 9" xfId="36235" xr:uid="{00000000-0005-0000-0000-00007D8D0000}"/>
    <cellStyle name="Normal 5 17 2 8 6" xfId="36236" xr:uid="{00000000-0005-0000-0000-00007E8D0000}"/>
    <cellStyle name="Normal 5 17 2 8 7" xfId="36237" xr:uid="{00000000-0005-0000-0000-00007F8D0000}"/>
    <cellStyle name="Normal 5 17 2 8 8" xfId="36238" xr:uid="{00000000-0005-0000-0000-0000808D0000}"/>
    <cellStyle name="Normal 5 17 2 8 9" xfId="36239" xr:uid="{00000000-0005-0000-0000-0000818D0000}"/>
    <cellStyle name="Normal 5 17 2 9" xfId="36240" xr:uid="{00000000-0005-0000-0000-0000828D0000}"/>
    <cellStyle name="Normal 5 17 2 9 10" xfId="36241" xr:uid="{00000000-0005-0000-0000-0000838D0000}"/>
    <cellStyle name="Normal 5 17 2 9 11" xfId="36242" xr:uid="{00000000-0005-0000-0000-0000848D0000}"/>
    <cellStyle name="Normal 5 17 2 9 12" xfId="36243" xr:uid="{00000000-0005-0000-0000-0000858D0000}"/>
    <cellStyle name="Normal 5 17 2 9 13" xfId="36244" xr:uid="{00000000-0005-0000-0000-0000868D0000}"/>
    <cellStyle name="Normal 5 17 2 9 14" xfId="36245" xr:uid="{00000000-0005-0000-0000-0000878D0000}"/>
    <cellStyle name="Normal 5 17 2 9 2" xfId="36246" xr:uid="{00000000-0005-0000-0000-0000888D0000}"/>
    <cellStyle name="Normal 5 17 2 9 2 10" xfId="36247" xr:uid="{00000000-0005-0000-0000-0000898D0000}"/>
    <cellStyle name="Normal 5 17 2 9 2 2" xfId="36248" xr:uid="{00000000-0005-0000-0000-00008A8D0000}"/>
    <cellStyle name="Normal 5 17 2 9 2 3" xfId="36249" xr:uid="{00000000-0005-0000-0000-00008B8D0000}"/>
    <cellStyle name="Normal 5 17 2 9 2 4" xfId="36250" xr:uid="{00000000-0005-0000-0000-00008C8D0000}"/>
    <cellStyle name="Normal 5 17 2 9 2 5" xfId="36251" xr:uid="{00000000-0005-0000-0000-00008D8D0000}"/>
    <cellStyle name="Normal 5 17 2 9 2 6" xfId="36252" xr:uid="{00000000-0005-0000-0000-00008E8D0000}"/>
    <cellStyle name="Normal 5 17 2 9 2 7" xfId="36253" xr:uid="{00000000-0005-0000-0000-00008F8D0000}"/>
    <cellStyle name="Normal 5 17 2 9 2 8" xfId="36254" xr:uid="{00000000-0005-0000-0000-0000908D0000}"/>
    <cellStyle name="Normal 5 17 2 9 2 9" xfId="36255" xr:uid="{00000000-0005-0000-0000-0000918D0000}"/>
    <cellStyle name="Normal 5 17 2 9 3" xfId="36256" xr:uid="{00000000-0005-0000-0000-0000928D0000}"/>
    <cellStyle name="Normal 5 17 2 9 3 10" xfId="36257" xr:uid="{00000000-0005-0000-0000-0000938D0000}"/>
    <cellStyle name="Normal 5 17 2 9 3 2" xfId="36258" xr:uid="{00000000-0005-0000-0000-0000948D0000}"/>
    <cellStyle name="Normal 5 17 2 9 3 3" xfId="36259" xr:uid="{00000000-0005-0000-0000-0000958D0000}"/>
    <cellStyle name="Normal 5 17 2 9 3 4" xfId="36260" xr:uid="{00000000-0005-0000-0000-0000968D0000}"/>
    <cellStyle name="Normal 5 17 2 9 3 5" xfId="36261" xr:uid="{00000000-0005-0000-0000-0000978D0000}"/>
    <cellStyle name="Normal 5 17 2 9 3 6" xfId="36262" xr:uid="{00000000-0005-0000-0000-0000988D0000}"/>
    <cellStyle name="Normal 5 17 2 9 3 7" xfId="36263" xr:uid="{00000000-0005-0000-0000-0000998D0000}"/>
    <cellStyle name="Normal 5 17 2 9 3 8" xfId="36264" xr:uid="{00000000-0005-0000-0000-00009A8D0000}"/>
    <cellStyle name="Normal 5 17 2 9 3 9" xfId="36265" xr:uid="{00000000-0005-0000-0000-00009B8D0000}"/>
    <cellStyle name="Normal 5 17 2 9 4" xfId="36266" xr:uid="{00000000-0005-0000-0000-00009C8D0000}"/>
    <cellStyle name="Normal 5 17 2 9 4 10" xfId="36267" xr:uid="{00000000-0005-0000-0000-00009D8D0000}"/>
    <cellStyle name="Normal 5 17 2 9 4 2" xfId="36268" xr:uid="{00000000-0005-0000-0000-00009E8D0000}"/>
    <cellStyle name="Normal 5 17 2 9 4 3" xfId="36269" xr:uid="{00000000-0005-0000-0000-00009F8D0000}"/>
    <cellStyle name="Normal 5 17 2 9 4 4" xfId="36270" xr:uid="{00000000-0005-0000-0000-0000A08D0000}"/>
    <cellStyle name="Normal 5 17 2 9 4 5" xfId="36271" xr:uid="{00000000-0005-0000-0000-0000A18D0000}"/>
    <cellStyle name="Normal 5 17 2 9 4 6" xfId="36272" xr:uid="{00000000-0005-0000-0000-0000A28D0000}"/>
    <cellStyle name="Normal 5 17 2 9 4 7" xfId="36273" xr:uid="{00000000-0005-0000-0000-0000A38D0000}"/>
    <cellStyle name="Normal 5 17 2 9 4 8" xfId="36274" xr:uid="{00000000-0005-0000-0000-0000A48D0000}"/>
    <cellStyle name="Normal 5 17 2 9 4 9" xfId="36275" xr:uid="{00000000-0005-0000-0000-0000A58D0000}"/>
    <cellStyle name="Normal 5 17 2 9 5" xfId="36276" xr:uid="{00000000-0005-0000-0000-0000A68D0000}"/>
    <cellStyle name="Normal 5 17 2 9 5 10" xfId="36277" xr:uid="{00000000-0005-0000-0000-0000A78D0000}"/>
    <cellStyle name="Normal 5 17 2 9 5 2" xfId="36278" xr:uid="{00000000-0005-0000-0000-0000A88D0000}"/>
    <cellStyle name="Normal 5 17 2 9 5 3" xfId="36279" xr:uid="{00000000-0005-0000-0000-0000A98D0000}"/>
    <cellStyle name="Normal 5 17 2 9 5 4" xfId="36280" xr:uid="{00000000-0005-0000-0000-0000AA8D0000}"/>
    <cellStyle name="Normal 5 17 2 9 5 5" xfId="36281" xr:uid="{00000000-0005-0000-0000-0000AB8D0000}"/>
    <cellStyle name="Normal 5 17 2 9 5 6" xfId="36282" xr:uid="{00000000-0005-0000-0000-0000AC8D0000}"/>
    <cellStyle name="Normal 5 17 2 9 5 7" xfId="36283" xr:uid="{00000000-0005-0000-0000-0000AD8D0000}"/>
    <cellStyle name="Normal 5 17 2 9 5 8" xfId="36284" xr:uid="{00000000-0005-0000-0000-0000AE8D0000}"/>
    <cellStyle name="Normal 5 17 2 9 5 9" xfId="36285" xr:uid="{00000000-0005-0000-0000-0000AF8D0000}"/>
    <cellStyle name="Normal 5 17 2 9 6" xfId="36286" xr:uid="{00000000-0005-0000-0000-0000B08D0000}"/>
    <cellStyle name="Normal 5 17 2 9 7" xfId="36287" xr:uid="{00000000-0005-0000-0000-0000B18D0000}"/>
    <cellStyle name="Normal 5 17 2 9 8" xfId="36288" xr:uid="{00000000-0005-0000-0000-0000B28D0000}"/>
    <cellStyle name="Normal 5 17 2 9 9" xfId="36289" xr:uid="{00000000-0005-0000-0000-0000B38D0000}"/>
    <cellStyle name="Normal 5 17 20" xfId="36290" xr:uid="{00000000-0005-0000-0000-0000B48D0000}"/>
    <cellStyle name="Normal 5 17 20 10" xfId="36291" xr:uid="{00000000-0005-0000-0000-0000B58D0000}"/>
    <cellStyle name="Normal 5 17 20 11" xfId="36292" xr:uid="{00000000-0005-0000-0000-0000B68D0000}"/>
    <cellStyle name="Normal 5 17 20 12" xfId="36293" xr:uid="{00000000-0005-0000-0000-0000B78D0000}"/>
    <cellStyle name="Normal 5 17 20 13" xfId="36294" xr:uid="{00000000-0005-0000-0000-0000B88D0000}"/>
    <cellStyle name="Normal 5 17 20 14" xfId="36295" xr:uid="{00000000-0005-0000-0000-0000B98D0000}"/>
    <cellStyle name="Normal 5 17 20 2" xfId="36296" xr:uid="{00000000-0005-0000-0000-0000BA8D0000}"/>
    <cellStyle name="Normal 5 17 20 2 10" xfId="36297" xr:uid="{00000000-0005-0000-0000-0000BB8D0000}"/>
    <cellStyle name="Normal 5 17 20 2 2" xfId="36298" xr:uid="{00000000-0005-0000-0000-0000BC8D0000}"/>
    <cellStyle name="Normal 5 17 20 2 3" xfId="36299" xr:uid="{00000000-0005-0000-0000-0000BD8D0000}"/>
    <cellStyle name="Normal 5 17 20 2 4" xfId="36300" xr:uid="{00000000-0005-0000-0000-0000BE8D0000}"/>
    <cellStyle name="Normal 5 17 20 2 5" xfId="36301" xr:uid="{00000000-0005-0000-0000-0000BF8D0000}"/>
    <cellStyle name="Normal 5 17 20 2 6" xfId="36302" xr:uid="{00000000-0005-0000-0000-0000C08D0000}"/>
    <cellStyle name="Normal 5 17 20 2 7" xfId="36303" xr:uid="{00000000-0005-0000-0000-0000C18D0000}"/>
    <cellStyle name="Normal 5 17 20 2 8" xfId="36304" xr:uid="{00000000-0005-0000-0000-0000C28D0000}"/>
    <cellStyle name="Normal 5 17 20 2 9" xfId="36305" xr:uid="{00000000-0005-0000-0000-0000C38D0000}"/>
    <cellStyle name="Normal 5 17 20 3" xfId="36306" xr:uid="{00000000-0005-0000-0000-0000C48D0000}"/>
    <cellStyle name="Normal 5 17 20 3 10" xfId="36307" xr:uid="{00000000-0005-0000-0000-0000C58D0000}"/>
    <cellStyle name="Normal 5 17 20 3 2" xfId="36308" xr:uid="{00000000-0005-0000-0000-0000C68D0000}"/>
    <cellStyle name="Normal 5 17 20 3 3" xfId="36309" xr:uid="{00000000-0005-0000-0000-0000C78D0000}"/>
    <cellStyle name="Normal 5 17 20 3 4" xfId="36310" xr:uid="{00000000-0005-0000-0000-0000C88D0000}"/>
    <cellStyle name="Normal 5 17 20 3 5" xfId="36311" xr:uid="{00000000-0005-0000-0000-0000C98D0000}"/>
    <cellStyle name="Normal 5 17 20 3 6" xfId="36312" xr:uid="{00000000-0005-0000-0000-0000CA8D0000}"/>
    <cellStyle name="Normal 5 17 20 3 7" xfId="36313" xr:uid="{00000000-0005-0000-0000-0000CB8D0000}"/>
    <cellStyle name="Normal 5 17 20 3 8" xfId="36314" xr:uid="{00000000-0005-0000-0000-0000CC8D0000}"/>
    <cellStyle name="Normal 5 17 20 3 9" xfId="36315" xr:uid="{00000000-0005-0000-0000-0000CD8D0000}"/>
    <cellStyle name="Normal 5 17 20 4" xfId="36316" xr:uid="{00000000-0005-0000-0000-0000CE8D0000}"/>
    <cellStyle name="Normal 5 17 20 4 10" xfId="36317" xr:uid="{00000000-0005-0000-0000-0000CF8D0000}"/>
    <cellStyle name="Normal 5 17 20 4 2" xfId="36318" xr:uid="{00000000-0005-0000-0000-0000D08D0000}"/>
    <cellStyle name="Normal 5 17 20 4 3" xfId="36319" xr:uid="{00000000-0005-0000-0000-0000D18D0000}"/>
    <cellStyle name="Normal 5 17 20 4 4" xfId="36320" xr:uid="{00000000-0005-0000-0000-0000D28D0000}"/>
    <cellStyle name="Normal 5 17 20 4 5" xfId="36321" xr:uid="{00000000-0005-0000-0000-0000D38D0000}"/>
    <cellStyle name="Normal 5 17 20 4 6" xfId="36322" xr:uid="{00000000-0005-0000-0000-0000D48D0000}"/>
    <cellStyle name="Normal 5 17 20 4 7" xfId="36323" xr:uid="{00000000-0005-0000-0000-0000D58D0000}"/>
    <cellStyle name="Normal 5 17 20 4 8" xfId="36324" xr:uid="{00000000-0005-0000-0000-0000D68D0000}"/>
    <cellStyle name="Normal 5 17 20 4 9" xfId="36325" xr:uid="{00000000-0005-0000-0000-0000D78D0000}"/>
    <cellStyle name="Normal 5 17 20 5" xfId="36326" xr:uid="{00000000-0005-0000-0000-0000D88D0000}"/>
    <cellStyle name="Normal 5 17 20 5 10" xfId="36327" xr:uid="{00000000-0005-0000-0000-0000D98D0000}"/>
    <cellStyle name="Normal 5 17 20 5 2" xfId="36328" xr:uid="{00000000-0005-0000-0000-0000DA8D0000}"/>
    <cellStyle name="Normal 5 17 20 5 3" xfId="36329" xr:uid="{00000000-0005-0000-0000-0000DB8D0000}"/>
    <cellStyle name="Normal 5 17 20 5 4" xfId="36330" xr:uid="{00000000-0005-0000-0000-0000DC8D0000}"/>
    <cellStyle name="Normal 5 17 20 5 5" xfId="36331" xr:uid="{00000000-0005-0000-0000-0000DD8D0000}"/>
    <cellStyle name="Normal 5 17 20 5 6" xfId="36332" xr:uid="{00000000-0005-0000-0000-0000DE8D0000}"/>
    <cellStyle name="Normal 5 17 20 5 7" xfId="36333" xr:uid="{00000000-0005-0000-0000-0000DF8D0000}"/>
    <cellStyle name="Normal 5 17 20 5 8" xfId="36334" xr:uid="{00000000-0005-0000-0000-0000E08D0000}"/>
    <cellStyle name="Normal 5 17 20 5 9" xfId="36335" xr:uid="{00000000-0005-0000-0000-0000E18D0000}"/>
    <cellStyle name="Normal 5 17 20 6" xfId="36336" xr:uid="{00000000-0005-0000-0000-0000E28D0000}"/>
    <cellStyle name="Normal 5 17 20 7" xfId="36337" xr:uid="{00000000-0005-0000-0000-0000E38D0000}"/>
    <cellStyle name="Normal 5 17 20 8" xfId="36338" xr:uid="{00000000-0005-0000-0000-0000E48D0000}"/>
    <cellStyle name="Normal 5 17 20 9" xfId="36339" xr:uid="{00000000-0005-0000-0000-0000E58D0000}"/>
    <cellStyle name="Normal 5 17 21" xfId="36340" xr:uid="{00000000-0005-0000-0000-0000E68D0000}"/>
    <cellStyle name="Normal 5 17 21 10" xfId="36341" xr:uid="{00000000-0005-0000-0000-0000E78D0000}"/>
    <cellStyle name="Normal 5 17 21 11" xfId="36342" xr:uid="{00000000-0005-0000-0000-0000E88D0000}"/>
    <cellStyle name="Normal 5 17 21 12" xfId="36343" xr:uid="{00000000-0005-0000-0000-0000E98D0000}"/>
    <cellStyle name="Normal 5 17 21 13" xfId="36344" xr:uid="{00000000-0005-0000-0000-0000EA8D0000}"/>
    <cellStyle name="Normal 5 17 21 14" xfId="36345" xr:uid="{00000000-0005-0000-0000-0000EB8D0000}"/>
    <cellStyle name="Normal 5 17 21 2" xfId="36346" xr:uid="{00000000-0005-0000-0000-0000EC8D0000}"/>
    <cellStyle name="Normal 5 17 21 2 10" xfId="36347" xr:uid="{00000000-0005-0000-0000-0000ED8D0000}"/>
    <cellStyle name="Normal 5 17 21 2 2" xfId="36348" xr:uid="{00000000-0005-0000-0000-0000EE8D0000}"/>
    <cellStyle name="Normal 5 17 21 2 3" xfId="36349" xr:uid="{00000000-0005-0000-0000-0000EF8D0000}"/>
    <cellStyle name="Normal 5 17 21 2 4" xfId="36350" xr:uid="{00000000-0005-0000-0000-0000F08D0000}"/>
    <cellStyle name="Normal 5 17 21 2 5" xfId="36351" xr:uid="{00000000-0005-0000-0000-0000F18D0000}"/>
    <cellStyle name="Normal 5 17 21 2 6" xfId="36352" xr:uid="{00000000-0005-0000-0000-0000F28D0000}"/>
    <cellStyle name="Normal 5 17 21 2 7" xfId="36353" xr:uid="{00000000-0005-0000-0000-0000F38D0000}"/>
    <cellStyle name="Normal 5 17 21 2 8" xfId="36354" xr:uid="{00000000-0005-0000-0000-0000F48D0000}"/>
    <cellStyle name="Normal 5 17 21 2 9" xfId="36355" xr:uid="{00000000-0005-0000-0000-0000F58D0000}"/>
    <cellStyle name="Normal 5 17 21 3" xfId="36356" xr:uid="{00000000-0005-0000-0000-0000F68D0000}"/>
    <cellStyle name="Normal 5 17 21 3 10" xfId="36357" xr:uid="{00000000-0005-0000-0000-0000F78D0000}"/>
    <cellStyle name="Normal 5 17 21 3 2" xfId="36358" xr:uid="{00000000-0005-0000-0000-0000F88D0000}"/>
    <cellStyle name="Normal 5 17 21 3 3" xfId="36359" xr:uid="{00000000-0005-0000-0000-0000F98D0000}"/>
    <cellStyle name="Normal 5 17 21 3 4" xfId="36360" xr:uid="{00000000-0005-0000-0000-0000FA8D0000}"/>
    <cellStyle name="Normal 5 17 21 3 5" xfId="36361" xr:uid="{00000000-0005-0000-0000-0000FB8D0000}"/>
    <cellStyle name="Normal 5 17 21 3 6" xfId="36362" xr:uid="{00000000-0005-0000-0000-0000FC8D0000}"/>
    <cellStyle name="Normal 5 17 21 3 7" xfId="36363" xr:uid="{00000000-0005-0000-0000-0000FD8D0000}"/>
    <cellStyle name="Normal 5 17 21 3 8" xfId="36364" xr:uid="{00000000-0005-0000-0000-0000FE8D0000}"/>
    <cellStyle name="Normal 5 17 21 3 9" xfId="36365" xr:uid="{00000000-0005-0000-0000-0000FF8D0000}"/>
    <cellStyle name="Normal 5 17 21 4" xfId="36366" xr:uid="{00000000-0005-0000-0000-0000008E0000}"/>
    <cellStyle name="Normal 5 17 21 4 10" xfId="36367" xr:uid="{00000000-0005-0000-0000-0000018E0000}"/>
    <cellStyle name="Normal 5 17 21 4 2" xfId="36368" xr:uid="{00000000-0005-0000-0000-0000028E0000}"/>
    <cellStyle name="Normal 5 17 21 4 3" xfId="36369" xr:uid="{00000000-0005-0000-0000-0000038E0000}"/>
    <cellStyle name="Normal 5 17 21 4 4" xfId="36370" xr:uid="{00000000-0005-0000-0000-0000048E0000}"/>
    <cellStyle name="Normal 5 17 21 4 5" xfId="36371" xr:uid="{00000000-0005-0000-0000-0000058E0000}"/>
    <cellStyle name="Normal 5 17 21 4 6" xfId="36372" xr:uid="{00000000-0005-0000-0000-0000068E0000}"/>
    <cellStyle name="Normal 5 17 21 4 7" xfId="36373" xr:uid="{00000000-0005-0000-0000-0000078E0000}"/>
    <cellStyle name="Normal 5 17 21 4 8" xfId="36374" xr:uid="{00000000-0005-0000-0000-0000088E0000}"/>
    <cellStyle name="Normal 5 17 21 4 9" xfId="36375" xr:uid="{00000000-0005-0000-0000-0000098E0000}"/>
    <cellStyle name="Normal 5 17 21 5" xfId="36376" xr:uid="{00000000-0005-0000-0000-00000A8E0000}"/>
    <cellStyle name="Normal 5 17 21 5 10" xfId="36377" xr:uid="{00000000-0005-0000-0000-00000B8E0000}"/>
    <cellStyle name="Normal 5 17 21 5 2" xfId="36378" xr:uid="{00000000-0005-0000-0000-00000C8E0000}"/>
    <cellStyle name="Normal 5 17 21 5 3" xfId="36379" xr:uid="{00000000-0005-0000-0000-00000D8E0000}"/>
    <cellStyle name="Normal 5 17 21 5 4" xfId="36380" xr:uid="{00000000-0005-0000-0000-00000E8E0000}"/>
    <cellStyle name="Normal 5 17 21 5 5" xfId="36381" xr:uid="{00000000-0005-0000-0000-00000F8E0000}"/>
    <cellStyle name="Normal 5 17 21 5 6" xfId="36382" xr:uid="{00000000-0005-0000-0000-0000108E0000}"/>
    <cellStyle name="Normal 5 17 21 5 7" xfId="36383" xr:uid="{00000000-0005-0000-0000-0000118E0000}"/>
    <cellStyle name="Normal 5 17 21 5 8" xfId="36384" xr:uid="{00000000-0005-0000-0000-0000128E0000}"/>
    <cellStyle name="Normal 5 17 21 5 9" xfId="36385" xr:uid="{00000000-0005-0000-0000-0000138E0000}"/>
    <cellStyle name="Normal 5 17 21 6" xfId="36386" xr:uid="{00000000-0005-0000-0000-0000148E0000}"/>
    <cellStyle name="Normal 5 17 21 7" xfId="36387" xr:uid="{00000000-0005-0000-0000-0000158E0000}"/>
    <cellStyle name="Normal 5 17 21 8" xfId="36388" xr:uid="{00000000-0005-0000-0000-0000168E0000}"/>
    <cellStyle name="Normal 5 17 21 9" xfId="36389" xr:uid="{00000000-0005-0000-0000-0000178E0000}"/>
    <cellStyle name="Normal 5 17 22" xfId="36390" xr:uid="{00000000-0005-0000-0000-0000188E0000}"/>
    <cellStyle name="Normal 5 17 22 10" xfId="36391" xr:uid="{00000000-0005-0000-0000-0000198E0000}"/>
    <cellStyle name="Normal 5 17 22 11" xfId="36392" xr:uid="{00000000-0005-0000-0000-00001A8E0000}"/>
    <cellStyle name="Normal 5 17 22 12" xfId="36393" xr:uid="{00000000-0005-0000-0000-00001B8E0000}"/>
    <cellStyle name="Normal 5 17 22 13" xfId="36394" xr:uid="{00000000-0005-0000-0000-00001C8E0000}"/>
    <cellStyle name="Normal 5 17 22 14" xfId="36395" xr:uid="{00000000-0005-0000-0000-00001D8E0000}"/>
    <cellStyle name="Normal 5 17 22 2" xfId="36396" xr:uid="{00000000-0005-0000-0000-00001E8E0000}"/>
    <cellStyle name="Normal 5 17 22 2 10" xfId="36397" xr:uid="{00000000-0005-0000-0000-00001F8E0000}"/>
    <cellStyle name="Normal 5 17 22 2 2" xfId="36398" xr:uid="{00000000-0005-0000-0000-0000208E0000}"/>
    <cellStyle name="Normal 5 17 22 2 3" xfId="36399" xr:uid="{00000000-0005-0000-0000-0000218E0000}"/>
    <cellStyle name="Normal 5 17 22 2 4" xfId="36400" xr:uid="{00000000-0005-0000-0000-0000228E0000}"/>
    <cellStyle name="Normal 5 17 22 2 5" xfId="36401" xr:uid="{00000000-0005-0000-0000-0000238E0000}"/>
    <cellStyle name="Normal 5 17 22 2 6" xfId="36402" xr:uid="{00000000-0005-0000-0000-0000248E0000}"/>
    <cellStyle name="Normal 5 17 22 2 7" xfId="36403" xr:uid="{00000000-0005-0000-0000-0000258E0000}"/>
    <cellStyle name="Normal 5 17 22 2 8" xfId="36404" xr:uid="{00000000-0005-0000-0000-0000268E0000}"/>
    <cellStyle name="Normal 5 17 22 2 9" xfId="36405" xr:uid="{00000000-0005-0000-0000-0000278E0000}"/>
    <cellStyle name="Normal 5 17 22 3" xfId="36406" xr:uid="{00000000-0005-0000-0000-0000288E0000}"/>
    <cellStyle name="Normal 5 17 22 3 10" xfId="36407" xr:uid="{00000000-0005-0000-0000-0000298E0000}"/>
    <cellStyle name="Normal 5 17 22 3 2" xfId="36408" xr:uid="{00000000-0005-0000-0000-00002A8E0000}"/>
    <cellStyle name="Normal 5 17 22 3 3" xfId="36409" xr:uid="{00000000-0005-0000-0000-00002B8E0000}"/>
    <cellStyle name="Normal 5 17 22 3 4" xfId="36410" xr:uid="{00000000-0005-0000-0000-00002C8E0000}"/>
    <cellStyle name="Normal 5 17 22 3 5" xfId="36411" xr:uid="{00000000-0005-0000-0000-00002D8E0000}"/>
    <cellStyle name="Normal 5 17 22 3 6" xfId="36412" xr:uid="{00000000-0005-0000-0000-00002E8E0000}"/>
    <cellStyle name="Normal 5 17 22 3 7" xfId="36413" xr:uid="{00000000-0005-0000-0000-00002F8E0000}"/>
    <cellStyle name="Normal 5 17 22 3 8" xfId="36414" xr:uid="{00000000-0005-0000-0000-0000308E0000}"/>
    <cellStyle name="Normal 5 17 22 3 9" xfId="36415" xr:uid="{00000000-0005-0000-0000-0000318E0000}"/>
    <cellStyle name="Normal 5 17 22 4" xfId="36416" xr:uid="{00000000-0005-0000-0000-0000328E0000}"/>
    <cellStyle name="Normal 5 17 22 4 10" xfId="36417" xr:uid="{00000000-0005-0000-0000-0000338E0000}"/>
    <cellStyle name="Normal 5 17 22 4 2" xfId="36418" xr:uid="{00000000-0005-0000-0000-0000348E0000}"/>
    <cellStyle name="Normal 5 17 22 4 3" xfId="36419" xr:uid="{00000000-0005-0000-0000-0000358E0000}"/>
    <cellStyle name="Normal 5 17 22 4 4" xfId="36420" xr:uid="{00000000-0005-0000-0000-0000368E0000}"/>
    <cellStyle name="Normal 5 17 22 4 5" xfId="36421" xr:uid="{00000000-0005-0000-0000-0000378E0000}"/>
    <cellStyle name="Normal 5 17 22 4 6" xfId="36422" xr:uid="{00000000-0005-0000-0000-0000388E0000}"/>
    <cellStyle name="Normal 5 17 22 4 7" xfId="36423" xr:uid="{00000000-0005-0000-0000-0000398E0000}"/>
    <cellStyle name="Normal 5 17 22 4 8" xfId="36424" xr:uid="{00000000-0005-0000-0000-00003A8E0000}"/>
    <cellStyle name="Normal 5 17 22 4 9" xfId="36425" xr:uid="{00000000-0005-0000-0000-00003B8E0000}"/>
    <cellStyle name="Normal 5 17 22 5" xfId="36426" xr:uid="{00000000-0005-0000-0000-00003C8E0000}"/>
    <cellStyle name="Normal 5 17 22 5 10" xfId="36427" xr:uid="{00000000-0005-0000-0000-00003D8E0000}"/>
    <cellStyle name="Normal 5 17 22 5 2" xfId="36428" xr:uid="{00000000-0005-0000-0000-00003E8E0000}"/>
    <cellStyle name="Normal 5 17 22 5 3" xfId="36429" xr:uid="{00000000-0005-0000-0000-00003F8E0000}"/>
    <cellStyle name="Normal 5 17 22 5 4" xfId="36430" xr:uid="{00000000-0005-0000-0000-0000408E0000}"/>
    <cellStyle name="Normal 5 17 22 5 5" xfId="36431" xr:uid="{00000000-0005-0000-0000-0000418E0000}"/>
    <cellStyle name="Normal 5 17 22 5 6" xfId="36432" xr:uid="{00000000-0005-0000-0000-0000428E0000}"/>
    <cellStyle name="Normal 5 17 22 5 7" xfId="36433" xr:uid="{00000000-0005-0000-0000-0000438E0000}"/>
    <cellStyle name="Normal 5 17 22 5 8" xfId="36434" xr:uid="{00000000-0005-0000-0000-0000448E0000}"/>
    <cellStyle name="Normal 5 17 22 5 9" xfId="36435" xr:uid="{00000000-0005-0000-0000-0000458E0000}"/>
    <cellStyle name="Normal 5 17 22 6" xfId="36436" xr:uid="{00000000-0005-0000-0000-0000468E0000}"/>
    <cellStyle name="Normal 5 17 22 7" xfId="36437" xr:uid="{00000000-0005-0000-0000-0000478E0000}"/>
    <cellStyle name="Normal 5 17 22 8" xfId="36438" xr:uid="{00000000-0005-0000-0000-0000488E0000}"/>
    <cellStyle name="Normal 5 17 22 9" xfId="36439" xr:uid="{00000000-0005-0000-0000-0000498E0000}"/>
    <cellStyle name="Normal 5 17 23" xfId="36440" xr:uid="{00000000-0005-0000-0000-00004A8E0000}"/>
    <cellStyle name="Normal 5 17 23 10" xfId="36441" xr:uid="{00000000-0005-0000-0000-00004B8E0000}"/>
    <cellStyle name="Normal 5 17 23 11" xfId="36442" xr:uid="{00000000-0005-0000-0000-00004C8E0000}"/>
    <cellStyle name="Normal 5 17 23 12" xfId="36443" xr:uid="{00000000-0005-0000-0000-00004D8E0000}"/>
    <cellStyle name="Normal 5 17 23 13" xfId="36444" xr:uid="{00000000-0005-0000-0000-00004E8E0000}"/>
    <cellStyle name="Normal 5 17 23 14" xfId="36445" xr:uid="{00000000-0005-0000-0000-00004F8E0000}"/>
    <cellStyle name="Normal 5 17 23 2" xfId="36446" xr:uid="{00000000-0005-0000-0000-0000508E0000}"/>
    <cellStyle name="Normal 5 17 23 2 10" xfId="36447" xr:uid="{00000000-0005-0000-0000-0000518E0000}"/>
    <cellStyle name="Normal 5 17 23 2 2" xfId="36448" xr:uid="{00000000-0005-0000-0000-0000528E0000}"/>
    <cellStyle name="Normal 5 17 23 2 3" xfId="36449" xr:uid="{00000000-0005-0000-0000-0000538E0000}"/>
    <cellStyle name="Normal 5 17 23 2 4" xfId="36450" xr:uid="{00000000-0005-0000-0000-0000548E0000}"/>
    <cellStyle name="Normal 5 17 23 2 5" xfId="36451" xr:uid="{00000000-0005-0000-0000-0000558E0000}"/>
    <cellStyle name="Normal 5 17 23 2 6" xfId="36452" xr:uid="{00000000-0005-0000-0000-0000568E0000}"/>
    <cellStyle name="Normal 5 17 23 2 7" xfId="36453" xr:uid="{00000000-0005-0000-0000-0000578E0000}"/>
    <cellStyle name="Normal 5 17 23 2 8" xfId="36454" xr:uid="{00000000-0005-0000-0000-0000588E0000}"/>
    <cellStyle name="Normal 5 17 23 2 9" xfId="36455" xr:uid="{00000000-0005-0000-0000-0000598E0000}"/>
    <cellStyle name="Normal 5 17 23 3" xfId="36456" xr:uid="{00000000-0005-0000-0000-00005A8E0000}"/>
    <cellStyle name="Normal 5 17 23 3 10" xfId="36457" xr:uid="{00000000-0005-0000-0000-00005B8E0000}"/>
    <cellStyle name="Normal 5 17 23 3 2" xfId="36458" xr:uid="{00000000-0005-0000-0000-00005C8E0000}"/>
    <cellStyle name="Normal 5 17 23 3 3" xfId="36459" xr:uid="{00000000-0005-0000-0000-00005D8E0000}"/>
    <cellStyle name="Normal 5 17 23 3 4" xfId="36460" xr:uid="{00000000-0005-0000-0000-00005E8E0000}"/>
    <cellStyle name="Normal 5 17 23 3 5" xfId="36461" xr:uid="{00000000-0005-0000-0000-00005F8E0000}"/>
    <cellStyle name="Normal 5 17 23 3 6" xfId="36462" xr:uid="{00000000-0005-0000-0000-0000608E0000}"/>
    <cellStyle name="Normal 5 17 23 3 7" xfId="36463" xr:uid="{00000000-0005-0000-0000-0000618E0000}"/>
    <cellStyle name="Normal 5 17 23 3 8" xfId="36464" xr:uid="{00000000-0005-0000-0000-0000628E0000}"/>
    <cellStyle name="Normal 5 17 23 3 9" xfId="36465" xr:uid="{00000000-0005-0000-0000-0000638E0000}"/>
    <cellStyle name="Normal 5 17 23 4" xfId="36466" xr:uid="{00000000-0005-0000-0000-0000648E0000}"/>
    <cellStyle name="Normal 5 17 23 4 10" xfId="36467" xr:uid="{00000000-0005-0000-0000-0000658E0000}"/>
    <cellStyle name="Normal 5 17 23 4 2" xfId="36468" xr:uid="{00000000-0005-0000-0000-0000668E0000}"/>
    <cellStyle name="Normal 5 17 23 4 3" xfId="36469" xr:uid="{00000000-0005-0000-0000-0000678E0000}"/>
    <cellStyle name="Normal 5 17 23 4 4" xfId="36470" xr:uid="{00000000-0005-0000-0000-0000688E0000}"/>
    <cellStyle name="Normal 5 17 23 4 5" xfId="36471" xr:uid="{00000000-0005-0000-0000-0000698E0000}"/>
    <cellStyle name="Normal 5 17 23 4 6" xfId="36472" xr:uid="{00000000-0005-0000-0000-00006A8E0000}"/>
    <cellStyle name="Normal 5 17 23 4 7" xfId="36473" xr:uid="{00000000-0005-0000-0000-00006B8E0000}"/>
    <cellStyle name="Normal 5 17 23 4 8" xfId="36474" xr:uid="{00000000-0005-0000-0000-00006C8E0000}"/>
    <cellStyle name="Normal 5 17 23 4 9" xfId="36475" xr:uid="{00000000-0005-0000-0000-00006D8E0000}"/>
    <cellStyle name="Normal 5 17 23 5" xfId="36476" xr:uid="{00000000-0005-0000-0000-00006E8E0000}"/>
    <cellStyle name="Normal 5 17 23 5 10" xfId="36477" xr:uid="{00000000-0005-0000-0000-00006F8E0000}"/>
    <cellStyle name="Normal 5 17 23 5 2" xfId="36478" xr:uid="{00000000-0005-0000-0000-0000708E0000}"/>
    <cellStyle name="Normal 5 17 23 5 3" xfId="36479" xr:uid="{00000000-0005-0000-0000-0000718E0000}"/>
    <cellStyle name="Normal 5 17 23 5 4" xfId="36480" xr:uid="{00000000-0005-0000-0000-0000728E0000}"/>
    <cellStyle name="Normal 5 17 23 5 5" xfId="36481" xr:uid="{00000000-0005-0000-0000-0000738E0000}"/>
    <cellStyle name="Normal 5 17 23 5 6" xfId="36482" xr:uid="{00000000-0005-0000-0000-0000748E0000}"/>
    <cellStyle name="Normal 5 17 23 5 7" xfId="36483" xr:uid="{00000000-0005-0000-0000-0000758E0000}"/>
    <cellStyle name="Normal 5 17 23 5 8" xfId="36484" xr:uid="{00000000-0005-0000-0000-0000768E0000}"/>
    <cellStyle name="Normal 5 17 23 5 9" xfId="36485" xr:uid="{00000000-0005-0000-0000-0000778E0000}"/>
    <cellStyle name="Normal 5 17 23 6" xfId="36486" xr:uid="{00000000-0005-0000-0000-0000788E0000}"/>
    <cellStyle name="Normal 5 17 23 7" xfId="36487" xr:uid="{00000000-0005-0000-0000-0000798E0000}"/>
    <cellStyle name="Normal 5 17 23 8" xfId="36488" xr:uid="{00000000-0005-0000-0000-00007A8E0000}"/>
    <cellStyle name="Normal 5 17 23 9" xfId="36489" xr:uid="{00000000-0005-0000-0000-00007B8E0000}"/>
    <cellStyle name="Normal 5 17 24" xfId="36490" xr:uid="{00000000-0005-0000-0000-00007C8E0000}"/>
    <cellStyle name="Normal 5 17 24 10" xfId="36491" xr:uid="{00000000-0005-0000-0000-00007D8E0000}"/>
    <cellStyle name="Normal 5 17 24 11" xfId="36492" xr:uid="{00000000-0005-0000-0000-00007E8E0000}"/>
    <cellStyle name="Normal 5 17 24 12" xfId="36493" xr:uid="{00000000-0005-0000-0000-00007F8E0000}"/>
    <cellStyle name="Normal 5 17 24 13" xfId="36494" xr:uid="{00000000-0005-0000-0000-0000808E0000}"/>
    <cellStyle name="Normal 5 17 24 14" xfId="36495" xr:uid="{00000000-0005-0000-0000-0000818E0000}"/>
    <cellStyle name="Normal 5 17 24 2" xfId="36496" xr:uid="{00000000-0005-0000-0000-0000828E0000}"/>
    <cellStyle name="Normal 5 17 24 2 10" xfId="36497" xr:uid="{00000000-0005-0000-0000-0000838E0000}"/>
    <cellStyle name="Normal 5 17 24 2 2" xfId="36498" xr:uid="{00000000-0005-0000-0000-0000848E0000}"/>
    <cellStyle name="Normal 5 17 24 2 3" xfId="36499" xr:uid="{00000000-0005-0000-0000-0000858E0000}"/>
    <cellStyle name="Normal 5 17 24 2 4" xfId="36500" xr:uid="{00000000-0005-0000-0000-0000868E0000}"/>
    <cellStyle name="Normal 5 17 24 2 5" xfId="36501" xr:uid="{00000000-0005-0000-0000-0000878E0000}"/>
    <cellStyle name="Normal 5 17 24 2 6" xfId="36502" xr:uid="{00000000-0005-0000-0000-0000888E0000}"/>
    <cellStyle name="Normal 5 17 24 2 7" xfId="36503" xr:uid="{00000000-0005-0000-0000-0000898E0000}"/>
    <cellStyle name="Normal 5 17 24 2 8" xfId="36504" xr:uid="{00000000-0005-0000-0000-00008A8E0000}"/>
    <cellStyle name="Normal 5 17 24 2 9" xfId="36505" xr:uid="{00000000-0005-0000-0000-00008B8E0000}"/>
    <cellStyle name="Normal 5 17 24 3" xfId="36506" xr:uid="{00000000-0005-0000-0000-00008C8E0000}"/>
    <cellStyle name="Normal 5 17 24 3 10" xfId="36507" xr:uid="{00000000-0005-0000-0000-00008D8E0000}"/>
    <cellStyle name="Normal 5 17 24 3 2" xfId="36508" xr:uid="{00000000-0005-0000-0000-00008E8E0000}"/>
    <cellStyle name="Normal 5 17 24 3 3" xfId="36509" xr:uid="{00000000-0005-0000-0000-00008F8E0000}"/>
    <cellStyle name="Normal 5 17 24 3 4" xfId="36510" xr:uid="{00000000-0005-0000-0000-0000908E0000}"/>
    <cellStyle name="Normal 5 17 24 3 5" xfId="36511" xr:uid="{00000000-0005-0000-0000-0000918E0000}"/>
    <cellStyle name="Normal 5 17 24 3 6" xfId="36512" xr:uid="{00000000-0005-0000-0000-0000928E0000}"/>
    <cellStyle name="Normal 5 17 24 3 7" xfId="36513" xr:uid="{00000000-0005-0000-0000-0000938E0000}"/>
    <cellStyle name="Normal 5 17 24 3 8" xfId="36514" xr:uid="{00000000-0005-0000-0000-0000948E0000}"/>
    <cellStyle name="Normal 5 17 24 3 9" xfId="36515" xr:uid="{00000000-0005-0000-0000-0000958E0000}"/>
    <cellStyle name="Normal 5 17 24 4" xfId="36516" xr:uid="{00000000-0005-0000-0000-0000968E0000}"/>
    <cellStyle name="Normal 5 17 24 4 10" xfId="36517" xr:uid="{00000000-0005-0000-0000-0000978E0000}"/>
    <cellStyle name="Normal 5 17 24 4 2" xfId="36518" xr:uid="{00000000-0005-0000-0000-0000988E0000}"/>
    <cellStyle name="Normal 5 17 24 4 3" xfId="36519" xr:uid="{00000000-0005-0000-0000-0000998E0000}"/>
    <cellStyle name="Normal 5 17 24 4 4" xfId="36520" xr:uid="{00000000-0005-0000-0000-00009A8E0000}"/>
    <cellStyle name="Normal 5 17 24 4 5" xfId="36521" xr:uid="{00000000-0005-0000-0000-00009B8E0000}"/>
    <cellStyle name="Normal 5 17 24 4 6" xfId="36522" xr:uid="{00000000-0005-0000-0000-00009C8E0000}"/>
    <cellStyle name="Normal 5 17 24 4 7" xfId="36523" xr:uid="{00000000-0005-0000-0000-00009D8E0000}"/>
    <cellStyle name="Normal 5 17 24 4 8" xfId="36524" xr:uid="{00000000-0005-0000-0000-00009E8E0000}"/>
    <cellStyle name="Normal 5 17 24 4 9" xfId="36525" xr:uid="{00000000-0005-0000-0000-00009F8E0000}"/>
    <cellStyle name="Normal 5 17 24 5" xfId="36526" xr:uid="{00000000-0005-0000-0000-0000A08E0000}"/>
    <cellStyle name="Normal 5 17 24 5 10" xfId="36527" xr:uid="{00000000-0005-0000-0000-0000A18E0000}"/>
    <cellStyle name="Normal 5 17 24 5 2" xfId="36528" xr:uid="{00000000-0005-0000-0000-0000A28E0000}"/>
    <cellStyle name="Normal 5 17 24 5 3" xfId="36529" xr:uid="{00000000-0005-0000-0000-0000A38E0000}"/>
    <cellStyle name="Normal 5 17 24 5 4" xfId="36530" xr:uid="{00000000-0005-0000-0000-0000A48E0000}"/>
    <cellStyle name="Normal 5 17 24 5 5" xfId="36531" xr:uid="{00000000-0005-0000-0000-0000A58E0000}"/>
    <cellStyle name="Normal 5 17 24 5 6" xfId="36532" xr:uid="{00000000-0005-0000-0000-0000A68E0000}"/>
    <cellStyle name="Normal 5 17 24 5 7" xfId="36533" xr:uid="{00000000-0005-0000-0000-0000A78E0000}"/>
    <cellStyle name="Normal 5 17 24 5 8" xfId="36534" xr:uid="{00000000-0005-0000-0000-0000A88E0000}"/>
    <cellStyle name="Normal 5 17 24 5 9" xfId="36535" xr:uid="{00000000-0005-0000-0000-0000A98E0000}"/>
    <cellStyle name="Normal 5 17 24 6" xfId="36536" xr:uid="{00000000-0005-0000-0000-0000AA8E0000}"/>
    <cellStyle name="Normal 5 17 24 7" xfId="36537" xr:uid="{00000000-0005-0000-0000-0000AB8E0000}"/>
    <cellStyle name="Normal 5 17 24 8" xfId="36538" xr:uid="{00000000-0005-0000-0000-0000AC8E0000}"/>
    <cellStyle name="Normal 5 17 24 9" xfId="36539" xr:uid="{00000000-0005-0000-0000-0000AD8E0000}"/>
    <cellStyle name="Normal 5 17 25" xfId="36540" xr:uid="{00000000-0005-0000-0000-0000AE8E0000}"/>
    <cellStyle name="Normal 5 17 25 10" xfId="36541" xr:uid="{00000000-0005-0000-0000-0000AF8E0000}"/>
    <cellStyle name="Normal 5 17 25 11" xfId="36542" xr:uid="{00000000-0005-0000-0000-0000B08E0000}"/>
    <cellStyle name="Normal 5 17 25 12" xfId="36543" xr:uid="{00000000-0005-0000-0000-0000B18E0000}"/>
    <cellStyle name="Normal 5 17 25 13" xfId="36544" xr:uid="{00000000-0005-0000-0000-0000B28E0000}"/>
    <cellStyle name="Normal 5 17 25 14" xfId="36545" xr:uid="{00000000-0005-0000-0000-0000B38E0000}"/>
    <cellStyle name="Normal 5 17 25 2" xfId="36546" xr:uid="{00000000-0005-0000-0000-0000B48E0000}"/>
    <cellStyle name="Normal 5 17 25 2 10" xfId="36547" xr:uid="{00000000-0005-0000-0000-0000B58E0000}"/>
    <cellStyle name="Normal 5 17 25 2 2" xfId="36548" xr:uid="{00000000-0005-0000-0000-0000B68E0000}"/>
    <cellStyle name="Normal 5 17 25 2 3" xfId="36549" xr:uid="{00000000-0005-0000-0000-0000B78E0000}"/>
    <cellStyle name="Normal 5 17 25 2 4" xfId="36550" xr:uid="{00000000-0005-0000-0000-0000B88E0000}"/>
    <cellStyle name="Normal 5 17 25 2 5" xfId="36551" xr:uid="{00000000-0005-0000-0000-0000B98E0000}"/>
    <cellStyle name="Normal 5 17 25 2 6" xfId="36552" xr:uid="{00000000-0005-0000-0000-0000BA8E0000}"/>
    <cellStyle name="Normal 5 17 25 2 7" xfId="36553" xr:uid="{00000000-0005-0000-0000-0000BB8E0000}"/>
    <cellStyle name="Normal 5 17 25 2 8" xfId="36554" xr:uid="{00000000-0005-0000-0000-0000BC8E0000}"/>
    <cellStyle name="Normal 5 17 25 2 9" xfId="36555" xr:uid="{00000000-0005-0000-0000-0000BD8E0000}"/>
    <cellStyle name="Normal 5 17 25 3" xfId="36556" xr:uid="{00000000-0005-0000-0000-0000BE8E0000}"/>
    <cellStyle name="Normal 5 17 25 3 10" xfId="36557" xr:uid="{00000000-0005-0000-0000-0000BF8E0000}"/>
    <cellStyle name="Normal 5 17 25 3 2" xfId="36558" xr:uid="{00000000-0005-0000-0000-0000C08E0000}"/>
    <cellStyle name="Normal 5 17 25 3 3" xfId="36559" xr:uid="{00000000-0005-0000-0000-0000C18E0000}"/>
    <cellStyle name="Normal 5 17 25 3 4" xfId="36560" xr:uid="{00000000-0005-0000-0000-0000C28E0000}"/>
    <cellStyle name="Normal 5 17 25 3 5" xfId="36561" xr:uid="{00000000-0005-0000-0000-0000C38E0000}"/>
    <cellStyle name="Normal 5 17 25 3 6" xfId="36562" xr:uid="{00000000-0005-0000-0000-0000C48E0000}"/>
    <cellStyle name="Normal 5 17 25 3 7" xfId="36563" xr:uid="{00000000-0005-0000-0000-0000C58E0000}"/>
    <cellStyle name="Normal 5 17 25 3 8" xfId="36564" xr:uid="{00000000-0005-0000-0000-0000C68E0000}"/>
    <cellStyle name="Normal 5 17 25 3 9" xfId="36565" xr:uid="{00000000-0005-0000-0000-0000C78E0000}"/>
    <cellStyle name="Normal 5 17 25 4" xfId="36566" xr:uid="{00000000-0005-0000-0000-0000C88E0000}"/>
    <cellStyle name="Normal 5 17 25 4 10" xfId="36567" xr:uid="{00000000-0005-0000-0000-0000C98E0000}"/>
    <cellStyle name="Normal 5 17 25 4 2" xfId="36568" xr:uid="{00000000-0005-0000-0000-0000CA8E0000}"/>
    <cellStyle name="Normal 5 17 25 4 3" xfId="36569" xr:uid="{00000000-0005-0000-0000-0000CB8E0000}"/>
    <cellStyle name="Normal 5 17 25 4 4" xfId="36570" xr:uid="{00000000-0005-0000-0000-0000CC8E0000}"/>
    <cellStyle name="Normal 5 17 25 4 5" xfId="36571" xr:uid="{00000000-0005-0000-0000-0000CD8E0000}"/>
    <cellStyle name="Normal 5 17 25 4 6" xfId="36572" xr:uid="{00000000-0005-0000-0000-0000CE8E0000}"/>
    <cellStyle name="Normal 5 17 25 4 7" xfId="36573" xr:uid="{00000000-0005-0000-0000-0000CF8E0000}"/>
    <cellStyle name="Normal 5 17 25 4 8" xfId="36574" xr:uid="{00000000-0005-0000-0000-0000D08E0000}"/>
    <cellStyle name="Normal 5 17 25 4 9" xfId="36575" xr:uid="{00000000-0005-0000-0000-0000D18E0000}"/>
    <cellStyle name="Normal 5 17 25 5" xfId="36576" xr:uid="{00000000-0005-0000-0000-0000D28E0000}"/>
    <cellStyle name="Normal 5 17 25 5 10" xfId="36577" xr:uid="{00000000-0005-0000-0000-0000D38E0000}"/>
    <cellStyle name="Normal 5 17 25 5 2" xfId="36578" xr:uid="{00000000-0005-0000-0000-0000D48E0000}"/>
    <cellStyle name="Normal 5 17 25 5 3" xfId="36579" xr:uid="{00000000-0005-0000-0000-0000D58E0000}"/>
    <cellStyle name="Normal 5 17 25 5 4" xfId="36580" xr:uid="{00000000-0005-0000-0000-0000D68E0000}"/>
    <cellStyle name="Normal 5 17 25 5 5" xfId="36581" xr:uid="{00000000-0005-0000-0000-0000D78E0000}"/>
    <cellStyle name="Normal 5 17 25 5 6" xfId="36582" xr:uid="{00000000-0005-0000-0000-0000D88E0000}"/>
    <cellStyle name="Normal 5 17 25 5 7" xfId="36583" xr:uid="{00000000-0005-0000-0000-0000D98E0000}"/>
    <cellStyle name="Normal 5 17 25 5 8" xfId="36584" xr:uid="{00000000-0005-0000-0000-0000DA8E0000}"/>
    <cellStyle name="Normal 5 17 25 5 9" xfId="36585" xr:uid="{00000000-0005-0000-0000-0000DB8E0000}"/>
    <cellStyle name="Normal 5 17 25 6" xfId="36586" xr:uid="{00000000-0005-0000-0000-0000DC8E0000}"/>
    <cellStyle name="Normal 5 17 25 7" xfId="36587" xr:uid="{00000000-0005-0000-0000-0000DD8E0000}"/>
    <cellStyle name="Normal 5 17 25 8" xfId="36588" xr:uid="{00000000-0005-0000-0000-0000DE8E0000}"/>
    <cellStyle name="Normal 5 17 25 9" xfId="36589" xr:uid="{00000000-0005-0000-0000-0000DF8E0000}"/>
    <cellStyle name="Normal 5 17 26" xfId="36590" xr:uid="{00000000-0005-0000-0000-0000E08E0000}"/>
    <cellStyle name="Normal 5 17 26 10" xfId="36591" xr:uid="{00000000-0005-0000-0000-0000E18E0000}"/>
    <cellStyle name="Normal 5 17 26 11" xfId="36592" xr:uid="{00000000-0005-0000-0000-0000E28E0000}"/>
    <cellStyle name="Normal 5 17 26 12" xfId="36593" xr:uid="{00000000-0005-0000-0000-0000E38E0000}"/>
    <cellStyle name="Normal 5 17 26 13" xfId="36594" xr:uid="{00000000-0005-0000-0000-0000E48E0000}"/>
    <cellStyle name="Normal 5 17 26 14" xfId="36595" xr:uid="{00000000-0005-0000-0000-0000E58E0000}"/>
    <cellStyle name="Normal 5 17 26 2" xfId="36596" xr:uid="{00000000-0005-0000-0000-0000E68E0000}"/>
    <cellStyle name="Normal 5 17 26 2 10" xfId="36597" xr:uid="{00000000-0005-0000-0000-0000E78E0000}"/>
    <cellStyle name="Normal 5 17 26 2 2" xfId="36598" xr:uid="{00000000-0005-0000-0000-0000E88E0000}"/>
    <cellStyle name="Normal 5 17 26 2 3" xfId="36599" xr:uid="{00000000-0005-0000-0000-0000E98E0000}"/>
    <cellStyle name="Normal 5 17 26 2 4" xfId="36600" xr:uid="{00000000-0005-0000-0000-0000EA8E0000}"/>
    <cellStyle name="Normal 5 17 26 2 5" xfId="36601" xr:uid="{00000000-0005-0000-0000-0000EB8E0000}"/>
    <cellStyle name="Normal 5 17 26 2 6" xfId="36602" xr:uid="{00000000-0005-0000-0000-0000EC8E0000}"/>
    <cellStyle name="Normal 5 17 26 2 7" xfId="36603" xr:uid="{00000000-0005-0000-0000-0000ED8E0000}"/>
    <cellStyle name="Normal 5 17 26 2 8" xfId="36604" xr:uid="{00000000-0005-0000-0000-0000EE8E0000}"/>
    <cellStyle name="Normal 5 17 26 2 9" xfId="36605" xr:uid="{00000000-0005-0000-0000-0000EF8E0000}"/>
    <cellStyle name="Normal 5 17 26 3" xfId="36606" xr:uid="{00000000-0005-0000-0000-0000F08E0000}"/>
    <cellStyle name="Normal 5 17 26 3 10" xfId="36607" xr:uid="{00000000-0005-0000-0000-0000F18E0000}"/>
    <cellStyle name="Normal 5 17 26 3 2" xfId="36608" xr:uid="{00000000-0005-0000-0000-0000F28E0000}"/>
    <cellStyle name="Normal 5 17 26 3 3" xfId="36609" xr:uid="{00000000-0005-0000-0000-0000F38E0000}"/>
    <cellStyle name="Normal 5 17 26 3 4" xfId="36610" xr:uid="{00000000-0005-0000-0000-0000F48E0000}"/>
    <cellStyle name="Normal 5 17 26 3 5" xfId="36611" xr:uid="{00000000-0005-0000-0000-0000F58E0000}"/>
    <cellStyle name="Normal 5 17 26 3 6" xfId="36612" xr:uid="{00000000-0005-0000-0000-0000F68E0000}"/>
    <cellStyle name="Normal 5 17 26 3 7" xfId="36613" xr:uid="{00000000-0005-0000-0000-0000F78E0000}"/>
    <cellStyle name="Normal 5 17 26 3 8" xfId="36614" xr:uid="{00000000-0005-0000-0000-0000F88E0000}"/>
    <cellStyle name="Normal 5 17 26 3 9" xfId="36615" xr:uid="{00000000-0005-0000-0000-0000F98E0000}"/>
    <cellStyle name="Normal 5 17 26 4" xfId="36616" xr:uid="{00000000-0005-0000-0000-0000FA8E0000}"/>
    <cellStyle name="Normal 5 17 26 4 10" xfId="36617" xr:uid="{00000000-0005-0000-0000-0000FB8E0000}"/>
    <cellStyle name="Normal 5 17 26 4 2" xfId="36618" xr:uid="{00000000-0005-0000-0000-0000FC8E0000}"/>
    <cellStyle name="Normal 5 17 26 4 3" xfId="36619" xr:uid="{00000000-0005-0000-0000-0000FD8E0000}"/>
    <cellStyle name="Normal 5 17 26 4 4" xfId="36620" xr:uid="{00000000-0005-0000-0000-0000FE8E0000}"/>
    <cellStyle name="Normal 5 17 26 4 5" xfId="36621" xr:uid="{00000000-0005-0000-0000-0000FF8E0000}"/>
    <cellStyle name="Normal 5 17 26 4 6" xfId="36622" xr:uid="{00000000-0005-0000-0000-0000008F0000}"/>
    <cellStyle name="Normal 5 17 26 4 7" xfId="36623" xr:uid="{00000000-0005-0000-0000-0000018F0000}"/>
    <cellStyle name="Normal 5 17 26 4 8" xfId="36624" xr:uid="{00000000-0005-0000-0000-0000028F0000}"/>
    <cellStyle name="Normal 5 17 26 4 9" xfId="36625" xr:uid="{00000000-0005-0000-0000-0000038F0000}"/>
    <cellStyle name="Normal 5 17 26 5" xfId="36626" xr:uid="{00000000-0005-0000-0000-0000048F0000}"/>
    <cellStyle name="Normal 5 17 26 5 10" xfId="36627" xr:uid="{00000000-0005-0000-0000-0000058F0000}"/>
    <cellStyle name="Normal 5 17 26 5 2" xfId="36628" xr:uid="{00000000-0005-0000-0000-0000068F0000}"/>
    <cellStyle name="Normal 5 17 26 5 3" xfId="36629" xr:uid="{00000000-0005-0000-0000-0000078F0000}"/>
    <cellStyle name="Normal 5 17 26 5 4" xfId="36630" xr:uid="{00000000-0005-0000-0000-0000088F0000}"/>
    <cellStyle name="Normal 5 17 26 5 5" xfId="36631" xr:uid="{00000000-0005-0000-0000-0000098F0000}"/>
    <cellStyle name="Normal 5 17 26 5 6" xfId="36632" xr:uid="{00000000-0005-0000-0000-00000A8F0000}"/>
    <cellStyle name="Normal 5 17 26 5 7" xfId="36633" xr:uid="{00000000-0005-0000-0000-00000B8F0000}"/>
    <cellStyle name="Normal 5 17 26 5 8" xfId="36634" xr:uid="{00000000-0005-0000-0000-00000C8F0000}"/>
    <cellStyle name="Normal 5 17 26 5 9" xfId="36635" xr:uid="{00000000-0005-0000-0000-00000D8F0000}"/>
    <cellStyle name="Normal 5 17 26 6" xfId="36636" xr:uid="{00000000-0005-0000-0000-00000E8F0000}"/>
    <cellStyle name="Normal 5 17 26 7" xfId="36637" xr:uid="{00000000-0005-0000-0000-00000F8F0000}"/>
    <cellStyle name="Normal 5 17 26 8" xfId="36638" xr:uid="{00000000-0005-0000-0000-0000108F0000}"/>
    <cellStyle name="Normal 5 17 26 9" xfId="36639" xr:uid="{00000000-0005-0000-0000-0000118F0000}"/>
    <cellStyle name="Normal 5 17 27" xfId="36640" xr:uid="{00000000-0005-0000-0000-0000128F0000}"/>
    <cellStyle name="Normal 5 17 27 10" xfId="36641" xr:uid="{00000000-0005-0000-0000-0000138F0000}"/>
    <cellStyle name="Normal 5 17 27 11" xfId="36642" xr:uid="{00000000-0005-0000-0000-0000148F0000}"/>
    <cellStyle name="Normal 5 17 27 12" xfId="36643" xr:uid="{00000000-0005-0000-0000-0000158F0000}"/>
    <cellStyle name="Normal 5 17 27 13" xfId="36644" xr:uid="{00000000-0005-0000-0000-0000168F0000}"/>
    <cellStyle name="Normal 5 17 27 14" xfId="36645" xr:uid="{00000000-0005-0000-0000-0000178F0000}"/>
    <cellStyle name="Normal 5 17 27 2" xfId="36646" xr:uid="{00000000-0005-0000-0000-0000188F0000}"/>
    <cellStyle name="Normal 5 17 27 2 10" xfId="36647" xr:uid="{00000000-0005-0000-0000-0000198F0000}"/>
    <cellStyle name="Normal 5 17 27 2 2" xfId="36648" xr:uid="{00000000-0005-0000-0000-00001A8F0000}"/>
    <cellStyle name="Normal 5 17 27 2 3" xfId="36649" xr:uid="{00000000-0005-0000-0000-00001B8F0000}"/>
    <cellStyle name="Normal 5 17 27 2 4" xfId="36650" xr:uid="{00000000-0005-0000-0000-00001C8F0000}"/>
    <cellStyle name="Normal 5 17 27 2 5" xfId="36651" xr:uid="{00000000-0005-0000-0000-00001D8F0000}"/>
    <cellStyle name="Normal 5 17 27 2 6" xfId="36652" xr:uid="{00000000-0005-0000-0000-00001E8F0000}"/>
    <cellStyle name="Normal 5 17 27 2 7" xfId="36653" xr:uid="{00000000-0005-0000-0000-00001F8F0000}"/>
    <cellStyle name="Normal 5 17 27 2 8" xfId="36654" xr:uid="{00000000-0005-0000-0000-0000208F0000}"/>
    <cellStyle name="Normal 5 17 27 2 9" xfId="36655" xr:uid="{00000000-0005-0000-0000-0000218F0000}"/>
    <cellStyle name="Normal 5 17 27 3" xfId="36656" xr:uid="{00000000-0005-0000-0000-0000228F0000}"/>
    <cellStyle name="Normal 5 17 27 3 10" xfId="36657" xr:uid="{00000000-0005-0000-0000-0000238F0000}"/>
    <cellStyle name="Normal 5 17 27 3 2" xfId="36658" xr:uid="{00000000-0005-0000-0000-0000248F0000}"/>
    <cellStyle name="Normal 5 17 27 3 3" xfId="36659" xr:uid="{00000000-0005-0000-0000-0000258F0000}"/>
    <cellStyle name="Normal 5 17 27 3 4" xfId="36660" xr:uid="{00000000-0005-0000-0000-0000268F0000}"/>
    <cellStyle name="Normal 5 17 27 3 5" xfId="36661" xr:uid="{00000000-0005-0000-0000-0000278F0000}"/>
    <cellStyle name="Normal 5 17 27 3 6" xfId="36662" xr:uid="{00000000-0005-0000-0000-0000288F0000}"/>
    <cellStyle name="Normal 5 17 27 3 7" xfId="36663" xr:uid="{00000000-0005-0000-0000-0000298F0000}"/>
    <cellStyle name="Normal 5 17 27 3 8" xfId="36664" xr:uid="{00000000-0005-0000-0000-00002A8F0000}"/>
    <cellStyle name="Normal 5 17 27 3 9" xfId="36665" xr:uid="{00000000-0005-0000-0000-00002B8F0000}"/>
    <cellStyle name="Normal 5 17 27 4" xfId="36666" xr:uid="{00000000-0005-0000-0000-00002C8F0000}"/>
    <cellStyle name="Normal 5 17 27 4 10" xfId="36667" xr:uid="{00000000-0005-0000-0000-00002D8F0000}"/>
    <cellStyle name="Normal 5 17 27 4 2" xfId="36668" xr:uid="{00000000-0005-0000-0000-00002E8F0000}"/>
    <cellStyle name="Normal 5 17 27 4 3" xfId="36669" xr:uid="{00000000-0005-0000-0000-00002F8F0000}"/>
    <cellStyle name="Normal 5 17 27 4 4" xfId="36670" xr:uid="{00000000-0005-0000-0000-0000308F0000}"/>
    <cellStyle name="Normal 5 17 27 4 5" xfId="36671" xr:uid="{00000000-0005-0000-0000-0000318F0000}"/>
    <cellStyle name="Normal 5 17 27 4 6" xfId="36672" xr:uid="{00000000-0005-0000-0000-0000328F0000}"/>
    <cellStyle name="Normal 5 17 27 4 7" xfId="36673" xr:uid="{00000000-0005-0000-0000-0000338F0000}"/>
    <cellStyle name="Normal 5 17 27 4 8" xfId="36674" xr:uid="{00000000-0005-0000-0000-0000348F0000}"/>
    <cellStyle name="Normal 5 17 27 4 9" xfId="36675" xr:uid="{00000000-0005-0000-0000-0000358F0000}"/>
    <cellStyle name="Normal 5 17 27 5" xfId="36676" xr:uid="{00000000-0005-0000-0000-0000368F0000}"/>
    <cellStyle name="Normal 5 17 27 5 10" xfId="36677" xr:uid="{00000000-0005-0000-0000-0000378F0000}"/>
    <cellStyle name="Normal 5 17 27 5 2" xfId="36678" xr:uid="{00000000-0005-0000-0000-0000388F0000}"/>
    <cellStyle name="Normal 5 17 27 5 3" xfId="36679" xr:uid="{00000000-0005-0000-0000-0000398F0000}"/>
    <cellStyle name="Normal 5 17 27 5 4" xfId="36680" xr:uid="{00000000-0005-0000-0000-00003A8F0000}"/>
    <cellStyle name="Normal 5 17 27 5 5" xfId="36681" xr:uid="{00000000-0005-0000-0000-00003B8F0000}"/>
    <cellStyle name="Normal 5 17 27 5 6" xfId="36682" xr:uid="{00000000-0005-0000-0000-00003C8F0000}"/>
    <cellStyle name="Normal 5 17 27 5 7" xfId="36683" xr:uid="{00000000-0005-0000-0000-00003D8F0000}"/>
    <cellStyle name="Normal 5 17 27 5 8" xfId="36684" xr:uid="{00000000-0005-0000-0000-00003E8F0000}"/>
    <cellStyle name="Normal 5 17 27 5 9" xfId="36685" xr:uid="{00000000-0005-0000-0000-00003F8F0000}"/>
    <cellStyle name="Normal 5 17 27 6" xfId="36686" xr:uid="{00000000-0005-0000-0000-0000408F0000}"/>
    <cellStyle name="Normal 5 17 27 7" xfId="36687" xr:uid="{00000000-0005-0000-0000-0000418F0000}"/>
    <cellStyle name="Normal 5 17 27 8" xfId="36688" xr:uid="{00000000-0005-0000-0000-0000428F0000}"/>
    <cellStyle name="Normal 5 17 27 9" xfId="36689" xr:uid="{00000000-0005-0000-0000-0000438F0000}"/>
    <cellStyle name="Normal 5 17 28" xfId="36690" xr:uid="{00000000-0005-0000-0000-0000448F0000}"/>
    <cellStyle name="Normal 5 17 28 10" xfId="36691" xr:uid="{00000000-0005-0000-0000-0000458F0000}"/>
    <cellStyle name="Normal 5 17 28 11" xfId="36692" xr:uid="{00000000-0005-0000-0000-0000468F0000}"/>
    <cellStyle name="Normal 5 17 28 12" xfId="36693" xr:uid="{00000000-0005-0000-0000-0000478F0000}"/>
    <cellStyle name="Normal 5 17 28 13" xfId="36694" xr:uid="{00000000-0005-0000-0000-0000488F0000}"/>
    <cellStyle name="Normal 5 17 28 14" xfId="36695" xr:uid="{00000000-0005-0000-0000-0000498F0000}"/>
    <cellStyle name="Normal 5 17 28 2" xfId="36696" xr:uid="{00000000-0005-0000-0000-00004A8F0000}"/>
    <cellStyle name="Normal 5 17 28 2 10" xfId="36697" xr:uid="{00000000-0005-0000-0000-00004B8F0000}"/>
    <cellStyle name="Normal 5 17 28 2 2" xfId="36698" xr:uid="{00000000-0005-0000-0000-00004C8F0000}"/>
    <cellStyle name="Normal 5 17 28 2 3" xfId="36699" xr:uid="{00000000-0005-0000-0000-00004D8F0000}"/>
    <cellStyle name="Normal 5 17 28 2 4" xfId="36700" xr:uid="{00000000-0005-0000-0000-00004E8F0000}"/>
    <cellStyle name="Normal 5 17 28 2 5" xfId="36701" xr:uid="{00000000-0005-0000-0000-00004F8F0000}"/>
    <cellStyle name="Normal 5 17 28 2 6" xfId="36702" xr:uid="{00000000-0005-0000-0000-0000508F0000}"/>
    <cellStyle name="Normal 5 17 28 2 7" xfId="36703" xr:uid="{00000000-0005-0000-0000-0000518F0000}"/>
    <cellStyle name="Normal 5 17 28 2 8" xfId="36704" xr:uid="{00000000-0005-0000-0000-0000528F0000}"/>
    <cellStyle name="Normal 5 17 28 2 9" xfId="36705" xr:uid="{00000000-0005-0000-0000-0000538F0000}"/>
    <cellStyle name="Normal 5 17 28 3" xfId="36706" xr:uid="{00000000-0005-0000-0000-0000548F0000}"/>
    <cellStyle name="Normal 5 17 28 3 10" xfId="36707" xr:uid="{00000000-0005-0000-0000-0000558F0000}"/>
    <cellStyle name="Normal 5 17 28 3 2" xfId="36708" xr:uid="{00000000-0005-0000-0000-0000568F0000}"/>
    <cellStyle name="Normal 5 17 28 3 3" xfId="36709" xr:uid="{00000000-0005-0000-0000-0000578F0000}"/>
    <cellStyle name="Normal 5 17 28 3 4" xfId="36710" xr:uid="{00000000-0005-0000-0000-0000588F0000}"/>
    <cellStyle name="Normal 5 17 28 3 5" xfId="36711" xr:uid="{00000000-0005-0000-0000-0000598F0000}"/>
    <cellStyle name="Normal 5 17 28 3 6" xfId="36712" xr:uid="{00000000-0005-0000-0000-00005A8F0000}"/>
    <cellStyle name="Normal 5 17 28 3 7" xfId="36713" xr:uid="{00000000-0005-0000-0000-00005B8F0000}"/>
    <cellStyle name="Normal 5 17 28 3 8" xfId="36714" xr:uid="{00000000-0005-0000-0000-00005C8F0000}"/>
    <cellStyle name="Normal 5 17 28 3 9" xfId="36715" xr:uid="{00000000-0005-0000-0000-00005D8F0000}"/>
    <cellStyle name="Normal 5 17 28 4" xfId="36716" xr:uid="{00000000-0005-0000-0000-00005E8F0000}"/>
    <cellStyle name="Normal 5 17 28 4 10" xfId="36717" xr:uid="{00000000-0005-0000-0000-00005F8F0000}"/>
    <cellStyle name="Normal 5 17 28 4 2" xfId="36718" xr:uid="{00000000-0005-0000-0000-0000608F0000}"/>
    <cellStyle name="Normal 5 17 28 4 3" xfId="36719" xr:uid="{00000000-0005-0000-0000-0000618F0000}"/>
    <cellStyle name="Normal 5 17 28 4 4" xfId="36720" xr:uid="{00000000-0005-0000-0000-0000628F0000}"/>
    <cellStyle name="Normal 5 17 28 4 5" xfId="36721" xr:uid="{00000000-0005-0000-0000-0000638F0000}"/>
    <cellStyle name="Normal 5 17 28 4 6" xfId="36722" xr:uid="{00000000-0005-0000-0000-0000648F0000}"/>
    <cellStyle name="Normal 5 17 28 4 7" xfId="36723" xr:uid="{00000000-0005-0000-0000-0000658F0000}"/>
    <cellStyle name="Normal 5 17 28 4 8" xfId="36724" xr:uid="{00000000-0005-0000-0000-0000668F0000}"/>
    <cellStyle name="Normal 5 17 28 4 9" xfId="36725" xr:uid="{00000000-0005-0000-0000-0000678F0000}"/>
    <cellStyle name="Normal 5 17 28 5" xfId="36726" xr:uid="{00000000-0005-0000-0000-0000688F0000}"/>
    <cellStyle name="Normal 5 17 28 5 10" xfId="36727" xr:uid="{00000000-0005-0000-0000-0000698F0000}"/>
    <cellStyle name="Normal 5 17 28 5 2" xfId="36728" xr:uid="{00000000-0005-0000-0000-00006A8F0000}"/>
    <cellStyle name="Normal 5 17 28 5 3" xfId="36729" xr:uid="{00000000-0005-0000-0000-00006B8F0000}"/>
    <cellStyle name="Normal 5 17 28 5 4" xfId="36730" xr:uid="{00000000-0005-0000-0000-00006C8F0000}"/>
    <cellStyle name="Normal 5 17 28 5 5" xfId="36731" xr:uid="{00000000-0005-0000-0000-00006D8F0000}"/>
    <cellStyle name="Normal 5 17 28 5 6" xfId="36732" xr:uid="{00000000-0005-0000-0000-00006E8F0000}"/>
    <cellStyle name="Normal 5 17 28 5 7" xfId="36733" xr:uid="{00000000-0005-0000-0000-00006F8F0000}"/>
    <cellStyle name="Normal 5 17 28 5 8" xfId="36734" xr:uid="{00000000-0005-0000-0000-0000708F0000}"/>
    <cellStyle name="Normal 5 17 28 5 9" xfId="36735" xr:uid="{00000000-0005-0000-0000-0000718F0000}"/>
    <cellStyle name="Normal 5 17 28 6" xfId="36736" xr:uid="{00000000-0005-0000-0000-0000728F0000}"/>
    <cellStyle name="Normal 5 17 28 7" xfId="36737" xr:uid="{00000000-0005-0000-0000-0000738F0000}"/>
    <cellStyle name="Normal 5 17 28 8" xfId="36738" xr:uid="{00000000-0005-0000-0000-0000748F0000}"/>
    <cellStyle name="Normal 5 17 28 9" xfId="36739" xr:uid="{00000000-0005-0000-0000-0000758F0000}"/>
    <cellStyle name="Normal 5 17 29" xfId="36740" xr:uid="{00000000-0005-0000-0000-0000768F0000}"/>
    <cellStyle name="Normal 5 17 29 10" xfId="36741" xr:uid="{00000000-0005-0000-0000-0000778F0000}"/>
    <cellStyle name="Normal 5 17 29 11" xfId="36742" xr:uid="{00000000-0005-0000-0000-0000788F0000}"/>
    <cellStyle name="Normal 5 17 29 12" xfId="36743" xr:uid="{00000000-0005-0000-0000-0000798F0000}"/>
    <cellStyle name="Normal 5 17 29 13" xfId="36744" xr:uid="{00000000-0005-0000-0000-00007A8F0000}"/>
    <cellStyle name="Normal 5 17 29 14" xfId="36745" xr:uid="{00000000-0005-0000-0000-00007B8F0000}"/>
    <cellStyle name="Normal 5 17 29 2" xfId="36746" xr:uid="{00000000-0005-0000-0000-00007C8F0000}"/>
    <cellStyle name="Normal 5 17 29 2 10" xfId="36747" xr:uid="{00000000-0005-0000-0000-00007D8F0000}"/>
    <cellStyle name="Normal 5 17 29 2 2" xfId="36748" xr:uid="{00000000-0005-0000-0000-00007E8F0000}"/>
    <cellStyle name="Normal 5 17 29 2 3" xfId="36749" xr:uid="{00000000-0005-0000-0000-00007F8F0000}"/>
    <cellStyle name="Normal 5 17 29 2 4" xfId="36750" xr:uid="{00000000-0005-0000-0000-0000808F0000}"/>
    <cellStyle name="Normal 5 17 29 2 5" xfId="36751" xr:uid="{00000000-0005-0000-0000-0000818F0000}"/>
    <cellStyle name="Normal 5 17 29 2 6" xfId="36752" xr:uid="{00000000-0005-0000-0000-0000828F0000}"/>
    <cellStyle name="Normal 5 17 29 2 7" xfId="36753" xr:uid="{00000000-0005-0000-0000-0000838F0000}"/>
    <cellStyle name="Normal 5 17 29 2 8" xfId="36754" xr:uid="{00000000-0005-0000-0000-0000848F0000}"/>
    <cellStyle name="Normal 5 17 29 2 9" xfId="36755" xr:uid="{00000000-0005-0000-0000-0000858F0000}"/>
    <cellStyle name="Normal 5 17 29 3" xfId="36756" xr:uid="{00000000-0005-0000-0000-0000868F0000}"/>
    <cellStyle name="Normal 5 17 29 3 10" xfId="36757" xr:uid="{00000000-0005-0000-0000-0000878F0000}"/>
    <cellStyle name="Normal 5 17 29 3 2" xfId="36758" xr:uid="{00000000-0005-0000-0000-0000888F0000}"/>
    <cellStyle name="Normal 5 17 29 3 3" xfId="36759" xr:uid="{00000000-0005-0000-0000-0000898F0000}"/>
    <cellStyle name="Normal 5 17 29 3 4" xfId="36760" xr:uid="{00000000-0005-0000-0000-00008A8F0000}"/>
    <cellStyle name="Normal 5 17 29 3 5" xfId="36761" xr:uid="{00000000-0005-0000-0000-00008B8F0000}"/>
    <cellStyle name="Normal 5 17 29 3 6" xfId="36762" xr:uid="{00000000-0005-0000-0000-00008C8F0000}"/>
    <cellStyle name="Normal 5 17 29 3 7" xfId="36763" xr:uid="{00000000-0005-0000-0000-00008D8F0000}"/>
    <cellStyle name="Normal 5 17 29 3 8" xfId="36764" xr:uid="{00000000-0005-0000-0000-00008E8F0000}"/>
    <cellStyle name="Normal 5 17 29 3 9" xfId="36765" xr:uid="{00000000-0005-0000-0000-00008F8F0000}"/>
    <cellStyle name="Normal 5 17 29 4" xfId="36766" xr:uid="{00000000-0005-0000-0000-0000908F0000}"/>
    <cellStyle name="Normal 5 17 29 4 10" xfId="36767" xr:uid="{00000000-0005-0000-0000-0000918F0000}"/>
    <cellStyle name="Normal 5 17 29 4 2" xfId="36768" xr:uid="{00000000-0005-0000-0000-0000928F0000}"/>
    <cellStyle name="Normal 5 17 29 4 3" xfId="36769" xr:uid="{00000000-0005-0000-0000-0000938F0000}"/>
    <cellStyle name="Normal 5 17 29 4 4" xfId="36770" xr:uid="{00000000-0005-0000-0000-0000948F0000}"/>
    <cellStyle name="Normal 5 17 29 4 5" xfId="36771" xr:uid="{00000000-0005-0000-0000-0000958F0000}"/>
    <cellStyle name="Normal 5 17 29 4 6" xfId="36772" xr:uid="{00000000-0005-0000-0000-0000968F0000}"/>
    <cellStyle name="Normal 5 17 29 4 7" xfId="36773" xr:uid="{00000000-0005-0000-0000-0000978F0000}"/>
    <cellStyle name="Normal 5 17 29 4 8" xfId="36774" xr:uid="{00000000-0005-0000-0000-0000988F0000}"/>
    <cellStyle name="Normal 5 17 29 4 9" xfId="36775" xr:uid="{00000000-0005-0000-0000-0000998F0000}"/>
    <cellStyle name="Normal 5 17 29 5" xfId="36776" xr:uid="{00000000-0005-0000-0000-00009A8F0000}"/>
    <cellStyle name="Normal 5 17 29 5 10" xfId="36777" xr:uid="{00000000-0005-0000-0000-00009B8F0000}"/>
    <cellStyle name="Normal 5 17 29 5 2" xfId="36778" xr:uid="{00000000-0005-0000-0000-00009C8F0000}"/>
    <cellStyle name="Normal 5 17 29 5 3" xfId="36779" xr:uid="{00000000-0005-0000-0000-00009D8F0000}"/>
    <cellStyle name="Normal 5 17 29 5 4" xfId="36780" xr:uid="{00000000-0005-0000-0000-00009E8F0000}"/>
    <cellStyle name="Normal 5 17 29 5 5" xfId="36781" xr:uid="{00000000-0005-0000-0000-00009F8F0000}"/>
    <cellStyle name="Normal 5 17 29 5 6" xfId="36782" xr:uid="{00000000-0005-0000-0000-0000A08F0000}"/>
    <cellStyle name="Normal 5 17 29 5 7" xfId="36783" xr:uid="{00000000-0005-0000-0000-0000A18F0000}"/>
    <cellStyle name="Normal 5 17 29 5 8" xfId="36784" xr:uid="{00000000-0005-0000-0000-0000A28F0000}"/>
    <cellStyle name="Normal 5 17 29 5 9" xfId="36785" xr:uid="{00000000-0005-0000-0000-0000A38F0000}"/>
    <cellStyle name="Normal 5 17 29 6" xfId="36786" xr:uid="{00000000-0005-0000-0000-0000A48F0000}"/>
    <cellStyle name="Normal 5 17 29 7" xfId="36787" xr:uid="{00000000-0005-0000-0000-0000A58F0000}"/>
    <cellStyle name="Normal 5 17 29 8" xfId="36788" xr:uid="{00000000-0005-0000-0000-0000A68F0000}"/>
    <cellStyle name="Normal 5 17 29 9" xfId="36789" xr:uid="{00000000-0005-0000-0000-0000A78F0000}"/>
    <cellStyle name="Normal 5 17 3" xfId="36790" xr:uid="{00000000-0005-0000-0000-0000A88F0000}"/>
    <cellStyle name="Normal 5 17 3 10" xfId="36791" xr:uid="{00000000-0005-0000-0000-0000A98F0000}"/>
    <cellStyle name="Normal 5 17 3 11" xfId="36792" xr:uid="{00000000-0005-0000-0000-0000AA8F0000}"/>
    <cellStyle name="Normal 5 17 3 12" xfId="36793" xr:uid="{00000000-0005-0000-0000-0000AB8F0000}"/>
    <cellStyle name="Normal 5 17 3 13" xfId="36794" xr:uid="{00000000-0005-0000-0000-0000AC8F0000}"/>
    <cellStyle name="Normal 5 17 3 14" xfId="36795" xr:uid="{00000000-0005-0000-0000-0000AD8F0000}"/>
    <cellStyle name="Normal 5 17 3 2" xfId="36796" xr:uid="{00000000-0005-0000-0000-0000AE8F0000}"/>
    <cellStyle name="Normal 5 17 3 2 10" xfId="36797" xr:uid="{00000000-0005-0000-0000-0000AF8F0000}"/>
    <cellStyle name="Normal 5 17 3 2 2" xfId="36798" xr:uid="{00000000-0005-0000-0000-0000B08F0000}"/>
    <cellStyle name="Normal 5 17 3 2 3" xfId="36799" xr:uid="{00000000-0005-0000-0000-0000B18F0000}"/>
    <cellStyle name="Normal 5 17 3 2 4" xfId="36800" xr:uid="{00000000-0005-0000-0000-0000B28F0000}"/>
    <cellStyle name="Normal 5 17 3 2 5" xfId="36801" xr:uid="{00000000-0005-0000-0000-0000B38F0000}"/>
    <cellStyle name="Normal 5 17 3 2 6" xfId="36802" xr:uid="{00000000-0005-0000-0000-0000B48F0000}"/>
    <cellStyle name="Normal 5 17 3 2 7" xfId="36803" xr:uid="{00000000-0005-0000-0000-0000B58F0000}"/>
    <cellStyle name="Normal 5 17 3 2 8" xfId="36804" xr:uid="{00000000-0005-0000-0000-0000B68F0000}"/>
    <cellStyle name="Normal 5 17 3 2 9" xfId="36805" xr:uid="{00000000-0005-0000-0000-0000B78F0000}"/>
    <cellStyle name="Normal 5 17 3 3" xfId="36806" xr:uid="{00000000-0005-0000-0000-0000B88F0000}"/>
    <cellStyle name="Normal 5 17 3 3 10" xfId="36807" xr:uid="{00000000-0005-0000-0000-0000B98F0000}"/>
    <cellStyle name="Normal 5 17 3 3 2" xfId="36808" xr:uid="{00000000-0005-0000-0000-0000BA8F0000}"/>
    <cellStyle name="Normal 5 17 3 3 3" xfId="36809" xr:uid="{00000000-0005-0000-0000-0000BB8F0000}"/>
    <cellStyle name="Normal 5 17 3 3 4" xfId="36810" xr:uid="{00000000-0005-0000-0000-0000BC8F0000}"/>
    <cellStyle name="Normal 5 17 3 3 5" xfId="36811" xr:uid="{00000000-0005-0000-0000-0000BD8F0000}"/>
    <cellStyle name="Normal 5 17 3 3 6" xfId="36812" xr:uid="{00000000-0005-0000-0000-0000BE8F0000}"/>
    <cellStyle name="Normal 5 17 3 3 7" xfId="36813" xr:uid="{00000000-0005-0000-0000-0000BF8F0000}"/>
    <cellStyle name="Normal 5 17 3 3 8" xfId="36814" xr:uid="{00000000-0005-0000-0000-0000C08F0000}"/>
    <cellStyle name="Normal 5 17 3 3 9" xfId="36815" xr:uid="{00000000-0005-0000-0000-0000C18F0000}"/>
    <cellStyle name="Normal 5 17 3 4" xfId="36816" xr:uid="{00000000-0005-0000-0000-0000C28F0000}"/>
    <cellStyle name="Normal 5 17 3 4 10" xfId="36817" xr:uid="{00000000-0005-0000-0000-0000C38F0000}"/>
    <cellStyle name="Normal 5 17 3 4 2" xfId="36818" xr:uid="{00000000-0005-0000-0000-0000C48F0000}"/>
    <cellStyle name="Normal 5 17 3 4 3" xfId="36819" xr:uid="{00000000-0005-0000-0000-0000C58F0000}"/>
    <cellStyle name="Normal 5 17 3 4 4" xfId="36820" xr:uid="{00000000-0005-0000-0000-0000C68F0000}"/>
    <cellStyle name="Normal 5 17 3 4 5" xfId="36821" xr:uid="{00000000-0005-0000-0000-0000C78F0000}"/>
    <cellStyle name="Normal 5 17 3 4 6" xfId="36822" xr:uid="{00000000-0005-0000-0000-0000C88F0000}"/>
    <cellStyle name="Normal 5 17 3 4 7" xfId="36823" xr:uid="{00000000-0005-0000-0000-0000C98F0000}"/>
    <cellStyle name="Normal 5 17 3 4 8" xfId="36824" xr:uid="{00000000-0005-0000-0000-0000CA8F0000}"/>
    <cellStyle name="Normal 5 17 3 4 9" xfId="36825" xr:uid="{00000000-0005-0000-0000-0000CB8F0000}"/>
    <cellStyle name="Normal 5 17 3 5" xfId="36826" xr:uid="{00000000-0005-0000-0000-0000CC8F0000}"/>
    <cellStyle name="Normal 5 17 3 5 10" xfId="36827" xr:uid="{00000000-0005-0000-0000-0000CD8F0000}"/>
    <cellStyle name="Normal 5 17 3 5 2" xfId="36828" xr:uid="{00000000-0005-0000-0000-0000CE8F0000}"/>
    <cellStyle name="Normal 5 17 3 5 3" xfId="36829" xr:uid="{00000000-0005-0000-0000-0000CF8F0000}"/>
    <cellStyle name="Normal 5 17 3 5 4" xfId="36830" xr:uid="{00000000-0005-0000-0000-0000D08F0000}"/>
    <cellStyle name="Normal 5 17 3 5 5" xfId="36831" xr:uid="{00000000-0005-0000-0000-0000D18F0000}"/>
    <cellStyle name="Normal 5 17 3 5 6" xfId="36832" xr:uid="{00000000-0005-0000-0000-0000D28F0000}"/>
    <cellStyle name="Normal 5 17 3 5 7" xfId="36833" xr:uid="{00000000-0005-0000-0000-0000D38F0000}"/>
    <cellStyle name="Normal 5 17 3 5 8" xfId="36834" xr:uid="{00000000-0005-0000-0000-0000D48F0000}"/>
    <cellStyle name="Normal 5 17 3 5 9" xfId="36835" xr:uid="{00000000-0005-0000-0000-0000D58F0000}"/>
    <cellStyle name="Normal 5 17 3 6" xfId="36836" xr:uid="{00000000-0005-0000-0000-0000D68F0000}"/>
    <cellStyle name="Normal 5 17 3 7" xfId="36837" xr:uid="{00000000-0005-0000-0000-0000D78F0000}"/>
    <cellStyle name="Normal 5 17 3 8" xfId="36838" xr:uid="{00000000-0005-0000-0000-0000D88F0000}"/>
    <cellStyle name="Normal 5 17 3 9" xfId="36839" xr:uid="{00000000-0005-0000-0000-0000D98F0000}"/>
    <cellStyle name="Normal 5 17 30" xfId="36840" xr:uid="{00000000-0005-0000-0000-0000DA8F0000}"/>
    <cellStyle name="Normal 5 17 30 10" xfId="36841" xr:uid="{00000000-0005-0000-0000-0000DB8F0000}"/>
    <cellStyle name="Normal 5 17 30 11" xfId="36842" xr:uid="{00000000-0005-0000-0000-0000DC8F0000}"/>
    <cellStyle name="Normal 5 17 30 12" xfId="36843" xr:uid="{00000000-0005-0000-0000-0000DD8F0000}"/>
    <cellStyle name="Normal 5 17 30 13" xfId="36844" xr:uid="{00000000-0005-0000-0000-0000DE8F0000}"/>
    <cellStyle name="Normal 5 17 30 14" xfId="36845" xr:uid="{00000000-0005-0000-0000-0000DF8F0000}"/>
    <cellStyle name="Normal 5 17 30 2" xfId="36846" xr:uid="{00000000-0005-0000-0000-0000E08F0000}"/>
    <cellStyle name="Normal 5 17 30 2 10" xfId="36847" xr:uid="{00000000-0005-0000-0000-0000E18F0000}"/>
    <cellStyle name="Normal 5 17 30 2 2" xfId="36848" xr:uid="{00000000-0005-0000-0000-0000E28F0000}"/>
    <cellStyle name="Normal 5 17 30 2 3" xfId="36849" xr:uid="{00000000-0005-0000-0000-0000E38F0000}"/>
    <cellStyle name="Normal 5 17 30 2 4" xfId="36850" xr:uid="{00000000-0005-0000-0000-0000E48F0000}"/>
    <cellStyle name="Normal 5 17 30 2 5" xfId="36851" xr:uid="{00000000-0005-0000-0000-0000E58F0000}"/>
    <cellStyle name="Normal 5 17 30 2 6" xfId="36852" xr:uid="{00000000-0005-0000-0000-0000E68F0000}"/>
    <cellStyle name="Normal 5 17 30 2 7" xfId="36853" xr:uid="{00000000-0005-0000-0000-0000E78F0000}"/>
    <cellStyle name="Normal 5 17 30 2 8" xfId="36854" xr:uid="{00000000-0005-0000-0000-0000E88F0000}"/>
    <cellStyle name="Normal 5 17 30 2 9" xfId="36855" xr:uid="{00000000-0005-0000-0000-0000E98F0000}"/>
    <cellStyle name="Normal 5 17 30 3" xfId="36856" xr:uid="{00000000-0005-0000-0000-0000EA8F0000}"/>
    <cellStyle name="Normal 5 17 30 3 10" xfId="36857" xr:uid="{00000000-0005-0000-0000-0000EB8F0000}"/>
    <cellStyle name="Normal 5 17 30 3 2" xfId="36858" xr:uid="{00000000-0005-0000-0000-0000EC8F0000}"/>
    <cellStyle name="Normal 5 17 30 3 3" xfId="36859" xr:uid="{00000000-0005-0000-0000-0000ED8F0000}"/>
    <cellStyle name="Normal 5 17 30 3 4" xfId="36860" xr:uid="{00000000-0005-0000-0000-0000EE8F0000}"/>
    <cellStyle name="Normal 5 17 30 3 5" xfId="36861" xr:uid="{00000000-0005-0000-0000-0000EF8F0000}"/>
    <cellStyle name="Normal 5 17 30 3 6" xfId="36862" xr:uid="{00000000-0005-0000-0000-0000F08F0000}"/>
    <cellStyle name="Normal 5 17 30 3 7" xfId="36863" xr:uid="{00000000-0005-0000-0000-0000F18F0000}"/>
    <cellStyle name="Normal 5 17 30 3 8" xfId="36864" xr:uid="{00000000-0005-0000-0000-0000F28F0000}"/>
    <cellStyle name="Normal 5 17 30 3 9" xfId="36865" xr:uid="{00000000-0005-0000-0000-0000F38F0000}"/>
    <cellStyle name="Normal 5 17 30 4" xfId="36866" xr:uid="{00000000-0005-0000-0000-0000F48F0000}"/>
    <cellStyle name="Normal 5 17 30 4 10" xfId="36867" xr:uid="{00000000-0005-0000-0000-0000F58F0000}"/>
    <cellStyle name="Normal 5 17 30 4 2" xfId="36868" xr:uid="{00000000-0005-0000-0000-0000F68F0000}"/>
    <cellStyle name="Normal 5 17 30 4 3" xfId="36869" xr:uid="{00000000-0005-0000-0000-0000F78F0000}"/>
    <cellStyle name="Normal 5 17 30 4 4" xfId="36870" xr:uid="{00000000-0005-0000-0000-0000F88F0000}"/>
    <cellStyle name="Normal 5 17 30 4 5" xfId="36871" xr:uid="{00000000-0005-0000-0000-0000F98F0000}"/>
    <cellStyle name="Normal 5 17 30 4 6" xfId="36872" xr:uid="{00000000-0005-0000-0000-0000FA8F0000}"/>
    <cellStyle name="Normal 5 17 30 4 7" xfId="36873" xr:uid="{00000000-0005-0000-0000-0000FB8F0000}"/>
    <cellStyle name="Normal 5 17 30 4 8" xfId="36874" xr:uid="{00000000-0005-0000-0000-0000FC8F0000}"/>
    <cellStyle name="Normal 5 17 30 4 9" xfId="36875" xr:uid="{00000000-0005-0000-0000-0000FD8F0000}"/>
    <cellStyle name="Normal 5 17 30 5" xfId="36876" xr:uid="{00000000-0005-0000-0000-0000FE8F0000}"/>
    <cellStyle name="Normal 5 17 30 5 10" xfId="36877" xr:uid="{00000000-0005-0000-0000-0000FF8F0000}"/>
    <cellStyle name="Normal 5 17 30 5 2" xfId="36878" xr:uid="{00000000-0005-0000-0000-000000900000}"/>
    <cellStyle name="Normal 5 17 30 5 3" xfId="36879" xr:uid="{00000000-0005-0000-0000-000001900000}"/>
    <cellStyle name="Normal 5 17 30 5 4" xfId="36880" xr:uid="{00000000-0005-0000-0000-000002900000}"/>
    <cellStyle name="Normal 5 17 30 5 5" xfId="36881" xr:uid="{00000000-0005-0000-0000-000003900000}"/>
    <cellStyle name="Normal 5 17 30 5 6" xfId="36882" xr:uid="{00000000-0005-0000-0000-000004900000}"/>
    <cellStyle name="Normal 5 17 30 5 7" xfId="36883" xr:uid="{00000000-0005-0000-0000-000005900000}"/>
    <cellStyle name="Normal 5 17 30 5 8" xfId="36884" xr:uid="{00000000-0005-0000-0000-000006900000}"/>
    <cellStyle name="Normal 5 17 30 5 9" xfId="36885" xr:uid="{00000000-0005-0000-0000-000007900000}"/>
    <cellStyle name="Normal 5 17 30 6" xfId="36886" xr:uid="{00000000-0005-0000-0000-000008900000}"/>
    <cellStyle name="Normal 5 17 30 7" xfId="36887" xr:uid="{00000000-0005-0000-0000-000009900000}"/>
    <cellStyle name="Normal 5 17 30 8" xfId="36888" xr:uid="{00000000-0005-0000-0000-00000A900000}"/>
    <cellStyle name="Normal 5 17 30 9" xfId="36889" xr:uid="{00000000-0005-0000-0000-00000B900000}"/>
    <cellStyle name="Normal 5 17 31" xfId="36890" xr:uid="{00000000-0005-0000-0000-00000C900000}"/>
    <cellStyle name="Normal 5 17 31 10" xfId="36891" xr:uid="{00000000-0005-0000-0000-00000D900000}"/>
    <cellStyle name="Normal 5 17 31 11" xfId="36892" xr:uid="{00000000-0005-0000-0000-00000E900000}"/>
    <cellStyle name="Normal 5 17 31 12" xfId="36893" xr:uid="{00000000-0005-0000-0000-00000F900000}"/>
    <cellStyle name="Normal 5 17 31 13" xfId="36894" xr:uid="{00000000-0005-0000-0000-000010900000}"/>
    <cellStyle name="Normal 5 17 31 14" xfId="36895" xr:uid="{00000000-0005-0000-0000-000011900000}"/>
    <cellStyle name="Normal 5 17 31 2" xfId="36896" xr:uid="{00000000-0005-0000-0000-000012900000}"/>
    <cellStyle name="Normal 5 17 31 2 10" xfId="36897" xr:uid="{00000000-0005-0000-0000-000013900000}"/>
    <cellStyle name="Normal 5 17 31 2 2" xfId="36898" xr:uid="{00000000-0005-0000-0000-000014900000}"/>
    <cellStyle name="Normal 5 17 31 2 3" xfId="36899" xr:uid="{00000000-0005-0000-0000-000015900000}"/>
    <cellStyle name="Normal 5 17 31 2 4" xfId="36900" xr:uid="{00000000-0005-0000-0000-000016900000}"/>
    <cellStyle name="Normal 5 17 31 2 5" xfId="36901" xr:uid="{00000000-0005-0000-0000-000017900000}"/>
    <cellStyle name="Normal 5 17 31 2 6" xfId="36902" xr:uid="{00000000-0005-0000-0000-000018900000}"/>
    <cellStyle name="Normal 5 17 31 2 7" xfId="36903" xr:uid="{00000000-0005-0000-0000-000019900000}"/>
    <cellStyle name="Normal 5 17 31 2 8" xfId="36904" xr:uid="{00000000-0005-0000-0000-00001A900000}"/>
    <cellStyle name="Normal 5 17 31 2 9" xfId="36905" xr:uid="{00000000-0005-0000-0000-00001B900000}"/>
    <cellStyle name="Normal 5 17 31 3" xfId="36906" xr:uid="{00000000-0005-0000-0000-00001C900000}"/>
    <cellStyle name="Normal 5 17 31 3 10" xfId="36907" xr:uid="{00000000-0005-0000-0000-00001D900000}"/>
    <cellStyle name="Normal 5 17 31 3 2" xfId="36908" xr:uid="{00000000-0005-0000-0000-00001E900000}"/>
    <cellStyle name="Normal 5 17 31 3 3" xfId="36909" xr:uid="{00000000-0005-0000-0000-00001F900000}"/>
    <cellStyle name="Normal 5 17 31 3 4" xfId="36910" xr:uid="{00000000-0005-0000-0000-000020900000}"/>
    <cellStyle name="Normal 5 17 31 3 5" xfId="36911" xr:uid="{00000000-0005-0000-0000-000021900000}"/>
    <cellStyle name="Normal 5 17 31 3 6" xfId="36912" xr:uid="{00000000-0005-0000-0000-000022900000}"/>
    <cellStyle name="Normal 5 17 31 3 7" xfId="36913" xr:uid="{00000000-0005-0000-0000-000023900000}"/>
    <cellStyle name="Normal 5 17 31 3 8" xfId="36914" xr:uid="{00000000-0005-0000-0000-000024900000}"/>
    <cellStyle name="Normal 5 17 31 3 9" xfId="36915" xr:uid="{00000000-0005-0000-0000-000025900000}"/>
    <cellStyle name="Normal 5 17 31 4" xfId="36916" xr:uid="{00000000-0005-0000-0000-000026900000}"/>
    <cellStyle name="Normal 5 17 31 4 10" xfId="36917" xr:uid="{00000000-0005-0000-0000-000027900000}"/>
    <cellStyle name="Normal 5 17 31 4 2" xfId="36918" xr:uid="{00000000-0005-0000-0000-000028900000}"/>
    <cellStyle name="Normal 5 17 31 4 3" xfId="36919" xr:uid="{00000000-0005-0000-0000-000029900000}"/>
    <cellStyle name="Normal 5 17 31 4 4" xfId="36920" xr:uid="{00000000-0005-0000-0000-00002A900000}"/>
    <cellStyle name="Normal 5 17 31 4 5" xfId="36921" xr:uid="{00000000-0005-0000-0000-00002B900000}"/>
    <cellStyle name="Normal 5 17 31 4 6" xfId="36922" xr:uid="{00000000-0005-0000-0000-00002C900000}"/>
    <cellStyle name="Normal 5 17 31 4 7" xfId="36923" xr:uid="{00000000-0005-0000-0000-00002D900000}"/>
    <cellStyle name="Normal 5 17 31 4 8" xfId="36924" xr:uid="{00000000-0005-0000-0000-00002E900000}"/>
    <cellStyle name="Normal 5 17 31 4 9" xfId="36925" xr:uid="{00000000-0005-0000-0000-00002F900000}"/>
    <cellStyle name="Normal 5 17 31 5" xfId="36926" xr:uid="{00000000-0005-0000-0000-000030900000}"/>
    <cellStyle name="Normal 5 17 31 5 10" xfId="36927" xr:uid="{00000000-0005-0000-0000-000031900000}"/>
    <cellStyle name="Normal 5 17 31 5 2" xfId="36928" xr:uid="{00000000-0005-0000-0000-000032900000}"/>
    <cellStyle name="Normal 5 17 31 5 3" xfId="36929" xr:uid="{00000000-0005-0000-0000-000033900000}"/>
    <cellStyle name="Normal 5 17 31 5 4" xfId="36930" xr:uid="{00000000-0005-0000-0000-000034900000}"/>
    <cellStyle name="Normal 5 17 31 5 5" xfId="36931" xr:uid="{00000000-0005-0000-0000-000035900000}"/>
    <cellStyle name="Normal 5 17 31 5 6" xfId="36932" xr:uid="{00000000-0005-0000-0000-000036900000}"/>
    <cellStyle name="Normal 5 17 31 5 7" xfId="36933" xr:uid="{00000000-0005-0000-0000-000037900000}"/>
    <cellStyle name="Normal 5 17 31 5 8" xfId="36934" xr:uid="{00000000-0005-0000-0000-000038900000}"/>
    <cellStyle name="Normal 5 17 31 5 9" xfId="36935" xr:uid="{00000000-0005-0000-0000-000039900000}"/>
    <cellStyle name="Normal 5 17 31 6" xfId="36936" xr:uid="{00000000-0005-0000-0000-00003A900000}"/>
    <cellStyle name="Normal 5 17 31 7" xfId="36937" xr:uid="{00000000-0005-0000-0000-00003B900000}"/>
    <cellStyle name="Normal 5 17 31 8" xfId="36938" xr:uid="{00000000-0005-0000-0000-00003C900000}"/>
    <cellStyle name="Normal 5 17 31 9" xfId="36939" xr:uid="{00000000-0005-0000-0000-00003D900000}"/>
    <cellStyle name="Normal 5 17 32" xfId="36940" xr:uid="{00000000-0005-0000-0000-00003E900000}"/>
    <cellStyle name="Normal 5 17 32 10" xfId="36941" xr:uid="{00000000-0005-0000-0000-00003F900000}"/>
    <cellStyle name="Normal 5 17 32 11" xfId="36942" xr:uid="{00000000-0005-0000-0000-000040900000}"/>
    <cellStyle name="Normal 5 17 32 12" xfId="36943" xr:uid="{00000000-0005-0000-0000-000041900000}"/>
    <cellStyle name="Normal 5 17 32 13" xfId="36944" xr:uid="{00000000-0005-0000-0000-000042900000}"/>
    <cellStyle name="Normal 5 17 32 14" xfId="36945" xr:uid="{00000000-0005-0000-0000-000043900000}"/>
    <cellStyle name="Normal 5 17 32 2" xfId="36946" xr:uid="{00000000-0005-0000-0000-000044900000}"/>
    <cellStyle name="Normal 5 17 32 2 10" xfId="36947" xr:uid="{00000000-0005-0000-0000-000045900000}"/>
    <cellStyle name="Normal 5 17 32 2 2" xfId="36948" xr:uid="{00000000-0005-0000-0000-000046900000}"/>
    <cellStyle name="Normal 5 17 32 2 3" xfId="36949" xr:uid="{00000000-0005-0000-0000-000047900000}"/>
    <cellStyle name="Normal 5 17 32 2 4" xfId="36950" xr:uid="{00000000-0005-0000-0000-000048900000}"/>
    <cellStyle name="Normal 5 17 32 2 5" xfId="36951" xr:uid="{00000000-0005-0000-0000-000049900000}"/>
    <cellStyle name="Normal 5 17 32 2 6" xfId="36952" xr:uid="{00000000-0005-0000-0000-00004A900000}"/>
    <cellStyle name="Normal 5 17 32 2 7" xfId="36953" xr:uid="{00000000-0005-0000-0000-00004B900000}"/>
    <cellStyle name="Normal 5 17 32 2 8" xfId="36954" xr:uid="{00000000-0005-0000-0000-00004C900000}"/>
    <cellStyle name="Normal 5 17 32 2 9" xfId="36955" xr:uid="{00000000-0005-0000-0000-00004D900000}"/>
    <cellStyle name="Normal 5 17 32 3" xfId="36956" xr:uid="{00000000-0005-0000-0000-00004E900000}"/>
    <cellStyle name="Normal 5 17 32 3 10" xfId="36957" xr:uid="{00000000-0005-0000-0000-00004F900000}"/>
    <cellStyle name="Normal 5 17 32 3 2" xfId="36958" xr:uid="{00000000-0005-0000-0000-000050900000}"/>
    <cellStyle name="Normal 5 17 32 3 3" xfId="36959" xr:uid="{00000000-0005-0000-0000-000051900000}"/>
    <cellStyle name="Normal 5 17 32 3 4" xfId="36960" xr:uid="{00000000-0005-0000-0000-000052900000}"/>
    <cellStyle name="Normal 5 17 32 3 5" xfId="36961" xr:uid="{00000000-0005-0000-0000-000053900000}"/>
    <cellStyle name="Normal 5 17 32 3 6" xfId="36962" xr:uid="{00000000-0005-0000-0000-000054900000}"/>
    <cellStyle name="Normal 5 17 32 3 7" xfId="36963" xr:uid="{00000000-0005-0000-0000-000055900000}"/>
    <cellStyle name="Normal 5 17 32 3 8" xfId="36964" xr:uid="{00000000-0005-0000-0000-000056900000}"/>
    <cellStyle name="Normal 5 17 32 3 9" xfId="36965" xr:uid="{00000000-0005-0000-0000-000057900000}"/>
    <cellStyle name="Normal 5 17 32 4" xfId="36966" xr:uid="{00000000-0005-0000-0000-000058900000}"/>
    <cellStyle name="Normal 5 17 32 4 10" xfId="36967" xr:uid="{00000000-0005-0000-0000-000059900000}"/>
    <cellStyle name="Normal 5 17 32 4 2" xfId="36968" xr:uid="{00000000-0005-0000-0000-00005A900000}"/>
    <cellStyle name="Normal 5 17 32 4 3" xfId="36969" xr:uid="{00000000-0005-0000-0000-00005B900000}"/>
    <cellStyle name="Normal 5 17 32 4 4" xfId="36970" xr:uid="{00000000-0005-0000-0000-00005C900000}"/>
    <cellStyle name="Normal 5 17 32 4 5" xfId="36971" xr:uid="{00000000-0005-0000-0000-00005D900000}"/>
    <cellStyle name="Normal 5 17 32 4 6" xfId="36972" xr:uid="{00000000-0005-0000-0000-00005E900000}"/>
    <cellStyle name="Normal 5 17 32 4 7" xfId="36973" xr:uid="{00000000-0005-0000-0000-00005F900000}"/>
    <cellStyle name="Normal 5 17 32 4 8" xfId="36974" xr:uid="{00000000-0005-0000-0000-000060900000}"/>
    <cellStyle name="Normal 5 17 32 4 9" xfId="36975" xr:uid="{00000000-0005-0000-0000-000061900000}"/>
    <cellStyle name="Normal 5 17 32 5" xfId="36976" xr:uid="{00000000-0005-0000-0000-000062900000}"/>
    <cellStyle name="Normal 5 17 32 5 10" xfId="36977" xr:uid="{00000000-0005-0000-0000-000063900000}"/>
    <cellStyle name="Normal 5 17 32 5 2" xfId="36978" xr:uid="{00000000-0005-0000-0000-000064900000}"/>
    <cellStyle name="Normal 5 17 32 5 3" xfId="36979" xr:uid="{00000000-0005-0000-0000-000065900000}"/>
    <cellStyle name="Normal 5 17 32 5 4" xfId="36980" xr:uid="{00000000-0005-0000-0000-000066900000}"/>
    <cellStyle name="Normal 5 17 32 5 5" xfId="36981" xr:uid="{00000000-0005-0000-0000-000067900000}"/>
    <cellStyle name="Normal 5 17 32 5 6" xfId="36982" xr:uid="{00000000-0005-0000-0000-000068900000}"/>
    <cellStyle name="Normal 5 17 32 5 7" xfId="36983" xr:uid="{00000000-0005-0000-0000-000069900000}"/>
    <cellStyle name="Normal 5 17 32 5 8" xfId="36984" xr:uid="{00000000-0005-0000-0000-00006A900000}"/>
    <cellStyle name="Normal 5 17 32 5 9" xfId="36985" xr:uid="{00000000-0005-0000-0000-00006B900000}"/>
    <cellStyle name="Normal 5 17 32 6" xfId="36986" xr:uid="{00000000-0005-0000-0000-00006C900000}"/>
    <cellStyle name="Normal 5 17 32 7" xfId="36987" xr:uid="{00000000-0005-0000-0000-00006D900000}"/>
    <cellStyle name="Normal 5 17 32 8" xfId="36988" xr:uid="{00000000-0005-0000-0000-00006E900000}"/>
    <cellStyle name="Normal 5 17 32 9" xfId="36989" xr:uid="{00000000-0005-0000-0000-00006F900000}"/>
    <cellStyle name="Normal 5 17 33" xfId="36990" xr:uid="{00000000-0005-0000-0000-000070900000}"/>
    <cellStyle name="Normal 5 17 33 10" xfId="36991" xr:uid="{00000000-0005-0000-0000-000071900000}"/>
    <cellStyle name="Normal 5 17 33 11" xfId="36992" xr:uid="{00000000-0005-0000-0000-000072900000}"/>
    <cellStyle name="Normal 5 17 33 12" xfId="36993" xr:uid="{00000000-0005-0000-0000-000073900000}"/>
    <cellStyle name="Normal 5 17 33 13" xfId="36994" xr:uid="{00000000-0005-0000-0000-000074900000}"/>
    <cellStyle name="Normal 5 17 33 14" xfId="36995" xr:uid="{00000000-0005-0000-0000-000075900000}"/>
    <cellStyle name="Normal 5 17 33 2" xfId="36996" xr:uid="{00000000-0005-0000-0000-000076900000}"/>
    <cellStyle name="Normal 5 17 33 2 10" xfId="36997" xr:uid="{00000000-0005-0000-0000-000077900000}"/>
    <cellStyle name="Normal 5 17 33 2 2" xfId="36998" xr:uid="{00000000-0005-0000-0000-000078900000}"/>
    <cellStyle name="Normal 5 17 33 2 3" xfId="36999" xr:uid="{00000000-0005-0000-0000-000079900000}"/>
    <cellStyle name="Normal 5 17 33 2 4" xfId="37000" xr:uid="{00000000-0005-0000-0000-00007A900000}"/>
    <cellStyle name="Normal 5 17 33 2 5" xfId="37001" xr:uid="{00000000-0005-0000-0000-00007B900000}"/>
    <cellStyle name="Normal 5 17 33 2 6" xfId="37002" xr:uid="{00000000-0005-0000-0000-00007C900000}"/>
    <cellStyle name="Normal 5 17 33 2 7" xfId="37003" xr:uid="{00000000-0005-0000-0000-00007D900000}"/>
    <cellStyle name="Normal 5 17 33 2 8" xfId="37004" xr:uid="{00000000-0005-0000-0000-00007E900000}"/>
    <cellStyle name="Normal 5 17 33 2 9" xfId="37005" xr:uid="{00000000-0005-0000-0000-00007F900000}"/>
    <cellStyle name="Normal 5 17 33 3" xfId="37006" xr:uid="{00000000-0005-0000-0000-000080900000}"/>
    <cellStyle name="Normal 5 17 33 3 10" xfId="37007" xr:uid="{00000000-0005-0000-0000-000081900000}"/>
    <cellStyle name="Normal 5 17 33 3 2" xfId="37008" xr:uid="{00000000-0005-0000-0000-000082900000}"/>
    <cellStyle name="Normal 5 17 33 3 3" xfId="37009" xr:uid="{00000000-0005-0000-0000-000083900000}"/>
    <cellStyle name="Normal 5 17 33 3 4" xfId="37010" xr:uid="{00000000-0005-0000-0000-000084900000}"/>
    <cellStyle name="Normal 5 17 33 3 5" xfId="37011" xr:uid="{00000000-0005-0000-0000-000085900000}"/>
    <cellStyle name="Normal 5 17 33 3 6" xfId="37012" xr:uid="{00000000-0005-0000-0000-000086900000}"/>
    <cellStyle name="Normal 5 17 33 3 7" xfId="37013" xr:uid="{00000000-0005-0000-0000-000087900000}"/>
    <cellStyle name="Normal 5 17 33 3 8" xfId="37014" xr:uid="{00000000-0005-0000-0000-000088900000}"/>
    <cellStyle name="Normal 5 17 33 3 9" xfId="37015" xr:uid="{00000000-0005-0000-0000-000089900000}"/>
    <cellStyle name="Normal 5 17 33 4" xfId="37016" xr:uid="{00000000-0005-0000-0000-00008A900000}"/>
    <cellStyle name="Normal 5 17 33 4 10" xfId="37017" xr:uid="{00000000-0005-0000-0000-00008B900000}"/>
    <cellStyle name="Normal 5 17 33 4 2" xfId="37018" xr:uid="{00000000-0005-0000-0000-00008C900000}"/>
    <cellStyle name="Normal 5 17 33 4 3" xfId="37019" xr:uid="{00000000-0005-0000-0000-00008D900000}"/>
    <cellStyle name="Normal 5 17 33 4 4" xfId="37020" xr:uid="{00000000-0005-0000-0000-00008E900000}"/>
    <cellStyle name="Normal 5 17 33 4 5" xfId="37021" xr:uid="{00000000-0005-0000-0000-00008F900000}"/>
    <cellStyle name="Normal 5 17 33 4 6" xfId="37022" xr:uid="{00000000-0005-0000-0000-000090900000}"/>
    <cellStyle name="Normal 5 17 33 4 7" xfId="37023" xr:uid="{00000000-0005-0000-0000-000091900000}"/>
    <cellStyle name="Normal 5 17 33 4 8" xfId="37024" xr:uid="{00000000-0005-0000-0000-000092900000}"/>
    <cellStyle name="Normal 5 17 33 4 9" xfId="37025" xr:uid="{00000000-0005-0000-0000-000093900000}"/>
    <cellStyle name="Normal 5 17 33 5" xfId="37026" xr:uid="{00000000-0005-0000-0000-000094900000}"/>
    <cellStyle name="Normal 5 17 33 5 10" xfId="37027" xr:uid="{00000000-0005-0000-0000-000095900000}"/>
    <cellStyle name="Normal 5 17 33 5 2" xfId="37028" xr:uid="{00000000-0005-0000-0000-000096900000}"/>
    <cellStyle name="Normal 5 17 33 5 3" xfId="37029" xr:uid="{00000000-0005-0000-0000-000097900000}"/>
    <cellStyle name="Normal 5 17 33 5 4" xfId="37030" xr:uid="{00000000-0005-0000-0000-000098900000}"/>
    <cellStyle name="Normal 5 17 33 5 5" xfId="37031" xr:uid="{00000000-0005-0000-0000-000099900000}"/>
    <cellStyle name="Normal 5 17 33 5 6" xfId="37032" xr:uid="{00000000-0005-0000-0000-00009A900000}"/>
    <cellStyle name="Normal 5 17 33 5 7" xfId="37033" xr:uid="{00000000-0005-0000-0000-00009B900000}"/>
    <cellStyle name="Normal 5 17 33 5 8" xfId="37034" xr:uid="{00000000-0005-0000-0000-00009C900000}"/>
    <cellStyle name="Normal 5 17 33 5 9" xfId="37035" xr:uid="{00000000-0005-0000-0000-00009D900000}"/>
    <cellStyle name="Normal 5 17 33 6" xfId="37036" xr:uid="{00000000-0005-0000-0000-00009E900000}"/>
    <cellStyle name="Normal 5 17 33 7" xfId="37037" xr:uid="{00000000-0005-0000-0000-00009F900000}"/>
    <cellStyle name="Normal 5 17 33 8" xfId="37038" xr:uid="{00000000-0005-0000-0000-0000A0900000}"/>
    <cellStyle name="Normal 5 17 33 9" xfId="37039" xr:uid="{00000000-0005-0000-0000-0000A1900000}"/>
    <cellStyle name="Normal 5 17 34" xfId="37040" xr:uid="{00000000-0005-0000-0000-0000A2900000}"/>
    <cellStyle name="Normal 5 17 34 10" xfId="37041" xr:uid="{00000000-0005-0000-0000-0000A3900000}"/>
    <cellStyle name="Normal 5 17 34 11" xfId="37042" xr:uid="{00000000-0005-0000-0000-0000A4900000}"/>
    <cellStyle name="Normal 5 17 34 12" xfId="37043" xr:uid="{00000000-0005-0000-0000-0000A5900000}"/>
    <cellStyle name="Normal 5 17 34 13" xfId="37044" xr:uid="{00000000-0005-0000-0000-0000A6900000}"/>
    <cellStyle name="Normal 5 17 34 14" xfId="37045" xr:uid="{00000000-0005-0000-0000-0000A7900000}"/>
    <cellStyle name="Normal 5 17 34 2" xfId="37046" xr:uid="{00000000-0005-0000-0000-0000A8900000}"/>
    <cellStyle name="Normal 5 17 34 2 10" xfId="37047" xr:uid="{00000000-0005-0000-0000-0000A9900000}"/>
    <cellStyle name="Normal 5 17 34 2 2" xfId="37048" xr:uid="{00000000-0005-0000-0000-0000AA900000}"/>
    <cellStyle name="Normal 5 17 34 2 3" xfId="37049" xr:uid="{00000000-0005-0000-0000-0000AB900000}"/>
    <cellStyle name="Normal 5 17 34 2 4" xfId="37050" xr:uid="{00000000-0005-0000-0000-0000AC900000}"/>
    <cellStyle name="Normal 5 17 34 2 5" xfId="37051" xr:uid="{00000000-0005-0000-0000-0000AD900000}"/>
    <cellStyle name="Normal 5 17 34 2 6" xfId="37052" xr:uid="{00000000-0005-0000-0000-0000AE900000}"/>
    <cellStyle name="Normal 5 17 34 2 7" xfId="37053" xr:uid="{00000000-0005-0000-0000-0000AF900000}"/>
    <cellStyle name="Normal 5 17 34 2 8" xfId="37054" xr:uid="{00000000-0005-0000-0000-0000B0900000}"/>
    <cellStyle name="Normal 5 17 34 2 9" xfId="37055" xr:uid="{00000000-0005-0000-0000-0000B1900000}"/>
    <cellStyle name="Normal 5 17 34 3" xfId="37056" xr:uid="{00000000-0005-0000-0000-0000B2900000}"/>
    <cellStyle name="Normal 5 17 34 3 10" xfId="37057" xr:uid="{00000000-0005-0000-0000-0000B3900000}"/>
    <cellStyle name="Normal 5 17 34 3 2" xfId="37058" xr:uid="{00000000-0005-0000-0000-0000B4900000}"/>
    <cellStyle name="Normal 5 17 34 3 3" xfId="37059" xr:uid="{00000000-0005-0000-0000-0000B5900000}"/>
    <cellStyle name="Normal 5 17 34 3 4" xfId="37060" xr:uid="{00000000-0005-0000-0000-0000B6900000}"/>
    <cellStyle name="Normal 5 17 34 3 5" xfId="37061" xr:uid="{00000000-0005-0000-0000-0000B7900000}"/>
    <cellStyle name="Normal 5 17 34 3 6" xfId="37062" xr:uid="{00000000-0005-0000-0000-0000B8900000}"/>
    <cellStyle name="Normal 5 17 34 3 7" xfId="37063" xr:uid="{00000000-0005-0000-0000-0000B9900000}"/>
    <cellStyle name="Normal 5 17 34 3 8" xfId="37064" xr:uid="{00000000-0005-0000-0000-0000BA900000}"/>
    <cellStyle name="Normal 5 17 34 3 9" xfId="37065" xr:uid="{00000000-0005-0000-0000-0000BB900000}"/>
    <cellStyle name="Normal 5 17 34 4" xfId="37066" xr:uid="{00000000-0005-0000-0000-0000BC900000}"/>
    <cellStyle name="Normal 5 17 34 4 10" xfId="37067" xr:uid="{00000000-0005-0000-0000-0000BD900000}"/>
    <cellStyle name="Normal 5 17 34 4 2" xfId="37068" xr:uid="{00000000-0005-0000-0000-0000BE900000}"/>
    <cellStyle name="Normal 5 17 34 4 3" xfId="37069" xr:uid="{00000000-0005-0000-0000-0000BF900000}"/>
    <cellStyle name="Normal 5 17 34 4 4" xfId="37070" xr:uid="{00000000-0005-0000-0000-0000C0900000}"/>
    <cellStyle name="Normal 5 17 34 4 5" xfId="37071" xr:uid="{00000000-0005-0000-0000-0000C1900000}"/>
    <cellStyle name="Normal 5 17 34 4 6" xfId="37072" xr:uid="{00000000-0005-0000-0000-0000C2900000}"/>
    <cellStyle name="Normal 5 17 34 4 7" xfId="37073" xr:uid="{00000000-0005-0000-0000-0000C3900000}"/>
    <cellStyle name="Normal 5 17 34 4 8" xfId="37074" xr:uid="{00000000-0005-0000-0000-0000C4900000}"/>
    <cellStyle name="Normal 5 17 34 4 9" xfId="37075" xr:uid="{00000000-0005-0000-0000-0000C5900000}"/>
    <cellStyle name="Normal 5 17 34 5" xfId="37076" xr:uid="{00000000-0005-0000-0000-0000C6900000}"/>
    <cellStyle name="Normal 5 17 34 5 10" xfId="37077" xr:uid="{00000000-0005-0000-0000-0000C7900000}"/>
    <cellStyle name="Normal 5 17 34 5 2" xfId="37078" xr:uid="{00000000-0005-0000-0000-0000C8900000}"/>
    <cellStyle name="Normal 5 17 34 5 3" xfId="37079" xr:uid="{00000000-0005-0000-0000-0000C9900000}"/>
    <cellStyle name="Normal 5 17 34 5 4" xfId="37080" xr:uid="{00000000-0005-0000-0000-0000CA900000}"/>
    <cellStyle name="Normal 5 17 34 5 5" xfId="37081" xr:uid="{00000000-0005-0000-0000-0000CB900000}"/>
    <cellStyle name="Normal 5 17 34 5 6" xfId="37082" xr:uid="{00000000-0005-0000-0000-0000CC900000}"/>
    <cellStyle name="Normal 5 17 34 5 7" xfId="37083" xr:uid="{00000000-0005-0000-0000-0000CD900000}"/>
    <cellStyle name="Normal 5 17 34 5 8" xfId="37084" xr:uid="{00000000-0005-0000-0000-0000CE900000}"/>
    <cellStyle name="Normal 5 17 34 5 9" xfId="37085" xr:uid="{00000000-0005-0000-0000-0000CF900000}"/>
    <cellStyle name="Normal 5 17 34 6" xfId="37086" xr:uid="{00000000-0005-0000-0000-0000D0900000}"/>
    <cellStyle name="Normal 5 17 34 7" xfId="37087" xr:uid="{00000000-0005-0000-0000-0000D1900000}"/>
    <cellStyle name="Normal 5 17 34 8" xfId="37088" xr:uid="{00000000-0005-0000-0000-0000D2900000}"/>
    <cellStyle name="Normal 5 17 34 9" xfId="37089" xr:uid="{00000000-0005-0000-0000-0000D3900000}"/>
    <cellStyle name="Normal 5 17 35" xfId="37090" xr:uid="{00000000-0005-0000-0000-0000D4900000}"/>
    <cellStyle name="Normal 5 17 35 10" xfId="37091" xr:uid="{00000000-0005-0000-0000-0000D5900000}"/>
    <cellStyle name="Normal 5 17 35 2" xfId="37092" xr:uid="{00000000-0005-0000-0000-0000D6900000}"/>
    <cellStyle name="Normal 5 17 35 3" xfId="37093" xr:uid="{00000000-0005-0000-0000-0000D7900000}"/>
    <cellStyle name="Normal 5 17 35 4" xfId="37094" xr:uid="{00000000-0005-0000-0000-0000D8900000}"/>
    <cellStyle name="Normal 5 17 35 5" xfId="37095" xr:uid="{00000000-0005-0000-0000-0000D9900000}"/>
    <cellStyle name="Normal 5 17 35 6" xfId="37096" xr:uid="{00000000-0005-0000-0000-0000DA900000}"/>
    <cellStyle name="Normal 5 17 35 7" xfId="37097" xr:uid="{00000000-0005-0000-0000-0000DB900000}"/>
    <cellStyle name="Normal 5 17 35 8" xfId="37098" xr:uid="{00000000-0005-0000-0000-0000DC900000}"/>
    <cellStyle name="Normal 5 17 35 9" xfId="37099" xr:uid="{00000000-0005-0000-0000-0000DD900000}"/>
    <cellStyle name="Normal 5 17 36" xfId="37100" xr:uid="{00000000-0005-0000-0000-0000DE900000}"/>
    <cellStyle name="Normal 5 17 36 10" xfId="37101" xr:uid="{00000000-0005-0000-0000-0000DF900000}"/>
    <cellStyle name="Normal 5 17 36 2" xfId="37102" xr:uid="{00000000-0005-0000-0000-0000E0900000}"/>
    <cellStyle name="Normal 5 17 36 3" xfId="37103" xr:uid="{00000000-0005-0000-0000-0000E1900000}"/>
    <cellStyle name="Normal 5 17 36 4" xfId="37104" xr:uid="{00000000-0005-0000-0000-0000E2900000}"/>
    <cellStyle name="Normal 5 17 36 5" xfId="37105" xr:uid="{00000000-0005-0000-0000-0000E3900000}"/>
    <cellStyle name="Normal 5 17 36 6" xfId="37106" xr:uid="{00000000-0005-0000-0000-0000E4900000}"/>
    <cellStyle name="Normal 5 17 36 7" xfId="37107" xr:uid="{00000000-0005-0000-0000-0000E5900000}"/>
    <cellStyle name="Normal 5 17 36 8" xfId="37108" xr:uid="{00000000-0005-0000-0000-0000E6900000}"/>
    <cellStyle name="Normal 5 17 36 9" xfId="37109" xr:uid="{00000000-0005-0000-0000-0000E7900000}"/>
    <cellStyle name="Normal 5 17 37" xfId="37110" xr:uid="{00000000-0005-0000-0000-0000E8900000}"/>
    <cellStyle name="Normal 5 17 37 10" xfId="37111" xr:uid="{00000000-0005-0000-0000-0000E9900000}"/>
    <cellStyle name="Normal 5 17 37 2" xfId="37112" xr:uid="{00000000-0005-0000-0000-0000EA900000}"/>
    <cellStyle name="Normal 5 17 37 3" xfId="37113" xr:uid="{00000000-0005-0000-0000-0000EB900000}"/>
    <cellStyle name="Normal 5 17 37 4" xfId="37114" xr:uid="{00000000-0005-0000-0000-0000EC900000}"/>
    <cellStyle name="Normal 5 17 37 5" xfId="37115" xr:uid="{00000000-0005-0000-0000-0000ED900000}"/>
    <cellStyle name="Normal 5 17 37 6" xfId="37116" xr:uid="{00000000-0005-0000-0000-0000EE900000}"/>
    <cellStyle name="Normal 5 17 37 7" xfId="37117" xr:uid="{00000000-0005-0000-0000-0000EF900000}"/>
    <cellStyle name="Normal 5 17 37 8" xfId="37118" xr:uid="{00000000-0005-0000-0000-0000F0900000}"/>
    <cellStyle name="Normal 5 17 37 9" xfId="37119" xr:uid="{00000000-0005-0000-0000-0000F1900000}"/>
    <cellStyle name="Normal 5 17 38" xfId="37120" xr:uid="{00000000-0005-0000-0000-0000F2900000}"/>
    <cellStyle name="Normal 5 17 38 10" xfId="37121" xr:uid="{00000000-0005-0000-0000-0000F3900000}"/>
    <cellStyle name="Normal 5 17 38 2" xfId="37122" xr:uid="{00000000-0005-0000-0000-0000F4900000}"/>
    <cellStyle name="Normal 5 17 38 3" xfId="37123" xr:uid="{00000000-0005-0000-0000-0000F5900000}"/>
    <cellStyle name="Normal 5 17 38 4" xfId="37124" xr:uid="{00000000-0005-0000-0000-0000F6900000}"/>
    <cellStyle name="Normal 5 17 38 5" xfId="37125" xr:uid="{00000000-0005-0000-0000-0000F7900000}"/>
    <cellStyle name="Normal 5 17 38 6" xfId="37126" xr:uid="{00000000-0005-0000-0000-0000F8900000}"/>
    <cellStyle name="Normal 5 17 38 7" xfId="37127" xr:uid="{00000000-0005-0000-0000-0000F9900000}"/>
    <cellStyle name="Normal 5 17 38 8" xfId="37128" xr:uid="{00000000-0005-0000-0000-0000FA900000}"/>
    <cellStyle name="Normal 5 17 38 9" xfId="37129" xr:uid="{00000000-0005-0000-0000-0000FB900000}"/>
    <cellStyle name="Normal 5 17 39" xfId="37130" xr:uid="{00000000-0005-0000-0000-0000FC900000}"/>
    <cellStyle name="Normal 5 17 4" xfId="37131" xr:uid="{00000000-0005-0000-0000-0000FD900000}"/>
    <cellStyle name="Normal 5 17 4 10" xfId="37132" xr:uid="{00000000-0005-0000-0000-0000FE900000}"/>
    <cellStyle name="Normal 5 17 4 11" xfId="37133" xr:uid="{00000000-0005-0000-0000-0000FF900000}"/>
    <cellStyle name="Normal 5 17 4 12" xfId="37134" xr:uid="{00000000-0005-0000-0000-000000910000}"/>
    <cellStyle name="Normal 5 17 4 13" xfId="37135" xr:uid="{00000000-0005-0000-0000-000001910000}"/>
    <cellStyle name="Normal 5 17 4 14" xfId="37136" xr:uid="{00000000-0005-0000-0000-000002910000}"/>
    <cellStyle name="Normal 5 17 4 2" xfId="37137" xr:uid="{00000000-0005-0000-0000-000003910000}"/>
    <cellStyle name="Normal 5 17 4 2 10" xfId="37138" xr:uid="{00000000-0005-0000-0000-000004910000}"/>
    <cellStyle name="Normal 5 17 4 2 2" xfId="37139" xr:uid="{00000000-0005-0000-0000-000005910000}"/>
    <cellStyle name="Normal 5 17 4 2 3" xfId="37140" xr:uid="{00000000-0005-0000-0000-000006910000}"/>
    <cellStyle name="Normal 5 17 4 2 4" xfId="37141" xr:uid="{00000000-0005-0000-0000-000007910000}"/>
    <cellStyle name="Normal 5 17 4 2 5" xfId="37142" xr:uid="{00000000-0005-0000-0000-000008910000}"/>
    <cellStyle name="Normal 5 17 4 2 6" xfId="37143" xr:uid="{00000000-0005-0000-0000-000009910000}"/>
    <cellStyle name="Normal 5 17 4 2 7" xfId="37144" xr:uid="{00000000-0005-0000-0000-00000A910000}"/>
    <cellStyle name="Normal 5 17 4 2 8" xfId="37145" xr:uid="{00000000-0005-0000-0000-00000B910000}"/>
    <cellStyle name="Normal 5 17 4 2 9" xfId="37146" xr:uid="{00000000-0005-0000-0000-00000C910000}"/>
    <cellStyle name="Normal 5 17 4 3" xfId="37147" xr:uid="{00000000-0005-0000-0000-00000D910000}"/>
    <cellStyle name="Normal 5 17 4 3 10" xfId="37148" xr:uid="{00000000-0005-0000-0000-00000E910000}"/>
    <cellStyle name="Normal 5 17 4 3 2" xfId="37149" xr:uid="{00000000-0005-0000-0000-00000F910000}"/>
    <cellStyle name="Normal 5 17 4 3 3" xfId="37150" xr:uid="{00000000-0005-0000-0000-000010910000}"/>
    <cellStyle name="Normal 5 17 4 3 4" xfId="37151" xr:uid="{00000000-0005-0000-0000-000011910000}"/>
    <cellStyle name="Normal 5 17 4 3 5" xfId="37152" xr:uid="{00000000-0005-0000-0000-000012910000}"/>
    <cellStyle name="Normal 5 17 4 3 6" xfId="37153" xr:uid="{00000000-0005-0000-0000-000013910000}"/>
    <cellStyle name="Normal 5 17 4 3 7" xfId="37154" xr:uid="{00000000-0005-0000-0000-000014910000}"/>
    <cellStyle name="Normal 5 17 4 3 8" xfId="37155" xr:uid="{00000000-0005-0000-0000-000015910000}"/>
    <cellStyle name="Normal 5 17 4 3 9" xfId="37156" xr:uid="{00000000-0005-0000-0000-000016910000}"/>
    <cellStyle name="Normal 5 17 4 4" xfId="37157" xr:uid="{00000000-0005-0000-0000-000017910000}"/>
    <cellStyle name="Normal 5 17 4 4 10" xfId="37158" xr:uid="{00000000-0005-0000-0000-000018910000}"/>
    <cellStyle name="Normal 5 17 4 4 2" xfId="37159" xr:uid="{00000000-0005-0000-0000-000019910000}"/>
    <cellStyle name="Normal 5 17 4 4 3" xfId="37160" xr:uid="{00000000-0005-0000-0000-00001A910000}"/>
    <cellStyle name="Normal 5 17 4 4 4" xfId="37161" xr:uid="{00000000-0005-0000-0000-00001B910000}"/>
    <cellStyle name="Normal 5 17 4 4 5" xfId="37162" xr:uid="{00000000-0005-0000-0000-00001C910000}"/>
    <cellStyle name="Normal 5 17 4 4 6" xfId="37163" xr:uid="{00000000-0005-0000-0000-00001D910000}"/>
    <cellStyle name="Normal 5 17 4 4 7" xfId="37164" xr:uid="{00000000-0005-0000-0000-00001E910000}"/>
    <cellStyle name="Normal 5 17 4 4 8" xfId="37165" xr:uid="{00000000-0005-0000-0000-00001F910000}"/>
    <cellStyle name="Normal 5 17 4 4 9" xfId="37166" xr:uid="{00000000-0005-0000-0000-000020910000}"/>
    <cellStyle name="Normal 5 17 4 5" xfId="37167" xr:uid="{00000000-0005-0000-0000-000021910000}"/>
    <cellStyle name="Normal 5 17 4 5 10" xfId="37168" xr:uid="{00000000-0005-0000-0000-000022910000}"/>
    <cellStyle name="Normal 5 17 4 5 2" xfId="37169" xr:uid="{00000000-0005-0000-0000-000023910000}"/>
    <cellStyle name="Normal 5 17 4 5 3" xfId="37170" xr:uid="{00000000-0005-0000-0000-000024910000}"/>
    <cellStyle name="Normal 5 17 4 5 4" xfId="37171" xr:uid="{00000000-0005-0000-0000-000025910000}"/>
    <cellStyle name="Normal 5 17 4 5 5" xfId="37172" xr:uid="{00000000-0005-0000-0000-000026910000}"/>
    <cellStyle name="Normal 5 17 4 5 6" xfId="37173" xr:uid="{00000000-0005-0000-0000-000027910000}"/>
    <cellStyle name="Normal 5 17 4 5 7" xfId="37174" xr:uid="{00000000-0005-0000-0000-000028910000}"/>
    <cellStyle name="Normal 5 17 4 5 8" xfId="37175" xr:uid="{00000000-0005-0000-0000-000029910000}"/>
    <cellStyle name="Normal 5 17 4 5 9" xfId="37176" xr:uid="{00000000-0005-0000-0000-00002A910000}"/>
    <cellStyle name="Normal 5 17 4 6" xfId="37177" xr:uid="{00000000-0005-0000-0000-00002B910000}"/>
    <cellStyle name="Normal 5 17 4 7" xfId="37178" xr:uid="{00000000-0005-0000-0000-00002C910000}"/>
    <cellStyle name="Normal 5 17 4 8" xfId="37179" xr:uid="{00000000-0005-0000-0000-00002D910000}"/>
    <cellStyle name="Normal 5 17 4 9" xfId="37180" xr:uid="{00000000-0005-0000-0000-00002E910000}"/>
    <cellStyle name="Normal 5 17 40" xfId="37181" xr:uid="{00000000-0005-0000-0000-00002F910000}"/>
    <cellStyle name="Normal 5 17 41" xfId="37182" xr:uid="{00000000-0005-0000-0000-000030910000}"/>
    <cellStyle name="Normal 5 17 42" xfId="37183" xr:uid="{00000000-0005-0000-0000-000031910000}"/>
    <cellStyle name="Normal 5 17 43" xfId="37184" xr:uid="{00000000-0005-0000-0000-000032910000}"/>
    <cellStyle name="Normal 5 17 44" xfId="37185" xr:uid="{00000000-0005-0000-0000-000033910000}"/>
    <cellStyle name="Normal 5 17 45" xfId="37186" xr:uid="{00000000-0005-0000-0000-000034910000}"/>
    <cellStyle name="Normal 5 17 46" xfId="37187" xr:uid="{00000000-0005-0000-0000-000035910000}"/>
    <cellStyle name="Normal 5 17 47" xfId="37188" xr:uid="{00000000-0005-0000-0000-000036910000}"/>
    <cellStyle name="Normal 5 17 48" xfId="37189" xr:uid="{00000000-0005-0000-0000-000037910000}"/>
    <cellStyle name="Normal 5 17 49" xfId="37190" xr:uid="{00000000-0005-0000-0000-000038910000}"/>
    <cellStyle name="Normal 5 17 5" xfId="37191" xr:uid="{00000000-0005-0000-0000-000039910000}"/>
    <cellStyle name="Normal 5 17 5 10" xfId="37192" xr:uid="{00000000-0005-0000-0000-00003A910000}"/>
    <cellStyle name="Normal 5 17 5 11" xfId="37193" xr:uid="{00000000-0005-0000-0000-00003B910000}"/>
    <cellStyle name="Normal 5 17 5 12" xfId="37194" xr:uid="{00000000-0005-0000-0000-00003C910000}"/>
    <cellStyle name="Normal 5 17 5 13" xfId="37195" xr:uid="{00000000-0005-0000-0000-00003D910000}"/>
    <cellStyle name="Normal 5 17 5 14" xfId="37196" xr:uid="{00000000-0005-0000-0000-00003E910000}"/>
    <cellStyle name="Normal 5 17 5 2" xfId="37197" xr:uid="{00000000-0005-0000-0000-00003F910000}"/>
    <cellStyle name="Normal 5 17 5 2 10" xfId="37198" xr:uid="{00000000-0005-0000-0000-000040910000}"/>
    <cellStyle name="Normal 5 17 5 2 2" xfId="37199" xr:uid="{00000000-0005-0000-0000-000041910000}"/>
    <cellStyle name="Normal 5 17 5 2 3" xfId="37200" xr:uid="{00000000-0005-0000-0000-000042910000}"/>
    <cellStyle name="Normal 5 17 5 2 4" xfId="37201" xr:uid="{00000000-0005-0000-0000-000043910000}"/>
    <cellStyle name="Normal 5 17 5 2 5" xfId="37202" xr:uid="{00000000-0005-0000-0000-000044910000}"/>
    <cellStyle name="Normal 5 17 5 2 6" xfId="37203" xr:uid="{00000000-0005-0000-0000-000045910000}"/>
    <cellStyle name="Normal 5 17 5 2 7" xfId="37204" xr:uid="{00000000-0005-0000-0000-000046910000}"/>
    <cellStyle name="Normal 5 17 5 2 8" xfId="37205" xr:uid="{00000000-0005-0000-0000-000047910000}"/>
    <cellStyle name="Normal 5 17 5 2 9" xfId="37206" xr:uid="{00000000-0005-0000-0000-000048910000}"/>
    <cellStyle name="Normal 5 17 5 3" xfId="37207" xr:uid="{00000000-0005-0000-0000-000049910000}"/>
    <cellStyle name="Normal 5 17 5 3 10" xfId="37208" xr:uid="{00000000-0005-0000-0000-00004A910000}"/>
    <cellStyle name="Normal 5 17 5 3 2" xfId="37209" xr:uid="{00000000-0005-0000-0000-00004B910000}"/>
    <cellStyle name="Normal 5 17 5 3 3" xfId="37210" xr:uid="{00000000-0005-0000-0000-00004C910000}"/>
    <cellStyle name="Normal 5 17 5 3 4" xfId="37211" xr:uid="{00000000-0005-0000-0000-00004D910000}"/>
    <cellStyle name="Normal 5 17 5 3 5" xfId="37212" xr:uid="{00000000-0005-0000-0000-00004E910000}"/>
    <cellStyle name="Normal 5 17 5 3 6" xfId="37213" xr:uid="{00000000-0005-0000-0000-00004F910000}"/>
    <cellStyle name="Normal 5 17 5 3 7" xfId="37214" xr:uid="{00000000-0005-0000-0000-000050910000}"/>
    <cellStyle name="Normal 5 17 5 3 8" xfId="37215" xr:uid="{00000000-0005-0000-0000-000051910000}"/>
    <cellStyle name="Normal 5 17 5 3 9" xfId="37216" xr:uid="{00000000-0005-0000-0000-000052910000}"/>
    <cellStyle name="Normal 5 17 5 4" xfId="37217" xr:uid="{00000000-0005-0000-0000-000053910000}"/>
    <cellStyle name="Normal 5 17 5 4 10" xfId="37218" xr:uid="{00000000-0005-0000-0000-000054910000}"/>
    <cellStyle name="Normal 5 17 5 4 2" xfId="37219" xr:uid="{00000000-0005-0000-0000-000055910000}"/>
    <cellStyle name="Normal 5 17 5 4 3" xfId="37220" xr:uid="{00000000-0005-0000-0000-000056910000}"/>
    <cellStyle name="Normal 5 17 5 4 4" xfId="37221" xr:uid="{00000000-0005-0000-0000-000057910000}"/>
    <cellStyle name="Normal 5 17 5 4 5" xfId="37222" xr:uid="{00000000-0005-0000-0000-000058910000}"/>
    <cellStyle name="Normal 5 17 5 4 6" xfId="37223" xr:uid="{00000000-0005-0000-0000-000059910000}"/>
    <cellStyle name="Normal 5 17 5 4 7" xfId="37224" xr:uid="{00000000-0005-0000-0000-00005A910000}"/>
    <cellStyle name="Normal 5 17 5 4 8" xfId="37225" xr:uid="{00000000-0005-0000-0000-00005B910000}"/>
    <cellStyle name="Normal 5 17 5 4 9" xfId="37226" xr:uid="{00000000-0005-0000-0000-00005C910000}"/>
    <cellStyle name="Normal 5 17 5 5" xfId="37227" xr:uid="{00000000-0005-0000-0000-00005D910000}"/>
    <cellStyle name="Normal 5 17 5 5 10" xfId="37228" xr:uid="{00000000-0005-0000-0000-00005E910000}"/>
    <cellStyle name="Normal 5 17 5 5 2" xfId="37229" xr:uid="{00000000-0005-0000-0000-00005F910000}"/>
    <cellStyle name="Normal 5 17 5 5 3" xfId="37230" xr:uid="{00000000-0005-0000-0000-000060910000}"/>
    <cellStyle name="Normal 5 17 5 5 4" xfId="37231" xr:uid="{00000000-0005-0000-0000-000061910000}"/>
    <cellStyle name="Normal 5 17 5 5 5" xfId="37232" xr:uid="{00000000-0005-0000-0000-000062910000}"/>
    <cellStyle name="Normal 5 17 5 5 6" xfId="37233" xr:uid="{00000000-0005-0000-0000-000063910000}"/>
    <cellStyle name="Normal 5 17 5 5 7" xfId="37234" xr:uid="{00000000-0005-0000-0000-000064910000}"/>
    <cellStyle name="Normal 5 17 5 5 8" xfId="37235" xr:uid="{00000000-0005-0000-0000-000065910000}"/>
    <cellStyle name="Normal 5 17 5 5 9" xfId="37236" xr:uid="{00000000-0005-0000-0000-000066910000}"/>
    <cellStyle name="Normal 5 17 5 6" xfId="37237" xr:uid="{00000000-0005-0000-0000-000067910000}"/>
    <cellStyle name="Normal 5 17 5 7" xfId="37238" xr:uid="{00000000-0005-0000-0000-000068910000}"/>
    <cellStyle name="Normal 5 17 5 8" xfId="37239" xr:uid="{00000000-0005-0000-0000-000069910000}"/>
    <cellStyle name="Normal 5 17 5 9" xfId="37240" xr:uid="{00000000-0005-0000-0000-00006A910000}"/>
    <cellStyle name="Normal 5 17 6" xfId="37241" xr:uid="{00000000-0005-0000-0000-00006B910000}"/>
    <cellStyle name="Normal 5 17 6 10" xfId="37242" xr:uid="{00000000-0005-0000-0000-00006C910000}"/>
    <cellStyle name="Normal 5 17 6 11" xfId="37243" xr:uid="{00000000-0005-0000-0000-00006D910000}"/>
    <cellStyle name="Normal 5 17 6 12" xfId="37244" xr:uid="{00000000-0005-0000-0000-00006E910000}"/>
    <cellStyle name="Normal 5 17 6 13" xfId="37245" xr:uid="{00000000-0005-0000-0000-00006F910000}"/>
    <cellStyle name="Normal 5 17 6 14" xfId="37246" xr:uid="{00000000-0005-0000-0000-000070910000}"/>
    <cellStyle name="Normal 5 17 6 2" xfId="37247" xr:uid="{00000000-0005-0000-0000-000071910000}"/>
    <cellStyle name="Normal 5 17 6 2 10" xfId="37248" xr:uid="{00000000-0005-0000-0000-000072910000}"/>
    <cellStyle name="Normal 5 17 6 2 2" xfId="37249" xr:uid="{00000000-0005-0000-0000-000073910000}"/>
    <cellStyle name="Normal 5 17 6 2 3" xfId="37250" xr:uid="{00000000-0005-0000-0000-000074910000}"/>
    <cellStyle name="Normal 5 17 6 2 4" xfId="37251" xr:uid="{00000000-0005-0000-0000-000075910000}"/>
    <cellStyle name="Normal 5 17 6 2 5" xfId="37252" xr:uid="{00000000-0005-0000-0000-000076910000}"/>
    <cellStyle name="Normal 5 17 6 2 6" xfId="37253" xr:uid="{00000000-0005-0000-0000-000077910000}"/>
    <cellStyle name="Normal 5 17 6 2 7" xfId="37254" xr:uid="{00000000-0005-0000-0000-000078910000}"/>
    <cellStyle name="Normal 5 17 6 2 8" xfId="37255" xr:uid="{00000000-0005-0000-0000-000079910000}"/>
    <cellStyle name="Normal 5 17 6 2 9" xfId="37256" xr:uid="{00000000-0005-0000-0000-00007A910000}"/>
    <cellStyle name="Normal 5 17 6 3" xfId="37257" xr:uid="{00000000-0005-0000-0000-00007B910000}"/>
    <cellStyle name="Normal 5 17 6 3 10" xfId="37258" xr:uid="{00000000-0005-0000-0000-00007C910000}"/>
    <cellStyle name="Normal 5 17 6 3 2" xfId="37259" xr:uid="{00000000-0005-0000-0000-00007D910000}"/>
    <cellStyle name="Normal 5 17 6 3 3" xfId="37260" xr:uid="{00000000-0005-0000-0000-00007E910000}"/>
    <cellStyle name="Normal 5 17 6 3 4" xfId="37261" xr:uid="{00000000-0005-0000-0000-00007F910000}"/>
    <cellStyle name="Normal 5 17 6 3 5" xfId="37262" xr:uid="{00000000-0005-0000-0000-000080910000}"/>
    <cellStyle name="Normal 5 17 6 3 6" xfId="37263" xr:uid="{00000000-0005-0000-0000-000081910000}"/>
    <cellStyle name="Normal 5 17 6 3 7" xfId="37264" xr:uid="{00000000-0005-0000-0000-000082910000}"/>
    <cellStyle name="Normal 5 17 6 3 8" xfId="37265" xr:uid="{00000000-0005-0000-0000-000083910000}"/>
    <cellStyle name="Normal 5 17 6 3 9" xfId="37266" xr:uid="{00000000-0005-0000-0000-000084910000}"/>
    <cellStyle name="Normal 5 17 6 4" xfId="37267" xr:uid="{00000000-0005-0000-0000-000085910000}"/>
    <cellStyle name="Normal 5 17 6 4 10" xfId="37268" xr:uid="{00000000-0005-0000-0000-000086910000}"/>
    <cellStyle name="Normal 5 17 6 4 2" xfId="37269" xr:uid="{00000000-0005-0000-0000-000087910000}"/>
    <cellStyle name="Normal 5 17 6 4 3" xfId="37270" xr:uid="{00000000-0005-0000-0000-000088910000}"/>
    <cellStyle name="Normal 5 17 6 4 4" xfId="37271" xr:uid="{00000000-0005-0000-0000-000089910000}"/>
    <cellStyle name="Normal 5 17 6 4 5" xfId="37272" xr:uid="{00000000-0005-0000-0000-00008A910000}"/>
    <cellStyle name="Normal 5 17 6 4 6" xfId="37273" xr:uid="{00000000-0005-0000-0000-00008B910000}"/>
    <cellStyle name="Normal 5 17 6 4 7" xfId="37274" xr:uid="{00000000-0005-0000-0000-00008C910000}"/>
    <cellStyle name="Normal 5 17 6 4 8" xfId="37275" xr:uid="{00000000-0005-0000-0000-00008D910000}"/>
    <cellStyle name="Normal 5 17 6 4 9" xfId="37276" xr:uid="{00000000-0005-0000-0000-00008E910000}"/>
    <cellStyle name="Normal 5 17 6 5" xfId="37277" xr:uid="{00000000-0005-0000-0000-00008F910000}"/>
    <cellStyle name="Normal 5 17 6 5 10" xfId="37278" xr:uid="{00000000-0005-0000-0000-000090910000}"/>
    <cellStyle name="Normal 5 17 6 5 2" xfId="37279" xr:uid="{00000000-0005-0000-0000-000091910000}"/>
    <cellStyle name="Normal 5 17 6 5 3" xfId="37280" xr:uid="{00000000-0005-0000-0000-000092910000}"/>
    <cellStyle name="Normal 5 17 6 5 4" xfId="37281" xr:uid="{00000000-0005-0000-0000-000093910000}"/>
    <cellStyle name="Normal 5 17 6 5 5" xfId="37282" xr:uid="{00000000-0005-0000-0000-000094910000}"/>
    <cellStyle name="Normal 5 17 6 5 6" xfId="37283" xr:uid="{00000000-0005-0000-0000-000095910000}"/>
    <cellStyle name="Normal 5 17 6 5 7" xfId="37284" xr:uid="{00000000-0005-0000-0000-000096910000}"/>
    <cellStyle name="Normal 5 17 6 5 8" xfId="37285" xr:uid="{00000000-0005-0000-0000-000097910000}"/>
    <cellStyle name="Normal 5 17 6 5 9" xfId="37286" xr:uid="{00000000-0005-0000-0000-000098910000}"/>
    <cellStyle name="Normal 5 17 6 6" xfId="37287" xr:uid="{00000000-0005-0000-0000-000099910000}"/>
    <cellStyle name="Normal 5 17 6 7" xfId="37288" xr:uid="{00000000-0005-0000-0000-00009A910000}"/>
    <cellStyle name="Normal 5 17 6 8" xfId="37289" xr:uid="{00000000-0005-0000-0000-00009B910000}"/>
    <cellStyle name="Normal 5 17 6 9" xfId="37290" xr:uid="{00000000-0005-0000-0000-00009C910000}"/>
    <cellStyle name="Normal 5 17 7" xfId="37291" xr:uid="{00000000-0005-0000-0000-00009D910000}"/>
    <cellStyle name="Normal 5 17 7 10" xfId="37292" xr:uid="{00000000-0005-0000-0000-00009E910000}"/>
    <cellStyle name="Normal 5 17 7 11" xfId="37293" xr:uid="{00000000-0005-0000-0000-00009F910000}"/>
    <cellStyle name="Normal 5 17 7 12" xfId="37294" xr:uid="{00000000-0005-0000-0000-0000A0910000}"/>
    <cellStyle name="Normal 5 17 7 13" xfId="37295" xr:uid="{00000000-0005-0000-0000-0000A1910000}"/>
    <cellStyle name="Normal 5 17 7 14" xfId="37296" xr:uid="{00000000-0005-0000-0000-0000A2910000}"/>
    <cellStyle name="Normal 5 17 7 2" xfId="37297" xr:uid="{00000000-0005-0000-0000-0000A3910000}"/>
    <cellStyle name="Normal 5 17 7 2 10" xfId="37298" xr:uid="{00000000-0005-0000-0000-0000A4910000}"/>
    <cellStyle name="Normal 5 17 7 2 2" xfId="37299" xr:uid="{00000000-0005-0000-0000-0000A5910000}"/>
    <cellStyle name="Normal 5 17 7 2 3" xfId="37300" xr:uid="{00000000-0005-0000-0000-0000A6910000}"/>
    <cellStyle name="Normal 5 17 7 2 4" xfId="37301" xr:uid="{00000000-0005-0000-0000-0000A7910000}"/>
    <cellStyle name="Normal 5 17 7 2 5" xfId="37302" xr:uid="{00000000-0005-0000-0000-0000A8910000}"/>
    <cellStyle name="Normal 5 17 7 2 6" xfId="37303" xr:uid="{00000000-0005-0000-0000-0000A9910000}"/>
    <cellStyle name="Normal 5 17 7 2 7" xfId="37304" xr:uid="{00000000-0005-0000-0000-0000AA910000}"/>
    <cellStyle name="Normal 5 17 7 2 8" xfId="37305" xr:uid="{00000000-0005-0000-0000-0000AB910000}"/>
    <cellStyle name="Normal 5 17 7 2 9" xfId="37306" xr:uid="{00000000-0005-0000-0000-0000AC910000}"/>
    <cellStyle name="Normal 5 17 7 3" xfId="37307" xr:uid="{00000000-0005-0000-0000-0000AD910000}"/>
    <cellStyle name="Normal 5 17 7 3 10" xfId="37308" xr:uid="{00000000-0005-0000-0000-0000AE910000}"/>
    <cellStyle name="Normal 5 17 7 3 2" xfId="37309" xr:uid="{00000000-0005-0000-0000-0000AF910000}"/>
    <cellStyle name="Normal 5 17 7 3 3" xfId="37310" xr:uid="{00000000-0005-0000-0000-0000B0910000}"/>
    <cellStyle name="Normal 5 17 7 3 4" xfId="37311" xr:uid="{00000000-0005-0000-0000-0000B1910000}"/>
    <cellStyle name="Normal 5 17 7 3 5" xfId="37312" xr:uid="{00000000-0005-0000-0000-0000B2910000}"/>
    <cellStyle name="Normal 5 17 7 3 6" xfId="37313" xr:uid="{00000000-0005-0000-0000-0000B3910000}"/>
    <cellStyle name="Normal 5 17 7 3 7" xfId="37314" xr:uid="{00000000-0005-0000-0000-0000B4910000}"/>
    <cellStyle name="Normal 5 17 7 3 8" xfId="37315" xr:uid="{00000000-0005-0000-0000-0000B5910000}"/>
    <cellStyle name="Normal 5 17 7 3 9" xfId="37316" xr:uid="{00000000-0005-0000-0000-0000B6910000}"/>
    <cellStyle name="Normal 5 17 7 4" xfId="37317" xr:uid="{00000000-0005-0000-0000-0000B7910000}"/>
    <cellStyle name="Normal 5 17 7 4 10" xfId="37318" xr:uid="{00000000-0005-0000-0000-0000B8910000}"/>
    <cellStyle name="Normal 5 17 7 4 2" xfId="37319" xr:uid="{00000000-0005-0000-0000-0000B9910000}"/>
    <cellStyle name="Normal 5 17 7 4 3" xfId="37320" xr:uid="{00000000-0005-0000-0000-0000BA910000}"/>
    <cellStyle name="Normal 5 17 7 4 4" xfId="37321" xr:uid="{00000000-0005-0000-0000-0000BB910000}"/>
    <cellStyle name="Normal 5 17 7 4 5" xfId="37322" xr:uid="{00000000-0005-0000-0000-0000BC910000}"/>
    <cellStyle name="Normal 5 17 7 4 6" xfId="37323" xr:uid="{00000000-0005-0000-0000-0000BD910000}"/>
    <cellStyle name="Normal 5 17 7 4 7" xfId="37324" xr:uid="{00000000-0005-0000-0000-0000BE910000}"/>
    <cellStyle name="Normal 5 17 7 4 8" xfId="37325" xr:uid="{00000000-0005-0000-0000-0000BF910000}"/>
    <cellStyle name="Normal 5 17 7 4 9" xfId="37326" xr:uid="{00000000-0005-0000-0000-0000C0910000}"/>
    <cellStyle name="Normal 5 17 7 5" xfId="37327" xr:uid="{00000000-0005-0000-0000-0000C1910000}"/>
    <cellStyle name="Normal 5 17 7 5 10" xfId="37328" xr:uid="{00000000-0005-0000-0000-0000C2910000}"/>
    <cellStyle name="Normal 5 17 7 5 2" xfId="37329" xr:uid="{00000000-0005-0000-0000-0000C3910000}"/>
    <cellStyle name="Normal 5 17 7 5 3" xfId="37330" xr:uid="{00000000-0005-0000-0000-0000C4910000}"/>
    <cellStyle name="Normal 5 17 7 5 4" xfId="37331" xr:uid="{00000000-0005-0000-0000-0000C5910000}"/>
    <cellStyle name="Normal 5 17 7 5 5" xfId="37332" xr:uid="{00000000-0005-0000-0000-0000C6910000}"/>
    <cellStyle name="Normal 5 17 7 5 6" xfId="37333" xr:uid="{00000000-0005-0000-0000-0000C7910000}"/>
    <cellStyle name="Normal 5 17 7 5 7" xfId="37334" xr:uid="{00000000-0005-0000-0000-0000C8910000}"/>
    <cellStyle name="Normal 5 17 7 5 8" xfId="37335" xr:uid="{00000000-0005-0000-0000-0000C9910000}"/>
    <cellStyle name="Normal 5 17 7 5 9" xfId="37336" xr:uid="{00000000-0005-0000-0000-0000CA910000}"/>
    <cellStyle name="Normal 5 17 7 6" xfId="37337" xr:uid="{00000000-0005-0000-0000-0000CB910000}"/>
    <cellStyle name="Normal 5 17 7 7" xfId="37338" xr:uid="{00000000-0005-0000-0000-0000CC910000}"/>
    <cellStyle name="Normal 5 17 7 8" xfId="37339" xr:uid="{00000000-0005-0000-0000-0000CD910000}"/>
    <cellStyle name="Normal 5 17 7 9" xfId="37340" xr:uid="{00000000-0005-0000-0000-0000CE910000}"/>
    <cellStyle name="Normal 5 17 8" xfId="37341" xr:uid="{00000000-0005-0000-0000-0000CF910000}"/>
    <cellStyle name="Normal 5 17 8 10" xfId="37342" xr:uid="{00000000-0005-0000-0000-0000D0910000}"/>
    <cellStyle name="Normal 5 17 8 11" xfId="37343" xr:uid="{00000000-0005-0000-0000-0000D1910000}"/>
    <cellStyle name="Normal 5 17 8 12" xfId="37344" xr:uid="{00000000-0005-0000-0000-0000D2910000}"/>
    <cellStyle name="Normal 5 17 8 13" xfId="37345" xr:uid="{00000000-0005-0000-0000-0000D3910000}"/>
    <cellStyle name="Normal 5 17 8 14" xfId="37346" xr:uid="{00000000-0005-0000-0000-0000D4910000}"/>
    <cellStyle name="Normal 5 17 8 2" xfId="37347" xr:uid="{00000000-0005-0000-0000-0000D5910000}"/>
    <cellStyle name="Normal 5 17 8 2 10" xfId="37348" xr:uid="{00000000-0005-0000-0000-0000D6910000}"/>
    <cellStyle name="Normal 5 17 8 2 2" xfId="37349" xr:uid="{00000000-0005-0000-0000-0000D7910000}"/>
    <cellStyle name="Normal 5 17 8 2 3" xfId="37350" xr:uid="{00000000-0005-0000-0000-0000D8910000}"/>
    <cellStyle name="Normal 5 17 8 2 4" xfId="37351" xr:uid="{00000000-0005-0000-0000-0000D9910000}"/>
    <cellStyle name="Normal 5 17 8 2 5" xfId="37352" xr:uid="{00000000-0005-0000-0000-0000DA910000}"/>
    <cellStyle name="Normal 5 17 8 2 6" xfId="37353" xr:uid="{00000000-0005-0000-0000-0000DB910000}"/>
    <cellStyle name="Normal 5 17 8 2 7" xfId="37354" xr:uid="{00000000-0005-0000-0000-0000DC910000}"/>
    <cellStyle name="Normal 5 17 8 2 8" xfId="37355" xr:uid="{00000000-0005-0000-0000-0000DD910000}"/>
    <cellStyle name="Normal 5 17 8 2 9" xfId="37356" xr:uid="{00000000-0005-0000-0000-0000DE910000}"/>
    <cellStyle name="Normal 5 17 8 3" xfId="37357" xr:uid="{00000000-0005-0000-0000-0000DF910000}"/>
    <cellStyle name="Normal 5 17 8 3 10" xfId="37358" xr:uid="{00000000-0005-0000-0000-0000E0910000}"/>
    <cellStyle name="Normal 5 17 8 3 2" xfId="37359" xr:uid="{00000000-0005-0000-0000-0000E1910000}"/>
    <cellStyle name="Normal 5 17 8 3 3" xfId="37360" xr:uid="{00000000-0005-0000-0000-0000E2910000}"/>
    <cellStyle name="Normal 5 17 8 3 4" xfId="37361" xr:uid="{00000000-0005-0000-0000-0000E3910000}"/>
    <cellStyle name="Normal 5 17 8 3 5" xfId="37362" xr:uid="{00000000-0005-0000-0000-0000E4910000}"/>
    <cellStyle name="Normal 5 17 8 3 6" xfId="37363" xr:uid="{00000000-0005-0000-0000-0000E5910000}"/>
    <cellStyle name="Normal 5 17 8 3 7" xfId="37364" xr:uid="{00000000-0005-0000-0000-0000E6910000}"/>
    <cellStyle name="Normal 5 17 8 3 8" xfId="37365" xr:uid="{00000000-0005-0000-0000-0000E7910000}"/>
    <cellStyle name="Normal 5 17 8 3 9" xfId="37366" xr:uid="{00000000-0005-0000-0000-0000E8910000}"/>
    <cellStyle name="Normal 5 17 8 4" xfId="37367" xr:uid="{00000000-0005-0000-0000-0000E9910000}"/>
    <cellStyle name="Normal 5 17 8 4 10" xfId="37368" xr:uid="{00000000-0005-0000-0000-0000EA910000}"/>
    <cellStyle name="Normal 5 17 8 4 2" xfId="37369" xr:uid="{00000000-0005-0000-0000-0000EB910000}"/>
    <cellStyle name="Normal 5 17 8 4 3" xfId="37370" xr:uid="{00000000-0005-0000-0000-0000EC910000}"/>
    <cellStyle name="Normal 5 17 8 4 4" xfId="37371" xr:uid="{00000000-0005-0000-0000-0000ED910000}"/>
    <cellStyle name="Normal 5 17 8 4 5" xfId="37372" xr:uid="{00000000-0005-0000-0000-0000EE910000}"/>
    <cellStyle name="Normal 5 17 8 4 6" xfId="37373" xr:uid="{00000000-0005-0000-0000-0000EF910000}"/>
    <cellStyle name="Normal 5 17 8 4 7" xfId="37374" xr:uid="{00000000-0005-0000-0000-0000F0910000}"/>
    <cellStyle name="Normal 5 17 8 4 8" xfId="37375" xr:uid="{00000000-0005-0000-0000-0000F1910000}"/>
    <cellStyle name="Normal 5 17 8 4 9" xfId="37376" xr:uid="{00000000-0005-0000-0000-0000F2910000}"/>
    <cellStyle name="Normal 5 17 8 5" xfId="37377" xr:uid="{00000000-0005-0000-0000-0000F3910000}"/>
    <cellStyle name="Normal 5 17 8 5 10" xfId="37378" xr:uid="{00000000-0005-0000-0000-0000F4910000}"/>
    <cellStyle name="Normal 5 17 8 5 2" xfId="37379" xr:uid="{00000000-0005-0000-0000-0000F5910000}"/>
    <cellStyle name="Normal 5 17 8 5 3" xfId="37380" xr:uid="{00000000-0005-0000-0000-0000F6910000}"/>
    <cellStyle name="Normal 5 17 8 5 4" xfId="37381" xr:uid="{00000000-0005-0000-0000-0000F7910000}"/>
    <cellStyle name="Normal 5 17 8 5 5" xfId="37382" xr:uid="{00000000-0005-0000-0000-0000F8910000}"/>
    <cellStyle name="Normal 5 17 8 5 6" xfId="37383" xr:uid="{00000000-0005-0000-0000-0000F9910000}"/>
    <cellStyle name="Normal 5 17 8 5 7" xfId="37384" xr:uid="{00000000-0005-0000-0000-0000FA910000}"/>
    <cellStyle name="Normal 5 17 8 5 8" xfId="37385" xr:uid="{00000000-0005-0000-0000-0000FB910000}"/>
    <cellStyle name="Normal 5 17 8 5 9" xfId="37386" xr:uid="{00000000-0005-0000-0000-0000FC910000}"/>
    <cellStyle name="Normal 5 17 8 6" xfId="37387" xr:uid="{00000000-0005-0000-0000-0000FD910000}"/>
    <cellStyle name="Normal 5 17 8 7" xfId="37388" xr:uid="{00000000-0005-0000-0000-0000FE910000}"/>
    <cellStyle name="Normal 5 17 8 8" xfId="37389" xr:uid="{00000000-0005-0000-0000-0000FF910000}"/>
    <cellStyle name="Normal 5 17 8 9" xfId="37390" xr:uid="{00000000-0005-0000-0000-000000920000}"/>
    <cellStyle name="Normal 5 17 9" xfId="37391" xr:uid="{00000000-0005-0000-0000-000001920000}"/>
    <cellStyle name="Normal 5 17 9 10" xfId="37392" xr:uid="{00000000-0005-0000-0000-000002920000}"/>
    <cellStyle name="Normal 5 17 9 11" xfId="37393" xr:uid="{00000000-0005-0000-0000-000003920000}"/>
    <cellStyle name="Normal 5 17 9 12" xfId="37394" xr:uid="{00000000-0005-0000-0000-000004920000}"/>
    <cellStyle name="Normal 5 17 9 13" xfId="37395" xr:uid="{00000000-0005-0000-0000-000005920000}"/>
    <cellStyle name="Normal 5 17 9 14" xfId="37396" xr:uid="{00000000-0005-0000-0000-000006920000}"/>
    <cellStyle name="Normal 5 17 9 2" xfId="37397" xr:uid="{00000000-0005-0000-0000-000007920000}"/>
    <cellStyle name="Normal 5 17 9 2 10" xfId="37398" xr:uid="{00000000-0005-0000-0000-000008920000}"/>
    <cellStyle name="Normal 5 17 9 2 2" xfId="37399" xr:uid="{00000000-0005-0000-0000-000009920000}"/>
    <cellStyle name="Normal 5 17 9 2 3" xfId="37400" xr:uid="{00000000-0005-0000-0000-00000A920000}"/>
    <cellStyle name="Normal 5 17 9 2 4" xfId="37401" xr:uid="{00000000-0005-0000-0000-00000B920000}"/>
    <cellStyle name="Normal 5 17 9 2 5" xfId="37402" xr:uid="{00000000-0005-0000-0000-00000C920000}"/>
    <cellStyle name="Normal 5 17 9 2 6" xfId="37403" xr:uid="{00000000-0005-0000-0000-00000D920000}"/>
    <cellStyle name="Normal 5 17 9 2 7" xfId="37404" xr:uid="{00000000-0005-0000-0000-00000E920000}"/>
    <cellStyle name="Normal 5 17 9 2 8" xfId="37405" xr:uid="{00000000-0005-0000-0000-00000F920000}"/>
    <cellStyle name="Normal 5 17 9 2 9" xfId="37406" xr:uid="{00000000-0005-0000-0000-000010920000}"/>
    <cellStyle name="Normal 5 17 9 3" xfId="37407" xr:uid="{00000000-0005-0000-0000-000011920000}"/>
    <cellStyle name="Normal 5 17 9 3 10" xfId="37408" xr:uid="{00000000-0005-0000-0000-000012920000}"/>
    <cellStyle name="Normal 5 17 9 3 2" xfId="37409" xr:uid="{00000000-0005-0000-0000-000013920000}"/>
    <cellStyle name="Normal 5 17 9 3 3" xfId="37410" xr:uid="{00000000-0005-0000-0000-000014920000}"/>
    <cellStyle name="Normal 5 17 9 3 4" xfId="37411" xr:uid="{00000000-0005-0000-0000-000015920000}"/>
    <cellStyle name="Normal 5 17 9 3 5" xfId="37412" xr:uid="{00000000-0005-0000-0000-000016920000}"/>
    <cellStyle name="Normal 5 17 9 3 6" xfId="37413" xr:uid="{00000000-0005-0000-0000-000017920000}"/>
    <cellStyle name="Normal 5 17 9 3 7" xfId="37414" xr:uid="{00000000-0005-0000-0000-000018920000}"/>
    <cellStyle name="Normal 5 17 9 3 8" xfId="37415" xr:uid="{00000000-0005-0000-0000-000019920000}"/>
    <cellStyle name="Normal 5 17 9 3 9" xfId="37416" xr:uid="{00000000-0005-0000-0000-00001A920000}"/>
    <cellStyle name="Normal 5 17 9 4" xfId="37417" xr:uid="{00000000-0005-0000-0000-00001B920000}"/>
    <cellStyle name="Normal 5 17 9 4 10" xfId="37418" xr:uid="{00000000-0005-0000-0000-00001C920000}"/>
    <cellStyle name="Normal 5 17 9 4 2" xfId="37419" xr:uid="{00000000-0005-0000-0000-00001D920000}"/>
    <cellStyle name="Normal 5 17 9 4 3" xfId="37420" xr:uid="{00000000-0005-0000-0000-00001E920000}"/>
    <cellStyle name="Normal 5 17 9 4 4" xfId="37421" xr:uid="{00000000-0005-0000-0000-00001F920000}"/>
    <cellStyle name="Normal 5 17 9 4 5" xfId="37422" xr:uid="{00000000-0005-0000-0000-000020920000}"/>
    <cellStyle name="Normal 5 17 9 4 6" xfId="37423" xr:uid="{00000000-0005-0000-0000-000021920000}"/>
    <cellStyle name="Normal 5 17 9 4 7" xfId="37424" xr:uid="{00000000-0005-0000-0000-000022920000}"/>
    <cellStyle name="Normal 5 17 9 4 8" xfId="37425" xr:uid="{00000000-0005-0000-0000-000023920000}"/>
    <cellStyle name="Normal 5 17 9 4 9" xfId="37426" xr:uid="{00000000-0005-0000-0000-000024920000}"/>
    <cellStyle name="Normal 5 17 9 5" xfId="37427" xr:uid="{00000000-0005-0000-0000-000025920000}"/>
    <cellStyle name="Normal 5 17 9 5 10" xfId="37428" xr:uid="{00000000-0005-0000-0000-000026920000}"/>
    <cellStyle name="Normal 5 17 9 5 2" xfId="37429" xr:uid="{00000000-0005-0000-0000-000027920000}"/>
    <cellStyle name="Normal 5 17 9 5 3" xfId="37430" xr:uid="{00000000-0005-0000-0000-000028920000}"/>
    <cellStyle name="Normal 5 17 9 5 4" xfId="37431" xr:uid="{00000000-0005-0000-0000-000029920000}"/>
    <cellStyle name="Normal 5 17 9 5 5" xfId="37432" xr:uid="{00000000-0005-0000-0000-00002A920000}"/>
    <cellStyle name="Normal 5 17 9 5 6" xfId="37433" xr:uid="{00000000-0005-0000-0000-00002B920000}"/>
    <cellStyle name="Normal 5 17 9 5 7" xfId="37434" xr:uid="{00000000-0005-0000-0000-00002C920000}"/>
    <cellStyle name="Normal 5 17 9 5 8" xfId="37435" xr:uid="{00000000-0005-0000-0000-00002D920000}"/>
    <cellStyle name="Normal 5 17 9 5 9" xfId="37436" xr:uid="{00000000-0005-0000-0000-00002E920000}"/>
    <cellStyle name="Normal 5 17 9 6" xfId="37437" xr:uid="{00000000-0005-0000-0000-00002F920000}"/>
    <cellStyle name="Normal 5 17 9 7" xfId="37438" xr:uid="{00000000-0005-0000-0000-000030920000}"/>
    <cellStyle name="Normal 5 17 9 8" xfId="37439" xr:uid="{00000000-0005-0000-0000-000031920000}"/>
    <cellStyle name="Normal 5 17 9 9" xfId="37440" xr:uid="{00000000-0005-0000-0000-000032920000}"/>
    <cellStyle name="Normal 5 18" xfId="37441" xr:uid="{00000000-0005-0000-0000-000033920000}"/>
    <cellStyle name="Normal 5 18 2" xfId="37442" xr:uid="{00000000-0005-0000-0000-000034920000}"/>
    <cellStyle name="Normal 5 18 2 2" xfId="37443" xr:uid="{00000000-0005-0000-0000-000035920000}"/>
    <cellStyle name="Normal 5 18 3" xfId="37444" xr:uid="{00000000-0005-0000-0000-000036920000}"/>
    <cellStyle name="Normal 5 18 4" xfId="37445" xr:uid="{00000000-0005-0000-0000-000037920000}"/>
    <cellStyle name="Normal 5 19" xfId="37446" xr:uid="{00000000-0005-0000-0000-000038920000}"/>
    <cellStyle name="Normal 5 19 2" xfId="37447" xr:uid="{00000000-0005-0000-0000-000039920000}"/>
    <cellStyle name="Normal 5 19 2 2" xfId="37448" xr:uid="{00000000-0005-0000-0000-00003A920000}"/>
    <cellStyle name="Normal 5 19 3" xfId="37449" xr:uid="{00000000-0005-0000-0000-00003B920000}"/>
    <cellStyle name="Normal 5 19 4" xfId="37450" xr:uid="{00000000-0005-0000-0000-00003C920000}"/>
    <cellStyle name="Normal 5 2" xfId="28" xr:uid="{00000000-0005-0000-0000-00003D920000}"/>
    <cellStyle name="Normal 5 2 10" xfId="37452" xr:uid="{00000000-0005-0000-0000-00003E920000}"/>
    <cellStyle name="Normal 5 2 11" xfId="37453" xr:uid="{00000000-0005-0000-0000-00003F920000}"/>
    <cellStyle name="Normal 5 2 12" xfId="37454" xr:uid="{00000000-0005-0000-0000-000040920000}"/>
    <cellStyle name="Normal 5 2 13" xfId="37455" xr:uid="{00000000-0005-0000-0000-000041920000}"/>
    <cellStyle name="Normal 5 2 14" xfId="37456" xr:uid="{00000000-0005-0000-0000-000042920000}"/>
    <cellStyle name="Normal 5 2 15" xfId="37457" xr:uid="{00000000-0005-0000-0000-000043920000}"/>
    <cellStyle name="Normal 5 2 16" xfId="37458" xr:uid="{00000000-0005-0000-0000-000044920000}"/>
    <cellStyle name="Normal 5 2 17" xfId="37459" xr:uid="{00000000-0005-0000-0000-000045920000}"/>
    <cellStyle name="Normal 5 2 18" xfId="37460" xr:uid="{00000000-0005-0000-0000-000046920000}"/>
    <cellStyle name="Normal 5 2 19" xfId="37461" xr:uid="{00000000-0005-0000-0000-000047920000}"/>
    <cellStyle name="Normal 5 2 2" xfId="62" xr:uid="{00000000-0005-0000-0000-000048920000}"/>
    <cellStyle name="Normal 5 2 2 2" xfId="37463" xr:uid="{00000000-0005-0000-0000-000049920000}"/>
    <cellStyle name="Normal 5 2 2 2 2" xfId="37464" xr:uid="{00000000-0005-0000-0000-00004A920000}"/>
    <cellStyle name="Normal 5 2 2 3" xfId="37462" xr:uid="{00000000-0005-0000-0000-00004B920000}"/>
    <cellStyle name="Normal 5 2 20" xfId="37465" xr:uid="{00000000-0005-0000-0000-00004C920000}"/>
    <cellStyle name="Normal 5 2 21" xfId="37466" xr:uid="{00000000-0005-0000-0000-00004D920000}"/>
    <cellStyle name="Normal 5 2 22" xfId="37467" xr:uid="{00000000-0005-0000-0000-00004E920000}"/>
    <cellStyle name="Normal 5 2 23" xfId="37468" xr:uid="{00000000-0005-0000-0000-00004F920000}"/>
    <cellStyle name="Normal 5 2 24" xfId="37469" xr:uid="{00000000-0005-0000-0000-000050920000}"/>
    <cellStyle name="Normal 5 2 25" xfId="37470" xr:uid="{00000000-0005-0000-0000-000051920000}"/>
    <cellStyle name="Normal 5 2 26" xfId="37471" xr:uid="{00000000-0005-0000-0000-000052920000}"/>
    <cellStyle name="Normal 5 2 27" xfId="37472" xr:uid="{00000000-0005-0000-0000-000053920000}"/>
    <cellStyle name="Normal 5 2 28" xfId="37473" xr:uid="{00000000-0005-0000-0000-000054920000}"/>
    <cellStyle name="Normal 5 2 29" xfId="37474" xr:uid="{00000000-0005-0000-0000-000055920000}"/>
    <cellStyle name="Normal 5 2 3" xfId="37475" xr:uid="{00000000-0005-0000-0000-000056920000}"/>
    <cellStyle name="Normal 5 2 30" xfId="37476" xr:uid="{00000000-0005-0000-0000-000057920000}"/>
    <cellStyle name="Normal 5 2 31" xfId="37477" xr:uid="{00000000-0005-0000-0000-000058920000}"/>
    <cellStyle name="Normal 5 2 32" xfId="37478" xr:uid="{00000000-0005-0000-0000-000059920000}"/>
    <cellStyle name="Normal 5 2 33" xfId="37479" xr:uid="{00000000-0005-0000-0000-00005A920000}"/>
    <cellStyle name="Normal 5 2 34" xfId="37480" xr:uid="{00000000-0005-0000-0000-00005B920000}"/>
    <cellStyle name="Normal 5 2 35" xfId="37481" xr:uid="{00000000-0005-0000-0000-00005C920000}"/>
    <cellStyle name="Normal 5 2 36" xfId="37482" xr:uid="{00000000-0005-0000-0000-00005D920000}"/>
    <cellStyle name="Normal 5 2 37" xfId="37483" xr:uid="{00000000-0005-0000-0000-00005E920000}"/>
    <cellStyle name="Normal 5 2 38" xfId="37484" xr:uid="{00000000-0005-0000-0000-00005F920000}"/>
    <cellStyle name="Normal 5 2 39" xfId="37485" xr:uid="{00000000-0005-0000-0000-000060920000}"/>
    <cellStyle name="Normal 5 2 4" xfId="37486" xr:uid="{00000000-0005-0000-0000-000061920000}"/>
    <cellStyle name="Normal 5 2 40" xfId="37487" xr:uid="{00000000-0005-0000-0000-000062920000}"/>
    <cellStyle name="Normal 5 2 41" xfId="37488" xr:uid="{00000000-0005-0000-0000-000063920000}"/>
    <cellStyle name="Normal 5 2 42" xfId="37489" xr:uid="{00000000-0005-0000-0000-000064920000}"/>
    <cellStyle name="Normal 5 2 43" xfId="37490" xr:uid="{00000000-0005-0000-0000-000065920000}"/>
    <cellStyle name="Normal 5 2 44" xfId="37491" xr:uid="{00000000-0005-0000-0000-000066920000}"/>
    <cellStyle name="Normal 5 2 45" xfId="37492" xr:uid="{00000000-0005-0000-0000-000067920000}"/>
    <cellStyle name="Normal 5 2 46" xfId="37493" xr:uid="{00000000-0005-0000-0000-000068920000}"/>
    <cellStyle name="Normal 5 2 47" xfId="37494" xr:uid="{00000000-0005-0000-0000-000069920000}"/>
    <cellStyle name="Normal 5 2 48" xfId="37495" xr:uid="{00000000-0005-0000-0000-00006A920000}"/>
    <cellStyle name="Normal 5 2 49" xfId="37496" xr:uid="{00000000-0005-0000-0000-00006B920000}"/>
    <cellStyle name="Normal 5 2 5" xfId="37497" xr:uid="{00000000-0005-0000-0000-00006C920000}"/>
    <cellStyle name="Normal 5 2 50" xfId="37498" xr:uid="{00000000-0005-0000-0000-00006D920000}"/>
    <cellStyle name="Normal 5 2 51" xfId="37499" xr:uid="{00000000-0005-0000-0000-00006E920000}"/>
    <cellStyle name="Normal 5 2 52" xfId="37500" xr:uid="{00000000-0005-0000-0000-00006F920000}"/>
    <cellStyle name="Normal 5 2 53" xfId="37501" xr:uid="{00000000-0005-0000-0000-000070920000}"/>
    <cellStyle name="Normal 5 2 54" xfId="37502" xr:uid="{00000000-0005-0000-0000-000071920000}"/>
    <cellStyle name="Normal 5 2 55" xfId="37503" xr:uid="{00000000-0005-0000-0000-000072920000}"/>
    <cellStyle name="Normal 5 2 56" xfId="37504" xr:uid="{00000000-0005-0000-0000-000073920000}"/>
    <cellStyle name="Normal 5 2 57" xfId="37505" xr:uid="{00000000-0005-0000-0000-000074920000}"/>
    <cellStyle name="Normal 5 2 58" xfId="37506" xr:uid="{00000000-0005-0000-0000-000075920000}"/>
    <cellStyle name="Normal 5 2 59" xfId="37507" xr:uid="{00000000-0005-0000-0000-000076920000}"/>
    <cellStyle name="Normal 5 2 6" xfId="37508" xr:uid="{00000000-0005-0000-0000-000077920000}"/>
    <cellStyle name="Normal 5 2 60" xfId="37509" xr:uid="{00000000-0005-0000-0000-000078920000}"/>
    <cellStyle name="Normal 5 2 61" xfId="37510" xr:uid="{00000000-0005-0000-0000-000079920000}"/>
    <cellStyle name="Normal 5 2 62" xfId="37511" xr:uid="{00000000-0005-0000-0000-00007A920000}"/>
    <cellStyle name="Normal 5 2 63" xfId="37512" xr:uid="{00000000-0005-0000-0000-00007B920000}"/>
    <cellStyle name="Normal 5 2 64" xfId="37513" xr:uid="{00000000-0005-0000-0000-00007C920000}"/>
    <cellStyle name="Normal 5 2 65" xfId="37514" xr:uid="{00000000-0005-0000-0000-00007D920000}"/>
    <cellStyle name="Normal 5 2 66" xfId="37515" xr:uid="{00000000-0005-0000-0000-00007E920000}"/>
    <cellStyle name="Normal 5 2 67" xfId="37516" xr:uid="{00000000-0005-0000-0000-00007F920000}"/>
    <cellStyle name="Normal 5 2 68" xfId="37517" xr:uid="{00000000-0005-0000-0000-000080920000}"/>
    <cellStyle name="Normal 5 2 69" xfId="37518" xr:uid="{00000000-0005-0000-0000-000081920000}"/>
    <cellStyle name="Normal 5 2 7" xfId="37519" xr:uid="{00000000-0005-0000-0000-000082920000}"/>
    <cellStyle name="Normal 5 2 70" xfId="37520" xr:uid="{00000000-0005-0000-0000-000083920000}"/>
    <cellStyle name="Normal 5 2 71" xfId="37521" xr:uid="{00000000-0005-0000-0000-000084920000}"/>
    <cellStyle name="Normal 5 2 72" xfId="37522" xr:uid="{00000000-0005-0000-0000-000085920000}"/>
    <cellStyle name="Normal 5 2 73" xfId="37523" xr:uid="{00000000-0005-0000-0000-000086920000}"/>
    <cellStyle name="Normal 5 2 74" xfId="37524" xr:uid="{00000000-0005-0000-0000-000087920000}"/>
    <cellStyle name="Normal 5 2 75" xfId="37525" xr:uid="{00000000-0005-0000-0000-000088920000}"/>
    <cellStyle name="Normal 5 2 76" xfId="37526" xr:uid="{00000000-0005-0000-0000-000089920000}"/>
    <cellStyle name="Normal 5 2 77" xfId="37527" xr:uid="{00000000-0005-0000-0000-00008A920000}"/>
    <cellStyle name="Normal 5 2 78" xfId="37528" xr:uid="{00000000-0005-0000-0000-00008B920000}"/>
    <cellStyle name="Normal 5 2 79" xfId="37529" xr:uid="{00000000-0005-0000-0000-00008C920000}"/>
    <cellStyle name="Normal 5 2 8" xfId="37530" xr:uid="{00000000-0005-0000-0000-00008D920000}"/>
    <cellStyle name="Normal 5 2 80" xfId="37531" xr:uid="{00000000-0005-0000-0000-00008E920000}"/>
    <cellStyle name="Normal 5 2 81" xfId="37532" xr:uid="{00000000-0005-0000-0000-00008F920000}"/>
    <cellStyle name="Normal 5 2 82" xfId="37533" xr:uid="{00000000-0005-0000-0000-000090920000}"/>
    <cellStyle name="Normal 5 2 83" xfId="37451" xr:uid="{00000000-0005-0000-0000-000091920000}"/>
    <cellStyle name="Normal 5 2 9" xfId="37534" xr:uid="{00000000-0005-0000-0000-000092920000}"/>
    <cellStyle name="Normal 5 2_Enlaces" xfId="37535" xr:uid="{00000000-0005-0000-0000-000093920000}"/>
    <cellStyle name="Normal 5 20" xfId="37536" xr:uid="{00000000-0005-0000-0000-000094920000}"/>
    <cellStyle name="Normal 5 20 2" xfId="37537" xr:uid="{00000000-0005-0000-0000-000095920000}"/>
    <cellStyle name="Normal 5 20 2 2" xfId="37538" xr:uid="{00000000-0005-0000-0000-000096920000}"/>
    <cellStyle name="Normal 5 20 3" xfId="37539" xr:uid="{00000000-0005-0000-0000-000097920000}"/>
    <cellStyle name="Normal 5 20 4" xfId="37540" xr:uid="{00000000-0005-0000-0000-000098920000}"/>
    <cellStyle name="Normal 5 21" xfId="37541" xr:uid="{00000000-0005-0000-0000-000099920000}"/>
    <cellStyle name="Normal 5 21 2" xfId="37542" xr:uid="{00000000-0005-0000-0000-00009A920000}"/>
    <cellStyle name="Normal 5 21 2 2" xfId="37543" xr:uid="{00000000-0005-0000-0000-00009B920000}"/>
    <cellStyle name="Normal 5 21 3" xfId="37544" xr:uid="{00000000-0005-0000-0000-00009C920000}"/>
    <cellStyle name="Normal 5 21 4" xfId="37545" xr:uid="{00000000-0005-0000-0000-00009D920000}"/>
    <cellStyle name="Normal 5 22" xfId="37546" xr:uid="{00000000-0005-0000-0000-00009E920000}"/>
    <cellStyle name="Normal 5 22 2" xfId="37547" xr:uid="{00000000-0005-0000-0000-00009F920000}"/>
    <cellStyle name="Normal 5 22 3" xfId="37548" xr:uid="{00000000-0005-0000-0000-0000A0920000}"/>
    <cellStyle name="Normal 5 23" xfId="37549" xr:uid="{00000000-0005-0000-0000-0000A1920000}"/>
    <cellStyle name="Normal 5 24" xfId="37550" xr:uid="{00000000-0005-0000-0000-0000A2920000}"/>
    <cellStyle name="Normal 5 25" xfId="37551" xr:uid="{00000000-0005-0000-0000-0000A3920000}"/>
    <cellStyle name="Normal 5 26" xfId="37552" xr:uid="{00000000-0005-0000-0000-0000A4920000}"/>
    <cellStyle name="Normal 5 27" xfId="37553" xr:uid="{00000000-0005-0000-0000-0000A5920000}"/>
    <cellStyle name="Normal 5 28" xfId="37554" xr:uid="{00000000-0005-0000-0000-0000A6920000}"/>
    <cellStyle name="Normal 5 29" xfId="37555" xr:uid="{00000000-0005-0000-0000-0000A7920000}"/>
    <cellStyle name="Normal 5 3" xfId="63" xr:uid="{00000000-0005-0000-0000-0000A8920000}"/>
    <cellStyle name="Normal 5 3 10" xfId="37557" xr:uid="{00000000-0005-0000-0000-0000A9920000}"/>
    <cellStyle name="Normal 5 3 11" xfId="37558" xr:uid="{00000000-0005-0000-0000-0000AA920000}"/>
    <cellStyle name="Normal 5 3 12" xfId="37559" xr:uid="{00000000-0005-0000-0000-0000AB920000}"/>
    <cellStyle name="Normal 5 3 13" xfId="37556" xr:uid="{00000000-0005-0000-0000-0000AC920000}"/>
    <cellStyle name="Normal 5 3 2" xfId="37560" xr:uid="{00000000-0005-0000-0000-0000AD920000}"/>
    <cellStyle name="Normal 5 3 3" xfId="37561" xr:uid="{00000000-0005-0000-0000-0000AE920000}"/>
    <cellStyle name="Normal 5 3 4" xfId="37562" xr:uid="{00000000-0005-0000-0000-0000AF920000}"/>
    <cellStyle name="Normal 5 3 4 2" xfId="37563" xr:uid="{00000000-0005-0000-0000-0000B0920000}"/>
    <cellStyle name="Normal 5 3 4 2 2" xfId="37564" xr:uid="{00000000-0005-0000-0000-0000B1920000}"/>
    <cellStyle name="Normal 5 3 4 3" xfId="37565" xr:uid="{00000000-0005-0000-0000-0000B2920000}"/>
    <cellStyle name="Normal 5 3 5" xfId="37566" xr:uid="{00000000-0005-0000-0000-0000B3920000}"/>
    <cellStyle name="Normal 5 3 6" xfId="37567" xr:uid="{00000000-0005-0000-0000-0000B4920000}"/>
    <cellStyle name="Normal 5 3 7" xfId="37568" xr:uid="{00000000-0005-0000-0000-0000B5920000}"/>
    <cellStyle name="Normal 5 3 7 2" xfId="37569" xr:uid="{00000000-0005-0000-0000-0000B6920000}"/>
    <cellStyle name="Normal 5 3 8" xfId="37570" xr:uid="{00000000-0005-0000-0000-0000B7920000}"/>
    <cellStyle name="Normal 5 3 9" xfId="37571" xr:uid="{00000000-0005-0000-0000-0000B8920000}"/>
    <cellStyle name="Normal 5 3_Implem" xfId="37572" xr:uid="{00000000-0005-0000-0000-0000B9920000}"/>
    <cellStyle name="Normal 5 30" xfId="37573" xr:uid="{00000000-0005-0000-0000-0000BA920000}"/>
    <cellStyle name="Normal 5 31" xfId="37574" xr:uid="{00000000-0005-0000-0000-0000BB920000}"/>
    <cellStyle name="Normal 5 32" xfId="37575" xr:uid="{00000000-0005-0000-0000-0000BC920000}"/>
    <cellStyle name="Normal 5 33" xfId="37576" xr:uid="{00000000-0005-0000-0000-0000BD920000}"/>
    <cellStyle name="Normal 5 34" xfId="37577" xr:uid="{00000000-0005-0000-0000-0000BE920000}"/>
    <cellStyle name="Normal 5 35" xfId="37578" xr:uid="{00000000-0005-0000-0000-0000BF920000}"/>
    <cellStyle name="Normal 5 36" xfId="37579" xr:uid="{00000000-0005-0000-0000-0000C0920000}"/>
    <cellStyle name="Normal 5 37" xfId="37580" xr:uid="{00000000-0005-0000-0000-0000C1920000}"/>
    <cellStyle name="Normal 5 38" xfId="37581" xr:uid="{00000000-0005-0000-0000-0000C2920000}"/>
    <cellStyle name="Normal 5 39" xfId="37582" xr:uid="{00000000-0005-0000-0000-0000C3920000}"/>
    <cellStyle name="Normal 5 4" xfId="42" xr:uid="{00000000-0005-0000-0000-0000C4920000}"/>
    <cellStyle name="Normal 5 4 2" xfId="37584" xr:uid="{00000000-0005-0000-0000-0000C5920000}"/>
    <cellStyle name="Normal 5 4 2 2" xfId="37585" xr:uid="{00000000-0005-0000-0000-0000C6920000}"/>
    <cellStyle name="Normal 5 4 3" xfId="37586" xr:uid="{00000000-0005-0000-0000-0000C7920000}"/>
    <cellStyle name="Normal 5 4 4" xfId="37587" xr:uid="{00000000-0005-0000-0000-0000C8920000}"/>
    <cellStyle name="Normal 5 4 5" xfId="37583" xr:uid="{00000000-0005-0000-0000-0000C9920000}"/>
    <cellStyle name="Normal 5 40" xfId="37588" xr:uid="{00000000-0005-0000-0000-0000CA920000}"/>
    <cellStyle name="Normal 5 41" xfId="37589" xr:uid="{00000000-0005-0000-0000-0000CB920000}"/>
    <cellStyle name="Normal 5 42" xfId="37590" xr:uid="{00000000-0005-0000-0000-0000CC920000}"/>
    <cellStyle name="Normal 5 43" xfId="37591" xr:uid="{00000000-0005-0000-0000-0000CD920000}"/>
    <cellStyle name="Normal 5 44" xfId="37592" xr:uid="{00000000-0005-0000-0000-0000CE920000}"/>
    <cellStyle name="Normal 5 45" xfId="37593" xr:uid="{00000000-0005-0000-0000-0000CF920000}"/>
    <cellStyle name="Normal 5 46" xfId="37594" xr:uid="{00000000-0005-0000-0000-0000D0920000}"/>
    <cellStyle name="Normal 5 47" xfId="37595" xr:uid="{00000000-0005-0000-0000-0000D1920000}"/>
    <cellStyle name="Normal 5 48" xfId="37596" xr:uid="{00000000-0005-0000-0000-0000D2920000}"/>
    <cellStyle name="Normal 5 49" xfId="37597" xr:uid="{00000000-0005-0000-0000-0000D3920000}"/>
    <cellStyle name="Normal 5 5" xfId="37598" xr:uid="{00000000-0005-0000-0000-0000D4920000}"/>
    <cellStyle name="Normal 5 5 2" xfId="37599" xr:uid="{00000000-0005-0000-0000-0000D5920000}"/>
    <cellStyle name="Normal 5 5 2 2" xfId="37600" xr:uid="{00000000-0005-0000-0000-0000D6920000}"/>
    <cellStyle name="Normal 5 5 3" xfId="37601" xr:uid="{00000000-0005-0000-0000-0000D7920000}"/>
    <cellStyle name="Normal 5 5 4" xfId="37602" xr:uid="{00000000-0005-0000-0000-0000D8920000}"/>
    <cellStyle name="Normal 5 50" xfId="37603" xr:uid="{00000000-0005-0000-0000-0000D9920000}"/>
    <cellStyle name="Normal 5 51" xfId="37604" xr:uid="{00000000-0005-0000-0000-0000DA920000}"/>
    <cellStyle name="Normal 5 52" xfId="37605" xr:uid="{00000000-0005-0000-0000-0000DB920000}"/>
    <cellStyle name="Normal 5 53" xfId="37606" xr:uid="{00000000-0005-0000-0000-0000DC920000}"/>
    <cellStyle name="Normal 5 54" xfId="37607" xr:uid="{00000000-0005-0000-0000-0000DD920000}"/>
    <cellStyle name="Normal 5 55" xfId="37608" xr:uid="{00000000-0005-0000-0000-0000DE920000}"/>
    <cellStyle name="Normal 5 56" xfId="37609" xr:uid="{00000000-0005-0000-0000-0000DF920000}"/>
    <cellStyle name="Normal 5 57" xfId="37610" xr:uid="{00000000-0005-0000-0000-0000E0920000}"/>
    <cellStyle name="Normal 5 58" xfId="37611" xr:uid="{00000000-0005-0000-0000-0000E1920000}"/>
    <cellStyle name="Normal 5 59" xfId="37612" xr:uid="{00000000-0005-0000-0000-0000E2920000}"/>
    <cellStyle name="Normal 5 6" xfId="37613" xr:uid="{00000000-0005-0000-0000-0000E3920000}"/>
    <cellStyle name="Normal 5 6 2" xfId="37614" xr:uid="{00000000-0005-0000-0000-0000E4920000}"/>
    <cellStyle name="Normal 5 6 2 2" xfId="37615" xr:uid="{00000000-0005-0000-0000-0000E5920000}"/>
    <cellStyle name="Normal 5 6 3" xfId="37616" xr:uid="{00000000-0005-0000-0000-0000E6920000}"/>
    <cellStyle name="Normal 5 6 4" xfId="37617" xr:uid="{00000000-0005-0000-0000-0000E7920000}"/>
    <cellStyle name="Normal 5 60" xfId="37618" xr:uid="{00000000-0005-0000-0000-0000E8920000}"/>
    <cellStyle name="Normal 5 7" xfId="37619" xr:uid="{00000000-0005-0000-0000-0000E9920000}"/>
    <cellStyle name="Normal 5 7 2" xfId="37620" xr:uid="{00000000-0005-0000-0000-0000EA920000}"/>
    <cellStyle name="Normal 5 7 2 2" xfId="37621" xr:uid="{00000000-0005-0000-0000-0000EB920000}"/>
    <cellStyle name="Normal 5 7 3" xfId="37622" xr:uid="{00000000-0005-0000-0000-0000EC920000}"/>
    <cellStyle name="Normal 5 7 4" xfId="37623" xr:uid="{00000000-0005-0000-0000-0000ED920000}"/>
    <cellStyle name="Normal 5 8" xfId="37624" xr:uid="{00000000-0005-0000-0000-0000EE920000}"/>
    <cellStyle name="Normal 5 8 2" xfId="37625" xr:uid="{00000000-0005-0000-0000-0000EF920000}"/>
    <cellStyle name="Normal 5 8 2 2" xfId="37626" xr:uid="{00000000-0005-0000-0000-0000F0920000}"/>
    <cellStyle name="Normal 5 8 3" xfId="37627" xr:uid="{00000000-0005-0000-0000-0000F1920000}"/>
    <cellStyle name="Normal 5 8 4" xfId="37628" xr:uid="{00000000-0005-0000-0000-0000F2920000}"/>
    <cellStyle name="Normal 5 9" xfId="37629" xr:uid="{00000000-0005-0000-0000-0000F3920000}"/>
    <cellStyle name="Normal 5 9 2" xfId="37630" xr:uid="{00000000-0005-0000-0000-0000F4920000}"/>
    <cellStyle name="Normal 5 9 2 2" xfId="37631" xr:uid="{00000000-0005-0000-0000-0000F5920000}"/>
    <cellStyle name="Normal 5 9 3" xfId="37632" xr:uid="{00000000-0005-0000-0000-0000F6920000}"/>
    <cellStyle name="Normal 5 9 4" xfId="37633" xr:uid="{00000000-0005-0000-0000-0000F7920000}"/>
    <cellStyle name="Normal 50" xfId="37634" xr:uid="{00000000-0005-0000-0000-0000F8920000}"/>
    <cellStyle name="Normal 50 10" xfId="37635" xr:uid="{00000000-0005-0000-0000-0000F9920000}"/>
    <cellStyle name="Normal 50 11" xfId="37636" xr:uid="{00000000-0005-0000-0000-0000FA920000}"/>
    <cellStyle name="Normal 50 12" xfId="37637" xr:uid="{00000000-0005-0000-0000-0000FB920000}"/>
    <cellStyle name="Normal 50 13" xfId="37638" xr:uid="{00000000-0005-0000-0000-0000FC920000}"/>
    <cellStyle name="Normal 50 14" xfId="37639" xr:uid="{00000000-0005-0000-0000-0000FD920000}"/>
    <cellStyle name="Normal 50 15" xfId="37640" xr:uid="{00000000-0005-0000-0000-0000FE920000}"/>
    <cellStyle name="Normal 50 16" xfId="37641" xr:uid="{00000000-0005-0000-0000-0000FF920000}"/>
    <cellStyle name="Normal 50 17" xfId="37642" xr:uid="{00000000-0005-0000-0000-000000930000}"/>
    <cellStyle name="Normal 50 18" xfId="37643" xr:uid="{00000000-0005-0000-0000-000001930000}"/>
    <cellStyle name="Normal 50 19" xfId="37644" xr:uid="{00000000-0005-0000-0000-000002930000}"/>
    <cellStyle name="Normal 50 2" xfId="37645" xr:uid="{00000000-0005-0000-0000-000003930000}"/>
    <cellStyle name="Normal 50 2 2" xfId="37646" xr:uid="{00000000-0005-0000-0000-000004930000}"/>
    <cellStyle name="Normal 50 20" xfId="37647" xr:uid="{00000000-0005-0000-0000-000005930000}"/>
    <cellStyle name="Normal 50 21" xfId="37648" xr:uid="{00000000-0005-0000-0000-000006930000}"/>
    <cellStyle name="Normal 50 22" xfId="37649" xr:uid="{00000000-0005-0000-0000-000007930000}"/>
    <cellStyle name="Normal 50 23" xfId="37650" xr:uid="{00000000-0005-0000-0000-000008930000}"/>
    <cellStyle name="Normal 50 24" xfId="37651" xr:uid="{00000000-0005-0000-0000-000009930000}"/>
    <cellStyle name="Normal 50 25" xfId="37652" xr:uid="{00000000-0005-0000-0000-00000A930000}"/>
    <cellStyle name="Normal 50 26" xfId="37653" xr:uid="{00000000-0005-0000-0000-00000B930000}"/>
    <cellStyle name="Normal 50 3" xfId="37654" xr:uid="{00000000-0005-0000-0000-00000C930000}"/>
    <cellStyle name="Normal 50 3 2" xfId="37655" xr:uid="{00000000-0005-0000-0000-00000D930000}"/>
    <cellStyle name="Normal 50 4" xfId="37656" xr:uid="{00000000-0005-0000-0000-00000E930000}"/>
    <cellStyle name="Normal 50 4 2" xfId="37657" xr:uid="{00000000-0005-0000-0000-00000F930000}"/>
    <cellStyle name="Normal 50 5" xfId="37658" xr:uid="{00000000-0005-0000-0000-000010930000}"/>
    <cellStyle name="Normal 50 5 2" xfId="37659" xr:uid="{00000000-0005-0000-0000-000011930000}"/>
    <cellStyle name="Normal 50 6" xfId="37660" xr:uid="{00000000-0005-0000-0000-000012930000}"/>
    <cellStyle name="Normal 50 7" xfId="37661" xr:uid="{00000000-0005-0000-0000-000013930000}"/>
    <cellStyle name="Normal 50 8" xfId="37662" xr:uid="{00000000-0005-0000-0000-000014930000}"/>
    <cellStyle name="Normal 50 9" xfId="37663" xr:uid="{00000000-0005-0000-0000-000015930000}"/>
    <cellStyle name="Normal 51" xfId="37664" xr:uid="{00000000-0005-0000-0000-000016930000}"/>
    <cellStyle name="Normal 52" xfId="37665" xr:uid="{00000000-0005-0000-0000-000017930000}"/>
    <cellStyle name="Normal 53" xfId="37666" xr:uid="{00000000-0005-0000-0000-000018930000}"/>
    <cellStyle name="Normal 54" xfId="37667" xr:uid="{00000000-0005-0000-0000-000019930000}"/>
    <cellStyle name="Normal 55" xfId="37668" xr:uid="{00000000-0005-0000-0000-00001A930000}"/>
    <cellStyle name="Normal 56" xfId="37669" xr:uid="{00000000-0005-0000-0000-00001B930000}"/>
    <cellStyle name="Normal 57" xfId="37670" xr:uid="{00000000-0005-0000-0000-00001C930000}"/>
    <cellStyle name="Normal 58" xfId="37671" xr:uid="{00000000-0005-0000-0000-00001D930000}"/>
    <cellStyle name="Normal 59" xfId="37672" xr:uid="{00000000-0005-0000-0000-00001E930000}"/>
    <cellStyle name="Normal 6" xfId="44" xr:uid="{00000000-0005-0000-0000-00001F930000}"/>
    <cellStyle name="Normal 6 10" xfId="37674" xr:uid="{00000000-0005-0000-0000-000020930000}"/>
    <cellStyle name="Normal 6 11" xfId="37675" xr:uid="{00000000-0005-0000-0000-000021930000}"/>
    <cellStyle name="Normal 6 12" xfId="37676" xr:uid="{00000000-0005-0000-0000-000022930000}"/>
    <cellStyle name="Normal 6 13" xfId="37677" xr:uid="{00000000-0005-0000-0000-000023930000}"/>
    <cellStyle name="Normal 6 14" xfId="37678" xr:uid="{00000000-0005-0000-0000-000024930000}"/>
    <cellStyle name="Normal 6 15" xfId="37679" xr:uid="{00000000-0005-0000-0000-000025930000}"/>
    <cellStyle name="Normal 6 16" xfId="37680" xr:uid="{00000000-0005-0000-0000-000026930000}"/>
    <cellStyle name="Normal 6 17" xfId="37681" xr:uid="{00000000-0005-0000-0000-000027930000}"/>
    <cellStyle name="Normal 6 18" xfId="37682" xr:uid="{00000000-0005-0000-0000-000028930000}"/>
    <cellStyle name="Normal 6 19" xfId="37683" xr:uid="{00000000-0005-0000-0000-000029930000}"/>
    <cellStyle name="Normal 6 2" xfId="37684" xr:uid="{00000000-0005-0000-0000-00002A930000}"/>
    <cellStyle name="Normal 6 2 10" xfId="37685" xr:uid="{00000000-0005-0000-0000-00002B930000}"/>
    <cellStyle name="Normal 6 2 11" xfId="37686" xr:uid="{00000000-0005-0000-0000-00002C930000}"/>
    <cellStyle name="Normal 6 2 12" xfId="37687" xr:uid="{00000000-0005-0000-0000-00002D930000}"/>
    <cellStyle name="Normal 6 2 13" xfId="37688" xr:uid="{00000000-0005-0000-0000-00002E930000}"/>
    <cellStyle name="Normal 6 2 14" xfId="37689" xr:uid="{00000000-0005-0000-0000-00002F930000}"/>
    <cellStyle name="Normal 6 2 15" xfId="37690" xr:uid="{00000000-0005-0000-0000-000030930000}"/>
    <cellStyle name="Normal 6 2 16" xfId="37691" xr:uid="{00000000-0005-0000-0000-000031930000}"/>
    <cellStyle name="Normal 6 2 17" xfId="37692" xr:uid="{00000000-0005-0000-0000-000032930000}"/>
    <cellStyle name="Normal 6 2 18" xfId="37693" xr:uid="{00000000-0005-0000-0000-000033930000}"/>
    <cellStyle name="Normal 6 2 19" xfId="37694" xr:uid="{00000000-0005-0000-0000-000034930000}"/>
    <cellStyle name="Normal 6 2 2" xfId="37695" xr:uid="{00000000-0005-0000-0000-000035930000}"/>
    <cellStyle name="Normal 6 2 20" xfId="37696" xr:uid="{00000000-0005-0000-0000-000036930000}"/>
    <cellStyle name="Normal 6 2 21" xfId="37697" xr:uid="{00000000-0005-0000-0000-000037930000}"/>
    <cellStyle name="Normal 6 2 22" xfId="37698" xr:uid="{00000000-0005-0000-0000-000038930000}"/>
    <cellStyle name="Normal 6 2 23" xfId="37699" xr:uid="{00000000-0005-0000-0000-000039930000}"/>
    <cellStyle name="Normal 6 2 24" xfId="37700" xr:uid="{00000000-0005-0000-0000-00003A930000}"/>
    <cellStyle name="Normal 6 2 25" xfId="37701" xr:uid="{00000000-0005-0000-0000-00003B930000}"/>
    <cellStyle name="Normal 6 2 26" xfId="37702" xr:uid="{00000000-0005-0000-0000-00003C930000}"/>
    <cellStyle name="Normal 6 2 27" xfId="37703" xr:uid="{00000000-0005-0000-0000-00003D930000}"/>
    <cellStyle name="Normal 6 2 28" xfId="37704" xr:uid="{00000000-0005-0000-0000-00003E930000}"/>
    <cellStyle name="Normal 6 2 29" xfId="37705" xr:uid="{00000000-0005-0000-0000-00003F930000}"/>
    <cellStyle name="Normal 6 2 3" xfId="37706" xr:uid="{00000000-0005-0000-0000-000040930000}"/>
    <cellStyle name="Normal 6 2 30" xfId="37707" xr:uid="{00000000-0005-0000-0000-000041930000}"/>
    <cellStyle name="Normal 6 2 31" xfId="37708" xr:uid="{00000000-0005-0000-0000-000042930000}"/>
    <cellStyle name="Normal 6 2 32" xfId="37709" xr:uid="{00000000-0005-0000-0000-000043930000}"/>
    <cellStyle name="Normal 6 2 33" xfId="37710" xr:uid="{00000000-0005-0000-0000-000044930000}"/>
    <cellStyle name="Normal 6 2 34" xfId="37711" xr:uid="{00000000-0005-0000-0000-000045930000}"/>
    <cellStyle name="Normal 6 2 35" xfId="37712" xr:uid="{00000000-0005-0000-0000-000046930000}"/>
    <cellStyle name="Normal 6 2 36" xfId="37713" xr:uid="{00000000-0005-0000-0000-000047930000}"/>
    <cellStyle name="Normal 6 2 37" xfId="37714" xr:uid="{00000000-0005-0000-0000-000048930000}"/>
    <cellStyle name="Normal 6 2 38" xfId="37715" xr:uid="{00000000-0005-0000-0000-000049930000}"/>
    <cellStyle name="Normal 6 2 39" xfId="37716" xr:uid="{00000000-0005-0000-0000-00004A930000}"/>
    <cellStyle name="Normal 6 2 4" xfId="37717" xr:uid="{00000000-0005-0000-0000-00004B930000}"/>
    <cellStyle name="Normal 6 2 40" xfId="37718" xr:uid="{00000000-0005-0000-0000-00004C930000}"/>
    <cellStyle name="Normal 6 2 41" xfId="37719" xr:uid="{00000000-0005-0000-0000-00004D930000}"/>
    <cellStyle name="Normal 6 2 42" xfId="37720" xr:uid="{00000000-0005-0000-0000-00004E930000}"/>
    <cellStyle name="Normal 6 2 43" xfId="37721" xr:uid="{00000000-0005-0000-0000-00004F930000}"/>
    <cellStyle name="Normal 6 2 44" xfId="37722" xr:uid="{00000000-0005-0000-0000-000050930000}"/>
    <cellStyle name="Normal 6 2 45" xfId="37723" xr:uid="{00000000-0005-0000-0000-000051930000}"/>
    <cellStyle name="Normal 6 2 46" xfId="37724" xr:uid="{00000000-0005-0000-0000-000052930000}"/>
    <cellStyle name="Normal 6 2 47" xfId="37725" xr:uid="{00000000-0005-0000-0000-000053930000}"/>
    <cellStyle name="Normal 6 2 48" xfId="37726" xr:uid="{00000000-0005-0000-0000-000054930000}"/>
    <cellStyle name="Normal 6 2 49" xfId="37727" xr:uid="{00000000-0005-0000-0000-000055930000}"/>
    <cellStyle name="Normal 6 2 5" xfId="37728" xr:uid="{00000000-0005-0000-0000-000056930000}"/>
    <cellStyle name="Normal 6 2 50" xfId="37729" xr:uid="{00000000-0005-0000-0000-000057930000}"/>
    <cellStyle name="Normal 6 2 51" xfId="37730" xr:uid="{00000000-0005-0000-0000-000058930000}"/>
    <cellStyle name="Normal 6 2 52" xfId="37731" xr:uid="{00000000-0005-0000-0000-000059930000}"/>
    <cellStyle name="Normal 6 2 53" xfId="37732" xr:uid="{00000000-0005-0000-0000-00005A930000}"/>
    <cellStyle name="Normal 6 2 54" xfId="37733" xr:uid="{00000000-0005-0000-0000-00005B930000}"/>
    <cellStyle name="Normal 6 2 55" xfId="37734" xr:uid="{00000000-0005-0000-0000-00005C930000}"/>
    <cellStyle name="Normal 6 2 56" xfId="37735" xr:uid="{00000000-0005-0000-0000-00005D930000}"/>
    <cellStyle name="Normal 6 2 57" xfId="37736" xr:uid="{00000000-0005-0000-0000-00005E930000}"/>
    <cellStyle name="Normal 6 2 58" xfId="37737" xr:uid="{00000000-0005-0000-0000-00005F930000}"/>
    <cellStyle name="Normal 6 2 59" xfId="37738" xr:uid="{00000000-0005-0000-0000-000060930000}"/>
    <cellStyle name="Normal 6 2 6" xfId="37739" xr:uid="{00000000-0005-0000-0000-000061930000}"/>
    <cellStyle name="Normal 6 2 60" xfId="37740" xr:uid="{00000000-0005-0000-0000-000062930000}"/>
    <cellStyle name="Normal 6 2 61" xfId="37741" xr:uid="{00000000-0005-0000-0000-000063930000}"/>
    <cellStyle name="Normal 6 2 62" xfId="37742" xr:uid="{00000000-0005-0000-0000-000064930000}"/>
    <cellStyle name="Normal 6 2 63" xfId="37743" xr:uid="{00000000-0005-0000-0000-000065930000}"/>
    <cellStyle name="Normal 6 2 64" xfId="37744" xr:uid="{00000000-0005-0000-0000-000066930000}"/>
    <cellStyle name="Normal 6 2 65" xfId="37745" xr:uid="{00000000-0005-0000-0000-000067930000}"/>
    <cellStyle name="Normal 6 2 66" xfId="37746" xr:uid="{00000000-0005-0000-0000-000068930000}"/>
    <cellStyle name="Normal 6 2 67" xfId="37747" xr:uid="{00000000-0005-0000-0000-000069930000}"/>
    <cellStyle name="Normal 6 2 68" xfId="37748" xr:uid="{00000000-0005-0000-0000-00006A930000}"/>
    <cellStyle name="Normal 6 2 69" xfId="37749" xr:uid="{00000000-0005-0000-0000-00006B930000}"/>
    <cellStyle name="Normal 6 2 7" xfId="37750" xr:uid="{00000000-0005-0000-0000-00006C930000}"/>
    <cellStyle name="Normal 6 2 70" xfId="37751" xr:uid="{00000000-0005-0000-0000-00006D930000}"/>
    <cellStyle name="Normal 6 2 71" xfId="37752" xr:uid="{00000000-0005-0000-0000-00006E930000}"/>
    <cellStyle name="Normal 6 2 72" xfId="37753" xr:uid="{00000000-0005-0000-0000-00006F930000}"/>
    <cellStyle name="Normal 6 2 73" xfId="37754" xr:uid="{00000000-0005-0000-0000-000070930000}"/>
    <cellStyle name="Normal 6 2 74" xfId="37755" xr:uid="{00000000-0005-0000-0000-000071930000}"/>
    <cellStyle name="Normal 6 2 75" xfId="37756" xr:uid="{00000000-0005-0000-0000-000072930000}"/>
    <cellStyle name="Normal 6 2 76" xfId="37757" xr:uid="{00000000-0005-0000-0000-000073930000}"/>
    <cellStyle name="Normal 6 2 77" xfId="37758" xr:uid="{00000000-0005-0000-0000-000074930000}"/>
    <cellStyle name="Normal 6 2 78" xfId="37759" xr:uid="{00000000-0005-0000-0000-000075930000}"/>
    <cellStyle name="Normal 6 2 79" xfId="37760" xr:uid="{00000000-0005-0000-0000-000076930000}"/>
    <cellStyle name="Normal 6 2 8" xfId="37761" xr:uid="{00000000-0005-0000-0000-000077930000}"/>
    <cellStyle name="Normal 6 2 80" xfId="37762" xr:uid="{00000000-0005-0000-0000-000078930000}"/>
    <cellStyle name="Normal 6 2 81" xfId="37763" xr:uid="{00000000-0005-0000-0000-000079930000}"/>
    <cellStyle name="Normal 6 2 82" xfId="37764" xr:uid="{00000000-0005-0000-0000-00007A930000}"/>
    <cellStyle name="Normal 6 2 83" xfId="37765" xr:uid="{00000000-0005-0000-0000-00007B930000}"/>
    <cellStyle name="Normal 6 2 84" xfId="37766" xr:uid="{00000000-0005-0000-0000-00007C930000}"/>
    <cellStyle name="Normal 6 2 85" xfId="37767" xr:uid="{00000000-0005-0000-0000-00007D930000}"/>
    <cellStyle name="Normal 6 2 86" xfId="37768" xr:uid="{00000000-0005-0000-0000-00007E930000}"/>
    <cellStyle name="Normal 6 2 9" xfId="37769" xr:uid="{00000000-0005-0000-0000-00007F930000}"/>
    <cellStyle name="Normal 6 2_Xa Parametrización de Usuarios" xfId="37770" xr:uid="{00000000-0005-0000-0000-000080930000}"/>
    <cellStyle name="Normal 6 20" xfId="37771" xr:uid="{00000000-0005-0000-0000-000081930000}"/>
    <cellStyle name="Normal 6 21" xfId="37772" xr:uid="{00000000-0005-0000-0000-000082930000}"/>
    <cellStyle name="Normal 6 22" xfId="37773" xr:uid="{00000000-0005-0000-0000-000083930000}"/>
    <cellStyle name="Normal 6 23" xfId="37774" xr:uid="{00000000-0005-0000-0000-000084930000}"/>
    <cellStyle name="Normal 6 24" xfId="37775" xr:uid="{00000000-0005-0000-0000-000085930000}"/>
    <cellStyle name="Normal 6 25" xfId="37776" xr:uid="{00000000-0005-0000-0000-000086930000}"/>
    <cellStyle name="Normal 6 26" xfId="37777" xr:uid="{00000000-0005-0000-0000-000087930000}"/>
    <cellStyle name="Normal 6 27" xfId="37778" xr:uid="{00000000-0005-0000-0000-000088930000}"/>
    <cellStyle name="Normal 6 28" xfId="37779" xr:uid="{00000000-0005-0000-0000-000089930000}"/>
    <cellStyle name="Normal 6 29" xfId="37780" xr:uid="{00000000-0005-0000-0000-00008A930000}"/>
    <cellStyle name="Normal 6 3" xfId="37781" xr:uid="{00000000-0005-0000-0000-00008B930000}"/>
    <cellStyle name="Normal 6 3 10" xfId="37782" xr:uid="{00000000-0005-0000-0000-00008C930000}"/>
    <cellStyle name="Normal 6 3 11" xfId="37783" xr:uid="{00000000-0005-0000-0000-00008D930000}"/>
    <cellStyle name="Normal 6 3 12" xfId="37784" xr:uid="{00000000-0005-0000-0000-00008E930000}"/>
    <cellStyle name="Normal 6 3 2" xfId="37785" xr:uid="{00000000-0005-0000-0000-00008F930000}"/>
    <cellStyle name="Normal 6 3 3" xfId="37786" xr:uid="{00000000-0005-0000-0000-000090930000}"/>
    <cellStyle name="Normal 6 3 4" xfId="37787" xr:uid="{00000000-0005-0000-0000-000091930000}"/>
    <cellStyle name="Normal 6 3 5" xfId="37788" xr:uid="{00000000-0005-0000-0000-000092930000}"/>
    <cellStyle name="Normal 6 3 6" xfId="37789" xr:uid="{00000000-0005-0000-0000-000093930000}"/>
    <cellStyle name="Normal 6 3 7" xfId="37790" xr:uid="{00000000-0005-0000-0000-000094930000}"/>
    <cellStyle name="Normal 6 3 8" xfId="37791" xr:uid="{00000000-0005-0000-0000-000095930000}"/>
    <cellStyle name="Normal 6 3 9" xfId="37792" xr:uid="{00000000-0005-0000-0000-000096930000}"/>
    <cellStyle name="Normal 6 3_Xa Parametrización de Usuarios" xfId="37793" xr:uid="{00000000-0005-0000-0000-000097930000}"/>
    <cellStyle name="Normal 6 30" xfId="39190" xr:uid="{00000000-0005-0000-0000-000098930000}"/>
    <cellStyle name="Normal 6 31" xfId="37673" xr:uid="{00000000-0005-0000-0000-000099930000}"/>
    <cellStyle name="Normal 6 4" xfId="37794" xr:uid="{00000000-0005-0000-0000-00009A930000}"/>
    <cellStyle name="Normal 6 5" xfId="37795" xr:uid="{00000000-0005-0000-0000-00009B930000}"/>
    <cellStyle name="Normal 6 6" xfId="37796" xr:uid="{00000000-0005-0000-0000-00009C930000}"/>
    <cellStyle name="Normal 6 7" xfId="37797" xr:uid="{00000000-0005-0000-0000-00009D930000}"/>
    <cellStyle name="Normal 6 8" xfId="37798" xr:uid="{00000000-0005-0000-0000-00009E930000}"/>
    <cellStyle name="Normal 6 9" xfId="37799" xr:uid="{00000000-0005-0000-0000-00009F930000}"/>
    <cellStyle name="Normal 60" xfId="37800" xr:uid="{00000000-0005-0000-0000-0000A0930000}"/>
    <cellStyle name="Normal 61" xfId="37801" xr:uid="{00000000-0005-0000-0000-0000A1930000}"/>
    <cellStyle name="Normal 61 2" xfId="37802" xr:uid="{00000000-0005-0000-0000-0000A2930000}"/>
    <cellStyle name="Normal 61 2 2" xfId="37803" xr:uid="{00000000-0005-0000-0000-0000A3930000}"/>
    <cellStyle name="Normal 61 2 3" xfId="37804" xr:uid="{00000000-0005-0000-0000-0000A4930000}"/>
    <cellStyle name="Normal 61 3" xfId="37805" xr:uid="{00000000-0005-0000-0000-0000A5930000}"/>
    <cellStyle name="Normal 62" xfId="37806" xr:uid="{00000000-0005-0000-0000-0000A6930000}"/>
    <cellStyle name="Normal 62 2" xfId="37807" xr:uid="{00000000-0005-0000-0000-0000A7930000}"/>
    <cellStyle name="Normal 62 3" xfId="37808" xr:uid="{00000000-0005-0000-0000-0000A8930000}"/>
    <cellStyle name="Normal 62 4" xfId="39191" xr:uid="{00000000-0005-0000-0000-0000A9930000}"/>
    <cellStyle name="Normal 63" xfId="37809" xr:uid="{00000000-0005-0000-0000-0000AA930000}"/>
    <cellStyle name="Normal 63 2" xfId="37810" xr:uid="{00000000-0005-0000-0000-0000AB930000}"/>
    <cellStyle name="Normal 63 3" xfId="37811" xr:uid="{00000000-0005-0000-0000-0000AC930000}"/>
    <cellStyle name="Normal 63 4" xfId="37812" xr:uid="{00000000-0005-0000-0000-0000AD930000}"/>
    <cellStyle name="Normal 63 5" xfId="39192" xr:uid="{00000000-0005-0000-0000-0000AE930000}"/>
    <cellStyle name="Normal 64" xfId="37813" xr:uid="{00000000-0005-0000-0000-0000AF930000}"/>
    <cellStyle name="Normal 64 2" xfId="37814" xr:uid="{00000000-0005-0000-0000-0000B0930000}"/>
    <cellStyle name="Normal 64 3" xfId="37815" xr:uid="{00000000-0005-0000-0000-0000B1930000}"/>
    <cellStyle name="Normal 64 4" xfId="37816" xr:uid="{00000000-0005-0000-0000-0000B2930000}"/>
    <cellStyle name="Normal 64 5" xfId="39193" xr:uid="{00000000-0005-0000-0000-0000B3930000}"/>
    <cellStyle name="Normal 65" xfId="37817" xr:uid="{00000000-0005-0000-0000-0000B4930000}"/>
    <cellStyle name="Normal 65 2" xfId="37818" xr:uid="{00000000-0005-0000-0000-0000B5930000}"/>
    <cellStyle name="Normal 65 3" xfId="37819" xr:uid="{00000000-0005-0000-0000-0000B6930000}"/>
    <cellStyle name="Normal 66" xfId="37820" xr:uid="{00000000-0005-0000-0000-0000B7930000}"/>
    <cellStyle name="Normal 66 2" xfId="37821" xr:uid="{00000000-0005-0000-0000-0000B8930000}"/>
    <cellStyle name="Normal 66 3" xfId="37822" xr:uid="{00000000-0005-0000-0000-0000B9930000}"/>
    <cellStyle name="Normal 66 4" xfId="39194" xr:uid="{00000000-0005-0000-0000-0000BA930000}"/>
    <cellStyle name="Normal 67" xfId="37823" xr:uid="{00000000-0005-0000-0000-0000BB930000}"/>
    <cellStyle name="Normal 67 2" xfId="37824" xr:uid="{00000000-0005-0000-0000-0000BC930000}"/>
    <cellStyle name="Normal 67 3" xfId="39195" xr:uid="{00000000-0005-0000-0000-0000BD930000}"/>
    <cellStyle name="Normal 68" xfId="37825" xr:uid="{00000000-0005-0000-0000-0000BE930000}"/>
    <cellStyle name="Normal 68 2" xfId="37826" xr:uid="{00000000-0005-0000-0000-0000BF930000}"/>
    <cellStyle name="Normal 68 3" xfId="39196" xr:uid="{00000000-0005-0000-0000-0000C0930000}"/>
    <cellStyle name="Normal 69" xfId="37827" xr:uid="{00000000-0005-0000-0000-0000C1930000}"/>
    <cellStyle name="Normal 69 2" xfId="37828" xr:uid="{00000000-0005-0000-0000-0000C2930000}"/>
    <cellStyle name="Normal 69 3" xfId="37829" xr:uid="{00000000-0005-0000-0000-0000C3930000}"/>
    <cellStyle name="Normal 69 4" xfId="39197" xr:uid="{00000000-0005-0000-0000-0000C4930000}"/>
    <cellStyle name="Normal 7" xfId="2" xr:uid="{00000000-0005-0000-0000-0000C5930000}"/>
    <cellStyle name="Normal 7 10" xfId="64" xr:uid="{00000000-0005-0000-0000-0000C6930000}"/>
    <cellStyle name="Normal 7 11" xfId="37830" xr:uid="{00000000-0005-0000-0000-0000C7930000}"/>
    <cellStyle name="Normal 7 12" xfId="37831" xr:uid="{00000000-0005-0000-0000-0000C8930000}"/>
    <cellStyle name="Normal 7 13" xfId="37832" xr:uid="{00000000-0005-0000-0000-0000C9930000}"/>
    <cellStyle name="Normal 7 14" xfId="37833" xr:uid="{00000000-0005-0000-0000-0000CA930000}"/>
    <cellStyle name="Normal 7 15" xfId="37834" xr:uid="{00000000-0005-0000-0000-0000CB930000}"/>
    <cellStyle name="Normal 7 16" xfId="37835" xr:uid="{00000000-0005-0000-0000-0000CC930000}"/>
    <cellStyle name="Normal 7 17" xfId="37836" xr:uid="{00000000-0005-0000-0000-0000CD930000}"/>
    <cellStyle name="Normal 7 18" xfId="37837" xr:uid="{00000000-0005-0000-0000-0000CE930000}"/>
    <cellStyle name="Normal 7 19" xfId="37838" xr:uid="{00000000-0005-0000-0000-0000CF930000}"/>
    <cellStyle name="Normal 7 2" xfId="7" xr:uid="{00000000-0005-0000-0000-0000D0930000}"/>
    <cellStyle name="Normal 7 2 10" xfId="37839" xr:uid="{00000000-0005-0000-0000-0000D1930000}"/>
    <cellStyle name="Normal 7 2 11" xfId="37840" xr:uid="{00000000-0005-0000-0000-0000D2930000}"/>
    <cellStyle name="Normal 7 2 12" xfId="37841" xr:uid="{00000000-0005-0000-0000-0000D3930000}"/>
    <cellStyle name="Normal 7 2 13" xfId="37842" xr:uid="{00000000-0005-0000-0000-0000D4930000}"/>
    <cellStyle name="Normal 7 2 14" xfId="37843" xr:uid="{00000000-0005-0000-0000-0000D5930000}"/>
    <cellStyle name="Normal 7 2 15" xfId="37844" xr:uid="{00000000-0005-0000-0000-0000D6930000}"/>
    <cellStyle name="Normal 7 2 16" xfId="37845" xr:uid="{00000000-0005-0000-0000-0000D7930000}"/>
    <cellStyle name="Normal 7 2 17" xfId="37846" xr:uid="{00000000-0005-0000-0000-0000D8930000}"/>
    <cellStyle name="Normal 7 2 18" xfId="37847" xr:uid="{00000000-0005-0000-0000-0000D9930000}"/>
    <cellStyle name="Normal 7 2 19" xfId="37848" xr:uid="{00000000-0005-0000-0000-0000DA930000}"/>
    <cellStyle name="Normal 7 2 2" xfId="37849" xr:uid="{00000000-0005-0000-0000-0000DB930000}"/>
    <cellStyle name="Normal 7 2 2 2" xfId="37850" xr:uid="{00000000-0005-0000-0000-0000DC930000}"/>
    <cellStyle name="Normal 7 2 2 2 2" xfId="37851" xr:uid="{00000000-0005-0000-0000-0000DD930000}"/>
    <cellStyle name="Normal 7 2 20" xfId="37852" xr:uid="{00000000-0005-0000-0000-0000DE930000}"/>
    <cellStyle name="Normal 7 2 21" xfId="37853" xr:uid="{00000000-0005-0000-0000-0000DF930000}"/>
    <cellStyle name="Normal 7 2 22" xfId="37854" xr:uid="{00000000-0005-0000-0000-0000E0930000}"/>
    <cellStyle name="Normal 7 2 23" xfId="37855" xr:uid="{00000000-0005-0000-0000-0000E1930000}"/>
    <cellStyle name="Normal 7 2 24" xfId="37856" xr:uid="{00000000-0005-0000-0000-0000E2930000}"/>
    <cellStyle name="Normal 7 2 25" xfId="37857" xr:uid="{00000000-0005-0000-0000-0000E3930000}"/>
    <cellStyle name="Normal 7 2 26" xfId="37858" xr:uid="{00000000-0005-0000-0000-0000E4930000}"/>
    <cellStyle name="Normal 7 2 27" xfId="37859" xr:uid="{00000000-0005-0000-0000-0000E5930000}"/>
    <cellStyle name="Normal 7 2 28" xfId="37860" xr:uid="{00000000-0005-0000-0000-0000E6930000}"/>
    <cellStyle name="Normal 7 2 29" xfId="37861" xr:uid="{00000000-0005-0000-0000-0000E7930000}"/>
    <cellStyle name="Normal 7 2 3" xfId="37862" xr:uid="{00000000-0005-0000-0000-0000E8930000}"/>
    <cellStyle name="Normal 7 2 30" xfId="37863" xr:uid="{00000000-0005-0000-0000-0000E9930000}"/>
    <cellStyle name="Normal 7 2 31" xfId="37864" xr:uid="{00000000-0005-0000-0000-0000EA930000}"/>
    <cellStyle name="Normal 7 2 32" xfId="37865" xr:uid="{00000000-0005-0000-0000-0000EB930000}"/>
    <cellStyle name="Normal 7 2 33" xfId="37866" xr:uid="{00000000-0005-0000-0000-0000EC930000}"/>
    <cellStyle name="Normal 7 2 34" xfId="37867" xr:uid="{00000000-0005-0000-0000-0000ED930000}"/>
    <cellStyle name="Normal 7 2 35" xfId="37868" xr:uid="{00000000-0005-0000-0000-0000EE930000}"/>
    <cellStyle name="Normal 7 2 36" xfId="37869" xr:uid="{00000000-0005-0000-0000-0000EF930000}"/>
    <cellStyle name="Normal 7 2 37" xfId="37870" xr:uid="{00000000-0005-0000-0000-0000F0930000}"/>
    <cellStyle name="Normal 7 2 38" xfId="37871" xr:uid="{00000000-0005-0000-0000-0000F1930000}"/>
    <cellStyle name="Normal 7 2 39" xfId="37872" xr:uid="{00000000-0005-0000-0000-0000F2930000}"/>
    <cellStyle name="Normal 7 2 4" xfId="37873" xr:uid="{00000000-0005-0000-0000-0000F3930000}"/>
    <cellStyle name="Normal 7 2 40" xfId="37874" xr:uid="{00000000-0005-0000-0000-0000F4930000}"/>
    <cellStyle name="Normal 7 2 41" xfId="37875" xr:uid="{00000000-0005-0000-0000-0000F5930000}"/>
    <cellStyle name="Normal 7 2 42" xfId="37876" xr:uid="{00000000-0005-0000-0000-0000F6930000}"/>
    <cellStyle name="Normal 7 2 43" xfId="37877" xr:uid="{00000000-0005-0000-0000-0000F7930000}"/>
    <cellStyle name="Normal 7 2 44" xfId="37878" xr:uid="{00000000-0005-0000-0000-0000F8930000}"/>
    <cellStyle name="Normal 7 2 45" xfId="37879" xr:uid="{00000000-0005-0000-0000-0000F9930000}"/>
    <cellStyle name="Normal 7 2 46" xfId="37880" xr:uid="{00000000-0005-0000-0000-0000FA930000}"/>
    <cellStyle name="Normal 7 2 47" xfId="37881" xr:uid="{00000000-0005-0000-0000-0000FB930000}"/>
    <cellStyle name="Normal 7 2 48" xfId="37882" xr:uid="{00000000-0005-0000-0000-0000FC930000}"/>
    <cellStyle name="Normal 7 2 49" xfId="37883" xr:uid="{00000000-0005-0000-0000-0000FD930000}"/>
    <cellStyle name="Normal 7 2 5" xfId="37884" xr:uid="{00000000-0005-0000-0000-0000FE930000}"/>
    <cellStyle name="Normal 7 2 50" xfId="37885" xr:uid="{00000000-0005-0000-0000-0000FF930000}"/>
    <cellStyle name="Normal 7 2 51" xfId="37886" xr:uid="{00000000-0005-0000-0000-000000940000}"/>
    <cellStyle name="Normal 7 2 52" xfId="37887" xr:uid="{00000000-0005-0000-0000-000001940000}"/>
    <cellStyle name="Normal 7 2 53" xfId="37888" xr:uid="{00000000-0005-0000-0000-000002940000}"/>
    <cellStyle name="Normal 7 2 54" xfId="37889" xr:uid="{00000000-0005-0000-0000-000003940000}"/>
    <cellStyle name="Normal 7 2 55" xfId="37890" xr:uid="{00000000-0005-0000-0000-000004940000}"/>
    <cellStyle name="Normal 7 2 56" xfId="37891" xr:uid="{00000000-0005-0000-0000-000005940000}"/>
    <cellStyle name="Normal 7 2 57" xfId="37892" xr:uid="{00000000-0005-0000-0000-000006940000}"/>
    <cellStyle name="Normal 7 2 58" xfId="37893" xr:uid="{00000000-0005-0000-0000-000007940000}"/>
    <cellStyle name="Normal 7 2 59" xfId="37894" xr:uid="{00000000-0005-0000-0000-000008940000}"/>
    <cellStyle name="Normal 7 2 6" xfId="37895" xr:uid="{00000000-0005-0000-0000-000009940000}"/>
    <cellStyle name="Normal 7 2 60" xfId="37896" xr:uid="{00000000-0005-0000-0000-00000A940000}"/>
    <cellStyle name="Normal 7 2 61" xfId="37897" xr:uid="{00000000-0005-0000-0000-00000B940000}"/>
    <cellStyle name="Normal 7 2 62" xfId="37898" xr:uid="{00000000-0005-0000-0000-00000C940000}"/>
    <cellStyle name="Normal 7 2 63" xfId="37899" xr:uid="{00000000-0005-0000-0000-00000D940000}"/>
    <cellStyle name="Normal 7 2 64" xfId="37900" xr:uid="{00000000-0005-0000-0000-00000E940000}"/>
    <cellStyle name="Normal 7 2 65" xfId="37901" xr:uid="{00000000-0005-0000-0000-00000F940000}"/>
    <cellStyle name="Normal 7 2 66" xfId="37902" xr:uid="{00000000-0005-0000-0000-000010940000}"/>
    <cellStyle name="Normal 7 2 67" xfId="37903" xr:uid="{00000000-0005-0000-0000-000011940000}"/>
    <cellStyle name="Normal 7 2 68" xfId="37904" xr:uid="{00000000-0005-0000-0000-000012940000}"/>
    <cellStyle name="Normal 7 2 69" xfId="37905" xr:uid="{00000000-0005-0000-0000-000013940000}"/>
    <cellStyle name="Normal 7 2 7" xfId="37906" xr:uid="{00000000-0005-0000-0000-000014940000}"/>
    <cellStyle name="Normal 7 2 70" xfId="37907" xr:uid="{00000000-0005-0000-0000-000015940000}"/>
    <cellStyle name="Normal 7 2 71" xfId="37908" xr:uid="{00000000-0005-0000-0000-000016940000}"/>
    <cellStyle name="Normal 7 2 72" xfId="37909" xr:uid="{00000000-0005-0000-0000-000017940000}"/>
    <cellStyle name="Normal 7 2 73" xfId="37910" xr:uid="{00000000-0005-0000-0000-000018940000}"/>
    <cellStyle name="Normal 7 2 74" xfId="37911" xr:uid="{00000000-0005-0000-0000-000019940000}"/>
    <cellStyle name="Normal 7 2 75" xfId="37912" xr:uid="{00000000-0005-0000-0000-00001A940000}"/>
    <cellStyle name="Normal 7 2 76" xfId="37913" xr:uid="{00000000-0005-0000-0000-00001B940000}"/>
    <cellStyle name="Normal 7 2 77" xfId="37914" xr:uid="{00000000-0005-0000-0000-00001C940000}"/>
    <cellStyle name="Normal 7 2 78" xfId="37915" xr:uid="{00000000-0005-0000-0000-00001D940000}"/>
    <cellStyle name="Normal 7 2 79" xfId="37916" xr:uid="{00000000-0005-0000-0000-00001E940000}"/>
    <cellStyle name="Normal 7 2 8" xfId="37917" xr:uid="{00000000-0005-0000-0000-00001F940000}"/>
    <cellStyle name="Normal 7 2 80" xfId="37918" xr:uid="{00000000-0005-0000-0000-000020940000}"/>
    <cellStyle name="Normal 7 2 81" xfId="37919" xr:uid="{00000000-0005-0000-0000-000021940000}"/>
    <cellStyle name="Normal 7 2 9" xfId="37920" xr:uid="{00000000-0005-0000-0000-000022940000}"/>
    <cellStyle name="Normal 7 2_Enlaces" xfId="37921" xr:uid="{00000000-0005-0000-0000-000023940000}"/>
    <cellStyle name="Normal 7 20" xfId="37922" xr:uid="{00000000-0005-0000-0000-000024940000}"/>
    <cellStyle name="Normal 7 21" xfId="37923" xr:uid="{00000000-0005-0000-0000-000025940000}"/>
    <cellStyle name="Normal 7 22" xfId="37924" xr:uid="{00000000-0005-0000-0000-000026940000}"/>
    <cellStyle name="Normal 7 23" xfId="37925" xr:uid="{00000000-0005-0000-0000-000027940000}"/>
    <cellStyle name="Normal 7 24" xfId="37926" xr:uid="{00000000-0005-0000-0000-000028940000}"/>
    <cellStyle name="Normal 7 25" xfId="37927" xr:uid="{00000000-0005-0000-0000-000029940000}"/>
    <cellStyle name="Normal 7 26" xfId="37928" xr:uid="{00000000-0005-0000-0000-00002A940000}"/>
    <cellStyle name="Normal 7 27" xfId="37929" xr:uid="{00000000-0005-0000-0000-00002B940000}"/>
    <cellStyle name="Normal 7 28" xfId="37930" xr:uid="{00000000-0005-0000-0000-00002C940000}"/>
    <cellStyle name="Normal 7 29" xfId="37931" xr:uid="{00000000-0005-0000-0000-00002D940000}"/>
    <cellStyle name="Normal 7 3" xfId="37932" xr:uid="{00000000-0005-0000-0000-00002E940000}"/>
    <cellStyle name="Normal 7 3 2" xfId="37933" xr:uid="{00000000-0005-0000-0000-00002F940000}"/>
    <cellStyle name="Normal 7 3 3" xfId="37934" xr:uid="{00000000-0005-0000-0000-000030940000}"/>
    <cellStyle name="Normal 7 3 4" xfId="37935" xr:uid="{00000000-0005-0000-0000-000031940000}"/>
    <cellStyle name="Normal 7 3 4 2" xfId="37936" xr:uid="{00000000-0005-0000-0000-000032940000}"/>
    <cellStyle name="Normal 7 3 4 2 2" xfId="37937" xr:uid="{00000000-0005-0000-0000-000033940000}"/>
    <cellStyle name="Normal 7 3 4 3" xfId="37938" xr:uid="{00000000-0005-0000-0000-000034940000}"/>
    <cellStyle name="Normal 7 3 5" xfId="37939" xr:uid="{00000000-0005-0000-0000-000035940000}"/>
    <cellStyle name="Normal 7 3 6" xfId="37940" xr:uid="{00000000-0005-0000-0000-000036940000}"/>
    <cellStyle name="Normal 7 3 7" xfId="37941" xr:uid="{00000000-0005-0000-0000-000037940000}"/>
    <cellStyle name="Normal 7 3 7 2" xfId="37942" xr:uid="{00000000-0005-0000-0000-000038940000}"/>
    <cellStyle name="Normal 7 3_Implem" xfId="37943" xr:uid="{00000000-0005-0000-0000-000039940000}"/>
    <cellStyle name="Normal 7 30" xfId="37944" xr:uid="{00000000-0005-0000-0000-00003A940000}"/>
    <cellStyle name="Normal 7 30 2" xfId="37945" xr:uid="{00000000-0005-0000-0000-00003B940000}"/>
    <cellStyle name="Normal 7 31" xfId="37946" xr:uid="{00000000-0005-0000-0000-00003C940000}"/>
    <cellStyle name="Normal 7 32" xfId="37947" xr:uid="{00000000-0005-0000-0000-00003D940000}"/>
    <cellStyle name="Normal 7 33" xfId="37948" xr:uid="{00000000-0005-0000-0000-00003E940000}"/>
    <cellStyle name="Normal 7 34" xfId="37949" xr:uid="{00000000-0005-0000-0000-00003F940000}"/>
    <cellStyle name="Normal 7 35" xfId="37950" xr:uid="{00000000-0005-0000-0000-000040940000}"/>
    <cellStyle name="Normal 7 36" xfId="37951" xr:uid="{00000000-0005-0000-0000-000041940000}"/>
    <cellStyle name="Normal 7 37" xfId="37952" xr:uid="{00000000-0005-0000-0000-000042940000}"/>
    <cellStyle name="Normal 7 38" xfId="37953" xr:uid="{00000000-0005-0000-0000-000043940000}"/>
    <cellStyle name="Normal 7 39" xfId="37954" xr:uid="{00000000-0005-0000-0000-000044940000}"/>
    <cellStyle name="Normal 7 4" xfId="65" xr:uid="{00000000-0005-0000-0000-000045940000}"/>
    <cellStyle name="Normal 7 4 2" xfId="37955" xr:uid="{00000000-0005-0000-0000-000046940000}"/>
    <cellStyle name="Normal 7 40" xfId="37956" xr:uid="{00000000-0005-0000-0000-000047940000}"/>
    <cellStyle name="Normal 7 41" xfId="37957" xr:uid="{00000000-0005-0000-0000-000048940000}"/>
    <cellStyle name="Normal 7 42" xfId="37958" xr:uid="{00000000-0005-0000-0000-000049940000}"/>
    <cellStyle name="Normal 7 43" xfId="37959" xr:uid="{00000000-0005-0000-0000-00004A940000}"/>
    <cellStyle name="Normal 7 44" xfId="37960" xr:uid="{00000000-0005-0000-0000-00004B940000}"/>
    <cellStyle name="Normal 7 45" xfId="37961" xr:uid="{00000000-0005-0000-0000-00004C940000}"/>
    <cellStyle name="Normal 7 46" xfId="37962" xr:uid="{00000000-0005-0000-0000-00004D940000}"/>
    <cellStyle name="Normal 7 5" xfId="37963" xr:uid="{00000000-0005-0000-0000-00004E940000}"/>
    <cellStyle name="Normal 7 6" xfId="37964" xr:uid="{00000000-0005-0000-0000-00004F940000}"/>
    <cellStyle name="Normal 7 7" xfId="37965" xr:uid="{00000000-0005-0000-0000-000050940000}"/>
    <cellStyle name="Normal 7 8" xfId="37966" xr:uid="{00000000-0005-0000-0000-000051940000}"/>
    <cellStyle name="Normal 7 9" xfId="37967" xr:uid="{00000000-0005-0000-0000-000052940000}"/>
    <cellStyle name="Normal 70" xfId="37968" xr:uid="{00000000-0005-0000-0000-000053940000}"/>
    <cellStyle name="Normal 70 2" xfId="37969" xr:uid="{00000000-0005-0000-0000-000054940000}"/>
    <cellStyle name="Normal 71" xfId="37970" xr:uid="{00000000-0005-0000-0000-000055940000}"/>
    <cellStyle name="Normal 71 2" xfId="37971" xr:uid="{00000000-0005-0000-0000-000056940000}"/>
    <cellStyle name="Normal 72" xfId="37972" xr:uid="{00000000-0005-0000-0000-000057940000}"/>
    <cellStyle name="Normal 72 2" xfId="37973" xr:uid="{00000000-0005-0000-0000-000058940000}"/>
    <cellStyle name="Normal 72 3" xfId="37974" xr:uid="{00000000-0005-0000-0000-000059940000}"/>
    <cellStyle name="Normal 72 4" xfId="39198" xr:uid="{00000000-0005-0000-0000-00005A940000}"/>
    <cellStyle name="Normal 73" xfId="37975" xr:uid="{00000000-0005-0000-0000-00005B940000}"/>
    <cellStyle name="Normal 73 2" xfId="37976" xr:uid="{00000000-0005-0000-0000-00005C940000}"/>
    <cellStyle name="Normal 74" xfId="37977" xr:uid="{00000000-0005-0000-0000-00005D940000}"/>
    <cellStyle name="Normal 74 2" xfId="37978" xr:uid="{00000000-0005-0000-0000-00005E940000}"/>
    <cellStyle name="Normal 75" xfId="37979" xr:uid="{00000000-0005-0000-0000-00005F940000}"/>
    <cellStyle name="Normal 75 2" xfId="37980" xr:uid="{00000000-0005-0000-0000-000060940000}"/>
    <cellStyle name="Normal 75 3" xfId="37981" xr:uid="{00000000-0005-0000-0000-000061940000}"/>
    <cellStyle name="Normal 75 4" xfId="39199" xr:uid="{00000000-0005-0000-0000-000062940000}"/>
    <cellStyle name="Normal 76" xfId="37982" xr:uid="{00000000-0005-0000-0000-000063940000}"/>
    <cellStyle name="Normal 76 2" xfId="37983" xr:uid="{00000000-0005-0000-0000-000064940000}"/>
    <cellStyle name="Normal 76 3" xfId="37984" xr:uid="{00000000-0005-0000-0000-000065940000}"/>
    <cellStyle name="Normal 76 4" xfId="39200" xr:uid="{00000000-0005-0000-0000-000066940000}"/>
    <cellStyle name="Normal 77" xfId="37985" xr:uid="{00000000-0005-0000-0000-000067940000}"/>
    <cellStyle name="Normal 77 2" xfId="37986" xr:uid="{00000000-0005-0000-0000-000068940000}"/>
    <cellStyle name="Normal 77 3" xfId="37987" xr:uid="{00000000-0005-0000-0000-000069940000}"/>
    <cellStyle name="Normal 77 4" xfId="39201" xr:uid="{00000000-0005-0000-0000-00006A940000}"/>
    <cellStyle name="Normal 78" xfId="37988" xr:uid="{00000000-0005-0000-0000-00006B940000}"/>
    <cellStyle name="Normal 78 2" xfId="37989" xr:uid="{00000000-0005-0000-0000-00006C940000}"/>
    <cellStyle name="Normal 79" xfId="37990" xr:uid="{00000000-0005-0000-0000-00006D940000}"/>
    <cellStyle name="Normal 79 2" xfId="37991" xr:uid="{00000000-0005-0000-0000-00006E940000}"/>
    <cellStyle name="Normal 8" xfId="1" xr:uid="{00000000-0005-0000-0000-00006F940000}"/>
    <cellStyle name="Normal 8 2" xfId="66" xr:uid="{00000000-0005-0000-0000-000070940000}"/>
    <cellStyle name="Normal 8 2 2" xfId="37994" xr:uid="{00000000-0005-0000-0000-000071940000}"/>
    <cellStyle name="Normal 8 2 2 2" xfId="37995" xr:uid="{00000000-0005-0000-0000-000072940000}"/>
    <cellStyle name="Normal 8 2 3" xfId="37996" xr:uid="{00000000-0005-0000-0000-000073940000}"/>
    <cellStyle name="Normal 8 2 3 2" xfId="37997" xr:uid="{00000000-0005-0000-0000-000074940000}"/>
    <cellStyle name="Normal 8 2 4" xfId="37993" xr:uid="{00000000-0005-0000-0000-000075940000}"/>
    <cellStyle name="Normal 8 3" xfId="38" xr:uid="{00000000-0005-0000-0000-000076940000}"/>
    <cellStyle name="Normal 8 3 2" xfId="37998" xr:uid="{00000000-0005-0000-0000-000077940000}"/>
    <cellStyle name="Normal 8 4" xfId="37999" xr:uid="{00000000-0005-0000-0000-000078940000}"/>
    <cellStyle name="Normal 8 5" xfId="38000" xr:uid="{00000000-0005-0000-0000-000079940000}"/>
    <cellStyle name="Normal 8 6" xfId="38001" xr:uid="{00000000-0005-0000-0000-00007A940000}"/>
    <cellStyle name="Normal 8 7" xfId="38002" xr:uid="{00000000-0005-0000-0000-00007B940000}"/>
    <cellStyle name="Normal 8 8" xfId="38003" xr:uid="{00000000-0005-0000-0000-00007C940000}"/>
    <cellStyle name="Normal 8 8 2" xfId="38004" xr:uid="{00000000-0005-0000-0000-00007D940000}"/>
    <cellStyle name="Normal 8 9" xfId="37992" xr:uid="{00000000-0005-0000-0000-00007E940000}"/>
    <cellStyle name="Normal 80" xfId="38005" xr:uid="{00000000-0005-0000-0000-00007F940000}"/>
    <cellStyle name="Normal 80 2" xfId="38006" xr:uid="{00000000-0005-0000-0000-000080940000}"/>
    <cellStyle name="Normal 80 3" xfId="38007" xr:uid="{00000000-0005-0000-0000-000081940000}"/>
    <cellStyle name="Normal 80 4" xfId="39202" xr:uid="{00000000-0005-0000-0000-000082940000}"/>
    <cellStyle name="Normal 81" xfId="3" xr:uid="{00000000-0005-0000-0000-000083940000}"/>
    <cellStyle name="Normal 81 2" xfId="38009" xr:uid="{00000000-0005-0000-0000-000084940000}"/>
    <cellStyle name="Normal 81 3" xfId="39203" xr:uid="{00000000-0005-0000-0000-000085940000}"/>
    <cellStyle name="Normal 81 4" xfId="38008" xr:uid="{00000000-0005-0000-0000-000086940000}"/>
    <cellStyle name="Normal 82" xfId="38010" xr:uid="{00000000-0005-0000-0000-000087940000}"/>
    <cellStyle name="Normal 82 2" xfId="38011" xr:uid="{00000000-0005-0000-0000-000088940000}"/>
    <cellStyle name="Normal 83" xfId="38012" xr:uid="{00000000-0005-0000-0000-000089940000}"/>
    <cellStyle name="Normal 83 2" xfId="38013" xr:uid="{00000000-0005-0000-0000-00008A940000}"/>
    <cellStyle name="Normal 83 3" xfId="38014" xr:uid="{00000000-0005-0000-0000-00008B940000}"/>
    <cellStyle name="Normal 83 4" xfId="39204" xr:uid="{00000000-0005-0000-0000-00008C940000}"/>
    <cellStyle name="Normal 84" xfId="38015" xr:uid="{00000000-0005-0000-0000-00008D940000}"/>
    <cellStyle name="Normal 84 2" xfId="38016" xr:uid="{00000000-0005-0000-0000-00008E940000}"/>
    <cellStyle name="Normal 85" xfId="38017" xr:uid="{00000000-0005-0000-0000-00008F940000}"/>
    <cellStyle name="Normal 85 2" xfId="38018" xr:uid="{00000000-0005-0000-0000-000090940000}"/>
    <cellStyle name="Normal 85 3" xfId="38019" xr:uid="{00000000-0005-0000-0000-000091940000}"/>
    <cellStyle name="Normal 86" xfId="38020" xr:uid="{00000000-0005-0000-0000-000092940000}"/>
    <cellStyle name="Normal 86 2" xfId="38021" xr:uid="{00000000-0005-0000-0000-000093940000}"/>
    <cellStyle name="Normal 86 3" xfId="38022" xr:uid="{00000000-0005-0000-0000-000094940000}"/>
    <cellStyle name="Normal 86 4" xfId="39205" xr:uid="{00000000-0005-0000-0000-000095940000}"/>
    <cellStyle name="Normal 87" xfId="38023" xr:uid="{00000000-0005-0000-0000-000096940000}"/>
    <cellStyle name="Normal 87 2" xfId="38024" xr:uid="{00000000-0005-0000-0000-000097940000}"/>
    <cellStyle name="Normal 88" xfId="38025" xr:uid="{00000000-0005-0000-0000-000098940000}"/>
    <cellStyle name="Normal 88 2" xfId="38026" xr:uid="{00000000-0005-0000-0000-000099940000}"/>
    <cellStyle name="Normal 88 3" xfId="38027" xr:uid="{00000000-0005-0000-0000-00009A940000}"/>
    <cellStyle name="Normal 88 4" xfId="39206" xr:uid="{00000000-0005-0000-0000-00009B940000}"/>
    <cellStyle name="Normal 89" xfId="38028" xr:uid="{00000000-0005-0000-0000-00009C940000}"/>
    <cellStyle name="Normal 89 2" xfId="38029" xr:uid="{00000000-0005-0000-0000-00009D940000}"/>
    <cellStyle name="Normal 9" xfId="39" xr:uid="{00000000-0005-0000-0000-00009E940000}"/>
    <cellStyle name="Normal 9 10" xfId="38031" xr:uid="{00000000-0005-0000-0000-00009F940000}"/>
    <cellStyle name="Normal 9 11" xfId="38032" xr:uid="{00000000-0005-0000-0000-0000A0940000}"/>
    <cellStyle name="Normal 9 12" xfId="38033" xr:uid="{00000000-0005-0000-0000-0000A1940000}"/>
    <cellStyle name="Normal 9 13" xfId="38034" xr:uid="{00000000-0005-0000-0000-0000A2940000}"/>
    <cellStyle name="Normal 9 14" xfId="38035" xr:uid="{00000000-0005-0000-0000-0000A3940000}"/>
    <cellStyle name="Normal 9 15" xfId="38036" xr:uid="{00000000-0005-0000-0000-0000A4940000}"/>
    <cellStyle name="Normal 9 16" xfId="38037" xr:uid="{00000000-0005-0000-0000-0000A5940000}"/>
    <cellStyle name="Normal 9 17" xfId="38038" xr:uid="{00000000-0005-0000-0000-0000A6940000}"/>
    <cellStyle name="Normal 9 18" xfId="38039" xr:uid="{00000000-0005-0000-0000-0000A7940000}"/>
    <cellStyle name="Normal 9 19" xfId="38040" xr:uid="{00000000-0005-0000-0000-0000A8940000}"/>
    <cellStyle name="Normal 9 2" xfId="67" xr:uid="{00000000-0005-0000-0000-0000A9940000}"/>
    <cellStyle name="Normal 9 2 10" xfId="38042" xr:uid="{00000000-0005-0000-0000-0000AA940000}"/>
    <cellStyle name="Normal 9 2 11" xfId="38043" xr:uid="{00000000-0005-0000-0000-0000AB940000}"/>
    <cellStyle name="Normal 9 2 12" xfId="38044" xr:uid="{00000000-0005-0000-0000-0000AC940000}"/>
    <cellStyle name="Normal 9 2 13" xfId="38045" xr:uid="{00000000-0005-0000-0000-0000AD940000}"/>
    <cellStyle name="Normal 9 2 14" xfId="38046" xr:uid="{00000000-0005-0000-0000-0000AE940000}"/>
    <cellStyle name="Normal 9 2 15" xfId="38047" xr:uid="{00000000-0005-0000-0000-0000AF940000}"/>
    <cellStyle name="Normal 9 2 16" xfId="38048" xr:uid="{00000000-0005-0000-0000-0000B0940000}"/>
    <cellStyle name="Normal 9 2 17" xfId="38049" xr:uid="{00000000-0005-0000-0000-0000B1940000}"/>
    <cellStyle name="Normal 9 2 18" xfId="38050" xr:uid="{00000000-0005-0000-0000-0000B2940000}"/>
    <cellStyle name="Normal 9 2 19" xfId="38051" xr:uid="{00000000-0005-0000-0000-0000B3940000}"/>
    <cellStyle name="Normal 9 2 2" xfId="38052" xr:uid="{00000000-0005-0000-0000-0000B4940000}"/>
    <cellStyle name="Normal 9 2 2 2" xfId="38053" xr:uid="{00000000-0005-0000-0000-0000B5940000}"/>
    <cellStyle name="Normal 9 2 2 2 2" xfId="38054" xr:uid="{00000000-0005-0000-0000-0000B6940000}"/>
    <cellStyle name="Normal 9 2 20" xfId="38055" xr:uid="{00000000-0005-0000-0000-0000B7940000}"/>
    <cellStyle name="Normal 9 2 21" xfId="38056" xr:uid="{00000000-0005-0000-0000-0000B8940000}"/>
    <cellStyle name="Normal 9 2 22" xfId="38057" xr:uid="{00000000-0005-0000-0000-0000B9940000}"/>
    <cellStyle name="Normal 9 2 23" xfId="38058" xr:uid="{00000000-0005-0000-0000-0000BA940000}"/>
    <cellStyle name="Normal 9 2 24" xfId="38059" xr:uid="{00000000-0005-0000-0000-0000BB940000}"/>
    <cellStyle name="Normal 9 2 25" xfId="38060" xr:uid="{00000000-0005-0000-0000-0000BC940000}"/>
    <cellStyle name="Normal 9 2 26" xfId="38061" xr:uid="{00000000-0005-0000-0000-0000BD940000}"/>
    <cellStyle name="Normal 9 2 27" xfId="38062" xr:uid="{00000000-0005-0000-0000-0000BE940000}"/>
    <cellStyle name="Normal 9 2 28" xfId="38063" xr:uid="{00000000-0005-0000-0000-0000BF940000}"/>
    <cellStyle name="Normal 9 2 29" xfId="38064" xr:uid="{00000000-0005-0000-0000-0000C0940000}"/>
    <cellStyle name="Normal 9 2 3" xfId="38065" xr:uid="{00000000-0005-0000-0000-0000C1940000}"/>
    <cellStyle name="Normal 9 2 30" xfId="38066" xr:uid="{00000000-0005-0000-0000-0000C2940000}"/>
    <cellStyle name="Normal 9 2 31" xfId="38067" xr:uid="{00000000-0005-0000-0000-0000C3940000}"/>
    <cellStyle name="Normal 9 2 32" xfId="38068" xr:uid="{00000000-0005-0000-0000-0000C4940000}"/>
    <cellStyle name="Normal 9 2 33" xfId="38069" xr:uid="{00000000-0005-0000-0000-0000C5940000}"/>
    <cellStyle name="Normal 9 2 34" xfId="38070" xr:uid="{00000000-0005-0000-0000-0000C6940000}"/>
    <cellStyle name="Normal 9 2 35" xfId="38071" xr:uid="{00000000-0005-0000-0000-0000C7940000}"/>
    <cellStyle name="Normal 9 2 36" xfId="38072" xr:uid="{00000000-0005-0000-0000-0000C8940000}"/>
    <cellStyle name="Normal 9 2 37" xfId="38073" xr:uid="{00000000-0005-0000-0000-0000C9940000}"/>
    <cellStyle name="Normal 9 2 38" xfId="38074" xr:uid="{00000000-0005-0000-0000-0000CA940000}"/>
    <cellStyle name="Normal 9 2 39" xfId="38075" xr:uid="{00000000-0005-0000-0000-0000CB940000}"/>
    <cellStyle name="Normal 9 2 4" xfId="38076" xr:uid="{00000000-0005-0000-0000-0000CC940000}"/>
    <cellStyle name="Normal 9 2 40" xfId="38077" xr:uid="{00000000-0005-0000-0000-0000CD940000}"/>
    <cellStyle name="Normal 9 2 41" xfId="38078" xr:uid="{00000000-0005-0000-0000-0000CE940000}"/>
    <cellStyle name="Normal 9 2 42" xfId="38079" xr:uid="{00000000-0005-0000-0000-0000CF940000}"/>
    <cellStyle name="Normal 9 2 43" xfId="38080" xr:uid="{00000000-0005-0000-0000-0000D0940000}"/>
    <cellStyle name="Normal 9 2 44" xfId="38081" xr:uid="{00000000-0005-0000-0000-0000D1940000}"/>
    <cellStyle name="Normal 9 2 45" xfId="38082" xr:uid="{00000000-0005-0000-0000-0000D2940000}"/>
    <cellStyle name="Normal 9 2 46" xfId="38083" xr:uid="{00000000-0005-0000-0000-0000D3940000}"/>
    <cellStyle name="Normal 9 2 47" xfId="38084" xr:uid="{00000000-0005-0000-0000-0000D4940000}"/>
    <cellStyle name="Normal 9 2 48" xfId="38085" xr:uid="{00000000-0005-0000-0000-0000D5940000}"/>
    <cellStyle name="Normal 9 2 49" xfId="38086" xr:uid="{00000000-0005-0000-0000-0000D6940000}"/>
    <cellStyle name="Normal 9 2 5" xfId="38087" xr:uid="{00000000-0005-0000-0000-0000D7940000}"/>
    <cellStyle name="Normal 9 2 50" xfId="38088" xr:uid="{00000000-0005-0000-0000-0000D8940000}"/>
    <cellStyle name="Normal 9 2 51" xfId="38089" xr:uid="{00000000-0005-0000-0000-0000D9940000}"/>
    <cellStyle name="Normal 9 2 52" xfId="38090" xr:uid="{00000000-0005-0000-0000-0000DA940000}"/>
    <cellStyle name="Normal 9 2 53" xfId="38091" xr:uid="{00000000-0005-0000-0000-0000DB940000}"/>
    <cellStyle name="Normal 9 2 54" xfId="38092" xr:uid="{00000000-0005-0000-0000-0000DC940000}"/>
    <cellStyle name="Normal 9 2 55" xfId="38093" xr:uid="{00000000-0005-0000-0000-0000DD940000}"/>
    <cellStyle name="Normal 9 2 56" xfId="38094" xr:uid="{00000000-0005-0000-0000-0000DE940000}"/>
    <cellStyle name="Normal 9 2 57" xfId="38095" xr:uid="{00000000-0005-0000-0000-0000DF940000}"/>
    <cellStyle name="Normal 9 2 58" xfId="38096" xr:uid="{00000000-0005-0000-0000-0000E0940000}"/>
    <cellStyle name="Normal 9 2 59" xfId="38097" xr:uid="{00000000-0005-0000-0000-0000E1940000}"/>
    <cellStyle name="Normal 9 2 6" xfId="38098" xr:uid="{00000000-0005-0000-0000-0000E2940000}"/>
    <cellStyle name="Normal 9 2 60" xfId="38099" xr:uid="{00000000-0005-0000-0000-0000E3940000}"/>
    <cellStyle name="Normal 9 2 61" xfId="38100" xr:uid="{00000000-0005-0000-0000-0000E4940000}"/>
    <cellStyle name="Normal 9 2 62" xfId="38101" xr:uid="{00000000-0005-0000-0000-0000E5940000}"/>
    <cellStyle name="Normal 9 2 63" xfId="38102" xr:uid="{00000000-0005-0000-0000-0000E6940000}"/>
    <cellStyle name="Normal 9 2 64" xfId="38103" xr:uid="{00000000-0005-0000-0000-0000E7940000}"/>
    <cellStyle name="Normal 9 2 65" xfId="38104" xr:uid="{00000000-0005-0000-0000-0000E8940000}"/>
    <cellStyle name="Normal 9 2 66" xfId="38105" xr:uid="{00000000-0005-0000-0000-0000E9940000}"/>
    <cellStyle name="Normal 9 2 67" xfId="38106" xr:uid="{00000000-0005-0000-0000-0000EA940000}"/>
    <cellStyle name="Normal 9 2 68" xfId="38107" xr:uid="{00000000-0005-0000-0000-0000EB940000}"/>
    <cellStyle name="Normal 9 2 69" xfId="38108" xr:uid="{00000000-0005-0000-0000-0000EC940000}"/>
    <cellStyle name="Normal 9 2 7" xfId="38109" xr:uid="{00000000-0005-0000-0000-0000ED940000}"/>
    <cellStyle name="Normal 9 2 70" xfId="38110" xr:uid="{00000000-0005-0000-0000-0000EE940000}"/>
    <cellStyle name="Normal 9 2 71" xfId="38111" xr:uid="{00000000-0005-0000-0000-0000EF940000}"/>
    <cellStyle name="Normal 9 2 72" xfId="38112" xr:uid="{00000000-0005-0000-0000-0000F0940000}"/>
    <cellStyle name="Normal 9 2 73" xfId="38113" xr:uid="{00000000-0005-0000-0000-0000F1940000}"/>
    <cellStyle name="Normal 9 2 74" xfId="38114" xr:uid="{00000000-0005-0000-0000-0000F2940000}"/>
    <cellStyle name="Normal 9 2 75" xfId="38115" xr:uid="{00000000-0005-0000-0000-0000F3940000}"/>
    <cellStyle name="Normal 9 2 76" xfId="38116" xr:uid="{00000000-0005-0000-0000-0000F4940000}"/>
    <cellStyle name="Normal 9 2 77" xfId="38117" xr:uid="{00000000-0005-0000-0000-0000F5940000}"/>
    <cellStyle name="Normal 9 2 78" xfId="38118" xr:uid="{00000000-0005-0000-0000-0000F6940000}"/>
    <cellStyle name="Normal 9 2 79" xfId="38119" xr:uid="{00000000-0005-0000-0000-0000F7940000}"/>
    <cellStyle name="Normal 9 2 8" xfId="38120" xr:uid="{00000000-0005-0000-0000-0000F8940000}"/>
    <cellStyle name="Normal 9 2 80" xfId="38041" xr:uid="{00000000-0005-0000-0000-0000F9940000}"/>
    <cellStyle name="Normal 9 2 9" xfId="38121" xr:uid="{00000000-0005-0000-0000-0000FA940000}"/>
    <cellStyle name="Normal 9 2_Enlaces" xfId="38122" xr:uid="{00000000-0005-0000-0000-0000FB940000}"/>
    <cellStyle name="Normal 9 20" xfId="38123" xr:uid="{00000000-0005-0000-0000-0000FC940000}"/>
    <cellStyle name="Normal 9 20 2" xfId="38124" xr:uid="{00000000-0005-0000-0000-0000FD940000}"/>
    <cellStyle name="Normal 9 20 2 2" xfId="38125" xr:uid="{00000000-0005-0000-0000-0000FE940000}"/>
    <cellStyle name="Normal 9 20 2 3" xfId="38126" xr:uid="{00000000-0005-0000-0000-0000FF940000}"/>
    <cellStyle name="Normal 9 20 3" xfId="38127" xr:uid="{00000000-0005-0000-0000-000000950000}"/>
    <cellStyle name="Normal 9 20 4" xfId="38128" xr:uid="{00000000-0005-0000-0000-000001950000}"/>
    <cellStyle name="Normal 9 21" xfId="38129" xr:uid="{00000000-0005-0000-0000-000002950000}"/>
    <cellStyle name="Normal 9 21 2" xfId="38130" xr:uid="{00000000-0005-0000-0000-000003950000}"/>
    <cellStyle name="Normal 9 21 2 2" xfId="38131" xr:uid="{00000000-0005-0000-0000-000004950000}"/>
    <cellStyle name="Normal 9 21 2 3" xfId="38132" xr:uid="{00000000-0005-0000-0000-000005950000}"/>
    <cellStyle name="Normal 9 21 3" xfId="38133" xr:uid="{00000000-0005-0000-0000-000006950000}"/>
    <cellStyle name="Normal 9 21 4" xfId="38134" xr:uid="{00000000-0005-0000-0000-000007950000}"/>
    <cellStyle name="Normal 9 22" xfId="38135" xr:uid="{00000000-0005-0000-0000-000008950000}"/>
    <cellStyle name="Normal 9 22 2" xfId="38136" xr:uid="{00000000-0005-0000-0000-000009950000}"/>
    <cellStyle name="Normal 9 22 2 2" xfId="38137" xr:uid="{00000000-0005-0000-0000-00000A950000}"/>
    <cellStyle name="Normal 9 22 2 3" xfId="38138" xr:uid="{00000000-0005-0000-0000-00000B950000}"/>
    <cellStyle name="Normal 9 22 3" xfId="38139" xr:uid="{00000000-0005-0000-0000-00000C950000}"/>
    <cellStyle name="Normal 9 22 4" xfId="38140" xr:uid="{00000000-0005-0000-0000-00000D950000}"/>
    <cellStyle name="Normal 9 23" xfId="38141" xr:uid="{00000000-0005-0000-0000-00000E950000}"/>
    <cellStyle name="Normal 9 23 2" xfId="38142" xr:uid="{00000000-0005-0000-0000-00000F950000}"/>
    <cellStyle name="Normal 9 23 2 2" xfId="38143" xr:uid="{00000000-0005-0000-0000-000010950000}"/>
    <cellStyle name="Normal 9 23 2 3" xfId="38144" xr:uid="{00000000-0005-0000-0000-000011950000}"/>
    <cellStyle name="Normal 9 23 3" xfId="38145" xr:uid="{00000000-0005-0000-0000-000012950000}"/>
    <cellStyle name="Normal 9 23 4" xfId="38146" xr:uid="{00000000-0005-0000-0000-000013950000}"/>
    <cellStyle name="Normal 9 24" xfId="38147" xr:uid="{00000000-0005-0000-0000-000014950000}"/>
    <cellStyle name="Normal 9 24 2" xfId="38148" xr:uid="{00000000-0005-0000-0000-000015950000}"/>
    <cellStyle name="Normal 9 24 2 2" xfId="38149" xr:uid="{00000000-0005-0000-0000-000016950000}"/>
    <cellStyle name="Normal 9 24 2 3" xfId="38150" xr:uid="{00000000-0005-0000-0000-000017950000}"/>
    <cellStyle name="Normal 9 24 3" xfId="38151" xr:uid="{00000000-0005-0000-0000-000018950000}"/>
    <cellStyle name="Normal 9 24 4" xfId="38152" xr:uid="{00000000-0005-0000-0000-000019950000}"/>
    <cellStyle name="Normal 9 25" xfId="38153" xr:uid="{00000000-0005-0000-0000-00001A950000}"/>
    <cellStyle name="Normal 9 25 2" xfId="38154" xr:uid="{00000000-0005-0000-0000-00001B950000}"/>
    <cellStyle name="Normal 9 25 2 2" xfId="38155" xr:uid="{00000000-0005-0000-0000-00001C950000}"/>
    <cellStyle name="Normal 9 25 2 3" xfId="38156" xr:uid="{00000000-0005-0000-0000-00001D950000}"/>
    <cellStyle name="Normal 9 25 3" xfId="38157" xr:uid="{00000000-0005-0000-0000-00001E950000}"/>
    <cellStyle name="Normal 9 25 4" xfId="38158" xr:uid="{00000000-0005-0000-0000-00001F950000}"/>
    <cellStyle name="Normal 9 26" xfId="38159" xr:uid="{00000000-0005-0000-0000-000020950000}"/>
    <cellStyle name="Normal 9 26 2" xfId="38160" xr:uid="{00000000-0005-0000-0000-000021950000}"/>
    <cellStyle name="Normal 9 26 2 2" xfId="38161" xr:uid="{00000000-0005-0000-0000-000022950000}"/>
    <cellStyle name="Normal 9 26 2 3" xfId="38162" xr:uid="{00000000-0005-0000-0000-000023950000}"/>
    <cellStyle name="Normal 9 26 3" xfId="38163" xr:uid="{00000000-0005-0000-0000-000024950000}"/>
    <cellStyle name="Normal 9 26 4" xfId="38164" xr:uid="{00000000-0005-0000-0000-000025950000}"/>
    <cellStyle name="Normal 9 27" xfId="38165" xr:uid="{00000000-0005-0000-0000-000026950000}"/>
    <cellStyle name="Normal 9 27 2" xfId="38166" xr:uid="{00000000-0005-0000-0000-000027950000}"/>
    <cellStyle name="Normal 9 27 2 2" xfId="38167" xr:uid="{00000000-0005-0000-0000-000028950000}"/>
    <cellStyle name="Normal 9 27 2 3" xfId="38168" xr:uid="{00000000-0005-0000-0000-000029950000}"/>
    <cellStyle name="Normal 9 27 3" xfId="38169" xr:uid="{00000000-0005-0000-0000-00002A950000}"/>
    <cellStyle name="Normal 9 27 4" xfId="38170" xr:uid="{00000000-0005-0000-0000-00002B950000}"/>
    <cellStyle name="Normal 9 28" xfId="38171" xr:uid="{00000000-0005-0000-0000-00002C950000}"/>
    <cellStyle name="Normal 9 28 2" xfId="38172" xr:uid="{00000000-0005-0000-0000-00002D950000}"/>
    <cellStyle name="Normal 9 28 2 2" xfId="38173" xr:uid="{00000000-0005-0000-0000-00002E950000}"/>
    <cellStyle name="Normal 9 28 2 3" xfId="38174" xr:uid="{00000000-0005-0000-0000-00002F950000}"/>
    <cellStyle name="Normal 9 28 3" xfId="38175" xr:uid="{00000000-0005-0000-0000-000030950000}"/>
    <cellStyle name="Normal 9 28 4" xfId="38176" xr:uid="{00000000-0005-0000-0000-000031950000}"/>
    <cellStyle name="Normal 9 29" xfId="38177" xr:uid="{00000000-0005-0000-0000-000032950000}"/>
    <cellStyle name="Normal 9 29 2" xfId="38178" xr:uid="{00000000-0005-0000-0000-000033950000}"/>
    <cellStyle name="Normal 9 29 2 2" xfId="38179" xr:uid="{00000000-0005-0000-0000-000034950000}"/>
    <cellStyle name="Normal 9 29 2 3" xfId="38180" xr:uid="{00000000-0005-0000-0000-000035950000}"/>
    <cellStyle name="Normal 9 29 3" xfId="38181" xr:uid="{00000000-0005-0000-0000-000036950000}"/>
    <cellStyle name="Normal 9 29 4" xfId="38182" xr:uid="{00000000-0005-0000-0000-000037950000}"/>
    <cellStyle name="Normal 9 3" xfId="38183" xr:uid="{00000000-0005-0000-0000-000038950000}"/>
    <cellStyle name="Normal 9 3 2" xfId="38184" xr:uid="{00000000-0005-0000-0000-000039950000}"/>
    <cellStyle name="Normal 9 3 2 2" xfId="38185" xr:uid="{00000000-0005-0000-0000-00003A950000}"/>
    <cellStyle name="Normal 9 3 2 2 2" xfId="38186" xr:uid="{00000000-0005-0000-0000-00003B950000}"/>
    <cellStyle name="Normal 9 3 2 2 3" xfId="38187" xr:uid="{00000000-0005-0000-0000-00003C950000}"/>
    <cellStyle name="Normal 9 3 2 3" xfId="38188" xr:uid="{00000000-0005-0000-0000-00003D950000}"/>
    <cellStyle name="Normal 9 3 2 4" xfId="38189" xr:uid="{00000000-0005-0000-0000-00003E950000}"/>
    <cellStyle name="Normal 9 3 3" xfId="38190" xr:uid="{00000000-0005-0000-0000-00003F950000}"/>
    <cellStyle name="Normal 9 3 3 2" xfId="38191" xr:uid="{00000000-0005-0000-0000-000040950000}"/>
    <cellStyle name="Normal 9 3 3 2 2" xfId="38192" xr:uid="{00000000-0005-0000-0000-000041950000}"/>
    <cellStyle name="Normal 9 3 3 2 3" xfId="38193" xr:uid="{00000000-0005-0000-0000-000042950000}"/>
    <cellStyle name="Normal 9 3 3 3" xfId="38194" xr:uid="{00000000-0005-0000-0000-000043950000}"/>
    <cellStyle name="Normal 9 3 3 4" xfId="38195" xr:uid="{00000000-0005-0000-0000-000044950000}"/>
    <cellStyle name="Normal 9 3 4" xfId="38196" xr:uid="{00000000-0005-0000-0000-000045950000}"/>
    <cellStyle name="Normal 9 3 4 2" xfId="38197" xr:uid="{00000000-0005-0000-0000-000046950000}"/>
    <cellStyle name="Normal 9 3 4 2 2" xfId="38198" xr:uid="{00000000-0005-0000-0000-000047950000}"/>
    <cellStyle name="Normal 9 3 4 2 2 2" xfId="38199" xr:uid="{00000000-0005-0000-0000-000048950000}"/>
    <cellStyle name="Normal 9 3 4 2 2 2 2" xfId="38200" xr:uid="{00000000-0005-0000-0000-000049950000}"/>
    <cellStyle name="Normal 9 3 4 2 2 2 3" xfId="38201" xr:uid="{00000000-0005-0000-0000-00004A950000}"/>
    <cellStyle name="Normal 9 3 4 2 2 3" xfId="38202" xr:uid="{00000000-0005-0000-0000-00004B950000}"/>
    <cellStyle name="Normal 9 3 4 2 2 4" xfId="38203" xr:uid="{00000000-0005-0000-0000-00004C950000}"/>
    <cellStyle name="Normal 9 3 4 3" xfId="38204" xr:uid="{00000000-0005-0000-0000-00004D950000}"/>
    <cellStyle name="Normal 9 3 4 3 2" xfId="38205" xr:uid="{00000000-0005-0000-0000-00004E950000}"/>
    <cellStyle name="Normal 9 3 4 3 2 2" xfId="38206" xr:uid="{00000000-0005-0000-0000-00004F950000}"/>
    <cellStyle name="Normal 9 3 4 3 2 3" xfId="38207" xr:uid="{00000000-0005-0000-0000-000050950000}"/>
    <cellStyle name="Normal 9 3 4 3 3" xfId="38208" xr:uid="{00000000-0005-0000-0000-000051950000}"/>
    <cellStyle name="Normal 9 3 4 3 4" xfId="38209" xr:uid="{00000000-0005-0000-0000-000052950000}"/>
    <cellStyle name="Normal 9 3 4 4" xfId="38210" xr:uid="{00000000-0005-0000-0000-000053950000}"/>
    <cellStyle name="Normal 9 3 4 4 2" xfId="38211" xr:uid="{00000000-0005-0000-0000-000054950000}"/>
    <cellStyle name="Normal 9 3 4 4 3" xfId="38212" xr:uid="{00000000-0005-0000-0000-000055950000}"/>
    <cellStyle name="Normal 9 3 4 5" xfId="38213" xr:uid="{00000000-0005-0000-0000-000056950000}"/>
    <cellStyle name="Normal 9 3 5" xfId="38214" xr:uid="{00000000-0005-0000-0000-000057950000}"/>
    <cellStyle name="Normal 9 3 5 2" xfId="38215" xr:uid="{00000000-0005-0000-0000-000058950000}"/>
    <cellStyle name="Normal 9 3 5 2 2" xfId="38216" xr:uid="{00000000-0005-0000-0000-000059950000}"/>
    <cellStyle name="Normal 9 3 5 2 3" xfId="38217" xr:uid="{00000000-0005-0000-0000-00005A950000}"/>
    <cellStyle name="Normal 9 3 5 3" xfId="38218" xr:uid="{00000000-0005-0000-0000-00005B950000}"/>
    <cellStyle name="Normal 9 3 5 4" xfId="38219" xr:uid="{00000000-0005-0000-0000-00005C950000}"/>
    <cellStyle name="Normal 9 3 6" xfId="38220" xr:uid="{00000000-0005-0000-0000-00005D950000}"/>
    <cellStyle name="Normal 9 3 6 2" xfId="38221" xr:uid="{00000000-0005-0000-0000-00005E950000}"/>
    <cellStyle name="Normal 9 3 6 2 2" xfId="38222" xr:uid="{00000000-0005-0000-0000-00005F950000}"/>
    <cellStyle name="Normal 9 3 6 2 3" xfId="38223" xr:uid="{00000000-0005-0000-0000-000060950000}"/>
    <cellStyle name="Normal 9 3 6 3" xfId="38224" xr:uid="{00000000-0005-0000-0000-000061950000}"/>
    <cellStyle name="Normal 9 3 6 4" xfId="38225" xr:uid="{00000000-0005-0000-0000-000062950000}"/>
    <cellStyle name="Normal 9 3 7" xfId="38226" xr:uid="{00000000-0005-0000-0000-000063950000}"/>
    <cellStyle name="Normal 9 3 7 2" xfId="38227" xr:uid="{00000000-0005-0000-0000-000064950000}"/>
    <cellStyle name="Normal 9 3 7 3" xfId="38228" xr:uid="{00000000-0005-0000-0000-000065950000}"/>
    <cellStyle name="Normal 9 3 7 3 2" xfId="38229" xr:uid="{00000000-0005-0000-0000-000066950000}"/>
    <cellStyle name="Normal 9 3 7 3 3" xfId="38230" xr:uid="{00000000-0005-0000-0000-000067950000}"/>
    <cellStyle name="Normal 9 3 7 4" xfId="38231" xr:uid="{00000000-0005-0000-0000-000068950000}"/>
    <cellStyle name="Normal 9 3 8" xfId="38232" xr:uid="{00000000-0005-0000-0000-000069950000}"/>
    <cellStyle name="Normal 9 3 9" xfId="38233" xr:uid="{00000000-0005-0000-0000-00006A950000}"/>
    <cellStyle name="Normal 9 3 9 2" xfId="38234" xr:uid="{00000000-0005-0000-0000-00006B950000}"/>
    <cellStyle name="Normal 9 3 9 2 2" xfId="38235" xr:uid="{00000000-0005-0000-0000-00006C950000}"/>
    <cellStyle name="Normal 9 3 9 2 3" xfId="38236" xr:uid="{00000000-0005-0000-0000-00006D950000}"/>
    <cellStyle name="Normal 9 3 9 3" xfId="38237" xr:uid="{00000000-0005-0000-0000-00006E950000}"/>
    <cellStyle name="Normal 9 3 9 4" xfId="38238" xr:uid="{00000000-0005-0000-0000-00006F950000}"/>
    <cellStyle name="Normal 9 3_Implem" xfId="38239" xr:uid="{00000000-0005-0000-0000-000070950000}"/>
    <cellStyle name="Normal 9 30" xfId="39189" xr:uid="{00000000-0005-0000-0000-000071950000}"/>
    <cellStyle name="Normal 9 31" xfId="38030" xr:uid="{00000000-0005-0000-0000-000072950000}"/>
    <cellStyle name="Normal 9 4" xfId="38240" xr:uid="{00000000-0005-0000-0000-000073950000}"/>
    <cellStyle name="Normal 9 4 2" xfId="38241" xr:uid="{00000000-0005-0000-0000-000074950000}"/>
    <cellStyle name="Normal 9 4 2 2" xfId="38242" xr:uid="{00000000-0005-0000-0000-000075950000}"/>
    <cellStyle name="Normal 9 4 2 3" xfId="38243" xr:uid="{00000000-0005-0000-0000-000076950000}"/>
    <cellStyle name="Normal 9 4 3" xfId="38244" xr:uid="{00000000-0005-0000-0000-000077950000}"/>
    <cellStyle name="Normal 9 4 4" xfId="38245" xr:uid="{00000000-0005-0000-0000-000078950000}"/>
    <cellStyle name="Normal 9 5" xfId="38246" xr:uid="{00000000-0005-0000-0000-000079950000}"/>
    <cellStyle name="Normal 9 5 2" xfId="38247" xr:uid="{00000000-0005-0000-0000-00007A950000}"/>
    <cellStyle name="Normal 9 5 2 2" xfId="38248" xr:uid="{00000000-0005-0000-0000-00007B950000}"/>
    <cellStyle name="Normal 9 5 2 3" xfId="38249" xr:uid="{00000000-0005-0000-0000-00007C950000}"/>
    <cellStyle name="Normal 9 5 3" xfId="38250" xr:uid="{00000000-0005-0000-0000-00007D950000}"/>
    <cellStyle name="Normal 9 5 4" xfId="38251" xr:uid="{00000000-0005-0000-0000-00007E950000}"/>
    <cellStyle name="Normal 9 6" xfId="38252" xr:uid="{00000000-0005-0000-0000-00007F950000}"/>
    <cellStyle name="Normal 9 6 2" xfId="38253" xr:uid="{00000000-0005-0000-0000-000080950000}"/>
    <cellStyle name="Normal 9 6 2 2" xfId="38254" xr:uid="{00000000-0005-0000-0000-000081950000}"/>
    <cellStyle name="Normal 9 6 2 3" xfId="38255" xr:uid="{00000000-0005-0000-0000-000082950000}"/>
    <cellStyle name="Normal 9 6 3" xfId="38256" xr:uid="{00000000-0005-0000-0000-000083950000}"/>
    <cellStyle name="Normal 9 6 4" xfId="38257" xr:uid="{00000000-0005-0000-0000-000084950000}"/>
    <cellStyle name="Normal 9 7" xfId="38258" xr:uid="{00000000-0005-0000-0000-000085950000}"/>
    <cellStyle name="Normal 9 7 2" xfId="38259" xr:uid="{00000000-0005-0000-0000-000086950000}"/>
    <cellStyle name="Normal 9 7 2 2" xfId="38260" xr:uid="{00000000-0005-0000-0000-000087950000}"/>
    <cellStyle name="Normal 9 7 2 3" xfId="38261" xr:uid="{00000000-0005-0000-0000-000088950000}"/>
    <cellStyle name="Normal 9 7 3" xfId="38262" xr:uid="{00000000-0005-0000-0000-000089950000}"/>
    <cellStyle name="Normal 9 7 4" xfId="38263" xr:uid="{00000000-0005-0000-0000-00008A950000}"/>
    <cellStyle name="Normal 9 8" xfId="38264" xr:uid="{00000000-0005-0000-0000-00008B950000}"/>
    <cellStyle name="Normal 9 8 2" xfId="38265" xr:uid="{00000000-0005-0000-0000-00008C950000}"/>
    <cellStyle name="Normal 9 8 2 2" xfId="38266" xr:uid="{00000000-0005-0000-0000-00008D950000}"/>
    <cellStyle name="Normal 9 8 2 3" xfId="38267" xr:uid="{00000000-0005-0000-0000-00008E950000}"/>
    <cellStyle name="Normal 9 8 3" xfId="38268" xr:uid="{00000000-0005-0000-0000-00008F950000}"/>
    <cellStyle name="Normal 9 8 4" xfId="38269" xr:uid="{00000000-0005-0000-0000-000090950000}"/>
    <cellStyle name="Normal 9 9" xfId="38270" xr:uid="{00000000-0005-0000-0000-000091950000}"/>
    <cellStyle name="Normal 9 9 2" xfId="38271" xr:uid="{00000000-0005-0000-0000-000092950000}"/>
    <cellStyle name="Normal 9 9 2 2" xfId="38272" xr:uid="{00000000-0005-0000-0000-000093950000}"/>
    <cellStyle name="Normal 9 9 2 3" xfId="38273" xr:uid="{00000000-0005-0000-0000-000094950000}"/>
    <cellStyle name="Normal 9 9 3" xfId="38274" xr:uid="{00000000-0005-0000-0000-000095950000}"/>
    <cellStyle name="Normal 9 9 4" xfId="38275" xr:uid="{00000000-0005-0000-0000-000096950000}"/>
    <cellStyle name="Normal 90" xfId="38276" xr:uid="{00000000-0005-0000-0000-000097950000}"/>
    <cellStyle name="Normal 90 2" xfId="38277" xr:uid="{00000000-0005-0000-0000-000098950000}"/>
    <cellStyle name="Normal 90 2 2" xfId="38278" xr:uid="{00000000-0005-0000-0000-000099950000}"/>
    <cellStyle name="Normal 90 2 2 2" xfId="38279" xr:uid="{00000000-0005-0000-0000-00009A950000}"/>
    <cellStyle name="Normal 90 2 2 3" xfId="38280" xr:uid="{00000000-0005-0000-0000-00009B950000}"/>
    <cellStyle name="Normal 90 2 3" xfId="38281" xr:uid="{00000000-0005-0000-0000-00009C950000}"/>
    <cellStyle name="Normal 90 2 4" xfId="38282" xr:uid="{00000000-0005-0000-0000-00009D950000}"/>
    <cellStyle name="Normal 90 3" xfId="38283" xr:uid="{00000000-0005-0000-0000-00009E950000}"/>
    <cellStyle name="Normal 90 3 2" xfId="38284" xr:uid="{00000000-0005-0000-0000-00009F950000}"/>
    <cellStyle name="Normal 90 3 3" xfId="38285" xr:uid="{00000000-0005-0000-0000-0000A0950000}"/>
    <cellStyle name="Normal 90 4" xfId="38286" xr:uid="{00000000-0005-0000-0000-0000A1950000}"/>
    <cellStyle name="Normal 90 5" xfId="38287" xr:uid="{00000000-0005-0000-0000-0000A2950000}"/>
    <cellStyle name="Normal 91" xfId="38288" xr:uid="{00000000-0005-0000-0000-0000A3950000}"/>
    <cellStyle name="Normal 91 2" xfId="38289" xr:uid="{00000000-0005-0000-0000-0000A4950000}"/>
    <cellStyle name="Normal 91 2 2" xfId="38290" xr:uid="{00000000-0005-0000-0000-0000A5950000}"/>
    <cellStyle name="Normal 91 2 2 2" xfId="38291" xr:uid="{00000000-0005-0000-0000-0000A6950000}"/>
    <cellStyle name="Normal 91 2 2 3" xfId="38292" xr:uid="{00000000-0005-0000-0000-0000A7950000}"/>
    <cellStyle name="Normal 91 2 3" xfId="38293" xr:uid="{00000000-0005-0000-0000-0000A8950000}"/>
    <cellStyle name="Normal 91 2 4" xfId="38294" xr:uid="{00000000-0005-0000-0000-0000A9950000}"/>
    <cellStyle name="Normal 91 3" xfId="38295" xr:uid="{00000000-0005-0000-0000-0000AA950000}"/>
    <cellStyle name="Normal 91 3 2" xfId="38296" xr:uid="{00000000-0005-0000-0000-0000AB950000}"/>
    <cellStyle name="Normal 91 3 3" xfId="38297" xr:uid="{00000000-0005-0000-0000-0000AC950000}"/>
    <cellStyle name="Normal 91 4" xfId="38298" xr:uid="{00000000-0005-0000-0000-0000AD950000}"/>
    <cellStyle name="Normal 91 5" xfId="38299" xr:uid="{00000000-0005-0000-0000-0000AE950000}"/>
    <cellStyle name="Normal 92" xfId="38300" xr:uid="{00000000-0005-0000-0000-0000AF950000}"/>
    <cellStyle name="Normal 92 2" xfId="38301" xr:uid="{00000000-0005-0000-0000-0000B0950000}"/>
    <cellStyle name="Normal 92 2 2" xfId="38302" xr:uid="{00000000-0005-0000-0000-0000B1950000}"/>
    <cellStyle name="Normal 92 2 2 2" xfId="38303" xr:uid="{00000000-0005-0000-0000-0000B2950000}"/>
    <cellStyle name="Normal 92 2 2 3" xfId="38304" xr:uid="{00000000-0005-0000-0000-0000B3950000}"/>
    <cellStyle name="Normal 92 2 3" xfId="38305" xr:uid="{00000000-0005-0000-0000-0000B4950000}"/>
    <cellStyle name="Normal 92 2 4" xfId="38306" xr:uid="{00000000-0005-0000-0000-0000B5950000}"/>
    <cellStyle name="Normal 92 3" xfId="38307" xr:uid="{00000000-0005-0000-0000-0000B6950000}"/>
    <cellStyle name="Normal 92 3 2" xfId="38308" xr:uid="{00000000-0005-0000-0000-0000B7950000}"/>
    <cellStyle name="Normal 92 3 3" xfId="38309" xr:uid="{00000000-0005-0000-0000-0000B8950000}"/>
    <cellStyle name="Normal 92 4" xfId="38310" xr:uid="{00000000-0005-0000-0000-0000B9950000}"/>
    <cellStyle name="Normal 92 5" xfId="38311" xr:uid="{00000000-0005-0000-0000-0000BA950000}"/>
    <cellStyle name="Normal 92 6" xfId="38312" xr:uid="{00000000-0005-0000-0000-0000BB950000}"/>
    <cellStyle name="Normal 92 7" xfId="39207" xr:uid="{00000000-0005-0000-0000-0000BC950000}"/>
    <cellStyle name="Normal 93" xfId="38313" xr:uid="{00000000-0005-0000-0000-0000BD950000}"/>
    <cellStyle name="Normal 93 2" xfId="38314" xr:uid="{00000000-0005-0000-0000-0000BE950000}"/>
    <cellStyle name="Normal 93 2 2" xfId="38315" xr:uid="{00000000-0005-0000-0000-0000BF950000}"/>
    <cellStyle name="Normal 93 2 2 2" xfId="38316" xr:uid="{00000000-0005-0000-0000-0000C0950000}"/>
    <cellStyle name="Normal 93 2 2 3" xfId="38317" xr:uid="{00000000-0005-0000-0000-0000C1950000}"/>
    <cellStyle name="Normal 93 2 3" xfId="38318" xr:uid="{00000000-0005-0000-0000-0000C2950000}"/>
    <cellStyle name="Normal 93 2 4" xfId="38319" xr:uid="{00000000-0005-0000-0000-0000C3950000}"/>
    <cellStyle name="Normal 93 3" xfId="38320" xr:uid="{00000000-0005-0000-0000-0000C4950000}"/>
    <cellStyle name="Normal 93 3 2" xfId="38321" xr:uid="{00000000-0005-0000-0000-0000C5950000}"/>
    <cellStyle name="Normal 93 3 3" xfId="38322" xr:uid="{00000000-0005-0000-0000-0000C6950000}"/>
    <cellStyle name="Normal 93 4" xfId="38323" xr:uid="{00000000-0005-0000-0000-0000C7950000}"/>
    <cellStyle name="Normal 93 5" xfId="38324" xr:uid="{00000000-0005-0000-0000-0000C8950000}"/>
    <cellStyle name="Normal 93 6" xfId="38325" xr:uid="{00000000-0005-0000-0000-0000C9950000}"/>
    <cellStyle name="Normal 93 7" xfId="39208" xr:uid="{00000000-0005-0000-0000-0000CA950000}"/>
    <cellStyle name="Normal 94" xfId="38326" xr:uid="{00000000-0005-0000-0000-0000CB950000}"/>
    <cellStyle name="Normal 94 2" xfId="38327" xr:uid="{00000000-0005-0000-0000-0000CC950000}"/>
    <cellStyle name="Normal 94 2 2" xfId="38328" xr:uid="{00000000-0005-0000-0000-0000CD950000}"/>
    <cellStyle name="Normal 94 2 2 2" xfId="38329" xr:uid="{00000000-0005-0000-0000-0000CE950000}"/>
    <cellStyle name="Normal 94 2 2 3" xfId="38330" xr:uid="{00000000-0005-0000-0000-0000CF950000}"/>
    <cellStyle name="Normal 94 2 3" xfId="38331" xr:uid="{00000000-0005-0000-0000-0000D0950000}"/>
    <cellStyle name="Normal 94 2 4" xfId="38332" xr:uid="{00000000-0005-0000-0000-0000D1950000}"/>
    <cellStyle name="Normal 94 3" xfId="38333" xr:uid="{00000000-0005-0000-0000-0000D2950000}"/>
    <cellStyle name="Normal 94 3 2" xfId="38334" xr:uid="{00000000-0005-0000-0000-0000D3950000}"/>
    <cellStyle name="Normal 94 3 3" xfId="38335" xr:uid="{00000000-0005-0000-0000-0000D4950000}"/>
    <cellStyle name="Normal 94 4" xfId="38336" xr:uid="{00000000-0005-0000-0000-0000D5950000}"/>
    <cellStyle name="Normal 94 5" xfId="38337" xr:uid="{00000000-0005-0000-0000-0000D6950000}"/>
    <cellStyle name="Normal 94 6" xfId="38338" xr:uid="{00000000-0005-0000-0000-0000D7950000}"/>
    <cellStyle name="Normal 95" xfId="38339" xr:uid="{00000000-0005-0000-0000-0000D8950000}"/>
    <cellStyle name="Normal 95 2" xfId="38340" xr:uid="{00000000-0005-0000-0000-0000D9950000}"/>
    <cellStyle name="Normal 95 2 2" xfId="38341" xr:uid="{00000000-0005-0000-0000-0000DA950000}"/>
    <cellStyle name="Normal 95 2 2 2" xfId="38342" xr:uid="{00000000-0005-0000-0000-0000DB950000}"/>
    <cellStyle name="Normal 95 2 2 3" xfId="38343" xr:uid="{00000000-0005-0000-0000-0000DC950000}"/>
    <cellStyle name="Normal 95 2 3" xfId="38344" xr:uid="{00000000-0005-0000-0000-0000DD950000}"/>
    <cellStyle name="Normal 95 2 4" xfId="38345" xr:uid="{00000000-0005-0000-0000-0000DE950000}"/>
    <cellStyle name="Normal 95 3" xfId="38346" xr:uid="{00000000-0005-0000-0000-0000DF950000}"/>
    <cellStyle name="Normal 95 3 2" xfId="38347" xr:uid="{00000000-0005-0000-0000-0000E0950000}"/>
    <cellStyle name="Normal 95 3 3" xfId="38348" xr:uid="{00000000-0005-0000-0000-0000E1950000}"/>
    <cellStyle name="Normal 95 4" xfId="38349" xr:uid="{00000000-0005-0000-0000-0000E2950000}"/>
    <cellStyle name="Normal 95 5" xfId="38350" xr:uid="{00000000-0005-0000-0000-0000E3950000}"/>
    <cellStyle name="Normal 96" xfId="38351" xr:uid="{00000000-0005-0000-0000-0000E4950000}"/>
    <cellStyle name="Normal 96 2" xfId="38352" xr:uid="{00000000-0005-0000-0000-0000E5950000}"/>
    <cellStyle name="Normal 96 2 2" xfId="38353" xr:uid="{00000000-0005-0000-0000-0000E6950000}"/>
    <cellStyle name="Normal 96 2 2 2" xfId="38354" xr:uid="{00000000-0005-0000-0000-0000E7950000}"/>
    <cellStyle name="Normal 96 2 2 3" xfId="38355" xr:uid="{00000000-0005-0000-0000-0000E8950000}"/>
    <cellStyle name="Normal 96 2 3" xfId="38356" xr:uid="{00000000-0005-0000-0000-0000E9950000}"/>
    <cellStyle name="Normal 96 2 4" xfId="38357" xr:uid="{00000000-0005-0000-0000-0000EA950000}"/>
    <cellStyle name="Normal 96 3" xfId="38358" xr:uid="{00000000-0005-0000-0000-0000EB950000}"/>
    <cellStyle name="Normal 96 3 2" xfId="38359" xr:uid="{00000000-0005-0000-0000-0000EC950000}"/>
    <cellStyle name="Normal 96 3 3" xfId="38360" xr:uid="{00000000-0005-0000-0000-0000ED950000}"/>
    <cellStyle name="Normal 96 4" xfId="38361" xr:uid="{00000000-0005-0000-0000-0000EE950000}"/>
    <cellStyle name="Normal 96 5" xfId="38362" xr:uid="{00000000-0005-0000-0000-0000EF950000}"/>
    <cellStyle name="Normal 96 6" xfId="38363" xr:uid="{00000000-0005-0000-0000-0000F0950000}"/>
    <cellStyle name="Normal 97" xfId="38364" xr:uid="{00000000-0005-0000-0000-0000F1950000}"/>
    <cellStyle name="Normal 97 2" xfId="38365" xr:uid="{00000000-0005-0000-0000-0000F2950000}"/>
    <cellStyle name="Normal 97 2 2" xfId="38366" xr:uid="{00000000-0005-0000-0000-0000F3950000}"/>
    <cellStyle name="Normal 97 2 2 2" xfId="38367" xr:uid="{00000000-0005-0000-0000-0000F4950000}"/>
    <cellStyle name="Normal 97 2 2 3" xfId="38368" xr:uid="{00000000-0005-0000-0000-0000F5950000}"/>
    <cellStyle name="Normal 97 2 3" xfId="38369" xr:uid="{00000000-0005-0000-0000-0000F6950000}"/>
    <cellStyle name="Normal 97 2 4" xfId="38370" xr:uid="{00000000-0005-0000-0000-0000F7950000}"/>
    <cellStyle name="Normal 97 3" xfId="38371" xr:uid="{00000000-0005-0000-0000-0000F8950000}"/>
    <cellStyle name="Normal 97 3 2" xfId="38372" xr:uid="{00000000-0005-0000-0000-0000F9950000}"/>
    <cellStyle name="Normal 97 3 3" xfId="38373" xr:uid="{00000000-0005-0000-0000-0000FA950000}"/>
    <cellStyle name="Normal 97 4" xfId="38374" xr:uid="{00000000-0005-0000-0000-0000FB950000}"/>
    <cellStyle name="Normal 97 5" xfId="38375" xr:uid="{00000000-0005-0000-0000-0000FC950000}"/>
    <cellStyle name="Normal 98" xfId="38376" xr:uid="{00000000-0005-0000-0000-0000FD950000}"/>
    <cellStyle name="Normal 98 2" xfId="38377" xr:uid="{00000000-0005-0000-0000-0000FE950000}"/>
    <cellStyle name="Normal 98 2 2" xfId="38378" xr:uid="{00000000-0005-0000-0000-0000FF950000}"/>
    <cellStyle name="Normal 98 2 2 2" xfId="38379" xr:uid="{00000000-0005-0000-0000-000000960000}"/>
    <cellStyle name="Normal 98 2 2 3" xfId="38380" xr:uid="{00000000-0005-0000-0000-000001960000}"/>
    <cellStyle name="Normal 98 2 3" xfId="38381" xr:uid="{00000000-0005-0000-0000-000002960000}"/>
    <cellStyle name="Normal 98 2 4" xfId="38382" xr:uid="{00000000-0005-0000-0000-000003960000}"/>
    <cellStyle name="Normal 98 3" xfId="38383" xr:uid="{00000000-0005-0000-0000-000004960000}"/>
    <cellStyle name="Normal 98 3 2" xfId="38384" xr:uid="{00000000-0005-0000-0000-000005960000}"/>
    <cellStyle name="Normal 98 3 3" xfId="38385" xr:uid="{00000000-0005-0000-0000-000006960000}"/>
    <cellStyle name="Normal 98 4" xfId="38386" xr:uid="{00000000-0005-0000-0000-000007960000}"/>
    <cellStyle name="Normal 98 5" xfId="38387" xr:uid="{00000000-0005-0000-0000-000008960000}"/>
    <cellStyle name="Normal 99" xfId="38388" xr:uid="{00000000-0005-0000-0000-000009960000}"/>
    <cellStyle name="Normal 99 2" xfId="38389" xr:uid="{00000000-0005-0000-0000-00000A960000}"/>
    <cellStyle name="Normal 99 2 2" xfId="38390" xr:uid="{00000000-0005-0000-0000-00000B960000}"/>
    <cellStyle name="Normal 99 2 2 2" xfId="38391" xr:uid="{00000000-0005-0000-0000-00000C960000}"/>
    <cellStyle name="Normal 99 2 2 3" xfId="38392" xr:uid="{00000000-0005-0000-0000-00000D960000}"/>
    <cellStyle name="Normal 99 2 3" xfId="38393" xr:uid="{00000000-0005-0000-0000-00000E960000}"/>
    <cellStyle name="Normal 99 2 4" xfId="38394" xr:uid="{00000000-0005-0000-0000-00000F960000}"/>
    <cellStyle name="Normal 99 3" xfId="38395" xr:uid="{00000000-0005-0000-0000-000010960000}"/>
    <cellStyle name="Normal 99 3 2" xfId="38396" xr:uid="{00000000-0005-0000-0000-000011960000}"/>
    <cellStyle name="Normal 99 3 3" xfId="38397" xr:uid="{00000000-0005-0000-0000-000012960000}"/>
    <cellStyle name="Normal 99 4" xfId="38398" xr:uid="{00000000-0005-0000-0000-000013960000}"/>
    <cellStyle name="Normal 99 5" xfId="38399" xr:uid="{00000000-0005-0000-0000-000014960000}"/>
    <cellStyle name="Normal 99 6" xfId="38400" xr:uid="{00000000-0005-0000-0000-000015960000}"/>
    <cellStyle name="Notas 10" xfId="38401" xr:uid="{00000000-0005-0000-0000-000016960000}"/>
    <cellStyle name="Notas 2" xfId="38402" xr:uid="{00000000-0005-0000-0000-000017960000}"/>
    <cellStyle name="Notas 2 2" xfId="38403" xr:uid="{00000000-0005-0000-0000-000018960000}"/>
    <cellStyle name="Notas 2 2 2" xfId="38404" xr:uid="{00000000-0005-0000-0000-000019960000}"/>
    <cellStyle name="Notas 2 2 2 2" xfId="38405" xr:uid="{00000000-0005-0000-0000-00001A960000}"/>
    <cellStyle name="Notas 2 2 2 2 2" xfId="38406" xr:uid="{00000000-0005-0000-0000-00001B960000}"/>
    <cellStyle name="Notas 2 2 2 2 2 2" xfId="38407" xr:uid="{00000000-0005-0000-0000-00001C960000}"/>
    <cellStyle name="Notas 2 2 2 2 2 2 2" xfId="38408" xr:uid="{00000000-0005-0000-0000-00001D960000}"/>
    <cellStyle name="Notas 2 2 2 2 2 2 3" xfId="38409" xr:uid="{00000000-0005-0000-0000-00001E960000}"/>
    <cellStyle name="Notas 2 2 2 2 2 3" xfId="38410" xr:uid="{00000000-0005-0000-0000-00001F960000}"/>
    <cellStyle name="Notas 2 2 2 2 2 4" xfId="38411" xr:uid="{00000000-0005-0000-0000-000020960000}"/>
    <cellStyle name="Notas 2 2 2 2 3" xfId="38412" xr:uid="{00000000-0005-0000-0000-000021960000}"/>
    <cellStyle name="Notas 2 2 2 2 3 2" xfId="38413" xr:uid="{00000000-0005-0000-0000-000022960000}"/>
    <cellStyle name="Notas 2 2 2 2 3 3" xfId="38414" xr:uid="{00000000-0005-0000-0000-000023960000}"/>
    <cellStyle name="Notas 2 2 2 2 4" xfId="38415" xr:uid="{00000000-0005-0000-0000-000024960000}"/>
    <cellStyle name="Notas 2 2 2 2 5" xfId="38416" xr:uid="{00000000-0005-0000-0000-000025960000}"/>
    <cellStyle name="Notas 2 2 2 3" xfId="38417" xr:uid="{00000000-0005-0000-0000-000026960000}"/>
    <cellStyle name="Notas 2 2 2 3 2" xfId="38418" xr:uid="{00000000-0005-0000-0000-000027960000}"/>
    <cellStyle name="Notas 2 2 2 3 3" xfId="38419" xr:uid="{00000000-0005-0000-0000-000028960000}"/>
    <cellStyle name="Notas 2 2 2 4" xfId="38420" xr:uid="{00000000-0005-0000-0000-000029960000}"/>
    <cellStyle name="Notas 2 2 2 5" xfId="38421" xr:uid="{00000000-0005-0000-0000-00002A960000}"/>
    <cellStyle name="Notas 2 2 3" xfId="38422" xr:uid="{00000000-0005-0000-0000-00002B960000}"/>
    <cellStyle name="Notas 2 2 3 2" xfId="38423" xr:uid="{00000000-0005-0000-0000-00002C960000}"/>
    <cellStyle name="Notas 2 2 3 2 2" xfId="38424" xr:uid="{00000000-0005-0000-0000-00002D960000}"/>
    <cellStyle name="Notas 2 2 3 2 3" xfId="38425" xr:uid="{00000000-0005-0000-0000-00002E960000}"/>
    <cellStyle name="Notas 2 2 3 3" xfId="38426" xr:uid="{00000000-0005-0000-0000-00002F960000}"/>
    <cellStyle name="Notas 2 2 3 4" xfId="38427" xr:uid="{00000000-0005-0000-0000-000030960000}"/>
    <cellStyle name="Notas 2 2 4" xfId="38428" xr:uid="{00000000-0005-0000-0000-000031960000}"/>
    <cellStyle name="Notas 2 2 4 2" xfId="38429" xr:uid="{00000000-0005-0000-0000-000032960000}"/>
    <cellStyle name="Notas 2 2 4 2 2" xfId="38430" xr:uid="{00000000-0005-0000-0000-000033960000}"/>
    <cellStyle name="Notas 2 2 4 2 3" xfId="38431" xr:uid="{00000000-0005-0000-0000-000034960000}"/>
    <cellStyle name="Notas 2 2 4 3" xfId="38432" xr:uid="{00000000-0005-0000-0000-000035960000}"/>
    <cellStyle name="Notas 2 2 4 4" xfId="38433" xr:uid="{00000000-0005-0000-0000-000036960000}"/>
    <cellStyle name="Notas 2 2 5" xfId="38434" xr:uid="{00000000-0005-0000-0000-000037960000}"/>
    <cellStyle name="Notas 2 2 5 2" xfId="38435" xr:uid="{00000000-0005-0000-0000-000038960000}"/>
    <cellStyle name="Notas 2 2 5 3" xfId="38436" xr:uid="{00000000-0005-0000-0000-000039960000}"/>
    <cellStyle name="Notas 2 2 6" xfId="38437" xr:uid="{00000000-0005-0000-0000-00003A960000}"/>
    <cellStyle name="Notas 2 2 7" xfId="38438" xr:uid="{00000000-0005-0000-0000-00003B960000}"/>
    <cellStyle name="Notas 2 3" xfId="38439" xr:uid="{00000000-0005-0000-0000-00003C960000}"/>
    <cellStyle name="Notas 2 3 2" xfId="38440" xr:uid="{00000000-0005-0000-0000-00003D960000}"/>
    <cellStyle name="Notas 2 3 2 2" xfId="38441" xr:uid="{00000000-0005-0000-0000-00003E960000}"/>
    <cellStyle name="Notas 2 3 2 3" xfId="38442" xr:uid="{00000000-0005-0000-0000-00003F960000}"/>
    <cellStyle name="Notas 2 3 3" xfId="38443" xr:uid="{00000000-0005-0000-0000-000040960000}"/>
    <cellStyle name="Notas 2 3 4" xfId="38444" xr:uid="{00000000-0005-0000-0000-000041960000}"/>
    <cellStyle name="Notas 2 4" xfId="38445" xr:uid="{00000000-0005-0000-0000-000042960000}"/>
    <cellStyle name="Notas 2 4 2" xfId="38446" xr:uid="{00000000-0005-0000-0000-000043960000}"/>
    <cellStyle name="Notas 2 4 2 2" xfId="38447" xr:uid="{00000000-0005-0000-0000-000044960000}"/>
    <cellStyle name="Notas 2 4 2 3" xfId="38448" xr:uid="{00000000-0005-0000-0000-000045960000}"/>
    <cellStyle name="Notas 2 4 3" xfId="38449" xr:uid="{00000000-0005-0000-0000-000046960000}"/>
    <cellStyle name="Notas 2 4 4" xfId="38450" xr:uid="{00000000-0005-0000-0000-000047960000}"/>
    <cellStyle name="Notas 2 5" xfId="38451" xr:uid="{00000000-0005-0000-0000-000048960000}"/>
    <cellStyle name="Notas 2 5 2" xfId="38452" xr:uid="{00000000-0005-0000-0000-000049960000}"/>
    <cellStyle name="Notas 2 5 2 2" xfId="38453" xr:uid="{00000000-0005-0000-0000-00004A960000}"/>
    <cellStyle name="Notas 2 5 2 3" xfId="38454" xr:uid="{00000000-0005-0000-0000-00004B960000}"/>
    <cellStyle name="Notas 2 5 3" xfId="38455" xr:uid="{00000000-0005-0000-0000-00004C960000}"/>
    <cellStyle name="Notas 2 5 4" xfId="38456" xr:uid="{00000000-0005-0000-0000-00004D960000}"/>
    <cellStyle name="Notas 2 6" xfId="38457" xr:uid="{00000000-0005-0000-0000-00004E960000}"/>
    <cellStyle name="Notas 2 6 2" xfId="38458" xr:uid="{00000000-0005-0000-0000-00004F960000}"/>
    <cellStyle name="Notas 2 6 3" xfId="38459" xr:uid="{00000000-0005-0000-0000-000050960000}"/>
    <cellStyle name="Notas 2 7" xfId="38460" xr:uid="{00000000-0005-0000-0000-000051960000}"/>
    <cellStyle name="Notas 2 8" xfId="38461" xr:uid="{00000000-0005-0000-0000-000052960000}"/>
    <cellStyle name="Notas 3" xfId="38462" xr:uid="{00000000-0005-0000-0000-000053960000}"/>
    <cellStyle name="Notas 3 2" xfId="38463" xr:uid="{00000000-0005-0000-0000-000054960000}"/>
    <cellStyle name="Notas 3 2 2" xfId="38464" xr:uid="{00000000-0005-0000-0000-000055960000}"/>
    <cellStyle name="Notas 3 2 2 2" xfId="38465" xr:uid="{00000000-0005-0000-0000-000056960000}"/>
    <cellStyle name="Notas 3 2 2 3" xfId="38466" xr:uid="{00000000-0005-0000-0000-000057960000}"/>
    <cellStyle name="Notas 3 2 3" xfId="38467" xr:uid="{00000000-0005-0000-0000-000058960000}"/>
    <cellStyle name="Notas 3 2 4" xfId="38468" xr:uid="{00000000-0005-0000-0000-000059960000}"/>
    <cellStyle name="Notas 3 2 5" xfId="38469" xr:uid="{00000000-0005-0000-0000-00005A960000}"/>
    <cellStyle name="Notas 3 3" xfId="38470" xr:uid="{00000000-0005-0000-0000-00005B960000}"/>
    <cellStyle name="Notas 3 3 2" xfId="38471" xr:uid="{00000000-0005-0000-0000-00005C960000}"/>
    <cellStyle name="Notas 3 3 3" xfId="38472" xr:uid="{00000000-0005-0000-0000-00005D960000}"/>
    <cellStyle name="Notas 3 4" xfId="38473" xr:uid="{00000000-0005-0000-0000-00005E960000}"/>
    <cellStyle name="Notas 3 5" xfId="38474" xr:uid="{00000000-0005-0000-0000-00005F960000}"/>
    <cellStyle name="Notas 4" xfId="38475" xr:uid="{00000000-0005-0000-0000-000060960000}"/>
    <cellStyle name="Notas 4 2" xfId="38476" xr:uid="{00000000-0005-0000-0000-000061960000}"/>
    <cellStyle name="Notas 4 2 2" xfId="38477" xr:uid="{00000000-0005-0000-0000-000062960000}"/>
    <cellStyle name="Notas 4 2 3" xfId="38478" xr:uid="{00000000-0005-0000-0000-000063960000}"/>
    <cellStyle name="Notas 4 3" xfId="38479" xr:uid="{00000000-0005-0000-0000-000064960000}"/>
    <cellStyle name="Notas 4 4" xfId="38480" xr:uid="{00000000-0005-0000-0000-000065960000}"/>
    <cellStyle name="Notas 5" xfId="38481" xr:uid="{00000000-0005-0000-0000-000066960000}"/>
    <cellStyle name="Notas 5 2" xfId="38482" xr:uid="{00000000-0005-0000-0000-000067960000}"/>
    <cellStyle name="Notas 5 2 2" xfId="38483" xr:uid="{00000000-0005-0000-0000-000068960000}"/>
    <cellStyle name="Notas 5 2 3" xfId="38484" xr:uid="{00000000-0005-0000-0000-000069960000}"/>
    <cellStyle name="Notas 5 3" xfId="38485" xr:uid="{00000000-0005-0000-0000-00006A960000}"/>
    <cellStyle name="Notas 5 4" xfId="38486" xr:uid="{00000000-0005-0000-0000-00006B960000}"/>
    <cellStyle name="Notas 6" xfId="38487" xr:uid="{00000000-0005-0000-0000-00006C960000}"/>
    <cellStyle name="Notas 6 2" xfId="38488" xr:uid="{00000000-0005-0000-0000-00006D960000}"/>
    <cellStyle name="Notas 6 2 2" xfId="38489" xr:uid="{00000000-0005-0000-0000-00006E960000}"/>
    <cellStyle name="Notas 6 2 3" xfId="38490" xr:uid="{00000000-0005-0000-0000-00006F960000}"/>
    <cellStyle name="Notas 6 3" xfId="38491" xr:uid="{00000000-0005-0000-0000-000070960000}"/>
    <cellStyle name="Notas 6 4" xfId="38492" xr:uid="{00000000-0005-0000-0000-000071960000}"/>
    <cellStyle name="Notas 7" xfId="38493" xr:uid="{00000000-0005-0000-0000-000072960000}"/>
    <cellStyle name="Notas 7 2" xfId="38494" xr:uid="{00000000-0005-0000-0000-000073960000}"/>
    <cellStyle name="Notas 7 2 2" xfId="38495" xr:uid="{00000000-0005-0000-0000-000074960000}"/>
    <cellStyle name="Notas 7 2 3" xfId="38496" xr:uid="{00000000-0005-0000-0000-000075960000}"/>
    <cellStyle name="Notas 7 3" xfId="38497" xr:uid="{00000000-0005-0000-0000-000076960000}"/>
    <cellStyle name="Notas 7 4" xfId="38498" xr:uid="{00000000-0005-0000-0000-000077960000}"/>
    <cellStyle name="Notas 8" xfId="38499" xr:uid="{00000000-0005-0000-0000-000078960000}"/>
    <cellStyle name="Notas 8 2" xfId="38500" xr:uid="{00000000-0005-0000-0000-000079960000}"/>
    <cellStyle name="Notas 8 2 2" xfId="38501" xr:uid="{00000000-0005-0000-0000-00007A960000}"/>
    <cellStyle name="Notas 8 2 3" xfId="38502" xr:uid="{00000000-0005-0000-0000-00007B960000}"/>
    <cellStyle name="Notas 8 3" xfId="38503" xr:uid="{00000000-0005-0000-0000-00007C960000}"/>
    <cellStyle name="Notas 8 4" xfId="38504" xr:uid="{00000000-0005-0000-0000-00007D960000}"/>
    <cellStyle name="Notas 9" xfId="38505" xr:uid="{00000000-0005-0000-0000-00007E960000}"/>
    <cellStyle name="Notas 9 2" xfId="38506" xr:uid="{00000000-0005-0000-0000-00007F960000}"/>
    <cellStyle name="Notas 9 2 2" xfId="38507" xr:uid="{00000000-0005-0000-0000-000080960000}"/>
    <cellStyle name="Notas 9 2 3" xfId="38508" xr:uid="{00000000-0005-0000-0000-000081960000}"/>
    <cellStyle name="Notas 9 3" xfId="38509" xr:uid="{00000000-0005-0000-0000-000082960000}"/>
    <cellStyle name="Notas 9 4" xfId="38510" xr:uid="{00000000-0005-0000-0000-000083960000}"/>
    <cellStyle name="Note" xfId="38511" xr:uid="{00000000-0005-0000-0000-000084960000}"/>
    <cellStyle name="Note 10" xfId="38512" xr:uid="{00000000-0005-0000-0000-000085960000}"/>
    <cellStyle name="Note 11" xfId="38513" xr:uid="{00000000-0005-0000-0000-000086960000}"/>
    <cellStyle name="Note 2" xfId="38514" xr:uid="{00000000-0005-0000-0000-000087960000}"/>
    <cellStyle name="Note 2 2" xfId="38515" xr:uid="{00000000-0005-0000-0000-000088960000}"/>
    <cellStyle name="Note 2 2 2" xfId="38516" xr:uid="{00000000-0005-0000-0000-000089960000}"/>
    <cellStyle name="Note 2 2 2 2" xfId="38517" xr:uid="{00000000-0005-0000-0000-00008A960000}"/>
    <cellStyle name="Note 2 2 2 3" xfId="38518" xr:uid="{00000000-0005-0000-0000-00008B960000}"/>
    <cellStyle name="Note 2 2 3" xfId="38519" xr:uid="{00000000-0005-0000-0000-00008C960000}"/>
    <cellStyle name="Note 2 2 4" xfId="38520" xr:uid="{00000000-0005-0000-0000-00008D960000}"/>
    <cellStyle name="Note 2 3" xfId="38521" xr:uid="{00000000-0005-0000-0000-00008E960000}"/>
    <cellStyle name="Note 2 3 2" xfId="38522" xr:uid="{00000000-0005-0000-0000-00008F960000}"/>
    <cellStyle name="Note 2 3 2 2" xfId="38523" xr:uid="{00000000-0005-0000-0000-000090960000}"/>
    <cellStyle name="Note 2 3 2 3" xfId="38524" xr:uid="{00000000-0005-0000-0000-000091960000}"/>
    <cellStyle name="Note 2 3 3" xfId="38525" xr:uid="{00000000-0005-0000-0000-000092960000}"/>
    <cellStyle name="Note 2 3 4" xfId="38526" xr:uid="{00000000-0005-0000-0000-000093960000}"/>
    <cellStyle name="Note 2 4" xfId="38527" xr:uid="{00000000-0005-0000-0000-000094960000}"/>
    <cellStyle name="Note 2 4 2" xfId="38528" xr:uid="{00000000-0005-0000-0000-000095960000}"/>
    <cellStyle name="Note 2 4 2 2" xfId="38529" xr:uid="{00000000-0005-0000-0000-000096960000}"/>
    <cellStyle name="Note 2 4 2 3" xfId="38530" xr:uid="{00000000-0005-0000-0000-000097960000}"/>
    <cellStyle name="Note 2 4 3" xfId="38531" xr:uid="{00000000-0005-0000-0000-000098960000}"/>
    <cellStyle name="Note 2 4 4" xfId="38532" xr:uid="{00000000-0005-0000-0000-000099960000}"/>
    <cellStyle name="Note 2 5" xfId="38533" xr:uid="{00000000-0005-0000-0000-00009A960000}"/>
    <cellStyle name="Note 2 5 2" xfId="38534" xr:uid="{00000000-0005-0000-0000-00009B960000}"/>
    <cellStyle name="Note 2 5 3" xfId="38535" xr:uid="{00000000-0005-0000-0000-00009C960000}"/>
    <cellStyle name="Note 2 6" xfId="38536" xr:uid="{00000000-0005-0000-0000-00009D960000}"/>
    <cellStyle name="Note 2 7" xfId="38537" xr:uid="{00000000-0005-0000-0000-00009E960000}"/>
    <cellStyle name="Note 3" xfId="38538" xr:uid="{00000000-0005-0000-0000-00009F960000}"/>
    <cellStyle name="Note 3 2" xfId="38539" xr:uid="{00000000-0005-0000-0000-0000A0960000}"/>
    <cellStyle name="Note 3 2 2" xfId="38540" xr:uid="{00000000-0005-0000-0000-0000A1960000}"/>
    <cellStyle name="Note 3 2 2 2" xfId="38541" xr:uid="{00000000-0005-0000-0000-0000A2960000}"/>
    <cellStyle name="Note 3 2 2 3" xfId="38542" xr:uid="{00000000-0005-0000-0000-0000A3960000}"/>
    <cellStyle name="Note 3 2 3" xfId="38543" xr:uid="{00000000-0005-0000-0000-0000A4960000}"/>
    <cellStyle name="Note 3 2 4" xfId="38544" xr:uid="{00000000-0005-0000-0000-0000A5960000}"/>
    <cellStyle name="Note 3 3" xfId="38545" xr:uid="{00000000-0005-0000-0000-0000A6960000}"/>
    <cellStyle name="Note 3 3 2" xfId="38546" xr:uid="{00000000-0005-0000-0000-0000A7960000}"/>
    <cellStyle name="Note 3 3 2 2" xfId="38547" xr:uid="{00000000-0005-0000-0000-0000A8960000}"/>
    <cellStyle name="Note 3 3 2 3" xfId="38548" xr:uid="{00000000-0005-0000-0000-0000A9960000}"/>
    <cellStyle name="Note 3 3 3" xfId="38549" xr:uid="{00000000-0005-0000-0000-0000AA960000}"/>
    <cellStyle name="Note 3 3 4" xfId="38550" xr:uid="{00000000-0005-0000-0000-0000AB960000}"/>
    <cellStyle name="Note 3 4" xfId="38551" xr:uid="{00000000-0005-0000-0000-0000AC960000}"/>
    <cellStyle name="Note 3 4 2" xfId="38552" xr:uid="{00000000-0005-0000-0000-0000AD960000}"/>
    <cellStyle name="Note 3 4 2 2" xfId="38553" xr:uid="{00000000-0005-0000-0000-0000AE960000}"/>
    <cellStyle name="Note 3 4 2 3" xfId="38554" xr:uid="{00000000-0005-0000-0000-0000AF960000}"/>
    <cellStyle name="Note 3 4 3" xfId="38555" xr:uid="{00000000-0005-0000-0000-0000B0960000}"/>
    <cellStyle name="Note 3 4 4" xfId="38556" xr:uid="{00000000-0005-0000-0000-0000B1960000}"/>
    <cellStyle name="Note 3 5" xfId="38557" xr:uid="{00000000-0005-0000-0000-0000B2960000}"/>
    <cellStyle name="Note 3 5 2" xfId="38558" xr:uid="{00000000-0005-0000-0000-0000B3960000}"/>
    <cellStyle name="Note 3 5 3" xfId="38559" xr:uid="{00000000-0005-0000-0000-0000B4960000}"/>
    <cellStyle name="Note 3 6" xfId="38560" xr:uid="{00000000-0005-0000-0000-0000B5960000}"/>
    <cellStyle name="Note 3 7" xfId="38561" xr:uid="{00000000-0005-0000-0000-0000B6960000}"/>
    <cellStyle name="Note 4" xfId="38562" xr:uid="{00000000-0005-0000-0000-0000B7960000}"/>
    <cellStyle name="Note 4 2" xfId="38563" xr:uid="{00000000-0005-0000-0000-0000B8960000}"/>
    <cellStyle name="Note 4 2 2" xfId="38564" xr:uid="{00000000-0005-0000-0000-0000B9960000}"/>
    <cellStyle name="Note 4 2 2 2" xfId="38565" xr:uid="{00000000-0005-0000-0000-0000BA960000}"/>
    <cellStyle name="Note 4 2 2 3" xfId="38566" xr:uid="{00000000-0005-0000-0000-0000BB960000}"/>
    <cellStyle name="Note 4 2 3" xfId="38567" xr:uid="{00000000-0005-0000-0000-0000BC960000}"/>
    <cellStyle name="Note 4 2 4" xfId="38568" xr:uid="{00000000-0005-0000-0000-0000BD960000}"/>
    <cellStyle name="Note 4 3" xfId="38569" xr:uid="{00000000-0005-0000-0000-0000BE960000}"/>
    <cellStyle name="Note 4 3 2" xfId="38570" xr:uid="{00000000-0005-0000-0000-0000BF960000}"/>
    <cellStyle name="Note 4 3 2 2" xfId="38571" xr:uid="{00000000-0005-0000-0000-0000C0960000}"/>
    <cellStyle name="Note 4 3 2 3" xfId="38572" xr:uid="{00000000-0005-0000-0000-0000C1960000}"/>
    <cellStyle name="Note 4 3 3" xfId="38573" xr:uid="{00000000-0005-0000-0000-0000C2960000}"/>
    <cellStyle name="Note 4 3 4" xfId="38574" xr:uid="{00000000-0005-0000-0000-0000C3960000}"/>
    <cellStyle name="Note 4 4" xfId="38575" xr:uid="{00000000-0005-0000-0000-0000C4960000}"/>
    <cellStyle name="Note 4 4 2" xfId="38576" xr:uid="{00000000-0005-0000-0000-0000C5960000}"/>
    <cellStyle name="Note 4 4 2 2" xfId="38577" xr:uid="{00000000-0005-0000-0000-0000C6960000}"/>
    <cellStyle name="Note 4 4 2 3" xfId="38578" xr:uid="{00000000-0005-0000-0000-0000C7960000}"/>
    <cellStyle name="Note 4 4 3" xfId="38579" xr:uid="{00000000-0005-0000-0000-0000C8960000}"/>
    <cellStyle name="Note 4 4 4" xfId="38580" xr:uid="{00000000-0005-0000-0000-0000C9960000}"/>
    <cellStyle name="Note 4 5" xfId="38581" xr:uid="{00000000-0005-0000-0000-0000CA960000}"/>
    <cellStyle name="Note 4 5 2" xfId="38582" xr:uid="{00000000-0005-0000-0000-0000CB960000}"/>
    <cellStyle name="Note 4 5 3" xfId="38583" xr:uid="{00000000-0005-0000-0000-0000CC960000}"/>
    <cellStyle name="Note 4 6" xfId="38584" xr:uid="{00000000-0005-0000-0000-0000CD960000}"/>
    <cellStyle name="Note 4 7" xfId="38585" xr:uid="{00000000-0005-0000-0000-0000CE960000}"/>
    <cellStyle name="Note 5" xfId="38586" xr:uid="{00000000-0005-0000-0000-0000CF960000}"/>
    <cellStyle name="Note 5 2" xfId="38587" xr:uid="{00000000-0005-0000-0000-0000D0960000}"/>
    <cellStyle name="Note 5 2 2" xfId="38588" xr:uid="{00000000-0005-0000-0000-0000D1960000}"/>
    <cellStyle name="Note 5 2 2 2" xfId="38589" xr:uid="{00000000-0005-0000-0000-0000D2960000}"/>
    <cellStyle name="Note 5 2 2 3" xfId="38590" xr:uid="{00000000-0005-0000-0000-0000D3960000}"/>
    <cellStyle name="Note 5 2 3" xfId="38591" xr:uid="{00000000-0005-0000-0000-0000D4960000}"/>
    <cellStyle name="Note 5 2 4" xfId="38592" xr:uid="{00000000-0005-0000-0000-0000D5960000}"/>
    <cellStyle name="Note 5 3" xfId="38593" xr:uid="{00000000-0005-0000-0000-0000D6960000}"/>
    <cellStyle name="Note 5 3 2" xfId="38594" xr:uid="{00000000-0005-0000-0000-0000D7960000}"/>
    <cellStyle name="Note 5 3 2 2" xfId="38595" xr:uid="{00000000-0005-0000-0000-0000D8960000}"/>
    <cellStyle name="Note 5 3 2 3" xfId="38596" xr:uid="{00000000-0005-0000-0000-0000D9960000}"/>
    <cellStyle name="Note 5 3 3" xfId="38597" xr:uid="{00000000-0005-0000-0000-0000DA960000}"/>
    <cellStyle name="Note 5 3 4" xfId="38598" xr:uid="{00000000-0005-0000-0000-0000DB960000}"/>
    <cellStyle name="Note 5 4" xfId="38599" xr:uid="{00000000-0005-0000-0000-0000DC960000}"/>
    <cellStyle name="Note 5 4 2" xfId="38600" xr:uid="{00000000-0005-0000-0000-0000DD960000}"/>
    <cellStyle name="Note 5 4 2 2" xfId="38601" xr:uid="{00000000-0005-0000-0000-0000DE960000}"/>
    <cellStyle name="Note 5 4 2 3" xfId="38602" xr:uid="{00000000-0005-0000-0000-0000DF960000}"/>
    <cellStyle name="Note 5 4 3" xfId="38603" xr:uid="{00000000-0005-0000-0000-0000E0960000}"/>
    <cellStyle name="Note 5 4 4" xfId="38604" xr:uid="{00000000-0005-0000-0000-0000E1960000}"/>
    <cellStyle name="Note 5 5" xfId="38605" xr:uid="{00000000-0005-0000-0000-0000E2960000}"/>
    <cellStyle name="Note 5 5 2" xfId="38606" xr:uid="{00000000-0005-0000-0000-0000E3960000}"/>
    <cellStyle name="Note 5 5 3" xfId="38607" xr:uid="{00000000-0005-0000-0000-0000E4960000}"/>
    <cellStyle name="Note 5 6" xfId="38608" xr:uid="{00000000-0005-0000-0000-0000E5960000}"/>
    <cellStyle name="Note 5 7" xfId="38609" xr:uid="{00000000-0005-0000-0000-0000E6960000}"/>
    <cellStyle name="Note 6" xfId="38610" xr:uid="{00000000-0005-0000-0000-0000E7960000}"/>
    <cellStyle name="Note 6 2" xfId="38611" xr:uid="{00000000-0005-0000-0000-0000E8960000}"/>
    <cellStyle name="Note 6 2 2" xfId="38612" xr:uid="{00000000-0005-0000-0000-0000E9960000}"/>
    <cellStyle name="Note 6 2 3" xfId="38613" xr:uid="{00000000-0005-0000-0000-0000EA960000}"/>
    <cellStyle name="Note 6 3" xfId="38614" xr:uid="{00000000-0005-0000-0000-0000EB960000}"/>
    <cellStyle name="Note 6 4" xfId="38615" xr:uid="{00000000-0005-0000-0000-0000EC960000}"/>
    <cellStyle name="Note 7" xfId="38616" xr:uid="{00000000-0005-0000-0000-0000ED960000}"/>
    <cellStyle name="Note 7 2" xfId="38617" xr:uid="{00000000-0005-0000-0000-0000EE960000}"/>
    <cellStyle name="Note 7 2 2" xfId="38618" xr:uid="{00000000-0005-0000-0000-0000EF960000}"/>
    <cellStyle name="Note 7 2 3" xfId="38619" xr:uid="{00000000-0005-0000-0000-0000F0960000}"/>
    <cellStyle name="Note 7 3" xfId="38620" xr:uid="{00000000-0005-0000-0000-0000F1960000}"/>
    <cellStyle name="Note 7 4" xfId="38621" xr:uid="{00000000-0005-0000-0000-0000F2960000}"/>
    <cellStyle name="Note 8" xfId="38622" xr:uid="{00000000-0005-0000-0000-0000F3960000}"/>
    <cellStyle name="Note 8 2" xfId="38623" xr:uid="{00000000-0005-0000-0000-0000F4960000}"/>
    <cellStyle name="Note 8 2 2" xfId="38624" xr:uid="{00000000-0005-0000-0000-0000F5960000}"/>
    <cellStyle name="Note 8 2 3" xfId="38625" xr:uid="{00000000-0005-0000-0000-0000F6960000}"/>
    <cellStyle name="Note 8 3" xfId="38626" xr:uid="{00000000-0005-0000-0000-0000F7960000}"/>
    <cellStyle name="Note 8 4" xfId="38627" xr:uid="{00000000-0005-0000-0000-0000F8960000}"/>
    <cellStyle name="Note 9" xfId="38628" xr:uid="{00000000-0005-0000-0000-0000F9960000}"/>
    <cellStyle name="Note 9 2" xfId="38629" xr:uid="{00000000-0005-0000-0000-0000FA960000}"/>
    <cellStyle name="Note 9 3" xfId="38630" xr:uid="{00000000-0005-0000-0000-0000FB960000}"/>
    <cellStyle name="Output" xfId="38631" xr:uid="{00000000-0005-0000-0000-0000FC960000}"/>
    <cellStyle name="Output 2" xfId="38632" xr:uid="{00000000-0005-0000-0000-0000FD960000}"/>
    <cellStyle name="Output 2 2" xfId="38633" xr:uid="{00000000-0005-0000-0000-0000FE960000}"/>
    <cellStyle name="Output 2 2 2" xfId="38634" xr:uid="{00000000-0005-0000-0000-0000FF960000}"/>
    <cellStyle name="Output 2 2 3" xfId="38635" xr:uid="{00000000-0005-0000-0000-000000970000}"/>
    <cellStyle name="Output 2 3" xfId="38636" xr:uid="{00000000-0005-0000-0000-000001970000}"/>
    <cellStyle name="Output 2 4" xfId="38637" xr:uid="{00000000-0005-0000-0000-000002970000}"/>
    <cellStyle name="Output 3" xfId="38638" xr:uid="{00000000-0005-0000-0000-000003970000}"/>
    <cellStyle name="Output 3 2" xfId="38639" xr:uid="{00000000-0005-0000-0000-000004970000}"/>
    <cellStyle name="Output 3 2 2" xfId="38640" xr:uid="{00000000-0005-0000-0000-000005970000}"/>
    <cellStyle name="Output 3 2 3" xfId="38641" xr:uid="{00000000-0005-0000-0000-000006970000}"/>
    <cellStyle name="Output 3 3" xfId="38642" xr:uid="{00000000-0005-0000-0000-000007970000}"/>
    <cellStyle name="Output 3 4" xfId="38643" xr:uid="{00000000-0005-0000-0000-000008970000}"/>
    <cellStyle name="Output 4" xfId="38644" xr:uid="{00000000-0005-0000-0000-000009970000}"/>
    <cellStyle name="Output 4 2" xfId="38645" xr:uid="{00000000-0005-0000-0000-00000A970000}"/>
    <cellStyle name="Output 4 2 2" xfId="38646" xr:uid="{00000000-0005-0000-0000-00000B970000}"/>
    <cellStyle name="Output 4 2 3" xfId="38647" xr:uid="{00000000-0005-0000-0000-00000C970000}"/>
    <cellStyle name="Output 4 3" xfId="38648" xr:uid="{00000000-0005-0000-0000-00000D970000}"/>
    <cellStyle name="Output 4 4" xfId="38649" xr:uid="{00000000-0005-0000-0000-00000E970000}"/>
    <cellStyle name="Output 5" xfId="38650" xr:uid="{00000000-0005-0000-0000-00000F970000}"/>
    <cellStyle name="Output 5 2" xfId="38651" xr:uid="{00000000-0005-0000-0000-000010970000}"/>
    <cellStyle name="Output 5 2 2" xfId="38652" xr:uid="{00000000-0005-0000-0000-000011970000}"/>
    <cellStyle name="Output 5 2 3" xfId="38653" xr:uid="{00000000-0005-0000-0000-000012970000}"/>
    <cellStyle name="Output 5 3" xfId="38654" xr:uid="{00000000-0005-0000-0000-000013970000}"/>
    <cellStyle name="Output 5 4" xfId="38655" xr:uid="{00000000-0005-0000-0000-000014970000}"/>
    <cellStyle name="Output 6" xfId="38656" xr:uid="{00000000-0005-0000-0000-000015970000}"/>
    <cellStyle name="Output 6 2" xfId="38657" xr:uid="{00000000-0005-0000-0000-000016970000}"/>
    <cellStyle name="Output 6 3" xfId="38658" xr:uid="{00000000-0005-0000-0000-000017970000}"/>
    <cellStyle name="Output 7" xfId="38659" xr:uid="{00000000-0005-0000-0000-000018970000}"/>
    <cellStyle name="Output 8" xfId="38660" xr:uid="{00000000-0005-0000-0000-000019970000}"/>
    <cellStyle name="Porcentaje 2" xfId="38661" xr:uid="{00000000-0005-0000-0000-00001A970000}"/>
    <cellStyle name="Porcentual 2" xfId="38662" xr:uid="{00000000-0005-0000-0000-00001B970000}"/>
    <cellStyle name="Porcentual 2 2" xfId="38663" xr:uid="{00000000-0005-0000-0000-00001C970000}"/>
    <cellStyle name="Porcentual 2 2 2" xfId="38664" xr:uid="{00000000-0005-0000-0000-00001D970000}"/>
    <cellStyle name="Porcentual 2 2 2 2" xfId="38665" xr:uid="{00000000-0005-0000-0000-00001E970000}"/>
    <cellStyle name="Porcentual 2 2 2 3" xfId="38666" xr:uid="{00000000-0005-0000-0000-00001F970000}"/>
    <cellStyle name="Porcentual 2 2 3" xfId="38667" xr:uid="{00000000-0005-0000-0000-000020970000}"/>
    <cellStyle name="Porcentual 2 2 4" xfId="38668" xr:uid="{00000000-0005-0000-0000-000021970000}"/>
    <cellStyle name="Porcentual 2 3" xfId="38669" xr:uid="{00000000-0005-0000-0000-000022970000}"/>
    <cellStyle name="Porcentual 2 3 2" xfId="38670" xr:uid="{00000000-0005-0000-0000-000023970000}"/>
    <cellStyle name="Porcentual 2 3 2 2" xfId="38671" xr:uid="{00000000-0005-0000-0000-000024970000}"/>
    <cellStyle name="Porcentual 2 3 2 3" xfId="38672" xr:uid="{00000000-0005-0000-0000-000025970000}"/>
    <cellStyle name="Porcentual 2 3 3" xfId="38673" xr:uid="{00000000-0005-0000-0000-000026970000}"/>
    <cellStyle name="Porcentual 2 3 4" xfId="38674" xr:uid="{00000000-0005-0000-0000-000027970000}"/>
    <cellStyle name="Porcentual 2 4" xfId="38675" xr:uid="{00000000-0005-0000-0000-000028970000}"/>
    <cellStyle name="Porcentual 2 4 2" xfId="38676" xr:uid="{00000000-0005-0000-0000-000029970000}"/>
    <cellStyle name="Porcentual 2 4 2 2" xfId="38677" xr:uid="{00000000-0005-0000-0000-00002A970000}"/>
    <cellStyle name="Porcentual 2 4 2 3" xfId="38678" xr:uid="{00000000-0005-0000-0000-00002B970000}"/>
    <cellStyle name="Porcentual 2 4 3" xfId="38679" xr:uid="{00000000-0005-0000-0000-00002C970000}"/>
    <cellStyle name="Porcentual 2 4 4" xfId="38680" xr:uid="{00000000-0005-0000-0000-00002D970000}"/>
    <cellStyle name="Porcentual 2 5" xfId="38681" xr:uid="{00000000-0005-0000-0000-00002E970000}"/>
    <cellStyle name="Porcentual 2 5 2" xfId="38682" xr:uid="{00000000-0005-0000-0000-00002F970000}"/>
    <cellStyle name="Porcentual 2 5 2 2" xfId="38683" xr:uid="{00000000-0005-0000-0000-000030970000}"/>
    <cellStyle name="Porcentual 2 5 2 3" xfId="38684" xr:uid="{00000000-0005-0000-0000-000031970000}"/>
    <cellStyle name="Porcentual 2 5 3" xfId="38685" xr:uid="{00000000-0005-0000-0000-000032970000}"/>
    <cellStyle name="Porcentual 2 5 4" xfId="38686" xr:uid="{00000000-0005-0000-0000-000033970000}"/>
    <cellStyle name="Salida 10" xfId="38687" xr:uid="{00000000-0005-0000-0000-000034970000}"/>
    <cellStyle name="Salida 11" xfId="38688" xr:uid="{00000000-0005-0000-0000-000035970000}"/>
    <cellStyle name="Salida 2" xfId="38689" xr:uid="{00000000-0005-0000-0000-000036970000}"/>
    <cellStyle name="Salida 2 2" xfId="38690" xr:uid="{00000000-0005-0000-0000-000037970000}"/>
    <cellStyle name="Salida 2 2 2" xfId="38691" xr:uid="{00000000-0005-0000-0000-000038970000}"/>
    <cellStyle name="Salida 2 2 3" xfId="38692" xr:uid="{00000000-0005-0000-0000-000039970000}"/>
    <cellStyle name="Salida 2 2 4" xfId="38693" xr:uid="{00000000-0005-0000-0000-00003A970000}"/>
    <cellStyle name="Salida 2 3" xfId="38694" xr:uid="{00000000-0005-0000-0000-00003B970000}"/>
    <cellStyle name="Salida 2 4" xfId="38695" xr:uid="{00000000-0005-0000-0000-00003C970000}"/>
    <cellStyle name="Salida 3" xfId="38696" xr:uid="{00000000-0005-0000-0000-00003D970000}"/>
    <cellStyle name="Salida 3 2" xfId="38697" xr:uid="{00000000-0005-0000-0000-00003E970000}"/>
    <cellStyle name="Salida 3 2 2" xfId="38698" xr:uid="{00000000-0005-0000-0000-00003F970000}"/>
    <cellStyle name="Salida 3 2 3" xfId="38699" xr:uid="{00000000-0005-0000-0000-000040970000}"/>
    <cellStyle name="Salida 3 3" xfId="38700" xr:uid="{00000000-0005-0000-0000-000041970000}"/>
    <cellStyle name="Salida 3 4" xfId="38701" xr:uid="{00000000-0005-0000-0000-000042970000}"/>
    <cellStyle name="Salida 4" xfId="38702" xr:uid="{00000000-0005-0000-0000-000043970000}"/>
    <cellStyle name="Salida 4 2" xfId="38703" xr:uid="{00000000-0005-0000-0000-000044970000}"/>
    <cellStyle name="Salida 4 2 2" xfId="38704" xr:uid="{00000000-0005-0000-0000-000045970000}"/>
    <cellStyle name="Salida 4 2 3" xfId="38705" xr:uid="{00000000-0005-0000-0000-000046970000}"/>
    <cellStyle name="Salida 4 3" xfId="38706" xr:uid="{00000000-0005-0000-0000-000047970000}"/>
    <cellStyle name="Salida 4 4" xfId="38707" xr:uid="{00000000-0005-0000-0000-000048970000}"/>
    <cellStyle name="Salida 5" xfId="38708" xr:uid="{00000000-0005-0000-0000-000049970000}"/>
    <cellStyle name="Salida 5 2" xfId="38709" xr:uid="{00000000-0005-0000-0000-00004A970000}"/>
    <cellStyle name="Salida 5 2 2" xfId="38710" xr:uid="{00000000-0005-0000-0000-00004B970000}"/>
    <cellStyle name="Salida 5 2 3" xfId="38711" xr:uid="{00000000-0005-0000-0000-00004C970000}"/>
    <cellStyle name="Salida 5 3" xfId="38712" xr:uid="{00000000-0005-0000-0000-00004D970000}"/>
    <cellStyle name="Salida 5 4" xfId="38713" xr:uid="{00000000-0005-0000-0000-00004E970000}"/>
    <cellStyle name="Salida 6" xfId="38714" xr:uid="{00000000-0005-0000-0000-00004F970000}"/>
    <cellStyle name="Salida 6 2" xfId="38715" xr:uid="{00000000-0005-0000-0000-000050970000}"/>
    <cellStyle name="Salida 6 2 2" xfId="38716" xr:uid="{00000000-0005-0000-0000-000051970000}"/>
    <cellStyle name="Salida 6 2 3" xfId="38717" xr:uid="{00000000-0005-0000-0000-000052970000}"/>
    <cellStyle name="Salida 6 3" xfId="38718" xr:uid="{00000000-0005-0000-0000-000053970000}"/>
    <cellStyle name="Salida 6 4" xfId="38719" xr:uid="{00000000-0005-0000-0000-000054970000}"/>
    <cellStyle name="Salida 7" xfId="38720" xr:uid="{00000000-0005-0000-0000-000055970000}"/>
    <cellStyle name="Salida 7 2" xfId="38721" xr:uid="{00000000-0005-0000-0000-000056970000}"/>
    <cellStyle name="Salida 7 2 2" xfId="38722" xr:uid="{00000000-0005-0000-0000-000057970000}"/>
    <cellStyle name="Salida 7 2 3" xfId="38723" xr:uid="{00000000-0005-0000-0000-000058970000}"/>
    <cellStyle name="Salida 7 3" xfId="38724" xr:uid="{00000000-0005-0000-0000-000059970000}"/>
    <cellStyle name="Salida 7 4" xfId="38725" xr:uid="{00000000-0005-0000-0000-00005A970000}"/>
    <cellStyle name="Salida 8" xfId="38726" xr:uid="{00000000-0005-0000-0000-00005B970000}"/>
    <cellStyle name="Salida 8 2" xfId="38727" xr:uid="{00000000-0005-0000-0000-00005C970000}"/>
    <cellStyle name="Salida 8 2 2" xfId="38728" xr:uid="{00000000-0005-0000-0000-00005D970000}"/>
    <cellStyle name="Salida 8 2 3" xfId="38729" xr:uid="{00000000-0005-0000-0000-00005E970000}"/>
    <cellStyle name="Salida 8 3" xfId="38730" xr:uid="{00000000-0005-0000-0000-00005F970000}"/>
    <cellStyle name="Salida 8 4" xfId="38731" xr:uid="{00000000-0005-0000-0000-000060970000}"/>
    <cellStyle name="Salida 9" xfId="38732" xr:uid="{00000000-0005-0000-0000-000061970000}"/>
    <cellStyle name="Salida 9 2" xfId="38733" xr:uid="{00000000-0005-0000-0000-000062970000}"/>
    <cellStyle name="Salida 9 3" xfId="38734" xr:uid="{00000000-0005-0000-0000-000063970000}"/>
    <cellStyle name="TableStyleLight1" xfId="38735" xr:uid="{00000000-0005-0000-0000-000064970000}"/>
    <cellStyle name="TableStyleLight1 2" xfId="38736" xr:uid="{00000000-0005-0000-0000-000065970000}"/>
    <cellStyle name="TableStyleLight1 2 2" xfId="38737" xr:uid="{00000000-0005-0000-0000-000066970000}"/>
    <cellStyle name="TableStyleLight1 2 3" xfId="38738" xr:uid="{00000000-0005-0000-0000-000067970000}"/>
    <cellStyle name="TableStyleLight1 3" xfId="38739" xr:uid="{00000000-0005-0000-0000-000068970000}"/>
    <cellStyle name="TableStyleLight1 4" xfId="38740" xr:uid="{00000000-0005-0000-0000-000069970000}"/>
    <cellStyle name="Texto de advertencia 10" xfId="38741" xr:uid="{00000000-0005-0000-0000-00006A970000}"/>
    <cellStyle name="Texto de advertencia 10 2" xfId="38742" xr:uid="{00000000-0005-0000-0000-00006B970000}"/>
    <cellStyle name="Texto de advertencia 10 3" xfId="38743" xr:uid="{00000000-0005-0000-0000-00006C970000}"/>
    <cellStyle name="Texto de advertencia 11" xfId="38744" xr:uid="{00000000-0005-0000-0000-00006D970000}"/>
    <cellStyle name="Texto de advertencia 12" xfId="38745" xr:uid="{00000000-0005-0000-0000-00006E970000}"/>
    <cellStyle name="Texto de advertencia 2" xfId="38746" xr:uid="{00000000-0005-0000-0000-00006F970000}"/>
    <cellStyle name="Texto de advertencia 2 2" xfId="38747" xr:uid="{00000000-0005-0000-0000-000070970000}"/>
    <cellStyle name="Texto de advertencia 2 2 2" xfId="38748" xr:uid="{00000000-0005-0000-0000-000071970000}"/>
    <cellStyle name="Texto de advertencia 2 2 2 2" xfId="38749" xr:uid="{00000000-0005-0000-0000-000072970000}"/>
    <cellStyle name="Texto de advertencia 2 2 2 2 2" xfId="38750" xr:uid="{00000000-0005-0000-0000-000073970000}"/>
    <cellStyle name="Texto de advertencia 2 2 2 2 2 2" xfId="38751" xr:uid="{00000000-0005-0000-0000-000074970000}"/>
    <cellStyle name="Texto de advertencia 2 2 2 2 2 2 2" xfId="38752" xr:uid="{00000000-0005-0000-0000-000075970000}"/>
    <cellStyle name="Texto de advertencia 2 2 2 2 2 2 3" xfId="38753" xr:uid="{00000000-0005-0000-0000-000076970000}"/>
    <cellStyle name="Texto de advertencia 2 2 2 2 2 3" xfId="38754" xr:uid="{00000000-0005-0000-0000-000077970000}"/>
    <cellStyle name="Texto de advertencia 2 2 2 2 2 4" xfId="38755" xr:uid="{00000000-0005-0000-0000-000078970000}"/>
    <cellStyle name="Texto de advertencia 2 2 2 2 3" xfId="38756" xr:uid="{00000000-0005-0000-0000-000079970000}"/>
    <cellStyle name="Texto de advertencia 2 2 2 2 3 2" xfId="38757" xr:uid="{00000000-0005-0000-0000-00007A970000}"/>
    <cellStyle name="Texto de advertencia 2 2 2 2 3 3" xfId="38758" xr:uid="{00000000-0005-0000-0000-00007B970000}"/>
    <cellStyle name="Texto de advertencia 2 2 2 2 4" xfId="38759" xr:uid="{00000000-0005-0000-0000-00007C970000}"/>
    <cellStyle name="Texto de advertencia 2 2 2 2 5" xfId="38760" xr:uid="{00000000-0005-0000-0000-00007D970000}"/>
    <cellStyle name="Texto de advertencia 2 2 2 3" xfId="38761" xr:uid="{00000000-0005-0000-0000-00007E970000}"/>
    <cellStyle name="Texto de advertencia 2 2 2 3 2" xfId="38762" xr:uid="{00000000-0005-0000-0000-00007F970000}"/>
    <cellStyle name="Texto de advertencia 2 2 2 3 3" xfId="38763" xr:uid="{00000000-0005-0000-0000-000080970000}"/>
    <cellStyle name="Texto de advertencia 2 2 2 4" xfId="38764" xr:uid="{00000000-0005-0000-0000-000081970000}"/>
    <cellStyle name="Texto de advertencia 2 2 2 5" xfId="38765" xr:uid="{00000000-0005-0000-0000-000082970000}"/>
    <cellStyle name="Texto de advertencia 2 2 3" xfId="38766" xr:uid="{00000000-0005-0000-0000-000083970000}"/>
    <cellStyle name="Texto de advertencia 2 2 3 2" xfId="38767" xr:uid="{00000000-0005-0000-0000-000084970000}"/>
    <cellStyle name="Texto de advertencia 2 2 3 2 2" xfId="38768" xr:uid="{00000000-0005-0000-0000-000085970000}"/>
    <cellStyle name="Texto de advertencia 2 2 3 2 3" xfId="38769" xr:uid="{00000000-0005-0000-0000-000086970000}"/>
    <cellStyle name="Texto de advertencia 2 2 3 3" xfId="38770" xr:uid="{00000000-0005-0000-0000-000087970000}"/>
    <cellStyle name="Texto de advertencia 2 2 3 4" xfId="38771" xr:uid="{00000000-0005-0000-0000-000088970000}"/>
    <cellStyle name="Texto de advertencia 2 2 4" xfId="38772" xr:uid="{00000000-0005-0000-0000-000089970000}"/>
    <cellStyle name="Texto de advertencia 2 2 4 2" xfId="38773" xr:uid="{00000000-0005-0000-0000-00008A970000}"/>
    <cellStyle name="Texto de advertencia 2 2 4 2 2" xfId="38774" xr:uid="{00000000-0005-0000-0000-00008B970000}"/>
    <cellStyle name="Texto de advertencia 2 2 4 2 3" xfId="38775" xr:uid="{00000000-0005-0000-0000-00008C970000}"/>
    <cellStyle name="Texto de advertencia 2 2 4 3" xfId="38776" xr:uid="{00000000-0005-0000-0000-00008D970000}"/>
    <cellStyle name="Texto de advertencia 2 2 4 4" xfId="38777" xr:uid="{00000000-0005-0000-0000-00008E970000}"/>
    <cellStyle name="Texto de advertencia 2 2 5" xfId="38778" xr:uid="{00000000-0005-0000-0000-00008F970000}"/>
    <cellStyle name="Texto de advertencia 2 2 5 2" xfId="38779" xr:uid="{00000000-0005-0000-0000-000090970000}"/>
    <cellStyle name="Texto de advertencia 2 2 5 3" xfId="38780" xr:uid="{00000000-0005-0000-0000-000091970000}"/>
    <cellStyle name="Texto de advertencia 2 2 6" xfId="38781" xr:uid="{00000000-0005-0000-0000-000092970000}"/>
    <cellStyle name="Texto de advertencia 2 2 7" xfId="38782" xr:uid="{00000000-0005-0000-0000-000093970000}"/>
    <cellStyle name="Texto de advertencia 2 3" xfId="38783" xr:uid="{00000000-0005-0000-0000-000094970000}"/>
    <cellStyle name="Texto de advertencia 2 3 2" xfId="38784" xr:uid="{00000000-0005-0000-0000-000095970000}"/>
    <cellStyle name="Texto de advertencia 2 3 2 2" xfId="38785" xr:uid="{00000000-0005-0000-0000-000096970000}"/>
    <cellStyle name="Texto de advertencia 2 3 2 3" xfId="38786" xr:uid="{00000000-0005-0000-0000-000097970000}"/>
    <cellStyle name="Texto de advertencia 2 3 3" xfId="38787" xr:uid="{00000000-0005-0000-0000-000098970000}"/>
    <cellStyle name="Texto de advertencia 2 3 4" xfId="38788" xr:uid="{00000000-0005-0000-0000-000099970000}"/>
    <cellStyle name="Texto de advertencia 2 4" xfId="38789" xr:uid="{00000000-0005-0000-0000-00009A970000}"/>
    <cellStyle name="Texto de advertencia 2 4 2" xfId="38790" xr:uid="{00000000-0005-0000-0000-00009B970000}"/>
    <cellStyle name="Texto de advertencia 2 4 2 2" xfId="38791" xr:uid="{00000000-0005-0000-0000-00009C970000}"/>
    <cellStyle name="Texto de advertencia 2 4 2 3" xfId="38792" xr:uid="{00000000-0005-0000-0000-00009D970000}"/>
    <cellStyle name="Texto de advertencia 2 4 3" xfId="38793" xr:uid="{00000000-0005-0000-0000-00009E970000}"/>
    <cellStyle name="Texto de advertencia 2 4 4" xfId="38794" xr:uid="{00000000-0005-0000-0000-00009F970000}"/>
    <cellStyle name="Texto de advertencia 2 5" xfId="38795" xr:uid="{00000000-0005-0000-0000-0000A0970000}"/>
    <cellStyle name="Texto de advertencia 2 5 2" xfId="38796" xr:uid="{00000000-0005-0000-0000-0000A1970000}"/>
    <cellStyle name="Texto de advertencia 2 5 3" xfId="38797" xr:uid="{00000000-0005-0000-0000-0000A2970000}"/>
    <cellStyle name="Texto de advertencia 2 6" xfId="38798" xr:uid="{00000000-0005-0000-0000-0000A3970000}"/>
    <cellStyle name="Texto de advertencia 2 7" xfId="38799" xr:uid="{00000000-0005-0000-0000-0000A4970000}"/>
    <cellStyle name="Texto de advertencia 3" xfId="38800" xr:uid="{00000000-0005-0000-0000-0000A5970000}"/>
    <cellStyle name="Texto de advertencia 3 2" xfId="38801" xr:uid="{00000000-0005-0000-0000-0000A6970000}"/>
    <cellStyle name="Texto de advertencia 3 2 2" xfId="38802" xr:uid="{00000000-0005-0000-0000-0000A7970000}"/>
    <cellStyle name="Texto de advertencia 3 2 3" xfId="38803" xr:uid="{00000000-0005-0000-0000-0000A8970000}"/>
    <cellStyle name="Texto de advertencia 3 3" xfId="38804" xr:uid="{00000000-0005-0000-0000-0000A9970000}"/>
    <cellStyle name="Texto de advertencia 3 4" xfId="38805" xr:uid="{00000000-0005-0000-0000-0000AA970000}"/>
    <cellStyle name="Texto de advertencia 4" xfId="38806" xr:uid="{00000000-0005-0000-0000-0000AB970000}"/>
    <cellStyle name="Texto de advertencia 4 2" xfId="38807" xr:uid="{00000000-0005-0000-0000-0000AC970000}"/>
    <cellStyle name="Texto de advertencia 4 2 2" xfId="38808" xr:uid="{00000000-0005-0000-0000-0000AD970000}"/>
    <cellStyle name="Texto de advertencia 4 2 3" xfId="38809" xr:uid="{00000000-0005-0000-0000-0000AE970000}"/>
    <cellStyle name="Texto de advertencia 4 3" xfId="38810" xr:uid="{00000000-0005-0000-0000-0000AF970000}"/>
    <cellStyle name="Texto de advertencia 4 4" xfId="38811" xr:uid="{00000000-0005-0000-0000-0000B0970000}"/>
    <cellStyle name="Texto de advertencia 5" xfId="38812" xr:uid="{00000000-0005-0000-0000-0000B1970000}"/>
    <cellStyle name="Texto de advertencia 5 2" xfId="38813" xr:uid="{00000000-0005-0000-0000-0000B2970000}"/>
    <cellStyle name="Texto de advertencia 5 2 2" xfId="38814" xr:uid="{00000000-0005-0000-0000-0000B3970000}"/>
    <cellStyle name="Texto de advertencia 5 2 3" xfId="38815" xr:uid="{00000000-0005-0000-0000-0000B4970000}"/>
    <cellStyle name="Texto de advertencia 5 3" xfId="38816" xr:uid="{00000000-0005-0000-0000-0000B5970000}"/>
    <cellStyle name="Texto de advertencia 5 4" xfId="38817" xr:uid="{00000000-0005-0000-0000-0000B6970000}"/>
    <cellStyle name="Texto de advertencia 6" xfId="38818" xr:uid="{00000000-0005-0000-0000-0000B7970000}"/>
    <cellStyle name="Texto de advertencia 6 2" xfId="38819" xr:uid="{00000000-0005-0000-0000-0000B8970000}"/>
    <cellStyle name="Texto de advertencia 6 2 2" xfId="38820" xr:uid="{00000000-0005-0000-0000-0000B9970000}"/>
    <cellStyle name="Texto de advertencia 6 2 3" xfId="38821" xr:uid="{00000000-0005-0000-0000-0000BA970000}"/>
    <cellStyle name="Texto de advertencia 6 3" xfId="38822" xr:uid="{00000000-0005-0000-0000-0000BB970000}"/>
    <cellStyle name="Texto de advertencia 6 4" xfId="38823" xr:uid="{00000000-0005-0000-0000-0000BC970000}"/>
    <cellStyle name="Texto de advertencia 7" xfId="38824" xr:uid="{00000000-0005-0000-0000-0000BD970000}"/>
    <cellStyle name="Texto de advertencia 7 2" xfId="38825" xr:uid="{00000000-0005-0000-0000-0000BE970000}"/>
    <cellStyle name="Texto de advertencia 7 2 2" xfId="38826" xr:uid="{00000000-0005-0000-0000-0000BF970000}"/>
    <cellStyle name="Texto de advertencia 7 2 3" xfId="38827" xr:uid="{00000000-0005-0000-0000-0000C0970000}"/>
    <cellStyle name="Texto de advertencia 7 3" xfId="38828" xr:uid="{00000000-0005-0000-0000-0000C1970000}"/>
    <cellStyle name="Texto de advertencia 7 4" xfId="38829" xr:uid="{00000000-0005-0000-0000-0000C2970000}"/>
    <cellStyle name="Texto de advertencia 8" xfId="38830" xr:uid="{00000000-0005-0000-0000-0000C3970000}"/>
    <cellStyle name="Texto de advertencia 8 2" xfId="38831" xr:uid="{00000000-0005-0000-0000-0000C4970000}"/>
    <cellStyle name="Texto de advertencia 8 2 2" xfId="38832" xr:uid="{00000000-0005-0000-0000-0000C5970000}"/>
    <cellStyle name="Texto de advertencia 8 2 3" xfId="38833" xr:uid="{00000000-0005-0000-0000-0000C6970000}"/>
    <cellStyle name="Texto de advertencia 8 3" xfId="38834" xr:uid="{00000000-0005-0000-0000-0000C7970000}"/>
    <cellStyle name="Texto de advertencia 8 4" xfId="38835" xr:uid="{00000000-0005-0000-0000-0000C8970000}"/>
    <cellStyle name="Texto de advertencia 9" xfId="38836" xr:uid="{00000000-0005-0000-0000-0000C9970000}"/>
    <cellStyle name="Texto de advertencia 9 2" xfId="38837" xr:uid="{00000000-0005-0000-0000-0000CA970000}"/>
    <cellStyle name="Texto de advertencia 9 2 2" xfId="38838" xr:uid="{00000000-0005-0000-0000-0000CB970000}"/>
    <cellStyle name="Texto de advertencia 9 2 3" xfId="38839" xr:uid="{00000000-0005-0000-0000-0000CC970000}"/>
    <cellStyle name="Texto de advertencia 9 3" xfId="38840" xr:uid="{00000000-0005-0000-0000-0000CD970000}"/>
    <cellStyle name="Texto de advertencia 9 4" xfId="38841" xr:uid="{00000000-0005-0000-0000-0000CE970000}"/>
    <cellStyle name="Texto explicativo 10" xfId="38842" xr:uid="{00000000-0005-0000-0000-0000CF970000}"/>
    <cellStyle name="Texto explicativo 11" xfId="38843" xr:uid="{00000000-0005-0000-0000-0000D0970000}"/>
    <cellStyle name="Texto explicativo 2" xfId="38844" xr:uid="{00000000-0005-0000-0000-0000D1970000}"/>
    <cellStyle name="Texto explicativo 2 2" xfId="38845" xr:uid="{00000000-0005-0000-0000-0000D2970000}"/>
    <cellStyle name="Texto explicativo 2 2 2" xfId="38846" xr:uid="{00000000-0005-0000-0000-0000D3970000}"/>
    <cellStyle name="Texto explicativo 2 2 3" xfId="38847" xr:uid="{00000000-0005-0000-0000-0000D4970000}"/>
    <cellStyle name="Texto explicativo 2 2 4" xfId="38848" xr:uid="{00000000-0005-0000-0000-0000D5970000}"/>
    <cellStyle name="Texto explicativo 2 3" xfId="38849" xr:uid="{00000000-0005-0000-0000-0000D6970000}"/>
    <cellStyle name="Texto explicativo 2 4" xfId="38850" xr:uid="{00000000-0005-0000-0000-0000D7970000}"/>
    <cellStyle name="Texto explicativo 3" xfId="38851" xr:uid="{00000000-0005-0000-0000-0000D8970000}"/>
    <cellStyle name="Texto explicativo 3 2" xfId="38852" xr:uid="{00000000-0005-0000-0000-0000D9970000}"/>
    <cellStyle name="Texto explicativo 3 2 2" xfId="38853" xr:uid="{00000000-0005-0000-0000-0000DA970000}"/>
    <cellStyle name="Texto explicativo 3 2 3" xfId="38854" xr:uid="{00000000-0005-0000-0000-0000DB970000}"/>
    <cellStyle name="Texto explicativo 3 3" xfId="38855" xr:uid="{00000000-0005-0000-0000-0000DC970000}"/>
    <cellStyle name="Texto explicativo 3 4" xfId="38856" xr:uid="{00000000-0005-0000-0000-0000DD970000}"/>
    <cellStyle name="Texto explicativo 4" xfId="38857" xr:uid="{00000000-0005-0000-0000-0000DE970000}"/>
    <cellStyle name="Texto explicativo 4 2" xfId="38858" xr:uid="{00000000-0005-0000-0000-0000DF970000}"/>
    <cellStyle name="Texto explicativo 4 2 2" xfId="38859" xr:uid="{00000000-0005-0000-0000-0000E0970000}"/>
    <cellStyle name="Texto explicativo 4 2 3" xfId="38860" xr:uid="{00000000-0005-0000-0000-0000E1970000}"/>
    <cellStyle name="Texto explicativo 4 3" xfId="38861" xr:uid="{00000000-0005-0000-0000-0000E2970000}"/>
    <cellStyle name="Texto explicativo 4 4" xfId="38862" xr:uid="{00000000-0005-0000-0000-0000E3970000}"/>
    <cellStyle name="Texto explicativo 5" xfId="38863" xr:uid="{00000000-0005-0000-0000-0000E4970000}"/>
    <cellStyle name="Texto explicativo 5 2" xfId="38864" xr:uid="{00000000-0005-0000-0000-0000E5970000}"/>
    <cellStyle name="Texto explicativo 5 2 2" xfId="38865" xr:uid="{00000000-0005-0000-0000-0000E6970000}"/>
    <cellStyle name="Texto explicativo 5 2 3" xfId="38866" xr:uid="{00000000-0005-0000-0000-0000E7970000}"/>
    <cellStyle name="Texto explicativo 5 3" xfId="38867" xr:uid="{00000000-0005-0000-0000-0000E8970000}"/>
    <cellStyle name="Texto explicativo 5 4" xfId="38868" xr:uid="{00000000-0005-0000-0000-0000E9970000}"/>
    <cellStyle name="Texto explicativo 6" xfId="38869" xr:uid="{00000000-0005-0000-0000-0000EA970000}"/>
    <cellStyle name="Texto explicativo 6 2" xfId="38870" xr:uid="{00000000-0005-0000-0000-0000EB970000}"/>
    <cellStyle name="Texto explicativo 6 2 2" xfId="38871" xr:uid="{00000000-0005-0000-0000-0000EC970000}"/>
    <cellStyle name="Texto explicativo 6 2 3" xfId="38872" xr:uid="{00000000-0005-0000-0000-0000ED970000}"/>
    <cellStyle name="Texto explicativo 6 3" xfId="38873" xr:uid="{00000000-0005-0000-0000-0000EE970000}"/>
    <cellStyle name="Texto explicativo 6 4" xfId="38874" xr:uid="{00000000-0005-0000-0000-0000EF970000}"/>
    <cellStyle name="Texto explicativo 7" xfId="38875" xr:uid="{00000000-0005-0000-0000-0000F0970000}"/>
    <cellStyle name="Texto explicativo 7 2" xfId="38876" xr:uid="{00000000-0005-0000-0000-0000F1970000}"/>
    <cellStyle name="Texto explicativo 7 2 2" xfId="38877" xr:uid="{00000000-0005-0000-0000-0000F2970000}"/>
    <cellStyle name="Texto explicativo 7 2 3" xfId="38878" xr:uid="{00000000-0005-0000-0000-0000F3970000}"/>
    <cellStyle name="Texto explicativo 7 3" xfId="38879" xr:uid="{00000000-0005-0000-0000-0000F4970000}"/>
    <cellStyle name="Texto explicativo 7 4" xfId="38880" xr:uid="{00000000-0005-0000-0000-0000F5970000}"/>
    <cellStyle name="Texto explicativo 8" xfId="38881" xr:uid="{00000000-0005-0000-0000-0000F6970000}"/>
    <cellStyle name="Texto explicativo 8 2" xfId="38882" xr:uid="{00000000-0005-0000-0000-0000F7970000}"/>
    <cellStyle name="Texto explicativo 8 2 2" xfId="38883" xr:uid="{00000000-0005-0000-0000-0000F8970000}"/>
    <cellStyle name="Texto explicativo 8 2 3" xfId="38884" xr:uid="{00000000-0005-0000-0000-0000F9970000}"/>
    <cellStyle name="Texto explicativo 8 3" xfId="38885" xr:uid="{00000000-0005-0000-0000-0000FA970000}"/>
    <cellStyle name="Texto explicativo 8 4" xfId="38886" xr:uid="{00000000-0005-0000-0000-0000FB970000}"/>
    <cellStyle name="Texto explicativo 9" xfId="38887" xr:uid="{00000000-0005-0000-0000-0000FC970000}"/>
    <cellStyle name="Texto explicativo 9 2" xfId="38888" xr:uid="{00000000-0005-0000-0000-0000FD970000}"/>
    <cellStyle name="Texto explicativo 9 3" xfId="38889" xr:uid="{00000000-0005-0000-0000-0000FE970000}"/>
    <cellStyle name="Title" xfId="38890" xr:uid="{00000000-0005-0000-0000-0000FF970000}"/>
    <cellStyle name="Title 2" xfId="38891" xr:uid="{00000000-0005-0000-0000-000000980000}"/>
    <cellStyle name="Title 2 2" xfId="38892" xr:uid="{00000000-0005-0000-0000-000001980000}"/>
    <cellStyle name="Title 2 2 2" xfId="38893" xr:uid="{00000000-0005-0000-0000-000002980000}"/>
    <cellStyle name="Title 2 2 3" xfId="38894" xr:uid="{00000000-0005-0000-0000-000003980000}"/>
    <cellStyle name="Title 2 3" xfId="38895" xr:uid="{00000000-0005-0000-0000-000004980000}"/>
    <cellStyle name="Title 2 4" xfId="38896" xr:uid="{00000000-0005-0000-0000-000005980000}"/>
    <cellStyle name="Title 3" xfId="38897" xr:uid="{00000000-0005-0000-0000-000006980000}"/>
    <cellStyle name="Title 3 2" xfId="38898" xr:uid="{00000000-0005-0000-0000-000007980000}"/>
    <cellStyle name="Title 3 2 2" xfId="38899" xr:uid="{00000000-0005-0000-0000-000008980000}"/>
    <cellStyle name="Title 3 2 3" xfId="38900" xr:uid="{00000000-0005-0000-0000-000009980000}"/>
    <cellStyle name="Title 3 3" xfId="38901" xr:uid="{00000000-0005-0000-0000-00000A980000}"/>
    <cellStyle name="Title 3 4" xfId="38902" xr:uid="{00000000-0005-0000-0000-00000B980000}"/>
    <cellStyle name="Title 4" xfId="38903" xr:uid="{00000000-0005-0000-0000-00000C980000}"/>
    <cellStyle name="Title 4 2" xfId="38904" xr:uid="{00000000-0005-0000-0000-00000D980000}"/>
    <cellStyle name="Title 4 2 2" xfId="38905" xr:uid="{00000000-0005-0000-0000-00000E980000}"/>
    <cellStyle name="Title 4 2 3" xfId="38906" xr:uid="{00000000-0005-0000-0000-00000F980000}"/>
    <cellStyle name="Title 4 3" xfId="38907" xr:uid="{00000000-0005-0000-0000-000010980000}"/>
    <cellStyle name="Title 4 4" xfId="38908" xr:uid="{00000000-0005-0000-0000-000011980000}"/>
    <cellStyle name="Title 5" xfId="38909" xr:uid="{00000000-0005-0000-0000-000012980000}"/>
    <cellStyle name="Title 5 2" xfId="38910" xr:uid="{00000000-0005-0000-0000-000013980000}"/>
    <cellStyle name="Title 5 2 2" xfId="38911" xr:uid="{00000000-0005-0000-0000-000014980000}"/>
    <cellStyle name="Title 5 2 3" xfId="38912" xr:uid="{00000000-0005-0000-0000-000015980000}"/>
    <cellStyle name="Title 5 3" xfId="38913" xr:uid="{00000000-0005-0000-0000-000016980000}"/>
    <cellStyle name="Title 5 4" xfId="38914" xr:uid="{00000000-0005-0000-0000-000017980000}"/>
    <cellStyle name="Title 6" xfId="38915" xr:uid="{00000000-0005-0000-0000-000018980000}"/>
    <cellStyle name="Title 6 2" xfId="38916" xr:uid="{00000000-0005-0000-0000-000019980000}"/>
    <cellStyle name="Title 6 3" xfId="38917" xr:uid="{00000000-0005-0000-0000-00001A980000}"/>
    <cellStyle name="Title 7" xfId="38918" xr:uid="{00000000-0005-0000-0000-00001B980000}"/>
    <cellStyle name="Title 8" xfId="38919" xr:uid="{00000000-0005-0000-0000-00001C980000}"/>
    <cellStyle name="Título 1 10" xfId="38920" xr:uid="{00000000-0005-0000-0000-00001D980000}"/>
    <cellStyle name="Título 1 11" xfId="38921" xr:uid="{00000000-0005-0000-0000-00001E980000}"/>
    <cellStyle name="Título 1 2" xfId="38922" xr:uid="{00000000-0005-0000-0000-00001F980000}"/>
    <cellStyle name="Título 1 2 2" xfId="38923" xr:uid="{00000000-0005-0000-0000-000020980000}"/>
    <cellStyle name="Título 1 2 2 2" xfId="38924" xr:uid="{00000000-0005-0000-0000-000021980000}"/>
    <cellStyle name="Título 1 2 2 3" xfId="38925" xr:uid="{00000000-0005-0000-0000-000022980000}"/>
    <cellStyle name="Título 1 2 3" xfId="38926" xr:uid="{00000000-0005-0000-0000-000023980000}"/>
    <cellStyle name="Título 1 2 4" xfId="38927" xr:uid="{00000000-0005-0000-0000-000024980000}"/>
    <cellStyle name="Título 1 3" xfId="38928" xr:uid="{00000000-0005-0000-0000-000025980000}"/>
    <cellStyle name="Título 1 3 2" xfId="38929" xr:uid="{00000000-0005-0000-0000-000026980000}"/>
    <cellStyle name="Título 1 3 2 2" xfId="38930" xr:uid="{00000000-0005-0000-0000-000027980000}"/>
    <cellStyle name="Título 1 3 2 3" xfId="38931" xr:uid="{00000000-0005-0000-0000-000028980000}"/>
    <cellStyle name="Título 1 3 3" xfId="38932" xr:uid="{00000000-0005-0000-0000-000029980000}"/>
    <cellStyle name="Título 1 3 4" xfId="38933" xr:uid="{00000000-0005-0000-0000-00002A980000}"/>
    <cellStyle name="Título 1 4" xfId="38934" xr:uid="{00000000-0005-0000-0000-00002B980000}"/>
    <cellStyle name="Título 1 4 2" xfId="38935" xr:uid="{00000000-0005-0000-0000-00002C980000}"/>
    <cellStyle name="Título 1 4 2 2" xfId="38936" xr:uid="{00000000-0005-0000-0000-00002D980000}"/>
    <cellStyle name="Título 1 4 2 3" xfId="38937" xr:uid="{00000000-0005-0000-0000-00002E980000}"/>
    <cellStyle name="Título 1 4 3" xfId="38938" xr:uid="{00000000-0005-0000-0000-00002F980000}"/>
    <cellStyle name="Título 1 4 4" xfId="38939" xr:uid="{00000000-0005-0000-0000-000030980000}"/>
    <cellStyle name="Título 1 5" xfId="38940" xr:uid="{00000000-0005-0000-0000-000031980000}"/>
    <cellStyle name="Título 1 5 2" xfId="38941" xr:uid="{00000000-0005-0000-0000-000032980000}"/>
    <cellStyle name="Título 1 5 2 2" xfId="38942" xr:uid="{00000000-0005-0000-0000-000033980000}"/>
    <cellStyle name="Título 1 5 2 3" xfId="38943" xr:uid="{00000000-0005-0000-0000-000034980000}"/>
    <cellStyle name="Título 1 5 3" xfId="38944" xr:uid="{00000000-0005-0000-0000-000035980000}"/>
    <cellStyle name="Título 1 5 4" xfId="38945" xr:uid="{00000000-0005-0000-0000-000036980000}"/>
    <cellStyle name="Título 1 6" xfId="38946" xr:uid="{00000000-0005-0000-0000-000037980000}"/>
    <cellStyle name="Título 1 6 2" xfId="38947" xr:uid="{00000000-0005-0000-0000-000038980000}"/>
    <cellStyle name="Título 1 6 2 2" xfId="38948" xr:uid="{00000000-0005-0000-0000-000039980000}"/>
    <cellStyle name="Título 1 6 2 3" xfId="38949" xr:uid="{00000000-0005-0000-0000-00003A980000}"/>
    <cellStyle name="Título 1 6 3" xfId="38950" xr:uid="{00000000-0005-0000-0000-00003B980000}"/>
    <cellStyle name="Título 1 6 4" xfId="38951" xr:uid="{00000000-0005-0000-0000-00003C980000}"/>
    <cellStyle name="Título 1 7" xfId="38952" xr:uid="{00000000-0005-0000-0000-00003D980000}"/>
    <cellStyle name="Título 1 7 2" xfId="38953" xr:uid="{00000000-0005-0000-0000-00003E980000}"/>
    <cellStyle name="Título 1 7 2 2" xfId="38954" xr:uid="{00000000-0005-0000-0000-00003F980000}"/>
    <cellStyle name="Título 1 7 2 3" xfId="38955" xr:uid="{00000000-0005-0000-0000-000040980000}"/>
    <cellStyle name="Título 1 7 3" xfId="38956" xr:uid="{00000000-0005-0000-0000-000041980000}"/>
    <cellStyle name="Título 1 7 4" xfId="38957" xr:uid="{00000000-0005-0000-0000-000042980000}"/>
    <cellStyle name="Título 1 8" xfId="38958" xr:uid="{00000000-0005-0000-0000-000043980000}"/>
    <cellStyle name="Título 1 8 2" xfId="38959" xr:uid="{00000000-0005-0000-0000-000044980000}"/>
    <cellStyle name="Título 1 8 2 2" xfId="38960" xr:uid="{00000000-0005-0000-0000-000045980000}"/>
    <cellStyle name="Título 1 8 2 3" xfId="38961" xr:uid="{00000000-0005-0000-0000-000046980000}"/>
    <cellStyle name="Título 1 8 3" xfId="38962" xr:uid="{00000000-0005-0000-0000-000047980000}"/>
    <cellStyle name="Título 1 8 4" xfId="38963" xr:uid="{00000000-0005-0000-0000-000048980000}"/>
    <cellStyle name="Título 1 9" xfId="38964" xr:uid="{00000000-0005-0000-0000-000049980000}"/>
    <cellStyle name="Título 1 9 2" xfId="38965" xr:uid="{00000000-0005-0000-0000-00004A980000}"/>
    <cellStyle name="Título 1 9 3" xfId="38966" xr:uid="{00000000-0005-0000-0000-00004B980000}"/>
    <cellStyle name="Título 10" xfId="38967" xr:uid="{00000000-0005-0000-0000-00004C980000}"/>
    <cellStyle name="Título 10 2" xfId="38968" xr:uid="{00000000-0005-0000-0000-00004D980000}"/>
    <cellStyle name="Título 10 2 2" xfId="38969" xr:uid="{00000000-0005-0000-0000-00004E980000}"/>
    <cellStyle name="Título 10 2 3" xfId="38970" xr:uid="{00000000-0005-0000-0000-00004F980000}"/>
    <cellStyle name="Título 10 3" xfId="38971" xr:uid="{00000000-0005-0000-0000-000050980000}"/>
    <cellStyle name="Título 10 4" xfId="38972" xr:uid="{00000000-0005-0000-0000-000051980000}"/>
    <cellStyle name="Título 11" xfId="38973" xr:uid="{00000000-0005-0000-0000-000052980000}"/>
    <cellStyle name="Título 11 2" xfId="38974" xr:uid="{00000000-0005-0000-0000-000053980000}"/>
    <cellStyle name="Título 11 3" xfId="38975" xr:uid="{00000000-0005-0000-0000-000054980000}"/>
    <cellStyle name="Título 12" xfId="38976" xr:uid="{00000000-0005-0000-0000-000055980000}"/>
    <cellStyle name="Título 13" xfId="38977" xr:uid="{00000000-0005-0000-0000-000056980000}"/>
    <cellStyle name="Título 2 10" xfId="38978" xr:uid="{00000000-0005-0000-0000-000057980000}"/>
    <cellStyle name="Título 2 11" xfId="38979" xr:uid="{00000000-0005-0000-0000-000058980000}"/>
    <cellStyle name="Título 2 2" xfId="38980" xr:uid="{00000000-0005-0000-0000-000059980000}"/>
    <cellStyle name="Título 2 2 2" xfId="38981" xr:uid="{00000000-0005-0000-0000-00005A980000}"/>
    <cellStyle name="Título 2 2 2 2" xfId="38982" xr:uid="{00000000-0005-0000-0000-00005B980000}"/>
    <cellStyle name="Título 2 2 2 3" xfId="38983" xr:uid="{00000000-0005-0000-0000-00005C980000}"/>
    <cellStyle name="Título 2 2 2 4" xfId="38984" xr:uid="{00000000-0005-0000-0000-00005D980000}"/>
    <cellStyle name="Título 2 2 3" xfId="38985" xr:uid="{00000000-0005-0000-0000-00005E980000}"/>
    <cellStyle name="Título 2 2 4" xfId="38986" xr:uid="{00000000-0005-0000-0000-00005F980000}"/>
    <cellStyle name="Título 2 3" xfId="38987" xr:uid="{00000000-0005-0000-0000-000060980000}"/>
    <cellStyle name="Título 2 3 2" xfId="38988" xr:uid="{00000000-0005-0000-0000-000061980000}"/>
    <cellStyle name="Título 2 3 2 2" xfId="38989" xr:uid="{00000000-0005-0000-0000-000062980000}"/>
    <cellStyle name="Título 2 3 2 3" xfId="38990" xr:uid="{00000000-0005-0000-0000-000063980000}"/>
    <cellStyle name="Título 2 3 3" xfId="38991" xr:uid="{00000000-0005-0000-0000-000064980000}"/>
    <cellStyle name="Título 2 3 4" xfId="38992" xr:uid="{00000000-0005-0000-0000-000065980000}"/>
    <cellStyle name="Título 2 4" xfId="38993" xr:uid="{00000000-0005-0000-0000-000066980000}"/>
    <cellStyle name="Título 2 4 2" xfId="38994" xr:uid="{00000000-0005-0000-0000-000067980000}"/>
    <cellStyle name="Título 2 4 2 2" xfId="38995" xr:uid="{00000000-0005-0000-0000-000068980000}"/>
    <cellStyle name="Título 2 4 2 3" xfId="38996" xr:uid="{00000000-0005-0000-0000-000069980000}"/>
    <cellStyle name="Título 2 4 3" xfId="38997" xr:uid="{00000000-0005-0000-0000-00006A980000}"/>
    <cellStyle name="Título 2 4 4" xfId="38998" xr:uid="{00000000-0005-0000-0000-00006B980000}"/>
    <cellStyle name="Título 2 5" xfId="38999" xr:uid="{00000000-0005-0000-0000-00006C980000}"/>
    <cellStyle name="Título 2 5 2" xfId="39000" xr:uid="{00000000-0005-0000-0000-00006D980000}"/>
    <cellStyle name="Título 2 5 2 2" xfId="39001" xr:uid="{00000000-0005-0000-0000-00006E980000}"/>
    <cellStyle name="Título 2 5 2 3" xfId="39002" xr:uid="{00000000-0005-0000-0000-00006F980000}"/>
    <cellStyle name="Título 2 5 3" xfId="39003" xr:uid="{00000000-0005-0000-0000-000070980000}"/>
    <cellStyle name="Título 2 5 4" xfId="39004" xr:uid="{00000000-0005-0000-0000-000071980000}"/>
    <cellStyle name="Título 2 6" xfId="39005" xr:uid="{00000000-0005-0000-0000-000072980000}"/>
    <cellStyle name="Título 2 6 2" xfId="39006" xr:uid="{00000000-0005-0000-0000-000073980000}"/>
    <cellStyle name="Título 2 6 2 2" xfId="39007" xr:uid="{00000000-0005-0000-0000-000074980000}"/>
    <cellStyle name="Título 2 6 2 3" xfId="39008" xr:uid="{00000000-0005-0000-0000-000075980000}"/>
    <cellStyle name="Título 2 6 3" xfId="39009" xr:uid="{00000000-0005-0000-0000-000076980000}"/>
    <cellStyle name="Título 2 6 4" xfId="39010" xr:uid="{00000000-0005-0000-0000-000077980000}"/>
    <cellStyle name="Título 2 7" xfId="39011" xr:uid="{00000000-0005-0000-0000-000078980000}"/>
    <cellStyle name="Título 2 7 2" xfId="39012" xr:uid="{00000000-0005-0000-0000-000079980000}"/>
    <cellStyle name="Título 2 7 2 2" xfId="39013" xr:uid="{00000000-0005-0000-0000-00007A980000}"/>
    <cellStyle name="Título 2 7 2 3" xfId="39014" xr:uid="{00000000-0005-0000-0000-00007B980000}"/>
    <cellStyle name="Título 2 7 3" xfId="39015" xr:uid="{00000000-0005-0000-0000-00007C980000}"/>
    <cellStyle name="Título 2 7 4" xfId="39016" xr:uid="{00000000-0005-0000-0000-00007D980000}"/>
    <cellStyle name="Título 2 8" xfId="39017" xr:uid="{00000000-0005-0000-0000-00007E980000}"/>
    <cellStyle name="Título 2 8 2" xfId="39018" xr:uid="{00000000-0005-0000-0000-00007F980000}"/>
    <cellStyle name="Título 2 8 2 2" xfId="39019" xr:uid="{00000000-0005-0000-0000-000080980000}"/>
    <cellStyle name="Título 2 8 2 3" xfId="39020" xr:uid="{00000000-0005-0000-0000-000081980000}"/>
    <cellStyle name="Título 2 8 3" xfId="39021" xr:uid="{00000000-0005-0000-0000-000082980000}"/>
    <cellStyle name="Título 2 8 4" xfId="39022" xr:uid="{00000000-0005-0000-0000-000083980000}"/>
    <cellStyle name="Título 2 9" xfId="39023" xr:uid="{00000000-0005-0000-0000-000084980000}"/>
    <cellStyle name="Título 2 9 2" xfId="39024" xr:uid="{00000000-0005-0000-0000-000085980000}"/>
    <cellStyle name="Título 2 9 3" xfId="39025" xr:uid="{00000000-0005-0000-0000-000086980000}"/>
    <cellStyle name="Título 3 10" xfId="39026" xr:uid="{00000000-0005-0000-0000-000087980000}"/>
    <cellStyle name="Título 3 11" xfId="39027" xr:uid="{00000000-0005-0000-0000-000088980000}"/>
    <cellStyle name="Título 3 2" xfId="39028" xr:uid="{00000000-0005-0000-0000-000089980000}"/>
    <cellStyle name="Título 3 2 2" xfId="39029" xr:uid="{00000000-0005-0000-0000-00008A980000}"/>
    <cellStyle name="Título 3 2 2 2" xfId="39030" xr:uid="{00000000-0005-0000-0000-00008B980000}"/>
    <cellStyle name="Título 3 2 2 3" xfId="39031" xr:uid="{00000000-0005-0000-0000-00008C980000}"/>
    <cellStyle name="Título 3 2 2 4" xfId="39032" xr:uid="{00000000-0005-0000-0000-00008D980000}"/>
    <cellStyle name="Título 3 2 3" xfId="39033" xr:uid="{00000000-0005-0000-0000-00008E980000}"/>
    <cellStyle name="Título 3 2 4" xfId="39034" xr:uid="{00000000-0005-0000-0000-00008F980000}"/>
    <cellStyle name="Título 3 3" xfId="39035" xr:uid="{00000000-0005-0000-0000-000090980000}"/>
    <cellStyle name="Título 3 3 2" xfId="39036" xr:uid="{00000000-0005-0000-0000-000091980000}"/>
    <cellStyle name="Título 3 3 2 2" xfId="39037" xr:uid="{00000000-0005-0000-0000-000092980000}"/>
    <cellStyle name="Título 3 3 2 3" xfId="39038" xr:uid="{00000000-0005-0000-0000-000093980000}"/>
    <cellStyle name="Título 3 3 3" xfId="39039" xr:uid="{00000000-0005-0000-0000-000094980000}"/>
    <cellStyle name="Título 3 3 4" xfId="39040" xr:uid="{00000000-0005-0000-0000-000095980000}"/>
    <cellStyle name="Título 3 4" xfId="39041" xr:uid="{00000000-0005-0000-0000-000096980000}"/>
    <cellStyle name="Título 3 4 2" xfId="39042" xr:uid="{00000000-0005-0000-0000-000097980000}"/>
    <cellStyle name="Título 3 4 2 2" xfId="39043" xr:uid="{00000000-0005-0000-0000-000098980000}"/>
    <cellStyle name="Título 3 4 2 3" xfId="39044" xr:uid="{00000000-0005-0000-0000-000099980000}"/>
    <cellStyle name="Título 3 4 3" xfId="39045" xr:uid="{00000000-0005-0000-0000-00009A980000}"/>
    <cellStyle name="Título 3 4 4" xfId="39046" xr:uid="{00000000-0005-0000-0000-00009B980000}"/>
    <cellStyle name="Título 3 5" xfId="39047" xr:uid="{00000000-0005-0000-0000-00009C980000}"/>
    <cellStyle name="Título 3 5 2" xfId="39048" xr:uid="{00000000-0005-0000-0000-00009D980000}"/>
    <cellStyle name="Título 3 5 2 2" xfId="39049" xr:uid="{00000000-0005-0000-0000-00009E980000}"/>
    <cellStyle name="Título 3 5 2 3" xfId="39050" xr:uid="{00000000-0005-0000-0000-00009F980000}"/>
    <cellStyle name="Título 3 5 3" xfId="39051" xr:uid="{00000000-0005-0000-0000-0000A0980000}"/>
    <cellStyle name="Título 3 5 4" xfId="39052" xr:uid="{00000000-0005-0000-0000-0000A1980000}"/>
    <cellStyle name="Título 3 6" xfId="39053" xr:uid="{00000000-0005-0000-0000-0000A2980000}"/>
    <cellStyle name="Título 3 6 2" xfId="39054" xr:uid="{00000000-0005-0000-0000-0000A3980000}"/>
    <cellStyle name="Título 3 6 2 2" xfId="39055" xr:uid="{00000000-0005-0000-0000-0000A4980000}"/>
    <cellStyle name="Título 3 6 2 3" xfId="39056" xr:uid="{00000000-0005-0000-0000-0000A5980000}"/>
    <cellStyle name="Título 3 6 3" xfId="39057" xr:uid="{00000000-0005-0000-0000-0000A6980000}"/>
    <cellStyle name="Título 3 6 4" xfId="39058" xr:uid="{00000000-0005-0000-0000-0000A7980000}"/>
    <cellStyle name="Título 3 7" xfId="39059" xr:uid="{00000000-0005-0000-0000-0000A8980000}"/>
    <cellStyle name="Título 3 7 2" xfId="39060" xr:uid="{00000000-0005-0000-0000-0000A9980000}"/>
    <cellStyle name="Título 3 7 2 2" xfId="39061" xr:uid="{00000000-0005-0000-0000-0000AA980000}"/>
    <cellStyle name="Título 3 7 2 3" xfId="39062" xr:uid="{00000000-0005-0000-0000-0000AB980000}"/>
    <cellStyle name="Título 3 7 3" xfId="39063" xr:uid="{00000000-0005-0000-0000-0000AC980000}"/>
    <cellStyle name="Título 3 7 4" xfId="39064" xr:uid="{00000000-0005-0000-0000-0000AD980000}"/>
    <cellStyle name="Título 3 8" xfId="39065" xr:uid="{00000000-0005-0000-0000-0000AE980000}"/>
    <cellStyle name="Título 3 8 2" xfId="39066" xr:uid="{00000000-0005-0000-0000-0000AF980000}"/>
    <cellStyle name="Título 3 8 2 2" xfId="39067" xr:uid="{00000000-0005-0000-0000-0000B0980000}"/>
    <cellStyle name="Título 3 8 2 3" xfId="39068" xr:uid="{00000000-0005-0000-0000-0000B1980000}"/>
    <cellStyle name="Título 3 8 3" xfId="39069" xr:uid="{00000000-0005-0000-0000-0000B2980000}"/>
    <cellStyle name="Título 3 8 4" xfId="39070" xr:uid="{00000000-0005-0000-0000-0000B3980000}"/>
    <cellStyle name="Título 3 9" xfId="39071" xr:uid="{00000000-0005-0000-0000-0000B4980000}"/>
    <cellStyle name="Título 3 9 2" xfId="39072" xr:uid="{00000000-0005-0000-0000-0000B5980000}"/>
    <cellStyle name="Título 3 9 3" xfId="39073" xr:uid="{00000000-0005-0000-0000-0000B6980000}"/>
    <cellStyle name="Título 4" xfId="39074" xr:uid="{00000000-0005-0000-0000-0000B7980000}"/>
    <cellStyle name="Título 4 2" xfId="39075" xr:uid="{00000000-0005-0000-0000-0000B8980000}"/>
    <cellStyle name="Título 4 2 2" xfId="39076" xr:uid="{00000000-0005-0000-0000-0000B9980000}"/>
    <cellStyle name="Título 4 2 3" xfId="39077" xr:uid="{00000000-0005-0000-0000-0000BA980000}"/>
    <cellStyle name="Título 4 2 4" xfId="39078" xr:uid="{00000000-0005-0000-0000-0000BB980000}"/>
    <cellStyle name="Título 4 3" xfId="39079" xr:uid="{00000000-0005-0000-0000-0000BC980000}"/>
    <cellStyle name="Título 4 4" xfId="39080" xr:uid="{00000000-0005-0000-0000-0000BD980000}"/>
    <cellStyle name="Título 5" xfId="39081" xr:uid="{00000000-0005-0000-0000-0000BE980000}"/>
    <cellStyle name="Título 5 2" xfId="39082" xr:uid="{00000000-0005-0000-0000-0000BF980000}"/>
    <cellStyle name="Título 5 2 2" xfId="39083" xr:uid="{00000000-0005-0000-0000-0000C0980000}"/>
    <cellStyle name="Título 5 2 3" xfId="39084" xr:uid="{00000000-0005-0000-0000-0000C1980000}"/>
    <cellStyle name="Título 5 2 4" xfId="39085" xr:uid="{00000000-0005-0000-0000-0000C2980000}"/>
    <cellStyle name="Título 5 3" xfId="39086" xr:uid="{00000000-0005-0000-0000-0000C3980000}"/>
    <cellStyle name="Título 5 4" xfId="39087" xr:uid="{00000000-0005-0000-0000-0000C4980000}"/>
    <cellStyle name="Título 6" xfId="39088" xr:uid="{00000000-0005-0000-0000-0000C5980000}"/>
    <cellStyle name="Título 6 2" xfId="39089" xr:uid="{00000000-0005-0000-0000-0000C6980000}"/>
    <cellStyle name="Título 6 2 2" xfId="39090" xr:uid="{00000000-0005-0000-0000-0000C7980000}"/>
    <cellStyle name="Título 6 2 3" xfId="39091" xr:uid="{00000000-0005-0000-0000-0000C8980000}"/>
    <cellStyle name="Título 6 3" xfId="39092" xr:uid="{00000000-0005-0000-0000-0000C9980000}"/>
    <cellStyle name="Título 6 4" xfId="39093" xr:uid="{00000000-0005-0000-0000-0000CA980000}"/>
    <cellStyle name="Título 7" xfId="39094" xr:uid="{00000000-0005-0000-0000-0000CB980000}"/>
    <cellStyle name="Título 7 2" xfId="39095" xr:uid="{00000000-0005-0000-0000-0000CC980000}"/>
    <cellStyle name="Título 7 2 2" xfId="39096" xr:uid="{00000000-0005-0000-0000-0000CD980000}"/>
    <cellStyle name="Título 7 2 3" xfId="39097" xr:uid="{00000000-0005-0000-0000-0000CE980000}"/>
    <cellStyle name="Título 7 3" xfId="39098" xr:uid="{00000000-0005-0000-0000-0000CF980000}"/>
    <cellStyle name="Título 7 4" xfId="39099" xr:uid="{00000000-0005-0000-0000-0000D0980000}"/>
    <cellStyle name="Título 8" xfId="39100" xr:uid="{00000000-0005-0000-0000-0000D1980000}"/>
    <cellStyle name="Título 8 2" xfId="39101" xr:uid="{00000000-0005-0000-0000-0000D2980000}"/>
    <cellStyle name="Título 8 2 2" xfId="39102" xr:uid="{00000000-0005-0000-0000-0000D3980000}"/>
    <cellStyle name="Título 8 2 3" xfId="39103" xr:uid="{00000000-0005-0000-0000-0000D4980000}"/>
    <cellStyle name="Título 8 3" xfId="39104" xr:uid="{00000000-0005-0000-0000-0000D5980000}"/>
    <cellStyle name="Título 8 4" xfId="39105" xr:uid="{00000000-0005-0000-0000-0000D6980000}"/>
    <cellStyle name="Título 9" xfId="39106" xr:uid="{00000000-0005-0000-0000-0000D7980000}"/>
    <cellStyle name="Título 9 2" xfId="39107" xr:uid="{00000000-0005-0000-0000-0000D8980000}"/>
    <cellStyle name="Título 9 2 2" xfId="39108" xr:uid="{00000000-0005-0000-0000-0000D9980000}"/>
    <cellStyle name="Título 9 2 3" xfId="39109" xr:uid="{00000000-0005-0000-0000-0000DA980000}"/>
    <cellStyle name="Título 9 3" xfId="39110" xr:uid="{00000000-0005-0000-0000-0000DB980000}"/>
    <cellStyle name="Título 9 4" xfId="39111" xr:uid="{00000000-0005-0000-0000-0000DC980000}"/>
    <cellStyle name="Total 2" xfId="39112" xr:uid="{00000000-0005-0000-0000-0000DD980000}"/>
    <cellStyle name="Total 2 2" xfId="39113" xr:uid="{00000000-0005-0000-0000-0000DE980000}"/>
    <cellStyle name="Total 2 2 2" xfId="39114" xr:uid="{00000000-0005-0000-0000-0000DF980000}"/>
    <cellStyle name="Total 2 2 3" xfId="39115" xr:uid="{00000000-0005-0000-0000-0000E0980000}"/>
    <cellStyle name="Total 2 3" xfId="39116" xr:uid="{00000000-0005-0000-0000-0000E1980000}"/>
    <cellStyle name="Total 2 4" xfId="39117" xr:uid="{00000000-0005-0000-0000-0000E2980000}"/>
    <cellStyle name="Total 3" xfId="39118" xr:uid="{00000000-0005-0000-0000-0000E3980000}"/>
    <cellStyle name="Total 3 2" xfId="39119" xr:uid="{00000000-0005-0000-0000-0000E4980000}"/>
    <cellStyle name="Total 3 2 2" xfId="39120" xr:uid="{00000000-0005-0000-0000-0000E5980000}"/>
    <cellStyle name="Total 3 2 3" xfId="39121" xr:uid="{00000000-0005-0000-0000-0000E6980000}"/>
    <cellStyle name="Total 3 3" xfId="39122" xr:uid="{00000000-0005-0000-0000-0000E7980000}"/>
    <cellStyle name="Total 3 4" xfId="39123" xr:uid="{00000000-0005-0000-0000-0000E8980000}"/>
    <cellStyle name="Total 4" xfId="39124" xr:uid="{00000000-0005-0000-0000-0000E9980000}"/>
    <cellStyle name="Total 4 2" xfId="39125" xr:uid="{00000000-0005-0000-0000-0000EA980000}"/>
    <cellStyle name="Total 4 2 2" xfId="39126" xr:uid="{00000000-0005-0000-0000-0000EB980000}"/>
    <cellStyle name="Total 4 2 3" xfId="39127" xr:uid="{00000000-0005-0000-0000-0000EC980000}"/>
    <cellStyle name="Total 4 3" xfId="39128" xr:uid="{00000000-0005-0000-0000-0000ED980000}"/>
    <cellStyle name="Total 4 4" xfId="39129" xr:uid="{00000000-0005-0000-0000-0000EE980000}"/>
    <cellStyle name="Total 5" xfId="39130" xr:uid="{00000000-0005-0000-0000-0000EF980000}"/>
    <cellStyle name="Total 5 2" xfId="39131" xr:uid="{00000000-0005-0000-0000-0000F0980000}"/>
    <cellStyle name="Total 5 3" xfId="39132" xr:uid="{00000000-0005-0000-0000-0000F1980000}"/>
    <cellStyle name="Total 6" xfId="39133" xr:uid="{00000000-0005-0000-0000-0000F2980000}"/>
    <cellStyle name="Total 7" xfId="39134" xr:uid="{00000000-0005-0000-0000-0000F3980000}"/>
    <cellStyle name="Warning Text" xfId="39135" xr:uid="{00000000-0005-0000-0000-0000F4980000}"/>
    <cellStyle name="Warning Text 2" xfId="39136" xr:uid="{00000000-0005-0000-0000-0000F5980000}"/>
    <cellStyle name="Warning Text 2 2" xfId="39137" xr:uid="{00000000-0005-0000-0000-0000F6980000}"/>
    <cellStyle name="Warning Text 2 2 2" xfId="39138" xr:uid="{00000000-0005-0000-0000-0000F7980000}"/>
    <cellStyle name="Warning Text 2 2 3" xfId="39139" xr:uid="{00000000-0005-0000-0000-0000F8980000}"/>
    <cellStyle name="Warning Text 2 3" xfId="39140" xr:uid="{00000000-0005-0000-0000-0000F9980000}"/>
    <cellStyle name="Warning Text 2 4" xfId="39141" xr:uid="{00000000-0005-0000-0000-0000FA980000}"/>
    <cellStyle name="Warning Text 3" xfId="39142" xr:uid="{00000000-0005-0000-0000-0000FB980000}"/>
    <cellStyle name="Warning Text 3 2" xfId="39143" xr:uid="{00000000-0005-0000-0000-0000FC980000}"/>
    <cellStyle name="Warning Text 3 2 2" xfId="39144" xr:uid="{00000000-0005-0000-0000-0000FD980000}"/>
    <cellStyle name="Warning Text 3 2 3" xfId="39145" xr:uid="{00000000-0005-0000-0000-0000FE980000}"/>
    <cellStyle name="Warning Text 3 3" xfId="39146" xr:uid="{00000000-0005-0000-0000-0000FF980000}"/>
    <cellStyle name="Warning Text 3 4" xfId="39147" xr:uid="{00000000-0005-0000-0000-000000990000}"/>
    <cellStyle name="Warning Text 4" xfId="39148" xr:uid="{00000000-0005-0000-0000-000001990000}"/>
    <cellStyle name="Warning Text 4 2" xfId="39149" xr:uid="{00000000-0005-0000-0000-000002990000}"/>
    <cellStyle name="Warning Text 4 2 2" xfId="39150" xr:uid="{00000000-0005-0000-0000-000003990000}"/>
    <cellStyle name="Warning Text 4 2 3" xfId="39151" xr:uid="{00000000-0005-0000-0000-000004990000}"/>
    <cellStyle name="Warning Text 4 3" xfId="39152" xr:uid="{00000000-0005-0000-0000-000005990000}"/>
    <cellStyle name="Warning Text 4 4" xfId="39153" xr:uid="{00000000-0005-0000-0000-000006990000}"/>
    <cellStyle name="Warning Text 5" xfId="39154" xr:uid="{00000000-0005-0000-0000-000007990000}"/>
    <cellStyle name="Warning Text 5 2" xfId="39155" xr:uid="{00000000-0005-0000-0000-000008990000}"/>
    <cellStyle name="Warning Text 5 2 2" xfId="39156" xr:uid="{00000000-0005-0000-0000-000009990000}"/>
    <cellStyle name="Warning Text 5 2 3" xfId="39157" xr:uid="{00000000-0005-0000-0000-00000A990000}"/>
    <cellStyle name="Warning Text 5 3" xfId="39158" xr:uid="{00000000-0005-0000-0000-00000B990000}"/>
    <cellStyle name="Warning Text 5 4" xfId="39159" xr:uid="{00000000-0005-0000-0000-00000C990000}"/>
    <cellStyle name="Warning Text 6" xfId="39160" xr:uid="{00000000-0005-0000-0000-00000D990000}"/>
    <cellStyle name="Warning Text 6 2" xfId="39161" xr:uid="{00000000-0005-0000-0000-00000E990000}"/>
    <cellStyle name="Warning Text 6 3" xfId="39162" xr:uid="{00000000-0005-0000-0000-00000F990000}"/>
    <cellStyle name="Warning Text 7" xfId="39163" xr:uid="{00000000-0005-0000-0000-000010990000}"/>
    <cellStyle name="Warning Text 8" xfId="39164" xr:uid="{00000000-0005-0000-0000-000011990000}"/>
    <cellStyle name="好" xfId="39165" xr:uid="{00000000-0005-0000-0000-000012990000}"/>
    <cellStyle name="差" xfId="39166" xr:uid="{00000000-0005-0000-0000-000013990000}"/>
    <cellStyle name="强调文字颜色 1" xfId="39167" xr:uid="{00000000-0005-0000-0000-000014990000}"/>
    <cellStyle name="强调文字颜色 2" xfId="39168" xr:uid="{00000000-0005-0000-0000-000015990000}"/>
    <cellStyle name="强调文字颜色 3" xfId="39169" xr:uid="{00000000-0005-0000-0000-000016990000}"/>
    <cellStyle name="强调文字颜色 4" xfId="39170" xr:uid="{00000000-0005-0000-0000-000017990000}"/>
    <cellStyle name="强调文字颜色 5" xfId="39171" xr:uid="{00000000-0005-0000-0000-000018990000}"/>
    <cellStyle name="强调文字颜色 6" xfId="39172" xr:uid="{00000000-0005-0000-0000-000019990000}"/>
    <cellStyle name="标题" xfId="39173" xr:uid="{00000000-0005-0000-0000-00001A990000}"/>
    <cellStyle name="标题 1" xfId="39174" xr:uid="{00000000-0005-0000-0000-00001B990000}"/>
    <cellStyle name="标题 2" xfId="39175" xr:uid="{00000000-0005-0000-0000-00001C990000}"/>
    <cellStyle name="标题 3" xfId="39176" xr:uid="{00000000-0005-0000-0000-00001D990000}"/>
    <cellStyle name="标题 4" xfId="39177" xr:uid="{00000000-0005-0000-0000-00001E990000}"/>
    <cellStyle name="检查单元格" xfId="39178" xr:uid="{00000000-0005-0000-0000-00001F990000}"/>
    <cellStyle name="汇总" xfId="39179" xr:uid="{00000000-0005-0000-0000-000020990000}"/>
    <cellStyle name="注释" xfId="39180" xr:uid="{00000000-0005-0000-0000-000021990000}"/>
    <cellStyle name="解释性文本" xfId="39181" xr:uid="{00000000-0005-0000-0000-000022990000}"/>
    <cellStyle name="警告文本" xfId="39182" xr:uid="{00000000-0005-0000-0000-000023990000}"/>
    <cellStyle name="计算" xfId="39183" xr:uid="{00000000-0005-0000-0000-000024990000}"/>
    <cellStyle name="输入" xfId="39184" xr:uid="{00000000-0005-0000-0000-000025990000}"/>
    <cellStyle name="输出" xfId="39185" xr:uid="{00000000-0005-0000-0000-000026990000}"/>
    <cellStyle name="适中" xfId="39186" xr:uid="{00000000-0005-0000-0000-000027990000}"/>
    <cellStyle name="链接单元格" xfId="39187" xr:uid="{00000000-0005-0000-0000-000028990000}"/>
  </cellStyles>
  <dxfs count="9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BAF50A"/>
      <color rgb="FF9B9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externalLink" Target="externalLinks/externalLink12.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pivotCacheDefinition" Target="pivotCache/pivotCacheDefinition2.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pivotCacheDefinition" Target="pivotCache/pivotCacheDefinition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pivotCacheDefinition" Target="pivotCache/pivotCacheDefinition4.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14</xdr:col>
      <xdr:colOff>752475</xdr:colOff>
      <xdr:row>1</xdr:row>
      <xdr:rowOff>0</xdr:rowOff>
    </xdr:from>
    <xdr:to>
      <xdr:col>15</xdr:col>
      <xdr:colOff>0</xdr:colOff>
      <xdr:row>1</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699AD928-0736-45A9-9FC6-EA474280D3DA}"/>
            </a:ext>
          </a:extLst>
        </xdr:cNvPr>
        <xdr:cNvSpPr/>
      </xdr:nvSpPr>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1</xdr:row>
      <xdr:rowOff>0</xdr:rowOff>
    </xdr:from>
    <xdr:to>
      <xdr:col>15</xdr:col>
      <xdr:colOff>0</xdr:colOff>
      <xdr:row>1</xdr:row>
      <xdr:rowOff>76200</xdr:rowOff>
    </xdr:to>
    <xdr:pic>
      <xdr:nvPicPr>
        <xdr:cNvPr id="3" name="Picture 3">
          <a:extLst>
            <a:ext uri="{FF2B5EF4-FFF2-40B4-BE49-F238E27FC236}">
              <a16:creationId xmlns:a16="http://schemas.microsoft.com/office/drawing/2014/main" id="{639B13D9-0940-4F7F-8997-BC8F5D56346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1</xdr:row>
      <xdr:rowOff>0</xdr:rowOff>
    </xdr:from>
    <xdr:to>
      <xdr:col>15</xdr:col>
      <xdr:colOff>0</xdr:colOff>
      <xdr:row>1</xdr:row>
      <xdr:rowOff>76200</xdr:rowOff>
    </xdr:to>
    <xdr:pic>
      <xdr:nvPicPr>
        <xdr:cNvPr id="4" name="Picture 4">
          <a:extLst>
            <a:ext uri="{FF2B5EF4-FFF2-40B4-BE49-F238E27FC236}">
              <a16:creationId xmlns:a16="http://schemas.microsoft.com/office/drawing/2014/main" id="{CC912BB6-997D-4872-A40C-721CEEFE35D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1</xdr:row>
      <xdr:rowOff>0</xdr:rowOff>
    </xdr:from>
    <xdr:to>
      <xdr:col>15</xdr:col>
      <xdr:colOff>0</xdr:colOff>
      <xdr:row>1</xdr:row>
      <xdr:rowOff>76200</xdr:rowOff>
    </xdr:to>
    <xdr:pic>
      <xdr:nvPicPr>
        <xdr:cNvPr id="5" name="ComboBox1">
          <a:extLst>
            <a:ext uri="{FF2B5EF4-FFF2-40B4-BE49-F238E27FC236}">
              <a16:creationId xmlns:a16="http://schemas.microsoft.com/office/drawing/2014/main" id="{4604447A-8D91-455B-A54B-C3CDE537CF3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2</xdr:row>
      <xdr:rowOff>0</xdr:rowOff>
    </xdr:from>
    <xdr:to>
      <xdr:col>15</xdr:col>
      <xdr:colOff>0</xdr:colOff>
      <xdr:row>2</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4E270EAF-A3A9-482B-8F33-551B802BA1BF}"/>
            </a:ext>
          </a:extLst>
        </xdr:cNvPr>
        <xdr:cNvSpPr/>
      </xdr:nvSpPr>
      <xdr:spPr bwMode="auto">
        <a:xfrm>
          <a:off x="3859090" y="644769"/>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1</xdr:row>
      <xdr:rowOff>0</xdr:rowOff>
    </xdr:from>
    <xdr:to>
      <xdr:col>14</xdr:col>
      <xdr:colOff>752475</xdr:colOff>
      <xdr:row>1</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4F697C57-BD8B-47BA-B7AB-B880A855854A}"/>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1</xdr:row>
      <xdr:rowOff>0</xdr:rowOff>
    </xdr:from>
    <xdr:to>
      <xdr:col>14</xdr:col>
      <xdr:colOff>752475</xdr:colOff>
      <xdr:row>1</xdr:row>
      <xdr:rowOff>76200</xdr:rowOff>
    </xdr:to>
    <xdr:pic>
      <xdr:nvPicPr>
        <xdr:cNvPr id="8" name="Picture 3">
          <a:extLst>
            <a:ext uri="{FF2B5EF4-FFF2-40B4-BE49-F238E27FC236}">
              <a16:creationId xmlns:a16="http://schemas.microsoft.com/office/drawing/2014/main" id="{F46DA1F9-8C03-4CFE-B12C-437B065B872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1</xdr:row>
      <xdr:rowOff>0</xdr:rowOff>
    </xdr:from>
    <xdr:to>
      <xdr:col>14</xdr:col>
      <xdr:colOff>752475</xdr:colOff>
      <xdr:row>1</xdr:row>
      <xdr:rowOff>76200</xdr:rowOff>
    </xdr:to>
    <xdr:pic>
      <xdr:nvPicPr>
        <xdr:cNvPr id="9" name="Picture 4">
          <a:extLst>
            <a:ext uri="{FF2B5EF4-FFF2-40B4-BE49-F238E27FC236}">
              <a16:creationId xmlns:a16="http://schemas.microsoft.com/office/drawing/2014/main" id="{DCBFF065-EF3B-4DB0-94C8-35FBAE7193C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1</xdr:row>
      <xdr:rowOff>0</xdr:rowOff>
    </xdr:from>
    <xdr:to>
      <xdr:col>14</xdr:col>
      <xdr:colOff>752475</xdr:colOff>
      <xdr:row>1</xdr:row>
      <xdr:rowOff>76200</xdr:rowOff>
    </xdr:to>
    <xdr:pic>
      <xdr:nvPicPr>
        <xdr:cNvPr id="10" name="ComboBox1">
          <a:extLst>
            <a:ext uri="{FF2B5EF4-FFF2-40B4-BE49-F238E27FC236}">
              <a16:creationId xmlns:a16="http://schemas.microsoft.com/office/drawing/2014/main" id="{2AB2D9FB-564C-4383-988E-219758D46C5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1</xdr:row>
      <xdr:rowOff>0</xdr:rowOff>
    </xdr:from>
    <xdr:to>
      <xdr:col>14</xdr:col>
      <xdr:colOff>752475</xdr:colOff>
      <xdr:row>1</xdr:row>
      <xdr:rowOff>76200</xdr:rowOff>
    </xdr:to>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4CC92376-D5F2-44BE-9CBB-EAE5FFC0C516}"/>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1</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D433DFED-370C-4308-AD43-77F921211551}"/>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1</xdr:row>
      <xdr:rowOff>0</xdr:rowOff>
    </xdr:from>
    <xdr:ext cx="32385" cy="76200"/>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2EB819AA-17CB-4D21-A673-297A7463E11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1</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F0E892FF-19C6-4ABA-BD75-D0D5B2B4DE4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14</xdr:col>
      <xdr:colOff>752475</xdr:colOff>
      <xdr:row>0</xdr:row>
      <xdr:rowOff>0</xdr:rowOff>
    </xdr:from>
    <xdr:to>
      <xdr:col>15</xdr:col>
      <xdr:colOff>0</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DBF0A5F5-DA23-453E-9AC3-D9268B85652B}"/>
            </a:ext>
          </a:extLst>
        </xdr:cNvPr>
        <xdr:cNvSpPr/>
      </xdr:nvSpPr>
      <xdr:spPr bwMode="auto">
        <a:xfrm>
          <a:off x="11763375" y="161925"/>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15</xdr:col>
      <xdr:colOff>0</xdr:colOff>
      <xdr:row>0</xdr:row>
      <xdr:rowOff>76200</xdr:rowOff>
    </xdr:to>
    <xdr:pic>
      <xdr:nvPicPr>
        <xdr:cNvPr id="3" name="Picture 3">
          <a:extLst>
            <a:ext uri="{FF2B5EF4-FFF2-40B4-BE49-F238E27FC236}">
              <a16:creationId xmlns:a16="http://schemas.microsoft.com/office/drawing/2014/main" id="{34995C9C-8B65-4192-8B2E-923BA9D98E4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63375" y="161925"/>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15</xdr:col>
      <xdr:colOff>0</xdr:colOff>
      <xdr:row>0</xdr:row>
      <xdr:rowOff>76200</xdr:rowOff>
    </xdr:to>
    <xdr:pic>
      <xdr:nvPicPr>
        <xdr:cNvPr id="4" name="Picture 4">
          <a:extLst>
            <a:ext uri="{FF2B5EF4-FFF2-40B4-BE49-F238E27FC236}">
              <a16:creationId xmlns:a16="http://schemas.microsoft.com/office/drawing/2014/main" id="{BBF23762-F5C7-4C03-91E8-AD67EEA59761}"/>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63375" y="161925"/>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15</xdr:col>
      <xdr:colOff>0</xdr:colOff>
      <xdr:row>0</xdr:row>
      <xdr:rowOff>76200</xdr:rowOff>
    </xdr:to>
    <xdr:pic>
      <xdr:nvPicPr>
        <xdr:cNvPr id="5" name="ComboBox1">
          <a:extLst>
            <a:ext uri="{FF2B5EF4-FFF2-40B4-BE49-F238E27FC236}">
              <a16:creationId xmlns:a16="http://schemas.microsoft.com/office/drawing/2014/main" id="{109D1789-0F71-449F-B212-1AC7CD02C859}"/>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63375" y="161925"/>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752475</xdr:colOff>
      <xdr:row>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51F33641-75CF-4406-BA6C-8961C64ADECB}"/>
            </a:ext>
          </a:extLst>
        </xdr:cNvPr>
        <xdr:cNvSpPr/>
      </xdr:nvSpPr>
      <xdr:spPr bwMode="auto">
        <a:xfrm>
          <a:off x="11763375" y="161925"/>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14</xdr:col>
      <xdr:colOff>752475</xdr:colOff>
      <xdr:row>0</xdr:row>
      <xdr:rowOff>76200</xdr:rowOff>
    </xdr:to>
    <xdr:pic>
      <xdr:nvPicPr>
        <xdr:cNvPr id="7" name="Picture 3">
          <a:extLst>
            <a:ext uri="{FF2B5EF4-FFF2-40B4-BE49-F238E27FC236}">
              <a16:creationId xmlns:a16="http://schemas.microsoft.com/office/drawing/2014/main" id="{F4A9C6F3-4F39-481E-868D-AA9A34BA7339}"/>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63375" y="161925"/>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752475</xdr:colOff>
      <xdr:row>0</xdr:row>
      <xdr:rowOff>76200</xdr:rowOff>
    </xdr:to>
    <xdr:pic>
      <xdr:nvPicPr>
        <xdr:cNvPr id="8" name="Picture 4">
          <a:extLst>
            <a:ext uri="{FF2B5EF4-FFF2-40B4-BE49-F238E27FC236}">
              <a16:creationId xmlns:a16="http://schemas.microsoft.com/office/drawing/2014/main" id="{FC59CA82-6CB9-433E-9043-667D735C19C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63375" y="161925"/>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752475</xdr:colOff>
      <xdr:row>0</xdr:row>
      <xdr:rowOff>76200</xdr:rowOff>
    </xdr:to>
    <xdr:pic>
      <xdr:nvPicPr>
        <xdr:cNvPr id="9" name="ComboBox1">
          <a:extLst>
            <a:ext uri="{FF2B5EF4-FFF2-40B4-BE49-F238E27FC236}">
              <a16:creationId xmlns:a16="http://schemas.microsoft.com/office/drawing/2014/main" id="{99CD7FB0-58F4-4E04-9597-27A66A4E78D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63375" y="161925"/>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752475</xdr:colOff>
      <xdr:row>0</xdr:row>
      <xdr:rowOff>76200</xdr:rowOff>
    </xdr:to>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062CBA81-6AFD-40EC-904A-B313674266F3}"/>
            </a:ext>
          </a:extLst>
        </xdr:cNvPr>
        <xdr:cNvSpPr/>
      </xdr:nvSpPr>
      <xdr:spPr bwMode="auto">
        <a:xfrm>
          <a:off x="11763375" y="161925"/>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0</xdr:row>
      <xdr:rowOff>0</xdr:rowOff>
    </xdr:from>
    <xdr:ext cx="32385" cy="76200"/>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C1AA23B7-0D25-48BB-8792-CE6817A66C93}"/>
            </a:ext>
          </a:extLst>
        </xdr:cNvPr>
        <xdr:cNvSpPr/>
      </xdr:nvSpPr>
      <xdr:spPr bwMode="auto">
        <a:xfrm>
          <a:off x="11763375" y="161925"/>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FF35853A-38A1-47F4-89CF-ACD6DA11D49D}"/>
            </a:ext>
          </a:extLst>
        </xdr:cNvPr>
        <xdr:cNvSpPr/>
      </xdr:nvSpPr>
      <xdr:spPr bwMode="auto">
        <a:xfrm>
          <a:off x="11763375" y="161925"/>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32290311-D3CC-48F5-8C2B-F170180464A2}"/>
            </a:ext>
          </a:extLst>
        </xdr:cNvPr>
        <xdr:cNvSpPr/>
      </xdr:nvSpPr>
      <xdr:spPr bwMode="auto">
        <a:xfrm>
          <a:off x="11763375" y="161925"/>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13</xdr:col>
      <xdr:colOff>752475</xdr:colOff>
      <xdr:row>0</xdr:row>
      <xdr:rowOff>0</xdr:rowOff>
    </xdr:from>
    <xdr:to>
      <xdr:col>13</xdr:col>
      <xdr:colOff>752475</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6CE5105A-B11E-4150-AC10-A89F34283BAD}"/>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pic>
      <xdr:nvPicPr>
        <xdr:cNvPr id="3" name="Picture 3">
          <a:extLst>
            <a:ext uri="{FF2B5EF4-FFF2-40B4-BE49-F238E27FC236}">
              <a16:creationId xmlns:a16="http://schemas.microsoft.com/office/drawing/2014/main" id="{8C34B49A-05B9-4DBB-9873-1658DBB0E2A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4" name="Picture 4">
          <a:extLst>
            <a:ext uri="{FF2B5EF4-FFF2-40B4-BE49-F238E27FC236}">
              <a16:creationId xmlns:a16="http://schemas.microsoft.com/office/drawing/2014/main" id="{C92BCDD8-79E6-4BF0-9262-A0876081DFD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5" name="ComboBox1">
          <a:extLst>
            <a:ext uri="{FF2B5EF4-FFF2-40B4-BE49-F238E27FC236}">
              <a16:creationId xmlns:a16="http://schemas.microsoft.com/office/drawing/2014/main" id="{EA1DACF1-C938-4205-B65D-71D32D3D3FF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933B2825-A7E8-4786-B322-1C137E52C1DF}"/>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56DD9924-1051-4ED2-B589-041835665C80}"/>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8244DD94-F7B9-42D5-A6BE-0BC043D589FE}"/>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F8EA7147-64FA-487E-B973-4B4495DB5B6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392837EC-6F05-49BF-9A1A-F2AE3CD128C3}"/>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CAEB2274-D46F-4152-AAEB-927CF9CBF67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11</xdr:col>
      <xdr:colOff>0</xdr:colOff>
      <xdr:row>0</xdr:row>
      <xdr:rowOff>0</xdr:rowOff>
    </xdr:from>
    <xdr:to>
      <xdr:col>11</xdr:col>
      <xdr:colOff>17145</xdr:colOff>
      <xdr:row>0</xdr:row>
      <xdr:rowOff>76200</xdr:rowOff>
    </xdr:to>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AA57D175-07BE-4455-8DE0-5E81B81EB163}"/>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13" name="Picture 3">
          <a:extLst>
            <a:ext uri="{FF2B5EF4-FFF2-40B4-BE49-F238E27FC236}">
              <a16:creationId xmlns:a16="http://schemas.microsoft.com/office/drawing/2014/main" id="{C9B1AC99-A1CD-41CF-A11D-8C156E814C5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14" name="Picture 4">
          <a:extLst>
            <a:ext uri="{FF2B5EF4-FFF2-40B4-BE49-F238E27FC236}">
              <a16:creationId xmlns:a16="http://schemas.microsoft.com/office/drawing/2014/main" id="{E6770868-8501-4A83-856F-7206D58C9D4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15" name="ComboBox1">
          <a:extLst>
            <a:ext uri="{FF2B5EF4-FFF2-40B4-BE49-F238E27FC236}">
              <a16:creationId xmlns:a16="http://schemas.microsoft.com/office/drawing/2014/main" id="{2083C7F7-9BD1-4CF7-9EBE-0EE893F858B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F9231C24-8D1F-4953-BC0D-1E37876FB1AC}"/>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0</xdr:row>
      <xdr:rowOff>777946</xdr:rowOff>
    </xdr:to>
    <xdr:sp macro="" textlink="">
      <xdr:nvSpPr>
        <xdr:cNvPr id="2" name="AutoShape 1" descr="image.png">
          <a:extLst>
            <a:ext uri="{FF2B5EF4-FFF2-40B4-BE49-F238E27FC236}">
              <a16:creationId xmlns:a16="http://schemas.microsoft.com/office/drawing/2014/main" id="{8E103D70-9614-4799-949E-623F9247EA3E}"/>
            </a:ext>
          </a:extLst>
        </xdr:cNvPr>
        <xdr:cNvSpPr>
          <a:spLocks noChangeAspect="1" noChangeArrowheads="1"/>
        </xdr:cNvSpPr>
      </xdr:nvSpPr>
      <xdr:spPr bwMode="auto">
        <a:xfrm>
          <a:off x="11658600" y="182880"/>
          <a:ext cx="304800" cy="7684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0</xdr:row>
      <xdr:rowOff>0</xdr:rowOff>
    </xdr:from>
    <xdr:to>
      <xdr:col>11</xdr:col>
      <xdr:colOff>17145</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1BD657FE-59E5-4458-89B1-4172DD46AC44}"/>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4" name="Picture 3">
          <a:extLst>
            <a:ext uri="{FF2B5EF4-FFF2-40B4-BE49-F238E27FC236}">
              <a16:creationId xmlns:a16="http://schemas.microsoft.com/office/drawing/2014/main" id="{3FB3D62E-C5D9-48E8-A64B-C7948DE858D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5" name="Picture 4">
          <a:extLst>
            <a:ext uri="{FF2B5EF4-FFF2-40B4-BE49-F238E27FC236}">
              <a16:creationId xmlns:a16="http://schemas.microsoft.com/office/drawing/2014/main" id="{56510E09-EFAD-4B29-8F6D-3E791D1D78A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6" name="ComboBox1">
          <a:extLst>
            <a:ext uri="{FF2B5EF4-FFF2-40B4-BE49-F238E27FC236}">
              <a16:creationId xmlns:a16="http://schemas.microsoft.com/office/drawing/2014/main" id="{E842630E-75E3-4DB6-8192-9F35A93D0BE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D74AD8E2-E397-4090-BA74-456BA307CC70}"/>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0</xdr:colOff>
      <xdr:row>0</xdr:row>
      <xdr:rowOff>0</xdr:rowOff>
    </xdr:from>
    <xdr:ext cx="304800" cy="772443"/>
    <xdr:sp macro="" textlink="">
      <xdr:nvSpPr>
        <xdr:cNvPr id="8" name="AutoShape 1" descr="image.png">
          <a:extLst>
            <a:ext uri="{FF2B5EF4-FFF2-40B4-BE49-F238E27FC236}">
              <a16:creationId xmlns:a16="http://schemas.microsoft.com/office/drawing/2014/main" id="{840FBA1C-E1F5-4844-AB4F-48C272C66199}"/>
            </a:ext>
          </a:extLst>
        </xdr:cNvPr>
        <xdr:cNvSpPr>
          <a:spLocks noChangeAspect="1" noChangeArrowheads="1"/>
        </xdr:cNvSpPr>
      </xdr:nvSpPr>
      <xdr:spPr bwMode="auto">
        <a:xfrm>
          <a:off x="13228320" y="182880"/>
          <a:ext cx="304800" cy="772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13</xdr:col>
      <xdr:colOff>752475</xdr:colOff>
      <xdr:row>0</xdr:row>
      <xdr:rowOff>0</xdr:rowOff>
    </xdr:from>
    <xdr:to>
      <xdr:col>13</xdr:col>
      <xdr:colOff>754380</xdr:colOff>
      <xdr:row>0</xdr:row>
      <xdr:rowOff>76200</xdr:rowOff>
    </xdr:to>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79C52303-BE27-4C3C-BD3B-631FD6035009}"/>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10" name="Picture 3">
          <a:extLst>
            <a:ext uri="{FF2B5EF4-FFF2-40B4-BE49-F238E27FC236}">
              <a16:creationId xmlns:a16="http://schemas.microsoft.com/office/drawing/2014/main" id="{4C407814-7728-4951-97F8-FEA7EB96F02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1" name="Picture 4">
          <a:extLst>
            <a:ext uri="{FF2B5EF4-FFF2-40B4-BE49-F238E27FC236}">
              <a16:creationId xmlns:a16="http://schemas.microsoft.com/office/drawing/2014/main" id="{E50CD8D1-2C84-438B-B814-2CED6ECA0028}"/>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2" name="ComboBox1">
          <a:extLst>
            <a:ext uri="{FF2B5EF4-FFF2-40B4-BE49-F238E27FC236}">
              <a16:creationId xmlns:a16="http://schemas.microsoft.com/office/drawing/2014/main" id="{3D520CC6-B35C-4886-B63E-8E4C6FC3459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759192F1-BECC-4DEE-85F5-0709DC7242AF}"/>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68587C6A-21AC-4E47-90E3-DDB7B0D81387}"/>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474B4908-8269-462F-965A-350221F3C0E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2E2EAB3E-C335-477D-8DCF-D129E834441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F2B7BC47-C775-4D6A-AEEB-1E40930F3533}"/>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8" name="ComboBox1" hidden="1">
          <a:extLst>
            <a:ext uri="{63B3BB69-23CF-44E3-9099-C40C66FF867C}">
              <a14:compatExt xmlns:a14="http://schemas.microsoft.com/office/drawing/2010/main" spid="_x0000_s1028"/>
            </a:ext>
            <a:ext uri="{FF2B5EF4-FFF2-40B4-BE49-F238E27FC236}">
              <a16:creationId xmlns:a16="http://schemas.microsoft.com/office/drawing/2014/main" id="{51E0278C-367B-43D1-B850-1FF2FBF8BDB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19</xdr:col>
      <xdr:colOff>752475</xdr:colOff>
      <xdr:row>0</xdr:row>
      <xdr:rowOff>0</xdr:rowOff>
    </xdr:from>
    <xdr:to>
      <xdr:col>19</xdr:col>
      <xdr:colOff>752475</xdr:colOff>
      <xdr:row>0</xdr:row>
      <xdr:rowOff>76200</xdr:rowOff>
    </xdr:to>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DD609B43-9617-4C92-9E56-C1A02164A183}"/>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752475</xdr:colOff>
      <xdr:row>0</xdr:row>
      <xdr:rowOff>76200</xdr:rowOff>
    </xdr:to>
    <xdr:pic>
      <xdr:nvPicPr>
        <xdr:cNvPr id="20" name="Picture 3">
          <a:extLst>
            <a:ext uri="{FF2B5EF4-FFF2-40B4-BE49-F238E27FC236}">
              <a16:creationId xmlns:a16="http://schemas.microsoft.com/office/drawing/2014/main" id="{57A71F44-7DE4-44EB-BD16-4469CEA7E788}"/>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21" name="Picture 4">
          <a:extLst>
            <a:ext uri="{FF2B5EF4-FFF2-40B4-BE49-F238E27FC236}">
              <a16:creationId xmlns:a16="http://schemas.microsoft.com/office/drawing/2014/main" id="{2C59FFD8-2446-4694-AEC6-DEB1CF4993E1}"/>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22" name="ComboBox1">
          <a:extLst>
            <a:ext uri="{FF2B5EF4-FFF2-40B4-BE49-F238E27FC236}">
              <a16:creationId xmlns:a16="http://schemas.microsoft.com/office/drawing/2014/main" id="{10337D78-A566-47B2-8E9B-7B39BEB17B1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3AFD2717-80C8-4203-B239-AF1A98D705D7}"/>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NTREGA%20GERENCIA%20PROYECTO%20BANCO/FACTURACION/2016/FEBRERO%202016/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lineacomunicacionesco.sharepoint.com/ENTREGA%20GERENCIA%20PROYECTO%20BANCO/FACTURACION/AGOSTO/JESSICA/Matriz%20Formato%20Estado%20Diario%20Zonas%20Remotas%20Juli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lineacomunicacionesco.sharepoint.com/BANCA/COORDINACION%20ZONA%20NOROCCIDENTE/ESTADO%20DIARIO/Estado%20Diario%20Diciembre/Copia%20de%20Matriz%20Formato%20Estado%20Diario%20DICIEMBRE.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leja/Downloads/Informe%20Gesti&#243;n%20Incidentes%20CB%20Bancolombia%20V4%20(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Users/Lenovo/AppData/Local/Microsoft/Windows/Temporary%20Internet%20Files/Content.Outlook/I8UJS5CV/Informe%20Gesti&#243;n%20Incidentes%20CB%20Bancolombia%20con%20corte%20al%2030%20septiembre%202014.xlsx?0EF71056" TargetMode="External"/><Relationship Id="rId1" Type="http://schemas.openxmlformats.org/officeDocument/2006/relationships/externalLinkPath" Target="file:///\\0EF71056\Informe%20Gesti&#243;n%20Incidentes%20CB%20Bancolombia%20con%20corte%20al%2030%20septiembre%20201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Marzo%202021%20(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oogle%20Drive/Linea%20Comunicaciones/CB%20Proyecto%20Incidentes/2016/Agosto/31%20ago/Informe%20Gesti&#243;n%20Incidentes%20CB%20Bancolombia,%20con%20corte%2031%20agosto.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Mauricio/Documents/LINEA%20COMUNICACIONES/Informes/Matriz%20Formato%20Estado%20Diario%20%20Costa%20New%201.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NTREGA%20GERENCIA%20PROYECTO%20BANCO/FACTURACION/2016/FEBRERO%202016/INCIDENTES/Informe%20Gesti&#243;n%20OC%20CB%20Redeban,%20con%20corte%20al%2030%20abr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row r="1">
          <cell r="B1" t="str">
            <v>Cerrado</v>
          </cell>
        </row>
        <row r="2">
          <cell r="BB2" t="str">
            <v>CAD</v>
          </cell>
        </row>
        <row r="3">
          <cell r="BB3" t="str">
            <v>DMA Barranquilla</v>
          </cell>
        </row>
        <row r="4">
          <cell r="BB4" t="str">
            <v>DMA Bogotá</v>
          </cell>
        </row>
        <row r="5">
          <cell r="BB5" t="str">
            <v xml:space="preserve">DMA Bucaramanga </v>
          </cell>
        </row>
        <row r="6">
          <cell r="BB6" t="str">
            <v>DMA Cali</v>
          </cell>
        </row>
        <row r="7">
          <cell r="BB7" t="str">
            <v>DMA Cartagena</v>
          </cell>
        </row>
        <row r="8">
          <cell r="BB8" t="str">
            <v>DMA Manizales</v>
          </cell>
        </row>
        <row r="9">
          <cell r="BB9" t="str">
            <v>DMA Medellin</v>
          </cell>
        </row>
        <row r="10">
          <cell r="BB10" t="str">
            <v xml:space="preserve">DMA MONTERIA </v>
          </cell>
        </row>
        <row r="11">
          <cell r="BB11" t="str">
            <v>DMA Pasto</v>
          </cell>
        </row>
        <row r="12">
          <cell r="BB12" t="str">
            <v>DMA Valledupar</v>
          </cell>
        </row>
        <row r="13">
          <cell r="BB13" t="str">
            <v>DMA Villavicencio</v>
          </cell>
        </row>
        <row r="14">
          <cell r="BB14" t="str">
            <v>ETB</v>
          </cell>
        </row>
        <row r="15">
          <cell r="BB15" t="str">
            <v>Línea de Comunicaciones</v>
          </cell>
        </row>
        <row r="16">
          <cell r="BB16" t="str">
            <v>Servicios para los clientes</v>
          </cell>
        </row>
        <row r="17">
          <cell r="BB17" t="str">
            <v>UNE</v>
          </cell>
        </row>
      </sheetData>
      <sheetData sheetId="4" refreshError="1"/>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39">
          <cell r="A1139" t="str">
            <v>AMAZONAS</v>
          </cell>
        </row>
        <row r="1140">
          <cell r="A1140" t="str">
            <v>ANTIOQUIA</v>
          </cell>
        </row>
        <row r="1141">
          <cell r="A1141" t="str">
            <v>ARAUCA</v>
          </cell>
        </row>
        <row r="1142">
          <cell r="A1142" t="str">
            <v>ATLANTICO</v>
          </cell>
        </row>
        <row r="1143">
          <cell r="A1143" t="str">
            <v>BOGOTA</v>
          </cell>
        </row>
        <row r="1144">
          <cell r="A1144" t="str">
            <v>BOLIVAR</v>
          </cell>
        </row>
        <row r="1145">
          <cell r="A1145" t="str">
            <v>BOYACA</v>
          </cell>
        </row>
        <row r="1146">
          <cell r="A1146" t="str">
            <v>CALDAS</v>
          </cell>
        </row>
        <row r="1147">
          <cell r="A1147" t="str">
            <v>CAQUETA</v>
          </cell>
        </row>
        <row r="1148">
          <cell r="A1148" t="str">
            <v>CASANARE</v>
          </cell>
        </row>
        <row r="1149">
          <cell r="A1149" t="str">
            <v>CAUCA</v>
          </cell>
        </row>
        <row r="1150">
          <cell r="A1150" t="str">
            <v>CESAR</v>
          </cell>
        </row>
        <row r="1151">
          <cell r="A1151" t="str">
            <v>CHOCO</v>
          </cell>
        </row>
        <row r="1152">
          <cell r="A1152" t="str">
            <v>CORDOBA</v>
          </cell>
        </row>
        <row r="1153">
          <cell r="A1153" t="str">
            <v>CUNDINAMARCA</v>
          </cell>
        </row>
        <row r="1154">
          <cell r="A1154" t="str">
            <v>GUAINIA</v>
          </cell>
        </row>
        <row r="1155">
          <cell r="A1155" t="str">
            <v>GUAJIRA</v>
          </cell>
        </row>
        <row r="1156">
          <cell r="A1156" t="str">
            <v>GUAVIARE</v>
          </cell>
        </row>
        <row r="1157">
          <cell r="A1157" t="str">
            <v>HUILA</v>
          </cell>
        </row>
        <row r="1158">
          <cell r="A1158" t="str">
            <v>MAGDALENA</v>
          </cell>
        </row>
        <row r="1159">
          <cell r="A1159" t="str">
            <v>META</v>
          </cell>
        </row>
        <row r="1160">
          <cell r="A1160" t="str">
            <v>NORTE_SANTANDER</v>
          </cell>
        </row>
        <row r="1161">
          <cell r="A1161" t="str">
            <v>NARIÑO</v>
          </cell>
        </row>
        <row r="1162">
          <cell r="A1162" t="str">
            <v>PUTUMAYO</v>
          </cell>
        </row>
        <row r="1163">
          <cell r="A1163" t="str">
            <v>QUINDIO</v>
          </cell>
        </row>
        <row r="1164">
          <cell r="A1164" t="str">
            <v>RISARALDA</v>
          </cell>
        </row>
        <row r="1165">
          <cell r="A1165" t="str">
            <v>SAN_ANDRES_PROV</v>
          </cell>
        </row>
        <row r="1166">
          <cell r="A1166" t="str">
            <v>SANTANDER</v>
          </cell>
        </row>
        <row r="1167">
          <cell r="A1167" t="str">
            <v>SUCRE</v>
          </cell>
        </row>
        <row r="1168">
          <cell r="A1168" t="str">
            <v>TOLIMA</v>
          </cell>
        </row>
        <row r="1169">
          <cell r="A1169" t="str">
            <v>VALLE</v>
          </cell>
        </row>
        <row r="1170">
          <cell r="A1170" t="str">
            <v>VAUPES</v>
          </cell>
        </row>
        <row r="1171">
          <cell r="A1171" t="str">
            <v>VICHADA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desplegables"/>
      <sheetName val="Consolidado"/>
    </sheetNames>
    <sheetDataSet>
      <sheetData sheetId="0"/>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3.953794444446" createdVersion="8" refreshedVersion="8" minRefreshableVersion="3" recordCount="51" xr:uid="{49401B00-3E50-4015-9A0C-BE1FAC138DCB}">
  <cacheSource type="worksheet">
    <worksheetSource ref="A1:AE1048576" sheet="ADECUACIONES"/>
  </cacheSource>
  <cacheFields count="31">
    <cacheField name="CIUDAD SEDE" numFmtId="0">
      <sharedItems containsBlank="1"/>
    </cacheField>
    <cacheField name="COORDINADOR" numFmtId="0">
      <sharedItems containsBlank="1" count="7">
        <s v="JUAN SEBASTIÁN RÍOS CASTRILLÓN"/>
        <s v="WILLIAM ASDRUBAL ROZO ROZO"/>
        <s v="DIEGO FERNANDO HENAO CARDONA"/>
        <s v="MIGUEL JULIÁN HERNÁNDEZ GUARÍN"/>
        <s v="KEVIN ALEXIS CORZO BUSTOS"/>
        <s v="JOSE MAURICIO HERNANDEZ ROJAS"/>
        <m/>
      </sharedItems>
    </cacheField>
    <cacheField name="CENTRO DE COSTOS LÍNEACOM" numFmtId="0">
      <sharedItems containsBlank="1" count="8">
        <s v="0004-0005"/>
        <s v="0004-0004"/>
        <s v="0004-0002"/>
        <s v="0004-0003"/>
        <s v="0004-0008"/>
        <s v="0004-0007"/>
        <s v="0004-0001"/>
        <m/>
      </sharedItems>
    </cacheField>
    <cacheField name="CÓDIGO DANE" numFmtId="0">
      <sharedItems containsString="0" containsBlank="1" containsNumber="1" containsInteger="1" minValue="5001" maxValue="85250"/>
    </cacheField>
    <cacheField name="TA/CODIGO ACTIVIDAD" numFmtId="0">
      <sharedItems containsBlank="1"/>
    </cacheField>
    <cacheField name="CODIGO CB" numFmtId="0">
      <sharedItems containsString="0" containsBlank="1" containsNumber="1" containsInteger="1" minValue="37745" maxValue="81244"/>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07-30T00:00:00" maxDate="2025-08-28T00:00:00"/>
    </cacheField>
    <cacheField name="FECHA ULTIMA ACTUALIZACION" numFmtId="0">
      <sharedItems containsNonDate="0" containsDate="1" containsString="0" containsBlank="1" minDate="2025-08-01T00:00:00" maxDate="2025-08-30T00:00: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ACOMETIDA DATOS_x000a_" numFmtId="0">
      <sharedItems containsDate="1" containsString="0" containsBlank="1" containsMixedTypes="1" minDate="1899-12-31T00:00:00" maxDate="1900-01-10T00:00:00"/>
    </cacheField>
    <cacheField name="ACOMETIDA ELECTRICA " numFmtId="0">
      <sharedItems containsString="0" containsBlank="1" containsNumber="1" containsInteger="1" minValue="0" maxValue="0"/>
    </cacheField>
    <cacheField name="SWITCH" numFmtId="0">
      <sharedItems containsString="0" containsBlank="1" containsNumber="1" containsInteger="1" minValue="0" maxValue="1"/>
    </cacheField>
    <cacheField name="ROUTER" numFmtId="0">
      <sharedItems containsString="0" containsBlank="1" containsNumber="1" containsInteger="1" minValue="0" maxValue="0"/>
    </cacheField>
    <cacheField name="VALOR DIAS ACTIVIDAD FACTURABLES" numFmtId="0">
      <sharedItems containsString="0" containsBlank="1" containsNumber="1" containsInteger="1" minValue="0" maxValue="1"/>
    </cacheField>
    <cacheField name="DIAS ACTIVIDAD FACTURABLES" numFmtId="0">
      <sharedItems containsString="0" containsBlank="1" containsNumber="1" minValue="44559.984800000006" maxValue="464809.03136000002"/>
    </cacheField>
    <cacheField name="VALOR TOTAL INSTALACION DE PUBLICIDAD" numFmtId="0">
      <sharedItems containsString="0" containsBlank="1" containsNumber="1" minValue="44559.984800000006" maxValue="9390985.83624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3.953794444446" createdVersion="8" refreshedVersion="8" minRefreshableVersion="3" recordCount="185" xr:uid="{35502586-7CEF-44AA-82D1-AD22BB84D56F}">
  <cacheSource type="worksheet">
    <worksheetSource ref="A1:AG1048576" sheet="INCIDENTES"/>
  </cacheSource>
  <cacheFields count="33">
    <cacheField name="CIUDAD SEDE" numFmtId="0">
      <sharedItems containsBlank="1"/>
    </cacheField>
    <cacheField name="COORDINADOR" numFmtId="0">
      <sharedItems containsBlank="1" count="7">
        <s v="JUAN SEBASTIÁN RÍOS CASTRILLÓN"/>
        <s v="JOSE MAURICIO HERNANDEZ ROJAS"/>
        <s v="WILLIAM ASDRUBAL ROZO ROZO"/>
        <s v="MIGUEL JULIÁN HERNÁNDEZ GUARÍN"/>
        <s v="KEVIN ALEXIS CORZO BUSTOS"/>
        <s v="DIEGO FERNANDO HENAO CARDONA"/>
        <m/>
      </sharedItems>
    </cacheField>
    <cacheField name="CENTRO DE COSTOS LÍNEACOM" numFmtId="0">
      <sharedItems containsBlank="1" count="8">
        <s v="0004-0005"/>
        <s v="0004-0001"/>
        <s v="0004-0004"/>
        <s v="0004-0008"/>
        <s v="0004-0007"/>
        <s v="0004-0002"/>
        <s v="0004-0003"/>
        <m/>
      </sharedItems>
    </cacheField>
    <cacheField name="CÓDIGO DANE" numFmtId="0">
      <sharedItems containsString="0" containsBlank="1" containsNumber="1" containsInteger="1" minValue="5001" maxValue="86001"/>
    </cacheField>
    <cacheField name="TA/CODIGO ACTIVIDAD" numFmtId="0">
      <sharedItems containsString="0" containsBlank="1" containsNumber="1" containsInteger="1" minValue="2522948" maxValue="5763565"/>
    </cacheField>
    <cacheField name="CODIGO CB" numFmtId="0">
      <sharedItems containsString="0" containsBlank="1" containsNumber="1" containsInteger="1" minValue="10035" maxValue="48928485"/>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ÓN A LÍNEA COMUNICACIONES (DD/MM/AAAA HH:MM)" numFmtId="0">
      <sharedItems containsNonDate="0" containsDate="1" containsString="0" containsBlank="1" minDate="2025-07-29T16:20:00" maxDate="2025-08-30T13:22:00"/>
    </cacheField>
    <cacheField name="FECHA CIERRE DEL TICKET (DD/MM/AAAA HH:MM)" numFmtId="0">
      <sharedItems containsNonDate="0" containsDate="1" containsString="0" containsBlank="1" minDate="2025-08-01T11:12:00" maxDate="2025-08-31T11:21:00"/>
    </cacheField>
    <cacheField name="ACOMETIDA" numFmtId="0">
      <sharedItems containsBlank="1"/>
    </cacheField>
    <cacheField name="GRUPO_FALLA" numFmtId="0">
      <sharedItems containsBlank="1"/>
    </cacheField>
    <cacheField name="CATEGORÍA" numFmtId="0">
      <sharedItems containsBlank="1"/>
    </cacheField>
    <cacheField name="FALLA" numFmtId="0">
      <sharedItems containsBlank="1"/>
    </cacheField>
    <cacheField name="FORMATO" numFmtId="0">
      <sharedItems containsBlank="1"/>
    </cacheField>
    <cacheField name="CADENA" numFmtId="0">
      <sharedItems containsBlank="1"/>
    </cacheField>
    <cacheField name="ESTADO" numFmtId="0">
      <sharedItems containsBlank="1"/>
    </cacheField>
    <cacheField name="OBSERVACION" numFmtId="0">
      <sharedItems containsBlank="1" longText="1"/>
    </cacheField>
    <cacheField name="FORMA DE ATENCIÓN" numFmtId="0">
      <sharedItems containsBlank="1"/>
    </cacheField>
    <cacheField name="TERMINAL" numFmtId="0">
      <sharedItems containsBlank="1" containsMixedTypes="1" containsNumber="1" containsInteger="1" minValue="0" maxValue="0"/>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1"/>
    </cacheField>
    <cacheField name="ACOMETIDA DATOS" numFmtId="0">
      <sharedItems containsString="0" containsBlank="1" containsNumber="1" containsInteger="1" minValue="0" maxValue="0"/>
    </cacheField>
    <cacheField name="ACOMETIDA ELÉCTRICA" numFmtId="0">
      <sharedItems containsString="0" containsBlank="1" containsNumber="1" containsInteger="1" minValue="0" maxValue="0"/>
    </cacheField>
    <cacheField name="SWITCH" numFmtId="0">
      <sharedItems containsString="0" containsBlank="1" containsNumber="1" containsInteger="1" minValue="0" maxValue="0"/>
    </cacheField>
    <cacheField name="VALOR DIAS ACTIVIDAD FACTURABLES" numFmtId="0">
      <sharedItems containsString="0" containsBlank="1" containsNumber="1" minValue="37904.65408" maxValue="479589.73656000005"/>
    </cacheField>
    <cacheField name="VALOR DIAS ACOMPAÑAMIENTO FACTURABLES" numFmtId="0">
      <sharedItems containsString="0" containsBlank="1" containsNumber="1" minValue="37904.65408" maxValue="20560730.3554799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3.953794444446" createdVersion="8" refreshedVersion="8" minRefreshableVersion="3" recordCount="10" xr:uid="{275F2F00-0B0C-411E-8F7C-4EE0420A037A}">
  <cacheSource type="worksheet">
    <worksheetSource ref="A1:AG1048576" sheet="OC"/>
  </cacheSource>
  <cacheFields count="33">
    <cacheField name="CIUDAD SEDE" numFmtId="0">
      <sharedItems containsBlank="1"/>
    </cacheField>
    <cacheField name="COORDINADOR" numFmtId="0">
      <sharedItems containsBlank="1" count="7">
        <s v="KEVIN ALEXIS CORZO BUSTOS"/>
        <s v="DIEGO FERNANDO HENAO CARDONA"/>
        <s v="WILLIAM ASDRUBAL ROZO ROZO"/>
        <s v="MIGUEL JULIÁN HERNÁNDEZ GUARÍN"/>
        <m/>
        <s v="JOSE MAURICIO HERNANDEZ ROJAS" u="1"/>
        <s v="JUAN SEBASTIÁN RÍOS CASTRILLÓN" u="1"/>
      </sharedItems>
    </cacheField>
    <cacheField name="CENTRO DE COSTOS LÍNEACOM" numFmtId="0">
      <sharedItems containsBlank="1" count="8">
        <s v="0004-0007"/>
        <s v="0004-0003"/>
        <s v="0004-0004"/>
        <s v="0004-0002"/>
        <s v="0004-0008"/>
        <m/>
        <s v="0004-0001" u="1"/>
        <s v="0004-0005" u="1"/>
      </sharedItems>
    </cacheField>
    <cacheField name="CÓDIGO DANE" numFmtId="0">
      <sharedItems containsString="0" containsBlank="1" containsNumber="1" containsInteger="1" minValue="11001" maxValue="76001"/>
    </cacheField>
    <cacheField name="TA/CODIGO ACTIVIDAD" numFmtId="0">
      <sharedItems containsString="0" containsBlank="1" containsNumber="1" containsInteger="1" minValue="13784392" maxValue="13889932"/>
    </cacheField>
    <cacheField name="CODIGO CB" numFmtId="0">
      <sharedItems containsString="0" containsBlank="1" containsNumber="1" containsInteger="1" minValue="32053" maxValue="74347"/>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8-01T16:53:00" maxDate="2025-08-20T14:10:00"/>
    </cacheField>
    <cacheField name="FECHA DEL CIERRE DEL TICKET (DD/MM/AAAA)" numFmtId="0">
      <sharedItems containsNonDate="0" containsDate="1" containsString="0" containsBlank="1" minDate="2025-08-05T13:44:00" maxDate="2025-08-22T10:26:00"/>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Blank="1" containsMixedTypes="1" containsNumber="1" containsInteger="1" minValue="0" maxValue="0"/>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SWITCH" numFmtId="0">
      <sharedItems containsString="0" containsBlank="1" containsNumber="1" containsInteger="1" minValue="0" maxValue="0"/>
    </cacheField>
    <cacheField name="ACOMETIDA DATOS" numFmtId="0">
      <sharedItems containsString="0" containsBlank="1" containsNumber="1" containsInteger="1" minValue="0" maxValue="0"/>
    </cacheField>
    <cacheField name="ACOMETIDA ELECTRICA" numFmtId="0">
      <sharedItems containsString="0" containsBlank="1" containsNumber="1" containsInteger="1" minValue="0" maxValue="0"/>
    </cacheField>
    <cacheField name="VALOR ACTIVIDAD" numFmtId="0">
      <sharedItems containsString="0" containsBlank="1" containsNumber="1" minValue="37904.65408" maxValue="65960.473639999997"/>
    </cacheField>
    <cacheField name="VALOR TOTAL" numFmtId="0">
      <sharedItems containsString="0" containsBlank="1" containsNumber="1" minValue="37904.65408" maxValue="565588.4431999998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3.953794444446" createdVersion="8" refreshedVersion="8" minRefreshableVersion="3" recordCount="34" xr:uid="{AEC258F5-244D-474F-81AB-196A67CC0BEE}">
  <cacheSource type="worksheet">
    <worksheetSource ref="E3:F37" sheet="Tablas dinámicas"/>
  </cacheSource>
  <cacheFields count="2">
    <cacheField name="NOMBRE CC" numFmtId="0">
      <sharedItems containsBlank="1" count="10">
        <s v="Redeban Eje Cafetero (Pereira)"/>
        <s v="Redeban Suroccidente (Cali)"/>
        <s v="Redeban Costa (Barranqullla)"/>
        <s v="Redeban Noroccidente (Medellín)"/>
        <s v="Redeban Oriente (Otros)"/>
        <s v="Redeban Santander"/>
        <s v="Redeban Centro ( Bogotá)"/>
        <m/>
        <s v="NOMBRE CC"/>
        <e v="#N/A"/>
      </sharedItems>
    </cacheField>
    <cacheField name="VALOR" numFmtId="0">
      <sharedItems containsString="0" containsBlank="1" containsNumber="1" minValue="65960.473639999997" maxValue="6609413.066080005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MEDELLIN"/>
    <x v="0"/>
    <x v="0"/>
    <n v="5001"/>
    <s v="TA-25-904105"/>
    <n v="80761"/>
    <s v="APERTURA"/>
    <s v="CB CRECIMIENTO - NUEVO"/>
    <s v="ANTIOQUIA"/>
    <s v="MEDELLIN"/>
    <s v="BARRIO CAICEDO MEDELLIN 17"/>
    <s v="REDEBAN"/>
    <s v="FO-25-1305113"/>
    <d v="2025-07-30T00:00:00"/>
    <d v="2025-08-01T00:00:00"/>
    <s v="UNO A UNO"/>
    <s v="UNO A UNO"/>
    <s v="EJECUTADO"/>
    <s v="30-07 SE REALIZA LLAMADA AL CLIENTE, SE HABLA CON LA SRA GEISER LUCILA PALACIO CORDOBA SE VALIDA DIRECCIÓN OK, CANAL OK, DISPONIBILIDAD TOTAL, LLAMAR EL DÍA LA INSTALACIÓN PARA CONFIRMAR VISITA, AVISO EXTERIOR ALTURA; NO INDICA ALTURA; TOMACORRIENTE CERCANO: SI; TIENE CABINA DE SEGURIDAD: NO - COMUNICACIÓN POR WPP - EL MODEM ESTA A 7 MT 01-08 SE REALIZA INSTALACIÓN DE CORRESPONSAL, SE INSTALAN EQUIPOS CON PRUEBAS EXITOSAS, SE CAPACITA Y SE EVALÚA AL CLIENTE, SE INSTALA PUBLICIDAD COMPLETA, CB QUEDA OPERATIVO. USUARIO SOMOS BANCOLOMBIA ACTIVO. SE INSTALAN 15 MT DE CABLE UTP"/>
    <s v="VISITA _TECNICA"/>
    <s v="VAZZZ393"/>
    <s v="TIPO I"/>
    <s v="TERRESTRE"/>
    <s v="PAREJA ECHAVARRIA JHON DAVID"/>
    <n v="15"/>
    <n v="0"/>
    <n v="0"/>
    <n v="0"/>
    <n v="0"/>
    <n v="44559.984800000006"/>
    <n v="243520.43159999998"/>
  </r>
  <r>
    <s v="BOGOTA"/>
    <x v="1"/>
    <x v="1"/>
    <n v="11001"/>
    <s v="TA-25-915468"/>
    <n v="80772"/>
    <s v="APERTURA"/>
    <s v="CB CRECIMIENTO - NUEVO"/>
    <s v="CUNDINAMARCA"/>
    <s v="BOGOTA"/>
    <s v="BARRIO LA ISABELLA BOGOTA"/>
    <s v="REDEBAN"/>
    <s v="FO-25-1328346"/>
    <d v="2025-08-01T00:00:00"/>
    <d v="2025-08-05T00:00:00"/>
    <s v="UNO A UNO"/>
    <s v="UNO A UNO"/>
    <s v="EJECUTADO"/>
    <s v="01-08-2025 SE REALIZA LLAMADA AL CLIENTE, SE HABLA CON EL SR JOHN ALEXANDER CUERVO RUBIANO SE VALIDA DIRECCIÓN OK, CANAL OK, DISPONIBILIDAD TOTAL, LLAMAR EL DÍA LA INSTALACIÓN PARA CONFIRMAR VISITA, AVISO EXTERIOR ALTURA APROX 2 METROS; TOMACORRIENTE CERCANO: SI; TIENE CABINA DE SEGURIDAD: NO // CONTACTO REALIZADO POR LA APP 4/08/2025 SE DEBE REPROGRAMAR ACTIVIDAD, EL COMERCIO ES AL INTERIOR DE UN CONJUNTO RESIDENCIAL, SE REQUIEREN PERMISOS DE ADMINISTRACIÓN PARA LA INSTALACIÓN DE LA PUBLICIDAD, SE INFORMA NOVEDAD A COORDINACIÓN QUIEN INDICA REPROGRAMAR PARA MAÑANA 05-08-2025, SE RETORNA PUBLICIDAD A BODEGA. 05-08 SE REALIZA INSTALACIÓN DE CORRESPONSAL, SE INSTALAN EQUIPOS CON PRUEBAS EXITOSAS, SE CAPACITA Y SE EVALÚA AL CLIENTE, SE INSTALA PUBLICIDAD COMPLETA, CB QUEDA OPERATIVO. USUARIO SOMOS BANCOLOMBIA ACTIVO. SE INSTALAN 8 MT DE CABLE UTP"/>
    <s v="VISITA _TECNICA"/>
    <s v="F8ZZZ008"/>
    <s v="TIPO I"/>
    <s v="TERRESTRE"/>
    <s v="GALINDO ROJAS LUIS FELIPE"/>
    <n v="8"/>
    <n v="0"/>
    <n v="0"/>
    <n v="0"/>
    <n v="1"/>
    <n v="44559.984800000006"/>
    <n v="174437.54832"/>
  </r>
  <r>
    <s v="PEREIRA"/>
    <x v="2"/>
    <x v="2"/>
    <n v="66001"/>
    <s v="TA-25-915501"/>
    <n v="80798"/>
    <s v="APERTURA"/>
    <s v="CB CRECIMIENTO - NUEVO"/>
    <s v="RISARALDA"/>
    <s v="PEREIRA"/>
    <s v="BARRIO EL JARDIN ETAPA 3 PEREIRA"/>
    <s v="REDEBAN"/>
    <s v="FO-25-1316441"/>
    <d v="2025-08-01T00:00:00"/>
    <d v="2025-08-04T00:00:00"/>
    <s v="UNO A UNO"/>
    <s v="UNO A UNO"/>
    <s v="EJECUTADO"/>
    <s v="01-08-2025 SE REALIZA LLAMADA AL CLIENTE, SE HABLA CON LA SRA ANDREA TORRES PAREJA DEL SR RONAL ALEXANDER RODRIGUEZ MUR,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 SE INSTALAN 8 MT DE CABLE UTP"/>
    <s v="VISITA _TECNICA"/>
    <s v="F8ZZZ033"/>
    <s v="TIPO I"/>
    <s v="TERRESTRE"/>
    <s v="FRANCO CAÑAVERAL YAMID RAUL"/>
    <n v="8"/>
    <n v="0"/>
    <n v="0"/>
    <n v="0"/>
    <n v="0"/>
    <n v="44559.984800000006"/>
    <n v="129877.56352"/>
  </r>
  <r>
    <s v="CALI"/>
    <x v="2"/>
    <x v="3"/>
    <n v="76001"/>
    <s v="TA-25-929470"/>
    <n v="80871"/>
    <s v="APERTURA"/>
    <s v="CB CRECIMIENTO - NUEVO"/>
    <s v="VALLE DEL CAUCA"/>
    <s v="CALI"/>
    <s v="BARRIO TERRON COLORADO CALI 2"/>
    <s v="REDEBAN"/>
    <s v="FO-25-1337707"/>
    <d v="2025-08-06T00:00:00"/>
    <d v="2025-08-08T00:00:00"/>
    <s v="UNO A UNO"/>
    <s v="UNO A UNO"/>
    <s v="EJECUTADO"/>
    <s v="06-08 SE REALIZA LLAMADA AL CLIENTE, SE HABLA CON LA SRA JHENIFER CAROLINA VANEGAS RODRIGUEZ  SE VALIDA DIRECCIÓN OK, CANAL OK, DISPONIBILIDAD TOTAL, LLAMAR EL DÍA LA INSTALACIÓN PARA CONFIRMAR VISITA, AVISO EXTERIOR ALTURA: NO INDICA ALTURA; TOMACORRIENTE CERCANO: SI; TIENE CABINA DE SEGURIDAD: SI 08-08 SE REALIZA INSTALACIÓN DE CORRESPONSAL, SE INSTALAN EQUIPOS CON PRUEBAS EXITOSAS, SE CAPACITA Y SE EVALÚA AL CLIENTE, SE INSTALA PUBLICIDAD COMPLETA, CB QUEDA OPERATIVO. USUARIO SOMOS BANCOLOMBIA ACTIVO. SE INSTALAN 5 MT DE CABLE UTP"/>
    <s v="VISITA _TECNICA"/>
    <s v="FGZZZ906"/>
    <s v="TIPO I"/>
    <s v="TERRESTRE"/>
    <s v="BOLAÑOS TABORDA JORGE ENRIQUE"/>
    <n v="5"/>
    <n v="0"/>
    <n v="0"/>
    <n v="0"/>
    <n v="0"/>
    <n v="44559.984800000006"/>
    <n v="81173.477199999994"/>
  </r>
  <r>
    <s v="TUNJA"/>
    <x v="3"/>
    <x v="4"/>
    <n v="15776"/>
    <s v="TA-25-929577"/>
    <n v="80912"/>
    <s v="APERTURA"/>
    <s v="CB CRECIMIENTO - NUEVO"/>
    <s v="BOYACA"/>
    <s v="SUTAMARCHAN"/>
    <s v="BARRIO CENTRO SUTAMARCHAN 4"/>
    <s v="REDEBAN"/>
    <s v="FO-25-1337775"/>
    <d v="2025-08-06T00:00:00"/>
    <d v="2025-08-12T00:00:00"/>
    <s v="UNO A UNO"/>
    <s v="UNO A UNO"/>
    <s v="EJECUTADO"/>
    <s v="06-08-2025 SE REALIZA LLAMADA AL CLIENTE, SE HABLA CON LA SRA DIANA MARCELA GALVIS RODRÍGUEZ, SE VALIDA DIRECCIÓN OK, CANAL OK, DISPONIBILIDAD TOTAL, LLAMAR EL DÍA LA INSTALACIÓN PARA CONFIRMAR VISITA, AVISO EXTERIOR ALTURA APROX  DONDE EL TECNICO LO VEA CONVENIENTE; TOMACORRIENTE CERCANO: SI; TIENE CABINA DE SEGURIDAD: SI 11-08 POR TEMAS RELACIONADO AL PARO DE MINEROS PRESENTADO EN EL DEPARTAMENTO LA ORDEN SE REPROGRAMA HASTA  NUEVA ORDEN 12/08/2025 SE REALIZA INSTALACIÓN DE CORRESPONSAL, SE INSTALAN EQUIPOS CON PRUEBAS EXITOSAS, SE CAPACITA Y SE EVALÚA AL CLIENTE, SE INSTALA PUBLICIDAD COMPLETA, CB QUEDA OPERATIVO. USUARIO SOMOS BANCOLOMBIA ACTIVO"/>
    <s v="VISITA _TECNICA"/>
    <s v="FGZZZ909"/>
    <s v="TIPO II"/>
    <s v="TERRESTRE"/>
    <s v="RODRIGUEZ MURCIA YERSON IVAN"/>
    <n v="20"/>
    <n v="0"/>
    <n v="0"/>
    <n v="0"/>
    <n v="0"/>
    <n v="134410.38956000001"/>
    <n v="324693.90879999998"/>
  </r>
  <r>
    <s v="TUNJA"/>
    <x v="3"/>
    <x v="4"/>
    <n v="15367"/>
    <s v="TA-25-931159"/>
    <n v="80894"/>
    <s v="APERTURA"/>
    <s v="CB CRECIMIENTO - NUEVO"/>
    <s v="BOYACA"/>
    <s v="JENESANO"/>
    <s v="BARRIO CENTRO JENESANO 7"/>
    <s v="REDEBAN"/>
    <s v="FO-25-1339047"/>
    <d v="2025-08-06T00:00:00"/>
    <d v="2025-08-11T00:00:00"/>
    <s v="UNO A UNO"/>
    <s v="UNO A UNO"/>
    <s v="EJECUTADO"/>
    <s v="06-08-2025 SE REALIZA LLAMADA AL CLIENTE, SE HABLA CON LA SRA YURY ROCIO PARRA APONTE, SE VALIDA DIRECCIÓN OK, CANAL OK, DISPONIBILIDAD TOTAL, LLAMAR EL DÍA LA INSTALACIÓN PARA CONFIRMAR VISITA, AVISO EXTERIOR ALTURA APROX   3 METROS; TOMACORRIENTE CERCANO: SI; TIENE CABINA DE SEGURIDAD: NO 11/08/2025 SE REALIZA INSTALACIÓN DE CORRESPONSAL, SE INSTALAN EQUIPOS CON PRUEBAS EXITOSAS, SE CAPACITA Y SE EVALÚA AL CLIENTE, SE INSTALA PUBLICIDAD COMPLETA, CB QUEDA OPERATIVO. USUARIO SOMOS BANCOLOMBIA ACTIVO. SE INSTALAN 10 MT DE CABLE UTP"/>
    <s v="VISITA _TECNICA"/>
    <s v="FGZZZ912"/>
    <s v="TIPO II"/>
    <s v="TERRESTRE"/>
    <s v="SOLER HOYOS CRISTIAN LEONARDO"/>
    <n v="10"/>
    <n v="0"/>
    <n v="0"/>
    <n v="0"/>
    <n v="0"/>
    <n v="134410.38956000001"/>
    <n v="162346.95439999999"/>
  </r>
  <r>
    <s v="IBAGUE"/>
    <x v="4"/>
    <x v="5"/>
    <n v="73001"/>
    <s v="TA-25-931161"/>
    <n v="80888"/>
    <s v="APERTURA"/>
    <s v="CB CRECIMIENTO - NUEVO"/>
    <s v="TOLIMA"/>
    <s v="IBAGUE"/>
    <s v="BARRIO GAITAN IBAGUE"/>
    <s v="REDEBAN"/>
    <s v="FO-25-1339064"/>
    <d v="2025-08-06T00:00:00"/>
    <d v="2025-08-11T00:00:00"/>
    <s v="UNO A UNO"/>
    <s v="UNO A UNO"/>
    <s v="EJECUTADO"/>
    <s v="06-08-2025 SE REALIZA LLAMADA AL CLIENTE, SE HABLA CON EL SR DEIBY BRAVO BRAVO, SE VALIDA DIRECCIÓN OK, CANAL OK, DISPONIBILIDAD TOTAL, LLAMAR EL DÍA LA INSTALACIÓN PARA CONFIRMAR VISITA, AVISO EXTERIOR ALTURA APROX DONDE EL TECNICO LO VEA CONVENIENTE; TOMACORRIENTE CERCANO: SI; TIENE CABINA DE SEGURIDAD: NO 08-08 SE COMUNICA TELEFÓNICAMENTE CON EL SEÑOR  DEIBY BRAVO BRAVO AL NÚMERO TELEFÓNICO # 3133548286 PARA REALIZAR LA INSTALACIÓN DE CORRESPONSAL INFORMA QUE NO ES POSIBLE RECIBIR LA INSTALACIÓN DEL CB EL DÍA DE HOY SOLICITA QUE SE REALICE EL DÍA LUNES 11 AGOSTO 11-08 SE REALIZA INSTALACIÓN DE CORRESPONSAL, SE INSTALAN EQUIPOS CON PRUEBAS EXITOSAS, SE CAPACITA Y SE EVALÚA AL CLIENTE, SE INSTALA PUBLICIDAD COMPLETA, CB QUEDA OPERATIVO. USUARIO SOMOS BANCOLOMBIA ACTIVO. SE INSTALAN 10 MT DE CABLE UTP"/>
    <s v="VISITA _TECNICA"/>
    <s v="FGZZZ914"/>
    <s v="TIPO I"/>
    <s v="TERRESTRE"/>
    <s v="GUTIERREZ  CAMILO ANDRES"/>
    <n v="10"/>
    <n v="0"/>
    <n v="0"/>
    <n v="0"/>
    <n v="0"/>
    <n v="44559.984800000006"/>
    <n v="162346.95439999999"/>
  </r>
  <r>
    <s v="IBAGUE"/>
    <x v="4"/>
    <x v="5"/>
    <n v="73001"/>
    <s v="TA-25-931163"/>
    <n v="80889"/>
    <s v="APERTURA"/>
    <s v="CB CRECIMIENTO - NUEVO"/>
    <s v="TOLIMA"/>
    <s v="IBAGUE"/>
    <s v="BARRIO SAN REMO IBAGUE"/>
    <s v="REDEBAN"/>
    <s v="FO-25-1339083"/>
    <d v="2025-08-06T00:00:00"/>
    <d v="2025-08-11T00:00:00"/>
    <s v="UNO A UNO"/>
    <s v="UNO A UNO"/>
    <s v="EJECUTADO"/>
    <s v="06-08-2025 SE REALIZA LLAMADA AL CLIENTE, SE HABLA CON LA  SRA DIANA MARCELA PATIÑO HERNANDEZ, SE VALIDA DIRECCIÓN OK, CANAL OK, DISPONIBILIDAD TOTAL, LLAMAR EL DÍA LA INSTALACIÓN PARA CONFIRMAR VISITA, AVISO EXTERIOR ALTURA APROX 2,50 METROS; TOMACORRIENTE CERCANO: SI; TIENE CABINA DE SEGURIDAD: NO// MODEM A 5 METROS  11/08/2025 SE REALIZA INSTALACIÓN DE CORRESPONSAL, SE INSTALAN EQUIPOS CON PRUEBAS EXITOSAS, SE CAPACITA Y SE EVALÚA AL CLIENTE, SE INSTALA PUBLICIDAD COMPLETA, CB QUEDA OPERATIVO. USUARIO SOMOS BANCOLOMBIA ACTIVO. SE INSTALAN 15 MT DE CABLE UTP"/>
    <s v="VISITA _TECNICA"/>
    <s v="FGZZZ916"/>
    <s v="TIPO I"/>
    <s v="TERRESTRE"/>
    <s v="BARRAGAN TAFUR EDWIN ESTEBAN"/>
    <n v="15"/>
    <n v="0"/>
    <n v="0"/>
    <n v="0"/>
    <n v="0"/>
    <n v="44559.984800000006"/>
    <n v="243520.43159999998"/>
  </r>
  <r>
    <s v="BUCARAMANGA"/>
    <x v="3"/>
    <x v="4"/>
    <n v="68169"/>
    <s v="TA-25-931184"/>
    <n v="80877"/>
    <s v="APERTURA"/>
    <s v="CB CRECIMIENTO - NUEVO"/>
    <s v="SANTANDER"/>
    <s v="CHARTA"/>
    <s v="BARRIO EL CARMEN CHARTA"/>
    <s v="REDEBAN"/>
    <s v="FO-25-1339209"/>
    <d v="2025-08-06T00:00:00"/>
    <d v="2025-08-11T00:00:00"/>
    <s v="UNO A UNO"/>
    <s v="UNO A UNO"/>
    <s v="EJECUTADO"/>
    <s v="06-08 SE REALIZA LLAMADA AL CLIENTE, SE HABLA CON LA SRA ALICIA PABON DE VILLABONA SE VALIDA DIRECCIÓN OK, CANAL OK, DISPONIBILIDAD TOTAL, LLAMAR EL DÍA LA INSTALACIÓN PARA CONFIRMAR VISITA, AVISO EXTERIOR ALTURA APROX 2 METROS; TOMACORRIENTE CERCANO: SI; TIENE CABINA DE SEGURIDAD: NO - EL MODEM ESTA A 5 MT  11/08/2025 SE REALIZA INSTALACIÓN DE CORRESPONSAL, SE INSTALAN EQUIPOS CON PRUEBAS EXITOSAS, SE CAPACITA Y SE EVALÚA AL CLIENTE, SE INSTALA PUBLICIDAD COMPLETA, CB QUEDA OPERATIVO. USUARIO SOMOS BANCOLOMBIA ACTIVO. SE INSTALAN 10 MT DE CABLE UTP"/>
    <s v="VISITA _TECNICA"/>
    <s v="FGZZZ936"/>
    <s v="TIPO II"/>
    <s v="TERRESTRE"/>
    <s v="SANTOS GONZALEZ JOHAN FABIAN"/>
    <n v="10"/>
    <n v="0"/>
    <n v="0"/>
    <n v="0"/>
    <n v="0"/>
    <n v="134410.38956000001"/>
    <n v="162346.95439999999"/>
  </r>
  <r>
    <s v="YOPAL"/>
    <x v="4"/>
    <x v="5"/>
    <n v="85010"/>
    <s v="TA-25-931186"/>
    <n v="80862"/>
    <s v="APERTURA"/>
    <s v="CB CRECIMIENTO - NUEVO"/>
    <s v="CASANARE"/>
    <s v="AGUAZUL"/>
    <s v="BARRIO LA ESPIGA AGUAZUL"/>
    <s v="REDEBAN"/>
    <s v="FO-25-1339221"/>
    <d v="2025-08-06T00:00:00"/>
    <d v="2025-08-12T00:00:00"/>
    <s v="UNO A UNO"/>
    <s v="UNO A UNO"/>
    <s v="EJECUTADO"/>
    <s v="06-08 SE REALIZA LLAMADA AL CLIENTE, SE HABLA CON LA SR RAFAEL SE VALIDA DIRECCIÓN OK, CANAL OK, DISPONIBILIDAD TOTAL, LLAMAR EL DÍA LA INSTALACIÓN PARA CONFIRMAR VISITA, AVISO EXTERIOR ALTURA APROX 2 METROS; TOMACORRIENTE CERCANO: SI; TIENE CABINA DE SEGURIDAD: SI - EL MODEM ESTA A 6 MT  09-08 EN COMUNICACIÓN CON EL SEÑOR RAFAEL CORONEL AL NUMERO 3209171697, INDICA POR TEMAS PERSONALES Y DISPOSICION NO PUEDE RECIBIRNOS HOY. INDICA NOS ATIENDE EL DIA 12-8-2025. 12/08/2025 SE REALIZA INSTALACIÓN DE CORRESPONSAL, SE INSTALAN EQUIPOS CON PRUEBAS EXITOSAS, SE CAPACITA Y SE EVALÚA AL CLIENTE, SE INSTALA PUBLICIDAD COMPLETA, CB QUEDA OPERATIVO. USUARIO SOMOS BANCOLOMBIA ACTIVO. SE INSTALAN 15 MT DE CABLE UTP"/>
    <s v="VISITA _TECNICA"/>
    <s v="FGZZZ940"/>
    <s v="TIPO II"/>
    <s v="TERRESTRE"/>
    <s v="BERNAL ELAICA EDGAR ALEXIS"/>
    <n v="15"/>
    <n v="0"/>
    <n v="0"/>
    <n v="0"/>
    <n v="0"/>
    <n v="134410.38956000001"/>
    <n v="243520.43159999998"/>
  </r>
  <r>
    <s v="TUNJA"/>
    <x v="3"/>
    <x v="4"/>
    <n v="15238"/>
    <s v="TA-25-931187"/>
    <n v="80882"/>
    <s v="APERTURA"/>
    <s v="CB CRECIMIENTO - NUEVO"/>
    <s v="BOYACA"/>
    <s v="DUITAMA"/>
    <s v="BARRIO ALAMOS DUITAMA"/>
    <s v="REDEBAN"/>
    <s v="FO-25-1339227"/>
    <d v="2025-08-06T00:00:00"/>
    <d v="2025-08-14T00:00:00"/>
    <s v="UNO A UNO"/>
    <s v="UNO A UNO"/>
    <s v="EJECUTADO"/>
    <s v="06-08 SE REALIZA LLAMADA AL CLIENTE, SE HABLA CON LA SR JHON JAIRO ESTUPIÑAN DIAZ  SE VALIDA DIRECCIÓN OK, CANAL OK, DISPONIBILIDAD TOTAL, LLAMAR EL DÍA LA INSTALACIÓN PARA CONFIRMAR VISITA, AVISO EXTERIOR ALTURA APROX 2.5 METROS; TOMACORRIENTE CERCANO: SI; TIENE CABINA DE SEGURIDAD: NO - EL MODEM ESTA A 4 MT  08-08 POR TEMAS RELACIONADOS AL PARO DE MINEROS PRESENTADO EN EL DEPARTAMENTO   LA ORDEN  SE REPROGRAMA HASTA  NUEVA ORDEN 14/08/2025 SE REALIZA INSTALACIÓN DE CORRESPONSAL, SE INSTALAN EQUIPOS CON PRUEBAS EXITOSAS, SE CAPACITA Y SE EVALÚA AL CLIENTE, SE INSTALA PUBLICIDAD COMPLETA, CB QUEDA OPERATIVO. USUARIO SOMOS BANCOLOMBIA ACTIVO. SE INSTALAN 10 MT DE CABLE UTP"/>
    <s v="VISITA _TECNICA"/>
    <s v="FGZZZ941"/>
    <s v="TIPO II"/>
    <s v="TERRESTRE"/>
    <s v="MARTINEZ FLOREZ DONIS ALBERTO"/>
    <n v="10"/>
    <n v="0"/>
    <n v="0"/>
    <n v="0"/>
    <n v="0"/>
    <n v="134410.38956000001"/>
    <n v="162346.95439999999"/>
  </r>
  <r>
    <s v="TUNJA"/>
    <x v="3"/>
    <x v="4"/>
    <n v="15723"/>
    <s v="TA-25-951739"/>
    <n v="80975"/>
    <s v="APERTURA"/>
    <s v="CB CRECIMIENTO - NUEVO"/>
    <s v="BOYACA"/>
    <s v="SATIVASUR"/>
    <s v="BARRIO CENTRO SATIVASUR"/>
    <s v="REDEBAN"/>
    <s v="FO-25-1359836"/>
    <d v="2025-08-11T00:00:00"/>
    <d v="2025-08-14T00:00:00"/>
    <s v="UNO A UNO"/>
    <s v="UNO A UNO"/>
    <s v="EJECUTADO"/>
    <s v="11-08-2025 SE REALIZA LLAMADA AL CLIENTE, SE HABLA CON LA SRA LINA LEONOR PATIÑO DURAN SE VALIDA DIRECCIÓN OK, CANAL OK, DISPONIBILIDAD TOTAL, LLAMAR EL DÍA LA INSTALACIÓN PARA CONFIRMAR VISITA, AVISO EXTERIOR ALTURA APROX 2,50 METROS; TOMACORRIENTE CERCANO: SI; TIENE CABINA DE SEGURIDAD: SI // CONTACTO REALIZADO POR LA APP // CLIENTE INDICA QUE PARA EL DIA DE MIERCOLES TIENE CITA MEDICA FUERA DE LA CIUDAD, SOLICITA VISITAR EL 14/08 14-08 SE REALIZA INSTALACIÓN DE CORRESPONSAL, SE INSTALAN EQUIPOS CON PRUEBAS EXITOSAS, SE CAPACITA Y SE EVALÚA AL CLIENTE, SE INSTALA PUBLICIDAD COMPLETA, CB QUEDA OPERATIVO. USUARIO SOMOS BANCOLOMBIA ACTIVO. SE INSTALAN 10 MT DE CABLE UTP"/>
    <s v="VISITA _TECNICA"/>
    <s v="FIZZZ273"/>
    <s v="TIPO III"/>
    <s v="TERRESTRE"/>
    <s v="SOLER HOYOS CRISTIAN LEONARDO"/>
    <n v="10"/>
    <n v="0"/>
    <n v="0"/>
    <n v="0"/>
    <n v="0"/>
    <n v="222904.27188000001"/>
    <n v="162346.95439999999"/>
  </r>
  <r>
    <s v="CALI"/>
    <x v="2"/>
    <x v="3"/>
    <n v="76130"/>
    <s v="TA-25-952491"/>
    <n v="80939"/>
    <s v="APERTURA"/>
    <s v="CB CRECIMIENTO - NUEVO"/>
    <s v="VALLE DEL CAUCA"/>
    <s v="CANDELARIA"/>
    <s v="BARRIO ARMANDO VASQUEZ CANDELARIA"/>
    <s v="REDEBAN"/>
    <s v="FO-25-1360392"/>
    <d v="2025-08-11T00:00:00"/>
    <d v="2025-08-12T00:00:00"/>
    <s v="UNO A UNO"/>
    <s v="UNO A UNO"/>
    <s v="EJECUTADO"/>
    <s v="11-08 SE REALIZA LLAMADA AL CLIENTE, SE HABLA CON LA SR LUCINDA VIATRIZ GALEA VILLANUEVA  SE VALIDA DIRECCIÓN OK, CANAL OK, DISPONIBILIDAD TOTAL, LLAMAR EL DÍA LA INSTALACIÓN PARA CONFIRMAR VISITA, AVISO EXTERIOR ALTURA APROX 2.5 METROS; TOMACORRIENTE CERCANO: SI; TIENE CABINA DE SEGURIDAD: NO - COMUNICACIÓN POR WPP /  EL MODEM ESTA A 8 MT  12-08 SE REALIZA INSTALACIÓN DE CORRESPONSAL, SE INSTALAN EQUIPOS CON PRUEBAS EXITOSAS, SE CAPACITA Y SE EVALÚA AL CLIENTE, SE INSTALA PUBLICIDAD COMPLETA, CB QUEDA OPERATIVO. USUARIO SOMOS BANCOLOMBIA ACTIVO. SE INSTALAN 15 MT DE CABLE UTP"/>
    <s v="VISITA _TECNICA"/>
    <s v="FIZZZ318"/>
    <s v="TIPO II"/>
    <s v="TERRESTRE"/>
    <s v="TORRES GARCIA JENDRY JOSE"/>
    <n v="15"/>
    <n v="0"/>
    <n v="0"/>
    <n v="0"/>
    <n v="0"/>
    <n v="134410.38956000001"/>
    <n v="243520.43159999998"/>
  </r>
  <r>
    <s v="MEDELLIN"/>
    <x v="0"/>
    <x v="0"/>
    <n v="5088"/>
    <s v="TA-25-982517"/>
    <n v="81108"/>
    <s v="APERTURA"/>
    <s v="CB CRECIMIENTO - NUEVO"/>
    <s v="ANTIOQUIA"/>
    <s v="BELLO"/>
    <s v="BARRIO CENTRO BELLO 1"/>
    <s v="REDEBAN"/>
    <s v="FO-25-1390829"/>
    <d v="2025-08-19T00:00:00"/>
    <d v="2025-08-20T00:00:00"/>
    <s v="UNO A UNO"/>
    <s v="UNO A UNO"/>
    <s v="EJECUTADO"/>
    <s v="16-08 SE REALIZA LLAMADA AL CLIENTE, SE HABLA CON EL SR ELKIN ANDRES BEDOYA SANCHEZ DIRECCIÓN OK, CANAL OK, DISPONIBILIDAD TOTAL, LLAMAR EL DÍA LA INSTALACIÓN PARA CONFIRMAR VISITA, AVISO EXTERIOR ALTURA: APROX 2 METROS; TOMACORRIENTE CERCANO: SI; TIENE CABINA DE SEGURIDAD: SI; INDICA DISTANCIA APROX MODEM-DATAFONO 30 METROS 20-08 SE REALIZA INSTALACIÓN DE CORRESPONSAL, SE INSTALAN EQUIPOS CON PRUEBAS EXITOSAS, SE CAPACITA Y SE EVALÚA AL CLIENTE, SE INSTALA PUBLICIDAD COMPLETA, CB QUEDA OPERATIVO. USUARIO SOMOS BANCOLOMBIA ACTIVO. SE INSTALAN 20 MT DE CABLE UTP"/>
    <s v="VISITA _TECNICA"/>
    <s v="SGZZZ976"/>
    <s v="TIPO I"/>
    <s v="TERRESTRE"/>
    <s v="MARTINEZ TOVAR OSCAR DAVID"/>
    <n v="20"/>
    <n v="0"/>
    <n v="0"/>
    <n v="0"/>
    <n v="0"/>
    <n v="44559.984800000006"/>
    <n v="324693.90879999998"/>
  </r>
  <r>
    <s v="CALI"/>
    <x v="2"/>
    <x v="3"/>
    <n v="76001"/>
    <s v="TA-25-982530"/>
    <n v="81063"/>
    <s v="APERTURA"/>
    <s v="CB CRECIMIENTO - NUEVO"/>
    <s v="VALLE DEL CAUCA"/>
    <s v="CALI"/>
    <s v="BARRIO LA INDEPENDENCIA CALI 1"/>
    <s v="REDEBAN"/>
    <s v="FO-25-1390884"/>
    <d v="2025-08-19T00:00:00"/>
    <d v="2025-08-21T00:00:00"/>
    <s v="UNO A UNO"/>
    <s v="UNO A UNO"/>
    <s v="EJECUTADO"/>
    <s v="19-08-2025 SE REALIZA LLAMADA AL CLIENTE, SE HABLA CON LA SRA LINA MARCELA VARGAS TASCON SE VALIDA DIRECCIÓN OK, CANAL OK, DISPONIBILIDAD TOTAL, LLAMAR EL DÍA LA INSTALACIÓN PARA CONFIRMAR VISITA, AVISO EXTERIOR ALTURA APROX 2,50 METROS; TOMACORRIENTE CERCANO: SI; TIENE CABINA DE SEGURIDAD: SI // CONTACTO REALIZADO POR LA APP // CLIENTE INDICA TENER DISPONIBILIDAD EL DIA 21/08 JUEVES, YA QUE MAÑANA MIERCOLES ESTARIA EN UN PROCESO MEDICO 21-08 SE REALIZA INSTALACIÓN DE CORRESPONSAL, SE INSTALAN EQUIPOS CON PRUEBAS EXITOSAS, SE CAPACITA Y SE EVALÚA AL CLIENTE, SE INSTALA PUBLICIDAD COMPLETA, CB QUEDA OPERATIVO. USUARIO SOMOS BANCOLOMBIA ACTIVO. SE INSTALAN 7 MT DE CABLE UTP"/>
    <s v="VISITA _TECNICA"/>
    <s v="SGZZZ987"/>
    <s v="TIPO I"/>
    <s v="TERRESTRE"/>
    <s v="HERRERA MONAR GEOVANNY"/>
    <n v="7"/>
    <n v="0"/>
    <n v="0"/>
    <n v="0"/>
    <n v="0"/>
    <n v="44559.984800000006"/>
    <n v="113642.86808"/>
  </r>
  <r>
    <s v="BUCARAMANGA"/>
    <x v="3"/>
    <x v="4"/>
    <n v="68547"/>
    <s v="TA-25-982539"/>
    <n v="81091"/>
    <s v="APERTURA"/>
    <s v="CB CRECIMIENTO - NUEVO"/>
    <s v="SANTANDER"/>
    <s v="PIEDECUESTA"/>
    <s v="BARRIO PIEDECUESTA PIEDECUESTA 3"/>
    <s v="REDEBAN"/>
    <s v="FO-25-1390913"/>
    <d v="2025-08-19T00:00:00"/>
    <d v="2025-08-21T00:00:00"/>
    <s v="UNO A UNO"/>
    <s v="UNO A UNO"/>
    <s v="EJECUTADO"/>
    <s v="16-08 SE REALIZA LLAMADA AL CLIENTE, SE HABLA CON LA SRA ERIKA TATIANA NIÑO REYES DIRECCIÓN OK, CANAL OK, DISPONIBILIDAD TOTAL, LLAMAR EL DÍA LA INSTALACIÓN PARA CONFIRMAR VISITA, AVISO EXTERIOR ALTURA: NO INDICA ALTURA; TOMACORRIENTE CERCANO: SI; TIENE CABINA DE SEGURIDAD: SI 20-08 SE INTENTA COMUNICAR WN VARIAS OPORTUNIDADES AL NUMERO 3118313651 ,Y NO HAY RESPUESTA , DEBIDO A Q SE EVIDENCIA Q LA INSTALACION ES EN UNA ZONA RURAL VEREDA, SE ESTARA INTENTANDO COMUNICAR NUEVAMENTE EN EL TRASCURSO DEL.DIA / INTENTAMOS COMUNICARNOS NUEVAMENTE AL NUMERO 3118313651 NUEVAMENTE ,HASTA Q CONTESTA LA SEÑORA ERIKA Y NOS INDICA QUE POR MOTIVOS PERSONALES NO ESTABA DISPONIBLE EL DIA DE HOY , QUE POR FAVOR  LA VISITEMOS MAÑANA 21 DE AGOSOTO DESPUÉS DE LAS 8:30AM, SE LE INDICA Q SE LE ESTARA VISITANDO EL DIA DE MAÑANA JUEVES 21 DE AGOSOTO A LA HORAQ ELLA INDICA 21/08/2025 SE REALIZA INSTALACIÓN DE CORRESPONSAL, SE INSTALAN EQUIPOS CON PRUEBAS EXITOSAS, SE CAPACITA Y SE EVALÚA AL CLIENTE, SE INSTALA PUBLICIDAD COMPLETA, CB QUEDA OPERATIVO. USUARIO SOMOS BANCOLOMBIA ACTIVO. SE INSTALAN 8 MT DE CABLE UTP"/>
    <s v="VISITA _TECNICA"/>
    <s v="SGZZZ994"/>
    <s v="TIPO II"/>
    <s v="TERRESTRE"/>
    <s v="GELVEZ MOGOLLON JOSE ELISEO"/>
    <n v="10"/>
    <n v="0"/>
    <n v="0"/>
    <n v="0"/>
    <n v="0"/>
    <n v="134410.38956000001"/>
    <n v="162346.95439999999"/>
  </r>
  <r>
    <s v="CARTAGENA"/>
    <x v="5"/>
    <x v="6"/>
    <n v="13001"/>
    <s v="TA-25-992101"/>
    <n v="81125"/>
    <s v="APERTURA"/>
    <s v="CB CRECIMIENTO - NUEVO"/>
    <s v="BOLIVAR"/>
    <s v="CARTAGENA"/>
    <s v="BARRIO BICENTENARIO CARTAGENA DE INDIAS 5"/>
    <s v="REDEBAN"/>
    <s v="FO-25-1402167"/>
    <d v="2025-08-21T00:00:00"/>
    <d v="2025-08-25T00:00:00"/>
    <s v="UNO A UNO"/>
    <s v="UNO A UNO"/>
    <s v="EJECUTADO"/>
    <s v="21-08-2025 SE REALIZA LLAMADA AL CLIENTE, SE HABLA CON EL SR IVAN MARTIN FAJARDO NAVARRO SE VALIDA DIRECCIÓN OK, CANAL OK, DISPONIBILIDAD TOTAL, LLAMAR EL DÍA LA INSTALACIÓN PARA CONFIRMAR VISITA, AVISO EXTERIOR ALTURA APROX 2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 SE INSTALAN 10 MT DE CABLE UTP"/>
    <s v="VISITA _TECNICA"/>
    <s v="SIZZZ883"/>
    <s v="TIPO I"/>
    <s v="TERRESTRE"/>
    <s v="CANEDO HERRERA ALEXANDER"/>
    <n v="10"/>
    <n v="0"/>
    <n v="0"/>
    <n v="0"/>
    <n v="0"/>
    <n v="44559.984800000006"/>
    <n v="162346.95439999999"/>
  </r>
  <r>
    <s v="PEREIRA"/>
    <x v="2"/>
    <x v="2"/>
    <n v="66001"/>
    <s v="TA-25-992195"/>
    <n v="81149"/>
    <s v="APERTURA"/>
    <s v="CB CRECIMIENTO - NUEVO"/>
    <s v="RISARALDA"/>
    <s v="PEREIRA"/>
    <s v="BARRIO VILLAVICENCIO PAREIRA"/>
    <s v="REDEBAN"/>
    <s v="FO-25-1402525"/>
    <d v="2025-08-21T00:00:00"/>
    <d v="2025-08-22T00:00:00"/>
    <s v="UNO A UNO"/>
    <s v="UNO A UNO"/>
    <s v="EJECUTADO"/>
    <s v="21-08 SE REALIZA LLAMADA AL CLIENTE, SE HABLA CON LA SRA SONIA VIVIANA VALENCIA GARZON  SE VALIDA DIRECCIÓN OK, CANAL OK, DISPONIBILIDAD TOTAL, LLAMAR EL DÍA LA INSTALACIÓN PARA CONFIRMAR VISITA, AVISO EXTERIOR ALTURA APROX 2.60 METROS; TOMACORRIENTE CERCANO: NO; TIENE CABINA DE SEGURIDAD: NO - COMUNICACIÓN POR WPP / EL MODEM ESTA A 4 MT  22/08/2025 SE REALIZA INSTALACIÓN DE CORRESPONSAL, SE INSTALAN EQUIPOS CON PRUEBAS EXITOSAS, SE CAPACITA Y SE EVALÚA AL CLIENTE, SE INSTALA PUBLICIDAD COMPLETA, CB QUEDA OPERATIVO. USUARIO SOMOS BANCOLOMBIA ACTIVO. SE INSTALAN 8 MT DE CABLE UTP"/>
    <s v="VISITA _TECNICA"/>
    <s v="SIZZZ923"/>
    <s v="TIPO I"/>
    <s v="TERRESTRE"/>
    <s v="FRANCO CAÑAVERAL YAMID RAUL"/>
    <n v="8"/>
    <n v="0"/>
    <n v="0"/>
    <n v="0"/>
    <n v="0"/>
    <n v="44559.984800000006"/>
    <n v="129877.56352"/>
  </r>
  <r>
    <s v="CALI"/>
    <x v="2"/>
    <x v="3"/>
    <n v="76520"/>
    <s v="TA-25-1005081"/>
    <n v="81090"/>
    <s v="APERTURA"/>
    <s v="CB CRECIMIENTO - OTRAS LISTAS"/>
    <s v="VALLE DEL CAUCA"/>
    <s v="PALMIRA"/>
    <s v="BARRIO POPULAR MODELO PALMIRA"/>
    <s v="REDEBAN"/>
    <s v="FO-25-1419050"/>
    <d v="2025-08-25T00:00:00"/>
    <d v="2025-08-26T00:00:00"/>
    <s v="UNO A UNO"/>
    <s v="UNO A UNO"/>
    <s v="EJECUTADO"/>
    <s v="25-08 SE REALIZA LLAMADA AL CLIENTE, SE HABLA CON EL SR LUIS FERNANDO PIZA VELANDIA SE VALIDA DIRECCIÓN OK, CANAL OK, DISPONIBILIDAD TOTAL, LLAMAR EL DÍA DE LA INSTALACIÓN PARA CONFIRMAR VISITA, AVISO EXTERIOR NO INDICA ALTURA; TOMACORRIENTE CERCANO: SI; TIENE CABINA DE SEGURIDAD: SI 26/08/2025 SE REALIZA INSTALACIÓN DE CORRESPONSAL, SE INSTALAN EQUIPOS TRANSACCIONES DE DEPÓSITO Y RETIRO EXITOSO. DEMÁS TRANSACCIONES SE SIMULARON PERO NO FUERON EXITOSAS POR FALTA HERRAMIENTAS DEL CLIENTE ( TRANSFERENCIA Y SALDO Y RETIRO CON TARJETA)., SE CAPACITA Y SE EVALÚA AL CLIENTE, SE INSTALA PUBLICIDAD COMPLETA, CB QUEDA OPERATIVO. USUARIO SOMOS BANCOLOMBIA ACTIVO. SE INSTALAN 20 MT DE CABLE UTP"/>
    <s v="VISITA _TECNICA"/>
    <s v="VBZZZ287"/>
    <s v="TIPO I"/>
    <s v="TERRESTRE"/>
    <s v="BOLAÑOS TABORDA JORGE ENRIQUE"/>
    <n v="20"/>
    <n v="0"/>
    <n v="0"/>
    <n v="0"/>
    <n v="0"/>
    <n v="44559.984800000006"/>
    <n v="324693.90879999998"/>
  </r>
  <r>
    <s v="CALI"/>
    <x v="2"/>
    <x v="3"/>
    <n v="76001"/>
    <s v="TA-25-1033994"/>
    <n v="81193"/>
    <s v="APERTURA"/>
    <s v="CB CRECIMIENTO - NUEVO"/>
    <s v="VALLE DEL CAUCA"/>
    <s v="CALI"/>
    <s v="BARRIO ULPIANO LLOREDA CALI 1"/>
    <s v="REDEBAN"/>
    <s v="FO-25-1433077"/>
    <d v="2025-08-27T00:00:00"/>
    <d v="2025-08-28T00:00:00"/>
    <s v="UNO A UNO"/>
    <s v="UNO A UNO"/>
    <s v="EJECUTADO"/>
    <s v="27-08-2025 SE REALIZA LLAMADA AL CLIENTE, SE HABLA CON EL SR CARLOS ALFONSO FALLA HENAO SE VALIDA DIRECCIÓN OK, CANAL OK, DISPONIBILIDAD TOTAL, LLAMAR EL DÍA LA INSTALACIÓN PARA CONFIRMAR VISITA, AVISO EXTERIOR ALTURA APROX 2 METROS; TOMACORRIENTE CERCANO: SI; TIENE CABINA DE SEGURIDAD: SI  28-08 SE REALIZA INSTALACIÓN DE CORRESPONSAL, SE INSTALAN EQUIPOS CON PRUEBAS EXITOSAS, SE CAPACITA Y SE EVALÚA AL CLIENTE, SE INSTALA PUBLICIDAD COMPLETA, CB QUEDA OPERATIVO. USUARIO SOMOS BANCOLOMBIA ACTIVO. SE INSTALAN 10 MT DE CABLE UTP"/>
    <s v="VISITA _TECNICA"/>
    <s v="FKZZZ652"/>
    <s v="TIPO I"/>
    <s v="TERRESTRE"/>
    <s v="BOLAÑOS TABORDA JORGE ENRIQUE"/>
    <n v="10"/>
    <n v="0"/>
    <n v="0"/>
    <n v="0"/>
    <n v="0"/>
    <n v="44559.984800000006"/>
    <n v="162346.95439999999"/>
  </r>
  <r>
    <s v="BOGOTA"/>
    <x v="1"/>
    <x v="1"/>
    <n v="11001"/>
    <s v="TA-25-1034020"/>
    <n v="81188"/>
    <s v="APERTURA"/>
    <s v="CB CRECIMIENTO - NUEVO"/>
    <s v="CUNDINAMARCA"/>
    <s v="BOGOTA"/>
    <s v="BARRIO BARRANCAS BOGOTA 13"/>
    <s v="REDEBAN"/>
    <s v="FO-25-1433163"/>
    <d v="2025-08-27T00:00:00"/>
    <d v="2025-08-28T00:00:00"/>
    <s v="UNO A UNO"/>
    <s v="UNO A UNO"/>
    <s v="EJECUTADO"/>
    <s v="27-08 SE REALIZA LLAMADA AL CLIENTE, SE HABLA CON LA SR OSCAR ALEJANDRO LOZANO LOPEZ SE VALIDA DIRECCIÓN OK, CANAL OK, DISPONIBILIDAD TOTAL, LLAMAR EL DÍA LA INSTALACIÓN PARA CONFIRMAR VISITA, AVISO EXTERIOR ALTURA: NO INDICA ALTURA; TOMACORRIENTE CERCANO: SI; TIENE CABINA DE SEGURIDAD: NO - EL MODEM ESTA A 15 MT  28/08/2025 SE REALIZA INSTALACIÓN DE CORRESPONSAL, SE INSTALAN EQUIPOS CON PRUEBAS EXITOSAS, SE CAPACITA Y SE EVALÚA AL CLIENTE, SE INSTALA PUBLICIDAD COMPLETA, CB QUEDA OPERATIVO. USUARIO SOMOS BANCOLOMBIA ACTIVO. SE INSTALAN 8 MT DE CABLE UTP"/>
    <s v="VISITA _TECNICA"/>
    <s v="FKZZZ667"/>
    <s v="TIPO I"/>
    <s v="TERRESTRE"/>
    <s v="ORTIZ MARTINEZ STIVEN"/>
    <n v="10"/>
    <n v="0"/>
    <n v="0"/>
    <n v="0"/>
    <n v="0"/>
    <n v="44559.984800000006"/>
    <n v="162346.95439999999"/>
  </r>
  <r>
    <s v="CALI"/>
    <x v="2"/>
    <x v="3"/>
    <n v="76606"/>
    <s v="TA-25-1034028"/>
    <n v="81244"/>
    <s v="APERTURA"/>
    <s v="CB CRECIMIENTO - NUEVO"/>
    <s v="VALLE DEL CAUCA"/>
    <s v="RESTREPO"/>
    <s v="BARRIO CENTRO RESTREPO 8"/>
    <s v="REDEBAN"/>
    <s v="FO-25-1433218"/>
    <d v="2025-08-27T00:00:00"/>
    <d v="2025-08-29T00:00:00"/>
    <s v="UNO A UNO"/>
    <s v="UNO A UNO"/>
    <s v="EJECUTADO"/>
    <s v="27-08 SE REALIZA LLAMADA AL CLIENTE, SE HABLA CON LA SRA JULIO ERNESTO SALAZAR SALAZAR  SE VALIDA DIRECCIÓN OK, CANAL OK, DISPONIBILIDAD TOTAL, LLAMAR EL DÍA LA INSTALACIÓN PARA CONFIRMAR VISITA, AVISO EXTERIOR ALTURA APROX 2.5 METROS; TOMACORRIENTE CERCANO: SI; TIENE CABINA DE SEGURIDAD: NO  - EL MODEM ESTA A 5 MT  29-08 SE REALIZA INSTALACIÓN DE CORRESPONSAL, SE INSTALAN EQUIPOS CON PRUEBAS EXITOSAS, SE CAPACITA Y SE EVALÚA AL CLIENTE, SE INSTALA PUBLICIDAD COMPLETA, CB QUEDA OPERATIVO. USUARIO SOMOS BANCOLOMBIA ACTIVO. SE INSTALAN 7 MT DE CABLE UTP"/>
    <s v="VISITA _TECNICA"/>
    <s v="FKZZZ674"/>
    <s v="TIPO II"/>
    <s v="TERRESTRE"/>
    <s v="MONTERO MUESES GIAN CARLO"/>
    <n v="9"/>
    <n v="0"/>
    <n v="0"/>
    <n v="0"/>
    <n v="0"/>
    <n v="134410.38956000001"/>
    <n v="146112.25896000001"/>
  </r>
  <r>
    <s v="CALI"/>
    <x v="2"/>
    <x v="3"/>
    <n v="76001"/>
    <s v="TA-25-915476"/>
    <n v="80778"/>
    <s v="APERTURA"/>
    <s v="CB CRECIMIENTO - NUEVO"/>
    <s v="VALLE DEL CAUCA"/>
    <s v="CALI"/>
    <s v="BARRIO FELIDIA CALI"/>
    <m/>
    <s v="FO-25-1316363"/>
    <d v="2025-08-01T00:00:00"/>
    <d v="2025-08-04T00:00:00"/>
    <s v="UNO A UNO"/>
    <s v="UNO A UNO"/>
    <s v="EJECUTADO"/>
    <s v="01-08-2025 SE REALIZA LLAMADA AL CLIENTE, SE HABLA CON EL ESPOSO DE LA SRA MARITZA DEL CARMEN MEDINA PEREIRA, SE VALIDA DIRECCIÓN OK, CANAL OK, DISPONIBILIDAD TOTAL, LLAMAR EL DÍA LA INSTALACIÓN PARA CONFIRMAR VISITA, AVISO EXTERIOR ALTURA APROX  DONDE EL TECNICO LO VEA CONVENIENTE; TOMACORRIENTE CERCANO: SI; TIENE CABINA DE SEGURIDAD: SI  4/08/2025 SE REALIZA INSTALACIÓN DE CORRESPONSAL, SE INSTALAN EQUIPOS CON PRUEBAS EXITOSAS, SE CAPACITA Y SE EVALÚA AL CLIENTE, SE INSTALA PUBLICIDAD COMPLETA, CB QUEDA OPERATIVO. USUARIO SOMOS BANCOLOMBIA ACTIVO"/>
    <m/>
    <s v="F8ZZZ017"/>
    <s v="TIPO I"/>
    <s v="TERRESTRE"/>
    <s v="BOLAÑOS TABORDA JORGE ENRIQUE"/>
    <d v="1900-01-09T00:00:00"/>
    <n v="0"/>
    <n v="0"/>
    <n v="0"/>
    <n v="0"/>
    <n v="44559.984800000006"/>
    <n v="162346.95439999999"/>
  </r>
  <r>
    <s v="CALI"/>
    <x v="2"/>
    <x v="3"/>
    <n v="76520"/>
    <s v="TA-25-952397"/>
    <n v="80952"/>
    <s v="APERTURA"/>
    <s v="CB CRECIMIENTO - NUEVO"/>
    <s v="VALLE DEL CAUCA"/>
    <s v="PALMIRA"/>
    <s v="BARRIO ALTAMIRA PALMIRA 3"/>
    <m/>
    <s v="FO-25-1360278"/>
    <d v="2025-08-11T00:00:00"/>
    <d v="2025-08-12T00:00:00"/>
    <s v="UNO A UNO"/>
    <s v="UNO A UNO"/>
    <s v="EJECUTADO"/>
    <s v="11-08 SE REALIZA LLAMADA AL CLIENTE, SE HABLA CON LA SR EDUARD ALEJANDRO ORTEGA SANCHEZ SE VALIDA DIRECCIÓN OK, CANAL OK, DISPONIBILIDAD TOTAL, LLAMAR EL DÍA LA INSTALACIÓN PARA CONFIRMAR VISITA, AVISO EXTERIOR ALTURA : NO INDICA ALTURA; TOMACORRIENTE CERCANO: SI; TIENE CABINA DE SEGURIDAD: SI - EL MODEM ESTA A 4 MT  12-08 SE REALIZA INSTALACIÓN DE CORRESPONSAL, SE INSTALAN EQUIPOS CON PRUEBAS EXITOSAS, SE CAPACITA Y SE EVALÚA AL CLIENTE, SE INSTALA PUBLICIDAD COMPLETA, CB QUEDA OPERATIVO. USUARIO SOMOS BANCOLOMBIA ACTIVO"/>
    <m/>
    <s v="FIZZZ297"/>
    <s v="TIPO I"/>
    <s v="TERRESTRE"/>
    <s v="SANCHEZ URREGO ROBINSON DAVID"/>
    <d v="1900-01-06T00:00:00"/>
    <n v="0"/>
    <n v="0"/>
    <n v="0"/>
    <n v="0"/>
    <n v="44559.984800000006"/>
    <n v="113642.86808"/>
  </r>
  <r>
    <s v="BUCARAMANGA"/>
    <x v="3"/>
    <x v="4"/>
    <n v="68547"/>
    <s v="TA-25-1005062"/>
    <n v="81172"/>
    <s v="APERTURA"/>
    <s v="CB CRECIMIENTO - NUEVO"/>
    <s v="SANTANDER"/>
    <s v="PIEDECUESTA"/>
    <s v="BARRIO VILLANUEVA PIEDECUESTA 1"/>
    <s v="REDEBAN"/>
    <s v="FO-25-1418990"/>
    <d v="2025-08-25T00:00:00"/>
    <d v="2025-08-26T00:00:00"/>
    <s v="UNO A UNO"/>
    <s v="UNO A UNO"/>
    <s v="EJECUTADO"/>
    <s v="25-08 SE REALIZA LLAMADA AL CLIENTE, SE HABLA CON EL SR CAMILO ESTEBAN JAIMES VILLAMIZAR SE VALIDA DIRECCIÓN OK, CANAL OK, DISPONIBILIDAD TOTAL, LLAMAR EL DÍA DE LA INSTALACIÓN PARA CONFIRMAR VISITA, AVISO EXTERIOR 2,5 METROS APROX; TOMACORRIENTE CERCANO: SI; TIENE CABINA DE SEGURIDAD: NO 26/08/2025 SE REALIZA INSTALACIÓN DE CORRESPONSAL, SE INSTALAN EQUIPOS CON PRUEBAS EXITOSAS, SE CAPACITA Y SE EVALÚA AL CLIENTE, SE INSTALA PUBLICIDAD COMPLETA, CB QUEDA OPERATIVO. USUARIO SOMOS BANCOLOMBIA ACTIVO. SE INSTALA SWITCH 223C4S6013230"/>
    <s v="VISITA _TECNICA"/>
    <s v="VBZZZ276"/>
    <s v="TIPO II"/>
    <s v="TERRESTRE"/>
    <s v="ORTEBARRERAGA MARLON STWAR"/>
    <n v="0"/>
    <n v="0"/>
    <n v="1"/>
    <n v="0"/>
    <n v="0"/>
    <n v="134410.38956000001"/>
    <n v="257391.81956"/>
  </r>
  <r>
    <s v="CALI"/>
    <x v="2"/>
    <x v="3"/>
    <n v="76001"/>
    <s v="TA-25-1005079"/>
    <n v="81060"/>
    <s v="APERTURA"/>
    <s v="CB CRECIMIENTO - OTRAS LISTAS"/>
    <s v="VALLE DEL CAUCA"/>
    <s v="CALI"/>
    <s v="BARRIO SANTA ISABEL CALI 3"/>
    <s v="REDEBAN"/>
    <s v="FO-25-1419047"/>
    <d v="2025-08-25T00:00:00"/>
    <d v="2025-08-26T00:00:00"/>
    <s v="UNO A UNO"/>
    <s v="UNO A UNO"/>
    <s v="EJECUTADO"/>
    <s v="25-08 SE REALIZA LLAMADA AL CLIENTE, SE HABLA CON LA SRA VALENTINA LOPEZ MONDOL SE VALIDA DIRECCIÓN OK, CANAL OK, DISPONIBILIDAD TOTAL, LLAMAR EL DÍA DE LA INSTALACIÓN PARA CONFIRMAR VISITA, AVISO EXTERIOR APROX 3 METROS; TOMACORRIENTE CERCANO: SI; TIENE CABINA DE SEGURIDAD: SI 26/08/2025 SE REALIZA INSTALACIÓN DE CORRESPONSAL, SE INSTALAN EQUIPOS CON PRUEBAS EXITOSAS, SE CAPACITA Y SE EVALÚA AL CLIENTE, SE INSTALA PUBLICIDAD COMPLETA, CB QUEDA OPERATIVO. USUARIO SOMOS BANCOLOMBIA ACTIVO. SE INSTALAN SWITCCHH 221C1Q3006448"/>
    <s v="VISITA _TECNICA"/>
    <s v="VBZZZ286"/>
    <s v="TIPO I"/>
    <s v="TERRESTRE"/>
    <s v="MONTERO MUESES GIAN CARLO"/>
    <n v="0"/>
    <n v="0"/>
    <n v="1"/>
    <n v="0"/>
    <n v="0"/>
    <n v="44559.984800000006"/>
    <n v="257391.81956"/>
  </r>
  <r>
    <s v="BOGOTA"/>
    <x v="1"/>
    <x v="1"/>
    <n v="25899"/>
    <s v="TA-25-915496"/>
    <n v="80823"/>
    <s v="APERTURA"/>
    <s v="CB CRECIMIENTO - NUEVO"/>
    <s v="CUNDINAMARCA"/>
    <s v="ZIPAQUIRA"/>
    <s v="BARRIO SAN PABLO ZIPAQUIRA 3"/>
    <s v="REDEBAN"/>
    <s v="FO-25-1316424"/>
    <d v="2025-08-01T00:00:00"/>
    <d v="2025-08-05T00:00:00"/>
    <s v="UNO A UNO"/>
    <s v="UNO A UNO"/>
    <s v="EJECUTADO/CANCELADO"/>
    <s v="01-08-2025 SE REALIZA LLAMADA AL CLIENTE, SE HABLA CON EL SR JHONNATAN SAMUEL GONZALEZ MARTINEZ SE VALIDA DIRECCIÓN OK, CANAL OK, DISPONIBILIDAD TOTAL, LLAMAR EL DÍA LA INSTALACIÓN PARA CONFIRMAR VISITA, AVISO EXTERIOR ALTURA APROX  3 METROS; TOMACORRIENTE CERCANO: SI; TIENE CABINA DE SEGURIDAD: SI// MODEM A 6 METROS 5/08/2025 SE REALIZA VISITA PARA EJECUTAR LA IMPLEMENTACIÓN DE CORRESPONSAL BANCARIO PERO AL LLEGAR NO ES POSIBLE REALIZAR YA QUE EL SR JHONATAN SE LE PRESENTÓ UNA CALAMIDAD POR EL CUAL NO LE ES POSIBLE ATENDER SE BRINDA INFORMACIÓN PARA REALIZA LA NUEVA SOLICITUD DE INSTALACIÓN"/>
    <s v="VISITA _TECNICA"/>
    <s v="F8ZZZ027"/>
    <s v="TIPO II"/>
    <s v="TERRESTRE"/>
    <s v="GALEANO SORIANO JUAN DAVID"/>
    <n v="0"/>
    <n v="0"/>
    <n v="0"/>
    <n v="0"/>
    <n v="1"/>
    <n v="134410.38956000001"/>
    <n v="134410.38956000001"/>
  </r>
  <r>
    <s v="CARTAGENA"/>
    <x v="5"/>
    <x v="6"/>
    <n v="13001"/>
    <s v="TA-25-915508"/>
    <n v="80781"/>
    <s v="APERTURA"/>
    <s v="CB CRECIMIENTO - NUEVO"/>
    <s v="BOLIVAR"/>
    <s v="CARTAGENA"/>
    <s v="BARRIO VILLA ESTRELLA CARTAGENA 3"/>
    <s v="REDEBAN"/>
    <s v="FO-25-1316456"/>
    <d v="2025-08-01T00:00:00"/>
    <d v="2025-08-04T00:00:00"/>
    <s v="UNO A UNO"/>
    <s v="UNO A UNO"/>
    <s v="EJECUTADO/CANCELADO"/>
    <s v="01-08 SE REALIZA LLAMADA AL CLIENTE, SE HABLA CON LA SRA ALEXANDRA ANGULO ANDRADE  SE VALIDA DIRECCIÓN OK, CANAL OK, DISPONIBILIDAD TOTAL, LLAMAR EL DÍA LA INSTALACIÓN PARA CONFIRMAR VISITA, AVISO EXTERIOR ALTURA APROX 2 METROS; TOMACORRIENTE CERCANO: SI; TIENE CABINA DE SEGURIDAD: NO 4/08/2025 SE ESCALA EL SIGUIENTE CASO, DONDE SE VA INSTALAR EN UN APARTAMENTO DEL SEGUNDO PISO, TORRE 2 DEL CONJUNTO RESIDENCIAL “CONDOMIO IPANEMA”, INDICAN QUE EL AVISO SE PUEDE INSTALAR EN EL PASILLO DEL EDIFICIO, A LA ENTRADA DEL APARTAMENTO. SE EVIDENCIA TAMBIÉN QUE EL COMERCIO ES UNA VIVIENDA CON UNA VITRINA PEQUEÑA CON ACCESORIOS DE CELULARES. / PROCEDEMOS A ESCALAR A ENTIDAD LA SITUACIÓN, YA QUE SE TIENE PREVISTA LA INSTALACIÓN EN UN APARTAMENTO QUE NO CUENTA CON AVISO PUBLICITARIO, LO CUAL PUEDE GENERAR DIFICULTADES EN LA IDENTIFICACIÓN DEL PUNTO. // ENTIDAD SOLICITA CANCELAR LA ACTIVIDAD"/>
    <s v="VISITA _TECNICA"/>
    <s v="F8ZZZ036"/>
    <s v="TIPO I"/>
    <s v="TERRESTRE"/>
    <s v="CANEDO HERRERA ALEXANDER"/>
    <n v="0"/>
    <n v="0"/>
    <n v="0"/>
    <n v="0"/>
    <n v="1"/>
    <n v="44559.984800000006"/>
    <n v="44559.984800000006"/>
  </r>
  <r>
    <s v="CUCUTA"/>
    <x v="3"/>
    <x v="4"/>
    <n v="54874"/>
    <s v="TA-25-915525"/>
    <n v="80816"/>
    <s v="APERTURA"/>
    <s v="CB CRECIMIENTO - NUEVO"/>
    <s v="NORTE DE SANTANDER"/>
    <s v="VILLA DEL ROSARIO"/>
    <s v="BARRIO LA PARADA VILLA DEL ROSARIO 11"/>
    <s v="REDEBAN"/>
    <s v="FO-25-1316487"/>
    <d v="2025-08-01T00:00:00"/>
    <d v="2025-08-04T00:00:00"/>
    <s v="UNO A UNO"/>
    <s v="UNO A UNO"/>
    <s v="EJECUTADO/CANCELADO"/>
    <s v="01-08 SE REALIZA LLAMADA AL CLIENTE, SE HABLA CON LA SRA LEDYS ANDREA ESCALANTE BERBESI  SE VALIDA DIRECCIÓN OK, CANAL OK, DISPONIBILIDAD TOTAL, LLAMAR EL DÍA LA INSTALACIÓN PARA CONFIRMAR VISITA, AVISO EXTERIOR ALTURA: NO INDICA ALTURA; TOMACORRIENTE CERCANO: SI; TIENE CABINA DE SEGURIDAD: NO 4/08/2025 SE REALIZÓ VISITA AL COMERCIO Y CLIENTE NO ACEPTA LA ACTIVIDAD DE IMPLEMENTACIÓN DE CORRESPONSAL, QUE EN OTRO MOMENTO SE COMUNICARA CON EL BANCO PARA SOLICITARLO EN CASO QUE LO LLEGARA A NECESITAR."/>
    <s v="VISITA _TECNICA"/>
    <s v="F8ZZZ043"/>
    <s v="TIPO I"/>
    <s v="TERRESTRE"/>
    <s v="MORA VEGA JEAMPIER"/>
    <n v="0"/>
    <n v="0"/>
    <n v="0"/>
    <n v="0"/>
    <n v="1"/>
    <n v="44559.984800000006"/>
    <n v="44559.984800000006"/>
  </r>
  <r>
    <s v="MEDELLIN"/>
    <x v="0"/>
    <x v="0"/>
    <n v="5642"/>
    <s v="TA-25-930981"/>
    <n v="80842"/>
    <s v="APERTURA"/>
    <s v="CB CRECIMIENTO ALIANZA - NUEVO"/>
    <s v="ANTIOQUIA"/>
    <s v="SALGAR"/>
    <s v="PTM SALGAR NATULIGHT TIENDA NA"/>
    <s v="REDEBAN"/>
    <s v="FO-25-1338801"/>
    <d v="2025-08-06T00:00:00"/>
    <d v="2025-08-11T00:00:00"/>
    <s v="AGREGADOR"/>
    <s v="COMCARD - PTM"/>
    <s v="EJECUTADO/CANCELADO"/>
    <s v="06-08 PROGRAMACIÓN REALIZADA POR LA ALIANZA 11/08/2025 REPORTAMOS NOVEDAD DE INSTALACIÓN.VISITAMOS COMERCIO ENCONTRANDO CERCANÍA CON 2 PUNTOS: PUNTO EXISTENTE 1: 3007029991 BARRIO PARQUE 2 SALGAR. COORDENADAS 5.963714 -75.979253 PUNTO EXISTENTE 2: 3007037617 DISTRICOL CELULARES JU. COORDENADAS 5.963669 -75.979412 COORDENADAS PUNTO A INSTALAR HOY: 5.963799 -75.979332 / ENTIDAD SOLICITA CANCELAR ACTIVIDAD"/>
    <s v="VISITA _TECNICA"/>
    <s v="FHZZZ002"/>
    <s v="TIPO II"/>
    <s v="TERRESTRE"/>
    <s v="CASTAÑEDA PALACIO CARLOS FELIPE"/>
    <n v="0"/>
    <n v="0"/>
    <n v="0"/>
    <n v="0"/>
    <n v="1"/>
    <n v="134410.38956000001"/>
    <n v="134410.38956000001"/>
  </r>
  <r>
    <s v="VILLAVICENCIO"/>
    <x v="4"/>
    <x v="5"/>
    <n v="50006"/>
    <s v="TA-25-929391"/>
    <n v="80861"/>
    <s v="APERTURA"/>
    <s v="CB CRECIMIENTO - NUEVO"/>
    <s v="META"/>
    <s v="ACACIAS"/>
    <s v="BARRIO INDEPENDENCIA ACACIAS 1"/>
    <s v="REDEBAN"/>
    <s v="FO-25-1367708"/>
    <d v="2025-08-06T00:00:00"/>
    <d v="2025-08-15T00:00:00"/>
    <s v="UNO A UNO"/>
    <s v="UNO A UNO"/>
    <s v="EJECUTADO"/>
    <s v="06-08-2025 SE REALIZA LLAMADA AL CLIENTE, SE HABLA CON LA SRA LEIDY VIVIANA CICUA JIMENEZ SE VALIDA DIRECCIÓN OK, CANAL OK, DISPONIBILIDAD TOTAL, LLAMAR EL DÍA LA INSTALACIÓN PARA CONFIRMAR VISITA, AVISO EXTERIOR ALTURA APROX 1,70 METROS; TOMACORRIENTE CERCANO: SI; TIENE CABINA DE SEGURIDAD: SI // CONTACTO REALIZADO POR WHATSAPP 8/08/2025SE REALIZA VISITA PARA IMPLEMENTACIÓN DEL CB “80861” A LA DIRECCIÓN RELACIONADA EN LA LISTA DE CHEQUEO, PERO AL CONSULTAR LA PLACA EN LA WEB DE INICIALIZACIONES EL CÓDIGO ÚNICO 3007080861 Y TERMINAL FGZZZ886 COINCIDEN CON EL CB RELACIONADO EN LISTA DE CHEQUEO, SIN EMBARGO LA DIRECCIÓN Y NOMBRE NO; ESTOS  SON DE OTRO CB “80925” DE OTRA ZONA. @HDMURCIA SEGÚN LO CONVERSADO SE CANCELA INSTALACIÓN PARA EL CB 80861. 12/08/2025 A PETICIÓN DE LA ENTIDAD, POR FAVOR REALICEMOS NUEVAMENTE LA VISITA AL PUNTO E IMPLEMENTEMOS, YA QUE LA DIRECCIÓN HA SIDO ACTUALIZADA CORRECTAMENTE. 15/08/2025 SE REALIZA INSTALACIÓN DE CORRESPONSAL, SE INSTALAN EQUIPOS CON PRUEBAS EXITOSAS, SE CAPACITA Y SE EVALÚA AL CLIENTE, SE INSTALA PUBLICIDAD COMPLETA, CB QUEDA OPERATIVO. USUARIO SOMOS BANCOLOMBIA ACTIVO"/>
    <s v="VISITA _TECNICA"/>
    <s v="FGZZZ886"/>
    <s v="TIPO II"/>
    <s v="TERRESTRE"/>
    <s v="CASTRILLON URREA LONDIER LEANDRO"/>
    <n v="0"/>
    <n v="0"/>
    <n v="0"/>
    <n v="0"/>
    <n v="1"/>
    <n v="134410.38956000001"/>
    <n v="134410.38956000001"/>
  </r>
  <r>
    <s v="YOPAL"/>
    <x v="4"/>
    <x v="5"/>
    <n v="85250"/>
    <s v="TA-25-931177"/>
    <n v="80906"/>
    <s v="APERTURA"/>
    <s v="CB CRECIMIENTO - NUEVO"/>
    <s v="CASANARE"/>
    <s v="PAZ DE ARIPORO"/>
    <s v="BARRIO EL PALMAR PAZ DE ARIPORO 2"/>
    <s v="REDEBAN"/>
    <s v="FO-25-1339174"/>
    <d v="2025-08-06T00:00:00"/>
    <d v="2025-08-11T00:00:00"/>
    <s v="UNO A UNO"/>
    <s v="UNO A UNO"/>
    <s v="EJECUTADO/CANCELADO"/>
    <s v="06-08 SE REALIZA LLAMADA AL CLIENTE, SE HABLA CON LA SRA DIANA YULIETH SARAVIA MARTINEZ  SE VALIDA DIRECCIÓN OK, CANAL OK, DISPONIBILIDAD TOTAL, LLAMAR EL DÍA LA INSTALACIÓN PARA CONFIRMAR VISITA, AVISO EXTERIOR ALTURA: NO INDICA ALTURA TOMACORRIENTE CERCANO: SI; TIENE CABINA DE SEGURIDAD: NO 11/08/2025 SE VISITA COMERCIO, LA SEÑORA DIANA SARAVIA INDICA QUE POR TEMAS DE REMODELACION DEL LOCAL, ESTE ESTARÁ LISTO HASTA LA PROXIMA SEMANA, POR TAL MOTIVO SE ESCALA A COORDINADOR Y SE CANCELA, SE LE INDICA AL USUARIO QUE UNA VEZ ESTE EL LOCAL LISTO LLAME A LA ENTIDAD."/>
    <s v="VISITA _TECNICA"/>
    <s v="FGZZZ928"/>
    <s v="TIPO II"/>
    <s v="TERRESTRE"/>
    <s v="BERNAL ELAICA EDGAR ALEXIS"/>
    <n v="0"/>
    <n v="0"/>
    <n v="0"/>
    <n v="0"/>
    <n v="1"/>
    <n v="134410.38956000001"/>
    <n v="134410.38956000001"/>
  </r>
  <r>
    <s v="CALI"/>
    <x v="2"/>
    <x v="3"/>
    <n v="19845"/>
    <s v="TA-25-931178"/>
    <n v="80922"/>
    <s v="APERTURA"/>
    <s v="CB CRECIMIENTO - NUEVO"/>
    <s v="CAUCA"/>
    <s v="VILLA RICA"/>
    <s v="BARRIO CENTRO VILLA RICA 5"/>
    <s v="REDEBAN"/>
    <s v="FO-25-1350933"/>
    <d v="2025-08-06T00:00:00"/>
    <d v="2025-08-13T00:00:00"/>
    <s v="UNO A UNO"/>
    <s v="UNO A UNO"/>
    <s v="EJECUTADO"/>
    <s v="06-08 SE REALIZA LLAMADA AL CLIENTE, SE HABLA CON LA SR JANIER JULIAN VALENCIA ESCOBAR  SE VALIDA DIRECCIÓN OK, CANAL OK, DISPONIBILIDAD TOTAL, LLAMAR EL DÍA LA INSTALACIÓN PARA CONFIRMAR VISITA, AVISO EXTERIOR ALTURA: NO INDICA ALTURA; TOMACORRIENTE CERCANO: SI; TIENE CABINA DE SEGURIDAD: SI 8/08/2025SE LLEGA A SITIO PARA REALIZA LA INSTALACIÓN CB Y LA ENERGIA SE FUE HACE APROXIMADAMENTE 90 MINUTOS. EL DATÁFONO QUEDA CONFIGURADO SIN HABER REALIZADO NINGUNA TRANSACCIÓN DE PRUEBA. 13/08/2025 SE REALIZA INSTALACIÓN DE CORRESPONSAL, SE INSTALAN EQUIPOS CON PRUEBAS EXITOSAS, SE CAPACITA Y SE EVALÚA AL CLIENTE, SE INSTALA PUBLICIDAD COMPLETA, CB QUEDA OPERATIVO. USUARIO SOMOS BANCOLOMBIA ACTIVO"/>
    <s v="VISITA _TECNICA"/>
    <s v="FGZZZ929"/>
    <s v="TIPO IV"/>
    <s v="TERRESTRE"/>
    <s v="TORRES GARCIA JENDRY JOSE"/>
    <n v="0"/>
    <n v="0"/>
    <n v="0"/>
    <n v="0"/>
    <n v="1"/>
    <n v="464809.03136000002"/>
    <n v="464809.03136000002"/>
  </r>
  <r>
    <s v="TUNJA"/>
    <x v="3"/>
    <x v="4"/>
    <n v="15272"/>
    <s v="TA-25-931181"/>
    <n v="80893"/>
    <s v="APERTURA"/>
    <s v="CB CRECIMIENTO - NUEVO"/>
    <s v="BOYACA"/>
    <s v="FIRAVITOBA"/>
    <s v="BARRIO CENTRO FIRAVITOBA 2"/>
    <s v="REDEBAN"/>
    <s v="FO-25-1339192"/>
    <d v="2025-08-06T00:00:00"/>
    <d v="2025-08-12T00:00:00"/>
    <s v="UNO A UNO"/>
    <s v="UNO A UNO"/>
    <s v="EJECUTADO/CANCELADO"/>
    <s v="06-08 SE REALIZA LLAMADA AL CLIENTE, SE HABLA CON LA SR RONALD MANUEL SUAREZ CORREA  SE VALIDA DIRECCIÓN OK, CANAL OK, DISPONIBILIDAD TOTAL, LLAMAR EL DÍA LA INSTALACIÓN PARA CONFIRMAR VISITA, AVISO EXTERIOR ALTURA APROX 2.5 METROS; TOMACORRIENTE CERCANO: SI; TIENE CABINA DE SEGURIDAD: SI  08-08 POR TEMAS RELACIONADOS AL PARO DE MINEROS PRESENTADO EN EL DEPARTAMENTO,    LA ORDEN  SE REPROGRAMA HASTA  NUEVA ORDEN 12/08/2025 SE VISITA DIRECCIÓN COMERCIO , NO SE PROCEDE A EJECUTAR INSTALACIÓN POR DIRECCIÓN ERRADA ,SE VALIDA CÁMARA DE COMERCIO DIRECCIÓN COINCIDE CON LA ORDEN DE TRABAJO PERO SE VÁLIDA QUE LA DIRECCIÓN LE CORRESPONDE A OTRO PREDIO QUE ESTA UBICADO EN LA CASA DE AL LADO DE DONDE SE INSTALARÍA, SE LE INDICA AL CLIENTE QUE DEBE ACTUALIZAR CAMARA DE COMERCIO"/>
    <s v="VISITA _TECNICA"/>
    <s v="FGZZZ933"/>
    <s v="TIPO II"/>
    <s v="TERRESTRE"/>
    <s v="ALVARADO MORENO CRISTHIAN"/>
    <n v="0"/>
    <n v="0"/>
    <n v="0"/>
    <n v="0"/>
    <n v="1"/>
    <n v="134410.38956000001"/>
    <n v="134410.38956000001"/>
  </r>
  <r>
    <s v="BOGOTA"/>
    <x v="1"/>
    <x v="1"/>
    <n v="11001"/>
    <s v="TA-25-952495"/>
    <n v="80934"/>
    <s v="APERTURA"/>
    <s v="CB CRECIMIENTO - NUEVO"/>
    <s v="CUNDINAMARCA"/>
    <s v="BOGOTA"/>
    <s v="BARRIO BOSA CARBONEL BOGOTA 1"/>
    <s v="REDEBAN"/>
    <s v="FO-25-1374679"/>
    <d v="2025-08-11T00:00:00"/>
    <d v="2025-08-14T00:00:00"/>
    <s v="UNO A UNO"/>
    <s v="UNO A UNO"/>
    <s v="EJECUTADO"/>
    <s v="11-08 SE REALIZA LLAMADA AL CLIENTE, SE HABLA CON EL SRA JOHANNA PAOLA CASTAÑO MARTINEZ SE VALIDA DIRECCIÓN OK, CANAL OK, DISPONIBILIDAD TOTAL, LLAMAR EL DÍA LA INSTALACIÓN PARA CONFIRMAR VISITA, AVISO EXTERIOR ALTURA APROX 3  METROS; TOMACORRIENTE CERCANO: SI; TIENE CABINA DE SEGURIDAD: NO  - COMUNICACIÓN POR WPP / EL MODEM ESTA A 4 MT  12/08/2025 SE ESCALA NOVEDAD EN APERTURA REDEBAN 3007080934 BARRIO BOSA CARBONEL BOGOTA 1,  LA CUAL AL LLEGAR AL SITIO, SE ENCUENTRA UN CORRESPONSAL INSTALADO A 34 METROS SEGÚN MAPS. ADJUNTO REGISTRO FOTOGRÁFICO DATOS DE CB EXISTENTE (ADJUNTO COPIA TIRILA) NOMBRE:                    PTM BOGOTA DROGUERIA A CÓDIGO ÚNICO:           3007058171 DIRECCIÓN:                  CR 78C 71C SUR 40 COORDENADAS:                 4.603577 -74.196202 14/08/2025 ENTIDAD APRUEBA INSTALACION 14/08/2025 SE REALIZA INSTALACIÓN DE CORRESPONSAL, SE INSTALAN EQUIPOS CON PRUEBAS EXITOSAS, SE CAPACITA Y SE EVALÚA AL CLIENTE, SE INSTALA PUBLICIDAD COMPLETA, CB QUEDA OPERATIVO. USUARIO SOMOS BANCOLOMBIA ACTIVO"/>
    <s v="VISITA _TECNICA"/>
    <s v="FIZZZ320"/>
    <s v="TIPO I"/>
    <s v="TERRESTRE"/>
    <s v="LOZADA ROJAS CHRISTIAN ANDRES"/>
    <n v="0"/>
    <n v="0"/>
    <n v="0"/>
    <n v="0"/>
    <n v="1"/>
    <n v="44559.984800000006"/>
    <n v="44559.984800000006"/>
  </r>
  <r>
    <s v="MEDELLIN"/>
    <x v="0"/>
    <x v="0"/>
    <n v="5790"/>
    <s v="TA-25-952496"/>
    <n v="80964"/>
    <s v="APERTURA"/>
    <s v="CB CRECIMIENTO - NUEVO"/>
    <s v="ANTIOQUIA"/>
    <s v="TARAZA"/>
    <s v="BARRIO SAN NICOLAS TARAZA 1"/>
    <s v="REDEBAN"/>
    <s v="FO-25-1360406"/>
    <d v="2025-08-11T00:00:00"/>
    <d v="2025-08-14T00:00:00"/>
    <s v="UNO A UNO"/>
    <s v="UNO A UNO"/>
    <s v="EJECUTADO/CANCELADO"/>
    <s v="10-08 SE REALIZA LLAMADA AL CLIENTE, SE HABLA CON LA SR FERNEY ANTONIO CASTILLO PASTRANA SE VALIDA DIRECCIÓN OK, CANAL OK, DISPONIBILIDAD TOTAL, LLAMAR EL DÍA LA INSTALACIÓN PARA CONFIRMAR VISITA, AVISO EXTERIOR ALTURA APROX 2 METROS; TOMACORRIENTE CERCANO: SI; TIENE CABINA DE SEGURIDAD: NO 12/08/2025 VISITAMOS PUNTO PARA INSTALACIÓN ENCONTRANDO QUE YA HAY OTRO EXISTENTE A MEDIA CUADRA CON CODIGO 3007077869 PTM SAN NICOLAS TARAZA. ESTE PUNTO FUE TRASLADADO HACE UN MES A ESTA NUEVA DIRECCIÓN. USUARIO DE INSTALACIÓN DE HOY COMENTA QUE CUANDO PASÓ LOS PAPELES PARA SOLICITAR EL CORRESPONSAL NO EXISTÍA ESE OTRO CB EN ESTA DIRECCIÓN SINO QUE SE TRASLADÓ COMO COMENTAMOS ANTERIORMENTE. COORDENADAS PUNTO EXISTENTE: 7.584959 -75.400686 COORDENADAS PUNTO NUEVO: 7.584725 -75.400914  14/08/2025 ENTIDAD SOLICITA CANCELAR "/>
    <s v="VISITA _TECNICA"/>
    <s v="FIZZZ321"/>
    <s v="TIPO IV"/>
    <s v="TERRESTRE"/>
    <s v="BADEL ACUÑA LUIS ALBERTO"/>
    <n v="0"/>
    <n v="0"/>
    <n v="0"/>
    <n v="0"/>
    <n v="1"/>
    <n v="464809.03136000002"/>
    <n v="464809.03136000002"/>
  </r>
  <r>
    <s v="NEIVA"/>
    <x v="4"/>
    <x v="5"/>
    <n v="18001"/>
    <s v="TA-25-969560"/>
    <n v="81013"/>
    <s v="APERTURA"/>
    <s v="CB CRECIMIENTO ALIANZA - NUEVO"/>
    <s v="CAQUETA"/>
    <s v="FLORENCIA"/>
    <s v="DISTRICOL V&amp;C DE LA AMAZONIA"/>
    <s v="REDEBAN"/>
    <s v="FO-25-1371567"/>
    <d v="2025-08-13T00:00:00"/>
    <d v="2025-08-14T00:00:00"/>
    <s v="AGREGADOR"/>
    <s v="DISTRICOL"/>
    <s v="EJECUTADO/CANCELADO"/>
    <s v="13-08 PROGRAMACIÓN REALIZADA POR LA ALIANZA14/08/2025 SE REALIZA VISITA SOBRE LA CRA Y CALLE PARA LA IMPLEMENTACIÓN DEL CB  81013, PERO LA DIRECCIÓN RELACIONADA EN LISTA DE CHEQUEO NO ESTÁ EN SOBRE LA CRA Y CALLE, TAMPOCO HAY UN COMERCIO CON EL NOMBRE RELACIONADO EN LISTA DE CHEQUEO, SE EVIDENCIA   CR 8A # 5B – 71 QUE ES UN COLEGIÓ Y EN FRENTE DONDE PODRÍA SER CR 8A # 5B – 78, PERO ES UN LOTE ENMONTADO DONDE NO HAY CASAS., SE BUSCO EN TODA LA CALLE Y SON CASAS Y NINGUNA CON ESA NOMENCLATURA. . POR TAL RAZÓN SE CANCELA. ANEXO EVIDENCIAS ENCONTRADAS"/>
    <s v="VISITA _TECNICA"/>
    <s v="FJZZZ903"/>
    <s v="TIPO IV"/>
    <s v="TERRESTRE"/>
    <s v="BERMUDEZ SANCHEZ JOSE NEYBER"/>
    <n v="0"/>
    <n v="0"/>
    <n v="0"/>
    <n v="0"/>
    <n v="1"/>
    <n v="464809.03136000002"/>
    <n v="464809.03136000002"/>
  </r>
  <r>
    <s v="PASTO"/>
    <x v="2"/>
    <x v="3"/>
    <n v="52001"/>
    <s v="TA-25-969591"/>
    <n v="81017"/>
    <s v="APERTURA"/>
    <s v="CB CRECIMIENTO ALIANZA - NUEVO"/>
    <s v="NARIÑO"/>
    <s v="PASTO"/>
    <s v="DISTRICOL DROG SUPEREXTRABAR 2"/>
    <s v="REDEBAN"/>
    <s v="FO-25-1371617"/>
    <d v="2025-08-13T00:00:00"/>
    <d v="2025-08-15T00:00:00"/>
    <s v="AGREGADOR"/>
    <s v="DISTRICOL"/>
    <s v="EJECUTADO/CANCELADO"/>
    <s v="13-08 PROGRAMACIÓN REALIZADA POR LA ALIANZA 15/08/2025SE VISITA EL COMERCIO PARA REALIZAR APERTURA PERO NO ES POSIBLE YA QUE EN EL COMERCIO FUNCIONA CORRESPONSAL AVAL POR LO QUE NO SE APERTURA"/>
    <s v="VISITA _TECNICA"/>
    <s v="FJZZZ919"/>
    <s v="TIPO I"/>
    <s v="TERRESTRE"/>
    <s v="GUERRERO RAMIREZ OSCAR DARIO"/>
    <n v="0"/>
    <n v="0"/>
    <n v="0"/>
    <n v="0"/>
    <n v="1"/>
    <n v="44559.984800000006"/>
    <n v="44559.984800000006"/>
  </r>
  <r>
    <s v="PASTO"/>
    <x v="2"/>
    <x v="3"/>
    <n v="52110"/>
    <s v="TA-25-969610"/>
    <n v="81000"/>
    <s v="APERTURA"/>
    <s v="CB CRECIMIENTO ALIANZA - NUEVO"/>
    <s v="NARIÑO"/>
    <s v="BUESACO"/>
    <s v="DISTRICOL DROG LA PRESENTACION"/>
    <s v="REDEBAN"/>
    <s v="FO-25-1371622"/>
    <d v="2025-08-13T00:00:00"/>
    <d v="2025-08-14T00:00:00"/>
    <s v="AGREGADOR"/>
    <s v="DISTRICOL"/>
    <s v="EJECUTADO/CANCELADO"/>
    <s v="13-08 PROGRAMACIÓN REALIZADA POR LA ALIANZA 14/08/2025 SE REALIZÓ VISITA AL COMERCIO PERO NO SE REALIZÓ INSTALACIÓN DEL CORRESPONSAL POR DIRECCIÓN ERRADA, EN LISTA DE CHEQUEO APARECE DIRECCIÓN CR 3 # 6 - 11 BRR LA PRESENTACION AL IGUAL QUE EN CAMARA DE COMERCIO, PERO EL COMERCIO ESTA UBICADO EN DIRECCIÓN CRA 2 11-67 POR LO QUE SE VALIDA CON REDEBAN Y SE CANCELA LA APERTURA "/>
    <s v="VISITA _TECNICA"/>
    <s v="FJZZZ921"/>
    <s v="TIPO II"/>
    <s v="TERRESTRE"/>
    <s v="GUERRERO RAMIREZ OSCAR DARIO"/>
    <n v="0"/>
    <n v="0"/>
    <n v="0"/>
    <n v="0"/>
    <n v="1"/>
    <n v="134410.38956000001"/>
    <n v="134410.38956000001"/>
  </r>
  <r>
    <s v="CALI"/>
    <x v="2"/>
    <x v="3"/>
    <n v="76001"/>
    <s v="TA-25-969662"/>
    <n v="81002"/>
    <s v="APERTURA"/>
    <s v="CB CRECIMIENTO ALIANZA - NUEVO"/>
    <s v="VALLE DEL CAUCA"/>
    <s v="CALI"/>
    <s v="DISTRICOL VARIEDADES Y PAPELER"/>
    <s v="REDEBAN"/>
    <s v="FO-25-1371657"/>
    <d v="2025-08-13T00:00:00"/>
    <d v="2025-08-14T00:00:00"/>
    <s v="AGREGADOR"/>
    <s v="DISTRICOL"/>
    <s v="EJECUTADO/CANCELADO"/>
    <s v="13-08 PROGRAMACIÓN REALIZADA POR LA ALIANZA 14/08/2025 SE REALIZA VISITA AL PUNTO CB 3007081002 DISTRICOL VARIEDADES Y PAPELERIA, PARA REALIZAR IMPLEMENTACION DEL PUNTO  ,PERO AL LLEGAR AL SITIO SE ENCUENTRA QUE ALLÍ OPERA UN PUNTO EFECTY ACTIVO Y CORRESPONSAL DE OTRO BANCO POR LO CUAL SE PROCEDE A REALIZAR CANCELACIÓN DE DICHA ACTIVIDAD Y SE GENERA EL REPORTE PERTINENTE"/>
    <s v="VISITA _TECNICA"/>
    <s v="FJZZZ932"/>
    <s v="TIPO I"/>
    <s v="TERRESTRE"/>
    <s v="TORRES GARCIA JENDRY JOSE"/>
    <n v="0"/>
    <n v="0"/>
    <n v="0"/>
    <n v="0"/>
    <n v="1"/>
    <n v="44559.984800000006"/>
    <n v="44559.984800000006"/>
  </r>
  <r>
    <s v="PASTO"/>
    <x v="2"/>
    <x v="3"/>
    <n v="52356"/>
    <s v="TA-25-982596"/>
    <n v="37745"/>
    <s v="APERTURA"/>
    <s v="DATAFONO ADICIONAL"/>
    <s v="NARIÑO"/>
    <s v="IPIALES"/>
    <s v="BARRIO OBRERO IPIALES 1"/>
    <s v="REDEBAN"/>
    <s v="FO-25-1400641"/>
    <d v="2025-08-19T00:00:00"/>
    <d v="2025-08-21T00:00:00"/>
    <s v="UNO A UNO"/>
    <s v="UNO A UNO"/>
    <s v="EJECUTADO"/>
    <s v="19-08 SE REALIZA LLAMADA AL CLIENTE, SE HABLA CON EL SR NELSON ARTURO ROSERO CUASQUER  SE VALIDA DIRECCIÓN OK, CANAL OK, DISPONIBILIDAD TOTAL, LLAMAR EL DÍA LA INSTALACIÓN PARA CONFIRMAR VISITA, AVISO EXTERIOR: 2 METROS APROX; TOMACORRIENTE CERCANO: SI; TIENE CABINA DE SEGURIDAD: SI 20-08 SE VISITA CB. CLIENTE INFORMA QUE HAY UN DAÑO CON EL INTERNET Y N EL SECTOR, SE COMUNICAN CON LA EMPRESA DE INTERNET E INFORMAN QUE EL ARREGLO SE DEMORA. SE PROCEDE A ATENDER OTRAS ACTIVIDADES EN IPIALES PARA DAR TIEMPO A QUÉ SOLUCIONEN EL PROBLEMA. SE VUELVE A REALIZAR COMUNICACIÓN CON EL CLIENTE E INFORMA QUE NO LE ALCANZARON A DAR SOLUCIÓN. SE ESCALA E INDICAN CERRAR ACTIVIDAD 21/08/2025 SE REALIZA INSTALACIÓN DE DAT ADICIONAL, PRUEBAS EXITOSAS, CB QUEDA OPERATIVO. SE DEJA BASE EN CUSTODIA DE CLIENTE, NO SE INSTALA POR SOLICITUD DE CLIENTE"/>
    <s v="VISITA _TECNICA"/>
    <s v="SHZZZ035"/>
    <s v="TIPO II"/>
    <s v="TERRESTRE"/>
    <s v="CASTILLO HERRERA ALEX RICARDO"/>
    <n v="0"/>
    <n v="0"/>
    <n v="0"/>
    <n v="0"/>
    <n v="1"/>
    <n v="134410.38956000001"/>
    <n v="134410.38956000001"/>
  </r>
  <r>
    <s v="MEDELLIN"/>
    <x v="0"/>
    <x v="0"/>
    <n v="5790"/>
    <s v="TA-25-992998"/>
    <n v="81116"/>
    <s v="APERTURA"/>
    <s v="CB CRECIMIENTO ALIANZA - NUEVO"/>
    <s v="ANTIOQUIA"/>
    <s v="TARAZA"/>
    <s v="DISTRICOL CENTRO COMERCIAL"/>
    <s v="REDEBAN"/>
    <s v="FO-25-1404421"/>
    <d v="2025-08-21T00:00:00"/>
    <d v="2025-08-26T00:00:00"/>
    <s v="AGREGADOR"/>
    <s v="DISTRICOL"/>
    <s v="EJECUTADO/CANCELADO"/>
    <s v="21-08 PROGRAMACIÓN REALIZADA POR LA ALIANZA 25-08 POR TEMAS DE TRANSPORTE Y ORDEN PÚBLICO EN LA VÍA NO SE LOGRA VISITAR HOY SE VISITA EL DÍA DE MAÑANA 26/08/2025 VISITAMOS PUNTO Y E ENCUENTRA QUE NO HAY AVISO COMERCIAL EN SITIO, ES UN LOCAL DENTRO DEL CENTRO COMERCIAL PERO NO HAY AVISO CON NOMBRE COMERCIAL. ADICIONALMENTE RESPECTO A LA DIRECCIÓN: COMERCIO INFORMA QUE NO TIENEN RECIBO DE SERVICIOS PÚBLICOS, Y EN CÁMARA DE COMERCIO NO REGISTRA LA DIRECCIÓN QUE TENEMOS EN LISTA DE CHEQUEO, ENTONCES NO TENEMOS COMO CONFIRMAR INFORMACIÓN DE COMERCIO. COORDENADAS SI NOS DAN EN DIRECCIÓN CORRECTA. COMERCIO SI ESTÁ DENTRO DE UN CENTRO COMERCIAL, PERO NO TENEMOS COMO CORROBORAR EL NOMBRE NI DIRECCIÓN. 26/08/2025 TENIENDO EN CUENTA LAS NOVEDADES ENCONTRADAS POR FAVOR CANCELAR LA IMPLEMENTACIÓN AL PUNTO, LO ESTARÉ INFORMANDO AL ALIADO."/>
    <s v="VISITA _TECNICA"/>
    <s v="SIZZZ934"/>
    <s v="TIPO IV"/>
    <s v="TERRESTRE"/>
    <s v="PAREJA ECHAVARRIA JHON DAVID"/>
    <n v="0"/>
    <n v="0"/>
    <n v="0"/>
    <n v="0"/>
    <n v="1"/>
    <n v="464809.03136000002"/>
    <n v="464809.03136000002"/>
  </r>
  <r>
    <s v="PEREIRA"/>
    <x v="2"/>
    <x v="2"/>
    <n v="66318"/>
    <s v="TA-25-992135"/>
    <n v="81139"/>
    <s v="APERTURA"/>
    <s v="CB CRECIMIENTO - NUEVO"/>
    <s v="RISARALDA"/>
    <s v="GUATICA"/>
    <s v="BARRIO EL JARDIN GUATICA"/>
    <s v="REDEBAN"/>
    <s v="FO-25-1420655"/>
    <d v="2025-08-21T00:00:00"/>
    <d v="2025-08-29T00:00:00"/>
    <s v="UNO A UNO"/>
    <s v="UNO A UNO"/>
    <s v="EJECUTADO"/>
    <s v="21-08 SE REALIZA CONTACTO CON EL CLIENTE VIA WHATSAPP, SE HABLA CON LA SRA LEIDY JULIET ZAPATA OROZCO SE VALIDA DIRECCIÓN OK, CANAL OK, DISPONIBILIDAD TOTAL, LLAMAR EL DIA DE LA INSTALACIÓN PARA CONFIRMAR VISITA, AVISO EXTERIOR ALTURA APROX 3 METROS; TOMACORRIENTE CERCANO: SI; TIENE CABINA DE SEGURIDAD; NO 25/08/2025 VISITAMOS COMERCIO PERO NO ES POSIBLE REALIZAR LA INSTALACION YA QUE EN LA ZONA NO TIENEN INTERNET DESDE EL DÍA SÁBADO, NO FUE POSIBLE CONTACTO TELEFÓNICO CON EL CLIENTE POR LA MISMA FALLA DE LA ZONA LE INDICAMOS QUE SE REPROGRAMA LA VISITA QUEDAMOS PENDIENTE QUE NOS INFORME EL CLIENTE CUANDO SE SOLUCIONE LA FALLA EN LA ZONA YA QUE LE INFORMARON QUE A PARTIR DE HOY A MAÑANA LE DAN SOLUCIÓN. 29/08/2025 SE REALIZA INSTALACIÓN DE CORRESPONSAL, SE INSTALAN EQUIPOS CON PRUEBAS EXITOSAS, SE CAPACITA Y SE EVALÚA AL CLIENTE, SE INSTALA PUBLICIDAD COMPLETA, CB QUEDA OPERATIVO. USUARIO SOMOS BANCOLOMBIA ACTIVO"/>
    <s v="VISITA _TECNICA"/>
    <s v="SIZZZ899"/>
    <s v="TIPO II"/>
    <s v="TERRESTRE"/>
    <s v="ARROYAVE CANO MANUEL GUILLERMO"/>
    <n v="0"/>
    <n v="0"/>
    <n v="0"/>
    <n v="0"/>
    <n v="1"/>
    <n v="134410.38956000001"/>
    <n v="134410.38956000001"/>
  </r>
  <r>
    <s v="MEDELLIN"/>
    <x v="0"/>
    <x v="0"/>
    <n v="5237"/>
    <s v="TA-25-992181"/>
    <n v="81131"/>
    <s v="APERTURA"/>
    <s v="CB CRECIMIENTO - NUEVO"/>
    <s v="ANTIOQUIA"/>
    <s v="DON MATIAS"/>
    <s v="BARRIO SECTOR TRONCAL NORTE DONMATIAS"/>
    <s v="REDEBAN"/>
    <s v="FO-25-1402447"/>
    <d v="2025-08-21T00:00:00"/>
    <d v="2025-08-22T00:00:00"/>
    <s v="UNO A UNO"/>
    <s v="UNO A UNO"/>
    <s v="EJECUTADO/CANCELADO"/>
    <s v="21-08 SE REALIZA LLAMADA AL CLIENTE, SE HABLA CON LA SR JUAN CARLOS  SE VALIDA DIRECCIÓN OK, CANAL OK, DISPONIBILIDAD TOTAL, LLAMAR EL DÍA LA INSTALACIÓN PARA CONFIRMAR VISITA, AVISO EXTERIOR ALTURA APROX 4 METROS; TOMACORRIENTE CERCANO: SI; TIENE CABINA DE SEGURIDAD: SI  - EL MODEM ESTA 10 MT  22/08/2025 SE CANCELA VISITA YA QUE USUARIO ESTÁ CON DUDAS SOBRE SI PROCEDER CON INSTALACIÓN O NO YA QUE LA SOLUCITUD LA RADICO EL HIJO, PERO ESTÁ TODO A NOMBRE DE EL, ENTONCES SOLICITA SUSPENDER MIENTRAS DEFINEN SI SE INSTALA O NO."/>
    <s v="VISITA _TECNICA"/>
    <s v="SIZZZ919"/>
    <s v="TIPO II"/>
    <s v="TERRESTRE"/>
    <s v="DIAZ ZABALA FRANCIS DUBAN"/>
    <n v="0"/>
    <n v="0"/>
    <n v="0"/>
    <n v="0"/>
    <n v="1"/>
    <n v="134410.38956000001"/>
    <n v="134410.38956000001"/>
  </r>
  <r>
    <s v="MANIZALES"/>
    <x v="2"/>
    <x v="2"/>
    <n v="17001"/>
    <s v="TA-25-1034029"/>
    <n v="81211"/>
    <s v="APERTURA"/>
    <s v="CB CRECIMIENTO - NUEVO"/>
    <s v="CALDAS"/>
    <s v="MANIZALES"/>
    <s v="BARRIO SAENS MANIZALES"/>
    <s v="REDEBAN"/>
    <s v="FO-25-1433222"/>
    <d v="2025-08-27T00:00:00"/>
    <d v="2025-08-29T00:00:00"/>
    <s v="UNO A UNO"/>
    <s v="UNO A UNO"/>
    <s v="EJECUTADO/CANCELADO"/>
    <s v="27-08 SE REALIZA LLAMADA AL CLIENTE, SE HABLA CON LA SRA ESTELA RAMIREZ JARAMILLO, SE VALIDA DIRECCIÓN OK, CANAL OK, DISPONIBILIDAD TOTAL, LLAMAR EL DÍA LA INSTALACIÓN PARA CONFIRMAR VISITA, AVISO EXTERIOR ALTURA APROX 4 METROS; TOMACORRIENTE CERCANO: SI; TIENE CABINA DE SEGURIDAD: SI - EL MODEM ESTA A 4 MT  28-09 EN COMUNICACIÓN CON EL USUARIO INDICA QUE HOY NO PUEDE RECIBIR LA ACTIVIDAD POR QUE SALIO DE URG, PIDE QUE SE VISITE EL DIA DE MAÑANA  29/08/2025 SE REALIZA VISITA USUARIO NO CUENTA CON INTERNET EN EL COMERCIO E INDICA SOLICITUD DE REAGENDAR LA VISITA PARA CUANDO YA TENGA LAS CONEXIONES DE INTERNET, SE LE INDICA QUE DEBE DE REAGENDARLA CON EL ASESOR, SE CANCELA POR NO CONEXIÓNES A MODEM"/>
    <s v="VISITA _TECNICA"/>
    <s v="FKZZZ675"/>
    <s v="TIPO I"/>
    <s v="TERRESTRE"/>
    <s v="AGUIRRE HENAO RAUL EDUARDO"/>
    <n v="0"/>
    <n v="0"/>
    <n v="0"/>
    <n v="0"/>
    <n v="1"/>
    <n v="44559.984800000006"/>
    <n v="44559.984800000006"/>
  </r>
  <r>
    <s v="MEDELLIN"/>
    <x v="0"/>
    <x v="0"/>
    <n v="5264"/>
    <s v="TA-25-1034456"/>
    <n v="81221"/>
    <s v="APERTURA"/>
    <s v="CB CRECIMIENTO ALIANZA - NUEVO"/>
    <s v="ANTIOQUIA"/>
    <s v="ENTRERRIOS"/>
    <s v="DISTRICOL AMERICA STORE"/>
    <s v="REDEBAN"/>
    <s v="FO-25-1433878"/>
    <d v="2025-08-27T00:00:00"/>
    <d v="2025-08-28T00:00:00"/>
    <s v="AGREGADOR"/>
    <s v="DISTRICOL"/>
    <s v="EJECUTADO/CANCELADO"/>
    <s v="27-08 PROGRAMACIÓN REALIZADA POR LA ALIANZA 28/08/2025 EN PUNTO NO HAY AVISO. USUARIO INFORMA QUE ESTÁ EN ADECUACIÓN EL COMERCIO YA QUE ES NUEVO, EL TÉCNICO SI EVIDENCIA QUE ESTÁN MONTÁNDOLO APENAS. USUARIO INFORMA QUE EL AVISO DE COMERCIO LO MONTAN EL DÍA DE MAÑANA Y YA ESTÁ EN COMERCIO, ADJUNTO FOTO. DIRECCIÓN DE LISTA DE CHEQUEO COINCIDE CON CÁMARA DE COMERCIO. 28/08/2025 POR FAVOR PROCEDER CON LA CANCELACIÓN DE LA IMPLEMENTACIÓN CORRESPONDIENTE, SEGÚN LA RESPUESTA DE LA ENTIDAD."/>
    <s v="VISITA _TECNICA"/>
    <s v="FKZZZ683"/>
    <s v="TIPO II"/>
    <s v="TERRESTRE"/>
    <s v="BADEL ACUÑA LUIS ALBERTO"/>
    <n v="0"/>
    <n v="0"/>
    <n v="0"/>
    <n v="0"/>
    <n v="1"/>
    <n v="134410.38956000001"/>
    <n v="134410.38956000001"/>
  </r>
  <r>
    <s v="PASTO"/>
    <x v="2"/>
    <x v="3"/>
    <n v="52399"/>
    <s v="TA-25-1034463"/>
    <n v="81227"/>
    <s v="APERTURA"/>
    <s v="CB CRECIMIENTO ALIANZA - NUEVO"/>
    <s v="NARIÑO"/>
    <s v="LA UNION"/>
    <s v="DISTRICOL PAP Y MISC DELPARQUE"/>
    <s v="REDEBAN"/>
    <s v="FO-25-1433905"/>
    <d v="2025-08-27T00:00:00"/>
    <d v="2025-08-29T00:00:00"/>
    <s v="AGREGADOR"/>
    <s v="DISTRICOL"/>
    <s v="EJECUTADO/CANCELADO"/>
    <s v="27-08 PROGRAMACIÓN REALIZADA POR LA ALIANZA 29/08/2025 SE REALIZA VISITA PARA INSTALACIÓN DE CB PERO AL LLEGAR SE ENCUENTRA QUE NO CUENTAN CON AVISO COMERCIAL Y LA DIRECCIÓN DEL LUGAR NO COINCIDE CON LA QUE NOS ENTREGAN EN EL CORREO DE LA APERTURA POR LO CUAL SE ESCALA A EDISON SAMBONI DE REDEBAN EL CUAL INDICA QUE NO SE PUEDE REALIZAR LA APERTURA POR DIRECCIÓN ERRADA POR LO CUAL NO SE PUEDE REALIZAR LA APERTURA"/>
    <s v="VISITA _TECNICA"/>
    <s v="FKZZZ690"/>
    <s v="TIPO III"/>
    <s v="TERRESTRE"/>
    <s v="PAZ MARTINEZ RICHARD HUMBERTO"/>
    <n v="0"/>
    <n v="0"/>
    <n v="0"/>
    <n v="0"/>
    <n v="1"/>
    <n v="222904.27188000001"/>
    <n v="222904.27188000001"/>
  </r>
  <r>
    <s v="MEDELLIN"/>
    <x v="0"/>
    <x v="0"/>
    <n v="5031"/>
    <s v="TA-25-1034477"/>
    <n v="81225"/>
    <s v="APERTURA"/>
    <s v="CB CRECIMIENTO ALIANZA - NUEVO"/>
    <s v="ANTIOQUIA"/>
    <s v="AMALFI"/>
    <s v="DISTRICOL TIENDA A MAR"/>
    <s v="REDEBAN"/>
    <s v="FO-25-1433936"/>
    <d v="2025-08-27T00:00:00"/>
    <d v="2025-08-28T00:00:00"/>
    <s v="AGREGADOR"/>
    <s v="DISTRICOL"/>
    <s v="EJECUTADO/CANCELADO"/>
    <s v="27-08 PROGRAMACIÓN REALIZADA POR LA ALIANZA 28/08/2025 VISITAMOS PUNTO ENCONTRANDO OTRO CB EN EL LOCAL CONTIGUO. CODIGO EXISTENTE 71566 BARRIO EL CAMELLON AMALFI. ADICIONALMENTE HAY UNA NOVEDAD CON LA DIRECCIÓN. COMERCIO ESTÁ UBICADO EN CALLE 20 PERO CON CARRERA 17."/>
    <s v="VISITA _TECNICA"/>
    <s v="FKZZZ696"/>
    <s v="TIPO IV"/>
    <s v="TERRESTRE"/>
    <s v="QUINTERO SANCHEZ JUAN SEBASTIAN"/>
    <n v="0"/>
    <n v="0"/>
    <n v="0"/>
    <n v="0"/>
    <n v="1"/>
    <n v="464809.03136000002"/>
    <n v="464809.03136000002"/>
  </r>
  <r>
    <s v="CUCUTA"/>
    <x v="3"/>
    <x v="4"/>
    <n v="54498"/>
    <s v="TA-25-904094"/>
    <n v="80745"/>
    <s v="APERTURA"/>
    <s v="CB CRECIMIENTO - NUEVO"/>
    <s v="NORTE DE SANTANDER"/>
    <s v="OCAÑA"/>
    <s v="BARRIO JUAN 23  OCAÑA"/>
    <m/>
    <s v="FO-25-1305075"/>
    <d v="2025-07-30T00:00:00"/>
    <d v="2025-08-01T00:00:00"/>
    <s v="UNO A UNO"/>
    <s v="UNO A UNO"/>
    <s v="EJECUTADO"/>
    <s v="30-07-2025 SE REALIZA LLAMADA AL CLIENTE, SE HABLA CON LA SRA ERIKA CAROLINA RAMIREZ QUINTERO,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 SE INSTALA SWITCH 223C4S6013109"/>
    <s v="VISITA _TECNICA"/>
    <s v="VAZZZ384"/>
    <s v="TIPO IV"/>
    <s v="TERRESTRE"/>
    <s v="GELVEZ MOGOLLON JOSE ELISEO"/>
    <n v="0"/>
    <n v="0"/>
    <n v="1"/>
    <n v="0"/>
    <n v="0"/>
    <n v="464809.03136000002"/>
    <n v="257391.81956"/>
  </r>
  <r>
    <m/>
    <x v="6"/>
    <x v="7"/>
    <m/>
    <m/>
    <m/>
    <m/>
    <m/>
    <m/>
    <m/>
    <m/>
    <m/>
    <m/>
    <m/>
    <m/>
    <m/>
    <m/>
    <m/>
    <m/>
    <m/>
    <m/>
    <m/>
    <m/>
    <m/>
    <m/>
    <m/>
    <m/>
    <m/>
    <m/>
    <m/>
    <n v="9390985.836240001"/>
  </r>
  <r>
    <m/>
    <x v="6"/>
    <x v="7"/>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s v="MEDELLIN"/>
    <x v="0"/>
    <x v="0"/>
    <n v="5001"/>
    <n v="2538428"/>
    <n v="75951"/>
    <s v="INCIDENTE"/>
    <s v="ANTIOQUIA"/>
    <s v="MEDELLIN"/>
    <s v="BARRIO BELENCITO MEDELLIN"/>
    <s v="REDEBAN"/>
    <s v="FO-25-1315516"/>
    <d v="2025-08-01T09:49:00"/>
    <d v="2025-08-01T11:12:00"/>
    <s v="NO"/>
    <s v="USUARIO"/>
    <s v="MANTENIMIENTO"/>
    <s v="MANTENIMIENTO GENERAL"/>
    <s v="CB UNO A UNO"/>
    <s v="CB UNO A UNO"/>
    <s v="CERRADO"/>
    <s v="01/08/2025 01-08 SE ESCALA PARA VISITA. LLAMAR ANTES DE VISITAR, CONFIRMAR FALLA Y DATOS | 01/08/2025 SE HACE MANTENIMIENTO DE EQUIPO"/>
    <s v="VISITA_TÉCNICA"/>
    <s v="FA09Z480"/>
    <s v="TIPO I"/>
    <s v="TERRESTRE"/>
    <s v="MORENO MEDINA JUAN PABLO"/>
    <n v="1"/>
    <n v="0"/>
    <n v="0"/>
    <n v="0"/>
    <n v="65960.473639999997"/>
    <n v="65960.473639999997"/>
  </r>
  <r>
    <s v="BARRANQUILLA"/>
    <x v="1"/>
    <x v="1"/>
    <n v="8001"/>
    <n v="2535994"/>
    <n v="69017"/>
    <s v="INCIDENTE"/>
    <s v="ATLANTICO"/>
    <s v="BARRANQUILLA"/>
    <s v="BARRIO VILLANUEVA BARRANQUILLA"/>
    <s v="REDEBAN"/>
    <s v="FO-25-1313938"/>
    <d v="2025-08-01T08:00:00"/>
    <d v="2025-08-01T11:52:00"/>
    <s v="NO"/>
    <s v="USUARIO"/>
    <s v="COMUNICACION"/>
    <s v="CANAL DEL COMERCIO"/>
    <s v="CB UNO A UNO"/>
    <s v="CB UNO A UNO"/>
    <s v="CERRADO"/>
    <s v="01/08/2025 CLIENTE CAMBIO DE MODENS DE INTERNET Y TOCÓ CAMBIAR LAS IP DEL DATAFONO, SE HACEN HACEN PRUEBAS Y QUEDA OK"/>
    <s v="VISITA_TÉCNICA"/>
    <s v="9T1ZZ282"/>
    <s v="TIPO I"/>
    <s v="TERRESTRE"/>
    <s v="DE AVILA SIADES ALBERTO ENRIQUE"/>
    <n v="1"/>
    <n v="0"/>
    <n v="0"/>
    <n v="0"/>
    <n v="65960.473639999997"/>
    <n v="65960.473639999997"/>
  </r>
  <r>
    <s v="MEDELLIN"/>
    <x v="0"/>
    <x v="0"/>
    <n v="5607"/>
    <n v="2523682"/>
    <n v="31280"/>
    <s v="INCIDENTE"/>
    <s v="ANTIOQUIA"/>
    <s v="RETIRO"/>
    <s v="BARRIO EL PINO"/>
    <s v="REDEBAN"/>
    <s v="FO-25-1303505"/>
    <d v="2025-07-30T08:00:00"/>
    <d v="2025-08-01T12:16:00"/>
    <s v="NO"/>
    <s v="USUARIO"/>
    <s v="LECTOR DE TARJETAS"/>
    <s v="OBSTRUCCION DEL LECTOR"/>
    <s v="CB UNO A UNO"/>
    <s v="CB UNO A UNO"/>
    <s v="CERRADO"/>
    <s v="30/07/2025 30-07 SE ESCALA PARA VISITA. LLAMAR ANTES DE VISITAR, CONFIRMAR FALLA Y DATOS | 31/07/2025 COLABORADOR ASIGNADO PARA ACTIVIDAD PRESENTÓ NOVEDAD EN RIONEGRO Y NO PUDO DESPLAZARSE A REALIZAR INCIDENTE EN EL RETIRO. DEBIDO A DAÑO ESTRUCTURAL EN LA INSTALACIÓN QUE ESTABA REALIZANDO NO PUDO DESPLAZARSE A RETIRO. NO SE LOGRA ACTIVIDAD POR CAPACIDAD OPERATIVA. | 01/08/2025 SE REALIZA MANTENIMIENTO GENERAL AL EQUIPO, SE REALIZAN PRUEBAS PERTINENTES CON TARJETAS, TODO OK"/>
    <s v="VISITA_TÉCNICA"/>
    <s v="9C001337"/>
    <s v="TIPO II"/>
    <s v="TERRESTRE"/>
    <s v="HERNANDEZ CHAVARRIA JUAN CAMILO"/>
    <n v="1"/>
    <n v="0"/>
    <n v="0"/>
    <n v="0"/>
    <n v="163813.55812"/>
    <n v="163813.55812"/>
  </r>
  <r>
    <s v="BARRANQUILLA"/>
    <x v="1"/>
    <x v="1"/>
    <n v="8001"/>
    <n v="2536376"/>
    <n v="41635"/>
    <s v="INCIDENTE"/>
    <s v="ATLANTICO"/>
    <s v="BARRANQUILLA"/>
    <s v="BARRIO 20 DE JULIO BARRANQUILL"/>
    <s v="REDEBAN"/>
    <s v="FO-25-1314593"/>
    <d v="2025-08-01T08:00:00"/>
    <d v="2025-08-01T13:17:00"/>
    <s v="NO"/>
    <s v="ENTIDAD"/>
    <s v="ERROR DE TRANSACCIONES"/>
    <s v="TRANSACCION NO PERMITIDA"/>
    <s v="CB UNO A UNO"/>
    <s v="CB UNO A UNO"/>
    <s v="CERRADO"/>
    <s v="01/08/2025 01-08 SE ESCALA PARA VISITA. LLAMAR ANTES DE VISITAR, CONFIRMAR FALLA Y DATOS | 01/08/2025 CLIENTE MANIFESTÓ QUE EL DÍA DE AYER  EN QUINCENA LE SALÍA EN MENSAJE RECHAZO GENERAL Y NO LE DEJABA HACER RETIROS CON TARJETAS, PERO HOY SE HACEN PRUEBAS Y ELLA CONFIRMA QUE  HA ESTADO TRABAJANDO MUY BIEN EL DÍA DE HOY_x000a_TAMBIÉN SE CAMBIA TAPA DE IMPRESIÓN DEL DATAFONO, ESTABA PARTIDA"/>
    <s v="VISITA_TÉCNICA"/>
    <s v="AB0WZ798"/>
    <s v="TIPO I"/>
    <s v="TERRESTRE"/>
    <s v="DE AVILA SIADES ALBERTO ENRIQUE"/>
    <n v="1"/>
    <n v="0"/>
    <n v="0"/>
    <n v="0"/>
    <n v="65960.473639999997"/>
    <n v="65960.473639999997"/>
  </r>
  <r>
    <s v="BOGOTA"/>
    <x v="2"/>
    <x v="2"/>
    <n v="11001"/>
    <n v="2535930"/>
    <n v="74491"/>
    <s v="INCIDENTE"/>
    <s v="CUNDINAMARCA"/>
    <s v="BOGOTA"/>
    <s v="BARRIO CIUDAD GRANADA PATIO BO"/>
    <s v="REDEBAN"/>
    <s v="FO-25-1313760"/>
    <d v="2025-07-31T17:02:00"/>
    <d v="2025-08-01T13:21:00"/>
    <s v="NO"/>
    <s v="ENTIDAD"/>
    <s v="ERROR DE TRANSACCIONES"/>
    <s v="TRANSACCION NO PERMITIDA"/>
    <s v="CB UNO A UNO"/>
    <s v="CB UNO A UNO"/>
    <s v="CERRADO"/>
    <s v="31/07/2025 31-07 SE ESCALA PARA VISITA. LLAMAR ANTES DE VISITAR, CONFIRMAR FALLA Y DATOS | 01/08/2025 SE REALIZA VISITA DE CAMPO DONDE CLIENTE MANIFIESTA QUE EL EQUIPO ESTÁ FUNCIONANDO CON NORMALIDAD, NO SE MANIPULA EQUIPOS, NO ESTÁ ENCARGADO."/>
    <s v="VISITA_TÉCNICA"/>
    <s v="SVFZZ058"/>
    <s v="TIPO I"/>
    <s v="TERRESTRE"/>
    <s v="LOZADA ROJAS CHRISTIAN ANDRES"/>
    <n v="1"/>
    <n v="0"/>
    <n v="0"/>
    <n v="0"/>
    <n v="65960.473639999997"/>
    <n v="65960.473639999997"/>
  </r>
  <r>
    <s v="BOGOTA"/>
    <x v="2"/>
    <x v="2"/>
    <n v="25754"/>
    <n v="2538319"/>
    <n v="68735"/>
    <s v="INCIDENTE"/>
    <s v="CUNDINAMARCA"/>
    <s v="SOACHA"/>
    <s v="LA FRAGUA 2"/>
    <s v="REDEBAN"/>
    <s v="FO-25-1315428"/>
    <d v="2025-08-01T09:44:00"/>
    <d v="2025-08-01T13:53:00"/>
    <s v="NO"/>
    <s v="USUARIO"/>
    <s v="COMUNICACION"/>
    <s v="CONEXIONES DE COMERCIO"/>
    <s v="CB UNO A UNO"/>
    <s v="CB UNO A UNO"/>
    <s v="CERRADO"/>
    <s v="01/08/2025 01-08 SE ESCALA PARA VISITA. LLAMAR ANTES DE VISITAR, CONFIRMAR FALLA Y DATOS | 01/08/2025 SE REALIZA VALIDACIÓN DE SERVICIO POR FALLA EN CONEXIÓN DE RED AL VALIDAR DE ENCUENTRA FALLA EN UN CABLE DEL CLIENTE QUE VIENE DESDE EL TERCER PISO HASTA EL PRIMER Y CONECTA UN SWITCH DONDE SE CONECTA EL DATAFONO SERVICIO OPERATIVO PRUEBAS OK TRNA RBM SE INDICA A CLIENTE CAMBIO DE ESTE"/>
    <s v="VISITA_TÉCNICA"/>
    <s v="9L0UZ989"/>
    <s v="TIPO I"/>
    <s v="TERRESTRE"/>
    <s v="BUSTOS MORA DIEGO MANUEL"/>
    <n v="1"/>
    <n v="0"/>
    <n v="0"/>
    <n v="0"/>
    <n v="65960.473639999997"/>
    <n v="65960.473639999997"/>
  </r>
  <r>
    <s v="TUNJA"/>
    <x v="3"/>
    <x v="3"/>
    <n v="25745"/>
    <n v="2533523"/>
    <n v="35747"/>
    <s v="INCIDENTE"/>
    <s v="CUNDINAMARCA"/>
    <s v="SIMIJACA"/>
    <s v="BARRIO CENTRO SIMIJACA"/>
    <s v="REDEBAN"/>
    <s v="FO-25-1311547"/>
    <d v="2025-07-31T11:51:00"/>
    <d v="2025-08-01T16:10:00"/>
    <s v="NO"/>
    <s v="USUARIO"/>
    <s v="COMUNICACION"/>
    <s v="CANAL DEL COMERCIO"/>
    <s v="CB UNO A UNO"/>
    <s v="CB UNO A UNO"/>
    <s v="CERRADO"/>
    <s v="31/07/2025 31-07 SE INTENTA COMUNICACION CON EL SEÑOR JAVIER FUQENE AL NUMERO 3003711599, PERO NO CONTESTA LA LLAMADA. SE ESCALA PARA VISITA, CONFIRMAR FALLA Y DATOS | 01/08/2025 SE LLEGA MUNICIPIO DE SIMIJACA , SE LLEGA A REFERENCIA DE DIRECCIÓN AL PARECER ERRRADA  COMERCIO NO EXISTE , SE INTENTA COMUNICACIÓN CON EL SEÑOR JAVIER AL NUMERO CELULAR 3003711599 PARA CONFIRMAR DIRECCIÓN Y NO ES POSIBLE , BUZON DE VOZ , SE DEJA MENSAJE VÍA WHATSAPP Y TAMPOCO HAY RESPUESTA , SE SEGUIRA REALIZANDO GESTIÓN | 01/08/2025 SE LOGRA COMUNICACIÓN CON EL CLIENTE AL NÚMERO CELULAR 3003711599 SEÑOR JAVIER FUQUENE, EL CUAL SEÑOR JAVIER INDICA QUE NO REQUIERE VISITA YA QUE EL CORRESPONSAL ESTA TRABAJANDO CORRECTAMENTE Y ENVIA BAUCHE TRX DE PRUEBA , ADEMAS TAMBIEN INDICA QUE VA A REALIZAR PROCESO DE ACTUALIZACIÓN DE DIRECCIÓN , SE CIERRA ORDEN , CORRESPONSAL OPERATIVO"/>
    <s v="SOPORTE_TELEFÓNICO"/>
    <n v="0"/>
    <s v="TIPO III"/>
    <s v="TERRESTRE"/>
    <s v="ALVARADO MORENO CRISTHIAN"/>
    <n v="0"/>
    <n v="0"/>
    <n v="0"/>
    <n v="0"/>
    <n v="37904.65408"/>
    <n v="37904.65408"/>
  </r>
  <r>
    <s v="CUCUTA"/>
    <x v="3"/>
    <x v="3"/>
    <n v="54660"/>
    <n v="2536062"/>
    <n v="79219"/>
    <s v="INCIDENTE"/>
    <s v="NORTE DE SANTANDER"/>
    <s v="SALAZAR"/>
    <s v="BARRIO PUENTE FORTUL SALAZAR"/>
    <s v="REDEBAN"/>
    <s v="FO-25-1313903"/>
    <d v="2025-07-31T17:28:00"/>
    <d v="2025-08-01T16:18:00"/>
    <s v="NO"/>
    <s v="USUARIO"/>
    <s v="MANTENIMIENTO"/>
    <s v="MANTENIMIENTO GENERAL"/>
    <s v="CB UNO A UNO"/>
    <s v="CB UNO A UNO"/>
    <s v="CERRADO"/>
    <s v="01/08/2025 SE REALIZA VISITA, SE REALIZA MANTENIMIENTO, SE REALIZAN PRUEBAS Y CIERRES OK."/>
    <s v="VISITA_TÉCNICA"/>
    <s v="A4WZZ096"/>
    <s v="TIPO II"/>
    <s v="TERRESTRE"/>
    <s v="PACHECO BUITRAGO JAVIER ALONSO"/>
    <n v="1"/>
    <n v="0"/>
    <n v="0"/>
    <n v="0"/>
    <n v="163813.55812"/>
    <n v="163813.55812"/>
  </r>
  <r>
    <s v="VILLAVICENCIO"/>
    <x v="4"/>
    <x v="4"/>
    <n v="50150"/>
    <n v="2531509"/>
    <n v="72286"/>
    <s v="INCIDENTE"/>
    <s v="META"/>
    <s v="CASTILLA LA NUEVA"/>
    <s v="CASTILLA LA NUEVA META  2"/>
    <s v="REDEBAN"/>
    <s v="FO-25-1310125"/>
    <d v="2025-07-31T09:16:00"/>
    <d v="2025-08-02T08:44:00"/>
    <s v="NO"/>
    <s v="USUARIO"/>
    <s v="COMUNICACION"/>
    <s v="CANAL DEL COMERCIO"/>
    <s v="CB UNO A UNO"/>
    <s v="CB UNO A UNO"/>
    <s v="CERRADO"/>
    <s v="31/07/2025 31-07 SE ESCALA PARA VISITA. LLAMAR ANTES DE VISITAR, CONFIRMAR FALLA Y DATOS | 01/08/2025 SE CONTACTA A LA SEÑORA EDIT ROZÓ E INFORMA QUE EL DATAFONO SE ENCUENTRA FUNCIONANDO CORRECTAMENTE SIN NOVEDAD"/>
    <s v="SOPORTE_TELEFÓNICO"/>
    <n v="0"/>
    <s v="TIPO II"/>
    <s v="TERRESTRE"/>
    <s v="ROZO JIMENEZ EDGAR ARMANDO"/>
    <n v="0"/>
    <n v="0"/>
    <n v="0"/>
    <n v="0"/>
    <n v="37904.65408"/>
    <n v="37904.65408"/>
  </r>
  <r>
    <s v="VALLEDUPAR"/>
    <x v="1"/>
    <x v="1"/>
    <n v="13042"/>
    <n v="2522948"/>
    <n v="47919"/>
    <s v="INCIDENTE"/>
    <s v="BOLIVAR"/>
    <s v="ARENAL"/>
    <s v="DISTRICOL COOPERATIVA DE TRANS"/>
    <s v="REDEBAN"/>
    <s v="FO-25-1302300"/>
    <d v="2025-07-29T16:20:00"/>
    <d v="2025-08-02T10:36:00"/>
    <s v="NO"/>
    <s v="USUARIO"/>
    <s v="MANTENIMIENTO"/>
    <s v="MANTENIMIENTO GENERAL"/>
    <s v="AGREGADOR"/>
    <s v="AGREGADOR"/>
    <s v="CERRADO"/>
    <s v="29/07/2025 29-07 EN COMUNICACION CON LA SEÑORA YOLEINE VILLEGAS AL NUMERO 3186434644, CONFIRMA FALLA, DATOS CORRECTOS. SE ESCALA PARA VISITA | 02/08/2025 SE REALIZA GESTIÓN VIA WSP AL NÚMERO 3186434644 ATENDIENDO LA SRA  YOLEINE VILLEGAS HERNÁNDEZ INDICÁNDONOS QUE ESTE SABADO NO ATIENDE YA QUE ELLA SE ENCUENTRA ESTUDIADO LOS DIAS SABADOS POR TAL MOTIVÓ NO OUEDE RECIBIR VISITA TÉCNICA,SE LE INDICA QUE DEBE SOLICITAR NUEVAMENTE LA VISITA TÉCNICA"/>
    <s v="SOPORTE_TELEFÓNICO"/>
    <n v="0"/>
    <s v="TIPO IV"/>
    <s v="TERRESTRE"/>
    <s v="MAESTRE MENGUAL EDGAR ENRIQUE"/>
    <n v="0"/>
    <n v="0"/>
    <n v="0"/>
    <n v="0"/>
    <n v="37904.65408"/>
    <n v="37904.65408"/>
  </r>
  <r>
    <s v="BOGOTA"/>
    <x v="2"/>
    <x v="2"/>
    <n v="25572"/>
    <n v="2524688"/>
    <n v="32406"/>
    <s v="INCIDENTE"/>
    <s v="CUNDINAMARCA"/>
    <s v="PUERTO SALGAR"/>
    <s v="BARRIO PUERTO LIBRE PUERTO SAL"/>
    <s v="REDEBAN"/>
    <s v="FO-25-1303854"/>
    <d v="2025-07-30T08:43:00"/>
    <d v="2025-08-02T11:02:00"/>
    <s v="NO"/>
    <s v="USUARIO"/>
    <s v="COMUNICACION"/>
    <s v="CONEXIONES DE COMERCIO"/>
    <s v="CB UNO A UNO"/>
    <s v="CB UNO A UNO"/>
    <s v="CERRADO"/>
    <s v="30/07/2025 30-07 SE INTENTA COMUNICACION CON EL SEÑOR JULIAN ANDRES GUZMAN AL NUMERO 3505888942, PERO NO CONTESTA LA LLAMADA. SE ESCALA PARA VISITA, CONFIRMAR FALLA Y DATOS | 01/08/2025 SE VISITA COMERCIO POR FALLAS EN CONEXIÓN DE INTERNET AL LLEGAR AL PUNTO SE EVIDENCIA ERROR EN CONEXIONES DEL  CABLE DE RED SE PROCEDE A MODIFICAR CONEXIONES EN LA SEITCH REALIZANDO PRUEBAS DE COMUNICACIÓN OK , SE REALIZAN TRANSACCIONES DE PRUEBA OK Y SE DEJA CB OPERANDO SIN NOVEDAD"/>
    <s v="VISITA_TÉCNICA"/>
    <s v="AA000284"/>
    <s v="TIPO IV"/>
    <s v="TERRESTRE"/>
    <s v="ROMERO ROJAS BREIDY JHOHAN"/>
    <n v="1"/>
    <n v="0"/>
    <n v="0"/>
    <n v="0"/>
    <n v="479589.73656000005"/>
    <n v="479589.73656000005"/>
  </r>
  <r>
    <s v="PEREIRA"/>
    <x v="5"/>
    <x v="5"/>
    <n v="66001"/>
    <n v="2542562"/>
    <n v="79900"/>
    <s v="INCIDENTE"/>
    <s v="RISARALDA"/>
    <s v="PEREIRA"/>
    <s v="DISTRICOL PERLA HORIZONTE"/>
    <s v="REDEBAN"/>
    <s v="FO-25-1319510"/>
    <d v="2025-08-02T08:00:00"/>
    <d v="2025-08-02T12:34:00"/>
    <s v="NO"/>
    <s v="USUARIO"/>
    <s v="MANTENIMIENTO"/>
    <s v="MANTENIMIENTO GENERAL"/>
    <s v="AGREGADOR"/>
    <s v="AGREGADOR"/>
    <s v="CERRADO"/>
    <s v="02/08/2025 01-08 SE ESCALA PARA VISITA. LLAMAR ANTES DE VISITAR, CONFIRMAR FALLA Y DATOS | 02/08/2025 EL CLIENTE INDICA QUE EL EQUIPO YA ESTÁ FUNCIONANDO CORRECTAMENTE, SE REALIZAN PRUEBAS OK."/>
    <s v="VISITA_TÉCNICA"/>
    <s v="SAUZZ966"/>
    <s v="TIPO I"/>
    <s v="TERRESTRE"/>
    <s v="FRANCO CAÑAVERAL YAMID RAUL"/>
    <n v="1"/>
    <n v="0"/>
    <n v="0"/>
    <n v="0"/>
    <n v="65960.473639999997"/>
    <n v="65960.473639999997"/>
  </r>
  <r>
    <s v="NEIVA"/>
    <x v="4"/>
    <x v="4"/>
    <n v="73483"/>
    <n v="2542477"/>
    <n v="70322"/>
    <s v="INCIDENTE"/>
    <s v="TOLIMA"/>
    <s v="NATAGAIMA"/>
    <s v="BARRIO RICAURTE NATAGAIMA"/>
    <s v="REDEBAN"/>
    <s v="FO-25-1318728"/>
    <d v="2025-08-01T17:50:00"/>
    <d v="2025-08-02T12:48:00"/>
    <s v="NO"/>
    <s v="USUARIO"/>
    <s v="USUARIOS"/>
    <s v="USUARIOS BLOQUEADOS"/>
    <s v="CB UNO A UNO"/>
    <s v="CB UNO A UNO"/>
    <s v="CERRADO"/>
    <s v="01/08/2025 01-08 SE ESCALA PARA VISITA. LLAMAR ANTES DE VISITAR, CONFIRMAR FALLA Y DATOS | 02/08/2025 EN COMUNICACIÓN CON LA SEÑORA YOLANDA SE LE INDICA COMO RESTABLECER USUARIO Y CLAVE, SE RESTAURA Y PRUEBAS EXITOSAS."/>
    <s v="SOPORTE_TELEFÓNICO"/>
    <n v="0"/>
    <s v="TIPO II"/>
    <s v="TERRESTRE"/>
    <s v="CORZO BUSTO KEVIN ALEXIS"/>
    <n v="0"/>
    <n v="0"/>
    <n v="0"/>
    <n v="0"/>
    <n v="37904.65408"/>
    <n v="37904.65408"/>
  </r>
  <r>
    <s v="MEDELLIN"/>
    <x v="0"/>
    <x v="0"/>
    <n v="5615"/>
    <n v="2540012"/>
    <n v="76768"/>
    <s v="INCIDENTE"/>
    <s v="ANTIOQUIA"/>
    <s v="RIONEGRO"/>
    <s v="BARRIO QUEBRADA ARRIBA RIONEGR"/>
    <s v="REDEBAN"/>
    <s v="FO-25-1316734"/>
    <d v="2025-08-01T11:57:00"/>
    <d v="2025-08-02T12:56:00"/>
    <s v="NO"/>
    <s v="USUARIO"/>
    <s v="COMUNICACION"/>
    <s v="CONEXIONES DE COMERCIO"/>
    <s v="CB UNO A UNO"/>
    <s v="CB UNO A UNO"/>
    <s v="CERRADO"/>
    <s v="01/08/2025 01-08 SE ESCALA PARA VISITA. LLAMAR ANTES DE VISITAR, CONFIRMAR FALLA Y DATOS | 02/08/2025 CLIENTE COMUNICA QUE ESTA TRABAJANDO SI PROBLEMAS, CONFIRMA QUE NO ES NECESARIA LA VISITA"/>
    <s v="SOPORTE_TELEFÓNICO"/>
    <n v="0"/>
    <s v="TIPO II"/>
    <s v="TERRESTRE"/>
    <s v="HERNANDEZ CHAVARRIA JUAN CAMILO"/>
    <n v="0"/>
    <n v="0"/>
    <n v="0"/>
    <n v="0"/>
    <n v="37904.65408"/>
    <n v="37904.65408"/>
  </r>
  <r>
    <s v="PEREIRA"/>
    <x v="5"/>
    <x v="5"/>
    <n v="63001"/>
    <n v="2543563"/>
    <n v="25343"/>
    <s v="INCIDENTE"/>
    <s v="QUINDIO"/>
    <s v="ARMENIA"/>
    <s v="ARA0086 CASA FOGATA"/>
    <s v="REDEBAN"/>
    <s v="FO-25-1321018"/>
    <d v="2025-08-02T12:00:00"/>
    <d v="2025-08-03T09:57:00"/>
    <s v="NO"/>
    <s v="USUARIO"/>
    <s v="MANTENIMIENTO"/>
    <s v="MANTENIMIENTO GENERAL"/>
    <s v="RETAIL"/>
    <s v="RETAIL"/>
    <s v="CERRADO"/>
    <s v="02/08/2025 01-08 SE ESCALA PARA VISITA. LLAMAR ANTES DE VISITAR, CONFIRMAR FALLA Y DATOS | 03/08/2025 03-08 SE ESCALA A LA RED, SE PROCEDE A CERRAR YA QUE NO ATENDEMOS CADENA ARA - 04-08 TU SOLICITUD REFERENTE A GENERACIÓN DE CASOS CB ARA BANCOLOMBIA QUEDÓ RADICADA BAJO EL TICKET NÚMERO XXXXXXX AL ÁREA ENCARGADA."/>
    <s v="SOPORTE_TELEFÓNICO"/>
    <n v="0"/>
    <s v="TIPO II"/>
    <s v="TERRESTRE"/>
    <s v="AYALA ROMERO MAYKOL DANILO"/>
    <n v="0"/>
    <n v="0"/>
    <n v="0"/>
    <n v="0"/>
    <n v="37904.65408"/>
    <n v="37904.65408"/>
  </r>
  <r>
    <s v="VALLEDUPAR"/>
    <x v="1"/>
    <x v="1"/>
    <n v="20001"/>
    <n v="2544453"/>
    <n v="77497"/>
    <s v="INCIDENTE"/>
    <s v="CESAR"/>
    <s v="VALLEDUPAR"/>
    <s v="BARRIO BELLO HORIZONTE VALLLED"/>
    <s v="REDEBAN"/>
    <s v="FO-25-1322842"/>
    <d v="2025-08-03T11:31:00"/>
    <d v="2025-08-04T09:17:00"/>
    <s v="NO"/>
    <s v="USUARIO"/>
    <s v="COMUNICACION"/>
    <s v="CONEXIONES DE COMERCIO"/>
    <s v="CB UNO A UNO"/>
    <s v="CB UNO A UNO"/>
    <s v="CERRADO"/>
    <s v="03/08/2025 03-08 SE ESCALA PARA VISITA. LLAMAR ANTES DE VISITAR, CONFIRMAR FALLA Y DATOS | 04/08/2025 SE LLEGA A CB POR SOLICITUD DE CLIENTE LA CUAL MANIFIESTA QUE LE APARECE RECHAZO GENERAL EN TODAS LAS TX , SE LLEGA A SITIO SE VALIDAN CONEXIONES Y CONFIGURADO DE EQUIPO DEJANDOLO OK ,SE REALIZAN PRUEBAS Y EQUIPO SE ENCUENTRA FUNCIONANDO AL 100%"/>
    <s v="VISITA_TÉCNICA"/>
    <s v="A4IZZ040"/>
    <s v="TIPO I"/>
    <s v="TERRESTRE"/>
    <s v="MAESTRE MENGUAL EDGAR ENRIQUE"/>
    <n v="1"/>
    <n v="0"/>
    <n v="0"/>
    <n v="0"/>
    <n v="65960.473639999997"/>
    <n v="65960.473639999997"/>
  </r>
  <r>
    <s v="PASTO"/>
    <x v="5"/>
    <x v="6"/>
    <n v="52399"/>
    <n v="2539138"/>
    <n v="30931"/>
    <s v="INCIDENTE"/>
    <s v="NARIÑO"/>
    <s v="LA UNION"/>
    <s v="BARRIO EDUARDO SANTOS"/>
    <s v="REDEBAN"/>
    <s v="FO-25-1315993"/>
    <d v="2025-08-01T10:47:00"/>
    <d v="2025-08-04T09:54:00"/>
    <s v="NO"/>
    <s v="USUARIO"/>
    <s v="COMUNICACION"/>
    <s v="CANAL DEL COMERCIO"/>
    <s v="CB UNO A UNO"/>
    <s v="CB UNO A UNO"/>
    <s v="CERRADO"/>
    <s v="01/08/2025 01-08 EN COMUNICACION CON LA SEÑORA FABIOLA GAMBOA AL NUMERO 3116420599, CONFIRMA FALLA, DATOS CORRECTOS. SE ESCALA PARA VISITA | 04/08/2025 SE REALIZÓ COMUNICACIÓN TELEFÓNICA CON LA USUARIA EL DIA DE HOY Y MANIFESTÓ QUE EL SERVICIO YA SE ENCUENTRA OPERATIVO Y FUNCIONANDO, SOLO FUE UNA CAIDA DEL SERVICIO DE INTERNET EN EL CB, YA SE ENCUENTRA OPERATIVO"/>
    <s v="SOPORTE_TELEFÓNICO"/>
    <n v="0"/>
    <s v="TIPO III"/>
    <s v="TERRESTRE"/>
    <s v="GUERRERO RAMIREZ OSCAR DARIO"/>
    <n v="0"/>
    <n v="0"/>
    <n v="0"/>
    <n v="0"/>
    <n v="37904.65408"/>
    <n v="37904.65408"/>
  </r>
  <r>
    <s v="BARRANQUILLA"/>
    <x v="1"/>
    <x v="1"/>
    <n v="8001"/>
    <n v="2544379"/>
    <n v="51072"/>
    <s v="INCIDENTE"/>
    <s v="ATLANTICO"/>
    <s v="BARRANQUILLA"/>
    <s v="BARRIO LAS NIEVES BARRANQUILLA"/>
    <s v="REDEBAN"/>
    <s v="FO-25-1323061"/>
    <d v="2025-08-03T13:36:00"/>
    <d v="2025-08-04T10:20:00"/>
    <s v="NO"/>
    <s v="USUARIO"/>
    <s v="USUARIOS"/>
    <s v="USUARIOS BLOQUEADOS"/>
    <s v="CB UNO A UNO"/>
    <s v="CB UNO A UNO"/>
    <s v="CERRADO"/>
    <s v="03/08/2025 03-08 SE ESCALA PARA VISITA. LLAMAR ANTES DE VISITAR, CONFIRMAR FALLA Y DATOS | 04/08/2025 SE REALIZA VISITA TÉCNICA, SE EVIDENCIA QUE EL CLIENTE NO PODÍA HACER EL CIERRE POR QUÉ LE SALÍA CLAVE INCORRECTA, SÉ CONFIGURA LA CLAVE DE SUPERVISOR SE REALIZA EL CIERRE Y EQUIPO QUEDA FUNCIONANDO CORRECTAMENTE."/>
    <s v="VISITA_TÉCNICA"/>
    <s v="BA02Z982"/>
    <s v="TIPO I"/>
    <s v="TERRESTRE"/>
    <s v="DE AGUAS MUÑOZ DAVID JOSE"/>
    <n v="1"/>
    <n v="0"/>
    <n v="0"/>
    <n v="0"/>
    <n v="65960.473639999997"/>
    <n v="65960.473639999997"/>
  </r>
  <r>
    <s v="MEDELLIN"/>
    <x v="0"/>
    <x v="0"/>
    <n v="5001"/>
    <n v="2546162"/>
    <n v="23781"/>
    <s v="INCIDENTE"/>
    <s v="ANTIOQUIA"/>
    <s v="MEDELLIN"/>
    <s v="BARRIO MANRIQUE GUADALUPE MEDE"/>
    <s v="REDEBAN"/>
    <s v="FO-25-1324567"/>
    <d v="2025-08-04T09:10:00"/>
    <d v="2025-08-04T12:41:00"/>
    <s v="NO"/>
    <s v="USUARIO"/>
    <s v="MANTENIMIENTO"/>
    <s v="MANTENIMIENTO GENERAL"/>
    <s v="CB UNO A UNO"/>
    <s v="CB UNO A UNO"/>
    <s v="CERRADO"/>
    <s v="04/08/2025 04-08 SE ESCALA PARA VISITA. LLAMAR ANTES DE VISITAR, CONFIRMAR FALLA Y DATOS | 04/08/2025 SE HACE MANTENIMIENTO OK SE LE EXPLICA AL CLIENTE QUE LA TÉCNICA 2600 TIENE LAS TECLAS MÁS DURAS Y QUE LA BANDA YA NO ESTÁ EN EL LATERAL SI NO EN LA PARTE INFERIOR"/>
    <s v="VISITA_TÉCNICA"/>
    <s v="ABC0L387"/>
    <s v="TIPO I"/>
    <s v="TERRESTRE"/>
    <s v="DIAZ ZABALA FRANCIS DUBAN"/>
    <n v="1"/>
    <n v="0"/>
    <n v="0"/>
    <n v="0"/>
    <n v="65960.473639999997"/>
    <n v="65960.473639999997"/>
  </r>
  <r>
    <s v="CALI"/>
    <x v="5"/>
    <x v="6"/>
    <n v="76001"/>
    <n v="2543683"/>
    <n v="73907"/>
    <s v="INCIDENTE"/>
    <s v="VALLE DEL CAUCA"/>
    <s v="CALI"/>
    <s v="REVAL JARDÍN PLAZA II"/>
    <s v="REDEBAN"/>
    <s v="FO-25-1321113"/>
    <d v="2025-08-02T12:38:00"/>
    <d v="2025-08-04T14:02:00"/>
    <s v="NO"/>
    <s v="USUARIO"/>
    <s v="CIERRE"/>
    <s v="COMERCIO NO REALIZA CIERRE"/>
    <s v="ROBUSTO"/>
    <s v="ROBUSTO"/>
    <s v="CERRADO"/>
    <s v="02/08/2025 SE DEBE PROGRAMAR VISITA PARA EL DIA LUNES CLIENTE SOLO LABORA HASTA LA 1 PM | 04/08/2025 SE REALIZA CONFIGURACIÓN DE CLAVE DE SUPERVISOR A 1526 DEBIDO A QUE POR ERROR SE CAMBIÓ"/>
    <s v="VISITA_TÉCNICA"/>
    <s v="ON0IZ819"/>
    <s v="TIPO I"/>
    <s v="TERRESTRE"/>
    <s v="MONTERO MUESES GIAN CARLO"/>
    <n v="1"/>
    <n v="0"/>
    <n v="0"/>
    <n v="0"/>
    <n v="65960.473639999997"/>
    <n v="65960.473639999997"/>
  </r>
  <r>
    <s v="VALLEDUPAR"/>
    <x v="1"/>
    <x v="1"/>
    <n v="20011"/>
    <n v="2547762"/>
    <n v="48994"/>
    <s v="INCIDENTE"/>
    <s v="CESAR"/>
    <s v="AGUACHICA"/>
    <s v="DISTRICOL EDS NEW NOREAN"/>
    <s v="REDEBAN"/>
    <s v="FO-25-1325749"/>
    <d v="2025-08-04T10:39:00"/>
    <d v="2025-08-04T14:53:00"/>
    <s v="NO"/>
    <s v="USUARIO"/>
    <s v="COMUNICACION"/>
    <s v="CONEXIONES DE COMERCIO"/>
    <s v="AGREGADOR"/>
    <s v="AGREGADOR"/>
    <s v="CERRADO"/>
    <s v="04/08/2025 04-08 EN COMUNICACION CON LA SEÑORA YANDRY ORTIZ AL NÚMERO 3233950896 INDICA QUE EL DATAFONO LE ARROJA ERROR DE CONEXIÓN, EL INTERNET FUNCIONA BIEN EN OTROS DISPOSITIVOS, CONFIRMA DATOS, SE ESCALA PARA VISITA | 04/08/2025 SE LLEGA A SITIO Y SE OBSERVA QUE EL DATAFONO NO TIENE CONEXIÓN A INTERNET, SE REALIZAN PRUEBAS Y SE EVIDENCIA QUE EL SISTEMA DE INTERNET DEL LUGAR ESTA CAIDO Y NO PERMITE NAVEGACION, SE HACE PRUEBA CON UN CABLE DE RED POR MEDIO DE LOS DATOS DEL TELÉFONO Y TODO FUNCIONA CON NORMALIDAD, SE LE INDICA AL CLIENTE QUE SE COMUNIQUE CON LA EMPRESA DE INTERNET Y QUE ELLOS VERIFIQUEN LA FALLA"/>
    <s v="VISITA_TÉCNICA"/>
    <s v="AD00O631"/>
    <s v="TIPO IV"/>
    <s v="TERRESTRE"/>
    <s v="MONTES DIAZ JOHN FRED"/>
    <n v="1"/>
    <n v="0"/>
    <n v="0"/>
    <n v="0"/>
    <n v="479589.73656000005"/>
    <n v="479589.73656000005"/>
  </r>
  <r>
    <s v="IBAGUE"/>
    <x v="4"/>
    <x v="4"/>
    <n v="17380"/>
    <n v="2543662"/>
    <n v="75541"/>
    <s v="INCIDENTE"/>
    <s v="CALDAS"/>
    <s v="LA DORADA"/>
    <s v="PTM LA DORADA MULTISERVICIOS J"/>
    <s v="REDEBAN"/>
    <s v="FO-25-1321021"/>
    <d v="2025-08-02T11:58:00"/>
    <d v="2025-08-04T15:41:00"/>
    <s v="NO"/>
    <s v="USUARIO"/>
    <s v="COMUNICACION"/>
    <s v="CONEXIONES DE COMERCIO"/>
    <s v="AGREGADOR"/>
    <s v="AGREGADOR"/>
    <s v="CERRADO"/>
    <s v="02/08/2025 01-08 SE ESCALA PARA VISITA. LLAMAR ANTES DE VISITAR, CONFIRMAR FALLA Y DATOS | 04/08/2025 SE HABLA CON LA SEÑORA HANNA LÓPEZ, AL NÚMERO DE TELÉFONO 3205599637, ME INDICA QUE EL DATÁFONO ESTÁ TRABAJANDO DE MANERA CORRECTA"/>
    <s v="SOPORTE_TELEFÓNICO"/>
    <n v="0"/>
    <s v="TIPO III"/>
    <s v="TERRESTRE"/>
    <s v="VARGAS HERRERA JHON JAIRO"/>
    <n v="0"/>
    <n v="0"/>
    <n v="0"/>
    <n v="0"/>
    <n v="37904.65408"/>
    <n v="37904.65408"/>
  </r>
  <r>
    <s v="BUCARAMANGA"/>
    <x v="3"/>
    <x v="3"/>
    <n v="68001"/>
    <n v="2547961"/>
    <n v="45682"/>
    <s v="INCIDENTE"/>
    <s v="SANTANDER"/>
    <s v="BUCARAMANGA"/>
    <s v="BARRIO CABECERA BUCARAMANGA 10"/>
    <s v="REDEBAN"/>
    <s v="FO-25-1325719"/>
    <d v="2025-08-04T10:50:00"/>
    <d v="2025-08-04T17:09:00"/>
    <s v="NO"/>
    <s v="USUARIO"/>
    <s v="COMUNICACION"/>
    <s v="CONEXIONES DE COMERCIO"/>
    <s v="CB UNO A UNO"/>
    <s v="CB UNO A UNO"/>
    <s v="CERRADO"/>
    <s v="04/08/2025 04-08 SE ESCALA PARA VISITA. LLAMAR ANTES DE VISITAR, CONFIRMAR FALLA Y DATOS | 04/08/2025 SE REALIZA VERIFICACIÓN DEL EQUIPO EL CUAL YA ESTÁ FUNCIONANDO CON NORMALIDAD LUEGO DE REALIZAR AJUSTE DE CONEXIÓNES FÍSICAS SERVICIO OPERATIVO CLIENTA INDICADA NO REQUERIR SERVICIO TÉCNICO"/>
    <s v="VISITA_TÉCNICA"/>
    <s v="AD001930"/>
    <s v="TIPO I"/>
    <s v="TERRESTRE"/>
    <s v="REYES RAMIREZ DIEGO ALEXANDER"/>
    <n v="1"/>
    <n v="0"/>
    <n v="0"/>
    <n v="0"/>
    <n v="65960.473639999997"/>
    <n v="65960.473639999997"/>
  </r>
  <r>
    <s v="APARTADO"/>
    <x v="0"/>
    <x v="0"/>
    <n v="5147"/>
    <n v="2548117"/>
    <n v="57488"/>
    <s v="INCIDENTE"/>
    <s v="ANTIOQUIA"/>
    <s v="CAREPA"/>
    <s v="PTM CAREPA THE ARMY FORCE"/>
    <s v="REDEBAN"/>
    <s v="FO-25-1325725"/>
    <d v="2025-08-04T10:47:00"/>
    <d v="2025-08-04T17:21:00"/>
    <s v="NO"/>
    <s v="USUARIO"/>
    <s v="COMUNICACION"/>
    <s v="CANAL DEL COMERCIO"/>
    <s v="AGREGADOR"/>
    <s v="AGREGADOR"/>
    <s v="CERRADO"/>
    <s v="04/08/2025 04-08 SE ESCALA PARA VISITA. LLAMAR ANTES DE VISITAR, CONFIRMAR FALLA Y DATOS | 04/08/2025 CLIENTE TIENE SWITCH AL PARECER MALO, SE CONECTA DATAFONO DIRECTAMENTE A MÓDEM ROUTER Y FUNCIONA"/>
    <s v="VISITA_TÉCNICA"/>
    <s v="IIWZZ549"/>
    <s v="TIPO I"/>
    <s v="TERRESTRE"/>
    <s v="CASTRO HENAO DANIEL ESTEBAN"/>
    <n v="1"/>
    <n v="0"/>
    <n v="0"/>
    <n v="0"/>
    <n v="65960.473639999997"/>
    <n v="65960.473639999997"/>
  </r>
  <r>
    <s v="PASTO"/>
    <x v="5"/>
    <x v="6"/>
    <n v="52399"/>
    <n v="2549237"/>
    <n v="80379"/>
    <s v="INCIDENTE"/>
    <s v="NARIÑO"/>
    <s v="LA UNION"/>
    <s v="BARRIO LAS AMERICAS LA UNION 1"/>
    <s v="REDEBAN"/>
    <s v="FO-25-1326490"/>
    <d v="2025-08-04T12:21:00"/>
    <d v="2025-08-05T09:45:00"/>
    <s v="NO"/>
    <s v="USUARIO"/>
    <s v="COMUNICACION"/>
    <s v="CANAL DEL COMERCIO"/>
    <s v="CB UNO A UNO"/>
    <s v="CB UNO A UNO"/>
    <s v="CERRADO"/>
    <s v="04/08/2025 04-08 SE ESCALA PARA VISITA. LLAMAR ANTES DE VISITAR, CONFIRMAR FALLA Y DATOS | 05/08/2025 SE REALIZO COMUNICACIÓN CON LA ENCARGADA DEL CB PARA VALIDAR FALLA DEL DATAFONO, INDICA QUE AL MOMENTO SE ENCUENTRA OPERATIVO, EL ERROR DE CONEXIÓN FUE DEBIDO A UNA CAÍDA DEL SERVICIO DE INTERNET, EL CB ESTA OPERATIVO"/>
    <s v="SOPORTE_TELEFÓNICO"/>
    <n v="0"/>
    <s v="TIPO III"/>
    <s v="TERRESTRE"/>
    <s v="GUERRERO RAMIREZ OSCAR DARIO"/>
    <n v="0"/>
    <n v="0"/>
    <n v="0"/>
    <n v="0"/>
    <n v="37904.65408"/>
    <n v="37904.65408"/>
  </r>
  <r>
    <s v="SINCELEJO"/>
    <x v="1"/>
    <x v="1"/>
    <n v="70001"/>
    <n v="2551445"/>
    <n v="54273"/>
    <s v="INCIDENTE"/>
    <s v="SUCRE"/>
    <s v="SINCELEJO"/>
    <s v="BARRIO EL PROGRESO SINCELEJO 1"/>
    <s v="REDEBAN"/>
    <s v="FO-25-1328383"/>
    <d v="2025-08-04T15:57:00"/>
    <d v="2025-08-05T14:10:00"/>
    <s v="NO"/>
    <s v="USUARIO"/>
    <s v="USUARIOS"/>
    <s v="TAPA MAL ASEGURADA"/>
    <s v="CB UNO A UNO"/>
    <s v="CB UNO A UNO"/>
    <s v="CERRADO"/>
    <s v="04/08/2024 04-08 SE ESCALA PARA VISITA. LLAMAR ANTES DE VISITAR, CONFIRMAR FALLA Y DATOS | 05/08/2025 SE VISITA COMERCIO POR UNA FALLA, SE VISUALIZA QUE LA TAPA ESTÁ MAL ASEGURADA POR ESO NO LE ESTÁBA IMPRIMIENDO, SE DEJA CON LA VERSIÓN 10.3, SE REALIZAN PRUEBAS OK, COMERCIO MIXTO TERMINAL XPEZZ053 CU 19218049"/>
    <s v="VISITA_TÉCNICA"/>
    <s v="9C6ZZ525 - XPEZZ053"/>
    <s v="TIPO I"/>
    <s v="TERRESTRE"/>
    <s v="CACERES HERNANDEZ ANDRES"/>
    <n v="1"/>
    <n v="0"/>
    <n v="0"/>
    <n v="0"/>
    <n v="65960.473639999997"/>
    <n v="65960.473639999997"/>
  </r>
  <r>
    <s v="APARTADO"/>
    <x v="0"/>
    <x v="0"/>
    <n v="5045"/>
    <n v="2552479"/>
    <n v="10035"/>
    <s v="INCIDENTE"/>
    <s v="ANTIOQUIA"/>
    <s v="APARTADO"/>
    <s v="BARRIO ALFONSO LOPEZ"/>
    <s v="REDEBAN"/>
    <s v="FO-25-1329234"/>
    <d v="2025-08-05T08:00:00"/>
    <d v="2025-08-05T16:19:00"/>
    <s v="NO"/>
    <s v="USUARIO"/>
    <s v="MANTENIMIENTO"/>
    <s v="MANTENIMIENTO GENERAL"/>
    <s v="CB UNO A UNO"/>
    <s v="CB UNO A UNO"/>
    <s v="CERRADO"/>
    <s v="05/08/2025 05-08 SE ESCALA PARA VISITA. LLAMAR ANTES DE VISITAR, CONFIRMAR FALLA Y DATOS | 05/08/2025 SE HABLA CON SEÑOR HERNAN, SE DAN INDICACIONES PARA INGRESO, SE REALIZA PRUEBA DE CIERRE Y FUNCIONA SIN NOVEDAD, SE REALIZAN CIERRES PARCIAL Y GENERAL Y CB QUEDA OPERATIVO. SE CIERRA INCIDENTE."/>
    <s v="SOPORTE_TELEFÓNICO"/>
    <n v="0"/>
    <s v="TIPO I"/>
    <s v="TERRESTRE"/>
    <s v="MORENO MEDINA JUAN PABLO"/>
    <n v="0"/>
    <n v="0"/>
    <n v="0"/>
    <n v="0"/>
    <n v="37904.65408"/>
    <n v="37904.65408"/>
  </r>
  <r>
    <s v="BUCARAMANGA"/>
    <x v="3"/>
    <x v="3"/>
    <n v="68679"/>
    <n v="2549161"/>
    <n v="80714"/>
    <s v="INCIDENTE"/>
    <s v="SANTANDER"/>
    <s v="SAN GIL"/>
    <s v="DISTRICOL MISCELANEA Y DROGUER"/>
    <s v="REDEBAN"/>
    <s v="FO-25-1326485"/>
    <d v="2025-08-04T12:22:00"/>
    <d v="2025-08-05T17:20:00"/>
    <s v="NO"/>
    <s v="USUARIO"/>
    <s v="COMUNICACION"/>
    <s v="CONEXIONES DE COMERCIO"/>
    <s v="AGREGADOR"/>
    <s v="AGREGADOR"/>
    <s v="CERRADO"/>
    <s v="04/08/2025 04-08 SE ESCALA PARA VISITA. LLAMAR ANTES DE VISITAR, CONFIRMAR FALLA Y DATOS | 05/08/2025 SE COMUNICA CON LA SEÑORITA LUZ AL NÚMERO DE TELÉFONO 3015265469 ,SE VALIDA DISPONIBLIDAD PERO CLIENTE SOLICITA CANCELAR LA VISITA TÉCNICA DEBÍDO QUE LA FALLA YA FUE SOLUCIONADA, INDICA QUE ERA LA CONEXIÓN DEL COMERCIO"/>
    <s v="SOPORTE_TELEFÓNICO"/>
    <n v="0"/>
    <s v="TIPO II"/>
    <s v="TERRESTRE"/>
    <s v="HERRERA LUQUE SAUL JAVIER"/>
    <n v="0"/>
    <n v="0"/>
    <n v="0"/>
    <n v="0"/>
    <n v="37904.65408"/>
    <n v="37904.65408"/>
  </r>
  <r>
    <s v="NEIVA"/>
    <x v="4"/>
    <x v="4"/>
    <n v="41668"/>
    <n v="2545301"/>
    <n v="56152"/>
    <s v="INCIDENTE"/>
    <s v="HUILA"/>
    <s v="SAN AGUSTIN"/>
    <s v="REVAL SAN AGUSTIN"/>
    <s v="REDEBAN"/>
    <s v="FO-25-1323968"/>
    <d v="2025-08-04T08:00:00"/>
    <d v="2025-08-05T17:46:00"/>
    <s v="NO"/>
    <s v="USUARIO"/>
    <s v="COMUNICACION"/>
    <s v="CONEXIONES DE COMERCIO"/>
    <s v="ROBUSTO"/>
    <s v="ROBUSTO"/>
    <s v="CERRADO"/>
    <s v="04/08/2025 4-08 EN COMUNICACION CON LA SEÑORA KAREN VIVIANA CUSTIAN AL NUMERO 3134057013  INDICA QUE LOS DOS DATAFONOS LE ARROJA ERROR DE COMUNICACIION, VERIFICAR PARAMETROS, CONFIRMA DATOS, SE ESCALA PARA VISITA | 05/08/2025 SE REVISA CONFIGURACIÓN Y CONEXIÓN DE LOS EQUIPOS PLACA 930681 CON TERMINAL XPMZZ117, EQUIPO PLACA 1230876 CON TERMINAL XPMZZ116, SE CORRIGE PARÁMETROS Y SE REALIZA PRUEBAS OK"/>
    <s v="VISITA_TÉCNICA"/>
    <s v="XPMZZ117-XPMZZ116"/>
    <s v="TIPO IV"/>
    <s v="TERRESTRE"/>
    <s v="ANDRADE HERNANDEZ JUAN CARLOS"/>
    <n v="1"/>
    <n v="0"/>
    <n v="0"/>
    <n v="0"/>
    <n v="479589.73656000005"/>
    <n v="479589.73656000005"/>
  </r>
  <r>
    <s v="TUNJA"/>
    <x v="3"/>
    <x v="3"/>
    <n v="15176"/>
    <n v="2554822"/>
    <n v="75048"/>
    <s v="INCIDENTE"/>
    <s v="BOYACA"/>
    <s v="CHIQUINQUIRA"/>
    <s v="BARRIO GUARIN CHIQUINQUIRA"/>
    <s v="REDEBAN"/>
    <s v="FO-25-1330772"/>
    <d v="2025-08-05T10:02:00"/>
    <d v="2025-08-05T18:17:00"/>
    <s v="NO"/>
    <s v="ENTIDAD"/>
    <s v="ERROR DE TRANSACCIONES"/>
    <s v="TRANSACCION NO PERMITIDA"/>
    <s v="CB UNO A UNO"/>
    <s v="CB UNO A UNO"/>
    <s v="CERRADO"/>
    <s v="05/08/2025 05-08 SE ESCALA PARA VISITA. LLAMAR ANTES DE VISITAR, CONFIRMAR FALLA Y DATOS | 05/08/2025 SE VISITA CB MANTENIMIENTO DE EQUIPO, CLIENTE MANIFIESTA QUE HUBO CAIDA DE SISTEMA POR PARTE DE ENTIDAD Y EQUIPO YA SE ENCUENTRA FUNCIONANDO CORRECTAMENTE"/>
    <s v="VISITA_TÉCNICA"/>
    <s v="NRZZZ532"/>
    <s v="TIPO III"/>
    <s v="TERRESTRE"/>
    <s v="GONZALEZ GONZALEZ MARIO ALBERTO"/>
    <n v="1"/>
    <n v="0"/>
    <n v="0"/>
    <n v="0"/>
    <n v="275728.37943999999"/>
    <n v="275728.37943999999"/>
  </r>
  <r>
    <s v="VALLEDUPAR"/>
    <x v="1"/>
    <x v="1"/>
    <n v="20750"/>
    <n v="2556949"/>
    <n v="29150"/>
    <s v="INCIDENTE"/>
    <s v="CESAR"/>
    <s v="SAN DIEGO"/>
    <s v="BARRIO CENTRO 2 SAN DIEGO"/>
    <s v="REDEBAN"/>
    <s v="FO-25-1332635"/>
    <d v="2025-08-05T13:44:00"/>
    <d v="2025-08-06T09:42:00"/>
    <s v="NO"/>
    <s v="USUARIO"/>
    <s v="COMUNICACION"/>
    <s v="CONEXIONES DE COMERCIO"/>
    <s v="CB UNO A UNO"/>
    <s v="CB UNO A UNO"/>
    <s v="CERRADO"/>
    <s v="06/08/2025 SE REALIZA GESTIÓN TELEFÓNICA ATIENDE EL SEÑOR EDILBERTO GONZÁLEZ EL CUAL, NOS INDICA DE QUE TIENE PROBLEMA CON UN SWITCH 5 PUERTOS  DEL COMERCIO,SE LE INFORMA AL CLIENTE QUE NOSOTROS NO MANEJAMOS ESE TIPO DE EQUIPOS POR LO CUAL REQUIERE QUE EL COMERCIO REALICE EL CAMBIO DEL DISPOSITIVO PARA EL BUEN FUNCIONAMIENTO DEL DATÁFONO"/>
    <s v="SOPORTE_TELEFÓNICO"/>
    <n v="0"/>
    <s v="TIPO II"/>
    <s v="TERRESTRE"/>
    <s v="MAESTRE MENGUAL EDGAR ENRIQUE"/>
    <n v="0"/>
    <n v="0"/>
    <n v="0"/>
    <n v="0"/>
    <n v="37904.65408"/>
    <n v="37904.65408"/>
  </r>
  <r>
    <s v="MONTERIA"/>
    <x v="1"/>
    <x v="1"/>
    <n v="23001"/>
    <n v="2555533"/>
    <n v="75558"/>
    <s v="INCIDENTE"/>
    <s v="CORDOBA"/>
    <s v="MONTERIA"/>
    <s v="PTM MONTERIA  NUEVO AMANECER C"/>
    <s v="REDEBAN"/>
    <s v="FO-25-1331263"/>
    <d v="2025-08-05T10:39:00"/>
    <d v="2025-08-06T10:10:00"/>
    <s v="NO"/>
    <s v="ENTIDAD"/>
    <s v="ERROR DE TRANSACCIONES"/>
    <s v="TRANSACCION NO PERMITIDA"/>
    <s v="AGREGADOR"/>
    <s v="AGREGADOR"/>
    <s v="CERRADO"/>
    <s v="05/08/2025 05-08 SE ESCALA PARA VISITA. LLAMAR ANTES DE VISITAR, CONFIRMAR FALLA Y DATOS | 06/08/2025 SE REALIZA VISITA TÉCNICA Y SE ENCUENTRA ESTABLECIMIENTO TRABAJANDO CORRECTAMENTE, SE VERIFICO FUNCIONALIDAD, USUARIO MANIFIESTA QUE EL INCONVENIENTE SE DEBIÓ A FALLAS CON LA ENTIDAD, LA CUÁL YA FUE CORREGIDA, SE VERIFICO Y SE DEJÓ EL SERVICIO OK."/>
    <s v="VISITA_TÉCNICA"/>
    <s v="SX00J115"/>
    <s v="TIPO I"/>
    <s v="TERRESTRE"/>
    <s v="CASSIANI PEREZ RAUL RAMIRO"/>
    <n v="1"/>
    <n v="0"/>
    <n v="0"/>
    <n v="0"/>
    <n v="65960.473639999997"/>
    <n v="65960.473639999997"/>
  </r>
  <r>
    <s v="NEIVA"/>
    <x v="4"/>
    <x v="4"/>
    <n v="41524"/>
    <n v="2560013"/>
    <n v="44290"/>
    <s v="INCIDENTE"/>
    <s v="HUILA"/>
    <s v="PALERMO"/>
    <s v="DISTRICOL MARIA LUZ ROJAS DUSS"/>
    <s v="REDEBAN"/>
    <s v="FO-25-1334838"/>
    <d v="2025-08-06T08:00:00"/>
    <d v="2025-08-06T12:20:00"/>
    <s v="NO"/>
    <s v="USUARIO"/>
    <s v="COMUNICACION"/>
    <s v="CANAL DEL COMERCIO"/>
    <s v="AGREGADOR"/>
    <s v="AGREGADOR"/>
    <s v="CERRADO"/>
    <s v="06/08/2025 05-08 SE ESCALA PARA VISITA. LLAMAR ANTES DE VISITAR, CONFIRMAR FALLA Y DATOS | 06/08/2025 SE REALIZA VISITA AL PUNTO, SE EVIDENCIA EQUIPO NO COMUNICA, SE EVIDENCIA DAÑO EN EL CANAL DE COMUNICACIÓN DEL CLIENTE EL INTERNET ESTA MUY INTERMITENTE, SE REALIZAN PRUEBAS CON INTERNET DE OTRO PUNTO Y FUNCIONA TODO OK, SE LE INDICA AL CLIENTE QUE TIENE QUE SOLICITAR VISITA TÉCNICA DE INTERNET. PRUEBAS OK, EQUIPO OK"/>
    <s v="VISITA_TÉCNICA"/>
    <s v="9B05Z126"/>
    <s v="TIPO I"/>
    <s v="TERRESTRE"/>
    <s v="DEVIA REINOSO JUAN CARLOS"/>
    <n v="1"/>
    <n v="0"/>
    <n v="0"/>
    <n v="0"/>
    <n v="65960.473639999997"/>
    <n v="65960.473639999997"/>
  </r>
  <r>
    <s v="MEDELLIN"/>
    <x v="0"/>
    <x v="0"/>
    <n v="5001"/>
    <n v="2559160"/>
    <n v="73590"/>
    <s v="INCIDENTE"/>
    <s v="ANTIOQUIA"/>
    <s v="MEDELLIN"/>
    <s v="PTM MEDELLIN  SALSAMENTARIA MO"/>
    <s v="REDEBAN"/>
    <s v="FO-25-1334337"/>
    <d v="2025-08-06T08:00:00"/>
    <d v="2025-08-06T12:22:00"/>
    <s v="NO"/>
    <s v="USUARIO"/>
    <s v="LECTOR DE TARJETAS"/>
    <s v="OBSTRUCCION DEL LECTOR"/>
    <s v="AGREGADOR"/>
    <s v="AGREGADOR"/>
    <s v="CERRADO"/>
    <s v="06/08/2025 05-08 SE ESCALA PARA VISITA. LLAMAR ANTES DE VISITAR, CONFIRMAR FALLA Y DATOS | 06/08/2025 SE REALIZA MANTENIMIENTO GENERAL AL EQUIPO, SE REALIZA PRUEBAS PERTINENTES, TODAS OK"/>
    <s v="VISITA_TÉCNICA"/>
    <s v="SV00W515 - NN00E822"/>
    <s v="TIPO I"/>
    <s v="TERRESTRE"/>
    <s v="HERNANDEZ CHAVARRIA JUAN CAMILO"/>
    <n v="1"/>
    <n v="0"/>
    <n v="0"/>
    <n v="0"/>
    <n v="65960.473639999997"/>
    <n v="65960.473639999997"/>
  </r>
  <r>
    <s v="MEDELLIN"/>
    <x v="0"/>
    <x v="0"/>
    <n v="5079"/>
    <n v="2554843"/>
    <n v="19653"/>
    <s v="INCIDENTE"/>
    <s v="ANTIOQUIA"/>
    <s v="BARBOSA"/>
    <s v="BARRIO SEGUNDO PARQUE BARBOSA"/>
    <s v="REDEBAN"/>
    <s v="FO-25-1330757"/>
    <d v="2025-08-05T10:08:00"/>
    <d v="2025-08-06T12:37:00"/>
    <s v="NO"/>
    <s v="USUARIO"/>
    <s v="MANTENIMIENTO"/>
    <s v="MANTENIMIENTO GENERAL"/>
    <s v="CB UNO A UNO"/>
    <s v="CB UNO A UNO"/>
    <s v="CERRADO"/>
    <s v="05/08/2025 05-08 SE ESCALA PARA VISITA. LLAMAR ANTES DE VISITAR, CONFIRMAR FALLA Y DATOS | 06/08/2025 SE REALIZÓ MANTENIMIENTO GENERAL DEL EQUIPO, SE LE EXPLICÓ AL USUARIO FUNCIONAMIENTO DEL NUEVO EQUIPO POS, FUNCIONA NORMALMENTE"/>
    <s v="VISITA_TÉCNICA"/>
    <s v="AAAAH126"/>
    <s v="TIPO II"/>
    <s v="TERRESTRE"/>
    <s v="CASTAÑEDA PALACIO CARLOS FELIPE"/>
    <n v="1"/>
    <n v="0"/>
    <n v="0"/>
    <n v="0"/>
    <n v="163813.55812"/>
    <n v="163813.55812"/>
  </r>
  <r>
    <s v="VALLEDUPAR"/>
    <x v="1"/>
    <x v="1"/>
    <n v="20013"/>
    <n v="2559069"/>
    <n v="10637"/>
    <s v="INCIDENTE"/>
    <s v="CESAR"/>
    <s v="AGUSTIN CODAZZI"/>
    <s v="AGUSTIN CODAZZI III - CESAR"/>
    <s v="REDEBAN"/>
    <s v="FO-25-1333986"/>
    <d v="2025-08-05T17:49:00"/>
    <d v="2025-08-06T13:19:00"/>
    <s v="NO"/>
    <s v="USUARIO"/>
    <s v="MANTENIMIENTO"/>
    <s v="MANTENIMIENTO GENERAL"/>
    <s v="CB UNO A UNO"/>
    <s v="CB UNO A UNO"/>
    <s v="CERRADO"/>
    <s v="05/08/2025 05-08 SE ESCALA PARA VISITA. LLAMAR ANTES DE VISITAR, CONFIRMAR FALLA Y DATOS | 06/08/2025 06/08/2025 SE REALIZA GESTIÓN TELEFÓNICA ATIENDE EL SEÑOR NIXON, EL CUAL NOS INDICA DE QUE HACE POCO LE REALIZARON CAMBIO DE DATÁFONO Y NOS INDICA QUE EL DATÁFONO NUEVO QUE LE INSTALARON TIENE LAS TECLAS UN POCO MÁS DURAS QUE EL ANTERIOR, SE VALIDA LA CUAL NOS DA DE REFERENCIA QUE ES UN EQUIPO DESK 2600, ESA REFERENCIA DE EQUIPO LAS TECLAS SON UN POCO MÁS RÍGIDAS QUE LOS ANTERIORES EQUIPOS, SE LE COMENTA QUE ES NORMAL Y SE LE EXPLICA DE QUE SI DESEA SE LE REALIZA CAMBIO DE EQUIPO PERO SE LE INSTALARIA UNO DE LA MISMA TECNOLOGIA. EL CLIENTE NOS INDICA DE QUE NO ES NECESARIO QUE NO HAY NINGÚN INCONVENIENTE QUE DEJEN EL EQUIPO ACTUAL"/>
    <s v="SOPORTE_TELEFÓNICO"/>
    <n v="0"/>
    <s v="TIPO II"/>
    <s v="TERRESTRE"/>
    <s v="MAESTRE MENGUAL EDGAR ENRIQUE"/>
    <n v="0"/>
    <n v="0"/>
    <n v="0"/>
    <n v="0"/>
    <n v="37904.65408"/>
    <n v="37904.65408"/>
  </r>
  <r>
    <s v="VILLAVICENCIO"/>
    <x v="4"/>
    <x v="4"/>
    <n v="50223"/>
    <n v="2552832"/>
    <n v="80364"/>
    <s v="INCIDENTE"/>
    <s v="META"/>
    <s v="CUBARRAL"/>
    <s v="BARRIO EL JARDIN CUBARRAL"/>
    <s v="REDEBAN"/>
    <s v="FO-25-1329228"/>
    <d v="2025-08-05T08:00:00"/>
    <d v="2025-08-06T16:21:00"/>
    <s v="NO"/>
    <s v="USUARIO"/>
    <s v="COMUNICACION"/>
    <s v="CONEXIONES DE COMERCIO"/>
    <s v="CB UNO A UNO"/>
    <s v="CB UNO A UNO"/>
    <s v="CERRADO"/>
    <s v="05/08/2025 05-08 SE ESCALA PARA VISITA. LLAMAR ANTES DE VISITAR, CONFIRMAR FALLA Y DATOS | 06/08/2025 SE REALIZA VISITA A COMERCIO, SEÑORA HERLINDA MANIFIESTA SERVICIO OPERATIVO OK SIN NOVEDADES"/>
    <s v="VISITA_TÉCNICA"/>
    <s v="LBZZZ622"/>
    <s v="TIPO II"/>
    <s v="TERRESTRE"/>
    <s v="CASTRILLON URREA LONDIER LEANDRO"/>
    <n v="1"/>
    <n v="0"/>
    <n v="0"/>
    <n v="0"/>
    <n v="163813.55812"/>
    <n v="163813.55812"/>
  </r>
  <r>
    <s v="SINCELEJO"/>
    <x v="1"/>
    <x v="1"/>
    <n v="70215"/>
    <n v="2559126"/>
    <n v="78757"/>
    <s v="INCIDENTE"/>
    <s v="SUCRE"/>
    <s v="COROZAL"/>
    <s v="DISTRICOL DROGUERIVARIEDAD21"/>
    <s v="REDEBAN"/>
    <s v="FO-25-1333988"/>
    <d v="2025-08-05T17:47:00"/>
    <d v="2025-08-06T16:40:00"/>
    <s v="NO"/>
    <s v="USUARIO"/>
    <s v="LECTOR DE TARJETAS"/>
    <s v="OBSTRUCCION DEL LECTOR"/>
    <s v="AGREGADOR"/>
    <s v="AGREGADOR"/>
    <s v="CERRADO"/>
    <s v="05/08/2025 05-08 SE ESCALA PARA VISITA. LLAMAR ANTES DE VISITAR, CONFIRMAR FALLA Y DATOS | 06/08/2025 SE VISITA SITIO, SE VERIFICA INFORMACIÓN, SE REALIZA LIMPIEZA DEL LECTOR, SE RESTAURA LA OBSTRUCCIÓN, SE REALIZA PRUEBA TRX EXITOSA, TECLADO OK, IMPRESIÓN OK, SELLOS OK"/>
    <s v="VISITA_TÉCNICA"/>
    <s v="SXRZZ981"/>
    <s v="TIPO II"/>
    <s v="TERRESTRE"/>
    <s v="SANTOS GUZMAN CHRISTIAN FELIPE"/>
    <n v="1"/>
    <n v="0"/>
    <n v="0"/>
    <n v="0"/>
    <n v="163813.55812"/>
    <n v="163813.55812"/>
  </r>
  <r>
    <s v="MEDELLIN"/>
    <x v="0"/>
    <x v="0"/>
    <n v="5604"/>
    <n v="2561346"/>
    <n v="70814"/>
    <s v="INCIDENTE"/>
    <s v="ANTIOQUIA"/>
    <s v="REMEDIOS"/>
    <s v="7 AGOSTO REMEDIO"/>
    <s v="REDEBAN"/>
    <s v="FO-25-1336823"/>
    <d v="2025-08-06T09:54:00"/>
    <d v="2025-08-06T17:18:00"/>
    <s v="NO"/>
    <s v="USUARIO"/>
    <s v="COMUNICACION"/>
    <s v="CONEXIONES DE COMERCIO"/>
    <s v="CB UNO A UNO"/>
    <s v="CB UNO A UNO"/>
    <s v="CERRADO"/>
    <s v="06/08/2025 6-08 10:36 SE INTENTA COMUNICACION EN VARIAS OPORTUNIDADES CON EL SEÑOR ARLEY MENDEZ A LOS NUMERO 3127330177-3137475677   PERO NO FUE POSIBLE, SE ESCALA AL COORDINADOR DE LA ZONA PARA VALIDAR EN SITIO | 06/08/2025 CABLE DE RED MAL CONECTADO, SE ORGANIZA, EQUIPOS OPERATIVOS"/>
    <s v="VISITA_TÉCNICA"/>
    <s v="EF00B344"/>
    <s v="TIPO IV"/>
    <s v="TERRESTRE"/>
    <s v="BADEL ACUÑA LUIS ALBERTO"/>
    <n v="1"/>
    <n v="0"/>
    <n v="0"/>
    <n v="0"/>
    <n v="479589.73656000005"/>
    <n v="479589.73656000005"/>
  </r>
  <r>
    <s v="MANIZALES"/>
    <x v="5"/>
    <x v="5"/>
    <n v="17001"/>
    <n v="2563378"/>
    <n v="12642"/>
    <s v="INCIDENTE"/>
    <s v="CALDAS"/>
    <s v="MANIZALES"/>
    <s v="BARRIO EL CABLE MANIZALEZ"/>
    <s v="REDEBAN"/>
    <s v="FO-25-1339359"/>
    <d v="2025-08-06T13:23:00"/>
    <d v="2025-08-06T17:42:00"/>
    <s v="NO"/>
    <s v="USUARIO"/>
    <s v="COMUNICACION"/>
    <s v="CANAL DEL COMERCIO"/>
    <s v="CB UNO A UNO"/>
    <s v="CB UNO A UNO"/>
    <s v="CERRADO"/>
    <s v="06/08/2025 06-08 SE ESCALA PARA VISITA. LLAMAR ANTES DE VISITAR, CONFIRMAR FALLA Y DATOS | 06/08/2025 SE REVISA LAS CONEXIONES DEL COMERCIO LAS CUALES SE ENCUENTRAN EN BUEN ESTADO, SE VÁLIDA EL FUNCIONAMIENTO DEL EQUIPO Y SE ENCUENTRA TRABAJANDO BIEN, EL CLIENTE INDICA QUE EL HACE CUATRO MESES LE CAMBIARON EL EQUIPO POR EL MISMO PROBLEMA, SE REALIZAN PRUEBAS OK Y SE LE INDICA AL CLIENTE SOLICITAR VISITA TÉCNICA DEL PROVEEDOR DE INTERNET YA QUE NO SE ENCUENTRA FALLAS EN EL EQUIPO"/>
    <s v="VISITA_TÉCNICA"/>
    <s v="JAAAX615"/>
    <s v="TIPO I"/>
    <s v="TERRESTRE"/>
    <s v="FRANCO CAÑAVERAL YAMID RAUL"/>
    <n v="1"/>
    <n v="0"/>
    <n v="0"/>
    <n v="0"/>
    <n v="65960.473639999997"/>
    <n v="65960.473639999997"/>
  </r>
  <r>
    <s v="PEREIRA"/>
    <x v="5"/>
    <x v="5"/>
    <n v="63001"/>
    <n v="2563159"/>
    <n v="35540"/>
    <s v="INCIDENTE"/>
    <s v="QUINDIO"/>
    <s v="ARMENIA"/>
    <s v="BARRIO ZULDEMAYDA ARMENIA"/>
    <s v="REDEBAN"/>
    <s v="FO-25-1338191"/>
    <d v="2025-08-06T12:33:00"/>
    <d v="2025-08-06T17:45:00"/>
    <s v="NO"/>
    <s v="USUARIO"/>
    <s v="MANTENIMIENTO"/>
    <s v="MANTENIMIENTO GENERAL"/>
    <s v="CB UNO A UNO"/>
    <s v="CB UNO A UNO"/>
    <s v="CERRADO"/>
    <s v="06/08/2025 06-08 SE ESCALA PARA VISITA. LLAMAR ANTES DE VISITAR, CONFIRMAR FALLA Y DATOS | 06/08/2025 SE VISITA COMERCIO SE REALIZÓ VERIFICACIÓN Y CONFIGURACIÓN DE CLAVE SUPERVISOR PRUEBAS OK"/>
    <s v="VISITA_TÉCNICA"/>
    <s v="9A0TZ995"/>
    <s v="TIPO II"/>
    <s v="TERRESTRE"/>
    <s v="SANCHEZ SOLORZANO JUAN SEBASTIAN"/>
    <n v="1"/>
    <n v="0"/>
    <n v="0"/>
    <n v="0"/>
    <n v="163813.55812"/>
    <n v="163813.55812"/>
  </r>
  <r>
    <s v="CALI"/>
    <x v="5"/>
    <x v="6"/>
    <n v="76001"/>
    <n v="2563957"/>
    <n v="71364"/>
    <s v="INCIDENTE"/>
    <s v="VALLE DEL CAUCA"/>
    <s v="CALI"/>
    <s v="DISTRICOL LA CANASTA MAX BARAT"/>
    <s v="REDEBAN"/>
    <s v="FO-25-1339671"/>
    <d v="2025-08-06T14:23:00"/>
    <d v="2025-08-06T17:52:00"/>
    <s v="NO"/>
    <s v="USUARIO"/>
    <s v="COMUNICACION"/>
    <s v="CANAL DEL COMERCIO"/>
    <s v="AGREGADOR"/>
    <s v="AGREGADOR"/>
    <s v="CERRADO"/>
    <s v="06/08/2025 06-08 SE ESCALA PARA VISITA. LLAMAR ANTES DE VISITAR, CONFIRMAR FALLA Y DATOS | 06/08/2025 SE REALIZA VALIDACION CON EL CLIENTE Y SE ENCUENTRA QUE EL CANAL DEL CLIENTE ESTA CON PROBLEMAS, CLIENTE REALIZA REINICIO DE LOS DISPOSITIVOS Y SEGUIDAMENTE REALIZAR PRUEBAS EXITOSAS EN EL DATAFONO"/>
    <s v="SOPORTE_TELEFÓNICO"/>
    <n v="0"/>
    <s v="TIPO I"/>
    <s v="TERRESTRE"/>
    <s v="HENAO CARDONA DIEGO FERNANDO"/>
    <n v="0"/>
    <n v="0"/>
    <n v="0"/>
    <n v="0"/>
    <n v="37904.65408"/>
    <n v="37904.65408"/>
  </r>
  <r>
    <s v="BUCARAMANGA"/>
    <x v="3"/>
    <x v="3"/>
    <n v="68307"/>
    <n v="2561377"/>
    <n v="34487"/>
    <s v="INCIDENTE"/>
    <s v="SANTANDER"/>
    <s v="GIRON"/>
    <s v="COMCARD GIRON D´ANGEL"/>
    <s v="REDEBAN"/>
    <s v="FO-25-1336816"/>
    <d v="2025-08-06T09:59:00"/>
    <d v="2025-08-06T18:19:00"/>
    <s v="NO"/>
    <s v="USUARIO"/>
    <s v="LECTOR DE BARRAS"/>
    <s v="ERROR PAGOS PARCIALES DE FACTURAS"/>
    <s v="AGREGADOR"/>
    <s v="AGREGADOR"/>
    <s v="CERRADO"/>
    <s v="06/08/2025 06-08 SE ESCALA PARA VISITA. LLAMAR ANTES DE VISITAR, CONFIRMAR FALLA Y DATOS | 06/08/2025 SE LLEGA SITIO, SE HACE VALIDACIÓN DE LECTOR DE BARRAS, SE LE INDICA AL CLIENTE QUE, BANCOLOMBIA NO TIENE CONVENIO CON LAS FACTURAS DE AGUA, GAS, MOVISTAR Y CLARO POR TAL MOTIVO NO LES PERMITE RECAUDAR ESOS RECIBOS, SE HACEN PRUEBAS, CON OTRAS CÓDIGOS DE BARRAS EXITOSO. CN MIXTO TERMINAL II00S895, CU 17833419"/>
    <s v="VISITA_TÉCNICA"/>
    <s v="BL014332 - II00S895"/>
    <s v="TIPO I"/>
    <s v="TERRESTRE"/>
    <s v="MARTINEZ FLOREZ DONIS ALBERTO"/>
    <n v="1"/>
    <n v="0"/>
    <n v="0"/>
    <n v="0"/>
    <n v="65960.473639999997"/>
    <n v="65960.473639999997"/>
  </r>
  <r>
    <s v="BUCARAMANGA"/>
    <x v="3"/>
    <x v="3"/>
    <n v="68001"/>
    <n v="2563170"/>
    <n v="75991"/>
    <s v="INCIDENTE"/>
    <s v="SANTANDER"/>
    <s v="BUCARAMANGA"/>
    <s v="BARRIO ALFONSO LOPEZ BUCARAMAN"/>
    <s v="REDEBAN"/>
    <s v="FO-25-1338198"/>
    <d v="2025-08-06T12:38:00"/>
    <d v="2025-08-07T09:46:00"/>
    <s v="NO"/>
    <s v="USUARIO"/>
    <s v="COMUNICACION"/>
    <s v="CONEXIONES DE COMERCIO"/>
    <s v="CB UNO A UNO"/>
    <s v="CB UNO A UNO"/>
    <s v="CERRADO"/>
    <s v="06/08/2025 06-08 SE ESCALA PARA VISITA. LLAMAR ANTES DE VISITAR, CONFIRMAR FALLA Y DATOS | 06/08/2025 SE VISITA COMERCIO Y SE ENCUENTRA ERROR EN LA COMUNICACIÓN DEBIDO A UNA FALLA EN EL CANAL DE COMUNICACIONES DEL COMERCIO SE LE INDICA AL CLIENTE Y SE REALIZA PRUEBA EN OTRO  MÓDEM PARA VERIFICAR EL FUNCIONAMIENTO CORRECTO DEL DATÁFONO"/>
    <s v="VISITA_TÉCNICA"/>
    <s v="LM0BZ635"/>
    <s v="TIPO I"/>
    <s v="TERRESTRE"/>
    <s v="PEÑA DIAZ IVAN YESID"/>
    <n v="1"/>
    <n v="0"/>
    <n v="0"/>
    <n v="0"/>
    <n v="65960.473639999997"/>
    <n v="65960.473639999997"/>
  </r>
  <r>
    <s v="MEDELLIN"/>
    <x v="0"/>
    <x v="0"/>
    <n v="5686"/>
    <n v="2558392"/>
    <n v="31779"/>
    <s v="INCIDENTE"/>
    <s v="ANTIOQUIA"/>
    <s v="SANTA ROSA DE OSOS"/>
    <s v="BARRIO LA TERMINAL SANTA ROSA"/>
    <s v="REDEBAN"/>
    <s v="FO-25-1333735"/>
    <d v="2025-08-05T16:12:00"/>
    <d v="2025-08-07T11:29:00"/>
    <s v="NO"/>
    <s v="USUARIO"/>
    <s v="MANTENIMIENTO"/>
    <s v="MANTENIMIENTO GENERAL"/>
    <s v="CB UNO A UNO"/>
    <s v="CB UNO A UNO"/>
    <s v="CERRADO"/>
    <s v="05/08/2025 05-08 SE ESCALA PARA VISITA. LLAMAR ANTES DE VISITAR, CONFIRMAR FALLA Y DATOS | 07/08/2025 SE HACE MANTENIMIENTO SE OK SE CONFIGURA PARÁMETROS DE DATÁFONO OK PRUEBAS EXITOSAS"/>
    <s v="VISITA_TÉCNICA"/>
    <s v="BL08Z839"/>
    <s v="TIPO II"/>
    <s v="TERRESTRE"/>
    <s v="DIAZ ZABALA FRANCIS DUBAN"/>
    <n v="1"/>
    <n v="0"/>
    <n v="0"/>
    <n v="0"/>
    <n v="163813.55812"/>
    <n v="163813.55812"/>
  </r>
  <r>
    <s v="CUCUTA"/>
    <x v="3"/>
    <x v="3"/>
    <n v="54001"/>
    <n v="2567232"/>
    <n v="65491"/>
    <s v="INCIDENTE"/>
    <s v="NORTE DE SANTANDER"/>
    <s v="CUCUTA"/>
    <s v="BARRIO LOS OLIVOS CUCUTA"/>
    <s v="REDEBAN"/>
    <s v="FO-25-1345269"/>
    <d v="2025-08-07T12:34:00"/>
    <d v="2025-08-08T09:22:00"/>
    <s v="NO"/>
    <s v="USUARIO"/>
    <s v="MANTENIMIENTO"/>
    <s v="MANTENIMIENTO GENERAL"/>
    <s v="CB UNO A UNO"/>
    <s v="CB UNO A UNO"/>
    <s v="CERRADO"/>
    <s v="07/08/2025 07-08 SE ESCALA PARA VISITA. LLAMAR ANTES DE VISITAR, CONFIRMAR FALLA Y DATOS | 08/08/2025 SE REALIZÓ VISITA AL COMERCIO Y SE ENCUENTRA DATAFONO CON RECHAZO GENERAL EN RETIROS SE REPOSAN PARÁMETROS, SE REPOSA LLAVE PRUEBAS EXITOSAS"/>
    <s v="VISITA_TÉCNICA"/>
    <s v="7A00B348"/>
    <s v="TIPO I"/>
    <s v="TERRESTRE"/>
    <s v="MORA VEGA JEAMPIER"/>
    <n v="1"/>
    <n v="0"/>
    <n v="0"/>
    <n v="0"/>
    <n v="65960.473639999997"/>
    <n v="65960.473639999997"/>
  </r>
  <r>
    <s v="CALI"/>
    <x v="5"/>
    <x v="6"/>
    <n v="76001"/>
    <n v="2566211"/>
    <n v="76951"/>
    <s v="INCIDENTE"/>
    <s v="VALLE DEL CAUCA"/>
    <s v="CALI"/>
    <s v="BARRIO CENTRAL CALI"/>
    <s v="REDEBAN"/>
    <s v="FO-25-1342306"/>
    <d v="2025-08-07T08:00:00"/>
    <d v="2025-08-08T09:39:00"/>
    <s v="NO"/>
    <s v="USUARIO"/>
    <s v="COMUNICACION"/>
    <s v="CONEXIONES DE COMERCIO"/>
    <s v="CB UNO A UNO"/>
    <s v="CB UNO A UNO"/>
    <s v="CERRADO"/>
    <s v="07/08/2025 07-08 SE ESCALA PARA VISITA. LLAMAR ANTES DE VISITAR, CONFIRMAR FALLA Y DATOS | 07/08/2025 SE HABLA CON EL CLIENTE PARA VALIDAR ATENCION, CLIENTE INDICA QUE SE PUEDE REALIZAR VISITA EL DIA VIERNES, EN HORAS DE LA MAÑANA QUE VOLVERA NUEVAMENTE AL LOCAL | 08/08/2025 SE LLEGA AL COMERCIO SE REVISA CABLEADO SE HACEN PRUEBAS Y TODO ESTA OK QUEDA FUNCIONANDO CORRECTAMENTE"/>
    <s v="VISITA_TÉCNICA"/>
    <s v="A18ZZ388"/>
    <s v="TIPO I"/>
    <s v="TERRESTRE"/>
    <s v="CUERO RUIZ JHONNY"/>
    <n v="1"/>
    <n v="0"/>
    <n v="0"/>
    <n v="0"/>
    <n v="65960.473639999997"/>
    <n v="65960.473639999997"/>
  </r>
  <r>
    <s v="CALI"/>
    <x v="5"/>
    <x v="6"/>
    <n v="76001"/>
    <n v="2568506"/>
    <n v="33764"/>
    <s v="INCIDENTE"/>
    <s v="VALLE DEL CAUCA"/>
    <s v="CALI"/>
    <s v="BARRIO VILLACOLOMBIA CALI"/>
    <s v="REDEBAN"/>
    <s v="FO-25-1347941"/>
    <d v="2025-08-08T08:38:00"/>
    <d v="2025-08-08T10:38:00"/>
    <s v="NO"/>
    <s v="USUARIO"/>
    <s v="CIERRE"/>
    <s v="COMERCIO NO REALIZA CIERRE"/>
    <s v="CB UNO A UNO"/>
    <s v="CB UNO A UNO"/>
    <s v="CERRADO"/>
    <s v="08/08/2025 08-08 SE ESCALA PARA VISITA. LLAMAR ANTES DE VISITAR, CONFIRMAR FALLA Y DATOS | 08/08/2025 CLIENTE NO TENIA CLAVE DE SUPERVISOR SE LE ASIGNÓ UNA Y QUEDA FUNCIONANDO CORRECTAMENTE"/>
    <s v="VISITA_TÉCNICA"/>
    <s v="1FZZZ149"/>
    <s v="TIPO I"/>
    <s v="TERRESTRE"/>
    <s v="CUERO RUIZ JHONNY"/>
    <n v="1"/>
    <n v="0"/>
    <n v="0"/>
    <n v="0"/>
    <n v="65960.473639999997"/>
    <n v="65960.473639999997"/>
  </r>
  <r>
    <s v="BOGOTA"/>
    <x v="2"/>
    <x v="2"/>
    <n v="11001"/>
    <n v="2567244"/>
    <n v="74518"/>
    <s v="INCIDENTE"/>
    <s v="CUNDINAMARCA"/>
    <s v="BOGOTA"/>
    <s v="BARRIO AURES 2 BOGOTA 3"/>
    <s v="REDEBAN"/>
    <s v="FO-25-1345259"/>
    <d v="2025-08-07T12:45:00"/>
    <d v="2025-08-08T11:13:00"/>
    <s v="NO"/>
    <s v="ENTIDAD"/>
    <s v="ERROR DE TRANSACCIONES"/>
    <s v="TRANSACCION NO PERMITIDA"/>
    <s v="CB UNO A UNO"/>
    <s v="CB UNO A UNO"/>
    <s v="CERRADO"/>
    <s v="07/08/2025 07-08 SE ESCALA PARA VISITA. LLAMAR ANTES DE VISITAR, CONFIRMAR FALLA Y DATOS | 08/08/2025 SE REALIZA VISITA A DIRECCIÓN DE COMERCIO, ATIENDE EL SR. WILMAR ROMERO QUIEN INFORMA QUE EL DÍA DE HOY EL DATAFONO ESTÁ FUNCIONANDO DE FORMA CORRECTA, SE REALIZA ACOMPAÑAMIENTO Y VALIDACIÓN DE FUNCIONAMIENTO SIN NOVEDAD, NO SE MANIPULA EQUIPOS"/>
    <s v="VISITA_TÉCNICA"/>
    <s v="TVDZZ282"/>
    <s v="TIPO I"/>
    <s v="TERRESTRE"/>
    <s v="MURCIA HERNANDEZ HARVEY IGNACIO"/>
    <n v="1"/>
    <n v="0"/>
    <n v="0"/>
    <n v="0"/>
    <n v="65960.473639999997"/>
    <n v="65960.473639999997"/>
  </r>
  <r>
    <s v="MEDELLIN"/>
    <x v="0"/>
    <x v="0"/>
    <n v="5001"/>
    <n v="2564850"/>
    <n v="68192"/>
    <s v="INCIDENTE"/>
    <s v="ANTIOQUIA"/>
    <s v="MEDELLIN"/>
    <s v="CENTRO MEDELLIN ANTIOQUIA"/>
    <s v="REDEBAN"/>
    <s v="FO-25-1340704"/>
    <d v="2025-08-06T15:36:00"/>
    <d v="2025-08-08T14:22:00"/>
    <s v="NO"/>
    <s v="USUARIO"/>
    <s v="LECTOR DE TARJETAS"/>
    <s v="OBSTRUCCION DEL LECTOR"/>
    <s v="CB UNO A UNO"/>
    <s v="CB UNO A UNO"/>
    <s v="CERRADO"/>
    <s v="06/08/2025 06-08 SE ESCALA PARA VISITA. LLAMAR ANTES DE VISITAR, CONFIRMAR FALLA Y DATOS | 07/08/2025 SE LLAMA A CLIENTE PARA CONFIRMAR VISITA Y COMENTA QUE EL LOCAL NO TIENEN SERVICIO DOMINGOS NI FESTIVOS, SE DEBE REAGENDAR VISITA PARA UN DÍA HÁBIL E INDICA QUE ABRE COMERCIO DESPUÉS DE 9 AM | 08/08/2025 SE REALIZA LIMPIEZA DE LECTOR CHIP CON OBSTRUCCIÓN OK PRUEBAS OK"/>
    <s v="VISITA_TÉCNICA"/>
    <s v="A1006413"/>
    <s v="TIPO I"/>
    <s v="TERRESTRE"/>
    <s v="PAREJA ECHAVARRIA JHON DAVID"/>
    <n v="1"/>
    <n v="0"/>
    <n v="0"/>
    <n v="0"/>
    <n v="65960.473639999997"/>
    <n v="65960.473639999997"/>
  </r>
  <r>
    <s v="MEDELLIN"/>
    <x v="0"/>
    <x v="0"/>
    <n v="5674"/>
    <n v="2566131"/>
    <n v="66871"/>
    <s v="INCIDENTE"/>
    <s v="ANTIOQUIA"/>
    <s v="SAN VICENTE"/>
    <s v="BARRIO CENTRO SAN VICENTE FERR"/>
    <s v="REDEBAN"/>
    <s v="FO-25-1342302"/>
    <d v="2025-08-07T08:00:00"/>
    <d v="2025-08-08T15:22:00"/>
    <s v="NO"/>
    <s v="USUARIO"/>
    <s v="MANTENIMIENTO"/>
    <s v="MANTENIMIENTO GENERAL"/>
    <s v="CB UNO A UNO"/>
    <s v="CB UNO A UNO"/>
    <s v="CERRADO"/>
    <s v="07/08/2025 07-08 SE ESCALA PARA VISITA. LLAMAR ANTES DE VISITAR, CONFIRMAR FALLA Y DATOS | 08/08/2025 SE LLEGA AL SITIO Y SE VERIFICA EQUIPOS, SE ENCUENTRA APAGADO SE REALIZA CAMBIO DE FUENTE DE PODER SE REALIZAN PRUEBAS EXITOSAS SERVICIO OPERATIVO OK"/>
    <s v="VISITA_TÉCNICA"/>
    <s v="4A0AZ399"/>
    <s v="TIPO II"/>
    <s v="TERRESTRE"/>
    <s v="ZAPATA LOPEZ EDWARD ASDRUBAL"/>
    <n v="1"/>
    <n v="0"/>
    <n v="0"/>
    <n v="0"/>
    <n v="163813.55812"/>
    <n v="163813.55812"/>
  </r>
  <r>
    <s v="CUCUTA"/>
    <x v="3"/>
    <x v="3"/>
    <n v="54810"/>
    <n v="2570971"/>
    <n v="47219"/>
    <s v="INCIDENTE"/>
    <s v="NORTE DE SANTANDER"/>
    <s v="TIBU"/>
    <s v="BARRIO FUERA DEL MUNICIPIO DE"/>
    <s v="REDEBAN"/>
    <s v="FO-25-1350348"/>
    <d v="2025-08-08T12:39:00"/>
    <d v="2025-08-08T15:47:00"/>
    <s v="NO"/>
    <s v="USUARIO"/>
    <s v="COMUNICACION"/>
    <s v="CONEXIONES DE COMERCIO"/>
    <s v="CB UNO A UNO"/>
    <s v="CB UNO A UNO"/>
    <s v="CERRADO"/>
    <s v="08/08/2025 8-08 EN COMUNICACIÓN CON EL SEÑOR LUIS RAMÓN RIVEROS TORRADO AL NUMERO 3222170523 INDICA QUE EL DATAFONO NO ESTA IMPRIMIENDO LOS VAUCHER DE MANERA RAPIDA Y LA INFORMACIÓN ESTA MUY BORROSA, CONFIRMA LOS DATOS, SE ESCALA PARA VISITA | 08/08/2025 SE COMUNICA CON EL CLIENTE LUIS RIVEROS, AL # 3222170523, SE LE DA SOPORTE TELEFONICO, NOS INFORMA QUE SE SOLUCIONA EL PROBLEMA, CB OPERATIVO, SE ANEXA TIRILLA ENVIADA POR EL CLIENTE"/>
    <s v="SOPORTE_TELEFÓNICO"/>
    <m/>
    <s v="TIPO IV ESPECIAL"/>
    <s v="TERRESTRE"/>
    <s v="NARANJO AFANADOR RUBEN JESUS"/>
    <n v="0"/>
    <n v="0"/>
    <n v="0"/>
    <n v="0"/>
    <n v="37904.65408"/>
    <n v="37904.65408"/>
  </r>
  <r>
    <s v="MANIZALES"/>
    <x v="5"/>
    <x v="5"/>
    <n v="17001"/>
    <n v="2569607"/>
    <n v="46201"/>
    <s v="INCIDENTE"/>
    <s v="CALDAS"/>
    <s v="MANIZALES"/>
    <s v="PAGAFACIL TERMINAL MANIZALES"/>
    <s v="REDEBAN"/>
    <s v="FO-25-1349445"/>
    <d v="2025-08-08T09:59:00"/>
    <d v="2025-08-09T10:33:00"/>
    <s v="NO"/>
    <s v="USUARIO"/>
    <s v="MANTENIMIENTO"/>
    <s v="MANTENIMIENTO GENERAL"/>
    <s v="ROBUSTO"/>
    <s v="ROBUSTO"/>
    <s v="CERRADO"/>
    <s v="08/08/2025 08-08 SE ESCALA PARA VISITA. LLAMAR ANTES DE VISITAR, CONFIRMAR FALLA Y DATOS | 08/08/2025 NO SE REALIZA VISITA EL DIA DE HOY YA QUE SE TENIA AGENDADA UNA APERTURA Y POR EL INCONVENIENTE DE LA ASIGNACIÓN DE LAS PLACAS NO SE PUDO VISITAR TEMPRANO, SE VISITARA EL DIA SABADO TENIENDO EN CUENTA QUE LOS CAMBIOS SE REALIZARN A PARTIR DE LAS 9 AM | 09/08/2025 SE REALIZA VISITA SE VALIDA IMPRESION UN POCO BORROSA, SE REALIZA MANTENIMIENTO Y LIMPIEZA QUEDA OPERANDO E IMPRIMIENDO EN BUEN ESTADO SERVICIO OK"/>
    <s v="VISITA_TÉCNICA"/>
    <s v="II003202"/>
    <s v="TIPO I"/>
    <s v="TERRESTRE"/>
    <s v="AGUIRRE HENAO RAUL EDUARDO"/>
    <n v="1"/>
    <n v="0"/>
    <n v="0"/>
    <n v="0"/>
    <n v="65960.473639999997"/>
    <n v="65960.473639999997"/>
  </r>
  <r>
    <s v="MEDELLIN"/>
    <x v="0"/>
    <x v="0"/>
    <n v="5001"/>
    <n v="2574055"/>
    <n v="41161"/>
    <s v="INCIDENTE"/>
    <s v="ANTIOQUIA"/>
    <s v="MEDELLIN"/>
    <s v="PAGAFACIL ARKADIA"/>
    <s v="REDEBAN"/>
    <s v="FO-25-1353618"/>
    <d v="2025-08-09T09:51:00"/>
    <d v="2025-08-09T14:20:00"/>
    <s v="NO"/>
    <s v="USUARIO"/>
    <s v="LECTOR DE TARJETAS"/>
    <s v="OBSTRUCCION DEL LECTOR"/>
    <s v="ROBUSTO"/>
    <s v="ROBUSTO"/>
    <s v="CERRADO"/>
    <s v="09/08/2025 09-08 SE ESCALA PARA VISITA. LLAMAR ANTES DE VISITAR, CONFIRMAR FALLA Y DATOS | 09/08/2025 SE REALIZÓ LIMPIEZA DE LECTOR CHIP"/>
    <s v="VISITA_TÉCNICA"/>
    <s v="GZ0OZ428"/>
    <s v="TIPO I"/>
    <s v="TERRESTRE"/>
    <s v="CASTAÑEDA PALACIO CARLOS FELIPE"/>
    <n v="1"/>
    <n v="0"/>
    <n v="0"/>
    <n v="0"/>
    <n v="65960.473639999997"/>
    <n v="65960.473639999997"/>
  </r>
  <r>
    <s v="CALI"/>
    <x v="5"/>
    <x v="6"/>
    <n v="76670"/>
    <n v="2572074"/>
    <n v="80302"/>
    <s v="INCIDENTE"/>
    <s v="VALLE DEL CAUCA"/>
    <s v="SAN PEDRO"/>
    <s v="BARRIO JARDIN SAN PEDRO"/>
    <s v="REDEBAN"/>
    <s v="FO-25-1351690"/>
    <d v="2025-08-08T15:16:00"/>
    <d v="2025-08-09T14:51:00"/>
    <s v="NO"/>
    <s v="USUARIO"/>
    <s v="MANTENIMIENTO"/>
    <s v="MANTENIMIENTO GENERAL"/>
    <s v="CB UNO A UNO"/>
    <s v="CB UNO A UNO"/>
    <s v="CERRADO"/>
    <s v="08/08/2025 08-08 SE ESCALA PARA VISITA. LLAMAR ANTES DE VISITAR, CONFIRMAR FALLA Y DATOS | 09/08/2025 EN LA VISITA TÉCNICA SE REALIZÓ LA REVISIÓN DEL DATÁFONO ENCONTRANDO QUE EL USUARIO ESTABA PONIENDO EL ROLLO DE MANERA ERRADA Y POR ESTE MOTIVO NO SE IMPRIMÍA LA INFORMACIÓN EN LA TIRILLA,SE LE EXPLICÓ COMO POBER EL ROLLO DE MANERA CORRECTA, TAMBIÉN SE REALIZÓ LA REVISIÓN A TODOS LOS EQUIPOS Y ACCESORIOS ENCONTRANDO Y DEJANDO EL SERVICIO OPERANDO DE MANERA CORRECTA Y SIN NOVEDAD"/>
    <s v="VISITA_TÉCNICA"/>
    <s v="SAZZZ778"/>
    <s v="TIPO II"/>
    <s v="TERRESTRE"/>
    <s v="SANCHEZ URREGO ROBINSON DAVID"/>
    <n v="1"/>
    <n v="0"/>
    <n v="0"/>
    <n v="0"/>
    <n v="163813.55812"/>
    <n v="163813.55812"/>
  </r>
  <r>
    <s v="BOGOTA"/>
    <x v="2"/>
    <x v="2"/>
    <n v="25290"/>
    <n v="2574234"/>
    <n v="23055"/>
    <s v="INCIDENTE"/>
    <s v="CUNDINAMARCA"/>
    <s v="FUSAGASUGA"/>
    <s v="BARRIO CENTRO III FUSAGASUGA"/>
    <s v="REDEBAN"/>
    <s v="FO-25-1354442"/>
    <d v="2025-08-09T11:32:00"/>
    <d v="2025-08-09T15:00:00"/>
    <s v="NO"/>
    <s v="USUARIO"/>
    <s v="USUARIOS"/>
    <s v="CREACION DE USUARIOS"/>
    <s v="CB UNO A UNO"/>
    <s v="CB UNO A UNO"/>
    <s v="CERRADO"/>
    <s v="09/08/2025 09-08 SE ESCALA PARA VISITA. LLAMAR ANTES DE VISITAR, CONFIRMAR FALLA Y DATOS | 09/08/2025 DURANTE LA VISITA  DE TECNICA  ENCONTRAMOS QUE DATÁFONO NO LE PERMITE INGRESO AL PANEL DE CORRESPONSAL SE REALIZA CREACIÓN DE USUARIOS CON  PRUEBAS OK PARÁMETROS OKAY CIERRE OK USUARIOS OK A CONFORMIDAD DE CORRESPONSAL"/>
    <s v="VISITA_TÉCNICA"/>
    <s v="GZZZZ645"/>
    <s v="TIPO II"/>
    <s v="TERRESTRE"/>
    <s v="GALEANO SORIANO JUAN DAVID"/>
    <n v="1"/>
    <n v="0"/>
    <n v="0"/>
    <n v="0"/>
    <n v="163813.55812"/>
    <n v="163813.55812"/>
  </r>
  <r>
    <s v="CUCUTA"/>
    <x v="3"/>
    <x v="3"/>
    <n v="54874"/>
    <n v="2574501"/>
    <n v="75547"/>
    <s v="INCIDENTE"/>
    <s v="NORTE DE SANTANDER"/>
    <s v="VILLA DEL ROSARIO"/>
    <s v="PTM VILLA DEL ROSARIO  PLASTIC"/>
    <s v="REDEBAN"/>
    <s v="FO-25-1355420"/>
    <d v="2025-08-09T15:14:00"/>
    <d v="2025-08-10T08:39:00"/>
    <s v="NO"/>
    <s v="USUARIO"/>
    <s v="MANTENIMIENTO"/>
    <s v="MANTENIMIENTO GENERAL"/>
    <s v="AGREGADOR"/>
    <s v="AGREGADOR"/>
    <s v="CERRADO"/>
    <s v="09/08/2025 SE REALIZÓ LLAMADA TELEFÓNICA AL NÚMERO 3505921617 SE HABLÓ CON EL SR RICHARD INDICA QUE YA SOLUCIONO EL INCONVENIENTE CON EL BRILLO DEL DATAFONO Y MANIFIESTA QUE NO DESEA QUE SE REALICE LA VISITA TÉCNICA"/>
    <s v="SOPORTE_TELEFÓNICO"/>
    <m/>
    <s v="TIPO I"/>
    <s v="TERRESTRE"/>
    <s v="MORA VEGA JEAMPIER"/>
    <n v="0"/>
    <n v="0"/>
    <n v="0"/>
    <n v="0"/>
    <n v="37904.65408"/>
    <n v="37904.65408"/>
  </r>
  <r>
    <s v="MEDELLIN"/>
    <x v="0"/>
    <x v="0"/>
    <n v="5001"/>
    <n v="2574381"/>
    <n v="79674"/>
    <s v="INCIDENTE"/>
    <s v="ANTIOQUIA"/>
    <s v="MEDELLIN"/>
    <s v="BARRIO CASTILLA MEDELLIN 17"/>
    <s v="REDEBAN"/>
    <s v="FO-25-1354964"/>
    <d v="2025-08-09T13:49:00"/>
    <d v="2025-08-10T09:54:00"/>
    <s v="NO"/>
    <s v="USUARIO"/>
    <s v="COMUNICACION"/>
    <s v="CANAL DEL COMERCIO"/>
    <s v="CB UNO A UNO"/>
    <s v="CB UNO A UNO"/>
    <s v="CERRADO"/>
    <s v="09/08/2025 09-08 SE ESCALA PARA VISITA. LLAMAR ANTES DE VISITAR, CONFIRMAR FALLA Y DATOS | 10/08/2025 SE REALIZÓ GESTIÓN TELEFÓNICA SE HABLO CON LA SEÑORA FLOR, NOS INDICA QUE LA FALLA SE DEBÍA AL PROVEEDOR DE INTERNET, DESDE EL DÍA DE AYER ESTÁ FUNCIONANDO NORMALMENTE"/>
    <s v="SOPORTE_TELEFÓNICO"/>
    <m/>
    <s v="TIPO I"/>
    <s v="TERRESTRE"/>
    <s v="CASTAÑEDA PALACIO CARLOS FELIPE"/>
    <n v="0"/>
    <n v="0"/>
    <n v="0"/>
    <n v="0"/>
    <n v="37904.65408"/>
    <n v="37904.65408"/>
  </r>
  <r>
    <s v="MEDELLIN"/>
    <x v="0"/>
    <x v="0"/>
    <n v="5001"/>
    <n v="2574160"/>
    <n v="68701"/>
    <s v="INCIDENTE"/>
    <s v="ANTIOQUIA"/>
    <s v="MEDELLIN"/>
    <s v="CYBER PLUS COMPUTADORES SAS"/>
    <s v="REDEBAN"/>
    <s v="FO-25-1354427"/>
    <d v="2025-08-09T11:38:00"/>
    <d v="2025-08-11T12:03:00"/>
    <s v="NO"/>
    <s v="USUARIO"/>
    <s v="MANTENIMIENTO"/>
    <s v="MANTENIMIENTO GENERAL"/>
    <s v="CB UNO A UNO"/>
    <s v="CB UNO A UNO"/>
    <s v="CERRADO"/>
    <s v="09/08/2025 09-08 SE ESCALA PARA VISITA. LLAMAR ANTES DE VISITAR, CONFIRMAR FALLA Y DATOS | 10/08/2025 SE REALIZÓ GESTIÓN TELEFÓNICA SE HABLO CON LA SEÑORA ERIKA RODRÍGUEZ EN EL 3016841115 NOS INFORMA QUE LOS DÍAS DOMINGOS NO PRESENTAN ATENCIÓN AL PÚBLICO | 11/08/2025 SE VERIFICA EQUIPO, SE HACEN PRUEBAS PERTINENTES TODAS OK"/>
    <s v="VISITA_TÉCNICA"/>
    <s v="9L0UZ955"/>
    <s v="TIPO I"/>
    <s v="TERRESTRE"/>
    <s v="HERNANDEZ CHAVARRIA JUAN CAMILO"/>
    <n v="1"/>
    <n v="0"/>
    <n v="0"/>
    <n v="0"/>
    <n v="65960.473639999997"/>
    <n v="65960.473639999997"/>
  </r>
  <r>
    <s v="MEDELLIN"/>
    <x v="0"/>
    <x v="0"/>
    <n v="5001"/>
    <n v="2574610"/>
    <n v="76844"/>
    <s v="INCIDENTE"/>
    <s v="ANTIOQUIA"/>
    <s v="MEDELLIN"/>
    <s v="PTM MEDELLIN  MINI MERCADO ARI"/>
    <s v="REDEBAN"/>
    <s v="FO-25-1355953"/>
    <d v="2025-08-09T17:29:00"/>
    <d v="2025-08-11T12:07:00"/>
    <s v="NO"/>
    <s v="USUARIO"/>
    <s v="MANTENIMIENTO"/>
    <s v="MANTENIMIENTO GENERAL"/>
    <s v="AGREGADOR"/>
    <s v="AGREGADOR"/>
    <s v="CERRADO"/>
    <s v="10/08/2025 10-08 SE ESCALA PARA VISITA. LLAMAR ANTES DE VISITAR, CONFIRMAR FALLA Y DATOS | 10/08/2025 SE REALIZÓ GESTIÓN TELEFÓNICA SE HABLO CON EL SEÑOR WILMER FELIPE VANEGAS CHAVERRA EN EL 3216037515 SE DESCONECTA EN VARIAS VECES EL DATÁFONO CONTINUA CON LA PANTALLA EN BLANCO SIN PODER VISUALIZAR LA INFORMACIÓN, SE REQUIERE CAMBIO DE EQUIPO SE POSPONE VISITA PARA EL DÍA LUNES YA QUE LOS DOMINGOS REDEBAN NO TIENE SOPORTE PARA CAMBIAR EL EQUIPO | 11/08/2025 SE LLEGA A PUNTO, USUARIO NO ESTÁ DISPONIBLE, SOLAMENTE DESPUÉS DE MEDIO DIA"/>
    <s v="VISITA_TÉCNICA"/>
    <s v="NONE"/>
    <s v="TIPO I"/>
    <s v="TERRESTRE"/>
    <s v="HERNANDEZ CHAVARRIA JUAN CAMILO"/>
    <n v="1"/>
    <n v="0"/>
    <n v="0"/>
    <n v="0"/>
    <n v="65960.473639999997"/>
    <n v="65960.473639999997"/>
  </r>
  <r>
    <s v="MEDELLIN"/>
    <x v="0"/>
    <x v="0"/>
    <n v="5209"/>
    <n v="2574453"/>
    <n v="31970"/>
    <s v="INCIDENTE"/>
    <s v="ANTIOQUIA"/>
    <s v="CONCORDIA"/>
    <s v="COMCARD CONCORDIA MUNDO MOVIL"/>
    <s v="REDEBAN"/>
    <s v="FO-25-1355948"/>
    <d v="2025-08-09T17:54:00"/>
    <d v="2025-08-11T13:04:00"/>
    <s v="NO"/>
    <s v="USUARIO"/>
    <s v="LECTOR DE TARJETAS"/>
    <s v="OBSTRUCCION DEL LECTOR"/>
    <s v="AGREGADOR"/>
    <s v="AGREGADOR"/>
    <s v="CERRADO"/>
    <s v="10/08/2025 10-08 SE ESCALA PARA VISITA. LLAMAR ANTES DE VISITAR, CONFIRMAR FALLA Y DATOS | 11/08/2025 SE REALIZÓ LIMPIEZA DE LECTOR CHIP"/>
    <s v="VISITA_TÉCNICA"/>
    <s v="1111W622"/>
    <s v="TIPO III"/>
    <s v="TERRESTRE"/>
    <s v="CASTAÑEDA PALACIO CARLOS FELIPE"/>
    <n v="1"/>
    <n v="0"/>
    <n v="0"/>
    <n v="0"/>
    <n v="275728.37943999999"/>
    <n v="275728.37943999999"/>
  </r>
  <r>
    <s v="IBAGUE"/>
    <x v="4"/>
    <x v="4"/>
    <n v="73268"/>
    <n v="2576101"/>
    <n v="31812"/>
    <s v="INCIDENTE"/>
    <s v="TOLIMA"/>
    <s v="ESPINAL"/>
    <s v="BARRIO CABALLERO Y GONGORA ESP"/>
    <s v="REDEBAN"/>
    <s v="FO-25-1357818"/>
    <d v="2025-08-11T08:21:00"/>
    <d v="2025-08-11T13:18:00"/>
    <s v="NO"/>
    <s v="USUARIO"/>
    <s v="COMUNICACION"/>
    <s v="CONEXIONES DE COMERCIO"/>
    <s v="CB UNO A UNO"/>
    <s v="CB UNO A UNO"/>
    <s v="CERRADO"/>
    <s v="11/08/2025 11-08 SE ESCALA PARA VISITA. LLAMAR ANTES DE VISITAR, CONFIRMAR FALLA Y DATOS | 11/08/2025 SE LLEGA AL CORRESPONSAL Y LA SEÑORA NURY VARGAS, ME INDICA QUE EL DATÁFONO ESTÁ FUNCIONANDO CORRECTAMENTE. LE EXPLICO COMO MANEJAR CORRECTAMENTE EL DATÁFONO Y SU APAGADO PARA QUE NO VUELVA A MOLESTAR LAS IMPRESIONES. SE HACEN PRUEBAS DE TRANSACCIONES TODO OK"/>
    <s v="VISITA_TÉCNICA"/>
    <s v="1111K887 - II1ZZ069"/>
    <s v="TIPO II"/>
    <s v="TERRESTRE"/>
    <s v="VARGAS HERRERA JHON JAIRO"/>
    <n v="1"/>
    <n v="0"/>
    <n v="0"/>
    <n v="0"/>
    <n v="163813.55812"/>
    <n v="163813.55812"/>
  </r>
  <r>
    <s v="MEDELLIN"/>
    <x v="0"/>
    <x v="0"/>
    <n v="5129"/>
    <n v="2578493"/>
    <n v="56995"/>
    <s v="INCIDENTE"/>
    <s v="ANTIOQUIA"/>
    <s v="CALDAS"/>
    <s v="DISTRICOL TEXTURAS DE PAPEL"/>
    <s v="REDEBAN"/>
    <s v="FO-25-1359458"/>
    <d v="2025-08-11T11:06:00"/>
    <d v="2025-08-11T16:56:00"/>
    <s v="NO"/>
    <s v="USUARIO"/>
    <s v="LECTOR DE TARJETAS"/>
    <s v="OBSTRUCCION DEL LECTOR"/>
    <s v="AGREGADOR"/>
    <s v="AGREGADOR"/>
    <s v="CERRADO"/>
    <s v="23/09/2025 11-08 SE ESCALA PARA VISITA. LLAMAR ANTES DE VISITAR, CONFIRMAR FALLA Y DATOS | 11/08/2025 SE REALIZÓ LIMPIEZA DE LECTOR CHIP"/>
    <s v="VISITA_TÉCNICA"/>
    <s v="XPRZZ661"/>
    <s v="TIPO I"/>
    <s v="TERRESTRE"/>
    <s v="CASTAÑEDA PALACIO CARLOS FELIPE"/>
    <n v="1"/>
    <n v="0"/>
    <n v="0"/>
    <n v="0"/>
    <n v="65960.473639999997"/>
    <n v="65960.473639999997"/>
  </r>
  <r>
    <s v="MEDELLIN"/>
    <x v="0"/>
    <x v="0"/>
    <n v="5360"/>
    <n v="2580932"/>
    <n v="61338"/>
    <s v="INCIDENTE"/>
    <s v="ANTIOQUIA"/>
    <s v="ITAGUI"/>
    <s v="BARRIO SAN FRANCISCO ITAGUI 2"/>
    <s v="REDEBAN"/>
    <s v="FO-25-1361988"/>
    <d v="2025-08-11T15:27:00"/>
    <d v="2025-08-12T10:41:00"/>
    <s v="NO"/>
    <s v="USUARIO"/>
    <s v="COMUNICACION"/>
    <s v="CONEXIONES DE COMERCIO"/>
    <s v="CB UNO A UNO"/>
    <s v="CB UNO A UNO"/>
    <s v="CERRADO"/>
    <s v="11/08/2025 11-08 SE ESCALA PARA VISITA. LLAMAR ANTES DE VISITAR, CONFIRMAR FALLA Y DATOS | 12/08/2025 E REVISA EQUIPO Y PARÁMETROS TODO  OK, TEST DE COMUNICACIÓN EXITOSO, CLIENTE CONFIRMA TRABAJAR SIN PROBLEMAS PROBLEMAS"/>
    <s v="VISITA_TÉCNICA"/>
    <s v="HA00J521"/>
    <s v="TIPO I"/>
    <s v="TERRESTRE"/>
    <s v="HERNANDEZ CHAVARRIA JUAN CAMILO"/>
    <n v="1"/>
    <n v="0"/>
    <n v="0"/>
    <n v="0"/>
    <n v="65960.473639999997"/>
    <n v="65960.473639999997"/>
  </r>
  <r>
    <s v="MONTERIA"/>
    <x v="1"/>
    <x v="1"/>
    <n v="5154"/>
    <n v="2576357"/>
    <n v="52871"/>
    <s v="INCIDENTE"/>
    <s v="ANTIOQUIA"/>
    <s v="CAUCASIA"/>
    <s v="BARRIO CARACOLI CAUCASIA"/>
    <s v="REDEBAN"/>
    <s v="FO-25-1358508"/>
    <d v="2025-08-11T08:52:00"/>
    <d v="2025-08-12T11:39:00"/>
    <s v="NO"/>
    <s v="USUARIO"/>
    <s v="COMUNICACION"/>
    <s v="CANAL DEL COMERCIO"/>
    <s v="CB UNO A UNO"/>
    <s v="CB UNO A UNO"/>
    <s v="CERRADO"/>
    <s v="11/08/2025 11-08 SE ESCALA PARA VISITA. LLAMAR ANTES DE VISITAR, CONFIRMAR FALLA Y DATOS | 12/08/2025 SE VISITA SITIO, SE ENCUENTRA DATAFONO OPERATIVO, POSIBLE PROBLEMA CON CANAL DE COMUNICACIÓN DEL CB SE REALIZAN AJUSTEN EN CONEXIONES OK. PRUEBAS EXITOSAS"/>
    <s v="VISITA_TÉCNICA"/>
    <s v="BA0IZ174"/>
    <s v="TIPO II"/>
    <s v="TERRESTRE"/>
    <s v="COGOLLO VERTEL EDER LUIS"/>
    <n v="1"/>
    <n v="0"/>
    <n v="0"/>
    <n v="0"/>
    <n v="163813.55812"/>
    <n v="163813.55812"/>
  </r>
  <r>
    <s v="CALI"/>
    <x v="5"/>
    <x v="6"/>
    <n v="76001"/>
    <n v="2580867"/>
    <n v="74005"/>
    <s v="INCIDENTE"/>
    <s v="VALLE DEL CAUCA"/>
    <s v="CALI"/>
    <s v="BARRIO OBRERO CALI 6"/>
    <s v="REDEBAN"/>
    <s v="FO-25-1361991"/>
    <d v="2025-08-11T15:26:00"/>
    <d v="2025-08-12T12:12:00"/>
    <s v="NO"/>
    <s v="USUARIO"/>
    <s v="COMUNICACION"/>
    <s v="CONEXIONES DE COMERCIO"/>
    <s v="CB UNO A UNO"/>
    <s v="CB UNO A UNO"/>
    <s v="CERRADO"/>
    <s v="11/08/2025 11-08 SE ESCALA PARA VISITA. LLAMAR ANTES DE VISITAR, CONFIRMAR FALLA Y DATOS | 12/08/2025 SE REVISA CABLEADO TODO ESTA OK SE LE HACE MANTENIMIENTO AL EQUIPO Y QUEDA FUNCIONANDO CORRECTAMENTE"/>
    <s v="VISITA_TÉCNICA"/>
    <s v="MM0SZ910"/>
    <s v="TIPO I"/>
    <s v="TERRESTRE"/>
    <s v="CUERO RUIZ JHONNY"/>
    <n v="1"/>
    <n v="0"/>
    <n v="0"/>
    <n v="0"/>
    <n v="65960.473639999997"/>
    <n v="65960.473639999997"/>
  </r>
  <r>
    <s v="MONTERIA"/>
    <x v="1"/>
    <x v="1"/>
    <n v="23855"/>
    <n v="2582605"/>
    <n v="75531"/>
    <s v="INCIDENTE"/>
    <s v="CORDOBA"/>
    <s v="VALENCIA"/>
    <s v="PTM VALENCIA BARUEK CAFETERIA"/>
    <s v="REDEBAN"/>
    <s v="FO-25-1363392"/>
    <d v="2025-08-12T08:00:00"/>
    <d v="2025-08-12T13:51:00"/>
    <s v="NO"/>
    <s v="USUARIO"/>
    <s v="USUARIOS"/>
    <s v="USUARIOS BLOQUEADOS"/>
    <s v="AGREGADOR"/>
    <s v="AGREGADOR"/>
    <s v="CERRADO"/>
    <s v="12/08/2025 11-08 SE ESCALA PARA VISITA. LLAMAR ANTES DE VISITAR, CONFIRMAR FALLA Y DATOS | 12/08/2025 SE REALIZA VISITA TÉCNICA Y SE CONFIGURAN NUEVAMENTE LOS USUARIOS LOS CUALES SE ENCUENTRAN BLOQUEADOS, S CREAN NUEVAMENTE Y SE DEJA EL SERVICIO FUNCIONANDO CORRECTAMENTE ."/>
    <s v="VISITA_TÉCNICA"/>
    <s v="SX00J088"/>
    <s v="TIPO III"/>
    <s v="TERRESTRE"/>
    <s v="CASSIANI PEREZ RAUL RAMIRO"/>
    <n v="1"/>
    <n v="0"/>
    <n v="0"/>
    <n v="0"/>
    <n v="275728.37943999999"/>
    <n v="275728.37943999999"/>
  </r>
  <r>
    <s v="APARTADO"/>
    <x v="0"/>
    <x v="0"/>
    <n v="27615"/>
    <n v="2574432"/>
    <n v="34023"/>
    <s v="INCIDENTE"/>
    <s v="CHOCO"/>
    <s v="RIOSUCIO"/>
    <s v="DISTRICOL TRILLADORA AGROCENTR"/>
    <s v="REDEBAN"/>
    <s v="FO-25-1355965"/>
    <d v="2025-08-09T16:08:00"/>
    <d v="2025-08-12T16:31:00"/>
    <s v="NO"/>
    <s v="USUARIO"/>
    <s v="COMUNICACION"/>
    <s v="CONEXIONES DE COMERCIO"/>
    <s v="AGREGADOR"/>
    <s v="AGREGADOR"/>
    <s v="CERRADO"/>
    <s v="10/08/2025 10-08 SE ESCALA PARA VISITA. LLAMAR ANTES DE VISITAR, CONFIRMAR FALLA Y DATOS | 12/08/2025 SE REPISA PARÁMETROS Y DATAFONO QUEDA OPERATIVO."/>
    <s v="VISITA_TÉCNICA"/>
    <s v="9A00Q589"/>
    <s v="TIPO IV ESPECIAL"/>
    <s v="TERRESTRE/FLUVIAL"/>
    <s v="CASTRO HENAO DANIEL ESTEBAN"/>
    <n v="1"/>
    <n v="0"/>
    <n v="0"/>
    <n v="0"/>
    <n v="479589.73656000005"/>
    <n v="479589.73656000005"/>
  </r>
  <r>
    <s v="SINCELEJO"/>
    <x v="1"/>
    <x v="1"/>
    <n v="70001"/>
    <n v="2583342"/>
    <n v="38719"/>
    <s v="INCIDENTE"/>
    <s v="SUCRE"/>
    <s v="SINCELEJO"/>
    <s v="BARRIO EL CORTIJO SINCELEJO"/>
    <s v="REDEBAN"/>
    <s v="FO-25-1363786"/>
    <d v="2025-08-12T08:26:00"/>
    <d v="2025-08-12T16:45:00"/>
    <s v="NO"/>
    <s v="USUARIO"/>
    <s v="COMUNICACION"/>
    <s v="CANAL DEL COMERCIO"/>
    <s v="CB UNO A UNO"/>
    <s v="CB UNO A UNO"/>
    <s v="CERRADO"/>
    <s v="12/08/2025 11-08 17:47 EN COMUNICACIÓN CON LA SEÑORA ELIZBETH JIMENEZ AL NUMERO 3107839160 INDICA QUE EL DATAFONO LE ARROJA CONECTANDO Y LUEGO LE DICE ERROR DE CONEXIÓN, CONFIRMA DATOS, SE ESCALA PARA VISITA | 12/08/2025 SE VISITA COMERCIO, SE VERIFICAN LOS DATAFONOS PERO ESTÁN FUNCIONANDO CORRECTAMENTE, EN LA MAÑANA  TUVIERON UN PROBLEMA DE CONEXIÓN PERO YA SE SOLUCIONÓ, SE REALIZAN PRUEBAS OK."/>
    <s v="VISITA_TÉCNICA"/>
    <s v="EG0IZ237 - GZ00Z040"/>
    <s v="TIPO I"/>
    <s v="TERRESTRE"/>
    <s v="CACERES HERNANDEZ ANDRES"/>
    <n v="1"/>
    <n v="0"/>
    <n v="0"/>
    <n v="0"/>
    <n v="65960.473639999997"/>
    <n v="65960.473639999997"/>
  </r>
  <r>
    <s v="BUCARAMANGA"/>
    <x v="3"/>
    <x v="3"/>
    <n v="68307"/>
    <n v="2584645"/>
    <n v="73607"/>
    <s v="INCIDENTE"/>
    <s v="SANTANDER"/>
    <s v="GIRON"/>
    <s v="PTM LA REPUBLICA GIRON SUPERME"/>
    <s v="REDEBAN"/>
    <s v="FO-25-1364630"/>
    <d v="2025-08-12T10:06:00"/>
    <d v="2025-08-12T17:07:00"/>
    <s v="NO"/>
    <s v="USUARIO"/>
    <s v="NO ENCIENDE"/>
    <s v="CONEXIONES DE COMERCIO"/>
    <s v="AGREGADOR"/>
    <s v="AGREGADOR"/>
    <s v="CERRADO"/>
    <s v="12/08/2025 12-08 SE ESCALA PARA VISITA. LLAMAR ANTES DE VISITAR, CONFIRMAR FALLA Y DATOS | 12/08/2025 EN COMUNICACIÓN CON LA SEÑORA MARYI AL MOVIL 3212449499, SE CONFIRMA QUE EL EQUIPO ESTA OPERANDO CORRECTAMENTE Y NO REQUIERE DE VISITA TECNICA."/>
    <s v="SOPORTE_TELEFÓNICO"/>
    <n v="0"/>
    <s v="TIPO I"/>
    <s v="TERRESTRE"/>
    <s v="SANTOS GONZALEZ JOHAN FABIAN"/>
    <n v="0"/>
    <n v="0"/>
    <n v="0"/>
    <n v="0"/>
    <n v="37904.65408"/>
    <n v="37904.65408"/>
  </r>
  <r>
    <s v="CALI"/>
    <x v="5"/>
    <x v="6"/>
    <n v="76364"/>
    <n v="2580599"/>
    <n v="41053"/>
    <s v="INCIDENTE"/>
    <s v="VALLE DEL CAUCA"/>
    <s v="JAMUNDI"/>
    <s v="PTM JAMUNDI SARAPA"/>
    <s v="REDEBAN"/>
    <s v="FO-25-1362006"/>
    <d v="2025-08-11T15:14:00"/>
    <d v="2025-08-12T17:19:00"/>
    <s v="NO"/>
    <s v="USUARIO"/>
    <s v="COMUNICACION"/>
    <s v="CANAL DEL COMERCIO"/>
    <s v="AGREGADOR"/>
    <s v="AGREGADOR"/>
    <s v="CERRADO"/>
    <s v="11/08/2025 11-08 SE ESCALA PARA VISITA. LLAMAR ANTES DE VISITAR, CONFIRMAR FALLA Y DATOS | 12/08/2025 SE REALIZA GESTIÓN TELEFÓNICA ANTES DE REALIZAR LA VISITA Y LA SRA. GLORIA GÓMEZ INDICA QUE EL CB YA SE ENCUENTRA OPERANDO CON NORMALIDAD DEBIDO A QUE LA FALLA PROVENÍA DEL INTERNET LOCAL."/>
    <s v="SOPORTE_TELEFÓNICO"/>
    <n v="0"/>
    <s v="TIPO II"/>
    <s v="TERRESTRE"/>
    <s v="MONTERO MUESES GIAN CARLO"/>
    <n v="0"/>
    <n v="0"/>
    <n v="0"/>
    <n v="0"/>
    <n v="37904.65408"/>
    <n v="37904.65408"/>
  </r>
  <r>
    <s v="MEDELLIN"/>
    <x v="0"/>
    <x v="0"/>
    <n v="5266"/>
    <n v="2584198"/>
    <n v="39215"/>
    <s v="INCIDENTE"/>
    <s v="ANTIOQUIA"/>
    <s v="ENVIGADO"/>
    <s v="BARRIO BARRIO MESA ENVIGADO"/>
    <s v="REDEBAN"/>
    <s v="FO-25-1364356"/>
    <d v="2025-08-12T09:37:00"/>
    <d v="2025-08-13T08:55:00"/>
    <s v="NO"/>
    <s v="USUARIO"/>
    <s v="LECTOR DE TARJETAS"/>
    <s v="OBSTRUCCION DEL LECTOR"/>
    <s v="CB UNO A UNO"/>
    <s v="CB UNO A UNO"/>
    <s v="CERRADO"/>
    <s v="12/08/2025 11-08 SE ESCALA PARA VISITA. LLAMAR ANTES DE VISITAR, CONFIRMAR FALLA Y DATOS | 13/08/2025 SE REALIZÓ LIMPIEZA DE LECTOR DE CHIP"/>
    <s v="VISITA_TÉCNICA"/>
    <s v="GZ05Z998"/>
    <s v="TIPO I"/>
    <s v="TERRESTRE"/>
    <s v="CASTAÑEDA PALACIO CARLOS FELIPE"/>
    <n v="1"/>
    <n v="0"/>
    <n v="0"/>
    <n v="0"/>
    <n v="65960.473639999997"/>
    <n v="65960.473639999997"/>
  </r>
  <r>
    <s v="BARRANQUILLA"/>
    <x v="1"/>
    <x v="1"/>
    <n v="8001"/>
    <n v="2585253"/>
    <n v="25226"/>
    <s v="INCIDENTE"/>
    <s v="ATLANTICO"/>
    <s v="BARRANQUILLA"/>
    <s v="ARA0103 BARRANQUILLA LA PRADER"/>
    <s v="REDEBAN"/>
    <s v="FO-25-1364981"/>
    <d v="2025-08-12T10:45:00"/>
    <d v="2025-08-13T09:33:00"/>
    <s v="NO"/>
    <s v="USUARIO"/>
    <s v="MANTENIMIENTO"/>
    <s v="MANTENIMIENTO GENERAL"/>
    <s v="RETAIL"/>
    <s v="RETAIL"/>
    <s v="CERRADO"/>
    <s v="13/08/2025 13-08 SE ESCALA A LA RED, SE PROCEDE A CERRAR YA QUE NO ATENDEMOS CADENA ARA - XX-08 TU SOLICITUD REFERENTE A GENERACIÓN DE CASOS CB ARA BANCOLOMBIA QUEDÓ RADICADA BAJO EL TICKET NÚMERO XXXXXX AL ÁREA ENCARGADA. | 13/08/2025 13-08 SE ESCALA A LA RED, SE PROCEDE A CERRAR YA QUE NO ATENDEMOS CADENA ARA - 13-08 TU SOLICITUD REFERENTE A GENERACIÓN DE CASOS CB ARA BANCOLOMBIA QUEDÓ RADICADA BAJO EL TICKET NÚMERO 5755587 AL ÁREA ENCARGADA."/>
    <s v="SOPORTE_TELEFÓNICO"/>
    <m/>
    <s v="TIPO I"/>
    <s v="TERRESTRE"/>
    <s v="AYALA ROMERO MAYKOL DANILO"/>
    <n v="0"/>
    <n v="0"/>
    <n v="0"/>
    <n v="0"/>
    <n v="37904.65408"/>
    <n v="37904.65408"/>
  </r>
  <r>
    <s v="MEDELLIN"/>
    <x v="0"/>
    <x v="0"/>
    <n v="5679"/>
    <n v="2581583"/>
    <n v="34543"/>
    <s v="INCIDENTE"/>
    <s v="ANTIOQUIA"/>
    <s v="SANTA BARBARA"/>
    <s v="BARRIO CENTRO SANTA BARBARA 1"/>
    <s v="REDEBAN"/>
    <s v="FO-25-1362367"/>
    <d v="2025-08-11T16:26:00"/>
    <d v="2025-08-13T10:49:00"/>
    <s v="NO"/>
    <s v="USUARIO"/>
    <s v="MANTENIMIENTO"/>
    <s v="MANTENIMIENTO GENERAL"/>
    <s v="CB UNO A UNO"/>
    <s v="CB UNO A UNO"/>
    <s v="CERRADO"/>
    <s v="11/08/2025 11-08 SE ESCALA PARA VISITA. LLAMAR ANTES DE VISITAR, CONFIRMAR FALLA Y DATOS | 13/08/2025 SE REALIZA CAMBIO DE TAPA DE IMPRESORA PORQUE ESTA ROTA"/>
    <s v="VISITA_TÉCNICA"/>
    <s v="BL01B620"/>
    <s v="TIPO II"/>
    <s v="TERRESTRE"/>
    <s v="HERNANDEZ CHAVARRIA JUAN CAMILO"/>
    <n v="1"/>
    <n v="0"/>
    <n v="0"/>
    <n v="0"/>
    <n v="163813.55812"/>
    <n v="163813.55812"/>
  </r>
  <r>
    <s v="BOGOTA"/>
    <x v="2"/>
    <x v="2"/>
    <n v="11001"/>
    <n v="2590360"/>
    <n v="79279"/>
    <s v="INCIDENTE"/>
    <s v="CUNDINAMARCA"/>
    <s v="BOGOTA"/>
    <s v="BARRIO SANTA MARIA DEL LAGO BO"/>
    <s v="REDEBAN"/>
    <s v="FO-25-1370148"/>
    <d v="2025-08-13T09:12:00"/>
    <d v="2025-08-13T13:48:00"/>
    <s v="NO"/>
    <s v="USUARIO"/>
    <s v="MANTENIMIENTO"/>
    <s v="MANTENIMIENTO GENERAL"/>
    <s v="CB UNO A UNO"/>
    <s v="CB UNO A UNO"/>
    <s v="CERRADO"/>
    <s v="13/08/2025 13-08 SE ESCALA PARA VISITA. LLAMAR ANTES DE VISITAR, CONFIRMAR FALLA Y DATOS | 13/08/2025 SE REALIZA DESPLAZAMIENTO A DIRECCIÓN DE COMERCIO, AL LLEGAR SE ENCUENTRA CERRADO, SE REALIZA LLAMADA DE VALIDACIÓN SE HABLA CON LA SRTA.NATALIA NIÑO QUIEN INFORMA QUE REGRESA AL COMERCIO A LAS 2:15, SE INFORMA A COORDINACIÓN DE PROYECTO QUIEN INDICA CERRAR LA TAREA E INFORMAR AL CLIENTE QUE DEBE SOLICITAR EL SERVICIO DE NUEVO."/>
    <s v="VISITA_TÉCNICA"/>
    <s v="A4WZZ806"/>
    <s v="TIPO I"/>
    <s v="TERRESTRE"/>
    <s v="MURCIA HERNANDEZ HARVEY IGNACIO"/>
    <n v="1"/>
    <n v="0"/>
    <n v="0"/>
    <n v="0"/>
    <n v="65960.473639999997"/>
    <n v="65960.473639999997"/>
  </r>
  <r>
    <s v="TUNJA"/>
    <x v="3"/>
    <x v="3"/>
    <n v="15176"/>
    <n v="2588890"/>
    <n v="70551"/>
    <s v="INCIDENTE"/>
    <s v="BOYACA"/>
    <s v="CHIQUINQUIRA"/>
    <s v="BARRIO BOYACA BAJO CHIQUINQUIR"/>
    <s v="REDEBAN"/>
    <s v="FO-25-1369242"/>
    <d v="2025-08-13T08:00:00"/>
    <d v="2025-08-13T15:31:00"/>
    <s v="NO"/>
    <s v="USUARIO"/>
    <s v="CIERRE"/>
    <s v="COMERCIO NO REALIZA CIERRE"/>
    <s v="CB UNO A UNO"/>
    <s v="CB UNO A UNO"/>
    <s v="CERRADO"/>
    <s v="13/08/2025 13-08 SE ESCALA PARA VISITA. LLAMAR ANTES DE VISITAR, CONFIRMAR FALLA Y DATOS | 13/08/2025 SE VISITA PUNTO EVIDENCIANDO QUE EL EQUIPO TIENE ACOMULADO EL CIERRE EQUIPO NO ARROJA EL CIERRE CLIENTE AUTORIZA RELIZAR BORRADO SE RELIZAR MANTENIMIENTO GENERAL AL EQUIPO PRUEBAS OK SE LE INDICA AL CLIENTE LA FORMA CORRECTA DE REALIZAR LOS CIERRES DIARIOS CLIENTE CONFORME"/>
    <s v="VISITA_TÉCNICA"/>
    <s v="SV005489"/>
    <s v="TIPO III"/>
    <s v="TERRESTRE"/>
    <s v="RODRIGUEZ MURCIA YERSON IVAN"/>
    <n v="1"/>
    <n v="0"/>
    <n v="0"/>
    <n v="0"/>
    <n v="275728.37943999999"/>
    <n v="275728.37943999999"/>
  </r>
  <r>
    <s v="PEREIRA"/>
    <x v="5"/>
    <x v="5"/>
    <n v="66001"/>
    <n v="2592357"/>
    <n v="80907"/>
    <s v="INCIDENTE"/>
    <s v="RISARALDA"/>
    <s v="PEREIRA"/>
    <s v="BARRIO CENTRO PEREIRA 52"/>
    <s v="REDEBAN"/>
    <s v="FO-25-1371302"/>
    <d v="2025-08-13T11:59:00"/>
    <d v="2025-08-13T15:49:00"/>
    <s v="NO"/>
    <s v="USUARIO"/>
    <s v="COMUNICACION"/>
    <s v="CANAL DEL COMERCIO"/>
    <s v="CB UNO A UNO"/>
    <s v="CB UNO A UNO"/>
    <s v="CERRADO"/>
    <s v="13/08/2025 13-08 SE ESCALA PARA VISITA. LLAMAR ANTES DE VISITAR, CONFIRMAR FALLA Y DATOS | 13/08/2025 SE VISITA COMERCIO SE IDENTIFICA DATÁFONO SIN CONEXIÓN SE REINICIA ROUTER PRUEBA DE CONEXIÓN OK SE REALIZA PRUEBAS OK"/>
    <s v="VISITA_TÉCNICA"/>
    <s v="FGZZZ931"/>
    <s v="TIPO I"/>
    <s v="TERRESTRE"/>
    <s v="LOAIZA LOPEZ JHON FREDDY"/>
    <n v="1"/>
    <n v="0"/>
    <n v="0"/>
    <n v="0"/>
    <n v="65960.473639999997"/>
    <n v="65960.473639999997"/>
  </r>
  <r>
    <s v="TUNJA"/>
    <x v="3"/>
    <x v="3"/>
    <n v="15806"/>
    <n v="2587952"/>
    <n v="34861"/>
    <s v="INCIDENTE"/>
    <s v="BOYACA"/>
    <s v="TIBASOSA"/>
    <s v="BARRIO SECTOR PUERTO AREPAS TI"/>
    <s v="REDEBAN"/>
    <s v="FO-25-1368254"/>
    <d v="2025-08-12T15:58:00"/>
    <d v="2025-08-13T17:44:00"/>
    <s v="NO"/>
    <s v="USUARIO"/>
    <s v="COMUNICACION"/>
    <s v="CANAL DEL COMERCIO"/>
    <s v="CB UNO A UNO"/>
    <s v="CB UNO A UNO"/>
    <s v="CERRADO"/>
    <s v="12/08/2025 12-08 SE ESCALA PARA VISITA. LLAMAR ANTES DE VISITAR, CONFIRMAR FALLA Y DATOS | 13/08/2025 EN COMUNICACIÓN CON EL ADMINISTRADOR WILLIAM JAVIER MONTIER AL CELULAR 3208398637, PARA VERIFICAR DIRECCIÓN, INFORMA QUE YA NO NECESITA LA VISITA TÉCNICA, QUE YA LE ESTÁ FUNCIONANDO CORRECTAMENTE EL DATÁFONO, QUE LA FALLA LA TENÍA EN EL PROVEEDOR DEL INTERNET, SE PROCEDE A CERRAR ORDEN CANCELADA POR ADMINISTRADOR, SE INFORMA QUE SI LE PRESTA ALGUNA FALLA DEBE VOLVER A SOLICITAR NUEVA VISITA."/>
    <s v="SOPORTE_TELEFÓNICO"/>
    <n v="0"/>
    <s v="TIPO II"/>
    <s v="TERRESTRE"/>
    <s v="MARTINEZ FLOREZ DONIS ALBERTO"/>
    <n v="0"/>
    <n v="0"/>
    <n v="0"/>
    <n v="0"/>
    <n v="37904.65408"/>
    <n v="37904.65408"/>
  </r>
  <r>
    <s v="BUCARAMANGA"/>
    <x v="3"/>
    <x v="3"/>
    <n v="68307"/>
    <n v="2593197"/>
    <n v="41893"/>
    <s v="INCIDENTE"/>
    <s v="SANTANDER"/>
    <s v="GIRON"/>
    <s v="BARRIO CENTRO INDUSTRIAL SAN J"/>
    <s v="REDEBAN"/>
    <s v="FO-25-1372471"/>
    <d v="2025-08-13T14:41:00"/>
    <d v="2025-08-14T10:03:00"/>
    <s v="NO"/>
    <s v="ENTIDAD"/>
    <s v="ERROR DE TRANSACCIONES"/>
    <s v="SIN CUPO HABILITADO"/>
    <s v="CB UNO A UNO"/>
    <s v="CB UNO A UNO"/>
    <s v="CERRADO"/>
    <s v="13/08/2025 13-08 SE ESCALA PARA VISITA. LLAMAR ANTES DE VISITAR, CONFIRMAR FALLA Y DATOS | 14/08/2025 EN COMUNICACIÓN CON LA SEÑORA KAREN AL MOVIL 3164540006, INDICA QUE NO TIENE NINGUNA FALLA TÉCNICA, QUE ELLA TIENE ES UN BLOQUEO A DE MARCA NO HABILITADA POR PARTE DEL BANCO YA QUE NO HAN RECIBIDO LA FACTURA DEL MES DE JUNIO, INDICA QUE YA ESTA EN EL PROCESO DE DESBLOQUEO CON EL BANCO, INDICA QUE NO REQUIERE DE LA VISITA TÉCNICA, SE LE INFORMA QUE SE PROCEDERÁ A CERRAR LA ORDEN Y SI LLEGA A NECESITAR DEL SERVICIO TECNICO DEBERÁ LLAMAR Y PEDIR UNA NUEVA VISITA, CLIENTE CONFORME."/>
    <s v="SOPORTE_TELEFÓNICO"/>
    <n v="0"/>
    <s v="TIPO I"/>
    <s v="TERRESTRE"/>
    <s v="SANTOS GONZALEZ JOHAN FABIAN"/>
    <n v="0"/>
    <n v="0"/>
    <n v="0"/>
    <n v="0"/>
    <n v="37904.65408"/>
    <n v="37904.65408"/>
  </r>
  <r>
    <s v="MEDELLIN"/>
    <x v="0"/>
    <x v="0"/>
    <n v="5001"/>
    <n v="2593016"/>
    <n v="27658"/>
    <s v="INCIDENTE"/>
    <s v="ANTIOQUIA"/>
    <s v="MEDELLIN"/>
    <s v="DISTRICOL WORLDCEL"/>
    <s v="REDEBAN"/>
    <s v="FO-25-1372345"/>
    <d v="2025-08-13T14:11:00"/>
    <d v="2025-08-14T10:35:00"/>
    <s v="NO"/>
    <s v="USUARIO"/>
    <s v="LECTOR DE TARJETAS"/>
    <s v="OBSTRUCCION DEL LECTOR"/>
    <s v="AGREGADOR"/>
    <s v="AGREGADOR"/>
    <s v="CERRADO"/>
    <s v="13/08/2025 13-08 SE ESCALA PARA VISITA. LLAMAR ANTES DE VISITAR, CONFIRMAR FALLA Y DATOS | 14/08/2025 SE HACE MANTENIMIENTO GENERAL, SE REALIZAN PRUEBAS PERTINENTES, ESTÁN OK"/>
    <s v="VISITA_TÉCNICA"/>
    <s v="99WZZ760"/>
    <s v="TIPO I"/>
    <s v="TERRESTRE"/>
    <s v="HERNANDEZ CHAVARRIA JUAN CAMILO"/>
    <n v="1"/>
    <n v="0"/>
    <n v="0"/>
    <n v="0"/>
    <n v="65960.473639999997"/>
    <n v="65960.473639999997"/>
  </r>
  <r>
    <s v="TUNJA"/>
    <x v="3"/>
    <x v="3"/>
    <n v="15753"/>
    <n v="2586083"/>
    <n v="60980"/>
    <s v="INCIDENTE"/>
    <s v="BOYACA"/>
    <s v="SOATA"/>
    <s v="BARRIO CENTRO SOATA 2"/>
    <s v="REDEBAN"/>
    <s v="FO-25-1366532"/>
    <d v="2025-08-12T12:28:00"/>
    <d v="2025-08-14T10:48:00"/>
    <s v="NO"/>
    <s v="USUARIO"/>
    <s v="MANTENIMIENTO"/>
    <s v="MANTENIMIENTO GENERAL"/>
    <s v="CB UNO A UNO"/>
    <s v="CB UNO A UNO"/>
    <s v="CERRADO"/>
    <s v="12/08/2025 12-08 SE ESCALA PARA VISITA. LLAMAR ANTES DE VISITAR, CONFIRMAR FALLA Y DATOS | 14/08/2025 SE VISITA COMERCIO , SE VALIDA EQUIPO TRABAJANDO CORRECTAMENTE,  IMPRIMIENDO CORRECTAMENTE , POR MANTENIMIENTO PREVENTIVO SE REALIZA AJUSTE DE TONALIDAD DE TINTA EN LA IMPRESIÓN DEJANDO PRUEBAS OK SIN TELECARGA NO AUTORIZADA, SE REALIZA BORRADO DE EQUIPO LIBERANDO MEMORIA YA QUE AVECES SE DEMORA EN EJECUTAR EL CIERRE ,"/>
    <s v="VISITA_TÉCNICA"/>
    <s v="JA00G851"/>
    <s v="TIPO III"/>
    <s v="TERRESTRE"/>
    <s v="ALVARADO MORENO CRISTHIAN"/>
    <n v="1"/>
    <n v="0"/>
    <n v="0"/>
    <n v="0"/>
    <n v="275728.37943999999"/>
    <n v="275728.37943999999"/>
  </r>
  <r>
    <s v="MEDELLIN"/>
    <x v="0"/>
    <x v="0"/>
    <n v="5001"/>
    <n v="2593873"/>
    <n v="15100"/>
    <s v="INCIDENTE"/>
    <s v="ANTIOQUIA"/>
    <s v="MEDELLIN"/>
    <s v="BARRIO PICACHO III MEDELLIN"/>
    <s v="REDEBAN"/>
    <s v="FO-25-1372808"/>
    <d v="2025-08-13T15:39:00"/>
    <d v="2025-08-14T12:02:00"/>
    <s v="NO"/>
    <s v="USUARIO"/>
    <s v="MANTENIMIENTO"/>
    <s v="MANTENIMIENTO GENERAL"/>
    <s v="CB UNO A UNO"/>
    <s v="CB UNO A UNO"/>
    <s v="CERRADO"/>
    <s v="13/08/2025 13-08 SE ESCALA PARA VISITA. LLAMAR ANTES DE VISITAR, CONFIRMAR FALLA Y DATOS | 14/08/2025 SE REALIZA CAMBIO DE CABLES DE RED PORQUÉ ESTÁN  EN MAL ESTADO"/>
    <s v="VISITA_TÉCNICA"/>
    <s v="A00JZ287"/>
    <s v="TIPO I"/>
    <s v="TERRESTRE"/>
    <s v="HERNANDEZ CHAVARRIA JUAN CAMILO"/>
    <n v="1"/>
    <n v="0"/>
    <n v="0"/>
    <n v="0"/>
    <n v="65960.473639999997"/>
    <n v="65960.473639999997"/>
  </r>
  <r>
    <s v="CUCUTA"/>
    <x v="3"/>
    <x v="3"/>
    <n v="54001"/>
    <n v="2593230"/>
    <n v="80005"/>
    <s v="INCIDENTE"/>
    <s v="NORTE DE SANTANDER"/>
    <s v="CUCUTA"/>
    <s v="BARRIO EL LLANO CUCUTA 19"/>
    <s v="REDEBAN"/>
    <s v="FO-25-1372405"/>
    <d v="2025-08-13T14:30:00"/>
    <d v="2025-08-14T12:11:00"/>
    <s v="NO"/>
    <s v="USUARIO"/>
    <s v="MANTENIMIENTO"/>
    <s v="MANTENIMIENTO GENERAL"/>
    <s v="CB UNO A UNO"/>
    <s v="CB UNO A UNO"/>
    <s v="CERRADO"/>
    <s v="13/08/2025 13-08 SE ESCALA PARA VISITA. LLAMAR ANTES DE VISITAR, CONFIRMAR FALLA Y DATOS | 14/08/2025 SE REALIZA VISITA, SE REALIZA MANTENIMIENTO, SE REALIZAN PRUEBAS Y CIERRES OK."/>
    <s v="VISITA_TÉCNICA"/>
    <s v="SAWZZ919"/>
    <s v="TIPO I"/>
    <s v="TERRESTRE"/>
    <s v="PACHECO BUITRAGO JAVIER ALONSO"/>
    <n v="1"/>
    <n v="0"/>
    <n v="0"/>
    <n v="0"/>
    <n v="65960.473639999997"/>
    <n v="65960.473639999997"/>
  </r>
  <r>
    <s v="TUNJA"/>
    <x v="3"/>
    <x v="3"/>
    <n v="15001"/>
    <n v="2596903"/>
    <n v="80972"/>
    <s v="INCIDENTE"/>
    <s v="BOYACA"/>
    <s v="TUNJA"/>
    <s v="BARRIO LOS MUISCAS TUNJA 9"/>
    <s v="REDEBAN"/>
    <s v="FO-25-1375100"/>
    <d v="2025-08-14T09:56:00"/>
    <d v="2025-08-14T12:28:00"/>
    <s v="NO"/>
    <s v="USUARIO"/>
    <s v="NO ENCIENDE"/>
    <s v="CONEXIONES DE COMERCIO"/>
    <s v="CB UNO A UNO"/>
    <s v="CB UNO A UNO"/>
    <s v="CERRADO"/>
    <s v="14/08/2025 14-08 SE ESCALA PARA VISITA. LLAMAR ANTES DE VISITAR, CONFIRMAR FALLA Y DATOS | 14/08/2025 SE VISITA CB MANTENIMIENTO DE EQUIPO.... FALLA CANAL DE COMERCIO EQUIPO FUNCIONANDO CORRECTAMENTE PRUEBAS EXITOSAS"/>
    <s v="VISITA_TÉCNICA"/>
    <s v="FIZZZ314"/>
    <s v="TIPO I"/>
    <s v="TERRESTRE"/>
    <s v="GONZALEZ GONZALEZ MARIO ALBERTO"/>
    <n v="1"/>
    <n v="0"/>
    <n v="0"/>
    <n v="0"/>
    <n v="65960.473639999997"/>
    <n v="65960.473639999997"/>
  </r>
  <r>
    <s v="MEDELLIN"/>
    <x v="0"/>
    <x v="0"/>
    <n v="5001"/>
    <n v="2595250"/>
    <n v="25421"/>
    <s v="INCIDENTE"/>
    <s v="ANTIOQUIA"/>
    <s v="MEDELLIN"/>
    <s v="COMCARD KASMAR FP"/>
    <s v="REDEBAN"/>
    <s v="FO-25-1373763"/>
    <d v="2025-08-14T08:00:00"/>
    <d v="2025-08-14T12:32:00"/>
    <s v="NO"/>
    <s v="USUARIO"/>
    <s v="CIERRE"/>
    <s v="COMERCIO NO REALIZA CIERRE"/>
    <s v="AGREGADOR"/>
    <s v="AGREGADOR"/>
    <s v="CERRADO"/>
    <s v="14/08/2025 14-08 SE ESCALA PARA VISITA. LLAMAR ANTES DE VISITAR, CONFIRMAR FALLA Y DATOS | 14/08/2025 SE HABLA CON SEÑORA SABRINA, SE DAN INDICACIONES PARA INGRESAR Y REALIZAR PRUEBAS Y COMENTA QUE YA FUÉ SOLUCIONADA LA NOVEDAD. SE REALIZA PRUEBA DE INGRESO PARA REALIZAR CIERRE Y FUNCIONA SIN NOVEDAD. CB OPERATIVO, SE CIERRA INCIDENTE."/>
    <s v="SOPORTE_TELEFÓNICO"/>
    <n v="0"/>
    <s v="TIPO I"/>
    <s v="TERRESTRE"/>
    <s v="HERNANDEZ CHAVARRIA JUAN CAMILO"/>
    <n v="0"/>
    <n v="0"/>
    <n v="0"/>
    <n v="0"/>
    <n v="37904.65408"/>
    <n v="37904.65408"/>
  </r>
  <r>
    <s v="MEDELLIN"/>
    <x v="0"/>
    <x v="0"/>
    <n v="5001"/>
    <n v="2594276"/>
    <n v="11915"/>
    <s v="INCIDENTE"/>
    <s v="ANTIOQUIA"/>
    <s v="MEDELLIN"/>
    <s v="SAN CRISTOBAL PARQUE - ANTIOQU"/>
    <s v="REDEBAN"/>
    <s v="FO-25-1373134"/>
    <d v="2025-08-13T16:26:00"/>
    <d v="2025-08-14T14:09:00"/>
    <s v="NO"/>
    <s v="USUARIO"/>
    <s v="MANTENIMIENTO"/>
    <s v="MANTENIMIENTO GENERAL"/>
    <s v="CB UNO A UNO"/>
    <s v="CB UNO A UNO"/>
    <s v="CERRADO"/>
    <s v="13/08/2025 13-08 SE ESCALA PARA VISITA. LLAMAR ANTES DE VISITAR, CONFIRMAR FALLA Y DATOS | 14/08/2025 SE REALIZA IMICIALIZACION DE EQUIPO PORQUE PRESENTA RECHAZO GENERAL"/>
    <s v="VISITA_TÉCNICA"/>
    <s v="JAAAE212"/>
    <s v="TIPO I"/>
    <s v="TERRESTRE"/>
    <s v="HERNANDEZ CHAVARRIA JUAN CAMILO"/>
    <n v="1"/>
    <n v="0"/>
    <n v="0"/>
    <n v="0"/>
    <n v="65960.473639999997"/>
    <n v="65960.473639999997"/>
  </r>
  <r>
    <s v="MEDELLIN"/>
    <x v="0"/>
    <x v="0"/>
    <n v="5001"/>
    <n v="2597874"/>
    <n v="80708"/>
    <s v="INCIDENTE"/>
    <s v="ANTIOQUIA"/>
    <s v="MEDELLIN"/>
    <s v="BARRIO GUAYABAL MEDELLIN 14"/>
    <s v="REDEBAN"/>
    <s v="FO-25-1375799"/>
    <d v="2025-08-14T11:25:00"/>
    <d v="2025-08-14T15:16:00"/>
    <s v="NO"/>
    <s v="USUARIO"/>
    <s v="MANTENIMIENTO"/>
    <s v="MANTENIMIENTO GENERAL"/>
    <s v="CB UNO A UNO"/>
    <s v="CB UNO A UNO"/>
    <s v="CERRADO"/>
    <s v="14/08/2025 14-08 SE ESCALA PARA VISITA. LLAMAR ANTES DE VISITAR, CONFIRMAR FALLA Y DATOS | 14/08/2025 SE COMUNICA CON USUARIO Y SE INDICA QUE REALICE UN REINICIO EN EL EQUIPO, COMENTA QUE FUNCIONA CORRECTAMENTE, TODO OK"/>
    <s v="SOPORTE_TELEFÓNICO"/>
    <n v="0"/>
    <s v="TIPO I"/>
    <s v="TERRESTRE"/>
    <s v="QUINTERO SANCHEZ JUAN SEBASTIAN"/>
    <n v="0"/>
    <n v="0"/>
    <n v="0"/>
    <n v="0"/>
    <n v="37904.65408"/>
    <n v="37904.65408"/>
  </r>
  <r>
    <s v="TUNJA"/>
    <x v="3"/>
    <x v="3"/>
    <n v="15248"/>
    <n v="2582200"/>
    <n v="11094"/>
    <s v="INCIDENTE"/>
    <s v="BOYACA"/>
    <s v="EL ESPINO"/>
    <s v="EL ESPINO - BOYACA"/>
    <s v="REDEBAN"/>
    <s v="FO-25-1362684"/>
    <d v="2025-08-11T17:20:00"/>
    <d v="2025-08-14T16:40:00"/>
    <s v="NO"/>
    <s v="USUARIO"/>
    <s v="MANTENIMIENTO"/>
    <s v="MANTENIMIENTO GENERAL"/>
    <s v="CB UNO A UNO"/>
    <s v="CB UNO A UNO"/>
    <s v="CERRADO"/>
    <s v="11/08/2025 11-08 17:47 EN COMUNICACIÓN CON LA SEÑORA ELIZBETH JIMENEZ AL NUMERO 3107839160 INDICA QUE EL DATAFONO LE ARROJA CONECTANDO Y LUEGO LE DICE ERROR DE CONEXIÓN, CONFIRMA DATOS, SE ESCALA PARA VISITA | 14/08/2025 SE VISITA COMERCIO , SE VALIDA QUE EL CORRESPONSAL ESTA OPERATIVO  COMUNICACIÓN EXITOSA POR EL INTERNET SUMINISTRADO POR EL  BANCO  AUN QUE SE EVIDENCIA QUE LA RESPUESTA DEL INTERNET ES MUY LENTA PARA EJECUTAR LA TRANSACCIÓN DEBEN VALIDAR INTERNET DEL BANCO,SE CAMBIA CABLE PACTH CORD 3 Y CABLE ENTORCHADO  POR MANTENIMIENTO PREVENTIVO YA QUE SE ENCUENTRA PACTH CORD EN MAL ESTADO , SE REALIZA BORRADO DE EQUIPO CARGANDO VERSIÓN 9_90 PARA LIBERAR MEMORIA YA QUE SE DEMORA EN EJECUTAR EL CIERRE DEJANDO PRUEBAS OK SIN TELECARGA NO AUTORIZADA"/>
    <s v="VISITA_TÉCNICA"/>
    <s v="IZ8ZZ080"/>
    <s v="TIPO IV"/>
    <s v="TERRESTRE"/>
    <s v="ALVARADO MORENO CRISTHIAN"/>
    <n v="1"/>
    <n v="0"/>
    <n v="0"/>
    <n v="0"/>
    <n v="479589.73656000005"/>
    <n v="479589.73656000005"/>
  </r>
  <r>
    <s v="MEDELLIN"/>
    <x v="0"/>
    <x v="0"/>
    <n v="5001"/>
    <n v="2595248"/>
    <n v="34519"/>
    <s v="INCIDENTE"/>
    <s v="ANTIOQUIA"/>
    <s v="MEDELLIN"/>
    <s v="BARRIO ENCISO MEDELLIN 3"/>
    <s v="REDEBAN"/>
    <s v="FO-25-1373770"/>
    <d v="2025-08-14T08:00:00"/>
    <d v="2025-08-15T09:29:00"/>
    <s v="NO"/>
    <s v="USUARIO"/>
    <s v="CIERRE"/>
    <s v="COMERCIO NO REALIZA CIERRE"/>
    <s v="CB UNO A UNO"/>
    <s v="CB UNO A UNO"/>
    <s v="CERRADO"/>
    <s v="14/08/2025 14-08 SE ESCALA PARA VISITA. LLAMAR ANTES DE VISITAR, CONFIRMAR FALLA Y DATOS | 14/08/2025 SE LE EXPLICA AL USUARIO POR SOPORTE TELEFÓNICO COMO REALIZA EL CIERRE CORRECTAMENTE PARA EVITAR ERROR. SE REALIZA LOS CIERRES Y SERVICIO OPERATIVO"/>
    <s v="SOPORTE_TELEFÓNICO"/>
    <n v="0"/>
    <s v="TIPO I"/>
    <s v="TERRESTRE"/>
    <s v="ZAPATA LOPEZ EDWARD ASDRUAL"/>
    <n v="0"/>
    <n v="0"/>
    <n v="0"/>
    <n v="0"/>
    <n v="37904.65408"/>
    <n v="37904.65408"/>
  </r>
  <r>
    <s v="VALLEDUPAR"/>
    <x v="1"/>
    <x v="1"/>
    <n v="20750"/>
    <n v="2597004"/>
    <n v="43043"/>
    <s v="INCIDENTE"/>
    <s v="CESAR"/>
    <s v="SAN DIEGO"/>
    <s v="BARRIO CORR DE MEDIA LUNA SAN"/>
    <s v="REDEBAN"/>
    <s v="FO-25-1375141"/>
    <d v="2025-08-14T10:01:00"/>
    <d v="2025-08-15T09:35:00"/>
    <s v="NO"/>
    <s v="USUARIO"/>
    <s v="COMUNICACION"/>
    <s v="CONEXIONES DE COMERCIO"/>
    <s v="CB UNO A UNO"/>
    <s v="CB UNO A UNO"/>
    <s v="CERRADO"/>
    <s v="14/08/2025 14-08 SE ESCALA PARA VISITA. LLAMAR ANTES DE VISITAR, CONFIRMAR FALLA Y DATOS | 15/08/2025 SE LLAMA A LA SEÑORA SORAIDA GONZÁLEZ E INDICA QUE EL SERVICIO EL DIA DE AYER PRESENTABA FALLAS COMO DE CONEXIÓN PERO QUE AYER MISMO SE RESTABLECIO EL SERVICIO Y POR ENDE NO REQUIERE LA VISITA TÉCNICA"/>
    <s v="SOPORTE_TELEFÓNICO"/>
    <n v="0"/>
    <s v="TIPO II"/>
    <s v="TERRESTRE"/>
    <s v="MONTES DIAZ JOHN FRED"/>
    <n v="0"/>
    <n v="0"/>
    <n v="0"/>
    <n v="0"/>
    <n v="37904.65408"/>
    <n v="37904.65408"/>
  </r>
  <r>
    <s v="CUCUTA"/>
    <x v="3"/>
    <x v="3"/>
    <n v="54498"/>
    <n v="2589851"/>
    <n v="70662"/>
    <s v="INCIDENTE"/>
    <s v="NORTE DE SANTANDER"/>
    <s v="OCAÑA"/>
    <s v="LA PRIMAVERA OCANA 5"/>
    <s v="REDEBAN"/>
    <s v="FO-25-1369622"/>
    <d v="2025-08-13T08:26:00"/>
    <d v="2025-08-15T09:45:00"/>
    <s v="NO"/>
    <s v="USUARIO"/>
    <s v="CIERRE"/>
    <s v="COMERCIO NO REALIZA CIERRE"/>
    <s v="CB UNO A UNO"/>
    <s v="CB UNO A UNO"/>
    <s v="CERRADO"/>
    <s v="13/08/2025 13-08 SE ESCALA PARA VISITA. LLAMAR ANTES DE VISITAR, CONFIRMAR FALLA Y DATOS | 14/08/2025 SE LLEGA AL MUNICIPIO DE OCAÑA SE  COMUNICA CON EL CLIENTE JAIRO PA CONFIRRMAR VISITA AL # 3158052100, NOS INFORMA QUE YA SALIO DE LA OFICINA, QUE PASEN EL DIA DE MAÑANA, SE PROGRAMA VISITA 15/08 | 15/08/2025 SE VISITA COMERCIO, SE REALIZA MANTENIMIENTO, SE HACEN PRUEBAS OK."/>
    <s v="VISITA_TÉCNICA"/>
    <s v="UV008404"/>
    <s v="TIPO IV"/>
    <s v="TERRESTRE"/>
    <s v="NARANJO AFANADOR RUBEN JESUS"/>
    <n v="1"/>
    <n v="0"/>
    <n v="0"/>
    <n v="0"/>
    <n v="479589.73656000005"/>
    <n v="479589.73656000005"/>
  </r>
  <r>
    <s v="SINCELEJO"/>
    <x v="1"/>
    <x v="1"/>
    <n v="70708"/>
    <n v="2600164"/>
    <n v="48599"/>
    <s v="INCIDENTE"/>
    <s v="SUCRE"/>
    <s v="SAN MARCOS"/>
    <s v="DISTRICOL DROGUERIA LA UNION S"/>
    <s v="REDEBAN"/>
    <s v="FO-25-1378253"/>
    <d v="2025-08-14T16:31:00"/>
    <d v="2025-08-15T09:52:00"/>
    <s v="NO"/>
    <s v="USUARIO"/>
    <s v="CIERRE"/>
    <s v="COMERCIO NO REALIZA CIERRE"/>
    <s v="AGREGADOR"/>
    <s v="AGREGADOR"/>
    <s v="CERRADO"/>
    <s v="14/08/2025 SE ESCALA PARA VISITA. LLAMAR ANTES DE VISITAR, CONFIRMAR FALLA Y DATOS | 15/08/2025 EN COMUNICACIÓN CON LA SEÑORA YARLEDYS, ME INFORMA QUE ESTOS DÍAS NO HABÍA PODIDO SACAR EL CIERRE, SE LE INDICA EL PROCESO DE CIERRE Y LO REALIZA CORRECTAMENTE."/>
    <s v="SOPORTE_TELEFÓNICO"/>
    <n v="0"/>
    <s v="TIPO III"/>
    <s v="TERRESTRE"/>
    <s v="CACERES HERNANDEZ ANDRES"/>
    <n v="0"/>
    <n v="0"/>
    <n v="0"/>
    <n v="0"/>
    <n v="37904.65408"/>
    <n v="37904.65408"/>
  </r>
  <r>
    <s v="MEDELLIN"/>
    <x v="0"/>
    <x v="0"/>
    <n v="5030"/>
    <n v="2592015"/>
    <n v="80254"/>
    <s v="INCIDENTE"/>
    <s v="ANTIOQUIA"/>
    <s v="AMAGA"/>
    <s v="BARRIO VRD VILLA DIANA AMAGA"/>
    <s v="REDEBAN"/>
    <s v="FO-25-1371208"/>
    <d v="2025-08-13T11:23:00"/>
    <d v="2025-08-15T10:34:00"/>
    <s v="NO"/>
    <s v="USUARIO"/>
    <s v="COMUNICACION"/>
    <s v="CONEXIONES DE COMERCIO"/>
    <s v="CB UNO A UNO"/>
    <s v="CB UNO A UNO"/>
    <s v="CERRADO"/>
    <s v="13/08/2025 13-08 SE ESCALA PARA VISITA. LLAMAR ANTES DE VISITAR, CONFIRMAR FALLA Y DATOS | 15/08/2025 SE REALIZA CAMBIO DE ENTRADA DEL CABLE PODER POR MAL PASO DE ENERGIA"/>
    <s v="VISITA_TÉCNICA"/>
    <s v="FAZZZ495"/>
    <s v="TIPO II"/>
    <s v="TERRESTRE"/>
    <s v="HERNANDEZ CHAVARRIA JUAN CAMILO"/>
    <n v="1"/>
    <n v="0"/>
    <n v="0"/>
    <n v="0"/>
    <n v="163813.55812"/>
    <n v="163813.55812"/>
  </r>
  <r>
    <s v="BOGOTA"/>
    <x v="2"/>
    <x v="2"/>
    <n v="25817"/>
    <n v="2600762"/>
    <n v="66805"/>
    <s v="INCIDENTE"/>
    <s v="CUNDINAMARCA"/>
    <s v="TOCANCIPA"/>
    <s v="BARRIO ALPES TOCANCIPA"/>
    <s v="REDEBAN"/>
    <s v="FO-25-1378549"/>
    <d v="2025-08-15T08:00:00"/>
    <d v="2025-08-15T14:44:00"/>
    <s v="NO"/>
    <s v="USUARIO"/>
    <s v="CIERRE"/>
    <s v="COMERCIO NO REALIZA CIERRE"/>
    <s v="CB UNO A UNO"/>
    <s v="CB UNO A UNO"/>
    <s v="CERRADO"/>
    <s v="15/08/2025 SE ESCALA PARA VISITA. LLAMAR ANTES DE VISITAR, CONFIRMAR FALLA Y DATOS | 15/08/2025 SE VISITA CB BANCOLOMBIA, SE VERIFICA QUE EL CLIENTE NO REALIZA LOS CIERRES CORRECTAMENTE, SE LIBERA MEMORIA PARA QUE EL EQUIPO REALICE EL CIERRE MÁS RÁPIDO, SE LE EXPLICA COMO DEBE DE HACER EL CIERRE, SE REALIZAN PRUEBAS OK, NO UPS."/>
    <s v="VISITA_TÉCNICA"/>
    <s v="3A0CZ765"/>
    <s v="TIPO II"/>
    <s v="TERRESTRE"/>
    <s v="VEGA MANRIQUE JONATAN MAURICIO"/>
    <n v="1"/>
    <n v="0"/>
    <n v="0"/>
    <n v="0"/>
    <n v="163813.55812"/>
    <n v="163813.55812"/>
  </r>
  <r>
    <s v="MEDELLIN"/>
    <x v="0"/>
    <x v="0"/>
    <n v="5631"/>
    <n v="2606100"/>
    <n v="76870"/>
    <s v="INCIDENTE"/>
    <s v="ANTIOQUIA"/>
    <s v="SABANETA"/>
    <s v="BARRIO SABANETA SABANETA 12"/>
    <s v="REDEBAN"/>
    <s v="FO-25-1383172"/>
    <d v="2025-08-16T08:00:00"/>
    <d v="2025-08-16T10:19:00"/>
    <s v="NO"/>
    <s v="USUARIO"/>
    <s v="CIERRE"/>
    <s v="COMERCIO NO REALIZA CIERRE"/>
    <s v="CB UNO A UNO"/>
    <s v="CB UNO A UNO"/>
    <s v="CERRADO"/>
    <s v="16/08/2025 SE ESCALA PARA VISITA. LLAMAR ANTES DE VISITAR, CONFIRMAR FALLA Y DATOS | 16/08/2025 SE HABLA CON SEÑORA ELIANA, SE VERIFICA INGRESO Y REALIZACION DE PRUEBAS Y CONFIRMA QUE YA SE SOLUCIONÓ LA INCIDENCIA. SE REALIZA PRUEBA DE INGRESO PARA REALIZAR CIERRE Y FUNCIONA SIN NOVEDAD. CB OPERATIVO, SE CIERRA INCIDENTE."/>
    <s v="SOPORTE_TELEFÓNICO"/>
    <n v="0"/>
    <s v="TIPO I"/>
    <s v="TERRESTRE"/>
    <s v="QUINTERO SANCHEZ JUAN SEBASTIAN"/>
    <n v="0"/>
    <n v="0"/>
    <n v="0"/>
    <n v="0"/>
    <n v="37904.65408"/>
    <n v="37904.65408"/>
  </r>
  <r>
    <s v="MEDELLIN"/>
    <x v="0"/>
    <x v="0"/>
    <n v="5667"/>
    <n v="2605907"/>
    <n v="34542"/>
    <s v="INCIDENTE"/>
    <s v="ANTIOQUIA"/>
    <s v="SAN RAFAEL"/>
    <s v="BARRIO PARQUE PRINCIPAL SAN RA"/>
    <s v="REDEBAN"/>
    <s v="FO-25-1382599"/>
    <d v="2025-08-15T17:53:00"/>
    <d v="2025-08-16T12:08:00"/>
    <s v="NO"/>
    <s v="USUARIO"/>
    <s v="MANTENIMIENTO"/>
    <s v="MANTENIMIENTO GENERAL"/>
    <s v="CB UNO A UNO"/>
    <s v="CB UNO A UNO"/>
    <s v="CERRADO"/>
    <s v="15/08/2025 SE ESCALA PARA VISITA. LLAMAR ANTES DE VISITAR, CONFIRMAR FALLA Y DATOS | 16/08/2025 SE LLEGA A PUNTO Y CLIENTE ESTÁ OPERANDO CON NORMALIDAD NOS DICE QUE ES QUE EL DATAFONO TIENE LAS TECLAS MUY DURAS. SE LE EXPLICA QUE ASÍ ES EL DATAFONO. LA TECNOLOGÍA DESK2600 ES ASÍ LAS TECLAS DURAS. EQUIPOS OPERATIVOS"/>
    <s v="VISITA_TÉCNICA"/>
    <s v="UV002109"/>
    <s v="TIPO III"/>
    <s v="TERRESTRE"/>
    <s v="DIAZ ZABALA FRANCIS DUBAN"/>
    <n v="1"/>
    <n v="0"/>
    <n v="0"/>
    <n v="0"/>
    <n v="275728.37943999999"/>
    <n v="275728.37943999999"/>
  </r>
  <r>
    <s v="APARTADO"/>
    <x v="0"/>
    <x v="0"/>
    <n v="5172"/>
    <n v="2606563"/>
    <n v="72551"/>
    <s v="INCIDENTE"/>
    <s v="ANTIOQUIA"/>
    <s v="CHIGORODO"/>
    <s v="PTM CHIGORODO   PUNTOSERVIS CH"/>
    <s v="REDEBAN"/>
    <s v="FO-25-1383952"/>
    <d v="2025-08-16T10:47:00"/>
    <d v="2025-08-17T12:41:00"/>
    <s v="NO"/>
    <s v="ENTIDAD"/>
    <s v="ERROR DE TRANSACCIONES"/>
    <s v="TRANSACCION NO PERMITIDA"/>
    <s v="AGREGADOR"/>
    <s v="AGREGADOR"/>
    <s v="CERRADO"/>
    <s v="16/08/2025 SE ESCALA PARA VISITA. LLAMAR ANTES DE VISITAR, CONFIRMAR FALLA Y DATOS | 17/08/2025 USUARIO REPORTO NOVEDAD DE RECHAZO GENERAL, SE REALIZA LLAMADA Y CONFIRMA QUE HOY AMANECIÓ TRABAJANDO SIN PROBLEMA Y COMENTA QUE LLAMO A LA LINEA A REPORTAR QUE YA ESTABA TODO EN ORDEN. SE CIERRA INCIDENTE, CB OPERATIVO."/>
    <s v="SOPORTE_TELEFÓNICO"/>
    <n v="0"/>
    <s v="TIPO II"/>
    <s v="TERRESTRE"/>
    <s v="SALDARRIAGA MIRANDA SANTIAGO"/>
    <n v="0"/>
    <n v="0"/>
    <n v="0"/>
    <n v="0"/>
    <n v="37904.65408"/>
    <n v="37904.65408"/>
  </r>
  <r>
    <s v="MEDELLIN"/>
    <x v="0"/>
    <x v="0"/>
    <n v="5001"/>
    <n v="2608456"/>
    <n v="65732"/>
    <s v="INCIDENTE"/>
    <s v="ANTIOQUIA"/>
    <s v="MEDELLIN"/>
    <s v="BARRIO PALMITAS COMUNA 50 MEDE"/>
    <s v="REDEBAN"/>
    <s v="FO-25-1387886"/>
    <d v="2025-08-18T11:53:00"/>
    <d v="2025-08-19T11:34:00"/>
    <s v="NO"/>
    <s v="USUARIO"/>
    <s v="COMUNICACION"/>
    <s v="CONEXIONES DE COMERCIO"/>
    <s v="CB UNO A UNO"/>
    <s v="CB UNO A UNO"/>
    <s v="CERRADO"/>
    <s v="18/08/2025 SE ESCALA PARA VISITA. LLAMAR ANTES DE VISITAR, CONFIRMAR FALLA Y DATOS | 19/08/2025 SE ENCUENTRA EN REUNIÓN DESDE LAS 8 AM  A LAS 10 TODAVÍA SE ENCUENTRA EN REUNIÓN LA VISITA SE ENCUENTRA EN UNA VEREDA DISTANTE SE DOCUMENTA INFORMACIÓN POR POSIBLE VENCIMIENTO | 19/08/2025 SE REALIZÓ CONEXIÓN AL CORRECTAMENTE AL MONDEN DE INTERNET POS OK"/>
    <s v="VISITA_TÉCNICA"/>
    <s v="6Z00H035"/>
    <s v="TIPO I"/>
    <s v="TERRESTRE"/>
    <s v="CASTAÑEDA PALACIO CARLOS FELIPE"/>
    <n v="1"/>
    <n v="0"/>
    <n v="0"/>
    <n v="0"/>
    <n v="65960.473639999997"/>
    <n v="65960.473639999997"/>
  </r>
  <r>
    <s v="PEREIRA"/>
    <x v="5"/>
    <x v="5"/>
    <n v="66001"/>
    <n v="2611078"/>
    <n v="80959"/>
    <s v="INCIDENTE"/>
    <s v="RISARALDA"/>
    <s v="PEREIRA"/>
    <s v="BARRIO CENTRO PEREIRA 54"/>
    <s v="REDEBAN"/>
    <s v="FO-25-1390486"/>
    <d v="2025-08-19T10:14:00"/>
    <d v="2025-08-19T11:36:00"/>
    <s v="NO"/>
    <s v="USUARIO"/>
    <s v="MANTENIMIENTO"/>
    <s v="MANTENIMIENTO GENERAL"/>
    <s v="CB UNO A UNO"/>
    <s v="CB UNO A UNO"/>
    <s v="CERRADO"/>
    <s v="19/08/2025 SE ESCALA PARA VISITA. LLAMAR ANTES DE VISITAR, CONFIRMAR FALLA Y DATOS | 19/08/2025 SE VISITA COMERCIO CLIENTE INDICA QUE DATÁFONO ES LENTO Y TECLAS DURAS SE REALIZA PRUEBAS OK SE LE DAN INDICACIONES"/>
    <s v="VISITA_TÉCNICA"/>
    <s v="FIZZZ312"/>
    <s v="TIPO I"/>
    <s v="TERRESTRE"/>
    <s v="LOAIZA LOPEZ JHON FREDDY"/>
    <n v="1"/>
    <n v="0"/>
    <n v="0"/>
    <n v="0"/>
    <n v="65960.473639999997"/>
    <n v="65960.473639999997"/>
  </r>
  <r>
    <s v="VALLEDUPAR"/>
    <x v="1"/>
    <x v="1"/>
    <n v="20001"/>
    <n v="2609293"/>
    <n v="35314"/>
    <s v="INCIDENTE"/>
    <s v="CESAR"/>
    <s v="VALLEDUPAR"/>
    <s v="BARRIO VALLE MEZA VALLEDUPAR"/>
    <s v="REDEBAN"/>
    <s v="FO-25-1388954"/>
    <d v="2025-08-19T08:00:00"/>
    <d v="2025-08-19T11:41:00"/>
    <s v="NO"/>
    <s v="USUARIO"/>
    <s v="MANTENIMIENTO"/>
    <s v="MANTENIMIENTO GENERAL"/>
    <s v="CB UNO A UNO"/>
    <s v="CB UNO A UNO"/>
    <s v="CERRADO"/>
    <s v="19/08/2025 SE ESCALA PARA VISITA. LLAMAR ANTES DE VISITAR, CONFIRMAR FALLA Y DATOS | 19/08/2025 SE REALIZA GESTIÓN TELEFÓNICA ATIENDE LA SEÑORA MARÍA VICTORIA FONSECA,LA CUAL NOS INDICA  QUE YA EL LECTOR SE ENCUENTRA FUNCIONANDO,NOS INDICA QUE TENIA DESCONECTADO EL HUB POR TAL MOTIVÓ NO ENCENDIA EL LECTOR Y EL PIN PAD , PROCEDE A CONECTARLO Y LE FUNCIONO A LA NORMALIDAD"/>
    <s v="SOPORTE_TELEFÓNICO"/>
    <n v="0"/>
    <s v="TIPO I"/>
    <s v="TERRESTRE"/>
    <s v="MAESTRE MENGUAL EDGAR ENRIQUE"/>
    <n v="0"/>
    <n v="0"/>
    <n v="0"/>
    <n v="0"/>
    <n v="37904.65408"/>
    <n v="37904.65408"/>
  </r>
  <r>
    <s v="MANIZALES"/>
    <x v="5"/>
    <x v="5"/>
    <n v="17001"/>
    <n v="2606900"/>
    <n v="19694"/>
    <s v="INCIDENTE"/>
    <s v="CALDAS"/>
    <s v="MANIZALES"/>
    <s v="BARRIO EL CABLE IV MANIZALES"/>
    <s v="REDEBAN"/>
    <s v="FO-25-1385292"/>
    <d v="2025-08-16T15:01:00"/>
    <d v="2025-08-19T11:51:00"/>
    <s v="NO"/>
    <s v="USUARIO"/>
    <s v="MANTENIMIENTO"/>
    <s v="MANTENIMIENTO GENERAL"/>
    <s v="CB UNO A UNO"/>
    <s v="CB UNO A UNO"/>
    <s v="CERRADO"/>
    <s v="16/08/2025 SE ESCALA PARA VISITA. LLAMAR ANTES DE VISITAR, CONFIRMAR FALLA Y DATOS | 17/08/2025 SE HABLA CON EL CLIENTE PARA  VALIDAR INCONVENIENTE, PERO INDICA QUE YA NO ESTA LABORANDO, SE DEBE VALIDAR EL DIA MARTES, PUES NO TRABAJA FINES DE SEMANA. | 19/08/2025 SE REALIZA LLAMADA CON USUARIO EL CUAL INDICA QUE TENIA PROBLEMAS PARA INGRESAR LA CLAVE DE SUPERVISOR, SE REALIZA LLAMADA DE SOPORTE EN LA CUAL USUARIO REINICIA EL EQUIPO Y HACE PRUEBAS Y YA LE DA LAS CLAVES CORRECTAMENTE, INDICA QUE YA SOLUCIONO CON ESO, SERVICIO SE ENCUENTRA OK"/>
    <s v="SOPORTE_TELEFÓNICO"/>
    <n v="0"/>
    <s v="TIPO I"/>
    <s v="TERRESTRE"/>
    <s v="AGUIRRE HENAO RAUL EDUARDO"/>
    <n v="0"/>
    <n v="0"/>
    <n v="0"/>
    <n v="0"/>
    <n v="37904.65408"/>
    <n v="37904.65408"/>
  </r>
  <r>
    <s v="MANIZALES"/>
    <x v="5"/>
    <x v="5"/>
    <n v="17653"/>
    <n v="2606672"/>
    <n v="59087"/>
    <s v="INCIDENTE"/>
    <s v="CALDAS"/>
    <s v="SALAMINA"/>
    <s v="REVAL SALAMINA"/>
    <s v="REDEBAN"/>
    <s v="FO-25-1385187"/>
    <d v="2025-08-16T13:39:00"/>
    <d v="2025-08-19T12:21:00"/>
    <s v="NO"/>
    <s v="USUARIO"/>
    <s v="MANTENIMIENTO"/>
    <s v="MANTENIMIENTO GENERAL"/>
    <s v="ROBUSTO"/>
    <s v="ROBUSTO"/>
    <s v="CERRADO"/>
    <s v="16/08/2025 SE ESCALA PARA VISITA. LLAMAR ANTES DE VISITAR, CONFIRMAR FALLA Y DATOS | 17/08/2025 CLIENTE NO LABORA LOS FINES DE SEMANA , SE DEBE VALIDAR INCONVENIENTE EL DIA MARTES | 19/08/2025 SE REALIZA LLAMADA CON USUARIO EL CUAL INDICA QUE TENIA FALLAS PARA IMPRIMIR TIRILLAS, SALIAN BORROSAS, SE VALIDA FUNCIONAMIENTO Y CON UN POCO DE LIMPIEZA SUPERFICIAL SE LOGRA IMPRIMIR CORRECTAMENTE LAS TIRILLAS, USUARIO INDICA YA PODER VER LAS TIRILLAS Y SERVICIO SE ENCUENTRA OK"/>
    <s v="SOPORTE_TELEFÓNICO"/>
    <n v="0"/>
    <s v="TIPO II"/>
    <s v="TERRESTRE"/>
    <s v="AGUIRRE HENAO RAUL EDUARDO"/>
    <n v="0"/>
    <n v="0"/>
    <n v="0"/>
    <n v="0"/>
    <n v="37904.65408"/>
    <n v="37904.65408"/>
  </r>
  <r>
    <s v="VILLAVICENCIO"/>
    <x v="4"/>
    <x v="4"/>
    <n v="50001"/>
    <n v="2610172"/>
    <n v="70175"/>
    <s v="INCIDENTE"/>
    <s v="META"/>
    <s v="VILLAVICENCIO"/>
    <s v="BARRIO TRIUNFO VILLAVICENCIO 2"/>
    <s v="REDEBAN"/>
    <s v="FO-25-1389661"/>
    <d v="2025-08-19T09:00:00"/>
    <d v="2025-08-19T13:08:00"/>
    <s v="NO"/>
    <s v="USUARIO"/>
    <s v="NO ENCIENDE"/>
    <s v="CONEXIONES DE COMERCIO"/>
    <s v="CB UNO A UNO"/>
    <s v="CB UNO A UNO"/>
    <s v="CERRADO"/>
    <s v="19/08/2025 SE ESCALA PARA VISITA. LLAMAR ANTES DE VISITAR, CONFIRMAR FALLA Y DATOS | 19/08/2025 SE VISITA CB Y AL LLEGAR AL SITIO INFORMAN QUE EL  DATÁFONO YA ESTA FUNCIONANDO CON NORMALIDAD. TENIAN PROBLEMAS EN EL TOMA CORRIENTE . SE REALIZA PRUEBAS EXITOSAS PRUEBAS OK . DATÁFONO FUNCIONA CORRECTAMENTE"/>
    <s v="VISITA_TÉCNICA"/>
    <s v="EF007264"/>
    <s v="TIPO I"/>
    <s v="TERRESTRE"/>
    <s v="GARZON RUIZ LUIS MIGUEL"/>
    <n v="1"/>
    <n v="0"/>
    <n v="0"/>
    <n v="0"/>
    <n v="65960.473639999997"/>
    <n v="65960.473639999997"/>
  </r>
  <r>
    <s v="TUNJA"/>
    <x v="3"/>
    <x v="3"/>
    <n v="15238"/>
    <n v="2607555"/>
    <n v="80265"/>
    <s v="INCIDENTE"/>
    <s v="BOYACA"/>
    <s v="DUITAMA"/>
    <s v="BARRIO CANDIDO QUINTERO DUITAMA 2"/>
    <s v="REDEBAN"/>
    <s v="FO-25-1386669"/>
    <d v="2025-08-17T15:02:00"/>
    <d v="2025-08-19T14:51:00"/>
    <s v="NO"/>
    <s v="USUARIO"/>
    <s v="MANTENIMIENTO"/>
    <s v="MANTENIMIENTO GENERAL"/>
    <s v="CB UNO A UNO"/>
    <s v="CB UNO A UNO"/>
    <s v="CERRADO"/>
    <s v="17/08/2025 SE ESCALA PARA VISITA. LLAMAR ANTES DE VISITAR, CONFIRMAR FALLA Y DATOS | 19/08/2025 ME ENCUENTRO EN SITIO REALIZANDO MANTENIMIENTO , ESTOY A LA ESPERA DEL CIERRE PARCIAL Y GENERAL ANTES DE MANIPULAR EL DATAFONO AL INICIO DEL MANTENIMIENTO , CLIENTE INDICA  QUE NECESITA EL CIERRE Y DURA MAXIMO 20 EN EJECUTARLO , | 19/08/2025 SE REALIZA MANTENIMIENTO GENERAL BORRANDO EQUIPO CARGANDO NUEVAMENTE VERSIÓN 10.3 N LIBERANDO MEMORIA YA QUE LA MÁQUINA SE DEMORA MUCHO EN EJCUTAR EL VIERRE , DEJANDO PRUEBAS OK SIN TELECARGA NO AUTORIZADA, SE LES EXPLICA COMO DEBEN REALIZAR EL CIERRE PARCIAL Y TOTAL ."/>
    <s v="VISITA_TÉCNICA"/>
    <s v="FAZZZ489"/>
    <s v="TIPO II"/>
    <s v="TERRESTRE"/>
    <s v="ALVARADO MORENO CRISTHIAN"/>
    <n v="1"/>
    <n v="0"/>
    <n v="0"/>
    <n v="0"/>
    <n v="163813.55812"/>
    <n v="163813.55812"/>
  </r>
  <r>
    <s v="BARRANQUILLA"/>
    <x v="1"/>
    <x v="1"/>
    <n v="8001"/>
    <n v="2606556"/>
    <n v="22876"/>
    <s v="INCIDENTE"/>
    <s v="ATLANTICO"/>
    <s v="BARRANQUILLA"/>
    <s v="BARRIO MONTES BARRANQUILLA"/>
    <s v="REDEBAN"/>
    <s v="FO-25-1383962"/>
    <d v="2025-08-16T10:42:00"/>
    <d v="2025-08-19T15:23:00"/>
    <s v="NO"/>
    <s v="USUARIO"/>
    <s v="COMUNICACION"/>
    <s v="CANAL DEL COMERCIO"/>
    <s v="CB UNO A UNO"/>
    <s v="CB UNO A UNO"/>
    <s v="CERRADO"/>
    <s v="16/08/2025 SE ESCALA PARA VISITA. LLAMAR ANTES DE VISITAR, CONFIRMAR FALLA Y DATOS | 17/08/2025 COMERCIO NO ATIENDE EL CB DOMINGO NO FESTIVO, SE REAGENDA VISITA MARTES 19 | 19/08/2025 CLIENTE CAMBIO DE INTERNET , TENÍA DIRECCIONES FIJAS Y SE DEJAN POR DHCP, SE HACEN PRUEBAS Y QUEDA OK"/>
    <s v="VISITA_TÉCNICA"/>
    <s v="CZZZZ312"/>
    <s v="TIPO I"/>
    <s v="TERRESTRE"/>
    <s v="DE AVILA SIADES ALBERTO ENRIQUE"/>
    <n v="1"/>
    <n v="0"/>
    <n v="0"/>
    <n v="0"/>
    <n v="65960.473639999997"/>
    <n v="65960.473639999997"/>
  </r>
  <r>
    <s v="MEDELLIN"/>
    <x v="0"/>
    <x v="0"/>
    <n v="5001"/>
    <n v="2612393"/>
    <n v="79730"/>
    <s v="INCIDENTE"/>
    <s v="ANTIOQUIA"/>
    <s v="MEDELLIN"/>
    <s v="PTM MEDELLIN MUN VARIEDADES"/>
    <s v="REDEBAN"/>
    <s v="FO-25-1391679"/>
    <d v="2025-08-19T12:11:00"/>
    <d v="2025-08-20T10:37:00"/>
    <s v="NO"/>
    <s v="USUARIO"/>
    <s v="COMUNICACION"/>
    <s v="CANAL DEL COMERCIO"/>
    <s v="AGREGADOR"/>
    <s v="AGREGADOR"/>
    <s v="CERRADO"/>
    <s v="19/08/2025 SE ESCALA PARA VISITA. LLAMAR ANTES DE VISITAR, CONFIRMAR FALLA Y DATOS | 20/08/2025 SE ENCUENTRA CANAL DE COMUNICACIÓN CAÍDO SE VERIFICA COMUNICACION Y NO HAY EN COMERCIO PRUEBAS EN DATAFONO"/>
    <s v="VISITA_TÉCNICA"/>
    <s v="F1WZZ958-F1WZZ543"/>
    <s v="TIPO I"/>
    <s v="TERRESTRE"/>
    <s v="PAREJA ECHAVARRIA JHON DAVID"/>
    <n v="1"/>
    <n v="0"/>
    <n v="0"/>
    <n v="0"/>
    <n v="65960.473639999997"/>
    <n v="65960.473639999997"/>
  </r>
  <r>
    <s v="MEDELLIN"/>
    <x v="0"/>
    <x v="0"/>
    <n v="5360"/>
    <n v="5763565"/>
    <n v="48928485"/>
    <s v="INCIDENTE"/>
    <s v="ANTIOQUIA"/>
    <s v="ITAGUI"/>
    <s v="CENTRO DE ENSE  ANZA AUTOMOVIL"/>
    <s v="REDEBAN"/>
    <s v="FO-25-1398368"/>
    <d v="2025-08-20T15:44:00"/>
    <d v="2025-08-20T15:24:00"/>
    <s v="NO"/>
    <s v="ENTIDAD"/>
    <s v="ERROR DE TRANSACCIONES"/>
    <s v="TRANSACCION NO PERMITIDA"/>
    <e v="#N/A"/>
    <e v="#N/A"/>
    <s v="CERRADO"/>
    <s v="20/08/2025 20-08 SE REALIZA COMUNICACION CON LA SRA JULIETH PEREA AL NUMERO 3053182845 INFORMA QUE YA NO REQUIERE VISITA TECNICA QUE EL DATAFONO ESTA OPERATIVO"/>
    <s v="SOPORTE_TELEFÓNICO"/>
    <n v="0"/>
    <s v="TIPO I"/>
    <s v="TERRESTRE"/>
    <s v="RIOS CASTRILLON JUAN SEBASTIAN"/>
    <n v="0"/>
    <n v="0"/>
    <n v="0"/>
    <n v="0"/>
    <n v="37904.65408"/>
    <n v="37904.65408"/>
  </r>
  <r>
    <s v="CARTAGENA"/>
    <x v="1"/>
    <x v="1"/>
    <n v="13001"/>
    <n v="2618880"/>
    <n v="45118"/>
    <s v="INCIDENTE"/>
    <s v="BOLIVAR"/>
    <s v="CARTAGENA"/>
    <s v="PTM CARTAGENA MARCO ANTONIO BE"/>
    <s v="REDEBAN"/>
    <s v="FO-25-1397203"/>
    <d v="2025-08-20T11:52:00"/>
    <d v="2025-08-20T15:32:00"/>
    <s v="NO"/>
    <s v="USUARIO"/>
    <s v="LECTOR DE TARJETAS"/>
    <s v="OBSTRUCCION DEL LECTOR"/>
    <s v="AGREGADOR"/>
    <s v="AGREGADOR"/>
    <s v="CERRADO"/>
    <s v="20/08/2025 SE ESCALA PARA VISITA. LLAMAR ANTES DE VISITAR, CONFIRMAR FALLA Y DATOS | 20/08/2025 SE REALIZA LIMPIEZA A LA RANURA TENÍA SUCIO QUEDA FUNCIONANDO SIN PROBLEMAS SE HACEN PRUEBAS TODO OK"/>
    <s v="VISITA_TÉCNICA"/>
    <s v="AC0IZ698"/>
    <s v="TIPO I"/>
    <s v="TERRESTRE"/>
    <s v="CANEDO HERRERA ALEXANDER"/>
    <n v="1"/>
    <n v="0"/>
    <n v="0"/>
    <n v="0"/>
    <n v="65960.473639999997"/>
    <n v="65960.473639999997"/>
  </r>
  <r>
    <s v="BOGOTA"/>
    <x v="2"/>
    <x v="2"/>
    <n v="11001"/>
    <n v="2617616"/>
    <n v="23165"/>
    <s v="INCIDENTE"/>
    <s v="CUNDINAMARCA"/>
    <s v="BOGOTA"/>
    <s v="BARRIO BOCHICA III BOGOTA"/>
    <s v="REDEBAN"/>
    <s v="FO-25-1395982"/>
    <d v="2025-08-20T09:56:00"/>
    <d v="2025-08-21T08:06:00"/>
    <s v="NO"/>
    <s v="USUARIO"/>
    <s v="MANTENIMIENTO"/>
    <s v="MANTENIMIENTO GENERAL"/>
    <s v="CB UNO A UNO"/>
    <s v="CB UNO A UNO"/>
    <s v="CERRADO"/>
    <s v="20/08/2025 SE ESCALA PARA VISITA. LLAMAR ANTES DE VISITAR, CONFIRMAR FALLA Y DATOS | 20/08/2025 SE VISITA COMERCIO POR FALLA ENDNATAFONO TECLADO MUY DURO AL INDAGAR CON CLIENTE CONFIRMA QUE EL DÍA DE AYER LE GENERARON UN CAMBIO DE EQUIPO POR TECNOLOGÍA DESK 2600 ,PERO EL TECLADO DEL NUEVO DATÁFONO ES MUY DURO SE CONFIRMA CON CLIENTE QUE ACTUALMENTE SE ESTÁ INSTALANDO SOLO EQUIPOS DE ESTA REFERENCIA Y QUE TODOS ESTOS EQUIPOS TIENEN EL TECLADO MÁS DURO EN COMPARACIÓN A LOS DESK 3500 SE INDICA A CLIENTE QUE EL DATAFONO ESTA FUNCIONANDO SIN NOVEDAD Y NO SE GENERA CAMBIO DE EQUIPO SE FINALIZA ACTIVIDAD SIN MÁS NOVEDAD"/>
    <s v="VISITA_TÉCNICA"/>
    <s v="GZZZZ924"/>
    <s v="TIPO I"/>
    <s v="TERRESTRE"/>
    <s v="ROMERO ROJAS BREIDY JHOHAN"/>
    <n v="1"/>
    <n v="0"/>
    <n v="0"/>
    <n v="0"/>
    <n v="65960.473639999997"/>
    <n v="65960.473639999997"/>
  </r>
  <r>
    <s v="MEDELLIN"/>
    <x v="0"/>
    <x v="0"/>
    <n v="5001"/>
    <n v="2619425"/>
    <n v="79266"/>
    <s v="INCIDENTE"/>
    <s v="ANTIOQUIA"/>
    <s v="MEDELLIN"/>
    <s v="DISTRICOL VARIEDADES AUSTIN"/>
    <s v="REDEBAN"/>
    <s v="FO-25-1397266"/>
    <d v="2025-08-20T12:39:00"/>
    <d v="2025-08-21T09:16:00"/>
    <s v="NO"/>
    <s v="USUARIO"/>
    <s v="USUARIOS"/>
    <s v="MALA MANIPULACION POS"/>
    <s v="AGREGADOR"/>
    <s v="AGREGADOR"/>
    <s v="CERRADO"/>
    <s v="20/08/2025 SE ESCALA PARA VISITA. LLAMAR ANTES DE VISITAR, CONFIRMAR FALLA Y DATOS | 21/08/2025 CLIENTE QUE ESTABA PONIENDO EL PINPAD DONDE NO ERA PERO ESTA OPERANDO SIN PROBLEMAS"/>
    <s v="VISITA_TÉCNICA"/>
    <s v="A4WZZ143"/>
    <s v="TIPO I"/>
    <s v="TERRESTRE"/>
    <s v="PAREJA ECHAVARRIA JHON DAVID"/>
    <n v="1"/>
    <n v="0"/>
    <n v="0"/>
    <n v="0"/>
    <n v="65960.473639999997"/>
    <n v="65960.473639999997"/>
  </r>
  <r>
    <s v="BUCARAMANGA"/>
    <x v="3"/>
    <x v="3"/>
    <n v="81794"/>
    <n v="2621885"/>
    <n v="27593"/>
    <s v="INCIDENTE"/>
    <s v="ARAUCA"/>
    <s v="TAME"/>
    <s v="CENTRO TAME VII   ARAUCA"/>
    <s v="REDEBAN"/>
    <s v="FO-25-1399297"/>
    <d v="2025-08-20T17:47:00"/>
    <d v="2025-08-21T09:30:00"/>
    <s v="NO"/>
    <s v="USUARIO"/>
    <s v="USUARIOS"/>
    <s v="MALA MANIPULACION POS"/>
    <s v="CB UNO A UNO"/>
    <s v="CB UNO A UNO"/>
    <s v="CERRADO"/>
    <s v="20/08/2025 EN COMUNICACION CON CB VIA WHATSAPP 3112134803 SE CONFIRMAR FALLA Y DATOS SE ESCALA PARA VISITA | 21/08/2025 SE ESTABLECE CONTACTO VÍA WHATSAPP CON LA USUARIA TATIANA VILLAMIZAR QUIEN CONFIRMA QUE EL SERVICIO YA SE ENCUENTRA OPERATIVO Y NO REQUIERE EL SERVICIO TÉCNICO"/>
    <s v="SOPORTE_TELEFÓNICO"/>
    <n v="0"/>
    <s v="TIPO IV ESPECIAL"/>
    <s v="AEREO"/>
    <s v="REYES RAMIREZ DIEGO ALEXANDER"/>
    <n v="0"/>
    <n v="0"/>
    <n v="0"/>
    <n v="0"/>
    <n v="37904.65408"/>
    <n v="37904.65408"/>
  </r>
  <r>
    <s v="MEDELLIN"/>
    <x v="0"/>
    <x v="0"/>
    <n v="5240"/>
    <n v="2613938"/>
    <n v="40331"/>
    <s v="INCIDENTE"/>
    <s v="ANTIOQUIA"/>
    <s v="EBEJICO"/>
    <s v="BARRIO CALLE EL COMERCIO EBEJI"/>
    <s v="REDEBAN"/>
    <s v="FO-25-1393589"/>
    <d v="2025-08-19T15:15:00"/>
    <d v="2025-08-21T10:20:00"/>
    <s v="NO"/>
    <s v="USUARIO"/>
    <s v="LECTOR DE TARJETAS"/>
    <s v="OBSTRUCCION DEL LECTOR"/>
    <s v="CB UNO A UNO"/>
    <s v="CB UNO A UNO"/>
    <s v="CERRADO"/>
    <s v="19/08/2025 SE ESCALA PARA VISITA. LLAMAR ANTES DE VISITAR, CONFIRMAR FALLA Y DATOS | 21/08/2025 SE REALIZÓ LIMPIEZA DE LECTOR CHIP"/>
    <s v="VISITA_TÉCNICA"/>
    <s v="9A0K168"/>
    <s v="TIPO II"/>
    <s v="TERRESTRE"/>
    <s v="CASTAÑEDA PALACIO CARLOS FELIPE"/>
    <n v="1"/>
    <n v="0"/>
    <n v="0"/>
    <n v="0"/>
    <n v="163813.55812"/>
    <n v="163813.55812"/>
  </r>
  <r>
    <s v="MEDELLIN"/>
    <x v="0"/>
    <x v="0"/>
    <n v="5001"/>
    <n v="2619778"/>
    <n v="21959"/>
    <s v="INCIDENTE"/>
    <s v="ANTIOQUIA"/>
    <s v="MEDELLIN"/>
    <s v="BARRIO SANTA LUCIA MEDELLIN"/>
    <s v="REDEBAN"/>
    <s v="FO-25-1398227"/>
    <d v="2025-08-20T14:18:00"/>
    <d v="2025-08-21T11:37:00"/>
    <s v="NO"/>
    <s v="USUARIO"/>
    <s v="LECTOR DE TARJETAS"/>
    <s v="OBSTRUCCION DEL LECTOR"/>
    <s v="CB UNO A UNO"/>
    <s v="CB UNO A UNO"/>
    <s v="CERRADO"/>
    <s v="20/08/2025 SE ESCALA PARA VISITA. LLAMAR ANTES DE VISITAR, CONFIRMAR FALLA Y DATOS | 21/08/2025 SE REALIZÓ LIMPIEZA DE LECTOR CHIP"/>
    <s v="VISITA_TÉCNICA"/>
    <s v="AAYZZ982"/>
    <s v="TIPO I"/>
    <s v="TERRESTRE"/>
    <s v="CASTAÑEDA PALACIO CARLOS FELIPE"/>
    <n v="1"/>
    <n v="0"/>
    <n v="0"/>
    <n v="0"/>
    <n v="65960.473639999997"/>
    <n v="65960.473639999997"/>
  </r>
  <r>
    <s v="BARRANQUILLA"/>
    <x v="1"/>
    <x v="1"/>
    <n v="8001"/>
    <n v="2621386"/>
    <n v="45896"/>
    <s v="INCIDENTE"/>
    <s v="ATLANTICO"/>
    <s v="BARRANQUILLA"/>
    <s v="BARRIO ALTO PRADO BARRANQUILLA"/>
    <s v="REDEBAN"/>
    <s v="FO-25-1399052"/>
    <d v="2025-08-20T16:21:00"/>
    <d v="2025-08-21T11:45:00"/>
    <s v="NO"/>
    <s v="USUARIO"/>
    <s v="COMUNICACION"/>
    <s v="CANAL DEL COMERCIO"/>
    <s v="CB UNO A UNO"/>
    <s v="CB UNO A UNO"/>
    <s v="CERRADO"/>
    <s v="20/08/2025 SE ESCALA PARA VISITA. LLAMAR ANTES DE VISITAR, CONFIRMAR FALLA Y DATOS | 21/08/2025 SE LLAMA A LA SEÑORA LINA RAMÍREZ AL NÚMERO 3004192612,PARA CONFIRMAR INCIDENTE, QUIEN INFORMA QUE YA SOLUCIONARON EL DIA DE AYER Y AL PARECER ERE UN PROBLEMA INTERNO, ME INFORMA QUE YA NO ES NECESARIA LA VISITA"/>
    <s v="SOPORTE_TELEFÓNICO"/>
    <n v="0"/>
    <s v="TIPO I"/>
    <s v="TERRESTRE"/>
    <s v="DE AVILA SIADES ALBERTO ENRIQUE"/>
    <n v="0"/>
    <n v="0"/>
    <n v="0"/>
    <n v="0"/>
    <n v="37904.65408"/>
    <n v="37904.65408"/>
  </r>
  <r>
    <s v="PEREIRA"/>
    <x v="5"/>
    <x v="5"/>
    <n v="66001"/>
    <n v="2622229"/>
    <n v="23457"/>
    <s v="INCIDENTE"/>
    <s v="RISARALDA"/>
    <s v="PEREIRA"/>
    <s v="BR PLAZOLETA TRIBUNAS PERE"/>
    <s v="REDEBAN"/>
    <s v="FO-25-1401877"/>
    <d v="2025-08-21T08:00:00"/>
    <d v="2025-08-21T12:27:00"/>
    <s v="NO"/>
    <s v="USUARIO"/>
    <s v="USUARIOS"/>
    <s v="MALA MANIPULACION POS"/>
    <s v="CB UNO A UNO"/>
    <s v="CB UNO A UNO"/>
    <s v="CERRADO"/>
    <s v="21/08/2025 SE ESCALA PARA VISITA. LLAMAR ANTES DE VISITAR, CONFIRMAR FALLA Y DATOS | 21/08/2025 REALIZAMOS LLAMADA AL SEÑOR JORGE EL CUAL INDICA QUE EL DATAFONO NO SE BLOQUEA DESPUÉS DE HACER UNA TRX LE EXPLICAMOS QUE EL USUARIO SI QUEDA DESBLOQUEADO PARA QUE PUEDAN SEGUIR HACIENDO LAS TRX PERO TAMBIÉN LO PUEDEN BLOQUE CERRANDO SESIÓN LE INDICAMOS EL PASO A PASO COMO HACERLO Y EL SEÑOR JORGE NOS CONFIRMA QUE SI SE BLOQUEA, LE INDICAMOS QUE CERRAREMOS LA ORDEN DE VISITA QUE YA NO SE REQUIERE VISITA"/>
    <s v="SOPORTE_TELEFÓNICO"/>
    <n v="0"/>
    <s v="TIPO I"/>
    <s v="TERRESTRE"/>
    <s v="ARROYAVE CANO MANUEL GUILLERMO"/>
    <n v="0"/>
    <n v="0"/>
    <n v="0"/>
    <n v="0"/>
    <n v="37904.65408"/>
    <n v="37904.65408"/>
  </r>
  <r>
    <s v="NEIVA"/>
    <x v="4"/>
    <x v="4"/>
    <n v="18592"/>
    <n v="2624331"/>
    <n v="75593"/>
    <s v="INCIDENTE"/>
    <s v="CAQUETA"/>
    <s v="PUERTO RICO"/>
    <s v="BARRIO TRIUNFO PUERTO RICO"/>
    <s v="REDEBAN"/>
    <s v="FO-25-1402899"/>
    <d v="2025-08-21T10:08:00"/>
    <d v="2025-08-21T13:11:00"/>
    <s v="NO"/>
    <s v="USUARIO"/>
    <s v="CIERRE"/>
    <s v="COMERCIO NO REALIZA CIERRE"/>
    <s v="CB UNO A UNO"/>
    <s v="CB UNO A UNO"/>
    <s v="CERRADO"/>
    <s v="21/08/2025 SE ESCALA PARA VISITA. LLAMAR ANTES DE VISITAR, CONFIRMAR FALLA Y DATOS | 21/08/2025 SE LLAMA A LA CLIENTE PARA CONFIRMAR LA VISITA TÉCNICA Y LA CLIENTE MANIFIESTA QUE NO REQUIERE DEL SOPORTE TÉCNICO YA QUE POR LA LÍNEA DE CORRESPONSALES LE INDICARON COMO REALIZAR EL BORRADO DE MEMORIA E IMPRIMIR EL CIERRE, MANIFIESTA QUE EL CIERRE YA LE ESTÁ SALIENDO CON NORMALIDAD."/>
    <s v="SOPORTE_TELEFÓNICO"/>
    <n v="0"/>
    <s v="TIPO IV ESPECIAL"/>
    <s v="TERRESTRE"/>
    <s v="BERMUDEZ SANCHEZ JOSE NEYBER"/>
    <n v="0"/>
    <n v="0"/>
    <n v="0"/>
    <n v="0"/>
    <n v="37904.65408"/>
    <n v="37904.65408"/>
  </r>
  <r>
    <s v="MEDELLIN"/>
    <x v="0"/>
    <x v="0"/>
    <n v="5001"/>
    <n v="2623153"/>
    <n v="68195"/>
    <s v="INCIDENTE"/>
    <s v="ANTIOQUIA"/>
    <s v="MEDELLIN"/>
    <s v="PTM MEDELLIN DISTRIBUIDORA Z &amp;"/>
    <s v="REDEBAN"/>
    <s v="FO-25-1401822"/>
    <d v="2025-08-21T08:38:00"/>
    <d v="2025-08-21T13:38:00"/>
    <s v="NO"/>
    <s v="USUARIO"/>
    <s v="CIERRE"/>
    <s v="COMERCIO NO REALIZA CIERRE"/>
    <s v="AGREGADOR"/>
    <s v="AGREGADOR"/>
    <s v="CERRADO"/>
    <s v="21/08/2025 SE ESCALA PARA VISITA. LLAMAR ANTES DE VISITAR, CONFIRMAR FALLA Y DATOS | 21/08/2025 SE REALIZA CIERRE DE DATÁFONO Y SE LE EXPLICA AL USUARIO COMO REALIZAR EL CIERRE CORRECTAMENTE."/>
    <s v="VISITA_TÉCNICA"/>
    <s v="CB A1006416 - COMERCIO A1006596"/>
    <s v="TIPO I"/>
    <s v="TERRESTRE"/>
    <s v="RAMIREZ TABARES JUAN DIEGO"/>
    <n v="1"/>
    <n v="0"/>
    <n v="0"/>
    <n v="0"/>
    <n v="65960.473639999997"/>
    <n v="65960.473639999997"/>
  </r>
  <r>
    <s v="IBAGUE"/>
    <x v="4"/>
    <x v="4"/>
    <n v="73349"/>
    <n v="2621718"/>
    <n v="40513"/>
    <s v="INCIDENTE"/>
    <s v="TOLIMA"/>
    <s v="HONDA"/>
    <s v="BARRIO AVENIDA CENTENARIO HOND"/>
    <s v="REDEBAN"/>
    <s v="FO-25-1399043"/>
    <d v="2025-08-20T16:41:00"/>
    <d v="2025-08-21T13:40:00"/>
    <s v="NO"/>
    <s v="USUARIO"/>
    <s v="MANTENIMIENTO"/>
    <s v="MANTENIMIENTO GENERAL"/>
    <s v="CB UNO A UNO"/>
    <s v="CB UNO A UNO"/>
    <s v="CERRADO"/>
    <s v="21/08/2025 SE AJUSTAN CONEXIONES DEL DATÁFONO,HUB, LECTOR,  REPASAN PARÁMETROS DE COMUNICACIÓN TRANSACCIONES DE PRUEBA O.K"/>
    <s v="VISITA_TÉCNICA"/>
    <s v="9CLZZ332"/>
    <s v="TIPO III"/>
    <s v="TERRESTRE"/>
    <s v="GUTIERREZ  CAMILO ANDRES"/>
    <n v="1"/>
    <n v="0"/>
    <n v="0"/>
    <n v="0"/>
    <n v="275728.37943999999"/>
    <n v="275728.37943999999"/>
  </r>
  <r>
    <s v="MEDELLIN"/>
    <x v="0"/>
    <x v="0"/>
    <n v="5001"/>
    <n v="2625785"/>
    <n v="49465"/>
    <s v="INCIDENTE"/>
    <s v="ANTIOQUIA"/>
    <s v="MEDELLIN"/>
    <s v="BARRIO PRADO CENTRO MEDELLIN 5"/>
    <s v="REDEBAN"/>
    <s v="FO-25-1404182"/>
    <d v="2025-08-21T12:14:00"/>
    <d v="2025-08-21T15:22:00"/>
    <s v="NO"/>
    <s v="USUARIO"/>
    <s v="COMUNICACION"/>
    <s v="CANAL DEL COMERCIO"/>
    <s v="CB UNO A UNO"/>
    <s v="CB UNO A UNO"/>
    <s v="CERRADO"/>
    <s v="21/08/2025 SE ESCALA PARA VISITA. LLAMAR ANTES DE VISITAR, CONFIRMAR FALLA Y DATOS | 21/08/2025 SE REALIZA REINICIO DE EQUIPOS, QUEDAN OK"/>
    <s v="VISITA_TÉCNICA"/>
    <s v="AD00P315"/>
    <s v="TIPO I"/>
    <s v="TERRESTRE"/>
    <s v="HERNANDEZ CHAVARRIA JUAN CAMILO"/>
    <n v="1"/>
    <n v="0"/>
    <n v="0"/>
    <n v="0"/>
    <n v="65960.473639999997"/>
    <n v="65960.473639999997"/>
  </r>
  <r>
    <s v="MEDELLIN"/>
    <x v="0"/>
    <x v="0"/>
    <n v="5088"/>
    <n v="2622204"/>
    <n v="75175"/>
    <s v="INCIDENTE"/>
    <s v="ANTIOQUIA"/>
    <s v="BELLO"/>
    <s v="PTM BELLO  SUPERMERCADO LA REB"/>
    <s v="REDEBAN"/>
    <s v="FO-25-1401894"/>
    <d v="2025-08-21T08:00:00"/>
    <d v="2025-08-21T15:30:00"/>
    <s v="NO"/>
    <s v="USUARIO"/>
    <s v="COMUNICACION"/>
    <s v="CANAL DEL COMERCIO"/>
    <s v="AGREGADOR"/>
    <s v="AGREGADOR"/>
    <s v="CERRADO"/>
    <s v="21/08/2025 SE ESCALA PARA VISITA. LLAMAR ANTES DE VISITAR, CONFIRMAR FALLA Y DATOS | 21/08/2025 SE COMUNICA CON EL USUARIO PARA CONFIRMAR LA VISITA HE INDICA QUE ESTÁ MAÑANA AMANECÍO CONEXIÓN Y HA TRABAJADO CON NORMALIDAD."/>
    <s v="SOPORTE_TELEFÓNICO"/>
    <n v="0"/>
    <s v="TIPO I"/>
    <s v="TERRESTRE"/>
    <s v="ZAPATA LOPEZ EDWARD ASDRUBAL"/>
    <n v="0"/>
    <n v="0"/>
    <n v="0"/>
    <n v="0"/>
    <n v="37904.65408"/>
    <n v="37904.65408"/>
  </r>
  <r>
    <s v="MONTERIA"/>
    <x v="1"/>
    <x v="1"/>
    <n v="5250"/>
    <n v="2612751"/>
    <n v="62490"/>
    <s v="INCIDENTE"/>
    <s v="ANTIOQUIA"/>
    <s v="EL BAGRE"/>
    <s v="DISTRICOL DROGUERIA FARMAD"/>
    <s v="REDEBAN"/>
    <s v="FO-25-1392152"/>
    <d v="2025-08-19T12:51:00"/>
    <d v="2025-08-21T15:42:00"/>
    <s v="NO"/>
    <s v="USUARIO"/>
    <s v="LECTOR DE TARJETAS"/>
    <s v="OBSTRUCCION DEL LECTOR"/>
    <s v="AGREGADOR"/>
    <s v="AGREGADOR"/>
    <s v="CERRADO"/>
    <s v="19/08/2025 SE ESCALA PARA VISITA. LLAMAR ANTES DE VISITAR, CONFIRMAR FALLA Y DATOS | 21/08/2025 SE VISITA SITIO, SE REALIZA LIMPIEZA A  LECTOR DE TARJETAS YA QUE PRESENTABA OBSTRUCCIÓN OK_x000a_SE REALIZAN PRUEBAS OK. CB QUEDA OPERATIVO"/>
    <s v="VISITA_TÉCNICA"/>
    <s v="KA00O654"/>
    <s v="TIPO IV"/>
    <s v="TERRESTRE"/>
    <s v="COGOLLO VERTEL EDER LUIS"/>
    <n v="1"/>
    <n v="0"/>
    <n v="0"/>
    <n v="0"/>
    <n v="479589.73656000005"/>
    <n v="479589.73656000005"/>
  </r>
  <r>
    <s v="MEDELLIN"/>
    <x v="0"/>
    <x v="0"/>
    <n v="5001"/>
    <n v="2625712"/>
    <n v="78400"/>
    <s v="INCIDENTE"/>
    <s v="ANTIOQUIA"/>
    <s v="MEDELLIN"/>
    <s v="BARRIO ROBLEDO DE AURES MEDELL"/>
    <s v="REDEBAN"/>
    <s v="FO-25-1404213"/>
    <d v="2025-08-21T11:58:00"/>
    <d v="2025-08-21T16:59:00"/>
    <s v="NO"/>
    <s v="USUARIO"/>
    <s v="MANTENIMIENTO"/>
    <s v="MANTENIMIENTO GENERAL"/>
    <s v="CB UNO A UNO"/>
    <s v="CB UNO A UNO"/>
    <s v="CERRADO"/>
    <s v="21/08/2025 SE ESCALA PARA VISITA. LLAMAR ANTES DE VISITAR, CONFIRMAR FALLA Y DATOS | 21/08/2025 CABLE DE FUENTE DE PODER MAL CONECTADO, SE ORGANIZA Y QUEDA OPERATIVO"/>
    <s v="VISITA_TÉCNICA"/>
    <s v="V1MZZ319"/>
    <s v="TIPO I"/>
    <s v="TERRESTRE"/>
    <s v="BADEL ACUÑA LUIS ALBERTO"/>
    <n v="1"/>
    <n v="0"/>
    <n v="0"/>
    <n v="0"/>
    <n v="65960.473639999997"/>
    <n v="65960.473639999997"/>
  </r>
  <r>
    <s v="BUCARAMANGA"/>
    <x v="3"/>
    <x v="3"/>
    <n v="68001"/>
    <n v="2625894"/>
    <n v="75992"/>
    <s v="INCIDENTE "/>
    <s v="SANTANDER"/>
    <s v="BUCARAMANGA"/>
    <s v="BARRIO CANDILES BUCARAMANGA 1"/>
    <s v="REDEBAN"/>
    <s v="FO-25-1404682"/>
    <d v="2025-08-21T12:55:00"/>
    <d v="2025-08-22T09:20:00"/>
    <s v="NO"/>
    <s v="ENTIDAD"/>
    <s v="ERROR DE TRANSACCIONES"/>
    <s v="TRANSACCION NO PERMITIDA"/>
    <s v="CB UNO A UNO"/>
    <s v="CB UNO A UNO"/>
    <s v="CERRADO"/>
    <s v="22/08/2025 EN COMUNICACIÓN CON EL SEÑOR RICARDO AL NUMERO MANIFIESTA QUE EL DATAFONO SE ENCUENTRA OPERATIVO,INFORMA QUE YA NO NECESITA LA VISITA TECNICA ,SE PROCEDE A CERRAR ORDEN"/>
    <s v="SOPORTE_TELEFÓNICO"/>
    <n v="0"/>
    <s v="TIPO I"/>
    <s v="TERRESTRE"/>
    <s v="GELVEZ MOGOLLON JOSE ELISEO"/>
    <n v="0"/>
    <n v="0"/>
    <n v="0"/>
    <n v="0"/>
    <n v="37904.65408"/>
    <n v="37904.65408"/>
  </r>
  <r>
    <s v="CUCUTA"/>
    <x v="3"/>
    <x v="3"/>
    <n v="54001"/>
    <n v="2627064"/>
    <n v="80138"/>
    <s v="INCIDENTE "/>
    <s v="NORTE DE SANTANDER"/>
    <s v="CUCUTA"/>
    <s v="BRR EL PARAMO CUCUTA"/>
    <s v="REDEBAN"/>
    <s v="FO-25-1405751"/>
    <d v="2025-08-21T15:21:00"/>
    <d v="2025-08-22T11:48:00"/>
    <s v="NO"/>
    <s v="USUARIO"/>
    <s v="COMUNICACION"/>
    <s v="CANAL DEL COMERCIO"/>
    <s v="CB UNO A UNO"/>
    <s v="CB UNO A UNO"/>
    <s v="CERRADO"/>
    <s v="22/08/2025 EN COMUNICACIÓN CON EL CLIENTE ME INFORMA QUE LA FALLA YA SE SOLUCIONÓ QUE ERA UN ERROR EN EL COMERCIO CON LA ENERGÍA ELÉCTRICA QUE EL DATAFONO YA SE ENCUENTRA FUNCIONANDO CON NORMALIDAD EL DÍA DE HOY"/>
    <s v="SOPORTE_TELEFÓNICO"/>
    <n v="0"/>
    <s v="TIPO I"/>
    <s v="TERRESTRE"/>
    <s v="DURAN ACOSTA FRANK YONNY"/>
    <n v="0"/>
    <n v="0"/>
    <n v="0"/>
    <n v="0"/>
    <n v="37904.65408"/>
    <n v="37904.65408"/>
  </r>
  <r>
    <s v="CUCUTA"/>
    <x v="3"/>
    <x v="3"/>
    <n v="54405"/>
    <n v="2627565"/>
    <n v="62629"/>
    <s v="INCIDENTE "/>
    <s v="NORTE DE SANTANDER"/>
    <s v="LOS PATIOS"/>
    <s v="PAGAFACIL  LOS PATIOS 2"/>
    <s v="REDEBAN"/>
    <s v="FO-25-1406067"/>
    <d v="2025-08-21T16:22:00"/>
    <d v="2025-08-22T12:33:00"/>
    <s v="NO"/>
    <s v="USUARIO"/>
    <s v="COMUNICACION"/>
    <s v="CONEXIONES DE COMERCIO"/>
    <s v="ROBUSTO"/>
    <s v="ROBUSTO"/>
    <s v="CERRADO"/>
    <s v="22/08/2025 SE REALIZA VISITA, SE REALIZA MANTENIMIENTO, SE REALIZAN PRUEBAS Y CIERRES OK"/>
    <s v="VISITA_TÉCNICA"/>
    <s v="FUA0P411"/>
    <s v="TIPO I"/>
    <s v="TERRESTRE"/>
    <s v="PACHECO BUITRAGO JAVIER ALONSO"/>
    <n v="1"/>
    <n v="0"/>
    <n v="0"/>
    <n v="0"/>
    <n v="65960.473639999997"/>
    <n v="65960.473639999997"/>
  </r>
  <r>
    <s v="PASTO"/>
    <x v="5"/>
    <x v="6"/>
    <n v="86001"/>
    <n v="2627605"/>
    <n v="74100"/>
    <s v="INCIDENTE "/>
    <s v="PUTUMAYO"/>
    <s v="MOCOA"/>
    <s v="DISTRICOL IMPORTACIONES AG"/>
    <s v="REDEBAN"/>
    <s v="FO-25-1405881"/>
    <d v="2025-08-21T16:11:00"/>
    <d v="2025-08-22T15:29:00"/>
    <s v="NO"/>
    <s v="USUARIO"/>
    <s v="MANTENIMIENTO"/>
    <s v="MANTENIMIENTO GENERAL"/>
    <s v="AGREGADOR"/>
    <s v="AGREGADOR"/>
    <s v="CERRADO"/>
    <s v="22/08/2025 SE VISITA EL CORRESPONSAL PARA REVISAR FALLA DE DATÁFONO, IMPRIME BORROSO, SE REALIZA LIMPIEZA DE RODILLO, SE HACEN PRUEBAS OK, EL DATAFONO FUNCIONA NORMAL, QUEDA IMPRIMIENDO BIEN. CB OPERATIVO"/>
    <s v="VISITA_TÉCNICA"/>
    <s v="UV0PZ180"/>
    <s v="TIPO IV"/>
    <s v="TERRESTRE"/>
    <s v="GUERRERO RAMIREZ OSCAR DARIO"/>
    <n v="1"/>
    <n v="0"/>
    <n v="0"/>
    <n v="0"/>
    <n v="479589.73656000005"/>
    <n v="479589.73656000005"/>
  </r>
  <r>
    <s v="TUNJA"/>
    <x v="3"/>
    <x v="3"/>
    <n v="15001"/>
    <n v="2628509"/>
    <n v="43976"/>
    <s v="INCIDENTE "/>
    <s v="BOYACA"/>
    <s v="TUNJA"/>
    <s v="BARRIO CURUBAL TUNJA"/>
    <s v="REDEBAN"/>
    <s v="FO-25-1407111"/>
    <d v="2025-08-22T08:00:00"/>
    <d v="2025-08-22T15:35:00"/>
    <s v="NO"/>
    <s v="USUARIO"/>
    <s v="COMUNICACION"/>
    <s v="CANAL DEL COMERCIO"/>
    <s v="CB UNO A UNO"/>
    <s v="CB UNO A UNO"/>
    <s v="CERRADO"/>
    <s v="22/08/2025 SE REALIZA COMUNICACION CON EL SEÑOR PEDRO BECERRA AL NÚMERO TELEFÓNICO 3133304776 PARA CONFIRMAR VISITA...CLIENTE CANCELA VISITA TÉCNICA YA QUE FALLA ERA POR INTERNET DE COMERCIO....INDICA QUE DATAFONO YA SE ENCUENTRA FUNCIONANDO CORRECTAMENTE"/>
    <s v="SOPORTE_TELEFÓNICO"/>
    <n v="0"/>
    <s v="TIPO I"/>
    <s v="TERRESTRE"/>
    <s v="GONZALEZ GONZALEZ MARIO ALBERTO"/>
    <n v="0"/>
    <n v="0"/>
    <n v="0"/>
    <n v="0"/>
    <n v="37904.65408"/>
    <n v="37904.65408"/>
  </r>
  <r>
    <s v="MEDELLIN"/>
    <x v="0"/>
    <x v="0"/>
    <n v="5001"/>
    <n v="2631630"/>
    <n v="22831"/>
    <s v="INCIDENTE "/>
    <s v="ANTIOQUIA"/>
    <s v="MEDELLIN"/>
    <s v="COMCARD MED ROBLEDO DROG VILLA"/>
    <s v="REDEBAN"/>
    <s v="FO-25-1409675"/>
    <d v="2025-08-22T12:18:00"/>
    <d v="2025-08-22T15:40:00"/>
    <s v="NO"/>
    <s v="USUARIO"/>
    <s v="COMUNICACION"/>
    <s v="CANAL DEL COMERCIO"/>
    <s v="AGREGADOR"/>
    <s v="AGREGADOR"/>
    <s v="CERRADO"/>
    <s v="22/08/2025 SE VERIFICAN LAS CONEXIONES DEL EQUIPO Y SE EVIDENCIA QUE PIDIERON OTRA EMPRESA DE INTERNET, CLIENTE SE COMUNICA CON NUEVA EMPRESA Y LE INFORMARON QUE LE DAN SOLUCIÓN EN 48 HORAS, CORRESPONSAL ESTÁ FUNCIONANDO CON INTERNET ANTIGUO MIENTRAS LE DAN SOLUCIÓN."/>
    <s v="VISITA_TÉCNICA"/>
    <s v="CZZZZ177"/>
    <s v="TIPO I"/>
    <s v="TERRESTRE"/>
    <s v="BADEL ACUÑA LUIS ALBERTO"/>
    <n v="1"/>
    <n v="0"/>
    <n v="0"/>
    <n v="0"/>
    <n v="65960.473639999997"/>
    <n v="65960.473639999997"/>
  </r>
  <r>
    <s v="MEDELLIN"/>
    <x v="0"/>
    <x v="0"/>
    <n v="5360"/>
    <n v="2630546"/>
    <n v="55408"/>
    <s v="INCIDENTE "/>
    <s v="ANTIOQUIA"/>
    <s v="ITAGUI"/>
    <s v="PTM ITAGUI ELECTRONICA DUFE"/>
    <s v="REDEBAN"/>
    <s v="FO-25-1408617"/>
    <d v="2025-08-22T10:27:00"/>
    <d v="2025-08-22T17:50:00"/>
    <s v="NO"/>
    <s v="USUARIO"/>
    <s v="COMUNICACION"/>
    <s v="CANAL DEL COMERCIO"/>
    <s v="AGREGADOR"/>
    <s v="AGREGADOR"/>
    <s v="CERRADO"/>
    <s v="22/08/2025 SE REALIZAN VERIFICACIONESCON EL DATÁFONO Y SE COMPRUEBA QUE NO HAY CONEXION AL INTERNET, SE PRUEBA EL DATÁFONO EN OTRO COMERCIO Y LA COMUNICACIO EXITOSA, SE INDICA AL COMERCIO QUE DEBE LLAMAR A OPERADOR PARA QUE CORRIJAN FALLA"/>
    <s v="VISITA_TÉCNICA"/>
    <s v="9BGZZ179"/>
    <s v="TIPO I"/>
    <s v="TERRESTRE"/>
    <s v="BADEL ACUÑA LUIS ALBERTO"/>
    <n v="1"/>
    <n v="0"/>
    <n v="0"/>
    <n v="0"/>
    <n v="65960.473639999997"/>
    <n v="65960.473639999997"/>
  </r>
  <r>
    <s v="CUCUTA"/>
    <x v="3"/>
    <x v="3"/>
    <n v="54001"/>
    <n v="2631311"/>
    <n v="79235"/>
    <s v="INCIDENTE "/>
    <s v="NORTE DE SANTANDER"/>
    <s v="CUCUTA"/>
    <s v="DISTRICOL CHACUTERSALSAMECAVA"/>
    <s v="REDEBAN"/>
    <s v="FO-25-1409114"/>
    <d v="2025-08-22T11:37:00"/>
    <d v="2025-08-23T08:53:00"/>
    <s v="NO"/>
    <s v="USUARIO"/>
    <s v="NO ENCIENDE"/>
    <s v="CONEXIONES DE COMERCIO"/>
    <s v="AGREGADOR"/>
    <s v="AGREGADOR"/>
    <s v="CERRADO"/>
    <s v="23/08/2025 EN COMUNICACIÓN CON EL CLIENTE ME INFORMA EL CLIENTE QUE EL ERROR YA SE SOLUCIONÓ QUE ERA UNA FALLA CON LA CONEXIÓN DEL DATAFONO QUE YA EL EQUIPO SE ENCUENTRA FUNCIONANDO CON NORMALIDAD EL DÍA DE HOY"/>
    <s v="SOPORTE_TELEFÓNICO"/>
    <n v="0"/>
    <s v="TIPO I"/>
    <s v="TERRESTRE"/>
    <s v="DURAN ACOSTA FRANK YONNY"/>
    <n v="0"/>
    <n v="0"/>
    <n v="0"/>
    <n v="0"/>
    <n v="37904.65408"/>
    <n v="37904.65408"/>
  </r>
  <r>
    <s v="MEDELLIN"/>
    <x v="0"/>
    <x v="0"/>
    <n v="5001"/>
    <n v="2633823"/>
    <n v="49465"/>
    <s v="INCIDENTE "/>
    <s v="ANTIOQUIA"/>
    <s v="MEDELLIN"/>
    <s v="BARRIO PRADO CENTRO MEDELLIN 5"/>
    <s v="REDEBAN"/>
    <s v="FO-25-1412497"/>
    <d v="2025-08-23T08:00:00"/>
    <d v="2025-08-23T10:25:00"/>
    <s v="NO"/>
    <s v="USUARIO"/>
    <s v="NO ENCIENDE"/>
    <s v="CONEXIONES DE COMERCIO"/>
    <s v="CB UNO A UNO"/>
    <s v="CB UNO A UNO"/>
    <s v="CERRADO"/>
    <s v="23/08/2025 SE REALIZÓ CONEXIÓN CORRECTA DEL DATÁFONO"/>
    <s v="VISITA_TÉCNICA"/>
    <s v="AD00P313"/>
    <s v="TIPO I"/>
    <s v="TERRESTRE"/>
    <s v="CASTAÑEDA PALACIO CARLOS FELIPE"/>
    <n v="1"/>
    <n v="0"/>
    <n v="0"/>
    <n v="0"/>
    <n v="65960.473639999997"/>
    <n v="65960.473639999997"/>
  </r>
  <r>
    <s v="IBAGUE"/>
    <x v="4"/>
    <x v="4"/>
    <n v="73001"/>
    <n v="2633676"/>
    <n v="52901"/>
    <s v="INCIDENTE "/>
    <s v="TOLIMA"/>
    <s v="IBAGUE"/>
    <s v="BARRIO AMERICA IBAGUE"/>
    <s v="REDEBAN"/>
    <s v="FO-25-1412504"/>
    <d v="2025-08-23T08:00:00"/>
    <d v="2025-08-23T11:03:00"/>
    <s v="NO"/>
    <s v="USUARIO"/>
    <s v="COMUNICACION"/>
    <s v="CANAL DEL COMERCIO"/>
    <s v="CB UNO A UNO"/>
    <s v="CB UNO A UNO"/>
    <s v="CERRADO"/>
    <s v="23/08/2025 SE VÁLIDA FUNCIONAMIENTO DEL DATÁFONO CON PRUEBAS EXITOSAMENTE; SE PRESENTÓ ERROR DE CONEXIÓN DEBIDO A FALLA DEL PROVEEDOR DE INTERNET."/>
    <s v="VISITA_TÉCNICA"/>
    <s v="BA0IZ204"/>
    <s v="TIPO I"/>
    <s v="TERRESTRE"/>
    <s v="BARRAGAN TAFUR EDWIN ESTEBAN"/>
    <n v="1"/>
    <n v="0"/>
    <n v="0"/>
    <n v="0"/>
    <n v="65960.473639999997"/>
    <n v="65960.473639999997"/>
  </r>
  <r>
    <s v="APARTADO"/>
    <x v="0"/>
    <x v="0"/>
    <n v="5045"/>
    <n v="2616924"/>
    <n v="32310"/>
    <s v="INCIDENTE "/>
    <s v="ANTIOQUIA"/>
    <s v="APARTADO"/>
    <s v="PAGAFACIL APARTADO CENTRO II"/>
    <s v="REDEBAN"/>
    <s v="FO-25-1395422"/>
    <d v="2025-08-20T09:00:00"/>
    <d v="2025-08-23T11:08:00"/>
    <s v="NO"/>
    <s v="USUARIO"/>
    <s v="COMUNICACION"/>
    <s v="CONEXIONES DE COMERCIO"/>
    <s v="ROBUSTO"/>
    <s v="ROBUSTO"/>
    <s v="CERRADO"/>
    <s v="23/08/2025 CLIENTE INDICA QUE PIN PAD YA LE FUNCIONA HACE DOS DÍAS Y QUE NO REQUIERE EL SERVICIO DE MANTENIMIENTO"/>
    <s v="SOPORTE_TELEFÓNICO"/>
    <n v="0"/>
    <s v="TIPO I"/>
    <s v="TERRESTRE"/>
    <s v="CASTRO HENAO DANIEL ESTEBAN"/>
    <n v="0"/>
    <n v="0"/>
    <n v="0"/>
    <n v="0"/>
    <n v="37904.65408"/>
    <n v="37904.65408"/>
  </r>
  <r>
    <s v="APARTADO"/>
    <x v="0"/>
    <x v="0"/>
    <n v="5665"/>
    <n v="2624964"/>
    <n v="80961"/>
    <s v="INCIDENTE "/>
    <s v="ANTIOQUIA"/>
    <s v="SAN PEDRO DE URABA"/>
    <s v="BARRO ALFONSO LOPEZ SAN PEDRO DE URABA ANTIOQUIA SAN PEDRO DE URABA"/>
    <s v="REDEBAN"/>
    <s v="FO-25-1403847"/>
    <d v="2025-08-21T11:10:00"/>
    <d v="2025-08-23T11:13:00"/>
    <s v="NO"/>
    <s v="USUARIO"/>
    <s v="USUARIOS"/>
    <s v="CREACION DE USUARIOS"/>
    <s v="CB UNO A UNO"/>
    <s v="CB UNO A UNO"/>
    <s v="CERRADO"/>
    <s v="23/08/2025 SE ESTABLECE CONTACTO CON EL CLIENTE PARA CONFIRMAR EL INCIDENTE REPORTADO EN EL DATÁFONO. EL USUARIO INDICA QUE NO HA LOGRADO ACCEDER AL MENÚ DE OPERACIONES DEBIDO A LA AUSENCIA DE UN USUARIO CONFIGURADO EN EL SISTEMA. _x000a_ _x000a_SE BRINDA ORIENTACIÓN CLARA SOBRE EL PROCEDIMIENTO PARA CREAR EL USUARIO CORRECTAMENTE. UNA VEZ REALIZADA LA CONFIGURACIÓN, SE VERIFICA QUE EL EQUIPO QUEDA OPERATIVO Y FUNCIONAL PARA CONTINUAR CON LAS TRANSACCIONES."/>
    <s v="SOPORTE_TELEFÓNICO"/>
    <n v="0"/>
    <s v="TIPO III"/>
    <s v="TERRESTRE"/>
    <s v="MARTINEZ TOVAR OSCAR DAVID"/>
    <n v="0"/>
    <n v="0"/>
    <n v="0"/>
    <n v="0"/>
    <n v="37904.65408"/>
    <n v="37904.65408"/>
  </r>
  <r>
    <s v="BUCARAMANGA"/>
    <x v="3"/>
    <x v="3"/>
    <n v="68255"/>
    <n v="2629061"/>
    <n v="73471"/>
    <s v="INCIDENTE "/>
    <s v="SANTANDER"/>
    <s v="EL PLAYON"/>
    <s v="PTM VIA AL MAR VEREDA ESTACION"/>
    <s v="REDEBAN"/>
    <s v="FO-25-1407660"/>
    <d v="2025-08-22T08:11:00"/>
    <d v="2025-08-23T11:40:00"/>
    <s v="NO"/>
    <s v="USUARIO"/>
    <s v="USUARIOS"/>
    <s v="MALA MANIPULACION POS"/>
    <s v="AGREGADOR"/>
    <s v="AGREGADOR"/>
    <s v="CERRADO"/>
    <s v="23/08/2025 SE VISITA COMERCIO , SE LE INDICA AL CLIENTE LA CORRECTA MANIPULACIÓN DEL POS. , SE REALIZA PRUEBAS OK CUBRE CLAVE OK"/>
    <s v="VISITA_TÉCNICA"/>
    <s v="MN00Y633"/>
    <s v="TIPO II"/>
    <s v="TERRESTRE"/>
    <s v="HERRERA LUQUE SAUL JAVIER"/>
    <n v="1"/>
    <n v="0"/>
    <n v="0"/>
    <n v="0"/>
    <n v="163813.55812"/>
    <n v="163813.55812"/>
  </r>
  <r>
    <s v="BARRANQUILLA"/>
    <x v="1"/>
    <x v="1"/>
    <n v="8001"/>
    <n v="2634439"/>
    <n v="45896"/>
    <s v="INCIDENTE "/>
    <s v="ATLANTICO"/>
    <s v="BARRANQUILLA"/>
    <s v="BARRIO ALTO PRADO BARRANQUILLA"/>
    <s v="REDEBAN"/>
    <s v="FO-25-1413668"/>
    <d v="2025-08-23T10:27:00"/>
    <d v="2025-08-23T14:14:00"/>
    <s v="NO"/>
    <s v="USUARIO"/>
    <s v="COMUNICACION"/>
    <s v="CONEXIONES DE COMERCIO"/>
    <s v="CB UNO A UNO"/>
    <s v="CB UNO A UNO"/>
    <s v="CERRADO"/>
    <s v="23/08/2025 SE LLEGA AL CB Y SE EVIDENCIA QUE TIENEN UN SWITCHDE RED DE 8 PUESTOS QUE SE ALIMENTA DE UN TOMA QUE ESTÁ EN LA PARED Y SE ALLI DEL PUERTO SE CONECTA EL DATAFONO Y UN COMPUTADOR EN EL COMERCIO HAY UN RACK CON UN SWITCH DE 24 PUERTOS CON ROUTER Y PACH PANNELCLIENTE AFIRMA QUE LE HAN REVISADO Y QUE TODO ESTÁ OKSE REMPLAZA DATAFONO PARA DESCARTAR PERO SEGÚN MI EXPERIENCIA ESTÁ FUNCIONANDO OK, SE HACE EL CAMBIO Y SIGUE IGUAL QUEDA CONECTANDO , SE CONVENCE AL CLIENTE QUE ES PROBLEMA INTERNO, ME LLEVO EL DATAFONO AL CENTRO DE CABLEADO LO CONECTO A VARIOS PUERTOS Y SIGUE IGUAL, LUEGO EN EL PUERTO 13 ME FUNCIONA OK Y CLIENTE SE COVENCÉ QUE DEBE REVISAR SU RED INTERNA YA QUE ALGO LE ESTÁ MOLESTANDO"/>
    <s v="VISITA_TÉCNICA"/>
    <s v="XP002056"/>
    <s v="TIPO I"/>
    <s v="TERRESTRE"/>
    <s v="DE AVILA SIADES ALBERTO ENRIQUE"/>
    <n v="1"/>
    <n v="0"/>
    <n v="0"/>
    <n v="0"/>
    <n v="65960.473639999997"/>
    <n v="65960.473639999997"/>
  </r>
  <r>
    <s v="MEDELLIN"/>
    <x v="0"/>
    <x v="0"/>
    <n v="5088"/>
    <n v="2634539"/>
    <n v="80316"/>
    <s v="INCIDENTE "/>
    <s v="ANTIOQUIA"/>
    <s v="BELLO"/>
    <s v="BARRIO ARAUCARIAS BELLO"/>
    <s v="REDEBAN"/>
    <s v="FO-25-1414339"/>
    <d v="2025-08-23T11:45:00"/>
    <d v="2025-08-24T10:57:00"/>
    <s v="NO"/>
    <s v="USUARIO"/>
    <s v="COMUNICACION"/>
    <s v="CONEXIONES DE COMERCIO"/>
    <s v="CB UNO A UNO"/>
    <s v="CB UNO A UNO"/>
    <s v="CERRADO"/>
    <s v="24/08/2025 SE REALIZA REINICIO DE EQUIPO, TODO OK"/>
    <s v="VISITA_TÉCNICA"/>
    <s v="FAZZZ519"/>
    <s v="TIPO I"/>
    <s v="TERRESTRE"/>
    <s v="HERNANDEZ CHAVARRIA JUAN CAMILO"/>
    <n v="1"/>
    <n v="0"/>
    <n v="0"/>
    <n v="0"/>
    <n v="65960.473639999997"/>
    <n v="65960.473639999997"/>
  </r>
  <r>
    <s v="NEIVA"/>
    <x v="4"/>
    <x v="4"/>
    <n v="18753"/>
    <n v="2625814"/>
    <n v="44541"/>
    <s v="INCIDENTE "/>
    <s v="CAQUETA"/>
    <s v="SAN VICENTE DEL CAGUAN"/>
    <s v="DISTRICOL AGRO VETERINARIA VGA"/>
    <s v="REDEBAN"/>
    <s v="FO-25-1404189"/>
    <d v="2025-08-21T12:13:00"/>
    <d v="2025-08-25T09:28:00"/>
    <s v="NO"/>
    <s v="USUARIO"/>
    <s v="USUARIOS"/>
    <s v="MALA MANIPULACION POS"/>
    <s v="AGREGADOR"/>
    <s v="AGREGADOR"/>
    <s v="CERRADO"/>
    <s v="25/08/2025 SE REALIZA VISITA AL CB Y SE REALIZA BORRADO DE SISTEMA OPERATIVO Y VERSIÓN, SE INICIALIZA EL EQUIPO Y SE CONFIGURA PARÁMETROS, PRUEBAS CB OK SE DEJA OPERATIVO."/>
    <s v="VISITA_TÉCNICA"/>
    <s v="AC08Z418"/>
    <s v="TIPO IV ESPECIAL"/>
    <s v="TERRESTRE / AEREO"/>
    <s v="BERMUDEZ SANCHEZ JOSE NEYBER"/>
    <n v="1"/>
    <n v="0"/>
    <n v="0"/>
    <n v="0"/>
    <n v="479589.73656000005"/>
    <n v="479589.73656000005"/>
  </r>
  <r>
    <s v="PEREIRA"/>
    <x v="5"/>
    <x v="5"/>
    <n v="63001"/>
    <n v="2634461"/>
    <n v="31072"/>
    <s v="INCIDENTE "/>
    <s v="QUINDIO"/>
    <s v="ARMENIA"/>
    <s v="BARRIO MALL PARAISO"/>
    <s v="REDEBAN"/>
    <s v="FO-25-1414069"/>
    <d v="2025-08-23T11:12:00"/>
    <d v="2025-08-25T09:40:00"/>
    <s v="NO"/>
    <s v="USUARIO"/>
    <s v="COMUNICACION"/>
    <s v="CONEXIONES DE COMERCIO"/>
    <s v="CB UNO A UNO"/>
    <s v="CB UNO A UNO"/>
    <s v="CERRADO"/>
    <s v="25/08/2025 SE VISITA COMERCIO SE REALIZÓ PRUEBAS DATAFONO EN PERFECTO FUNCIONAMIENTO SE VÁLIDA CONFIGURACIÓN OK."/>
    <s v="VISITA_TÉCNICA"/>
    <s v="BYZZZ161"/>
    <s v="TIPO II"/>
    <s v="TERRESTRE"/>
    <s v="SANCHEZ SOLORZANO JUAN SEBASTIAN"/>
    <n v="1"/>
    <n v="0"/>
    <n v="0"/>
    <n v="0"/>
    <n v="163813.55812"/>
    <n v="163813.55812"/>
  </r>
  <r>
    <s v="NEIVA"/>
    <x v="4"/>
    <x v="4"/>
    <n v="18753"/>
    <n v="2634932"/>
    <n v="80402"/>
    <s v="INCIDENTE "/>
    <s v="CAQUETA"/>
    <s v="SAN VICENTE DEL CAGUAN"/>
    <s v="BARRIO CENTRO SAN VICENTE DEL CAGUAN 6"/>
    <s v="REDEBAN"/>
    <s v="FO-25-1416220"/>
    <d v="2025-08-23T17:53:00"/>
    <d v="2025-08-25T10:50:00"/>
    <s v="NO"/>
    <s v="USUARIO"/>
    <s v="USUARIOS"/>
    <s v="MALA MANIPULACION POS"/>
    <s v="CB UNO A UNO"/>
    <s v="CB UNO A UNO"/>
    <s v="CERRADO"/>
    <s v="25/08/2025 SE LLEGA AL CB Y CLIENTE MANIFIESTA QUE EL DATÁFONO YA LE ESTÁ FUNCIONANDO CON NORMALIDAD, QUE YA LE ESTÁ IMPRIMIENDO BIEN QUE PUEDO HABER SIDO UNA MALA MANIPULACIÓN DEL EQUIPO, EN EL LOCAL NO HAY ENERGÍA POR UN DAÑO EN UN POSTE QUE SUMINISTRA ENERGÍA ALLÁ LOCA, SE TOMA TIRILLA DE TRANSACCION DEL DÍA 24 AGOSTO, NO SE MANIPULA EL DATÁFONO."/>
    <s v="VISITA_TÉCNICA"/>
    <s v="LBZZZ660"/>
    <s v="TIPO IV ESPECIAL"/>
    <s v="TERRESTRE / AEREO"/>
    <s v="BERMUDEZ SANCHEZ JOSE NEYBER"/>
    <n v="1"/>
    <n v="0"/>
    <n v="0"/>
    <n v="0"/>
    <n v="479589.73656000005"/>
    <n v="479589.73656000005"/>
  </r>
  <r>
    <s v="PEREIRA"/>
    <x v="5"/>
    <x v="5"/>
    <n v="63594"/>
    <n v="2634771"/>
    <n v="72065"/>
    <s v="INCIDENTE "/>
    <s v="QUINDIO"/>
    <s v="QUIMBAYA"/>
    <s v="DISTRICOL PAPELERIA LA GRAN FA"/>
    <s v="REDEBAN"/>
    <s v="FO-25-1416224"/>
    <d v="2025-08-23T17:52:00"/>
    <d v="2025-08-25T11:11:00"/>
    <s v="NO"/>
    <s v="USUARIO"/>
    <s v="COMUNICACION"/>
    <s v="CONEXIONES DE COMERCIO"/>
    <s v="AGREGADOR"/>
    <s v="AGREGADOR"/>
    <s v="CERRADO"/>
    <s v="25/08/2025 SE VISITA COMERCIO SE REALIZÓ VERIFICACIÓN Y AJUSTE DE CABLEADO INTERNO ETHERNET, SE REALIZÓ PRUEBAS OK"/>
    <s v="VISITA_TÉCNICA"/>
    <s v="MN00O659"/>
    <s v="TIPO II"/>
    <s v="TERRESTRE"/>
    <s v="SANCHEZ SOLORZANO JUAN SEBASTIAN"/>
    <n v="1"/>
    <n v="0"/>
    <n v="0"/>
    <n v="0"/>
    <n v="163813.55812"/>
    <n v="163813.55812"/>
  </r>
  <r>
    <s v="NEIVA"/>
    <x v="4"/>
    <x v="4"/>
    <n v="41001"/>
    <n v="2637820"/>
    <n v="67804"/>
    <s v="INCIDENTE "/>
    <s v="HUILA"/>
    <s v="NEIVA"/>
    <s v="BARRIO NORTE NEIVA"/>
    <s v="REDEBAN"/>
    <s v="FO-25-1419077"/>
    <d v="2025-08-25T09:55:00"/>
    <d v="2025-08-25T13:00:00"/>
    <s v="NO"/>
    <s v="USUARIO"/>
    <s v="NO ENCIENDE"/>
    <s v="CONEXIONES DE COMERCIO"/>
    <s v="CB UNO A UNO"/>
    <s v="CB UNO A UNO"/>
    <s v="CERRADO"/>
    <s v="25/08/2025 SE REALIZA CAMBIO FUENTE DE PODER DATAFONO ,DATAFONO ENCIENDE , SE REALIZA PRUEBA 9K"/>
    <s v="VISITA_TÉCNICA"/>
    <s v="9L00R813"/>
    <s v="TIPO I"/>
    <s v="TERRESTRE"/>
    <s v="ANDRADE HERNANDEZ JUAN CARLOS"/>
    <n v="1"/>
    <n v="0"/>
    <n v="0"/>
    <n v="0"/>
    <n v="65960.473639999997"/>
    <n v="65960.473639999997"/>
  </r>
  <r>
    <s v="MEDELLIN"/>
    <x v="0"/>
    <x v="0"/>
    <n v="5001"/>
    <n v="2639537"/>
    <n v="51118"/>
    <s v="INCIDENTE "/>
    <s v="ANTIOQUIA"/>
    <s v="MEDELLIN"/>
    <s v="PTM MEDELLIN SUENOS E ILUSIONE"/>
    <s v="REDEBAN"/>
    <s v="FO-25-1420274"/>
    <d v="2025-08-25T12:12:00"/>
    <d v="2025-08-25T15:07:00"/>
    <s v="NO"/>
    <s v="USUARIO"/>
    <s v="MANTENIMIENTO"/>
    <s v="MANTENIMIENTO GENERAL"/>
    <s v="AGREGADOR"/>
    <s v="AGREGADOR"/>
    <s v="CERRADO"/>
    <s v="25/08/2025 SE HACE MANTENIMIENTO OK, SE LE EXPLICA AL CLIENTE EL MANEJO DEL DATAFONO, SE INDICA QUE EN ESTE DATAFONO LAS TECLAS SON UN POCO MÁS DURAS QUE EL ANTERIOR, SE LE EXPLICA TAMBIÉN EL MÉTODO DE LA IMPRESIÓN"/>
    <s v="VISITA_TÉCNICA"/>
    <s v="XP04Z089"/>
    <s v="TIPO I"/>
    <s v="TERRESTRE"/>
    <s v="DIAZ ZABALA FRANCIS DUBAN"/>
    <n v="1"/>
    <n v="0"/>
    <n v="0"/>
    <n v="0"/>
    <n v="65960.473639999997"/>
    <n v="65960.473639999997"/>
  </r>
  <r>
    <s v="BOGOTA"/>
    <x v="2"/>
    <x v="2"/>
    <n v="25754"/>
    <n v="2638173"/>
    <n v="31875"/>
    <s v="INCIDENTE "/>
    <s v="CUNDINAMARCA"/>
    <s v="SOACHA"/>
    <s v="BARRIO SOACHA LA FRAGUA"/>
    <s v="REDEBAN"/>
    <s v="FO-25-1419346"/>
    <d v="2025-08-25T10:29:00"/>
    <d v="2025-08-25T18:44:00"/>
    <s v="NO"/>
    <s v="USUARIO"/>
    <s v="CIERRE"/>
    <s v="COMERCIO NO REALIZA CIERRE"/>
    <s v="CB UNO A UNO"/>
    <s v="CB UNO A UNO"/>
    <s v="CERRADO"/>
    <s v="25/08/2025 SE ENSEÑA AL COMERCIO A REALIZAR CIERRE DE REALIZA BORRADO DE MEMORIA CON AUTORIZACIÓN DE CLIENTE SE REALIZAN PRUEBAS OK"/>
    <s v="VISITA_TÉCNICA"/>
    <s v="9.90"/>
    <s v="TIPO I"/>
    <s v="TERRESTRE"/>
    <s v="SOTO LONDOÑO FREDY ALEXANDER"/>
    <n v="1"/>
    <n v="0"/>
    <n v="0"/>
    <n v="0"/>
    <n v="65960.473639999997"/>
    <n v="65960.473639999997"/>
  </r>
  <r>
    <s v="YOPAL"/>
    <x v="4"/>
    <x v="4"/>
    <n v="85001"/>
    <n v="2641562"/>
    <n v="78446"/>
    <s v="INCIDENTE "/>
    <s v="CASANARE"/>
    <s v="YOPAL"/>
    <s v="BARRIO CENTRO YOPAL  9"/>
    <s v="REDEBAN"/>
    <s v="FO-25-1422425"/>
    <d v="2025-08-25T16:13:00"/>
    <d v="2025-08-25T19:02:00"/>
    <s v="NO"/>
    <s v="USUARIO"/>
    <s v="COMUNICACION"/>
    <s v="CONEXIONES DE COMERCIO"/>
    <s v="CB UNO A UNO"/>
    <s v="CB UNO A UNO"/>
    <s v="CERRADO"/>
    <s v="25/08/2025 EN COMUNICACIÓN CON LA SEÑORA LIZETH BAQUERO AL NUMERO 3125564728, INDICA NO REQUIERE LA VISITA, SE ENCUENTRA OPERATIVO EL SERVICIO. AUSENCIA DE INTERNET POR PARTE DEL PROVEEDOR, PERO YA FUE RESUELTA."/>
    <s v="SOPORTE_TELEFÓNICO"/>
    <n v="0"/>
    <s v="TIPO I"/>
    <s v="TERRESTRE"/>
    <s v="BERNAL ELAICA EDGAR ALEXIS"/>
    <n v="0"/>
    <n v="0"/>
    <n v="0"/>
    <n v="0"/>
    <n v="37904.65408"/>
    <n v="37904.65408"/>
  </r>
  <r>
    <s v="MEDELLIN"/>
    <x v="0"/>
    <x v="0"/>
    <n v="5440"/>
    <n v="2637266"/>
    <n v="28856"/>
    <s v="INCIDENTE "/>
    <s v="ANTIOQUIA"/>
    <s v="MARINILLA"/>
    <s v="BARRIO CIUDADELA REAL 2 MARINI"/>
    <s v="REDEBAN"/>
    <s v="FO-25-1418790"/>
    <d v="2025-08-25T09:23:00"/>
    <d v="2025-08-26T08:19:00"/>
    <s v="NO"/>
    <s v="USUARIO"/>
    <s v="MANTENIMIENTO"/>
    <s v="MANTENIMIENTO GENERAL"/>
    <s v="CB UNO A UNO"/>
    <s v="CB UNO A UNO"/>
    <s v="CERRADO"/>
    <s v="26/08/2025 SE COMUNICA CON LA USUARIA Y SE EXPLICA CÓMO SE INSTALA LA TAPA TRASERA AL EQUIPO. SE INSTALA TODO QUEDA OK"/>
    <s v="SOPORTE_TELEFÓNICO"/>
    <s v="0"/>
    <s v="TIPO II"/>
    <s v="TERRESTRE"/>
    <s v="ZAPATA LOPEZ EDWARD ASDRUBAL"/>
    <n v="0"/>
    <n v="0"/>
    <n v="0"/>
    <n v="0"/>
    <n v="37904.65408"/>
    <n v="37904.65408"/>
  </r>
  <r>
    <s v="MEDELLIN"/>
    <x v="0"/>
    <x v="0"/>
    <n v="5001"/>
    <n v="2639550"/>
    <n v="27048"/>
    <s v="INCIDENTE "/>
    <s v="ANTIOQUIA"/>
    <s v="MEDELLIN"/>
    <s v="COMCARD MED DISCAR"/>
    <s v="REDEBAN"/>
    <s v="FO-25-1420297"/>
    <d v="2025-08-25T12:17:00"/>
    <d v="2025-08-26T09:21:00"/>
    <s v="NO"/>
    <s v="USUARIO"/>
    <s v="MANTENIMIENTO"/>
    <s v="MANTENIMIENTO GENERAL"/>
    <s v="AGREGADOR"/>
    <s v="AGREGADOR"/>
    <s v="CERRADO"/>
    <s v="26/08/2025 SE INDICA A USUARIO MANIPULACIÓN DE EQUIPO"/>
    <s v="VISITA_TÉCNICA"/>
    <s v="IINZZ660"/>
    <s v="TIPO I"/>
    <s v="TERRESTRE"/>
    <s v="HERNANDEZ CHAVARRIA JUAN CAMILO"/>
    <n v="1"/>
    <n v="0"/>
    <n v="0"/>
    <n v="0"/>
    <n v="65960.473639999997"/>
    <n v="65960.473639999997"/>
  </r>
  <r>
    <s v="MEDELLIN"/>
    <x v="0"/>
    <x v="0"/>
    <n v="5001"/>
    <n v="2640273"/>
    <n v="23500"/>
    <s v="INCIDENTE "/>
    <s v="ANTIOQUIA"/>
    <s v="MEDELLIN"/>
    <s v="MULTIPAGAS AVENIDA JUNIN"/>
    <s v="REDEBAN"/>
    <s v="FO-25-1421454"/>
    <d v="2025-08-25T14:25:00"/>
    <d v="2025-08-26T10:27:00"/>
    <s v="NO"/>
    <s v="USUARIO"/>
    <s v="CIERRE"/>
    <s v="COMERCIO NO REALIZA CIERRE"/>
    <s v="ROBUSTO"/>
    <s v="ROBUSTO"/>
    <s v="CERRADO"/>
    <s v="26/08/2025 SE REALIZA VERIFICACIÓN CON USUARIOS LOS CUALES INFORMAN REALIZAR EL CIERRE SIN PROBLEMAS"/>
    <s v="VISITA_TÉCNICA"/>
    <s v="XP008730"/>
    <s v="TIPO I"/>
    <s v="TERRESTRE"/>
    <s v="HERNANDEZ CHAVARRIA JUAN CAMILO"/>
    <n v="1"/>
    <n v="0"/>
    <n v="0"/>
    <n v="0"/>
    <n v="65960.473639999997"/>
    <n v="65960.473639999997"/>
  </r>
  <r>
    <s v="CUCUTA"/>
    <x v="3"/>
    <x v="3"/>
    <n v="54001"/>
    <n v="2644104"/>
    <n v="34261"/>
    <s v="INCIDENTE "/>
    <s v="NORTE DE SANTANDER"/>
    <s v="CUCUTA"/>
    <s v="PAGAFACIL DIAGONAL SANTANDER"/>
    <s v="REDEBAN"/>
    <s v="FO-25-1424360"/>
    <d v="2025-08-26T09:13:00"/>
    <d v="2025-08-26T11:20:00"/>
    <s v="NO"/>
    <s v="USUARIO"/>
    <s v="MANTENIMIENTO"/>
    <s v="MANTENIMIENTO GENERAL"/>
    <s v="ROBUSTO"/>
    <s v="ROBUSTO"/>
    <s v="CERRADO"/>
    <s v="26/08/2025 SE REALIZA VISITA AL COMERCIO Y SE REALIZA MANTENIMIENTO AL DATAFONO, SE REALIZAN PRUEBAS EXITOSAS"/>
    <s v="VISITA_TÉCNICA"/>
    <s v="1UZZZ571"/>
    <s v="TIPO I"/>
    <s v="TERRESTRE"/>
    <s v="MORA VEGA JEAMPIER"/>
    <n v="1"/>
    <n v="0"/>
    <n v="0"/>
    <n v="0"/>
    <n v="65960.473639999997"/>
    <n v="65960.473639999997"/>
  </r>
  <r>
    <s v="PEREIRA"/>
    <x v="5"/>
    <x v="5"/>
    <n v="66001"/>
    <n v="2642359"/>
    <n v="18137"/>
    <s v="INCIDENTE "/>
    <s v="RISARALDA"/>
    <s v="PEREIRA"/>
    <s v="BARRIO COREGIMIENTO DE ARABIA"/>
    <s v="REDEBAN"/>
    <s v="FO-25-1422876"/>
    <d v="2025-08-26T08:00:00"/>
    <d v="2025-08-26T11:37:00"/>
    <s v="NO"/>
    <s v="USUARIO"/>
    <s v="COMUNICACION"/>
    <s v="CONEXIONES DE COMERCIO"/>
    <s v="CB UNO A UNO"/>
    <s v="CB UNO A UNO"/>
    <s v="CERRADO"/>
    <s v="26/08/2025 VISITAMOS COMERCIO EL DATÁFONO PRESENTA FALLA EN COMUNICACION REVISAMOS DATAFONO Y CABLEADO Y TODO ESTA BIEN, VEMOS QUE EL CABLE ESTÁ CONECTADO EN UN SWITCH, LE EXPLICAMOS AL CLIENTE QUE ESE PUEDE SER LA FALLA, LO DESCONECTAMOS DEL SWITCH Y LO CONECTAMOS DIRECTAMENTE AL MÓDEM Y REALIZAMOS PRUEBAS OK"/>
    <s v="VISITA_TÉCNICA"/>
    <s v="JUZZZ835"/>
    <s v="TIPO I"/>
    <s v="TERRESTRE"/>
    <s v="ARROYAVE CANO MANUEL GUILLERMO"/>
    <n v="1"/>
    <n v="0"/>
    <n v="0"/>
    <n v="0"/>
    <n v="65960.473639999997"/>
    <n v="65960.473639999997"/>
  </r>
  <r>
    <s v="MEDELLIN"/>
    <x v="0"/>
    <x v="0"/>
    <n v="5001"/>
    <n v="2642260"/>
    <n v="34786"/>
    <s v="INCIDENTE "/>
    <s v="ANTIOQUIA"/>
    <s v="MEDELLIN"/>
    <s v="BARRIO BUENOS AIRES MEDELLIN 3"/>
    <s v="REDEBAN"/>
    <s v="FO-25-1422854"/>
    <d v="2025-08-26T08:00:00"/>
    <d v="2025-08-26T11:43:00"/>
    <s v="NO"/>
    <s v="USUARIO"/>
    <s v="USUARIOS"/>
    <s v="MALA MANIPULACION POS"/>
    <s v="CB UNO A UNO"/>
    <s v="CB UNO A UNO"/>
    <s v="CERRADO"/>
    <s v="26/08/2025 SE REALIZA LA VISITA Y SE ENCUENTRA UN EQUIPO WOMPI"/>
    <s v="VISITA_TÉCNICA"/>
    <s v="NONE"/>
    <s v="TIPO I"/>
    <s v="TERRESTRE"/>
    <s v="HERNANDEZ CHAVARRIA JUAN CAMILO"/>
    <n v="1"/>
    <n v="0"/>
    <n v="0"/>
    <n v="0"/>
    <n v="65960.473639999997"/>
    <n v="65960.473639999997"/>
  </r>
  <r>
    <s v="PASTO"/>
    <x v="5"/>
    <x v="6"/>
    <n v="52838"/>
    <n v="2637261"/>
    <n v="79019"/>
    <s v="INCIDENTE "/>
    <s v="NARIÑO"/>
    <s v="TUQUERRES"/>
    <s v="PTM NARINO PORTIPLASTICO"/>
    <s v="REDEBAN"/>
    <s v="FO-25-1418797"/>
    <d v="2025-08-25T09:22:00"/>
    <d v="2025-08-26T11:44:00"/>
    <s v="NO"/>
    <s v="USUARIO"/>
    <s v="MANTENIMIENTO"/>
    <s v="MANTENIMIENTO GENERAL"/>
    <s v="AGREGADOR"/>
    <s v="AGREGADOR"/>
    <s v="CERRADO"/>
    <s v="26/08/2025 SE VISITO EL CB PARA REVISAR FALLA DE DATÁFONO NO LEE TARJETAS, SE OBSERVA OBSTRUCCIÓN EN EL LECTOR, SE REALIZÓ LIMPIEZA Y MANTENIMIENTO GENERAL, SE HACEN PRUEBAS OK CORRESPONSAL OPERATIVO"/>
    <s v="VISITA_TÉCNICA"/>
    <s v="SASZZ594"/>
    <s v="TIPO II"/>
    <s v="TERRESTRE"/>
    <s v="GUERRERO RAMIREZ OSCAR DARIO"/>
    <n v="1"/>
    <n v="0"/>
    <n v="0"/>
    <n v="0"/>
    <n v="163813.55812"/>
    <n v="163813.55812"/>
  </r>
  <r>
    <s v="MEDELLIN"/>
    <x v="0"/>
    <x v="0"/>
    <n v="5113"/>
    <n v="2639599"/>
    <n v="80848"/>
    <s v="INCIDENTE "/>
    <s v="ANTIOQUIA"/>
    <s v="BURITICA"/>
    <s v="PTM BURITICA VARIEDADES EL CAR"/>
    <s v="REDEBAN"/>
    <s v="FO-25-1420482"/>
    <d v="2025-08-25T12:49:00"/>
    <d v="2025-08-26T12:01:00"/>
    <s v="NO"/>
    <s v="USUARIO"/>
    <s v="MANTENIMIENTO"/>
    <s v="MANTENIMIENTO GENERAL"/>
    <s v="AGREGADOR"/>
    <s v="AGREGADOR"/>
    <s v="CERRADO"/>
    <s v="26/08/2025 SE HACE MANTENIMIENTO OK SE LE ESPLICA EL MANEJO DEL EQUIPO DESK2600 AL CLIENTE COMO ES ES EL MANEJO DE LA IMPRESIÓN Y TECLADO EN ESTOS NUEVOS EQUIPOS. SE HACE PRUEBAS EXITOSAS SE"/>
    <s v="VISITA_TÉCNICA"/>
    <s v="FGZZZ998"/>
    <s v="TIPO IV"/>
    <s v="TERRESTRE"/>
    <s v="DIAZ ZABALA FRANCIS DUBAN"/>
    <n v="1"/>
    <n v="0"/>
    <n v="0"/>
    <n v="0"/>
    <n v="479589.73656000005"/>
    <n v="479589.73656000005"/>
  </r>
  <r>
    <s v="SINCELEJO"/>
    <x v="1"/>
    <x v="1"/>
    <n v="70670"/>
    <n v="2647008"/>
    <n v="25642"/>
    <s v="INCIDENTE "/>
    <s v="SUCRE"/>
    <s v="SAMPUES"/>
    <s v="ARA0266 SAMPUES"/>
    <s v="REDEBAN"/>
    <s v="FO-25-1428308"/>
    <d v="2025-08-26T13:49:00"/>
    <d v="2025-08-26T15:00:00"/>
    <s v="NO"/>
    <s v="USUARIO"/>
    <s v="MANTENIMIENTO"/>
    <s v="MANTENIMIENTO GENERAL"/>
    <s v="RETAIL"/>
    <s v="RETAIL"/>
    <s v="CERRADO"/>
    <s v="26/08/2025 SE CIERRA SOLICITUD, COMERCIO ARA"/>
    <s v="SOPORTE_TELEFÓNICO"/>
    <s v="0"/>
    <s v="TIPO II"/>
    <s v="TERRESTRE"/>
    <s v="GOMEZ FERRARO JOHANA"/>
    <n v="0"/>
    <n v="0"/>
    <n v="0"/>
    <n v="0"/>
    <n v="37904.65408"/>
    <n v="37904.65408"/>
  </r>
  <r>
    <s v="MEDELLIN"/>
    <x v="0"/>
    <x v="0"/>
    <n v="5001"/>
    <n v="2642397"/>
    <n v="49465"/>
    <s v="INCIDENTE "/>
    <s v="ANTIOQUIA"/>
    <s v="MEDELLIN"/>
    <s v="BARRIO PRADO CENTRO MEDELLIN 5"/>
    <s v="REDEBAN"/>
    <s v="FO-25-1423236"/>
    <d v="2025-08-26T08:00:00"/>
    <d v="2025-08-26T16:02:00"/>
    <s v="NO"/>
    <s v="USUARIO"/>
    <s v="USUARIOS"/>
    <s v="TAPA MAL ASEGURADA"/>
    <s v="CB UNO A UNO"/>
    <s v="CB UNO A UNO"/>
    <s v="CERRADO"/>
    <s v="26/08/2025 SE INDICA AL USUARIO FORMA CORRECTA DE UBICACION DEL ROLLO"/>
    <s v="VISITA_TÉCNICA"/>
    <s v="AD00P315"/>
    <s v="TIPO I"/>
    <s v="TERRESTRE"/>
    <s v="CARDONA MOLINA BROLIN STIVEN"/>
    <n v="1"/>
    <n v="0"/>
    <n v="0"/>
    <n v="0"/>
    <n v="65960.473639999997"/>
    <n v="65960.473639999997"/>
  </r>
  <r>
    <s v="PEREIRA"/>
    <x v="5"/>
    <x v="5"/>
    <n v="63001"/>
    <n v="2640348"/>
    <n v="79972"/>
    <s v="INCIDENTE "/>
    <s v="QUINDIO"/>
    <s v="ARMENIA"/>
    <s v="BARRIO CENTRO ARMENIA 26"/>
    <s v="REDEBAN"/>
    <s v="FO-25-1421449"/>
    <d v="2025-08-25T14:31:00"/>
    <d v="2025-08-26T16:14:00"/>
    <s v="NO"/>
    <s v="USUARIO"/>
    <s v="MANTENIMIENTO"/>
    <s v="MANTENIMIENTO GENERAL"/>
    <s v="CB UNO A UNO"/>
    <s v="CB UNO A UNO"/>
    <s v="CERRADO"/>
    <s v="26/08/2025 SE VISITA COMERCIO SE REALIZÓ VERIFICACIÓN Y AJUSTE DE PARÁMETROS Y CABLEADO SE GARANTIZA PRUEBAS OK"/>
    <s v="VISITA_TÉCNICA"/>
    <s v="SAXZZ487"/>
    <s v="TIPO II"/>
    <s v="TERRESTRE"/>
    <s v="SANCHEZ SOLORZANO JUAN SEBASTIAN"/>
    <n v="1"/>
    <n v="0"/>
    <n v="0"/>
    <n v="0"/>
    <n v="163813.55812"/>
    <n v="163813.55812"/>
  </r>
  <r>
    <s v="MEDELLIN"/>
    <x v="0"/>
    <x v="0"/>
    <n v="5001"/>
    <n v="2642639"/>
    <n v="45297"/>
    <s v="INCIDENTE "/>
    <s v="ANTIOQUIA"/>
    <s v="MEDELLIN"/>
    <s v="PTM MEDELLIN  VARIEDADES LA 56"/>
    <s v="REDEBAN"/>
    <s v="FO-25-1423221"/>
    <d v="2025-08-26T08:00:00"/>
    <d v="2025-08-27T07:41:00"/>
    <s v="NO"/>
    <s v="USUARIO"/>
    <s v="USUARIOS"/>
    <s v="MALA MANIPULACION POS"/>
    <s v="AGREGADOR"/>
    <s v="AGREGADOR"/>
    <s v="CERRADO"/>
    <s v="26/08/2025 SE HABLA CON USUARIA, SE VERIFICA INGRESO DE USUARIO Y REALIZACIÓN DE CIERRE SE REALIZA PROCEDIMIENTO SIN NOVEDAD, USUARIA PROCESA CIERRE PARCIAL Y GENERAL Y SALE SIN PROBLEMA. CB OPERATIVO, SE CIERRA INCIDENTE"/>
    <s v="SOPORTE_TELEFÓNICO"/>
    <n v="0"/>
    <s v="TIPO I"/>
    <s v="TERRESTRE"/>
    <s v="MARTINEZ TOVAR OSCAR DAVID"/>
    <n v="0"/>
    <n v="0"/>
    <n v="0"/>
    <n v="0"/>
    <n v="37904.65408"/>
    <n v="37904.65408"/>
  </r>
  <r>
    <s v="VALLEDUPAR"/>
    <x v="1"/>
    <x v="1"/>
    <n v="13074"/>
    <n v="2636690"/>
    <n v="30605"/>
    <s v="INCIDENTE "/>
    <s v="BOLIVAR"/>
    <s v="BARRANCO DE LOBA"/>
    <s v="BARRIO AV PRINCIPAL BARRANDO D"/>
    <s v="REDEBAN"/>
    <s v="FO-25-1418563"/>
    <d v="2025-08-25T08:50:00"/>
    <d v="2025-08-27T09:10:00"/>
    <s v="NO"/>
    <s v="USUARIO"/>
    <s v="CIERRE"/>
    <s v="COMERCIO NO REALIZA CIERRE"/>
    <s v="CB UNO A UNO"/>
    <s v="CB UNO A UNO"/>
    <s v="CERRADO"/>
    <s v="27/08/2025 SE REALIZA GESTIÓN TELEFÓNICA ATIENDE LA SRA YURLEINYS SANCHEZ INDICÁNDONOS QUE DIAS ANTERIORES EL EQUIPO NO LE TOMABA LA CLAVE DE LOS CIERRE NOS INDICA QUE EL DIA DE AYER REINICIO EL DATÁFONO Y LE PERMITIO REALIZAR EL BORRADO SIN NOVEDAD"/>
    <s v="SOPORTE_TELEFÓNICO"/>
    <n v="0"/>
    <s v="TIPO IV"/>
    <s v="TERRESTRE"/>
    <s v="MAESTRE MENGUAL EDGAR ENRIQUE"/>
    <n v="0"/>
    <n v="0"/>
    <n v="0"/>
    <n v="0"/>
    <n v="37904.65408"/>
    <n v="37904.65408"/>
  </r>
  <r>
    <s v="PEREIRA"/>
    <x v="5"/>
    <x v="5"/>
    <n v="63401"/>
    <n v="2645081"/>
    <n v="74223"/>
    <s v="INCIDENTE "/>
    <s v="QUINDIO"/>
    <s v="LA TEBAIDA"/>
    <s v="BARRIO LA ESTACION LA TEBAIDA"/>
    <s v="REDEBAN"/>
    <s v="FO-25-1425232"/>
    <d v="2025-08-26T10:26:00"/>
    <d v="2025-08-27T11:47:00"/>
    <s v="NO"/>
    <s v="USUARIO"/>
    <s v="MANTENIMIENTO"/>
    <s v="MANTENIMIENTO GENERAL"/>
    <s v="CB UNO A UNO"/>
    <s v="CB UNO A UNO"/>
    <s v="CERRADO"/>
    <s v="27/08/2025 SE VISITA COMERCIO SE REALIZÓ VERIFICACIÓN Y RE CONFIGURACIÓN DATAFONO SE GARANTIZA Y SE REALIZÓ PRUEBAS OK."/>
    <s v="VISITA_TÉCNICA"/>
    <s v="EG3ZZ021"/>
    <s v="TIPO II"/>
    <s v="TERRESTRE"/>
    <s v="SANCHEZ SOLORZANO JUAN SEBASTIAN"/>
    <n v="1"/>
    <n v="0"/>
    <n v="0"/>
    <n v="0"/>
    <n v="163813.55812"/>
    <n v="163813.55812"/>
  </r>
  <r>
    <s v="MEDELLIN"/>
    <x v="0"/>
    <x v="0"/>
    <n v="5890"/>
    <n v="2652270"/>
    <n v="80809"/>
    <s v="INCIDENTE "/>
    <s v="ANTIOQUIA"/>
    <s v="YOLOMBO"/>
    <s v="BARRIO EL CENTRO YOLOMBO"/>
    <s v="REDEBAN"/>
    <s v="FO-25-1433509"/>
    <d v="2025-08-27T11:28:00"/>
    <d v="2025-08-27T15:48:00"/>
    <s v="NO"/>
    <s v="USUARIO"/>
    <s v="COMUNICACION"/>
    <s v="CANAL DEL COMERCIO"/>
    <s v="CB UNO A UNO"/>
    <s v="CB UNO A UNO"/>
    <s v="CERRADO"/>
    <s v="27/08/2025 SE VERIFICA FLUCTUACION DE CANAL COMERCIO, LAS DOS TERMINALES FUNCIONAN"/>
    <s v="VISITA_TÉCNICA"/>
    <s v="F8ZZZ045"/>
    <s v="TIPO II"/>
    <s v="TERRESTRE"/>
    <s v="BADEL ACUÑA LUIS ALBERTO"/>
    <n v="1"/>
    <n v="0"/>
    <n v="0"/>
    <n v="0"/>
    <n v="163813.55812"/>
    <n v="163813.55812"/>
  </r>
  <r>
    <s v="PEREIRA"/>
    <x v="5"/>
    <x v="5"/>
    <n v="76895"/>
    <n v="2648639"/>
    <n v="69635"/>
    <s v="INCIDENTE "/>
    <s v="VALLE DEL CAUCA"/>
    <s v="ZARZAL"/>
    <s v="BARRIO CENTRO ZARZAL 6"/>
    <s v="REDEBAN"/>
    <s v="FO-25-1430365"/>
    <d v="2025-08-26T16:59:00"/>
    <d v="2025-08-27T16:22:00"/>
    <s v="NO"/>
    <s v="USUARIO"/>
    <s v="LECTOR DE BARRAS"/>
    <s v="CAPACITACION MANIPULACION DE COMERCIO"/>
    <s v="CB UNO A UNO"/>
    <s v="CB UNO A UNO"/>
    <s v="CERRADO"/>
    <s v="27/08/2025 VISITAMOS COMERCIO CLIENTE INDICA QUE EL LECTOR NO LEE BIEN LOS CÓDIGOS DE BARRAS REALIZAMOS PRUEBAS CON UNA FACTURA Y LA LEE SIN NINGUNA DIFICULTAD, LE EXPLICAMOS AL CLIENTE QUE NO ES SOLO PONER EL CÓDIGO FRENTE AL LECTOR, SE DEBE IR ALEJANDO EL CÓDIGO DE BARRAS HASTA QUE EL LA LUZ ROJA ABARQUE TODO EL LECTOR Y PUEDA LEER BIEN EL CÓDIGO, PRUEBAS EXITOSAS"/>
    <s v="VISITA_TÉCNICA"/>
    <s v="EG004627"/>
    <s v="TIPO III"/>
    <s v="TERRESTRE"/>
    <s v="ARROYAVE CANO MANUEL GUILLERMO"/>
    <n v="1"/>
    <n v="0"/>
    <n v="0"/>
    <n v="0"/>
    <n v="275728.37943999999"/>
    <n v="275728.37943999999"/>
  </r>
  <r>
    <s v="BUCARAMANGA"/>
    <x v="3"/>
    <x v="3"/>
    <n v="68276"/>
    <n v="2650934"/>
    <n v="47835"/>
    <s v="INCIDENTE "/>
    <s v="SANTANDER"/>
    <s v="FLORIDABLANCA"/>
    <s v="DISTRICOL CELTRONICK TEGNOLOGY"/>
    <s v="REDEBAN"/>
    <s v="FO-25-1432395"/>
    <d v="2025-08-27T09:43:00"/>
    <d v="2025-08-27T16:28:00"/>
    <s v="NO"/>
    <s v="USUARIO"/>
    <s v="COMUNICACION"/>
    <s v="CANAL DEL COMERCIO"/>
    <s v="AGREGADOR"/>
    <s v="AGREGADOR"/>
    <s v="CERRADO"/>
    <s v="27/08/2025 EN COMUNICACIÓN CON LA ADMINISTRADORA PAOLA CASTILLO AL CELULAR 3138507178, INFORMA QUE EL DATÁFONO YA LE ESTÁ OPERANDO BIEN, QUE YA NO NECESITA LA VISITA TÉCNICA, SE PROCEDE A CERRAR ORDEN, SE LE INFORMA AL CLIENTE QUE SI LE PRESENTA FALLA DEBE VOLVER A COMUNICARME NUEVAMENTE PARA SOLICITAR VISITA TÉCNICA."/>
    <s v="SOPORTE_TELEFÓNICO"/>
    <n v="0"/>
    <s v="TIPO I"/>
    <s v="TERRESTRE"/>
    <s v="MARTINEZ FLOREZ DONIS ALBERTO"/>
    <n v="0"/>
    <n v="0"/>
    <n v="0"/>
    <n v="0"/>
    <n v="37904.65408"/>
    <n v="37904.65408"/>
  </r>
  <r>
    <s v="MEDELLIN"/>
    <x v="0"/>
    <x v="0"/>
    <n v="5360"/>
    <n v="2649707"/>
    <n v="19695"/>
    <s v="INCIDENTE "/>
    <s v="ANTIOQUIA"/>
    <s v="ITAGUI"/>
    <s v="BARRIO LAS MARGARITAS ITAGUI"/>
    <s v="REDEBAN"/>
    <s v="FO-25-1431292"/>
    <d v="2025-08-27T08:00:00"/>
    <d v="2025-08-27T16:41:00"/>
    <s v="NO"/>
    <s v="USUARIO"/>
    <s v="MANTENIMIENTO"/>
    <s v="MANTENIMIENTO GENERAL"/>
    <s v="CB UNO A UNO"/>
    <s v="CB UNO A UNO"/>
    <s v="CERRADO"/>
    <s v="27/08/2025 SE REALIZA MANTENIMIENTO GENERAL A PINPAD, POR CONSIGUIENTE SE HACEN PRUEBAS, TODO OK"/>
    <s v="VISITA_TÉCNICA"/>
    <s v="AA00O794"/>
    <s v="TIPO I"/>
    <s v="TERRESTRE"/>
    <s v="HERNANDEZ CHAVARRIA JUAN CAMILO"/>
    <n v="1"/>
    <n v="0"/>
    <n v="0"/>
    <n v="0"/>
    <n v="65960.473639999997"/>
    <n v="65960.473639999997"/>
  </r>
  <r>
    <s v="BOGOTA"/>
    <x v="2"/>
    <x v="2"/>
    <n v="25126"/>
    <n v="2645719"/>
    <n v="57533"/>
    <s v="INCIDENTE "/>
    <s v="CUNDINAMARCA"/>
    <s v="CAJICA"/>
    <s v="BARRIO CENTRO CAJICA 6"/>
    <s v="REDEBAN"/>
    <s v="FO-25-1425926"/>
    <d v="2025-08-26T11:11:00"/>
    <d v="2025-08-27T17:09:00"/>
    <s v="NO"/>
    <s v="USUARIO"/>
    <s v="LECTOR DE TARJETAS"/>
    <s v="OBSTRUCCION DEL LECTOR"/>
    <s v="CB UNO A UNO"/>
    <s v="CB UNO A UNO"/>
    <s v="CERRADO"/>
    <s v="27/08/2025 SE REALIZA INSPECCIÓN DE DATAFONO, SE REALIZA BORRADO DE MEMORIA CON AUTORIZACIÓN DE CLIENTE, SE REALIZAN PRUEBAS"/>
    <s v="VISITA_TÉCNICA"/>
    <s v="IIWZZ593"/>
    <s v="TIPO II"/>
    <s v="TERRESTRE"/>
    <s v="SOTO LONDOÑO FREDY ALEXANDER"/>
    <n v="1"/>
    <n v="0"/>
    <n v="0"/>
    <n v="0"/>
    <n v="163813.55812"/>
    <n v="163813.55812"/>
  </r>
  <r>
    <s v="VALLEDUPAR"/>
    <x v="1"/>
    <x v="1"/>
    <n v="20001"/>
    <n v="2653341"/>
    <n v="28993"/>
    <s v="INCIDENTE "/>
    <s v="CESAR"/>
    <s v="VALLEDUPAR"/>
    <s v="BARRIO PRIMERO DE MAYO 7 VALLE"/>
    <s v="REDEBAN"/>
    <s v="FO-25-1434695"/>
    <d v="2025-08-27T14:09:00"/>
    <d v="2025-08-28T10:19:00"/>
    <s v="NO"/>
    <s v="USUARIO"/>
    <s v="LECTOR DE BARRAS"/>
    <s v="ERROR PAGOS PARCIALES DE FACTURAS"/>
    <s v="CB UNO A UNO"/>
    <s v="CB UNO A UNO"/>
    <s v="CERRADO"/>
    <s v="28/08/2025 SE LLEGA A SITIO ATIENDE LA SRA  ANA ROJAS INDICANDO QUE EL PROPIETARIO NO SE ENCUENTRA EN EL ESTABLECIMIENTO Y SIN SU AUTORIZACIÓN NO PERMITE EL INGRESO A LAS INSTALACIONES, SE INTENTA COMUNICACIÓN VIA LLAMADA Y WSP DEL SR DEMETRIO LA CUAL NO ATIENDE ,SE LE INDICA A COMERCIO VOLVER A SOLICITAR LA VISITA TECNICA"/>
    <s v="VISITA_TÉCNICA"/>
    <s v="N/A"/>
    <s v="TIPO I"/>
    <s v="TERRESTRE"/>
    <s v="MAESTRE MENGUAL EDGAR ENRIQUE"/>
    <n v="1"/>
    <n v="0"/>
    <n v="0"/>
    <n v="0"/>
    <n v="65960.473639999997"/>
    <n v="65960.473639999997"/>
  </r>
  <r>
    <s v="CUCUTA"/>
    <x v="3"/>
    <x v="3"/>
    <n v="54001"/>
    <n v="2653177"/>
    <n v="52854"/>
    <s v="INCIDENTE "/>
    <s v="NORTE DE SANTANDER"/>
    <s v="CUCUTA"/>
    <s v="DISTRICOL RECARGA MAX"/>
    <s v="REDEBAN"/>
    <s v="FO-25-1434997"/>
    <d v="2025-08-27T14:18:00"/>
    <d v="2025-08-28T10:50:00"/>
    <s v="NO"/>
    <s v="USUARIO"/>
    <s v="MANTENIMIENTO"/>
    <s v="MANTENIMIENTO GENERAL"/>
    <s v="AGREGADOR"/>
    <s v="AGREGADOR"/>
    <s v="CERRADO"/>
    <s v="28/08/2025 SE REALIZÓ VISITA AL COMERCIO Y ENVÍA INCIALIZACION, SE REALIZAN PRUEBAS DE RETIRO, OK"/>
    <s v="VISITA_TÉCNICA"/>
    <s v="BA0IZ157"/>
    <s v="TIPO I"/>
    <s v="TERRESTRE"/>
    <s v="MORA VEGA JEAMPIER"/>
    <n v="1"/>
    <n v="0"/>
    <n v="0"/>
    <n v="0"/>
    <n v="65960.473639999997"/>
    <n v="65960.473639999997"/>
  </r>
  <r>
    <s v="BUCARAMANGA"/>
    <x v="3"/>
    <x v="3"/>
    <n v="68575"/>
    <n v="2651261"/>
    <n v="73235"/>
    <s v="INCIDENTE "/>
    <s v="SANTANDER"/>
    <s v="PUERTO WILCHES"/>
    <s v="DISTRICOL SOLUCIONES STEVEN"/>
    <s v="REDEBAN"/>
    <s v="FO-25-1432710"/>
    <d v="2025-08-27T10:10:00"/>
    <d v="2025-08-28T12:57:00"/>
    <s v="NO"/>
    <s v="USUARIO"/>
    <s v="USUARIOS"/>
    <s v="USUARIOS BLOQUEADOS"/>
    <s v="AGREGADOR"/>
    <s v="AGREGADOR"/>
    <s v="CERRADO"/>
    <s v="28/08/2025 SE REALIZA VISITA AL COMERCIO CB, SE VALIDA Y SE ENCUENTRA DATÁFONO CON LA NOVEDAD QUE NO PERMITE EL INGRESO CON LAS CLAVES POR DEFECTO Y LAS DEL CLIENTE, SE PROCEDE A FORMATEAR Y DESCARGAR SISTEMA OPERATIVO Y VERSION 9.90, SE CONFIGURA Y SE INICIALIZA HACIENDO PRUEBAS DEJANDO TODO OK"/>
    <s v="VISITA_TÉCNICA"/>
    <s v="SV00T115"/>
    <s v="TIPO IV"/>
    <s v="TERRESTRE"/>
    <s v="GONZALEZ ESTUPIÑAN YEISON WALTER ANTONIO"/>
    <n v="1"/>
    <n v="0"/>
    <n v="0"/>
    <n v="0"/>
    <n v="479589.73656000005"/>
    <n v="479589.73656000005"/>
  </r>
  <r>
    <s v="MEDELLIN"/>
    <x v="0"/>
    <x v="0"/>
    <n v="5088"/>
    <n v="2653495"/>
    <n v="16567"/>
    <s v="INCIDENTE "/>
    <s v="ANTIOQUIA"/>
    <s v="BELLO"/>
    <s v="BELLO SAN FELIX"/>
    <s v="REDEBAN"/>
    <s v="FO-25-1434973"/>
    <d v="2025-08-27T14:42:00"/>
    <d v="2025-08-28T14:20:00"/>
    <s v="NO"/>
    <s v="USUARIO"/>
    <s v="COMUNICACION"/>
    <s v="CONEXIONES DE COMERCIO"/>
    <s v="CB UNO A UNO"/>
    <s v="CB UNO A UNO"/>
    <s v="CERRADO"/>
    <s v="28/08/2025 SE VERIFICA PUNTO DE RED Y SE EVIDENCIA QUE NO ESTABA BIEN CONECTADO POR TAL MOTIVO NO DABA EL INTERNET. SE REALIZÓ PRUEBA DE CONSULTA SALDO Y FUNCIONA CORRECTAMENTE."/>
    <s v="VISITA_TÉCNICA"/>
    <s v="A00JZ176"/>
    <s v="TIPO I"/>
    <s v="TERRESTRE"/>
    <s v="RAMIREZ TABARES JUAN DIEGO"/>
    <n v="1"/>
    <n v="0"/>
    <n v="0"/>
    <n v="0"/>
    <n v="65960.473639999997"/>
    <n v="65960.473639999997"/>
  </r>
  <r>
    <s v="BUCARAMANGA"/>
    <x v="3"/>
    <x v="3"/>
    <n v="68081"/>
    <n v="2651856"/>
    <n v="74053"/>
    <s v="INCIDENTE "/>
    <s v="SANTANDER"/>
    <s v="BARRANCABERMEJA"/>
    <s v="DISTRICOL VARIEDADES KAJU"/>
    <s v="REDEBAN"/>
    <s v="FO-25-1433295"/>
    <d v="2025-08-27T11:07:00"/>
    <d v="2025-08-28T17:51:00"/>
    <s v="NO"/>
    <s v="USUARIO"/>
    <s v="COMUNICACION"/>
    <s v="CONEXIONES DE COMERCIO"/>
    <s v="AGREGADOR"/>
    <s v="AGREGADOR"/>
    <s v="CERRADO"/>
    <s v="28/08/2025 SE REALIZA VISITA AL COMERCIO CB, SE VALIDA Y EL CLIENTE COMENTA QUE TA ESTA FUNCIONANDO CORRECTAMENTE SE HACEN PRUEBAS DEJANDO TODO OK"/>
    <s v="VISITA_TÉCNICA"/>
    <s v="ON0TZ477"/>
    <s v="TIPO III"/>
    <s v="TERRESTRE"/>
    <s v="GONZALEZ ESTUPIÑAN YEISON WALTER ANTONIO"/>
    <n v="1"/>
    <n v="0"/>
    <n v="0"/>
    <n v="0"/>
    <n v="275728.37943999999"/>
    <n v="275728.37943999999"/>
  </r>
  <r>
    <s v="MEDELLIN"/>
    <x v="0"/>
    <x v="0"/>
    <n v="5264"/>
    <n v="2651249"/>
    <n v="72988"/>
    <s v="INCIDENTE "/>
    <s v="ANTIOQUIA"/>
    <s v="ENTRERRIOS"/>
    <s v="ANTIOQUIA ENTRERRIOS"/>
    <s v="REDEBAN"/>
    <s v="FO-25-1432577"/>
    <d v="2025-08-27T10:08:00"/>
    <d v="2025-08-28T17:54:00"/>
    <s v="NO"/>
    <s v="USUARIO"/>
    <s v="MANTENIMIENTO"/>
    <s v="MANTENIMIENTO GENERAL"/>
    <s v="CB UNO A UNO"/>
    <s v="CB UNO A UNO"/>
    <s v="CERRADO"/>
    <s v="28/08/2025 FUENTE DE ALIMENTACIÓN MAL CONECTADA, SE AJUSTA Y QUEDA OPERATIVO"/>
    <s v="VISITA_TÉCNICA"/>
    <s v="LN00S299"/>
    <s v="TIPO II"/>
    <s v="TERRESTRE"/>
    <s v="BADEL ACUÑA LUIS ALBERTO"/>
    <n v="1"/>
    <n v="0"/>
    <n v="0"/>
    <n v="0"/>
    <n v="163813.55812"/>
    <n v="163813.55812"/>
  </r>
  <r>
    <s v="MEDELLIN"/>
    <x v="0"/>
    <x v="0"/>
    <n v="5615"/>
    <n v="2658470"/>
    <n v="21112"/>
    <s v="INCIDENTE "/>
    <s v="ANTIOQUIA"/>
    <s v="RIONEGRO"/>
    <s v="REVAL EL PORVENIR"/>
    <s v="REDEBAN"/>
    <s v="FO-25-1438756"/>
    <d v="2025-08-28T11:31:00"/>
    <d v="2025-08-29T09:18:00"/>
    <s v="NO"/>
    <s v="USUARIO"/>
    <s v="COMUNICACION"/>
    <s v="CANAL DEL COMERCIO"/>
    <s v="ROBUSTO"/>
    <s v="ROBUSTO"/>
    <s v="CERRADO"/>
    <s v="29/08/2025 SE LLAMA AL 3046020175 PARA INFORMARLE QUE ÍBAMOS EN RUTA Y SE HABLA CON LA SRA ANGELY Y INFORMA QUE ERA UN PROBLEMA DE CANAL QUE TENÍAN PERO QUE YA ESTÁ FUNCIONANDO BIEN Y NO NECESITAN VISITA"/>
    <s v="SOPORTE_TELEFÓNICO"/>
    <n v="0"/>
    <s v="TIPO II"/>
    <s v="TERRESTRE"/>
    <s v="ALVAREZ ARENAS VICTOR HUGO"/>
    <n v="0"/>
    <n v="0"/>
    <n v="0"/>
    <n v="0"/>
    <n v="37904.65408"/>
    <n v="37904.65408"/>
  </r>
  <r>
    <s v="MEDELLIN"/>
    <x v="0"/>
    <x v="0"/>
    <n v="5001"/>
    <n v="2664270"/>
    <n v="23504"/>
    <s v="INCIDENTE "/>
    <s v="ANTIOQUIA"/>
    <s v="MEDELLIN"/>
    <s v="MULTIPAGAS ESTADIO"/>
    <s v="REDEBAN"/>
    <s v="FO-25-1444213"/>
    <d v="2025-08-29T11:25:00"/>
    <d v="2025-08-29T15:28:00"/>
    <s v="NO"/>
    <s v="USUARIO"/>
    <s v="COMUNICACION"/>
    <s v="CONEXIONES DE COMERCIO"/>
    <s v="ROBUSTO"/>
    <s v="ROBUSTO"/>
    <s v="CERRADO"/>
    <s v="29/08/2025 SE REALIZA REVISIÓN DE LAS CONEXIONES YA QUE NO TENÍA RED EL DATÁFONO, SE VERIFICA CABLE ESPIRAL, CABLES DE RED, SE EVIDENCIA QUE EL PUNTO DE RED ESTA MALO, SE CONECTA DATÁFONO A UN SWITCH Y FUNCIONA CORRECTAMENTE, SE REALIZA CONSULTA DE SALDO SERVICIO OK."/>
    <s v="VISITA_TÉCNICA"/>
    <s v="ABC09549"/>
    <s v="TIPO I"/>
    <s v="TERRESTRE"/>
    <s v="RAMIREZ TABARES JUAN DIEGO"/>
    <n v="1"/>
    <n v="0"/>
    <n v="0"/>
    <n v="0"/>
    <n v="65960.473639999997"/>
    <n v="65960.473639999997"/>
  </r>
  <r>
    <s v="MEDELLIN"/>
    <x v="0"/>
    <x v="0"/>
    <n v="5001"/>
    <n v="2664099"/>
    <n v="18302"/>
    <s v="INCIDENTE "/>
    <s v="ANTIOQUIA"/>
    <s v="MEDELLIN"/>
    <s v="REVAL JUMBO CC SANTAFE MEDELLI"/>
    <s v="REDEBAN"/>
    <s v="FO-25-1444026"/>
    <d v="2025-08-29T11:06:00"/>
    <d v="2025-08-29T15:32:00"/>
    <s v="NO"/>
    <s v="USUARIO"/>
    <s v="MANTENIMIENTO"/>
    <s v="MANTENIMIENTO GENERAL"/>
    <s v="ROBUSTO"/>
    <s v="ROBUSTO"/>
    <s v="CERRADO"/>
    <s v="29/08/2025 SE REALIZA CAMBIO DE PINPAD"/>
    <s v="VISITA_TÉCNICA"/>
    <s v="AB0XZ096"/>
    <s v="TIPO I"/>
    <s v="TERRESTRE"/>
    <s v="HERNANDEZ CHAVARRIA JUAN CAMILO"/>
    <n v="1"/>
    <n v="0"/>
    <n v="0"/>
    <n v="0"/>
    <n v="65960.473639999997"/>
    <n v="65960.473639999997"/>
  </r>
  <r>
    <s v="MEDELLIN"/>
    <x v="0"/>
    <x v="0"/>
    <n v="5001"/>
    <n v="2662580"/>
    <n v="21681"/>
    <s v="INCIDENTE "/>
    <s v="ANTIOQUIA"/>
    <s v="MEDELLIN"/>
    <s v="BARRIO BLANQUIZAL MEDELLIN"/>
    <s v="REDEBAN"/>
    <s v="FO-25-1442637"/>
    <d v="2025-08-29T09:06:00"/>
    <d v="2025-08-29T15:45:00"/>
    <s v="NO"/>
    <s v="USUARIO"/>
    <s v="CIERRE"/>
    <s v="COMERCIO NO REALIZA CIERRE"/>
    <s v="CB UNO A UNO"/>
    <s v="CB UNO A UNO"/>
    <s v="CERRADO"/>
    <s v="29/08/2025 SE REALIZA BORRADO DE TRANSACCIONES YA QUE SE QUEDA TILDADO CUANDO SE VA A REALIZAR EL CIERRE, ADICIONAL SE REALIZA CONSULTA DE SALDO Y CIERRE SE VUELVE A TIRAR Y SALE EXITOSO."/>
    <s v="VISITA_TÉCNICA"/>
    <s v="AAVZZ111"/>
    <s v="TIPO I"/>
    <s v="TERRESTRE"/>
    <s v="RAMIREZ TABARES JUAN DIEGO"/>
    <n v="1"/>
    <n v="0"/>
    <n v="0"/>
    <n v="0"/>
    <n v="65960.473639999997"/>
    <n v="65960.473639999997"/>
  </r>
  <r>
    <s v="PASTO"/>
    <x v="5"/>
    <x v="6"/>
    <n v="52323"/>
    <n v="2662657"/>
    <n v="10155"/>
    <s v="INCIDENTE "/>
    <s v="NARIÑO"/>
    <s v="GUALMATAN"/>
    <s v="GUA MA A   A INO"/>
    <s v="REDEBAN"/>
    <s v="FO-25-1442654"/>
    <d v="2025-08-29T09:04:00"/>
    <d v="2025-08-29T15:49:00"/>
    <s v="NO"/>
    <s v="USUARIO"/>
    <s v="COMUNICACION"/>
    <s v="CANAL DEL COMERCIO"/>
    <s v="CB UNO A UNO"/>
    <s v="CB UNO A UNO"/>
    <s v="CERRADO"/>
    <s v="29/08/2025 SE COMUNICA CON EL CLIENTE EL CUAL INFORMA QUE ESTUVO FALLANDO EN HORAS DE LA MAÑANA LA CONEXIÓN A INTERNET EL CUAL ES DE ACLARAR QUE ES MEDIANTE CONEXIÓN SATELITAL SUMINISTRADO POR LA ENTIDAD BANCOLOMBIA, CLIENTE INFORMA QUE A LA HORA Y APROXIMADAMENTE HACE UNA HORA Y MEDIA EL SISTEMA SE RESTABLECIÓ REALIZANDO TRANSACCIONES SIN INCONVENIENTES SE LE INDICO AL CLIENTE QUE SI SE VUELVE A PRESENTAR LA FALLA QUE REALICE PRUEBAS Y CONEXIÓN CON INTERNET PROPIO, A SU VEZ REPORTAR LA FALLA COMO DAÑO EN SISTEMA DE CONEXIÓN SATELITAL SUMINISTRADO POR LA ENTIDAD. CB INFORMA QUE QUEDA OPERATIVO, FUNCIONANDO SIN INCONVENIENTES"/>
    <s v="SOPORTE_TELEFÓNICO"/>
    <n v="0"/>
    <s v="TIPO II"/>
    <s v="TERRESTRE"/>
    <s v="REMICIO AMADO JOHN HEBER"/>
    <n v="0"/>
    <n v="0"/>
    <n v="0"/>
    <n v="0"/>
    <n v="37904.65408"/>
    <n v="37904.65408"/>
  </r>
  <r>
    <s v="CUCUTA"/>
    <x v="3"/>
    <x v="3"/>
    <n v="54001"/>
    <n v="2663727"/>
    <n v="47306"/>
    <s v="INCIDENTE "/>
    <s v="NORTE DE SANTANDER"/>
    <s v="CUCUTA"/>
    <s v="BARRIO ALFONSO LOPEZ CUCUTA 1"/>
    <s v="REDEBAN"/>
    <s v="FO-25-1443653"/>
    <d v="2025-08-29T10:32:00"/>
    <d v="2025-08-29T17:28:00"/>
    <s v="NO"/>
    <s v="USUARIO"/>
    <s v="COMUNICACION"/>
    <s v="CONEXIONES DE COMERCIO"/>
    <s v="CB UNO A UNO"/>
    <s v="CB UNO A UNO"/>
    <s v="CERRADO"/>
    <s v="29/08/2025 SE REALIZÓ VISITA AL COMERCIO Y SE IDENTIFICA QUE EL COMERCIO TIENE CONEXIÓNES O FALLA EN EL CABLEADO, SE REALIZAN PRUEBAS DIRECTAMENTE DEL ROUTER DEL INTERNET, PRUEBAS EXITOSAS"/>
    <s v="VISITA_TÉCNICA"/>
    <s v="TR00D614"/>
    <s v="TIPO I"/>
    <s v="TERRESTRE"/>
    <s v="MORA VEGA JEAMPIER"/>
    <n v="1"/>
    <n v="0"/>
    <n v="0"/>
    <n v="0"/>
    <n v="65960.473639999997"/>
    <n v="65960.473639999997"/>
  </r>
  <r>
    <s v="PEREIRA"/>
    <x v="5"/>
    <x v="5"/>
    <n v="76622"/>
    <n v="2663498"/>
    <n v="29596"/>
    <s v="INCIDENTE "/>
    <s v="VALLE DEL CAUCA"/>
    <s v="ROLDANILLO"/>
    <s v="BARRIO CENTRO 6 ROLDANILLO"/>
    <s v="REDEBAN"/>
    <s v="FO-25-1443599"/>
    <d v="2025-08-29T10:23:00"/>
    <d v="2025-08-30T09:33:00"/>
    <s v="NO"/>
    <s v="USUARIO"/>
    <s v="COMUNICACION"/>
    <s v="CANAL DEL COMERCIO"/>
    <s v="CB UNO A UNO"/>
    <s v="CB UNO A UNO"/>
    <s v="CERRADO"/>
    <s v="30/08/2025 REALIZAMOS LLAMADA HABLAMOS CON LA SEÑORA LINA NOS INFORMA QUE AYER  EN LA TARDE LOS DATÁFONOS YA NO TENÍAN PROBLEMA CON LA CONEXIÓN YA ESTÁN FUNCIONADO SIN NOVEDAD."/>
    <s v="SOPORTE_TELEFÓNICO"/>
    <n v="0"/>
    <s v="TIPO III"/>
    <s v="TERRESTRE"/>
    <s v="ARROYAVE CANO MANUEL GUILLERMO"/>
    <n v="0"/>
    <n v="0"/>
    <n v="0"/>
    <n v="0"/>
    <n v="37904.65408"/>
    <n v="37904.65408"/>
  </r>
  <r>
    <s v="CUCUTA"/>
    <x v="3"/>
    <x v="3"/>
    <n v="54001"/>
    <n v="2668015"/>
    <n v="27376"/>
    <s v="INCIDENTE "/>
    <s v="NORTE DE SANTANDER"/>
    <s v="CUCUTA"/>
    <s v="PAGAFACIL CC VENTURA PLAZA"/>
    <s v="REDEBAN"/>
    <s v="FO-25-1448399"/>
    <d v="2025-08-30T08:40:00"/>
    <d v="2025-08-30T13:47:00"/>
    <s v="NO"/>
    <s v="USUARIO"/>
    <s v="MANTENIMIENTO"/>
    <s v="MANTENIMIENTO GENERAL"/>
    <s v="ROBUSTO"/>
    <s v="ROBUSTO"/>
    <s v="CERRADO"/>
    <s v="30/08/2025 SE REALIZA VISITA, SE REALIZA MANTENIMIENTO, SE REALIZAN PRUEBAS Y CIERRES OK"/>
    <s v="VISITA_TÉCNICA"/>
    <s v="AA08Z339"/>
    <s v="TIPO I"/>
    <s v="TERRESTRE"/>
    <s v="PACHECO BUITRAGO JAVIER ALONSO"/>
    <n v="1"/>
    <n v="0"/>
    <n v="0"/>
    <n v="0"/>
    <n v="65960.473639999997"/>
    <n v="65960.473639999997"/>
  </r>
  <r>
    <s v="CALI"/>
    <x v="5"/>
    <x v="6"/>
    <n v="76275"/>
    <n v="2667578"/>
    <n v="39685"/>
    <s v="INCIDENTE "/>
    <s v="VALLE DEL CAUCA"/>
    <s v="FLORIDA"/>
    <s v="BARRIO CENTRO FLORIDA 1"/>
    <s v="REDEBAN"/>
    <s v="FO-25-1447622"/>
    <d v="2025-08-30T08:00:00"/>
    <d v="2025-08-30T13:53:00"/>
    <s v="NO"/>
    <s v="USUARIO"/>
    <s v="MANTENIMIENTO"/>
    <s v="MANTENIMIENTO GENERAL"/>
    <s v="CB UNO A UNO"/>
    <s v="CB UNO A UNO"/>
    <s v="CERRADO"/>
    <s v="30/08/2025 SE VISITÓ CORRESPONSAL Y SE REALIZA MANTENIMIENTO (LIMPIEZA A IMPRESORA Y RODILLO DEL DATÁFONO. TRANSACCIONES DE PRUEBA EXITOSAS."/>
    <s v="VISITA_TÉCNICA"/>
    <s v="9A0FZ544"/>
    <s v="TIPO II"/>
    <s v="TERRESTRE"/>
    <s v="BOLAÑOS TABORDA JORGE ENRIQUE"/>
    <n v="1"/>
    <n v="0"/>
    <n v="0"/>
    <n v="0"/>
    <n v="163813.55812"/>
    <n v="163813.55812"/>
  </r>
  <r>
    <s v="MEDELLIN"/>
    <x v="0"/>
    <x v="0"/>
    <n v="5390"/>
    <n v="2664339"/>
    <n v="26868"/>
    <s v="INCIDENTE "/>
    <s v="ANTIOQUIA"/>
    <s v="LA PINTADA"/>
    <s v="PARQUE LA PINTADA"/>
    <s v="REDEBAN"/>
    <s v="FO-25-1447097"/>
    <d v="2025-08-29T11:17:00"/>
    <d v="2025-08-30T14:01:00"/>
    <s v="NO"/>
    <s v="USUARIO"/>
    <s v="MANTENIMIENTO"/>
    <s v="MANTENIMIENTO GENERAL"/>
    <s v="CB UNO A UNO"/>
    <s v="CB UNO A UNO"/>
    <s v="CERRADO"/>
    <s v="30/08/2025 SE REALIZA INICIALIZACION DE EQUIPO PARA ACTUALIZACIÓN DE DIRECCION"/>
    <s v="VISITA_TÉCNICA"/>
    <s v="9999Z468"/>
    <s v="TIPO II"/>
    <s v="TERRESTRE"/>
    <s v="HERNANDEZ CHAVARRIA JUAN CAMILO"/>
    <n v="1"/>
    <n v="0"/>
    <n v="0"/>
    <n v="0"/>
    <n v="163813.55812"/>
    <n v="163813.55812"/>
  </r>
  <r>
    <s v="BOGOTA"/>
    <x v="2"/>
    <x v="2"/>
    <n v="25754"/>
    <n v="2667919"/>
    <n v="72698"/>
    <s v="INCIDENTE "/>
    <s v="CUNDINAMARCA"/>
    <s v="SOACHA"/>
    <s v="SOACHA CIUDAD VERDE 4"/>
    <s v="REDEBAN"/>
    <s v="FO-25-1448395"/>
    <d v="2025-08-30T08:42:00"/>
    <d v="2025-08-30T14:12:00"/>
    <s v="NO"/>
    <s v="USUARIO"/>
    <s v="COMUNICACION"/>
    <s v="CANAL DEL COMERCIO"/>
    <s v="CB UNO A UNO"/>
    <s v="CB UNO A UNO"/>
    <s v="CERRADO"/>
    <s v="30/08/2025 SE REALIZA VISITA DE CAMPO ENCONTRANDO QUE DATÁFONO NO CUENTA CON CONEXIÓN A INTERNET Y MENSAJE CABLE DE RED DESCONECTADO SE REALIZA VALIDACIONES ENCONTRANDO FALLA EN EL PROVEEDOR DE SERVICIO DE INTERNET SE LE INDICA AL CLIENTE DE DAÑO ENCONTRANDO Y LOS PASOS QUE DEBE HACER CON EL PROVEEDOR DE SERVICIO DE INTERNET PARA SOLUCIONAR EL DAÑO DE IGUAL MANERA SE LE INDICA DE SOLUCIONAR LA FALLA Y DATÁFONO NO FUNCIONAR SOLICITAR UNA NUEVA VISITA PARA VERIFICAR LOS PARÁMETROS DE CONEXION Y POSIBLES CONFLICTOS EN LA IP QUE PUEDA TENER NOTA NO ES POSIBLE ADJUNTAR TIRILLAS DE PRUEBAS YAQUE COMERCIO ESTA SIN SERVICIO DE INTERNET"/>
    <s v="VISITA_TÉCNICA"/>
    <s v="EF00R075"/>
    <s v="TIPO I"/>
    <s v="TERRESTRE"/>
    <s v="GALEANO SORIANO JUAN DAVID"/>
    <n v="1"/>
    <n v="0"/>
    <n v="0"/>
    <n v="0"/>
    <n v="65960.473639999997"/>
    <n v="65960.473639999997"/>
  </r>
  <r>
    <s v="MEDELLIN"/>
    <x v="0"/>
    <x v="0"/>
    <n v="5001"/>
    <n v="2668097"/>
    <n v="39463"/>
    <s v="INCIDENTE "/>
    <s v="ANTIOQUIA"/>
    <s v="MEDELLIN"/>
    <s v="BARRIO LOS COLORES MEDELLIN 4"/>
    <s v="REDEBAN"/>
    <s v="FO-25-1449291"/>
    <d v="2025-08-30T11:09:00"/>
    <d v="2025-08-30T14:37:00"/>
    <s v="NO"/>
    <s v="USUARIO"/>
    <s v="COMUNICACION"/>
    <s v="CANAL DEL COMERCIO"/>
    <s v="CB UNO A UNO"/>
    <s v="CB UNO A UNO"/>
    <s v="CERRADO"/>
    <s v="30/08/2025 ERROR DE CONEXION POR CANAL DE INTERNET"/>
    <s v="VISITA_TÉCNICA"/>
    <s v="GZ08Z278"/>
    <s v="TIPO I"/>
    <s v="TERRESTRE"/>
    <s v="BADEL ACUÑA LUIS ALBERTO"/>
    <n v="1"/>
    <n v="0"/>
    <n v="0"/>
    <n v="0"/>
    <n v="65960.473639999997"/>
    <n v="65960.473639999997"/>
  </r>
  <r>
    <s v="MEDELLIN"/>
    <x v="0"/>
    <x v="0"/>
    <n v="5212"/>
    <n v="2668395"/>
    <n v="64922"/>
    <s v="INCIDENTE "/>
    <s v="ANTIOQUIA"/>
    <s v="COPACABANA"/>
    <s v="DISTRICOL LA PAPELERIA 37"/>
    <s v="REDEBAN"/>
    <s v="FO-25-1449896"/>
    <d v="2025-08-30T13:22:00"/>
    <d v="2025-08-31T11:21:00"/>
    <s v="NO"/>
    <s v="USUARIO"/>
    <s v="NO ENCIENDE"/>
    <s v="CONEXIONES DE COMERCIO"/>
    <s v="AGREGADOR"/>
    <s v="AGREGADOR"/>
    <s v="CERRADO"/>
    <s v="31/08/2025 SE ESTABLECE CONTACTO CON EL USUARIO PARA VALIDAR EL ESTADO DEL INCIDENTE PREVIAMENTE REPORTADO, RELACIONADO CON EL DATÁFONO DEL CORRESPONSAL BANCOLOMBIA. EL USUARIO INDICA QUE EL DÍA ANTERIOR EL DISPOSITIVO NO ENCENDÍA, MOTIVO POR EL CUAL SE SOLICITÓ SOPORTE. SIN EMBARGO, INFORMA QUE ACTUALMENTE EL DATÁFONO SE ENCUENTRA FUNCIONANDO CON NORMALIDAD. POR TAL RAZÓN, EL USUARIO CONFIRMA QUE NO REQUIERE VISITA TÉCNICA, YA QUE EL EQUIPO ESTÁ OPERATIVO."/>
    <s v="SOPORTE_TELEFÓNICO"/>
    <n v="0"/>
    <s v="TIPO I"/>
    <s v="TERRESTRE"/>
    <s v="MARTINEZ TOVAR OSCAR DAVID"/>
    <n v="0"/>
    <n v="0"/>
    <n v="0"/>
    <n v="0"/>
    <n v="37904.65408"/>
    <n v="37904.65408"/>
  </r>
  <r>
    <m/>
    <x v="6"/>
    <x v="7"/>
    <m/>
    <m/>
    <m/>
    <m/>
    <m/>
    <m/>
    <m/>
    <m/>
    <m/>
    <m/>
    <m/>
    <m/>
    <m/>
    <m/>
    <m/>
    <m/>
    <m/>
    <m/>
    <m/>
    <m/>
    <m/>
    <m/>
    <m/>
    <m/>
    <m/>
    <m/>
    <m/>
    <m/>
    <m/>
    <n v="20560730.355479997"/>
  </r>
  <r>
    <m/>
    <x v="6"/>
    <x v="7"/>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VILLAVICENCIO"/>
    <x v="0"/>
    <x v="0"/>
    <n v="50001"/>
    <n v="13784392"/>
    <n v="67754"/>
    <s v="ORDEN DE CAMBIO"/>
    <s v="META"/>
    <s v="VILLAVICENCIO"/>
    <s v="BARRIO URB CASTILLA VILLAVICEN"/>
    <s v="REDEBAN"/>
    <s v="FO-25-1320573"/>
    <d v="2025-08-01T16:53:00"/>
    <d v="2025-08-05T13:44:00"/>
    <m/>
    <s v="TRASLADO"/>
    <s v="TRASLADO EXTERNO"/>
    <s v="CB UNO A UNO"/>
    <s v="CB UNO A UNO"/>
    <s v="EJECUTADO_CANCELADO"/>
    <s v="DIRECCION ERRADA"/>
    <s v="SOLICITUD DE TRASLADO EXTERNO_x000a_0_x000a_04/08/2025  Se llega la comercio y se válidas que la dirección de la orden no es la misma indicada por el comercio Dirección correcta es cll 34 # 39 13 y dirección programada en orden es kr 34 # 39 13 se le inform al jefe de zona para procedes con el cierre y se le informa al cliente que debe realizar los debidos ajuste para el traslado "/>
    <s v="VISITA_TÉCNICA"/>
    <n v="0"/>
    <s v="TIPO I"/>
    <s v="TERRESTRE"/>
    <s v="ROZO JIMENEZ EDGAR ARMANDO"/>
    <n v="1"/>
    <n v="0"/>
    <n v="0"/>
    <n v="0"/>
    <n v="65960.473639999997"/>
    <n v="65960.473639999997"/>
  </r>
  <r>
    <s v="CALI"/>
    <x v="1"/>
    <x v="1"/>
    <n v="76001"/>
    <n v="13874868"/>
    <n v="74347"/>
    <s v="ORDEN DE CAMBIO"/>
    <s v="VALLE DEL CAUCA"/>
    <s v="CALI"/>
    <s v="PTM CALI MISCELANEA GABYTA"/>
    <s v="REDEBAN"/>
    <s v="FO-25-1366681"/>
    <d v="2025-08-13T08:00:00"/>
    <d v="2025-08-13T09:45:00"/>
    <m/>
    <s v="TRASLADO"/>
    <s v="TRASLADO"/>
    <s v="AGREGADOR"/>
    <s v="COMCARD - PTM"/>
    <s v="GESTIÓN_TELEFÓNICA"/>
    <s v="CANCELADO POR EL USUARIO"/>
    <s v="12/08/2025 12-08 POR FAVOR COMUNICARSE CON CB PARA CONFIRMAR SOLICITUD, UBICACION Y PROGRAMAR VISITA TECNICA - 13-08 SE LLAMA AL NÚMERO DE CONTACTO 3175384954 Y CONTESTA LA SEÑORA MÓNICA RODRÍGUEZ, SE LE PREGUNTA POR DISPONIBILIDAD PARA REALIZAR EL TRASLADO DEL CORRESPONSAL Y ELLA INFORMA QUE NO HAY SOLICITADO TRASLADO. A DEMÁS HAY NOVEDAD EN EL NOMBRE DEL CLIENTE EN LA ORDEN DE TRABAJO Y DIRECCIÓN DE ACTIVIDAD COMO TAMBIÉN DE BARRIO. SE PROCEDE A CERRAR ACTIVIDAD POR NO SOLICITUD DEL CLIENTE ADEMÁS DE NOVEDAD EN ORDEN DE TRABAJO"/>
    <s v="SOPORTE_TELEFÓNICO"/>
    <m/>
    <s v="TIPO I"/>
    <s v="TERRESTRE"/>
    <s v="BOLAÑOS TABORDA JORGE ENRIQUE"/>
    <n v="0"/>
    <n v="0"/>
    <n v="0"/>
    <n v="0"/>
    <n v="37904.65408"/>
    <n v="37904.65408"/>
  </r>
  <r>
    <s v="BOGOTA"/>
    <x v="2"/>
    <x v="2"/>
    <n v="11001"/>
    <n v="13849471"/>
    <n v="73244"/>
    <s v="ORDEN DE CAMBIO"/>
    <s v="CUNDINAMARCA"/>
    <s v="BOGOTA"/>
    <s v="DISTRICOL PAPELERIA LA ESQUINA"/>
    <s v="REDEBAN"/>
    <s v="FO-25-1371322 | FO-25-1336542"/>
    <d v="2025-08-06T08:34:00"/>
    <d v="2025-08-14T08:22:00"/>
    <m/>
    <s v="TRASLADO"/>
    <s v="TRASLADO"/>
    <s v="AGREGADOR"/>
    <s v="DISTRICOL"/>
    <s v="EJECUTADO_EXITOSO"/>
    <s v="EJECUTADO EXITOSO"/>
    <s v="14/08/2025 A LA ESPERA DE INGRESO CLIENTE EN COMUNICACIÓN CON LÍNEA DE BANCOLOLMBIA | 14/08/2025 SE REALIZA VISITA DE CAMPO DONDE SE TRASLADARON EQUIPOS DE ACUERDO A INDICACIONES DEL CLIENTE PRUEBAS CUPO Y USUARIO OK, NO SE INTALA PUBLICIDAD DEBIDO A QUE NO ESTA EN EL PUNTO."/>
    <s v="VISITA_TÉCNICA"/>
    <s v="SV00T124"/>
    <s v="TIPO I"/>
    <s v="TERRESTRE"/>
    <s v="LOZADA ROJAS CHRISTIAN ANDRES"/>
    <n v="1"/>
    <n v="0"/>
    <n v="0"/>
    <n v="0"/>
    <n v="65960.473639999997"/>
    <n v="65960.473639999997"/>
  </r>
  <r>
    <s v="BOGOTA"/>
    <x v="2"/>
    <x v="2"/>
    <n v="11001"/>
    <n v="13842774"/>
    <n v="32053"/>
    <s v="ORDEN DE CAMBIO"/>
    <s v="CUNDINAMARCA"/>
    <s v="BOGOTA"/>
    <s v="BARRIO RESTREPO 13 BOGOTA"/>
    <s v="REDEBAN"/>
    <s v="FO-25-1362450 | FO-25-1353058"/>
    <d v="2025-08-08T17:09:00"/>
    <d v="2025-08-14T12:03:00"/>
    <m/>
    <s v="TRASLADO"/>
    <s v="TRASLADO"/>
    <s v="CB UNO A UNO"/>
    <s v="CB UNO A UNO"/>
    <s v="EJECUTADO_CANCELADO"/>
    <s v="PETICIÓN USUARIO"/>
    <s v="09/08/2025 9-08 8:59 EN COMUNICACIÓN ON LA SEÑORA DIANA DAZA AL NUMERO 3142711836 CONFIRMA SOLICITUD DE TRASLADO EXTERNO, CONFIRMA DATOS E INDICA QUE CUENTA CON TODAS LAS ADECUACIONES Y QUE LOS EQUIPOS SE ENCUENTRAN EN LA NUEVA DIRECCION, SE ESCALA PARA VISITA | 11/08/2025 DURANTE LA VISITA TÉCNICA PARA EJECUTAR EL TRASLADO DEL CORRESPONSAL AL LLEGAR SE EVIDENCIA QUE LA DIRECCIÓN SE ENCUENTRA ERRADA SE LLAMA EL NÚMERO DEL CORRESPONSAL DE CONTACTO 3134013834 EL CUAL NO RESPONDE EL SEÑOR CÉSAR MILLÁN Y NO INDICA UNA DIRECCIÓN DIFERENTE CL 81C SUR 6C 22 ESTE  SE PROCEDE A VALIDAR CON SUPERVISOR LA DIRECCIÓN QUE TENEMOS EN LISTA DE CHEQUEO LA CUAL NO CORRESPONDE, SE PROCEDE A BRINDARLE INFORMACIÓN A CB PARA QUE SOLICITE UNA NUEVA VISITA CON LA DIRECCIÓN CORRECTA_x000a_14/08/2025 SE LLEGA DIRECCIÓN PARA EJECUTAR TRASLADO ENCONTRANDO CERRADO, SE INTENTA CONTACTO AL NÚMERO 3142711836 NO CONTESTAN SE VALIDA QUE EN DIAGONAL A LA DIRECCIÓN YA EXISTE UN CB BANCOLOMBIA EL CUAL SE INDAGA ES UN PTM CÓDIGO 62060 S"/>
    <s v="VISITA_TÉCNICA"/>
    <n v="0"/>
    <s v="TIPO I"/>
    <s v="TERRESTRE"/>
    <s v="BUSTOS MORA DIEGO MANUEL"/>
    <n v="2"/>
    <n v="0"/>
    <n v="0"/>
    <n v="0"/>
    <n v="65960.473639999997"/>
    <n v="131920.94727999999"/>
  </r>
  <r>
    <s v="PEREIRA"/>
    <x v="1"/>
    <x v="3"/>
    <n v="66170"/>
    <n v="13868364"/>
    <n v="72300"/>
    <s v="ORDEN DE CAMBIO"/>
    <s v="RISARALDA"/>
    <s v="DOSQUEBRADAS"/>
    <s v="DOSQUEBRADAS CAMPESTRE A"/>
    <s v="REDEBAN"/>
    <s v="FO-25-1376464"/>
    <d v="2025-08-13T16:51:00"/>
    <d v="2025-08-15T10:06:00"/>
    <m/>
    <s v="TRASLADO"/>
    <s v="TRASLADO"/>
    <s v="CB UNO A UNO"/>
    <s v="CB UNO A UNO"/>
    <s v="EJECUTADO_CANCELADO"/>
    <s v="PETICIÓN USUARIO"/>
    <s v="15-08 EN COMUNICACIÓN CON EL SEÑOR WILSON GIRALDO INFORMA QUE TIENE EL AVISO EN UBICACIÓN ANTERIOR SE VISITA UBICACIÓN ANTERIOR SE RETIRA AVISO EN VISITA EN NUEVA UBICACIÓN CLIENTE INFORMA QUE NO CUENTA CON CANAL PARA DATÁFONO DESPUÉS DE AFIRMAR TENER TODO LISTO PARA TRASLADO EN COMUNICACIÓN SE INFORMA A CLIENTE QUE SE DEBE CANCELAR TRASLADO Y COMUNICARSE NUEVAMENTE CUANDO TENGA TODO LISTO "/>
    <s v="VISITA_TÉCNICA"/>
    <n v="0"/>
    <s v="TIPO I"/>
    <s v="TERRESTRE"/>
    <s v="LOAIZA LOPEZ JHON FREDDY"/>
    <n v="1"/>
    <n v="0"/>
    <n v="0"/>
    <n v="0"/>
    <n v="65960.473639999997"/>
    <n v="65960.473639999997"/>
  </r>
  <r>
    <s v="BUCARAMANGA"/>
    <x v="3"/>
    <x v="4"/>
    <n v="68001"/>
    <n v="13846754"/>
    <n v="62914"/>
    <s v="ORDEN DE CAMBIO"/>
    <s v="SANTANDER"/>
    <s v="BUCARAMANGA"/>
    <s v="BARRIO GAITAN BUCARAMANGA 2"/>
    <s v="REDEBAN"/>
    <s v="FO-25-1378133 | FO-25-1376486"/>
    <d v="2025-08-13T16:51:00"/>
    <d v="2025-08-15T12:28:00"/>
    <m/>
    <s v="TRASLADO"/>
    <s v="TRASLADO"/>
    <s v="UNO A UNO"/>
    <s v="CB UNO A UNO"/>
    <s v="EJECUTADO_EXITOSO"/>
    <s v="EJECUTADO EXITOSO"/>
    <s v="14/08/2025 POR FAVOR, COMUNICARSE CON USUARIO PARA CONFIRMAR UBICACION, SOLICITUD Y PROGRAMAR VISITA TECNICA | 14/08/2025 SE REALIZA VISITA A LA DIRECCIÓN DADA POR LA RED SE ESPERA CERCA DE 30 MINUTOS EN EL PUNTO Y NO LLEGA EL CLIENTE A LA DIRECCIÓN SE LLAMA EN REPETIDAS OCASIONES AL NÚMERO DE CONTACTO 3125735017 Y TAMBIÉN SE ESCRIBE POR MEDIO DE WHATSAPP Y NO HAY RESPUESTA COMERCIO SE ENCUENTRA CERRADO_x000a_15/08/2025 SE REALIZA VISITA A LA DIRECCIÓN DADA POR REDEBAN, SE VALIDA Y SE HACE TRASLADO EXTERNO, SE INICIALIZA TERMINAL QUEDANDO DIRECCIÓN ACTUAL CORRECTA, SE HACEN PRUEBAS ARROJA RECHAZO GENERAL LA CLIENTE SE COMUNICA CON EL BANCO PARA PODER HACER EL RESPECTIVO DESBLOQUEO DEL CB"/>
    <s v="VISITA_TÉCNICA"/>
    <s v="MA00Q884"/>
    <s v="TIPO I"/>
    <s v="TERRESTRE"/>
    <s v="GONZALEZ ESTUPIÑAN YEISON WALTER ANTONIO"/>
    <n v="1"/>
    <n v="0"/>
    <n v="0"/>
    <n v="0"/>
    <n v="65960.473639999997"/>
    <n v="65960.473639999997"/>
  </r>
  <r>
    <s v="BOGOTA"/>
    <x v="2"/>
    <x v="2"/>
    <n v="11001"/>
    <n v="13856531"/>
    <n v="62211"/>
    <s v="ORDEN DE CAMBIO"/>
    <s v="CUNDINAMARCA"/>
    <s v="BOGOTA"/>
    <s v="BARRIO AURES BOGOTA 3"/>
    <s v="REDEBAN"/>
    <s v="FO-25-1384462 | FO-25-1376484"/>
    <d v="2025-08-13T16:51:00"/>
    <d v="2025-08-19T12:15:00"/>
    <m/>
    <s v="TRASLADO"/>
    <s v="TRASLADO"/>
    <s v="CB UNO A UNO"/>
    <s v="CB UNO A UNO"/>
    <s v="EJECUTADO_EXITOSO"/>
    <s v="EJECUTADO EXITOSO"/>
    <s v="14/08/2025 POR FAVOR, COMUNICARSE CON USUARIO PARA CONFIRMAR UBICACION, SOLICITUD Y PROGRAMAR VISITA TECNICA | 16/08/2025 SE VISITA COMERCIO CB BANCOLOMBIA EN LA NUEVA DIRECCIÓN PERO ESTA CERRADO, SE LLAMA AL TELÉFONO DE CONTACTO Y LA SRA LYDA PINZÓN NOS INFORMA QUE NOS PUEDE ATENDER EL DÍA MARTES 19 DE AGOSTO, SE DEJA PARA DICHA FECHA INFORMADO AL COORDINADOR._x000a_19/08/2025 SE VISITA COMERCIO CB BANCOLOMBIA EN LA NUEVA DIRECCIÓN, SE REALIZA ACTUALIZACIÓN DE DATOS EN EL DATAFONO PARA QUE TOME LOS NUEVOS DATOS DEL COMERCIO, EL CLIENTE YA CONTABA CON LOS EQUIPOS EN LA NUEVA DIRECCIÓN, SE REALIZAN PRUEBAS OK, NO UPS, NO SE ALTERAN USUARIOS."/>
    <s v="VISITA_TÉCNICA"/>
    <s v="MA00L716"/>
    <s v="TIPO I"/>
    <s v="TERRESTRE"/>
    <s v="VEGA MANRIQUE JONATAN MAURICIO"/>
    <n v="1"/>
    <n v="0"/>
    <n v="0"/>
    <n v="0"/>
    <n v="65960.473639999997"/>
    <n v="65960.473639999997"/>
  </r>
  <r>
    <s v="CALI"/>
    <x v="1"/>
    <x v="1"/>
    <n v="76001"/>
    <n v="13889932"/>
    <n v="33651"/>
    <s v="ORDEN DE CAMBIO"/>
    <s v="VALLE DEL CAUCA"/>
    <s v="CALI"/>
    <s v="BARRIO EL TRONCAL CALI"/>
    <s v="REDEBAN"/>
    <s v="FO-25-1404184"/>
    <d v="2025-08-20T14:10:00"/>
    <d v="2025-08-22T10:26:00"/>
    <m/>
    <s v="TRASLADO"/>
    <s v="TRASLADO EXTERNO"/>
    <s v="CB UNO A UNO"/>
    <s v="CB UNO A UNO"/>
    <s v="EJECUTADO_CANCELADO"/>
    <s v="PETICIÓN USUARIO"/>
    <s v="21/08/2025 SE REALIZA CONTACTO TELEFONICO CON EL SR JUAN AL 3014520843 QUIEN CONFIRMA LA NUEVA DIRECCIÓN INDICA QUE LLEVARA LOS EQUIPOS Y LA PUBLICIDAD ESTARAN EN LA NUEVA DIRECCIÓN SE PROGRAMA VISITA TECNICA INDICA LLAMAR ANTES DE DESPLAZARSE PARA ESTAR PENDIENTE | 22/08/2025 SE LLAMA AL CLIENTE NO CONTESTA SE LLEGA AL COMERCIO SE HABLA CON EL CLIENTE E INDICA QUE NO TIENE ADECAUFO EL LOCAL TAMPOCO TIENE LOS EQUIPOS EN EL LOCAL YA QUE NO TIENE LAS LLAVES SE LE INDICA PASOS A SEGUIR"/>
    <s v="VISITA_TÉCNICA"/>
    <n v="0"/>
    <s v="TIPO I"/>
    <s v="TERRESTRE"/>
    <s v="CUERO RUIZ JHONNY"/>
    <n v="1"/>
    <n v="0"/>
    <n v="0"/>
    <n v="0"/>
    <n v="65960.473639999997"/>
    <n v="65960.473639999997"/>
  </r>
  <r>
    <m/>
    <x v="4"/>
    <x v="5"/>
    <m/>
    <m/>
    <m/>
    <m/>
    <m/>
    <m/>
    <m/>
    <m/>
    <m/>
    <m/>
    <m/>
    <m/>
    <m/>
    <m/>
    <m/>
    <m/>
    <m/>
    <m/>
    <m/>
    <m/>
    <m/>
    <m/>
    <m/>
    <m/>
    <m/>
    <m/>
    <m/>
    <m/>
    <m/>
    <n v="565588.44319999986"/>
  </r>
  <r>
    <m/>
    <x v="4"/>
    <x v="5"/>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n v="438725.50139999995"/>
  </r>
  <r>
    <x v="1"/>
    <n v="2650525.5930400002"/>
  </r>
  <r>
    <x v="2"/>
    <n v="206906.93919999999"/>
  </r>
  <r>
    <x v="3"/>
    <n v="2365872.6031599999"/>
  </r>
  <r>
    <x v="4"/>
    <n v="1383017.6280800002"/>
  </r>
  <r>
    <x v="5"/>
    <n v="1830182.6942799997"/>
  </r>
  <r>
    <x v="6"/>
    <n v="515754.87708000001"/>
  </r>
  <r>
    <x v="7"/>
    <m/>
  </r>
  <r>
    <x v="7"/>
    <m/>
  </r>
  <r>
    <x v="7"/>
    <m/>
  </r>
  <r>
    <x v="7"/>
    <m/>
  </r>
  <r>
    <x v="7"/>
    <m/>
  </r>
  <r>
    <x v="8"/>
    <m/>
  </r>
  <r>
    <x v="0"/>
    <n v="1680082.2822799999"/>
  </r>
  <r>
    <x v="1"/>
    <n v="1424395.5758799999"/>
  </r>
  <r>
    <x v="2"/>
    <n v="2667146.7196399993"/>
  </r>
  <r>
    <x v="3"/>
    <n v="6609413.0660800058"/>
  </r>
  <r>
    <x v="4"/>
    <n v="2495489.8703199998"/>
  </r>
  <r>
    <x v="5"/>
    <n v="4251449.1148799993"/>
  </r>
  <r>
    <x v="6"/>
    <n v="1432753.7263999998"/>
  </r>
  <r>
    <x v="7"/>
    <m/>
  </r>
  <r>
    <x v="7"/>
    <m/>
  </r>
  <r>
    <x v="7"/>
    <m/>
  </r>
  <r>
    <x v="7"/>
    <m/>
  </r>
  <r>
    <x v="7"/>
    <m/>
  </r>
  <r>
    <x v="7"/>
    <m/>
  </r>
  <r>
    <x v="8"/>
    <m/>
  </r>
  <r>
    <x v="1"/>
    <n v="103865.12771999999"/>
  </r>
  <r>
    <x v="0"/>
    <n v="65960.473639999997"/>
  </r>
  <r>
    <x v="4"/>
    <n v="65960.473639999997"/>
  </r>
  <r>
    <x v="5"/>
    <n v="65960.473639999997"/>
  </r>
  <r>
    <x v="6"/>
    <n v="263841.89455999999"/>
  </r>
  <r>
    <x v="9"/>
    <n v="565588.44319999986"/>
  </r>
  <r>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721691-3EE6-4F05-BF79-99128951D06B}" name="TablaDinámica3" cacheId="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0:D36" firstHeaderRow="0" firstDataRow="1" firstDataCol="2"/>
  <pivotFields count="33">
    <pivotField compact="0" outline="0" showAll="0"/>
    <pivotField axis="axisRow" compact="0" outline="0" showAll="0" defaultSubtotal="0">
      <items count="7">
        <item x="1"/>
        <item m="1" x="5"/>
        <item m="1" x="6"/>
        <item x="0"/>
        <item x="3"/>
        <item x="2"/>
        <item h="1" x="4"/>
      </items>
    </pivotField>
    <pivotField axis="axisRow" compact="0" outline="0" showAll="0">
      <items count="9">
        <item m="1" x="6"/>
        <item x="1"/>
        <item x="2"/>
        <item m="1" x="7"/>
        <item x="0"/>
        <item x="4"/>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6">
    <i>
      <x/>
      <x v="1"/>
    </i>
    <i r="1">
      <x v="7"/>
    </i>
    <i>
      <x v="3"/>
      <x v="4"/>
    </i>
    <i>
      <x v="4"/>
      <x v="5"/>
    </i>
    <i>
      <x v="5"/>
      <x v="2"/>
    </i>
    <i t="grand">
      <x/>
    </i>
  </rowItems>
  <colFields count="1">
    <field x="-2"/>
  </colFields>
  <colItems count="2">
    <i>
      <x/>
    </i>
    <i i="1">
      <x v="1"/>
    </i>
  </colItems>
  <dataFields count="2">
    <dataField name="%" fld="32" showDataAs="percentOfTotal" baseField="0" baseItem="0" numFmtId="10"/>
    <dataField name="$"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DBC2C3-47E1-41DC-9381-F513826CFABE}" name="TablaDinámica2"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6:D24" firstHeaderRow="0" firstDataRow="1" firstDataCol="2"/>
  <pivotFields count="33">
    <pivotField compact="0" outline="0" showAll="0"/>
    <pivotField axis="axisRow" compact="0" outline="0" showAll="0" defaultSubtotal="0">
      <items count="7">
        <item x="5"/>
        <item x="1"/>
        <item x="0"/>
        <item x="4"/>
        <item x="3"/>
        <item x="2"/>
        <item h="1" x="6"/>
      </items>
    </pivotField>
    <pivotField axis="axisRow" compact="0" outline="0" showAll="0">
      <items count="9">
        <item x="1"/>
        <item x="5"/>
        <item x="6"/>
        <item x="2"/>
        <item x="0"/>
        <item x="4"/>
        <item x="3"/>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2" showDataAs="percentOfTotal" baseField="0" baseItem="0" numFmtId="10"/>
    <dataField name="$"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E2F163-4274-43E8-BA0A-0AC626286D8D}"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31">
    <pivotField compact="0" outline="0" showAll="0"/>
    <pivotField axis="axisRow" compact="0" outline="0" showAll="0" defaultSubtotal="0">
      <items count="7">
        <item x="2"/>
        <item x="5"/>
        <item x="0"/>
        <item x="4"/>
        <item x="3"/>
        <item x="1"/>
        <item h="1" x="6"/>
      </items>
    </pivotField>
    <pivotField axis="axisRow" compact="0" outline="0" showAll="0">
      <items count="9">
        <item x="6"/>
        <item x="2"/>
        <item x="3"/>
        <item x="1"/>
        <item x="0"/>
        <item x="5"/>
        <item x="4"/>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0" showDataAs="percentOfTotal" baseField="0" baseItem="0" numFmtId="10"/>
    <dataField name="$"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0818F6-F47F-4C26-8C5C-CCDB5FE18D8A}" name="TablaDinámica4"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J2:L10" firstHeaderRow="0" firstDataRow="1" firstDataCol="1"/>
  <pivotFields count="2">
    <pivotField axis="axisRow" compact="0" outline="0" showAll="0">
      <items count="11">
        <item h="1" x="8"/>
        <item x="6"/>
        <item x="2"/>
        <item x="0"/>
        <item x="3"/>
        <item x="4"/>
        <item x="5"/>
        <item x="1"/>
        <item h="1" x="7"/>
        <item h="1" x="9"/>
        <item t="default"/>
      </items>
    </pivotField>
    <pivotField dataField="1" compact="0" outline="0" showAll="0"/>
  </pivotFields>
  <rowFields count="1">
    <field x="0"/>
  </rowFields>
  <rowItems count="8">
    <i>
      <x v="1"/>
    </i>
    <i>
      <x v="2"/>
    </i>
    <i>
      <x v="3"/>
    </i>
    <i>
      <x v="4"/>
    </i>
    <i>
      <x v="5"/>
    </i>
    <i>
      <x v="6"/>
    </i>
    <i>
      <x v="7"/>
    </i>
    <i t="grand">
      <x/>
    </i>
  </rowItems>
  <colFields count="1">
    <field x="-2"/>
  </colFields>
  <colItems count="2">
    <i>
      <x/>
    </i>
    <i i="1">
      <x v="1"/>
    </i>
  </colItems>
  <dataFields count="2">
    <dataField name="Suma de VALOR" fld="1" baseField="0" baseItem="0"/>
    <dataField name="Suma de VALOR2" fld="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zoomScale="115" zoomScaleNormal="115" workbookViewId="0">
      <selection activeCell="D6" sqref="D6"/>
    </sheetView>
  </sheetViews>
  <sheetFormatPr baseColWidth="10" defaultColWidth="11.42578125" defaultRowHeight="12.75"/>
  <cols>
    <col min="1" max="1" width="22.7109375" style="4" customWidth="1"/>
    <col min="2" max="2" width="11.5703125" style="4" customWidth="1"/>
    <col min="3" max="3" width="17.5703125" style="4" customWidth="1"/>
    <col min="4" max="4" width="14.85546875" style="4" customWidth="1"/>
    <col min="5" max="5" width="18.5703125" style="4" customWidth="1"/>
    <col min="6" max="7" width="23.7109375" style="4" customWidth="1"/>
    <col min="8" max="8" width="11.42578125" style="4"/>
    <col min="9" max="9" width="14.5703125" style="4" bestFit="1" customWidth="1"/>
    <col min="10" max="10" width="11.42578125" style="4"/>
    <col min="11" max="11" width="15.85546875" style="1" customWidth="1"/>
    <col min="12" max="12" width="16.85546875" style="1" customWidth="1"/>
    <col min="13" max="16384" width="11.42578125" style="1"/>
  </cols>
  <sheetData>
    <row r="1" spans="1:10">
      <c r="A1" s="133" t="s">
        <v>0</v>
      </c>
      <c r="B1" s="134"/>
      <c r="C1" s="134"/>
      <c r="D1" s="134"/>
      <c r="F1" s="121" t="s">
        <v>1</v>
      </c>
      <c r="G1" s="122"/>
      <c r="H1" s="122"/>
      <c r="I1" s="122"/>
      <c r="J1" s="123"/>
    </row>
    <row r="2" spans="1:10">
      <c r="A2" s="135" t="s">
        <v>2</v>
      </c>
      <c r="B2" s="135"/>
      <c r="C2" s="135"/>
      <c r="D2" s="135"/>
      <c r="F2" s="124">
        <f>A3</f>
        <v>45899</v>
      </c>
      <c r="G2" s="125"/>
      <c r="H2" s="125"/>
      <c r="I2" s="125"/>
      <c r="J2" s="126"/>
    </row>
    <row r="3" spans="1:10">
      <c r="A3" s="136">
        <v>45899</v>
      </c>
      <c r="B3" s="135"/>
      <c r="C3" s="135"/>
      <c r="D3" s="135"/>
      <c r="F3" s="5"/>
      <c r="G3" s="5"/>
      <c r="H3" s="5"/>
      <c r="I3" s="6"/>
      <c r="J3" s="6"/>
    </row>
    <row r="4" spans="1:10">
      <c r="A4" s="137"/>
      <c r="B4" s="137"/>
      <c r="C4" s="137"/>
      <c r="D4" s="137"/>
      <c r="F4" s="27" t="s">
        <v>3</v>
      </c>
      <c r="G4" s="27" t="s">
        <v>4</v>
      </c>
      <c r="H4" s="52" t="s">
        <v>5</v>
      </c>
      <c r="I4" s="27" t="s">
        <v>6</v>
      </c>
      <c r="J4" s="28" t="s">
        <v>5</v>
      </c>
    </row>
    <row r="5" spans="1:10">
      <c r="A5" s="24" t="s">
        <v>3</v>
      </c>
      <c r="B5" s="23" t="s">
        <v>7</v>
      </c>
      <c r="C5" s="25" t="s">
        <v>8</v>
      </c>
      <c r="D5" s="24" t="s">
        <v>9</v>
      </c>
      <c r="F5" s="76"/>
      <c r="G5" s="76"/>
      <c r="H5" s="51"/>
      <c r="I5" s="51">
        <f t="shared" ref="I5:I6" si="0">H5*0.12</f>
        <v>0</v>
      </c>
      <c r="J5" s="7">
        <f t="shared" ref="J5:J6" si="1">H5+I5</f>
        <v>0</v>
      </c>
    </row>
    <row r="6" spans="1:10">
      <c r="A6" s="8" t="s">
        <v>10</v>
      </c>
      <c r="B6" s="9">
        <f>COUNTA(ADECUACIONES!A:A)-1</f>
        <v>50</v>
      </c>
      <c r="C6" s="10">
        <v>0</v>
      </c>
      <c r="D6" s="11">
        <f>ADECUACIONES!AE52</f>
        <v>9390985.836240001</v>
      </c>
      <c r="F6" s="76"/>
      <c r="G6" s="76"/>
      <c r="H6" s="51"/>
      <c r="I6" s="51">
        <f t="shared" si="0"/>
        <v>0</v>
      </c>
      <c r="J6" s="7">
        <f t="shared" si="1"/>
        <v>0</v>
      </c>
    </row>
    <row r="7" spans="1:10">
      <c r="A7" s="8" t="s">
        <v>11</v>
      </c>
      <c r="B7" s="9">
        <f>COUNTA(INCIDENTES!A:A)-1</f>
        <v>184</v>
      </c>
      <c r="C7" s="10">
        <v>0</v>
      </c>
      <c r="D7" s="12">
        <f>INCIDENTES!AG187</f>
        <v>20560730.355479997</v>
      </c>
      <c r="F7" s="31"/>
      <c r="G7" s="50"/>
      <c r="H7" s="49"/>
      <c r="I7" s="51">
        <f t="shared" ref="I7" si="2">H7*0.12</f>
        <v>0</v>
      </c>
      <c r="J7" s="7">
        <f t="shared" ref="J7" si="3">H7+I7</f>
        <v>0</v>
      </c>
    </row>
    <row r="8" spans="1:10">
      <c r="A8" s="8" t="s">
        <v>12</v>
      </c>
      <c r="B8" s="9">
        <f>COUNTA(OC!A:A)-1</f>
        <v>9</v>
      </c>
      <c r="C8" s="10">
        <v>0</v>
      </c>
      <c r="D8" s="12">
        <f>OC!AG11</f>
        <v>565588.44319999986</v>
      </c>
      <c r="F8" s="31"/>
      <c r="G8" s="50"/>
      <c r="H8" s="49"/>
      <c r="I8" s="51">
        <f t="shared" ref="I8:I9" si="4">H8*0.12</f>
        <v>0</v>
      </c>
      <c r="J8" s="7">
        <f t="shared" ref="J8:J9" si="5">H8+I8</f>
        <v>0</v>
      </c>
    </row>
    <row r="9" spans="1:10">
      <c r="A9" s="8" t="s">
        <v>13</v>
      </c>
      <c r="B9" s="9">
        <v>0</v>
      </c>
      <c r="C9" s="10">
        <v>0</v>
      </c>
      <c r="D9" s="12">
        <f>J12</f>
        <v>0</v>
      </c>
      <c r="F9" s="31"/>
      <c r="G9" s="50"/>
      <c r="H9" s="49"/>
      <c r="I9" s="51">
        <f t="shared" si="4"/>
        <v>0</v>
      </c>
      <c r="J9" s="7">
        <f t="shared" si="5"/>
        <v>0</v>
      </c>
    </row>
    <row r="10" spans="1:10">
      <c r="A10" s="138" t="s">
        <v>14</v>
      </c>
      <c r="B10" s="139"/>
      <c r="C10" s="140"/>
      <c r="D10" s="63">
        <f>SUM(D6:D9)</f>
        <v>30517304.634919997</v>
      </c>
      <c r="F10" s="31"/>
      <c r="G10" s="50"/>
      <c r="H10" s="49"/>
      <c r="I10" s="51">
        <f t="shared" ref="I10" si="6">H10*0.12</f>
        <v>0</v>
      </c>
      <c r="J10" s="7">
        <f t="shared" ref="J10" si="7">H10+I10</f>
        <v>0</v>
      </c>
    </row>
    <row r="11" spans="1:10">
      <c r="A11" s="127" t="s">
        <v>15</v>
      </c>
      <c r="B11" s="128"/>
      <c r="C11" s="129"/>
      <c r="D11" s="14">
        <f>D10*0.19</f>
        <v>5798287.8806347996</v>
      </c>
      <c r="F11" s="31"/>
      <c r="G11" s="50"/>
      <c r="H11" s="49"/>
      <c r="I11" s="51">
        <f t="shared" ref="I11" si="8">H11*0.12</f>
        <v>0</v>
      </c>
      <c r="J11" s="7">
        <f t="shared" ref="J11" si="9">H11+I11</f>
        <v>0</v>
      </c>
    </row>
    <row r="12" spans="1:10">
      <c r="A12" s="130" t="s">
        <v>5</v>
      </c>
      <c r="B12" s="131"/>
      <c r="C12" s="132"/>
      <c r="D12" s="26">
        <f>D10+D11</f>
        <v>36315592.515554801</v>
      </c>
      <c r="F12" s="29" t="s">
        <v>5</v>
      </c>
      <c r="G12" s="30"/>
      <c r="H12" s="48">
        <f>SUM(H5:H11)</f>
        <v>0</v>
      </c>
      <c r="I12" s="48">
        <f>SUM(I5:I11)</f>
        <v>0</v>
      </c>
      <c r="J12" s="48">
        <f>SUM(J5:J11)</f>
        <v>0</v>
      </c>
    </row>
    <row r="14" spans="1:10">
      <c r="F14" s="15"/>
    </row>
    <row r="15" spans="1:10">
      <c r="D15" s="13"/>
    </row>
  </sheetData>
  <mergeCells count="9">
    <mergeCell ref="F1:J1"/>
    <mergeCell ref="F2:J2"/>
    <mergeCell ref="A11:C11"/>
    <mergeCell ref="A12:C12"/>
    <mergeCell ref="A1:D1"/>
    <mergeCell ref="A2:D2"/>
    <mergeCell ref="A3:D3"/>
    <mergeCell ref="A4:D4"/>
    <mergeCell ref="A10:C10"/>
  </mergeCells>
  <conditionalFormatting sqref="F5:F6">
    <cfRule type="duplicateValues" dxfId="93"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workbookViewId="0">
      <selection activeCell="D16" sqref="D16"/>
    </sheetView>
  </sheetViews>
  <sheetFormatPr baseColWidth="10" defaultColWidth="11.42578125" defaultRowHeight="13.5"/>
  <cols>
    <col min="1" max="1" width="20" style="4" bestFit="1" customWidth="1"/>
    <col min="2" max="2" width="25.42578125" style="4" bestFit="1" customWidth="1"/>
    <col min="3" max="3" width="18.140625" style="4" bestFit="1" customWidth="1"/>
    <col min="4" max="4" width="18" style="4" bestFit="1" customWidth="1"/>
    <col min="5" max="5" width="15.85546875" style="2" customWidth="1"/>
    <col min="6" max="16384" width="11.42578125" style="2"/>
  </cols>
  <sheetData>
    <row r="1" spans="1:7">
      <c r="A1" s="141" t="s">
        <v>16</v>
      </c>
      <c r="B1" s="141"/>
      <c r="C1" s="141"/>
      <c r="D1" s="141"/>
      <c r="E1" s="22" t="s">
        <v>17</v>
      </c>
    </row>
    <row r="2" spans="1:7">
      <c r="A2" s="22" t="s">
        <v>18</v>
      </c>
      <c r="B2" s="22" t="s">
        <v>19</v>
      </c>
      <c r="C2" s="22" t="s">
        <v>20</v>
      </c>
      <c r="D2" s="22" t="s">
        <v>21</v>
      </c>
      <c r="E2" s="53">
        <v>5.1999999999999998E-2</v>
      </c>
    </row>
    <row r="3" spans="1:7">
      <c r="A3" s="16" t="s">
        <v>22</v>
      </c>
      <c r="B3" s="16" t="s">
        <v>23</v>
      </c>
      <c r="C3" s="54">
        <f>62700.07*(1+$E$2)</f>
        <v>65960.473639999997</v>
      </c>
      <c r="D3" s="54">
        <f>42357.4*(1+$E$2)</f>
        <v>44559.984800000006</v>
      </c>
      <c r="E3" s="3"/>
      <c r="F3" s="3"/>
      <c r="G3" s="3"/>
    </row>
    <row r="4" spans="1:7">
      <c r="A4" s="16" t="s">
        <v>24</v>
      </c>
      <c r="B4" s="16" t="s">
        <v>25</v>
      </c>
      <c r="C4" s="54">
        <f>155716.31*(1+$E$2)</f>
        <v>163813.55812</v>
      </c>
      <c r="D4" s="54">
        <f>127766.53*(1+$E$2)</f>
        <v>134410.38956000001</v>
      </c>
      <c r="E4" s="3"/>
      <c r="F4" s="3"/>
      <c r="G4" s="3"/>
    </row>
    <row r="5" spans="1:7">
      <c r="A5" s="16" t="s">
        <v>26</v>
      </c>
      <c r="B5" s="16" t="s">
        <v>27</v>
      </c>
      <c r="C5" s="54">
        <f>262099.22*(1+$E$2)</f>
        <v>275728.37943999999</v>
      </c>
      <c r="D5" s="54">
        <f>211886.19*(1+$E$2)</f>
        <v>222904.27188000001</v>
      </c>
      <c r="E5" s="3"/>
      <c r="F5" s="3"/>
      <c r="G5" s="3"/>
    </row>
    <row r="6" spans="1:7">
      <c r="A6" s="16" t="s">
        <v>28</v>
      </c>
      <c r="B6" s="16" t="s">
        <v>29</v>
      </c>
      <c r="C6" s="54">
        <f>455883.78*(1+$E$2)</f>
        <v>479589.73656000005</v>
      </c>
      <c r="D6" s="54">
        <f>441833.68*(1+$E$2)</f>
        <v>464809.03136000002</v>
      </c>
      <c r="E6" s="3"/>
      <c r="F6" s="3"/>
      <c r="G6" s="3"/>
    </row>
    <row r="7" spans="1:7">
      <c r="A7" s="16" t="s">
        <v>30</v>
      </c>
      <c r="B7" s="16" t="s">
        <v>31</v>
      </c>
      <c r="C7" s="54">
        <f>455883.78*(1+$E$2)</f>
        <v>479589.73656000005</v>
      </c>
      <c r="D7" s="54">
        <f>441833.68*(1+$E$2)</f>
        <v>464809.03136000002</v>
      </c>
      <c r="E7" s="3"/>
      <c r="F7" s="3"/>
      <c r="G7" s="3"/>
    </row>
    <row r="8" spans="1:7" ht="24" customHeight="1">
      <c r="A8" s="142" t="s">
        <v>32</v>
      </c>
      <c r="B8" s="143"/>
      <c r="C8" s="143"/>
      <c r="D8" s="144"/>
      <c r="E8" s="3"/>
    </row>
    <row r="9" spans="1:7">
      <c r="A9" s="17"/>
      <c r="B9" s="18"/>
      <c r="C9" s="18"/>
      <c r="D9" s="19"/>
    </row>
    <row r="10" spans="1:7">
      <c r="A10" s="16" t="s">
        <v>33</v>
      </c>
      <c r="B10" s="54">
        <f>36031.04*(1+$E$2)</f>
        <v>37904.65408</v>
      </c>
      <c r="C10" s="3"/>
      <c r="D10" s="3"/>
    </row>
    <row r="11" spans="1:7">
      <c r="A11" s="16" t="s">
        <v>34</v>
      </c>
      <c r="B11" s="54">
        <f>30182.1*(1+$E$2)</f>
        <v>31751.569199999998</v>
      </c>
      <c r="C11" s="3"/>
      <c r="D11" s="3"/>
    </row>
    <row r="12" spans="1:7">
      <c r="A12" s="16" t="s">
        <v>35</v>
      </c>
      <c r="B12" s="54">
        <f>15432.22*(1+$E$2)</f>
        <v>16234.69544</v>
      </c>
      <c r="C12" s="3"/>
      <c r="D12" s="3"/>
    </row>
    <row r="13" spans="1:7">
      <c r="A13" s="16" t="s">
        <v>36</v>
      </c>
      <c r="B13" s="54">
        <f>244669.03*(1+$E$2)</f>
        <v>257391.81956</v>
      </c>
      <c r="C13" s="3"/>
      <c r="D13" s="3"/>
    </row>
    <row r="14" spans="1:7">
      <c r="A14" s="16" t="s">
        <v>37</v>
      </c>
      <c r="B14" s="54">
        <f>291399.51*(1+$E$2)</f>
        <v>306552.28452000004</v>
      </c>
      <c r="C14" s="3"/>
      <c r="D14" s="3"/>
    </row>
    <row r="15" spans="1:7">
      <c r="A15" s="16" t="s">
        <v>38</v>
      </c>
      <c r="B15" s="55">
        <f>53547.34*(1+$E$2)</f>
        <v>56331.801679999997</v>
      </c>
      <c r="C15" s="3"/>
      <c r="D15" s="3"/>
    </row>
    <row r="16" spans="1:7">
      <c r="D16" s="4">
        <v>37905</v>
      </c>
      <c r="E16" s="3"/>
    </row>
  </sheetData>
  <mergeCells count="2">
    <mergeCell ref="A1:D1"/>
    <mergeCell ref="A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9889-F54C-4F8E-884B-5C7EB47FE05B}">
  <dimension ref="A2:L37"/>
  <sheetViews>
    <sheetView workbookViewId="0">
      <selection activeCell="K9" sqref="K9"/>
    </sheetView>
  </sheetViews>
  <sheetFormatPr baseColWidth="10" defaultColWidth="8.85546875" defaultRowHeight="12.75"/>
  <cols>
    <col min="1" max="1" width="34.7109375" bestFit="1" customWidth="1"/>
    <col min="2" max="2" width="34.28515625" bestFit="1" customWidth="1"/>
    <col min="3" max="3" width="8.42578125" customWidth="1"/>
    <col min="4" max="4" width="12.140625" customWidth="1"/>
    <col min="5" max="5" width="13.5703125" customWidth="1"/>
    <col min="6" max="6" width="16.140625" customWidth="1"/>
    <col min="10" max="10" width="29.42578125" bestFit="1" customWidth="1"/>
    <col min="11" max="11" width="16" bestFit="1" customWidth="1"/>
    <col min="12" max="12" width="17.140625" bestFit="1" customWidth="1"/>
  </cols>
  <sheetData>
    <row r="2" spans="1:12">
      <c r="A2" s="47" t="s">
        <v>39</v>
      </c>
      <c r="J2" s="44" t="s">
        <v>40</v>
      </c>
      <c r="K2" t="s">
        <v>41</v>
      </c>
      <c r="L2" t="s">
        <v>42</v>
      </c>
    </row>
    <row r="3" spans="1:12">
      <c r="A3" s="44" t="s">
        <v>43</v>
      </c>
      <c r="B3" s="44" t="s">
        <v>44</v>
      </c>
      <c r="C3" t="s">
        <v>45</v>
      </c>
      <c r="D3" t="s">
        <v>46</v>
      </c>
      <c r="E3" t="s">
        <v>40</v>
      </c>
      <c r="F3" t="s">
        <v>47</v>
      </c>
      <c r="J3" t="s">
        <v>48</v>
      </c>
      <c r="K3">
        <v>2212350.49804</v>
      </c>
      <c r="L3" s="45">
        <v>7.2494950799438421E-2</v>
      </c>
    </row>
    <row r="4" spans="1:12">
      <c r="A4" t="s">
        <v>49</v>
      </c>
      <c r="B4" t="s">
        <v>50</v>
      </c>
      <c r="C4" s="45">
        <v>4.67177258118045E-2</v>
      </c>
      <c r="D4">
        <v>438725.50139999995</v>
      </c>
      <c r="E4" t="str">
        <f>VLOOKUP(B4,'CENTRO DE COSTOS'!B:C,2,0)</f>
        <v>Redeban Eje Cafetero (Pereira)</v>
      </c>
      <c r="F4" s="46">
        <f>D4</f>
        <v>438725.50139999995</v>
      </c>
      <c r="J4" t="s">
        <v>51</v>
      </c>
      <c r="K4">
        <v>2874053.6588399992</v>
      </c>
      <c r="L4" s="45">
        <v>9.4177834288527204E-2</v>
      </c>
    </row>
    <row r="5" spans="1:12">
      <c r="B5" t="s">
        <v>52</v>
      </c>
      <c r="C5" s="45">
        <v>0.2822414642360091</v>
      </c>
      <c r="D5">
        <v>2650525.5930400002</v>
      </c>
      <c r="E5" t="str">
        <f>VLOOKUP(B5,'CENTRO DE COSTOS'!B:C,2,0)</f>
        <v>Redeban Suroccidente (Cali)</v>
      </c>
      <c r="F5" s="46">
        <f t="shared" ref="F5:F7" si="0">D5</f>
        <v>2650525.5930400002</v>
      </c>
      <c r="J5" t="s">
        <v>53</v>
      </c>
      <c r="K5">
        <v>2184768.2573199999</v>
      </c>
      <c r="L5" s="45">
        <v>7.1591127835714474E-2</v>
      </c>
    </row>
    <row r="6" spans="1:12">
      <c r="A6" t="s">
        <v>54</v>
      </c>
      <c r="B6" t="s">
        <v>55</v>
      </c>
      <c r="C6" s="45">
        <v>2.2032504660111616E-2</v>
      </c>
      <c r="D6">
        <v>206906.93919999999</v>
      </c>
      <c r="E6" t="str">
        <f>VLOOKUP(B6,'CENTRO DE COSTOS'!B:C,2,0)</f>
        <v>Redeban Costa (Barranqullla)</v>
      </c>
      <c r="F6" s="46">
        <f t="shared" si="0"/>
        <v>206906.93919999999</v>
      </c>
      <c r="J6" t="s">
        <v>56</v>
      </c>
      <c r="K6">
        <v>8975285.6692400053</v>
      </c>
      <c r="L6" s="45">
        <v>0.29410479649535837</v>
      </c>
    </row>
    <row r="7" spans="1:12">
      <c r="A7" t="s">
        <v>57</v>
      </c>
      <c r="B7" t="s">
        <v>58</v>
      </c>
      <c r="C7" s="45">
        <v>0.25193016413996183</v>
      </c>
      <c r="D7">
        <v>2365872.6031599999</v>
      </c>
      <c r="E7" t="str">
        <f>VLOOKUP(B7,'CENTRO DE COSTOS'!B:C,2,0)</f>
        <v>Redeban Noroccidente (Medellín)</v>
      </c>
      <c r="F7" s="46">
        <f t="shared" si="0"/>
        <v>2365872.6031599999</v>
      </c>
      <c r="J7" t="s">
        <v>59</v>
      </c>
      <c r="K7">
        <v>3944467.9720399999</v>
      </c>
      <c r="L7" s="45">
        <v>0.12925348484172705</v>
      </c>
    </row>
    <row r="8" spans="1:12">
      <c r="A8" t="s">
        <v>60</v>
      </c>
      <c r="B8" t="s">
        <v>61</v>
      </c>
      <c r="C8" s="45">
        <v>0.14727076072704823</v>
      </c>
      <c r="D8">
        <v>1383017.6280800002</v>
      </c>
      <c r="E8" t="str">
        <f>VLOOKUP(B8,'CENTRO DE COSTOS'!B:C,2,0)</f>
        <v>Redeban Oriente (Otros)</v>
      </c>
      <c r="F8" s="46">
        <f t="shared" ref="F8:F10" si="1">D8</f>
        <v>1383017.6280800002</v>
      </c>
      <c r="J8" t="s">
        <v>62</v>
      </c>
      <c r="K8">
        <v>6147592.2827999992</v>
      </c>
      <c r="L8" s="45">
        <v>0.20144610922700887</v>
      </c>
    </row>
    <row r="9" spans="1:12">
      <c r="A9" t="s">
        <v>63</v>
      </c>
      <c r="B9" t="s">
        <v>64</v>
      </c>
      <c r="C9" s="45">
        <v>0.19488717438134007</v>
      </c>
      <c r="D9">
        <v>1830182.6942799997</v>
      </c>
      <c r="E9" t="str">
        <f>VLOOKUP(B9,'CENTRO DE COSTOS'!B:C,2,0)</f>
        <v>Redeban Santander</v>
      </c>
      <c r="F9" s="46">
        <f t="shared" si="1"/>
        <v>1830182.6942799997</v>
      </c>
      <c r="J9" t="s">
        <v>65</v>
      </c>
      <c r="K9">
        <v>4178786.2966399998</v>
      </c>
      <c r="L9" s="45">
        <v>0.13693169651222553</v>
      </c>
    </row>
    <row r="10" spans="1:12">
      <c r="A10" t="s">
        <v>66</v>
      </c>
      <c r="B10" t="s">
        <v>67</v>
      </c>
      <c r="C10" s="45">
        <v>5.4920206043724579E-2</v>
      </c>
      <c r="D10">
        <v>515754.87708000001</v>
      </c>
      <c r="E10" t="str">
        <f>VLOOKUP(B10,'CENTRO DE COSTOS'!B:C,2,0)</f>
        <v>Redeban Centro ( Bogotá)</v>
      </c>
      <c r="F10" s="46">
        <f t="shared" si="1"/>
        <v>515754.87708000001</v>
      </c>
      <c r="J10" t="s">
        <v>68</v>
      </c>
      <c r="K10">
        <v>30517304.634920005</v>
      </c>
      <c r="L10" s="45">
        <v>1</v>
      </c>
    </row>
    <row r="11" spans="1:12">
      <c r="A11" t="s">
        <v>68</v>
      </c>
      <c r="C11" s="45">
        <v>1</v>
      </c>
      <c r="D11">
        <v>9390985.836240001</v>
      </c>
    </row>
    <row r="15" spans="1:12">
      <c r="A15" s="47" t="s">
        <v>69</v>
      </c>
    </row>
    <row r="16" spans="1:12">
      <c r="A16" s="44" t="s">
        <v>43</v>
      </c>
      <c r="B16" s="44" t="s">
        <v>44</v>
      </c>
      <c r="C16" t="s">
        <v>45</v>
      </c>
      <c r="D16" t="s">
        <v>46</v>
      </c>
      <c r="E16" t="s">
        <v>40</v>
      </c>
    </row>
    <row r="17" spans="1:6">
      <c r="A17" t="s">
        <v>49</v>
      </c>
      <c r="B17" t="s">
        <v>50</v>
      </c>
      <c r="C17" s="45">
        <v>8.171316160625644E-2</v>
      </c>
      <c r="D17">
        <v>1680082.2822799999</v>
      </c>
      <c r="E17" t="str">
        <f>VLOOKUP(B17,'CENTRO DE COSTOS'!B:C,2,0)</f>
        <v>Redeban Eje Cafetero (Pereira)</v>
      </c>
      <c r="F17" s="46">
        <f>D17</f>
        <v>1680082.2822799999</v>
      </c>
    </row>
    <row r="18" spans="1:6">
      <c r="B18" t="s">
        <v>52</v>
      </c>
      <c r="C18" s="45">
        <v>6.9277479508424125E-2</v>
      </c>
      <c r="D18">
        <v>1424395.5758799999</v>
      </c>
      <c r="E18" t="str">
        <f>VLOOKUP(B18,'CENTRO DE COSTOS'!B:C,2,0)</f>
        <v>Redeban Suroccidente (Cali)</v>
      </c>
      <c r="F18" s="46">
        <f t="shared" ref="F18:F23" si="2">D18</f>
        <v>1424395.5758799999</v>
      </c>
    </row>
    <row r="19" spans="1:6">
      <c r="A19" t="s">
        <v>54</v>
      </c>
      <c r="B19" t="s">
        <v>55</v>
      </c>
      <c r="C19" s="45">
        <v>0.1297204269268154</v>
      </c>
      <c r="D19">
        <v>2667146.7196399993</v>
      </c>
      <c r="E19" t="str">
        <f>VLOOKUP(B19,'CENTRO DE COSTOS'!B:C,2,0)</f>
        <v>Redeban Costa (Barranqullla)</v>
      </c>
      <c r="F19" s="46">
        <f t="shared" si="2"/>
        <v>2667146.7196399993</v>
      </c>
    </row>
    <row r="20" spans="1:6">
      <c r="A20" t="s">
        <v>57</v>
      </c>
      <c r="B20" t="s">
        <v>58</v>
      </c>
      <c r="C20" s="45">
        <v>0.32145808790875047</v>
      </c>
      <c r="D20">
        <v>6609413.0660800058</v>
      </c>
      <c r="E20" t="str">
        <f>VLOOKUP(B20,'CENTRO DE COSTOS'!B:C,2,0)</f>
        <v>Redeban Noroccidente (Medellín)</v>
      </c>
      <c r="F20" s="46">
        <f t="shared" si="2"/>
        <v>6609413.0660800058</v>
      </c>
    </row>
    <row r="21" spans="1:6">
      <c r="A21" t="s">
        <v>60</v>
      </c>
      <c r="B21" t="s">
        <v>61</v>
      </c>
      <c r="C21" s="45">
        <v>0.12137165495460538</v>
      </c>
      <c r="D21">
        <v>2495489.8703199998</v>
      </c>
      <c r="E21" t="str">
        <f>VLOOKUP(B21,'CENTRO DE COSTOS'!B:C,2,0)</f>
        <v>Redeban Oriente (Otros)</v>
      </c>
      <c r="F21" s="46">
        <f t="shared" si="2"/>
        <v>2495489.8703199998</v>
      </c>
    </row>
    <row r="22" spans="1:6">
      <c r="A22" t="s">
        <v>63</v>
      </c>
      <c r="B22" t="s">
        <v>64</v>
      </c>
      <c r="C22" s="45">
        <v>0.20677519919650472</v>
      </c>
      <c r="D22">
        <v>4251449.1148799993</v>
      </c>
      <c r="E22" t="str">
        <f>VLOOKUP(B22,'CENTRO DE COSTOS'!B:C,2,0)</f>
        <v>Redeban Santander</v>
      </c>
      <c r="F22" s="46">
        <f t="shared" si="2"/>
        <v>4251449.1148799993</v>
      </c>
    </row>
    <row r="23" spans="1:6">
      <c r="A23" t="s">
        <v>66</v>
      </c>
      <c r="B23" t="s">
        <v>67</v>
      </c>
      <c r="C23" s="45">
        <v>6.9683989898643425E-2</v>
      </c>
      <c r="D23">
        <v>1432753.7263999998</v>
      </c>
      <c r="E23" t="str">
        <f>VLOOKUP(B23,'CENTRO DE COSTOS'!B:C,2,0)</f>
        <v>Redeban Centro ( Bogotá)</v>
      </c>
      <c r="F23" s="46">
        <f t="shared" si="2"/>
        <v>1432753.7263999998</v>
      </c>
    </row>
    <row r="24" spans="1:6">
      <c r="A24" t="s">
        <v>68</v>
      </c>
      <c r="C24" s="45">
        <v>1</v>
      </c>
      <c r="D24">
        <v>20560730.355480004</v>
      </c>
    </row>
    <row r="29" spans="1:6">
      <c r="A29" s="47" t="s">
        <v>70</v>
      </c>
    </row>
    <row r="30" spans="1:6">
      <c r="A30" s="44" t="s">
        <v>43</v>
      </c>
      <c r="B30" s="44" t="s">
        <v>44</v>
      </c>
      <c r="C30" t="s">
        <v>45</v>
      </c>
      <c r="D30" t="s">
        <v>46</v>
      </c>
      <c r="E30" t="s">
        <v>40</v>
      </c>
    </row>
    <row r="31" spans="1:6">
      <c r="A31" t="s">
        <v>49</v>
      </c>
      <c r="B31" t="s">
        <v>52</v>
      </c>
      <c r="C31" s="45">
        <v>0.1836408239396643</v>
      </c>
      <c r="D31">
        <v>103865.12771999999</v>
      </c>
      <c r="E31" t="str">
        <f>VLOOKUP(B31,'CENTRO DE COSTOS'!B:C,2,0)</f>
        <v>Redeban Suroccidente (Cali)</v>
      </c>
      <c r="F31" s="46">
        <f>D31</f>
        <v>103865.12771999999</v>
      </c>
    </row>
    <row r="32" spans="1:6">
      <c r="B32" t="s">
        <v>50</v>
      </c>
      <c r="C32" s="45">
        <v>0.11662273943719084</v>
      </c>
      <c r="D32">
        <v>65960.473639999997</v>
      </c>
      <c r="E32" t="str">
        <f>VLOOKUP(B32,'CENTRO DE COSTOS'!B:C,2,0)</f>
        <v>Redeban Eje Cafetero (Pereira)</v>
      </c>
      <c r="F32" s="46">
        <f t="shared" ref="F32:F36" si="3">D32</f>
        <v>65960.473639999997</v>
      </c>
    </row>
    <row r="33" spans="1:6">
      <c r="A33" t="s">
        <v>60</v>
      </c>
      <c r="B33" t="s">
        <v>61</v>
      </c>
      <c r="C33" s="45">
        <v>0.11662273943719084</v>
      </c>
      <c r="D33">
        <v>65960.473639999997</v>
      </c>
      <c r="E33" t="str">
        <f>VLOOKUP(B33,'CENTRO DE COSTOS'!B:C,2,0)</f>
        <v>Redeban Oriente (Otros)</v>
      </c>
      <c r="F33" s="46">
        <f t="shared" si="3"/>
        <v>65960.473639999997</v>
      </c>
    </row>
    <row r="34" spans="1:6">
      <c r="A34" t="s">
        <v>63</v>
      </c>
      <c r="B34" t="s">
        <v>64</v>
      </c>
      <c r="C34" s="45">
        <v>0.11662273943719084</v>
      </c>
      <c r="D34">
        <v>65960.473639999997</v>
      </c>
      <c r="E34" t="str">
        <f>VLOOKUP(B34,'CENTRO DE COSTOS'!B:C,2,0)</f>
        <v>Redeban Santander</v>
      </c>
      <c r="F34" s="46">
        <f t="shared" si="3"/>
        <v>65960.473639999997</v>
      </c>
    </row>
    <row r="35" spans="1:6">
      <c r="A35" t="s">
        <v>66</v>
      </c>
      <c r="B35" t="s">
        <v>67</v>
      </c>
      <c r="C35" s="45">
        <v>0.46649095774876337</v>
      </c>
      <c r="D35">
        <v>263841.89455999999</v>
      </c>
      <c r="E35" t="str">
        <f>VLOOKUP(B35,'CENTRO DE COSTOS'!B:C,2,0)</f>
        <v>Redeban Centro ( Bogotá)</v>
      </c>
      <c r="F35" s="46">
        <f t="shared" si="3"/>
        <v>263841.89455999999</v>
      </c>
    </row>
    <row r="36" spans="1:6">
      <c r="A36" t="s">
        <v>68</v>
      </c>
      <c r="C36" s="45">
        <v>1</v>
      </c>
      <c r="D36">
        <v>565588.44319999986</v>
      </c>
      <c r="E36" t="e">
        <f>VLOOKUP(B36,'CENTRO DE COSTOS'!B:C,2,0)</f>
        <v>#N/A</v>
      </c>
      <c r="F36" s="46">
        <f t="shared" si="3"/>
        <v>565588.44319999986</v>
      </c>
    </row>
    <row r="37" spans="1:6">
      <c r="F37"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AE52"/>
  <sheetViews>
    <sheetView zoomScale="130" zoomScaleNormal="130" workbookViewId="0">
      <pane ySplit="2" topLeftCell="A3" activePane="bottomLeft" state="frozen"/>
      <selection pane="bottomLeft" activeCell="AE2" sqref="A2:AE2"/>
    </sheetView>
  </sheetViews>
  <sheetFormatPr baseColWidth="10" defaultColWidth="11.42578125" defaultRowHeight="12.75"/>
  <cols>
    <col min="1" max="1" width="11.42578125" style="70"/>
    <col min="2" max="2" width="12.28515625" style="70" bestFit="1" customWidth="1"/>
    <col min="3" max="5" width="12.28515625" style="70" customWidth="1"/>
    <col min="6" max="6" width="11.42578125" style="70"/>
    <col min="7" max="7" width="11.42578125" style="72"/>
    <col min="8" max="12" width="11.42578125" style="70"/>
    <col min="13" max="14" width="12.28515625" style="70" customWidth="1"/>
    <col min="15" max="15" width="11.42578125" style="71"/>
    <col min="16" max="17" width="11.42578125" style="70"/>
    <col min="18" max="18" width="11.42578125" style="72"/>
    <col min="19" max="19" width="38" style="72" customWidth="1"/>
    <col min="20" max="20" width="13.7109375" style="72" bestFit="1" customWidth="1"/>
    <col min="21" max="24" width="11.42578125" style="70"/>
    <col min="25" max="29" width="11.42578125" style="73"/>
    <col min="30" max="30" width="13" style="74" bestFit="1" customWidth="1"/>
    <col min="31" max="31" width="16.42578125" style="74" customWidth="1"/>
    <col min="32" max="16384" width="11.42578125" style="70"/>
  </cols>
  <sheetData>
    <row r="1" spans="1:31">
      <c r="A1" s="70">
        <v>1</v>
      </c>
      <c r="B1" s="70">
        <f>A1+1</f>
        <v>2</v>
      </c>
      <c r="C1" s="70">
        <f t="shared" ref="C1:AE1" si="0">B1+1</f>
        <v>3</v>
      </c>
      <c r="D1" s="70">
        <f t="shared" si="0"/>
        <v>4</v>
      </c>
      <c r="E1" s="70">
        <f t="shared" si="0"/>
        <v>5</v>
      </c>
      <c r="F1" s="70">
        <f t="shared" si="0"/>
        <v>6</v>
      </c>
      <c r="G1" s="70">
        <f t="shared" si="0"/>
        <v>7</v>
      </c>
      <c r="H1" s="70">
        <f t="shared" si="0"/>
        <v>8</v>
      </c>
      <c r="I1" s="70">
        <f t="shared" si="0"/>
        <v>9</v>
      </c>
      <c r="J1" s="70">
        <f t="shared" si="0"/>
        <v>10</v>
      </c>
      <c r="K1" s="70">
        <f t="shared" si="0"/>
        <v>11</v>
      </c>
      <c r="L1" s="70">
        <f t="shared" si="0"/>
        <v>12</v>
      </c>
      <c r="M1" s="70">
        <f t="shared" si="0"/>
        <v>13</v>
      </c>
      <c r="N1" s="70">
        <f t="shared" si="0"/>
        <v>14</v>
      </c>
      <c r="O1" s="70">
        <f t="shared" si="0"/>
        <v>15</v>
      </c>
      <c r="P1" s="70">
        <f t="shared" si="0"/>
        <v>16</v>
      </c>
      <c r="Q1" s="70">
        <f t="shared" si="0"/>
        <v>17</v>
      </c>
      <c r="R1" s="70">
        <f t="shared" si="0"/>
        <v>18</v>
      </c>
      <c r="S1" s="70">
        <f t="shared" si="0"/>
        <v>19</v>
      </c>
      <c r="T1" s="70">
        <f t="shared" si="0"/>
        <v>20</v>
      </c>
      <c r="U1" s="70">
        <f t="shared" si="0"/>
        <v>21</v>
      </c>
      <c r="V1" s="70">
        <f t="shared" si="0"/>
        <v>22</v>
      </c>
      <c r="W1" s="70">
        <f t="shared" si="0"/>
        <v>23</v>
      </c>
      <c r="X1" s="70">
        <f t="shared" si="0"/>
        <v>24</v>
      </c>
      <c r="Y1" s="70">
        <f t="shared" si="0"/>
        <v>25</v>
      </c>
      <c r="Z1" s="70">
        <f t="shared" si="0"/>
        <v>26</v>
      </c>
      <c r="AA1" s="70">
        <f t="shared" si="0"/>
        <v>27</v>
      </c>
      <c r="AB1" s="70">
        <f t="shared" si="0"/>
        <v>28</v>
      </c>
      <c r="AC1" s="70">
        <f t="shared" si="0"/>
        <v>29</v>
      </c>
      <c r="AD1" s="70">
        <f t="shared" si="0"/>
        <v>30</v>
      </c>
      <c r="AE1" s="70">
        <f t="shared" si="0"/>
        <v>31</v>
      </c>
    </row>
    <row r="2" spans="1:31" s="64" customFormat="1" ht="51">
      <c r="A2" s="93" t="s">
        <v>71</v>
      </c>
      <c r="B2" s="93" t="s">
        <v>43</v>
      </c>
      <c r="C2" s="93" t="s">
        <v>44</v>
      </c>
      <c r="D2" s="93" t="s">
        <v>72</v>
      </c>
      <c r="E2" s="93" t="s">
        <v>73</v>
      </c>
      <c r="F2" s="93" t="s">
        <v>74</v>
      </c>
      <c r="G2" s="57" t="s">
        <v>75</v>
      </c>
      <c r="H2" s="57" t="s">
        <v>76</v>
      </c>
      <c r="I2" s="93" t="s">
        <v>77</v>
      </c>
      <c r="J2" s="93" t="s">
        <v>78</v>
      </c>
      <c r="K2" s="93" t="s">
        <v>79</v>
      </c>
      <c r="L2" s="93" t="s">
        <v>80</v>
      </c>
      <c r="M2" s="93" t="s">
        <v>81</v>
      </c>
      <c r="N2" s="80" t="s">
        <v>82</v>
      </c>
      <c r="O2" s="80" t="s">
        <v>83</v>
      </c>
      <c r="P2" s="58" t="s">
        <v>84</v>
      </c>
      <c r="Q2" s="58" t="s">
        <v>85</v>
      </c>
      <c r="R2" s="59" t="s">
        <v>86</v>
      </c>
      <c r="S2" s="59" t="s">
        <v>87</v>
      </c>
      <c r="T2" s="93" t="s">
        <v>88</v>
      </c>
      <c r="U2" s="59" t="s">
        <v>89</v>
      </c>
      <c r="V2" s="58" t="s">
        <v>90</v>
      </c>
      <c r="W2" s="58" t="s">
        <v>91</v>
      </c>
      <c r="X2" s="59" t="s">
        <v>92</v>
      </c>
      <c r="Y2" s="60" t="s">
        <v>93</v>
      </c>
      <c r="Z2" s="60" t="s">
        <v>94</v>
      </c>
      <c r="AA2" s="60" t="s">
        <v>95</v>
      </c>
      <c r="AB2" s="60" t="s">
        <v>96</v>
      </c>
      <c r="AC2" s="120" t="s">
        <v>97</v>
      </c>
      <c r="AD2" s="119" t="s">
        <v>98</v>
      </c>
      <c r="AE2" s="60" t="s">
        <v>99</v>
      </c>
    </row>
    <row r="3" spans="1:31" s="64" customFormat="1">
      <c r="A3" s="81" t="s">
        <v>100</v>
      </c>
      <c r="B3" s="61" t="str">
        <f>VLOOKUP(A3,'CENTRO DE COSTOS'!A:D,4,FALSE)</f>
        <v>JUAN SEBASTIÁN RÍOS CASTRILLÓN</v>
      </c>
      <c r="C3" s="61" t="str">
        <f>VLOOKUP(A3,'CENTRO DE COSTOS'!A:C,2,FALSE)</f>
        <v>0004-0005</v>
      </c>
      <c r="D3" s="81">
        <v>5001</v>
      </c>
      <c r="E3" s="82" t="s">
        <v>101</v>
      </c>
      <c r="F3" s="83">
        <v>80761</v>
      </c>
      <c r="G3" s="88" t="s">
        <v>102</v>
      </c>
      <c r="H3" s="84" t="s">
        <v>103</v>
      </c>
      <c r="I3" s="83" t="s">
        <v>104</v>
      </c>
      <c r="J3" s="89" t="s">
        <v>100</v>
      </c>
      <c r="K3" s="83" t="s">
        <v>105</v>
      </c>
      <c r="L3" s="94" t="s">
        <v>106</v>
      </c>
      <c r="M3" s="56" t="s">
        <v>107</v>
      </c>
      <c r="N3" s="85">
        <v>45868</v>
      </c>
      <c r="O3" s="86">
        <v>45870</v>
      </c>
      <c r="P3" s="90" t="s">
        <v>108</v>
      </c>
      <c r="Q3" s="91" t="s">
        <v>108</v>
      </c>
      <c r="R3" s="81" t="s">
        <v>109</v>
      </c>
      <c r="S3" s="87" t="s">
        <v>110</v>
      </c>
      <c r="T3" s="65" t="s">
        <v>111</v>
      </c>
      <c r="U3" s="81" t="s">
        <v>112</v>
      </c>
      <c r="V3" s="89" t="s">
        <v>113</v>
      </c>
      <c r="W3" s="86" t="s">
        <v>114</v>
      </c>
      <c r="X3" s="88" t="s">
        <v>115</v>
      </c>
      <c r="Y3" s="81">
        <v>15</v>
      </c>
      <c r="Z3" s="81">
        <v>0</v>
      </c>
      <c r="AA3" s="81">
        <v>0</v>
      </c>
      <c r="AB3" s="81">
        <v>0</v>
      </c>
      <c r="AC3" s="81">
        <v>0</v>
      </c>
      <c r="AD3" s="62">
        <f>IF(V3="TIPO I",'BASE LIQUIDACION'!$D$3,IF(V3="TIPO II",'BASE LIQUIDACION'!$D$4,IF(V3="TIPO III",'BASE LIQUIDACION'!$D$5,'BASE LIQUIDACION'!$D$7)))</f>
        <v>44559.984800000006</v>
      </c>
      <c r="AE3" s="62">
        <f>Y3*'BASE LIQUIDACION'!$B$12+Z3*'BASE LIQUIDACION'!$B$11+AA3*'BASE LIQUIDACION'!$B$13+AB3*'BASE LIQUIDACION'!$B$14+AC3*AD3</f>
        <v>243520.43159999998</v>
      </c>
    </row>
    <row r="4" spans="1:31" s="64" customFormat="1">
      <c r="A4" s="81" t="s">
        <v>116</v>
      </c>
      <c r="B4" s="61" t="str">
        <f>VLOOKUP(A4,'CENTRO DE COSTOS'!A:D,4,FALSE)</f>
        <v>WILLIAM ASDRUBAL ROZO ROZO</v>
      </c>
      <c r="C4" s="61" t="str">
        <f>VLOOKUP(A4,'CENTRO DE COSTOS'!A:C,2,FALSE)</f>
        <v>0004-0004</v>
      </c>
      <c r="D4" s="81">
        <v>11001</v>
      </c>
      <c r="E4" s="82" t="s">
        <v>117</v>
      </c>
      <c r="F4" s="83">
        <v>80772</v>
      </c>
      <c r="G4" s="88" t="s">
        <v>102</v>
      </c>
      <c r="H4" s="84" t="s">
        <v>103</v>
      </c>
      <c r="I4" s="83" t="s">
        <v>118</v>
      </c>
      <c r="J4" s="89" t="s">
        <v>116</v>
      </c>
      <c r="K4" s="83" t="s">
        <v>119</v>
      </c>
      <c r="L4" s="94" t="s">
        <v>106</v>
      </c>
      <c r="M4" s="56" t="s">
        <v>120</v>
      </c>
      <c r="N4" s="85">
        <v>45870</v>
      </c>
      <c r="O4" s="86">
        <v>45874</v>
      </c>
      <c r="P4" s="90" t="s">
        <v>108</v>
      </c>
      <c r="Q4" s="91" t="s">
        <v>108</v>
      </c>
      <c r="R4" s="81" t="s">
        <v>109</v>
      </c>
      <c r="S4" s="87" t="s">
        <v>121</v>
      </c>
      <c r="T4" s="65" t="s">
        <v>111</v>
      </c>
      <c r="U4" s="81" t="s">
        <v>122</v>
      </c>
      <c r="V4" s="89" t="s">
        <v>113</v>
      </c>
      <c r="W4" s="86" t="s">
        <v>114</v>
      </c>
      <c r="X4" s="88" t="s">
        <v>123</v>
      </c>
      <c r="Y4" s="81">
        <v>8</v>
      </c>
      <c r="Z4" s="81">
        <v>0</v>
      </c>
      <c r="AA4" s="81">
        <v>0</v>
      </c>
      <c r="AB4" s="81">
        <v>0</v>
      </c>
      <c r="AC4" s="81">
        <v>1</v>
      </c>
      <c r="AD4" s="62">
        <f>IF(V4="TIPO I",'BASE LIQUIDACION'!$D$3,IF(V4="TIPO II",'BASE LIQUIDACION'!$D$4,IF(V4="TIPO III",'BASE LIQUIDACION'!$D$5,'BASE LIQUIDACION'!$D$7)))</f>
        <v>44559.984800000006</v>
      </c>
      <c r="AE4" s="62">
        <f>Y4*'BASE LIQUIDACION'!$B$12+Z4*'BASE LIQUIDACION'!$B$11+AA4*'BASE LIQUIDACION'!$B$13+AB4*'BASE LIQUIDACION'!$B$14+AC4*AD4</f>
        <v>174437.54832</v>
      </c>
    </row>
    <row r="5" spans="1:31" s="64" customFormat="1">
      <c r="A5" s="81" t="s">
        <v>124</v>
      </c>
      <c r="B5" s="61" t="str">
        <f>VLOOKUP(A5,'CENTRO DE COSTOS'!A:D,4,FALSE)</f>
        <v>DIEGO FERNANDO HENAO CARDONA</v>
      </c>
      <c r="C5" s="61" t="str">
        <f>VLOOKUP(A5,'CENTRO DE COSTOS'!A:C,2,FALSE)</f>
        <v>0004-0002</v>
      </c>
      <c r="D5" s="81">
        <v>66001</v>
      </c>
      <c r="E5" s="82" t="s">
        <v>125</v>
      </c>
      <c r="F5" s="83">
        <v>80798</v>
      </c>
      <c r="G5" s="88" t="s">
        <v>102</v>
      </c>
      <c r="H5" s="84" t="s">
        <v>103</v>
      </c>
      <c r="I5" s="83" t="s">
        <v>126</v>
      </c>
      <c r="J5" s="89" t="s">
        <v>124</v>
      </c>
      <c r="K5" s="83" t="s">
        <v>127</v>
      </c>
      <c r="L5" s="94" t="s">
        <v>106</v>
      </c>
      <c r="M5" s="56" t="s">
        <v>128</v>
      </c>
      <c r="N5" s="85">
        <v>45870</v>
      </c>
      <c r="O5" s="86">
        <v>45873</v>
      </c>
      <c r="P5" s="90" t="s">
        <v>108</v>
      </c>
      <c r="Q5" s="91" t="s">
        <v>108</v>
      </c>
      <c r="R5" s="81" t="s">
        <v>109</v>
      </c>
      <c r="S5" s="87" t="s">
        <v>129</v>
      </c>
      <c r="T5" s="65" t="s">
        <v>111</v>
      </c>
      <c r="U5" s="81" t="s">
        <v>130</v>
      </c>
      <c r="V5" s="89" t="s">
        <v>113</v>
      </c>
      <c r="W5" s="86" t="s">
        <v>114</v>
      </c>
      <c r="X5" s="88" t="s">
        <v>131</v>
      </c>
      <c r="Y5" s="81">
        <v>8</v>
      </c>
      <c r="Z5" s="81">
        <v>0</v>
      </c>
      <c r="AA5" s="81">
        <v>0</v>
      </c>
      <c r="AB5" s="81">
        <v>0</v>
      </c>
      <c r="AC5" s="81">
        <v>0</v>
      </c>
      <c r="AD5" s="62">
        <f>IF(V5="TIPO I",'BASE LIQUIDACION'!$D$3,IF(V5="TIPO II",'BASE LIQUIDACION'!$D$4,IF(V5="TIPO III",'BASE LIQUIDACION'!$D$5,'BASE LIQUIDACION'!$D$7)))</f>
        <v>44559.984800000006</v>
      </c>
      <c r="AE5" s="62">
        <f>Y5*'BASE LIQUIDACION'!$B$12+Z5*'BASE LIQUIDACION'!$B$11+AA5*'BASE LIQUIDACION'!$B$13+AB5*'BASE LIQUIDACION'!$B$14+AC5*AD5</f>
        <v>129877.56352</v>
      </c>
    </row>
    <row r="6" spans="1:31" s="64" customFormat="1">
      <c r="A6" s="81" t="s">
        <v>132</v>
      </c>
      <c r="B6" s="61" t="str">
        <f>VLOOKUP(A6,'CENTRO DE COSTOS'!A:D,4,FALSE)</f>
        <v>DIEGO FERNANDO HENAO CARDONA</v>
      </c>
      <c r="C6" s="61" t="str">
        <f>VLOOKUP(A6,'CENTRO DE COSTOS'!A:C,2,FALSE)</f>
        <v>0004-0003</v>
      </c>
      <c r="D6" s="81">
        <v>76001</v>
      </c>
      <c r="E6" s="82" t="s">
        <v>133</v>
      </c>
      <c r="F6" s="83">
        <v>80871</v>
      </c>
      <c r="G6" s="88" t="s">
        <v>102</v>
      </c>
      <c r="H6" s="84" t="s">
        <v>103</v>
      </c>
      <c r="I6" s="83" t="s">
        <v>134</v>
      </c>
      <c r="J6" s="89" t="s">
        <v>132</v>
      </c>
      <c r="K6" s="83" t="s">
        <v>135</v>
      </c>
      <c r="L6" s="94" t="s">
        <v>106</v>
      </c>
      <c r="M6" s="56" t="s">
        <v>136</v>
      </c>
      <c r="N6" s="85">
        <v>45875</v>
      </c>
      <c r="O6" s="86">
        <v>45877</v>
      </c>
      <c r="P6" s="90" t="s">
        <v>108</v>
      </c>
      <c r="Q6" s="91" t="s">
        <v>108</v>
      </c>
      <c r="R6" s="81" t="s">
        <v>109</v>
      </c>
      <c r="S6" s="87" t="s">
        <v>137</v>
      </c>
      <c r="T6" s="65" t="s">
        <v>111</v>
      </c>
      <c r="U6" s="81" t="s">
        <v>138</v>
      </c>
      <c r="V6" s="89" t="s">
        <v>113</v>
      </c>
      <c r="W6" s="86" t="s">
        <v>114</v>
      </c>
      <c r="X6" s="88" t="s">
        <v>139</v>
      </c>
      <c r="Y6" s="81">
        <v>5</v>
      </c>
      <c r="Z6" s="81">
        <v>0</v>
      </c>
      <c r="AA6" s="81">
        <v>0</v>
      </c>
      <c r="AB6" s="81">
        <v>0</v>
      </c>
      <c r="AC6" s="81">
        <v>0</v>
      </c>
      <c r="AD6" s="62">
        <f>IF(V6="TIPO I",'BASE LIQUIDACION'!$D$3,IF(V6="TIPO II",'BASE LIQUIDACION'!$D$4,IF(V6="TIPO III",'BASE LIQUIDACION'!$D$5,'BASE LIQUIDACION'!$D$7)))</f>
        <v>44559.984800000006</v>
      </c>
      <c r="AE6" s="62">
        <f>Y6*'BASE LIQUIDACION'!$B$12+Z6*'BASE LIQUIDACION'!$B$11+AA6*'BASE LIQUIDACION'!$B$13+AB6*'BASE LIQUIDACION'!$B$14+AC6*AD6</f>
        <v>81173.477199999994</v>
      </c>
    </row>
    <row r="7" spans="1:31" s="64" customFormat="1">
      <c r="A7" s="81" t="s">
        <v>140</v>
      </c>
      <c r="B7" s="61" t="str">
        <f>VLOOKUP(A7,'CENTRO DE COSTOS'!A:D,4,FALSE)</f>
        <v>MIGUEL JULIÁN HERNÁNDEZ GUARÍN</v>
      </c>
      <c r="C7" s="61" t="str">
        <f>VLOOKUP(A7,'CENTRO DE COSTOS'!A:C,2,FALSE)</f>
        <v>0004-0008</v>
      </c>
      <c r="D7" s="81">
        <v>15776</v>
      </c>
      <c r="E7" s="82" t="s">
        <v>141</v>
      </c>
      <c r="F7" s="83">
        <v>80912</v>
      </c>
      <c r="G7" s="88" t="s">
        <v>102</v>
      </c>
      <c r="H7" s="84" t="s">
        <v>103</v>
      </c>
      <c r="I7" s="83" t="s">
        <v>142</v>
      </c>
      <c r="J7" s="89" t="s">
        <v>143</v>
      </c>
      <c r="K7" s="83" t="s">
        <v>144</v>
      </c>
      <c r="L7" s="94" t="s">
        <v>106</v>
      </c>
      <c r="M7" s="56" t="s">
        <v>145</v>
      </c>
      <c r="N7" s="85">
        <v>45875</v>
      </c>
      <c r="O7" s="86">
        <v>45881</v>
      </c>
      <c r="P7" s="90" t="s">
        <v>108</v>
      </c>
      <c r="Q7" s="91" t="s">
        <v>108</v>
      </c>
      <c r="R7" s="81" t="s">
        <v>109</v>
      </c>
      <c r="S7" s="87" t="s">
        <v>146</v>
      </c>
      <c r="T7" s="65" t="s">
        <v>111</v>
      </c>
      <c r="U7" s="81" t="s">
        <v>147</v>
      </c>
      <c r="V7" s="89" t="s">
        <v>148</v>
      </c>
      <c r="W7" s="86" t="s">
        <v>114</v>
      </c>
      <c r="X7" s="88" t="s">
        <v>149</v>
      </c>
      <c r="Y7" s="81">
        <v>20</v>
      </c>
      <c r="Z7" s="81">
        <v>0</v>
      </c>
      <c r="AA7" s="81">
        <v>0</v>
      </c>
      <c r="AB7" s="81">
        <v>0</v>
      </c>
      <c r="AC7" s="81">
        <v>0</v>
      </c>
      <c r="AD7" s="62">
        <f>IF(V7="TIPO I",'BASE LIQUIDACION'!$D$3,IF(V7="TIPO II",'BASE LIQUIDACION'!$D$4,IF(V7="TIPO III",'BASE LIQUIDACION'!$D$5,'BASE LIQUIDACION'!$D$7)))</f>
        <v>134410.38956000001</v>
      </c>
      <c r="AE7" s="62">
        <f>Y7*'BASE LIQUIDACION'!$B$12+Z7*'BASE LIQUIDACION'!$B$11+AA7*'BASE LIQUIDACION'!$B$13+AB7*'BASE LIQUIDACION'!$B$14+AC7*AD7</f>
        <v>324693.90879999998</v>
      </c>
    </row>
    <row r="8" spans="1:31" s="64" customFormat="1">
      <c r="A8" s="81" t="s">
        <v>140</v>
      </c>
      <c r="B8" s="61" t="str">
        <f>VLOOKUP(A8,'CENTRO DE COSTOS'!A:D,4,FALSE)</f>
        <v>MIGUEL JULIÁN HERNÁNDEZ GUARÍN</v>
      </c>
      <c r="C8" s="61" t="str">
        <f>VLOOKUP(A8,'CENTRO DE COSTOS'!A:C,2,FALSE)</f>
        <v>0004-0008</v>
      </c>
      <c r="D8" s="81">
        <v>15367</v>
      </c>
      <c r="E8" s="82" t="s">
        <v>150</v>
      </c>
      <c r="F8" s="83">
        <v>80894</v>
      </c>
      <c r="G8" s="88" t="s">
        <v>102</v>
      </c>
      <c r="H8" s="84" t="s">
        <v>103</v>
      </c>
      <c r="I8" s="83" t="s">
        <v>142</v>
      </c>
      <c r="J8" s="89" t="s">
        <v>151</v>
      </c>
      <c r="K8" s="83" t="s">
        <v>152</v>
      </c>
      <c r="L8" s="94" t="s">
        <v>106</v>
      </c>
      <c r="M8" s="56" t="s">
        <v>153</v>
      </c>
      <c r="N8" s="85">
        <v>45875</v>
      </c>
      <c r="O8" s="86">
        <v>45880</v>
      </c>
      <c r="P8" s="90" t="s">
        <v>108</v>
      </c>
      <c r="Q8" s="91" t="s">
        <v>108</v>
      </c>
      <c r="R8" s="81" t="s">
        <v>109</v>
      </c>
      <c r="S8" s="87" t="s">
        <v>154</v>
      </c>
      <c r="T8" s="65" t="s">
        <v>111</v>
      </c>
      <c r="U8" s="81" t="s">
        <v>155</v>
      </c>
      <c r="V8" s="89" t="s">
        <v>148</v>
      </c>
      <c r="W8" s="86" t="s">
        <v>114</v>
      </c>
      <c r="X8" s="88" t="s">
        <v>156</v>
      </c>
      <c r="Y8" s="81">
        <v>10</v>
      </c>
      <c r="Z8" s="81">
        <v>0</v>
      </c>
      <c r="AA8" s="81">
        <v>0</v>
      </c>
      <c r="AB8" s="81">
        <v>0</v>
      </c>
      <c r="AC8" s="81">
        <v>0</v>
      </c>
      <c r="AD8" s="62">
        <f>IF(V8="TIPO I",'BASE LIQUIDACION'!$D$3,IF(V8="TIPO II",'BASE LIQUIDACION'!$D$4,IF(V8="TIPO III",'BASE LIQUIDACION'!$D$5,'BASE LIQUIDACION'!$D$7)))</f>
        <v>134410.38956000001</v>
      </c>
      <c r="AE8" s="62">
        <f>Y8*'BASE LIQUIDACION'!$B$12+Z8*'BASE LIQUIDACION'!$B$11+AA8*'BASE LIQUIDACION'!$B$13+AB8*'BASE LIQUIDACION'!$B$14+AC8*AD8</f>
        <v>162346.95439999999</v>
      </c>
    </row>
    <row r="9" spans="1:31" s="64" customFormat="1">
      <c r="A9" s="81" t="s">
        <v>157</v>
      </c>
      <c r="B9" s="61" t="str">
        <f>VLOOKUP(A9,'CENTRO DE COSTOS'!A:D,4,FALSE)</f>
        <v>KEVIN ALEXIS CORZO BUSTOS</v>
      </c>
      <c r="C9" s="61" t="str">
        <f>VLOOKUP(A9,'CENTRO DE COSTOS'!A:C,2,FALSE)</f>
        <v>0004-0007</v>
      </c>
      <c r="D9" s="81">
        <v>73001</v>
      </c>
      <c r="E9" s="82" t="s">
        <v>158</v>
      </c>
      <c r="F9" s="83">
        <v>80888</v>
      </c>
      <c r="G9" s="88" t="s">
        <v>102</v>
      </c>
      <c r="H9" s="84" t="s">
        <v>103</v>
      </c>
      <c r="I9" s="83" t="s">
        <v>159</v>
      </c>
      <c r="J9" s="89" t="s">
        <v>157</v>
      </c>
      <c r="K9" s="83" t="s">
        <v>160</v>
      </c>
      <c r="L9" s="94" t="s">
        <v>106</v>
      </c>
      <c r="M9" s="56" t="s">
        <v>161</v>
      </c>
      <c r="N9" s="85">
        <v>45875</v>
      </c>
      <c r="O9" s="86">
        <v>45880</v>
      </c>
      <c r="P9" s="90" t="s">
        <v>108</v>
      </c>
      <c r="Q9" s="91" t="s">
        <v>108</v>
      </c>
      <c r="R9" s="81" t="s">
        <v>109</v>
      </c>
      <c r="S9" s="87" t="s">
        <v>162</v>
      </c>
      <c r="T9" s="65" t="s">
        <v>111</v>
      </c>
      <c r="U9" s="81" t="s">
        <v>163</v>
      </c>
      <c r="V9" s="89" t="s">
        <v>113</v>
      </c>
      <c r="W9" s="86" t="s">
        <v>114</v>
      </c>
      <c r="X9" s="88" t="s">
        <v>164</v>
      </c>
      <c r="Y9" s="81">
        <v>10</v>
      </c>
      <c r="Z9" s="81">
        <v>0</v>
      </c>
      <c r="AA9" s="81">
        <v>0</v>
      </c>
      <c r="AB9" s="81">
        <v>0</v>
      </c>
      <c r="AC9" s="81">
        <v>0</v>
      </c>
      <c r="AD9" s="62">
        <f>IF(V9="TIPO I",'BASE LIQUIDACION'!$D$3,IF(V9="TIPO II",'BASE LIQUIDACION'!$D$4,IF(V9="TIPO III",'BASE LIQUIDACION'!$D$5,'BASE LIQUIDACION'!$D$7)))</f>
        <v>44559.984800000006</v>
      </c>
      <c r="AE9" s="62">
        <f>Y9*'BASE LIQUIDACION'!$B$12+Z9*'BASE LIQUIDACION'!$B$11+AA9*'BASE LIQUIDACION'!$B$13+AB9*'BASE LIQUIDACION'!$B$14+AC9*AD9</f>
        <v>162346.95439999999</v>
      </c>
    </row>
    <row r="10" spans="1:31" s="64" customFormat="1">
      <c r="A10" s="81" t="s">
        <v>157</v>
      </c>
      <c r="B10" s="61" t="str">
        <f>VLOOKUP(A10,'CENTRO DE COSTOS'!A:D,4,FALSE)</f>
        <v>KEVIN ALEXIS CORZO BUSTOS</v>
      </c>
      <c r="C10" s="61" t="str">
        <f>VLOOKUP(A10,'CENTRO DE COSTOS'!A:C,2,FALSE)</f>
        <v>0004-0007</v>
      </c>
      <c r="D10" s="81">
        <v>73001</v>
      </c>
      <c r="E10" s="82" t="s">
        <v>165</v>
      </c>
      <c r="F10" s="83">
        <v>80889</v>
      </c>
      <c r="G10" s="88" t="s">
        <v>102</v>
      </c>
      <c r="H10" s="84" t="s">
        <v>103</v>
      </c>
      <c r="I10" s="83" t="s">
        <v>159</v>
      </c>
      <c r="J10" s="89" t="s">
        <v>157</v>
      </c>
      <c r="K10" s="83" t="s">
        <v>166</v>
      </c>
      <c r="L10" s="94" t="s">
        <v>106</v>
      </c>
      <c r="M10" s="56" t="s">
        <v>167</v>
      </c>
      <c r="N10" s="85">
        <v>45875</v>
      </c>
      <c r="O10" s="86">
        <v>45880</v>
      </c>
      <c r="P10" s="90" t="s">
        <v>108</v>
      </c>
      <c r="Q10" s="91" t="s">
        <v>108</v>
      </c>
      <c r="R10" s="81" t="s">
        <v>109</v>
      </c>
      <c r="S10" s="87" t="s">
        <v>168</v>
      </c>
      <c r="T10" s="65" t="s">
        <v>111</v>
      </c>
      <c r="U10" s="81" t="s">
        <v>169</v>
      </c>
      <c r="V10" s="89" t="s">
        <v>113</v>
      </c>
      <c r="W10" s="86" t="s">
        <v>114</v>
      </c>
      <c r="X10" s="88" t="s">
        <v>170</v>
      </c>
      <c r="Y10" s="81">
        <v>15</v>
      </c>
      <c r="Z10" s="81">
        <v>0</v>
      </c>
      <c r="AA10" s="81">
        <v>0</v>
      </c>
      <c r="AB10" s="81">
        <v>0</v>
      </c>
      <c r="AC10" s="81">
        <v>0</v>
      </c>
      <c r="AD10" s="62">
        <f>IF(V10="TIPO I",'BASE LIQUIDACION'!$D$3,IF(V10="TIPO II",'BASE LIQUIDACION'!$D$4,IF(V10="TIPO III",'BASE LIQUIDACION'!$D$5,'BASE LIQUIDACION'!$D$7)))</f>
        <v>44559.984800000006</v>
      </c>
      <c r="AE10" s="62">
        <f>Y10*'BASE LIQUIDACION'!$B$12+Z10*'BASE LIQUIDACION'!$B$11+AA10*'BASE LIQUIDACION'!$B$13+AB10*'BASE LIQUIDACION'!$B$14+AC10*AD10</f>
        <v>243520.43159999998</v>
      </c>
    </row>
    <row r="11" spans="1:31" s="64" customFormat="1">
      <c r="A11" s="81" t="s">
        <v>171</v>
      </c>
      <c r="B11" s="61" t="str">
        <f>VLOOKUP(A11,'CENTRO DE COSTOS'!A:D,4,FALSE)</f>
        <v>MIGUEL JULIÁN HERNÁNDEZ GUARÍN</v>
      </c>
      <c r="C11" s="61" t="str">
        <f>VLOOKUP(A11,'CENTRO DE COSTOS'!A:C,2,FALSE)</f>
        <v>0004-0008</v>
      </c>
      <c r="D11" s="81">
        <v>68169</v>
      </c>
      <c r="E11" s="82" t="s">
        <v>172</v>
      </c>
      <c r="F11" s="83">
        <v>80877</v>
      </c>
      <c r="G11" s="88" t="s">
        <v>102</v>
      </c>
      <c r="H11" s="84" t="s">
        <v>103</v>
      </c>
      <c r="I11" s="83" t="s">
        <v>173</v>
      </c>
      <c r="J11" s="89" t="s">
        <v>174</v>
      </c>
      <c r="K11" s="83" t="s">
        <v>175</v>
      </c>
      <c r="L11" s="94" t="s">
        <v>106</v>
      </c>
      <c r="M11" s="56" t="s">
        <v>176</v>
      </c>
      <c r="N11" s="85">
        <v>45875</v>
      </c>
      <c r="O11" s="86">
        <v>45880</v>
      </c>
      <c r="P11" s="90" t="s">
        <v>108</v>
      </c>
      <c r="Q11" s="91" t="s">
        <v>108</v>
      </c>
      <c r="R11" s="81" t="s">
        <v>109</v>
      </c>
      <c r="S11" s="87" t="s">
        <v>177</v>
      </c>
      <c r="T11" s="65" t="s">
        <v>111</v>
      </c>
      <c r="U11" s="81" t="s">
        <v>178</v>
      </c>
      <c r="V11" s="89" t="s">
        <v>148</v>
      </c>
      <c r="W11" s="86" t="s">
        <v>114</v>
      </c>
      <c r="X11" s="88" t="s">
        <v>179</v>
      </c>
      <c r="Y11" s="81">
        <v>10</v>
      </c>
      <c r="Z11" s="81">
        <v>0</v>
      </c>
      <c r="AA11" s="81">
        <v>0</v>
      </c>
      <c r="AB11" s="81">
        <v>0</v>
      </c>
      <c r="AC11" s="81">
        <v>0</v>
      </c>
      <c r="AD11" s="62">
        <f>IF(V11="TIPO I",'BASE LIQUIDACION'!$D$3,IF(V11="TIPO II",'BASE LIQUIDACION'!$D$4,IF(V11="TIPO III",'BASE LIQUIDACION'!$D$5,'BASE LIQUIDACION'!$D$7)))</f>
        <v>134410.38956000001</v>
      </c>
      <c r="AE11" s="62">
        <f>Y11*'BASE LIQUIDACION'!$B$12+Z11*'BASE LIQUIDACION'!$B$11+AA11*'BASE LIQUIDACION'!$B$13+AB11*'BASE LIQUIDACION'!$B$14+AC11*AD11</f>
        <v>162346.95439999999</v>
      </c>
    </row>
    <row r="12" spans="1:31" s="64" customFormat="1">
      <c r="A12" s="81" t="s">
        <v>180</v>
      </c>
      <c r="B12" s="61" t="str">
        <f>VLOOKUP(A12,'CENTRO DE COSTOS'!A:D,4,FALSE)</f>
        <v>KEVIN ALEXIS CORZO BUSTOS</v>
      </c>
      <c r="C12" s="61" t="str">
        <f>VLOOKUP(A12,'CENTRO DE COSTOS'!A:C,2,FALSE)</f>
        <v>0004-0007</v>
      </c>
      <c r="D12" s="81">
        <v>85010</v>
      </c>
      <c r="E12" s="82" t="s">
        <v>181</v>
      </c>
      <c r="F12" s="83">
        <v>80862</v>
      </c>
      <c r="G12" s="88" t="s">
        <v>102</v>
      </c>
      <c r="H12" s="84" t="s">
        <v>103</v>
      </c>
      <c r="I12" s="83" t="s">
        <v>182</v>
      </c>
      <c r="J12" s="89" t="s">
        <v>183</v>
      </c>
      <c r="K12" s="83" t="s">
        <v>184</v>
      </c>
      <c r="L12" s="94" t="s">
        <v>106</v>
      </c>
      <c r="M12" s="56" t="s">
        <v>185</v>
      </c>
      <c r="N12" s="85">
        <v>45875</v>
      </c>
      <c r="O12" s="86">
        <v>45881</v>
      </c>
      <c r="P12" s="90" t="s">
        <v>108</v>
      </c>
      <c r="Q12" s="91" t="s">
        <v>108</v>
      </c>
      <c r="R12" s="81" t="s">
        <v>109</v>
      </c>
      <c r="S12" s="87" t="s">
        <v>186</v>
      </c>
      <c r="T12" s="65" t="s">
        <v>111</v>
      </c>
      <c r="U12" s="81" t="s">
        <v>187</v>
      </c>
      <c r="V12" s="89" t="s">
        <v>148</v>
      </c>
      <c r="W12" s="86" t="s">
        <v>114</v>
      </c>
      <c r="X12" s="88" t="s">
        <v>188</v>
      </c>
      <c r="Y12" s="81">
        <v>15</v>
      </c>
      <c r="Z12" s="81">
        <v>0</v>
      </c>
      <c r="AA12" s="81">
        <v>0</v>
      </c>
      <c r="AB12" s="81">
        <v>0</v>
      </c>
      <c r="AC12" s="81">
        <v>0</v>
      </c>
      <c r="AD12" s="62">
        <f>IF(V12="TIPO I",'BASE LIQUIDACION'!$D$3,IF(V12="TIPO II",'BASE LIQUIDACION'!$D$4,IF(V12="TIPO III",'BASE LIQUIDACION'!$D$5,'BASE LIQUIDACION'!$D$7)))</f>
        <v>134410.38956000001</v>
      </c>
      <c r="AE12" s="62">
        <f>Y12*'BASE LIQUIDACION'!$B$12+Z12*'BASE LIQUIDACION'!$B$11+AA12*'BASE LIQUIDACION'!$B$13+AB12*'BASE LIQUIDACION'!$B$14+AC12*AD12</f>
        <v>243520.43159999998</v>
      </c>
    </row>
    <row r="13" spans="1:31" s="64" customFormat="1">
      <c r="A13" s="81" t="s">
        <v>140</v>
      </c>
      <c r="B13" s="61" t="str">
        <f>VLOOKUP(A13,'CENTRO DE COSTOS'!A:D,4,FALSE)</f>
        <v>MIGUEL JULIÁN HERNÁNDEZ GUARÍN</v>
      </c>
      <c r="C13" s="61" t="str">
        <f>VLOOKUP(A13,'CENTRO DE COSTOS'!A:C,2,FALSE)</f>
        <v>0004-0008</v>
      </c>
      <c r="D13" s="81">
        <v>15238</v>
      </c>
      <c r="E13" s="82" t="s">
        <v>189</v>
      </c>
      <c r="F13" s="83">
        <v>80882</v>
      </c>
      <c r="G13" s="88" t="s">
        <v>102</v>
      </c>
      <c r="H13" s="84" t="s">
        <v>103</v>
      </c>
      <c r="I13" s="83" t="s">
        <v>142</v>
      </c>
      <c r="J13" s="89" t="s">
        <v>190</v>
      </c>
      <c r="K13" s="83" t="s">
        <v>191</v>
      </c>
      <c r="L13" s="94" t="s">
        <v>106</v>
      </c>
      <c r="M13" s="56" t="s">
        <v>192</v>
      </c>
      <c r="N13" s="85">
        <v>45875</v>
      </c>
      <c r="O13" s="86">
        <v>45883</v>
      </c>
      <c r="P13" s="90" t="s">
        <v>108</v>
      </c>
      <c r="Q13" s="91" t="s">
        <v>108</v>
      </c>
      <c r="R13" s="81" t="s">
        <v>109</v>
      </c>
      <c r="S13" s="87" t="s">
        <v>193</v>
      </c>
      <c r="T13" s="65" t="s">
        <v>111</v>
      </c>
      <c r="U13" s="81" t="s">
        <v>194</v>
      </c>
      <c r="V13" s="89" t="s">
        <v>148</v>
      </c>
      <c r="W13" s="86" t="s">
        <v>114</v>
      </c>
      <c r="X13" s="88" t="s">
        <v>195</v>
      </c>
      <c r="Y13" s="81">
        <v>10</v>
      </c>
      <c r="Z13" s="81">
        <v>0</v>
      </c>
      <c r="AA13" s="81">
        <v>0</v>
      </c>
      <c r="AB13" s="81">
        <v>0</v>
      </c>
      <c r="AC13" s="81">
        <v>0</v>
      </c>
      <c r="AD13" s="62">
        <f>IF(V13="TIPO I",'BASE LIQUIDACION'!$D$3,IF(V13="TIPO II",'BASE LIQUIDACION'!$D$4,IF(V13="TIPO III",'BASE LIQUIDACION'!$D$5,'BASE LIQUIDACION'!$D$7)))</f>
        <v>134410.38956000001</v>
      </c>
      <c r="AE13" s="62">
        <f>Y13*'BASE LIQUIDACION'!$B$12+Z13*'BASE LIQUIDACION'!$B$11+AA13*'BASE LIQUIDACION'!$B$13+AB13*'BASE LIQUIDACION'!$B$14+AC13*AD13</f>
        <v>162346.95439999999</v>
      </c>
    </row>
    <row r="14" spans="1:31" s="64" customFormat="1">
      <c r="A14" s="81" t="s">
        <v>140</v>
      </c>
      <c r="B14" s="61" t="str">
        <f>VLOOKUP(A14,'CENTRO DE COSTOS'!A:D,4,FALSE)</f>
        <v>MIGUEL JULIÁN HERNÁNDEZ GUARÍN</v>
      </c>
      <c r="C14" s="61" t="str">
        <f>VLOOKUP(A14,'CENTRO DE COSTOS'!A:C,2,FALSE)</f>
        <v>0004-0008</v>
      </c>
      <c r="D14" s="81">
        <v>15723</v>
      </c>
      <c r="E14" s="82" t="s">
        <v>196</v>
      </c>
      <c r="F14" s="83">
        <v>80975</v>
      </c>
      <c r="G14" s="88" t="s">
        <v>102</v>
      </c>
      <c r="H14" s="84" t="s">
        <v>103</v>
      </c>
      <c r="I14" s="83" t="s">
        <v>142</v>
      </c>
      <c r="J14" s="89" t="s">
        <v>197</v>
      </c>
      <c r="K14" s="83" t="s">
        <v>198</v>
      </c>
      <c r="L14" s="94" t="s">
        <v>106</v>
      </c>
      <c r="M14" s="56" t="s">
        <v>199</v>
      </c>
      <c r="N14" s="85">
        <v>45880</v>
      </c>
      <c r="O14" s="86">
        <v>45883</v>
      </c>
      <c r="P14" s="90" t="s">
        <v>108</v>
      </c>
      <c r="Q14" s="91" t="s">
        <v>108</v>
      </c>
      <c r="R14" s="81" t="s">
        <v>109</v>
      </c>
      <c r="S14" s="87" t="s">
        <v>200</v>
      </c>
      <c r="T14" s="65" t="s">
        <v>111</v>
      </c>
      <c r="U14" s="81" t="s">
        <v>201</v>
      </c>
      <c r="V14" s="89" t="s">
        <v>202</v>
      </c>
      <c r="W14" s="86" t="s">
        <v>114</v>
      </c>
      <c r="X14" s="88" t="s">
        <v>156</v>
      </c>
      <c r="Y14" s="81">
        <v>10</v>
      </c>
      <c r="Z14" s="81">
        <v>0</v>
      </c>
      <c r="AA14" s="81">
        <v>0</v>
      </c>
      <c r="AB14" s="81">
        <v>0</v>
      </c>
      <c r="AC14" s="81">
        <v>0</v>
      </c>
      <c r="AD14" s="62">
        <f>IF(V14="TIPO I",'BASE LIQUIDACION'!$D$3,IF(V14="TIPO II",'BASE LIQUIDACION'!$D$4,IF(V14="TIPO III",'BASE LIQUIDACION'!$D$5,'BASE LIQUIDACION'!$D$7)))</f>
        <v>222904.27188000001</v>
      </c>
      <c r="AE14" s="62">
        <f>Y14*'BASE LIQUIDACION'!$B$12+Z14*'BASE LIQUIDACION'!$B$11+AA14*'BASE LIQUIDACION'!$B$13+AB14*'BASE LIQUIDACION'!$B$14+AC14*AD14</f>
        <v>162346.95439999999</v>
      </c>
    </row>
    <row r="15" spans="1:31" s="64" customFormat="1">
      <c r="A15" s="81" t="s">
        <v>132</v>
      </c>
      <c r="B15" s="61" t="str">
        <f>VLOOKUP(A15,'CENTRO DE COSTOS'!A:D,4,FALSE)</f>
        <v>DIEGO FERNANDO HENAO CARDONA</v>
      </c>
      <c r="C15" s="61" t="str">
        <f>VLOOKUP(A15,'CENTRO DE COSTOS'!A:C,2,FALSE)</f>
        <v>0004-0003</v>
      </c>
      <c r="D15" s="81">
        <v>76130</v>
      </c>
      <c r="E15" s="82" t="s">
        <v>203</v>
      </c>
      <c r="F15" s="83">
        <v>80939</v>
      </c>
      <c r="G15" s="88" t="s">
        <v>102</v>
      </c>
      <c r="H15" s="84" t="s">
        <v>103</v>
      </c>
      <c r="I15" s="83" t="s">
        <v>134</v>
      </c>
      <c r="J15" s="89" t="s">
        <v>204</v>
      </c>
      <c r="K15" s="83" t="s">
        <v>205</v>
      </c>
      <c r="L15" s="94" t="s">
        <v>106</v>
      </c>
      <c r="M15" s="56" t="s">
        <v>206</v>
      </c>
      <c r="N15" s="85">
        <v>45880</v>
      </c>
      <c r="O15" s="86">
        <v>45881</v>
      </c>
      <c r="P15" s="90" t="s">
        <v>108</v>
      </c>
      <c r="Q15" s="91" t="s">
        <v>108</v>
      </c>
      <c r="R15" s="81" t="s">
        <v>109</v>
      </c>
      <c r="S15" s="87" t="s">
        <v>207</v>
      </c>
      <c r="T15" s="65" t="s">
        <v>111</v>
      </c>
      <c r="U15" s="81" t="s">
        <v>208</v>
      </c>
      <c r="V15" s="89" t="s">
        <v>148</v>
      </c>
      <c r="W15" s="86" t="s">
        <v>114</v>
      </c>
      <c r="X15" s="88" t="s">
        <v>209</v>
      </c>
      <c r="Y15" s="81">
        <v>15</v>
      </c>
      <c r="Z15" s="81">
        <v>0</v>
      </c>
      <c r="AA15" s="81">
        <v>0</v>
      </c>
      <c r="AB15" s="81">
        <v>0</v>
      </c>
      <c r="AC15" s="81">
        <v>0</v>
      </c>
      <c r="AD15" s="62">
        <f>IF(V15="TIPO I",'BASE LIQUIDACION'!$D$3,IF(V15="TIPO II",'BASE LIQUIDACION'!$D$4,IF(V15="TIPO III",'BASE LIQUIDACION'!$D$5,'BASE LIQUIDACION'!$D$7)))</f>
        <v>134410.38956000001</v>
      </c>
      <c r="AE15" s="62">
        <f>Y15*'BASE LIQUIDACION'!$B$12+Z15*'BASE LIQUIDACION'!$B$11+AA15*'BASE LIQUIDACION'!$B$13+AB15*'BASE LIQUIDACION'!$B$14+AC15*AD15</f>
        <v>243520.43159999998</v>
      </c>
    </row>
    <row r="16" spans="1:31" s="64" customFormat="1">
      <c r="A16" s="81" t="s">
        <v>100</v>
      </c>
      <c r="B16" s="61" t="str">
        <f>VLOOKUP(A16,'CENTRO DE COSTOS'!A:D,4,FALSE)</f>
        <v>JUAN SEBASTIÁN RÍOS CASTRILLÓN</v>
      </c>
      <c r="C16" s="61" t="str">
        <f>VLOOKUP(A16,'CENTRO DE COSTOS'!A:C,2,FALSE)</f>
        <v>0004-0005</v>
      </c>
      <c r="D16" s="81">
        <v>5088</v>
      </c>
      <c r="E16" s="82" t="s">
        <v>210</v>
      </c>
      <c r="F16" s="83">
        <v>81108</v>
      </c>
      <c r="G16" s="88" t="s">
        <v>102</v>
      </c>
      <c r="H16" s="84" t="s">
        <v>103</v>
      </c>
      <c r="I16" s="83" t="s">
        <v>104</v>
      </c>
      <c r="J16" s="89" t="s">
        <v>211</v>
      </c>
      <c r="K16" s="83" t="s">
        <v>212</v>
      </c>
      <c r="L16" s="94" t="s">
        <v>106</v>
      </c>
      <c r="M16" s="56" t="s">
        <v>213</v>
      </c>
      <c r="N16" s="85">
        <v>45888</v>
      </c>
      <c r="O16" s="86">
        <v>45889</v>
      </c>
      <c r="P16" s="90" t="s">
        <v>108</v>
      </c>
      <c r="Q16" s="91" t="s">
        <v>108</v>
      </c>
      <c r="R16" s="81" t="s">
        <v>109</v>
      </c>
      <c r="S16" s="87" t="s">
        <v>214</v>
      </c>
      <c r="T16" s="65" t="s">
        <v>111</v>
      </c>
      <c r="U16" s="81" t="s">
        <v>215</v>
      </c>
      <c r="V16" s="89" t="s">
        <v>113</v>
      </c>
      <c r="W16" s="86" t="s">
        <v>114</v>
      </c>
      <c r="X16" s="88" t="s">
        <v>216</v>
      </c>
      <c r="Y16" s="81">
        <v>20</v>
      </c>
      <c r="Z16" s="81">
        <v>0</v>
      </c>
      <c r="AA16" s="81">
        <v>0</v>
      </c>
      <c r="AB16" s="81">
        <v>0</v>
      </c>
      <c r="AC16" s="81">
        <v>0</v>
      </c>
      <c r="AD16" s="62">
        <f>IF(V16="TIPO I",'BASE LIQUIDACION'!$D$3,IF(V16="TIPO II",'BASE LIQUIDACION'!$D$4,IF(V16="TIPO III",'BASE LIQUIDACION'!$D$5,'BASE LIQUIDACION'!$D$7)))</f>
        <v>44559.984800000006</v>
      </c>
      <c r="AE16" s="62">
        <f>Y16*'BASE LIQUIDACION'!$B$12+Z16*'BASE LIQUIDACION'!$B$11+AA16*'BASE LIQUIDACION'!$B$13+AB16*'BASE LIQUIDACION'!$B$14+AC16*AD16</f>
        <v>324693.90879999998</v>
      </c>
    </row>
    <row r="17" spans="1:31" s="64" customFormat="1">
      <c r="A17" s="81" t="s">
        <v>132</v>
      </c>
      <c r="B17" s="61" t="str">
        <f>VLOOKUP(A17,'CENTRO DE COSTOS'!A:D,4,FALSE)</f>
        <v>DIEGO FERNANDO HENAO CARDONA</v>
      </c>
      <c r="C17" s="61" t="str">
        <f>VLOOKUP(A17,'CENTRO DE COSTOS'!A:C,2,FALSE)</f>
        <v>0004-0003</v>
      </c>
      <c r="D17" s="81">
        <v>76001</v>
      </c>
      <c r="E17" s="82" t="s">
        <v>217</v>
      </c>
      <c r="F17" s="83">
        <v>81063</v>
      </c>
      <c r="G17" s="88" t="s">
        <v>102</v>
      </c>
      <c r="H17" s="84" t="s">
        <v>103</v>
      </c>
      <c r="I17" s="83" t="s">
        <v>134</v>
      </c>
      <c r="J17" s="89" t="s">
        <v>132</v>
      </c>
      <c r="K17" s="83" t="s">
        <v>218</v>
      </c>
      <c r="L17" s="94" t="s">
        <v>106</v>
      </c>
      <c r="M17" s="56" t="s">
        <v>219</v>
      </c>
      <c r="N17" s="85">
        <v>45888</v>
      </c>
      <c r="O17" s="86">
        <v>45890</v>
      </c>
      <c r="P17" s="90" t="s">
        <v>108</v>
      </c>
      <c r="Q17" s="91" t="s">
        <v>108</v>
      </c>
      <c r="R17" s="81" t="s">
        <v>109</v>
      </c>
      <c r="S17" s="87" t="s">
        <v>220</v>
      </c>
      <c r="T17" s="65" t="s">
        <v>111</v>
      </c>
      <c r="U17" s="81" t="s">
        <v>221</v>
      </c>
      <c r="V17" s="89" t="s">
        <v>113</v>
      </c>
      <c r="W17" s="86" t="s">
        <v>114</v>
      </c>
      <c r="X17" s="88" t="s">
        <v>222</v>
      </c>
      <c r="Y17" s="81">
        <v>7</v>
      </c>
      <c r="Z17" s="81">
        <v>0</v>
      </c>
      <c r="AA17" s="81">
        <v>0</v>
      </c>
      <c r="AB17" s="81">
        <v>0</v>
      </c>
      <c r="AC17" s="81">
        <v>0</v>
      </c>
      <c r="AD17" s="62">
        <f>IF(V17="TIPO I",'BASE LIQUIDACION'!$D$3,IF(V17="TIPO II",'BASE LIQUIDACION'!$D$4,IF(V17="TIPO III",'BASE LIQUIDACION'!$D$5,'BASE LIQUIDACION'!$D$7)))</f>
        <v>44559.984800000006</v>
      </c>
      <c r="AE17" s="62">
        <f>Y17*'BASE LIQUIDACION'!$B$12+Z17*'BASE LIQUIDACION'!$B$11+AA17*'BASE LIQUIDACION'!$B$13+AB17*'BASE LIQUIDACION'!$B$14+AC17*AD17</f>
        <v>113642.86808</v>
      </c>
    </row>
    <row r="18" spans="1:31" s="64" customFormat="1">
      <c r="A18" s="81" t="s">
        <v>171</v>
      </c>
      <c r="B18" s="61" t="str">
        <f>VLOOKUP(A18,'CENTRO DE COSTOS'!A:D,4,FALSE)</f>
        <v>MIGUEL JULIÁN HERNÁNDEZ GUARÍN</v>
      </c>
      <c r="C18" s="61" t="str">
        <f>VLOOKUP(A18,'CENTRO DE COSTOS'!A:C,2,FALSE)</f>
        <v>0004-0008</v>
      </c>
      <c r="D18" s="81">
        <v>68547</v>
      </c>
      <c r="E18" s="82" t="s">
        <v>223</v>
      </c>
      <c r="F18" s="83">
        <v>81091</v>
      </c>
      <c r="G18" s="88" t="s">
        <v>102</v>
      </c>
      <c r="H18" s="84" t="s">
        <v>103</v>
      </c>
      <c r="I18" s="83" t="s">
        <v>173</v>
      </c>
      <c r="J18" s="89" t="s">
        <v>224</v>
      </c>
      <c r="K18" s="83" t="s">
        <v>225</v>
      </c>
      <c r="L18" s="94" t="s">
        <v>106</v>
      </c>
      <c r="M18" s="56" t="s">
        <v>226</v>
      </c>
      <c r="N18" s="85">
        <v>45888</v>
      </c>
      <c r="O18" s="86">
        <v>45890</v>
      </c>
      <c r="P18" s="90" t="s">
        <v>108</v>
      </c>
      <c r="Q18" s="91" t="s">
        <v>108</v>
      </c>
      <c r="R18" s="81" t="s">
        <v>109</v>
      </c>
      <c r="S18" s="87" t="s">
        <v>227</v>
      </c>
      <c r="T18" s="65" t="s">
        <v>111</v>
      </c>
      <c r="U18" s="81" t="s">
        <v>228</v>
      </c>
      <c r="V18" s="89" t="s">
        <v>148</v>
      </c>
      <c r="W18" s="86" t="s">
        <v>114</v>
      </c>
      <c r="X18" s="88" t="s">
        <v>229</v>
      </c>
      <c r="Y18" s="81">
        <v>10</v>
      </c>
      <c r="Z18" s="81">
        <v>0</v>
      </c>
      <c r="AA18" s="81">
        <v>0</v>
      </c>
      <c r="AB18" s="81">
        <v>0</v>
      </c>
      <c r="AC18" s="81">
        <v>0</v>
      </c>
      <c r="AD18" s="62">
        <f>IF(V18="TIPO I",'BASE LIQUIDACION'!$D$3,IF(V18="TIPO II",'BASE LIQUIDACION'!$D$4,IF(V18="TIPO III",'BASE LIQUIDACION'!$D$5,'BASE LIQUIDACION'!$D$7)))</f>
        <v>134410.38956000001</v>
      </c>
      <c r="AE18" s="62">
        <f>Y18*'BASE LIQUIDACION'!$B$12+Z18*'BASE LIQUIDACION'!$B$11+AA18*'BASE LIQUIDACION'!$B$13+AB18*'BASE LIQUIDACION'!$B$14+AC18*AD18</f>
        <v>162346.95439999999</v>
      </c>
    </row>
    <row r="19" spans="1:31" s="64" customFormat="1">
      <c r="A19" s="81" t="s">
        <v>230</v>
      </c>
      <c r="B19" s="61" t="str">
        <f>VLOOKUP(A19,'CENTRO DE COSTOS'!A:D,4,FALSE)</f>
        <v>JOSE MAURICIO HERNANDEZ ROJAS</v>
      </c>
      <c r="C19" s="61" t="str">
        <f>VLOOKUP(A19,'CENTRO DE COSTOS'!A:C,2,FALSE)</f>
        <v>0004-0001</v>
      </c>
      <c r="D19" s="81">
        <v>13001</v>
      </c>
      <c r="E19" s="82" t="s">
        <v>231</v>
      </c>
      <c r="F19" s="83">
        <v>81125</v>
      </c>
      <c r="G19" s="88" t="s">
        <v>102</v>
      </c>
      <c r="H19" s="84" t="s">
        <v>103</v>
      </c>
      <c r="I19" s="83" t="s">
        <v>232</v>
      </c>
      <c r="J19" s="89" t="s">
        <v>230</v>
      </c>
      <c r="K19" s="83" t="s">
        <v>233</v>
      </c>
      <c r="L19" s="94" t="s">
        <v>106</v>
      </c>
      <c r="M19" s="56" t="s">
        <v>234</v>
      </c>
      <c r="N19" s="85">
        <v>45890</v>
      </c>
      <c r="O19" s="86">
        <v>45894</v>
      </c>
      <c r="P19" s="90" t="s">
        <v>108</v>
      </c>
      <c r="Q19" s="91" t="s">
        <v>108</v>
      </c>
      <c r="R19" s="81" t="s">
        <v>109</v>
      </c>
      <c r="S19" s="87" t="s">
        <v>235</v>
      </c>
      <c r="T19" s="65" t="s">
        <v>111</v>
      </c>
      <c r="U19" s="81" t="s">
        <v>236</v>
      </c>
      <c r="V19" s="89" t="s">
        <v>113</v>
      </c>
      <c r="W19" s="86" t="s">
        <v>114</v>
      </c>
      <c r="X19" s="88" t="s">
        <v>237</v>
      </c>
      <c r="Y19" s="81">
        <v>10</v>
      </c>
      <c r="Z19" s="81">
        <v>0</v>
      </c>
      <c r="AA19" s="81">
        <v>0</v>
      </c>
      <c r="AB19" s="81">
        <v>0</v>
      </c>
      <c r="AC19" s="81">
        <v>0</v>
      </c>
      <c r="AD19" s="62">
        <f>IF(V19="TIPO I",'BASE LIQUIDACION'!$D$3,IF(V19="TIPO II",'BASE LIQUIDACION'!$D$4,IF(V19="TIPO III",'BASE LIQUIDACION'!$D$5,'BASE LIQUIDACION'!$D$7)))</f>
        <v>44559.984800000006</v>
      </c>
      <c r="AE19" s="62">
        <f>Y19*'BASE LIQUIDACION'!$B$12+Z19*'BASE LIQUIDACION'!$B$11+AA19*'BASE LIQUIDACION'!$B$13+AB19*'BASE LIQUIDACION'!$B$14+AC19*AD19</f>
        <v>162346.95439999999</v>
      </c>
    </row>
    <row r="20" spans="1:31" s="64" customFormat="1">
      <c r="A20" s="81" t="s">
        <v>124</v>
      </c>
      <c r="B20" s="61" t="str">
        <f>VLOOKUP(A20,'CENTRO DE COSTOS'!A:D,4,FALSE)</f>
        <v>DIEGO FERNANDO HENAO CARDONA</v>
      </c>
      <c r="C20" s="61" t="str">
        <f>VLOOKUP(A20,'CENTRO DE COSTOS'!A:C,2,FALSE)</f>
        <v>0004-0002</v>
      </c>
      <c r="D20" s="81">
        <v>66001</v>
      </c>
      <c r="E20" s="82" t="s">
        <v>238</v>
      </c>
      <c r="F20" s="83">
        <v>81149</v>
      </c>
      <c r="G20" s="88" t="s">
        <v>102</v>
      </c>
      <c r="H20" s="84" t="s">
        <v>103</v>
      </c>
      <c r="I20" s="83" t="s">
        <v>126</v>
      </c>
      <c r="J20" s="89" t="s">
        <v>124</v>
      </c>
      <c r="K20" s="83" t="s">
        <v>239</v>
      </c>
      <c r="L20" s="94" t="s">
        <v>106</v>
      </c>
      <c r="M20" s="56" t="s">
        <v>240</v>
      </c>
      <c r="N20" s="85">
        <v>45890</v>
      </c>
      <c r="O20" s="86">
        <v>45891</v>
      </c>
      <c r="P20" s="90" t="s">
        <v>108</v>
      </c>
      <c r="Q20" s="91" t="s">
        <v>108</v>
      </c>
      <c r="R20" s="81" t="s">
        <v>109</v>
      </c>
      <c r="S20" s="87" t="s">
        <v>241</v>
      </c>
      <c r="T20" s="65" t="s">
        <v>111</v>
      </c>
      <c r="U20" s="81" t="s">
        <v>242</v>
      </c>
      <c r="V20" s="89" t="s">
        <v>113</v>
      </c>
      <c r="W20" s="86" t="s">
        <v>114</v>
      </c>
      <c r="X20" s="88" t="s">
        <v>131</v>
      </c>
      <c r="Y20" s="81">
        <v>8</v>
      </c>
      <c r="Z20" s="81">
        <v>0</v>
      </c>
      <c r="AA20" s="81">
        <v>0</v>
      </c>
      <c r="AB20" s="81">
        <v>0</v>
      </c>
      <c r="AC20" s="81">
        <v>0</v>
      </c>
      <c r="AD20" s="62">
        <f>IF(V20="TIPO I",'BASE LIQUIDACION'!$D$3,IF(V20="TIPO II",'BASE LIQUIDACION'!$D$4,IF(V20="TIPO III",'BASE LIQUIDACION'!$D$5,'BASE LIQUIDACION'!$D$7)))</f>
        <v>44559.984800000006</v>
      </c>
      <c r="AE20" s="62">
        <f>Y20*'BASE LIQUIDACION'!$B$12+Z20*'BASE LIQUIDACION'!$B$11+AA20*'BASE LIQUIDACION'!$B$13+AB20*'BASE LIQUIDACION'!$B$14+AC20*AD20</f>
        <v>129877.56352</v>
      </c>
    </row>
    <row r="21" spans="1:31" s="64" customFormat="1">
      <c r="A21" s="81" t="s">
        <v>132</v>
      </c>
      <c r="B21" s="61" t="str">
        <f>VLOOKUP(A21,'CENTRO DE COSTOS'!A:D,4,FALSE)</f>
        <v>DIEGO FERNANDO HENAO CARDONA</v>
      </c>
      <c r="C21" s="61" t="str">
        <f>VLOOKUP(A21,'CENTRO DE COSTOS'!A:C,2,FALSE)</f>
        <v>0004-0003</v>
      </c>
      <c r="D21" s="81">
        <v>76520</v>
      </c>
      <c r="E21" s="82" t="s">
        <v>243</v>
      </c>
      <c r="F21" s="83">
        <v>81090</v>
      </c>
      <c r="G21" s="88" t="s">
        <v>102</v>
      </c>
      <c r="H21" s="84" t="s">
        <v>244</v>
      </c>
      <c r="I21" s="83" t="s">
        <v>134</v>
      </c>
      <c r="J21" s="89" t="s">
        <v>245</v>
      </c>
      <c r="K21" s="83" t="s">
        <v>246</v>
      </c>
      <c r="L21" s="94" t="s">
        <v>106</v>
      </c>
      <c r="M21" s="56" t="s">
        <v>247</v>
      </c>
      <c r="N21" s="85">
        <v>45894</v>
      </c>
      <c r="O21" s="86">
        <v>45895</v>
      </c>
      <c r="P21" s="90" t="s">
        <v>108</v>
      </c>
      <c r="Q21" s="91" t="s">
        <v>108</v>
      </c>
      <c r="R21" s="81" t="s">
        <v>109</v>
      </c>
      <c r="S21" s="87" t="s">
        <v>248</v>
      </c>
      <c r="T21" s="65" t="s">
        <v>111</v>
      </c>
      <c r="U21" s="81" t="s">
        <v>249</v>
      </c>
      <c r="V21" s="89" t="s">
        <v>113</v>
      </c>
      <c r="W21" s="86" t="s">
        <v>114</v>
      </c>
      <c r="X21" s="88" t="s">
        <v>139</v>
      </c>
      <c r="Y21" s="81">
        <v>20</v>
      </c>
      <c r="Z21" s="81">
        <v>0</v>
      </c>
      <c r="AA21" s="81">
        <v>0</v>
      </c>
      <c r="AB21" s="81">
        <v>0</v>
      </c>
      <c r="AC21" s="81">
        <v>0</v>
      </c>
      <c r="AD21" s="62">
        <f>IF(V21="TIPO I",'BASE LIQUIDACION'!$D$3,IF(V21="TIPO II",'BASE LIQUIDACION'!$D$4,IF(V21="TIPO III",'BASE LIQUIDACION'!$D$5,'BASE LIQUIDACION'!$D$7)))</f>
        <v>44559.984800000006</v>
      </c>
      <c r="AE21" s="62">
        <f>Y21*'BASE LIQUIDACION'!$B$12+Z21*'BASE LIQUIDACION'!$B$11+AA21*'BASE LIQUIDACION'!$B$13+AB21*'BASE LIQUIDACION'!$B$14+AC21*AD21</f>
        <v>324693.90879999998</v>
      </c>
    </row>
    <row r="22" spans="1:31" s="64" customFormat="1">
      <c r="A22" s="81" t="s">
        <v>132</v>
      </c>
      <c r="B22" s="61" t="str">
        <f>VLOOKUP(A22,'CENTRO DE COSTOS'!A:D,4,FALSE)</f>
        <v>DIEGO FERNANDO HENAO CARDONA</v>
      </c>
      <c r="C22" s="61" t="str">
        <f>VLOOKUP(A22,'CENTRO DE COSTOS'!A:C,2,FALSE)</f>
        <v>0004-0003</v>
      </c>
      <c r="D22" s="81">
        <v>76001</v>
      </c>
      <c r="E22" s="82" t="s">
        <v>250</v>
      </c>
      <c r="F22" s="83">
        <v>81193</v>
      </c>
      <c r="G22" s="88" t="s">
        <v>102</v>
      </c>
      <c r="H22" s="84" t="s">
        <v>103</v>
      </c>
      <c r="I22" s="83" t="s">
        <v>134</v>
      </c>
      <c r="J22" s="89" t="s">
        <v>132</v>
      </c>
      <c r="K22" s="83" t="s">
        <v>251</v>
      </c>
      <c r="L22" s="94" t="s">
        <v>106</v>
      </c>
      <c r="M22" s="56" t="s">
        <v>252</v>
      </c>
      <c r="N22" s="85">
        <v>45896</v>
      </c>
      <c r="O22" s="86">
        <v>45897</v>
      </c>
      <c r="P22" s="90" t="s">
        <v>108</v>
      </c>
      <c r="Q22" s="91" t="s">
        <v>108</v>
      </c>
      <c r="R22" s="81" t="s">
        <v>109</v>
      </c>
      <c r="S22" s="87" t="s">
        <v>253</v>
      </c>
      <c r="T22" s="65" t="s">
        <v>111</v>
      </c>
      <c r="U22" s="81" t="s">
        <v>254</v>
      </c>
      <c r="V22" s="89" t="s">
        <v>113</v>
      </c>
      <c r="W22" s="86" t="s">
        <v>114</v>
      </c>
      <c r="X22" s="88" t="s">
        <v>139</v>
      </c>
      <c r="Y22" s="81">
        <v>10</v>
      </c>
      <c r="Z22" s="81">
        <v>0</v>
      </c>
      <c r="AA22" s="81">
        <v>0</v>
      </c>
      <c r="AB22" s="81">
        <v>0</v>
      </c>
      <c r="AC22" s="81">
        <v>0</v>
      </c>
      <c r="AD22" s="62">
        <f>IF(V22="TIPO I",'BASE LIQUIDACION'!$D$3,IF(V22="TIPO II",'BASE LIQUIDACION'!$D$4,IF(V22="TIPO III",'BASE LIQUIDACION'!$D$5,'BASE LIQUIDACION'!$D$7)))</f>
        <v>44559.984800000006</v>
      </c>
      <c r="AE22" s="62">
        <f>Y22*'BASE LIQUIDACION'!$B$12+Z22*'BASE LIQUIDACION'!$B$11+AA22*'BASE LIQUIDACION'!$B$13+AB22*'BASE LIQUIDACION'!$B$14+AC22*AD22</f>
        <v>162346.95439999999</v>
      </c>
    </row>
    <row r="23" spans="1:31" s="64" customFormat="1">
      <c r="A23" s="81" t="s">
        <v>116</v>
      </c>
      <c r="B23" s="61" t="str">
        <f>VLOOKUP(A23,'CENTRO DE COSTOS'!A:D,4,FALSE)</f>
        <v>WILLIAM ASDRUBAL ROZO ROZO</v>
      </c>
      <c r="C23" s="61" t="str">
        <f>VLOOKUP(A23,'CENTRO DE COSTOS'!A:C,2,FALSE)</f>
        <v>0004-0004</v>
      </c>
      <c r="D23" s="81">
        <v>11001</v>
      </c>
      <c r="E23" s="82" t="s">
        <v>255</v>
      </c>
      <c r="F23" s="83">
        <v>81188</v>
      </c>
      <c r="G23" s="88" t="s">
        <v>102</v>
      </c>
      <c r="H23" s="84" t="s">
        <v>103</v>
      </c>
      <c r="I23" s="83" t="s">
        <v>118</v>
      </c>
      <c r="J23" s="89" t="s">
        <v>116</v>
      </c>
      <c r="K23" s="83" t="s">
        <v>256</v>
      </c>
      <c r="L23" s="94" t="s">
        <v>106</v>
      </c>
      <c r="M23" s="56" t="s">
        <v>257</v>
      </c>
      <c r="N23" s="85">
        <v>45896</v>
      </c>
      <c r="O23" s="86">
        <v>45897</v>
      </c>
      <c r="P23" s="90" t="s">
        <v>108</v>
      </c>
      <c r="Q23" s="91" t="s">
        <v>108</v>
      </c>
      <c r="R23" s="81" t="s">
        <v>109</v>
      </c>
      <c r="S23" s="87" t="s">
        <v>258</v>
      </c>
      <c r="T23" s="65" t="s">
        <v>111</v>
      </c>
      <c r="U23" s="81" t="s">
        <v>259</v>
      </c>
      <c r="V23" s="89" t="s">
        <v>113</v>
      </c>
      <c r="W23" s="86" t="s">
        <v>114</v>
      </c>
      <c r="X23" s="88" t="s">
        <v>260</v>
      </c>
      <c r="Y23" s="81">
        <v>10</v>
      </c>
      <c r="Z23" s="81">
        <v>0</v>
      </c>
      <c r="AA23" s="81">
        <v>0</v>
      </c>
      <c r="AB23" s="81">
        <v>0</v>
      </c>
      <c r="AC23" s="81">
        <v>0</v>
      </c>
      <c r="AD23" s="62">
        <f>IF(V23="TIPO I",'BASE LIQUIDACION'!$D$3,IF(V23="TIPO II",'BASE LIQUIDACION'!$D$4,IF(V23="TIPO III",'BASE LIQUIDACION'!$D$5,'BASE LIQUIDACION'!$D$7)))</f>
        <v>44559.984800000006</v>
      </c>
      <c r="AE23" s="62">
        <f>Y23*'BASE LIQUIDACION'!$B$12+Z23*'BASE LIQUIDACION'!$B$11+AA23*'BASE LIQUIDACION'!$B$13+AB23*'BASE LIQUIDACION'!$B$14+AC23*AD23</f>
        <v>162346.95439999999</v>
      </c>
    </row>
    <row r="24" spans="1:31" s="64" customFormat="1">
      <c r="A24" s="81" t="s">
        <v>132</v>
      </c>
      <c r="B24" s="81" t="str">
        <f>VLOOKUP(A24,'CENTRO DE COSTOS'!A:D,4,FALSE)</f>
        <v>DIEGO FERNANDO HENAO CARDONA</v>
      </c>
      <c r="C24" s="81" t="str">
        <f>VLOOKUP(A24,'CENTRO DE COSTOS'!A:C,2,FALSE)</f>
        <v>0004-0003</v>
      </c>
      <c r="D24" s="81">
        <v>76606</v>
      </c>
      <c r="E24" s="81" t="s">
        <v>261</v>
      </c>
      <c r="F24" s="81">
        <v>81244</v>
      </c>
      <c r="G24" s="81" t="s">
        <v>102</v>
      </c>
      <c r="H24" s="81" t="s">
        <v>103</v>
      </c>
      <c r="I24" s="81" t="s">
        <v>134</v>
      </c>
      <c r="J24" s="81" t="s">
        <v>262</v>
      </c>
      <c r="K24" s="81" t="s">
        <v>263</v>
      </c>
      <c r="L24" s="81" t="s">
        <v>106</v>
      </c>
      <c r="M24" s="81" t="s">
        <v>264</v>
      </c>
      <c r="N24" s="85">
        <v>45896</v>
      </c>
      <c r="O24" s="86">
        <v>45898</v>
      </c>
      <c r="P24" s="90" t="s">
        <v>108</v>
      </c>
      <c r="Q24" s="91" t="s">
        <v>108</v>
      </c>
      <c r="R24" s="81" t="s">
        <v>109</v>
      </c>
      <c r="S24" s="87" t="s">
        <v>265</v>
      </c>
      <c r="T24" s="65" t="s">
        <v>111</v>
      </c>
      <c r="U24" s="81" t="s">
        <v>266</v>
      </c>
      <c r="V24" s="89" t="s">
        <v>148</v>
      </c>
      <c r="W24" s="86" t="s">
        <v>114</v>
      </c>
      <c r="X24" s="88" t="s">
        <v>267</v>
      </c>
      <c r="Y24" s="81">
        <v>9</v>
      </c>
      <c r="Z24" s="81">
        <v>0</v>
      </c>
      <c r="AA24" s="81">
        <v>0</v>
      </c>
      <c r="AB24" s="81">
        <v>0</v>
      </c>
      <c r="AC24" s="81">
        <v>0</v>
      </c>
      <c r="AD24" s="62">
        <f>IF(V24="TIPO I",'BASE LIQUIDACION'!$D$3,IF(V24="TIPO II",'BASE LIQUIDACION'!$D$4,IF(V24="TIPO III",'BASE LIQUIDACION'!$D$5,'BASE LIQUIDACION'!$D$7)))</f>
        <v>134410.38956000001</v>
      </c>
      <c r="AE24" s="62">
        <f>Y24*'BASE LIQUIDACION'!$B$12+Z24*'BASE LIQUIDACION'!$B$11+AA24*'BASE LIQUIDACION'!$B$13+AB24*'BASE LIQUIDACION'!$B$14+AC24*AD24</f>
        <v>146112.25896000001</v>
      </c>
    </row>
    <row r="25" spans="1:31" s="64" customFormat="1">
      <c r="A25" s="81" t="s">
        <v>132</v>
      </c>
      <c r="B25" s="81" t="str">
        <f>VLOOKUP(A25,'CENTRO DE COSTOS'!A:D,4,FALSE)</f>
        <v>DIEGO FERNANDO HENAO CARDONA</v>
      </c>
      <c r="C25" s="81" t="str">
        <f>VLOOKUP(A25,'CENTRO DE COSTOS'!A:C,2,FALSE)</f>
        <v>0004-0003</v>
      </c>
      <c r="D25" s="81">
        <v>76001</v>
      </c>
      <c r="E25" s="81" t="s">
        <v>268</v>
      </c>
      <c r="F25" s="81">
        <v>80778</v>
      </c>
      <c r="G25" s="81" t="s">
        <v>102</v>
      </c>
      <c r="H25" s="81" t="s">
        <v>103</v>
      </c>
      <c r="I25" s="81" t="s">
        <v>134</v>
      </c>
      <c r="J25" s="81" t="s">
        <v>132</v>
      </c>
      <c r="K25" s="81" t="s">
        <v>269</v>
      </c>
      <c r="L25" s="81"/>
      <c r="M25" s="81" t="s">
        <v>270</v>
      </c>
      <c r="N25" s="85">
        <v>45870</v>
      </c>
      <c r="O25" s="85">
        <v>45873</v>
      </c>
      <c r="P25" s="90" t="s">
        <v>108</v>
      </c>
      <c r="Q25" s="90" t="s">
        <v>108</v>
      </c>
      <c r="R25" s="90" t="s">
        <v>109</v>
      </c>
      <c r="S25" s="90" t="s">
        <v>271</v>
      </c>
      <c r="T25" s="90"/>
      <c r="U25" s="90" t="s">
        <v>272</v>
      </c>
      <c r="V25" s="90" t="s">
        <v>113</v>
      </c>
      <c r="W25" s="90" t="s">
        <v>114</v>
      </c>
      <c r="X25" s="90" t="s">
        <v>139</v>
      </c>
      <c r="Y25" s="90">
        <v>10</v>
      </c>
      <c r="Z25" s="81">
        <v>0</v>
      </c>
      <c r="AA25" s="81">
        <v>0</v>
      </c>
      <c r="AB25" s="81">
        <v>0</v>
      </c>
      <c r="AC25" s="81">
        <v>0</v>
      </c>
      <c r="AD25" s="62">
        <f>IF(V25="TIPO I",'BASE LIQUIDACION'!$D$3,IF(V25="TIPO II",'BASE LIQUIDACION'!$D$4,IF(V25="TIPO III",'BASE LIQUIDACION'!$D$5,'BASE LIQUIDACION'!$D$7)))</f>
        <v>44559.984800000006</v>
      </c>
      <c r="AE25" s="62">
        <f>Y25*'BASE LIQUIDACION'!$B$12+Z25*'BASE LIQUIDACION'!$B$11+AA25*'BASE LIQUIDACION'!$B$13+AB25*'BASE LIQUIDACION'!$B$14+AC25*AD25</f>
        <v>162346.95439999999</v>
      </c>
    </row>
    <row r="26" spans="1:31" s="64" customFormat="1">
      <c r="A26" s="81" t="s">
        <v>132</v>
      </c>
      <c r="B26" s="81" t="str">
        <f>VLOOKUP(A26,'CENTRO DE COSTOS'!A:D,4,FALSE)</f>
        <v>DIEGO FERNANDO HENAO CARDONA</v>
      </c>
      <c r="C26" s="81" t="str">
        <f>VLOOKUP(A26,'CENTRO DE COSTOS'!A:C,2,FALSE)</f>
        <v>0004-0003</v>
      </c>
      <c r="D26" s="81">
        <v>76520</v>
      </c>
      <c r="E26" s="81" t="s">
        <v>273</v>
      </c>
      <c r="F26" s="81">
        <v>80952</v>
      </c>
      <c r="G26" s="81" t="s">
        <v>102</v>
      </c>
      <c r="H26" s="81" t="s">
        <v>103</v>
      </c>
      <c r="I26" s="81" t="s">
        <v>134</v>
      </c>
      <c r="J26" s="81" t="s">
        <v>245</v>
      </c>
      <c r="K26" s="81" t="s">
        <v>274</v>
      </c>
      <c r="L26" s="81"/>
      <c r="M26" s="81" t="s">
        <v>275</v>
      </c>
      <c r="N26" s="85">
        <v>45880</v>
      </c>
      <c r="O26" s="85">
        <v>45881</v>
      </c>
      <c r="P26" s="90" t="s">
        <v>108</v>
      </c>
      <c r="Q26" s="90" t="s">
        <v>108</v>
      </c>
      <c r="R26" s="90" t="s">
        <v>109</v>
      </c>
      <c r="S26" s="90" t="s">
        <v>276</v>
      </c>
      <c r="T26" s="90"/>
      <c r="U26" s="90" t="s">
        <v>277</v>
      </c>
      <c r="V26" s="90" t="s">
        <v>113</v>
      </c>
      <c r="W26" s="90" t="s">
        <v>114</v>
      </c>
      <c r="X26" s="90" t="s">
        <v>278</v>
      </c>
      <c r="Y26" s="90">
        <v>7</v>
      </c>
      <c r="Z26" s="81">
        <v>0</v>
      </c>
      <c r="AA26" s="81">
        <v>0</v>
      </c>
      <c r="AB26" s="81">
        <v>0</v>
      </c>
      <c r="AC26" s="81">
        <v>0</v>
      </c>
      <c r="AD26" s="62">
        <f>IF(V26="TIPO I",'BASE LIQUIDACION'!$D$3,IF(V26="TIPO II",'BASE LIQUIDACION'!$D$4,IF(V26="TIPO III",'BASE LIQUIDACION'!$D$5,'BASE LIQUIDACION'!$D$7)))</f>
        <v>44559.984800000006</v>
      </c>
      <c r="AE26" s="62">
        <f>Y26*'BASE LIQUIDACION'!$B$12+Z26*'BASE LIQUIDACION'!$B$11+AA26*'BASE LIQUIDACION'!$B$13+AB26*'BASE LIQUIDACION'!$B$14+AC26*AD26</f>
        <v>113642.86808</v>
      </c>
    </row>
    <row r="27" spans="1:31" s="64" customFormat="1">
      <c r="A27" s="81" t="s">
        <v>171</v>
      </c>
      <c r="B27" s="61" t="str">
        <f>VLOOKUP(A27,'CENTRO DE COSTOS'!A:D,4,FALSE)</f>
        <v>MIGUEL JULIÁN HERNÁNDEZ GUARÍN</v>
      </c>
      <c r="C27" s="61" t="str">
        <f>VLOOKUP(A27,'CENTRO DE COSTOS'!A:C,2,FALSE)</f>
        <v>0004-0008</v>
      </c>
      <c r="D27" s="81">
        <v>68547</v>
      </c>
      <c r="E27" s="82" t="s">
        <v>279</v>
      </c>
      <c r="F27" s="83">
        <v>81172</v>
      </c>
      <c r="G27" s="88" t="s">
        <v>102</v>
      </c>
      <c r="H27" s="84" t="s">
        <v>103</v>
      </c>
      <c r="I27" s="83" t="s">
        <v>173</v>
      </c>
      <c r="J27" s="89" t="s">
        <v>224</v>
      </c>
      <c r="K27" s="83" t="s">
        <v>280</v>
      </c>
      <c r="L27" s="94" t="s">
        <v>106</v>
      </c>
      <c r="M27" s="56" t="s">
        <v>281</v>
      </c>
      <c r="N27" s="85">
        <v>45894</v>
      </c>
      <c r="O27" s="86">
        <v>45895</v>
      </c>
      <c r="P27" s="90" t="s">
        <v>108</v>
      </c>
      <c r="Q27" s="91" t="s">
        <v>108</v>
      </c>
      <c r="R27" s="81" t="s">
        <v>109</v>
      </c>
      <c r="S27" s="87" t="s">
        <v>282</v>
      </c>
      <c r="T27" s="65" t="s">
        <v>111</v>
      </c>
      <c r="U27" s="81" t="s">
        <v>283</v>
      </c>
      <c r="V27" s="89" t="s">
        <v>148</v>
      </c>
      <c r="W27" s="86" t="s">
        <v>114</v>
      </c>
      <c r="X27" s="88" t="s">
        <v>284</v>
      </c>
      <c r="Y27" s="81">
        <v>0</v>
      </c>
      <c r="Z27" s="81">
        <v>0</v>
      </c>
      <c r="AA27" s="81">
        <v>1</v>
      </c>
      <c r="AB27" s="81">
        <v>0</v>
      </c>
      <c r="AC27" s="81">
        <v>0</v>
      </c>
      <c r="AD27" s="62">
        <f>IF(V27="TIPO I",'BASE LIQUIDACION'!$D$3,IF(V27="TIPO II",'BASE LIQUIDACION'!$D$4,IF(V27="TIPO III",'BASE LIQUIDACION'!$D$5,'BASE LIQUIDACION'!$D$7)))</f>
        <v>134410.38956000001</v>
      </c>
      <c r="AE27" s="62">
        <f>Y27*'BASE LIQUIDACION'!$B$12+Z27*'BASE LIQUIDACION'!$B$11+AA27*'BASE LIQUIDACION'!$B$13+AB27*'BASE LIQUIDACION'!$B$14+AC27*AD27</f>
        <v>257391.81956</v>
      </c>
    </row>
    <row r="28" spans="1:31" s="64" customFormat="1">
      <c r="A28" s="81" t="s">
        <v>132</v>
      </c>
      <c r="B28" s="61" t="str">
        <f>VLOOKUP(A28,'CENTRO DE COSTOS'!A:D,4,FALSE)</f>
        <v>DIEGO FERNANDO HENAO CARDONA</v>
      </c>
      <c r="C28" s="61" t="str">
        <f>VLOOKUP(A28,'CENTRO DE COSTOS'!A:C,2,FALSE)</f>
        <v>0004-0003</v>
      </c>
      <c r="D28" s="81">
        <v>76001</v>
      </c>
      <c r="E28" s="82" t="s">
        <v>285</v>
      </c>
      <c r="F28" s="83">
        <v>81060</v>
      </c>
      <c r="G28" s="88" t="s">
        <v>102</v>
      </c>
      <c r="H28" s="84" t="s">
        <v>244</v>
      </c>
      <c r="I28" s="83" t="s">
        <v>134</v>
      </c>
      <c r="J28" s="89" t="s">
        <v>132</v>
      </c>
      <c r="K28" s="83" t="s">
        <v>286</v>
      </c>
      <c r="L28" s="94" t="s">
        <v>106</v>
      </c>
      <c r="M28" s="56" t="s">
        <v>287</v>
      </c>
      <c r="N28" s="85">
        <v>45894</v>
      </c>
      <c r="O28" s="86">
        <v>45895</v>
      </c>
      <c r="P28" s="90" t="s">
        <v>108</v>
      </c>
      <c r="Q28" s="91" t="s">
        <v>108</v>
      </c>
      <c r="R28" s="81" t="s">
        <v>109</v>
      </c>
      <c r="S28" s="87" t="s">
        <v>288</v>
      </c>
      <c r="T28" s="65" t="s">
        <v>111</v>
      </c>
      <c r="U28" s="81" t="s">
        <v>289</v>
      </c>
      <c r="V28" s="89" t="s">
        <v>113</v>
      </c>
      <c r="W28" s="86" t="s">
        <v>114</v>
      </c>
      <c r="X28" s="88" t="s">
        <v>267</v>
      </c>
      <c r="Y28" s="81">
        <v>0</v>
      </c>
      <c r="Z28" s="81">
        <v>0</v>
      </c>
      <c r="AA28" s="81">
        <v>1</v>
      </c>
      <c r="AB28" s="81">
        <v>0</v>
      </c>
      <c r="AC28" s="81">
        <v>0</v>
      </c>
      <c r="AD28" s="62">
        <f>IF(V28="TIPO I",'BASE LIQUIDACION'!$D$3,IF(V28="TIPO II",'BASE LIQUIDACION'!$D$4,IF(V28="TIPO III",'BASE LIQUIDACION'!$D$5,'BASE LIQUIDACION'!$D$7)))</f>
        <v>44559.984800000006</v>
      </c>
      <c r="AE28" s="62">
        <f>Y28*'BASE LIQUIDACION'!$B$12+Z28*'BASE LIQUIDACION'!$B$11+AA28*'BASE LIQUIDACION'!$B$13+AB28*'BASE LIQUIDACION'!$B$14+AC28*AD28</f>
        <v>257391.81956</v>
      </c>
    </row>
    <row r="29" spans="1:31" s="64" customFormat="1">
      <c r="A29" s="81" t="s">
        <v>116</v>
      </c>
      <c r="B29" s="61" t="str">
        <f>VLOOKUP(A29,'CENTRO DE COSTOS'!A:D,4,FALSE)</f>
        <v>WILLIAM ASDRUBAL ROZO ROZO</v>
      </c>
      <c r="C29" s="61" t="str">
        <f>VLOOKUP(A29,'CENTRO DE COSTOS'!A:C,2,FALSE)</f>
        <v>0004-0004</v>
      </c>
      <c r="D29" s="81">
        <v>25899</v>
      </c>
      <c r="E29" s="82" t="s">
        <v>290</v>
      </c>
      <c r="F29" s="83">
        <v>80823</v>
      </c>
      <c r="G29" s="88" t="s">
        <v>102</v>
      </c>
      <c r="H29" s="84" t="s">
        <v>103</v>
      </c>
      <c r="I29" s="83" t="s">
        <v>118</v>
      </c>
      <c r="J29" s="89" t="s">
        <v>291</v>
      </c>
      <c r="K29" s="83" t="s">
        <v>292</v>
      </c>
      <c r="L29" s="94" t="s">
        <v>106</v>
      </c>
      <c r="M29" s="56" t="s">
        <v>293</v>
      </c>
      <c r="N29" s="85">
        <v>45870</v>
      </c>
      <c r="O29" s="86">
        <v>45874</v>
      </c>
      <c r="P29" s="90" t="s">
        <v>108</v>
      </c>
      <c r="Q29" s="91" t="s">
        <v>108</v>
      </c>
      <c r="R29" s="81" t="s">
        <v>294</v>
      </c>
      <c r="S29" s="87" t="s">
        <v>295</v>
      </c>
      <c r="T29" s="65" t="s">
        <v>111</v>
      </c>
      <c r="U29" s="81" t="s">
        <v>296</v>
      </c>
      <c r="V29" s="89" t="s">
        <v>148</v>
      </c>
      <c r="W29" s="86" t="s">
        <v>114</v>
      </c>
      <c r="X29" s="88" t="s">
        <v>297</v>
      </c>
      <c r="Y29" s="81">
        <v>0</v>
      </c>
      <c r="Z29" s="81">
        <v>0</v>
      </c>
      <c r="AA29" s="81">
        <v>0</v>
      </c>
      <c r="AB29" s="81">
        <v>0</v>
      </c>
      <c r="AC29" s="81">
        <v>1</v>
      </c>
      <c r="AD29" s="62">
        <f>IF(V29="TIPO I",'BASE LIQUIDACION'!$D$3,IF(V29="TIPO II",'BASE LIQUIDACION'!$D$4,IF(V29="TIPO III",'BASE LIQUIDACION'!$D$5,'BASE LIQUIDACION'!$D$7)))</f>
        <v>134410.38956000001</v>
      </c>
      <c r="AE29" s="62">
        <f>Y29*'BASE LIQUIDACION'!$B$12+Z29*'BASE LIQUIDACION'!$B$11+AA29*'BASE LIQUIDACION'!$B$13+AB29*'BASE LIQUIDACION'!$B$14+AC29*AD29</f>
        <v>134410.38956000001</v>
      </c>
    </row>
    <row r="30" spans="1:31" s="64" customFormat="1">
      <c r="A30" s="81" t="s">
        <v>230</v>
      </c>
      <c r="B30" s="61" t="str">
        <f>VLOOKUP(A30,'CENTRO DE COSTOS'!A:D,4,FALSE)</f>
        <v>JOSE MAURICIO HERNANDEZ ROJAS</v>
      </c>
      <c r="C30" s="61" t="str">
        <f>VLOOKUP(A30,'CENTRO DE COSTOS'!A:C,2,FALSE)</f>
        <v>0004-0001</v>
      </c>
      <c r="D30" s="81">
        <v>13001</v>
      </c>
      <c r="E30" s="82" t="s">
        <v>298</v>
      </c>
      <c r="F30" s="83">
        <v>80781</v>
      </c>
      <c r="G30" s="88" t="s">
        <v>102</v>
      </c>
      <c r="H30" s="84" t="s">
        <v>103</v>
      </c>
      <c r="I30" s="83" t="s">
        <v>232</v>
      </c>
      <c r="J30" s="89" t="s">
        <v>230</v>
      </c>
      <c r="K30" s="83" t="s">
        <v>299</v>
      </c>
      <c r="L30" s="94" t="s">
        <v>106</v>
      </c>
      <c r="M30" s="56" t="s">
        <v>300</v>
      </c>
      <c r="N30" s="85">
        <v>45870</v>
      </c>
      <c r="O30" s="86">
        <v>45873</v>
      </c>
      <c r="P30" s="90" t="s">
        <v>108</v>
      </c>
      <c r="Q30" s="91" t="s">
        <v>108</v>
      </c>
      <c r="R30" s="81" t="s">
        <v>294</v>
      </c>
      <c r="S30" s="87" t="s">
        <v>301</v>
      </c>
      <c r="T30" s="65" t="s">
        <v>111</v>
      </c>
      <c r="U30" s="81" t="s">
        <v>302</v>
      </c>
      <c r="V30" s="89" t="s">
        <v>113</v>
      </c>
      <c r="W30" s="86" t="s">
        <v>114</v>
      </c>
      <c r="X30" s="88" t="s">
        <v>237</v>
      </c>
      <c r="Y30" s="81">
        <v>0</v>
      </c>
      <c r="Z30" s="81">
        <v>0</v>
      </c>
      <c r="AA30" s="81">
        <v>0</v>
      </c>
      <c r="AB30" s="81">
        <v>0</v>
      </c>
      <c r="AC30" s="81">
        <v>1</v>
      </c>
      <c r="AD30" s="62">
        <f>IF(V30="TIPO I",'BASE LIQUIDACION'!$D$3,IF(V30="TIPO II",'BASE LIQUIDACION'!$D$4,IF(V30="TIPO III",'BASE LIQUIDACION'!$D$5,'BASE LIQUIDACION'!$D$7)))</f>
        <v>44559.984800000006</v>
      </c>
      <c r="AE30" s="62">
        <f>Y30*'BASE LIQUIDACION'!$B$12+Z30*'BASE LIQUIDACION'!$B$11+AA30*'BASE LIQUIDACION'!$B$13+AB30*'BASE LIQUIDACION'!$B$14+AC30*AD30</f>
        <v>44559.984800000006</v>
      </c>
    </row>
    <row r="31" spans="1:31" s="64" customFormat="1">
      <c r="A31" s="81" t="s">
        <v>303</v>
      </c>
      <c r="B31" s="61" t="str">
        <f>VLOOKUP(A31,'CENTRO DE COSTOS'!A:D,4,FALSE)</f>
        <v>MIGUEL JULIÁN HERNÁNDEZ GUARÍN</v>
      </c>
      <c r="C31" s="61" t="str">
        <f>VLOOKUP(A31,'CENTRO DE COSTOS'!A:C,2,FALSE)</f>
        <v>0004-0008</v>
      </c>
      <c r="D31" s="81">
        <v>54874</v>
      </c>
      <c r="E31" s="82" t="s">
        <v>304</v>
      </c>
      <c r="F31" s="83">
        <v>80816</v>
      </c>
      <c r="G31" s="88" t="s">
        <v>102</v>
      </c>
      <c r="H31" s="84" t="s">
        <v>103</v>
      </c>
      <c r="I31" s="83" t="s">
        <v>305</v>
      </c>
      <c r="J31" s="89" t="s">
        <v>306</v>
      </c>
      <c r="K31" s="83" t="s">
        <v>307</v>
      </c>
      <c r="L31" s="94" t="s">
        <v>106</v>
      </c>
      <c r="M31" s="56" t="s">
        <v>308</v>
      </c>
      <c r="N31" s="85">
        <v>45870</v>
      </c>
      <c r="O31" s="86">
        <v>45873</v>
      </c>
      <c r="P31" s="90" t="s">
        <v>108</v>
      </c>
      <c r="Q31" s="91" t="s">
        <v>108</v>
      </c>
      <c r="R31" s="81" t="s">
        <v>294</v>
      </c>
      <c r="S31" s="87" t="s">
        <v>309</v>
      </c>
      <c r="T31" s="65" t="s">
        <v>111</v>
      </c>
      <c r="U31" s="81" t="s">
        <v>310</v>
      </c>
      <c r="V31" s="89" t="s">
        <v>113</v>
      </c>
      <c r="W31" s="86" t="s">
        <v>114</v>
      </c>
      <c r="X31" s="88" t="s">
        <v>311</v>
      </c>
      <c r="Y31" s="81">
        <v>0</v>
      </c>
      <c r="Z31" s="81">
        <v>0</v>
      </c>
      <c r="AA31" s="81">
        <v>0</v>
      </c>
      <c r="AB31" s="81">
        <v>0</v>
      </c>
      <c r="AC31" s="81">
        <v>1</v>
      </c>
      <c r="AD31" s="62">
        <f>IF(V31="TIPO I",'BASE LIQUIDACION'!$D$3,IF(V31="TIPO II",'BASE LIQUIDACION'!$D$4,IF(V31="TIPO III",'BASE LIQUIDACION'!$D$5,'BASE LIQUIDACION'!$D$7)))</f>
        <v>44559.984800000006</v>
      </c>
      <c r="AE31" s="62">
        <f>Y31*'BASE LIQUIDACION'!$B$12+Z31*'BASE LIQUIDACION'!$B$11+AA31*'BASE LIQUIDACION'!$B$13+AB31*'BASE LIQUIDACION'!$B$14+AC31*AD31</f>
        <v>44559.984800000006</v>
      </c>
    </row>
    <row r="32" spans="1:31" s="64" customFormat="1">
      <c r="A32" s="81" t="s">
        <v>100</v>
      </c>
      <c r="B32" s="61" t="str">
        <f>VLOOKUP(A32,'CENTRO DE COSTOS'!A:D,4,FALSE)</f>
        <v>JUAN SEBASTIÁN RÍOS CASTRILLÓN</v>
      </c>
      <c r="C32" s="61" t="str">
        <f>VLOOKUP(A32,'CENTRO DE COSTOS'!A:C,2,FALSE)</f>
        <v>0004-0005</v>
      </c>
      <c r="D32" s="81">
        <v>5642</v>
      </c>
      <c r="E32" s="82" t="s">
        <v>312</v>
      </c>
      <c r="F32" s="83">
        <v>80842</v>
      </c>
      <c r="G32" s="88" t="s">
        <v>102</v>
      </c>
      <c r="H32" s="84" t="s">
        <v>313</v>
      </c>
      <c r="I32" s="83" t="s">
        <v>104</v>
      </c>
      <c r="J32" s="89" t="s">
        <v>314</v>
      </c>
      <c r="K32" s="83" t="s">
        <v>315</v>
      </c>
      <c r="L32" s="94" t="s">
        <v>106</v>
      </c>
      <c r="M32" s="56" t="s">
        <v>316</v>
      </c>
      <c r="N32" s="85">
        <v>45875</v>
      </c>
      <c r="O32" s="86">
        <v>45880</v>
      </c>
      <c r="P32" s="90" t="s">
        <v>317</v>
      </c>
      <c r="Q32" s="91" t="s">
        <v>318</v>
      </c>
      <c r="R32" s="81" t="s">
        <v>294</v>
      </c>
      <c r="S32" s="87" t="s">
        <v>319</v>
      </c>
      <c r="T32" s="65" t="s">
        <v>111</v>
      </c>
      <c r="U32" s="81" t="s">
        <v>320</v>
      </c>
      <c r="V32" s="89" t="s">
        <v>148</v>
      </c>
      <c r="W32" s="86" t="s">
        <v>114</v>
      </c>
      <c r="X32" s="88" t="s">
        <v>321</v>
      </c>
      <c r="Y32" s="81">
        <v>0</v>
      </c>
      <c r="Z32" s="81">
        <v>0</v>
      </c>
      <c r="AA32" s="81">
        <v>0</v>
      </c>
      <c r="AB32" s="81">
        <v>0</v>
      </c>
      <c r="AC32" s="81">
        <v>1</v>
      </c>
      <c r="AD32" s="62">
        <f>IF(V32="TIPO I",'BASE LIQUIDACION'!$D$3,IF(V32="TIPO II",'BASE LIQUIDACION'!$D$4,IF(V32="TIPO III",'BASE LIQUIDACION'!$D$5,'BASE LIQUIDACION'!$D$7)))</f>
        <v>134410.38956000001</v>
      </c>
      <c r="AE32" s="62">
        <f>Y32*'BASE LIQUIDACION'!$B$12+Z32*'BASE LIQUIDACION'!$B$11+AA32*'BASE LIQUIDACION'!$B$13+AB32*'BASE LIQUIDACION'!$B$14+AC32*AD32</f>
        <v>134410.38956000001</v>
      </c>
    </row>
    <row r="33" spans="1:31" s="64" customFormat="1">
      <c r="A33" s="81" t="s">
        <v>322</v>
      </c>
      <c r="B33" s="61" t="str">
        <f>VLOOKUP(A33,'CENTRO DE COSTOS'!A:D,4,FALSE)</f>
        <v>KEVIN ALEXIS CORZO BUSTOS</v>
      </c>
      <c r="C33" s="61" t="str">
        <f>VLOOKUP(A33,'CENTRO DE COSTOS'!A:C,2,FALSE)</f>
        <v>0004-0007</v>
      </c>
      <c r="D33" s="81">
        <v>50006</v>
      </c>
      <c r="E33" s="82" t="s">
        <v>323</v>
      </c>
      <c r="F33" s="83">
        <v>80861</v>
      </c>
      <c r="G33" s="88" t="s">
        <v>102</v>
      </c>
      <c r="H33" s="84" t="s">
        <v>103</v>
      </c>
      <c r="I33" s="83" t="s">
        <v>324</v>
      </c>
      <c r="J33" s="89" t="s">
        <v>325</v>
      </c>
      <c r="K33" s="83" t="s">
        <v>326</v>
      </c>
      <c r="L33" s="94" t="s">
        <v>106</v>
      </c>
      <c r="M33" s="56" t="s">
        <v>327</v>
      </c>
      <c r="N33" s="85">
        <v>45875</v>
      </c>
      <c r="O33" s="95">
        <v>45884</v>
      </c>
      <c r="P33" s="90" t="s">
        <v>108</v>
      </c>
      <c r="Q33" s="91" t="s">
        <v>108</v>
      </c>
      <c r="R33" s="81" t="s">
        <v>109</v>
      </c>
      <c r="S33" s="87" t="s">
        <v>328</v>
      </c>
      <c r="T33" s="65" t="s">
        <v>111</v>
      </c>
      <c r="U33" s="81" t="s">
        <v>329</v>
      </c>
      <c r="V33" s="89" t="s">
        <v>148</v>
      </c>
      <c r="W33" s="86" t="s">
        <v>114</v>
      </c>
      <c r="X33" s="88" t="s">
        <v>330</v>
      </c>
      <c r="Y33" s="81">
        <v>0</v>
      </c>
      <c r="Z33" s="81">
        <v>0</v>
      </c>
      <c r="AA33" s="81">
        <v>0</v>
      </c>
      <c r="AB33" s="81">
        <v>0</v>
      </c>
      <c r="AC33" s="81">
        <v>1</v>
      </c>
      <c r="AD33" s="62">
        <f>IF(V33="TIPO I",'BASE LIQUIDACION'!$D$3,IF(V33="TIPO II",'BASE LIQUIDACION'!$D$4,IF(V33="TIPO III",'BASE LIQUIDACION'!$D$5,'BASE LIQUIDACION'!$D$7)))</f>
        <v>134410.38956000001</v>
      </c>
      <c r="AE33" s="62">
        <f>Y33*'BASE LIQUIDACION'!$B$12+Z33*'BASE LIQUIDACION'!$B$11+AA33*'BASE LIQUIDACION'!$B$13+AB33*'BASE LIQUIDACION'!$B$14+AC33*AD33</f>
        <v>134410.38956000001</v>
      </c>
    </row>
    <row r="34" spans="1:31" s="64" customFormat="1">
      <c r="A34" s="81" t="s">
        <v>180</v>
      </c>
      <c r="B34" s="61" t="str">
        <f>VLOOKUP(A34,'CENTRO DE COSTOS'!A:D,4,FALSE)</f>
        <v>KEVIN ALEXIS CORZO BUSTOS</v>
      </c>
      <c r="C34" s="61" t="str">
        <f>VLOOKUP(A34,'CENTRO DE COSTOS'!A:C,2,FALSE)</f>
        <v>0004-0007</v>
      </c>
      <c r="D34" s="81">
        <v>85250</v>
      </c>
      <c r="E34" s="82" t="s">
        <v>331</v>
      </c>
      <c r="F34" s="83">
        <v>80906</v>
      </c>
      <c r="G34" s="88" t="s">
        <v>102</v>
      </c>
      <c r="H34" s="84" t="s">
        <v>103</v>
      </c>
      <c r="I34" s="83" t="s">
        <v>182</v>
      </c>
      <c r="J34" s="89" t="s">
        <v>332</v>
      </c>
      <c r="K34" s="83" t="s">
        <v>333</v>
      </c>
      <c r="L34" s="94" t="s">
        <v>106</v>
      </c>
      <c r="M34" s="56" t="s">
        <v>334</v>
      </c>
      <c r="N34" s="85">
        <v>45875</v>
      </c>
      <c r="O34" s="86">
        <v>45880</v>
      </c>
      <c r="P34" s="90" t="s">
        <v>108</v>
      </c>
      <c r="Q34" s="91" t="s">
        <v>108</v>
      </c>
      <c r="R34" s="81" t="s">
        <v>294</v>
      </c>
      <c r="S34" s="87" t="s">
        <v>335</v>
      </c>
      <c r="T34" s="65" t="s">
        <v>111</v>
      </c>
      <c r="U34" s="81" t="s">
        <v>336</v>
      </c>
      <c r="V34" s="89" t="s">
        <v>148</v>
      </c>
      <c r="W34" s="86" t="s">
        <v>114</v>
      </c>
      <c r="X34" s="88" t="s">
        <v>188</v>
      </c>
      <c r="Y34" s="81">
        <v>0</v>
      </c>
      <c r="Z34" s="81">
        <v>0</v>
      </c>
      <c r="AA34" s="81">
        <v>0</v>
      </c>
      <c r="AB34" s="81">
        <v>0</v>
      </c>
      <c r="AC34" s="81">
        <v>1</v>
      </c>
      <c r="AD34" s="62">
        <f>IF(V34="TIPO I",'BASE LIQUIDACION'!$D$3,IF(V34="TIPO II",'BASE LIQUIDACION'!$D$4,IF(V34="TIPO III",'BASE LIQUIDACION'!$D$5,'BASE LIQUIDACION'!$D$7)))</f>
        <v>134410.38956000001</v>
      </c>
      <c r="AE34" s="62">
        <f>Y34*'BASE LIQUIDACION'!$B$12+Z34*'BASE LIQUIDACION'!$B$11+AA34*'BASE LIQUIDACION'!$B$13+AB34*'BASE LIQUIDACION'!$B$14+AC34*AD34</f>
        <v>134410.38956000001</v>
      </c>
    </row>
    <row r="35" spans="1:31" s="64" customFormat="1">
      <c r="A35" s="81" t="s">
        <v>132</v>
      </c>
      <c r="B35" s="61" t="str">
        <f>VLOOKUP(A35,'CENTRO DE COSTOS'!A:D,4,FALSE)</f>
        <v>DIEGO FERNANDO HENAO CARDONA</v>
      </c>
      <c r="C35" s="61" t="str">
        <f>VLOOKUP(A35,'CENTRO DE COSTOS'!A:C,2,FALSE)</f>
        <v>0004-0003</v>
      </c>
      <c r="D35" s="81">
        <v>19845</v>
      </c>
      <c r="E35" s="82" t="s">
        <v>337</v>
      </c>
      <c r="F35" s="83">
        <v>80922</v>
      </c>
      <c r="G35" s="88" t="s">
        <v>102</v>
      </c>
      <c r="H35" s="84" t="s">
        <v>103</v>
      </c>
      <c r="I35" s="83" t="s">
        <v>338</v>
      </c>
      <c r="J35" s="89" t="s">
        <v>339</v>
      </c>
      <c r="K35" s="83" t="s">
        <v>340</v>
      </c>
      <c r="L35" s="94" t="s">
        <v>106</v>
      </c>
      <c r="M35" s="56" t="s">
        <v>341</v>
      </c>
      <c r="N35" s="85">
        <v>45875</v>
      </c>
      <c r="O35" s="86">
        <v>45882</v>
      </c>
      <c r="P35" s="90" t="s">
        <v>108</v>
      </c>
      <c r="Q35" s="91" t="s">
        <v>108</v>
      </c>
      <c r="R35" s="81" t="s">
        <v>109</v>
      </c>
      <c r="S35" s="87" t="s">
        <v>342</v>
      </c>
      <c r="T35" s="65" t="s">
        <v>111</v>
      </c>
      <c r="U35" s="81" t="s">
        <v>343</v>
      </c>
      <c r="V35" s="89" t="s">
        <v>344</v>
      </c>
      <c r="W35" s="86" t="s">
        <v>114</v>
      </c>
      <c r="X35" s="88" t="s">
        <v>209</v>
      </c>
      <c r="Y35" s="81">
        <v>0</v>
      </c>
      <c r="Z35" s="81">
        <v>0</v>
      </c>
      <c r="AA35" s="81">
        <v>0</v>
      </c>
      <c r="AB35" s="81">
        <v>0</v>
      </c>
      <c r="AC35" s="81">
        <v>1</v>
      </c>
      <c r="AD35" s="62">
        <f>IF(V35="TIPO I",'BASE LIQUIDACION'!$D$3,IF(V35="TIPO II",'BASE LIQUIDACION'!$D$4,IF(V35="TIPO III",'BASE LIQUIDACION'!$D$5,'BASE LIQUIDACION'!$D$7)))</f>
        <v>464809.03136000002</v>
      </c>
      <c r="AE35" s="62">
        <f>Y35*'BASE LIQUIDACION'!$B$12+Z35*'BASE LIQUIDACION'!$B$11+AA35*'BASE LIQUIDACION'!$B$13+AB35*'BASE LIQUIDACION'!$B$14+AC35*AD35</f>
        <v>464809.03136000002</v>
      </c>
    </row>
    <row r="36" spans="1:31" s="64" customFormat="1">
      <c r="A36" s="81" t="s">
        <v>140</v>
      </c>
      <c r="B36" s="61" t="str">
        <f>VLOOKUP(A36,'CENTRO DE COSTOS'!A:D,4,FALSE)</f>
        <v>MIGUEL JULIÁN HERNÁNDEZ GUARÍN</v>
      </c>
      <c r="C36" s="61" t="str">
        <f>VLOOKUP(A36,'CENTRO DE COSTOS'!A:C,2,FALSE)</f>
        <v>0004-0008</v>
      </c>
      <c r="D36" s="81">
        <v>15272</v>
      </c>
      <c r="E36" s="82" t="s">
        <v>345</v>
      </c>
      <c r="F36" s="83">
        <v>80893</v>
      </c>
      <c r="G36" s="88" t="s">
        <v>102</v>
      </c>
      <c r="H36" s="84" t="s">
        <v>103</v>
      </c>
      <c r="I36" s="83" t="s">
        <v>142</v>
      </c>
      <c r="J36" s="89" t="s">
        <v>346</v>
      </c>
      <c r="K36" s="83" t="s">
        <v>347</v>
      </c>
      <c r="L36" s="94" t="s">
        <v>106</v>
      </c>
      <c r="M36" s="56" t="s">
        <v>348</v>
      </c>
      <c r="N36" s="85">
        <v>45875</v>
      </c>
      <c r="O36" s="86">
        <v>45881</v>
      </c>
      <c r="P36" s="90" t="s">
        <v>108</v>
      </c>
      <c r="Q36" s="91" t="s">
        <v>108</v>
      </c>
      <c r="R36" s="81" t="s">
        <v>294</v>
      </c>
      <c r="S36" s="87" t="s">
        <v>349</v>
      </c>
      <c r="T36" s="65" t="s">
        <v>111</v>
      </c>
      <c r="U36" s="81" t="s">
        <v>350</v>
      </c>
      <c r="V36" s="89" t="s">
        <v>148</v>
      </c>
      <c r="W36" s="86" t="s">
        <v>114</v>
      </c>
      <c r="X36" s="88" t="s">
        <v>351</v>
      </c>
      <c r="Y36" s="81">
        <v>0</v>
      </c>
      <c r="Z36" s="81">
        <v>0</v>
      </c>
      <c r="AA36" s="81">
        <v>0</v>
      </c>
      <c r="AB36" s="81">
        <v>0</v>
      </c>
      <c r="AC36" s="81">
        <v>1</v>
      </c>
      <c r="AD36" s="62">
        <f>IF(V36="TIPO I",'BASE LIQUIDACION'!$D$3,IF(V36="TIPO II",'BASE LIQUIDACION'!$D$4,IF(V36="TIPO III",'BASE LIQUIDACION'!$D$5,'BASE LIQUIDACION'!$D$7)))</f>
        <v>134410.38956000001</v>
      </c>
      <c r="AE36" s="62">
        <f>Y36*'BASE LIQUIDACION'!$B$12+Z36*'BASE LIQUIDACION'!$B$11+AA36*'BASE LIQUIDACION'!$B$13+AB36*'BASE LIQUIDACION'!$B$14+AC36*AD36</f>
        <v>134410.38956000001</v>
      </c>
    </row>
    <row r="37" spans="1:31" s="64" customFormat="1">
      <c r="A37" s="81" t="s">
        <v>116</v>
      </c>
      <c r="B37" s="61" t="str">
        <f>VLOOKUP(A37,'CENTRO DE COSTOS'!A:D,4,FALSE)</f>
        <v>WILLIAM ASDRUBAL ROZO ROZO</v>
      </c>
      <c r="C37" s="61" t="str">
        <f>VLOOKUP(A37,'CENTRO DE COSTOS'!A:C,2,FALSE)</f>
        <v>0004-0004</v>
      </c>
      <c r="D37" s="81">
        <v>11001</v>
      </c>
      <c r="E37" s="82" t="s">
        <v>352</v>
      </c>
      <c r="F37" s="83">
        <v>80934</v>
      </c>
      <c r="G37" s="88" t="s">
        <v>102</v>
      </c>
      <c r="H37" s="84" t="s">
        <v>103</v>
      </c>
      <c r="I37" s="83" t="s">
        <v>118</v>
      </c>
      <c r="J37" s="89" t="s">
        <v>116</v>
      </c>
      <c r="K37" s="83" t="s">
        <v>353</v>
      </c>
      <c r="L37" s="94" t="s">
        <v>106</v>
      </c>
      <c r="M37" s="56" t="s">
        <v>354</v>
      </c>
      <c r="N37" s="85">
        <v>45880</v>
      </c>
      <c r="O37" s="86">
        <v>45883</v>
      </c>
      <c r="P37" s="90" t="s">
        <v>108</v>
      </c>
      <c r="Q37" s="91" t="s">
        <v>108</v>
      </c>
      <c r="R37" s="81" t="s">
        <v>109</v>
      </c>
      <c r="S37" s="87" t="s">
        <v>355</v>
      </c>
      <c r="T37" s="65" t="s">
        <v>111</v>
      </c>
      <c r="U37" s="81" t="s">
        <v>356</v>
      </c>
      <c r="V37" s="89" t="s">
        <v>113</v>
      </c>
      <c r="W37" s="86" t="s">
        <v>114</v>
      </c>
      <c r="X37" s="88" t="s">
        <v>357</v>
      </c>
      <c r="Y37" s="81">
        <v>0</v>
      </c>
      <c r="Z37" s="81">
        <v>0</v>
      </c>
      <c r="AA37" s="81">
        <v>0</v>
      </c>
      <c r="AB37" s="81">
        <v>0</v>
      </c>
      <c r="AC37" s="81">
        <v>1</v>
      </c>
      <c r="AD37" s="62">
        <f>IF(V37="TIPO I",'BASE LIQUIDACION'!$D$3,IF(V37="TIPO II",'BASE LIQUIDACION'!$D$4,IF(V37="TIPO III",'BASE LIQUIDACION'!$D$5,'BASE LIQUIDACION'!$D$7)))</f>
        <v>44559.984800000006</v>
      </c>
      <c r="AE37" s="62">
        <f>Y37*'BASE LIQUIDACION'!$B$12+Z37*'BASE LIQUIDACION'!$B$11+AA37*'BASE LIQUIDACION'!$B$13+AB37*'BASE LIQUIDACION'!$B$14+AC37*AD37</f>
        <v>44559.984800000006</v>
      </c>
    </row>
    <row r="38" spans="1:31" s="64" customFormat="1">
      <c r="A38" s="81" t="s">
        <v>100</v>
      </c>
      <c r="B38" s="61" t="str">
        <f>VLOOKUP(A38,'CENTRO DE COSTOS'!A:D,4,FALSE)</f>
        <v>JUAN SEBASTIÁN RÍOS CASTRILLÓN</v>
      </c>
      <c r="C38" s="61" t="str">
        <f>VLOOKUP(A38,'CENTRO DE COSTOS'!A:C,2,FALSE)</f>
        <v>0004-0005</v>
      </c>
      <c r="D38" s="81">
        <v>5790</v>
      </c>
      <c r="E38" s="82" t="s">
        <v>358</v>
      </c>
      <c r="F38" s="83">
        <v>80964</v>
      </c>
      <c r="G38" s="88" t="s">
        <v>102</v>
      </c>
      <c r="H38" s="84" t="s">
        <v>103</v>
      </c>
      <c r="I38" s="83" t="s">
        <v>104</v>
      </c>
      <c r="J38" s="89" t="s">
        <v>359</v>
      </c>
      <c r="K38" s="83" t="s">
        <v>360</v>
      </c>
      <c r="L38" s="94" t="s">
        <v>106</v>
      </c>
      <c r="M38" s="56" t="s">
        <v>361</v>
      </c>
      <c r="N38" s="85">
        <v>45880</v>
      </c>
      <c r="O38" s="86">
        <v>45883</v>
      </c>
      <c r="P38" s="90" t="s">
        <v>108</v>
      </c>
      <c r="Q38" s="91" t="s">
        <v>108</v>
      </c>
      <c r="R38" s="81" t="s">
        <v>294</v>
      </c>
      <c r="S38" s="87" t="s">
        <v>362</v>
      </c>
      <c r="T38" s="65" t="s">
        <v>111</v>
      </c>
      <c r="U38" s="81" t="s">
        <v>363</v>
      </c>
      <c r="V38" s="89" t="s">
        <v>344</v>
      </c>
      <c r="W38" s="86" t="s">
        <v>114</v>
      </c>
      <c r="X38" s="88" t="s">
        <v>364</v>
      </c>
      <c r="Y38" s="81">
        <v>0</v>
      </c>
      <c r="Z38" s="81">
        <v>0</v>
      </c>
      <c r="AA38" s="81">
        <v>0</v>
      </c>
      <c r="AB38" s="81">
        <v>0</v>
      </c>
      <c r="AC38" s="81">
        <v>1</v>
      </c>
      <c r="AD38" s="62">
        <f>IF(V38="TIPO I",'BASE LIQUIDACION'!$D$3,IF(V38="TIPO II",'BASE LIQUIDACION'!$D$4,IF(V38="TIPO III",'BASE LIQUIDACION'!$D$5,'BASE LIQUIDACION'!$D$7)))</f>
        <v>464809.03136000002</v>
      </c>
      <c r="AE38" s="62">
        <f>Y38*'BASE LIQUIDACION'!$B$12+Z38*'BASE LIQUIDACION'!$B$11+AA38*'BASE LIQUIDACION'!$B$13+AB38*'BASE LIQUIDACION'!$B$14+AC38*AD38</f>
        <v>464809.03136000002</v>
      </c>
    </row>
    <row r="39" spans="1:31" s="64" customFormat="1">
      <c r="A39" s="81" t="s">
        <v>365</v>
      </c>
      <c r="B39" s="61" t="str">
        <f>VLOOKUP(A39,'CENTRO DE COSTOS'!A:D,4,FALSE)</f>
        <v>KEVIN ALEXIS CORZO BUSTOS</v>
      </c>
      <c r="C39" s="61" t="str">
        <f>VLOOKUP(A39,'CENTRO DE COSTOS'!A:C,2,FALSE)</f>
        <v>0004-0007</v>
      </c>
      <c r="D39" s="81">
        <v>18001</v>
      </c>
      <c r="E39" s="82" t="s">
        <v>366</v>
      </c>
      <c r="F39" s="83">
        <v>81013</v>
      </c>
      <c r="G39" s="88" t="s">
        <v>102</v>
      </c>
      <c r="H39" s="84" t="s">
        <v>313</v>
      </c>
      <c r="I39" s="83" t="s">
        <v>367</v>
      </c>
      <c r="J39" s="89" t="s">
        <v>368</v>
      </c>
      <c r="K39" s="83" t="s">
        <v>369</v>
      </c>
      <c r="L39" s="94" t="s">
        <v>106</v>
      </c>
      <c r="M39" s="56" t="s">
        <v>370</v>
      </c>
      <c r="N39" s="85">
        <v>45882</v>
      </c>
      <c r="O39" s="86">
        <v>45883</v>
      </c>
      <c r="P39" s="90" t="s">
        <v>317</v>
      </c>
      <c r="Q39" s="91" t="s">
        <v>371</v>
      </c>
      <c r="R39" s="81" t="s">
        <v>294</v>
      </c>
      <c r="S39" s="87" t="s">
        <v>372</v>
      </c>
      <c r="T39" s="65" t="s">
        <v>111</v>
      </c>
      <c r="U39" s="81" t="s">
        <v>373</v>
      </c>
      <c r="V39" s="89" t="s">
        <v>344</v>
      </c>
      <c r="W39" s="86" t="s">
        <v>114</v>
      </c>
      <c r="X39" s="88" t="s">
        <v>374</v>
      </c>
      <c r="Y39" s="81">
        <v>0</v>
      </c>
      <c r="Z39" s="81">
        <v>0</v>
      </c>
      <c r="AA39" s="81">
        <v>0</v>
      </c>
      <c r="AB39" s="81">
        <v>0</v>
      </c>
      <c r="AC39" s="81">
        <v>1</v>
      </c>
      <c r="AD39" s="62">
        <f>IF(V39="TIPO I",'BASE LIQUIDACION'!$D$3,IF(V39="TIPO II",'BASE LIQUIDACION'!$D$4,IF(V39="TIPO III",'BASE LIQUIDACION'!$D$5,'BASE LIQUIDACION'!$D$7)))</f>
        <v>464809.03136000002</v>
      </c>
      <c r="AE39" s="62">
        <f>Y39*'BASE LIQUIDACION'!$B$12+Z39*'BASE LIQUIDACION'!$B$11+AA39*'BASE LIQUIDACION'!$B$13+AB39*'BASE LIQUIDACION'!$B$14+AC39*AD39</f>
        <v>464809.03136000002</v>
      </c>
    </row>
    <row r="40" spans="1:31" s="64" customFormat="1">
      <c r="A40" s="81" t="s">
        <v>375</v>
      </c>
      <c r="B40" s="61" t="str">
        <f>VLOOKUP(A40,'CENTRO DE COSTOS'!A:D,4,FALSE)</f>
        <v>DIEGO FERNANDO HENAO CARDONA</v>
      </c>
      <c r="C40" s="61" t="str">
        <f>VLOOKUP(A40,'CENTRO DE COSTOS'!A:C,2,FALSE)</f>
        <v>0004-0003</v>
      </c>
      <c r="D40" s="81">
        <v>52001</v>
      </c>
      <c r="E40" s="82" t="s">
        <v>376</v>
      </c>
      <c r="F40" s="83">
        <v>81017</v>
      </c>
      <c r="G40" s="88" t="s">
        <v>102</v>
      </c>
      <c r="H40" s="84" t="s">
        <v>313</v>
      </c>
      <c r="I40" s="83" t="s">
        <v>377</v>
      </c>
      <c r="J40" s="89" t="s">
        <v>375</v>
      </c>
      <c r="K40" s="83" t="s">
        <v>378</v>
      </c>
      <c r="L40" s="94" t="s">
        <v>106</v>
      </c>
      <c r="M40" s="56" t="s">
        <v>379</v>
      </c>
      <c r="N40" s="85">
        <v>45882</v>
      </c>
      <c r="O40" s="86">
        <v>45884</v>
      </c>
      <c r="P40" s="90" t="s">
        <v>317</v>
      </c>
      <c r="Q40" s="91" t="s">
        <v>371</v>
      </c>
      <c r="R40" s="81" t="s">
        <v>294</v>
      </c>
      <c r="S40" s="87" t="s">
        <v>380</v>
      </c>
      <c r="T40" s="65" t="s">
        <v>111</v>
      </c>
      <c r="U40" s="81" t="s">
        <v>381</v>
      </c>
      <c r="V40" s="89" t="s">
        <v>113</v>
      </c>
      <c r="W40" s="86" t="s">
        <v>114</v>
      </c>
      <c r="X40" s="88" t="s">
        <v>382</v>
      </c>
      <c r="Y40" s="81">
        <v>0</v>
      </c>
      <c r="Z40" s="81">
        <v>0</v>
      </c>
      <c r="AA40" s="81">
        <v>0</v>
      </c>
      <c r="AB40" s="81">
        <v>0</v>
      </c>
      <c r="AC40" s="81">
        <v>1</v>
      </c>
      <c r="AD40" s="62">
        <f>IF(V40="TIPO I",'BASE LIQUIDACION'!$D$3,IF(V40="TIPO II",'BASE LIQUIDACION'!$D$4,IF(V40="TIPO III",'BASE LIQUIDACION'!$D$5,'BASE LIQUIDACION'!$D$7)))</f>
        <v>44559.984800000006</v>
      </c>
      <c r="AE40" s="62">
        <f>Y40*'BASE LIQUIDACION'!$B$12+Z40*'BASE LIQUIDACION'!$B$11+AA40*'BASE LIQUIDACION'!$B$13+AB40*'BASE LIQUIDACION'!$B$14+AC40*AD40</f>
        <v>44559.984800000006</v>
      </c>
    </row>
    <row r="41" spans="1:31" s="64" customFormat="1">
      <c r="A41" s="81" t="s">
        <v>375</v>
      </c>
      <c r="B41" s="61" t="str">
        <f>VLOOKUP(A41,'CENTRO DE COSTOS'!A:D,4,FALSE)</f>
        <v>DIEGO FERNANDO HENAO CARDONA</v>
      </c>
      <c r="C41" s="61" t="str">
        <f>VLOOKUP(A41,'CENTRO DE COSTOS'!A:C,2,FALSE)</f>
        <v>0004-0003</v>
      </c>
      <c r="D41" s="81">
        <v>52110</v>
      </c>
      <c r="E41" s="82" t="s">
        <v>383</v>
      </c>
      <c r="F41" s="83">
        <v>81000</v>
      </c>
      <c r="G41" s="88" t="s">
        <v>102</v>
      </c>
      <c r="H41" s="84" t="s">
        <v>313</v>
      </c>
      <c r="I41" s="83" t="s">
        <v>377</v>
      </c>
      <c r="J41" s="89" t="s">
        <v>384</v>
      </c>
      <c r="K41" s="83" t="s">
        <v>385</v>
      </c>
      <c r="L41" s="94" t="s">
        <v>106</v>
      </c>
      <c r="M41" s="56" t="s">
        <v>386</v>
      </c>
      <c r="N41" s="85">
        <v>45882</v>
      </c>
      <c r="O41" s="86">
        <v>45883</v>
      </c>
      <c r="P41" s="90" t="s">
        <v>317</v>
      </c>
      <c r="Q41" s="91" t="s">
        <v>371</v>
      </c>
      <c r="R41" s="81" t="s">
        <v>294</v>
      </c>
      <c r="S41" s="87" t="s">
        <v>387</v>
      </c>
      <c r="T41" s="65" t="s">
        <v>111</v>
      </c>
      <c r="U41" s="81" t="s">
        <v>388</v>
      </c>
      <c r="V41" s="89" t="s">
        <v>148</v>
      </c>
      <c r="W41" s="86" t="s">
        <v>114</v>
      </c>
      <c r="X41" s="88" t="s">
        <v>382</v>
      </c>
      <c r="Y41" s="81">
        <v>0</v>
      </c>
      <c r="Z41" s="81">
        <v>0</v>
      </c>
      <c r="AA41" s="81">
        <v>0</v>
      </c>
      <c r="AB41" s="81">
        <v>0</v>
      </c>
      <c r="AC41" s="81">
        <v>1</v>
      </c>
      <c r="AD41" s="62">
        <f>IF(V41="TIPO I",'BASE LIQUIDACION'!$D$3,IF(V41="TIPO II",'BASE LIQUIDACION'!$D$4,IF(V41="TIPO III",'BASE LIQUIDACION'!$D$5,'BASE LIQUIDACION'!$D$7)))</f>
        <v>134410.38956000001</v>
      </c>
      <c r="AE41" s="62">
        <f>Y41*'BASE LIQUIDACION'!$B$12+Z41*'BASE LIQUIDACION'!$B$11+AA41*'BASE LIQUIDACION'!$B$13+AB41*'BASE LIQUIDACION'!$B$14+AC41*AD41</f>
        <v>134410.38956000001</v>
      </c>
    </row>
    <row r="42" spans="1:31" s="64" customFormat="1">
      <c r="A42" s="81" t="s">
        <v>132</v>
      </c>
      <c r="B42" s="65" t="str">
        <f>VLOOKUP(A42,'CENTRO DE COSTOS'!A:D,4,FALSE)</f>
        <v>DIEGO FERNANDO HENAO CARDONA</v>
      </c>
      <c r="C42" s="65" t="str">
        <f>VLOOKUP(A42,'CENTRO DE COSTOS'!A:C,2,FALSE)</f>
        <v>0004-0003</v>
      </c>
      <c r="D42" s="81">
        <v>76001</v>
      </c>
      <c r="E42" s="82" t="s">
        <v>389</v>
      </c>
      <c r="F42" s="83">
        <v>81002</v>
      </c>
      <c r="G42" s="88" t="s">
        <v>102</v>
      </c>
      <c r="H42" s="84" t="s">
        <v>313</v>
      </c>
      <c r="I42" s="83" t="s">
        <v>134</v>
      </c>
      <c r="J42" s="89" t="s">
        <v>132</v>
      </c>
      <c r="K42" s="83" t="s">
        <v>390</v>
      </c>
      <c r="L42" s="94" t="s">
        <v>106</v>
      </c>
      <c r="M42" s="56" t="s">
        <v>391</v>
      </c>
      <c r="N42" s="85">
        <v>45882</v>
      </c>
      <c r="O42" s="86">
        <v>45883</v>
      </c>
      <c r="P42" s="90" t="s">
        <v>317</v>
      </c>
      <c r="Q42" s="91" t="s">
        <v>371</v>
      </c>
      <c r="R42" s="81" t="s">
        <v>294</v>
      </c>
      <c r="S42" s="87" t="s">
        <v>392</v>
      </c>
      <c r="T42" s="65" t="s">
        <v>111</v>
      </c>
      <c r="U42" s="81" t="s">
        <v>393</v>
      </c>
      <c r="V42" s="89" t="s">
        <v>113</v>
      </c>
      <c r="W42" s="86" t="s">
        <v>114</v>
      </c>
      <c r="X42" s="88" t="s">
        <v>209</v>
      </c>
      <c r="Y42" s="81">
        <v>0</v>
      </c>
      <c r="Z42" s="81">
        <v>0</v>
      </c>
      <c r="AA42" s="81">
        <v>0</v>
      </c>
      <c r="AB42" s="81">
        <v>0</v>
      </c>
      <c r="AC42" s="81">
        <v>1</v>
      </c>
      <c r="AD42" s="78">
        <f>IF(V42="TIPO I",'BASE LIQUIDACION'!$D$3,IF(V42="TIPO II",'BASE LIQUIDACION'!$D$4,IF(V42="TIPO III",'BASE LIQUIDACION'!$D$5,'BASE LIQUIDACION'!$D$7)))</f>
        <v>44559.984800000006</v>
      </c>
      <c r="AE42" s="78">
        <f>Y42*'BASE LIQUIDACION'!$B$12+Z42*'BASE LIQUIDACION'!$B$11+AA42*'BASE LIQUIDACION'!$B$13+AB42*'BASE LIQUIDACION'!$B$14+AC42*AD42</f>
        <v>44559.984800000006</v>
      </c>
    </row>
    <row r="43" spans="1:31" s="64" customFormat="1">
      <c r="A43" s="81" t="s">
        <v>375</v>
      </c>
      <c r="B43" s="65" t="str">
        <f>VLOOKUP(A43,'CENTRO DE COSTOS'!A:D,4,FALSE)</f>
        <v>DIEGO FERNANDO HENAO CARDONA</v>
      </c>
      <c r="C43" s="65" t="str">
        <f>VLOOKUP(A43,'CENTRO DE COSTOS'!A:C,2,FALSE)</f>
        <v>0004-0003</v>
      </c>
      <c r="D43" s="81">
        <v>52356</v>
      </c>
      <c r="E43" s="82" t="s">
        <v>394</v>
      </c>
      <c r="F43" s="83">
        <v>37745</v>
      </c>
      <c r="G43" s="88" t="s">
        <v>102</v>
      </c>
      <c r="H43" s="84" t="s">
        <v>395</v>
      </c>
      <c r="I43" s="83" t="s">
        <v>377</v>
      </c>
      <c r="J43" s="89" t="s">
        <v>396</v>
      </c>
      <c r="K43" s="83" t="s">
        <v>397</v>
      </c>
      <c r="L43" s="94" t="s">
        <v>106</v>
      </c>
      <c r="M43" s="56" t="s">
        <v>398</v>
      </c>
      <c r="N43" s="85">
        <v>45888</v>
      </c>
      <c r="O43" s="86">
        <v>45890</v>
      </c>
      <c r="P43" s="90" t="s">
        <v>108</v>
      </c>
      <c r="Q43" s="91" t="s">
        <v>108</v>
      </c>
      <c r="R43" s="81" t="s">
        <v>109</v>
      </c>
      <c r="S43" s="87" t="s">
        <v>399</v>
      </c>
      <c r="T43" s="65" t="s">
        <v>111</v>
      </c>
      <c r="U43" s="81" t="s">
        <v>400</v>
      </c>
      <c r="V43" s="89" t="s">
        <v>148</v>
      </c>
      <c r="W43" s="86" t="s">
        <v>114</v>
      </c>
      <c r="X43" s="88" t="s">
        <v>401</v>
      </c>
      <c r="Y43" s="81">
        <v>0</v>
      </c>
      <c r="Z43" s="81">
        <v>0</v>
      </c>
      <c r="AA43" s="81">
        <v>0</v>
      </c>
      <c r="AB43" s="81">
        <v>0</v>
      </c>
      <c r="AC43" s="81">
        <v>1</v>
      </c>
      <c r="AD43" s="77">
        <f>IF(V43="TIPO I",'BASE LIQUIDACION'!$D$3,IF(V43="TIPO II",'BASE LIQUIDACION'!$D$4,IF(V43="TIPO III",'BASE LIQUIDACION'!$D$5,'BASE LIQUIDACION'!$D$7)))</f>
        <v>134410.38956000001</v>
      </c>
      <c r="AE43" s="77">
        <f>Y43*'BASE LIQUIDACION'!$B$12+Z43*'BASE LIQUIDACION'!$B$11+AA43*'BASE LIQUIDACION'!$B$13+AB43*'BASE LIQUIDACION'!$B$14+AC43*AD43</f>
        <v>134410.38956000001</v>
      </c>
    </row>
    <row r="44" spans="1:31" s="64" customFormat="1">
      <c r="A44" s="81" t="s">
        <v>100</v>
      </c>
      <c r="B44" s="65" t="str">
        <f>VLOOKUP(A44,'CENTRO DE COSTOS'!A:D,4,FALSE)</f>
        <v>JUAN SEBASTIÁN RÍOS CASTRILLÓN</v>
      </c>
      <c r="C44" s="65" t="str">
        <f>VLOOKUP(A44,'CENTRO DE COSTOS'!A:C,2,FALSE)</f>
        <v>0004-0005</v>
      </c>
      <c r="D44" s="81">
        <v>5790</v>
      </c>
      <c r="E44" s="82" t="s">
        <v>402</v>
      </c>
      <c r="F44" s="83">
        <v>81116</v>
      </c>
      <c r="G44" s="88" t="s">
        <v>102</v>
      </c>
      <c r="H44" s="84" t="s">
        <v>313</v>
      </c>
      <c r="I44" s="83" t="s">
        <v>104</v>
      </c>
      <c r="J44" s="89" t="s">
        <v>359</v>
      </c>
      <c r="K44" s="83" t="s">
        <v>403</v>
      </c>
      <c r="L44" s="94" t="s">
        <v>106</v>
      </c>
      <c r="M44" s="56" t="s">
        <v>404</v>
      </c>
      <c r="N44" s="85">
        <v>45890</v>
      </c>
      <c r="O44" s="86">
        <v>45895</v>
      </c>
      <c r="P44" s="90" t="s">
        <v>317</v>
      </c>
      <c r="Q44" s="91" t="s">
        <v>371</v>
      </c>
      <c r="R44" s="81" t="s">
        <v>294</v>
      </c>
      <c r="S44" s="87" t="s">
        <v>405</v>
      </c>
      <c r="T44" s="65" t="s">
        <v>111</v>
      </c>
      <c r="U44" s="81" t="s">
        <v>406</v>
      </c>
      <c r="V44" s="89" t="s">
        <v>344</v>
      </c>
      <c r="W44" s="86" t="s">
        <v>114</v>
      </c>
      <c r="X44" s="88" t="s">
        <v>115</v>
      </c>
      <c r="Y44" s="81">
        <v>0</v>
      </c>
      <c r="Z44" s="81">
        <v>0</v>
      </c>
      <c r="AA44" s="81">
        <v>0</v>
      </c>
      <c r="AB44" s="81">
        <v>0</v>
      </c>
      <c r="AC44" s="81">
        <v>1</v>
      </c>
      <c r="AD44" s="77">
        <f>IF(V44="TIPO I",'BASE LIQUIDACION'!$D$3,IF(V44="TIPO II",'BASE LIQUIDACION'!$D$4,IF(V44="TIPO III",'BASE LIQUIDACION'!$D$5,'BASE LIQUIDACION'!$D$7)))</f>
        <v>464809.03136000002</v>
      </c>
      <c r="AE44" s="77">
        <f>Y44*'BASE LIQUIDACION'!$B$12+Z44*'BASE LIQUIDACION'!$B$11+AA44*'BASE LIQUIDACION'!$B$13+AB44*'BASE LIQUIDACION'!$B$14+AC44*AD44</f>
        <v>464809.03136000002</v>
      </c>
    </row>
    <row r="45" spans="1:31" s="64" customFormat="1">
      <c r="A45" s="81" t="s">
        <v>124</v>
      </c>
      <c r="B45" s="65" t="str">
        <f>VLOOKUP(A45,'CENTRO DE COSTOS'!A:D,4,FALSE)</f>
        <v>DIEGO FERNANDO HENAO CARDONA</v>
      </c>
      <c r="C45" s="65" t="str">
        <f>VLOOKUP(A45,'CENTRO DE COSTOS'!A:C,2,FALSE)</f>
        <v>0004-0002</v>
      </c>
      <c r="D45" s="81">
        <v>66318</v>
      </c>
      <c r="E45" s="82" t="s">
        <v>407</v>
      </c>
      <c r="F45" s="83">
        <v>81139</v>
      </c>
      <c r="G45" s="88" t="s">
        <v>102</v>
      </c>
      <c r="H45" s="84" t="s">
        <v>103</v>
      </c>
      <c r="I45" s="83" t="s">
        <v>126</v>
      </c>
      <c r="J45" s="89" t="s">
        <v>408</v>
      </c>
      <c r="K45" s="83" t="s">
        <v>409</v>
      </c>
      <c r="L45" s="94" t="s">
        <v>106</v>
      </c>
      <c r="M45" s="56" t="s">
        <v>410</v>
      </c>
      <c r="N45" s="85">
        <v>45890</v>
      </c>
      <c r="O45" s="86">
        <v>45898</v>
      </c>
      <c r="P45" s="90" t="s">
        <v>108</v>
      </c>
      <c r="Q45" s="91" t="s">
        <v>108</v>
      </c>
      <c r="R45" s="81" t="s">
        <v>109</v>
      </c>
      <c r="S45" s="87" t="s">
        <v>411</v>
      </c>
      <c r="T45" s="65" t="s">
        <v>111</v>
      </c>
      <c r="U45" s="81" t="s">
        <v>412</v>
      </c>
      <c r="V45" s="89" t="s">
        <v>148</v>
      </c>
      <c r="W45" s="86" t="s">
        <v>114</v>
      </c>
      <c r="X45" s="88" t="s">
        <v>413</v>
      </c>
      <c r="Y45" s="81">
        <v>0</v>
      </c>
      <c r="Z45" s="81">
        <v>0</v>
      </c>
      <c r="AA45" s="81">
        <v>0</v>
      </c>
      <c r="AB45" s="81">
        <v>0</v>
      </c>
      <c r="AC45" s="81">
        <v>1</v>
      </c>
      <c r="AD45" s="77">
        <f>IF(V45="TIPO I",'BASE LIQUIDACION'!$D$3,IF(V45="TIPO II",'BASE LIQUIDACION'!$D$4,IF(V45="TIPO III",'BASE LIQUIDACION'!$D$5,'BASE LIQUIDACION'!$D$7)))</f>
        <v>134410.38956000001</v>
      </c>
      <c r="AE45" s="77">
        <f>Y45*'BASE LIQUIDACION'!$B$12+Z45*'BASE LIQUIDACION'!$B$11+AA45*'BASE LIQUIDACION'!$B$13+AB45*'BASE LIQUIDACION'!$B$14+AC45*AD45</f>
        <v>134410.38956000001</v>
      </c>
    </row>
    <row r="46" spans="1:31" s="64" customFormat="1">
      <c r="A46" s="81" t="s">
        <v>100</v>
      </c>
      <c r="B46" s="65" t="str">
        <f>VLOOKUP(A46,'CENTRO DE COSTOS'!A:D,4,FALSE)</f>
        <v>JUAN SEBASTIÁN RÍOS CASTRILLÓN</v>
      </c>
      <c r="C46" s="65" t="str">
        <f>VLOOKUP(A46,'CENTRO DE COSTOS'!A:C,2,FALSE)</f>
        <v>0004-0005</v>
      </c>
      <c r="D46" s="81">
        <v>5237</v>
      </c>
      <c r="E46" s="82" t="s">
        <v>414</v>
      </c>
      <c r="F46" s="83">
        <v>81131</v>
      </c>
      <c r="G46" s="88" t="s">
        <v>102</v>
      </c>
      <c r="H46" s="84" t="s">
        <v>103</v>
      </c>
      <c r="I46" s="83" t="s">
        <v>104</v>
      </c>
      <c r="J46" s="89" t="s">
        <v>415</v>
      </c>
      <c r="K46" s="83" t="s">
        <v>416</v>
      </c>
      <c r="L46" s="94" t="s">
        <v>106</v>
      </c>
      <c r="M46" s="56" t="s">
        <v>417</v>
      </c>
      <c r="N46" s="85">
        <v>45890</v>
      </c>
      <c r="O46" s="86">
        <v>45891</v>
      </c>
      <c r="P46" s="90" t="s">
        <v>108</v>
      </c>
      <c r="Q46" s="91" t="s">
        <v>108</v>
      </c>
      <c r="R46" s="81" t="s">
        <v>294</v>
      </c>
      <c r="S46" s="87" t="s">
        <v>418</v>
      </c>
      <c r="T46" s="65" t="s">
        <v>111</v>
      </c>
      <c r="U46" s="81" t="s">
        <v>419</v>
      </c>
      <c r="V46" s="89" t="s">
        <v>148</v>
      </c>
      <c r="W46" s="86" t="s">
        <v>114</v>
      </c>
      <c r="X46" s="88" t="s">
        <v>420</v>
      </c>
      <c r="Y46" s="81">
        <v>0</v>
      </c>
      <c r="Z46" s="81">
        <v>0</v>
      </c>
      <c r="AA46" s="81">
        <v>0</v>
      </c>
      <c r="AB46" s="81">
        <v>0</v>
      </c>
      <c r="AC46" s="81">
        <v>1</v>
      </c>
      <c r="AD46" s="77">
        <f>IF(V46="TIPO I",'BASE LIQUIDACION'!$D$3,IF(V46="TIPO II",'BASE LIQUIDACION'!$D$4,IF(V46="TIPO III",'BASE LIQUIDACION'!$D$5,'BASE LIQUIDACION'!$D$7)))</f>
        <v>134410.38956000001</v>
      </c>
      <c r="AE46" s="77">
        <f>Y46*'BASE LIQUIDACION'!$B$12+Z46*'BASE LIQUIDACION'!$B$11+AA46*'BASE LIQUIDACION'!$B$13+AB46*'BASE LIQUIDACION'!$B$14+AC46*AD46</f>
        <v>134410.38956000001</v>
      </c>
    </row>
    <row r="47" spans="1:31" s="4" customFormat="1">
      <c r="A47" s="81" t="s">
        <v>421</v>
      </c>
      <c r="B47" s="65" t="str">
        <f>VLOOKUP(A47,'CENTRO DE COSTOS'!A:D,4,FALSE)</f>
        <v>DIEGO FERNANDO HENAO CARDONA</v>
      </c>
      <c r="C47" s="65" t="str">
        <f>VLOOKUP(A47,'CENTRO DE COSTOS'!A:C,2,FALSE)</f>
        <v>0004-0002</v>
      </c>
      <c r="D47" s="81">
        <v>17001</v>
      </c>
      <c r="E47" s="82" t="s">
        <v>422</v>
      </c>
      <c r="F47" s="83">
        <v>81211</v>
      </c>
      <c r="G47" s="88" t="s">
        <v>102</v>
      </c>
      <c r="H47" s="84" t="s">
        <v>103</v>
      </c>
      <c r="I47" s="83" t="s">
        <v>423</v>
      </c>
      <c r="J47" s="89" t="s">
        <v>421</v>
      </c>
      <c r="K47" s="83" t="s">
        <v>424</v>
      </c>
      <c r="L47" s="94" t="s">
        <v>106</v>
      </c>
      <c r="M47" s="56" t="s">
        <v>425</v>
      </c>
      <c r="N47" s="85">
        <v>45896</v>
      </c>
      <c r="O47" s="86">
        <v>45898</v>
      </c>
      <c r="P47" s="90" t="s">
        <v>108</v>
      </c>
      <c r="Q47" s="91" t="s">
        <v>108</v>
      </c>
      <c r="R47" s="81" t="s">
        <v>294</v>
      </c>
      <c r="S47" s="87" t="s">
        <v>426</v>
      </c>
      <c r="T47" s="65" t="s">
        <v>111</v>
      </c>
      <c r="U47" s="81" t="s">
        <v>427</v>
      </c>
      <c r="V47" s="89" t="s">
        <v>113</v>
      </c>
      <c r="W47" s="86" t="s">
        <v>114</v>
      </c>
      <c r="X47" s="88" t="s">
        <v>428</v>
      </c>
      <c r="Y47" s="81">
        <v>0</v>
      </c>
      <c r="Z47" s="81">
        <v>0</v>
      </c>
      <c r="AA47" s="81">
        <v>0</v>
      </c>
      <c r="AB47" s="81">
        <v>0</v>
      </c>
      <c r="AC47" s="81">
        <v>1</v>
      </c>
      <c r="AD47" s="77">
        <f>IF(V47="TIPO I",'BASE LIQUIDACION'!$D$3,IF(V47="TIPO II",'BASE LIQUIDACION'!$D$4,IF(V47="TIPO III",'BASE LIQUIDACION'!$D$5,'BASE LIQUIDACION'!$D$7)))</f>
        <v>44559.984800000006</v>
      </c>
      <c r="AE47" s="77">
        <f>Y47*'BASE LIQUIDACION'!$B$12+Z47*'BASE LIQUIDACION'!$B$11+AA47*'BASE LIQUIDACION'!$B$13+AB47*'BASE LIQUIDACION'!$B$14+AC47*AD47</f>
        <v>44559.984800000006</v>
      </c>
    </row>
    <row r="48" spans="1:31" s="4" customFormat="1">
      <c r="A48" s="81" t="s">
        <v>100</v>
      </c>
      <c r="B48" s="65" t="str">
        <f>VLOOKUP(A48,'CENTRO DE COSTOS'!A:D,4,FALSE)</f>
        <v>JUAN SEBASTIÁN RÍOS CASTRILLÓN</v>
      </c>
      <c r="C48" s="65" t="str">
        <f>VLOOKUP(A48,'CENTRO DE COSTOS'!A:C,2,FALSE)</f>
        <v>0004-0005</v>
      </c>
      <c r="D48" s="81">
        <v>5264</v>
      </c>
      <c r="E48" s="82" t="s">
        <v>429</v>
      </c>
      <c r="F48" s="83">
        <v>81221</v>
      </c>
      <c r="G48" s="88" t="s">
        <v>102</v>
      </c>
      <c r="H48" s="84" t="s">
        <v>313</v>
      </c>
      <c r="I48" s="83" t="s">
        <v>104</v>
      </c>
      <c r="J48" s="89" t="s">
        <v>430</v>
      </c>
      <c r="K48" s="83" t="s">
        <v>431</v>
      </c>
      <c r="L48" s="94" t="s">
        <v>106</v>
      </c>
      <c r="M48" s="56" t="s">
        <v>432</v>
      </c>
      <c r="N48" s="85">
        <v>45896</v>
      </c>
      <c r="O48" s="86">
        <v>45897</v>
      </c>
      <c r="P48" s="90" t="s">
        <v>317</v>
      </c>
      <c r="Q48" s="91" t="s">
        <v>371</v>
      </c>
      <c r="R48" s="81" t="s">
        <v>294</v>
      </c>
      <c r="S48" s="87" t="s">
        <v>433</v>
      </c>
      <c r="T48" s="65" t="s">
        <v>111</v>
      </c>
      <c r="U48" s="81" t="s">
        <v>434</v>
      </c>
      <c r="V48" s="89" t="s">
        <v>148</v>
      </c>
      <c r="W48" s="86" t="s">
        <v>114</v>
      </c>
      <c r="X48" s="88" t="s">
        <v>364</v>
      </c>
      <c r="Y48" s="81">
        <v>0</v>
      </c>
      <c r="Z48" s="81">
        <v>0</v>
      </c>
      <c r="AA48" s="81">
        <v>0</v>
      </c>
      <c r="AB48" s="81">
        <v>0</v>
      </c>
      <c r="AC48" s="81">
        <v>1</v>
      </c>
      <c r="AD48" s="77">
        <f>IF(V48="TIPO I",'BASE LIQUIDACION'!$D$3,IF(V48="TIPO II",'BASE LIQUIDACION'!$D$4,IF(V48="TIPO III",'BASE LIQUIDACION'!$D$5,'BASE LIQUIDACION'!$D$7)))</f>
        <v>134410.38956000001</v>
      </c>
      <c r="AE48" s="77">
        <f>Y48*'BASE LIQUIDACION'!$B$12+Z48*'BASE LIQUIDACION'!$B$11+AA48*'BASE LIQUIDACION'!$B$13+AB48*'BASE LIQUIDACION'!$B$14+AC48*AD48</f>
        <v>134410.38956000001</v>
      </c>
    </row>
    <row r="49" spans="1:31" s="4" customFormat="1">
      <c r="A49" s="81" t="s">
        <v>375</v>
      </c>
      <c r="B49" s="65" t="str">
        <f>VLOOKUP(A49,'CENTRO DE COSTOS'!A:D,4,FALSE)</f>
        <v>DIEGO FERNANDO HENAO CARDONA</v>
      </c>
      <c r="C49" s="65" t="str">
        <f>VLOOKUP(A49,'CENTRO DE COSTOS'!A:C,2,FALSE)</f>
        <v>0004-0003</v>
      </c>
      <c r="D49" s="81">
        <v>52399</v>
      </c>
      <c r="E49" s="82" t="s">
        <v>435</v>
      </c>
      <c r="F49" s="83">
        <v>81227</v>
      </c>
      <c r="G49" s="88" t="s">
        <v>102</v>
      </c>
      <c r="H49" s="84" t="s">
        <v>313</v>
      </c>
      <c r="I49" s="83" t="s">
        <v>377</v>
      </c>
      <c r="J49" s="89" t="s">
        <v>436</v>
      </c>
      <c r="K49" s="83" t="s">
        <v>437</v>
      </c>
      <c r="L49" s="94" t="s">
        <v>106</v>
      </c>
      <c r="M49" s="56" t="s">
        <v>438</v>
      </c>
      <c r="N49" s="85">
        <v>45896</v>
      </c>
      <c r="O49" s="86">
        <v>45898</v>
      </c>
      <c r="P49" s="90" t="s">
        <v>317</v>
      </c>
      <c r="Q49" s="91" t="s">
        <v>371</v>
      </c>
      <c r="R49" s="81" t="s">
        <v>294</v>
      </c>
      <c r="S49" s="87" t="s">
        <v>439</v>
      </c>
      <c r="T49" s="65" t="s">
        <v>111</v>
      </c>
      <c r="U49" s="81" t="s">
        <v>440</v>
      </c>
      <c r="V49" s="89" t="s">
        <v>202</v>
      </c>
      <c r="W49" s="86" t="s">
        <v>114</v>
      </c>
      <c r="X49" s="88" t="s">
        <v>441</v>
      </c>
      <c r="Y49" s="81">
        <v>0</v>
      </c>
      <c r="Z49" s="81">
        <v>0</v>
      </c>
      <c r="AA49" s="81">
        <v>0</v>
      </c>
      <c r="AB49" s="81">
        <v>0</v>
      </c>
      <c r="AC49" s="81">
        <v>1</v>
      </c>
      <c r="AD49" s="77">
        <f>IF(V49="TIPO I",'BASE LIQUIDACION'!$D$3,IF(V49="TIPO II",'BASE LIQUIDACION'!$D$4,IF(V49="TIPO III",'BASE LIQUIDACION'!$D$5,'BASE LIQUIDACION'!$D$7)))</f>
        <v>222904.27188000001</v>
      </c>
      <c r="AE49" s="77">
        <f>Y49*'BASE LIQUIDACION'!$B$12+Z49*'BASE LIQUIDACION'!$B$11+AA49*'BASE LIQUIDACION'!$B$13+AB49*'BASE LIQUIDACION'!$B$14+AC49*AD49</f>
        <v>222904.27188000001</v>
      </c>
    </row>
    <row r="50" spans="1:31" s="4" customFormat="1">
      <c r="A50" s="81" t="s">
        <v>100</v>
      </c>
      <c r="B50" s="65" t="str">
        <f>VLOOKUP(A50,'CENTRO DE COSTOS'!A:D,4,FALSE)</f>
        <v>JUAN SEBASTIÁN RÍOS CASTRILLÓN</v>
      </c>
      <c r="C50" s="65" t="str">
        <f>VLOOKUP(A50,'CENTRO DE COSTOS'!A:C,2,FALSE)</f>
        <v>0004-0005</v>
      </c>
      <c r="D50" s="81">
        <v>5031</v>
      </c>
      <c r="E50" s="82" t="s">
        <v>442</v>
      </c>
      <c r="F50" s="83">
        <v>81225</v>
      </c>
      <c r="G50" s="88" t="s">
        <v>102</v>
      </c>
      <c r="H50" s="84" t="s">
        <v>313</v>
      </c>
      <c r="I50" s="83" t="s">
        <v>104</v>
      </c>
      <c r="J50" s="89" t="s">
        <v>443</v>
      </c>
      <c r="K50" s="83" t="s">
        <v>444</v>
      </c>
      <c r="L50" s="94" t="s">
        <v>106</v>
      </c>
      <c r="M50" s="56" t="s">
        <v>445</v>
      </c>
      <c r="N50" s="85">
        <v>45896</v>
      </c>
      <c r="O50" s="86">
        <v>45897</v>
      </c>
      <c r="P50" s="90" t="s">
        <v>317</v>
      </c>
      <c r="Q50" s="90" t="s">
        <v>371</v>
      </c>
      <c r="R50" s="90" t="s">
        <v>294</v>
      </c>
      <c r="S50" s="90" t="s">
        <v>446</v>
      </c>
      <c r="T50" s="90" t="s">
        <v>111</v>
      </c>
      <c r="U50" s="90" t="s">
        <v>447</v>
      </c>
      <c r="V50" s="90" t="s">
        <v>344</v>
      </c>
      <c r="W50" s="90" t="s">
        <v>114</v>
      </c>
      <c r="X50" s="90" t="s">
        <v>448</v>
      </c>
      <c r="Y50" s="81">
        <v>0</v>
      </c>
      <c r="Z50" s="81">
        <v>0</v>
      </c>
      <c r="AA50" s="81">
        <v>0</v>
      </c>
      <c r="AB50" s="81">
        <v>0</v>
      </c>
      <c r="AC50" s="81">
        <v>1</v>
      </c>
      <c r="AD50" s="77">
        <f>IF(V50="TIPO I",'BASE LIQUIDACION'!$D$3,IF(V50="TIPO II",'BASE LIQUIDACION'!$D$4,IF(V50="TIPO III",'BASE LIQUIDACION'!$D$5,'BASE LIQUIDACION'!$D$7)))</f>
        <v>464809.03136000002</v>
      </c>
      <c r="AE50" s="77">
        <f>Y50*'BASE LIQUIDACION'!$B$12+Z50*'BASE LIQUIDACION'!$B$11+AA50*'BASE LIQUIDACION'!$B$13+AB50*'BASE LIQUIDACION'!$B$14+AC50*AD50</f>
        <v>464809.03136000002</v>
      </c>
    </row>
    <row r="51" spans="1:31" s="4" customFormat="1">
      <c r="A51" s="106" t="s">
        <v>303</v>
      </c>
      <c r="B51" s="65" t="str">
        <f>VLOOKUP(A51,'CENTRO DE COSTOS'!A:D,4,FALSE)</f>
        <v>MIGUEL JULIÁN HERNÁNDEZ GUARÍN</v>
      </c>
      <c r="C51" s="65" t="str">
        <f>VLOOKUP(A51,'CENTRO DE COSTOS'!A:C,2,FALSE)</f>
        <v>0004-0008</v>
      </c>
      <c r="D51" s="81">
        <v>54498</v>
      </c>
      <c r="E51" s="81" t="s">
        <v>449</v>
      </c>
      <c r="F51" s="81">
        <v>80745</v>
      </c>
      <c r="G51" s="88" t="s">
        <v>102</v>
      </c>
      <c r="H51" s="84" t="s">
        <v>103</v>
      </c>
      <c r="I51" s="84" t="s">
        <v>305</v>
      </c>
      <c r="J51" s="84" t="s">
        <v>450</v>
      </c>
      <c r="K51" s="84" t="s">
        <v>451</v>
      </c>
      <c r="L51" s="84"/>
      <c r="M51" s="56" t="s">
        <v>452</v>
      </c>
      <c r="N51" s="85">
        <v>45868</v>
      </c>
      <c r="O51" s="85">
        <v>45870</v>
      </c>
      <c r="P51" s="90" t="s">
        <v>108</v>
      </c>
      <c r="Q51" s="90" t="s">
        <v>108</v>
      </c>
      <c r="R51" s="90" t="s">
        <v>109</v>
      </c>
      <c r="S51" s="90" t="s">
        <v>453</v>
      </c>
      <c r="T51" s="90" t="s">
        <v>111</v>
      </c>
      <c r="U51" s="90" t="s">
        <v>454</v>
      </c>
      <c r="V51" s="90" t="s">
        <v>344</v>
      </c>
      <c r="W51" s="90" t="s">
        <v>114</v>
      </c>
      <c r="X51" s="90" t="s">
        <v>229</v>
      </c>
      <c r="Y51" s="81">
        <v>0</v>
      </c>
      <c r="Z51" s="81">
        <v>0</v>
      </c>
      <c r="AA51" s="81">
        <v>1</v>
      </c>
      <c r="AB51" s="81">
        <v>0</v>
      </c>
      <c r="AC51" s="81">
        <v>0</v>
      </c>
      <c r="AD51" s="77">
        <f>IF(V51="TIPO I",'BASE LIQUIDACION'!$D$3,IF(V51="TIPO II",'BASE LIQUIDACION'!$D$4,IF(V51="TIPO III",'BASE LIQUIDACION'!$D$5,'BASE LIQUIDACION'!$D$7)))</f>
        <v>464809.03136000002</v>
      </c>
      <c r="AE51" s="77">
        <f>Y51*'BASE LIQUIDACION'!$B$12+Z51*'BASE LIQUIDACION'!$B$11+AA51*'BASE LIQUIDACION'!$B$13+AB51*'BASE LIQUIDACION'!$B$14+AC51*AD51</f>
        <v>257391.81956</v>
      </c>
    </row>
    <row r="52" spans="1:31">
      <c r="AE52" s="79">
        <f>SUM(AE3:AE51)</f>
        <v>9390985.836240001</v>
      </c>
    </row>
  </sheetData>
  <autoFilter ref="A2:AE52" xr:uid="{00000000-0001-0000-0200-000000000000}"/>
  <conditionalFormatting sqref="E52:E1048576">
    <cfRule type="duplicateValues" dxfId="92" priority="991"/>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89DEF-41E2-49DC-8AFA-FDE8A0192E8C}">
  <sheetPr>
    <tabColor theme="8" tint="0.39997558519241921"/>
  </sheetPr>
  <dimension ref="A1:AE5"/>
  <sheetViews>
    <sheetView tabSelected="1" topLeftCell="E1" workbookViewId="0">
      <selection activeCell="O19" sqref="O19"/>
    </sheetView>
  </sheetViews>
  <sheetFormatPr baseColWidth="10" defaultRowHeight="12.75"/>
  <cols>
    <col min="5" max="5" width="13.42578125" bestFit="1" customWidth="1"/>
    <col min="11" max="11" width="13.7109375" bestFit="1" customWidth="1"/>
    <col min="12" max="12" width="14.5703125" bestFit="1" customWidth="1"/>
    <col min="13" max="13" width="28.42578125" bestFit="1" customWidth="1"/>
    <col min="16" max="16" width="13" bestFit="1" customWidth="1"/>
    <col min="24" max="24" width="31.28515625" bestFit="1" customWidth="1"/>
  </cols>
  <sheetData>
    <row r="1" spans="1:31" ht="76.5">
      <c r="A1" s="93" t="s">
        <v>71</v>
      </c>
      <c r="B1" s="93" t="s">
        <v>43</v>
      </c>
      <c r="C1" s="93" t="s">
        <v>44</v>
      </c>
      <c r="D1" s="93" t="s">
        <v>72</v>
      </c>
      <c r="E1" s="93" t="s">
        <v>73</v>
      </c>
      <c r="F1" s="93" t="s">
        <v>74</v>
      </c>
      <c r="G1" s="57" t="s">
        <v>75</v>
      </c>
      <c r="H1" s="57" t="s">
        <v>76</v>
      </c>
      <c r="I1" s="93" t="s">
        <v>77</v>
      </c>
      <c r="J1" s="93" t="s">
        <v>78</v>
      </c>
      <c r="K1" s="93" t="s">
        <v>79</v>
      </c>
      <c r="L1" s="93" t="s">
        <v>80</v>
      </c>
      <c r="M1" s="93" t="s">
        <v>81</v>
      </c>
      <c r="N1" s="80" t="s">
        <v>82</v>
      </c>
      <c r="O1" s="80" t="s">
        <v>83</v>
      </c>
      <c r="P1" s="58" t="s">
        <v>84</v>
      </c>
      <c r="Q1" s="58" t="s">
        <v>85</v>
      </c>
      <c r="R1" s="59" t="s">
        <v>86</v>
      </c>
      <c r="S1" s="59" t="s">
        <v>87</v>
      </c>
      <c r="T1" s="93" t="s">
        <v>88</v>
      </c>
      <c r="U1" s="59" t="s">
        <v>89</v>
      </c>
      <c r="V1" s="58" t="s">
        <v>90</v>
      </c>
      <c r="W1" s="58" t="s">
        <v>91</v>
      </c>
      <c r="X1" s="59" t="s">
        <v>92</v>
      </c>
      <c r="Y1" s="147" t="s">
        <v>93</v>
      </c>
      <c r="Z1" s="147" t="s">
        <v>94</v>
      </c>
      <c r="AA1" s="147" t="s">
        <v>95</v>
      </c>
      <c r="AB1" s="147" t="s">
        <v>96</v>
      </c>
      <c r="AC1" s="120" t="s">
        <v>97</v>
      </c>
      <c r="AD1" s="119" t="s">
        <v>98</v>
      </c>
      <c r="AE1" s="147" t="s">
        <v>99</v>
      </c>
    </row>
    <row r="2" spans="1:31">
      <c r="A2" s="145" t="s">
        <v>100</v>
      </c>
      <c r="B2" s="145"/>
      <c r="C2" s="145" t="s">
        <v>58</v>
      </c>
      <c r="D2" s="145" t="s">
        <v>2289</v>
      </c>
      <c r="E2" s="145" t="s">
        <v>2290</v>
      </c>
      <c r="F2" s="145" t="s">
        <v>2291</v>
      </c>
      <c r="G2" s="145" t="s">
        <v>102</v>
      </c>
      <c r="H2" s="145" t="s">
        <v>313</v>
      </c>
      <c r="I2" s="145" t="s">
        <v>104</v>
      </c>
      <c r="J2" s="145" t="s">
        <v>537</v>
      </c>
      <c r="K2" s="145" t="s">
        <v>2292</v>
      </c>
      <c r="L2" s="145" t="s">
        <v>2293</v>
      </c>
      <c r="M2" s="145" t="s">
        <v>2294</v>
      </c>
      <c r="N2" s="145"/>
      <c r="O2" s="145"/>
      <c r="P2" s="145" t="s">
        <v>317</v>
      </c>
      <c r="Q2" s="145" t="s">
        <v>371</v>
      </c>
      <c r="R2" s="145" t="s">
        <v>2295</v>
      </c>
      <c r="S2" s="145" t="s">
        <v>2296</v>
      </c>
      <c r="T2" s="145" t="s">
        <v>2297</v>
      </c>
      <c r="U2" s="145"/>
      <c r="V2" s="145" t="s">
        <v>113</v>
      </c>
      <c r="W2" s="145" t="s">
        <v>114</v>
      </c>
      <c r="X2" s="145" t="s">
        <v>2298</v>
      </c>
      <c r="Y2" s="145">
        <v>0</v>
      </c>
      <c r="Z2" s="145">
        <v>0</v>
      </c>
      <c r="AA2" s="145">
        <v>0</v>
      </c>
      <c r="AB2" s="145">
        <v>0</v>
      </c>
      <c r="AC2" s="145">
        <v>1</v>
      </c>
      <c r="AD2" s="145">
        <v>44560</v>
      </c>
      <c r="AE2" s="145">
        <v>44560</v>
      </c>
    </row>
    <row r="5" spans="1:31">
      <c r="A5" s="146" t="s">
        <v>100</v>
      </c>
      <c r="B5" s="146"/>
      <c r="C5" s="146" t="s">
        <v>58</v>
      </c>
      <c r="D5" s="146" t="s">
        <v>2289</v>
      </c>
      <c r="E5" s="146" t="s">
        <v>2290</v>
      </c>
      <c r="F5" s="146" t="s">
        <v>2291</v>
      </c>
      <c r="G5" s="146" t="s">
        <v>102</v>
      </c>
      <c r="H5" s="146" t="s">
        <v>313</v>
      </c>
      <c r="I5" s="146" t="s">
        <v>104</v>
      </c>
      <c r="J5" s="146" t="s">
        <v>537</v>
      </c>
      <c r="K5" s="146" t="s">
        <v>2292</v>
      </c>
      <c r="L5" s="146" t="s">
        <v>2293</v>
      </c>
      <c r="M5" s="146" t="s">
        <v>2294</v>
      </c>
      <c r="N5" s="146"/>
      <c r="O5" s="146"/>
      <c r="P5" s="146" t="s">
        <v>317</v>
      </c>
      <c r="Q5" s="146" t="s">
        <v>371</v>
      </c>
      <c r="R5" s="146" t="s">
        <v>2295</v>
      </c>
      <c r="S5" s="146" t="s">
        <v>2296</v>
      </c>
      <c r="T5" s="146" t="s">
        <v>2297</v>
      </c>
      <c r="U5" s="146"/>
      <c r="V5" s="146" t="s">
        <v>113</v>
      </c>
      <c r="W5" s="146" t="s">
        <v>114</v>
      </c>
      <c r="X5" s="146" t="s">
        <v>2298</v>
      </c>
      <c r="Y5" s="146">
        <v>200000</v>
      </c>
      <c r="Z5" s="146">
        <v>0</v>
      </c>
      <c r="AA5" s="146">
        <v>0</v>
      </c>
      <c r="AB5" s="146">
        <v>0</v>
      </c>
      <c r="AC5" s="146" t="s">
        <v>2299</v>
      </c>
      <c r="AD5" s="146">
        <v>0</v>
      </c>
      <c r="AE5" s="146">
        <v>244560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F77D-E178-4EA9-B086-9B27EF477197}">
  <dimension ref="A1:F1124"/>
  <sheetViews>
    <sheetView workbookViewId="0">
      <selection activeCell="I25" sqref="I25"/>
    </sheetView>
  </sheetViews>
  <sheetFormatPr baseColWidth="10" defaultColWidth="8.85546875" defaultRowHeight="12.75"/>
  <cols>
    <col min="1" max="6" width="15.85546875" customWidth="1"/>
  </cols>
  <sheetData>
    <row r="1" spans="1:6" ht="42.75">
      <c r="A1" s="32" t="s">
        <v>455</v>
      </c>
      <c r="B1" s="33" t="s">
        <v>78</v>
      </c>
      <c r="C1" s="33" t="s">
        <v>77</v>
      </c>
      <c r="D1" s="33" t="s">
        <v>456</v>
      </c>
      <c r="E1" s="34" t="s">
        <v>457</v>
      </c>
      <c r="F1" s="34" t="s">
        <v>458</v>
      </c>
    </row>
    <row r="2" spans="1:6" ht="13.5">
      <c r="A2" s="35">
        <v>91430</v>
      </c>
      <c r="B2" s="36" t="s">
        <v>459</v>
      </c>
      <c r="C2" s="37" t="s">
        <v>460</v>
      </c>
      <c r="D2" s="37" t="s">
        <v>116</v>
      </c>
      <c r="E2" s="37" t="s">
        <v>461</v>
      </c>
      <c r="F2" s="38" t="s">
        <v>462</v>
      </c>
    </row>
    <row r="3" spans="1:6" ht="13.5">
      <c r="A3" s="35">
        <v>91669</v>
      </c>
      <c r="B3" s="36" t="s">
        <v>463</v>
      </c>
      <c r="C3" s="37" t="s">
        <v>460</v>
      </c>
      <c r="D3" s="37" t="s">
        <v>116</v>
      </c>
      <c r="E3" s="37" t="s">
        <v>461</v>
      </c>
      <c r="F3" s="38" t="s">
        <v>462</v>
      </c>
    </row>
    <row r="4" spans="1:6" ht="13.5">
      <c r="A4" s="35">
        <v>91263</v>
      </c>
      <c r="B4" s="37" t="s">
        <v>464</v>
      </c>
      <c r="C4" s="37" t="s">
        <v>460</v>
      </c>
      <c r="D4" s="37" t="s">
        <v>116</v>
      </c>
      <c r="E4" s="37" t="s">
        <v>461</v>
      </c>
      <c r="F4" s="38" t="s">
        <v>462</v>
      </c>
    </row>
    <row r="5" spans="1:6" ht="13.5">
      <c r="A5" s="35">
        <v>91405</v>
      </c>
      <c r="B5" s="37" t="s">
        <v>465</v>
      </c>
      <c r="C5" s="37" t="s">
        <v>460</v>
      </c>
      <c r="D5" s="37" t="s">
        <v>116</v>
      </c>
      <c r="E5" s="37" t="s">
        <v>461</v>
      </c>
      <c r="F5" s="38" t="s">
        <v>462</v>
      </c>
    </row>
    <row r="6" spans="1:6" ht="13.5">
      <c r="A6" s="35">
        <v>91407</v>
      </c>
      <c r="B6" s="37" t="s">
        <v>466</v>
      </c>
      <c r="C6" s="37" t="s">
        <v>460</v>
      </c>
      <c r="D6" s="37" t="s">
        <v>116</v>
      </c>
      <c r="E6" s="37" t="s">
        <v>461</v>
      </c>
      <c r="F6" s="38" t="s">
        <v>462</v>
      </c>
    </row>
    <row r="7" spans="1:6" ht="13.5">
      <c r="A7" s="35">
        <v>91001</v>
      </c>
      <c r="B7" s="37" t="s">
        <v>467</v>
      </c>
      <c r="C7" s="37" t="s">
        <v>460</v>
      </c>
      <c r="D7" s="37" t="s">
        <v>116</v>
      </c>
      <c r="E7" s="37" t="s">
        <v>461</v>
      </c>
      <c r="F7" s="38" t="s">
        <v>462</v>
      </c>
    </row>
    <row r="8" spans="1:6" ht="13.5">
      <c r="A8" s="35">
        <v>91460</v>
      </c>
      <c r="B8" s="37" t="s">
        <v>468</v>
      </c>
      <c r="C8" s="37" t="s">
        <v>460</v>
      </c>
      <c r="D8" s="37" t="s">
        <v>116</v>
      </c>
      <c r="E8" s="37" t="s">
        <v>461</v>
      </c>
      <c r="F8" s="38" t="s">
        <v>462</v>
      </c>
    </row>
    <row r="9" spans="1:6" ht="13.5">
      <c r="A9" s="35">
        <v>91530</v>
      </c>
      <c r="B9" s="37" t="s">
        <v>469</v>
      </c>
      <c r="C9" s="37" t="s">
        <v>460</v>
      </c>
      <c r="D9" s="37" t="s">
        <v>116</v>
      </c>
      <c r="E9" s="37" t="s">
        <v>461</v>
      </c>
      <c r="F9" s="38" t="s">
        <v>462</v>
      </c>
    </row>
    <row r="10" spans="1:6" ht="13.5">
      <c r="A10" s="35">
        <v>91536</v>
      </c>
      <c r="B10" s="37" t="s">
        <v>470</v>
      </c>
      <c r="C10" s="37" t="s">
        <v>460</v>
      </c>
      <c r="D10" s="37" t="s">
        <v>116</v>
      </c>
      <c r="E10" s="37" t="s">
        <v>461</v>
      </c>
      <c r="F10" s="38" t="s">
        <v>462</v>
      </c>
    </row>
    <row r="11" spans="1:6" ht="13.5">
      <c r="A11" s="35">
        <v>91540</v>
      </c>
      <c r="B11" s="37" t="s">
        <v>471</v>
      </c>
      <c r="C11" s="37" t="s">
        <v>460</v>
      </c>
      <c r="D11" s="37" t="s">
        <v>116</v>
      </c>
      <c r="E11" s="37" t="s">
        <v>461</v>
      </c>
      <c r="F11" s="38" t="s">
        <v>462</v>
      </c>
    </row>
    <row r="12" spans="1:6" ht="13.5">
      <c r="A12" s="35">
        <v>91798</v>
      </c>
      <c r="B12" s="37" t="s">
        <v>472</v>
      </c>
      <c r="C12" s="37" t="s">
        <v>460</v>
      </c>
      <c r="D12" s="37" t="s">
        <v>116</v>
      </c>
      <c r="E12" s="37" t="s">
        <v>461</v>
      </c>
      <c r="F12" s="38" t="s">
        <v>462</v>
      </c>
    </row>
    <row r="13" spans="1:6" ht="13.5">
      <c r="A13" s="35">
        <v>5055</v>
      </c>
      <c r="B13" s="36" t="s">
        <v>473</v>
      </c>
      <c r="C13" s="37" t="s">
        <v>104</v>
      </c>
      <c r="D13" s="37" t="s">
        <v>100</v>
      </c>
      <c r="E13" s="37" t="s">
        <v>114</v>
      </c>
      <c r="F13" s="38" t="s">
        <v>344</v>
      </c>
    </row>
    <row r="14" spans="1:6" ht="13.5">
      <c r="A14" s="35">
        <v>5059</v>
      </c>
      <c r="B14" s="36" t="s">
        <v>474</v>
      </c>
      <c r="C14" s="37" t="s">
        <v>104</v>
      </c>
      <c r="D14" s="37" t="s">
        <v>100</v>
      </c>
      <c r="E14" s="37" t="s">
        <v>114</v>
      </c>
      <c r="F14" s="38" t="s">
        <v>148</v>
      </c>
    </row>
    <row r="15" spans="1:6" ht="13.5">
      <c r="A15" s="35">
        <v>5079</v>
      </c>
      <c r="B15" s="36" t="s">
        <v>475</v>
      </c>
      <c r="C15" s="37" t="s">
        <v>104</v>
      </c>
      <c r="D15" s="37" t="s">
        <v>100</v>
      </c>
      <c r="E15" s="37" t="s">
        <v>114</v>
      </c>
      <c r="F15" s="38" t="s">
        <v>148</v>
      </c>
    </row>
    <row r="16" spans="1:6" ht="13.5">
      <c r="A16" s="35">
        <v>5093</v>
      </c>
      <c r="B16" s="36" t="s">
        <v>476</v>
      </c>
      <c r="C16" s="37" t="s">
        <v>104</v>
      </c>
      <c r="D16" s="37" t="s">
        <v>100</v>
      </c>
      <c r="E16" s="37" t="s">
        <v>114</v>
      </c>
      <c r="F16" s="38" t="s">
        <v>202</v>
      </c>
    </row>
    <row r="17" spans="1:6" ht="13.5">
      <c r="A17" s="35">
        <v>5107</v>
      </c>
      <c r="B17" s="36" t="s">
        <v>477</v>
      </c>
      <c r="C17" s="37" t="s">
        <v>104</v>
      </c>
      <c r="D17" s="37" t="s">
        <v>100</v>
      </c>
      <c r="E17" s="37" t="s">
        <v>114</v>
      </c>
      <c r="F17" s="38" t="s">
        <v>202</v>
      </c>
    </row>
    <row r="18" spans="1:6" ht="13.5">
      <c r="A18" s="35">
        <v>5129</v>
      </c>
      <c r="B18" s="36" t="s">
        <v>423</v>
      </c>
      <c r="C18" s="37" t="s">
        <v>104</v>
      </c>
      <c r="D18" s="37" t="s">
        <v>100</v>
      </c>
      <c r="E18" s="37" t="s">
        <v>114</v>
      </c>
      <c r="F18" s="38" t="s">
        <v>113</v>
      </c>
    </row>
    <row r="19" spans="1:6" ht="13.5">
      <c r="A19" s="35">
        <v>5206</v>
      </c>
      <c r="B19" s="36" t="s">
        <v>478</v>
      </c>
      <c r="C19" s="37" t="s">
        <v>104</v>
      </c>
      <c r="D19" s="37" t="s">
        <v>100</v>
      </c>
      <c r="E19" s="37" t="s">
        <v>114</v>
      </c>
      <c r="F19" s="38" t="s">
        <v>148</v>
      </c>
    </row>
    <row r="20" spans="1:6" ht="13.5">
      <c r="A20" s="35">
        <v>5209</v>
      </c>
      <c r="B20" s="36" t="s">
        <v>479</v>
      </c>
      <c r="C20" s="37" t="s">
        <v>104</v>
      </c>
      <c r="D20" s="37" t="s">
        <v>100</v>
      </c>
      <c r="E20" s="37" t="s">
        <v>114</v>
      </c>
      <c r="F20" s="38" t="s">
        <v>202</v>
      </c>
    </row>
    <row r="21" spans="1:6" ht="13.5">
      <c r="A21" s="35">
        <v>5313</v>
      </c>
      <c r="B21" s="36" t="s">
        <v>480</v>
      </c>
      <c r="C21" s="37" t="s">
        <v>104</v>
      </c>
      <c r="D21" s="37" t="s">
        <v>100</v>
      </c>
      <c r="E21" s="37" t="s">
        <v>114</v>
      </c>
      <c r="F21" s="38" t="s">
        <v>148</v>
      </c>
    </row>
    <row r="22" spans="1:6" ht="13.5">
      <c r="A22" s="35">
        <v>5315</v>
      </c>
      <c r="B22" s="36" t="s">
        <v>481</v>
      </c>
      <c r="C22" s="37" t="s">
        <v>104</v>
      </c>
      <c r="D22" s="37" t="s">
        <v>100</v>
      </c>
      <c r="E22" s="37" t="s">
        <v>114</v>
      </c>
      <c r="F22" s="38" t="s">
        <v>202</v>
      </c>
    </row>
    <row r="23" spans="1:6" ht="13.5">
      <c r="A23" s="35">
        <v>5368</v>
      </c>
      <c r="B23" s="36" t="s">
        <v>482</v>
      </c>
      <c r="C23" s="37" t="s">
        <v>104</v>
      </c>
      <c r="D23" s="37" t="s">
        <v>100</v>
      </c>
      <c r="E23" s="37" t="s">
        <v>114</v>
      </c>
      <c r="F23" s="38" t="s">
        <v>202</v>
      </c>
    </row>
    <row r="24" spans="1:6" ht="13.5">
      <c r="A24" s="35">
        <v>5400</v>
      </c>
      <c r="B24" s="36" t="s">
        <v>436</v>
      </c>
      <c r="C24" s="37" t="s">
        <v>104</v>
      </c>
      <c r="D24" s="37" t="s">
        <v>100</v>
      </c>
      <c r="E24" s="37" t="s">
        <v>114</v>
      </c>
      <c r="F24" s="38" t="s">
        <v>148</v>
      </c>
    </row>
    <row r="25" spans="1:6" ht="13.5">
      <c r="A25" s="35">
        <v>5483</v>
      </c>
      <c r="B25" s="36" t="s">
        <v>377</v>
      </c>
      <c r="C25" s="37" t="s">
        <v>104</v>
      </c>
      <c r="D25" s="37" t="s">
        <v>100</v>
      </c>
      <c r="E25" s="37" t="s">
        <v>114</v>
      </c>
      <c r="F25" s="38" t="s">
        <v>344</v>
      </c>
    </row>
    <row r="26" spans="1:6" ht="13.5">
      <c r="A26" s="35">
        <v>5615</v>
      </c>
      <c r="B26" s="36" t="s">
        <v>483</v>
      </c>
      <c r="C26" s="37" t="s">
        <v>104</v>
      </c>
      <c r="D26" s="37" t="s">
        <v>100</v>
      </c>
      <c r="E26" s="37" t="s">
        <v>114</v>
      </c>
      <c r="F26" s="38" t="s">
        <v>148</v>
      </c>
    </row>
    <row r="27" spans="1:6" ht="13.5">
      <c r="A27" s="35">
        <v>5628</v>
      </c>
      <c r="B27" s="36" t="s">
        <v>484</v>
      </c>
      <c r="C27" s="37" t="s">
        <v>104</v>
      </c>
      <c r="D27" s="37" t="s">
        <v>100</v>
      </c>
      <c r="E27" s="37" t="s">
        <v>114</v>
      </c>
      <c r="F27" s="38" t="s">
        <v>202</v>
      </c>
    </row>
    <row r="28" spans="1:6" ht="13.5">
      <c r="A28" s="35">
        <v>5649</v>
      </c>
      <c r="B28" s="36" t="s">
        <v>485</v>
      </c>
      <c r="C28" s="37" t="s">
        <v>104</v>
      </c>
      <c r="D28" s="37" t="s">
        <v>100</v>
      </c>
      <c r="E28" s="37" t="s">
        <v>114</v>
      </c>
      <c r="F28" s="38" t="s">
        <v>202</v>
      </c>
    </row>
    <row r="29" spans="1:6" ht="13.5">
      <c r="A29" s="35">
        <v>5652</v>
      </c>
      <c r="B29" s="36" t="s">
        <v>486</v>
      </c>
      <c r="C29" s="37" t="s">
        <v>104</v>
      </c>
      <c r="D29" s="37" t="s">
        <v>100</v>
      </c>
      <c r="E29" s="37" t="s">
        <v>114</v>
      </c>
      <c r="F29" s="38" t="s">
        <v>202</v>
      </c>
    </row>
    <row r="30" spans="1:6" ht="13.5">
      <c r="A30" s="35">
        <v>5660</v>
      </c>
      <c r="B30" s="36" t="s">
        <v>487</v>
      </c>
      <c r="C30" s="37" t="s">
        <v>104</v>
      </c>
      <c r="D30" s="37" t="s">
        <v>100</v>
      </c>
      <c r="E30" s="37" t="s">
        <v>114</v>
      </c>
      <c r="F30" s="38" t="s">
        <v>202</v>
      </c>
    </row>
    <row r="31" spans="1:6" ht="13.5">
      <c r="A31" s="35">
        <v>5664</v>
      </c>
      <c r="B31" s="36" t="s">
        <v>488</v>
      </c>
      <c r="C31" s="37" t="s">
        <v>104</v>
      </c>
      <c r="D31" s="37" t="s">
        <v>100</v>
      </c>
      <c r="E31" s="37" t="s">
        <v>114</v>
      </c>
      <c r="F31" s="38" t="s">
        <v>148</v>
      </c>
    </row>
    <row r="32" spans="1:6" ht="13.5">
      <c r="A32" s="35">
        <v>5679</v>
      </c>
      <c r="B32" s="36" t="s">
        <v>489</v>
      </c>
      <c r="C32" s="37" t="s">
        <v>104</v>
      </c>
      <c r="D32" s="37" t="s">
        <v>100</v>
      </c>
      <c r="E32" s="37" t="s">
        <v>114</v>
      </c>
      <c r="F32" s="38" t="s">
        <v>148</v>
      </c>
    </row>
    <row r="33" spans="1:6" ht="13.5">
      <c r="A33" s="35">
        <v>5819</v>
      </c>
      <c r="B33" s="36" t="s">
        <v>490</v>
      </c>
      <c r="C33" s="37" t="s">
        <v>104</v>
      </c>
      <c r="D33" s="37" t="s">
        <v>100</v>
      </c>
      <c r="E33" s="37" t="s">
        <v>114</v>
      </c>
      <c r="F33" s="38" t="s">
        <v>344</v>
      </c>
    </row>
    <row r="34" spans="1:6" ht="13.5">
      <c r="A34" s="35">
        <v>5856</v>
      </c>
      <c r="B34" s="36" t="s">
        <v>491</v>
      </c>
      <c r="C34" s="37" t="s">
        <v>104</v>
      </c>
      <c r="D34" s="37" t="s">
        <v>100</v>
      </c>
      <c r="E34" s="37" t="s">
        <v>114</v>
      </c>
      <c r="F34" s="38" t="s">
        <v>202</v>
      </c>
    </row>
    <row r="35" spans="1:6" ht="13.5">
      <c r="A35" s="35">
        <v>5861</v>
      </c>
      <c r="B35" s="36" t="s">
        <v>492</v>
      </c>
      <c r="C35" s="37" t="s">
        <v>104</v>
      </c>
      <c r="D35" s="37" t="s">
        <v>100</v>
      </c>
      <c r="E35" s="37" t="s">
        <v>114</v>
      </c>
      <c r="F35" s="38" t="s">
        <v>148</v>
      </c>
    </row>
    <row r="36" spans="1:6" ht="13.5">
      <c r="A36" s="35">
        <v>5002</v>
      </c>
      <c r="B36" s="37" t="s">
        <v>493</v>
      </c>
      <c r="C36" s="37" t="s">
        <v>104</v>
      </c>
      <c r="D36" s="37" t="s">
        <v>100</v>
      </c>
      <c r="E36" s="37" t="s">
        <v>114</v>
      </c>
      <c r="F36" s="38" t="s">
        <v>202</v>
      </c>
    </row>
    <row r="37" spans="1:6" ht="13.5">
      <c r="A37" s="35">
        <v>5004</v>
      </c>
      <c r="B37" s="37" t="s">
        <v>494</v>
      </c>
      <c r="C37" s="37" t="s">
        <v>104</v>
      </c>
      <c r="D37" s="37" t="s">
        <v>100</v>
      </c>
      <c r="E37" s="37" t="s">
        <v>114</v>
      </c>
      <c r="F37" s="38" t="s">
        <v>344</v>
      </c>
    </row>
    <row r="38" spans="1:6" ht="13.5">
      <c r="A38" s="35">
        <v>5021</v>
      </c>
      <c r="B38" s="37" t="s">
        <v>495</v>
      </c>
      <c r="C38" s="37" t="s">
        <v>104</v>
      </c>
      <c r="D38" s="37" t="s">
        <v>100</v>
      </c>
      <c r="E38" s="37" t="s">
        <v>114</v>
      </c>
      <c r="F38" s="38" t="s">
        <v>202</v>
      </c>
    </row>
    <row r="39" spans="1:6" ht="13.5">
      <c r="A39" s="35">
        <v>5030</v>
      </c>
      <c r="B39" s="37" t="s">
        <v>496</v>
      </c>
      <c r="C39" s="37" t="s">
        <v>104</v>
      </c>
      <c r="D39" s="37" t="s">
        <v>100</v>
      </c>
      <c r="E39" s="37" t="s">
        <v>114</v>
      </c>
      <c r="F39" s="38" t="s">
        <v>148</v>
      </c>
    </row>
    <row r="40" spans="1:6" ht="13.5">
      <c r="A40" s="35">
        <v>5031</v>
      </c>
      <c r="B40" s="37" t="s">
        <v>443</v>
      </c>
      <c r="C40" s="37" t="s">
        <v>104</v>
      </c>
      <c r="D40" s="37" t="s">
        <v>100</v>
      </c>
      <c r="E40" s="37" t="s">
        <v>114</v>
      </c>
      <c r="F40" s="38" t="s">
        <v>344</v>
      </c>
    </row>
    <row r="41" spans="1:6" ht="13.5">
      <c r="A41" s="35">
        <v>5034</v>
      </c>
      <c r="B41" s="37" t="s">
        <v>497</v>
      </c>
      <c r="C41" s="37" t="s">
        <v>104</v>
      </c>
      <c r="D41" s="37" t="s">
        <v>100</v>
      </c>
      <c r="E41" s="37" t="s">
        <v>114</v>
      </c>
      <c r="F41" s="38" t="s">
        <v>202</v>
      </c>
    </row>
    <row r="42" spans="1:6" ht="13.5">
      <c r="A42" s="35">
        <v>5036</v>
      </c>
      <c r="B42" s="37" t="s">
        <v>498</v>
      </c>
      <c r="C42" s="37" t="s">
        <v>104</v>
      </c>
      <c r="D42" s="37" t="s">
        <v>100</v>
      </c>
      <c r="E42" s="37" t="s">
        <v>114</v>
      </c>
      <c r="F42" s="38" t="s">
        <v>148</v>
      </c>
    </row>
    <row r="43" spans="1:6" ht="13.5">
      <c r="A43" s="35">
        <v>5038</v>
      </c>
      <c r="B43" s="37" t="s">
        <v>499</v>
      </c>
      <c r="C43" s="37" t="s">
        <v>104</v>
      </c>
      <c r="D43" s="37" t="s">
        <v>100</v>
      </c>
      <c r="E43" s="37" t="s">
        <v>114</v>
      </c>
      <c r="F43" s="38" t="s">
        <v>202</v>
      </c>
    </row>
    <row r="44" spans="1:6" ht="13.5">
      <c r="A44" s="35">
        <v>5040</v>
      </c>
      <c r="B44" s="37" t="s">
        <v>500</v>
      </c>
      <c r="C44" s="37" t="s">
        <v>104</v>
      </c>
      <c r="D44" s="37" t="s">
        <v>100</v>
      </c>
      <c r="E44" s="37" t="s">
        <v>114</v>
      </c>
      <c r="F44" s="38" t="s">
        <v>344</v>
      </c>
    </row>
    <row r="45" spans="1:6" ht="13.5">
      <c r="A45" s="35">
        <v>5044</v>
      </c>
      <c r="B45" s="37" t="s">
        <v>501</v>
      </c>
      <c r="C45" s="37" t="s">
        <v>104</v>
      </c>
      <c r="D45" s="37" t="s">
        <v>100</v>
      </c>
      <c r="E45" s="37" t="s">
        <v>114</v>
      </c>
      <c r="F45" s="38" t="s">
        <v>202</v>
      </c>
    </row>
    <row r="46" spans="1:6" ht="13.5">
      <c r="A46" s="35">
        <v>5045</v>
      </c>
      <c r="B46" s="37" t="s">
        <v>502</v>
      </c>
      <c r="C46" s="37" t="s">
        <v>104</v>
      </c>
      <c r="D46" s="37" t="s">
        <v>502</v>
      </c>
      <c r="E46" s="37" t="s">
        <v>114</v>
      </c>
      <c r="F46" s="38" t="s">
        <v>113</v>
      </c>
    </row>
    <row r="47" spans="1:6" ht="13.5">
      <c r="A47" s="35">
        <v>5051</v>
      </c>
      <c r="B47" s="37" t="s">
        <v>503</v>
      </c>
      <c r="C47" s="37" t="s">
        <v>104</v>
      </c>
      <c r="D47" s="37" t="s">
        <v>504</v>
      </c>
      <c r="E47" s="37" t="s">
        <v>114</v>
      </c>
      <c r="F47" s="38" t="s">
        <v>148</v>
      </c>
    </row>
    <row r="48" spans="1:6" ht="13.5">
      <c r="A48" s="35">
        <v>5088</v>
      </c>
      <c r="B48" s="37" t="s">
        <v>211</v>
      </c>
      <c r="C48" s="37" t="s">
        <v>104</v>
      </c>
      <c r="D48" s="37" t="s">
        <v>100</v>
      </c>
      <c r="E48" s="37" t="s">
        <v>114</v>
      </c>
      <c r="F48" s="38" t="s">
        <v>113</v>
      </c>
    </row>
    <row r="49" spans="1:6" ht="13.5">
      <c r="A49" s="35">
        <v>5086</v>
      </c>
      <c r="B49" s="37" t="s">
        <v>505</v>
      </c>
      <c r="C49" s="37" t="s">
        <v>104</v>
      </c>
      <c r="D49" s="37" t="s">
        <v>100</v>
      </c>
      <c r="E49" s="37" t="s">
        <v>114</v>
      </c>
      <c r="F49" s="38" t="s">
        <v>148</v>
      </c>
    </row>
    <row r="50" spans="1:6" ht="13.5">
      <c r="A50" s="35">
        <v>5091</v>
      </c>
      <c r="B50" s="37" t="s">
        <v>506</v>
      </c>
      <c r="C50" s="37" t="s">
        <v>104</v>
      </c>
      <c r="D50" s="37" t="s">
        <v>100</v>
      </c>
      <c r="E50" s="37" t="s">
        <v>114</v>
      </c>
      <c r="F50" s="38" t="s">
        <v>202</v>
      </c>
    </row>
    <row r="51" spans="1:6" ht="13.5">
      <c r="A51" s="35">
        <v>5113</v>
      </c>
      <c r="B51" s="37" t="s">
        <v>507</v>
      </c>
      <c r="C51" s="37" t="s">
        <v>104</v>
      </c>
      <c r="D51" s="37" t="s">
        <v>100</v>
      </c>
      <c r="E51" s="37" t="s">
        <v>114</v>
      </c>
      <c r="F51" s="38" t="s">
        <v>344</v>
      </c>
    </row>
    <row r="52" spans="1:6" ht="13.5">
      <c r="A52" s="35">
        <v>5120</v>
      </c>
      <c r="B52" s="37" t="s">
        <v>508</v>
      </c>
      <c r="C52" s="37" t="s">
        <v>104</v>
      </c>
      <c r="D52" s="37" t="s">
        <v>100</v>
      </c>
      <c r="E52" s="37" t="s">
        <v>114</v>
      </c>
      <c r="F52" s="38" t="s">
        <v>344</v>
      </c>
    </row>
    <row r="53" spans="1:6" ht="13.5">
      <c r="A53" s="35">
        <v>5125</v>
      </c>
      <c r="B53" s="37" t="s">
        <v>509</v>
      </c>
      <c r="C53" s="37" t="s">
        <v>104</v>
      </c>
      <c r="D53" s="37" t="s">
        <v>100</v>
      </c>
      <c r="E53" s="37" t="s">
        <v>114</v>
      </c>
      <c r="F53" s="38" t="s">
        <v>202</v>
      </c>
    </row>
    <row r="54" spans="1:6" ht="13.5">
      <c r="A54" s="35">
        <v>5134</v>
      </c>
      <c r="B54" s="37" t="s">
        <v>510</v>
      </c>
      <c r="C54" s="37" t="s">
        <v>104</v>
      </c>
      <c r="D54" s="37" t="s">
        <v>100</v>
      </c>
      <c r="E54" s="37" t="s">
        <v>114</v>
      </c>
      <c r="F54" s="38" t="s">
        <v>202</v>
      </c>
    </row>
    <row r="55" spans="1:6" ht="13.5">
      <c r="A55" s="35">
        <v>5138</v>
      </c>
      <c r="B55" s="37" t="s">
        <v>511</v>
      </c>
      <c r="C55" s="37" t="s">
        <v>104</v>
      </c>
      <c r="D55" s="37" t="s">
        <v>100</v>
      </c>
      <c r="E55" s="37" t="s">
        <v>114</v>
      </c>
      <c r="F55" s="38" t="s">
        <v>202</v>
      </c>
    </row>
    <row r="56" spans="1:6" ht="13.5">
      <c r="A56" s="35">
        <v>5142</v>
      </c>
      <c r="B56" s="37" t="s">
        <v>512</v>
      </c>
      <c r="C56" s="37" t="s">
        <v>104</v>
      </c>
      <c r="D56" s="37" t="s">
        <v>100</v>
      </c>
      <c r="E56" s="37" t="s">
        <v>114</v>
      </c>
      <c r="F56" s="38" t="s">
        <v>202</v>
      </c>
    </row>
    <row r="57" spans="1:6" ht="13.5">
      <c r="A57" s="35">
        <v>5145</v>
      </c>
      <c r="B57" s="37" t="s">
        <v>513</v>
      </c>
      <c r="C57" s="37" t="s">
        <v>104</v>
      </c>
      <c r="D57" s="37" t="s">
        <v>100</v>
      </c>
      <c r="E57" s="37" t="s">
        <v>114</v>
      </c>
      <c r="F57" s="38" t="s">
        <v>202</v>
      </c>
    </row>
    <row r="58" spans="1:6" ht="13.5">
      <c r="A58" s="35">
        <v>5147</v>
      </c>
      <c r="B58" s="37" t="s">
        <v>514</v>
      </c>
      <c r="C58" s="37" t="s">
        <v>104</v>
      </c>
      <c r="D58" s="37" t="s">
        <v>502</v>
      </c>
      <c r="E58" s="37" t="s">
        <v>114</v>
      </c>
      <c r="F58" s="38" t="s">
        <v>113</v>
      </c>
    </row>
    <row r="59" spans="1:6" ht="13.5">
      <c r="A59" s="35">
        <v>5150</v>
      </c>
      <c r="B59" s="37" t="s">
        <v>515</v>
      </c>
      <c r="C59" s="37" t="s">
        <v>104</v>
      </c>
      <c r="D59" s="37" t="s">
        <v>100</v>
      </c>
      <c r="E59" s="37" t="s">
        <v>114</v>
      </c>
      <c r="F59" s="38" t="s">
        <v>202</v>
      </c>
    </row>
    <row r="60" spans="1:6" ht="13.5">
      <c r="A60" s="35">
        <v>5154</v>
      </c>
      <c r="B60" s="37" t="s">
        <v>516</v>
      </c>
      <c r="C60" s="37" t="s">
        <v>104</v>
      </c>
      <c r="D60" s="37" t="s">
        <v>504</v>
      </c>
      <c r="E60" s="37" t="s">
        <v>114</v>
      </c>
      <c r="F60" s="38" t="s">
        <v>148</v>
      </c>
    </row>
    <row r="61" spans="1:6" ht="13.5">
      <c r="A61" s="35">
        <v>5172</v>
      </c>
      <c r="B61" s="37" t="s">
        <v>517</v>
      </c>
      <c r="C61" s="37" t="s">
        <v>104</v>
      </c>
      <c r="D61" s="37" t="s">
        <v>502</v>
      </c>
      <c r="E61" s="37" t="s">
        <v>114</v>
      </c>
      <c r="F61" s="38" t="s">
        <v>148</v>
      </c>
    </row>
    <row r="62" spans="1:6" ht="13.5">
      <c r="A62" s="35">
        <v>5190</v>
      </c>
      <c r="B62" s="37" t="s">
        <v>518</v>
      </c>
      <c r="C62" s="37" t="s">
        <v>104</v>
      </c>
      <c r="D62" s="37" t="s">
        <v>100</v>
      </c>
      <c r="E62" s="37" t="s">
        <v>114</v>
      </c>
      <c r="F62" s="38" t="s">
        <v>148</v>
      </c>
    </row>
    <row r="63" spans="1:6" ht="13.5">
      <c r="A63" s="35">
        <v>5101</v>
      </c>
      <c r="B63" s="37" t="s">
        <v>519</v>
      </c>
      <c r="C63" s="37" t="s">
        <v>104</v>
      </c>
      <c r="D63" s="37" t="s">
        <v>100</v>
      </c>
      <c r="E63" s="37" t="s">
        <v>114</v>
      </c>
      <c r="F63" s="38" t="s">
        <v>148</v>
      </c>
    </row>
    <row r="64" spans="1:6" ht="13.5">
      <c r="A64" s="35">
        <v>5197</v>
      </c>
      <c r="B64" s="37" t="s">
        <v>520</v>
      </c>
      <c r="C64" s="37" t="s">
        <v>104</v>
      </c>
      <c r="D64" s="37" t="s">
        <v>100</v>
      </c>
      <c r="E64" s="37" t="s">
        <v>114</v>
      </c>
      <c r="F64" s="38" t="s">
        <v>148</v>
      </c>
    </row>
    <row r="65" spans="1:6" ht="13.5">
      <c r="A65" s="35">
        <v>5212</v>
      </c>
      <c r="B65" s="37" t="s">
        <v>521</v>
      </c>
      <c r="C65" s="37" t="s">
        <v>104</v>
      </c>
      <c r="D65" s="37" t="s">
        <v>100</v>
      </c>
      <c r="E65" s="37" t="s">
        <v>114</v>
      </c>
      <c r="F65" s="38" t="s">
        <v>113</v>
      </c>
    </row>
    <row r="66" spans="1:6" ht="13.5">
      <c r="A66" s="35">
        <v>5234</v>
      </c>
      <c r="B66" s="37" t="s">
        <v>522</v>
      </c>
      <c r="C66" s="37" t="s">
        <v>104</v>
      </c>
      <c r="D66" s="37" t="s">
        <v>100</v>
      </c>
      <c r="E66" s="37" t="s">
        <v>114</v>
      </c>
      <c r="F66" s="38" t="s">
        <v>344</v>
      </c>
    </row>
    <row r="67" spans="1:6" ht="13.5">
      <c r="A67" s="35">
        <v>5237</v>
      </c>
      <c r="B67" s="37" t="s">
        <v>415</v>
      </c>
      <c r="C67" s="37" t="s">
        <v>104</v>
      </c>
      <c r="D67" s="37" t="s">
        <v>100</v>
      </c>
      <c r="E67" s="37" t="s">
        <v>114</v>
      </c>
      <c r="F67" s="38" t="s">
        <v>148</v>
      </c>
    </row>
    <row r="68" spans="1:6" ht="13.5">
      <c r="A68" s="35">
        <v>5240</v>
      </c>
      <c r="B68" s="37" t="s">
        <v>523</v>
      </c>
      <c r="C68" s="37" t="s">
        <v>104</v>
      </c>
      <c r="D68" s="37" t="s">
        <v>100</v>
      </c>
      <c r="E68" s="37" t="s">
        <v>114</v>
      </c>
      <c r="F68" s="38" t="s">
        <v>148</v>
      </c>
    </row>
    <row r="69" spans="1:6" ht="13.5">
      <c r="A69" s="35">
        <v>5250</v>
      </c>
      <c r="B69" s="37" t="s">
        <v>524</v>
      </c>
      <c r="C69" s="37" t="s">
        <v>104</v>
      </c>
      <c r="D69" s="37" t="s">
        <v>504</v>
      </c>
      <c r="E69" s="37" t="s">
        <v>114</v>
      </c>
      <c r="F69" s="38" t="s">
        <v>344</v>
      </c>
    </row>
    <row r="70" spans="1:6" ht="13.5">
      <c r="A70" s="35">
        <v>5148</v>
      </c>
      <c r="B70" s="37" t="s">
        <v>525</v>
      </c>
      <c r="C70" s="37" t="s">
        <v>104</v>
      </c>
      <c r="D70" s="37" t="s">
        <v>100</v>
      </c>
      <c r="E70" s="37" t="s">
        <v>114</v>
      </c>
      <c r="F70" s="38" t="s">
        <v>148</v>
      </c>
    </row>
    <row r="71" spans="1:6" ht="13.5">
      <c r="A71" s="35">
        <v>5697</v>
      </c>
      <c r="B71" s="37" t="s">
        <v>526</v>
      </c>
      <c r="C71" s="37" t="s">
        <v>104</v>
      </c>
      <c r="D71" s="37" t="s">
        <v>100</v>
      </c>
      <c r="E71" s="37" t="s">
        <v>114</v>
      </c>
      <c r="F71" s="38" t="s">
        <v>148</v>
      </c>
    </row>
    <row r="72" spans="1:6" ht="13.5">
      <c r="A72" s="35">
        <v>5264</v>
      </c>
      <c r="B72" s="37" t="s">
        <v>430</v>
      </c>
      <c r="C72" s="37" t="s">
        <v>104</v>
      </c>
      <c r="D72" s="37" t="s">
        <v>100</v>
      </c>
      <c r="E72" s="37" t="s">
        <v>114</v>
      </c>
      <c r="F72" s="38" t="s">
        <v>148</v>
      </c>
    </row>
    <row r="73" spans="1:6" ht="13.5">
      <c r="A73" s="35">
        <v>5266</v>
      </c>
      <c r="B73" s="37" t="s">
        <v>527</v>
      </c>
      <c r="C73" s="37" t="s">
        <v>104</v>
      </c>
      <c r="D73" s="37" t="s">
        <v>100</v>
      </c>
      <c r="E73" s="37" t="s">
        <v>114</v>
      </c>
      <c r="F73" s="38" t="s">
        <v>113</v>
      </c>
    </row>
    <row r="74" spans="1:6" ht="13.5">
      <c r="A74" s="35">
        <v>5282</v>
      </c>
      <c r="B74" s="37" t="s">
        <v>528</v>
      </c>
      <c r="C74" s="37" t="s">
        <v>104</v>
      </c>
      <c r="D74" s="37" t="s">
        <v>100</v>
      </c>
      <c r="E74" s="37" t="s">
        <v>114</v>
      </c>
      <c r="F74" s="38" t="s">
        <v>148</v>
      </c>
    </row>
    <row r="75" spans="1:6" ht="13.5">
      <c r="A75" s="35">
        <v>5284</v>
      </c>
      <c r="B75" s="37" t="s">
        <v>529</v>
      </c>
      <c r="C75" s="37" t="s">
        <v>104</v>
      </c>
      <c r="D75" s="37" t="s">
        <v>100</v>
      </c>
      <c r="E75" s="37" t="s">
        <v>114</v>
      </c>
      <c r="F75" s="38" t="s">
        <v>344</v>
      </c>
    </row>
    <row r="76" spans="1:6" ht="13.5">
      <c r="A76" s="35">
        <v>5306</v>
      </c>
      <c r="B76" s="37" t="s">
        <v>530</v>
      </c>
      <c r="C76" s="37" t="s">
        <v>104</v>
      </c>
      <c r="D76" s="37" t="s">
        <v>100</v>
      </c>
      <c r="E76" s="37" t="s">
        <v>114</v>
      </c>
      <c r="F76" s="38" t="s">
        <v>202</v>
      </c>
    </row>
    <row r="77" spans="1:6" ht="13.5">
      <c r="A77" s="35">
        <v>5308</v>
      </c>
      <c r="B77" s="37" t="s">
        <v>531</v>
      </c>
      <c r="C77" s="37" t="s">
        <v>104</v>
      </c>
      <c r="D77" s="37" t="s">
        <v>100</v>
      </c>
      <c r="E77" s="37" t="s">
        <v>114</v>
      </c>
      <c r="F77" s="38" t="s">
        <v>113</v>
      </c>
    </row>
    <row r="78" spans="1:6" ht="13.5">
      <c r="A78" s="35">
        <v>5310</v>
      </c>
      <c r="B78" s="37" t="s">
        <v>532</v>
      </c>
      <c r="C78" s="37" t="s">
        <v>104</v>
      </c>
      <c r="D78" s="37" t="s">
        <v>100</v>
      </c>
      <c r="E78" s="37" t="s">
        <v>114</v>
      </c>
      <c r="F78" s="38" t="s">
        <v>148</v>
      </c>
    </row>
    <row r="79" spans="1:6" ht="13.5">
      <c r="A79" s="35">
        <v>5318</v>
      </c>
      <c r="B79" s="37" t="s">
        <v>533</v>
      </c>
      <c r="C79" s="37" t="s">
        <v>104</v>
      </c>
      <c r="D79" s="37" t="s">
        <v>100</v>
      </c>
      <c r="E79" s="37" t="s">
        <v>114</v>
      </c>
      <c r="F79" s="38" t="s">
        <v>148</v>
      </c>
    </row>
    <row r="80" spans="1:6" ht="13.5">
      <c r="A80" s="35">
        <v>5321</v>
      </c>
      <c r="B80" s="37" t="s">
        <v>534</v>
      </c>
      <c r="C80" s="37" t="s">
        <v>104</v>
      </c>
      <c r="D80" s="37" t="s">
        <v>100</v>
      </c>
      <c r="E80" s="37" t="s">
        <v>114</v>
      </c>
      <c r="F80" s="38" t="s">
        <v>148</v>
      </c>
    </row>
    <row r="81" spans="1:6" ht="13.5">
      <c r="A81" s="35">
        <v>5347</v>
      </c>
      <c r="B81" s="37" t="s">
        <v>535</v>
      </c>
      <c r="C81" s="37" t="s">
        <v>104</v>
      </c>
      <c r="D81" s="37" t="s">
        <v>100</v>
      </c>
      <c r="E81" s="37" t="s">
        <v>114</v>
      </c>
      <c r="F81" s="38" t="s">
        <v>148</v>
      </c>
    </row>
    <row r="82" spans="1:6" ht="13.5">
      <c r="A82" s="35">
        <v>5353</v>
      </c>
      <c r="B82" s="37" t="s">
        <v>536</v>
      </c>
      <c r="C82" s="37" t="s">
        <v>104</v>
      </c>
      <c r="D82" s="37" t="s">
        <v>100</v>
      </c>
      <c r="E82" s="37" t="s">
        <v>114</v>
      </c>
      <c r="F82" s="38" t="s">
        <v>202</v>
      </c>
    </row>
    <row r="83" spans="1:6" ht="13.5">
      <c r="A83" s="35">
        <v>5360</v>
      </c>
      <c r="B83" s="37" t="s">
        <v>537</v>
      </c>
      <c r="C83" s="37" t="s">
        <v>104</v>
      </c>
      <c r="D83" s="37" t="s">
        <v>100</v>
      </c>
      <c r="E83" s="37" t="s">
        <v>114</v>
      </c>
      <c r="F83" s="38" t="s">
        <v>113</v>
      </c>
    </row>
    <row r="84" spans="1:6" ht="13.5">
      <c r="A84" s="35">
        <v>5361</v>
      </c>
      <c r="B84" s="37" t="s">
        <v>538</v>
      </c>
      <c r="C84" s="37" t="s">
        <v>104</v>
      </c>
      <c r="D84" s="37" t="s">
        <v>100</v>
      </c>
      <c r="E84" s="37" t="s">
        <v>114</v>
      </c>
      <c r="F84" s="38" t="s">
        <v>344</v>
      </c>
    </row>
    <row r="85" spans="1:6" ht="13.5">
      <c r="A85" s="35">
        <v>5364</v>
      </c>
      <c r="B85" s="37" t="s">
        <v>539</v>
      </c>
      <c r="C85" s="37" t="s">
        <v>104</v>
      </c>
      <c r="D85" s="37" t="s">
        <v>100</v>
      </c>
      <c r="E85" s="37" t="s">
        <v>114</v>
      </c>
      <c r="F85" s="38" t="s">
        <v>202</v>
      </c>
    </row>
    <row r="86" spans="1:6" ht="13.5">
      <c r="A86" s="35">
        <v>5376</v>
      </c>
      <c r="B86" s="37" t="s">
        <v>540</v>
      </c>
      <c r="C86" s="37" t="s">
        <v>104</v>
      </c>
      <c r="D86" s="37" t="s">
        <v>100</v>
      </c>
      <c r="E86" s="37" t="s">
        <v>114</v>
      </c>
      <c r="F86" s="38" t="s">
        <v>148</v>
      </c>
    </row>
    <row r="87" spans="1:6" ht="13.5">
      <c r="A87" s="35">
        <v>5380</v>
      </c>
      <c r="B87" s="37" t="s">
        <v>541</v>
      </c>
      <c r="C87" s="37" t="s">
        <v>104</v>
      </c>
      <c r="D87" s="37" t="s">
        <v>100</v>
      </c>
      <c r="E87" s="37" t="s">
        <v>114</v>
      </c>
      <c r="F87" s="38" t="s">
        <v>113</v>
      </c>
    </row>
    <row r="88" spans="1:6" ht="13.5">
      <c r="A88" s="35">
        <v>5390</v>
      </c>
      <c r="B88" s="37" t="s">
        <v>542</v>
      </c>
      <c r="C88" s="37" t="s">
        <v>104</v>
      </c>
      <c r="D88" s="37" t="s">
        <v>100</v>
      </c>
      <c r="E88" s="37" t="s">
        <v>114</v>
      </c>
      <c r="F88" s="38" t="s">
        <v>148</v>
      </c>
    </row>
    <row r="89" spans="1:6" ht="13.5">
      <c r="A89" s="35">
        <v>5411</v>
      </c>
      <c r="B89" s="37" t="s">
        <v>543</v>
      </c>
      <c r="C89" s="37" t="s">
        <v>104</v>
      </c>
      <c r="D89" s="37" t="s">
        <v>100</v>
      </c>
      <c r="E89" s="37" t="s">
        <v>114</v>
      </c>
      <c r="F89" s="38" t="s">
        <v>202</v>
      </c>
    </row>
    <row r="90" spans="1:6" ht="13.5">
      <c r="A90" s="35">
        <v>5425</v>
      </c>
      <c r="B90" s="37" t="s">
        <v>544</v>
      </c>
      <c r="C90" s="37" t="s">
        <v>104</v>
      </c>
      <c r="D90" s="37" t="s">
        <v>100</v>
      </c>
      <c r="E90" s="37" t="s">
        <v>114</v>
      </c>
      <c r="F90" s="38" t="s">
        <v>202</v>
      </c>
    </row>
    <row r="91" spans="1:6" ht="13.5">
      <c r="A91" s="35">
        <v>5440</v>
      </c>
      <c r="B91" s="37" t="s">
        <v>545</v>
      </c>
      <c r="C91" s="37" t="s">
        <v>104</v>
      </c>
      <c r="D91" s="37" t="s">
        <v>100</v>
      </c>
      <c r="E91" s="37" t="s">
        <v>114</v>
      </c>
      <c r="F91" s="38" t="s">
        <v>148</v>
      </c>
    </row>
    <row r="92" spans="1:6" ht="13.5">
      <c r="A92" s="35">
        <v>5001</v>
      </c>
      <c r="B92" s="37" t="s">
        <v>100</v>
      </c>
      <c r="C92" s="37" t="s">
        <v>104</v>
      </c>
      <c r="D92" s="37" t="s">
        <v>100</v>
      </c>
      <c r="E92" s="37" t="s">
        <v>114</v>
      </c>
      <c r="F92" s="38" t="s">
        <v>113</v>
      </c>
    </row>
    <row r="93" spans="1:6" ht="13.5">
      <c r="A93" s="35">
        <v>5467</v>
      </c>
      <c r="B93" s="37" t="s">
        <v>546</v>
      </c>
      <c r="C93" s="37" t="s">
        <v>104</v>
      </c>
      <c r="D93" s="37" t="s">
        <v>100</v>
      </c>
      <c r="E93" s="37" t="s">
        <v>114</v>
      </c>
      <c r="F93" s="38" t="s">
        <v>148</v>
      </c>
    </row>
    <row r="94" spans="1:6" ht="13.5">
      <c r="A94" s="35">
        <v>5475</v>
      </c>
      <c r="B94" s="37" t="s">
        <v>547</v>
      </c>
      <c r="C94" s="37" t="s">
        <v>104</v>
      </c>
      <c r="D94" s="37" t="s">
        <v>502</v>
      </c>
      <c r="E94" s="37" t="s">
        <v>548</v>
      </c>
      <c r="F94" s="38" t="s">
        <v>462</v>
      </c>
    </row>
    <row r="95" spans="1:6" ht="13.5">
      <c r="A95" s="35">
        <v>5480</v>
      </c>
      <c r="B95" s="37" t="s">
        <v>549</v>
      </c>
      <c r="C95" s="37" t="s">
        <v>104</v>
      </c>
      <c r="D95" s="37" t="s">
        <v>502</v>
      </c>
      <c r="E95" s="37" t="s">
        <v>114</v>
      </c>
      <c r="F95" s="38" t="s">
        <v>148</v>
      </c>
    </row>
    <row r="96" spans="1:6" ht="13.5">
      <c r="A96" s="35">
        <v>5495</v>
      </c>
      <c r="B96" s="37" t="s">
        <v>550</v>
      </c>
      <c r="C96" s="37" t="s">
        <v>104</v>
      </c>
      <c r="D96" s="37" t="s">
        <v>504</v>
      </c>
      <c r="E96" s="37" t="s">
        <v>114</v>
      </c>
      <c r="F96" s="38" t="s">
        <v>202</v>
      </c>
    </row>
    <row r="97" spans="1:6" ht="13.5">
      <c r="A97" s="35">
        <v>5490</v>
      </c>
      <c r="B97" s="37" t="s">
        <v>551</v>
      </c>
      <c r="C97" s="37" t="s">
        <v>104</v>
      </c>
      <c r="D97" s="37" t="s">
        <v>502</v>
      </c>
      <c r="E97" s="37" t="s">
        <v>114</v>
      </c>
      <c r="F97" s="38" t="s">
        <v>148</v>
      </c>
    </row>
    <row r="98" spans="1:6" ht="13.5">
      <c r="A98" s="35">
        <v>5501</v>
      </c>
      <c r="B98" s="37" t="s">
        <v>552</v>
      </c>
      <c r="C98" s="37" t="s">
        <v>104</v>
      </c>
      <c r="D98" s="37" t="s">
        <v>100</v>
      </c>
      <c r="E98" s="37" t="s">
        <v>114</v>
      </c>
      <c r="F98" s="38" t="s">
        <v>148</v>
      </c>
    </row>
    <row r="99" spans="1:6" ht="13.5">
      <c r="A99" s="35">
        <v>5541</v>
      </c>
      <c r="B99" s="37" t="s">
        <v>553</v>
      </c>
      <c r="C99" s="37" t="s">
        <v>104</v>
      </c>
      <c r="D99" s="37" t="s">
        <v>100</v>
      </c>
      <c r="E99" s="37" t="s">
        <v>114</v>
      </c>
      <c r="F99" s="38" t="s">
        <v>148</v>
      </c>
    </row>
    <row r="100" spans="1:6" ht="13.5">
      <c r="A100" s="35">
        <v>5543</v>
      </c>
      <c r="B100" s="37" t="s">
        <v>554</v>
      </c>
      <c r="C100" s="37" t="s">
        <v>104</v>
      </c>
      <c r="D100" s="37" t="s">
        <v>100</v>
      </c>
      <c r="E100" s="37" t="s">
        <v>114</v>
      </c>
      <c r="F100" s="38" t="s">
        <v>344</v>
      </c>
    </row>
    <row r="101" spans="1:6" ht="13.5">
      <c r="A101" s="35">
        <v>5576</v>
      </c>
      <c r="B101" s="37" t="s">
        <v>555</v>
      </c>
      <c r="C101" s="37" t="s">
        <v>104</v>
      </c>
      <c r="D101" s="37" t="s">
        <v>100</v>
      </c>
      <c r="E101" s="37" t="s">
        <v>114</v>
      </c>
      <c r="F101" s="38" t="s">
        <v>202</v>
      </c>
    </row>
    <row r="102" spans="1:6" ht="13.5">
      <c r="A102" s="35">
        <v>5579</v>
      </c>
      <c r="B102" s="37" t="s">
        <v>556</v>
      </c>
      <c r="C102" s="37" t="s">
        <v>104</v>
      </c>
      <c r="D102" s="37" t="s">
        <v>100</v>
      </c>
      <c r="E102" s="37" t="s">
        <v>114</v>
      </c>
      <c r="F102" s="38" t="s">
        <v>202</v>
      </c>
    </row>
    <row r="103" spans="1:6" ht="13.5">
      <c r="A103" s="35">
        <v>5585</v>
      </c>
      <c r="B103" s="37" t="s">
        <v>557</v>
      </c>
      <c r="C103" s="37" t="s">
        <v>104</v>
      </c>
      <c r="D103" s="37" t="s">
        <v>100</v>
      </c>
      <c r="E103" s="37" t="s">
        <v>114</v>
      </c>
      <c r="F103" s="38" t="s">
        <v>344</v>
      </c>
    </row>
    <row r="104" spans="1:6" ht="13.5">
      <c r="A104" s="35">
        <v>5591</v>
      </c>
      <c r="B104" s="37" t="s">
        <v>558</v>
      </c>
      <c r="C104" s="37" t="s">
        <v>104</v>
      </c>
      <c r="D104" s="37" t="s">
        <v>100</v>
      </c>
      <c r="E104" s="37" t="s">
        <v>114</v>
      </c>
      <c r="F104" s="38" t="s">
        <v>344</v>
      </c>
    </row>
    <row r="105" spans="1:6" ht="13.5">
      <c r="A105" s="35">
        <v>5604</v>
      </c>
      <c r="B105" s="37" t="s">
        <v>559</v>
      </c>
      <c r="C105" s="37" t="s">
        <v>104</v>
      </c>
      <c r="D105" s="37" t="s">
        <v>100</v>
      </c>
      <c r="E105" s="37" t="s">
        <v>114</v>
      </c>
      <c r="F105" s="38" t="s">
        <v>344</v>
      </c>
    </row>
    <row r="106" spans="1:6" ht="13.5">
      <c r="A106" s="35">
        <v>5607</v>
      </c>
      <c r="B106" s="37" t="s">
        <v>560</v>
      </c>
      <c r="C106" s="37" t="s">
        <v>104</v>
      </c>
      <c r="D106" s="37" t="s">
        <v>100</v>
      </c>
      <c r="E106" s="37" t="s">
        <v>114</v>
      </c>
      <c r="F106" s="38" t="s">
        <v>148</v>
      </c>
    </row>
    <row r="107" spans="1:6" ht="13.5">
      <c r="A107" s="35">
        <v>5631</v>
      </c>
      <c r="B107" s="37" t="s">
        <v>561</v>
      </c>
      <c r="C107" s="37" t="s">
        <v>104</v>
      </c>
      <c r="D107" s="37" t="s">
        <v>100</v>
      </c>
      <c r="E107" s="37" t="s">
        <v>114</v>
      </c>
      <c r="F107" s="38" t="s">
        <v>113</v>
      </c>
    </row>
    <row r="108" spans="1:6" ht="13.5">
      <c r="A108" s="35">
        <v>5642</v>
      </c>
      <c r="B108" s="37" t="s">
        <v>314</v>
      </c>
      <c r="C108" s="37" t="s">
        <v>104</v>
      </c>
      <c r="D108" s="37" t="s">
        <v>100</v>
      </c>
      <c r="E108" s="37" t="s">
        <v>114</v>
      </c>
      <c r="F108" s="38" t="s">
        <v>148</v>
      </c>
    </row>
    <row r="109" spans="1:6" ht="13.5">
      <c r="A109" s="35">
        <v>5647</v>
      </c>
      <c r="B109" s="37" t="s">
        <v>562</v>
      </c>
      <c r="C109" s="37" t="s">
        <v>104</v>
      </c>
      <c r="D109" s="37" t="s">
        <v>100</v>
      </c>
      <c r="E109" s="37" t="s">
        <v>114</v>
      </c>
      <c r="F109" s="38" t="s">
        <v>202</v>
      </c>
    </row>
    <row r="110" spans="1:6" ht="13.5">
      <c r="A110" s="35">
        <v>5656</v>
      </c>
      <c r="B110" s="37" t="s">
        <v>563</v>
      </c>
      <c r="C110" s="37" t="s">
        <v>104</v>
      </c>
      <c r="D110" s="37" t="s">
        <v>100</v>
      </c>
      <c r="E110" s="37" t="s">
        <v>114</v>
      </c>
      <c r="F110" s="38" t="s">
        <v>148</v>
      </c>
    </row>
    <row r="111" spans="1:6" ht="13.5">
      <c r="A111" s="35">
        <v>5658</v>
      </c>
      <c r="B111" s="37" t="s">
        <v>564</v>
      </c>
      <c r="C111" s="37" t="s">
        <v>104</v>
      </c>
      <c r="D111" s="37" t="s">
        <v>100</v>
      </c>
      <c r="E111" s="37" t="s">
        <v>114</v>
      </c>
      <c r="F111" s="38" t="s">
        <v>202</v>
      </c>
    </row>
    <row r="112" spans="1:6" ht="13.5">
      <c r="A112" s="35">
        <v>5659</v>
      </c>
      <c r="B112" s="37" t="s">
        <v>565</v>
      </c>
      <c r="C112" s="37" t="s">
        <v>104</v>
      </c>
      <c r="D112" s="37" t="s">
        <v>504</v>
      </c>
      <c r="E112" s="37" t="s">
        <v>114</v>
      </c>
      <c r="F112" s="38" t="s">
        <v>148</v>
      </c>
    </row>
    <row r="113" spans="1:6" ht="13.5">
      <c r="A113" s="35">
        <v>5665</v>
      </c>
      <c r="B113" s="37" t="s">
        <v>566</v>
      </c>
      <c r="C113" s="37" t="s">
        <v>104</v>
      </c>
      <c r="D113" s="37" t="s">
        <v>502</v>
      </c>
      <c r="E113" s="37" t="s">
        <v>114</v>
      </c>
      <c r="F113" s="38" t="s">
        <v>202</v>
      </c>
    </row>
    <row r="114" spans="1:6" ht="13.5">
      <c r="A114" s="35">
        <v>5667</v>
      </c>
      <c r="B114" s="37" t="s">
        <v>567</v>
      </c>
      <c r="C114" s="37" t="s">
        <v>104</v>
      </c>
      <c r="D114" s="37" t="s">
        <v>100</v>
      </c>
      <c r="E114" s="37" t="s">
        <v>114</v>
      </c>
      <c r="F114" s="38" t="s">
        <v>202</v>
      </c>
    </row>
    <row r="115" spans="1:6" ht="13.5">
      <c r="A115" s="35">
        <v>5670</v>
      </c>
      <c r="B115" s="37" t="s">
        <v>568</v>
      </c>
      <c r="C115" s="37" t="s">
        <v>104</v>
      </c>
      <c r="D115" s="37" t="s">
        <v>100</v>
      </c>
      <c r="E115" s="37" t="s">
        <v>114</v>
      </c>
      <c r="F115" s="38" t="s">
        <v>202</v>
      </c>
    </row>
    <row r="116" spans="1:6" ht="13.5">
      <c r="A116" s="35">
        <v>5674</v>
      </c>
      <c r="B116" s="37" t="s">
        <v>569</v>
      </c>
      <c r="C116" s="37" t="s">
        <v>104</v>
      </c>
      <c r="D116" s="37" t="s">
        <v>100</v>
      </c>
      <c r="E116" s="37" t="s">
        <v>114</v>
      </c>
      <c r="F116" s="38" t="s">
        <v>148</v>
      </c>
    </row>
    <row r="117" spans="1:6" ht="13.5">
      <c r="A117" s="35">
        <v>5042</v>
      </c>
      <c r="B117" s="37" t="s">
        <v>570</v>
      </c>
      <c r="C117" s="37" t="s">
        <v>104</v>
      </c>
      <c r="D117" s="37" t="s">
        <v>100</v>
      </c>
      <c r="E117" s="37" t="s">
        <v>114</v>
      </c>
      <c r="F117" s="38" t="s">
        <v>148</v>
      </c>
    </row>
    <row r="118" spans="1:6" ht="13.5">
      <c r="A118" s="35">
        <v>5686</v>
      </c>
      <c r="B118" s="37" t="s">
        <v>571</v>
      </c>
      <c r="C118" s="37" t="s">
        <v>104</v>
      </c>
      <c r="D118" s="37" t="s">
        <v>100</v>
      </c>
      <c r="E118" s="37" t="s">
        <v>114</v>
      </c>
      <c r="F118" s="38" t="s">
        <v>148</v>
      </c>
    </row>
    <row r="119" spans="1:6" ht="13.5">
      <c r="A119" s="35">
        <v>5690</v>
      </c>
      <c r="B119" s="37" t="s">
        <v>572</v>
      </c>
      <c r="C119" s="37" t="s">
        <v>104</v>
      </c>
      <c r="D119" s="37" t="s">
        <v>100</v>
      </c>
      <c r="E119" s="37" t="s">
        <v>114</v>
      </c>
      <c r="F119" s="38" t="s">
        <v>148</v>
      </c>
    </row>
    <row r="120" spans="1:6" ht="13.5">
      <c r="A120" s="35">
        <v>5736</v>
      </c>
      <c r="B120" s="37" t="s">
        <v>573</v>
      </c>
      <c r="C120" s="37" t="s">
        <v>104</v>
      </c>
      <c r="D120" s="37" t="s">
        <v>100</v>
      </c>
      <c r="E120" s="37" t="s">
        <v>114</v>
      </c>
      <c r="F120" s="38" t="s">
        <v>344</v>
      </c>
    </row>
    <row r="121" spans="1:6" ht="13.5">
      <c r="A121" s="35">
        <v>5756</v>
      </c>
      <c r="B121" s="37" t="s">
        <v>574</v>
      </c>
      <c r="C121" s="37" t="s">
        <v>104</v>
      </c>
      <c r="D121" s="37" t="s">
        <v>100</v>
      </c>
      <c r="E121" s="37" t="s">
        <v>114</v>
      </c>
      <c r="F121" s="38" t="s">
        <v>202</v>
      </c>
    </row>
    <row r="122" spans="1:6" ht="13.5">
      <c r="A122" s="35">
        <v>5761</v>
      </c>
      <c r="B122" s="37" t="s">
        <v>575</v>
      </c>
      <c r="C122" s="37" t="s">
        <v>104</v>
      </c>
      <c r="D122" s="37" t="s">
        <v>100</v>
      </c>
      <c r="E122" s="37" t="s">
        <v>114</v>
      </c>
      <c r="F122" s="38" t="s">
        <v>148</v>
      </c>
    </row>
    <row r="123" spans="1:6" ht="13.5">
      <c r="A123" s="35">
        <v>5789</v>
      </c>
      <c r="B123" s="37" t="s">
        <v>576</v>
      </c>
      <c r="C123" s="37" t="s">
        <v>104</v>
      </c>
      <c r="D123" s="37" t="s">
        <v>100</v>
      </c>
      <c r="E123" s="37" t="s">
        <v>114</v>
      </c>
      <c r="F123" s="38" t="s">
        <v>202</v>
      </c>
    </row>
    <row r="124" spans="1:6" ht="13.5">
      <c r="A124" s="35">
        <v>5790</v>
      </c>
      <c r="B124" s="37" t="s">
        <v>359</v>
      </c>
      <c r="C124" s="37" t="s">
        <v>104</v>
      </c>
      <c r="D124" s="37" t="s">
        <v>100</v>
      </c>
      <c r="E124" s="37" t="s">
        <v>114</v>
      </c>
      <c r="F124" s="38" t="s">
        <v>344</v>
      </c>
    </row>
    <row r="125" spans="1:6" ht="13.5">
      <c r="A125" s="35">
        <v>5792</v>
      </c>
      <c r="B125" s="37" t="s">
        <v>577</v>
      </c>
      <c r="C125" s="37" t="s">
        <v>104</v>
      </c>
      <c r="D125" s="37" t="s">
        <v>100</v>
      </c>
      <c r="E125" s="37" t="s">
        <v>114</v>
      </c>
      <c r="F125" s="38" t="s">
        <v>202</v>
      </c>
    </row>
    <row r="126" spans="1:6" ht="13.5">
      <c r="A126" s="35">
        <v>5809</v>
      </c>
      <c r="B126" s="37" t="s">
        <v>578</v>
      </c>
      <c r="C126" s="37" t="s">
        <v>104</v>
      </c>
      <c r="D126" s="37" t="s">
        <v>100</v>
      </c>
      <c r="E126" s="37" t="s">
        <v>114</v>
      </c>
      <c r="F126" s="38" t="s">
        <v>148</v>
      </c>
    </row>
    <row r="127" spans="1:6" ht="13.5">
      <c r="A127" s="35">
        <v>5837</v>
      </c>
      <c r="B127" s="37" t="s">
        <v>579</v>
      </c>
      <c r="C127" s="37" t="s">
        <v>104</v>
      </c>
      <c r="D127" s="37" t="s">
        <v>502</v>
      </c>
      <c r="E127" s="37" t="s">
        <v>114</v>
      </c>
      <c r="F127" s="38" t="s">
        <v>148</v>
      </c>
    </row>
    <row r="128" spans="1:6" ht="13.5">
      <c r="A128" s="35">
        <v>5842</v>
      </c>
      <c r="B128" s="37" t="s">
        <v>580</v>
      </c>
      <c r="C128" s="37" t="s">
        <v>104</v>
      </c>
      <c r="D128" s="37" t="s">
        <v>100</v>
      </c>
      <c r="E128" s="37" t="s">
        <v>114</v>
      </c>
      <c r="F128" s="38" t="s">
        <v>344</v>
      </c>
    </row>
    <row r="129" spans="1:6" ht="13.5">
      <c r="A129" s="35">
        <v>5847</v>
      </c>
      <c r="B129" s="37" t="s">
        <v>581</v>
      </c>
      <c r="C129" s="37" t="s">
        <v>104</v>
      </c>
      <c r="D129" s="37" t="s">
        <v>100</v>
      </c>
      <c r="E129" s="37" t="s">
        <v>114</v>
      </c>
      <c r="F129" s="38" t="s">
        <v>344</v>
      </c>
    </row>
    <row r="130" spans="1:6" ht="13.5">
      <c r="A130" s="35">
        <v>5854</v>
      </c>
      <c r="B130" s="37" t="s">
        <v>582</v>
      </c>
      <c r="C130" s="37" t="s">
        <v>104</v>
      </c>
      <c r="D130" s="37" t="s">
        <v>100</v>
      </c>
      <c r="E130" s="37" t="s">
        <v>114</v>
      </c>
      <c r="F130" s="38" t="s">
        <v>202</v>
      </c>
    </row>
    <row r="131" spans="1:6" ht="13.5">
      <c r="A131" s="35">
        <v>5858</v>
      </c>
      <c r="B131" s="37" t="s">
        <v>583</v>
      </c>
      <c r="C131" s="37" t="s">
        <v>104</v>
      </c>
      <c r="D131" s="37" t="s">
        <v>100</v>
      </c>
      <c r="E131" s="37" t="s">
        <v>114</v>
      </c>
      <c r="F131" s="38" t="s">
        <v>202</v>
      </c>
    </row>
    <row r="132" spans="1:6" ht="13.5">
      <c r="A132" s="35">
        <v>5873</v>
      </c>
      <c r="B132" s="37" t="s">
        <v>584</v>
      </c>
      <c r="C132" s="37" t="s">
        <v>104</v>
      </c>
      <c r="D132" s="37" t="s">
        <v>502</v>
      </c>
      <c r="E132" s="37" t="s">
        <v>461</v>
      </c>
      <c r="F132" s="38" t="s">
        <v>462</v>
      </c>
    </row>
    <row r="133" spans="1:6" ht="13.5">
      <c r="A133" s="35">
        <v>5885</v>
      </c>
      <c r="B133" s="37" t="s">
        <v>585</v>
      </c>
      <c r="C133" s="37" t="s">
        <v>104</v>
      </c>
      <c r="D133" s="37" t="s">
        <v>100</v>
      </c>
      <c r="E133" s="37" t="s">
        <v>114</v>
      </c>
      <c r="F133" s="38" t="s">
        <v>148</v>
      </c>
    </row>
    <row r="134" spans="1:6" ht="13.5">
      <c r="A134" s="35">
        <v>5887</v>
      </c>
      <c r="B134" s="37" t="s">
        <v>586</v>
      </c>
      <c r="C134" s="37" t="s">
        <v>104</v>
      </c>
      <c r="D134" s="37" t="s">
        <v>100</v>
      </c>
      <c r="E134" s="37" t="s">
        <v>114</v>
      </c>
      <c r="F134" s="38" t="s">
        <v>202</v>
      </c>
    </row>
    <row r="135" spans="1:6" ht="13.5">
      <c r="A135" s="35">
        <v>5890</v>
      </c>
      <c r="B135" s="37" t="s">
        <v>587</v>
      </c>
      <c r="C135" s="37" t="s">
        <v>104</v>
      </c>
      <c r="D135" s="37" t="s">
        <v>100</v>
      </c>
      <c r="E135" s="37" t="s">
        <v>114</v>
      </c>
      <c r="F135" s="38" t="s">
        <v>148</v>
      </c>
    </row>
    <row r="136" spans="1:6" ht="13.5">
      <c r="A136" s="35">
        <v>5893</v>
      </c>
      <c r="B136" s="37" t="s">
        <v>588</v>
      </c>
      <c r="C136" s="37" t="s">
        <v>104</v>
      </c>
      <c r="D136" s="37" t="s">
        <v>171</v>
      </c>
      <c r="E136" s="37" t="s">
        <v>114</v>
      </c>
      <c r="F136" s="38" t="s">
        <v>344</v>
      </c>
    </row>
    <row r="137" spans="1:6" ht="13.5">
      <c r="A137" s="35">
        <v>5895</v>
      </c>
      <c r="B137" s="37" t="s">
        <v>589</v>
      </c>
      <c r="C137" s="37" t="s">
        <v>104</v>
      </c>
      <c r="D137" s="37" t="s">
        <v>504</v>
      </c>
      <c r="E137" s="37" t="s">
        <v>114</v>
      </c>
      <c r="F137" s="38" t="s">
        <v>344</v>
      </c>
    </row>
    <row r="138" spans="1:6" ht="13.5">
      <c r="A138" s="35">
        <v>81001</v>
      </c>
      <c r="B138" s="37" t="s">
        <v>590</v>
      </c>
      <c r="C138" s="37" t="s">
        <v>590</v>
      </c>
      <c r="D138" s="37" t="s">
        <v>171</v>
      </c>
      <c r="E138" s="37" t="s">
        <v>461</v>
      </c>
      <c r="F138" s="38" t="s">
        <v>462</v>
      </c>
    </row>
    <row r="139" spans="1:6" ht="13.5">
      <c r="A139" s="35">
        <v>81065</v>
      </c>
      <c r="B139" s="37" t="s">
        <v>591</v>
      </c>
      <c r="C139" s="37" t="s">
        <v>590</v>
      </c>
      <c r="D139" s="37" t="s">
        <v>171</v>
      </c>
      <c r="E139" s="37" t="s">
        <v>461</v>
      </c>
      <c r="F139" s="38" t="s">
        <v>462</v>
      </c>
    </row>
    <row r="140" spans="1:6" ht="13.5">
      <c r="A140" s="35">
        <v>81220</v>
      </c>
      <c r="B140" s="37" t="s">
        <v>592</v>
      </c>
      <c r="C140" s="37" t="s">
        <v>590</v>
      </c>
      <c r="D140" s="37" t="s">
        <v>171</v>
      </c>
      <c r="E140" s="37" t="s">
        <v>461</v>
      </c>
      <c r="F140" s="38" t="s">
        <v>462</v>
      </c>
    </row>
    <row r="141" spans="1:6" ht="13.5">
      <c r="A141" s="35">
        <v>81300</v>
      </c>
      <c r="B141" s="37" t="s">
        <v>593</v>
      </c>
      <c r="C141" s="37" t="s">
        <v>590</v>
      </c>
      <c r="D141" s="37" t="s">
        <v>171</v>
      </c>
      <c r="E141" s="37" t="s">
        <v>461</v>
      </c>
      <c r="F141" s="38" t="s">
        <v>462</v>
      </c>
    </row>
    <row r="142" spans="1:6" ht="13.5">
      <c r="A142" s="35">
        <v>81591</v>
      </c>
      <c r="B142" s="37" t="s">
        <v>594</v>
      </c>
      <c r="C142" s="37" t="s">
        <v>590</v>
      </c>
      <c r="D142" s="37" t="s">
        <v>171</v>
      </c>
      <c r="E142" s="37" t="s">
        <v>461</v>
      </c>
      <c r="F142" s="38" t="s">
        <v>462</v>
      </c>
    </row>
    <row r="143" spans="1:6" ht="13.5">
      <c r="A143" s="35">
        <v>81736</v>
      </c>
      <c r="B143" s="37" t="s">
        <v>595</v>
      </c>
      <c r="C143" s="37" t="s">
        <v>590</v>
      </c>
      <c r="D143" s="37" t="s">
        <v>171</v>
      </c>
      <c r="E143" s="37" t="s">
        <v>461</v>
      </c>
      <c r="F143" s="38" t="s">
        <v>462</v>
      </c>
    </row>
    <row r="144" spans="1:6" ht="13.5">
      <c r="A144" s="35">
        <v>81794</v>
      </c>
      <c r="B144" s="37" t="s">
        <v>596</v>
      </c>
      <c r="C144" s="37" t="s">
        <v>590</v>
      </c>
      <c r="D144" s="37" t="s">
        <v>171</v>
      </c>
      <c r="E144" s="37" t="s">
        <v>461</v>
      </c>
      <c r="F144" s="38" t="s">
        <v>462</v>
      </c>
    </row>
    <row r="145" spans="1:6" ht="13.5">
      <c r="A145" s="35">
        <v>8141</v>
      </c>
      <c r="B145" s="36" t="s">
        <v>204</v>
      </c>
      <c r="C145" s="37" t="s">
        <v>597</v>
      </c>
      <c r="D145" s="37" t="s">
        <v>598</v>
      </c>
      <c r="E145" s="37" t="s">
        <v>114</v>
      </c>
      <c r="F145" s="38" t="s">
        <v>148</v>
      </c>
    </row>
    <row r="146" spans="1:6" ht="13.5">
      <c r="A146" s="35">
        <v>8573</v>
      </c>
      <c r="B146" s="36" t="s">
        <v>599</v>
      </c>
      <c r="C146" s="37" t="s">
        <v>597</v>
      </c>
      <c r="D146" s="37" t="s">
        <v>598</v>
      </c>
      <c r="E146" s="37" t="s">
        <v>114</v>
      </c>
      <c r="F146" s="38" t="s">
        <v>148</v>
      </c>
    </row>
    <row r="147" spans="1:6" ht="13.5">
      <c r="A147" s="35">
        <v>8638</v>
      </c>
      <c r="B147" s="36" t="s">
        <v>484</v>
      </c>
      <c r="C147" s="37" t="s">
        <v>597</v>
      </c>
      <c r="D147" s="37" t="s">
        <v>598</v>
      </c>
      <c r="E147" s="37" t="s">
        <v>114</v>
      </c>
      <c r="F147" s="38" t="s">
        <v>148</v>
      </c>
    </row>
    <row r="148" spans="1:6" ht="13.5">
      <c r="A148" s="35">
        <v>8078</v>
      </c>
      <c r="B148" s="37" t="s">
        <v>600</v>
      </c>
      <c r="C148" s="37" t="s">
        <v>597</v>
      </c>
      <c r="D148" s="37" t="s">
        <v>598</v>
      </c>
      <c r="E148" s="37" t="s">
        <v>114</v>
      </c>
      <c r="F148" s="38" t="s">
        <v>148</v>
      </c>
    </row>
    <row r="149" spans="1:6" ht="13.5">
      <c r="A149" s="35">
        <v>8001</v>
      </c>
      <c r="B149" s="37" t="s">
        <v>598</v>
      </c>
      <c r="C149" s="37" t="s">
        <v>597</v>
      </c>
      <c r="D149" s="37" t="s">
        <v>598</v>
      </c>
      <c r="E149" s="37" t="s">
        <v>114</v>
      </c>
      <c r="F149" s="38" t="s">
        <v>113</v>
      </c>
    </row>
    <row r="150" spans="1:6" ht="13.5">
      <c r="A150" s="35">
        <v>8137</v>
      </c>
      <c r="B150" s="37" t="s">
        <v>601</v>
      </c>
      <c r="C150" s="37" t="s">
        <v>597</v>
      </c>
      <c r="D150" s="37" t="s">
        <v>598</v>
      </c>
      <c r="E150" s="37" t="s">
        <v>114</v>
      </c>
      <c r="F150" s="38" t="s">
        <v>148</v>
      </c>
    </row>
    <row r="151" spans="1:6" ht="13.5">
      <c r="A151" s="35">
        <v>8296</v>
      </c>
      <c r="B151" s="37" t="s">
        <v>602</v>
      </c>
      <c r="C151" s="37" t="s">
        <v>597</v>
      </c>
      <c r="D151" s="37" t="s">
        <v>598</v>
      </c>
      <c r="E151" s="37" t="s">
        <v>114</v>
      </c>
      <c r="F151" s="38" t="s">
        <v>113</v>
      </c>
    </row>
    <row r="152" spans="1:6" ht="13.5">
      <c r="A152" s="35">
        <v>8372</v>
      </c>
      <c r="B152" s="37" t="s">
        <v>603</v>
      </c>
      <c r="C152" s="37" t="s">
        <v>597</v>
      </c>
      <c r="D152" s="37" t="s">
        <v>598</v>
      </c>
      <c r="E152" s="37" t="s">
        <v>114</v>
      </c>
      <c r="F152" s="38" t="s">
        <v>148</v>
      </c>
    </row>
    <row r="153" spans="1:6" ht="13.5">
      <c r="A153" s="35">
        <v>8421</v>
      </c>
      <c r="B153" s="37" t="s">
        <v>604</v>
      </c>
      <c r="C153" s="37" t="s">
        <v>597</v>
      </c>
      <c r="D153" s="37" t="s">
        <v>598</v>
      </c>
      <c r="E153" s="37" t="s">
        <v>114</v>
      </c>
      <c r="F153" s="38" t="s">
        <v>148</v>
      </c>
    </row>
    <row r="154" spans="1:6" ht="13.5">
      <c r="A154" s="35">
        <v>8433</v>
      </c>
      <c r="B154" s="37" t="s">
        <v>605</v>
      </c>
      <c r="C154" s="37" t="s">
        <v>597</v>
      </c>
      <c r="D154" s="37" t="s">
        <v>598</v>
      </c>
      <c r="E154" s="37" t="s">
        <v>114</v>
      </c>
      <c r="F154" s="38" t="s">
        <v>148</v>
      </c>
    </row>
    <row r="155" spans="1:6" ht="13.5">
      <c r="A155" s="35">
        <v>8436</v>
      </c>
      <c r="B155" s="37" t="s">
        <v>606</v>
      </c>
      <c r="C155" s="37" t="s">
        <v>597</v>
      </c>
      <c r="D155" s="37" t="s">
        <v>598</v>
      </c>
      <c r="E155" s="37" t="s">
        <v>114</v>
      </c>
      <c r="F155" s="38" t="s">
        <v>148</v>
      </c>
    </row>
    <row r="156" spans="1:6" ht="13.5">
      <c r="A156" s="35">
        <v>8520</v>
      </c>
      <c r="B156" s="37" t="s">
        <v>607</v>
      </c>
      <c r="C156" s="37" t="s">
        <v>597</v>
      </c>
      <c r="D156" s="37" t="s">
        <v>598</v>
      </c>
      <c r="E156" s="37" t="s">
        <v>114</v>
      </c>
      <c r="F156" s="38" t="s">
        <v>148</v>
      </c>
    </row>
    <row r="157" spans="1:6" ht="13.5">
      <c r="A157" s="35">
        <v>8549</v>
      </c>
      <c r="B157" s="37" t="s">
        <v>608</v>
      </c>
      <c r="C157" s="37" t="s">
        <v>597</v>
      </c>
      <c r="D157" s="37" t="s">
        <v>598</v>
      </c>
      <c r="E157" s="37" t="s">
        <v>114</v>
      </c>
      <c r="F157" s="38" t="s">
        <v>148</v>
      </c>
    </row>
    <row r="158" spans="1:6" ht="13.5">
      <c r="A158" s="35">
        <v>8558</v>
      </c>
      <c r="B158" s="37" t="s">
        <v>609</v>
      </c>
      <c r="C158" s="37" t="s">
        <v>597</v>
      </c>
      <c r="D158" s="37" t="s">
        <v>598</v>
      </c>
      <c r="E158" s="37" t="s">
        <v>114</v>
      </c>
      <c r="F158" s="38" t="s">
        <v>148</v>
      </c>
    </row>
    <row r="159" spans="1:6" ht="13.5">
      <c r="A159" s="35">
        <v>8560</v>
      </c>
      <c r="B159" s="37" t="s">
        <v>610</v>
      </c>
      <c r="C159" s="37" t="s">
        <v>597</v>
      </c>
      <c r="D159" s="37" t="s">
        <v>598</v>
      </c>
      <c r="E159" s="37" t="s">
        <v>114</v>
      </c>
      <c r="F159" s="38" t="s">
        <v>148</v>
      </c>
    </row>
    <row r="160" spans="1:6" ht="13.5">
      <c r="A160" s="35">
        <v>8606</v>
      </c>
      <c r="B160" s="37" t="s">
        <v>611</v>
      </c>
      <c r="C160" s="37" t="s">
        <v>597</v>
      </c>
      <c r="D160" s="37" t="s">
        <v>598</v>
      </c>
      <c r="E160" s="37" t="s">
        <v>114</v>
      </c>
      <c r="F160" s="38" t="s">
        <v>148</v>
      </c>
    </row>
    <row r="161" spans="1:6" ht="13.5">
      <c r="A161" s="35">
        <v>8634</v>
      </c>
      <c r="B161" s="37" t="s">
        <v>612</v>
      </c>
      <c r="C161" s="37" t="s">
        <v>597</v>
      </c>
      <c r="D161" s="37" t="s">
        <v>598</v>
      </c>
      <c r="E161" s="37" t="s">
        <v>114</v>
      </c>
      <c r="F161" s="38" t="s">
        <v>148</v>
      </c>
    </row>
    <row r="162" spans="1:6" ht="13.5">
      <c r="A162" s="35">
        <v>8675</v>
      </c>
      <c r="B162" s="37" t="s">
        <v>613</v>
      </c>
      <c r="C162" s="37" t="s">
        <v>597</v>
      </c>
      <c r="D162" s="37" t="s">
        <v>598</v>
      </c>
      <c r="E162" s="37" t="s">
        <v>114</v>
      </c>
      <c r="F162" s="38" t="s">
        <v>148</v>
      </c>
    </row>
    <row r="163" spans="1:6" ht="13.5">
      <c r="A163" s="35">
        <v>8685</v>
      </c>
      <c r="B163" s="37" t="s">
        <v>614</v>
      </c>
      <c r="C163" s="37" t="s">
        <v>597</v>
      </c>
      <c r="D163" s="37" t="s">
        <v>598</v>
      </c>
      <c r="E163" s="37" t="s">
        <v>114</v>
      </c>
      <c r="F163" s="38" t="s">
        <v>148</v>
      </c>
    </row>
    <row r="164" spans="1:6" ht="13.5">
      <c r="A164" s="35">
        <v>8758</v>
      </c>
      <c r="B164" s="37" t="s">
        <v>615</v>
      </c>
      <c r="C164" s="37" t="s">
        <v>597</v>
      </c>
      <c r="D164" s="37" t="s">
        <v>598</v>
      </c>
      <c r="E164" s="37" t="s">
        <v>114</v>
      </c>
      <c r="F164" s="38" t="s">
        <v>113</v>
      </c>
    </row>
    <row r="165" spans="1:6" ht="13.5">
      <c r="A165" s="35">
        <v>8770</v>
      </c>
      <c r="B165" s="37" t="s">
        <v>616</v>
      </c>
      <c r="C165" s="37" t="s">
        <v>597</v>
      </c>
      <c r="D165" s="37" t="s">
        <v>598</v>
      </c>
      <c r="E165" s="37" t="s">
        <v>114</v>
      </c>
      <c r="F165" s="38" t="s">
        <v>148</v>
      </c>
    </row>
    <row r="166" spans="1:6" ht="13.5">
      <c r="A166" s="35">
        <v>8832</v>
      </c>
      <c r="B166" s="37" t="s">
        <v>617</v>
      </c>
      <c r="C166" s="37" t="s">
        <v>597</v>
      </c>
      <c r="D166" s="37" t="s">
        <v>598</v>
      </c>
      <c r="E166" s="37" t="s">
        <v>114</v>
      </c>
      <c r="F166" s="38" t="s">
        <v>148</v>
      </c>
    </row>
    <row r="167" spans="1:6" ht="13.5">
      <c r="A167" s="35">
        <v>8849</v>
      </c>
      <c r="B167" s="37" t="s">
        <v>618</v>
      </c>
      <c r="C167" s="37" t="s">
        <v>597</v>
      </c>
      <c r="D167" s="37" t="s">
        <v>598</v>
      </c>
      <c r="E167" s="37" t="s">
        <v>114</v>
      </c>
      <c r="F167" s="38" t="s">
        <v>148</v>
      </c>
    </row>
    <row r="168" spans="1:6" ht="13.5">
      <c r="A168" s="35">
        <v>13140</v>
      </c>
      <c r="B168" s="36" t="s">
        <v>619</v>
      </c>
      <c r="C168" s="37" t="s">
        <v>232</v>
      </c>
      <c r="D168" s="37" t="s">
        <v>230</v>
      </c>
      <c r="E168" s="37" t="s">
        <v>114</v>
      </c>
      <c r="F168" s="38" t="s">
        <v>148</v>
      </c>
    </row>
    <row r="169" spans="1:6" ht="13.5">
      <c r="A169" s="35">
        <v>13212</v>
      </c>
      <c r="B169" s="36" t="s">
        <v>620</v>
      </c>
      <c r="C169" s="37" t="s">
        <v>232</v>
      </c>
      <c r="D169" s="37" t="s">
        <v>230</v>
      </c>
      <c r="E169" s="37" t="s">
        <v>114</v>
      </c>
      <c r="F169" s="38" t="s">
        <v>344</v>
      </c>
    </row>
    <row r="170" spans="1:6" ht="13.5">
      <c r="A170" s="35">
        <v>13268</v>
      </c>
      <c r="B170" s="36" t="s">
        <v>621</v>
      </c>
      <c r="C170" s="37" t="s">
        <v>232</v>
      </c>
      <c r="D170" s="37" t="s">
        <v>622</v>
      </c>
      <c r="E170" s="37" t="s">
        <v>114</v>
      </c>
      <c r="F170" s="38" t="s">
        <v>344</v>
      </c>
    </row>
    <row r="171" spans="1:6" ht="13.5">
      <c r="A171" s="35">
        <v>13473</v>
      </c>
      <c r="B171" s="36" t="s">
        <v>623</v>
      </c>
      <c r="C171" s="37" t="s">
        <v>232</v>
      </c>
      <c r="D171" s="37" t="s">
        <v>622</v>
      </c>
      <c r="E171" s="37" t="s">
        <v>114</v>
      </c>
      <c r="F171" s="38" t="s">
        <v>344</v>
      </c>
    </row>
    <row r="172" spans="1:6" ht="13.5">
      <c r="A172" s="35">
        <v>13670</v>
      </c>
      <c r="B172" s="36" t="s">
        <v>624</v>
      </c>
      <c r="C172" s="37" t="s">
        <v>232</v>
      </c>
      <c r="D172" s="37" t="s">
        <v>171</v>
      </c>
      <c r="E172" s="37" t="s">
        <v>625</v>
      </c>
      <c r="F172" s="38" t="s">
        <v>462</v>
      </c>
    </row>
    <row r="173" spans="1:6" ht="13.5">
      <c r="A173" s="35">
        <v>13683</v>
      </c>
      <c r="B173" s="36" t="s">
        <v>626</v>
      </c>
      <c r="C173" s="37" t="s">
        <v>232</v>
      </c>
      <c r="D173" s="37" t="s">
        <v>230</v>
      </c>
      <c r="E173" s="37" t="s">
        <v>114</v>
      </c>
      <c r="F173" s="38" t="s">
        <v>148</v>
      </c>
    </row>
    <row r="174" spans="1:6" ht="13.5">
      <c r="A174" s="35">
        <v>13873</v>
      </c>
      <c r="B174" s="36" t="s">
        <v>627</v>
      </c>
      <c r="C174" s="37" t="s">
        <v>232</v>
      </c>
      <c r="D174" s="37" t="s">
        <v>230</v>
      </c>
      <c r="E174" s="37" t="s">
        <v>114</v>
      </c>
      <c r="F174" s="38" t="s">
        <v>148</v>
      </c>
    </row>
    <row r="175" spans="1:6" ht="13.5">
      <c r="A175" s="35">
        <v>13006</v>
      </c>
      <c r="B175" s="37" t="s">
        <v>628</v>
      </c>
      <c r="C175" s="37" t="s">
        <v>232</v>
      </c>
      <c r="D175" s="37" t="s">
        <v>230</v>
      </c>
      <c r="E175" s="37" t="s">
        <v>114</v>
      </c>
      <c r="F175" s="38" t="s">
        <v>344</v>
      </c>
    </row>
    <row r="176" spans="1:6" ht="13.5">
      <c r="A176" s="35">
        <v>13030</v>
      </c>
      <c r="B176" s="37" t="s">
        <v>629</v>
      </c>
      <c r="C176" s="37" t="s">
        <v>232</v>
      </c>
      <c r="D176" s="37" t="s">
        <v>230</v>
      </c>
      <c r="E176" s="37" t="s">
        <v>114</v>
      </c>
      <c r="F176" s="38" t="s">
        <v>344</v>
      </c>
    </row>
    <row r="177" spans="1:6" ht="13.5">
      <c r="A177" s="35">
        <v>13042</v>
      </c>
      <c r="B177" s="37" t="s">
        <v>630</v>
      </c>
      <c r="C177" s="37" t="s">
        <v>232</v>
      </c>
      <c r="D177" s="37" t="s">
        <v>622</v>
      </c>
      <c r="E177" s="37" t="s">
        <v>114</v>
      </c>
      <c r="F177" s="38" t="s">
        <v>344</v>
      </c>
    </row>
    <row r="178" spans="1:6" ht="13.5">
      <c r="A178" s="35">
        <v>13052</v>
      </c>
      <c r="B178" s="37" t="s">
        <v>631</v>
      </c>
      <c r="C178" s="37" t="s">
        <v>232</v>
      </c>
      <c r="D178" s="37" t="s">
        <v>230</v>
      </c>
      <c r="E178" s="37" t="s">
        <v>114</v>
      </c>
      <c r="F178" s="38" t="s">
        <v>148</v>
      </c>
    </row>
    <row r="179" spans="1:6" ht="13.5">
      <c r="A179" s="35">
        <v>13062</v>
      </c>
      <c r="B179" s="37" t="s">
        <v>632</v>
      </c>
      <c r="C179" s="37" t="s">
        <v>232</v>
      </c>
      <c r="D179" s="37" t="s">
        <v>230</v>
      </c>
      <c r="E179" s="37" t="s">
        <v>114</v>
      </c>
      <c r="F179" s="38" t="s">
        <v>148</v>
      </c>
    </row>
    <row r="180" spans="1:6" ht="13.5">
      <c r="A180" s="35">
        <v>13074</v>
      </c>
      <c r="B180" s="37" t="s">
        <v>633</v>
      </c>
      <c r="C180" s="37" t="s">
        <v>232</v>
      </c>
      <c r="D180" s="37" t="s">
        <v>622</v>
      </c>
      <c r="E180" s="37" t="s">
        <v>114</v>
      </c>
      <c r="F180" s="38" t="s">
        <v>344</v>
      </c>
    </row>
    <row r="181" spans="1:6" ht="13.5">
      <c r="A181" s="35">
        <v>13160</v>
      </c>
      <c r="B181" s="37" t="s">
        <v>634</v>
      </c>
      <c r="C181" s="37" t="s">
        <v>232</v>
      </c>
      <c r="D181" s="37" t="s">
        <v>171</v>
      </c>
      <c r="E181" s="37" t="s">
        <v>625</v>
      </c>
      <c r="F181" s="38" t="s">
        <v>462</v>
      </c>
    </row>
    <row r="182" spans="1:6" ht="13.5">
      <c r="A182" s="35">
        <v>13001</v>
      </c>
      <c r="B182" s="37" t="s">
        <v>230</v>
      </c>
      <c r="C182" s="37" t="s">
        <v>232</v>
      </c>
      <c r="D182" s="37" t="s">
        <v>230</v>
      </c>
      <c r="E182" s="37" t="s">
        <v>114</v>
      </c>
      <c r="F182" s="38" t="s">
        <v>113</v>
      </c>
    </row>
    <row r="183" spans="1:6" ht="13.5">
      <c r="A183" s="35">
        <v>13188</v>
      </c>
      <c r="B183" s="37" t="s">
        <v>635</v>
      </c>
      <c r="C183" s="37" t="s">
        <v>232</v>
      </c>
      <c r="D183" s="37" t="s">
        <v>230</v>
      </c>
      <c r="E183" s="37" t="s">
        <v>114</v>
      </c>
      <c r="F183" s="38" t="s">
        <v>344</v>
      </c>
    </row>
    <row r="184" spans="1:6" ht="13.5">
      <c r="A184" s="35">
        <v>13222</v>
      </c>
      <c r="B184" s="37" t="s">
        <v>636</v>
      </c>
      <c r="C184" s="37" t="s">
        <v>232</v>
      </c>
      <c r="D184" s="37" t="s">
        <v>230</v>
      </c>
      <c r="E184" s="37" t="s">
        <v>114</v>
      </c>
      <c r="F184" s="38" t="s">
        <v>148</v>
      </c>
    </row>
    <row r="185" spans="1:6" ht="13.5">
      <c r="A185" s="35">
        <v>13244</v>
      </c>
      <c r="B185" s="37" t="s">
        <v>637</v>
      </c>
      <c r="C185" s="37" t="s">
        <v>232</v>
      </c>
      <c r="D185" s="37" t="s">
        <v>230</v>
      </c>
      <c r="E185" s="37" t="s">
        <v>114</v>
      </c>
      <c r="F185" s="38" t="s">
        <v>202</v>
      </c>
    </row>
    <row r="186" spans="1:6" ht="13.5">
      <c r="A186" s="35">
        <v>13248</v>
      </c>
      <c r="B186" s="37" t="s">
        <v>638</v>
      </c>
      <c r="C186" s="37" t="s">
        <v>232</v>
      </c>
      <c r="D186" s="37" t="s">
        <v>230</v>
      </c>
      <c r="E186" s="37" t="s">
        <v>114</v>
      </c>
      <c r="F186" s="38" t="s">
        <v>344</v>
      </c>
    </row>
    <row r="187" spans="1:6" ht="13.5">
      <c r="A187" s="35">
        <v>13300</v>
      </c>
      <c r="B187" s="37" t="s">
        <v>639</v>
      </c>
      <c r="C187" s="37" t="s">
        <v>232</v>
      </c>
      <c r="D187" s="37" t="s">
        <v>622</v>
      </c>
      <c r="E187" s="37" t="s">
        <v>114</v>
      </c>
      <c r="F187" s="38" t="s">
        <v>344</v>
      </c>
    </row>
    <row r="188" spans="1:6" ht="13.5">
      <c r="A188" s="35">
        <v>13430</v>
      </c>
      <c r="B188" s="37" t="s">
        <v>640</v>
      </c>
      <c r="C188" s="37" t="s">
        <v>232</v>
      </c>
      <c r="D188" s="37" t="s">
        <v>230</v>
      </c>
      <c r="E188" s="37" t="s">
        <v>114</v>
      </c>
      <c r="F188" s="38" t="s">
        <v>344</v>
      </c>
    </row>
    <row r="189" spans="1:6" ht="13.5">
      <c r="A189" s="35">
        <v>13433</v>
      </c>
      <c r="B189" s="37" t="s">
        <v>641</v>
      </c>
      <c r="C189" s="37" t="s">
        <v>232</v>
      </c>
      <c r="D189" s="37" t="s">
        <v>230</v>
      </c>
      <c r="E189" s="37" t="s">
        <v>114</v>
      </c>
      <c r="F189" s="38" t="s">
        <v>148</v>
      </c>
    </row>
    <row r="190" spans="1:6" ht="13.5">
      <c r="A190" s="35">
        <v>13440</v>
      </c>
      <c r="B190" s="37" t="s">
        <v>642</v>
      </c>
      <c r="C190" s="37" t="s">
        <v>232</v>
      </c>
      <c r="D190" s="37" t="s">
        <v>230</v>
      </c>
      <c r="E190" s="37" t="s">
        <v>114</v>
      </c>
      <c r="F190" s="38" t="s">
        <v>344</v>
      </c>
    </row>
    <row r="191" spans="1:6" ht="13.5">
      <c r="A191" s="35">
        <v>13442</v>
      </c>
      <c r="B191" s="37" t="s">
        <v>643</v>
      </c>
      <c r="C191" s="37" t="s">
        <v>232</v>
      </c>
      <c r="D191" s="37" t="s">
        <v>230</v>
      </c>
      <c r="E191" s="37" t="s">
        <v>114</v>
      </c>
      <c r="F191" s="38" t="s">
        <v>148</v>
      </c>
    </row>
    <row r="192" spans="1:6" ht="13.5">
      <c r="A192" s="35">
        <v>13468</v>
      </c>
      <c r="B192" s="37" t="s">
        <v>644</v>
      </c>
      <c r="C192" s="37" t="s">
        <v>232</v>
      </c>
      <c r="D192" s="37" t="s">
        <v>230</v>
      </c>
      <c r="E192" s="37" t="s">
        <v>114</v>
      </c>
      <c r="F192" s="38" t="s">
        <v>344</v>
      </c>
    </row>
    <row r="193" spans="1:6" ht="13.5">
      <c r="A193" s="35">
        <v>13458</v>
      </c>
      <c r="B193" s="37" t="s">
        <v>645</v>
      </c>
      <c r="C193" s="37" t="s">
        <v>232</v>
      </c>
      <c r="D193" s="37" t="s">
        <v>230</v>
      </c>
      <c r="E193" s="37" t="s">
        <v>625</v>
      </c>
      <c r="F193" s="38" t="s">
        <v>462</v>
      </c>
    </row>
    <row r="194" spans="1:6" ht="13.5">
      <c r="A194" s="35">
        <v>13490</v>
      </c>
      <c r="B194" s="37" t="s">
        <v>646</v>
      </c>
      <c r="C194" s="37" t="s">
        <v>232</v>
      </c>
      <c r="D194" s="37" t="s">
        <v>230</v>
      </c>
      <c r="E194" s="37" t="s">
        <v>114</v>
      </c>
      <c r="F194" s="38" t="s">
        <v>344</v>
      </c>
    </row>
    <row r="195" spans="1:6" ht="13.5">
      <c r="A195" s="35">
        <v>13549</v>
      </c>
      <c r="B195" s="37" t="s">
        <v>647</v>
      </c>
      <c r="C195" s="37" t="s">
        <v>232</v>
      </c>
      <c r="D195" s="37" t="s">
        <v>230</v>
      </c>
      <c r="E195" s="37" t="s">
        <v>114</v>
      </c>
      <c r="F195" s="38" t="s">
        <v>344</v>
      </c>
    </row>
    <row r="196" spans="1:6" ht="13.5">
      <c r="A196" s="35">
        <v>13580</v>
      </c>
      <c r="B196" s="37" t="s">
        <v>648</v>
      </c>
      <c r="C196" s="37" t="s">
        <v>232</v>
      </c>
      <c r="D196" s="37" t="s">
        <v>230</v>
      </c>
      <c r="E196" s="37" t="s">
        <v>114</v>
      </c>
      <c r="F196" s="38" t="s">
        <v>344</v>
      </c>
    </row>
    <row r="197" spans="1:6" ht="13.5">
      <c r="A197" s="35">
        <v>13600</v>
      </c>
      <c r="B197" s="37" t="s">
        <v>649</v>
      </c>
      <c r="C197" s="37" t="s">
        <v>232</v>
      </c>
      <c r="D197" s="37" t="s">
        <v>622</v>
      </c>
      <c r="E197" s="37" t="s">
        <v>114</v>
      </c>
      <c r="F197" s="38" t="s">
        <v>344</v>
      </c>
    </row>
    <row r="198" spans="1:6" ht="13.5">
      <c r="A198" s="35">
        <v>13620</v>
      </c>
      <c r="B198" s="37" t="s">
        <v>650</v>
      </c>
      <c r="C198" s="37" t="s">
        <v>232</v>
      </c>
      <c r="D198" s="37" t="s">
        <v>230</v>
      </c>
      <c r="E198" s="37" t="s">
        <v>114</v>
      </c>
      <c r="F198" s="38" t="s">
        <v>202</v>
      </c>
    </row>
    <row r="199" spans="1:6" ht="13.5">
      <c r="A199" s="35">
        <v>13647</v>
      </c>
      <c r="B199" s="37" t="s">
        <v>651</v>
      </c>
      <c r="C199" s="37" t="s">
        <v>232</v>
      </c>
      <c r="D199" s="37" t="s">
        <v>230</v>
      </c>
      <c r="E199" s="37" t="s">
        <v>114</v>
      </c>
      <c r="F199" s="38" t="s">
        <v>148</v>
      </c>
    </row>
    <row r="200" spans="1:6" ht="13.5">
      <c r="A200" s="35">
        <v>13650</v>
      </c>
      <c r="B200" s="37" t="s">
        <v>652</v>
      </c>
      <c r="C200" s="37" t="s">
        <v>232</v>
      </c>
      <c r="D200" s="37" t="s">
        <v>230</v>
      </c>
      <c r="E200" s="37" t="s">
        <v>114</v>
      </c>
      <c r="F200" s="38" t="s">
        <v>344</v>
      </c>
    </row>
    <row r="201" spans="1:6" ht="13.5">
      <c r="A201" s="35">
        <v>13654</v>
      </c>
      <c r="B201" s="37" t="s">
        <v>653</v>
      </c>
      <c r="C201" s="37" t="s">
        <v>232</v>
      </c>
      <c r="D201" s="37" t="s">
        <v>230</v>
      </c>
      <c r="E201" s="37" t="s">
        <v>114</v>
      </c>
      <c r="F201" s="38" t="s">
        <v>202</v>
      </c>
    </row>
    <row r="202" spans="1:6" ht="13.5">
      <c r="A202" s="35">
        <v>13655</v>
      </c>
      <c r="B202" s="37" t="s">
        <v>654</v>
      </c>
      <c r="C202" s="37" t="s">
        <v>232</v>
      </c>
      <c r="D202" s="37" t="s">
        <v>230</v>
      </c>
      <c r="E202" s="37" t="s">
        <v>114</v>
      </c>
      <c r="F202" s="38" t="s">
        <v>344</v>
      </c>
    </row>
    <row r="203" spans="1:6" ht="13.5">
      <c r="A203" s="35">
        <v>13657</v>
      </c>
      <c r="B203" s="37" t="s">
        <v>655</v>
      </c>
      <c r="C203" s="37" t="s">
        <v>232</v>
      </c>
      <c r="D203" s="37" t="s">
        <v>230</v>
      </c>
      <c r="E203" s="37" t="s">
        <v>114</v>
      </c>
      <c r="F203" s="38" t="s">
        <v>148</v>
      </c>
    </row>
    <row r="204" spans="1:6" ht="13.5">
      <c r="A204" s="35">
        <v>13667</v>
      </c>
      <c r="B204" s="37" t="s">
        <v>656</v>
      </c>
      <c r="C204" s="37" t="s">
        <v>232</v>
      </c>
      <c r="D204" s="37" t="s">
        <v>230</v>
      </c>
      <c r="E204" s="37" t="s">
        <v>114</v>
      </c>
      <c r="F204" s="38" t="s">
        <v>344</v>
      </c>
    </row>
    <row r="205" spans="1:6" ht="13.5">
      <c r="A205" s="35">
        <v>13673</v>
      </c>
      <c r="B205" s="37" t="s">
        <v>657</v>
      </c>
      <c r="C205" s="37" t="s">
        <v>232</v>
      </c>
      <c r="D205" s="37" t="s">
        <v>230</v>
      </c>
      <c r="E205" s="37" t="s">
        <v>114</v>
      </c>
      <c r="F205" s="38" t="s">
        <v>148</v>
      </c>
    </row>
    <row r="206" spans="1:6" ht="13.5">
      <c r="A206" s="35">
        <v>13688</v>
      </c>
      <c r="B206" s="37" t="s">
        <v>658</v>
      </c>
      <c r="C206" s="37" t="s">
        <v>232</v>
      </c>
      <c r="D206" s="37" t="s">
        <v>171</v>
      </c>
      <c r="E206" s="37" t="s">
        <v>625</v>
      </c>
      <c r="F206" s="38" t="s">
        <v>462</v>
      </c>
    </row>
    <row r="207" spans="1:6" ht="13.5">
      <c r="A207" s="35">
        <v>13744</v>
      </c>
      <c r="B207" s="37" t="s">
        <v>659</v>
      </c>
      <c r="C207" s="37" t="s">
        <v>232</v>
      </c>
      <c r="D207" s="37" t="s">
        <v>171</v>
      </c>
      <c r="E207" s="37" t="s">
        <v>625</v>
      </c>
      <c r="F207" s="38" t="s">
        <v>462</v>
      </c>
    </row>
    <row r="208" spans="1:6" ht="13.5">
      <c r="A208" s="35">
        <v>13760</v>
      </c>
      <c r="B208" s="37" t="s">
        <v>660</v>
      </c>
      <c r="C208" s="37" t="s">
        <v>232</v>
      </c>
      <c r="D208" s="37" t="s">
        <v>230</v>
      </c>
      <c r="E208" s="37" t="s">
        <v>114</v>
      </c>
      <c r="F208" s="38" t="s">
        <v>202</v>
      </c>
    </row>
    <row r="209" spans="1:6" ht="13.5">
      <c r="A209" s="35">
        <v>13780</v>
      </c>
      <c r="B209" s="37" t="s">
        <v>661</v>
      </c>
      <c r="C209" s="37" t="s">
        <v>232</v>
      </c>
      <c r="D209" s="37" t="s">
        <v>230</v>
      </c>
      <c r="E209" s="37" t="s">
        <v>114</v>
      </c>
      <c r="F209" s="38" t="s">
        <v>344</v>
      </c>
    </row>
    <row r="210" spans="1:6" ht="13.5">
      <c r="A210" s="35">
        <v>13810</v>
      </c>
      <c r="B210" s="37" t="s">
        <v>662</v>
      </c>
      <c r="C210" s="37" t="s">
        <v>232</v>
      </c>
      <c r="D210" s="37" t="s">
        <v>230</v>
      </c>
      <c r="E210" s="37" t="s">
        <v>114</v>
      </c>
      <c r="F210" s="38" t="s">
        <v>344</v>
      </c>
    </row>
    <row r="211" spans="1:6" ht="13.5">
      <c r="A211" s="35">
        <v>13836</v>
      </c>
      <c r="B211" s="37" t="s">
        <v>663</v>
      </c>
      <c r="C211" s="37" t="s">
        <v>232</v>
      </c>
      <c r="D211" s="37" t="s">
        <v>230</v>
      </c>
      <c r="E211" s="37" t="s">
        <v>114</v>
      </c>
      <c r="F211" s="38" t="s">
        <v>148</v>
      </c>
    </row>
    <row r="212" spans="1:6" ht="13.5">
      <c r="A212" s="35">
        <v>13838</v>
      </c>
      <c r="B212" s="37" t="s">
        <v>664</v>
      </c>
      <c r="C212" s="37" t="s">
        <v>232</v>
      </c>
      <c r="D212" s="37" t="s">
        <v>230</v>
      </c>
      <c r="E212" s="37" t="s">
        <v>114</v>
      </c>
      <c r="F212" s="38" t="s">
        <v>148</v>
      </c>
    </row>
    <row r="213" spans="1:6" ht="13.5">
      <c r="A213" s="35">
        <v>13894</v>
      </c>
      <c r="B213" s="37" t="s">
        <v>665</v>
      </c>
      <c r="C213" s="37" t="s">
        <v>232</v>
      </c>
      <c r="D213" s="37" t="s">
        <v>230</v>
      </c>
      <c r="E213" s="37" t="s">
        <v>114</v>
      </c>
      <c r="F213" s="38" t="s">
        <v>344</v>
      </c>
    </row>
    <row r="214" spans="1:6" ht="13.5">
      <c r="A214" s="35">
        <v>15087</v>
      </c>
      <c r="B214" s="36" t="s">
        <v>666</v>
      </c>
      <c r="C214" s="37" t="s">
        <v>142</v>
      </c>
      <c r="D214" s="37" t="s">
        <v>140</v>
      </c>
      <c r="E214" s="37" t="s">
        <v>114</v>
      </c>
      <c r="F214" s="38" t="s">
        <v>148</v>
      </c>
    </row>
    <row r="215" spans="1:6" ht="13.5">
      <c r="A215" s="35">
        <v>15106</v>
      </c>
      <c r="B215" s="36" t="s">
        <v>477</v>
      </c>
      <c r="C215" s="37" t="s">
        <v>142</v>
      </c>
      <c r="D215" s="37" t="s">
        <v>140</v>
      </c>
      <c r="E215" s="37" t="s">
        <v>114</v>
      </c>
      <c r="F215" s="38" t="s">
        <v>202</v>
      </c>
    </row>
    <row r="216" spans="1:6" ht="13.5">
      <c r="A216" s="35">
        <v>15109</v>
      </c>
      <c r="B216" s="36" t="s">
        <v>667</v>
      </c>
      <c r="C216" s="37" t="s">
        <v>142</v>
      </c>
      <c r="D216" s="37" t="s">
        <v>140</v>
      </c>
      <c r="E216" s="37" t="s">
        <v>114</v>
      </c>
      <c r="F216" s="38" t="s">
        <v>344</v>
      </c>
    </row>
    <row r="217" spans="1:6" ht="13.5">
      <c r="A217" s="35">
        <v>15131</v>
      </c>
      <c r="B217" s="36" t="s">
        <v>423</v>
      </c>
      <c r="C217" s="37" t="s">
        <v>142</v>
      </c>
      <c r="D217" s="37" t="s">
        <v>140</v>
      </c>
      <c r="E217" s="37" t="s">
        <v>114</v>
      </c>
      <c r="F217" s="38" t="s">
        <v>148</v>
      </c>
    </row>
    <row r="218" spans="1:6" ht="13.5">
      <c r="A218" s="35">
        <v>15189</v>
      </c>
      <c r="B218" s="36" t="s">
        <v>668</v>
      </c>
      <c r="C218" s="37" t="s">
        <v>142</v>
      </c>
      <c r="D218" s="37" t="s">
        <v>140</v>
      </c>
      <c r="E218" s="37" t="s">
        <v>114</v>
      </c>
      <c r="F218" s="38" t="s">
        <v>148</v>
      </c>
    </row>
    <row r="219" spans="1:6" ht="13.5">
      <c r="A219" s="35">
        <v>15368</v>
      </c>
      <c r="B219" s="36" t="s">
        <v>482</v>
      </c>
      <c r="C219" s="37" t="s">
        <v>142</v>
      </c>
      <c r="D219" s="37" t="s">
        <v>140</v>
      </c>
      <c r="E219" s="37" t="s">
        <v>114</v>
      </c>
      <c r="F219" s="38" t="s">
        <v>344</v>
      </c>
    </row>
    <row r="220" spans="1:6" ht="13.5">
      <c r="A220" s="35">
        <v>15401</v>
      </c>
      <c r="B220" s="36" t="s">
        <v>459</v>
      </c>
      <c r="C220" s="37" t="s">
        <v>142</v>
      </c>
      <c r="D220" s="37" t="s">
        <v>140</v>
      </c>
      <c r="E220" s="37" t="s">
        <v>114</v>
      </c>
      <c r="F220" s="38" t="s">
        <v>344</v>
      </c>
    </row>
    <row r="221" spans="1:6" ht="13.5">
      <c r="A221" s="35">
        <v>15455</v>
      </c>
      <c r="B221" s="36" t="s">
        <v>669</v>
      </c>
      <c r="C221" s="37" t="s">
        <v>142</v>
      </c>
      <c r="D221" s="37" t="s">
        <v>140</v>
      </c>
      <c r="E221" s="37" t="s">
        <v>114</v>
      </c>
      <c r="F221" s="38" t="s">
        <v>344</v>
      </c>
    </row>
    <row r="222" spans="1:6" ht="13.5">
      <c r="A222" s="35">
        <v>15514</v>
      </c>
      <c r="B222" s="36" t="s">
        <v>670</v>
      </c>
      <c r="C222" s="37" t="s">
        <v>142</v>
      </c>
      <c r="D222" s="37" t="s">
        <v>140</v>
      </c>
      <c r="E222" s="37" t="s">
        <v>114</v>
      </c>
      <c r="F222" s="38" t="s">
        <v>344</v>
      </c>
    </row>
    <row r="223" spans="1:6" ht="13.5">
      <c r="A223" s="35">
        <v>15690</v>
      </c>
      <c r="B223" s="36" t="s">
        <v>671</v>
      </c>
      <c r="C223" s="37" t="s">
        <v>142</v>
      </c>
      <c r="D223" s="37" t="s">
        <v>140</v>
      </c>
      <c r="E223" s="37" t="s">
        <v>114</v>
      </c>
      <c r="F223" s="38" t="s">
        <v>202</v>
      </c>
    </row>
    <row r="224" spans="1:6" ht="13.5">
      <c r="A224" s="35">
        <v>15022</v>
      </c>
      <c r="B224" s="37" t="s">
        <v>672</v>
      </c>
      <c r="C224" s="37" t="s">
        <v>142</v>
      </c>
      <c r="D224" s="37" t="s">
        <v>140</v>
      </c>
      <c r="E224" s="37" t="s">
        <v>114</v>
      </c>
      <c r="F224" s="38" t="s">
        <v>202</v>
      </c>
    </row>
    <row r="225" spans="1:6" ht="13.5">
      <c r="A225" s="35">
        <v>15047</v>
      </c>
      <c r="B225" s="37" t="s">
        <v>673</v>
      </c>
      <c r="C225" s="37" t="s">
        <v>142</v>
      </c>
      <c r="D225" s="37" t="s">
        <v>140</v>
      </c>
      <c r="E225" s="37" t="s">
        <v>114</v>
      </c>
      <c r="F225" s="38" t="s">
        <v>202</v>
      </c>
    </row>
    <row r="226" spans="1:6" ht="13.5">
      <c r="A226" s="35">
        <v>15051</v>
      </c>
      <c r="B226" s="37" t="s">
        <v>674</v>
      </c>
      <c r="C226" s="37" t="s">
        <v>142</v>
      </c>
      <c r="D226" s="37" t="s">
        <v>140</v>
      </c>
      <c r="E226" s="37" t="s">
        <v>114</v>
      </c>
      <c r="F226" s="38" t="s">
        <v>148</v>
      </c>
    </row>
    <row r="227" spans="1:6" ht="13.5">
      <c r="A227" s="35">
        <v>15090</v>
      </c>
      <c r="B227" s="37" t="s">
        <v>675</v>
      </c>
      <c r="C227" s="37" t="s">
        <v>142</v>
      </c>
      <c r="D227" s="37" t="s">
        <v>140</v>
      </c>
      <c r="E227" s="37" t="s">
        <v>114</v>
      </c>
      <c r="F227" s="38" t="s">
        <v>202</v>
      </c>
    </row>
    <row r="228" spans="1:6" ht="13.5">
      <c r="A228" s="35">
        <v>15092</v>
      </c>
      <c r="B228" s="37" t="s">
        <v>676</v>
      </c>
      <c r="C228" s="37" t="s">
        <v>142</v>
      </c>
      <c r="D228" s="37" t="s">
        <v>140</v>
      </c>
      <c r="E228" s="37" t="s">
        <v>114</v>
      </c>
      <c r="F228" s="38" t="s">
        <v>202</v>
      </c>
    </row>
    <row r="229" spans="1:6" ht="13.5">
      <c r="A229" s="35">
        <v>15097</v>
      </c>
      <c r="B229" s="37" t="s">
        <v>677</v>
      </c>
      <c r="C229" s="37" t="s">
        <v>142</v>
      </c>
      <c r="D229" s="37" t="s">
        <v>140</v>
      </c>
      <c r="E229" s="37" t="s">
        <v>114</v>
      </c>
      <c r="F229" s="38" t="s">
        <v>344</v>
      </c>
    </row>
    <row r="230" spans="1:6" ht="13.5">
      <c r="A230" s="35">
        <v>15104</v>
      </c>
      <c r="B230" s="37" t="s">
        <v>142</v>
      </c>
      <c r="C230" s="37" t="s">
        <v>142</v>
      </c>
      <c r="D230" s="37" t="s">
        <v>140</v>
      </c>
      <c r="E230" s="37" t="s">
        <v>114</v>
      </c>
      <c r="F230" s="38" t="s">
        <v>148</v>
      </c>
    </row>
    <row r="231" spans="1:6" ht="13.5">
      <c r="A231" s="35">
        <v>15114</v>
      </c>
      <c r="B231" s="37" t="s">
        <v>678</v>
      </c>
      <c r="C231" s="37" t="s">
        <v>142</v>
      </c>
      <c r="D231" s="37" t="s">
        <v>140</v>
      </c>
      <c r="E231" s="37" t="s">
        <v>114</v>
      </c>
      <c r="F231" s="38" t="s">
        <v>148</v>
      </c>
    </row>
    <row r="232" spans="1:6" ht="13.5">
      <c r="A232" s="35">
        <v>15135</v>
      </c>
      <c r="B232" s="37" t="s">
        <v>679</v>
      </c>
      <c r="C232" s="37" t="s">
        <v>142</v>
      </c>
      <c r="D232" s="37" t="s">
        <v>140</v>
      </c>
      <c r="E232" s="37" t="s">
        <v>114</v>
      </c>
      <c r="F232" s="38" t="s">
        <v>344</v>
      </c>
    </row>
    <row r="233" spans="1:6" ht="13.5">
      <c r="A233" s="35">
        <v>15162</v>
      </c>
      <c r="B233" s="37" t="s">
        <v>680</v>
      </c>
      <c r="C233" s="37" t="s">
        <v>142</v>
      </c>
      <c r="D233" s="37" t="s">
        <v>140</v>
      </c>
      <c r="E233" s="37" t="s">
        <v>114</v>
      </c>
      <c r="F233" s="38" t="s">
        <v>148</v>
      </c>
    </row>
    <row r="234" spans="1:6" ht="13.5">
      <c r="A234" s="35">
        <v>15172</v>
      </c>
      <c r="B234" s="37" t="s">
        <v>681</v>
      </c>
      <c r="C234" s="37" t="s">
        <v>142</v>
      </c>
      <c r="D234" s="37" t="s">
        <v>140</v>
      </c>
      <c r="E234" s="37" t="s">
        <v>114</v>
      </c>
      <c r="F234" s="38" t="s">
        <v>202</v>
      </c>
    </row>
    <row r="235" spans="1:6" ht="13.5">
      <c r="A235" s="35">
        <v>15176</v>
      </c>
      <c r="B235" s="37" t="s">
        <v>682</v>
      </c>
      <c r="C235" s="37" t="s">
        <v>142</v>
      </c>
      <c r="D235" s="37" t="s">
        <v>140</v>
      </c>
      <c r="E235" s="37" t="s">
        <v>114</v>
      </c>
      <c r="F235" s="38" t="s">
        <v>202</v>
      </c>
    </row>
    <row r="236" spans="1:6" ht="13.5">
      <c r="A236" s="35">
        <v>15232</v>
      </c>
      <c r="B236" s="37" t="s">
        <v>683</v>
      </c>
      <c r="C236" s="37" t="s">
        <v>142</v>
      </c>
      <c r="D236" s="37" t="s">
        <v>140</v>
      </c>
      <c r="E236" s="37" t="s">
        <v>114</v>
      </c>
      <c r="F236" s="38" t="s">
        <v>148</v>
      </c>
    </row>
    <row r="237" spans="1:6" ht="13.5">
      <c r="A237" s="35">
        <v>15180</v>
      </c>
      <c r="B237" s="37" t="s">
        <v>684</v>
      </c>
      <c r="C237" s="37" t="s">
        <v>142</v>
      </c>
      <c r="D237" s="37" t="s">
        <v>140</v>
      </c>
      <c r="E237" s="37" t="s">
        <v>114</v>
      </c>
      <c r="F237" s="38" t="s">
        <v>344</v>
      </c>
    </row>
    <row r="238" spans="1:6" ht="13.5">
      <c r="A238" s="35">
        <v>15183</v>
      </c>
      <c r="B238" s="37" t="s">
        <v>685</v>
      </c>
      <c r="C238" s="37" t="s">
        <v>142</v>
      </c>
      <c r="D238" s="37" t="s">
        <v>140</v>
      </c>
      <c r="E238" s="37" t="s">
        <v>114</v>
      </c>
      <c r="F238" s="38" t="s">
        <v>344</v>
      </c>
    </row>
    <row r="239" spans="1:6" ht="13.5">
      <c r="A239" s="35">
        <v>15185</v>
      </c>
      <c r="B239" s="37" t="s">
        <v>686</v>
      </c>
      <c r="C239" s="37" t="s">
        <v>142</v>
      </c>
      <c r="D239" s="37" t="s">
        <v>140</v>
      </c>
      <c r="E239" s="37" t="s">
        <v>114</v>
      </c>
      <c r="F239" s="38" t="s">
        <v>148</v>
      </c>
    </row>
    <row r="240" spans="1:6" ht="13.5">
      <c r="A240" s="35">
        <v>15187</v>
      </c>
      <c r="B240" s="37" t="s">
        <v>687</v>
      </c>
      <c r="C240" s="37" t="s">
        <v>142</v>
      </c>
      <c r="D240" s="37" t="s">
        <v>140</v>
      </c>
      <c r="E240" s="37" t="s">
        <v>114</v>
      </c>
      <c r="F240" s="38" t="s">
        <v>148</v>
      </c>
    </row>
    <row r="241" spans="1:6" ht="13.5">
      <c r="A241" s="35">
        <v>15236</v>
      </c>
      <c r="B241" s="37" t="s">
        <v>688</v>
      </c>
      <c r="C241" s="37" t="s">
        <v>142</v>
      </c>
      <c r="D241" s="37" t="s">
        <v>140</v>
      </c>
      <c r="E241" s="37" t="s">
        <v>114</v>
      </c>
      <c r="F241" s="38" t="s">
        <v>202</v>
      </c>
    </row>
    <row r="242" spans="1:6" ht="13.5">
      <c r="A242" s="35">
        <v>15204</v>
      </c>
      <c r="B242" s="37" t="s">
        <v>689</v>
      </c>
      <c r="C242" s="37" t="s">
        <v>142</v>
      </c>
      <c r="D242" s="37" t="s">
        <v>140</v>
      </c>
      <c r="E242" s="37" t="s">
        <v>114</v>
      </c>
      <c r="F242" s="38" t="s">
        <v>148</v>
      </c>
    </row>
    <row r="243" spans="1:6" ht="13.5">
      <c r="A243" s="35">
        <v>15212</v>
      </c>
      <c r="B243" s="37" t="s">
        <v>690</v>
      </c>
      <c r="C243" s="37" t="s">
        <v>142</v>
      </c>
      <c r="D243" s="37" t="s">
        <v>140</v>
      </c>
      <c r="E243" s="37" t="s">
        <v>114</v>
      </c>
      <c r="F243" s="38" t="s">
        <v>202</v>
      </c>
    </row>
    <row r="244" spans="1:6" ht="13.5">
      <c r="A244" s="35">
        <v>15215</v>
      </c>
      <c r="B244" s="37" t="s">
        <v>691</v>
      </c>
      <c r="C244" s="37" t="s">
        <v>142</v>
      </c>
      <c r="D244" s="37" t="s">
        <v>140</v>
      </c>
      <c r="E244" s="37" t="s">
        <v>114</v>
      </c>
      <c r="F244" s="38" t="s">
        <v>148</v>
      </c>
    </row>
    <row r="245" spans="1:6" ht="13.5">
      <c r="A245" s="35">
        <v>15218</v>
      </c>
      <c r="B245" s="37" t="s">
        <v>692</v>
      </c>
      <c r="C245" s="37" t="s">
        <v>142</v>
      </c>
      <c r="D245" s="37" t="s">
        <v>140</v>
      </c>
      <c r="E245" s="37" t="s">
        <v>114</v>
      </c>
      <c r="F245" s="38" t="s">
        <v>344</v>
      </c>
    </row>
    <row r="246" spans="1:6" ht="13.5">
      <c r="A246" s="35">
        <v>15223</v>
      </c>
      <c r="B246" s="37" t="s">
        <v>693</v>
      </c>
      <c r="C246" s="37" t="s">
        <v>142</v>
      </c>
      <c r="D246" s="37" t="s">
        <v>171</v>
      </c>
      <c r="E246" s="37" t="s">
        <v>461</v>
      </c>
      <c r="F246" s="38" t="s">
        <v>462</v>
      </c>
    </row>
    <row r="247" spans="1:6" ht="13.5">
      <c r="A247" s="35">
        <v>15224</v>
      </c>
      <c r="B247" s="37" t="s">
        <v>694</v>
      </c>
      <c r="C247" s="37" t="s">
        <v>142</v>
      </c>
      <c r="D247" s="37" t="s">
        <v>140</v>
      </c>
      <c r="E247" s="37" t="s">
        <v>114</v>
      </c>
      <c r="F247" s="38" t="s">
        <v>148</v>
      </c>
    </row>
    <row r="248" spans="1:6" ht="13.5">
      <c r="A248" s="35">
        <v>15226</v>
      </c>
      <c r="B248" s="37" t="s">
        <v>695</v>
      </c>
      <c r="C248" s="37" t="s">
        <v>142</v>
      </c>
      <c r="D248" s="37" t="s">
        <v>140</v>
      </c>
      <c r="E248" s="37" t="s">
        <v>114</v>
      </c>
      <c r="F248" s="38" t="s">
        <v>148</v>
      </c>
    </row>
    <row r="249" spans="1:6" ht="13.5">
      <c r="A249" s="35">
        <v>15238</v>
      </c>
      <c r="B249" s="37" t="s">
        <v>190</v>
      </c>
      <c r="C249" s="37" t="s">
        <v>142</v>
      </c>
      <c r="D249" s="37" t="s">
        <v>140</v>
      </c>
      <c r="E249" s="37" t="s">
        <v>114</v>
      </c>
      <c r="F249" s="38" t="s">
        <v>148</v>
      </c>
    </row>
    <row r="250" spans="1:6" ht="13.5">
      <c r="A250" s="35">
        <v>15244</v>
      </c>
      <c r="B250" s="37" t="s">
        <v>696</v>
      </c>
      <c r="C250" s="37" t="s">
        <v>142</v>
      </c>
      <c r="D250" s="37" t="s">
        <v>140</v>
      </c>
      <c r="E250" s="37" t="s">
        <v>114</v>
      </c>
      <c r="F250" s="38" t="s">
        <v>344</v>
      </c>
    </row>
    <row r="251" spans="1:6" ht="13.5">
      <c r="A251" s="35">
        <v>15248</v>
      </c>
      <c r="B251" s="37" t="s">
        <v>697</v>
      </c>
      <c r="C251" s="37" t="s">
        <v>142</v>
      </c>
      <c r="D251" s="37" t="s">
        <v>140</v>
      </c>
      <c r="E251" s="37" t="s">
        <v>114</v>
      </c>
      <c r="F251" s="38" t="s">
        <v>344</v>
      </c>
    </row>
    <row r="252" spans="1:6" ht="13.5">
      <c r="A252" s="35">
        <v>15272</v>
      </c>
      <c r="B252" s="37" t="s">
        <v>346</v>
      </c>
      <c r="C252" s="37" t="s">
        <v>142</v>
      </c>
      <c r="D252" s="37" t="s">
        <v>140</v>
      </c>
      <c r="E252" s="37" t="s">
        <v>114</v>
      </c>
      <c r="F252" s="38" t="s">
        <v>148</v>
      </c>
    </row>
    <row r="253" spans="1:6" ht="13.5">
      <c r="A253" s="35">
        <v>15276</v>
      </c>
      <c r="B253" s="37" t="s">
        <v>698</v>
      </c>
      <c r="C253" s="37" t="s">
        <v>142</v>
      </c>
      <c r="D253" s="37" t="s">
        <v>140</v>
      </c>
      <c r="E253" s="37" t="s">
        <v>114</v>
      </c>
      <c r="F253" s="38" t="s">
        <v>148</v>
      </c>
    </row>
    <row r="254" spans="1:6" ht="13.5">
      <c r="A254" s="35">
        <v>15293</v>
      </c>
      <c r="B254" s="37" t="s">
        <v>699</v>
      </c>
      <c r="C254" s="37" t="s">
        <v>142</v>
      </c>
      <c r="D254" s="37" t="s">
        <v>140</v>
      </c>
      <c r="E254" s="37" t="s">
        <v>114</v>
      </c>
      <c r="F254" s="38" t="s">
        <v>148</v>
      </c>
    </row>
    <row r="255" spans="1:6" ht="13.5">
      <c r="A255" s="35">
        <v>15296</v>
      </c>
      <c r="B255" s="37" t="s">
        <v>700</v>
      </c>
      <c r="C255" s="37" t="s">
        <v>142</v>
      </c>
      <c r="D255" s="37" t="s">
        <v>140</v>
      </c>
      <c r="E255" s="37" t="s">
        <v>114</v>
      </c>
      <c r="F255" s="38" t="s">
        <v>202</v>
      </c>
    </row>
    <row r="256" spans="1:6" ht="13.5">
      <c r="A256" s="35">
        <v>15299</v>
      </c>
      <c r="B256" s="37" t="s">
        <v>701</v>
      </c>
      <c r="C256" s="37" t="s">
        <v>142</v>
      </c>
      <c r="D256" s="37" t="s">
        <v>140</v>
      </c>
      <c r="E256" s="37" t="s">
        <v>114</v>
      </c>
      <c r="F256" s="38" t="s">
        <v>202</v>
      </c>
    </row>
    <row r="257" spans="1:6" ht="13.5">
      <c r="A257" s="35">
        <v>15317</v>
      </c>
      <c r="B257" s="37" t="s">
        <v>702</v>
      </c>
      <c r="C257" s="37" t="s">
        <v>142</v>
      </c>
      <c r="D257" s="37" t="s">
        <v>140</v>
      </c>
      <c r="E257" s="37" t="s">
        <v>114</v>
      </c>
      <c r="F257" s="38" t="s">
        <v>344</v>
      </c>
    </row>
    <row r="258" spans="1:6" ht="13.5">
      <c r="A258" s="35">
        <v>15322</v>
      </c>
      <c r="B258" s="37" t="s">
        <v>703</v>
      </c>
      <c r="C258" s="37" t="s">
        <v>142</v>
      </c>
      <c r="D258" s="37" t="s">
        <v>140</v>
      </c>
      <c r="E258" s="37" t="s">
        <v>114</v>
      </c>
      <c r="F258" s="38" t="s">
        <v>148</v>
      </c>
    </row>
    <row r="259" spans="1:6" ht="13.5">
      <c r="A259" s="35">
        <v>15325</v>
      </c>
      <c r="B259" s="37" t="s">
        <v>704</v>
      </c>
      <c r="C259" s="37" t="s">
        <v>142</v>
      </c>
      <c r="D259" s="37" t="s">
        <v>140</v>
      </c>
      <c r="E259" s="37" t="s">
        <v>114</v>
      </c>
      <c r="F259" s="38" t="s">
        <v>202</v>
      </c>
    </row>
    <row r="260" spans="1:6" ht="13.5">
      <c r="A260" s="35">
        <v>15332</v>
      </c>
      <c r="B260" s="37" t="s">
        <v>705</v>
      </c>
      <c r="C260" s="37" t="s">
        <v>142</v>
      </c>
      <c r="D260" s="37" t="s">
        <v>140</v>
      </c>
      <c r="E260" s="37" t="s">
        <v>114</v>
      </c>
      <c r="F260" s="38" t="s">
        <v>344</v>
      </c>
    </row>
    <row r="261" spans="1:6" ht="13.5">
      <c r="A261" s="35">
        <v>15362</v>
      </c>
      <c r="B261" s="37" t="s">
        <v>706</v>
      </c>
      <c r="C261" s="37" t="s">
        <v>142</v>
      </c>
      <c r="D261" s="37" t="s">
        <v>140</v>
      </c>
      <c r="E261" s="37" t="s">
        <v>114</v>
      </c>
      <c r="F261" s="38" t="s">
        <v>148</v>
      </c>
    </row>
    <row r="262" spans="1:6" ht="13.5">
      <c r="A262" s="35">
        <v>15367</v>
      </c>
      <c r="B262" s="37" t="s">
        <v>151</v>
      </c>
      <c r="C262" s="37" t="s">
        <v>142</v>
      </c>
      <c r="D262" s="37" t="s">
        <v>140</v>
      </c>
      <c r="E262" s="37" t="s">
        <v>114</v>
      </c>
      <c r="F262" s="38" t="s">
        <v>148</v>
      </c>
    </row>
    <row r="263" spans="1:6" ht="13.5">
      <c r="A263" s="35">
        <v>15380</v>
      </c>
      <c r="B263" s="37" t="s">
        <v>707</v>
      </c>
      <c r="C263" s="37" t="s">
        <v>142</v>
      </c>
      <c r="D263" s="37" t="s">
        <v>140</v>
      </c>
      <c r="E263" s="37" t="s">
        <v>114</v>
      </c>
      <c r="F263" s="38" t="s">
        <v>202</v>
      </c>
    </row>
    <row r="264" spans="1:6" ht="13.5">
      <c r="A264" s="35">
        <v>15403</v>
      </c>
      <c r="B264" s="37" t="s">
        <v>708</v>
      </c>
      <c r="C264" s="37" t="s">
        <v>142</v>
      </c>
      <c r="D264" s="37" t="s">
        <v>140</v>
      </c>
      <c r="E264" s="37" t="s">
        <v>114</v>
      </c>
      <c r="F264" s="38" t="s">
        <v>344</v>
      </c>
    </row>
    <row r="265" spans="1:6" ht="13.5">
      <c r="A265" s="35">
        <v>15377</v>
      </c>
      <c r="B265" s="37" t="s">
        <v>709</v>
      </c>
      <c r="C265" s="37" t="s">
        <v>142</v>
      </c>
      <c r="D265" s="37" t="s">
        <v>140</v>
      </c>
      <c r="E265" s="37" t="s">
        <v>114</v>
      </c>
      <c r="F265" s="38" t="s">
        <v>344</v>
      </c>
    </row>
    <row r="266" spans="1:6" ht="13.5">
      <c r="A266" s="35">
        <v>15425</v>
      </c>
      <c r="B266" s="37" t="s">
        <v>710</v>
      </c>
      <c r="C266" s="37" t="s">
        <v>142</v>
      </c>
      <c r="D266" s="37" t="s">
        <v>140</v>
      </c>
      <c r="E266" s="37" t="s">
        <v>114</v>
      </c>
      <c r="F266" s="38" t="s">
        <v>202</v>
      </c>
    </row>
    <row r="267" spans="1:6" ht="13.5">
      <c r="A267" s="35">
        <v>15442</v>
      </c>
      <c r="B267" s="37" t="s">
        <v>711</v>
      </c>
      <c r="C267" s="37" t="s">
        <v>142</v>
      </c>
      <c r="D267" s="37" t="s">
        <v>140</v>
      </c>
      <c r="E267" s="37" t="s">
        <v>114</v>
      </c>
      <c r="F267" s="38" t="s">
        <v>344</v>
      </c>
    </row>
    <row r="268" spans="1:6" ht="13.5">
      <c r="A268" s="35">
        <v>15464</v>
      </c>
      <c r="B268" s="37" t="s">
        <v>712</v>
      </c>
      <c r="C268" s="37" t="s">
        <v>142</v>
      </c>
      <c r="D268" s="37" t="s">
        <v>140</v>
      </c>
      <c r="E268" s="37" t="s">
        <v>114</v>
      </c>
      <c r="F268" s="38" t="s">
        <v>148</v>
      </c>
    </row>
    <row r="269" spans="1:6" ht="13.5">
      <c r="A269" s="35">
        <v>15466</v>
      </c>
      <c r="B269" s="37" t="s">
        <v>713</v>
      </c>
      <c r="C269" s="37" t="s">
        <v>142</v>
      </c>
      <c r="D269" s="37" t="s">
        <v>140</v>
      </c>
      <c r="E269" s="37" t="s">
        <v>114</v>
      </c>
      <c r="F269" s="38" t="s">
        <v>202</v>
      </c>
    </row>
    <row r="270" spans="1:6" ht="13.5">
      <c r="A270" s="35">
        <v>15469</v>
      </c>
      <c r="B270" s="37" t="s">
        <v>714</v>
      </c>
      <c r="C270" s="37" t="s">
        <v>142</v>
      </c>
      <c r="D270" s="37" t="s">
        <v>140</v>
      </c>
      <c r="E270" s="37" t="s">
        <v>114</v>
      </c>
      <c r="F270" s="38" t="s">
        <v>148</v>
      </c>
    </row>
    <row r="271" spans="1:6" ht="13.5">
      <c r="A271" s="35">
        <v>15476</v>
      </c>
      <c r="B271" s="37" t="s">
        <v>715</v>
      </c>
      <c r="C271" s="37" t="s">
        <v>142</v>
      </c>
      <c r="D271" s="37" t="s">
        <v>140</v>
      </c>
      <c r="E271" s="37" t="s">
        <v>114</v>
      </c>
      <c r="F271" s="38" t="s">
        <v>113</v>
      </c>
    </row>
    <row r="272" spans="1:6" ht="13.5">
      <c r="A272" s="35">
        <v>15480</v>
      </c>
      <c r="B272" s="37" t="s">
        <v>716</v>
      </c>
      <c r="C272" s="37" t="s">
        <v>142</v>
      </c>
      <c r="D272" s="37" t="s">
        <v>140</v>
      </c>
      <c r="E272" s="37" t="s">
        <v>114</v>
      </c>
      <c r="F272" s="38" t="s">
        <v>344</v>
      </c>
    </row>
    <row r="273" spans="1:6" ht="13.5">
      <c r="A273" s="35">
        <v>15491</v>
      </c>
      <c r="B273" s="37" t="s">
        <v>717</v>
      </c>
      <c r="C273" s="37" t="s">
        <v>142</v>
      </c>
      <c r="D273" s="37" t="s">
        <v>140</v>
      </c>
      <c r="E273" s="37" t="s">
        <v>114</v>
      </c>
      <c r="F273" s="38" t="s">
        <v>148</v>
      </c>
    </row>
    <row r="274" spans="1:6" ht="13.5">
      <c r="A274" s="35">
        <v>15494</v>
      </c>
      <c r="B274" s="37" t="s">
        <v>718</v>
      </c>
      <c r="C274" s="37" t="s">
        <v>142</v>
      </c>
      <c r="D274" s="37" t="s">
        <v>140</v>
      </c>
      <c r="E274" s="37" t="s">
        <v>114</v>
      </c>
      <c r="F274" s="38" t="s">
        <v>148</v>
      </c>
    </row>
    <row r="275" spans="1:6" ht="13.5">
      <c r="A275" s="35">
        <v>15500</v>
      </c>
      <c r="B275" s="37" t="s">
        <v>719</v>
      </c>
      <c r="C275" s="37" t="s">
        <v>142</v>
      </c>
      <c r="D275" s="37" t="s">
        <v>140</v>
      </c>
      <c r="E275" s="37" t="s">
        <v>114</v>
      </c>
      <c r="F275" s="38" t="s">
        <v>148</v>
      </c>
    </row>
    <row r="276" spans="1:6" ht="13.5">
      <c r="A276" s="35">
        <v>15507</v>
      </c>
      <c r="B276" s="37" t="s">
        <v>720</v>
      </c>
      <c r="C276" s="37" t="s">
        <v>142</v>
      </c>
      <c r="D276" s="37" t="s">
        <v>140</v>
      </c>
      <c r="E276" s="37" t="s">
        <v>114</v>
      </c>
      <c r="F276" s="38" t="s">
        <v>344</v>
      </c>
    </row>
    <row r="277" spans="1:6" ht="13.5">
      <c r="A277" s="35">
        <v>15511</v>
      </c>
      <c r="B277" s="37" t="s">
        <v>721</v>
      </c>
      <c r="C277" s="37" t="s">
        <v>142</v>
      </c>
      <c r="D277" s="37" t="s">
        <v>140</v>
      </c>
      <c r="E277" s="37" t="s">
        <v>114</v>
      </c>
      <c r="F277" s="38" t="s">
        <v>202</v>
      </c>
    </row>
    <row r="278" spans="1:6" ht="13.5">
      <c r="A278" s="35">
        <v>15516</v>
      </c>
      <c r="B278" s="37" t="s">
        <v>722</v>
      </c>
      <c r="C278" s="37" t="s">
        <v>142</v>
      </c>
      <c r="D278" s="37" t="s">
        <v>140</v>
      </c>
      <c r="E278" s="37" t="s">
        <v>114</v>
      </c>
      <c r="F278" s="38" t="s">
        <v>148</v>
      </c>
    </row>
    <row r="279" spans="1:6" ht="13.5">
      <c r="A279" s="35">
        <v>15518</v>
      </c>
      <c r="B279" s="37" t="s">
        <v>723</v>
      </c>
      <c r="C279" s="37" t="s">
        <v>142</v>
      </c>
      <c r="D279" s="37" t="s">
        <v>180</v>
      </c>
      <c r="E279" s="37" t="s">
        <v>114</v>
      </c>
      <c r="F279" s="38" t="s">
        <v>202</v>
      </c>
    </row>
    <row r="280" spans="1:6" ht="13.5">
      <c r="A280" s="35">
        <v>15522</v>
      </c>
      <c r="B280" s="37" t="s">
        <v>724</v>
      </c>
      <c r="C280" s="37" t="s">
        <v>142</v>
      </c>
      <c r="D280" s="37" t="s">
        <v>140</v>
      </c>
      <c r="E280" s="37" t="s">
        <v>114</v>
      </c>
      <c r="F280" s="38" t="s">
        <v>344</v>
      </c>
    </row>
    <row r="281" spans="1:6" ht="13.5">
      <c r="A281" s="35">
        <v>15531</v>
      </c>
      <c r="B281" s="37" t="s">
        <v>725</v>
      </c>
      <c r="C281" s="37" t="s">
        <v>142</v>
      </c>
      <c r="D281" s="37" t="s">
        <v>140</v>
      </c>
      <c r="E281" s="37" t="s">
        <v>114</v>
      </c>
      <c r="F281" s="38" t="s">
        <v>202</v>
      </c>
    </row>
    <row r="282" spans="1:6" ht="13.5">
      <c r="A282" s="35">
        <v>15533</v>
      </c>
      <c r="B282" s="37" t="s">
        <v>726</v>
      </c>
      <c r="C282" s="37" t="s">
        <v>142</v>
      </c>
      <c r="D282" s="37" t="s">
        <v>140</v>
      </c>
      <c r="E282" s="37" t="s">
        <v>114</v>
      </c>
      <c r="F282" s="38" t="s">
        <v>344</v>
      </c>
    </row>
    <row r="283" spans="1:6" ht="13.5">
      <c r="A283" s="35">
        <v>15537</v>
      </c>
      <c r="B283" s="37" t="s">
        <v>727</v>
      </c>
      <c r="C283" s="37" t="s">
        <v>142</v>
      </c>
      <c r="D283" s="37" t="s">
        <v>140</v>
      </c>
      <c r="E283" s="37" t="s">
        <v>114</v>
      </c>
      <c r="F283" s="38" t="s">
        <v>148</v>
      </c>
    </row>
    <row r="284" spans="1:6" ht="13.5">
      <c r="A284" s="35">
        <v>15542</v>
      </c>
      <c r="B284" s="37" t="s">
        <v>728</v>
      </c>
      <c r="C284" s="37" t="s">
        <v>142</v>
      </c>
      <c r="D284" s="37" t="s">
        <v>140</v>
      </c>
      <c r="E284" s="37" t="s">
        <v>114</v>
      </c>
      <c r="F284" s="38" t="s">
        <v>202</v>
      </c>
    </row>
    <row r="285" spans="1:6" ht="13.5">
      <c r="A285" s="35">
        <v>15550</v>
      </c>
      <c r="B285" s="37" t="s">
        <v>729</v>
      </c>
      <c r="C285" s="37" t="s">
        <v>142</v>
      </c>
      <c r="D285" s="37" t="s">
        <v>140</v>
      </c>
      <c r="E285" s="37" t="s">
        <v>114</v>
      </c>
      <c r="F285" s="38" t="s">
        <v>344</v>
      </c>
    </row>
    <row r="286" spans="1:6" ht="13.5">
      <c r="A286" s="35">
        <v>15572</v>
      </c>
      <c r="B286" s="37" t="s">
        <v>730</v>
      </c>
      <c r="C286" s="37" t="s">
        <v>142</v>
      </c>
      <c r="D286" s="37" t="s">
        <v>100</v>
      </c>
      <c r="E286" s="37" t="s">
        <v>114</v>
      </c>
      <c r="F286" s="38" t="s">
        <v>344</v>
      </c>
    </row>
    <row r="287" spans="1:6" ht="13.5">
      <c r="A287" s="35">
        <v>15580</v>
      </c>
      <c r="B287" s="37" t="s">
        <v>731</v>
      </c>
      <c r="C287" s="37" t="s">
        <v>142</v>
      </c>
      <c r="D287" s="37" t="s">
        <v>140</v>
      </c>
      <c r="E287" s="37" t="s">
        <v>114</v>
      </c>
      <c r="F287" s="38" t="s">
        <v>344</v>
      </c>
    </row>
    <row r="288" spans="1:6" ht="13.5">
      <c r="A288" s="35">
        <v>15599</v>
      </c>
      <c r="B288" s="37" t="s">
        <v>732</v>
      </c>
      <c r="C288" s="37" t="s">
        <v>142</v>
      </c>
      <c r="D288" s="37" t="s">
        <v>140</v>
      </c>
      <c r="E288" s="37" t="s">
        <v>114</v>
      </c>
      <c r="F288" s="38" t="s">
        <v>148</v>
      </c>
    </row>
    <row r="289" spans="1:6" ht="13.5">
      <c r="A289" s="35">
        <v>15600</v>
      </c>
      <c r="B289" s="37" t="s">
        <v>733</v>
      </c>
      <c r="C289" s="37" t="s">
        <v>142</v>
      </c>
      <c r="D289" s="37" t="s">
        <v>140</v>
      </c>
      <c r="E289" s="37" t="s">
        <v>114</v>
      </c>
      <c r="F289" s="38" t="s">
        <v>148</v>
      </c>
    </row>
    <row r="290" spans="1:6" ht="13.5">
      <c r="A290" s="35">
        <v>15621</v>
      </c>
      <c r="B290" s="37" t="s">
        <v>734</v>
      </c>
      <c r="C290" s="37" t="s">
        <v>142</v>
      </c>
      <c r="D290" s="37" t="s">
        <v>140</v>
      </c>
      <c r="E290" s="37" t="s">
        <v>114</v>
      </c>
      <c r="F290" s="38" t="s">
        <v>202</v>
      </c>
    </row>
    <row r="291" spans="1:6" ht="13.5">
      <c r="A291" s="35">
        <v>15632</v>
      </c>
      <c r="B291" s="37" t="s">
        <v>735</v>
      </c>
      <c r="C291" s="37" t="s">
        <v>142</v>
      </c>
      <c r="D291" s="37" t="s">
        <v>140</v>
      </c>
      <c r="E291" s="37" t="s">
        <v>114</v>
      </c>
      <c r="F291" s="38" t="s">
        <v>148</v>
      </c>
    </row>
    <row r="292" spans="1:6" ht="13.5">
      <c r="A292" s="35">
        <v>15638</v>
      </c>
      <c r="B292" s="37" t="s">
        <v>736</v>
      </c>
      <c r="C292" s="37" t="s">
        <v>142</v>
      </c>
      <c r="D292" s="37" t="s">
        <v>140</v>
      </c>
      <c r="E292" s="37" t="s">
        <v>114</v>
      </c>
      <c r="F292" s="38" t="s">
        <v>148</v>
      </c>
    </row>
    <row r="293" spans="1:6" ht="13.5">
      <c r="A293" s="35">
        <v>15646</v>
      </c>
      <c r="B293" s="37" t="s">
        <v>737</v>
      </c>
      <c r="C293" s="37" t="s">
        <v>142</v>
      </c>
      <c r="D293" s="37" t="s">
        <v>140</v>
      </c>
      <c r="E293" s="37" t="s">
        <v>114</v>
      </c>
      <c r="F293" s="38" t="s">
        <v>148</v>
      </c>
    </row>
    <row r="294" spans="1:6" ht="13.5">
      <c r="A294" s="35">
        <v>15660</v>
      </c>
      <c r="B294" s="37" t="s">
        <v>738</v>
      </c>
      <c r="C294" s="37" t="s">
        <v>142</v>
      </c>
      <c r="D294" s="37" t="s">
        <v>140</v>
      </c>
      <c r="E294" s="37" t="s">
        <v>114</v>
      </c>
      <c r="F294" s="38" t="s">
        <v>344</v>
      </c>
    </row>
    <row r="295" spans="1:6" ht="13.5">
      <c r="A295" s="35">
        <v>15664</v>
      </c>
      <c r="B295" s="37" t="s">
        <v>739</v>
      </c>
      <c r="C295" s="37" t="s">
        <v>142</v>
      </c>
      <c r="D295" s="37" t="s">
        <v>140</v>
      </c>
      <c r="E295" s="37" t="s">
        <v>114</v>
      </c>
      <c r="F295" s="38" t="s">
        <v>148</v>
      </c>
    </row>
    <row r="296" spans="1:6" ht="13.5">
      <c r="A296" s="35">
        <v>15667</v>
      </c>
      <c r="B296" s="37" t="s">
        <v>740</v>
      </c>
      <c r="C296" s="37" t="s">
        <v>142</v>
      </c>
      <c r="D296" s="37" t="s">
        <v>140</v>
      </c>
      <c r="E296" s="37" t="s">
        <v>114</v>
      </c>
      <c r="F296" s="38" t="s">
        <v>202</v>
      </c>
    </row>
    <row r="297" spans="1:6" ht="13.5">
      <c r="A297" s="35">
        <v>15673</v>
      </c>
      <c r="B297" s="37" t="s">
        <v>741</v>
      </c>
      <c r="C297" s="37" t="s">
        <v>142</v>
      </c>
      <c r="D297" s="37" t="s">
        <v>140</v>
      </c>
      <c r="E297" s="37" t="s">
        <v>114</v>
      </c>
      <c r="F297" s="38" t="s">
        <v>344</v>
      </c>
    </row>
    <row r="298" spans="1:6" ht="13.5">
      <c r="A298" s="35">
        <v>15676</v>
      </c>
      <c r="B298" s="37" t="s">
        <v>742</v>
      </c>
      <c r="C298" s="37" t="s">
        <v>142</v>
      </c>
      <c r="D298" s="37" t="s">
        <v>140</v>
      </c>
      <c r="E298" s="37" t="s">
        <v>114</v>
      </c>
      <c r="F298" s="38" t="s">
        <v>202</v>
      </c>
    </row>
    <row r="299" spans="1:6" ht="13.5">
      <c r="A299" s="35">
        <v>15681</v>
      </c>
      <c r="B299" s="37" t="s">
        <v>743</v>
      </c>
      <c r="C299" s="37" t="s">
        <v>142</v>
      </c>
      <c r="D299" s="37" t="s">
        <v>140</v>
      </c>
      <c r="E299" s="37" t="s">
        <v>114</v>
      </c>
      <c r="F299" s="38" t="s">
        <v>344</v>
      </c>
    </row>
    <row r="300" spans="1:6" ht="13.5">
      <c r="A300" s="35">
        <v>15693</v>
      </c>
      <c r="B300" s="37" t="s">
        <v>744</v>
      </c>
      <c r="C300" s="37" t="s">
        <v>142</v>
      </c>
      <c r="D300" s="37" t="s">
        <v>140</v>
      </c>
      <c r="E300" s="37" t="s">
        <v>114</v>
      </c>
      <c r="F300" s="38" t="s">
        <v>148</v>
      </c>
    </row>
    <row r="301" spans="1:6" ht="13.5">
      <c r="A301" s="35">
        <v>15696</v>
      </c>
      <c r="B301" s="37" t="s">
        <v>745</v>
      </c>
      <c r="C301" s="37" t="s">
        <v>142</v>
      </c>
      <c r="D301" s="37" t="s">
        <v>140</v>
      </c>
      <c r="E301" s="37" t="s">
        <v>114</v>
      </c>
      <c r="F301" s="38" t="s">
        <v>148</v>
      </c>
    </row>
    <row r="302" spans="1:6" ht="13.5">
      <c r="A302" s="35">
        <v>15686</v>
      </c>
      <c r="B302" s="37" t="s">
        <v>746</v>
      </c>
      <c r="C302" s="37" t="s">
        <v>142</v>
      </c>
      <c r="D302" s="37" t="s">
        <v>140</v>
      </c>
      <c r="E302" s="37" t="s">
        <v>114</v>
      </c>
      <c r="F302" s="38" t="s">
        <v>202</v>
      </c>
    </row>
    <row r="303" spans="1:6" ht="13.5">
      <c r="A303" s="35">
        <v>15720</v>
      </c>
      <c r="B303" s="37" t="s">
        <v>747</v>
      </c>
      <c r="C303" s="37" t="s">
        <v>142</v>
      </c>
      <c r="D303" s="37" t="s">
        <v>140</v>
      </c>
      <c r="E303" s="37" t="s">
        <v>114</v>
      </c>
      <c r="F303" s="38" t="s">
        <v>202</v>
      </c>
    </row>
    <row r="304" spans="1:6" ht="13.5">
      <c r="A304" s="35">
        <v>15723</v>
      </c>
      <c r="B304" s="37" t="s">
        <v>197</v>
      </c>
      <c r="C304" s="37" t="s">
        <v>142</v>
      </c>
      <c r="D304" s="37" t="s">
        <v>140</v>
      </c>
      <c r="E304" s="37" t="s">
        <v>114</v>
      </c>
      <c r="F304" s="38" t="s">
        <v>202</v>
      </c>
    </row>
    <row r="305" spans="1:6" ht="13.5">
      <c r="A305" s="35">
        <v>15740</v>
      </c>
      <c r="B305" s="37" t="s">
        <v>748</v>
      </c>
      <c r="C305" s="37" t="s">
        <v>142</v>
      </c>
      <c r="D305" s="37" t="s">
        <v>140</v>
      </c>
      <c r="E305" s="37" t="s">
        <v>114</v>
      </c>
      <c r="F305" s="38" t="s">
        <v>148</v>
      </c>
    </row>
    <row r="306" spans="1:6" ht="13.5">
      <c r="A306" s="35">
        <v>15753</v>
      </c>
      <c r="B306" s="37" t="s">
        <v>749</v>
      </c>
      <c r="C306" s="37" t="s">
        <v>142</v>
      </c>
      <c r="D306" s="37" t="s">
        <v>140</v>
      </c>
      <c r="E306" s="37" t="s">
        <v>114</v>
      </c>
      <c r="F306" s="38" t="s">
        <v>202</v>
      </c>
    </row>
    <row r="307" spans="1:6" ht="13.5">
      <c r="A307" s="35">
        <v>15757</v>
      </c>
      <c r="B307" s="37" t="s">
        <v>750</v>
      </c>
      <c r="C307" s="37" t="s">
        <v>142</v>
      </c>
      <c r="D307" s="37" t="s">
        <v>140</v>
      </c>
      <c r="E307" s="37" t="s">
        <v>114</v>
      </c>
      <c r="F307" s="38" t="s">
        <v>202</v>
      </c>
    </row>
    <row r="308" spans="1:6" ht="13.5">
      <c r="A308" s="35">
        <v>15755</v>
      </c>
      <c r="B308" s="37" t="s">
        <v>751</v>
      </c>
      <c r="C308" s="37" t="s">
        <v>142</v>
      </c>
      <c r="D308" s="37" t="s">
        <v>140</v>
      </c>
      <c r="E308" s="37" t="s">
        <v>114</v>
      </c>
      <c r="F308" s="38" t="s">
        <v>202</v>
      </c>
    </row>
    <row r="309" spans="1:6" ht="13.5">
      <c r="A309" s="35">
        <v>15759</v>
      </c>
      <c r="B309" s="37" t="s">
        <v>752</v>
      </c>
      <c r="C309" s="37" t="s">
        <v>142</v>
      </c>
      <c r="D309" s="37" t="s">
        <v>140</v>
      </c>
      <c r="E309" s="37" t="s">
        <v>114</v>
      </c>
      <c r="F309" s="38" t="s">
        <v>148</v>
      </c>
    </row>
    <row r="310" spans="1:6" ht="13.5">
      <c r="A310" s="35">
        <v>15761</v>
      </c>
      <c r="B310" s="37" t="s">
        <v>753</v>
      </c>
      <c r="C310" s="37" t="s">
        <v>142</v>
      </c>
      <c r="D310" s="37" t="s">
        <v>140</v>
      </c>
      <c r="E310" s="37" t="s">
        <v>114</v>
      </c>
      <c r="F310" s="38" t="s">
        <v>202</v>
      </c>
    </row>
    <row r="311" spans="1:6" ht="13.5">
      <c r="A311" s="35">
        <v>15762</v>
      </c>
      <c r="B311" s="37" t="s">
        <v>754</v>
      </c>
      <c r="C311" s="37" t="s">
        <v>142</v>
      </c>
      <c r="D311" s="37" t="s">
        <v>140</v>
      </c>
      <c r="E311" s="37" t="s">
        <v>114</v>
      </c>
      <c r="F311" s="38" t="s">
        <v>148</v>
      </c>
    </row>
    <row r="312" spans="1:6" ht="13.5">
      <c r="A312" s="35">
        <v>15764</v>
      </c>
      <c r="B312" s="37" t="s">
        <v>755</v>
      </c>
      <c r="C312" s="37" t="s">
        <v>142</v>
      </c>
      <c r="D312" s="37" t="s">
        <v>140</v>
      </c>
      <c r="E312" s="37" t="s">
        <v>114</v>
      </c>
      <c r="F312" s="38" t="s">
        <v>113</v>
      </c>
    </row>
    <row r="313" spans="1:6" ht="13.5">
      <c r="A313" s="35">
        <v>15763</v>
      </c>
      <c r="B313" s="37" t="s">
        <v>756</v>
      </c>
      <c r="C313" s="37" t="s">
        <v>142</v>
      </c>
      <c r="D313" s="37" t="s">
        <v>140</v>
      </c>
      <c r="E313" s="37" t="s">
        <v>114</v>
      </c>
      <c r="F313" s="38" t="s">
        <v>148</v>
      </c>
    </row>
    <row r="314" spans="1:6" ht="13.5">
      <c r="A314" s="35">
        <v>15774</v>
      </c>
      <c r="B314" s="37" t="s">
        <v>757</v>
      </c>
      <c r="C314" s="37" t="s">
        <v>142</v>
      </c>
      <c r="D314" s="37" t="s">
        <v>140</v>
      </c>
      <c r="E314" s="37" t="s">
        <v>114</v>
      </c>
      <c r="F314" s="38" t="s">
        <v>202</v>
      </c>
    </row>
    <row r="315" spans="1:6" ht="13.5">
      <c r="A315" s="35">
        <v>15776</v>
      </c>
      <c r="B315" s="37" t="s">
        <v>143</v>
      </c>
      <c r="C315" s="37" t="s">
        <v>142</v>
      </c>
      <c r="D315" s="37" t="s">
        <v>140</v>
      </c>
      <c r="E315" s="37" t="s">
        <v>114</v>
      </c>
      <c r="F315" s="38" t="s">
        <v>148</v>
      </c>
    </row>
    <row r="316" spans="1:6" ht="13.5">
      <c r="A316" s="35">
        <v>15778</v>
      </c>
      <c r="B316" s="37" t="s">
        <v>758</v>
      </c>
      <c r="C316" s="37" t="s">
        <v>142</v>
      </c>
      <c r="D316" s="37" t="s">
        <v>140</v>
      </c>
      <c r="E316" s="37" t="s">
        <v>114</v>
      </c>
      <c r="F316" s="38" t="s">
        <v>202</v>
      </c>
    </row>
    <row r="317" spans="1:6" ht="13.5">
      <c r="A317" s="35">
        <v>15790</v>
      </c>
      <c r="B317" s="37" t="s">
        <v>759</v>
      </c>
      <c r="C317" s="37" t="s">
        <v>142</v>
      </c>
      <c r="D317" s="37" t="s">
        <v>140</v>
      </c>
      <c r="E317" s="37" t="s">
        <v>114</v>
      </c>
      <c r="F317" s="38" t="s">
        <v>202</v>
      </c>
    </row>
    <row r="318" spans="1:6" ht="13.5">
      <c r="A318" s="35">
        <v>15798</v>
      </c>
      <c r="B318" s="37" t="s">
        <v>760</v>
      </c>
      <c r="C318" s="37" t="s">
        <v>142</v>
      </c>
      <c r="D318" s="37" t="s">
        <v>140</v>
      </c>
      <c r="E318" s="37" t="s">
        <v>114</v>
      </c>
      <c r="F318" s="38" t="s">
        <v>202</v>
      </c>
    </row>
    <row r="319" spans="1:6" ht="13.5">
      <c r="A319" s="35">
        <v>15804</v>
      </c>
      <c r="B319" s="37" t="s">
        <v>761</v>
      </c>
      <c r="C319" s="37" t="s">
        <v>142</v>
      </c>
      <c r="D319" s="37" t="s">
        <v>140</v>
      </c>
      <c r="E319" s="37" t="s">
        <v>114</v>
      </c>
      <c r="F319" s="38" t="s">
        <v>148</v>
      </c>
    </row>
    <row r="320" spans="1:6" ht="13.5">
      <c r="A320" s="35">
        <v>15806</v>
      </c>
      <c r="B320" s="37" t="s">
        <v>762</v>
      </c>
      <c r="C320" s="37" t="s">
        <v>142</v>
      </c>
      <c r="D320" s="37" t="s">
        <v>140</v>
      </c>
      <c r="E320" s="37" t="s">
        <v>114</v>
      </c>
      <c r="F320" s="38" t="s">
        <v>148</v>
      </c>
    </row>
    <row r="321" spans="1:6" ht="13.5">
      <c r="A321" s="35">
        <v>15808</v>
      </c>
      <c r="B321" s="37" t="s">
        <v>763</v>
      </c>
      <c r="C321" s="37" t="s">
        <v>142</v>
      </c>
      <c r="D321" s="37" t="s">
        <v>140</v>
      </c>
      <c r="E321" s="37" t="s">
        <v>114</v>
      </c>
      <c r="F321" s="38" t="s">
        <v>148</v>
      </c>
    </row>
    <row r="322" spans="1:6" ht="13.5">
      <c r="A322" s="35">
        <v>15810</v>
      </c>
      <c r="B322" s="37" t="s">
        <v>764</v>
      </c>
      <c r="C322" s="37" t="s">
        <v>142</v>
      </c>
      <c r="D322" s="37" t="s">
        <v>140</v>
      </c>
      <c r="E322" s="37" t="s">
        <v>114</v>
      </c>
      <c r="F322" s="38" t="s">
        <v>202</v>
      </c>
    </row>
    <row r="323" spans="1:6" ht="13.5">
      <c r="A323" s="35">
        <v>15814</v>
      </c>
      <c r="B323" s="37" t="s">
        <v>765</v>
      </c>
      <c r="C323" s="37" t="s">
        <v>142</v>
      </c>
      <c r="D323" s="37" t="s">
        <v>140</v>
      </c>
      <c r="E323" s="37" t="s">
        <v>114</v>
      </c>
      <c r="F323" s="38" t="s">
        <v>148</v>
      </c>
    </row>
    <row r="324" spans="1:6" ht="13.5">
      <c r="A324" s="35">
        <v>15816</v>
      </c>
      <c r="B324" s="37" t="s">
        <v>766</v>
      </c>
      <c r="C324" s="37" t="s">
        <v>142</v>
      </c>
      <c r="D324" s="37" t="s">
        <v>140</v>
      </c>
      <c r="E324" s="37" t="s">
        <v>114</v>
      </c>
      <c r="F324" s="38" t="s">
        <v>148</v>
      </c>
    </row>
    <row r="325" spans="1:6" ht="13.5">
      <c r="A325" s="35">
        <v>15820</v>
      </c>
      <c r="B325" s="37" t="s">
        <v>767</v>
      </c>
      <c r="C325" s="37" t="s">
        <v>142</v>
      </c>
      <c r="D325" s="37" t="s">
        <v>140</v>
      </c>
      <c r="E325" s="37" t="s">
        <v>114</v>
      </c>
      <c r="F325" s="38" t="s">
        <v>202</v>
      </c>
    </row>
    <row r="326" spans="1:6" ht="13.5">
      <c r="A326" s="35">
        <v>15822</v>
      </c>
      <c r="B326" s="37" t="s">
        <v>768</v>
      </c>
      <c r="C326" s="37" t="s">
        <v>142</v>
      </c>
      <c r="D326" s="37" t="s">
        <v>140</v>
      </c>
      <c r="E326" s="37" t="s">
        <v>114</v>
      </c>
      <c r="F326" s="38" t="s">
        <v>148</v>
      </c>
    </row>
    <row r="327" spans="1:6" ht="13.5">
      <c r="A327" s="35">
        <v>15001</v>
      </c>
      <c r="B327" s="37" t="s">
        <v>140</v>
      </c>
      <c r="C327" s="37" t="s">
        <v>142</v>
      </c>
      <c r="D327" s="37" t="s">
        <v>140</v>
      </c>
      <c r="E327" s="37" t="s">
        <v>114</v>
      </c>
      <c r="F327" s="38" t="s">
        <v>113</v>
      </c>
    </row>
    <row r="328" spans="1:6" ht="13.5">
      <c r="A328" s="35">
        <v>15832</v>
      </c>
      <c r="B328" s="37" t="s">
        <v>769</v>
      </c>
      <c r="C328" s="37" t="s">
        <v>142</v>
      </c>
      <c r="D328" s="37" t="s">
        <v>140</v>
      </c>
      <c r="E328" s="37" t="s">
        <v>114</v>
      </c>
      <c r="F328" s="38" t="s">
        <v>202</v>
      </c>
    </row>
    <row r="329" spans="1:6" ht="13.5">
      <c r="A329" s="35">
        <v>15835</v>
      </c>
      <c r="B329" s="37" t="s">
        <v>770</v>
      </c>
      <c r="C329" s="37" t="s">
        <v>142</v>
      </c>
      <c r="D329" s="37" t="s">
        <v>140</v>
      </c>
      <c r="E329" s="37" t="s">
        <v>114</v>
      </c>
      <c r="F329" s="38" t="s">
        <v>148</v>
      </c>
    </row>
    <row r="330" spans="1:6" ht="13.5">
      <c r="A330" s="35">
        <v>15837</v>
      </c>
      <c r="B330" s="37" t="s">
        <v>771</v>
      </c>
      <c r="C330" s="37" t="s">
        <v>142</v>
      </c>
      <c r="D330" s="37" t="s">
        <v>140</v>
      </c>
      <c r="E330" s="37" t="s">
        <v>114</v>
      </c>
      <c r="F330" s="38" t="s">
        <v>148</v>
      </c>
    </row>
    <row r="331" spans="1:6" ht="13.5">
      <c r="A331" s="35">
        <v>15839</v>
      </c>
      <c r="B331" s="37" t="s">
        <v>772</v>
      </c>
      <c r="C331" s="37" t="s">
        <v>142</v>
      </c>
      <c r="D331" s="37" t="s">
        <v>140</v>
      </c>
      <c r="E331" s="37" t="s">
        <v>114</v>
      </c>
      <c r="F331" s="38" t="s">
        <v>148</v>
      </c>
    </row>
    <row r="332" spans="1:6" ht="13.5">
      <c r="A332" s="35">
        <v>15842</v>
      </c>
      <c r="B332" s="37" t="s">
        <v>773</v>
      </c>
      <c r="C332" s="37" t="s">
        <v>142</v>
      </c>
      <c r="D332" s="37" t="s">
        <v>140</v>
      </c>
      <c r="E332" s="37" t="s">
        <v>114</v>
      </c>
      <c r="F332" s="38" t="s">
        <v>148</v>
      </c>
    </row>
    <row r="333" spans="1:6" ht="13.5">
      <c r="A333" s="35">
        <v>15861</v>
      </c>
      <c r="B333" s="37" t="s">
        <v>774</v>
      </c>
      <c r="C333" s="37" t="s">
        <v>142</v>
      </c>
      <c r="D333" s="37" t="s">
        <v>140</v>
      </c>
      <c r="E333" s="37" t="s">
        <v>114</v>
      </c>
      <c r="F333" s="38" t="s">
        <v>148</v>
      </c>
    </row>
    <row r="334" spans="1:6" ht="13.5">
      <c r="A334" s="35">
        <v>15407</v>
      </c>
      <c r="B334" s="37" t="s">
        <v>775</v>
      </c>
      <c r="C334" s="37" t="s">
        <v>142</v>
      </c>
      <c r="D334" s="37" t="s">
        <v>140</v>
      </c>
      <c r="E334" s="37" t="s">
        <v>114</v>
      </c>
      <c r="F334" s="38" t="s">
        <v>148</v>
      </c>
    </row>
    <row r="335" spans="1:6" ht="13.5">
      <c r="A335" s="35">
        <v>15879</v>
      </c>
      <c r="B335" s="37" t="s">
        <v>776</v>
      </c>
      <c r="C335" s="37" t="s">
        <v>142</v>
      </c>
      <c r="D335" s="37" t="s">
        <v>140</v>
      </c>
      <c r="E335" s="37" t="s">
        <v>114</v>
      </c>
      <c r="F335" s="38" t="s">
        <v>148</v>
      </c>
    </row>
    <row r="336" spans="1:6" ht="13.5">
      <c r="A336" s="35">
        <v>15897</v>
      </c>
      <c r="B336" s="37" t="s">
        <v>777</v>
      </c>
      <c r="C336" s="37" t="s">
        <v>142</v>
      </c>
      <c r="D336" s="37" t="s">
        <v>140</v>
      </c>
      <c r="E336" s="37" t="s">
        <v>114</v>
      </c>
      <c r="F336" s="38" t="s">
        <v>202</v>
      </c>
    </row>
    <row r="337" spans="1:6" ht="13.5">
      <c r="A337" s="35">
        <v>17524</v>
      </c>
      <c r="B337" s="36" t="s">
        <v>778</v>
      </c>
      <c r="C337" s="37" t="s">
        <v>423</v>
      </c>
      <c r="D337" s="37" t="s">
        <v>421</v>
      </c>
      <c r="E337" s="37" t="s">
        <v>114</v>
      </c>
      <c r="F337" s="38" t="s">
        <v>148</v>
      </c>
    </row>
    <row r="338" spans="1:6" ht="13.5">
      <c r="A338" s="35">
        <v>17614</v>
      </c>
      <c r="B338" s="36" t="s">
        <v>779</v>
      </c>
      <c r="C338" s="37" t="s">
        <v>423</v>
      </c>
      <c r="D338" s="37" t="s">
        <v>421</v>
      </c>
      <c r="E338" s="37" t="s">
        <v>114</v>
      </c>
      <c r="F338" s="38" t="s">
        <v>148</v>
      </c>
    </row>
    <row r="339" spans="1:6" ht="13.5">
      <c r="A339" s="35">
        <v>17653</v>
      </c>
      <c r="B339" s="36" t="s">
        <v>780</v>
      </c>
      <c r="C339" s="37" t="s">
        <v>423</v>
      </c>
      <c r="D339" s="37" t="s">
        <v>421</v>
      </c>
      <c r="E339" s="37" t="s">
        <v>114</v>
      </c>
      <c r="F339" s="38" t="s">
        <v>148</v>
      </c>
    </row>
    <row r="340" spans="1:6" ht="13.5">
      <c r="A340" s="35">
        <v>17013</v>
      </c>
      <c r="B340" s="37" t="s">
        <v>781</v>
      </c>
      <c r="C340" s="37" t="s">
        <v>423</v>
      </c>
      <c r="D340" s="37" t="s">
        <v>421</v>
      </c>
      <c r="E340" s="37" t="s">
        <v>114</v>
      </c>
      <c r="F340" s="38" t="s">
        <v>202</v>
      </c>
    </row>
    <row r="341" spans="1:6" ht="13.5">
      <c r="A341" s="35">
        <v>17042</v>
      </c>
      <c r="B341" s="37" t="s">
        <v>782</v>
      </c>
      <c r="C341" s="37" t="s">
        <v>423</v>
      </c>
      <c r="D341" s="37" t="s">
        <v>421</v>
      </c>
      <c r="E341" s="37" t="s">
        <v>114</v>
      </c>
      <c r="F341" s="38" t="s">
        <v>148</v>
      </c>
    </row>
    <row r="342" spans="1:6" ht="13.5">
      <c r="A342" s="35">
        <v>17050</v>
      </c>
      <c r="B342" s="37" t="s">
        <v>783</v>
      </c>
      <c r="C342" s="37" t="s">
        <v>423</v>
      </c>
      <c r="D342" s="37" t="s">
        <v>421</v>
      </c>
      <c r="E342" s="37" t="s">
        <v>114</v>
      </c>
      <c r="F342" s="38" t="s">
        <v>148</v>
      </c>
    </row>
    <row r="343" spans="1:6" ht="13.5">
      <c r="A343" s="35">
        <v>17088</v>
      </c>
      <c r="B343" s="37" t="s">
        <v>784</v>
      </c>
      <c r="C343" s="37" t="s">
        <v>423</v>
      </c>
      <c r="D343" s="37" t="s">
        <v>421</v>
      </c>
      <c r="E343" s="37" t="s">
        <v>114</v>
      </c>
      <c r="F343" s="38" t="s">
        <v>148</v>
      </c>
    </row>
    <row r="344" spans="1:6" ht="13.5">
      <c r="A344" s="35">
        <v>17174</v>
      </c>
      <c r="B344" s="37" t="s">
        <v>785</v>
      </c>
      <c r="C344" s="37" t="s">
        <v>423</v>
      </c>
      <c r="D344" s="37" t="s">
        <v>421</v>
      </c>
      <c r="E344" s="37" t="s">
        <v>114</v>
      </c>
      <c r="F344" s="38" t="s">
        <v>148</v>
      </c>
    </row>
    <row r="345" spans="1:6" ht="13.5">
      <c r="A345" s="35">
        <v>17272</v>
      </c>
      <c r="B345" s="37" t="s">
        <v>786</v>
      </c>
      <c r="C345" s="37" t="s">
        <v>423</v>
      </c>
      <c r="D345" s="37" t="s">
        <v>421</v>
      </c>
      <c r="E345" s="37" t="s">
        <v>114</v>
      </c>
      <c r="F345" s="38" t="s">
        <v>148</v>
      </c>
    </row>
    <row r="346" spans="1:6" ht="13.5">
      <c r="A346" s="35">
        <v>17380</v>
      </c>
      <c r="B346" s="37" t="s">
        <v>787</v>
      </c>
      <c r="C346" s="37" t="s">
        <v>423</v>
      </c>
      <c r="D346" s="37" t="s">
        <v>157</v>
      </c>
      <c r="E346" s="37" t="s">
        <v>114</v>
      </c>
      <c r="F346" s="38" t="s">
        <v>202</v>
      </c>
    </row>
    <row r="347" spans="1:6" ht="13.5">
      <c r="A347" s="35">
        <v>17388</v>
      </c>
      <c r="B347" s="37" t="s">
        <v>788</v>
      </c>
      <c r="C347" s="37" t="s">
        <v>423</v>
      </c>
      <c r="D347" s="37" t="s">
        <v>421</v>
      </c>
      <c r="E347" s="37" t="s">
        <v>114</v>
      </c>
      <c r="F347" s="38" t="s">
        <v>148</v>
      </c>
    </row>
    <row r="348" spans="1:6" ht="13.5">
      <c r="A348" s="35">
        <v>17001</v>
      </c>
      <c r="B348" s="37" t="s">
        <v>421</v>
      </c>
      <c r="C348" s="37" t="s">
        <v>423</v>
      </c>
      <c r="D348" s="37" t="s">
        <v>421</v>
      </c>
      <c r="E348" s="37" t="s">
        <v>114</v>
      </c>
      <c r="F348" s="38" t="s">
        <v>113</v>
      </c>
    </row>
    <row r="349" spans="1:6" ht="13.5">
      <c r="A349" s="35">
        <v>17433</v>
      </c>
      <c r="B349" s="37" t="s">
        <v>789</v>
      </c>
      <c r="C349" s="37" t="s">
        <v>423</v>
      </c>
      <c r="D349" s="37" t="s">
        <v>421</v>
      </c>
      <c r="E349" s="37" t="s">
        <v>114</v>
      </c>
      <c r="F349" s="38" t="s">
        <v>202</v>
      </c>
    </row>
    <row r="350" spans="1:6" ht="13.5">
      <c r="A350" s="35">
        <v>17442</v>
      </c>
      <c r="B350" s="37" t="s">
        <v>790</v>
      </c>
      <c r="C350" s="37" t="s">
        <v>423</v>
      </c>
      <c r="D350" s="37" t="s">
        <v>421</v>
      </c>
      <c r="E350" s="37" t="s">
        <v>114</v>
      </c>
      <c r="F350" s="38" t="s">
        <v>148</v>
      </c>
    </row>
    <row r="351" spans="1:6" ht="13.5">
      <c r="A351" s="35">
        <v>17444</v>
      </c>
      <c r="B351" s="37" t="s">
        <v>791</v>
      </c>
      <c r="C351" s="37" t="s">
        <v>423</v>
      </c>
      <c r="D351" s="37" t="s">
        <v>421</v>
      </c>
      <c r="E351" s="37" t="s">
        <v>114</v>
      </c>
      <c r="F351" s="38" t="s">
        <v>202</v>
      </c>
    </row>
    <row r="352" spans="1:6" ht="13.5">
      <c r="A352" s="35">
        <v>17446</v>
      </c>
      <c r="B352" s="37" t="s">
        <v>792</v>
      </c>
      <c r="C352" s="37" t="s">
        <v>423</v>
      </c>
      <c r="D352" s="37" t="s">
        <v>421</v>
      </c>
      <c r="E352" s="37" t="s">
        <v>114</v>
      </c>
      <c r="F352" s="38" t="s">
        <v>202</v>
      </c>
    </row>
    <row r="353" spans="1:6" ht="13.5">
      <c r="A353" s="35">
        <v>17486</v>
      </c>
      <c r="B353" s="37" t="s">
        <v>793</v>
      </c>
      <c r="C353" s="37" t="s">
        <v>423</v>
      </c>
      <c r="D353" s="37" t="s">
        <v>421</v>
      </c>
      <c r="E353" s="37" t="s">
        <v>114</v>
      </c>
      <c r="F353" s="38" t="s">
        <v>148</v>
      </c>
    </row>
    <row r="354" spans="1:6" ht="13.5">
      <c r="A354" s="35">
        <v>17495</v>
      </c>
      <c r="B354" s="37" t="s">
        <v>794</v>
      </c>
      <c r="C354" s="37" t="s">
        <v>423</v>
      </c>
      <c r="D354" s="37" t="s">
        <v>157</v>
      </c>
      <c r="E354" s="37" t="s">
        <v>114</v>
      </c>
      <c r="F354" s="38" t="s">
        <v>344</v>
      </c>
    </row>
    <row r="355" spans="1:6" ht="13.5">
      <c r="A355" s="35">
        <v>17513</v>
      </c>
      <c r="B355" s="37" t="s">
        <v>795</v>
      </c>
      <c r="C355" s="37" t="s">
        <v>423</v>
      </c>
      <c r="D355" s="37" t="s">
        <v>421</v>
      </c>
      <c r="E355" s="37" t="s">
        <v>114</v>
      </c>
      <c r="F355" s="38" t="s">
        <v>202</v>
      </c>
    </row>
    <row r="356" spans="1:6" ht="13.5">
      <c r="A356" s="35">
        <v>17541</v>
      </c>
      <c r="B356" s="37" t="s">
        <v>796</v>
      </c>
      <c r="C356" s="37" t="s">
        <v>423</v>
      </c>
      <c r="D356" s="37" t="s">
        <v>421</v>
      </c>
      <c r="E356" s="37" t="s">
        <v>114</v>
      </c>
      <c r="F356" s="38" t="s">
        <v>202</v>
      </c>
    </row>
    <row r="357" spans="1:6" ht="13.5">
      <c r="A357" s="35">
        <v>17616</v>
      </c>
      <c r="B357" s="37" t="s">
        <v>126</v>
      </c>
      <c r="C357" s="37" t="s">
        <v>423</v>
      </c>
      <c r="D357" s="37" t="s">
        <v>421</v>
      </c>
      <c r="E357" s="37" t="s">
        <v>114</v>
      </c>
      <c r="F357" s="38" t="s">
        <v>148</v>
      </c>
    </row>
    <row r="358" spans="1:6" ht="13.5">
      <c r="A358" s="35">
        <v>17662</v>
      </c>
      <c r="B358" s="37" t="s">
        <v>797</v>
      </c>
      <c r="C358" s="37" t="s">
        <v>423</v>
      </c>
      <c r="D358" s="37" t="s">
        <v>421</v>
      </c>
      <c r="E358" s="37" t="s">
        <v>114</v>
      </c>
      <c r="F358" s="38" t="s">
        <v>344</v>
      </c>
    </row>
    <row r="359" spans="1:6" ht="13.5">
      <c r="A359" s="35">
        <v>17665</v>
      </c>
      <c r="B359" s="37" t="s">
        <v>798</v>
      </c>
      <c r="C359" s="37" t="s">
        <v>423</v>
      </c>
      <c r="D359" s="37" t="s">
        <v>421</v>
      </c>
      <c r="E359" s="37" t="s">
        <v>114</v>
      </c>
      <c r="F359" s="38" t="s">
        <v>148</v>
      </c>
    </row>
    <row r="360" spans="1:6" ht="13.5">
      <c r="A360" s="35">
        <v>17777</v>
      </c>
      <c r="B360" s="37" t="s">
        <v>799</v>
      </c>
      <c r="C360" s="37" t="s">
        <v>423</v>
      </c>
      <c r="D360" s="37" t="s">
        <v>421</v>
      </c>
      <c r="E360" s="37" t="s">
        <v>114</v>
      </c>
      <c r="F360" s="38" t="s">
        <v>148</v>
      </c>
    </row>
    <row r="361" spans="1:6" ht="13.5">
      <c r="A361" s="35">
        <v>17867</v>
      </c>
      <c r="B361" s="37" t="s">
        <v>800</v>
      </c>
      <c r="C361" s="37" t="s">
        <v>423</v>
      </c>
      <c r="D361" s="37" t="s">
        <v>421</v>
      </c>
      <c r="E361" s="37" t="s">
        <v>114</v>
      </c>
      <c r="F361" s="38" t="s">
        <v>202</v>
      </c>
    </row>
    <row r="362" spans="1:6" ht="13.5">
      <c r="A362" s="35">
        <v>17873</v>
      </c>
      <c r="B362" s="37" t="s">
        <v>801</v>
      </c>
      <c r="C362" s="37" t="s">
        <v>423</v>
      </c>
      <c r="D362" s="37" t="s">
        <v>421</v>
      </c>
      <c r="E362" s="37" t="s">
        <v>114</v>
      </c>
      <c r="F362" s="38" t="s">
        <v>113</v>
      </c>
    </row>
    <row r="363" spans="1:6" ht="13.5">
      <c r="A363" s="35">
        <v>17877</v>
      </c>
      <c r="B363" s="37" t="s">
        <v>802</v>
      </c>
      <c r="C363" s="37" t="s">
        <v>423</v>
      </c>
      <c r="D363" s="37" t="s">
        <v>124</v>
      </c>
      <c r="E363" s="37" t="s">
        <v>114</v>
      </c>
      <c r="F363" s="38" t="s">
        <v>148</v>
      </c>
    </row>
    <row r="364" spans="1:6" ht="13.5">
      <c r="A364" s="35">
        <v>18029</v>
      </c>
      <c r="B364" s="36" t="s">
        <v>803</v>
      </c>
      <c r="C364" s="37" t="s">
        <v>367</v>
      </c>
      <c r="D364" s="37" t="s">
        <v>365</v>
      </c>
      <c r="E364" s="37" t="s">
        <v>114</v>
      </c>
      <c r="F364" s="38" t="s">
        <v>344</v>
      </c>
    </row>
    <row r="365" spans="1:6" ht="13.5">
      <c r="A365" s="35">
        <v>18001</v>
      </c>
      <c r="B365" s="36" t="s">
        <v>368</v>
      </c>
      <c r="C365" s="37" t="s">
        <v>367</v>
      </c>
      <c r="D365" s="37" t="s">
        <v>365</v>
      </c>
      <c r="E365" s="37" t="s">
        <v>114</v>
      </c>
      <c r="F365" s="38" t="s">
        <v>344</v>
      </c>
    </row>
    <row r="366" spans="1:6" ht="13.5">
      <c r="A366" s="35">
        <v>18592</v>
      </c>
      <c r="B366" s="36" t="s">
        <v>804</v>
      </c>
      <c r="C366" s="37" t="s">
        <v>367</v>
      </c>
      <c r="D366" s="37" t="s">
        <v>365</v>
      </c>
      <c r="E366" s="37" t="s">
        <v>114</v>
      </c>
      <c r="F366" s="38" t="s">
        <v>462</v>
      </c>
    </row>
    <row r="367" spans="1:6" ht="13.5">
      <c r="A367" s="35">
        <v>18860</v>
      </c>
      <c r="B367" s="36" t="s">
        <v>491</v>
      </c>
      <c r="C367" s="37" t="s">
        <v>367</v>
      </c>
      <c r="D367" s="37" t="s">
        <v>365</v>
      </c>
      <c r="E367" s="37" t="s">
        <v>114</v>
      </c>
      <c r="F367" s="38" t="s">
        <v>344</v>
      </c>
    </row>
    <row r="368" spans="1:6" ht="13.5">
      <c r="A368" s="35">
        <v>18094</v>
      </c>
      <c r="B368" s="37" t="s">
        <v>805</v>
      </c>
      <c r="C368" s="37" t="s">
        <v>367</v>
      </c>
      <c r="D368" s="37" t="s">
        <v>365</v>
      </c>
      <c r="E368" s="37" t="s">
        <v>114</v>
      </c>
      <c r="F368" s="38" t="s">
        <v>344</v>
      </c>
    </row>
    <row r="369" spans="1:6" ht="13.5">
      <c r="A369" s="35">
        <v>18150</v>
      </c>
      <c r="B369" s="37" t="s">
        <v>806</v>
      </c>
      <c r="C369" s="37" t="s">
        <v>367</v>
      </c>
      <c r="D369" s="37" t="s">
        <v>365</v>
      </c>
      <c r="E369" s="37" t="s">
        <v>114</v>
      </c>
      <c r="F369" s="38" t="s">
        <v>462</v>
      </c>
    </row>
    <row r="370" spans="1:6" ht="13.5">
      <c r="A370" s="35">
        <v>18205</v>
      </c>
      <c r="B370" s="37" t="s">
        <v>807</v>
      </c>
      <c r="C370" s="37" t="s">
        <v>367</v>
      </c>
      <c r="D370" s="37" t="s">
        <v>365</v>
      </c>
      <c r="E370" s="37" t="s">
        <v>114</v>
      </c>
      <c r="F370" s="38" t="s">
        <v>344</v>
      </c>
    </row>
    <row r="371" spans="1:6" ht="13.5">
      <c r="A371" s="35">
        <v>18247</v>
      </c>
      <c r="B371" s="37" t="s">
        <v>808</v>
      </c>
      <c r="C371" s="37" t="s">
        <v>367</v>
      </c>
      <c r="D371" s="37" t="s">
        <v>365</v>
      </c>
      <c r="E371" s="37" t="s">
        <v>114</v>
      </c>
      <c r="F371" s="38" t="s">
        <v>344</v>
      </c>
    </row>
    <row r="372" spans="1:6" ht="13.5">
      <c r="A372" s="35">
        <v>18256</v>
      </c>
      <c r="B372" s="37" t="s">
        <v>809</v>
      </c>
      <c r="C372" s="37" t="s">
        <v>367</v>
      </c>
      <c r="D372" s="37" t="s">
        <v>365</v>
      </c>
      <c r="E372" s="37" t="s">
        <v>114</v>
      </c>
      <c r="F372" s="38" t="s">
        <v>344</v>
      </c>
    </row>
    <row r="373" spans="1:6" ht="13.5">
      <c r="A373" s="35">
        <v>18410</v>
      </c>
      <c r="B373" s="37" t="s">
        <v>810</v>
      </c>
      <c r="C373" s="37" t="s">
        <v>367</v>
      </c>
      <c r="D373" s="37" t="s">
        <v>365</v>
      </c>
      <c r="E373" s="37" t="s">
        <v>114</v>
      </c>
      <c r="F373" s="38" t="s">
        <v>344</v>
      </c>
    </row>
    <row r="374" spans="1:6" ht="13.5">
      <c r="A374" s="35">
        <v>18460</v>
      </c>
      <c r="B374" s="37" t="s">
        <v>811</v>
      </c>
      <c r="C374" s="37" t="s">
        <v>367</v>
      </c>
      <c r="D374" s="37" t="s">
        <v>365</v>
      </c>
      <c r="E374" s="37" t="s">
        <v>114</v>
      </c>
      <c r="F374" s="38" t="s">
        <v>344</v>
      </c>
    </row>
    <row r="375" spans="1:6" ht="13.5">
      <c r="A375" s="35">
        <v>18479</v>
      </c>
      <c r="B375" s="37" t="s">
        <v>812</v>
      </c>
      <c r="C375" s="37" t="s">
        <v>367</v>
      </c>
      <c r="D375" s="37" t="s">
        <v>365</v>
      </c>
      <c r="E375" s="37" t="s">
        <v>114</v>
      </c>
      <c r="F375" s="38" t="s">
        <v>344</v>
      </c>
    </row>
    <row r="376" spans="1:6" ht="13.5">
      <c r="A376" s="35">
        <v>18610</v>
      </c>
      <c r="B376" s="37" t="s">
        <v>813</v>
      </c>
      <c r="C376" s="37" t="s">
        <v>367</v>
      </c>
      <c r="D376" s="37" t="s">
        <v>365</v>
      </c>
      <c r="E376" s="37" t="s">
        <v>114</v>
      </c>
      <c r="F376" s="38" t="s">
        <v>344</v>
      </c>
    </row>
    <row r="377" spans="1:6" ht="13.5">
      <c r="A377" s="35">
        <v>18753</v>
      </c>
      <c r="B377" s="37" t="s">
        <v>814</v>
      </c>
      <c r="C377" s="37" t="s">
        <v>367</v>
      </c>
      <c r="D377" s="37" t="s">
        <v>365</v>
      </c>
      <c r="E377" s="37" t="s">
        <v>815</v>
      </c>
      <c r="F377" s="38" t="s">
        <v>462</v>
      </c>
    </row>
    <row r="378" spans="1:6" ht="13.5">
      <c r="A378" s="35">
        <v>18756</v>
      </c>
      <c r="B378" s="37" t="s">
        <v>816</v>
      </c>
      <c r="C378" s="37" t="s">
        <v>367</v>
      </c>
      <c r="D378" s="37" t="s">
        <v>365</v>
      </c>
      <c r="E378" s="37" t="s">
        <v>625</v>
      </c>
      <c r="F378" s="38" t="s">
        <v>462</v>
      </c>
    </row>
    <row r="379" spans="1:6" ht="13.5">
      <c r="A379" s="35">
        <v>18785</v>
      </c>
      <c r="B379" s="37" t="s">
        <v>817</v>
      </c>
      <c r="C379" s="37" t="s">
        <v>367</v>
      </c>
      <c r="D379" s="37" t="s">
        <v>365</v>
      </c>
      <c r="E379" s="37" t="s">
        <v>114</v>
      </c>
      <c r="F379" s="38" t="s">
        <v>344</v>
      </c>
    </row>
    <row r="380" spans="1:6" ht="13.5">
      <c r="A380" s="35">
        <v>85300</v>
      </c>
      <c r="B380" s="36" t="s">
        <v>484</v>
      </c>
      <c r="C380" s="37" t="s">
        <v>182</v>
      </c>
      <c r="D380" s="37" t="s">
        <v>180</v>
      </c>
      <c r="E380" s="37" t="s">
        <v>114</v>
      </c>
      <c r="F380" s="38" t="s">
        <v>202</v>
      </c>
    </row>
    <row r="381" spans="1:6" ht="13.5">
      <c r="A381" s="35">
        <v>85440</v>
      </c>
      <c r="B381" s="36" t="s">
        <v>627</v>
      </c>
      <c r="C381" s="37" t="s">
        <v>182</v>
      </c>
      <c r="D381" s="37" t="s">
        <v>322</v>
      </c>
      <c r="E381" s="37" t="s">
        <v>114</v>
      </c>
      <c r="F381" s="38" t="s">
        <v>202</v>
      </c>
    </row>
    <row r="382" spans="1:6" ht="13.5">
      <c r="A382" s="35">
        <v>85010</v>
      </c>
      <c r="B382" s="37" t="s">
        <v>183</v>
      </c>
      <c r="C382" s="37" t="s">
        <v>182</v>
      </c>
      <c r="D382" s="37" t="s">
        <v>180</v>
      </c>
      <c r="E382" s="37" t="s">
        <v>114</v>
      </c>
      <c r="F382" s="38" t="s">
        <v>148</v>
      </c>
    </row>
    <row r="383" spans="1:6" ht="13.5">
      <c r="A383" s="35">
        <v>85015</v>
      </c>
      <c r="B383" s="37" t="s">
        <v>818</v>
      </c>
      <c r="C383" s="37" t="s">
        <v>182</v>
      </c>
      <c r="D383" s="37" t="s">
        <v>180</v>
      </c>
      <c r="E383" s="37" t="s">
        <v>114</v>
      </c>
      <c r="F383" s="38" t="s">
        <v>344</v>
      </c>
    </row>
    <row r="384" spans="1:6" ht="13.5">
      <c r="A384" s="35">
        <v>85125</v>
      </c>
      <c r="B384" s="37" t="s">
        <v>819</v>
      </c>
      <c r="C384" s="37" t="s">
        <v>182</v>
      </c>
      <c r="D384" s="37" t="s">
        <v>180</v>
      </c>
      <c r="E384" s="37" t="s">
        <v>114</v>
      </c>
      <c r="F384" s="38" t="s">
        <v>202</v>
      </c>
    </row>
    <row r="385" spans="1:6" ht="13.5">
      <c r="A385" s="35">
        <v>85136</v>
      </c>
      <c r="B385" s="37" t="s">
        <v>820</v>
      </c>
      <c r="C385" s="37" t="s">
        <v>182</v>
      </c>
      <c r="D385" s="37" t="s">
        <v>180</v>
      </c>
      <c r="E385" s="37" t="s">
        <v>114</v>
      </c>
      <c r="F385" s="38" t="s">
        <v>344</v>
      </c>
    </row>
    <row r="386" spans="1:6" ht="13.5">
      <c r="A386" s="35">
        <v>85139</v>
      </c>
      <c r="B386" s="37" t="s">
        <v>821</v>
      </c>
      <c r="C386" s="37" t="s">
        <v>182</v>
      </c>
      <c r="D386" s="37" t="s">
        <v>180</v>
      </c>
      <c r="E386" s="37" t="s">
        <v>114</v>
      </c>
      <c r="F386" s="38" t="s">
        <v>148</v>
      </c>
    </row>
    <row r="387" spans="1:6" ht="13.5">
      <c r="A387" s="35">
        <v>85162</v>
      </c>
      <c r="B387" s="37" t="s">
        <v>822</v>
      </c>
      <c r="C387" s="37" t="s">
        <v>182</v>
      </c>
      <c r="D387" s="37" t="s">
        <v>180</v>
      </c>
      <c r="E387" s="37" t="s">
        <v>114</v>
      </c>
      <c r="F387" s="38" t="s">
        <v>148</v>
      </c>
    </row>
    <row r="388" spans="1:6" ht="13.5">
      <c r="A388" s="35">
        <v>85225</v>
      </c>
      <c r="B388" s="37" t="s">
        <v>823</v>
      </c>
      <c r="C388" s="37" t="s">
        <v>182</v>
      </c>
      <c r="D388" s="37" t="s">
        <v>180</v>
      </c>
      <c r="E388" s="37" t="s">
        <v>114</v>
      </c>
      <c r="F388" s="38" t="s">
        <v>148</v>
      </c>
    </row>
    <row r="389" spans="1:6" ht="13.5">
      <c r="A389" s="35">
        <v>85230</v>
      </c>
      <c r="B389" s="37" t="s">
        <v>824</v>
      </c>
      <c r="C389" s="37" t="s">
        <v>182</v>
      </c>
      <c r="D389" s="37" t="s">
        <v>180</v>
      </c>
      <c r="E389" s="37" t="s">
        <v>625</v>
      </c>
      <c r="F389" s="38" t="s">
        <v>462</v>
      </c>
    </row>
    <row r="390" spans="1:6" ht="13.5">
      <c r="A390" s="35">
        <v>85250</v>
      </c>
      <c r="B390" s="37" t="s">
        <v>332</v>
      </c>
      <c r="C390" s="37" t="s">
        <v>182</v>
      </c>
      <c r="D390" s="37" t="s">
        <v>180</v>
      </c>
      <c r="E390" s="37" t="s">
        <v>114</v>
      </c>
      <c r="F390" s="38" t="s">
        <v>148</v>
      </c>
    </row>
    <row r="391" spans="1:6" ht="13.5">
      <c r="A391" s="35">
        <v>85263</v>
      </c>
      <c r="B391" s="37" t="s">
        <v>825</v>
      </c>
      <c r="C391" s="37" t="s">
        <v>182</v>
      </c>
      <c r="D391" s="37" t="s">
        <v>180</v>
      </c>
      <c r="E391" s="37" t="s">
        <v>114</v>
      </c>
      <c r="F391" s="38" t="s">
        <v>148</v>
      </c>
    </row>
    <row r="392" spans="1:6" ht="13.5">
      <c r="A392" s="35">
        <v>85279</v>
      </c>
      <c r="B392" s="37" t="s">
        <v>826</v>
      </c>
      <c r="C392" s="37" t="s">
        <v>182</v>
      </c>
      <c r="D392" s="37" t="s">
        <v>180</v>
      </c>
      <c r="E392" s="37" t="s">
        <v>114</v>
      </c>
      <c r="F392" s="38" t="s">
        <v>202</v>
      </c>
    </row>
    <row r="393" spans="1:6" ht="13.5">
      <c r="A393" s="35">
        <v>85315</v>
      </c>
      <c r="B393" s="37" t="s">
        <v>827</v>
      </c>
      <c r="C393" s="37" t="s">
        <v>182</v>
      </c>
      <c r="D393" s="37" t="s">
        <v>180</v>
      </c>
      <c r="E393" s="37" t="s">
        <v>114</v>
      </c>
      <c r="F393" s="38" t="s">
        <v>344</v>
      </c>
    </row>
    <row r="394" spans="1:6" ht="13.5">
      <c r="A394" s="35">
        <v>85325</v>
      </c>
      <c r="B394" s="37" t="s">
        <v>828</v>
      </c>
      <c r="C394" s="37" t="s">
        <v>182</v>
      </c>
      <c r="D394" s="37" t="s">
        <v>180</v>
      </c>
      <c r="E394" s="37" t="s">
        <v>114</v>
      </c>
      <c r="F394" s="38" t="s">
        <v>148</v>
      </c>
    </row>
    <row r="395" spans="1:6" ht="13.5">
      <c r="A395" s="35">
        <v>85400</v>
      </c>
      <c r="B395" s="37" t="s">
        <v>829</v>
      </c>
      <c r="C395" s="37" t="s">
        <v>182</v>
      </c>
      <c r="D395" s="37" t="s">
        <v>180</v>
      </c>
      <c r="E395" s="37" t="s">
        <v>114</v>
      </c>
      <c r="F395" s="38" t="s">
        <v>202</v>
      </c>
    </row>
    <row r="396" spans="1:6" ht="13.5">
      <c r="A396" s="35">
        <v>85410</v>
      </c>
      <c r="B396" s="37" t="s">
        <v>830</v>
      </c>
      <c r="C396" s="37" t="s">
        <v>182</v>
      </c>
      <c r="D396" s="37" t="s">
        <v>180</v>
      </c>
      <c r="E396" s="37" t="s">
        <v>114</v>
      </c>
      <c r="F396" s="38" t="s">
        <v>148</v>
      </c>
    </row>
    <row r="397" spans="1:6" ht="13.5">
      <c r="A397" s="35">
        <v>85430</v>
      </c>
      <c r="B397" s="37" t="s">
        <v>831</v>
      </c>
      <c r="C397" s="37" t="s">
        <v>182</v>
      </c>
      <c r="D397" s="37" t="s">
        <v>180</v>
      </c>
      <c r="E397" s="37" t="s">
        <v>114</v>
      </c>
      <c r="F397" s="38" t="s">
        <v>148</v>
      </c>
    </row>
    <row r="398" spans="1:6" ht="13.5">
      <c r="A398" s="35">
        <v>85001</v>
      </c>
      <c r="B398" s="37" t="s">
        <v>180</v>
      </c>
      <c r="C398" s="37" t="s">
        <v>182</v>
      </c>
      <c r="D398" s="37" t="s">
        <v>180</v>
      </c>
      <c r="E398" s="37" t="s">
        <v>114</v>
      </c>
      <c r="F398" s="38" t="s">
        <v>113</v>
      </c>
    </row>
    <row r="399" spans="1:6" ht="13.5">
      <c r="A399" s="35">
        <v>19050</v>
      </c>
      <c r="B399" s="36" t="s">
        <v>473</v>
      </c>
      <c r="C399" s="37" t="s">
        <v>338</v>
      </c>
      <c r="D399" s="37" t="s">
        <v>132</v>
      </c>
      <c r="E399" s="37" t="s">
        <v>114</v>
      </c>
      <c r="F399" s="38" t="s">
        <v>344</v>
      </c>
    </row>
    <row r="400" spans="1:6" ht="13.5">
      <c r="A400" s="35">
        <v>19075</v>
      </c>
      <c r="B400" s="36" t="s">
        <v>832</v>
      </c>
      <c r="C400" s="37" t="s">
        <v>338</v>
      </c>
      <c r="D400" s="37" t="s">
        <v>132</v>
      </c>
      <c r="E400" s="37" t="s">
        <v>114</v>
      </c>
      <c r="F400" s="38" t="s">
        <v>344</v>
      </c>
    </row>
    <row r="401" spans="1:6" ht="13.5">
      <c r="A401" s="35">
        <v>19100</v>
      </c>
      <c r="B401" s="36" t="s">
        <v>232</v>
      </c>
      <c r="C401" s="37" t="s">
        <v>338</v>
      </c>
      <c r="D401" s="37" t="s">
        <v>132</v>
      </c>
      <c r="E401" s="37" t="s">
        <v>114</v>
      </c>
      <c r="F401" s="38" t="s">
        <v>344</v>
      </c>
    </row>
    <row r="402" spans="1:6" ht="13.5">
      <c r="A402" s="35">
        <v>19256</v>
      </c>
      <c r="B402" s="36" t="s">
        <v>833</v>
      </c>
      <c r="C402" s="37" t="s">
        <v>338</v>
      </c>
      <c r="D402" s="37" t="s">
        <v>132</v>
      </c>
      <c r="E402" s="37" t="s">
        <v>114</v>
      </c>
      <c r="F402" s="38" t="s">
        <v>202</v>
      </c>
    </row>
    <row r="403" spans="1:6" ht="13.5">
      <c r="A403" s="35">
        <v>19290</v>
      </c>
      <c r="B403" s="36" t="s">
        <v>368</v>
      </c>
      <c r="C403" s="37" t="s">
        <v>338</v>
      </c>
      <c r="D403" s="37" t="s">
        <v>132</v>
      </c>
      <c r="E403" s="37" t="s">
        <v>114</v>
      </c>
      <c r="F403" s="38" t="s">
        <v>344</v>
      </c>
    </row>
    <row r="404" spans="1:6" ht="13.5">
      <c r="A404" s="35">
        <v>19397</v>
      </c>
      <c r="B404" s="36" t="s">
        <v>834</v>
      </c>
      <c r="C404" s="37" t="s">
        <v>338</v>
      </c>
      <c r="D404" s="37" t="s">
        <v>132</v>
      </c>
      <c r="E404" s="37" t="s">
        <v>114</v>
      </c>
      <c r="F404" s="38" t="s">
        <v>344</v>
      </c>
    </row>
    <row r="405" spans="1:6" ht="13.5">
      <c r="A405" s="35">
        <v>19473</v>
      </c>
      <c r="B405" s="36" t="s">
        <v>623</v>
      </c>
      <c r="C405" s="37" t="s">
        <v>338</v>
      </c>
      <c r="D405" s="37" t="s">
        <v>132</v>
      </c>
      <c r="E405" s="37" t="s">
        <v>114</v>
      </c>
      <c r="F405" s="38" t="s">
        <v>202</v>
      </c>
    </row>
    <row r="406" spans="1:6" ht="13.5">
      <c r="A406" s="35">
        <v>19517</v>
      </c>
      <c r="B406" s="36" t="s">
        <v>670</v>
      </c>
      <c r="C406" s="37" t="s">
        <v>338</v>
      </c>
      <c r="D406" s="37" t="s">
        <v>132</v>
      </c>
      <c r="E406" s="37" t="s">
        <v>114</v>
      </c>
      <c r="F406" s="38" t="s">
        <v>344</v>
      </c>
    </row>
    <row r="407" spans="1:6" ht="13.5">
      <c r="A407" s="35">
        <v>19701</v>
      </c>
      <c r="B407" s="36" t="s">
        <v>626</v>
      </c>
      <c r="C407" s="37" t="s">
        <v>338</v>
      </c>
      <c r="D407" s="37" t="s">
        <v>132</v>
      </c>
      <c r="E407" s="37" t="s">
        <v>114</v>
      </c>
      <c r="F407" s="38" t="s">
        <v>344</v>
      </c>
    </row>
    <row r="408" spans="1:6" ht="13.5">
      <c r="A408" s="35">
        <v>19780</v>
      </c>
      <c r="B408" s="36" t="s">
        <v>835</v>
      </c>
      <c r="C408" s="37" t="s">
        <v>338</v>
      </c>
      <c r="D408" s="37" t="s">
        <v>132</v>
      </c>
      <c r="E408" s="37" t="s">
        <v>114</v>
      </c>
      <c r="F408" s="38" t="s">
        <v>202</v>
      </c>
    </row>
    <row r="409" spans="1:6" ht="13.5">
      <c r="A409" s="35">
        <v>19785</v>
      </c>
      <c r="B409" s="36" t="s">
        <v>836</v>
      </c>
      <c r="C409" s="37" t="s">
        <v>338</v>
      </c>
      <c r="D409" s="37" t="s">
        <v>132</v>
      </c>
      <c r="E409" s="37" t="s">
        <v>114</v>
      </c>
      <c r="F409" s="38" t="s">
        <v>344</v>
      </c>
    </row>
    <row r="410" spans="1:6" ht="13.5">
      <c r="A410" s="35">
        <v>19022</v>
      </c>
      <c r="B410" s="37" t="s">
        <v>837</v>
      </c>
      <c r="C410" s="37" t="s">
        <v>338</v>
      </c>
      <c r="D410" s="37" t="s">
        <v>132</v>
      </c>
      <c r="E410" s="37" t="s">
        <v>114</v>
      </c>
      <c r="F410" s="38" t="s">
        <v>344</v>
      </c>
    </row>
    <row r="411" spans="1:6" ht="13.5">
      <c r="A411" s="35">
        <v>19110</v>
      </c>
      <c r="B411" s="37" t="s">
        <v>838</v>
      </c>
      <c r="C411" s="37" t="s">
        <v>338</v>
      </c>
      <c r="D411" s="37" t="s">
        <v>132</v>
      </c>
      <c r="E411" s="37" t="s">
        <v>114</v>
      </c>
      <c r="F411" s="38" t="s">
        <v>148</v>
      </c>
    </row>
    <row r="412" spans="1:6" ht="13.5">
      <c r="A412" s="35">
        <v>19130</v>
      </c>
      <c r="B412" s="37" t="s">
        <v>839</v>
      </c>
      <c r="C412" s="37" t="s">
        <v>338</v>
      </c>
      <c r="D412" s="37" t="s">
        <v>132</v>
      </c>
      <c r="E412" s="37" t="s">
        <v>114</v>
      </c>
      <c r="F412" s="38" t="s">
        <v>202</v>
      </c>
    </row>
    <row r="413" spans="1:6" ht="13.5">
      <c r="A413" s="35">
        <v>19137</v>
      </c>
      <c r="B413" s="37" t="s">
        <v>840</v>
      </c>
      <c r="C413" s="37" t="s">
        <v>338</v>
      </c>
      <c r="D413" s="37" t="s">
        <v>132</v>
      </c>
      <c r="E413" s="37" t="s">
        <v>114</v>
      </c>
      <c r="F413" s="38" t="s">
        <v>202</v>
      </c>
    </row>
    <row r="414" spans="1:6" ht="13.5">
      <c r="A414" s="35">
        <v>19142</v>
      </c>
      <c r="B414" s="37" t="s">
        <v>841</v>
      </c>
      <c r="C414" s="37" t="s">
        <v>338</v>
      </c>
      <c r="D414" s="37" t="s">
        <v>132</v>
      </c>
      <c r="E414" s="37" t="s">
        <v>114</v>
      </c>
      <c r="F414" s="38" t="s">
        <v>148</v>
      </c>
    </row>
    <row r="415" spans="1:6" ht="13.5">
      <c r="A415" s="35">
        <v>19212</v>
      </c>
      <c r="B415" s="37" t="s">
        <v>842</v>
      </c>
      <c r="C415" s="37" t="s">
        <v>338</v>
      </c>
      <c r="D415" s="37" t="s">
        <v>132</v>
      </c>
      <c r="E415" s="37" t="s">
        <v>114</v>
      </c>
      <c r="F415" s="38" t="s">
        <v>202</v>
      </c>
    </row>
    <row r="416" spans="1:6" ht="13.5">
      <c r="A416" s="35">
        <v>19300</v>
      </c>
      <c r="B416" s="37" t="s">
        <v>843</v>
      </c>
      <c r="C416" s="37" t="s">
        <v>338</v>
      </c>
      <c r="D416" s="37" t="s">
        <v>132</v>
      </c>
      <c r="E416" s="37" t="s">
        <v>114</v>
      </c>
      <c r="F416" s="38" t="s">
        <v>148</v>
      </c>
    </row>
    <row r="417" spans="1:6" ht="13.5">
      <c r="A417" s="35">
        <v>19318</v>
      </c>
      <c r="B417" s="37" t="s">
        <v>844</v>
      </c>
      <c r="C417" s="37" t="s">
        <v>338</v>
      </c>
      <c r="D417" s="37" t="s">
        <v>132</v>
      </c>
      <c r="E417" s="37" t="s">
        <v>461</v>
      </c>
      <c r="F417" s="38" t="s">
        <v>462</v>
      </c>
    </row>
    <row r="418" spans="1:6" ht="13.5">
      <c r="A418" s="35">
        <v>19355</v>
      </c>
      <c r="B418" s="37" t="s">
        <v>845</v>
      </c>
      <c r="C418" s="37" t="s">
        <v>338</v>
      </c>
      <c r="D418" s="37" t="s">
        <v>132</v>
      </c>
      <c r="E418" s="37" t="s">
        <v>114</v>
      </c>
      <c r="F418" s="38" t="s">
        <v>344</v>
      </c>
    </row>
    <row r="419" spans="1:6" ht="13.5">
      <c r="A419" s="35">
        <v>19364</v>
      </c>
      <c r="B419" s="37" t="s">
        <v>846</v>
      </c>
      <c r="C419" s="37" t="s">
        <v>338</v>
      </c>
      <c r="D419" s="37" t="s">
        <v>132</v>
      </c>
      <c r="E419" s="37" t="s">
        <v>114</v>
      </c>
      <c r="F419" s="38" t="s">
        <v>202</v>
      </c>
    </row>
    <row r="420" spans="1:6" ht="13.5">
      <c r="A420" s="35">
        <v>19392</v>
      </c>
      <c r="B420" s="37" t="s">
        <v>847</v>
      </c>
      <c r="C420" s="37" t="s">
        <v>338</v>
      </c>
      <c r="D420" s="37" t="s">
        <v>132</v>
      </c>
      <c r="E420" s="37" t="s">
        <v>114</v>
      </c>
      <c r="F420" s="38" t="s">
        <v>202</v>
      </c>
    </row>
    <row r="421" spans="1:6" ht="13.5">
      <c r="A421" s="35">
        <v>19418</v>
      </c>
      <c r="B421" s="37" t="s">
        <v>848</v>
      </c>
      <c r="C421" s="37" t="s">
        <v>338</v>
      </c>
      <c r="D421" s="37" t="s">
        <v>132</v>
      </c>
      <c r="E421" s="37" t="s">
        <v>114</v>
      </c>
      <c r="F421" s="38" t="s">
        <v>344</v>
      </c>
    </row>
    <row r="422" spans="1:6" ht="13.5">
      <c r="A422" s="35">
        <v>19450</v>
      </c>
      <c r="B422" s="37" t="s">
        <v>849</v>
      </c>
      <c r="C422" s="37" t="s">
        <v>338</v>
      </c>
      <c r="D422" s="37" t="s">
        <v>132</v>
      </c>
      <c r="E422" s="37" t="s">
        <v>114</v>
      </c>
      <c r="F422" s="38" t="s">
        <v>344</v>
      </c>
    </row>
    <row r="423" spans="1:6" ht="13.5">
      <c r="A423" s="35">
        <v>19455</v>
      </c>
      <c r="B423" s="37" t="s">
        <v>850</v>
      </c>
      <c r="C423" s="37" t="s">
        <v>338</v>
      </c>
      <c r="D423" s="37" t="s">
        <v>132</v>
      </c>
      <c r="E423" s="37" t="s">
        <v>114</v>
      </c>
      <c r="F423" s="38" t="s">
        <v>202</v>
      </c>
    </row>
    <row r="424" spans="1:6" ht="13.5">
      <c r="A424" s="35">
        <v>19513</v>
      </c>
      <c r="B424" s="37" t="s">
        <v>851</v>
      </c>
      <c r="C424" s="37" t="s">
        <v>338</v>
      </c>
      <c r="D424" s="37" t="s">
        <v>132</v>
      </c>
      <c r="E424" s="37" t="s">
        <v>114</v>
      </c>
      <c r="F424" s="38" t="s">
        <v>148</v>
      </c>
    </row>
    <row r="425" spans="1:6" ht="13.5">
      <c r="A425" s="35">
        <v>19532</v>
      </c>
      <c r="B425" s="37" t="s">
        <v>852</v>
      </c>
      <c r="C425" s="37" t="s">
        <v>338</v>
      </c>
      <c r="D425" s="37" t="s">
        <v>132</v>
      </c>
      <c r="E425" s="37" t="s">
        <v>114</v>
      </c>
      <c r="F425" s="38" t="s">
        <v>344</v>
      </c>
    </row>
    <row r="426" spans="1:6" ht="13.5">
      <c r="A426" s="35">
        <v>19533</v>
      </c>
      <c r="B426" s="37" t="s">
        <v>853</v>
      </c>
      <c r="C426" s="37" t="s">
        <v>338</v>
      </c>
      <c r="D426" s="37" t="s">
        <v>375</v>
      </c>
      <c r="E426" s="37" t="s">
        <v>625</v>
      </c>
      <c r="F426" s="38" t="s">
        <v>462</v>
      </c>
    </row>
    <row r="427" spans="1:6" ht="13.5">
      <c r="A427" s="35">
        <v>19548</v>
      </c>
      <c r="B427" s="37" t="s">
        <v>854</v>
      </c>
      <c r="C427" s="37" t="s">
        <v>338</v>
      </c>
      <c r="D427" s="37" t="s">
        <v>132</v>
      </c>
      <c r="E427" s="37" t="s">
        <v>114</v>
      </c>
      <c r="F427" s="38" t="s">
        <v>202</v>
      </c>
    </row>
    <row r="428" spans="1:6" ht="13.5">
      <c r="A428" s="35">
        <v>19001</v>
      </c>
      <c r="B428" s="37" t="s">
        <v>855</v>
      </c>
      <c r="C428" s="37" t="s">
        <v>338</v>
      </c>
      <c r="D428" s="37" t="s">
        <v>132</v>
      </c>
      <c r="E428" s="37" t="s">
        <v>114</v>
      </c>
      <c r="F428" s="38" t="s">
        <v>202</v>
      </c>
    </row>
    <row r="429" spans="1:6" ht="13.5">
      <c r="A429" s="35">
        <v>19573</v>
      </c>
      <c r="B429" s="37" t="s">
        <v>856</v>
      </c>
      <c r="C429" s="37" t="s">
        <v>338</v>
      </c>
      <c r="D429" s="37" t="s">
        <v>132</v>
      </c>
      <c r="E429" s="37" t="s">
        <v>114</v>
      </c>
      <c r="F429" s="38" t="s">
        <v>148</v>
      </c>
    </row>
    <row r="430" spans="1:6" ht="13.5">
      <c r="A430" s="35">
        <v>19585</v>
      </c>
      <c r="B430" s="37" t="s">
        <v>857</v>
      </c>
      <c r="C430" s="37" t="s">
        <v>338</v>
      </c>
      <c r="D430" s="37" t="s">
        <v>132</v>
      </c>
      <c r="E430" s="37" t="s">
        <v>114</v>
      </c>
      <c r="F430" s="38" t="s">
        <v>344</v>
      </c>
    </row>
    <row r="431" spans="1:6" ht="13.5">
      <c r="A431" s="35">
        <v>19622</v>
      </c>
      <c r="B431" s="37" t="s">
        <v>858</v>
      </c>
      <c r="C431" s="37" t="s">
        <v>338</v>
      </c>
      <c r="D431" s="37" t="s">
        <v>132</v>
      </c>
      <c r="E431" s="37" t="s">
        <v>114</v>
      </c>
      <c r="F431" s="38" t="s">
        <v>202</v>
      </c>
    </row>
    <row r="432" spans="1:6" ht="13.5">
      <c r="A432" s="35">
        <v>19693</v>
      </c>
      <c r="B432" s="37" t="s">
        <v>859</v>
      </c>
      <c r="C432" s="37" t="s">
        <v>338</v>
      </c>
      <c r="D432" s="37" t="s">
        <v>132</v>
      </c>
      <c r="E432" s="37" t="s">
        <v>114</v>
      </c>
      <c r="F432" s="38" t="s">
        <v>344</v>
      </c>
    </row>
    <row r="433" spans="1:6" ht="13.5">
      <c r="A433" s="35">
        <v>19698</v>
      </c>
      <c r="B433" s="37" t="s">
        <v>860</v>
      </c>
      <c r="C433" s="37" t="s">
        <v>338</v>
      </c>
      <c r="D433" s="37" t="s">
        <v>132</v>
      </c>
      <c r="E433" s="37" t="s">
        <v>114</v>
      </c>
      <c r="F433" s="38" t="s">
        <v>148</v>
      </c>
    </row>
    <row r="434" spans="1:6" ht="13.5">
      <c r="A434" s="35">
        <v>19743</v>
      </c>
      <c r="B434" s="37" t="s">
        <v>861</v>
      </c>
      <c r="C434" s="37" t="s">
        <v>338</v>
      </c>
      <c r="D434" s="37" t="s">
        <v>132</v>
      </c>
      <c r="E434" s="37" t="s">
        <v>114</v>
      </c>
      <c r="F434" s="38" t="s">
        <v>202</v>
      </c>
    </row>
    <row r="435" spans="1:6" ht="13.5">
      <c r="A435" s="35">
        <v>19760</v>
      </c>
      <c r="B435" s="37" t="s">
        <v>862</v>
      </c>
      <c r="C435" s="37" t="s">
        <v>338</v>
      </c>
      <c r="D435" s="37" t="s">
        <v>132</v>
      </c>
      <c r="E435" s="37" t="s">
        <v>114</v>
      </c>
      <c r="F435" s="38" t="s">
        <v>202</v>
      </c>
    </row>
    <row r="436" spans="1:6" ht="13.5">
      <c r="A436" s="35">
        <v>19807</v>
      </c>
      <c r="B436" s="37" t="s">
        <v>863</v>
      </c>
      <c r="C436" s="37" t="s">
        <v>338</v>
      </c>
      <c r="D436" s="37" t="s">
        <v>132</v>
      </c>
      <c r="E436" s="37" t="s">
        <v>114</v>
      </c>
      <c r="F436" s="38" t="s">
        <v>202</v>
      </c>
    </row>
    <row r="437" spans="1:6" ht="13.5">
      <c r="A437" s="35">
        <v>19809</v>
      </c>
      <c r="B437" s="37" t="s">
        <v>864</v>
      </c>
      <c r="C437" s="37" t="s">
        <v>338</v>
      </c>
      <c r="D437" s="37" t="s">
        <v>132</v>
      </c>
      <c r="E437" s="37" t="s">
        <v>461</v>
      </c>
      <c r="F437" s="38" t="s">
        <v>462</v>
      </c>
    </row>
    <row r="438" spans="1:6" ht="13.5">
      <c r="A438" s="35">
        <v>19821</v>
      </c>
      <c r="B438" s="37" t="s">
        <v>865</v>
      </c>
      <c r="C438" s="37" t="s">
        <v>338</v>
      </c>
      <c r="D438" s="37" t="s">
        <v>132</v>
      </c>
      <c r="E438" s="37" t="s">
        <v>114</v>
      </c>
      <c r="F438" s="38" t="s">
        <v>202</v>
      </c>
    </row>
    <row r="439" spans="1:6" ht="13.5">
      <c r="A439" s="35">
        <v>19824</v>
      </c>
      <c r="B439" s="37" t="s">
        <v>866</v>
      </c>
      <c r="C439" s="37" t="s">
        <v>338</v>
      </c>
      <c r="D439" s="37" t="s">
        <v>132</v>
      </c>
      <c r="E439" s="37" t="s">
        <v>114</v>
      </c>
      <c r="F439" s="38" t="s">
        <v>202</v>
      </c>
    </row>
    <row r="440" spans="1:6" ht="13.5">
      <c r="A440" s="35">
        <v>19845</v>
      </c>
      <c r="B440" s="37" t="s">
        <v>339</v>
      </c>
      <c r="C440" s="37" t="s">
        <v>338</v>
      </c>
      <c r="D440" s="37" t="s">
        <v>132</v>
      </c>
      <c r="E440" s="37" t="s">
        <v>114</v>
      </c>
      <c r="F440" s="38" t="s">
        <v>344</v>
      </c>
    </row>
    <row r="441" spans="1:6" ht="13.5">
      <c r="A441" s="35">
        <v>20621</v>
      </c>
      <c r="B441" s="36" t="s">
        <v>867</v>
      </c>
      <c r="C441" s="37" t="s">
        <v>868</v>
      </c>
      <c r="D441" s="37" t="s">
        <v>622</v>
      </c>
      <c r="E441" s="37" t="s">
        <v>114</v>
      </c>
      <c r="F441" s="38" t="s">
        <v>148</v>
      </c>
    </row>
    <row r="442" spans="1:6" ht="13.5">
      <c r="A442" s="35">
        <v>20443</v>
      </c>
      <c r="B442" s="36" t="s">
        <v>869</v>
      </c>
      <c r="C442" s="37" t="s">
        <v>868</v>
      </c>
      <c r="D442" s="37" t="s">
        <v>622</v>
      </c>
      <c r="E442" s="37" t="s">
        <v>114</v>
      </c>
      <c r="F442" s="38" t="s">
        <v>148</v>
      </c>
    </row>
    <row r="443" spans="1:6" ht="13.5">
      <c r="A443" s="35">
        <v>20770</v>
      </c>
      <c r="B443" s="36" t="s">
        <v>870</v>
      </c>
      <c r="C443" s="37" t="s">
        <v>868</v>
      </c>
      <c r="D443" s="37" t="s">
        <v>171</v>
      </c>
      <c r="E443" s="37" t="s">
        <v>114</v>
      </c>
      <c r="F443" s="38" t="s">
        <v>202</v>
      </c>
    </row>
    <row r="444" spans="1:6" ht="13.5">
      <c r="A444" s="35">
        <v>20011</v>
      </c>
      <c r="B444" s="37" t="s">
        <v>871</v>
      </c>
      <c r="C444" s="37" t="s">
        <v>868</v>
      </c>
      <c r="D444" s="37" t="s">
        <v>622</v>
      </c>
      <c r="E444" s="37" t="s">
        <v>114</v>
      </c>
      <c r="F444" s="38" t="s">
        <v>344</v>
      </c>
    </row>
    <row r="445" spans="1:6" ht="13.5">
      <c r="A445" s="35">
        <v>20013</v>
      </c>
      <c r="B445" s="37" t="s">
        <v>872</v>
      </c>
      <c r="C445" s="37" t="s">
        <v>868</v>
      </c>
      <c r="D445" s="37" t="s">
        <v>622</v>
      </c>
      <c r="E445" s="37" t="s">
        <v>114</v>
      </c>
      <c r="F445" s="38" t="s">
        <v>148</v>
      </c>
    </row>
    <row r="446" spans="1:6" ht="13.5">
      <c r="A446" s="35">
        <v>20032</v>
      </c>
      <c r="B446" s="37" t="s">
        <v>873</v>
      </c>
      <c r="C446" s="37" t="s">
        <v>868</v>
      </c>
      <c r="D446" s="37" t="s">
        <v>622</v>
      </c>
      <c r="E446" s="37" t="s">
        <v>114</v>
      </c>
      <c r="F446" s="38" t="s">
        <v>202</v>
      </c>
    </row>
    <row r="447" spans="1:6" ht="13.5">
      <c r="A447" s="35">
        <v>20045</v>
      </c>
      <c r="B447" s="37" t="s">
        <v>874</v>
      </c>
      <c r="C447" s="37" t="s">
        <v>868</v>
      </c>
      <c r="D447" s="37" t="s">
        <v>622</v>
      </c>
      <c r="E447" s="37" t="s">
        <v>114</v>
      </c>
      <c r="F447" s="38" t="s">
        <v>148</v>
      </c>
    </row>
    <row r="448" spans="1:6" ht="13.5">
      <c r="A448" s="35">
        <v>20060</v>
      </c>
      <c r="B448" s="37" t="s">
        <v>875</v>
      </c>
      <c r="C448" s="37" t="s">
        <v>868</v>
      </c>
      <c r="D448" s="37" t="s">
        <v>622</v>
      </c>
      <c r="E448" s="37" t="s">
        <v>114</v>
      </c>
      <c r="F448" s="38" t="s">
        <v>148</v>
      </c>
    </row>
    <row r="449" spans="1:6" ht="13.5">
      <c r="A449" s="35">
        <v>20175</v>
      </c>
      <c r="B449" s="37" t="s">
        <v>876</v>
      </c>
      <c r="C449" s="37" t="s">
        <v>868</v>
      </c>
      <c r="D449" s="37" t="s">
        <v>622</v>
      </c>
      <c r="E449" s="37" t="s">
        <v>114</v>
      </c>
      <c r="F449" s="38" t="s">
        <v>344</v>
      </c>
    </row>
    <row r="450" spans="1:6" ht="13.5">
      <c r="A450" s="35">
        <v>20178</v>
      </c>
      <c r="B450" s="37" t="s">
        <v>877</v>
      </c>
      <c r="C450" s="37" t="s">
        <v>868</v>
      </c>
      <c r="D450" s="37" t="s">
        <v>622</v>
      </c>
      <c r="E450" s="37" t="s">
        <v>114</v>
      </c>
      <c r="F450" s="38" t="s">
        <v>202</v>
      </c>
    </row>
    <row r="451" spans="1:6" ht="13.5">
      <c r="A451" s="35">
        <v>20228</v>
      </c>
      <c r="B451" s="37" t="s">
        <v>878</v>
      </c>
      <c r="C451" s="37" t="s">
        <v>868</v>
      </c>
      <c r="D451" s="37" t="s">
        <v>622</v>
      </c>
      <c r="E451" s="37" t="s">
        <v>114</v>
      </c>
      <c r="F451" s="38" t="s">
        <v>202</v>
      </c>
    </row>
    <row r="452" spans="1:6" ht="13.5">
      <c r="A452" s="35">
        <v>20238</v>
      </c>
      <c r="B452" s="37" t="s">
        <v>879</v>
      </c>
      <c r="C452" s="37" t="s">
        <v>868</v>
      </c>
      <c r="D452" s="37" t="s">
        <v>622</v>
      </c>
      <c r="E452" s="37" t="s">
        <v>114</v>
      </c>
      <c r="F452" s="38" t="s">
        <v>148</v>
      </c>
    </row>
    <row r="453" spans="1:6" ht="13.5">
      <c r="A453" s="35">
        <v>20250</v>
      </c>
      <c r="B453" s="37" t="s">
        <v>880</v>
      </c>
      <c r="C453" s="37" t="s">
        <v>868</v>
      </c>
      <c r="D453" s="37" t="s">
        <v>622</v>
      </c>
      <c r="E453" s="37" t="s">
        <v>114</v>
      </c>
      <c r="F453" s="38" t="s">
        <v>202</v>
      </c>
    </row>
    <row r="454" spans="1:6" ht="13.5">
      <c r="A454" s="35">
        <v>20295</v>
      </c>
      <c r="B454" s="37" t="s">
        <v>881</v>
      </c>
      <c r="C454" s="37" t="s">
        <v>868</v>
      </c>
      <c r="D454" s="37" t="s">
        <v>622</v>
      </c>
      <c r="E454" s="37" t="s">
        <v>114</v>
      </c>
      <c r="F454" s="38" t="s">
        <v>344</v>
      </c>
    </row>
    <row r="455" spans="1:6" ht="13.5">
      <c r="A455" s="35">
        <v>20310</v>
      </c>
      <c r="B455" s="37" t="s">
        <v>882</v>
      </c>
      <c r="C455" s="37" t="s">
        <v>868</v>
      </c>
      <c r="D455" s="37" t="s">
        <v>622</v>
      </c>
      <c r="E455" s="37" t="s">
        <v>114</v>
      </c>
      <c r="F455" s="38" t="s">
        <v>344</v>
      </c>
    </row>
    <row r="456" spans="1:6" ht="13.5">
      <c r="A456" s="35">
        <v>20383</v>
      </c>
      <c r="B456" s="37" t="s">
        <v>883</v>
      </c>
      <c r="C456" s="37" t="s">
        <v>868</v>
      </c>
      <c r="D456" s="37" t="s">
        <v>622</v>
      </c>
      <c r="E456" s="37" t="s">
        <v>114</v>
      </c>
      <c r="F456" s="38" t="s">
        <v>344</v>
      </c>
    </row>
    <row r="457" spans="1:6" ht="13.5">
      <c r="A457" s="35">
        <v>20400</v>
      </c>
      <c r="B457" s="37" t="s">
        <v>884</v>
      </c>
      <c r="C457" s="37" t="s">
        <v>868</v>
      </c>
      <c r="D457" s="37" t="s">
        <v>622</v>
      </c>
      <c r="E457" s="37" t="s">
        <v>114</v>
      </c>
      <c r="F457" s="38" t="s">
        <v>202</v>
      </c>
    </row>
    <row r="458" spans="1:6" ht="13.5">
      <c r="A458" s="35">
        <v>20517</v>
      </c>
      <c r="B458" s="37" t="s">
        <v>885</v>
      </c>
      <c r="C458" s="37" t="s">
        <v>868</v>
      </c>
      <c r="D458" s="37" t="s">
        <v>622</v>
      </c>
      <c r="E458" s="37" t="s">
        <v>114</v>
      </c>
      <c r="F458" s="38" t="s">
        <v>344</v>
      </c>
    </row>
    <row r="459" spans="1:6" ht="13.5">
      <c r="A459" s="35">
        <v>20550</v>
      </c>
      <c r="B459" s="37" t="s">
        <v>886</v>
      </c>
      <c r="C459" s="37" t="s">
        <v>868</v>
      </c>
      <c r="D459" s="37" t="s">
        <v>622</v>
      </c>
      <c r="E459" s="37" t="s">
        <v>114</v>
      </c>
      <c r="F459" s="38" t="s">
        <v>344</v>
      </c>
    </row>
    <row r="460" spans="1:6" ht="13.5">
      <c r="A460" s="35">
        <v>20570</v>
      </c>
      <c r="B460" s="37" t="s">
        <v>887</v>
      </c>
      <c r="C460" s="37" t="s">
        <v>868</v>
      </c>
      <c r="D460" s="37" t="s">
        <v>622</v>
      </c>
      <c r="E460" s="37" t="s">
        <v>114</v>
      </c>
      <c r="F460" s="38" t="s">
        <v>202</v>
      </c>
    </row>
    <row r="461" spans="1:6" ht="13.5">
      <c r="A461" s="35">
        <v>20614</v>
      </c>
      <c r="B461" s="37" t="s">
        <v>888</v>
      </c>
      <c r="C461" s="37" t="s">
        <v>868</v>
      </c>
      <c r="D461" s="37" t="s">
        <v>622</v>
      </c>
      <c r="E461" s="37" t="s">
        <v>114</v>
      </c>
      <c r="F461" s="38" t="s">
        <v>344</v>
      </c>
    </row>
    <row r="462" spans="1:6" ht="13.5">
      <c r="A462" s="35">
        <v>20710</v>
      </c>
      <c r="B462" s="37" t="s">
        <v>889</v>
      </c>
      <c r="C462" s="37" t="s">
        <v>868</v>
      </c>
      <c r="D462" s="37" t="s">
        <v>171</v>
      </c>
      <c r="E462" s="37" t="s">
        <v>114</v>
      </c>
      <c r="F462" s="38" t="s">
        <v>202</v>
      </c>
    </row>
    <row r="463" spans="1:6" ht="13.5">
      <c r="A463" s="35">
        <v>20750</v>
      </c>
      <c r="B463" s="37" t="s">
        <v>890</v>
      </c>
      <c r="C463" s="37" t="s">
        <v>868</v>
      </c>
      <c r="D463" s="37" t="s">
        <v>622</v>
      </c>
      <c r="E463" s="37" t="s">
        <v>114</v>
      </c>
      <c r="F463" s="38" t="s">
        <v>148</v>
      </c>
    </row>
    <row r="464" spans="1:6" ht="13.5">
      <c r="A464" s="35">
        <v>20787</v>
      </c>
      <c r="B464" s="37" t="s">
        <v>891</v>
      </c>
      <c r="C464" s="37" t="s">
        <v>868</v>
      </c>
      <c r="D464" s="37" t="s">
        <v>622</v>
      </c>
      <c r="E464" s="37" t="s">
        <v>114</v>
      </c>
      <c r="F464" s="38" t="s">
        <v>344</v>
      </c>
    </row>
    <row r="465" spans="1:6" ht="13.5">
      <c r="A465" s="35">
        <v>20001</v>
      </c>
      <c r="B465" s="37" t="s">
        <v>622</v>
      </c>
      <c r="C465" s="37" t="s">
        <v>868</v>
      </c>
      <c r="D465" s="37" t="s">
        <v>622</v>
      </c>
      <c r="E465" s="37" t="s">
        <v>114</v>
      </c>
      <c r="F465" s="38" t="s">
        <v>113</v>
      </c>
    </row>
    <row r="466" spans="1:6" ht="13.5">
      <c r="A466" s="35">
        <v>27615</v>
      </c>
      <c r="B466" s="36" t="s">
        <v>779</v>
      </c>
      <c r="C466" s="37" t="s">
        <v>892</v>
      </c>
      <c r="D466" s="37" t="s">
        <v>502</v>
      </c>
      <c r="E466" s="37" t="s">
        <v>625</v>
      </c>
      <c r="F466" s="38" t="s">
        <v>462</v>
      </c>
    </row>
    <row r="467" spans="1:6" ht="13.5">
      <c r="A467" s="35">
        <v>27006</v>
      </c>
      <c r="B467" s="37" t="s">
        <v>893</v>
      </c>
      <c r="C467" s="37" t="s">
        <v>892</v>
      </c>
      <c r="D467" s="37" t="s">
        <v>502</v>
      </c>
      <c r="E467" s="37" t="s">
        <v>461</v>
      </c>
      <c r="F467" s="38" t="s">
        <v>462</v>
      </c>
    </row>
    <row r="468" spans="1:6" ht="13.5">
      <c r="A468" s="35">
        <v>27025</v>
      </c>
      <c r="B468" s="37" t="s">
        <v>894</v>
      </c>
      <c r="C468" s="37" t="s">
        <v>892</v>
      </c>
      <c r="D468" s="37" t="s">
        <v>100</v>
      </c>
      <c r="E468" s="37" t="s">
        <v>461</v>
      </c>
      <c r="F468" s="38" t="s">
        <v>462</v>
      </c>
    </row>
    <row r="469" spans="1:6" ht="13.5">
      <c r="A469" s="35">
        <v>27050</v>
      </c>
      <c r="B469" s="37" t="s">
        <v>895</v>
      </c>
      <c r="C469" s="37" t="s">
        <v>892</v>
      </c>
      <c r="D469" s="37" t="s">
        <v>502</v>
      </c>
      <c r="E469" s="37" t="s">
        <v>815</v>
      </c>
      <c r="F469" s="38" t="s">
        <v>462</v>
      </c>
    </row>
    <row r="470" spans="1:6" ht="13.5">
      <c r="A470" s="35">
        <v>27073</v>
      </c>
      <c r="B470" s="37" t="s">
        <v>896</v>
      </c>
      <c r="C470" s="37" t="s">
        <v>892</v>
      </c>
      <c r="D470" s="37" t="s">
        <v>100</v>
      </c>
      <c r="E470" s="37" t="s">
        <v>461</v>
      </c>
      <c r="F470" s="38" t="s">
        <v>462</v>
      </c>
    </row>
    <row r="471" spans="1:6" ht="13.5">
      <c r="A471" s="35">
        <v>27075</v>
      </c>
      <c r="B471" s="37" t="s">
        <v>897</v>
      </c>
      <c r="C471" s="37" t="s">
        <v>892</v>
      </c>
      <c r="D471" s="37" t="s">
        <v>100</v>
      </c>
      <c r="E471" s="37" t="s">
        <v>461</v>
      </c>
      <c r="F471" s="38" t="s">
        <v>462</v>
      </c>
    </row>
    <row r="472" spans="1:6" ht="13.5">
      <c r="A472" s="35">
        <v>27077</v>
      </c>
      <c r="B472" s="37" t="s">
        <v>898</v>
      </c>
      <c r="C472" s="37" t="s">
        <v>892</v>
      </c>
      <c r="D472" s="37" t="s">
        <v>502</v>
      </c>
      <c r="E472" s="37" t="s">
        <v>461</v>
      </c>
      <c r="F472" s="38" t="s">
        <v>462</v>
      </c>
    </row>
    <row r="473" spans="1:6" ht="13.5">
      <c r="A473" s="35">
        <v>27086</v>
      </c>
      <c r="B473" s="37" t="s">
        <v>899</v>
      </c>
      <c r="C473" s="37" t="s">
        <v>892</v>
      </c>
      <c r="D473" s="37" t="s">
        <v>502</v>
      </c>
      <c r="E473" s="37" t="s">
        <v>114</v>
      </c>
      <c r="F473" s="38" t="s">
        <v>344</v>
      </c>
    </row>
    <row r="474" spans="1:6" ht="13.5">
      <c r="A474" s="35">
        <v>27099</v>
      </c>
      <c r="B474" s="37" t="s">
        <v>900</v>
      </c>
      <c r="C474" s="37" t="s">
        <v>892</v>
      </c>
      <c r="D474" s="37" t="s">
        <v>100</v>
      </c>
      <c r="E474" s="37" t="s">
        <v>461</v>
      </c>
      <c r="F474" s="38" t="s">
        <v>462</v>
      </c>
    </row>
    <row r="475" spans="1:6" ht="13.5">
      <c r="A475" s="35">
        <v>27150</v>
      </c>
      <c r="B475" s="37" t="s">
        <v>901</v>
      </c>
      <c r="C475" s="37" t="s">
        <v>892</v>
      </c>
      <c r="D475" s="37" t="s">
        <v>502</v>
      </c>
      <c r="E475" s="37" t="s">
        <v>114</v>
      </c>
      <c r="F475" s="38" t="s">
        <v>344</v>
      </c>
    </row>
    <row r="476" spans="1:6" ht="13.5">
      <c r="A476" s="35">
        <v>27160</v>
      </c>
      <c r="B476" s="37" t="s">
        <v>902</v>
      </c>
      <c r="C476" s="37" t="s">
        <v>892</v>
      </c>
      <c r="D476" s="37" t="s">
        <v>502</v>
      </c>
      <c r="E476" s="37" t="s">
        <v>114</v>
      </c>
      <c r="F476" s="38" t="s">
        <v>344</v>
      </c>
    </row>
    <row r="477" spans="1:6" ht="13.5">
      <c r="A477" s="35">
        <v>27205</v>
      </c>
      <c r="B477" s="37" t="s">
        <v>903</v>
      </c>
      <c r="C477" s="37" t="s">
        <v>892</v>
      </c>
      <c r="D477" s="37" t="s">
        <v>100</v>
      </c>
      <c r="E477" s="37" t="s">
        <v>461</v>
      </c>
      <c r="F477" s="38" t="s">
        <v>462</v>
      </c>
    </row>
    <row r="478" spans="1:6" ht="13.5">
      <c r="A478" s="35">
        <v>27135</v>
      </c>
      <c r="B478" s="37" t="s">
        <v>904</v>
      </c>
      <c r="C478" s="37" t="s">
        <v>892</v>
      </c>
      <c r="D478" s="37" t="s">
        <v>502</v>
      </c>
      <c r="E478" s="37" t="s">
        <v>114</v>
      </c>
      <c r="F478" s="38" t="s">
        <v>344</v>
      </c>
    </row>
    <row r="479" spans="1:6" ht="13.5">
      <c r="A479" s="35">
        <v>27245</v>
      </c>
      <c r="B479" s="37" t="s">
        <v>905</v>
      </c>
      <c r="C479" s="37" t="s">
        <v>892</v>
      </c>
      <c r="D479" s="37" t="s">
        <v>100</v>
      </c>
      <c r="E479" s="37" t="s">
        <v>114</v>
      </c>
      <c r="F479" s="38" t="s">
        <v>344</v>
      </c>
    </row>
    <row r="480" spans="1:6" ht="13.5">
      <c r="A480" s="35">
        <v>27250</v>
      </c>
      <c r="B480" s="37" t="s">
        <v>906</v>
      </c>
      <c r="C480" s="37" t="s">
        <v>892</v>
      </c>
      <c r="D480" s="37" t="s">
        <v>132</v>
      </c>
      <c r="E480" s="37" t="s">
        <v>907</v>
      </c>
      <c r="F480" s="38" t="s">
        <v>462</v>
      </c>
    </row>
    <row r="481" spans="1:6" ht="13.5">
      <c r="A481" s="35">
        <v>27361</v>
      </c>
      <c r="B481" s="37" t="s">
        <v>908</v>
      </c>
      <c r="C481" s="37" t="s">
        <v>892</v>
      </c>
      <c r="D481" s="37" t="s">
        <v>100</v>
      </c>
      <c r="E481" s="37" t="s">
        <v>461</v>
      </c>
      <c r="F481" s="38" t="s">
        <v>462</v>
      </c>
    </row>
    <row r="482" spans="1:6" ht="13.5">
      <c r="A482" s="35">
        <v>27372</v>
      </c>
      <c r="B482" s="37" t="s">
        <v>909</v>
      </c>
      <c r="C482" s="37" t="s">
        <v>892</v>
      </c>
      <c r="D482" s="37" t="s">
        <v>502</v>
      </c>
      <c r="E482" s="37" t="s">
        <v>548</v>
      </c>
      <c r="F482" s="38" t="s">
        <v>462</v>
      </c>
    </row>
    <row r="483" spans="1:6" ht="13.5">
      <c r="A483" s="35">
        <v>27413</v>
      </c>
      <c r="B483" s="37" t="s">
        <v>910</v>
      </c>
      <c r="C483" s="37" t="s">
        <v>892</v>
      </c>
      <c r="D483" s="37" t="s">
        <v>502</v>
      </c>
      <c r="E483" s="37" t="s">
        <v>114</v>
      </c>
      <c r="F483" s="38" t="s">
        <v>344</v>
      </c>
    </row>
    <row r="484" spans="1:6" ht="13.5">
      <c r="A484" s="35">
        <v>27425</v>
      </c>
      <c r="B484" s="37" t="s">
        <v>911</v>
      </c>
      <c r="C484" s="37" t="s">
        <v>892</v>
      </c>
      <c r="D484" s="37" t="s">
        <v>502</v>
      </c>
      <c r="E484" s="37" t="s">
        <v>114</v>
      </c>
      <c r="F484" s="38" t="s">
        <v>344</v>
      </c>
    </row>
    <row r="485" spans="1:6" ht="13.5">
      <c r="A485" s="35">
        <v>27430</v>
      </c>
      <c r="B485" s="37" t="s">
        <v>912</v>
      </c>
      <c r="C485" s="37" t="s">
        <v>892</v>
      </c>
      <c r="D485" s="37" t="s">
        <v>502</v>
      </c>
      <c r="E485" s="37" t="s">
        <v>114</v>
      </c>
      <c r="F485" s="38" t="s">
        <v>344</v>
      </c>
    </row>
    <row r="486" spans="1:6" ht="13.5">
      <c r="A486" s="35">
        <v>27450</v>
      </c>
      <c r="B486" s="37" t="s">
        <v>913</v>
      </c>
      <c r="C486" s="37" t="s">
        <v>892</v>
      </c>
      <c r="D486" s="37" t="s">
        <v>502</v>
      </c>
      <c r="E486" s="37" t="s">
        <v>114</v>
      </c>
      <c r="F486" s="38" t="s">
        <v>344</v>
      </c>
    </row>
    <row r="487" spans="1:6" ht="13.5">
      <c r="A487" s="35">
        <v>27491</v>
      </c>
      <c r="B487" s="37" t="s">
        <v>914</v>
      </c>
      <c r="C487" s="37" t="s">
        <v>892</v>
      </c>
      <c r="D487" s="37" t="s">
        <v>100</v>
      </c>
      <c r="E487" s="37" t="s">
        <v>461</v>
      </c>
      <c r="F487" s="38" t="s">
        <v>462</v>
      </c>
    </row>
    <row r="488" spans="1:6" ht="13.5">
      <c r="A488" s="35">
        <v>27495</v>
      </c>
      <c r="B488" s="37" t="s">
        <v>915</v>
      </c>
      <c r="C488" s="37" t="s">
        <v>892</v>
      </c>
      <c r="D488" s="37" t="s">
        <v>100</v>
      </c>
      <c r="E488" s="37" t="s">
        <v>461</v>
      </c>
      <c r="F488" s="38" t="s">
        <v>462</v>
      </c>
    </row>
    <row r="489" spans="1:6" ht="13.5">
      <c r="A489" s="35">
        <v>27001</v>
      </c>
      <c r="B489" s="37" t="s">
        <v>916</v>
      </c>
      <c r="C489" s="37" t="s">
        <v>892</v>
      </c>
      <c r="D489" s="37" t="s">
        <v>100</v>
      </c>
      <c r="E489" s="37" t="s">
        <v>461</v>
      </c>
      <c r="F489" s="38" t="s">
        <v>462</v>
      </c>
    </row>
    <row r="490" spans="1:6" ht="13.5">
      <c r="A490" s="35">
        <v>27580</v>
      </c>
      <c r="B490" s="37" t="s">
        <v>917</v>
      </c>
      <c r="C490" s="37" t="s">
        <v>892</v>
      </c>
      <c r="D490" s="37" t="s">
        <v>502</v>
      </c>
      <c r="E490" s="37" t="s">
        <v>114</v>
      </c>
      <c r="F490" s="38" t="s">
        <v>344</v>
      </c>
    </row>
    <row r="491" spans="1:6" ht="13.5">
      <c r="A491" s="35">
        <v>27600</v>
      </c>
      <c r="B491" s="37" t="s">
        <v>918</v>
      </c>
      <c r="C491" s="37" t="s">
        <v>892</v>
      </c>
      <c r="D491" s="37" t="s">
        <v>100</v>
      </c>
      <c r="E491" s="37" t="s">
        <v>461</v>
      </c>
      <c r="F491" s="38" t="s">
        <v>462</v>
      </c>
    </row>
    <row r="492" spans="1:6" ht="13.5">
      <c r="A492" s="35">
        <v>27660</v>
      </c>
      <c r="B492" s="37" t="s">
        <v>919</v>
      </c>
      <c r="C492" s="37" t="s">
        <v>892</v>
      </c>
      <c r="D492" s="37" t="s">
        <v>124</v>
      </c>
      <c r="E492" s="37" t="s">
        <v>114</v>
      </c>
      <c r="F492" s="38" t="s">
        <v>344</v>
      </c>
    </row>
    <row r="493" spans="1:6" ht="13.5">
      <c r="A493" s="35">
        <v>27745</v>
      </c>
      <c r="B493" s="37" t="s">
        <v>920</v>
      </c>
      <c r="C493" s="37" t="s">
        <v>892</v>
      </c>
      <c r="D493" s="37" t="s">
        <v>100</v>
      </c>
      <c r="E493" s="37" t="s">
        <v>461</v>
      </c>
      <c r="F493" s="38" t="s">
        <v>462</v>
      </c>
    </row>
    <row r="494" spans="1:6" ht="13.5">
      <c r="A494" s="35">
        <v>27787</v>
      </c>
      <c r="B494" s="37" t="s">
        <v>921</v>
      </c>
      <c r="C494" s="37" t="s">
        <v>892</v>
      </c>
      <c r="D494" s="37" t="s">
        <v>100</v>
      </c>
      <c r="E494" s="37" t="s">
        <v>461</v>
      </c>
      <c r="F494" s="38" t="s">
        <v>462</v>
      </c>
    </row>
    <row r="495" spans="1:6" ht="13.5">
      <c r="A495" s="35">
        <v>27800</v>
      </c>
      <c r="B495" s="37" t="s">
        <v>922</v>
      </c>
      <c r="C495" s="37" t="s">
        <v>892</v>
      </c>
      <c r="D495" s="37" t="s">
        <v>502</v>
      </c>
      <c r="E495" s="37" t="s">
        <v>548</v>
      </c>
      <c r="F495" s="38" t="s">
        <v>462</v>
      </c>
    </row>
    <row r="496" spans="1:6" ht="13.5">
      <c r="A496" s="35">
        <v>27810</v>
      </c>
      <c r="B496" s="37" t="s">
        <v>923</v>
      </c>
      <c r="C496" s="37" t="s">
        <v>892</v>
      </c>
      <c r="D496" s="37" t="s">
        <v>502</v>
      </c>
      <c r="E496" s="37" t="s">
        <v>114</v>
      </c>
      <c r="F496" s="38" t="s">
        <v>344</v>
      </c>
    </row>
    <row r="497" spans="1:6" ht="13.5">
      <c r="A497" s="35">
        <v>23079</v>
      </c>
      <c r="B497" s="36" t="s">
        <v>667</v>
      </c>
      <c r="C497" s="37" t="s">
        <v>620</v>
      </c>
      <c r="D497" s="37" t="s">
        <v>504</v>
      </c>
      <c r="E497" s="37" t="s">
        <v>114</v>
      </c>
      <c r="F497" s="38" t="s">
        <v>148</v>
      </c>
    </row>
    <row r="498" spans="1:6" ht="13.5">
      <c r="A498" s="35">
        <v>23168</v>
      </c>
      <c r="B498" s="36" t="s">
        <v>924</v>
      </c>
      <c r="C498" s="37" t="s">
        <v>620</v>
      </c>
      <c r="D498" s="37" t="s">
        <v>504</v>
      </c>
      <c r="E498" s="37" t="s">
        <v>114</v>
      </c>
      <c r="F498" s="38" t="s">
        <v>202</v>
      </c>
    </row>
    <row r="499" spans="1:6" ht="13.5">
      <c r="A499" s="35">
        <v>23678</v>
      </c>
      <c r="B499" s="36" t="s">
        <v>485</v>
      </c>
      <c r="C499" s="37" t="s">
        <v>620</v>
      </c>
      <c r="D499" s="37" t="s">
        <v>504</v>
      </c>
      <c r="E499" s="37" t="s">
        <v>114</v>
      </c>
      <c r="F499" s="38" t="s">
        <v>148</v>
      </c>
    </row>
    <row r="500" spans="1:6" ht="13.5">
      <c r="A500" s="35">
        <v>23068</v>
      </c>
      <c r="B500" s="37" t="s">
        <v>925</v>
      </c>
      <c r="C500" s="37" t="s">
        <v>620</v>
      </c>
      <c r="D500" s="37" t="s">
        <v>504</v>
      </c>
      <c r="E500" s="37" t="s">
        <v>114</v>
      </c>
      <c r="F500" s="38" t="s">
        <v>202</v>
      </c>
    </row>
    <row r="501" spans="1:6" ht="13.5">
      <c r="A501" s="35">
        <v>23090</v>
      </c>
      <c r="B501" s="37" t="s">
        <v>926</v>
      </c>
      <c r="C501" s="37" t="s">
        <v>620</v>
      </c>
      <c r="D501" s="37" t="s">
        <v>504</v>
      </c>
      <c r="E501" s="37" t="s">
        <v>114</v>
      </c>
      <c r="F501" s="38" t="s">
        <v>148</v>
      </c>
    </row>
    <row r="502" spans="1:6" ht="13.5">
      <c r="A502" s="35">
        <v>23162</v>
      </c>
      <c r="B502" s="37" t="s">
        <v>927</v>
      </c>
      <c r="C502" s="37" t="s">
        <v>620</v>
      </c>
      <c r="D502" s="37" t="s">
        <v>504</v>
      </c>
      <c r="E502" s="37" t="s">
        <v>114</v>
      </c>
      <c r="F502" s="38" t="s">
        <v>113</v>
      </c>
    </row>
    <row r="503" spans="1:6" ht="13.5">
      <c r="A503" s="35">
        <v>23182</v>
      </c>
      <c r="B503" s="37" t="s">
        <v>928</v>
      </c>
      <c r="C503" s="37" t="s">
        <v>620</v>
      </c>
      <c r="D503" s="37" t="s">
        <v>504</v>
      </c>
      <c r="E503" s="37" t="s">
        <v>114</v>
      </c>
      <c r="F503" s="38" t="s">
        <v>148</v>
      </c>
    </row>
    <row r="504" spans="1:6" ht="13.5">
      <c r="A504" s="35">
        <v>23189</v>
      </c>
      <c r="B504" s="37" t="s">
        <v>929</v>
      </c>
      <c r="C504" s="37" t="s">
        <v>620</v>
      </c>
      <c r="D504" s="37" t="s">
        <v>504</v>
      </c>
      <c r="E504" s="37" t="s">
        <v>114</v>
      </c>
      <c r="F504" s="38" t="s">
        <v>148</v>
      </c>
    </row>
    <row r="505" spans="1:6" ht="13.5">
      <c r="A505" s="35">
        <v>23300</v>
      </c>
      <c r="B505" s="37" t="s">
        <v>930</v>
      </c>
      <c r="C505" s="37" t="s">
        <v>620</v>
      </c>
      <c r="D505" s="37" t="s">
        <v>504</v>
      </c>
      <c r="E505" s="37" t="s">
        <v>114</v>
      </c>
      <c r="F505" s="38" t="s">
        <v>148</v>
      </c>
    </row>
    <row r="506" spans="1:6" ht="13.5">
      <c r="A506" s="35">
        <v>23350</v>
      </c>
      <c r="B506" s="37" t="s">
        <v>931</v>
      </c>
      <c r="C506" s="37" t="s">
        <v>620</v>
      </c>
      <c r="D506" s="37" t="s">
        <v>504</v>
      </c>
      <c r="E506" s="37" t="s">
        <v>114</v>
      </c>
      <c r="F506" s="38" t="s">
        <v>148</v>
      </c>
    </row>
    <row r="507" spans="1:6" ht="13.5">
      <c r="A507" s="35">
        <v>23417</v>
      </c>
      <c r="B507" s="37" t="s">
        <v>932</v>
      </c>
      <c r="C507" s="37" t="s">
        <v>620</v>
      </c>
      <c r="D507" s="37" t="s">
        <v>504</v>
      </c>
      <c r="E507" s="37" t="s">
        <v>114</v>
      </c>
      <c r="F507" s="38" t="s">
        <v>148</v>
      </c>
    </row>
    <row r="508" spans="1:6" ht="13.5">
      <c r="A508" s="35">
        <v>23419</v>
      </c>
      <c r="B508" s="37" t="s">
        <v>933</v>
      </c>
      <c r="C508" s="37" t="s">
        <v>620</v>
      </c>
      <c r="D508" s="37" t="s">
        <v>504</v>
      </c>
      <c r="E508" s="37" t="s">
        <v>114</v>
      </c>
      <c r="F508" s="38" t="s">
        <v>148</v>
      </c>
    </row>
    <row r="509" spans="1:6" ht="13.5">
      <c r="A509" s="35">
        <v>23464</v>
      </c>
      <c r="B509" s="37" t="s">
        <v>934</v>
      </c>
      <c r="C509" s="37" t="s">
        <v>620</v>
      </c>
      <c r="D509" s="37" t="s">
        <v>504</v>
      </c>
      <c r="E509" s="37" t="s">
        <v>114</v>
      </c>
      <c r="F509" s="38" t="s">
        <v>148</v>
      </c>
    </row>
    <row r="510" spans="1:6" ht="13.5">
      <c r="A510" s="35">
        <v>23466</v>
      </c>
      <c r="B510" s="37" t="s">
        <v>935</v>
      </c>
      <c r="C510" s="37" t="s">
        <v>620</v>
      </c>
      <c r="D510" s="37" t="s">
        <v>504</v>
      </c>
      <c r="E510" s="37" t="s">
        <v>114</v>
      </c>
      <c r="F510" s="38" t="s">
        <v>344</v>
      </c>
    </row>
    <row r="511" spans="1:6" ht="13.5">
      <c r="A511" s="35">
        <v>23001</v>
      </c>
      <c r="B511" s="37" t="s">
        <v>504</v>
      </c>
      <c r="C511" s="37" t="s">
        <v>620</v>
      </c>
      <c r="D511" s="37" t="s">
        <v>504</v>
      </c>
      <c r="E511" s="37" t="s">
        <v>114</v>
      </c>
      <c r="F511" s="38" t="s">
        <v>113</v>
      </c>
    </row>
    <row r="512" spans="1:6" ht="13.5">
      <c r="A512" s="35">
        <v>23500</v>
      </c>
      <c r="B512" s="37" t="s">
        <v>936</v>
      </c>
      <c r="C512" s="37" t="s">
        <v>620</v>
      </c>
      <c r="D512" s="37" t="s">
        <v>504</v>
      </c>
      <c r="E512" s="37" t="s">
        <v>114</v>
      </c>
      <c r="F512" s="38" t="s">
        <v>202</v>
      </c>
    </row>
    <row r="513" spans="1:6" ht="13.5">
      <c r="A513" s="35">
        <v>23555</v>
      </c>
      <c r="B513" s="37" t="s">
        <v>937</v>
      </c>
      <c r="C513" s="37" t="s">
        <v>620</v>
      </c>
      <c r="D513" s="37" t="s">
        <v>504</v>
      </c>
      <c r="E513" s="37" t="s">
        <v>114</v>
      </c>
      <c r="F513" s="38" t="s">
        <v>148</v>
      </c>
    </row>
    <row r="514" spans="1:6" ht="13.5">
      <c r="A514" s="35">
        <v>23570</v>
      </c>
      <c r="B514" s="37" t="s">
        <v>938</v>
      </c>
      <c r="C514" s="37" t="s">
        <v>620</v>
      </c>
      <c r="D514" s="37" t="s">
        <v>504</v>
      </c>
      <c r="E514" s="37" t="s">
        <v>114</v>
      </c>
      <c r="F514" s="38" t="s">
        <v>148</v>
      </c>
    </row>
    <row r="515" spans="1:6" ht="13.5">
      <c r="A515" s="35">
        <v>23574</v>
      </c>
      <c r="B515" s="37" t="s">
        <v>939</v>
      </c>
      <c r="C515" s="37" t="s">
        <v>620</v>
      </c>
      <c r="D515" s="37" t="s">
        <v>504</v>
      </c>
      <c r="E515" s="37" t="s">
        <v>114</v>
      </c>
      <c r="F515" s="38" t="s">
        <v>202</v>
      </c>
    </row>
    <row r="516" spans="1:6" ht="13.5">
      <c r="A516" s="35">
        <v>23580</v>
      </c>
      <c r="B516" s="37" t="s">
        <v>940</v>
      </c>
      <c r="C516" s="37" t="s">
        <v>620</v>
      </c>
      <c r="D516" s="37" t="s">
        <v>504</v>
      </c>
      <c r="E516" s="37" t="s">
        <v>114</v>
      </c>
      <c r="F516" s="38" t="s">
        <v>344</v>
      </c>
    </row>
    <row r="517" spans="1:6" ht="13.5">
      <c r="A517" s="35">
        <v>23586</v>
      </c>
      <c r="B517" s="37" t="s">
        <v>941</v>
      </c>
      <c r="C517" s="37" t="s">
        <v>620</v>
      </c>
      <c r="D517" s="37" t="s">
        <v>504</v>
      </c>
      <c r="E517" s="37" t="s">
        <v>114</v>
      </c>
      <c r="F517" s="38" t="s">
        <v>148</v>
      </c>
    </row>
    <row r="518" spans="1:6" ht="13.5">
      <c r="A518" s="35">
        <v>23660</v>
      </c>
      <c r="B518" s="37" t="s">
        <v>942</v>
      </c>
      <c r="C518" s="37" t="s">
        <v>620</v>
      </c>
      <c r="D518" s="37" t="s">
        <v>504</v>
      </c>
      <c r="E518" s="37" t="s">
        <v>114</v>
      </c>
      <c r="F518" s="38" t="s">
        <v>148</v>
      </c>
    </row>
    <row r="519" spans="1:6" ht="13.5">
      <c r="A519" s="35">
        <v>23670</v>
      </c>
      <c r="B519" s="37" t="s">
        <v>943</v>
      </c>
      <c r="C519" s="37" t="s">
        <v>620</v>
      </c>
      <c r="D519" s="37" t="s">
        <v>504</v>
      </c>
      <c r="E519" s="37" t="s">
        <v>114</v>
      </c>
      <c r="F519" s="38" t="s">
        <v>148</v>
      </c>
    </row>
    <row r="520" spans="1:6" ht="13.5">
      <c r="A520" s="35">
        <v>23672</v>
      </c>
      <c r="B520" s="37" t="s">
        <v>944</v>
      </c>
      <c r="C520" s="37" t="s">
        <v>620</v>
      </c>
      <c r="D520" s="37" t="s">
        <v>504</v>
      </c>
      <c r="E520" s="37" t="s">
        <v>114</v>
      </c>
      <c r="F520" s="38" t="s">
        <v>148</v>
      </c>
    </row>
    <row r="521" spans="1:6" ht="13.5">
      <c r="A521" s="35">
        <v>23675</v>
      </c>
      <c r="B521" s="37" t="s">
        <v>945</v>
      </c>
      <c r="C521" s="37" t="s">
        <v>620</v>
      </c>
      <c r="D521" s="37" t="s">
        <v>504</v>
      </c>
      <c r="E521" s="37" t="s">
        <v>114</v>
      </c>
      <c r="F521" s="38" t="s">
        <v>148</v>
      </c>
    </row>
    <row r="522" spans="1:6" ht="13.5">
      <c r="A522" s="35">
        <v>23686</v>
      </c>
      <c r="B522" s="37" t="s">
        <v>946</v>
      </c>
      <c r="C522" s="37" t="s">
        <v>620</v>
      </c>
      <c r="D522" s="37" t="s">
        <v>504</v>
      </c>
      <c r="E522" s="37" t="s">
        <v>114</v>
      </c>
      <c r="F522" s="38" t="s">
        <v>148</v>
      </c>
    </row>
    <row r="523" spans="1:6" ht="13.5">
      <c r="A523" s="35">
        <v>23807</v>
      </c>
      <c r="B523" s="37" t="s">
        <v>947</v>
      </c>
      <c r="C523" s="37" t="s">
        <v>620</v>
      </c>
      <c r="D523" s="37" t="s">
        <v>504</v>
      </c>
      <c r="E523" s="37" t="s">
        <v>114</v>
      </c>
      <c r="F523" s="38" t="s">
        <v>202</v>
      </c>
    </row>
    <row r="524" spans="1:6" ht="13.5">
      <c r="A524" s="35">
        <v>23855</v>
      </c>
      <c r="B524" s="37" t="s">
        <v>948</v>
      </c>
      <c r="C524" s="37" t="s">
        <v>620</v>
      </c>
      <c r="D524" s="37" t="s">
        <v>504</v>
      </c>
      <c r="E524" s="37" t="s">
        <v>114</v>
      </c>
      <c r="F524" s="38" t="s">
        <v>202</v>
      </c>
    </row>
    <row r="525" spans="1:6" ht="13.5">
      <c r="A525" s="35">
        <v>25019</v>
      </c>
      <c r="B525" s="36" t="s">
        <v>949</v>
      </c>
      <c r="C525" s="37" t="s">
        <v>118</v>
      </c>
      <c r="D525" s="37" t="s">
        <v>116</v>
      </c>
      <c r="E525" s="37" t="s">
        <v>114</v>
      </c>
      <c r="F525" s="38" t="s">
        <v>148</v>
      </c>
    </row>
    <row r="526" spans="1:6" ht="13.5">
      <c r="A526" s="35">
        <v>25120</v>
      </c>
      <c r="B526" s="36" t="s">
        <v>950</v>
      </c>
      <c r="C526" s="37" t="s">
        <v>118</v>
      </c>
      <c r="D526" s="37" t="s">
        <v>116</v>
      </c>
      <c r="E526" s="37" t="s">
        <v>114</v>
      </c>
      <c r="F526" s="38" t="s">
        <v>202</v>
      </c>
    </row>
    <row r="527" spans="1:6" ht="13.5">
      <c r="A527" s="35">
        <v>25258</v>
      </c>
      <c r="B527" s="36" t="s">
        <v>621</v>
      </c>
      <c r="C527" s="37" t="s">
        <v>118</v>
      </c>
      <c r="D527" s="37" t="s">
        <v>116</v>
      </c>
      <c r="E527" s="37" t="s">
        <v>114</v>
      </c>
      <c r="F527" s="38" t="s">
        <v>202</v>
      </c>
    </row>
    <row r="528" spans="1:6" ht="13.5">
      <c r="A528" s="35">
        <v>25312</v>
      </c>
      <c r="B528" s="36" t="s">
        <v>480</v>
      </c>
      <c r="C528" s="37" t="s">
        <v>118</v>
      </c>
      <c r="D528" s="37" t="s">
        <v>116</v>
      </c>
      <c r="E528" s="37" t="s">
        <v>114</v>
      </c>
      <c r="F528" s="38" t="s">
        <v>148</v>
      </c>
    </row>
    <row r="529" spans="1:6" ht="13.5">
      <c r="A529" s="35">
        <v>25402</v>
      </c>
      <c r="B529" s="36" t="s">
        <v>834</v>
      </c>
      <c r="C529" s="37" t="s">
        <v>118</v>
      </c>
      <c r="D529" s="37" t="s">
        <v>116</v>
      </c>
      <c r="E529" s="37" t="s">
        <v>114</v>
      </c>
      <c r="F529" s="38" t="s">
        <v>148</v>
      </c>
    </row>
    <row r="530" spans="1:6" ht="13.5">
      <c r="A530" s="35">
        <v>25473</v>
      </c>
      <c r="B530" s="36" t="s">
        <v>951</v>
      </c>
      <c r="C530" s="37" t="s">
        <v>118</v>
      </c>
      <c r="D530" s="37" t="s">
        <v>116</v>
      </c>
      <c r="E530" s="37" t="s">
        <v>114</v>
      </c>
      <c r="F530" s="38" t="s">
        <v>113</v>
      </c>
    </row>
    <row r="531" spans="1:6" ht="13.5">
      <c r="A531" s="35">
        <v>25483</v>
      </c>
      <c r="B531" s="36" t="s">
        <v>377</v>
      </c>
      <c r="C531" s="37" t="s">
        <v>118</v>
      </c>
      <c r="D531" s="37" t="s">
        <v>116</v>
      </c>
      <c r="E531" s="37" t="s">
        <v>114</v>
      </c>
      <c r="F531" s="38" t="s">
        <v>202</v>
      </c>
    </row>
    <row r="532" spans="1:6" ht="13.5">
      <c r="A532" s="35">
        <v>25612</v>
      </c>
      <c r="B532" s="36" t="s">
        <v>952</v>
      </c>
      <c r="C532" s="37" t="s">
        <v>118</v>
      </c>
      <c r="D532" s="37" t="s">
        <v>116</v>
      </c>
      <c r="E532" s="37" t="s">
        <v>114</v>
      </c>
      <c r="F532" s="38" t="s">
        <v>202</v>
      </c>
    </row>
    <row r="533" spans="1:6" ht="13.5">
      <c r="A533" s="35">
        <v>25649</v>
      </c>
      <c r="B533" s="36" t="s">
        <v>953</v>
      </c>
      <c r="C533" s="37" t="s">
        <v>118</v>
      </c>
      <c r="D533" s="37" t="s">
        <v>116</v>
      </c>
      <c r="E533" s="37" t="s">
        <v>114</v>
      </c>
      <c r="F533" s="38" t="s">
        <v>202</v>
      </c>
    </row>
    <row r="534" spans="1:6" ht="13.5">
      <c r="A534" s="35">
        <v>25653</v>
      </c>
      <c r="B534" s="36" t="s">
        <v>954</v>
      </c>
      <c r="C534" s="37" t="s">
        <v>118</v>
      </c>
      <c r="D534" s="37" t="s">
        <v>116</v>
      </c>
      <c r="E534" s="37" t="s">
        <v>114</v>
      </c>
      <c r="F534" s="38" t="s">
        <v>202</v>
      </c>
    </row>
    <row r="535" spans="1:6" ht="13.5">
      <c r="A535" s="35">
        <v>25658</v>
      </c>
      <c r="B535" s="36" t="s">
        <v>486</v>
      </c>
      <c r="C535" s="37" t="s">
        <v>118</v>
      </c>
      <c r="D535" s="37" t="s">
        <v>116</v>
      </c>
      <c r="E535" s="37" t="s">
        <v>114</v>
      </c>
      <c r="F535" s="38" t="s">
        <v>148</v>
      </c>
    </row>
    <row r="536" spans="1:6" ht="13.5">
      <c r="A536" s="35">
        <v>25506</v>
      </c>
      <c r="B536" s="36" t="s">
        <v>492</v>
      </c>
      <c r="C536" s="37" t="s">
        <v>118</v>
      </c>
      <c r="D536" s="37" t="s">
        <v>116</v>
      </c>
      <c r="E536" s="37" t="s">
        <v>114</v>
      </c>
      <c r="F536" s="38" t="s">
        <v>202</v>
      </c>
    </row>
    <row r="537" spans="1:6" ht="13.5">
      <c r="A537" s="35">
        <v>25001</v>
      </c>
      <c r="B537" s="37" t="s">
        <v>955</v>
      </c>
      <c r="C537" s="37" t="s">
        <v>118</v>
      </c>
      <c r="D537" s="37" t="s">
        <v>116</v>
      </c>
      <c r="E537" s="37" t="s">
        <v>114</v>
      </c>
      <c r="F537" s="38" t="s">
        <v>202</v>
      </c>
    </row>
    <row r="538" spans="1:6" ht="13.5">
      <c r="A538" s="35">
        <v>25035</v>
      </c>
      <c r="B538" s="37" t="s">
        <v>956</v>
      </c>
      <c r="C538" s="37" t="s">
        <v>118</v>
      </c>
      <c r="D538" s="37" t="s">
        <v>116</v>
      </c>
      <c r="E538" s="37" t="s">
        <v>114</v>
      </c>
      <c r="F538" s="38" t="s">
        <v>148</v>
      </c>
    </row>
    <row r="539" spans="1:6" ht="13.5">
      <c r="A539" s="35">
        <v>25040</v>
      </c>
      <c r="B539" s="37" t="s">
        <v>957</v>
      </c>
      <c r="C539" s="37" t="s">
        <v>118</v>
      </c>
      <c r="D539" s="37" t="s">
        <v>116</v>
      </c>
      <c r="E539" s="37" t="s">
        <v>114</v>
      </c>
      <c r="F539" s="38" t="s">
        <v>148</v>
      </c>
    </row>
    <row r="540" spans="1:6" ht="13.5">
      <c r="A540" s="35">
        <v>25599</v>
      </c>
      <c r="B540" s="37" t="s">
        <v>958</v>
      </c>
      <c r="C540" s="37" t="s">
        <v>118</v>
      </c>
      <c r="D540" s="37" t="s">
        <v>116</v>
      </c>
      <c r="E540" s="37" t="s">
        <v>114</v>
      </c>
      <c r="F540" s="38" t="s">
        <v>202</v>
      </c>
    </row>
    <row r="541" spans="1:6" ht="13.5">
      <c r="A541" s="35">
        <v>25053</v>
      </c>
      <c r="B541" s="37" t="s">
        <v>959</v>
      </c>
      <c r="C541" s="37" t="s">
        <v>118</v>
      </c>
      <c r="D541" s="37" t="s">
        <v>116</v>
      </c>
      <c r="E541" s="37" t="s">
        <v>114</v>
      </c>
      <c r="F541" s="38" t="s">
        <v>148</v>
      </c>
    </row>
    <row r="542" spans="1:6" ht="13.5">
      <c r="A542" s="35">
        <v>25086</v>
      </c>
      <c r="B542" s="37" t="s">
        <v>960</v>
      </c>
      <c r="C542" s="37" t="s">
        <v>118</v>
      </c>
      <c r="D542" s="37" t="s">
        <v>116</v>
      </c>
      <c r="E542" s="37" t="s">
        <v>114</v>
      </c>
      <c r="F542" s="38" t="s">
        <v>202</v>
      </c>
    </row>
    <row r="543" spans="1:6" ht="13.5">
      <c r="A543" s="35">
        <v>25095</v>
      </c>
      <c r="B543" s="37" t="s">
        <v>961</v>
      </c>
      <c r="C543" s="37" t="s">
        <v>118</v>
      </c>
      <c r="D543" s="37" t="s">
        <v>116</v>
      </c>
      <c r="E543" s="37" t="s">
        <v>114</v>
      </c>
      <c r="F543" s="38" t="s">
        <v>202</v>
      </c>
    </row>
    <row r="544" spans="1:6" ht="13.5">
      <c r="A544" s="35">
        <v>11001</v>
      </c>
      <c r="B544" s="37" t="s">
        <v>116</v>
      </c>
      <c r="C544" s="37" t="s">
        <v>118</v>
      </c>
      <c r="D544" s="37" t="s">
        <v>116</v>
      </c>
      <c r="E544" s="37" t="s">
        <v>114</v>
      </c>
      <c r="F544" s="38" t="s">
        <v>113</v>
      </c>
    </row>
    <row r="545" spans="1:6" ht="13.5">
      <c r="A545" s="35">
        <v>25099</v>
      </c>
      <c r="B545" s="37" t="s">
        <v>962</v>
      </c>
      <c r="C545" s="37" t="s">
        <v>118</v>
      </c>
      <c r="D545" s="37" t="s">
        <v>116</v>
      </c>
      <c r="E545" s="37" t="s">
        <v>114</v>
      </c>
      <c r="F545" s="38" t="s">
        <v>148</v>
      </c>
    </row>
    <row r="546" spans="1:6" ht="13.5">
      <c r="A546" s="35">
        <v>25123</v>
      </c>
      <c r="B546" s="37" t="s">
        <v>963</v>
      </c>
      <c r="C546" s="37" t="s">
        <v>118</v>
      </c>
      <c r="D546" s="37" t="s">
        <v>116</v>
      </c>
      <c r="E546" s="37" t="s">
        <v>114</v>
      </c>
      <c r="F546" s="38" t="s">
        <v>148</v>
      </c>
    </row>
    <row r="547" spans="1:6" ht="13.5">
      <c r="A547" s="35">
        <v>25126</v>
      </c>
      <c r="B547" s="37" t="s">
        <v>964</v>
      </c>
      <c r="C547" s="37" t="s">
        <v>118</v>
      </c>
      <c r="D547" s="37" t="s">
        <v>116</v>
      </c>
      <c r="E547" s="37" t="s">
        <v>114</v>
      </c>
      <c r="F547" s="38" t="s">
        <v>148</v>
      </c>
    </row>
    <row r="548" spans="1:6" ht="13.5">
      <c r="A548" s="35">
        <v>25148</v>
      </c>
      <c r="B548" s="37" t="s">
        <v>965</v>
      </c>
      <c r="C548" s="37" t="s">
        <v>118</v>
      </c>
      <c r="D548" s="37" t="s">
        <v>116</v>
      </c>
      <c r="E548" s="37" t="s">
        <v>114</v>
      </c>
      <c r="F548" s="38" t="s">
        <v>202</v>
      </c>
    </row>
    <row r="549" spans="1:6" ht="13.5">
      <c r="A549" s="35">
        <v>25151</v>
      </c>
      <c r="B549" s="37" t="s">
        <v>966</v>
      </c>
      <c r="C549" s="37" t="s">
        <v>118</v>
      </c>
      <c r="D549" s="37" t="s">
        <v>116</v>
      </c>
      <c r="E549" s="37" t="s">
        <v>114</v>
      </c>
      <c r="F549" s="38" t="s">
        <v>148</v>
      </c>
    </row>
    <row r="550" spans="1:6" ht="13.5">
      <c r="A550" s="35">
        <v>25154</v>
      </c>
      <c r="B550" s="37" t="s">
        <v>967</v>
      </c>
      <c r="C550" s="37" t="s">
        <v>118</v>
      </c>
      <c r="D550" s="37" t="s">
        <v>116</v>
      </c>
      <c r="E550" s="37" t="s">
        <v>114</v>
      </c>
      <c r="F550" s="38" t="s">
        <v>202</v>
      </c>
    </row>
    <row r="551" spans="1:6" ht="13.5">
      <c r="A551" s="35">
        <v>25168</v>
      </c>
      <c r="B551" s="37" t="s">
        <v>968</v>
      </c>
      <c r="C551" s="37" t="s">
        <v>118</v>
      </c>
      <c r="D551" s="37" t="s">
        <v>116</v>
      </c>
      <c r="E551" s="37" t="s">
        <v>114</v>
      </c>
      <c r="F551" s="38" t="s">
        <v>202</v>
      </c>
    </row>
    <row r="552" spans="1:6" ht="13.5">
      <c r="A552" s="35">
        <v>25175</v>
      </c>
      <c r="B552" s="37" t="s">
        <v>969</v>
      </c>
      <c r="C552" s="37" t="s">
        <v>118</v>
      </c>
      <c r="D552" s="37" t="s">
        <v>116</v>
      </c>
      <c r="E552" s="37" t="s">
        <v>114</v>
      </c>
      <c r="F552" s="38" t="s">
        <v>148</v>
      </c>
    </row>
    <row r="553" spans="1:6" ht="13.5">
      <c r="A553" s="35">
        <v>25178</v>
      </c>
      <c r="B553" s="37" t="s">
        <v>970</v>
      </c>
      <c r="C553" s="37" t="s">
        <v>118</v>
      </c>
      <c r="D553" s="37" t="s">
        <v>116</v>
      </c>
      <c r="E553" s="37" t="s">
        <v>114</v>
      </c>
      <c r="F553" s="38" t="s">
        <v>148</v>
      </c>
    </row>
    <row r="554" spans="1:6" ht="13.5">
      <c r="A554" s="35">
        <v>25181</v>
      </c>
      <c r="B554" s="37" t="s">
        <v>971</v>
      </c>
      <c r="C554" s="37" t="s">
        <v>118</v>
      </c>
      <c r="D554" s="37" t="s">
        <v>116</v>
      </c>
      <c r="E554" s="37" t="s">
        <v>114</v>
      </c>
      <c r="F554" s="38" t="s">
        <v>148</v>
      </c>
    </row>
    <row r="555" spans="1:6" ht="13.5">
      <c r="A555" s="35">
        <v>25183</v>
      </c>
      <c r="B555" s="37" t="s">
        <v>972</v>
      </c>
      <c r="C555" s="37" t="s">
        <v>118</v>
      </c>
      <c r="D555" s="37" t="s">
        <v>140</v>
      </c>
      <c r="E555" s="37" t="s">
        <v>114</v>
      </c>
      <c r="F555" s="38" t="s">
        <v>148</v>
      </c>
    </row>
    <row r="556" spans="1:6" ht="13.5">
      <c r="A556" s="35">
        <v>25200</v>
      </c>
      <c r="B556" s="37" t="s">
        <v>973</v>
      </c>
      <c r="C556" s="37" t="s">
        <v>118</v>
      </c>
      <c r="D556" s="37" t="s">
        <v>116</v>
      </c>
      <c r="E556" s="37" t="s">
        <v>114</v>
      </c>
      <c r="F556" s="38" t="s">
        <v>148</v>
      </c>
    </row>
    <row r="557" spans="1:6" ht="13.5">
      <c r="A557" s="35">
        <v>25214</v>
      </c>
      <c r="B557" s="37" t="s">
        <v>974</v>
      </c>
      <c r="C557" s="37" t="s">
        <v>118</v>
      </c>
      <c r="D557" s="37" t="s">
        <v>116</v>
      </c>
      <c r="E557" s="37" t="s">
        <v>114</v>
      </c>
      <c r="F557" s="38" t="s">
        <v>148</v>
      </c>
    </row>
    <row r="558" spans="1:6" ht="13.5">
      <c r="A558" s="35">
        <v>25224</v>
      </c>
      <c r="B558" s="37" t="s">
        <v>975</v>
      </c>
      <c r="C558" s="37" t="s">
        <v>118</v>
      </c>
      <c r="D558" s="37" t="s">
        <v>116</v>
      </c>
      <c r="E558" s="37" t="s">
        <v>114</v>
      </c>
      <c r="F558" s="38" t="s">
        <v>202</v>
      </c>
    </row>
    <row r="559" spans="1:6" ht="13.5">
      <c r="A559" s="35">
        <v>25245</v>
      </c>
      <c r="B559" s="37" t="s">
        <v>976</v>
      </c>
      <c r="C559" s="37" t="s">
        <v>118</v>
      </c>
      <c r="D559" s="37" t="s">
        <v>116</v>
      </c>
      <c r="E559" s="37" t="s">
        <v>114</v>
      </c>
      <c r="F559" s="38" t="s">
        <v>148</v>
      </c>
    </row>
    <row r="560" spans="1:6" ht="13.5">
      <c r="A560" s="35">
        <v>25260</v>
      </c>
      <c r="B560" s="37" t="s">
        <v>977</v>
      </c>
      <c r="C560" s="37" t="s">
        <v>118</v>
      </c>
      <c r="D560" s="37" t="s">
        <v>116</v>
      </c>
      <c r="E560" s="37" t="s">
        <v>114</v>
      </c>
      <c r="F560" s="38" t="s">
        <v>148</v>
      </c>
    </row>
    <row r="561" spans="1:6" ht="13.5">
      <c r="A561" s="35">
        <v>25269</v>
      </c>
      <c r="B561" s="37" t="s">
        <v>978</v>
      </c>
      <c r="C561" s="37" t="s">
        <v>118</v>
      </c>
      <c r="D561" s="37" t="s">
        <v>116</v>
      </c>
      <c r="E561" s="37" t="s">
        <v>114</v>
      </c>
      <c r="F561" s="38" t="s">
        <v>148</v>
      </c>
    </row>
    <row r="562" spans="1:6" ht="13.5">
      <c r="A562" s="35">
        <v>25279</v>
      </c>
      <c r="B562" s="37" t="s">
        <v>979</v>
      </c>
      <c r="C562" s="37" t="s">
        <v>118</v>
      </c>
      <c r="D562" s="37" t="s">
        <v>116</v>
      </c>
      <c r="E562" s="37" t="s">
        <v>114</v>
      </c>
      <c r="F562" s="38" t="s">
        <v>148</v>
      </c>
    </row>
    <row r="563" spans="1:6" ht="13.5">
      <c r="A563" s="35">
        <v>25281</v>
      </c>
      <c r="B563" s="37" t="s">
        <v>980</v>
      </c>
      <c r="C563" s="37" t="s">
        <v>118</v>
      </c>
      <c r="D563" s="37" t="s">
        <v>116</v>
      </c>
      <c r="E563" s="37" t="s">
        <v>114</v>
      </c>
      <c r="F563" s="38" t="s">
        <v>148</v>
      </c>
    </row>
    <row r="564" spans="1:6" ht="13.5">
      <c r="A564" s="35">
        <v>25286</v>
      </c>
      <c r="B564" s="37" t="s">
        <v>981</v>
      </c>
      <c r="C564" s="37" t="s">
        <v>118</v>
      </c>
      <c r="D564" s="37" t="s">
        <v>116</v>
      </c>
      <c r="E564" s="37" t="s">
        <v>114</v>
      </c>
      <c r="F564" s="38" t="s">
        <v>148</v>
      </c>
    </row>
    <row r="565" spans="1:6" ht="13.5">
      <c r="A565" s="35">
        <v>25288</v>
      </c>
      <c r="B565" s="37" t="s">
        <v>982</v>
      </c>
      <c r="C565" s="37" t="s">
        <v>118</v>
      </c>
      <c r="D565" s="37" t="s">
        <v>116</v>
      </c>
      <c r="E565" s="37" t="s">
        <v>114</v>
      </c>
      <c r="F565" s="38" t="s">
        <v>202</v>
      </c>
    </row>
    <row r="566" spans="1:6" ht="13.5">
      <c r="A566" s="35">
        <v>25290</v>
      </c>
      <c r="B566" s="37" t="s">
        <v>983</v>
      </c>
      <c r="C566" s="37" t="s">
        <v>118</v>
      </c>
      <c r="D566" s="37" t="s">
        <v>116</v>
      </c>
      <c r="E566" s="37" t="s">
        <v>114</v>
      </c>
      <c r="F566" s="38" t="s">
        <v>148</v>
      </c>
    </row>
    <row r="567" spans="1:6" ht="13.5">
      <c r="A567" s="35">
        <v>25293</v>
      </c>
      <c r="B567" s="37" t="s">
        <v>984</v>
      </c>
      <c r="C567" s="37" t="s">
        <v>118</v>
      </c>
      <c r="D567" s="37" t="s">
        <v>116</v>
      </c>
      <c r="E567" s="37" t="s">
        <v>114</v>
      </c>
      <c r="F567" s="38" t="s">
        <v>202</v>
      </c>
    </row>
    <row r="568" spans="1:6" ht="13.5">
      <c r="A568" s="35">
        <v>25295</v>
      </c>
      <c r="B568" s="37" t="s">
        <v>985</v>
      </c>
      <c r="C568" s="37" t="s">
        <v>118</v>
      </c>
      <c r="D568" s="37" t="s">
        <v>116</v>
      </c>
      <c r="E568" s="37" t="s">
        <v>114</v>
      </c>
      <c r="F568" s="38" t="s">
        <v>148</v>
      </c>
    </row>
    <row r="569" spans="1:6" ht="13.5">
      <c r="A569" s="35">
        <v>25297</v>
      </c>
      <c r="B569" s="37" t="s">
        <v>986</v>
      </c>
      <c r="C569" s="37" t="s">
        <v>118</v>
      </c>
      <c r="D569" s="37" t="s">
        <v>116</v>
      </c>
      <c r="E569" s="37" t="s">
        <v>114</v>
      </c>
      <c r="F569" s="38" t="s">
        <v>202</v>
      </c>
    </row>
    <row r="570" spans="1:6" ht="13.5">
      <c r="A570" s="35">
        <v>25299</v>
      </c>
      <c r="B570" s="37" t="s">
        <v>987</v>
      </c>
      <c r="C570" s="37" t="s">
        <v>118</v>
      </c>
      <c r="D570" s="37" t="s">
        <v>116</v>
      </c>
      <c r="E570" s="37" t="s">
        <v>114</v>
      </c>
      <c r="F570" s="38" t="s">
        <v>202</v>
      </c>
    </row>
    <row r="571" spans="1:6" ht="13.5">
      <c r="A571" s="35">
        <v>25307</v>
      </c>
      <c r="B571" s="37" t="s">
        <v>988</v>
      </c>
      <c r="C571" s="37" t="s">
        <v>118</v>
      </c>
      <c r="D571" s="37" t="s">
        <v>116</v>
      </c>
      <c r="E571" s="37" t="s">
        <v>114</v>
      </c>
      <c r="F571" s="38" t="s">
        <v>202</v>
      </c>
    </row>
    <row r="572" spans="1:6" ht="13.5">
      <c r="A572" s="35">
        <v>25317</v>
      </c>
      <c r="B572" s="37" t="s">
        <v>989</v>
      </c>
      <c r="C572" s="37" t="s">
        <v>118</v>
      </c>
      <c r="D572" s="37" t="s">
        <v>116</v>
      </c>
      <c r="E572" s="37" t="s">
        <v>114</v>
      </c>
      <c r="F572" s="38" t="s">
        <v>202</v>
      </c>
    </row>
    <row r="573" spans="1:6" ht="13.5">
      <c r="A573" s="35">
        <v>25320</v>
      </c>
      <c r="B573" s="37" t="s">
        <v>990</v>
      </c>
      <c r="C573" s="37" t="s">
        <v>118</v>
      </c>
      <c r="D573" s="37" t="s">
        <v>116</v>
      </c>
      <c r="E573" s="37" t="s">
        <v>114</v>
      </c>
      <c r="F573" s="38" t="s">
        <v>202</v>
      </c>
    </row>
    <row r="574" spans="1:6" ht="13.5">
      <c r="A574" s="35">
        <v>25322</v>
      </c>
      <c r="B574" s="37" t="s">
        <v>991</v>
      </c>
      <c r="C574" s="37" t="s">
        <v>118</v>
      </c>
      <c r="D574" s="37" t="s">
        <v>116</v>
      </c>
      <c r="E574" s="37" t="s">
        <v>114</v>
      </c>
      <c r="F574" s="38" t="s">
        <v>148</v>
      </c>
    </row>
    <row r="575" spans="1:6" ht="13.5">
      <c r="A575" s="35">
        <v>25324</v>
      </c>
      <c r="B575" s="37" t="s">
        <v>992</v>
      </c>
      <c r="C575" s="37" t="s">
        <v>118</v>
      </c>
      <c r="D575" s="37" t="s">
        <v>157</v>
      </c>
      <c r="E575" s="37" t="s">
        <v>114</v>
      </c>
      <c r="F575" s="38" t="s">
        <v>202</v>
      </c>
    </row>
    <row r="576" spans="1:6" ht="13.5">
      <c r="A576" s="35">
        <v>25326</v>
      </c>
      <c r="B576" s="37" t="s">
        <v>993</v>
      </c>
      <c r="C576" s="37" t="s">
        <v>118</v>
      </c>
      <c r="D576" s="37" t="s">
        <v>116</v>
      </c>
      <c r="E576" s="37" t="s">
        <v>114</v>
      </c>
      <c r="F576" s="38" t="s">
        <v>148</v>
      </c>
    </row>
    <row r="577" spans="1:6" ht="13.5">
      <c r="A577" s="35">
        <v>25328</v>
      </c>
      <c r="B577" s="37" t="s">
        <v>994</v>
      </c>
      <c r="C577" s="37" t="s">
        <v>118</v>
      </c>
      <c r="D577" s="37" t="s">
        <v>116</v>
      </c>
      <c r="E577" s="37" t="s">
        <v>114</v>
      </c>
      <c r="F577" s="38" t="s">
        <v>202</v>
      </c>
    </row>
    <row r="578" spans="1:6" ht="13.5">
      <c r="A578" s="35">
        <v>25335</v>
      </c>
      <c r="B578" s="37" t="s">
        <v>995</v>
      </c>
      <c r="C578" s="37" t="s">
        <v>118</v>
      </c>
      <c r="D578" s="37" t="s">
        <v>322</v>
      </c>
      <c r="E578" s="37" t="s">
        <v>114</v>
      </c>
      <c r="F578" s="38" t="s">
        <v>148</v>
      </c>
    </row>
    <row r="579" spans="1:6" ht="13.5">
      <c r="A579" s="35">
        <v>25339</v>
      </c>
      <c r="B579" s="37" t="s">
        <v>996</v>
      </c>
      <c r="C579" s="37" t="s">
        <v>118</v>
      </c>
      <c r="D579" s="37" t="s">
        <v>116</v>
      </c>
      <c r="E579" s="37" t="s">
        <v>114</v>
      </c>
      <c r="F579" s="38" t="s">
        <v>202</v>
      </c>
    </row>
    <row r="580" spans="1:6" ht="13.5">
      <c r="A580" s="35">
        <v>25368</v>
      </c>
      <c r="B580" s="37" t="s">
        <v>997</v>
      </c>
      <c r="C580" s="37" t="s">
        <v>118</v>
      </c>
      <c r="D580" s="37" t="s">
        <v>116</v>
      </c>
      <c r="E580" s="37" t="s">
        <v>114</v>
      </c>
      <c r="F580" s="38" t="s">
        <v>202</v>
      </c>
    </row>
    <row r="581" spans="1:6" ht="13.5">
      <c r="A581" s="35">
        <v>25372</v>
      </c>
      <c r="B581" s="37" t="s">
        <v>998</v>
      </c>
      <c r="C581" s="37" t="s">
        <v>118</v>
      </c>
      <c r="D581" s="37" t="s">
        <v>116</v>
      </c>
      <c r="E581" s="37" t="s">
        <v>114</v>
      </c>
      <c r="F581" s="38" t="s">
        <v>202</v>
      </c>
    </row>
    <row r="582" spans="1:6" ht="13.5">
      <c r="A582" s="35">
        <v>25377</v>
      </c>
      <c r="B582" s="37" t="s">
        <v>999</v>
      </c>
      <c r="C582" s="37" t="s">
        <v>118</v>
      </c>
      <c r="D582" s="37" t="s">
        <v>116</v>
      </c>
      <c r="E582" s="37" t="s">
        <v>114</v>
      </c>
      <c r="F582" s="38" t="s">
        <v>148</v>
      </c>
    </row>
    <row r="583" spans="1:6" ht="13.5">
      <c r="A583" s="35">
        <v>25386</v>
      </c>
      <c r="B583" s="37" t="s">
        <v>1000</v>
      </c>
      <c r="C583" s="37" t="s">
        <v>118</v>
      </c>
      <c r="D583" s="37" t="s">
        <v>116</v>
      </c>
      <c r="E583" s="37" t="s">
        <v>114</v>
      </c>
      <c r="F583" s="38" t="s">
        <v>148</v>
      </c>
    </row>
    <row r="584" spans="1:6" ht="13.5">
      <c r="A584" s="35">
        <v>25394</v>
      </c>
      <c r="B584" s="37" t="s">
        <v>1001</v>
      </c>
      <c r="C584" s="37" t="s">
        <v>118</v>
      </c>
      <c r="D584" s="37" t="s">
        <v>116</v>
      </c>
      <c r="E584" s="37" t="s">
        <v>114</v>
      </c>
      <c r="F584" s="38" t="s">
        <v>202</v>
      </c>
    </row>
    <row r="585" spans="1:6" ht="13.5">
      <c r="A585" s="35">
        <v>25398</v>
      </c>
      <c r="B585" s="37" t="s">
        <v>1002</v>
      </c>
      <c r="C585" s="37" t="s">
        <v>118</v>
      </c>
      <c r="D585" s="37" t="s">
        <v>116</v>
      </c>
      <c r="E585" s="37" t="s">
        <v>114</v>
      </c>
      <c r="F585" s="38" t="s">
        <v>202</v>
      </c>
    </row>
    <row r="586" spans="1:6" ht="13.5">
      <c r="A586" s="35">
        <v>25407</v>
      </c>
      <c r="B586" s="37" t="s">
        <v>1003</v>
      </c>
      <c r="C586" s="37" t="s">
        <v>118</v>
      </c>
      <c r="D586" s="37" t="s">
        <v>116</v>
      </c>
      <c r="E586" s="37" t="s">
        <v>114</v>
      </c>
      <c r="F586" s="38" t="s">
        <v>202</v>
      </c>
    </row>
    <row r="587" spans="1:6" ht="13.5">
      <c r="A587" s="35">
        <v>25426</v>
      </c>
      <c r="B587" s="37" t="s">
        <v>1004</v>
      </c>
      <c r="C587" s="37" t="s">
        <v>118</v>
      </c>
      <c r="D587" s="37" t="s">
        <v>116</v>
      </c>
      <c r="E587" s="37" t="s">
        <v>114</v>
      </c>
      <c r="F587" s="38" t="s">
        <v>202</v>
      </c>
    </row>
    <row r="588" spans="1:6" ht="13.5">
      <c r="A588" s="35">
        <v>25430</v>
      </c>
      <c r="B588" s="37" t="s">
        <v>1005</v>
      </c>
      <c r="C588" s="37" t="s">
        <v>118</v>
      </c>
      <c r="D588" s="37" t="s">
        <v>116</v>
      </c>
      <c r="E588" s="37" t="s">
        <v>114</v>
      </c>
      <c r="F588" s="38" t="s">
        <v>148</v>
      </c>
    </row>
    <row r="589" spans="1:6" ht="13.5">
      <c r="A589" s="35">
        <v>25436</v>
      </c>
      <c r="B589" s="37" t="s">
        <v>1006</v>
      </c>
      <c r="C589" s="37" t="s">
        <v>118</v>
      </c>
      <c r="D589" s="37" t="s">
        <v>116</v>
      </c>
      <c r="E589" s="37" t="s">
        <v>114</v>
      </c>
      <c r="F589" s="38" t="s">
        <v>202</v>
      </c>
    </row>
    <row r="590" spans="1:6" ht="13.5">
      <c r="A590" s="35">
        <v>25438</v>
      </c>
      <c r="B590" s="37" t="s">
        <v>1007</v>
      </c>
      <c r="C590" s="37" t="s">
        <v>118</v>
      </c>
      <c r="D590" s="37" t="s">
        <v>322</v>
      </c>
      <c r="E590" s="37" t="s">
        <v>114</v>
      </c>
      <c r="F590" s="38" t="s">
        <v>344</v>
      </c>
    </row>
    <row r="591" spans="1:6" ht="13.5">
      <c r="A591" s="35">
        <v>25486</v>
      </c>
      <c r="B591" s="37" t="s">
        <v>1008</v>
      </c>
      <c r="C591" s="37" t="s">
        <v>118</v>
      </c>
      <c r="D591" s="37" t="s">
        <v>116</v>
      </c>
      <c r="E591" s="37" t="s">
        <v>114</v>
      </c>
      <c r="F591" s="38" t="s">
        <v>148</v>
      </c>
    </row>
    <row r="592" spans="1:6" ht="13.5">
      <c r="A592" s="35">
        <v>25488</v>
      </c>
      <c r="B592" s="37" t="s">
        <v>1009</v>
      </c>
      <c r="C592" s="37" t="s">
        <v>118</v>
      </c>
      <c r="D592" s="37" t="s">
        <v>116</v>
      </c>
      <c r="E592" s="37" t="s">
        <v>114</v>
      </c>
      <c r="F592" s="38" t="s">
        <v>202</v>
      </c>
    </row>
    <row r="593" spans="1:6" ht="13.5">
      <c r="A593" s="35">
        <v>25489</v>
      </c>
      <c r="B593" s="37" t="s">
        <v>1010</v>
      </c>
      <c r="C593" s="37" t="s">
        <v>118</v>
      </c>
      <c r="D593" s="37" t="s">
        <v>116</v>
      </c>
      <c r="E593" s="37" t="s">
        <v>114</v>
      </c>
      <c r="F593" s="38" t="s">
        <v>202</v>
      </c>
    </row>
    <row r="594" spans="1:6" ht="13.5">
      <c r="A594" s="35">
        <v>25491</v>
      </c>
      <c r="B594" s="37" t="s">
        <v>1011</v>
      </c>
      <c r="C594" s="37" t="s">
        <v>118</v>
      </c>
      <c r="D594" s="37" t="s">
        <v>116</v>
      </c>
      <c r="E594" s="37" t="s">
        <v>114</v>
      </c>
      <c r="F594" s="38" t="s">
        <v>202</v>
      </c>
    </row>
    <row r="595" spans="1:6" ht="13.5">
      <c r="A595" s="35">
        <v>25513</v>
      </c>
      <c r="B595" s="37" t="s">
        <v>1012</v>
      </c>
      <c r="C595" s="37" t="s">
        <v>118</v>
      </c>
      <c r="D595" s="37" t="s">
        <v>116</v>
      </c>
      <c r="E595" s="37" t="s">
        <v>114</v>
      </c>
      <c r="F595" s="38" t="s">
        <v>202</v>
      </c>
    </row>
    <row r="596" spans="1:6" ht="13.5">
      <c r="A596" s="35">
        <v>25518</v>
      </c>
      <c r="B596" s="37" t="s">
        <v>1013</v>
      </c>
      <c r="C596" s="37" t="s">
        <v>118</v>
      </c>
      <c r="D596" s="37" t="s">
        <v>116</v>
      </c>
      <c r="E596" s="37" t="s">
        <v>114</v>
      </c>
      <c r="F596" s="38" t="s">
        <v>344</v>
      </c>
    </row>
    <row r="597" spans="1:6" ht="13.5">
      <c r="A597" s="35">
        <v>25524</v>
      </c>
      <c r="B597" s="37" t="s">
        <v>1014</v>
      </c>
      <c r="C597" s="37" t="s">
        <v>118</v>
      </c>
      <c r="D597" s="37" t="s">
        <v>116</v>
      </c>
      <c r="E597" s="37" t="s">
        <v>114</v>
      </c>
      <c r="F597" s="38" t="s">
        <v>202</v>
      </c>
    </row>
    <row r="598" spans="1:6" ht="13.5">
      <c r="A598" s="35">
        <v>25530</v>
      </c>
      <c r="B598" s="37" t="s">
        <v>1015</v>
      </c>
      <c r="C598" s="37" t="s">
        <v>118</v>
      </c>
      <c r="D598" s="37" t="s">
        <v>322</v>
      </c>
      <c r="E598" s="37" t="s">
        <v>114</v>
      </c>
      <c r="F598" s="38" t="s">
        <v>202</v>
      </c>
    </row>
    <row r="599" spans="1:6" ht="13.5">
      <c r="A599" s="35">
        <v>25535</v>
      </c>
      <c r="B599" s="37" t="s">
        <v>1016</v>
      </c>
      <c r="C599" s="37" t="s">
        <v>118</v>
      </c>
      <c r="D599" s="37" t="s">
        <v>116</v>
      </c>
      <c r="E599" s="37" t="s">
        <v>114</v>
      </c>
      <c r="F599" s="38" t="s">
        <v>148</v>
      </c>
    </row>
    <row r="600" spans="1:6" ht="13.5">
      <c r="A600" s="35">
        <v>25572</v>
      </c>
      <c r="B600" s="37" t="s">
        <v>1017</v>
      </c>
      <c r="C600" s="37" t="s">
        <v>118</v>
      </c>
      <c r="D600" s="37" t="s">
        <v>116</v>
      </c>
      <c r="E600" s="37" t="s">
        <v>114</v>
      </c>
      <c r="F600" s="38" t="s">
        <v>344</v>
      </c>
    </row>
    <row r="601" spans="1:6" ht="13.5">
      <c r="A601" s="35">
        <v>25580</v>
      </c>
      <c r="B601" s="37" t="s">
        <v>1018</v>
      </c>
      <c r="C601" s="37" t="s">
        <v>118</v>
      </c>
      <c r="D601" s="37" t="s">
        <v>116</v>
      </c>
      <c r="E601" s="37" t="s">
        <v>114</v>
      </c>
      <c r="F601" s="38" t="s">
        <v>202</v>
      </c>
    </row>
    <row r="602" spans="1:6" ht="13.5">
      <c r="A602" s="35">
        <v>25592</v>
      </c>
      <c r="B602" s="37" t="s">
        <v>1019</v>
      </c>
      <c r="C602" s="37" t="s">
        <v>118</v>
      </c>
      <c r="D602" s="37" t="s">
        <v>116</v>
      </c>
      <c r="E602" s="37" t="s">
        <v>114</v>
      </c>
      <c r="F602" s="38" t="s">
        <v>202</v>
      </c>
    </row>
    <row r="603" spans="1:6" ht="13.5">
      <c r="A603" s="35">
        <v>25594</v>
      </c>
      <c r="B603" s="37" t="s">
        <v>1020</v>
      </c>
      <c r="C603" s="37" t="s">
        <v>118</v>
      </c>
      <c r="D603" s="37" t="s">
        <v>116</v>
      </c>
      <c r="E603" s="37" t="s">
        <v>114</v>
      </c>
      <c r="F603" s="38" t="s">
        <v>202</v>
      </c>
    </row>
    <row r="604" spans="1:6" ht="13.5">
      <c r="A604" s="35">
        <v>25596</v>
      </c>
      <c r="B604" s="37" t="s">
        <v>1021</v>
      </c>
      <c r="C604" s="37" t="s">
        <v>118</v>
      </c>
      <c r="D604" s="37" t="s">
        <v>116</v>
      </c>
      <c r="E604" s="37" t="s">
        <v>114</v>
      </c>
      <c r="F604" s="38" t="s">
        <v>202</v>
      </c>
    </row>
    <row r="605" spans="1:6" ht="13.5">
      <c r="A605" s="35">
        <v>25645</v>
      </c>
      <c r="B605" s="37" t="s">
        <v>1022</v>
      </c>
      <c r="C605" s="37" t="s">
        <v>118</v>
      </c>
      <c r="D605" s="37" t="s">
        <v>116</v>
      </c>
      <c r="E605" s="37" t="s">
        <v>114</v>
      </c>
      <c r="F605" s="38" t="s">
        <v>148</v>
      </c>
    </row>
    <row r="606" spans="1:6" ht="13.5">
      <c r="A606" s="35">
        <v>25662</v>
      </c>
      <c r="B606" s="37" t="s">
        <v>1023</v>
      </c>
      <c r="C606" s="37" t="s">
        <v>118</v>
      </c>
      <c r="D606" s="37" t="s">
        <v>116</v>
      </c>
      <c r="E606" s="37" t="s">
        <v>114</v>
      </c>
      <c r="F606" s="38" t="s">
        <v>202</v>
      </c>
    </row>
    <row r="607" spans="1:6" ht="13.5">
      <c r="A607" s="35">
        <v>25718</v>
      </c>
      <c r="B607" s="37" t="s">
        <v>1024</v>
      </c>
      <c r="C607" s="37" t="s">
        <v>118</v>
      </c>
      <c r="D607" s="37" t="s">
        <v>116</v>
      </c>
      <c r="E607" s="37" t="s">
        <v>114</v>
      </c>
      <c r="F607" s="38" t="s">
        <v>148</v>
      </c>
    </row>
    <row r="608" spans="1:6" ht="13.5">
      <c r="A608" s="35">
        <v>25736</v>
      </c>
      <c r="B608" s="37" t="s">
        <v>1025</v>
      </c>
      <c r="C608" s="37" t="s">
        <v>118</v>
      </c>
      <c r="D608" s="37" t="s">
        <v>116</v>
      </c>
      <c r="E608" s="37" t="s">
        <v>114</v>
      </c>
      <c r="F608" s="38" t="s">
        <v>148</v>
      </c>
    </row>
    <row r="609" spans="1:6" ht="13.5">
      <c r="A609" s="35">
        <v>25740</v>
      </c>
      <c r="B609" s="37" t="s">
        <v>1026</v>
      </c>
      <c r="C609" s="37" t="s">
        <v>118</v>
      </c>
      <c r="D609" s="37" t="s">
        <v>116</v>
      </c>
      <c r="E609" s="37" t="s">
        <v>114</v>
      </c>
      <c r="F609" s="38" t="s">
        <v>148</v>
      </c>
    </row>
    <row r="610" spans="1:6" ht="13.5">
      <c r="A610" s="35">
        <v>25743</v>
      </c>
      <c r="B610" s="37" t="s">
        <v>1027</v>
      </c>
      <c r="C610" s="37" t="s">
        <v>118</v>
      </c>
      <c r="D610" s="37" t="s">
        <v>116</v>
      </c>
      <c r="E610" s="37" t="s">
        <v>114</v>
      </c>
      <c r="F610" s="38" t="s">
        <v>148</v>
      </c>
    </row>
    <row r="611" spans="1:6" ht="13.5">
      <c r="A611" s="35">
        <v>25745</v>
      </c>
      <c r="B611" s="37" t="s">
        <v>1028</v>
      </c>
      <c r="C611" s="37" t="s">
        <v>118</v>
      </c>
      <c r="D611" s="37" t="s">
        <v>140</v>
      </c>
      <c r="E611" s="37" t="s">
        <v>114</v>
      </c>
      <c r="F611" s="38" t="s">
        <v>202</v>
      </c>
    </row>
    <row r="612" spans="1:6" ht="13.5">
      <c r="A612" s="35">
        <v>25754</v>
      </c>
      <c r="B612" s="37" t="s">
        <v>1029</v>
      </c>
      <c r="C612" s="37" t="s">
        <v>118</v>
      </c>
      <c r="D612" s="37" t="s">
        <v>116</v>
      </c>
      <c r="E612" s="37" t="s">
        <v>114</v>
      </c>
      <c r="F612" s="38" t="s">
        <v>113</v>
      </c>
    </row>
    <row r="613" spans="1:6" ht="13.5">
      <c r="A613" s="35">
        <v>25758</v>
      </c>
      <c r="B613" s="37" t="s">
        <v>1030</v>
      </c>
      <c r="C613" s="37" t="s">
        <v>118</v>
      </c>
      <c r="D613" s="37" t="s">
        <v>116</v>
      </c>
      <c r="E613" s="37" t="s">
        <v>114</v>
      </c>
      <c r="F613" s="38" t="s">
        <v>148</v>
      </c>
    </row>
    <row r="614" spans="1:6" ht="13.5">
      <c r="A614" s="35">
        <v>25769</v>
      </c>
      <c r="B614" s="37" t="s">
        <v>1031</v>
      </c>
      <c r="C614" s="37" t="s">
        <v>118</v>
      </c>
      <c r="D614" s="37" t="s">
        <v>116</v>
      </c>
      <c r="E614" s="37" t="s">
        <v>114</v>
      </c>
      <c r="F614" s="38" t="s">
        <v>148</v>
      </c>
    </row>
    <row r="615" spans="1:6" ht="13.5">
      <c r="A615" s="35">
        <v>25772</v>
      </c>
      <c r="B615" s="37" t="s">
        <v>1032</v>
      </c>
      <c r="C615" s="37" t="s">
        <v>118</v>
      </c>
      <c r="D615" s="37" t="s">
        <v>116</v>
      </c>
      <c r="E615" s="37" t="s">
        <v>114</v>
      </c>
      <c r="F615" s="38" t="s">
        <v>148</v>
      </c>
    </row>
    <row r="616" spans="1:6" ht="13.5">
      <c r="A616" s="35">
        <v>25777</v>
      </c>
      <c r="B616" s="37" t="s">
        <v>1033</v>
      </c>
      <c r="C616" s="37" t="s">
        <v>118</v>
      </c>
      <c r="D616" s="37" t="s">
        <v>116</v>
      </c>
      <c r="E616" s="37" t="s">
        <v>114</v>
      </c>
      <c r="F616" s="38" t="s">
        <v>148</v>
      </c>
    </row>
    <row r="617" spans="1:6" ht="13.5">
      <c r="A617" s="35">
        <v>25779</v>
      </c>
      <c r="B617" s="37" t="s">
        <v>1034</v>
      </c>
      <c r="C617" s="37" t="s">
        <v>118</v>
      </c>
      <c r="D617" s="37" t="s">
        <v>116</v>
      </c>
      <c r="E617" s="37" t="s">
        <v>114</v>
      </c>
      <c r="F617" s="38" t="s">
        <v>202</v>
      </c>
    </row>
    <row r="618" spans="1:6" ht="13.5">
      <c r="A618" s="35">
        <v>25781</v>
      </c>
      <c r="B618" s="37" t="s">
        <v>1035</v>
      </c>
      <c r="C618" s="37" t="s">
        <v>118</v>
      </c>
      <c r="D618" s="37" t="s">
        <v>116</v>
      </c>
      <c r="E618" s="37" t="s">
        <v>114</v>
      </c>
      <c r="F618" s="38" t="s">
        <v>148</v>
      </c>
    </row>
    <row r="619" spans="1:6" ht="13.5">
      <c r="A619" s="35">
        <v>25785</v>
      </c>
      <c r="B619" s="37" t="s">
        <v>1036</v>
      </c>
      <c r="C619" s="37" t="s">
        <v>118</v>
      </c>
      <c r="D619" s="37" t="s">
        <v>116</v>
      </c>
      <c r="E619" s="37" t="s">
        <v>114</v>
      </c>
      <c r="F619" s="38" t="s">
        <v>148</v>
      </c>
    </row>
    <row r="620" spans="1:6" ht="13.5">
      <c r="A620" s="35">
        <v>25793</v>
      </c>
      <c r="B620" s="37" t="s">
        <v>1037</v>
      </c>
      <c r="C620" s="37" t="s">
        <v>118</v>
      </c>
      <c r="D620" s="37" t="s">
        <v>116</v>
      </c>
      <c r="E620" s="37" t="s">
        <v>114</v>
      </c>
      <c r="F620" s="38" t="s">
        <v>148</v>
      </c>
    </row>
    <row r="621" spans="1:6" ht="13.5">
      <c r="A621" s="35">
        <v>25797</v>
      </c>
      <c r="B621" s="37" t="s">
        <v>1038</v>
      </c>
      <c r="C621" s="37" t="s">
        <v>118</v>
      </c>
      <c r="D621" s="37" t="s">
        <v>116</v>
      </c>
      <c r="E621" s="37" t="s">
        <v>114</v>
      </c>
      <c r="F621" s="38" t="s">
        <v>148</v>
      </c>
    </row>
    <row r="622" spans="1:6" ht="13.5">
      <c r="A622" s="35">
        <v>25799</v>
      </c>
      <c r="B622" s="37" t="s">
        <v>1039</v>
      </c>
      <c r="C622" s="37" t="s">
        <v>118</v>
      </c>
      <c r="D622" s="37" t="s">
        <v>116</v>
      </c>
      <c r="E622" s="37" t="s">
        <v>114</v>
      </c>
      <c r="F622" s="38" t="s">
        <v>148</v>
      </c>
    </row>
    <row r="623" spans="1:6" ht="13.5">
      <c r="A623" s="35">
        <v>25805</v>
      </c>
      <c r="B623" s="37" t="s">
        <v>1040</v>
      </c>
      <c r="C623" s="37" t="s">
        <v>118</v>
      </c>
      <c r="D623" s="37" t="s">
        <v>116</v>
      </c>
      <c r="E623" s="37" t="s">
        <v>114</v>
      </c>
      <c r="F623" s="38" t="s">
        <v>148</v>
      </c>
    </row>
    <row r="624" spans="1:6" ht="13.5">
      <c r="A624" s="35">
        <v>25807</v>
      </c>
      <c r="B624" s="37" t="s">
        <v>1041</v>
      </c>
      <c r="C624" s="37" t="s">
        <v>118</v>
      </c>
      <c r="D624" s="37" t="s">
        <v>116</v>
      </c>
      <c r="E624" s="37" t="s">
        <v>114</v>
      </c>
      <c r="F624" s="38" t="s">
        <v>202</v>
      </c>
    </row>
    <row r="625" spans="1:6" ht="13.5">
      <c r="A625" s="35">
        <v>25815</v>
      </c>
      <c r="B625" s="37" t="s">
        <v>1042</v>
      </c>
      <c r="C625" s="37" t="s">
        <v>118</v>
      </c>
      <c r="D625" s="37" t="s">
        <v>116</v>
      </c>
      <c r="E625" s="37" t="s">
        <v>114</v>
      </c>
      <c r="F625" s="38" t="s">
        <v>202</v>
      </c>
    </row>
    <row r="626" spans="1:6" ht="13.5">
      <c r="A626" s="35">
        <v>25817</v>
      </c>
      <c r="B626" s="37" t="s">
        <v>1043</v>
      </c>
      <c r="C626" s="37" t="s">
        <v>118</v>
      </c>
      <c r="D626" s="37" t="s">
        <v>116</v>
      </c>
      <c r="E626" s="37" t="s">
        <v>114</v>
      </c>
      <c r="F626" s="38" t="s">
        <v>148</v>
      </c>
    </row>
    <row r="627" spans="1:6" ht="13.5">
      <c r="A627" s="35">
        <v>25823</v>
      </c>
      <c r="B627" s="37" t="s">
        <v>1044</v>
      </c>
      <c r="C627" s="37" t="s">
        <v>118</v>
      </c>
      <c r="D627" s="37" t="s">
        <v>116</v>
      </c>
      <c r="E627" s="37" t="s">
        <v>114</v>
      </c>
      <c r="F627" s="38" t="s">
        <v>202</v>
      </c>
    </row>
    <row r="628" spans="1:6" ht="13.5">
      <c r="A628" s="35">
        <v>25839</v>
      </c>
      <c r="B628" s="37" t="s">
        <v>1045</v>
      </c>
      <c r="C628" s="37" t="s">
        <v>118</v>
      </c>
      <c r="D628" s="37" t="s">
        <v>116</v>
      </c>
      <c r="E628" s="37" t="s">
        <v>114</v>
      </c>
      <c r="F628" s="38" t="s">
        <v>202</v>
      </c>
    </row>
    <row r="629" spans="1:6" ht="13.5">
      <c r="A629" s="35">
        <v>25841</v>
      </c>
      <c r="B629" s="37" t="s">
        <v>1046</v>
      </c>
      <c r="C629" s="37" t="s">
        <v>118</v>
      </c>
      <c r="D629" s="37" t="s">
        <v>116</v>
      </c>
      <c r="E629" s="37" t="s">
        <v>114</v>
      </c>
      <c r="F629" s="38" t="s">
        <v>148</v>
      </c>
    </row>
    <row r="630" spans="1:6" ht="13.5">
      <c r="A630" s="35">
        <v>25845</v>
      </c>
      <c r="B630" s="37" t="s">
        <v>1047</v>
      </c>
      <c r="C630" s="37" t="s">
        <v>118</v>
      </c>
      <c r="D630" s="37" t="s">
        <v>116</v>
      </c>
      <c r="E630" s="37" t="s">
        <v>114</v>
      </c>
      <c r="F630" s="38" t="s">
        <v>148</v>
      </c>
    </row>
    <row r="631" spans="1:6" ht="13.5">
      <c r="A631" s="35">
        <v>25851</v>
      </c>
      <c r="B631" s="37" t="s">
        <v>1048</v>
      </c>
      <c r="C631" s="37" t="s">
        <v>118</v>
      </c>
      <c r="D631" s="37" t="s">
        <v>116</v>
      </c>
      <c r="E631" s="37" t="s">
        <v>114</v>
      </c>
      <c r="F631" s="38" t="s">
        <v>202</v>
      </c>
    </row>
    <row r="632" spans="1:6" ht="13.5">
      <c r="A632" s="35">
        <v>25862</v>
      </c>
      <c r="B632" s="37" t="s">
        <v>1049</v>
      </c>
      <c r="C632" s="37" t="s">
        <v>118</v>
      </c>
      <c r="D632" s="37" t="s">
        <v>116</v>
      </c>
      <c r="E632" s="37" t="s">
        <v>114</v>
      </c>
      <c r="F632" s="38" t="s">
        <v>202</v>
      </c>
    </row>
    <row r="633" spans="1:6" ht="13.5">
      <c r="A633" s="35">
        <v>25867</v>
      </c>
      <c r="B633" s="37" t="s">
        <v>1050</v>
      </c>
      <c r="C633" s="37" t="s">
        <v>118</v>
      </c>
      <c r="D633" s="37" t="s">
        <v>116</v>
      </c>
      <c r="E633" s="37" t="s">
        <v>114</v>
      </c>
      <c r="F633" s="38" t="s">
        <v>202</v>
      </c>
    </row>
    <row r="634" spans="1:6" ht="13.5">
      <c r="A634" s="35">
        <v>25843</v>
      </c>
      <c r="B634" s="37" t="s">
        <v>1051</v>
      </c>
      <c r="C634" s="37" t="s">
        <v>118</v>
      </c>
      <c r="D634" s="37" t="s">
        <v>116</v>
      </c>
      <c r="E634" s="37" t="s">
        <v>114</v>
      </c>
      <c r="F634" s="38" t="s">
        <v>148</v>
      </c>
    </row>
    <row r="635" spans="1:6" ht="13.5">
      <c r="A635" s="35">
        <v>25871</v>
      </c>
      <c r="B635" s="37" t="s">
        <v>1052</v>
      </c>
      <c r="C635" s="37" t="s">
        <v>118</v>
      </c>
      <c r="D635" s="37" t="s">
        <v>116</v>
      </c>
      <c r="E635" s="37" t="s">
        <v>114</v>
      </c>
      <c r="F635" s="38" t="s">
        <v>202</v>
      </c>
    </row>
    <row r="636" spans="1:6" ht="13.5">
      <c r="A636" s="35">
        <v>25873</v>
      </c>
      <c r="B636" s="37" t="s">
        <v>1053</v>
      </c>
      <c r="C636" s="37" t="s">
        <v>118</v>
      </c>
      <c r="D636" s="37" t="s">
        <v>140</v>
      </c>
      <c r="E636" s="37" t="s">
        <v>114</v>
      </c>
      <c r="F636" s="38" t="s">
        <v>148</v>
      </c>
    </row>
    <row r="637" spans="1:6" ht="13.5">
      <c r="A637" s="35">
        <v>25875</v>
      </c>
      <c r="B637" s="37" t="s">
        <v>1054</v>
      </c>
      <c r="C637" s="37" t="s">
        <v>118</v>
      </c>
      <c r="D637" s="37" t="s">
        <v>116</v>
      </c>
      <c r="E637" s="37" t="s">
        <v>114</v>
      </c>
      <c r="F637" s="38" t="s">
        <v>148</v>
      </c>
    </row>
    <row r="638" spans="1:6" ht="13.5">
      <c r="A638" s="35">
        <v>25878</v>
      </c>
      <c r="B638" s="37" t="s">
        <v>1055</v>
      </c>
      <c r="C638" s="37" t="s">
        <v>118</v>
      </c>
      <c r="D638" s="37" t="s">
        <v>116</v>
      </c>
      <c r="E638" s="37" t="s">
        <v>114</v>
      </c>
      <c r="F638" s="38" t="s">
        <v>202</v>
      </c>
    </row>
    <row r="639" spans="1:6" ht="13.5">
      <c r="A639" s="35">
        <v>25885</v>
      </c>
      <c r="B639" s="37" t="s">
        <v>1056</v>
      </c>
      <c r="C639" s="37" t="s">
        <v>118</v>
      </c>
      <c r="D639" s="37" t="s">
        <v>116</v>
      </c>
      <c r="E639" s="37" t="s">
        <v>114</v>
      </c>
      <c r="F639" s="38" t="s">
        <v>344</v>
      </c>
    </row>
    <row r="640" spans="1:6" ht="13.5">
      <c r="A640" s="35">
        <v>25898</v>
      </c>
      <c r="B640" s="37" t="s">
        <v>1057</v>
      </c>
      <c r="C640" s="37" t="s">
        <v>118</v>
      </c>
      <c r="D640" s="37" t="s">
        <v>116</v>
      </c>
      <c r="E640" s="37" t="s">
        <v>114</v>
      </c>
      <c r="F640" s="38" t="s">
        <v>148</v>
      </c>
    </row>
    <row r="641" spans="1:6" ht="13.5">
      <c r="A641" s="35">
        <v>25899</v>
      </c>
      <c r="B641" s="37" t="s">
        <v>291</v>
      </c>
      <c r="C641" s="37" t="s">
        <v>118</v>
      </c>
      <c r="D641" s="37" t="s">
        <v>116</v>
      </c>
      <c r="E641" s="37" t="s">
        <v>114</v>
      </c>
      <c r="F641" s="38" t="s">
        <v>148</v>
      </c>
    </row>
    <row r="642" spans="1:6" ht="13.5">
      <c r="A642" s="35">
        <v>94884</v>
      </c>
      <c r="B642" s="36" t="s">
        <v>599</v>
      </c>
      <c r="C642" s="37" t="s">
        <v>1058</v>
      </c>
      <c r="D642" s="37" t="s">
        <v>322</v>
      </c>
      <c r="E642" s="37" t="s">
        <v>461</v>
      </c>
      <c r="F642" s="38" t="s">
        <v>462</v>
      </c>
    </row>
    <row r="643" spans="1:6" ht="13.5">
      <c r="A643" s="35">
        <v>94343</v>
      </c>
      <c r="B643" s="37" t="s">
        <v>1059</v>
      </c>
      <c r="C643" s="37" t="s">
        <v>1058</v>
      </c>
      <c r="D643" s="37" t="s">
        <v>322</v>
      </c>
      <c r="E643" s="37" t="s">
        <v>461</v>
      </c>
      <c r="F643" s="38" t="s">
        <v>462</v>
      </c>
    </row>
    <row r="644" spans="1:6" ht="13.5">
      <c r="A644" s="35">
        <v>94886</v>
      </c>
      <c r="B644" s="37" t="s">
        <v>1060</v>
      </c>
      <c r="C644" s="37" t="s">
        <v>1058</v>
      </c>
      <c r="D644" s="37" t="s">
        <v>322</v>
      </c>
      <c r="E644" s="37" t="s">
        <v>461</v>
      </c>
      <c r="F644" s="38" t="s">
        <v>462</v>
      </c>
    </row>
    <row r="645" spans="1:6" ht="13.5">
      <c r="A645" s="35">
        <v>94001</v>
      </c>
      <c r="B645" s="37" t="s">
        <v>1061</v>
      </c>
      <c r="C645" s="37" t="s">
        <v>1058</v>
      </c>
      <c r="D645" s="37" t="s">
        <v>116</v>
      </c>
      <c r="E645" s="37" t="s">
        <v>461</v>
      </c>
      <c r="F645" s="38" t="s">
        <v>462</v>
      </c>
    </row>
    <row r="646" spans="1:6" ht="13.5">
      <c r="A646" s="35">
        <v>94885</v>
      </c>
      <c r="B646" s="37" t="s">
        <v>1062</v>
      </c>
      <c r="C646" s="37" t="s">
        <v>1058</v>
      </c>
      <c r="D646" s="37" t="s">
        <v>322</v>
      </c>
      <c r="E646" s="37" t="s">
        <v>461</v>
      </c>
      <c r="F646" s="38" t="s">
        <v>462</v>
      </c>
    </row>
    <row r="647" spans="1:6" ht="13.5">
      <c r="A647" s="35">
        <v>94663</v>
      </c>
      <c r="B647" s="37" t="s">
        <v>1063</v>
      </c>
      <c r="C647" s="37" t="s">
        <v>1058</v>
      </c>
      <c r="D647" s="37" t="s">
        <v>322</v>
      </c>
      <c r="E647" s="37" t="s">
        <v>461</v>
      </c>
      <c r="F647" s="38" t="s">
        <v>462</v>
      </c>
    </row>
    <row r="648" spans="1:6" ht="13.5">
      <c r="A648" s="35">
        <v>94888</v>
      </c>
      <c r="B648" s="37" t="s">
        <v>1064</v>
      </c>
      <c r="C648" s="37" t="s">
        <v>1058</v>
      </c>
      <c r="D648" s="37" t="s">
        <v>322</v>
      </c>
      <c r="E648" s="37" t="s">
        <v>461</v>
      </c>
      <c r="F648" s="38" t="s">
        <v>462</v>
      </c>
    </row>
    <row r="649" spans="1:6" ht="13.5">
      <c r="A649" s="35">
        <v>94887</v>
      </c>
      <c r="B649" s="37" t="s">
        <v>1065</v>
      </c>
      <c r="C649" s="37" t="s">
        <v>1058</v>
      </c>
      <c r="D649" s="37" t="s">
        <v>322</v>
      </c>
      <c r="E649" s="37" t="s">
        <v>461</v>
      </c>
      <c r="F649" s="38" t="s">
        <v>462</v>
      </c>
    </row>
    <row r="650" spans="1:6" ht="13.5">
      <c r="A650" s="35">
        <v>94883</v>
      </c>
      <c r="B650" s="37" t="s">
        <v>1066</v>
      </c>
      <c r="C650" s="37" t="s">
        <v>1058</v>
      </c>
      <c r="D650" s="37" t="s">
        <v>322</v>
      </c>
      <c r="E650" s="37" t="s">
        <v>461</v>
      </c>
      <c r="F650" s="38" t="s">
        <v>462</v>
      </c>
    </row>
    <row r="651" spans="1:6" ht="13.5">
      <c r="A651" s="35">
        <v>95015</v>
      </c>
      <c r="B651" s="36" t="s">
        <v>619</v>
      </c>
      <c r="C651" s="37" t="s">
        <v>1067</v>
      </c>
      <c r="D651" s="37" t="s">
        <v>322</v>
      </c>
      <c r="E651" s="37" t="s">
        <v>461</v>
      </c>
      <c r="F651" s="38" t="s">
        <v>462</v>
      </c>
    </row>
    <row r="652" spans="1:6" ht="13.5">
      <c r="A652" s="35">
        <v>95200</v>
      </c>
      <c r="B652" s="36" t="s">
        <v>669</v>
      </c>
      <c r="C652" s="37" t="s">
        <v>1067</v>
      </c>
      <c r="D652" s="37" t="s">
        <v>322</v>
      </c>
      <c r="E652" s="37" t="s">
        <v>461</v>
      </c>
      <c r="F652" s="38" t="s">
        <v>462</v>
      </c>
    </row>
    <row r="653" spans="1:6" ht="13.5">
      <c r="A653" s="35">
        <v>95025</v>
      </c>
      <c r="B653" s="37" t="s">
        <v>1068</v>
      </c>
      <c r="C653" s="37" t="s">
        <v>1067</v>
      </c>
      <c r="D653" s="37" t="s">
        <v>322</v>
      </c>
      <c r="E653" s="37" t="s">
        <v>114</v>
      </c>
      <c r="F653" s="38" t="s">
        <v>344</v>
      </c>
    </row>
    <row r="654" spans="1:6" ht="13.5">
      <c r="A654" s="35">
        <v>95001</v>
      </c>
      <c r="B654" s="37" t="s">
        <v>1069</v>
      </c>
      <c r="C654" s="37" t="s">
        <v>1067</v>
      </c>
      <c r="D654" s="37" t="s">
        <v>322</v>
      </c>
      <c r="E654" s="37" t="s">
        <v>114</v>
      </c>
      <c r="F654" s="38" t="s">
        <v>344</v>
      </c>
    </row>
    <row r="655" spans="1:6" ht="13.5">
      <c r="A655" s="35">
        <v>41319</v>
      </c>
      <c r="B655" s="36" t="s">
        <v>481</v>
      </c>
      <c r="C655" s="37" t="s">
        <v>1070</v>
      </c>
      <c r="D655" s="37" t="s">
        <v>365</v>
      </c>
      <c r="E655" s="37" t="s">
        <v>114</v>
      </c>
      <c r="F655" s="38" t="s">
        <v>202</v>
      </c>
    </row>
    <row r="656" spans="1:6" ht="13.5">
      <c r="A656" s="35">
        <v>41530</v>
      </c>
      <c r="B656" s="36" t="s">
        <v>778</v>
      </c>
      <c r="C656" s="37" t="s">
        <v>1070</v>
      </c>
      <c r="D656" s="37" t="s">
        <v>365</v>
      </c>
      <c r="E656" s="37" t="s">
        <v>114</v>
      </c>
      <c r="F656" s="38" t="s">
        <v>344</v>
      </c>
    </row>
    <row r="657" spans="1:6" ht="13.5">
      <c r="A657" s="35">
        <v>41676</v>
      </c>
      <c r="B657" s="36" t="s">
        <v>671</v>
      </c>
      <c r="C657" s="37" t="s">
        <v>1070</v>
      </c>
      <c r="D657" s="37" t="s">
        <v>365</v>
      </c>
      <c r="E657" s="37" t="s">
        <v>114</v>
      </c>
      <c r="F657" s="38" t="s">
        <v>202</v>
      </c>
    </row>
    <row r="658" spans="1:6" ht="13.5">
      <c r="A658" s="35">
        <v>41006</v>
      </c>
      <c r="B658" s="37" t="s">
        <v>1071</v>
      </c>
      <c r="C658" s="37" t="s">
        <v>1070</v>
      </c>
      <c r="D658" s="37" t="s">
        <v>365</v>
      </c>
      <c r="E658" s="37" t="s">
        <v>114</v>
      </c>
      <c r="F658" s="38" t="s">
        <v>202</v>
      </c>
    </row>
    <row r="659" spans="1:6" ht="13.5">
      <c r="A659" s="35">
        <v>41013</v>
      </c>
      <c r="B659" s="37" t="s">
        <v>1072</v>
      </c>
      <c r="C659" s="37" t="s">
        <v>1070</v>
      </c>
      <c r="D659" s="37" t="s">
        <v>365</v>
      </c>
      <c r="E659" s="37" t="s">
        <v>114</v>
      </c>
      <c r="F659" s="38" t="s">
        <v>202</v>
      </c>
    </row>
    <row r="660" spans="1:6" ht="13.5">
      <c r="A660" s="35">
        <v>41016</v>
      </c>
      <c r="B660" s="37" t="s">
        <v>1073</v>
      </c>
      <c r="C660" s="37" t="s">
        <v>1070</v>
      </c>
      <c r="D660" s="37" t="s">
        <v>365</v>
      </c>
      <c r="E660" s="37" t="s">
        <v>114</v>
      </c>
      <c r="F660" s="38" t="s">
        <v>148</v>
      </c>
    </row>
    <row r="661" spans="1:6" ht="13.5">
      <c r="A661" s="35">
        <v>41020</v>
      </c>
      <c r="B661" s="37" t="s">
        <v>1074</v>
      </c>
      <c r="C661" s="37" t="s">
        <v>1070</v>
      </c>
      <c r="D661" s="37" t="s">
        <v>365</v>
      </c>
      <c r="E661" s="37" t="s">
        <v>114</v>
      </c>
      <c r="F661" s="38" t="s">
        <v>148</v>
      </c>
    </row>
    <row r="662" spans="1:6" ht="13.5">
      <c r="A662" s="35">
        <v>41026</v>
      </c>
      <c r="B662" s="37" t="s">
        <v>1075</v>
      </c>
      <c r="C662" s="37" t="s">
        <v>1070</v>
      </c>
      <c r="D662" s="37" t="s">
        <v>365</v>
      </c>
      <c r="E662" s="37" t="s">
        <v>114</v>
      </c>
      <c r="F662" s="38" t="s">
        <v>202</v>
      </c>
    </row>
    <row r="663" spans="1:6" ht="13.5">
      <c r="A663" s="35">
        <v>41078</v>
      </c>
      <c r="B663" s="37" t="s">
        <v>1076</v>
      </c>
      <c r="C663" s="37" t="s">
        <v>1070</v>
      </c>
      <c r="D663" s="37" t="s">
        <v>365</v>
      </c>
      <c r="E663" s="37" t="s">
        <v>114</v>
      </c>
      <c r="F663" s="38" t="s">
        <v>148</v>
      </c>
    </row>
    <row r="664" spans="1:6" ht="13.5">
      <c r="A664" s="35">
        <v>41132</v>
      </c>
      <c r="B664" s="37" t="s">
        <v>1077</v>
      </c>
      <c r="C664" s="37" t="s">
        <v>1070</v>
      </c>
      <c r="D664" s="37" t="s">
        <v>365</v>
      </c>
      <c r="E664" s="37" t="s">
        <v>114</v>
      </c>
      <c r="F664" s="38" t="s">
        <v>148</v>
      </c>
    </row>
    <row r="665" spans="1:6" ht="13.5">
      <c r="A665" s="35">
        <v>41206</v>
      </c>
      <c r="B665" s="37" t="s">
        <v>1078</v>
      </c>
      <c r="C665" s="37" t="s">
        <v>1070</v>
      </c>
      <c r="D665" s="37" t="s">
        <v>365</v>
      </c>
      <c r="E665" s="37" t="s">
        <v>114</v>
      </c>
      <c r="F665" s="38" t="s">
        <v>202</v>
      </c>
    </row>
    <row r="666" spans="1:6" ht="13.5">
      <c r="A666" s="35">
        <v>41244</v>
      </c>
      <c r="B666" s="37" t="s">
        <v>1079</v>
      </c>
      <c r="C666" s="37" t="s">
        <v>1070</v>
      </c>
      <c r="D666" s="37" t="s">
        <v>365</v>
      </c>
      <c r="E666" s="37" t="s">
        <v>114</v>
      </c>
      <c r="F666" s="38" t="s">
        <v>202</v>
      </c>
    </row>
    <row r="667" spans="1:6" ht="13.5">
      <c r="A667" s="35">
        <v>41298</v>
      </c>
      <c r="B667" s="37" t="s">
        <v>1080</v>
      </c>
      <c r="C667" s="37" t="s">
        <v>1070</v>
      </c>
      <c r="D667" s="37" t="s">
        <v>365</v>
      </c>
      <c r="E667" s="37" t="s">
        <v>114</v>
      </c>
      <c r="F667" s="38" t="s">
        <v>202</v>
      </c>
    </row>
    <row r="668" spans="1:6" ht="13.5">
      <c r="A668" s="35">
        <v>41306</v>
      </c>
      <c r="B668" s="37" t="s">
        <v>1081</v>
      </c>
      <c r="C668" s="37" t="s">
        <v>1070</v>
      </c>
      <c r="D668" s="37" t="s">
        <v>365</v>
      </c>
      <c r="E668" s="37" t="s">
        <v>114</v>
      </c>
      <c r="F668" s="38" t="s">
        <v>148</v>
      </c>
    </row>
    <row r="669" spans="1:6" ht="13.5">
      <c r="A669" s="35">
        <v>41349</v>
      </c>
      <c r="B669" s="37" t="s">
        <v>1082</v>
      </c>
      <c r="C669" s="37" t="s">
        <v>1070</v>
      </c>
      <c r="D669" s="37" t="s">
        <v>365</v>
      </c>
      <c r="E669" s="37" t="s">
        <v>114</v>
      </c>
      <c r="F669" s="38" t="s">
        <v>148</v>
      </c>
    </row>
    <row r="670" spans="1:6" ht="13.5">
      <c r="A670" s="35">
        <v>41357</v>
      </c>
      <c r="B670" s="37" t="s">
        <v>1083</v>
      </c>
      <c r="C670" s="37" t="s">
        <v>1070</v>
      </c>
      <c r="D670" s="37" t="s">
        <v>365</v>
      </c>
      <c r="E670" s="37" t="s">
        <v>114</v>
      </c>
      <c r="F670" s="38" t="s">
        <v>148</v>
      </c>
    </row>
    <row r="671" spans="1:6" ht="13.5">
      <c r="A671" s="35">
        <v>41359</v>
      </c>
      <c r="B671" s="37" t="s">
        <v>1084</v>
      </c>
      <c r="C671" s="37" t="s">
        <v>1070</v>
      </c>
      <c r="D671" s="37" t="s">
        <v>365</v>
      </c>
      <c r="E671" s="37" t="s">
        <v>114</v>
      </c>
      <c r="F671" s="38" t="s">
        <v>344</v>
      </c>
    </row>
    <row r="672" spans="1:6" ht="13.5">
      <c r="A672" s="35">
        <v>41378</v>
      </c>
      <c r="B672" s="37" t="s">
        <v>1085</v>
      </c>
      <c r="C672" s="37" t="s">
        <v>1070</v>
      </c>
      <c r="D672" s="37" t="s">
        <v>365</v>
      </c>
      <c r="E672" s="37" t="s">
        <v>114</v>
      </c>
      <c r="F672" s="38" t="s">
        <v>202</v>
      </c>
    </row>
    <row r="673" spans="1:6" ht="13.5">
      <c r="A673" s="35">
        <v>41396</v>
      </c>
      <c r="B673" s="37" t="s">
        <v>1086</v>
      </c>
      <c r="C673" s="37" t="s">
        <v>1070</v>
      </c>
      <c r="D673" s="37" t="s">
        <v>365</v>
      </c>
      <c r="E673" s="37" t="s">
        <v>114</v>
      </c>
      <c r="F673" s="38" t="s">
        <v>202</v>
      </c>
    </row>
    <row r="674" spans="1:6" ht="13.5">
      <c r="A674" s="35">
        <v>41483</v>
      </c>
      <c r="B674" s="37" t="s">
        <v>1087</v>
      </c>
      <c r="C674" s="37" t="s">
        <v>1070</v>
      </c>
      <c r="D674" s="37" t="s">
        <v>365</v>
      </c>
      <c r="E674" s="37" t="s">
        <v>114</v>
      </c>
      <c r="F674" s="38" t="s">
        <v>202</v>
      </c>
    </row>
    <row r="675" spans="1:6" ht="13.5">
      <c r="A675" s="35">
        <v>41001</v>
      </c>
      <c r="B675" s="37" t="s">
        <v>365</v>
      </c>
      <c r="C675" s="37" t="s">
        <v>1070</v>
      </c>
      <c r="D675" s="37" t="s">
        <v>365</v>
      </c>
      <c r="E675" s="37" t="s">
        <v>114</v>
      </c>
      <c r="F675" s="38" t="s">
        <v>113</v>
      </c>
    </row>
    <row r="676" spans="1:6" ht="13.5">
      <c r="A676" s="35">
        <v>41503</v>
      </c>
      <c r="B676" s="37" t="s">
        <v>1088</v>
      </c>
      <c r="C676" s="37" t="s">
        <v>1070</v>
      </c>
      <c r="D676" s="37" t="s">
        <v>365</v>
      </c>
      <c r="E676" s="37" t="s">
        <v>114</v>
      </c>
      <c r="F676" s="38" t="s">
        <v>344</v>
      </c>
    </row>
    <row r="677" spans="1:6" ht="13.5">
      <c r="A677" s="35">
        <v>41518</v>
      </c>
      <c r="B677" s="37" t="s">
        <v>1089</v>
      </c>
      <c r="C677" s="37" t="s">
        <v>1070</v>
      </c>
      <c r="D677" s="37" t="s">
        <v>365</v>
      </c>
      <c r="E677" s="37" t="s">
        <v>114</v>
      </c>
      <c r="F677" s="38" t="s">
        <v>148</v>
      </c>
    </row>
    <row r="678" spans="1:6" ht="13.5">
      <c r="A678" s="35">
        <v>41524</v>
      </c>
      <c r="B678" s="37" t="s">
        <v>1090</v>
      </c>
      <c r="C678" s="37" t="s">
        <v>1070</v>
      </c>
      <c r="D678" s="37" t="s">
        <v>365</v>
      </c>
      <c r="E678" s="37" t="s">
        <v>114</v>
      </c>
      <c r="F678" s="38" t="s">
        <v>113</v>
      </c>
    </row>
    <row r="679" spans="1:6" ht="13.5">
      <c r="A679" s="35">
        <v>41548</v>
      </c>
      <c r="B679" s="37" t="s">
        <v>1091</v>
      </c>
      <c r="C679" s="37" t="s">
        <v>1070</v>
      </c>
      <c r="D679" s="37" t="s">
        <v>365</v>
      </c>
      <c r="E679" s="37" t="s">
        <v>114</v>
      </c>
      <c r="F679" s="38" t="s">
        <v>202</v>
      </c>
    </row>
    <row r="680" spans="1:6" ht="13.5">
      <c r="A680" s="35">
        <v>41551</v>
      </c>
      <c r="B680" s="37" t="s">
        <v>1092</v>
      </c>
      <c r="C680" s="37" t="s">
        <v>1070</v>
      </c>
      <c r="D680" s="37" t="s">
        <v>365</v>
      </c>
      <c r="E680" s="37" t="s">
        <v>114</v>
      </c>
      <c r="F680" s="38" t="s">
        <v>202</v>
      </c>
    </row>
    <row r="681" spans="1:6" ht="13.5">
      <c r="A681" s="35">
        <v>41615</v>
      </c>
      <c r="B681" s="37" t="s">
        <v>1093</v>
      </c>
      <c r="C681" s="37" t="s">
        <v>1070</v>
      </c>
      <c r="D681" s="37" t="s">
        <v>365</v>
      </c>
      <c r="E681" s="37" t="s">
        <v>114</v>
      </c>
      <c r="F681" s="38" t="s">
        <v>113</v>
      </c>
    </row>
    <row r="682" spans="1:6" ht="13.5">
      <c r="A682" s="35">
        <v>41660</v>
      </c>
      <c r="B682" s="37" t="s">
        <v>1094</v>
      </c>
      <c r="C682" s="37" t="s">
        <v>1070</v>
      </c>
      <c r="D682" s="37" t="s">
        <v>365</v>
      </c>
      <c r="E682" s="37" t="s">
        <v>114</v>
      </c>
      <c r="F682" s="38" t="s">
        <v>344</v>
      </c>
    </row>
    <row r="683" spans="1:6" ht="13.5">
      <c r="A683" s="35">
        <v>41668</v>
      </c>
      <c r="B683" s="37" t="s">
        <v>1095</v>
      </c>
      <c r="C683" s="37" t="s">
        <v>1070</v>
      </c>
      <c r="D683" s="37" t="s">
        <v>365</v>
      </c>
      <c r="E683" s="37" t="s">
        <v>114</v>
      </c>
      <c r="F683" s="38" t="s">
        <v>344</v>
      </c>
    </row>
    <row r="684" spans="1:6" ht="13.5">
      <c r="A684" s="35">
        <v>41770</v>
      </c>
      <c r="B684" s="37" t="s">
        <v>1096</v>
      </c>
      <c r="C684" s="37" t="s">
        <v>1070</v>
      </c>
      <c r="D684" s="37" t="s">
        <v>365</v>
      </c>
      <c r="E684" s="37" t="s">
        <v>114</v>
      </c>
      <c r="F684" s="38" t="s">
        <v>202</v>
      </c>
    </row>
    <row r="685" spans="1:6" ht="13.5">
      <c r="A685" s="35">
        <v>41791</v>
      </c>
      <c r="B685" s="37" t="s">
        <v>1097</v>
      </c>
      <c r="C685" s="37" t="s">
        <v>1070</v>
      </c>
      <c r="D685" s="37" t="s">
        <v>365</v>
      </c>
      <c r="E685" s="37" t="s">
        <v>114</v>
      </c>
      <c r="F685" s="38" t="s">
        <v>202</v>
      </c>
    </row>
    <row r="686" spans="1:6" ht="13.5">
      <c r="A686" s="35">
        <v>41799</v>
      </c>
      <c r="B686" s="37" t="s">
        <v>1098</v>
      </c>
      <c r="C686" s="37" t="s">
        <v>1070</v>
      </c>
      <c r="D686" s="37" t="s">
        <v>365</v>
      </c>
      <c r="E686" s="37" t="s">
        <v>114</v>
      </c>
      <c r="F686" s="38" t="s">
        <v>148</v>
      </c>
    </row>
    <row r="687" spans="1:6" ht="13.5">
      <c r="A687" s="35">
        <v>41801</v>
      </c>
      <c r="B687" s="37" t="s">
        <v>1099</v>
      </c>
      <c r="C687" s="37" t="s">
        <v>1070</v>
      </c>
      <c r="D687" s="37" t="s">
        <v>365</v>
      </c>
      <c r="E687" s="37" t="s">
        <v>114</v>
      </c>
      <c r="F687" s="38" t="s">
        <v>148</v>
      </c>
    </row>
    <row r="688" spans="1:6" ht="13.5">
      <c r="A688" s="35">
        <v>41797</v>
      </c>
      <c r="B688" s="37" t="s">
        <v>1100</v>
      </c>
      <c r="C688" s="37" t="s">
        <v>1070</v>
      </c>
      <c r="D688" s="37" t="s">
        <v>365</v>
      </c>
      <c r="E688" s="37" t="s">
        <v>114</v>
      </c>
      <c r="F688" s="38" t="s">
        <v>148</v>
      </c>
    </row>
    <row r="689" spans="1:6" ht="13.5">
      <c r="A689" s="35">
        <v>41807</v>
      </c>
      <c r="B689" s="37" t="s">
        <v>1101</v>
      </c>
      <c r="C689" s="37" t="s">
        <v>1070</v>
      </c>
      <c r="D689" s="37" t="s">
        <v>365</v>
      </c>
      <c r="E689" s="37" t="s">
        <v>114</v>
      </c>
      <c r="F689" s="38" t="s">
        <v>202</v>
      </c>
    </row>
    <row r="690" spans="1:6" ht="13.5">
      <c r="A690" s="35">
        <v>41872</v>
      </c>
      <c r="B690" s="37" t="s">
        <v>1102</v>
      </c>
      <c r="C690" s="37" t="s">
        <v>1070</v>
      </c>
      <c r="D690" s="37" t="s">
        <v>365</v>
      </c>
      <c r="E690" s="37" t="s">
        <v>114</v>
      </c>
      <c r="F690" s="38" t="s">
        <v>148</v>
      </c>
    </row>
    <row r="691" spans="1:6" ht="13.5">
      <c r="A691" s="35">
        <v>41885</v>
      </c>
      <c r="B691" s="37" t="s">
        <v>1103</v>
      </c>
      <c r="C691" s="37" t="s">
        <v>1070</v>
      </c>
      <c r="D691" s="37" t="s">
        <v>365</v>
      </c>
      <c r="E691" s="37" t="s">
        <v>114</v>
      </c>
      <c r="F691" s="38" t="s">
        <v>148</v>
      </c>
    </row>
    <row r="692" spans="1:6" ht="13.5">
      <c r="A692" s="35">
        <v>44035</v>
      </c>
      <c r="B692" s="36" t="s">
        <v>803</v>
      </c>
      <c r="C692" s="37" t="s">
        <v>1104</v>
      </c>
      <c r="D692" s="37" t="s">
        <v>622</v>
      </c>
      <c r="E692" s="37" t="s">
        <v>114</v>
      </c>
      <c r="F692" s="38" t="s">
        <v>202</v>
      </c>
    </row>
    <row r="693" spans="1:6" ht="13.5">
      <c r="A693" s="35">
        <v>44560</v>
      </c>
      <c r="B693" s="36" t="s">
        <v>869</v>
      </c>
      <c r="C693" s="37" t="s">
        <v>1104</v>
      </c>
      <c r="D693" s="37" t="s">
        <v>1105</v>
      </c>
      <c r="E693" s="37" t="s">
        <v>114</v>
      </c>
      <c r="F693" s="38" t="s">
        <v>344</v>
      </c>
    </row>
    <row r="694" spans="1:6" ht="13.5">
      <c r="A694" s="35">
        <v>44874</v>
      </c>
      <c r="B694" s="36" t="s">
        <v>627</v>
      </c>
      <c r="C694" s="37" t="s">
        <v>1104</v>
      </c>
      <c r="D694" s="37" t="s">
        <v>622</v>
      </c>
      <c r="E694" s="37" t="s">
        <v>114</v>
      </c>
      <c r="F694" s="38" t="s">
        <v>148</v>
      </c>
    </row>
    <row r="695" spans="1:6" ht="13.5">
      <c r="A695" s="35">
        <v>44078</v>
      </c>
      <c r="B695" s="37" t="s">
        <v>1106</v>
      </c>
      <c r="C695" s="37" t="s">
        <v>1104</v>
      </c>
      <c r="D695" s="37" t="s">
        <v>622</v>
      </c>
      <c r="E695" s="37" t="s">
        <v>114</v>
      </c>
      <c r="F695" s="38" t="s">
        <v>148</v>
      </c>
    </row>
    <row r="696" spans="1:6" ht="13.5">
      <c r="A696" s="35">
        <v>44090</v>
      </c>
      <c r="B696" s="37" t="s">
        <v>1107</v>
      </c>
      <c r="C696" s="37" t="s">
        <v>1104</v>
      </c>
      <c r="D696" s="37" t="s">
        <v>1105</v>
      </c>
      <c r="E696" s="37" t="s">
        <v>114</v>
      </c>
      <c r="F696" s="38" t="s">
        <v>202</v>
      </c>
    </row>
    <row r="697" spans="1:6" ht="13.5">
      <c r="A697" s="35">
        <v>44098</v>
      </c>
      <c r="B697" s="37" t="s">
        <v>1108</v>
      </c>
      <c r="C697" s="37" t="s">
        <v>1104</v>
      </c>
      <c r="D697" s="37" t="s">
        <v>622</v>
      </c>
      <c r="E697" s="37" t="s">
        <v>114</v>
      </c>
      <c r="F697" s="38" t="s">
        <v>148</v>
      </c>
    </row>
    <row r="698" spans="1:6" ht="13.5">
      <c r="A698" s="35">
        <v>44110</v>
      </c>
      <c r="B698" s="37" t="s">
        <v>1109</v>
      </c>
      <c r="C698" s="37" t="s">
        <v>1104</v>
      </c>
      <c r="D698" s="37" t="s">
        <v>622</v>
      </c>
      <c r="E698" s="37" t="s">
        <v>114</v>
      </c>
      <c r="F698" s="38" t="s">
        <v>148</v>
      </c>
    </row>
    <row r="699" spans="1:6" ht="13.5">
      <c r="A699" s="35">
        <v>44279</v>
      </c>
      <c r="B699" s="37" t="s">
        <v>1110</v>
      </c>
      <c r="C699" s="37" t="s">
        <v>1104</v>
      </c>
      <c r="D699" s="37" t="s">
        <v>622</v>
      </c>
      <c r="E699" s="37" t="s">
        <v>114</v>
      </c>
      <c r="F699" s="38" t="s">
        <v>148</v>
      </c>
    </row>
    <row r="700" spans="1:6" ht="13.5">
      <c r="A700" s="35">
        <v>44378</v>
      </c>
      <c r="B700" s="37" t="s">
        <v>1111</v>
      </c>
      <c r="C700" s="37" t="s">
        <v>1104</v>
      </c>
      <c r="D700" s="37" t="s">
        <v>622</v>
      </c>
      <c r="E700" s="37" t="s">
        <v>114</v>
      </c>
      <c r="F700" s="38" t="s">
        <v>202</v>
      </c>
    </row>
    <row r="701" spans="1:6" ht="13.5">
      <c r="A701" s="35">
        <v>44420</v>
      </c>
      <c r="B701" s="37" t="s">
        <v>1112</v>
      </c>
      <c r="C701" s="37" t="s">
        <v>1104</v>
      </c>
      <c r="D701" s="37" t="s">
        <v>622</v>
      </c>
      <c r="E701" s="37" t="s">
        <v>114</v>
      </c>
      <c r="F701" s="38" t="s">
        <v>148</v>
      </c>
    </row>
    <row r="702" spans="1:6" ht="13.5">
      <c r="A702" s="35">
        <v>44430</v>
      </c>
      <c r="B702" s="37" t="s">
        <v>1113</v>
      </c>
      <c r="C702" s="37" t="s">
        <v>1104</v>
      </c>
      <c r="D702" s="37" t="s">
        <v>1105</v>
      </c>
      <c r="E702" s="37" t="s">
        <v>114</v>
      </c>
      <c r="F702" s="38" t="s">
        <v>344</v>
      </c>
    </row>
    <row r="703" spans="1:6" ht="13.5">
      <c r="A703" s="35">
        <v>44001</v>
      </c>
      <c r="B703" s="37" t="s">
        <v>1114</v>
      </c>
      <c r="C703" s="37" t="s">
        <v>1104</v>
      </c>
      <c r="D703" s="37" t="s">
        <v>1105</v>
      </c>
      <c r="E703" s="37" t="s">
        <v>114</v>
      </c>
      <c r="F703" s="38" t="s">
        <v>202</v>
      </c>
    </row>
    <row r="704" spans="1:6" ht="13.5">
      <c r="A704" s="35">
        <v>44650</v>
      </c>
      <c r="B704" s="37" t="s">
        <v>1115</v>
      </c>
      <c r="C704" s="37" t="s">
        <v>1104</v>
      </c>
      <c r="D704" s="37" t="s">
        <v>622</v>
      </c>
      <c r="E704" s="37" t="s">
        <v>114</v>
      </c>
      <c r="F704" s="38" t="s">
        <v>148</v>
      </c>
    </row>
    <row r="705" spans="1:6" ht="13.5">
      <c r="A705" s="35">
        <v>44847</v>
      </c>
      <c r="B705" s="37" t="s">
        <v>1116</v>
      </c>
      <c r="C705" s="37" t="s">
        <v>1104</v>
      </c>
      <c r="D705" s="37" t="s">
        <v>1105</v>
      </c>
      <c r="E705" s="37" t="s">
        <v>114</v>
      </c>
      <c r="F705" s="38" t="s">
        <v>344</v>
      </c>
    </row>
    <row r="706" spans="1:6" ht="13.5">
      <c r="A706" s="35">
        <v>44855</v>
      </c>
      <c r="B706" s="37" t="s">
        <v>1117</v>
      </c>
      <c r="C706" s="37" t="s">
        <v>1104</v>
      </c>
      <c r="D706" s="37" t="s">
        <v>622</v>
      </c>
      <c r="E706" s="37" t="s">
        <v>114</v>
      </c>
      <c r="F706" s="38" t="s">
        <v>148</v>
      </c>
    </row>
    <row r="707" spans="1:6" ht="13.5">
      <c r="A707" s="35">
        <v>47189</v>
      </c>
      <c r="B707" s="36" t="s">
        <v>668</v>
      </c>
      <c r="C707" s="37" t="s">
        <v>1118</v>
      </c>
      <c r="D707" s="37" t="s">
        <v>1105</v>
      </c>
      <c r="E707" s="37" t="s">
        <v>114</v>
      </c>
      <c r="F707" s="38" t="s">
        <v>148</v>
      </c>
    </row>
    <row r="708" spans="1:6" ht="13.5">
      <c r="A708" s="35">
        <v>47205</v>
      </c>
      <c r="B708" s="36" t="s">
        <v>479</v>
      </c>
      <c r="C708" s="37" t="s">
        <v>1118</v>
      </c>
      <c r="D708" s="37" t="s">
        <v>598</v>
      </c>
      <c r="E708" s="37" t="s">
        <v>114</v>
      </c>
      <c r="F708" s="38" t="s">
        <v>202</v>
      </c>
    </row>
    <row r="709" spans="1:6" ht="13.5">
      <c r="A709" s="35">
        <v>47318</v>
      </c>
      <c r="B709" s="36" t="s">
        <v>1119</v>
      </c>
      <c r="C709" s="37" t="s">
        <v>1118</v>
      </c>
      <c r="D709" s="37" t="s">
        <v>1105</v>
      </c>
      <c r="E709" s="37" t="s">
        <v>114</v>
      </c>
      <c r="F709" s="38" t="s">
        <v>344</v>
      </c>
    </row>
    <row r="710" spans="1:6" ht="13.5">
      <c r="A710" s="35">
        <v>47675</v>
      </c>
      <c r="B710" s="36" t="s">
        <v>780</v>
      </c>
      <c r="C710" s="37" t="s">
        <v>1118</v>
      </c>
      <c r="D710" s="37" t="s">
        <v>598</v>
      </c>
      <c r="E710" s="37" t="s">
        <v>114</v>
      </c>
      <c r="F710" s="38" t="s">
        <v>148</v>
      </c>
    </row>
    <row r="711" spans="1:6" ht="13.5">
      <c r="A711" s="35">
        <v>47030</v>
      </c>
      <c r="B711" s="37" t="s">
        <v>1120</v>
      </c>
      <c r="C711" s="37" t="s">
        <v>1118</v>
      </c>
      <c r="D711" s="37" t="s">
        <v>1105</v>
      </c>
      <c r="E711" s="37" t="s">
        <v>114</v>
      </c>
      <c r="F711" s="38" t="s">
        <v>344</v>
      </c>
    </row>
    <row r="712" spans="1:6" ht="13.5">
      <c r="A712" s="35">
        <v>47053</v>
      </c>
      <c r="B712" s="37" t="s">
        <v>1121</v>
      </c>
      <c r="C712" s="37" t="s">
        <v>1118</v>
      </c>
      <c r="D712" s="37" t="s">
        <v>1105</v>
      </c>
      <c r="E712" s="37" t="s">
        <v>114</v>
      </c>
      <c r="F712" s="38" t="s">
        <v>202</v>
      </c>
    </row>
    <row r="713" spans="1:6" ht="13.5">
      <c r="A713" s="35">
        <v>47058</v>
      </c>
      <c r="B713" s="37" t="s">
        <v>1122</v>
      </c>
      <c r="C713" s="37" t="s">
        <v>1118</v>
      </c>
      <c r="D713" s="37" t="s">
        <v>622</v>
      </c>
      <c r="E713" s="37" t="s">
        <v>114</v>
      </c>
      <c r="F713" s="38" t="s">
        <v>202</v>
      </c>
    </row>
    <row r="714" spans="1:6" ht="13.5">
      <c r="A714" s="35">
        <v>47161</v>
      </c>
      <c r="B714" s="37" t="s">
        <v>1123</v>
      </c>
      <c r="C714" s="37" t="s">
        <v>1118</v>
      </c>
      <c r="D714" s="37" t="s">
        <v>598</v>
      </c>
      <c r="E714" s="37" t="s">
        <v>114</v>
      </c>
      <c r="F714" s="38" t="s">
        <v>344</v>
      </c>
    </row>
    <row r="715" spans="1:6" ht="13.5">
      <c r="A715" s="35">
        <v>47170</v>
      </c>
      <c r="B715" s="37" t="s">
        <v>1124</v>
      </c>
      <c r="C715" s="37" t="s">
        <v>1118</v>
      </c>
      <c r="D715" s="37" t="s">
        <v>1105</v>
      </c>
      <c r="E715" s="37" t="s">
        <v>114</v>
      </c>
      <c r="F715" s="38" t="s">
        <v>344</v>
      </c>
    </row>
    <row r="716" spans="1:6" ht="13.5">
      <c r="A716" s="35">
        <v>47245</v>
      </c>
      <c r="B716" s="37" t="s">
        <v>1125</v>
      </c>
      <c r="C716" s="37" t="s">
        <v>1118</v>
      </c>
      <c r="D716" s="37" t="s">
        <v>1105</v>
      </c>
      <c r="E716" s="37" t="s">
        <v>114</v>
      </c>
      <c r="F716" s="38" t="s">
        <v>344</v>
      </c>
    </row>
    <row r="717" spans="1:6" ht="13.5">
      <c r="A717" s="35">
        <v>47258</v>
      </c>
      <c r="B717" s="37" t="s">
        <v>1126</v>
      </c>
      <c r="C717" s="37" t="s">
        <v>1118</v>
      </c>
      <c r="D717" s="37" t="s">
        <v>598</v>
      </c>
      <c r="E717" s="37" t="s">
        <v>114</v>
      </c>
      <c r="F717" s="38" t="s">
        <v>202</v>
      </c>
    </row>
    <row r="718" spans="1:6" ht="13.5">
      <c r="A718" s="35">
        <v>47268</v>
      </c>
      <c r="B718" s="37" t="s">
        <v>1127</v>
      </c>
      <c r="C718" s="37" t="s">
        <v>1118</v>
      </c>
      <c r="D718" s="37" t="s">
        <v>1105</v>
      </c>
      <c r="E718" s="37" t="s">
        <v>114</v>
      </c>
      <c r="F718" s="38" t="s">
        <v>202</v>
      </c>
    </row>
    <row r="719" spans="1:6" ht="13.5">
      <c r="A719" s="35">
        <v>47288</v>
      </c>
      <c r="B719" s="37" t="s">
        <v>1128</v>
      </c>
      <c r="C719" s="37" t="s">
        <v>1118</v>
      </c>
      <c r="D719" s="37" t="s">
        <v>1105</v>
      </c>
      <c r="E719" s="37" t="s">
        <v>114</v>
      </c>
      <c r="F719" s="38" t="s">
        <v>202</v>
      </c>
    </row>
    <row r="720" spans="1:6" ht="13.5">
      <c r="A720" s="35">
        <v>47460</v>
      </c>
      <c r="B720" s="37" t="s">
        <v>1129</v>
      </c>
      <c r="C720" s="37" t="s">
        <v>1118</v>
      </c>
      <c r="D720" s="37" t="s">
        <v>622</v>
      </c>
      <c r="E720" s="37" t="s">
        <v>114</v>
      </c>
      <c r="F720" s="38" t="s">
        <v>344</v>
      </c>
    </row>
    <row r="721" spans="1:6" ht="13.5">
      <c r="A721" s="35">
        <v>47541</v>
      </c>
      <c r="B721" s="37" t="s">
        <v>1130</v>
      </c>
      <c r="C721" s="37" t="s">
        <v>1118</v>
      </c>
      <c r="D721" s="37" t="s">
        <v>598</v>
      </c>
      <c r="E721" s="37" t="s">
        <v>114</v>
      </c>
      <c r="F721" s="38" t="s">
        <v>202</v>
      </c>
    </row>
    <row r="722" spans="1:6" ht="13.5">
      <c r="A722" s="35">
        <v>47545</v>
      </c>
      <c r="B722" s="37" t="s">
        <v>1131</v>
      </c>
      <c r="C722" s="37" t="s">
        <v>1118</v>
      </c>
      <c r="D722" s="37" t="s">
        <v>1105</v>
      </c>
      <c r="E722" s="37" t="s">
        <v>114</v>
      </c>
      <c r="F722" s="38" t="s">
        <v>344</v>
      </c>
    </row>
    <row r="723" spans="1:6" ht="13.5">
      <c r="A723" s="35">
        <v>47551</v>
      </c>
      <c r="B723" s="37" t="s">
        <v>1132</v>
      </c>
      <c r="C723" s="37" t="s">
        <v>1118</v>
      </c>
      <c r="D723" s="37" t="s">
        <v>1105</v>
      </c>
      <c r="E723" s="37" t="s">
        <v>114</v>
      </c>
      <c r="F723" s="38" t="s">
        <v>344</v>
      </c>
    </row>
    <row r="724" spans="1:6" ht="13.5">
      <c r="A724" s="35">
        <v>47555</v>
      </c>
      <c r="B724" s="37" t="s">
        <v>1133</v>
      </c>
      <c r="C724" s="37" t="s">
        <v>1118</v>
      </c>
      <c r="D724" s="37" t="s">
        <v>1105</v>
      </c>
      <c r="E724" s="37" t="s">
        <v>114</v>
      </c>
      <c r="F724" s="38" t="s">
        <v>344</v>
      </c>
    </row>
    <row r="725" spans="1:6" ht="13.5">
      <c r="A725" s="35">
        <v>47570</v>
      </c>
      <c r="B725" s="37" t="s">
        <v>1134</v>
      </c>
      <c r="C725" s="37" t="s">
        <v>1118</v>
      </c>
      <c r="D725" s="37" t="s">
        <v>1105</v>
      </c>
      <c r="E725" s="37" t="s">
        <v>114</v>
      </c>
      <c r="F725" s="38" t="s">
        <v>148</v>
      </c>
    </row>
    <row r="726" spans="1:6" ht="13.5">
      <c r="A726" s="35">
        <v>47605</v>
      </c>
      <c r="B726" s="37" t="s">
        <v>1135</v>
      </c>
      <c r="C726" s="37" t="s">
        <v>1118</v>
      </c>
      <c r="D726" s="37" t="s">
        <v>598</v>
      </c>
      <c r="E726" s="37" t="s">
        <v>114</v>
      </c>
      <c r="F726" s="38" t="s">
        <v>202</v>
      </c>
    </row>
    <row r="727" spans="1:6" ht="13.5">
      <c r="A727" s="35">
        <v>47660</v>
      </c>
      <c r="B727" s="37" t="s">
        <v>1136</v>
      </c>
      <c r="C727" s="37" t="s">
        <v>1118</v>
      </c>
      <c r="D727" s="37" t="s">
        <v>1105</v>
      </c>
      <c r="E727" s="37" t="s">
        <v>114</v>
      </c>
      <c r="F727" s="38" t="s">
        <v>344</v>
      </c>
    </row>
    <row r="728" spans="1:6" ht="13.5">
      <c r="A728" s="35">
        <v>47692</v>
      </c>
      <c r="B728" s="37" t="s">
        <v>1137</v>
      </c>
      <c r="C728" s="37" t="s">
        <v>1118</v>
      </c>
      <c r="D728" s="37" t="s">
        <v>1105</v>
      </c>
      <c r="E728" s="37" t="s">
        <v>114</v>
      </c>
      <c r="F728" s="38" t="s">
        <v>344</v>
      </c>
    </row>
    <row r="729" spans="1:6" ht="13.5">
      <c r="A729" s="35">
        <v>47703</v>
      </c>
      <c r="B729" s="37" t="s">
        <v>1138</v>
      </c>
      <c r="C729" s="37" t="s">
        <v>1118</v>
      </c>
      <c r="D729" s="37" t="s">
        <v>1105</v>
      </c>
      <c r="E729" s="37" t="s">
        <v>114</v>
      </c>
      <c r="F729" s="38" t="s">
        <v>344</v>
      </c>
    </row>
    <row r="730" spans="1:6" ht="13.5">
      <c r="A730" s="35">
        <v>47707</v>
      </c>
      <c r="B730" s="37" t="s">
        <v>1139</v>
      </c>
      <c r="C730" s="37" t="s">
        <v>1118</v>
      </c>
      <c r="D730" s="37" t="s">
        <v>1105</v>
      </c>
      <c r="E730" s="37" t="s">
        <v>114</v>
      </c>
      <c r="F730" s="38" t="s">
        <v>344</v>
      </c>
    </row>
    <row r="731" spans="1:6" ht="13.5">
      <c r="A731" s="35">
        <v>47720</v>
      </c>
      <c r="B731" s="37" t="s">
        <v>1140</v>
      </c>
      <c r="C731" s="37" t="s">
        <v>1118</v>
      </c>
      <c r="D731" s="37" t="s">
        <v>1105</v>
      </c>
      <c r="E731" s="37" t="s">
        <v>114</v>
      </c>
      <c r="F731" s="38" t="s">
        <v>344</v>
      </c>
    </row>
    <row r="732" spans="1:6" ht="13.5">
      <c r="A732" s="35">
        <v>47001</v>
      </c>
      <c r="B732" s="37" t="s">
        <v>1105</v>
      </c>
      <c r="C732" s="37" t="s">
        <v>1118</v>
      </c>
      <c r="D732" s="37" t="s">
        <v>1105</v>
      </c>
      <c r="E732" s="37" t="s">
        <v>114</v>
      </c>
      <c r="F732" s="38" t="s">
        <v>113</v>
      </c>
    </row>
    <row r="733" spans="1:6" ht="13.5">
      <c r="A733" s="35">
        <v>47745</v>
      </c>
      <c r="B733" s="37" t="s">
        <v>1141</v>
      </c>
      <c r="C733" s="37" t="s">
        <v>1118</v>
      </c>
      <c r="D733" s="37" t="s">
        <v>598</v>
      </c>
      <c r="E733" s="37" t="s">
        <v>114</v>
      </c>
      <c r="F733" s="38" t="s">
        <v>148</v>
      </c>
    </row>
    <row r="734" spans="1:6" ht="13.5">
      <c r="A734" s="35">
        <v>47798</v>
      </c>
      <c r="B734" s="37" t="s">
        <v>1142</v>
      </c>
      <c r="C734" s="37" t="s">
        <v>1118</v>
      </c>
      <c r="D734" s="37" t="s">
        <v>1105</v>
      </c>
      <c r="E734" s="37" t="s">
        <v>114</v>
      </c>
      <c r="F734" s="38" t="s">
        <v>344</v>
      </c>
    </row>
    <row r="735" spans="1:6" ht="13.5">
      <c r="A735" s="35">
        <v>47960</v>
      </c>
      <c r="B735" s="37" t="s">
        <v>1143</v>
      </c>
      <c r="C735" s="37" t="s">
        <v>1118</v>
      </c>
      <c r="D735" s="37" t="s">
        <v>598</v>
      </c>
      <c r="E735" s="37" t="s">
        <v>548</v>
      </c>
      <c r="F735" s="38" t="s">
        <v>462</v>
      </c>
    </row>
    <row r="736" spans="1:6" ht="13.5">
      <c r="A736" s="35">
        <v>47980</v>
      </c>
      <c r="B736" s="37" t="s">
        <v>1144</v>
      </c>
      <c r="C736" s="37" t="s">
        <v>1118</v>
      </c>
      <c r="D736" s="37" t="s">
        <v>1105</v>
      </c>
      <c r="E736" s="37" t="s">
        <v>114</v>
      </c>
      <c r="F736" s="38" t="s">
        <v>148</v>
      </c>
    </row>
    <row r="737" spans="1:6" ht="13.5">
      <c r="A737" s="35">
        <v>50313</v>
      </c>
      <c r="B737" s="36" t="s">
        <v>480</v>
      </c>
      <c r="C737" s="37" t="s">
        <v>324</v>
      </c>
      <c r="D737" s="37" t="s">
        <v>322</v>
      </c>
      <c r="E737" s="37" t="s">
        <v>114</v>
      </c>
      <c r="F737" s="38" t="s">
        <v>148</v>
      </c>
    </row>
    <row r="738" spans="1:6" ht="13.5">
      <c r="A738" s="35">
        <v>50318</v>
      </c>
      <c r="B738" s="36" t="s">
        <v>1119</v>
      </c>
      <c r="C738" s="37" t="s">
        <v>324</v>
      </c>
      <c r="D738" s="37" t="s">
        <v>322</v>
      </c>
      <c r="E738" s="37" t="s">
        <v>114</v>
      </c>
      <c r="F738" s="38" t="s">
        <v>148</v>
      </c>
    </row>
    <row r="739" spans="1:6" ht="13.5">
      <c r="A739" s="35">
        <v>50590</v>
      </c>
      <c r="B739" s="36" t="s">
        <v>804</v>
      </c>
      <c r="C739" s="37" t="s">
        <v>324</v>
      </c>
      <c r="D739" s="37" t="s">
        <v>322</v>
      </c>
      <c r="E739" s="37" t="s">
        <v>114</v>
      </c>
      <c r="F739" s="38" t="s">
        <v>344</v>
      </c>
    </row>
    <row r="740" spans="1:6" ht="13.5">
      <c r="A740" s="35">
        <v>50606</v>
      </c>
      <c r="B740" s="36" t="s">
        <v>262</v>
      </c>
      <c r="C740" s="37" t="s">
        <v>324</v>
      </c>
      <c r="D740" s="37" t="s">
        <v>322</v>
      </c>
      <c r="E740" s="37" t="s">
        <v>114</v>
      </c>
      <c r="F740" s="38" t="s">
        <v>148</v>
      </c>
    </row>
    <row r="741" spans="1:6" ht="13.5">
      <c r="A741" s="35">
        <v>50689</v>
      </c>
      <c r="B741" s="36" t="s">
        <v>870</v>
      </c>
      <c r="C741" s="37" t="s">
        <v>324</v>
      </c>
      <c r="D741" s="37" t="s">
        <v>322</v>
      </c>
      <c r="E741" s="37" t="s">
        <v>114</v>
      </c>
      <c r="F741" s="38" t="s">
        <v>148</v>
      </c>
    </row>
    <row r="742" spans="1:6" ht="13.5">
      <c r="A742" s="35">
        <v>50006</v>
      </c>
      <c r="B742" s="37" t="s">
        <v>325</v>
      </c>
      <c r="C742" s="37" t="s">
        <v>324</v>
      </c>
      <c r="D742" s="37" t="s">
        <v>322</v>
      </c>
      <c r="E742" s="37" t="s">
        <v>114</v>
      </c>
      <c r="F742" s="38" t="s">
        <v>148</v>
      </c>
    </row>
    <row r="743" spans="1:6" ht="13.5">
      <c r="A743" s="35">
        <v>50110</v>
      </c>
      <c r="B743" s="37" t="s">
        <v>1145</v>
      </c>
      <c r="C743" s="37" t="s">
        <v>324</v>
      </c>
      <c r="D743" s="37" t="s">
        <v>322</v>
      </c>
      <c r="E743" s="37" t="s">
        <v>114</v>
      </c>
      <c r="F743" s="38" t="s">
        <v>148</v>
      </c>
    </row>
    <row r="744" spans="1:6" ht="13.5">
      <c r="A744" s="35">
        <v>50124</v>
      </c>
      <c r="B744" s="37" t="s">
        <v>1146</v>
      </c>
      <c r="C744" s="37" t="s">
        <v>324</v>
      </c>
      <c r="D744" s="37" t="s">
        <v>322</v>
      </c>
      <c r="E744" s="37" t="s">
        <v>114</v>
      </c>
      <c r="F744" s="38" t="s">
        <v>202</v>
      </c>
    </row>
    <row r="745" spans="1:6" ht="13.5">
      <c r="A745" s="35">
        <v>50150</v>
      </c>
      <c r="B745" s="37" t="s">
        <v>1147</v>
      </c>
      <c r="C745" s="37" t="s">
        <v>324</v>
      </c>
      <c r="D745" s="37" t="s">
        <v>322</v>
      </c>
      <c r="E745" s="37" t="s">
        <v>114</v>
      </c>
      <c r="F745" s="38" t="s">
        <v>148</v>
      </c>
    </row>
    <row r="746" spans="1:6" ht="13.5">
      <c r="A746" s="35">
        <v>50223</v>
      </c>
      <c r="B746" s="37" t="s">
        <v>1148</v>
      </c>
      <c r="C746" s="37" t="s">
        <v>324</v>
      </c>
      <c r="D746" s="37" t="s">
        <v>322</v>
      </c>
      <c r="E746" s="37" t="s">
        <v>114</v>
      </c>
      <c r="F746" s="38" t="s">
        <v>148</v>
      </c>
    </row>
    <row r="747" spans="1:6" ht="13.5">
      <c r="A747" s="35">
        <v>50226</v>
      </c>
      <c r="B747" s="37" t="s">
        <v>1149</v>
      </c>
      <c r="C747" s="37" t="s">
        <v>324</v>
      </c>
      <c r="D747" s="37" t="s">
        <v>322</v>
      </c>
      <c r="E747" s="37" t="s">
        <v>114</v>
      </c>
      <c r="F747" s="38" t="s">
        <v>148</v>
      </c>
    </row>
    <row r="748" spans="1:6" ht="13.5">
      <c r="A748" s="35">
        <v>50245</v>
      </c>
      <c r="B748" s="37" t="s">
        <v>1150</v>
      </c>
      <c r="C748" s="37" t="s">
        <v>324</v>
      </c>
      <c r="D748" s="37" t="s">
        <v>322</v>
      </c>
      <c r="E748" s="37" t="s">
        <v>114</v>
      </c>
      <c r="F748" s="38" t="s">
        <v>344</v>
      </c>
    </row>
    <row r="749" spans="1:6" ht="13.5">
      <c r="A749" s="35">
        <v>50251</v>
      </c>
      <c r="B749" s="37" t="s">
        <v>1151</v>
      </c>
      <c r="C749" s="37" t="s">
        <v>324</v>
      </c>
      <c r="D749" s="37" t="s">
        <v>322</v>
      </c>
      <c r="E749" s="37" t="s">
        <v>114</v>
      </c>
      <c r="F749" s="38" t="s">
        <v>148</v>
      </c>
    </row>
    <row r="750" spans="1:6" ht="13.5">
      <c r="A750" s="35">
        <v>50270</v>
      </c>
      <c r="B750" s="37" t="s">
        <v>1152</v>
      </c>
      <c r="C750" s="37" t="s">
        <v>324</v>
      </c>
      <c r="D750" s="37" t="s">
        <v>322</v>
      </c>
      <c r="E750" s="37" t="s">
        <v>114</v>
      </c>
      <c r="F750" s="38" t="s">
        <v>148</v>
      </c>
    </row>
    <row r="751" spans="1:6" ht="13.5">
      <c r="A751" s="35">
        <v>50287</v>
      </c>
      <c r="B751" s="37" t="s">
        <v>1153</v>
      </c>
      <c r="C751" s="37" t="s">
        <v>324</v>
      </c>
      <c r="D751" s="37" t="s">
        <v>322</v>
      </c>
      <c r="E751" s="37" t="s">
        <v>114</v>
      </c>
      <c r="F751" s="38" t="s">
        <v>202</v>
      </c>
    </row>
    <row r="752" spans="1:6" ht="13.5">
      <c r="A752" s="35">
        <v>50350</v>
      </c>
      <c r="B752" s="37" t="s">
        <v>1154</v>
      </c>
      <c r="C752" s="37" t="s">
        <v>324</v>
      </c>
      <c r="D752" s="37" t="s">
        <v>322</v>
      </c>
      <c r="E752" s="37" t="s">
        <v>461</v>
      </c>
      <c r="F752" s="38" t="s">
        <v>462</v>
      </c>
    </row>
    <row r="753" spans="1:6" ht="13.5">
      <c r="A753" s="35">
        <v>50400</v>
      </c>
      <c r="B753" s="37" t="s">
        <v>1155</v>
      </c>
      <c r="C753" s="37" t="s">
        <v>324</v>
      </c>
      <c r="D753" s="37" t="s">
        <v>322</v>
      </c>
      <c r="E753" s="37" t="s">
        <v>114</v>
      </c>
      <c r="F753" s="38" t="s">
        <v>202</v>
      </c>
    </row>
    <row r="754" spans="1:6" ht="13.5">
      <c r="A754" s="35">
        <v>50325</v>
      </c>
      <c r="B754" s="37" t="s">
        <v>1156</v>
      </c>
      <c r="C754" s="37" t="s">
        <v>324</v>
      </c>
      <c r="D754" s="37" t="s">
        <v>322</v>
      </c>
      <c r="E754" s="37" t="s">
        <v>461</v>
      </c>
      <c r="F754" s="38" t="s">
        <v>462</v>
      </c>
    </row>
    <row r="755" spans="1:6" ht="13.5">
      <c r="A755" s="35">
        <v>50330</v>
      </c>
      <c r="B755" s="37" t="s">
        <v>1157</v>
      </c>
      <c r="C755" s="37" t="s">
        <v>324</v>
      </c>
      <c r="D755" s="37" t="s">
        <v>322</v>
      </c>
      <c r="E755" s="37" t="s">
        <v>114</v>
      </c>
      <c r="F755" s="38" t="s">
        <v>202</v>
      </c>
    </row>
    <row r="756" spans="1:6" ht="13.5">
      <c r="A756" s="35">
        <v>50450</v>
      </c>
      <c r="B756" s="37" t="s">
        <v>1158</v>
      </c>
      <c r="C756" s="37" t="s">
        <v>324</v>
      </c>
      <c r="D756" s="37" t="s">
        <v>322</v>
      </c>
      <c r="E756" s="37" t="s">
        <v>114</v>
      </c>
      <c r="F756" s="38" t="s">
        <v>344</v>
      </c>
    </row>
    <row r="757" spans="1:6" ht="13.5">
      <c r="A757" s="35">
        <v>50568</v>
      </c>
      <c r="B757" s="37" t="s">
        <v>1159</v>
      </c>
      <c r="C757" s="37" t="s">
        <v>324</v>
      </c>
      <c r="D757" s="37" t="s">
        <v>322</v>
      </c>
      <c r="E757" s="37" t="s">
        <v>114</v>
      </c>
      <c r="F757" s="38" t="s">
        <v>202</v>
      </c>
    </row>
    <row r="758" spans="1:6" ht="13.5">
      <c r="A758" s="35">
        <v>50577</v>
      </c>
      <c r="B758" s="37" t="s">
        <v>1160</v>
      </c>
      <c r="C758" s="37" t="s">
        <v>324</v>
      </c>
      <c r="D758" s="37" t="s">
        <v>322</v>
      </c>
      <c r="E758" s="37" t="s">
        <v>114</v>
      </c>
      <c r="F758" s="38" t="s">
        <v>202</v>
      </c>
    </row>
    <row r="759" spans="1:6" ht="13.5">
      <c r="A759" s="35">
        <v>50573</v>
      </c>
      <c r="B759" s="37" t="s">
        <v>1161</v>
      </c>
      <c r="C759" s="37" t="s">
        <v>324</v>
      </c>
      <c r="D759" s="37" t="s">
        <v>322</v>
      </c>
      <c r="E759" s="37" t="s">
        <v>114</v>
      </c>
      <c r="F759" s="38" t="s">
        <v>148</v>
      </c>
    </row>
    <row r="760" spans="1:6" ht="13.5">
      <c r="A760" s="35">
        <v>50680</v>
      </c>
      <c r="B760" s="37" t="s">
        <v>1162</v>
      </c>
      <c r="C760" s="37" t="s">
        <v>324</v>
      </c>
      <c r="D760" s="37" t="s">
        <v>322</v>
      </c>
      <c r="E760" s="37" t="s">
        <v>114</v>
      </c>
      <c r="F760" s="38" t="s">
        <v>148</v>
      </c>
    </row>
    <row r="761" spans="1:6" ht="13.5">
      <c r="A761" s="35">
        <v>50683</v>
      </c>
      <c r="B761" s="37" t="s">
        <v>1163</v>
      </c>
      <c r="C761" s="37" t="s">
        <v>324</v>
      </c>
      <c r="D761" s="37" t="s">
        <v>322</v>
      </c>
      <c r="E761" s="37" t="s">
        <v>114</v>
      </c>
      <c r="F761" s="38" t="s">
        <v>202</v>
      </c>
    </row>
    <row r="762" spans="1:6" ht="13.5">
      <c r="A762" s="35">
        <v>50686</v>
      </c>
      <c r="B762" s="37" t="s">
        <v>1164</v>
      </c>
      <c r="C762" s="37" t="s">
        <v>324</v>
      </c>
      <c r="D762" s="37" t="s">
        <v>322</v>
      </c>
      <c r="E762" s="37" t="s">
        <v>114</v>
      </c>
      <c r="F762" s="38" t="s">
        <v>344</v>
      </c>
    </row>
    <row r="763" spans="1:6" ht="13.5">
      <c r="A763" s="35">
        <v>50370</v>
      </c>
      <c r="B763" s="37" t="s">
        <v>1165</v>
      </c>
      <c r="C763" s="37" t="s">
        <v>324</v>
      </c>
      <c r="D763" s="37" t="s">
        <v>322</v>
      </c>
      <c r="E763" s="37" t="s">
        <v>461</v>
      </c>
      <c r="F763" s="38" t="s">
        <v>462</v>
      </c>
    </row>
    <row r="764" spans="1:6" ht="13.5">
      <c r="A764" s="35">
        <v>50001</v>
      </c>
      <c r="B764" s="37" t="s">
        <v>322</v>
      </c>
      <c r="C764" s="37" t="s">
        <v>324</v>
      </c>
      <c r="D764" s="37" t="s">
        <v>322</v>
      </c>
      <c r="E764" s="37" t="s">
        <v>114</v>
      </c>
      <c r="F764" s="38" t="s">
        <v>113</v>
      </c>
    </row>
    <row r="765" spans="1:6" ht="13.5">
      <c r="A765" s="35">
        <v>50711</v>
      </c>
      <c r="B765" s="37" t="s">
        <v>1166</v>
      </c>
      <c r="C765" s="37" t="s">
        <v>324</v>
      </c>
      <c r="D765" s="37" t="s">
        <v>322</v>
      </c>
      <c r="E765" s="37" t="s">
        <v>114</v>
      </c>
      <c r="F765" s="38" t="s">
        <v>202</v>
      </c>
    </row>
    <row r="766" spans="1:6" ht="13.5">
      <c r="A766" s="35">
        <v>52019</v>
      </c>
      <c r="B766" s="36" t="s">
        <v>949</v>
      </c>
      <c r="C766" s="37" t="s">
        <v>377</v>
      </c>
      <c r="D766" s="37" t="s">
        <v>375</v>
      </c>
      <c r="E766" s="37" t="s">
        <v>114</v>
      </c>
      <c r="F766" s="38" t="s">
        <v>148</v>
      </c>
    </row>
    <row r="767" spans="1:6" ht="13.5">
      <c r="A767" s="35">
        <v>52083</v>
      </c>
      <c r="B767" s="36" t="s">
        <v>666</v>
      </c>
      <c r="C767" s="37" t="s">
        <v>377</v>
      </c>
      <c r="D767" s="37" t="s">
        <v>375</v>
      </c>
      <c r="E767" s="37" t="s">
        <v>114</v>
      </c>
      <c r="F767" s="38" t="s">
        <v>202</v>
      </c>
    </row>
    <row r="768" spans="1:6" ht="13.5">
      <c r="A768" s="35">
        <v>52203</v>
      </c>
      <c r="B768" s="36" t="s">
        <v>1167</v>
      </c>
      <c r="C768" s="37" t="s">
        <v>377</v>
      </c>
      <c r="D768" s="37" t="s">
        <v>375</v>
      </c>
      <c r="E768" s="37" t="s">
        <v>114</v>
      </c>
      <c r="F768" s="38" t="s">
        <v>344</v>
      </c>
    </row>
    <row r="769" spans="1:6" ht="13.5">
      <c r="A769" s="35">
        <v>52215</v>
      </c>
      <c r="B769" s="36" t="s">
        <v>620</v>
      </c>
      <c r="C769" s="37" t="s">
        <v>377</v>
      </c>
      <c r="D769" s="37" t="s">
        <v>375</v>
      </c>
      <c r="E769" s="37" t="s">
        <v>114</v>
      </c>
      <c r="F769" s="38" t="s">
        <v>148</v>
      </c>
    </row>
    <row r="770" spans="1:6" ht="13.5">
      <c r="A770" s="35">
        <v>52260</v>
      </c>
      <c r="B770" s="36" t="s">
        <v>833</v>
      </c>
      <c r="C770" s="37" t="s">
        <v>377</v>
      </c>
      <c r="D770" s="37" t="s">
        <v>375</v>
      </c>
      <c r="E770" s="37" t="s">
        <v>114</v>
      </c>
      <c r="F770" s="38" t="s">
        <v>148</v>
      </c>
    </row>
    <row r="771" spans="1:6" ht="13.5">
      <c r="A771" s="35">
        <v>52399</v>
      </c>
      <c r="B771" s="36" t="s">
        <v>436</v>
      </c>
      <c r="C771" s="37" t="s">
        <v>377</v>
      </c>
      <c r="D771" s="37" t="s">
        <v>375</v>
      </c>
      <c r="E771" s="37" t="s">
        <v>114</v>
      </c>
      <c r="F771" s="38" t="s">
        <v>202</v>
      </c>
    </row>
    <row r="772" spans="1:6" ht="13.5">
      <c r="A772" s="35">
        <v>52473</v>
      </c>
      <c r="B772" s="36" t="s">
        <v>951</v>
      </c>
      <c r="C772" s="37" t="s">
        <v>377</v>
      </c>
      <c r="D772" s="37" t="s">
        <v>375</v>
      </c>
      <c r="E772" s="37" t="s">
        <v>114</v>
      </c>
      <c r="F772" s="38" t="s">
        <v>344</v>
      </c>
    </row>
    <row r="773" spans="1:6" ht="13.5">
      <c r="A773" s="35">
        <v>52480</v>
      </c>
      <c r="B773" s="36" t="s">
        <v>377</v>
      </c>
      <c r="C773" s="37" t="s">
        <v>377</v>
      </c>
      <c r="D773" s="37" t="s">
        <v>375</v>
      </c>
      <c r="E773" s="37" t="s">
        <v>114</v>
      </c>
      <c r="F773" s="38" t="s">
        <v>148</v>
      </c>
    </row>
    <row r="774" spans="1:6" ht="13.5">
      <c r="A774" s="35">
        <v>52565</v>
      </c>
      <c r="B774" s="36" t="s">
        <v>1168</v>
      </c>
      <c r="C774" s="37" t="s">
        <v>377</v>
      </c>
      <c r="D774" s="37" t="s">
        <v>375</v>
      </c>
      <c r="E774" s="37" t="s">
        <v>114</v>
      </c>
      <c r="F774" s="38" t="s">
        <v>202</v>
      </c>
    </row>
    <row r="775" spans="1:6" ht="13.5">
      <c r="A775" s="35">
        <v>52612</v>
      </c>
      <c r="B775" s="36" t="s">
        <v>952</v>
      </c>
      <c r="C775" s="37" t="s">
        <v>377</v>
      </c>
      <c r="D775" s="37" t="s">
        <v>375</v>
      </c>
      <c r="E775" s="37" t="s">
        <v>114</v>
      </c>
      <c r="F775" s="38" t="s">
        <v>202</v>
      </c>
    </row>
    <row r="776" spans="1:6" ht="13.5">
      <c r="A776" s="35">
        <v>52685</v>
      </c>
      <c r="B776" s="36" t="s">
        <v>953</v>
      </c>
      <c r="C776" s="37" t="s">
        <v>377</v>
      </c>
      <c r="D776" s="37" t="s">
        <v>375</v>
      </c>
      <c r="E776" s="37" t="s">
        <v>114</v>
      </c>
      <c r="F776" s="38" t="s">
        <v>148</v>
      </c>
    </row>
    <row r="777" spans="1:6" ht="13.5">
      <c r="A777" s="35">
        <v>52693</v>
      </c>
      <c r="B777" s="36" t="s">
        <v>624</v>
      </c>
      <c r="C777" s="37" t="s">
        <v>377</v>
      </c>
      <c r="D777" s="37" t="s">
        <v>375</v>
      </c>
      <c r="E777" s="37" t="s">
        <v>114</v>
      </c>
      <c r="F777" s="38" t="s">
        <v>344</v>
      </c>
    </row>
    <row r="778" spans="1:6" ht="13.5">
      <c r="A778" s="35">
        <v>52696</v>
      </c>
      <c r="B778" s="36" t="s">
        <v>489</v>
      </c>
      <c r="C778" s="37" t="s">
        <v>377</v>
      </c>
      <c r="D778" s="37" t="s">
        <v>375</v>
      </c>
      <c r="E778" s="37" t="s">
        <v>625</v>
      </c>
      <c r="F778" s="38" t="s">
        <v>462</v>
      </c>
    </row>
    <row r="779" spans="1:6" ht="13.5">
      <c r="A779" s="35">
        <v>52022</v>
      </c>
      <c r="B779" s="37" t="s">
        <v>1169</v>
      </c>
      <c r="C779" s="37" t="s">
        <v>377</v>
      </c>
      <c r="D779" s="37" t="s">
        <v>375</v>
      </c>
      <c r="E779" s="37" t="s">
        <v>114</v>
      </c>
      <c r="F779" s="38" t="s">
        <v>148</v>
      </c>
    </row>
    <row r="780" spans="1:6" ht="13.5">
      <c r="A780" s="35">
        <v>52036</v>
      </c>
      <c r="B780" s="37" t="s">
        <v>1170</v>
      </c>
      <c r="C780" s="37" t="s">
        <v>377</v>
      </c>
      <c r="D780" s="37" t="s">
        <v>375</v>
      </c>
      <c r="E780" s="37" t="s">
        <v>114</v>
      </c>
      <c r="F780" s="38" t="s">
        <v>148</v>
      </c>
    </row>
    <row r="781" spans="1:6" ht="13.5">
      <c r="A781" s="35">
        <v>52051</v>
      </c>
      <c r="B781" s="37" t="s">
        <v>1171</v>
      </c>
      <c r="C781" s="37" t="s">
        <v>377</v>
      </c>
      <c r="D781" s="37" t="s">
        <v>375</v>
      </c>
      <c r="E781" s="37" t="s">
        <v>114</v>
      </c>
      <c r="F781" s="38" t="s">
        <v>148</v>
      </c>
    </row>
    <row r="782" spans="1:6" ht="13.5">
      <c r="A782" s="35">
        <v>52079</v>
      </c>
      <c r="B782" s="37" t="s">
        <v>1172</v>
      </c>
      <c r="C782" s="37" t="s">
        <v>377</v>
      </c>
      <c r="D782" s="37" t="s">
        <v>375</v>
      </c>
      <c r="E782" s="37" t="s">
        <v>114</v>
      </c>
      <c r="F782" s="38" t="s">
        <v>344</v>
      </c>
    </row>
    <row r="783" spans="1:6" ht="13.5">
      <c r="A783" s="35">
        <v>52110</v>
      </c>
      <c r="B783" s="37" t="s">
        <v>384</v>
      </c>
      <c r="C783" s="37" t="s">
        <v>377</v>
      </c>
      <c r="D783" s="37" t="s">
        <v>375</v>
      </c>
      <c r="E783" s="37" t="s">
        <v>114</v>
      </c>
      <c r="F783" s="38" t="s">
        <v>148</v>
      </c>
    </row>
    <row r="784" spans="1:6" ht="13.5">
      <c r="A784" s="35">
        <v>52240</v>
      </c>
      <c r="B784" s="37" t="s">
        <v>1173</v>
      </c>
      <c r="C784" s="37" t="s">
        <v>377</v>
      </c>
      <c r="D784" s="37" t="s">
        <v>375</v>
      </c>
      <c r="E784" s="37" t="s">
        <v>114</v>
      </c>
      <c r="F784" s="38" t="s">
        <v>148</v>
      </c>
    </row>
    <row r="785" spans="1:6" ht="13.5">
      <c r="A785" s="35">
        <v>52207</v>
      </c>
      <c r="B785" s="37" t="s">
        <v>1174</v>
      </c>
      <c r="C785" s="37" t="s">
        <v>377</v>
      </c>
      <c r="D785" s="37" t="s">
        <v>375</v>
      </c>
      <c r="E785" s="37" t="s">
        <v>114</v>
      </c>
      <c r="F785" s="38" t="s">
        <v>148</v>
      </c>
    </row>
    <row r="786" spans="1:6" ht="13.5">
      <c r="A786" s="35">
        <v>52210</v>
      </c>
      <c r="B786" s="37" t="s">
        <v>1175</v>
      </c>
      <c r="C786" s="37" t="s">
        <v>377</v>
      </c>
      <c r="D786" s="37" t="s">
        <v>375</v>
      </c>
      <c r="E786" s="37" t="s">
        <v>114</v>
      </c>
      <c r="F786" s="38" t="s">
        <v>148</v>
      </c>
    </row>
    <row r="787" spans="1:6" ht="13.5">
      <c r="A787" s="35">
        <v>52224</v>
      </c>
      <c r="B787" s="37" t="s">
        <v>1176</v>
      </c>
      <c r="C787" s="37" t="s">
        <v>377</v>
      </c>
      <c r="D787" s="37" t="s">
        <v>375</v>
      </c>
      <c r="E787" s="37" t="s">
        <v>114</v>
      </c>
      <c r="F787" s="38" t="s">
        <v>148</v>
      </c>
    </row>
    <row r="788" spans="1:6" ht="13.5">
      <c r="A788" s="35">
        <v>52227</v>
      </c>
      <c r="B788" s="37" t="s">
        <v>1177</v>
      </c>
      <c r="C788" s="37" t="s">
        <v>377</v>
      </c>
      <c r="D788" s="37" t="s">
        <v>375</v>
      </c>
      <c r="E788" s="37" t="s">
        <v>114</v>
      </c>
      <c r="F788" s="38" t="s">
        <v>202</v>
      </c>
    </row>
    <row r="789" spans="1:6" ht="13.5">
      <c r="A789" s="35">
        <v>52233</v>
      </c>
      <c r="B789" s="37" t="s">
        <v>1178</v>
      </c>
      <c r="C789" s="37" t="s">
        <v>377</v>
      </c>
      <c r="D789" s="37" t="s">
        <v>375</v>
      </c>
      <c r="E789" s="37" t="s">
        <v>114</v>
      </c>
      <c r="F789" s="38" t="s">
        <v>148</v>
      </c>
    </row>
    <row r="790" spans="1:6" ht="13.5">
      <c r="A790" s="35">
        <v>52250</v>
      </c>
      <c r="B790" s="37" t="s">
        <v>1179</v>
      </c>
      <c r="C790" s="37" t="s">
        <v>377</v>
      </c>
      <c r="D790" s="37" t="s">
        <v>375</v>
      </c>
      <c r="E790" s="37" t="s">
        <v>548</v>
      </c>
      <c r="F790" s="38" t="s">
        <v>462</v>
      </c>
    </row>
    <row r="791" spans="1:6" ht="13.5">
      <c r="A791" s="35">
        <v>52254</v>
      </c>
      <c r="B791" s="37" t="s">
        <v>1180</v>
      </c>
      <c r="C791" s="37" t="s">
        <v>377</v>
      </c>
      <c r="D791" s="37" t="s">
        <v>375</v>
      </c>
      <c r="E791" s="37" t="s">
        <v>114</v>
      </c>
      <c r="F791" s="38" t="s">
        <v>148</v>
      </c>
    </row>
    <row r="792" spans="1:6" ht="13.5">
      <c r="A792" s="35">
        <v>52256</v>
      </c>
      <c r="B792" s="37" t="s">
        <v>1181</v>
      </c>
      <c r="C792" s="37" t="s">
        <v>377</v>
      </c>
      <c r="D792" s="37" t="s">
        <v>375</v>
      </c>
      <c r="E792" s="37" t="s">
        <v>114</v>
      </c>
      <c r="F792" s="38" t="s">
        <v>148</v>
      </c>
    </row>
    <row r="793" spans="1:6" ht="13.5">
      <c r="A793" s="35">
        <v>52258</v>
      </c>
      <c r="B793" s="37" t="s">
        <v>1182</v>
      </c>
      <c r="C793" s="37" t="s">
        <v>377</v>
      </c>
      <c r="D793" s="37" t="s">
        <v>375</v>
      </c>
      <c r="E793" s="37" t="s">
        <v>114</v>
      </c>
      <c r="F793" s="38" t="s">
        <v>148</v>
      </c>
    </row>
    <row r="794" spans="1:6" ht="13.5">
      <c r="A794" s="35">
        <v>52520</v>
      </c>
      <c r="B794" s="37" t="s">
        <v>1183</v>
      </c>
      <c r="C794" s="37" t="s">
        <v>377</v>
      </c>
      <c r="D794" s="37" t="s">
        <v>375</v>
      </c>
      <c r="E794" s="37" t="s">
        <v>548</v>
      </c>
      <c r="F794" s="38" t="s">
        <v>462</v>
      </c>
    </row>
    <row r="795" spans="1:6" ht="13.5">
      <c r="A795" s="35">
        <v>52287</v>
      </c>
      <c r="B795" s="37" t="s">
        <v>1184</v>
      </c>
      <c r="C795" s="37" t="s">
        <v>377</v>
      </c>
      <c r="D795" s="37" t="s">
        <v>375</v>
      </c>
      <c r="E795" s="37" t="s">
        <v>114</v>
      </c>
      <c r="F795" s="38" t="s">
        <v>148</v>
      </c>
    </row>
    <row r="796" spans="1:6" ht="13.5">
      <c r="A796" s="35">
        <v>52317</v>
      </c>
      <c r="B796" s="37" t="s">
        <v>1185</v>
      </c>
      <c r="C796" s="37" t="s">
        <v>377</v>
      </c>
      <c r="D796" s="37" t="s">
        <v>375</v>
      </c>
      <c r="E796" s="37" t="s">
        <v>114</v>
      </c>
      <c r="F796" s="38" t="s">
        <v>148</v>
      </c>
    </row>
    <row r="797" spans="1:6" ht="13.5">
      <c r="A797" s="35">
        <v>52320</v>
      </c>
      <c r="B797" s="37" t="s">
        <v>1186</v>
      </c>
      <c r="C797" s="37" t="s">
        <v>377</v>
      </c>
      <c r="D797" s="37" t="s">
        <v>375</v>
      </c>
      <c r="E797" s="37" t="s">
        <v>114</v>
      </c>
      <c r="F797" s="38" t="s">
        <v>148</v>
      </c>
    </row>
    <row r="798" spans="1:6" ht="13.5">
      <c r="A798" s="35">
        <v>52323</v>
      </c>
      <c r="B798" s="37" t="s">
        <v>1187</v>
      </c>
      <c r="C798" s="37" t="s">
        <v>377</v>
      </c>
      <c r="D798" s="37" t="s">
        <v>375</v>
      </c>
      <c r="E798" s="37" t="s">
        <v>114</v>
      </c>
      <c r="F798" s="38" t="s">
        <v>148</v>
      </c>
    </row>
    <row r="799" spans="1:6" ht="13.5">
      <c r="A799" s="35">
        <v>52352</v>
      </c>
      <c r="B799" s="37" t="s">
        <v>1188</v>
      </c>
      <c r="C799" s="37" t="s">
        <v>377</v>
      </c>
      <c r="D799" s="37" t="s">
        <v>375</v>
      </c>
      <c r="E799" s="37" t="s">
        <v>114</v>
      </c>
      <c r="F799" s="38" t="s">
        <v>148</v>
      </c>
    </row>
    <row r="800" spans="1:6" ht="13.5">
      <c r="A800" s="35">
        <v>52354</v>
      </c>
      <c r="B800" s="37" t="s">
        <v>1189</v>
      </c>
      <c r="C800" s="37" t="s">
        <v>377</v>
      </c>
      <c r="D800" s="37" t="s">
        <v>375</v>
      </c>
      <c r="E800" s="37" t="s">
        <v>114</v>
      </c>
      <c r="F800" s="38" t="s">
        <v>148</v>
      </c>
    </row>
    <row r="801" spans="1:6" ht="13.5">
      <c r="A801" s="35">
        <v>52356</v>
      </c>
      <c r="B801" s="37" t="s">
        <v>396</v>
      </c>
      <c r="C801" s="37" t="s">
        <v>377</v>
      </c>
      <c r="D801" s="37" t="s">
        <v>375</v>
      </c>
      <c r="E801" s="37" t="s">
        <v>114</v>
      </c>
      <c r="F801" s="38" t="s">
        <v>148</v>
      </c>
    </row>
    <row r="802" spans="1:6" ht="13.5">
      <c r="A802" s="35">
        <v>52378</v>
      </c>
      <c r="B802" s="37" t="s">
        <v>1190</v>
      </c>
      <c r="C802" s="37" t="s">
        <v>377</v>
      </c>
      <c r="D802" s="37" t="s">
        <v>375</v>
      </c>
      <c r="E802" s="37" t="s">
        <v>114</v>
      </c>
      <c r="F802" s="38" t="s">
        <v>202</v>
      </c>
    </row>
    <row r="803" spans="1:6" ht="13.5">
      <c r="A803" s="35">
        <v>52381</v>
      </c>
      <c r="B803" s="37" t="s">
        <v>1191</v>
      </c>
      <c r="C803" s="37" t="s">
        <v>377</v>
      </c>
      <c r="D803" s="37" t="s">
        <v>375</v>
      </c>
      <c r="E803" s="37" t="s">
        <v>114</v>
      </c>
      <c r="F803" s="38" t="s">
        <v>148</v>
      </c>
    </row>
    <row r="804" spans="1:6" ht="13.5">
      <c r="A804" s="35">
        <v>52385</v>
      </c>
      <c r="B804" s="37" t="s">
        <v>1192</v>
      </c>
      <c r="C804" s="37" t="s">
        <v>377</v>
      </c>
      <c r="D804" s="37" t="s">
        <v>375</v>
      </c>
      <c r="E804" s="37" t="s">
        <v>114</v>
      </c>
      <c r="F804" s="38" t="s">
        <v>344</v>
      </c>
    </row>
    <row r="805" spans="1:6" ht="13.5">
      <c r="A805" s="35">
        <v>52390</v>
      </c>
      <c r="B805" s="37" t="s">
        <v>1193</v>
      </c>
      <c r="C805" s="37" t="s">
        <v>377</v>
      </c>
      <c r="D805" s="37" t="s">
        <v>375</v>
      </c>
      <c r="E805" s="37" t="s">
        <v>548</v>
      </c>
      <c r="F805" s="38" t="s">
        <v>462</v>
      </c>
    </row>
    <row r="806" spans="1:6" ht="13.5">
      <c r="A806" s="35">
        <v>52405</v>
      </c>
      <c r="B806" s="37" t="s">
        <v>1194</v>
      </c>
      <c r="C806" s="37" t="s">
        <v>377</v>
      </c>
      <c r="D806" s="37" t="s">
        <v>375</v>
      </c>
      <c r="E806" s="37" t="s">
        <v>114</v>
      </c>
      <c r="F806" s="38" t="s">
        <v>202</v>
      </c>
    </row>
    <row r="807" spans="1:6" ht="13.5">
      <c r="A807" s="35">
        <v>52411</v>
      </c>
      <c r="B807" s="37" t="s">
        <v>1195</v>
      </c>
      <c r="C807" s="37" t="s">
        <v>377</v>
      </c>
      <c r="D807" s="37" t="s">
        <v>375</v>
      </c>
      <c r="E807" s="37" t="s">
        <v>114</v>
      </c>
      <c r="F807" s="38" t="s">
        <v>202</v>
      </c>
    </row>
    <row r="808" spans="1:6" ht="13.5">
      <c r="A808" s="35">
        <v>52418</v>
      </c>
      <c r="B808" s="37" t="s">
        <v>1196</v>
      </c>
      <c r="C808" s="37" t="s">
        <v>377</v>
      </c>
      <c r="D808" s="37" t="s">
        <v>375</v>
      </c>
      <c r="E808" s="37" t="s">
        <v>114</v>
      </c>
      <c r="F808" s="38" t="s">
        <v>202</v>
      </c>
    </row>
    <row r="809" spans="1:6" ht="13.5">
      <c r="A809" s="35">
        <v>52427</v>
      </c>
      <c r="B809" s="37" t="s">
        <v>1197</v>
      </c>
      <c r="C809" s="37" t="s">
        <v>377</v>
      </c>
      <c r="D809" s="37" t="s">
        <v>375</v>
      </c>
      <c r="E809" s="37" t="s">
        <v>548</v>
      </c>
      <c r="F809" s="38" t="s">
        <v>462</v>
      </c>
    </row>
    <row r="810" spans="1:6" ht="13.5">
      <c r="A810" s="35">
        <v>52435</v>
      </c>
      <c r="B810" s="37" t="s">
        <v>1198</v>
      </c>
      <c r="C810" s="37" t="s">
        <v>377</v>
      </c>
      <c r="D810" s="37" t="s">
        <v>375</v>
      </c>
      <c r="E810" s="37" t="s">
        <v>114</v>
      </c>
      <c r="F810" s="38" t="s">
        <v>202</v>
      </c>
    </row>
    <row r="811" spans="1:6" ht="13.5">
      <c r="A811" s="35">
        <v>52490</v>
      </c>
      <c r="B811" s="37" t="s">
        <v>1199</v>
      </c>
      <c r="C811" s="37" t="s">
        <v>377</v>
      </c>
      <c r="D811" s="37" t="s">
        <v>375</v>
      </c>
      <c r="E811" s="37" t="s">
        <v>548</v>
      </c>
      <c r="F811" s="38" t="s">
        <v>462</v>
      </c>
    </row>
    <row r="812" spans="1:6" ht="13.5">
      <c r="A812" s="35">
        <v>52506</v>
      </c>
      <c r="B812" s="37" t="s">
        <v>1200</v>
      </c>
      <c r="C812" s="37" t="s">
        <v>377</v>
      </c>
      <c r="D812" s="37" t="s">
        <v>375</v>
      </c>
      <c r="E812" s="37" t="s">
        <v>114</v>
      </c>
      <c r="F812" s="38" t="s">
        <v>148</v>
      </c>
    </row>
    <row r="813" spans="1:6" ht="13.5">
      <c r="A813" s="35">
        <v>52001</v>
      </c>
      <c r="B813" s="37" t="s">
        <v>375</v>
      </c>
      <c r="C813" s="37" t="s">
        <v>377</v>
      </c>
      <c r="D813" s="37" t="s">
        <v>375</v>
      </c>
      <c r="E813" s="37" t="s">
        <v>114</v>
      </c>
      <c r="F813" s="38" t="s">
        <v>113</v>
      </c>
    </row>
    <row r="814" spans="1:6" ht="13.5">
      <c r="A814" s="35">
        <v>52540</v>
      </c>
      <c r="B814" s="37" t="s">
        <v>1201</v>
      </c>
      <c r="C814" s="37" t="s">
        <v>377</v>
      </c>
      <c r="D814" s="37" t="s">
        <v>375</v>
      </c>
      <c r="E814" s="37" t="s">
        <v>114</v>
      </c>
      <c r="F814" s="38" t="s">
        <v>344</v>
      </c>
    </row>
    <row r="815" spans="1:6" ht="13.5">
      <c r="A815" s="35">
        <v>52560</v>
      </c>
      <c r="B815" s="37" t="s">
        <v>1202</v>
      </c>
      <c r="C815" s="37" t="s">
        <v>377</v>
      </c>
      <c r="D815" s="37" t="s">
        <v>375</v>
      </c>
      <c r="E815" s="37" t="s">
        <v>114</v>
      </c>
      <c r="F815" s="38" t="s">
        <v>148</v>
      </c>
    </row>
    <row r="816" spans="1:6" ht="13.5">
      <c r="A816" s="35">
        <v>52573</v>
      </c>
      <c r="B816" s="37" t="s">
        <v>1203</v>
      </c>
      <c r="C816" s="37" t="s">
        <v>377</v>
      </c>
      <c r="D816" s="37" t="s">
        <v>375</v>
      </c>
      <c r="E816" s="37" t="s">
        <v>114</v>
      </c>
      <c r="F816" s="38" t="s">
        <v>148</v>
      </c>
    </row>
    <row r="817" spans="1:6" ht="13.5">
      <c r="A817" s="35">
        <v>52585</v>
      </c>
      <c r="B817" s="37" t="s">
        <v>1204</v>
      </c>
      <c r="C817" s="37" t="s">
        <v>377</v>
      </c>
      <c r="D817" s="37" t="s">
        <v>375</v>
      </c>
      <c r="E817" s="37" t="s">
        <v>114</v>
      </c>
      <c r="F817" s="38" t="s">
        <v>148</v>
      </c>
    </row>
    <row r="818" spans="1:6" ht="13.5">
      <c r="A818" s="35">
        <v>52621</v>
      </c>
      <c r="B818" s="37" t="s">
        <v>1205</v>
      </c>
      <c r="C818" s="37" t="s">
        <v>377</v>
      </c>
      <c r="D818" s="37" t="s">
        <v>375</v>
      </c>
      <c r="E818" s="37" t="s">
        <v>548</v>
      </c>
      <c r="F818" s="38" t="s">
        <v>462</v>
      </c>
    </row>
    <row r="819" spans="1:6" ht="13.5">
      <c r="A819" s="35">
        <v>52678</v>
      </c>
      <c r="B819" s="37" t="s">
        <v>1206</v>
      </c>
      <c r="C819" s="37" t="s">
        <v>377</v>
      </c>
      <c r="D819" s="37" t="s">
        <v>375</v>
      </c>
      <c r="E819" s="37" t="s">
        <v>114</v>
      </c>
      <c r="F819" s="38" t="s">
        <v>202</v>
      </c>
    </row>
    <row r="820" spans="1:6" ht="13.5">
      <c r="A820" s="35">
        <v>52835</v>
      </c>
      <c r="B820" s="37" t="s">
        <v>1207</v>
      </c>
      <c r="C820" s="37" t="s">
        <v>377</v>
      </c>
      <c r="D820" s="37" t="s">
        <v>375</v>
      </c>
      <c r="E820" s="37" t="s">
        <v>114</v>
      </c>
      <c r="F820" s="38" t="s">
        <v>344</v>
      </c>
    </row>
    <row r="821" spans="1:6" ht="13.5">
      <c r="A821" s="35">
        <v>52687</v>
      </c>
      <c r="B821" s="37" t="s">
        <v>1208</v>
      </c>
      <c r="C821" s="37" t="s">
        <v>377</v>
      </c>
      <c r="D821" s="37" t="s">
        <v>375</v>
      </c>
      <c r="E821" s="37" t="s">
        <v>114</v>
      </c>
      <c r="F821" s="38" t="s">
        <v>148</v>
      </c>
    </row>
    <row r="822" spans="1:6" ht="13.5">
      <c r="A822" s="35">
        <v>52694</v>
      </c>
      <c r="B822" s="37" t="s">
        <v>1209</v>
      </c>
      <c r="C822" s="37" t="s">
        <v>377</v>
      </c>
      <c r="D822" s="37" t="s">
        <v>375</v>
      </c>
      <c r="E822" s="37" t="s">
        <v>114</v>
      </c>
      <c r="F822" s="38" t="s">
        <v>148</v>
      </c>
    </row>
    <row r="823" spans="1:6" ht="13.5">
      <c r="A823" s="35">
        <v>52683</v>
      </c>
      <c r="B823" s="37" t="s">
        <v>1210</v>
      </c>
      <c r="C823" s="37" t="s">
        <v>377</v>
      </c>
      <c r="D823" s="37" t="s">
        <v>375</v>
      </c>
      <c r="E823" s="37" t="s">
        <v>114</v>
      </c>
      <c r="F823" s="38" t="s">
        <v>148</v>
      </c>
    </row>
    <row r="824" spans="1:6" ht="13.5">
      <c r="A824" s="35">
        <v>52699</v>
      </c>
      <c r="B824" s="37" t="s">
        <v>1211</v>
      </c>
      <c r="C824" s="37" t="s">
        <v>377</v>
      </c>
      <c r="D824" s="37" t="s">
        <v>375</v>
      </c>
      <c r="E824" s="37" t="s">
        <v>114</v>
      </c>
      <c r="F824" s="38" t="s">
        <v>344</v>
      </c>
    </row>
    <row r="825" spans="1:6" ht="13.5">
      <c r="A825" s="35">
        <v>52720</v>
      </c>
      <c r="B825" s="37" t="s">
        <v>1212</v>
      </c>
      <c r="C825" s="37" t="s">
        <v>377</v>
      </c>
      <c r="D825" s="37" t="s">
        <v>375</v>
      </c>
      <c r="E825" s="37" t="s">
        <v>114</v>
      </c>
      <c r="F825" s="38" t="s">
        <v>148</v>
      </c>
    </row>
    <row r="826" spans="1:6" ht="13.5">
      <c r="A826" s="35">
        <v>52786</v>
      </c>
      <c r="B826" s="37" t="s">
        <v>1213</v>
      </c>
      <c r="C826" s="37" t="s">
        <v>377</v>
      </c>
      <c r="D826" s="37" t="s">
        <v>375</v>
      </c>
      <c r="E826" s="37" t="s">
        <v>114</v>
      </c>
      <c r="F826" s="38" t="s">
        <v>148</v>
      </c>
    </row>
    <row r="827" spans="1:6" ht="13.5">
      <c r="A827" s="35">
        <v>52788</v>
      </c>
      <c r="B827" s="37" t="s">
        <v>1214</v>
      </c>
      <c r="C827" s="37" t="s">
        <v>377</v>
      </c>
      <c r="D827" s="37" t="s">
        <v>375</v>
      </c>
      <c r="E827" s="37" t="s">
        <v>114</v>
      </c>
      <c r="F827" s="38" t="s">
        <v>148</v>
      </c>
    </row>
    <row r="828" spans="1:6" ht="13.5">
      <c r="A828" s="35">
        <v>52838</v>
      </c>
      <c r="B828" s="37" t="s">
        <v>1215</v>
      </c>
      <c r="C828" s="37" t="s">
        <v>377</v>
      </c>
      <c r="D828" s="37" t="s">
        <v>375</v>
      </c>
      <c r="E828" s="37" t="s">
        <v>114</v>
      </c>
      <c r="F828" s="38" t="s">
        <v>148</v>
      </c>
    </row>
    <row r="829" spans="1:6" ht="13.5">
      <c r="A829" s="35">
        <v>52885</v>
      </c>
      <c r="B829" s="37" t="s">
        <v>1216</v>
      </c>
      <c r="C829" s="37" t="s">
        <v>377</v>
      </c>
      <c r="D829" s="37" t="s">
        <v>375</v>
      </c>
      <c r="E829" s="37" t="s">
        <v>114</v>
      </c>
      <c r="F829" s="38" t="s">
        <v>148</v>
      </c>
    </row>
    <row r="830" spans="1:6" ht="13.5">
      <c r="A830" s="35">
        <v>54553</v>
      </c>
      <c r="B830" s="36" t="s">
        <v>463</v>
      </c>
      <c r="C830" s="37" t="s">
        <v>305</v>
      </c>
      <c r="D830" s="37" t="s">
        <v>303</v>
      </c>
      <c r="E830" s="37" t="s">
        <v>114</v>
      </c>
      <c r="F830" s="38" t="s">
        <v>148</v>
      </c>
    </row>
    <row r="831" spans="1:6" ht="13.5">
      <c r="A831" s="35">
        <v>54673</v>
      </c>
      <c r="B831" s="36" t="s">
        <v>954</v>
      </c>
      <c r="C831" s="37" t="s">
        <v>305</v>
      </c>
      <c r="D831" s="37" t="s">
        <v>303</v>
      </c>
      <c r="E831" s="37" t="s">
        <v>114</v>
      </c>
      <c r="F831" s="38" t="s">
        <v>148</v>
      </c>
    </row>
    <row r="832" spans="1:6" ht="13.5">
      <c r="A832" s="35">
        <v>54680</v>
      </c>
      <c r="B832" s="36" t="s">
        <v>1217</v>
      </c>
      <c r="C832" s="37" t="s">
        <v>305</v>
      </c>
      <c r="D832" s="37" t="s">
        <v>303</v>
      </c>
      <c r="E832" s="37" t="s">
        <v>114</v>
      </c>
      <c r="F832" s="38" t="s">
        <v>148</v>
      </c>
    </row>
    <row r="833" spans="1:6" ht="13.5">
      <c r="A833" s="35">
        <v>54820</v>
      </c>
      <c r="B833" s="36" t="s">
        <v>490</v>
      </c>
      <c r="C833" s="37" t="s">
        <v>305</v>
      </c>
      <c r="D833" s="37" t="s">
        <v>303</v>
      </c>
      <c r="E833" s="37" t="s">
        <v>114</v>
      </c>
      <c r="F833" s="38" t="s">
        <v>344</v>
      </c>
    </row>
    <row r="834" spans="1:6" ht="13.5">
      <c r="A834" s="35">
        <v>54003</v>
      </c>
      <c r="B834" s="37" t="s">
        <v>1218</v>
      </c>
      <c r="C834" s="37" t="s">
        <v>305</v>
      </c>
      <c r="D834" s="37" t="s">
        <v>303</v>
      </c>
      <c r="E834" s="37" t="s">
        <v>114</v>
      </c>
      <c r="F834" s="38" t="s">
        <v>202</v>
      </c>
    </row>
    <row r="835" spans="1:6" ht="13.5">
      <c r="A835" s="35">
        <v>54051</v>
      </c>
      <c r="B835" s="37" t="s">
        <v>1219</v>
      </c>
      <c r="C835" s="37" t="s">
        <v>305</v>
      </c>
      <c r="D835" s="37" t="s">
        <v>303</v>
      </c>
      <c r="E835" s="37" t="s">
        <v>114</v>
      </c>
      <c r="F835" s="38" t="s">
        <v>344</v>
      </c>
    </row>
    <row r="836" spans="1:6" ht="13.5">
      <c r="A836" s="35">
        <v>54099</v>
      </c>
      <c r="B836" s="37" t="s">
        <v>1220</v>
      </c>
      <c r="C836" s="37" t="s">
        <v>305</v>
      </c>
      <c r="D836" s="37" t="s">
        <v>303</v>
      </c>
      <c r="E836" s="37" t="s">
        <v>114</v>
      </c>
      <c r="F836" s="38" t="s">
        <v>148</v>
      </c>
    </row>
    <row r="837" spans="1:6" ht="13.5">
      <c r="A837" s="35">
        <v>54109</v>
      </c>
      <c r="B837" s="37" t="s">
        <v>1221</v>
      </c>
      <c r="C837" s="37" t="s">
        <v>305</v>
      </c>
      <c r="D837" s="37" t="s">
        <v>303</v>
      </c>
      <c r="E837" s="37" t="s">
        <v>114</v>
      </c>
      <c r="F837" s="38" t="s">
        <v>202</v>
      </c>
    </row>
    <row r="838" spans="1:6" ht="13.5">
      <c r="A838" s="35">
        <v>54128</v>
      </c>
      <c r="B838" s="37" t="s">
        <v>1222</v>
      </c>
      <c r="C838" s="37" t="s">
        <v>305</v>
      </c>
      <c r="D838" s="37" t="s">
        <v>303</v>
      </c>
      <c r="E838" s="37" t="s">
        <v>114</v>
      </c>
      <c r="F838" s="38" t="s">
        <v>344</v>
      </c>
    </row>
    <row r="839" spans="1:6" ht="13.5">
      <c r="A839" s="35">
        <v>54125</v>
      </c>
      <c r="B839" s="37" t="s">
        <v>1223</v>
      </c>
      <c r="C839" s="37" t="s">
        <v>305</v>
      </c>
      <c r="D839" s="37" t="s">
        <v>303</v>
      </c>
      <c r="E839" s="37" t="s">
        <v>114</v>
      </c>
      <c r="F839" s="38" t="s">
        <v>202</v>
      </c>
    </row>
    <row r="840" spans="1:6" ht="13.5">
      <c r="A840" s="35">
        <v>54172</v>
      </c>
      <c r="B840" s="37" t="s">
        <v>1224</v>
      </c>
      <c r="C840" s="37" t="s">
        <v>305</v>
      </c>
      <c r="D840" s="37" t="s">
        <v>303</v>
      </c>
      <c r="E840" s="37" t="s">
        <v>114</v>
      </c>
      <c r="F840" s="38" t="s">
        <v>148</v>
      </c>
    </row>
    <row r="841" spans="1:6" ht="13.5">
      <c r="A841" s="35">
        <v>54174</v>
      </c>
      <c r="B841" s="37" t="s">
        <v>1225</v>
      </c>
      <c r="C841" s="37" t="s">
        <v>305</v>
      </c>
      <c r="D841" s="37" t="s">
        <v>303</v>
      </c>
      <c r="E841" s="37" t="s">
        <v>114</v>
      </c>
      <c r="F841" s="38" t="s">
        <v>344</v>
      </c>
    </row>
    <row r="842" spans="1:6" ht="13.5">
      <c r="A842" s="35">
        <v>54206</v>
      </c>
      <c r="B842" s="37" t="s">
        <v>1226</v>
      </c>
      <c r="C842" s="37" t="s">
        <v>305</v>
      </c>
      <c r="D842" s="37" t="s">
        <v>303</v>
      </c>
      <c r="E842" s="37" t="s">
        <v>114</v>
      </c>
      <c r="F842" s="38" t="s">
        <v>344</v>
      </c>
    </row>
    <row r="843" spans="1:6" ht="13.5">
      <c r="A843" s="35">
        <v>54001</v>
      </c>
      <c r="B843" s="37" t="s">
        <v>303</v>
      </c>
      <c r="C843" s="37" t="s">
        <v>305</v>
      </c>
      <c r="D843" s="37" t="s">
        <v>303</v>
      </c>
      <c r="E843" s="37" t="s">
        <v>114</v>
      </c>
      <c r="F843" s="38" t="s">
        <v>113</v>
      </c>
    </row>
    <row r="844" spans="1:6" ht="13.5">
      <c r="A844" s="35">
        <v>54223</v>
      </c>
      <c r="B844" s="37" t="s">
        <v>1227</v>
      </c>
      <c r="C844" s="37" t="s">
        <v>305</v>
      </c>
      <c r="D844" s="37" t="s">
        <v>303</v>
      </c>
      <c r="E844" s="37" t="s">
        <v>114</v>
      </c>
      <c r="F844" s="38" t="s">
        <v>344</v>
      </c>
    </row>
    <row r="845" spans="1:6" ht="13.5">
      <c r="A845" s="35">
        <v>54239</v>
      </c>
      <c r="B845" s="37" t="s">
        <v>1228</v>
      </c>
      <c r="C845" s="37" t="s">
        <v>305</v>
      </c>
      <c r="D845" s="37" t="s">
        <v>303</v>
      </c>
      <c r="E845" s="37" t="s">
        <v>114</v>
      </c>
      <c r="F845" s="38" t="s">
        <v>148</v>
      </c>
    </row>
    <row r="846" spans="1:6" ht="13.5">
      <c r="A846" s="35">
        <v>54245</v>
      </c>
      <c r="B846" s="37" t="s">
        <v>1229</v>
      </c>
      <c r="C846" s="37" t="s">
        <v>305</v>
      </c>
      <c r="D846" s="37" t="s">
        <v>303</v>
      </c>
      <c r="E846" s="37" t="s">
        <v>114</v>
      </c>
      <c r="F846" s="38" t="s">
        <v>344</v>
      </c>
    </row>
    <row r="847" spans="1:6" ht="13.5">
      <c r="A847" s="35">
        <v>54250</v>
      </c>
      <c r="B847" s="37" t="s">
        <v>1230</v>
      </c>
      <c r="C847" s="37" t="s">
        <v>305</v>
      </c>
      <c r="D847" s="37" t="s">
        <v>303</v>
      </c>
      <c r="E847" s="37" t="s">
        <v>114</v>
      </c>
      <c r="F847" s="38" t="s">
        <v>344</v>
      </c>
    </row>
    <row r="848" spans="1:6" ht="13.5">
      <c r="A848" s="35">
        <v>54261</v>
      </c>
      <c r="B848" s="37" t="s">
        <v>1231</v>
      </c>
      <c r="C848" s="37" t="s">
        <v>305</v>
      </c>
      <c r="D848" s="37" t="s">
        <v>303</v>
      </c>
      <c r="E848" s="37" t="s">
        <v>114</v>
      </c>
      <c r="F848" s="38" t="s">
        <v>148</v>
      </c>
    </row>
    <row r="849" spans="1:6" ht="13.5">
      <c r="A849" s="35">
        <v>54313</v>
      </c>
      <c r="B849" s="37" t="s">
        <v>1232</v>
      </c>
      <c r="C849" s="37" t="s">
        <v>305</v>
      </c>
      <c r="D849" s="37" t="s">
        <v>303</v>
      </c>
      <c r="E849" s="37" t="s">
        <v>114</v>
      </c>
      <c r="F849" s="38" t="s">
        <v>148</v>
      </c>
    </row>
    <row r="850" spans="1:6" ht="13.5">
      <c r="A850" s="35">
        <v>54344</v>
      </c>
      <c r="B850" s="37" t="s">
        <v>1233</v>
      </c>
      <c r="C850" s="37" t="s">
        <v>305</v>
      </c>
      <c r="D850" s="37" t="s">
        <v>303</v>
      </c>
      <c r="E850" s="37" t="s">
        <v>114</v>
      </c>
      <c r="F850" s="38" t="s">
        <v>344</v>
      </c>
    </row>
    <row r="851" spans="1:6" ht="13.5">
      <c r="A851" s="35">
        <v>54347</v>
      </c>
      <c r="B851" s="37" t="s">
        <v>1234</v>
      </c>
      <c r="C851" s="37" t="s">
        <v>305</v>
      </c>
      <c r="D851" s="37" t="s">
        <v>303</v>
      </c>
      <c r="E851" s="37" t="s">
        <v>114</v>
      </c>
      <c r="F851" s="38" t="s">
        <v>202</v>
      </c>
    </row>
    <row r="852" spans="1:6" ht="13.5">
      <c r="A852" s="35">
        <v>54385</v>
      </c>
      <c r="B852" s="37" t="s">
        <v>1235</v>
      </c>
      <c r="C852" s="37" t="s">
        <v>305</v>
      </c>
      <c r="D852" s="37" t="s">
        <v>171</v>
      </c>
      <c r="E852" s="37" t="s">
        <v>114</v>
      </c>
      <c r="F852" s="38" t="s">
        <v>202</v>
      </c>
    </row>
    <row r="853" spans="1:6" ht="13.5">
      <c r="A853" s="35">
        <v>54398</v>
      </c>
      <c r="B853" s="37" t="s">
        <v>1236</v>
      </c>
      <c r="C853" s="37" t="s">
        <v>305</v>
      </c>
      <c r="D853" s="37" t="s">
        <v>303</v>
      </c>
      <c r="E853" s="37" t="s">
        <v>114</v>
      </c>
      <c r="F853" s="38" t="s">
        <v>344</v>
      </c>
    </row>
    <row r="854" spans="1:6" ht="13.5">
      <c r="A854" s="35">
        <v>54377</v>
      </c>
      <c r="B854" s="37" t="s">
        <v>1237</v>
      </c>
      <c r="C854" s="37" t="s">
        <v>305</v>
      </c>
      <c r="D854" s="37" t="s">
        <v>303</v>
      </c>
      <c r="E854" s="37" t="s">
        <v>114</v>
      </c>
      <c r="F854" s="38" t="s">
        <v>344</v>
      </c>
    </row>
    <row r="855" spans="1:6" ht="13.5">
      <c r="A855" s="35">
        <v>54405</v>
      </c>
      <c r="B855" s="37" t="s">
        <v>1238</v>
      </c>
      <c r="C855" s="37" t="s">
        <v>305</v>
      </c>
      <c r="D855" s="37" t="s">
        <v>303</v>
      </c>
      <c r="E855" s="37" t="s">
        <v>114</v>
      </c>
      <c r="F855" s="38" t="s">
        <v>113</v>
      </c>
    </row>
    <row r="856" spans="1:6" ht="13.5">
      <c r="A856" s="35">
        <v>54418</v>
      </c>
      <c r="B856" s="37" t="s">
        <v>1239</v>
      </c>
      <c r="C856" s="37" t="s">
        <v>305</v>
      </c>
      <c r="D856" s="37" t="s">
        <v>303</v>
      </c>
      <c r="E856" s="37" t="s">
        <v>114</v>
      </c>
      <c r="F856" s="38" t="s">
        <v>202</v>
      </c>
    </row>
    <row r="857" spans="1:6" ht="13.5">
      <c r="A857" s="35">
        <v>54480</v>
      </c>
      <c r="B857" s="37" t="s">
        <v>1240</v>
      </c>
      <c r="C857" s="37" t="s">
        <v>305</v>
      </c>
      <c r="D857" s="37" t="s">
        <v>303</v>
      </c>
      <c r="E857" s="37" t="s">
        <v>114</v>
      </c>
      <c r="F857" s="38" t="s">
        <v>202</v>
      </c>
    </row>
    <row r="858" spans="1:6" ht="13.5">
      <c r="A858" s="35">
        <v>54498</v>
      </c>
      <c r="B858" s="37" t="s">
        <v>450</v>
      </c>
      <c r="C858" s="37" t="s">
        <v>305</v>
      </c>
      <c r="D858" s="37" t="s">
        <v>303</v>
      </c>
      <c r="E858" s="37" t="s">
        <v>114</v>
      </c>
      <c r="F858" s="38" t="s">
        <v>344</v>
      </c>
    </row>
    <row r="859" spans="1:6" ht="13.5">
      <c r="A859" s="35">
        <v>54518</v>
      </c>
      <c r="B859" s="37" t="s">
        <v>1241</v>
      </c>
      <c r="C859" s="37" t="s">
        <v>305</v>
      </c>
      <c r="D859" s="37" t="s">
        <v>303</v>
      </c>
      <c r="E859" s="37" t="s">
        <v>114</v>
      </c>
      <c r="F859" s="38" t="s">
        <v>202</v>
      </c>
    </row>
    <row r="860" spans="1:6" ht="13.5">
      <c r="A860" s="35">
        <v>54520</v>
      </c>
      <c r="B860" s="37" t="s">
        <v>1242</v>
      </c>
      <c r="C860" s="37" t="s">
        <v>305</v>
      </c>
      <c r="D860" s="37" t="s">
        <v>303</v>
      </c>
      <c r="E860" s="37" t="s">
        <v>114</v>
      </c>
      <c r="F860" s="38" t="s">
        <v>202</v>
      </c>
    </row>
    <row r="861" spans="1:6" ht="13.5">
      <c r="A861" s="35">
        <v>54599</v>
      </c>
      <c r="B861" s="37" t="s">
        <v>1243</v>
      </c>
      <c r="C861" s="37" t="s">
        <v>305</v>
      </c>
      <c r="D861" s="37" t="s">
        <v>303</v>
      </c>
      <c r="E861" s="37" t="s">
        <v>114</v>
      </c>
      <c r="F861" s="38" t="s">
        <v>202</v>
      </c>
    </row>
    <row r="862" spans="1:6" ht="13.5">
      <c r="A862" s="35">
        <v>54660</v>
      </c>
      <c r="B862" s="37" t="s">
        <v>1244</v>
      </c>
      <c r="C862" s="37" t="s">
        <v>305</v>
      </c>
      <c r="D862" s="37" t="s">
        <v>303</v>
      </c>
      <c r="E862" s="37" t="s">
        <v>114</v>
      </c>
      <c r="F862" s="38" t="s">
        <v>148</v>
      </c>
    </row>
    <row r="863" spans="1:6" ht="13.5">
      <c r="A863" s="35">
        <v>54670</v>
      </c>
      <c r="B863" s="37" t="s">
        <v>1245</v>
      </c>
      <c r="C863" s="37" t="s">
        <v>305</v>
      </c>
      <c r="D863" s="37" t="s">
        <v>303</v>
      </c>
      <c r="E863" s="37" t="s">
        <v>114</v>
      </c>
      <c r="F863" s="38" t="s">
        <v>344</v>
      </c>
    </row>
    <row r="864" spans="1:6" ht="13.5">
      <c r="A864" s="35">
        <v>54720</v>
      </c>
      <c r="B864" s="37" t="s">
        <v>1246</v>
      </c>
      <c r="C864" s="37" t="s">
        <v>305</v>
      </c>
      <c r="D864" s="37" t="s">
        <v>303</v>
      </c>
      <c r="E864" s="37" t="s">
        <v>114</v>
      </c>
      <c r="F864" s="38" t="s">
        <v>148</v>
      </c>
    </row>
    <row r="865" spans="1:6" ht="13.5">
      <c r="A865" s="35">
        <v>54743</v>
      </c>
      <c r="B865" s="37" t="s">
        <v>1247</v>
      </c>
      <c r="C865" s="37" t="s">
        <v>305</v>
      </c>
      <c r="D865" s="37" t="s">
        <v>303</v>
      </c>
      <c r="E865" s="37" t="s">
        <v>114</v>
      </c>
      <c r="F865" s="38" t="s">
        <v>344</v>
      </c>
    </row>
    <row r="866" spans="1:6" ht="13.5">
      <c r="A866" s="35">
        <v>54800</v>
      </c>
      <c r="B866" s="37" t="s">
        <v>1248</v>
      </c>
      <c r="C866" s="37" t="s">
        <v>305</v>
      </c>
      <c r="D866" s="37" t="s">
        <v>303</v>
      </c>
      <c r="E866" s="37" t="s">
        <v>114</v>
      </c>
      <c r="F866" s="38" t="s">
        <v>344</v>
      </c>
    </row>
    <row r="867" spans="1:6" ht="13.5">
      <c r="A867" s="35">
        <v>54810</v>
      </c>
      <c r="B867" s="37" t="s">
        <v>1249</v>
      </c>
      <c r="C867" s="37" t="s">
        <v>305</v>
      </c>
      <c r="D867" s="37" t="s">
        <v>303</v>
      </c>
      <c r="E867" s="37" t="s">
        <v>114</v>
      </c>
      <c r="F867" s="38" t="s">
        <v>462</v>
      </c>
    </row>
    <row r="868" spans="1:6" ht="13.5">
      <c r="A868" s="35">
        <v>54871</v>
      </c>
      <c r="B868" s="37" t="s">
        <v>1250</v>
      </c>
      <c r="C868" s="37" t="s">
        <v>305</v>
      </c>
      <c r="D868" s="37" t="s">
        <v>303</v>
      </c>
      <c r="E868" s="37" t="s">
        <v>114</v>
      </c>
      <c r="F868" s="38" t="s">
        <v>344</v>
      </c>
    </row>
    <row r="869" spans="1:6" ht="13.5">
      <c r="A869" s="35">
        <v>54874</v>
      </c>
      <c r="B869" s="37" t="s">
        <v>306</v>
      </c>
      <c r="C869" s="37" t="s">
        <v>305</v>
      </c>
      <c r="D869" s="37" t="s">
        <v>303</v>
      </c>
      <c r="E869" s="37" t="s">
        <v>114</v>
      </c>
      <c r="F869" s="38" t="s">
        <v>113</v>
      </c>
    </row>
    <row r="870" spans="1:6" ht="13.5">
      <c r="A870" s="35">
        <v>86219</v>
      </c>
      <c r="B870" s="36" t="s">
        <v>1167</v>
      </c>
      <c r="C870" s="37" t="s">
        <v>1251</v>
      </c>
      <c r="D870" s="37" t="s">
        <v>375</v>
      </c>
      <c r="E870" s="37" t="s">
        <v>114</v>
      </c>
      <c r="F870" s="38" t="s">
        <v>148</v>
      </c>
    </row>
    <row r="871" spans="1:6" ht="13.5">
      <c r="A871" s="35">
        <v>86755</v>
      </c>
      <c r="B871" s="36" t="s">
        <v>486</v>
      </c>
      <c r="C871" s="37" t="s">
        <v>1251</v>
      </c>
      <c r="D871" s="37" t="s">
        <v>375</v>
      </c>
      <c r="E871" s="37" t="s">
        <v>114</v>
      </c>
      <c r="F871" s="38" t="s">
        <v>202</v>
      </c>
    </row>
    <row r="872" spans="1:6" ht="13.5">
      <c r="A872" s="35">
        <v>86757</v>
      </c>
      <c r="B872" s="36" t="s">
        <v>1252</v>
      </c>
      <c r="C872" s="37" t="s">
        <v>1251</v>
      </c>
      <c r="D872" s="37" t="s">
        <v>375</v>
      </c>
      <c r="E872" s="37" t="s">
        <v>114</v>
      </c>
      <c r="F872" s="38" t="s">
        <v>344</v>
      </c>
    </row>
    <row r="873" spans="1:6" ht="13.5">
      <c r="A873" s="35">
        <v>86760</v>
      </c>
      <c r="B873" s="36" t="s">
        <v>1217</v>
      </c>
      <c r="C873" s="37" t="s">
        <v>1251</v>
      </c>
      <c r="D873" s="37" t="s">
        <v>375</v>
      </c>
      <c r="E873" s="37" t="s">
        <v>114</v>
      </c>
      <c r="F873" s="38" t="s">
        <v>148</v>
      </c>
    </row>
    <row r="874" spans="1:6" ht="13.5">
      <c r="A874" s="35">
        <v>86573</v>
      </c>
      <c r="B874" s="37" t="s">
        <v>1253</v>
      </c>
      <c r="C874" s="37" t="s">
        <v>1251</v>
      </c>
      <c r="D874" s="37" t="s">
        <v>375</v>
      </c>
      <c r="E874" s="39" t="s">
        <v>461</v>
      </c>
      <c r="F874" s="38" t="s">
        <v>344</v>
      </c>
    </row>
    <row r="875" spans="1:6" ht="13.5">
      <c r="A875" s="35">
        <v>86001</v>
      </c>
      <c r="B875" s="37" t="s">
        <v>1254</v>
      </c>
      <c r="C875" s="37" t="s">
        <v>1251</v>
      </c>
      <c r="D875" s="37" t="s">
        <v>375</v>
      </c>
      <c r="E875" s="37" t="s">
        <v>114</v>
      </c>
      <c r="F875" s="38" t="s">
        <v>344</v>
      </c>
    </row>
    <row r="876" spans="1:6" ht="13.5">
      <c r="A876" s="35">
        <v>86320</v>
      </c>
      <c r="B876" s="37" t="s">
        <v>1255</v>
      </c>
      <c r="C876" s="37" t="s">
        <v>1251</v>
      </c>
      <c r="D876" s="37" t="s">
        <v>375</v>
      </c>
      <c r="E876" s="37" t="s">
        <v>114</v>
      </c>
      <c r="F876" s="38" t="s">
        <v>344</v>
      </c>
    </row>
    <row r="877" spans="1:6" ht="13.5">
      <c r="A877" s="35">
        <v>86568</v>
      </c>
      <c r="B877" s="37" t="s">
        <v>1256</v>
      </c>
      <c r="C877" s="37" t="s">
        <v>1251</v>
      </c>
      <c r="D877" s="37" t="s">
        <v>375</v>
      </c>
      <c r="E877" s="37" t="s">
        <v>114</v>
      </c>
      <c r="F877" s="38" t="s">
        <v>344</v>
      </c>
    </row>
    <row r="878" spans="1:6" ht="13.5">
      <c r="A878" s="35">
        <v>86569</v>
      </c>
      <c r="B878" s="37" t="s">
        <v>1257</v>
      </c>
      <c r="C878" s="37" t="s">
        <v>1251</v>
      </c>
      <c r="D878" s="37" t="s">
        <v>375</v>
      </c>
      <c r="E878" s="37" t="s">
        <v>114</v>
      </c>
      <c r="F878" s="38" t="s">
        <v>344</v>
      </c>
    </row>
    <row r="879" spans="1:6" ht="13.5">
      <c r="A879" s="35">
        <v>86571</v>
      </c>
      <c r="B879" s="37" t="s">
        <v>1258</v>
      </c>
      <c r="C879" s="37" t="s">
        <v>1251</v>
      </c>
      <c r="D879" s="37" t="s">
        <v>375</v>
      </c>
      <c r="E879" s="37" t="s">
        <v>114</v>
      </c>
      <c r="F879" s="38" t="s">
        <v>344</v>
      </c>
    </row>
    <row r="880" spans="1:6" ht="13.5">
      <c r="A880" s="35">
        <v>86749</v>
      </c>
      <c r="B880" s="37" t="s">
        <v>1259</v>
      </c>
      <c r="C880" s="37" t="s">
        <v>1251</v>
      </c>
      <c r="D880" s="37" t="s">
        <v>375</v>
      </c>
      <c r="E880" s="37" t="s">
        <v>114</v>
      </c>
      <c r="F880" s="38" t="s">
        <v>202</v>
      </c>
    </row>
    <row r="881" spans="1:6" ht="13.5">
      <c r="A881" s="35">
        <v>86865</v>
      </c>
      <c r="B881" s="37" t="s">
        <v>1260</v>
      </c>
      <c r="C881" s="37" t="s">
        <v>1251</v>
      </c>
      <c r="D881" s="37" t="s">
        <v>375</v>
      </c>
      <c r="E881" s="37" t="s">
        <v>114</v>
      </c>
      <c r="F881" s="38" t="s">
        <v>344</v>
      </c>
    </row>
    <row r="882" spans="1:6" ht="13.5">
      <c r="A882" s="35">
        <v>86885</v>
      </c>
      <c r="B882" s="37" t="s">
        <v>1261</v>
      </c>
      <c r="C882" s="37" t="s">
        <v>1251</v>
      </c>
      <c r="D882" s="37" t="s">
        <v>375</v>
      </c>
      <c r="E882" s="37" t="s">
        <v>114</v>
      </c>
      <c r="F882" s="38" t="s">
        <v>344</v>
      </c>
    </row>
    <row r="883" spans="1:6" ht="13.5">
      <c r="A883" s="35">
        <v>63001</v>
      </c>
      <c r="B883" s="36" t="s">
        <v>474</v>
      </c>
      <c r="C883" s="37" t="s">
        <v>1262</v>
      </c>
      <c r="D883" s="37" t="s">
        <v>124</v>
      </c>
      <c r="E883" s="37" t="s">
        <v>114</v>
      </c>
      <c r="F883" s="38" t="s">
        <v>148</v>
      </c>
    </row>
    <row r="884" spans="1:6" ht="13.5">
      <c r="A884" s="35">
        <v>63111</v>
      </c>
      <c r="B884" s="36" t="s">
        <v>667</v>
      </c>
      <c r="C884" s="37" t="s">
        <v>1262</v>
      </c>
      <c r="D884" s="37" t="s">
        <v>124</v>
      </c>
      <c r="E884" s="37" t="s">
        <v>114</v>
      </c>
      <c r="F884" s="38" t="s">
        <v>148</v>
      </c>
    </row>
    <row r="885" spans="1:6" ht="13.5">
      <c r="A885" s="35">
        <v>63212</v>
      </c>
      <c r="B885" s="36" t="s">
        <v>620</v>
      </c>
      <c r="C885" s="37" t="s">
        <v>1262</v>
      </c>
      <c r="D885" s="37" t="s">
        <v>124</v>
      </c>
      <c r="E885" s="37" t="s">
        <v>114</v>
      </c>
      <c r="F885" s="38" t="s">
        <v>148</v>
      </c>
    </row>
    <row r="886" spans="1:6" ht="13.5">
      <c r="A886" s="35">
        <v>63130</v>
      </c>
      <c r="B886" s="37" t="s">
        <v>1263</v>
      </c>
      <c r="C886" s="37" t="s">
        <v>1262</v>
      </c>
      <c r="D886" s="37" t="s">
        <v>124</v>
      </c>
      <c r="E886" s="37" t="s">
        <v>114</v>
      </c>
      <c r="F886" s="38" t="s">
        <v>148</v>
      </c>
    </row>
    <row r="887" spans="1:6" ht="13.5">
      <c r="A887" s="35">
        <v>63190</v>
      </c>
      <c r="B887" s="37" t="s">
        <v>1264</v>
      </c>
      <c r="C887" s="37" t="s">
        <v>1262</v>
      </c>
      <c r="D887" s="37" t="s">
        <v>124</v>
      </c>
      <c r="E887" s="37" t="s">
        <v>114</v>
      </c>
      <c r="F887" s="38" t="s">
        <v>148</v>
      </c>
    </row>
    <row r="888" spans="1:6" ht="13.5">
      <c r="A888" s="35">
        <v>63272</v>
      </c>
      <c r="B888" s="37" t="s">
        <v>1265</v>
      </c>
      <c r="C888" s="37" t="s">
        <v>1262</v>
      </c>
      <c r="D888" s="37" t="s">
        <v>124</v>
      </c>
      <c r="E888" s="37" t="s">
        <v>114</v>
      </c>
      <c r="F888" s="38" t="s">
        <v>148</v>
      </c>
    </row>
    <row r="889" spans="1:6" ht="13.5">
      <c r="A889" s="35">
        <v>63302</v>
      </c>
      <c r="B889" s="37" t="s">
        <v>1266</v>
      </c>
      <c r="C889" s="37" t="s">
        <v>1262</v>
      </c>
      <c r="D889" s="37" t="s">
        <v>124</v>
      </c>
      <c r="E889" s="37" t="s">
        <v>114</v>
      </c>
      <c r="F889" s="38" t="s">
        <v>202</v>
      </c>
    </row>
    <row r="890" spans="1:6" ht="13.5">
      <c r="A890" s="35">
        <v>63401</v>
      </c>
      <c r="B890" s="37" t="s">
        <v>1267</v>
      </c>
      <c r="C890" s="37" t="s">
        <v>1262</v>
      </c>
      <c r="D890" s="37" t="s">
        <v>124</v>
      </c>
      <c r="E890" s="37" t="s">
        <v>114</v>
      </c>
      <c r="F890" s="38" t="s">
        <v>148</v>
      </c>
    </row>
    <row r="891" spans="1:6" ht="13.5">
      <c r="A891" s="35">
        <v>63470</v>
      </c>
      <c r="B891" s="37" t="s">
        <v>1268</v>
      </c>
      <c r="C891" s="37" t="s">
        <v>1262</v>
      </c>
      <c r="D891" s="37" t="s">
        <v>124</v>
      </c>
      <c r="E891" s="37" t="s">
        <v>114</v>
      </c>
      <c r="F891" s="38" t="s">
        <v>148</v>
      </c>
    </row>
    <row r="892" spans="1:6" ht="13.5">
      <c r="A892" s="35">
        <v>63548</v>
      </c>
      <c r="B892" s="37" t="s">
        <v>1269</v>
      </c>
      <c r="C892" s="37" t="s">
        <v>1262</v>
      </c>
      <c r="D892" s="37" t="s">
        <v>124</v>
      </c>
      <c r="E892" s="37" t="s">
        <v>114</v>
      </c>
      <c r="F892" s="38" t="s">
        <v>202</v>
      </c>
    </row>
    <row r="893" spans="1:6" ht="13.5">
      <c r="A893" s="35">
        <v>63594</v>
      </c>
      <c r="B893" s="37" t="s">
        <v>1270</v>
      </c>
      <c r="C893" s="37" t="s">
        <v>1262</v>
      </c>
      <c r="D893" s="37" t="s">
        <v>124</v>
      </c>
      <c r="E893" s="37" t="s">
        <v>114</v>
      </c>
      <c r="F893" s="38" t="s">
        <v>148</v>
      </c>
    </row>
    <row r="894" spans="1:6" ht="13.5">
      <c r="A894" s="35">
        <v>63690</v>
      </c>
      <c r="B894" s="37" t="s">
        <v>1271</v>
      </c>
      <c r="C894" s="37" t="s">
        <v>1262</v>
      </c>
      <c r="D894" s="37" t="s">
        <v>124</v>
      </c>
      <c r="E894" s="37" t="s">
        <v>114</v>
      </c>
      <c r="F894" s="38" t="s">
        <v>148</v>
      </c>
    </row>
    <row r="895" spans="1:6" ht="13.5">
      <c r="A895" s="35">
        <v>66075</v>
      </c>
      <c r="B895" s="36" t="s">
        <v>832</v>
      </c>
      <c r="C895" s="37" t="s">
        <v>126</v>
      </c>
      <c r="D895" s="37" t="s">
        <v>124</v>
      </c>
      <c r="E895" s="37" t="s">
        <v>114</v>
      </c>
      <c r="F895" s="38" t="s">
        <v>148</v>
      </c>
    </row>
    <row r="896" spans="1:6" ht="13.5">
      <c r="A896" s="35">
        <v>66045</v>
      </c>
      <c r="B896" s="37" t="s">
        <v>1272</v>
      </c>
      <c r="C896" s="37" t="s">
        <v>126</v>
      </c>
      <c r="D896" s="37" t="s">
        <v>124</v>
      </c>
      <c r="E896" s="37" t="s">
        <v>114</v>
      </c>
      <c r="F896" s="38" t="s">
        <v>148</v>
      </c>
    </row>
    <row r="897" spans="1:6" ht="13.5">
      <c r="A897" s="35">
        <v>66088</v>
      </c>
      <c r="B897" s="37" t="s">
        <v>1273</v>
      </c>
      <c r="C897" s="37" t="s">
        <v>126</v>
      </c>
      <c r="D897" s="37" t="s">
        <v>124</v>
      </c>
      <c r="E897" s="37" t="s">
        <v>114</v>
      </c>
      <c r="F897" s="38" t="s">
        <v>148</v>
      </c>
    </row>
    <row r="898" spans="1:6" ht="13.5">
      <c r="A898" s="35">
        <v>66170</v>
      </c>
      <c r="B898" s="37" t="s">
        <v>1274</v>
      </c>
      <c r="C898" s="37" t="s">
        <v>126</v>
      </c>
      <c r="D898" s="37" t="s">
        <v>124</v>
      </c>
      <c r="E898" s="37" t="s">
        <v>114</v>
      </c>
      <c r="F898" s="38" t="s">
        <v>113</v>
      </c>
    </row>
    <row r="899" spans="1:6" ht="13.5">
      <c r="A899" s="35">
        <v>66318</v>
      </c>
      <c r="B899" s="37" t="s">
        <v>408</v>
      </c>
      <c r="C899" s="37" t="s">
        <v>126</v>
      </c>
      <c r="D899" s="37" t="s">
        <v>124</v>
      </c>
      <c r="E899" s="37" t="s">
        <v>114</v>
      </c>
      <c r="F899" s="38" t="s">
        <v>148</v>
      </c>
    </row>
    <row r="900" spans="1:6" ht="13.5">
      <c r="A900" s="35">
        <v>66383</v>
      </c>
      <c r="B900" s="37" t="s">
        <v>1275</v>
      </c>
      <c r="C900" s="37" t="s">
        <v>126</v>
      </c>
      <c r="D900" s="37" t="s">
        <v>124</v>
      </c>
      <c r="E900" s="37" t="s">
        <v>114</v>
      </c>
      <c r="F900" s="38" t="s">
        <v>148</v>
      </c>
    </row>
    <row r="901" spans="1:6" ht="13.5">
      <c r="A901" s="35">
        <v>66400</v>
      </c>
      <c r="B901" s="37" t="s">
        <v>1276</v>
      </c>
      <c r="C901" s="37" t="s">
        <v>126</v>
      </c>
      <c r="D901" s="37" t="s">
        <v>124</v>
      </c>
      <c r="E901" s="37" t="s">
        <v>114</v>
      </c>
      <c r="F901" s="38" t="s">
        <v>113</v>
      </c>
    </row>
    <row r="902" spans="1:6" ht="13.5">
      <c r="A902" s="35">
        <v>66440</v>
      </c>
      <c r="B902" s="37" t="s">
        <v>1277</v>
      </c>
      <c r="C902" s="37" t="s">
        <v>126</v>
      </c>
      <c r="D902" s="37" t="s">
        <v>124</v>
      </c>
      <c r="E902" s="37" t="s">
        <v>114</v>
      </c>
      <c r="F902" s="38" t="s">
        <v>148</v>
      </c>
    </row>
    <row r="903" spans="1:6" ht="13.5">
      <c r="A903" s="35">
        <v>66456</v>
      </c>
      <c r="B903" s="37" t="s">
        <v>1278</v>
      </c>
      <c r="C903" s="37" t="s">
        <v>126</v>
      </c>
      <c r="D903" s="37" t="s">
        <v>124</v>
      </c>
      <c r="E903" s="37" t="s">
        <v>114</v>
      </c>
      <c r="F903" s="38" t="s">
        <v>148</v>
      </c>
    </row>
    <row r="904" spans="1:6" ht="13.5">
      <c r="A904" s="35">
        <v>66001</v>
      </c>
      <c r="B904" s="37" t="s">
        <v>124</v>
      </c>
      <c r="C904" s="37" t="s">
        <v>126</v>
      </c>
      <c r="D904" s="37" t="s">
        <v>124</v>
      </c>
      <c r="E904" s="37" t="s">
        <v>114</v>
      </c>
      <c r="F904" s="38" t="s">
        <v>113</v>
      </c>
    </row>
    <row r="905" spans="1:6" ht="13.5">
      <c r="A905" s="35">
        <v>66572</v>
      </c>
      <c r="B905" s="37" t="s">
        <v>1279</v>
      </c>
      <c r="C905" s="37" t="s">
        <v>126</v>
      </c>
      <c r="D905" s="37" t="s">
        <v>124</v>
      </c>
      <c r="E905" s="37" t="s">
        <v>114</v>
      </c>
      <c r="F905" s="38" t="s">
        <v>148</v>
      </c>
    </row>
    <row r="906" spans="1:6" ht="13.5">
      <c r="A906" s="35">
        <v>66594</v>
      </c>
      <c r="B906" s="37" t="s">
        <v>1280</v>
      </c>
      <c r="C906" s="37" t="s">
        <v>126</v>
      </c>
      <c r="D906" s="37" t="s">
        <v>124</v>
      </c>
      <c r="E906" s="37" t="s">
        <v>114</v>
      </c>
      <c r="F906" s="38" t="s">
        <v>148</v>
      </c>
    </row>
    <row r="907" spans="1:6" ht="13.5">
      <c r="A907" s="35">
        <v>66682</v>
      </c>
      <c r="B907" s="37" t="s">
        <v>1281</v>
      </c>
      <c r="C907" s="37" t="s">
        <v>126</v>
      </c>
      <c r="D907" s="37" t="s">
        <v>124</v>
      </c>
      <c r="E907" s="37" t="s">
        <v>114</v>
      </c>
      <c r="F907" s="38" t="s">
        <v>113</v>
      </c>
    </row>
    <row r="908" spans="1:6" ht="13.5">
      <c r="A908" s="35">
        <v>66687</v>
      </c>
      <c r="B908" s="37" t="s">
        <v>1282</v>
      </c>
      <c r="C908" s="37" t="s">
        <v>126</v>
      </c>
      <c r="D908" s="37" t="s">
        <v>124</v>
      </c>
      <c r="E908" s="37" t="s">
        <v>114</v>
      </c>
      <c r="F908" s="38" t="s">
        <v>148</v>
      </c>
    </row>
    <row r="909" spans="1:6" ht="13.5">
      <c r="A909" s="35">
        <v>88564</v>
      </c>
      <c r="B909" s="36" t="s">
        <v>1168</v>
      </c>
      <c r="C909" s="37" t="s">
        <v>1283</v>
      </c>
      <c r="D909" s="37" t="s">
        <v>598</v>
      </c>
      <c r="E909" s="37" t="s">
        <v>461</v>
      </c>
      <c r="F909" s="38" t="s">
        <v>462</v>
      </c>
    </row>
    <row r="910" spans="1:6" ht="13.5">
      <c r="A910" s="35">
        <v>88001</v>
      </c>
      <c r="B910" s="36" t="s">
        <v>1284</v>
      </c>
      <c r="C910" s="37" t="s">
        <v>1283</v>
      </c>
      <c r="D910" s="37" t="s">
        <v>598</v>
      </c>
      <c r="E910" s="37" t="s">
        <v>461</v>
      </c>
      <c r="F910" s="38" t="s">
        <v>462</v>
      </c>
    </row>
    <row r="911" spans="1:6" ht="13.5">
      <c r="A911" s="35">
        <v>68020</v>
      </c>
      <c r="B911" s="36" t="s">
        <v>803</v>
      </c>
      <c r="C911" s="37" t="s">
        <v>173</v>
      </c>
      <c r="D911" s="37" t="s">
        <v>140</v>
      </c>
      <c r="E911" s="37" t="s">
        <v>114</v>
      </c>
      <c r="F911" s="38" t="s">
        <v>202</v>
      </c>
    </row>
    <row r="912" spans="1:6" ht="13.5">
      <c r="A912" s="35">
        <v>68077</v>
      </c>
      <c r="B912" s="36" t="s">
        <v>475</v>
      </c>
      <c r="C912" s="37" t="s">
        <v>173</v>
      </c>
      <c r="D912" s="37" t="s">
        <v>140</v>
      </c>
      <c r="E912" s="37" t="s">
        <v>114</v>
      </c>
      <c r="F912" s="38" t="s">
        <v>148</v>
      </c>
    </row>
    <row r="913" spans="1:6" ht="13.5">
      <c r="A913" s="35">
        <v>68092</v>
      </c>
      <c r="B913" s="36" t="s">
        <v>476</v>
      </c>
      <c r="C913" s="37" t="s">
        <v>173</v>
      </c>
      <c r="D913" s="37" t="s">
        <v>171</v>
      </c>
      <c r="E913" s="37" t="s">
        <v>114</v>
      </c>
      <c r="F913" s="38" t="s">
        <v>344</v>
      </c>
    </row>
    <row r="914" spans="1:6" ht="13.5">
      <c r="A914" s="35">
        <v>68101</v>
      </c>
      <c r="B914" s="36" t="s">
        <v>232</v>
      </c>
      <c r="C914" s="37" t="s">
        <v>173</v>
      </c>
      <c r="D914" s="37" t="s">
        <v>140</v>
      </c>
      <c r="E914" s="37" t="s">
        <v>114</v>
      </c>
      <c r="F914" s="38" t="s">
        <v>202</v>
      </c>
    </row>
    <row r="915" spans="1:6" ht="13.5">
      <c r="A915" s="35">
        <v>68121</v>
      </c>
      <c r="B915" s="36" t="s">
        <v>950</v>
      </c>
      <c r="C915" s="37" t="s">
        <v>173</v>
      </c>
      <c r="D915" s="37" t="s">
        <v>171</v>
      </c>
      <c r="E915" s="37" t="s">
        <v>114</v>
      </c>
      <c r="F915" s="38" t="s">
        <v>202</v>
      </c>
    </row>
    <row r="916" spans="1:6" ht="13.5">
      <c r="A916" s="35">
        <v>68176</v>
      </c>
      <c r="B916" s="36" t="s">
        <v>924</v>
      </c>
      <c r="C916" s="37" t="s">
        <v>173</v>
      </c>
      <c r="D916" s="37" t="s">
        <v>171</v>
      </c>
      <c r="E916" s="37" t="s">
        <v>114</v>
      </c>
      <c r="F916" s="38" t="s">
        <v>344</v>
      </c>
    </row>
    <row r="917" spans="1:6" ht="13.5">
      <c r="A917" s="35">
        <v>68207</v>
      </c>
      <c r="B917" s="36" t="s">
        <v>478</v>
      </c>
      <c r="C917" s="37" t="s">
        <v>173</v>
      </c>
      <c r="D917" s="37" t="s">
        <v>171</v>
      </c>
      <c r="E917" s="37" t="s">
        <v>114</v>
      </c>
      <c r="F917" s="38" t="s">
        <v>344</v>
      </c>
    </row>
    <row r="918" spans="1:6" ht="13.5">
      <c r="A918" s="35">
        <v>68250</v>
      </c>
      <c r="B918" s="36" t="s">
        <v>621</v>
      </c>
      <c r="C918" s="37" t="s">
        <v>173</v>
      </c>
      <c r="D918" s="37" t="s">
        <v>171</v>
      </c>
      <c r="E918" s="37" t="s">
        <v>114</v>
      </c>
      <c r="F918" s="38" t="s">
        <v>344</v>
      </c>
    </row>
    <row r="919" spans="1:6" ht="13.5">
      <c r="A919" s="35">
        <v>68320</v>
      </c>
      <c r="B919" s="36" t="s">
        <v>481</v>
      </c>
      <c r="C919" s="37" t="s">
        <v>173</v>
      </c>
      <c r="D919" s="37" t="s">
        <v>171</v>
      </c>
      <c r="E919" s="37" t="s">
        <v>114</v>
      </c>
      <c r="F919" s="38" t="s">
        <v>344</v>
      </c>
    </row>
    <row r="920" spans="1:6" ht="13.5">
      <c r="A920" s="35">
        <v>68397</v>
      </c>
      <c r="B920" s="36" t="s">
        <v>867</v>
      </c>
      <c r="C920" s="37" t="s">
        <v>173</v>
      </c>
      <c r="D920" s="37" t="s">
        <v>171</v>
      </c>
      <c r="E920" s="37" t="s">
        <v>114</v>
      </c>
      <c r="F920" s="38" t="s">
        <v>344</v>
      </c>
    </row>
    <row r="921" spans="1:6" ht="13.5">
      <c r="A921" s="35">
        <v>68615</v>
      </c>
      <c r="B921" s="36" t="s">
        <v>483</v>
      </c>
      <c r="C921" s="37" t="s">
        <v>173</v>
      </c>
      <c r="D921" s="37" t="s">
        <v>171</v>
      </c>
      <c r="E921" s="37" t="s">
        <v>114</v>
      </c>
      <c r="F921" s="38" t="s">
        <v>148</v>
      </c>
    </row>
    <row r="922" spans="1:6" ht="13.5">
      <c r="A922" s="35">
        <v>68669</v>
      </c>
      <c r="B922" s="36" t="s">
        <v>1284</v>
      </c>
      <c r="C922" s="37" t="s">
        <v>173</v>
      </c>
      <c r="D922" s="37" t="s">
        <v>171</v>
      </c>
      <c r="E922" s="37" t="s">
        <v>114</v>
      </c>
      <c r="F922" s="38" t="s">
        <v>202</v>
      </c>
    </row>
    <row r="923" spans="1:6" ht="13.5">
      <c r="A923" s="35">
        <v>68686</v>
      </c>
      <c r="B923" s="36" t="s">
        <v>1252</v>
      </c>
      <c r="C923" s="37" t="s">
        <v>173</v>
      </c>
      <c r="D923" s="37" t="s">
        <v>140</v>
      </c>
      <c r="E923" s="37" t="s">
        <v>114</v>
      </c>
      <c r="F923" s="38" t="s">
        <v>344</v>
      </c>
    </row>
    <row r="924" spans="1:6" ht="13.5">
      <c r="A924" s="35">
        <v>68705</v>
      </c>
      <c r="B924" s="36" t="s">
        <v>489</v>
      </c>
      <c r="C924" s="37" t="s">
        <v>173</v>
      </c>
      <c r="D924" s="37" t="s">
        <v>171</v>
      </c>
      <c r="E924" s="37" t="s">
        <v>114</v>
      </c>
      <c r="F924" s="38" t="s">
        <v>148</v>
      </c>
    </row>
    <row r="925" spans="1:6" ht="13.5">
      <c r="A925" s="35">
        <v>68773</v>
      </c>
      <c r="B925" s="36" t="s">
        <v>836</v>
      </c>
      <c r="C925" s="37" t="s">
        <v>173</v>
      </c>
      <c r="D925" s="37" t="s">
        <v>140</v>
      </c>
      <c r="E925" s="37" t="s">
        <v>114</v>
      </c>
      <c r="F925" s="38" t="s">
        <v>202</v>
      </c>
    </row>
    <row r="926" spans="1:6" ht="13.5">
      <c r="A926" s="35">
        <v>68872</v>
      </c>
      <c r="B926" s="36" t="s">
        <v>627</v>
      </c>
      <c r="C926" s="37" t="s">
        <v>173</v>
      </c>
      <c r="D926" s="37" t="s">
        <v>171</v>
      </c>
      <c r="E926" s="37" t="s">
        <v>114</v>
      </c>
      <c r="F926" s="38" t="s">
        <v>202</v>
      </c>
    </row>
    <row r="927" spans="1:6" ht="13.5">
      <c r="A927" s="35">
        <v>68013</v>
      </c>
      <c r="B927" s="37" t="s">
        <v>1285</v>
      </c>
      <c r="C927" s="37" t="s">
        <v>173</v>
      </c>
      <c r="D927" s="37" t="s">
        <v>171</v>
      </c>
      <c r="E927" s="37" t="s">
        <v>114</v>
      </c>
      <c r="F927" s="38" t="s">
        <v>344</v>
      </c>
    </row>
    <row r="928" spans="1:6" ht="13.5">
      <c r="A928" s="35">
        <v>68051</v>
      </c>
      <c r="B928" s="37" t="s">
        <v>1286</v>
      </c>
      <c r="C928" s="37" t="s">
        <v>173</v>
      </c>
      <c r="D928" s="37" t="s">
        <v>171</v>
      </c>
      <c r="E928" s="37" t="s">
        <v>114</v>
      </c>
      <c r="F928" s="38" t="s">
        <v>148</v>
      </c>
    </row>
    <row r="929" spans="1:6" ht="13.5">
      <c r="A929" s="35">
        <v>68079</v>
      </c>
      <c r="B929" s="37" t="s">
        <v>1287</v>
      </c>
      <c r="C929" s="37" t="s">
        <v>173</v>
      </c>
      <c r="D929" s="37" t="s">
        <v>171</v>
      </c>
      <c r="E929" s="37" t="s">
        <v>114</v>
      </c>
      <c r="F929" s="38" t="s">
        <v>202</v>
      </c>
    </row>
    <row r="930" spans="1:6" ht="13.5">
      <c r="A930" s="35">
        <v>68081</v>
      </c>
      <c r="B930" s="37" t="s">
        <v>1288</v>
      </c>
      <c r="C930" s="37" t="s">
        <v>173</v>
      </c>
      <c r="D930" s="37" t="s">
        <v>171</v>
      </c>
      <c r="E930" s="37" t="s">
        <v>114</v>
      </c>
      <c r="F930" s="38" t="s">
        <v>202</v>
      </c>
    </row>
    <row r="931" spans="1:6" ht="13.5">
      <c r="A931" s="35">
        <v>68001</v>
      </c>
      <c r="B931" s="37" t="s">
        <v>171</v>
      </c>
      <c r="C931" s="37" t="s">
        <v>173</v>
      </c>
      <c r="D931" s="37" t="s">
        <v>171</v>
      </c>
      <c r="E931" s="37" t="s">
        <v>114</v>
      </c>
      <c r="F931" s="38" t="s">
        <v>113</v>
      </c>
    </row>
    <row r="932" spans="1:6" ht="13.5">
      <c r="A932" s="35">
        <v>68132</v>
      </c>
      <c r="B932" s="37" t="s">
        <v>1289</v>
      </c>
      <c r="C932" s="37" t="s">
        <v>173</v>
      </c>
      <c r="D932" s="37" t="s">
        <v>171</v>
      </c>
      <c r="E932" s="37" t="s">
        <v>114</v>
      </c>
      <c r="F932" s="38" t="s">
        <v>202</v>
      </c>
    </row>
    <row r="933" spans="1:6" ht="13.5">
      <c r="A933" s="35">
        <v>68147</v>
      </c>
      <c r="B933" s="37" t="s">
        <v>1290</v>
      </c>
      <c r="C933" s="37" t="s">
        <v>173</v>
      </c>
      <c r="D933" s="37" t="s">
        <v>171</v>
      </c>
      <c r="E933" s="37" t="s">
        <v>114</v>
      </c>
      <c r="F933" s="38" t="s">
        <v>344</v>
      </c>
    </row>
    <row r="934" spans="1:6" ht="13.5">
      <c r="A934" s="35">
        <v>68152</v>
      </c>
      <c r="B934" s="37" t="s">
        <v>1291</v>
      </c>
      <c r="C934" s="37" t="s">
        <v>173</v>
      </c>
      <c r="D934" s="37" t="s">
        <v>171</v>
      </c>
      <c r="E934" s="37" t="s">
        <v>114</v>
      </c>
      <c r="F934" s="38" t="s">
        <v>344</v>
      </c>
    </row>
    <row r="935" spans="1:6" ht="13.5">
      <c r="A935" s="35">
        <v>68160</v>
      </c>
      <c r="B935" s="37" t="s">
        <v>1292</v>
      </c>
      <c r="C935" s="37" t="s">
        <v>173</v>
      </c>
      <c r="D935" s="37" t="s">
        <v>171</v>
      </c>
      <c r="E935" s="37" t="s">
        <v>114</v>
      </c>
      <c r="F935" s="38" t="s">
        <v>202</v>
      </c>
    </row>
    <row r="936" spans="1:6" ht="13.5">
      <c r="A936" s="35">
        <v>68162</v>
      </c>
      <c r="B936" s="37" t="s">
        <v>1293</v>
      </c>
      <c r="C936" s="37" t="s">
        <v>173</v>
      </c>
      <c r="D936" s="37" t="s">
        <v>171</v>
      </c>
      <c r="E936" s="37" t="s">
        <v>114</v>
      </c>
      <c r="F936" s="38" t="s">
        <v>344</v>
      </c>
    </row>
    <row r="937" spans="1:6" ht="13.5">
      <c r="A937" s="35">
        <v>68167</v>
      </c>
      <c r="B937" s="37" t="s">
        <v>1294</v>
      </c>
      <c r="C937" s="37" t="s">
        <v>173</v>
      </c>
      <c r="D937" s="37" t="s">
        <v>171</v>
      </c>
      <c r="E937" s="37" t="s">
        <v>114</v>
      </c>
      <c r="F937" s="38" t="s">
        <v>344</v>
      </c>
    </row>
    <row r="938" spans="1:6" ht="13.5">
      <c r="A938" s="35">
        <v>68169</v>
      </c>
      <c r="B938" s="37" t="s">
        <v>174</v>
      </c>
      <c r="C938" s="37" t="s">
        <v>173</v>
      </c>
      <c r="D938" s="37" t="s">
        <v>171</v>
      </c>
      <c r="E938" s="37" t="s">
        <v>114</v>
      </c>
      <c r="F938" s="38" t="s">
        <v>148</v>
      </c>
    </row>
    <row r="939" spans="1:6" ht="13.5">
      <c r="A939" s="35">
        <v>68179</v>
      </c>
      <c r="B939" s="37" t="s">
        <v>1295</v>
      </c>
      <c r="C939" s="37" t="s">
        <v>173</v>
      </c>
      <c r="D939" s="37" t="s">
        <v>140</v>
      </c>
      <c r="E939" s="37" t="s">
        <v>114</v>
      </c>
      <c r="F939" s="38" t="s">
        <v>344</v>
      </c>
    </row>
    <row r="940" spans="1:6" ht="13.5">
      <c r="A940" s="35">
        <v>68190</v>
      </c>
      <c r="B940" s="37" t="s">
        <v>1296</v>
      </c>
      <c r="C940" s="37" t="s">
        <v>173</v>
      </c>
      <c r="D940" s="37" t="s">
        <v>171</v>
      </c>
      <c r="E940" s="37" t="s">
        <v>114</v>
      </c>
      <c r="F940" s="38" t="s">
        <v>344</v>
      </c>
    </row>
    <row r="941" spans="1:6" ht="13.5">
      <c r="A941" s="35">
        <v>68209</v>
      </c>
      <c r="B941" s="37" t="s">
        <v>1297</v>
      </c>
      <c r="C941" s="37" t="s">
        <v>173</v>
      </c>
      <c r="D941" s="37" t="s">
        <v>171</v>
      </c>
      <c r="E941" s="37" t="s">
        <v>114</v>
      </c>
      <c r="F941" s="38" t="s">
        <v>202</v>
      </c>
    </row>
    <row r="942" spans="1:6" ht="13.5">
      <c r="A942" s="35">
        <v>68211</v>
      </c>
      <c r="B942" s="37" t="s">
        <v>1298</v>
      </c>
      <c r="C942" s="37" t="s">
        <v>173</v>
      </c>
      <c r="D942" s="37" t="s">
        <v>171</v>
      </c>
      <c r="E942" s="37" t="s">
        <v>114</v>
      </c>
      <c r="F942" s="38" t="s">
        <v>344</v>
      </c>
    </row>
    <row r="943" spans="1:6" ht="13.5">
      <c r="A943" s="35">
        <v>68217</v>
      </c>
      <c r="B943" s="37" t="s">
        <v>1299</v>
      </c>
      <c r="C943" s="37" t="s">
        <v>173</v>
      </c>
      <c r="D943" s="37" t="s">
        <v>171</v>
      </c>
      <c r="E943" s="37" t="s">
        <v>114</v>
      </c>
      <c r="F943" s="38" t="s">
        <v>344</v>
      </c>
    </row>
    <row r="944" spans="1:6" ht="13.5">
      <c r="A944" s="35">
        <v>68229</v>
      </c>
      <c r="B944" s="37" t="s">
        <v>1300</v>
      </c>
      <c r="C944" s="37" t="s">
        <v>173</v>
      </c>
      <c r="D944" s="37" t="s">
        <v>171</v>
      </c>
      <c r="E944" s="37" t="s">
        <v>114</v>
      </c>
      <c r="F944" s="38" t="s">
        <v>148</v>
      </c>
    </row>
    <row r="945" spans="1:6" ht="13.5">
      <c r="A945" s="35">
        <v>68235</v>
      </c>
      <c r="B945" s="37" t="s">
        <v>1301</v>
      </c>
      <c r="C945" s="37" t="s">
        <v>173</v>
      </c>
      <c r="D945" s="37" t="s">
        <v>171</v>
      </c>
      <c r="E945" s="37" t="s">
        <v>114</v>
      </c>
      <c r="F945" s="38" t="s">
        <v>344</v>
      </c>
    </row>
    <row r="946" spans="1:6" ht="13.5">
      <c r="A946" s="35">
        <v>68245</v>
      </c>
      <c r="B946" s="37" t="s">
        <v>1302</v>
      </c>
      <c r="C946" s="37" t="s">
        <v>173</v>
      </c>
      <c r="D946" s="37" t="s">
        <v>171</v>
      </c>
      <c r="E946" s="37" t="s">
        <v>114</v>
      </c>
      <c r="F946" s="38" t="s">
        <v>344</v>
      </c>
    </row>
    <row r="947" spans="1:6" ht="13.5">
      <c r="A947" s="35">
        <v>68255</v>
      </c>
      <c r="B947" s="37" t="s">
        <v>1303</v>
      </c>
      <c r="C947" s="37" t="s">
        <v>173</v>
      </c>
      <c r="D947" s="37" t="s">
        <v>171</v>
      </c>
      <c r="E947" s="37" t="s">
        <v>114</v>
      </c>
      <c r="F947" s="38" t="s">
        <v>148</v>
      </c>
    </row>
    <row r="948" spans="1:6" ht="13.5">
      <c r="A948" s="35">
        <v>68264</v>
      </c>
      <c r="B948" s="37" t="s">
        <v>1304</v>
      </c>
      <c r="C948" s="37" t="s">
        <v>173</v>
      </c>
      <c r="D948" s="37" t="s">
        <v>171</v>
      </c>
      <c r="E948" s="37" t="s">
        <v>114</v>
      </c>
      <c r="F948" s="38" t="s">
        <v>344</v>
      </c>
    </row>
    <row r="949" spans="1:6" ht="13.5">
      <c r="A949" s="35">
        <v>68266</v>
      </c>
      <c r="B949" s="37" t="s">
        <v>1305</v>
      </c>
      <c r="C949" s="37" t="s">
        <v>173</v>
      </c>
      <c r="D949" s="37" t="s">
        <v>171</v>
      </c>
      <c r="E949" s="37" t="s">
        <v>114</v>
      </c>
      <c r="F949" s="38" t="s">
        <v>344</v>
      </c>
    </row>
    <row r="950" spans="1:6" ht="13.5">
      <c r="A950" s="35">
        <v>68271</v>
      </c>
      <c r="B950" s="37" t="s">
        <v>1306</v>
      </c>
      <c r="C950" s="37" t="s">
        <v>173</v>
      </c>
      <c r="D950" s="37" t="s">
        <v>140</v>
      </c>
      <c r="E950" s="37" t="s">
        <v>114</v>
      </c>
      <c r="F950" s="38" t="s">
        <v>344</v>
      </c>
    </row>
    <row r="951" spans="1:6" ht="13.5">
      <c r="A951" s="35">
        <v>68276</v>
      </c>
      <c r="B951" s="37" t="s">
        <v>1307</v>
      </c>
      <c r="C951" s="37" t="s">
        <v>173</v>
      </c>
      <c r="D951" s="37" t="s">
        <v>171</v>
      </c>
      <c r="E951" s="37" t="s">
        <v>114</v>
      </c>
      <c r="F951" s="38" t="s">
        <v>113</v>
      </c>
    </row>
    <row r="952" spans="1:6" ht="13.5">
      <c r="A952" s="35">
        <v>68296</v>
      </c>
      <c r="B952" s="37" t="s">
        <v>1308</v>
      </c>
      <c r="C952" s="37" t="s">
        <v>173</v>
      </c>
      <c r="D952" s="37" t="s">
        <v>171</v>
      </c>
      <c r="E952" s="37" t="s">
        <v>114</v>
      </c>
      <c r="F952" s="38" t="s">
        <v>202</v>
      </c>
    </row>
    <row r="953" spans="1:6" ht="13.5">
      <c r="A953" s="35">
        <v>68298</v>
      </c>
      <c r="B953" s="37" t="s">
        <v>1309</v>
      </c>
      <c r="C953" s="37" t="s">
        <v>173</v>
      </c>
      <c r="D953" s="37" t="s">
        <v>171</v>
      </c>
      <c r="E953" s="37" t="s">
        <v>114</v>
      </c>
      <c r="F953" s="38" t="s">
        <v>344</v>
      </c>
    </row>
    <row r="954" spans="1:6" ht="13.5">
      <c r="A954" s="35">
        <v>68307</v>
      </c>
      <c r="B954" s="37" t="s">
        <v>1310</v>
      </c>
      <c r="C954" s="37" t="s">
        <v>173</v>
      </c>
      <c r="D954" s="37" t="s">
        <v>171</v>
      </c>
      <c r="E954" s="37" t="s">
        <v>114</v>
      </c>
      <c r="F954" s="38" t="s">
        <v>113</v>
      </c>
    </row>
    <row r="955" spans="1:6" ht="13.5">
      <c r="A955" s="35">
        <v>68318</v>
      </c>
      <c r="B955" s="37" t="s">
        <v>1311</v>
      </c>
      <c r="C955" s="37" t="s">
        <v>173</v>
      </c>
      <c r="D955" s="37" t="s">
        <v>171</v>
      </c>
      <c r="E955" s="37" t="s">
        <v>114</v>
      </c>
      <c r="F955" s="38" t="s">
        <v>202</v>
      </c>
    </row>
    <row r="956" spans="1:6" ht="13.5">
      <c r="A956" s="35">
        <v>68322</v>
      </c>
      <c r="B956" s="37" t="s">
        <v>1312</v>
      </c>
      <c r="C956" s="37" t="s">
        <v>173</v>
      </c>
      <c r="D956" s="37" t="s">
        <v>171</v>
      </c>
      <c r="E956" s="37" t="s">
        <v>114</v>
      </c>
      <c r="F956" s="38" t="s">
        <v>344</v>
      </c>
    </row>
    <row r="957" spans="1:6" ht="13.5">
      <c r="A957" s="35">
        <v>68324</v>
      </c>
      <c r="B957" s="37" t="s">
        <v>1313</v>
      </c>
      <c r="C957" s="37" t="s">
        <v>173</v>
      </c>
      <c r="D957" s="37" t="s">
        <v>171</v>
      </c>
      <c r="E957" s="37" t="s">
        <v>114</v>
      </c>
      <c r="F957" s="38" t="s">
        <v>344</v>
      </c>
    </row>
    <row r="958" spans="1:6" ht="13.5">
      <c r="A958" s="35">
        <v>68327</v>
      </c>
      <c r="B958" s="37" t="s">
        <v>1314</v>
      </c>
      <c r="C958" s="37" t="s">
        <v>173</v>
      </c>
      <c r="D958" s="37" t="s">
        <v>171</v>
      </c>
      <c r="E958" s="37" t="s">
        <v>114</v>
      </c>
      <c r="F958" s="38" t="s">
        <v>202</v>
      </c>
    </row>
    <row r="959" spans="1:6" ht="13.5">
      <c r="A959" s="35">
        <v>68344</v>
      </c>
      <c r="B959" s="37" t="s">
        <v>1315</v>
      </c>
      <c r="C959" s="37" t="s">
        <v>173</v>
      </c>
      <c r="D959" s="37" t="s">
        <v>171</v>
      </c>
      <c r="E959" s="37" t="s">
        <v>114</v>
      </c>
      <c r="F959" s="38" t="s">
        <v>202</v>
      </c>
    </row>
    <row r="960" spans="1:6" ht="13.5">
      <c r="A960" s="35">
        <v>68368</v>
      </c>
      <c r="B960" s="37" t="s">
        <v>1316</v>
      </c>
      <c r="C960" s="37" t="s">
        <v>173</v>
      </c>
      <c r="D960" s="37" t="s">
        <v>140</v>
      </c>
      <c r="E960" s="37" t="s">
        <v>114</v>
      </c>
      <c r="F960" s="38" t="s">
        <v>344</v>
      </c>
    </row>
    <row r="961" spans="1:6" ht="13.5">
      <c r="A961" s="35">
        <v>68370</v>
      </c>
      <c r="B961" s="37" t="s">
        <v>1317</v>
      </c>
      <c r="C961" s="37" t="s">
        <v>173</v>
      </c>
      <c r="D961" s="37" t="s">
        <v>171</v>
      </c>
      <c r="E961" s="37" t="s">
        <v>114</v>
      </c>
      <c r="F961" s="38" t="s">
        <v>202</v>
      </c>
    </row>
    <row r="962" spans="1:6" ht="13.5">
      <c r="A962" s="35">
        <v>68377</v>
      </c>
      <c r="B962" s="37" t="s">
        <v>1318</v>
      </c>
      <c r="C962" s="37" t="s">
        <v>173</v>
      </c>
      <c r="D962" s="37" t="s">
        <v>140</v>
      </c>
      <c r="E962" s="37" t="s">
        <v>114</v>
      </c>
      <c r="F962" s="38" t="s">
        <v>344</v>
      </c>
    </row>
    <row r="963" spans="1:6" ht="13.5">
      <c r="A963" s="35">
        <v>68385</v>
      </c>
      <c r="B963" s="37" t="s">
        <v>1319</v>
      </c>
      <c r="C963" s="37" t="s">
        <v>173</v>
      </c>
      <c r="D963" s="37" t="s">
        <v>140</v>
      </c>
      <c r="E963" s="37" t="s">
        <v>114</v>
      </c>
      <c r="F963" s="38" t="s">
        <v>202</v>
      </c>
    </row>
    <row r="964" spans="1:6" ht="13.5">
      <c r="A964" s="35">
        <v>68406</v>
      </c>
      <c r="B964" s="37" t="s">
        <v>1320</v>
      </c>
      <c r="C964" s="37" t="s">
        <v>173</v>
      </c>
      <c r="D964" s="37" t="s">
        <v>171</v>
      </c>
      <c r="E964" s="37" t="s">
        <v>114</v>
      </c>
      <c r="F964" s="38" t="s">
        <v>148</v>
      </c>
    </row>
    <row r="965" spans="1:6" ht="13.5">
      <c r="A965" s="35">
        <v>68418</v>
      </c>
      <c r="B965" s="37" t="s">
        <v>1321</v>
      </c>
      <c r="C965" s="37" t="s">
        <v>173</v>
      </c>
      <c r="D965" s="37" t="s">
        <v>171</v>
      </c>
      <c r="E965" s="37" t="s">
        <v>114</v>
      </c>
      <c r="F965" s="38" t="s">
        <v>148</v>
      </c>
    </row>
    <row r="966" spans="1:6" ht="13.5">
      <c r="A966" s="35">
        <v>68425</v>
      </c>
      <c r="B966" s="37" t="s">
        <v>1322</v>
      </c>
      <c r="C966" s="37" t="s">
        <v>173</v>
      </c>
      <c r="D966" s="37" t="s">
        <v>171</v>
      </c>
      <c r="E966" s="37" t="s">
        <v>114</v>
      </c>
      <c r="F966" s="38" t="s">
        <v>344</v>
      </c>
    </row>
    <row r="967" spans="1:6" ht="13.5">
      <c r="A967" s="35">
        <v>68432</v>
      </c>
      <c r="B967" s="37" t="s">
        <v>1323</v>
      </c>
      <c r="C967" s="37" t="s">
        <v>173</v>
      </c>
      <c r="D967" s="37" t="s">
        <v>171</v>
      </c>
      <c r="E967" s="37" t="s">
        <v>114</v>
      </c>
      <c r="F967" s="38" t="s">
        <v>344</v>
      </c>
    </row>
    <row r="968" spans="1:6" ht="13.5">
      <c r="A968" s="35">
        <v>68444</v>
      </c>
      <c r="B968" s="37" t="s">
        <v>1324</v>
      </c>
      <c r="C968" s="37" t="s">
        <v>173</v>
      </c>
      <c r="D968" s="37" t="s">
        <v>171</v>
      </c>
      <c r="E968" s="37" t="s">
        <v>114</v>
      </c>
      <c r="F968" s="38" t="s">
        <v>202</v>
      </c>
    </row>
    <row r="969" spans="1:6" ht="13.5">
      <c r="A969" s="35">
        <v>68464</v>
      </c>
      <c r="B969" s="37" t="s">
        <v>1325</v>
      </c>
      <c r="C969" s="37" t="s">
        <v>173</v>
      </c>
      <c r="D969" s="37" t="s">
        <v>171</v>
      </c>
      <c r="E969" s="37" t="s">
        <v>114</v>
      </c>
      <c r="F969" s="38" t="s">
        <v>202</v>
      </c>
    </row>
    <row r="970" spans="1:6" ht="13.5">
      <c r="A970" s="35">
        <v>68468</v>
      </c>
      <c r="B970" s="37" t="s">
        <v>1326</v>
      </c>
      <c r="C970" s="37" t="s">
        <v>173</v>
      </c>
      <c r="D970" s="37" t="s">
        <v>171</v>
      </c>
      <c r="E970" s="37" t="s">
        <v>114</v>
      </c>
      <c r="F970" s="38" t="s">
        <v>344</v>
      </c>
    </row>
    <row r="971" spans="1:6" ht="13.5">
      <c r="A971" s="35">
        <v>68498</v>
      </c>
      <c r="B971" s="37" t="s">
        <v>1327</v>
      </c>
      <c r="C971" s="37" t="s">
        <v>173</v>
      </c>
      <c r="D971" s="37" t="s">
        <v>171</v>
      </c>
      <c r="E971" s="37" t="s">
        <v>114</v>
      </c>
      <c r="F971" s="38" t="s">
        <v>344</v>
      </c>
    </row>
    <row r="972" spans="1:6" ht="13.5">
      <c r="A972" s="35">
        <v>68500</v>
      </c>
      <c r="B972" s="37" t="s">
        <v>1328</v>
      </c>
      <c r="C972" s="37" t="s">
        <v>173</v>
      </c>
      <c r="D972" s="37" t="s">
        <v>171</v>
      </c>
      <c r="E972" s="37" t="s">
        <v>114</v>
      </c>
      <c r="F972" s="38" t="s">
        <v>202</v>
      </c>
    </row>
    <row r="973" spans="1:6" ht="13.5">
      <c r="A973" s="35">
        <v>68502</v>
      </c>
      <c r="B973" s="37" t="s">
        <v>1329</v>
      </c>
      <c r="C973" s="37" t="s">
        <v>173</v>
      </c>
      <c r="D973" s="37" t="s">
        <v>171</v>
      </c>
      <c r="E973" s="37" t="s">
        <v>114</v>
      </c>
      <c r="F973" s="38" t="s">
        <v>344</v>
      </c>
    </row>
    <row r="974" spans="1:6" ht="13.5">
      <c r="A974" s="35">
        <v>68522</v>
      </c>
      <c r="B974" s="37" t="s">
        <v>1330</v>
      </c>
      <c r="C974" s="37" t="s">
        <v>173</v>
      </c>
      <c r="D974" s="37" t="s">
        <v>171</v>
      </c>
      <c r="E974" s="37" t="s">
        <v>114</v>
      </c>
      <c r="F974" s="38" t="s">
        <v>202</v>
      </c>
    </row>
    <row r="975" spans="1:6" ht="13.5">
      <c r="A975" s="35">
        <v>68524</v>
      </c>
      <c r="B975" s="37" t="s">
        <v>1331</v>
      </c>
      <c r="C975" s="37" t="s">
        <v>173</v>
      </c>
      <c r="D975" s="37" t="s">
        <v>171</v>
      </c>
      <c r="E975" s="37" t="s">
        <v>114</v>
      </c>
      <c r="F975" s="38" t="s">
        <v>202</v>
      </c>
    </row>
    <row r="976" spans="1:6" ht="13.5">
      <c r="A976" s="35">
        <v>68533</v>
      </c>
      <c r="B976" s="37" t="s">
        <v>1332</v>
      </c>
      <c r="C976" s="37" t="s">
        <v>173</v>
      </c>
      <c r="D976" s="37" t="s">
        <v>171</v>
      </c>
      <c r="E976" s="37" t="s">
        <v>114</v>
      </c>
      <c r="F976" s="38" t="s">
        <v>202</v>
      </c>
    </row>
    <row r="977" spans="1:6" ht="13.5">
      <c r="A977" s="35">
        <v>68547</v>
      </c>
      <c r="B977" s="37" t="s">
        <v>224</v>
      </c>
      <c r="C977" s="37" t="s">
        <v>173</v>
      </c>
      <c r="D977" s="37" t="s">
        <v>171</v>
      </c>
      <c r="E977" s="37" t="s">
        <v>114</v>
      </c>
      <c r="F977" s="38" t="s">
        <v>148</v>
      </c>
    </row>
    <row r="978" spans="1:6" ht="13.5">
      <c r="A978" s="35">
        <v>68549</v>
      </c>
      <c r="B978" s="37" t="s">
        <v>1333</v>
      </c>
      <c r="C978" s="37" t="s">
        <v>173</v>
      </c>
      <c r="D978" s="37" t="s">
        <v>171</v>
      </c>
      <c r="E978" s="37" t="s">
        <v>114</v>
      </c>
      <c r="F978" s="38" t="s">
        <v>202</v>
      </c>
    </row>
    <row r="979" spans="1:6" ht="13.5">
      <c r="A979" s="35">
        <v>68572</v>
      </c>
      <c r="B979" s="37" t="s">
        <v>1334</v>
      </c>
      <c r="C979" s="37" t="s">
        <v>173</v>
      </c>
      <c r="D979" s="37" t="s">
        <v>140</v>
      </c>
      <c r="E979" s="37" t="s">
        <v>114</v>
      </c>
      <c r="F979" s="38" t="s">
        <v>148</v>
      </c>
    </row>
    <row r="980" spans="1:6" ht="13.5">
      <c r="A980" s="35">
        <v>68573</v>
      </c>
      <c r="B980" s="37" t="s">
        <v>1335</v>
      </c>
      <c r="C980" s="37" t="s">
        <v>173</v>
      </c>
      <c r="D980" s="37" t="s">
        <v>171</v>
      </c>
      <c r="E980" s="37" t="s">
        <v>114</v>
      </c>
      <c r="F980" s="38" t="s">
        <v>202</v>
      </c>
    </row>
    <row r="981" spans="1:6" ht="13.5">
      <c r="A981" s="35">
        <v>68575</v>
      </c>
      <c r="B981" s="37" t="s">
        <v>1336</v>
      </c>
      <c r="C981" s="37" t="s">
        <v>173</v>
      </c>
      <c r="D981" s="37" t="s">
        <v>171</v>
      </c>
      <c r="E981" s="37" t="s">
        <v>114</v>
      </c>
      <c r="F981" s="38" t="s">
        <v>344</v>
      </c>
    </row>
    <row r="982" spans="1:6" ht="13.5">
      <c r="A982" s="35">
        <v>68655</v>
      </c>
      <c r="B982" s="37" t="s">
        <v>1337</v>
      </c>
      <c r="C982" s="37" t="s">
        <v>173</v>
      </c>
      <c r="D982" s="37" t="s">
        <v>171</v>
      </c>
      <c r="E982" s="37" t="s">
        <v>114</v>
      </c>
      <c r="F982" s="38" t="s">
        <v>202</v>
      </c>
    </row>
    <row r="983" spans="1:6" ht="13.5">
      <c r="A983" s="35">
        <v>68673</v>
      </c>
      <c r="B983" s="37" t="s">
        <v>1338</v>
      </c>
      <c r="C983" s="37" t="s">
        <v>173</v>
      </c>
      <c r="D983" s="37" t="s">
        <v>171</v>
      </c>
      <c r="E983" s="37" t="s">
        <v>114</v>
      </c>
      <c r="F983" s="38" t="s">
        <v>344</v>
      </c>
    </row>
    <row r="984" spans="1:6" ht="13.5">
      <c r="A984" s="35">
        <v>68679</v>
      </c>
      <c r="B984" s="37" t="s">
        <v>1339</v>
      </c>
      <c r="C984" s="37" t="s">
        <v>173</v>
      </c>
      <c r="D984" s="37" t="s">
        <v>171</v>
      </c>
      <c r="E984" s="37" t="s">
        <v>114</v>
      </c>
      <c r="F984" s="38" t="s">
        <v>148</v>
      </c>
    </row>
    <row r="985" spans="1:6" ht="13.5">
      <c r="A985" s="35">
        <v>68682</v>
      </c>
      <c r="B985" s="37" t="s">
        <v>1340</v>
      </c>
      <c r="C985" s="37" t="s">
        <v>173</v>
      </c>
      <c r="D985" s="37" t="s">
        <v>171</v>
      </c>
      <c r="E985" s="37" t="s">
        <v>114</v>
      </c>
      <c r="F985" s="38" t="s">
        <v>344</v>
      </c>
    </row>
    <row r="986" spans="1:6" ht="13.5">
      <c r="A986" s="35">
        <v>68684</v>
      </c>
      <c r="B986" s="37" t="s">
        <v>1341</v>
      </c>
      <c r="C986" s="37" t="s">
        <v>173</v>
      </c>
      <c r="D986" s="37" t="s">
        <v>171</v>
      </c>
      <c r="E986" s="37" t="s">
        <v>114</v>
      </c>
      <c r="F986" s="38" t="s">
        <v>344</v>
      </c>
    </row>
    <row r="987" spans="1:6" ht="13.5">
      <c r="A987" s="35">
        <v>68689</v>
      </c>
      <c r="B987" s="37" t="s">
        <v>1342</v>
      </c>
      <c r="C987" s="37" t="s">
        <v>173</v>
      </c>
      <c r="D987" s="37" t="s">
        <v>171</v>
      </c>
      <c r="E987" s="37" t="s">
        <v>114</v>
      </c>
      <c r="F987" s="38" t="s">
        <v>202</v>
      </c>
    </row>
    <row r="988" spans="1:6" ht="13.5">
      <c r="A988" s="35">
        <v>68720</v>
      </c>
      <c r="B988" s="37" t="s">
        <v>1343</v>
      </c>
      <c r="C988" s="37" t="s">
        <v>173</v>
      </c>
      <c r="D988" s="37" t="s">
        <v>171</v>
      </c>
      <c r="E988" s="37" t="s">
        <v>114</v>
      </c>
      <c r="F988" s="38" t="s">
        <v>344</v>
      </c>
    </row>
    <row r="989" spans="1:6" ht="13.5">
      <c r="A989" s="35">
        <v>68745</v>
      </c>
      <c r="B989" s="37" t="s">
        <v>1344</v>
      </c>
      <c r="C989" s="37" t="s">
        <v>173</v>
      </c>
      <c r="D989" s="37" t="s">
        <v>171</v>
      </c>
      <c r="E989" s="37" t="s">
        <v>114</v>
      </c>
      <c r="F989" s="38" t="s">
        <v>202</v>
      </c>
    </row>
    <row r="990" spans="1:6" ht="13.5">
      <c r="A990" s="35">
        <v>68755</v>
      </c>
      <c r="B990" s="37" t="s">
        <v>1345</v>
      </c>
      <c r="C990" s="37" t="s">
        <v>173</v>
      </c>
      <c r="D990" s="37" t="s">
        <v>171</v>
      </c>
      <c r="E990" s="37" t="s">
        <v>114</v>
      </c>
      <c r="F990" s="38" t="s">
        <v>202</v>
      </c>
    </row>
    <row r="991" spans="1:6" ht="13.5">
      <c r="A991" s="35">
        <v>68770</v>
      </c>
      <c r="B991" s="37" t="s">
        <v>1346</v>
      </c>
      <c r="C991" s="37" t="s">
        <v>173</v>
      </c>
      <c r="D991" s="37" t="s">
        <v>171</v>
      </c>
      <c r="E991" s="37" t="s">
        <v>114</v>
      </c>
      <c r="F991" s="38" t="s">
        <v>202</v>
      </c>
    </row>
    <row r="992" spans="1:6" ht="13.5">
      <c r="A992" s="35">
        <v>68780</v>
      </c>
      <c r="B992" s="37" t="s">
        <v>1347</v>
      </c>
      <c r="C992" s="37" t="s">
        <v>173</v>
      </c>
      <c r="D992" s="37" t="s">
        <v>171</v>
      </c>
      <c r="E992" s="37" t="s">
        <v>114</v>
      </c>
      <c r="F992" s="38" t="s">
        <v>202</v>
      </c>
    </row>
    <row r="993" spans="1:6" ht="13.5">
      <c r="A993" s="35">
        <v>68820</v>
      </c>
      <c r="B993" s="37" t="s">
        <v>1348</v>
      </c>
      <c r="C993" s="37" t="s">
        <v>173</v>
      </c>
      <c r="D993" s="37" t="s">
        <v>171</v>
      </c>
      <c r="E993" s="37" t="s">
        <v>114</v>
      </c>
      <c r="F993" s="38" t="s">
        <v>148</v>
      </c>
    </row>
    <row r="994" spans="1:6" ht="13.5">
      <c r="A994" s="35">
        <v>68855</v>
      </c>
      <c r="B994" s="37" t="s">
        <v>1349</v>
      </c>
      <c r="C994" s="37" t="s">
        <v>173</v>
      </c>
      <c r="D994" s="37" t="s">
        <v>171</v>
      </c>
      <c r="E994" s="37" t="s">
        <v>114</v>
      </c>
      <c r="F994" s="38" t="s">
        <v>202</v>
      </c>
    </row>
    <row r="995" spans="1:6" ht="13.5">
      <c r="A995" s="35">
        <v>68861</v>
      </c>
      <c r="B995" s="37" t="s">
        <v>1350</v>
      </c>
      <c r="C995" s="37" t="s">
        <v>173</v>
      </c>
      <c r="D995" s="37" t="s">
        <v>140</v>
      </c>
      <c r="E995" s="37" t="s">
        <v>114</v>
      </c>
      <c r="F995" s="38" t="s">
        <v>148</v>
      </c>
    </row>
    <row r="996" spans="1:6" ht="13.5">
      <c r="A996" s="35">
        <v>68867</v>
      </c>
      <c r="B996" s="37" t="s">
        <v>1351</v>
      </c>
      <c r="C996" s="37" t="s">
        <v>173</v>
      </c>
      <c r="D996" s="37" t="s">
        <v>303</v>
      </c>
      <c r="E996" s="37" t="s">
        <v>114</v>
      </c>
      <c r="F996" s="38" t="s">
        <v>344</v>
      </c>
    </row>
    <row r="997" spans="1:6" ht="13.5">
      <c r="A997" s="35">
        <v>68895</v>
      </c>
      <c r="B997" s="37" t="s">
        <v>1352</v>
      </c>
      <c r="C997" s="37" t="s">
        <v>173</v>
      </c>
      <c r="D997" s="37" t="s">
        <v>171</v>
      </c>
      <c r="E997" s="37" t="s">
        <v>114</v>
      </c>
      <c r="F997" s="38" t="s">
        <v>202</v>
      </c>
    </row>
    <row r="998" spans="1:6" ht="13.5">
      <c r="A998" s="35">
        <v>70110</v>
      </c>
      <c r="B998" s="36" t="s">
        <v>667</v>
      </c>
      <c r="C998" s="37" t="s">
        <v>836</v>
      </c>
      <c r="D998" s="37" t="s">
        <v>1353</v>
      </c>
      <c r="E998" s="37" t="s">
        <v>114</v>
      </c>
      <c r="F998" s="38" t="s">
        <v>148</v>
      </c>
    </row>
    <row r="999" spans="1:6" ht="13.5">
      <c r="A999" s="35">
        <v>70400</v>
      </c>
      <c r="B999" s="36" t="s">
        <v>436</v>
      </c>
      <c r="C999" s="37" t="s">
        <v>836</v>
      </c>
      <c r="D999" s="37" t="s">
        <v>1353</v>
      </c>
      <c r="E999" s="37" t="s">
        <v>114</v>
      </c>
      <c r="F999" s="38" t="s">
        <v>148</v>
      </c>
    </row>
    <row r="1000" spans="1:6" ht="13.5">
      <c r="A1000" s="35">
        <v>70717</v>
      </c>
      <c r="B1000" s="36" t="s">
        <v>1354</v>
      </c>
      <c r="C1000" s="37" t="s">
        <v>836</v>
      </c>
      <c r="D1000" s="37" t="s">
        <v>1353</v>
      </c>
      <c r="E1000" s="37" t="s">
        <v>114</v>
      </c>
      <c r="F1000" s="38" t="s">
        <v>148</v>
      </c>
    </row>
    <row r="1001" spans="1:6" ht="13.5">
      <c r="A1001" s="35">
        <v>70771</v>
      </c>
      <c r="B1001" s="36" t="s">
        <v>836</v>
      </c>
      <c r="C1001" s="37" t="s">
        <v>836</v>
      </c>
      <c r="D1001" s="37" t="s">
        <v>1353</v>
      </c>
      <c r="E1001" s="37" t="s">
        <v>114</v>
      </c>
      <c r="F1001" s="38" t="s">
        <v>462</v>
      </c>
    </row>
    <row r="1002" spans="1:6" ht="13.5">
      <c r="A1002" s="35">
        <v>70124</v>
      </c>
      <c r="B1002" s="37" t="s">
        <v>1355</v>
      </c>
      <c r="C1002" s="37" t="s">
        <v>836</v>
      </c>
      <c r="D1002" s="37" t="s">
        <v>1353</v>
      </c>
      <c r="E1002" s="37" t="s">
        <v>114</v>
      </c>
      <c r="F1002" s="38" t="s">
        <v>344</v>
      </c>
    </row>
    <row r="1003" spans="1:6" ht="13.5">
      <c r="A1003" s="35">
        <v>70230</v>
      </c>
      <c r="B1003" s="37" t="s">
        <v>1356</v>
      </c>
      <c r="C1003" s="37" t="s">
        <v>836</v>
      </c>
      <c r="D1003" s="37" t="s">
        <v>1353</v>
      </c>
      <c r="E1003" s="37" t="s">
        <v>114</v>
      </c>
      <c r="F1003" s="38" t="s">
        <v>202</v>
      </c>
    </row>
    <row r="1004" spans="1:6" ht="13.5">
      <c r="A1004" s="35">
        <v>70204</v>
      </c>
      <c r="B1004" s="37" t="s">
        <v>1357</v>
      </c>
      <c r="C1004" s="37" t="s">
        <v>836</v>
      </c>
      <c r="D1004" s="37" t="s">
        <v>1353</v>
      </c>
      <c r="E1004" s="37" t="s">
        <v>114</v>
      </c>
      <c r="F1004" s="38" t="s">
        <v>202</v>
      </c>
    </row>
    <row r="1005" spans="1:6" ht="13.5">
      <c r="A1005" s="35">
        <v>70215</v>
      </c>
      <c r="B1005" s="37" t="s">
        <v>1358</v>
      </c>
      <c r="C1005" s="37" t="s">
        <v>836</v>
      </c>
      <c r="D1005" s="37" t="s">
        <v>1353</v>
      </c>
      <c r="E1005" s="37" t="s">
        <v>114</v>
      </c>
      <c r="F1005" s="38" t="s">
        <v>148</v>
      </c>
    </row>
    <row r="1006" spans="1:6" ht="13.5">
      <c r="A1006" s="35">
        <v>70221</v>
      </c>
      <c r="B1006" s="37" t="s">
        <v>1359</v>
      </c>
      <c r="C1006" s="37" t="s">
        <v>836</v>
      </c>
      <c r="D1006" s="37" t="s">
        <v>1353</v>
      </c>
      <c r="E1006" s="37" t="s">
        <v>114</v>
      </c>
      <c r="F1006" s="38" t="s">
        <v>148</v>
      </c>
    </row>
    <row r="1007" spans="1:6" ht="13.5">
      <c r="A1007" s="35">
        <v>70233</v>
      </c>
      <c r="B1007" s="37" t="s">
        <v>1360</v>
      </c>
      <c r="C1007" s="37" t="s">
        <v>836</v>
      </c>
      <c r="D1007" s="37" t="s">
        <v>1353</v>
      </c>
      <c r="E1007" s="37" t="s">
        <v>114</v>
      </c>
      <c r="F1007" s="38" t="s">
        <v>148</v>
      </c>
    </row>
    <row r="1008" spans="1:6" ht="13.5">
      <c r="A1008" s="35">
        <v>70235</v>
      </c>
      <c r="B1008" s="37" t="s">
        <v>1361</v>
      </c>
      <c r="C1008" s="37" t="s">
        <v>836</v>
      </c>
      <c r="D1008" s="37" t="s">
        <v>1353</v>
      </c>
      <c r="E1008" s="37" t="s">
        <v>114</v>
      </c>
      <c r="F1008" s="38" t="s">
        <v>148</v>
      </c>
    </row>
    <row r="1009" spans="1:6" ht="13.5">
      <c r="A1009" s="35">
        <v>70265</v>
      </c>
      <c r="B1009" s="37" t="s">
        <v>1362</v>
      </c>
      <c r="C1009" s="37" t="s">
        <v>836</v>
      </c>
      <c r="D1009" s="37" t="s">
        <v>1353</v>
      </c>
      <c r="E1009" s="37" t="s">
        <v>114</v>
      </c>
      <c r="F1009" s="38" t="s">
        <v>344</v>
      </c>
    </row>
    <row r="1010" spans="1:6" ht="13.5">
      <c r="A1010" s="35">
        <v>70418</v>
      </c>
      <c r="B1010" s="37" t="s">
        <v>1363</v>
      </c>
      <c r="C1010" s="37" t="s">
        <v>836</v>
      </c>
      <c r="D1010" s="37" t="s">
        <v>1353</v>
      </c>
      <c r="E1010" s="37" t="s">
        <v>114</v>
      </c>
      <c r="F1010" s="38" t="s">
        <v>148</v>
      </c>
    </row>
    <row r="1011" spans="1:6" ht="13.5">
      <c r="A1011" s="35">
        <v>70429</v>
      </c>
      <c r="B1011" s="37" t="s">
        <v>1364</v>
      </c>
      <c r="C1011" s="37" t="s">
        <v>836</v>
      </c>
      <c r="D1011" s="37" t="s">
        <v>1353</v>
      </c>
      <c r="E1011" s="37" t="s">
        <v>548</v>
      </c>
      <c r="F1011" s="38" t="s">
        <v>344</v>
      </c>
    </row>
    <row r="1012" spans="1:6" ht="13.5">
      <c r="A1012" s="35">
        <v>70473</v>
      </c>
      <c r="B1012" s="37" t="s">
        <v>1365</v>
      </c>
      <c r="C1012" s="37" t="s">
        <v>836</v>
      </c>
      <c r="D1012" s="37" t="s">
        <v>1353</v>
      </c>
      <c r="E1012" s="37" t="s">
        <v>114</v>
      </c>
      <c r="F1012" s="38" t="s">
        <v>148</v>
      </c>
    </row>
    <row r="1013" spans="1:6" ht="13.5">
      <c r="A1013" s="35">
        <v>70508</v>
      </c>
      <c r="B1013" s="37" t="s">
        <v>1366</v>
      </c>
      <c r="C1013" s="37" t="s">
        <v>836</v>
      </c>
      <c r="D1013" s="37" t="s">
        <v>1353</v>
      </c>
      <c r="E1013" s="37" t="s">
        <v>114</v>
      </c>
      <c r="F1013" s="38" t="s">
        <v>148</v>
      </c>
    </row>
    <row r="1014" spans="1:6" ht="13.5">
      <c r="A1014" s="35">
        <v>70523</v>
      </c>
      <c r="B1014" s="37" t="s">
        <v>1367</v>
      </c>
      <c r="C1014" s="37" t="s">
        <v>836</v>
      </c>
      <c r="D1014" s="37" t="s">
        <v>1353</v>
      </c>
      <c r="E1014" s="37" t="s">
        <v>114</v>
      </c>
      <c r="F1014" s="38" t="s">
        <v>148</v>
      </c>
    </row>
    <row r="1015" spans="1:6" ht="13.5">
      <c r="A1015" s="35">
        <v>70670</v>
      </c>
      <c r="B1015" s="37" t="s">
        <v>1368</v>
      </c>
      <c r="C1015" s="37" t="s">
        <v>836</v>
      </c>
      <c r="D1015" s="37" t="s">
        <v>1353</v>
      </c>
      <c r="E1015" s="37" t="s">
        <v>114</v>
      </c>
      <c r="F1015" s="38" t="s">
        <v>148</v>
      </c>
    </row>
    <row r="1016" spans="1:6" ht="13.5">
      <c r="A1016" s="35">
        <v>70678</v>
      </c>
      <c r="B1016" s="37" t="s">
        <v>1369</v>
      </c>
      <c r="C1016" s="37" t="s">
        <v>836</v>
      </c>
      <c r="D1016" s="37" t="s">
        <v>1353</v>
      </c>
      <c r="E1016" s="37" t="s">
        <v>114</v>
      </c>
      <c r="F1016" s="38" t="s">
        <v>148</v>
      </c>
    </row>
    <row r="1017" spans="1:6" ht="13.5">
      <c r="A1017" s="35">
        <v>70702</v>
      </c>
      <c r="B1017" s="37" t="s">
        <v>1370</v>
      </c>
      <c r="C1017" s="37" t="s">
        <v>836</v>
      </c>
      <c r="D1017" s="37" t="s">
        <v>1353</v>
      </c>
      <c r="E1017" s="37" t="s">
        <v>114</v>
      </c>
      <c r="F1017" s="38" t="s">
        <v>148</v>
      </c>
    </row>
    <row r="1018" spans="1:6" ht="13.5">
      <c r="A1018" s="35">
        <v>70742</v>
      </c>
      <c r="B1018" s="37" t="s">
        <v>1371</v>
      </c>
      <c r="C1018" s="37" t="s">
        <v>836</v>
      </c>
      <c r="D1018" s="37" t="s">
        <v>1353</v>
      </c>
      <c r="E1018" s="37" t="s">
        <v>114</v>
      </c>
      <c r="F1018" s="38" t="s">
        <v>148</v>
      </c>
    </row>
    <row r="1019" spans="1:6" ht="13.5">
      <c r="A1019" s="35">
        <v>70708</v>
      </c>
      <c r="B1019" s="37" t="s">
        <v>1372</v>
      </c>
      <c r="C1019" s="37" t="s">
        <v>836</v>
      </c>
      <c r="D1019" s="37" t="s">
        <v>1353</v>
      </c>
      <c r="E1019" s="37" t="s">
        <v>114</v>
      </c>
      <c r="F1019" s="38" t="s">
        <v>202</v>
      </c>
    </row>
    <row r="1020" spans="1:6" ht="13.5">
      <c r="A1020" s="35">
        <v>70713</v>
      </c>
      <c r="B1020" s="37" t="s">
        <v>1373</v>
      </c>
      <c r="C1020" s="37" t="s">
        <v>836</v>
      </c>
      <c r="D1020" s="37" t="s">
        <v>1353</v>
      </c>
      <c r="E1020" s="37" t="s">
        <v>114</v>
      </c>
      <c r="F1020" s="38" t="s">
        <v>148</v>
      </c>
    </row>
    <row r="1021" spans="1:6" ht="13.5">
      <c r="A1021" s="35">
        <v>70820</v>
      </c>
      <c r="B1021" s="37" t="s">
        <v>1374</v>
      </c>
      <c r="C1021" s="37" t="s">
        <v>836</v>
      </c>
      <c r="D1021" s="37" t="s">
        <v>1353</v>
      </c>
      <c r="E1021" s="37" t="s">
        <v>114</v>
      </c>
      <c r="F1021" s="38" t="s">
        <v>148</v>
      </c>
    </row>
    <row r="1022" spans="1:6" ht="13.5">
      <c r="A1022" s="35">
        <v>70001</v>
      </c>
      <c r="B1022" s="37" t="s">
        <v>1353</v>
      </c>
      <c r="C1022" s="37" t="s">
        <v>836</v>
      </c>
      <c r="D1022" s="37" t="s">
        <v>1353</v>
      </c>
      <c r="E1022" s="37" t="s">
        <v>114</v>
      </c>
      <c r="F1022" s="38" t="s">
        <v>113</v>
      </c>
    </row>
    <row r="1023" spans="1:6" ht="13.5">
      <c r="A1023" s="35">
        <v>70823</v>
      </c>
      <c r="B1023" s="37" t="s">
        <v>1375</v>
      </c>
      <c r="C1023" s="37" t="s">
        <v>836</v>
      </c>
      <c r="D1023" s="37" t="s">
        <v>1353</v>
      </c>
      <c r="E1023" s="37" t="s">
        <v>114</v>
      </c>
      <c r="F1023" s="38" t="s">
        <v>148</v>
      </c>
    </row>
    <row r="1024" spans="1:6" ht="13.5">
      <c r="A1024" s="35">
        <v>73678</v>
      </c>
      <c r="B1024" s="36" t="s">
        <v>487</v>
      </c>
      <c r="C1024" s="37" t="s">
        <v>159</v>
      </c>
      <c r="D1024" s="37" t="s">
        <v>157</v>
      </c>
      <c r="E1024" s="37" t="s">
        <v>114</v>
      </c>
      <c r="F1024" s="38" t="s">
        <v>148</v>
      </c>
    </row>
    <row r="1025" spans="1:6" ht="13.5">
      <c r="A1025" s="35">
        <v>73770</v>
      </c>
      <c r="B1025" s="36" t="s">
        <v>835</v>
      </c>
      <c r="C1025" s="37" t="s">
        <v>159</v>
      </c>
      <c r="D1025" s="37" t="s">
        <v>157</v>
      </c>
      <c r="E1025" s="37" t="s">
        <v>114</v>
      </c>
      <c r="F1025" s="38" t="s">
        <v>148</v>
      </c>
    </row>
    <row r="1026" spans="1:6" ht="13.5">
      <c r="A1026" s="35">
        <v>73024</v>
      </c>
      <c r="B1026" s="37" t="s">
        <v>1376</v>
      </c>
      <c r="C1026" s="37" t="s">
        <v>159</v>
      </c>
      <c r="D1026" s="37" t="s">
        <v>157</v>
      </c>
      <c r="E1026" s="37" t="s">
        <v>114</v>
      </c>
      <c r="F1026" s="38" t="s">
        <v>344</v>
      </c>
    </row>
    <row r="1027" spans="1:6" ht="13.5">
      <c r="A1027" s="35">
        <v>73026</v>
      </c>
      <c r="B1027" s="37" t="s">
        <v>1377</v>
      </c>
      <c r="C1027" s="37" t="s">
        <v>159</v>
      </c>
      <c r="D1027" s="37" t="s">
        <v>157</v>
      </c>
      <c r="E1027" s="37" t="s">
        <v>114</v>
      </c>
      <c r="F1027" s="38" t="s">
        <v>148</v>
      </c>
    </row>
    <row r="1028" spans="1:6" ht="13.5">
      <c r="A1028" s="35">
        <v>73030</v>
      </c>
      <c r="B1028" s="37" t="s">
        <v>1378</v>
      </c>
      <c r="C1028" s="37" t="s">
        <v>159</v>
      </c>
      <c r="D1028" s="37" t="s">
        <v>157</v>
      </c>
      <c r="E1028" s="37" t="s">
        <v>114</v>
      </c>
      <c r="F1028" s="38" t="s">
        <v>148</v>
      </c>
    </row>
    <row r="1029" spans="1:6" ht="13.5">
      <c r="A1029" s="35">
        <v>73043</v>
      </c>
      <c r="B1029" s="37" t="s">
        <v>1379</v>
      </c>
      <c r="C1029" s="37" t="s">
        <v>159</v>
      </c>
      <c r="D1029" s="37" t="s">
        <v>157</v>
      </c>
      <c r="E1029" s="37" t="s">
        <v>114</v>
      </c>
      <c r="F1029" s="38" t="s">
        <v>148</v>
      </c>
    </row>
    <row r="1030" spans="1:6" ht="13.5">
      <c r="A1030" s="35">
        <v>73055</v>
      </c>
      <c r="B1030" s="37" t="s">
        <v>1380</v>
      </c>
      <c r="C1030" s="37" t="s">
        <v>159</v>
      </c>
      <c r="D1030" s="37" t="s">
        <v>157</v>
      </c>
      <c r="E1030" s="37" t="s">
        <v>114</v>
      </c>
      <c r="F1030" s="38" t="s">
        <v>148</v>
      </c>
    </row>
    <row r="1031" spans="1:6" ht="13.5">
      <c r="A1031" s="35">
        <v>73067</v>
      </c>
      <c r="B1031" s="37" t="s">
        <v>1381</v>
      </c>
      <c r="C1031" s="37" t="s">
        <v>159</v>
      </c>
      <c r="D1031" s="37" t="s">
        <v>157</v>
      </c>
      <c r="E1031" s="37" t="s">
        <v>114</v>
      </c>
      <c r="F1031" s="38" t="s">
        <v>202</v>
      </c>
    </row>
    <row r="1032" spans="1:6" ht="13.5">
      <c r="A1032" s="35">
        <v>73124</v>
      </c>
      <c r="B1032" s="37" t="s">
        <v>1382</v>
      </c>
      <c r="C1032" s="37" t="s">
        <v>159</v>
      </c>
      <c r="D1032" s="37" t="s">
        <v>157</v>
      </c>
      <c r="E1032" s="37" t="s">
        <v>114</v>
      </c>
      <c r="F1032" s="38" t="s">
        <v>148</v>
      </c>
    </row>
    <row r="1033" spans="1:6" ht="13.5">
      <c r="A1033" s="35">
        <v>73148</v>
      </c>
      <c r="B1033" s="37" t="s">
        <v>1383</v>
      </c>
      <c r="C1033" s="37" t="s">
        <v>159</v>
      </c>
      <c r="D1033" s="37" t="s">
        <v>116</v>
      </c>
      <c r="E1033" s="37" t="s">
        <v>114</v>
      </c>
      <c r="F1033" s="38" t="s">
        <v>148</v>
      </c>
    </row>
    <row r="1034" spans="1:6" ht="13.5">
      <c r="A1034" s="35">
        <v>73152</v>
      </c>
      <c r="B1034" s="37" t="s">
        <v>1384</v>
      </c>
      <c r="C1034" s="37" t="s">
        <v>159</v>
      </c>
      <c r="D1034" s="37" t="s">
        <v>157</v>
      </c>
      <c r="E1034" s="37" t="s">
        <v>114</v>
      </c>
      <c r="F1034" s="38" t="s">
        <v>202</v>
      </c>
    </row>
    <row r="1035" spans="1:6" ht="13.5">
      <c r="A1035" s="35">
        <v>73168</v>
      </c>
      <c r="B1035" s="37" t="s">
        <v>1385</v>
      </c>
      <c r="C1035" s="37" t="s">
        <v>159</v>
      </c>
      <c r="D1035" s="37" t="s">
        <v>157</v>
      </c>
      <c r="E1035" s="37" t="s">
        <v>114</v>
      </c>
      <c r="F1035" s="38" t="s">
        <v>202</v>
      </c>
    </row>
    <row r="1036" spans="1:6" ht="13.5">
      <c r="A1036" s="35">
        <v>73200</v>
      </c>
      <c r="B1036" s="37" t="s">
        <v>1386</v>
      </c>
      <c r="C1036" s="37" t="s">
        <v>159</v>
      </c>
      <c r="D1036" s="37" t="s">
        <v>157</v>
      </c>
      <c r="E1036" s="37" t="s">
        <v>114</v>
      </c>
      <c r="F1036" s="38" t="s">
        <v>148</v>
      </c>
    </row>
    <row r="1037" spans="1:6" ht="13.5">
      <c r="A1037" s="35">
        <v>73217</v>
      </c>
      <c r="B1037" s="37" t="s">
        <v>1387</v>
      </c>
      <c r="C1037" s="37" t="s">
        <v>159</v>
      </c>
      <c r="D1037" s="37" t="s">
        <v>157</v>
      </c>
      <c r="E1037" s="37" t="s">
        <v>114</v>
      </c>
      <c r="F1037" s="38" t="s">
        <v>202</v>
      </c>
    </row>
    <row r="1038" spans="1:6" ht="13.5">
      <c r="A1038" s="35">
        <v>73226</v>
      </c>
      <c r="B1038" s="37" t="s">
        <v>1388</v>
      </c>
      <c r="C1038" s="37" t="s">
        <v>159</v>
      </c>
      <c r="D1038" s="37" t="s">
        <v>157</v>
      </c>
      <c r="E1038" s="37" t="s">
        <v>114</v>
      </c>
      <c r="F1038" s="38" t="s">
        <v>148</v>
      </c>
    </row>
    <row r="1039" spans="1:6" ht="13.5">
      <c r="A1039" s="35">
        <v>73236</v>
      </c>
      <c r="B1039" s="37" t="s">
        <v>1389</v>
      </c>
      <c r="C1039" s="37" t="s">
        <v>159</v>
      </c>
      <c r="D1039" s="37" t="s">
        <v>157</v>
      </c>
      <c r="E1039" s="37" t="s">
        <v>114</v>
      </c>
      <c r="F1039" s="38" t="s">
        <v>344</v>
      </c>
    </row>
    <row r="1040" spans="1:6" ht="13.5">
      <c r="A1040" s="35">
        <v>73268</v>
      </c>
      <c r="B1040" s="37" t="s">
        <v>1390</v>
      </c>
      <c r="C1040" s="37" t="s">
        <v>159</v>
      </c>
      <c r="D1040" s="37" t="s">
        <v>157</v>
      </c>
      <c r="E1040" s="37" t="s">
        <v>114</v>
      </c>
      <c r="F1040" s="38" t="s">
        <v>148</v>
      </c>
    </row>
    <row r="1041" spans="1:6" ht="13.5">
      <c r="A1041" s="35">
        <v>73270</v>
      </c>
      <c r="B1041" s="37" t="s">
        <v>1391</v>
      </c>
      <c r="C1041" s="37" t="s">
        <v>159</v>
      </c>
      <c r="D1041" s="37" t="s">
        <v>157</v>
      </c>
      <c r="E1041" s="37" t="s">
        <v>114</v>
      </c>
      <c r="F1041" s="38" t="s">
        <v>202</v>
      </c>
    </row>
    <row r="1042" spans="1:6" ht="13.5">
      <c r="A1042" s="35">
        <v>73275</v>
      </c>
      <c r="B1042" s="37" t="s">
        <v>1392</v>
      </c>
      <c r="C1042" s="37" t="s">
        <v>159</v>
      </c>
      <c r="D1042" s="37" t="s">
        <v>157</v>
      </c>
      <c r="E1042" s="37" t="s">
        <v>114</v>
      </c>
      <c r="F1042" s="38" t="s">
        <v>148</v>
      </c>
    </row>
    <row r="1043" spans="1:6" ht="13.5">
      <c r="A1043" s="35">
        <v>73283</v>
      </c>
      <c r="B1043" s="37" t="s">
        <v>1393</v>
      </c>
      <c r="C1043" s="37" t="s">
        <v>159</v>
      </c>
      <c r="D1043" s="37" t="s">
        <v>157</v>
      </c>
      <c r="E1043" s="37" t="s">
        <v>114</v>
      </c>
      <c r="F1043" s="38" t="s">
        <v>202</v>
      </c>
    </row>
    <row r="1044" spans="1:6" ht="13.5">
      <c r="A1044" s="35">
        <v>73319</v>
      </c>
      <c r="B1044" s="37" t="s">
        <v>1394</v>
      </c>
      <c r="C1044" s="37" t="s">
        <v>159</v>
      </c>
      <c r="D1044" s="37" t="s">
        <v>157</v>
      </c>
      <c r="E1044" s="37" t="s">
        <v>114</v>
      </c>
      <c r="F1044" s="38" t="s">
        <v>148</v>
      </c>
    </row>
    <row r="1045" spans="1:6" ht="13.5">
      <c r="A1045" s="35">
        <v>73347</v>
      </c>
      <c r="B1045" s="37" t="s">
        <v>1395</v>
      </c>
      <c r="C1045" s="37" t="s">
        <v>159</v>
      </c>
      <c r="D1045" s="37" t="s">
        <v>421</v>
      </c>
      <c r="E1045" s="37" t="s">
        <v>114</v>
      </c>
      <c r="F1045" s="38" t="s">
        <v>202</v>
      </c>
    </row>
    <row r="1046" spans="1:6" ht="13.5">
      <c r="A1046" s="35">
        <v>73349</v>
      </c>
      <c r="B1046" s="37" t="s">
        <v>1396</v>
      </c>
      <c r="C1046" s="37" t="s">
        <v>159</v>
      </c>
      <c r="D1046" s="37" t="s">
        <v>157</v>
      </c>
      <c r="E1046" s="37" t="s">
        <v>114</v>
      </c>
      <c r="F1046" s="38" t="s">
        <v>202</v>
      </c>
    </row>
    <row r="1047" spans="1:6" ht="13.5">
      <c r="A1047" s="35">
        <v>73001</v>
      </c>
      <c r="B1047" s="37" t="s">
        <v>157</v>
      </c>
      <c r="C1047" s="37" t="s">
        <v>159</v>
      </c>
      <c r="D1047" s="37" t="s">
        <v>157</v>
      </c>
      <c r="E1047" s="37" t="s">
        <v>114</v>
      </c>
      <c r="F1047" s="38" t="s">
        <v>113</v>
      </c>
    </row>
    <row r="1048" spans="1:6" ht="13.5">
      <c r="A1048" s="35">
        <v>73352</v>
      </c>
      <c r="B1048" s="37" t="s">
        <v>1397</v>
      </c>
      <c r="C1048" s="37" t="s">
        <v>159</v>
      </c>
      <c r="D1048" s="37" t="s">
        <v>157</v>
      </c>
      <c r="E1048" s="37" t="s">
        <v>114</v>
      </c>
      <c r="F1048" s="38" t="s">
        <v>202</v>
      </c>
    </row>
    <row r="1049" spans="1:6" ht="13.5">
      <c r="A1049" s="35">
        <v>73408</v>
      </c>
      <c r="B1049" s="37" t="s">
        <v>1398</v>
      </c>
      <c r="C1049" s="37" t="s">
        <v>159</v>
      </c>
      <c r="D1049" s="37" t="s">
        <v>157</v>
      </c>
      <c r="E1049" s="37" t="s">
        <v>114</v>
      </c>
      <c r="F1049" s="38" t="s">
        <v>148</v>
      </c>
    </row>
    <row r="1050" spans="1:6" ht="13.5">
      <c r="A1050" s="35">
        <v>73411</v>
      </c>
      <c r="B1050" s="37" t="s">
        <v>1399</v>
      </c>
      <c r="C1050" s="37" t="s">
        <v>159</v>
      </c>
      <c r="D1050" s="37" t="s">
        <v>157</v>
      </c>
      <c r="E1050" s="37" t="s">
        <v>114</v>
      </c>
      <c r="F1050" s="38" t="s">
        <v>202</v>
      </c>
    </row>
    <row r="1051" spans="1:6" ht="13.5">
      <c r="A1051" s="35">
        <v>73443</v>
      </c>
      <c r="B1051" s="37" t="s">
        <v>1400</v>
      </c>
      <c r="C1051" s="37" t="s">
        <v>159</v>
      </c>
      <c r="D1051" s="37" t="s">
        <v>157</v>
      </c>
      <c r="E1051" s="37" t="s">
        <v>114</v>
      </c>
      <c r="F1051" s="38" t="s">
        <v>202</v>
      </c>
    </row>
    <row r="1052" spans="1:6" ht="13.5">
      <c r="A1052" s="35">
        <v>73449</v>
      </c>
      <c r="B1052" s="37" t="s">
        <v>1401</v>
      </c>
      <c r="C1052" s="37" t="s">
        <v>159</v>
      </c>
      <c r="D1052" s="37" t="s">
        <v>116</v>
      </c>
      <c r="E1052" s="37" t="s">
        <v>114</v>
      </c>
      <c r="F1052" s="38" t="s">
        <v>148</v>
      </c>
    </row>
    <row r="1053" spans="1:6" ht="13.5">
      <c r="A1053" s="35">
        <v>73461</v>
      </c>
      <c r="B1053" s="37" t="s">
        <v>1402</v>
      </c>
      <c r="C1053" s="37" t="s">
        <v>159</v>
      </c>
      <c r="D1053" s="37" t="s">
        <v>157</v>
      </c>
      <c r="E1053" s="37" t="s">
        <v>114</v>
      </c>
      <c r="F1053" s="38" t="s">
        <v>344</v>
      </c>
    </row>
    <row r="1054" spans="1:6" ht="13.5">
      <c r="A1054" s="35">
        <v>73483</v>
      </c>
      <c r="B1054" s="37" t="s">
        <v>1403</v>
      </c>
      <c r="C1054" s="37" t="s">
        <v>159</v>
      </c>
      <c r="D1054" s="37" t="s">
        <v>365</v>
      </c>
      <c r="E1054" s="37" t="s">
        <v>114</v>
      </c>
      <c r="F1054" s="38" t="s">
        <v>148</v>
      </c>
    </row>
    <row r="1055" spans="1:6" ht="13.5">
      <c r="A1055" s="35">
        <v>73504</v>
      </c>
      <c r="B1055" s="37" t="s">
        <v>1404</v>
      </c>
      <c r="C1055" s="37" t="s">
        <v>159</v>
      </c>
      <c r="D1055" s="37" t="s">
        <v>157</v>
      </c>
      <c r="E1055" s="37" t="s">
        <v>114</v>
      </c>
      <c r="F1055" s="38" t="s">
        <v>202</v>
      </c>
    </row>
    <row r="1056" spans="1:6" ht="13.5">
      <c r="A1056" s="35">
        <v>73520</v>
      </c>
      <c r="B1056" s="37" t="s">
        <v>1405</v>
      </c>
      <c r="C1056" s="37" t="s">
        <v>159</v>
      </c>
      <c r="D1056" s="37" t="s">
        <v>157</v>
      </c>
      <c r="E1056" s="37" t="s">
        <v>114</v>
      </c>
      <c r="F1056" s="38" t="s">
        <v>202</v>
      </c>
    </row>
    <row r="1057" spans="1:6" ht="13.5">
      <c r="A1057" s="35">
        <v>73547</v>
      </c>
      <c r="B1057" s="37" t="s">
        <v>1406</v>
      </c>
      <c r="C1057" s="37" t="s">
        <v>159</v>
      </c>
      <c r="D1057" s="37" t="s">
        <v>157</v>
      </c>
      <c r="E1057" s="37" t="s">
        <v>114</v>
      </c>
      <c r="F1057" s="38" t="s">
        <v>148</v>
      </c>
    </row>
    <row r="1058" spans="1:6" ht="13.5">
      <c r="A1058" s="35">
        <v>73555</v>
      </c>
      <c r="B1058" s="37" t="s">
        <v>1407</v>
      </c>
      <c r="C1058" s="37" t="s">
        <v>159</v>
      </c>
      <c r="D1058" s="37" t="s">
        <v>157</v>
      </c>
      <c r="E1058" s="37" t="s">
        <v>114</v>
      </c>
      <c r="F1058" s="38" t="s">
        <v>344</v>
      </c>
    </row>
    <row r="1059" spans="1:6" ht="13.5">
      <c r="A1059" s="35">
        <v>73563</v>
      </c>
      <c r="B1059" s="37" t="s">
        <v>1408</v>
      </c>
      <c r="C1059" s="37" t="s">
        <v>159</v>
      </c>
      <c r="D1059" s="37" t="s">
        <v>157</v>
      </c>
      <c r="E1059" s="37" t="s">
        <v>114</v>
      </c>
      <c r="F1059" s="38" t="s">
        <v>202</v>
      </c>
    </row>
    <row r="1060" spans="1:6" ht="13.5">
      <c r="A1060" s="35">
        <v>73585</v>
      </c>
      <c r="B1060" s="37" t="s">
        <v>1409</v>
      </c>
      <c r="C1060" s="37" t="s">
        <v>159</v>
      </c>
      <c r="D1060" s="37" t="s">
        <v>157</v>
      </c>
      <c r="E1060" s="37" t="s">
        <v>114</v>
      </c>
      <c r="F1060" s="38" t="s">
        <v>148</v>
      </c>
    </row>
    <row r="1061" spans="1:6" ht="13.5">
      <c r="A1061" s="35">
        <v>73616</v>
      </c>
      <c r="B1061" s="37" t="s">
        <v>1410</v>
      </c>
      <c r="C1061" s="37" t="s">
        <v>159</v>
      </c>
      <c r="D1061" s="37" t="s">
        <v>157</v>
      </c>
      <c r="E1061" s="37" t="s">
        <v>114</v>
      </c>
      <c r="F1061" s="38" t="s">
        <v>344</v>
      </c>
    </row>
    <row r="1062" spans="1:6" ht="13.5">
      <c r="A1062" s="35">
        <v>73622</v>
      </c>
      <c r="B1062" s="37" t="s">
        <v>1411</v>
      </c>
      <c r="C1062" s="37" t="s">
        <v>159</v>
      </c>
      <c r="D1062" s="37" t="s">
        <v>157</v>
      </c>
      <c r="E1062" s="37" t="s">
        <v>114</v>
      </c>
      <c r="F1062" s="38" t="s">
        <v>344</v>
      </c>
    </row>
    <row r="1063" spans="1:6" ht="13.5">
      <c r="A1063" s="35">
        <v>73624</v>
      </c>
      <c r="B1063" s="37" t="s">
        <v>1412</v>
      </c>
      <c r="C1063" s="37" t="s">
        <v>159</v>
      </c>
      <c r="D1063" s="37" t="s">
        <v>157</v>
      </c>
      <c r="E1063" s="37" t="s">
        <v>114</v>
      </c>
      <c r="F1063" s="38" t="s">
        <v>202</v>
      </c>
    </row>
    <row r="1064" spans="1:6" ht="13.5">
      <c r="A1064" s="35">
        <v>73671</v>
      </c>
      <c r="B1064" s="37" t="s">
        <v>1413</v>
      </c>
      <c r="C1064" s="37" t="s">
        <v>159</v>
      </c>
      <c r="D1064" s="37" t="s">
        <v>157</v>
      </c>
      <c r="E1064" s="37" t="s">
        <v>114</v>
      </c>
      <c r="F1064" s="38" t="s">
        <v>148</v>
      </c>
    </row>
    <row r="1065" spans="1:6" ht="13.5">
      <c r="A1065" s="35">
        <v>73675</v>
      </c>
      <c r="B1065" s="37" t="s">
        <v>1414</v>
      </c>
      <c r="C1065" s="37" t="s">
        <v>159</v>
      </c>
      <c r="D1065" s="37" t="s">
        <v>157</v>
      </c>
      <c r="E1065" s="37" t="s">
        <v>114</v>
      </c>
      <c r="F1065" s="38" t="s">
        <v>344</v>
      </c>
    </row>
    <row r="1066" spans="1:6" ht="13.5">
      <c r="A1066" s="35">
        <v>73686</v>
      </c>
      <c r="B1066" s="37" t="s">
        <v>1415</v>
      </c>
      <c r="C1066" s="37" t="s">
        <v>159</v>
      </c>
      <c r="D1066" s="37" t="s">
        <v>157</v>
      </c>
      <c r="E1066" s="37" t="s">
        <v>114</v>
      </c>
      <c r="F1066" s="38" t="s">
        <v>202</v>
      </c>
    </row>
    <row r="1067" spans="1:6" ht="13.5">
      <c r="A1067" s="35">
        <v>73854</v>
      </c>
      <c r="B1067" s="37" t="s">
        <v>1416</v>
      </c>
      <c r="C1067" s="37" t="s">
        <v>159</v>
      </c>
      <c r="D1067" s="37" t="s">
        <v>157</v>
      </c>
      <c r="E1067" s="37" t="s">
        <v>114</v>
      </c>
      <c r="F1067" s="38" t="s">
        <v>148</v>
      </c>
    </row>
    <row r="1068" spans="1:6" ht="13.5">
      <c r="A1068" s="35">
        <v>73861</v>
      </c>
      <c r="B1068" s="37" t="s">
        <v>1417</v>
      </c>
      <c r="C1068" s="37" t="s">
        <v>159</v>
      </c>
      <c r="D1068" s="37" t="s">
        <v>157</v>
      </c>
      <c r="E1068" s="37" t="s">
        <v>114</v>
      </c>
      <c r="F1068" s="38" t="s">
        <v>148</v>
      </c>
    </row>
    <row r="1069" spans="1:6" ht="13.5">
      <c r="A1069" s="35">
        <v>73870</v>
      </c>
      <c r="B1069" s="37" t="s">
        <v>1418</v>
      </c>
      <c r="C1069" s="37" t="s">
        <v>159</v>
      </c>
      <c r="D1069" s="37" t="s">
        <v>157</v>
      </c>
      <c r="E1069" s="37" t="s">
        <v>114</v>
      </c>
      <c r="F1069" s="38" t="s">
        <v>202</v>
      </c>
    </row>
    <row r="1070" spans="1:6" ht="13.5">
      <c r="A1070" s="35">
        <v>73873</v>
      </c>
      <c r="B1070" s="37" t="s">
        <v>1419</v>
      </c>
      <c r="C1070" s="37" t="s">
        <v>159</v>
      </c>
      <c r="D1070" s="37" t="s">
        <v>157</v>
      </c>
      <c r="E1070" s="37" t="s">
        <v>114</v>
      </c>
      <c r="F1070" s="38" t="s">
        <v>202</v>
      </c>
    </row>
    <row r="1071" spans="1:6" ht="13.5">
      <c r="A1071" s="35">
        <v>76054</v>
      </c>
      <c r="B1071" s="36" t="s">
        <v>473</v>
      </c>
      <c r="C1071" s="37" t="s">
        <v>134</v>
      </c>
      <c r="D1071" s="37" t="s">
        <v>124</v>
      </c>
      <c r="E1071" s="37" t="s">
        <v>114</v>
      </c>
      <c r="F1071" s="38" t="s">
        <v>202</v>
      </c>
    </row>
    <row r="1072" spans="1:6" ht="13.5">
      <c r="A1072" s="35">
        <v>76100</v>
      </c>
      <c r="B1072" s="36" t="s">
        <v>232</v>
      </c>
      <c r="C1072" s="37" t="s">
        <v>134</v>
      </c>
      <c r="D1072" s="37" t="s">
        <v>124</v>
      </c>
      <c r="E1072" s="37" t="s">
        <v>114</v>
      </c>
      <c r="F1072" s="38" t="s">
        <v>148</v>
      </c>
    </row>
    <row r="1073" spans="1:6" ht="13.5">
      <c r="A1073" s="35">
        <v>76130</v>
      </c>
      <c r="B1073" s="36" t="s">
        <v>204</v>
      </c>
      <c r="C1073" s="37" t="s">
        <v>134</v>
      </c>
      <c r="D1073" s="37" t="s">
        <v>132</v>
      </c>
      <c r="E1073" s="37" t="s">
        <v>114</v>
      </c>
      <c r="F1073" s="38" t="s">
        <v>148</v>
      </c>
    </row>
    <row r="1074" spans="1:6" ht="13.5">
      <c r="A1074" s="35">
        <v>76400</v>
      </c>
      <c r="B1074" s="36" t="s">
        <v>436</v>
      </c>
      <c r="C1074" s="37" t="s">
        <v>134</v>
      </c>
      <c r="D1074" s="37" t="s">
        <v>124</v>
      </c>
      <c r="E1074" s="37" t="s">
        <v>114</v>
      </c>
      <c r="F1074" s="38" t="s">
        <v>148</v>
      </c>
    </row>
    <row r="1075" spans="1:6" ht="13.5">
      <c r="A1075" s="35">
        <v>76403</v>
      </c>
      <c r="B1075" s="36" t="s">
        <v>459</v>
      </c>
      <c r="C1075" s="37" t="s">
        <v>134</v>
      </c>
      <c r="D1075" s="37" t="s">
        <v>124</v>
      </c>
      <c r="E1075" s="37" t="s">
        <v>114</v>
      </c>
      <c r="F1075" s="38" t="s">
        <v>148</v>
      </c>
    </row>
    <row r="1076" spans="1:6" ht="13.5">
      <c r="A1076" s="35">
        <v>76606</v>
      </c>
      <c r="B1076" s="36" t="s">
        <v>262</v>
      </c>
      <c r="C1076" s="37" t="s">
        <v>134</v>
      </c>
      <c r="D1076" s="37" t="s">
        <v>132</v>
      </c>
      <c r="E1076" s="37" t="s">
        <v>114</v>
      </c>
      <c r="F1076" s="38" t="s">
        <v>148</v>
      </c>
    </row>
    <row r="1077" spans="1:6" ht="13.5">
      <c r="A1077" s="35">
        <v>76670</v>
      </c>
      <c r="B1077" s="36" t="s">
        <v>1354</v>
      </c>
      <c r="C1077" s="37" t="s">
        <v>134</v>
      </c>
      <c r="D1077" s="37" t="s">
        <v>132</v>
      </c>
      <c r="E1077" s="37" t="s">
        <v>114</v>
      </c>
      <c r="F1077" s="38" t="s">
        <v>148</v>
      </c>
    </row>
    <row r="1078" spans="1:6" ht="13.5">
      <c r="A1078" s="35">
        <v>76020</v>
      </c>
      <c r="B1078" s="37" t="s">
        <v>1420</v>
      </c>
      <c r="C1078" s="37" t="s">
        <v>134</v>
      </c>
      <c r="D1078" s="37" t="s">
        <v>124</v>
      </c>
      <c r="E1078" s="37" t="s">
        <v>114</v>
      </c>
      <c r="F1078" s="38" t="s">
        <v>148</v>
      </c>
    </row>
    <row r="1079" spans="1:6" ht="13.5">
      <c r="A1079" s="35">
        <v>76036</v>
      </c>
      <c r="B1079" s="37" t="s">
        <v>1421</v>
      </c>
      <c r="C1079" s="37" t="s">
        <v>134</v>
      </c>
      <c r="D1079" s="37" t="s">
        <v>132</v>
      </c>
      <c r="E1079" s="37" t="s">
        <v>114</v>
      </c>
      <c r="F1079" s="38" t="s">
        <v>148</v>
      </c>
    </row>
    <row r="1080" spans="1:6" ht="13.5">
      <c r="A1080" s="35">
        <v>76041</v>
      </c>
      <c r="B1080" s="37" t="s">
        <v>1422</v>
      </c>
      <c r="C1080" s="37" t="s">
        <v>134</v>
      </c>
      <c r="D1080" s="37" t="s">
        <v>124</v>
      </c>
      <c r="E1080" s="37" t="s">
        <v>114</v>
      </c>
      <c r="F1080" s="38" t="s">
        <v>148</v>
      </c>
    </row>
    <row r="1081" spans="1:6" ht="13.5">
      <c r="A1081" s="35">
        <v>76109</v>
      </c>
      <c r="B1081" s="37" t="s">
        <v>1423</v>
      </c>
      <c r="C1081" s="37" t="s">
        <v>134</v>
      </c>
      <c r="D1081" s="37" t="s">
        <v>132</v>
      </c>
      <c r="E1081" s="37" t="s">
        <v>114</v>
      </c>
      <c r="F1081" s="38" t="s">
        <v>202</v>
      </c>
    </row>
    <row r="1082" spans="1:6" ht="13.5">
      <c r="A1082" s="35">
        <v>76113</v>
      </c>
      <c r="B1082" s="37" t="s">
        <v>1424</v>
      </c>
      <c r="C1082" s="37" t="s">
        <v>134</v>
      </c>
      <c r="D1082" s="37" t="s">
        <v>132</v>
      </c>
      <c r="E1082" s="37" t="s">
        <v>114</v>
      </c>
      <c r="F1082" s="38" t="s">
        <v>148</v>
      </c>
    </row>
    <row r="1083" spans="1:6" ht="13.5">
      <c r="A1083" s="35">
        <v>76122</v>
      </c>
      <c r="B1083" s="37" t="s">
        <v>1425</v>
      </c>
      <c r="C1083" s="37" t="s">
        <v>134</v>
      </c>
      <c r="D1083" s="37" t="s">
        <v>124</v>
      </c>
      <c r="E1083" s="37" t="s">
        <v>114</v>
      </c>
      <c r="F1083" s="38" t="s">
        <v>148</v>
      </c>
    </row>
    <row r="1084" spans="1:6" ht="13.5">
      <c r="A1084" s="35">
        <v>76001</v>
      </c>
      <c r="B1084" s="37" t="s">
        <v>132</v>
      </c>
      <c r="C1084" s="37" t="s">
        <v>134</v>
      </c>
      <c r="D1084" s="37" t="s">
        <v>132</v>
      </c>
      <c r="E1084" s="37" t="s">
        <v>114</v>
      </c>
      <c r="F1084" s="38" t="s">
        <v>113</v>
      </c>
    </row>
    <row r="1085" spans="1:6" ht="13.5">
      <c r="A1085" s="35">
        <v>76126</v>
      </c>
      <c r="B1085" s="37" t="s">
        <v>1426</v>
      </c>
      <c r="C1085" s="37" t="s">
        <v>134</v>
      </c>
      <c r="D1085" s="37" t="s">
        <v>132</v>
      </c>
      <c r="E1085" s="37" t="s">
        <v>114</v>
      </c>
      <c r="F1085" s="38" t="s">
        <v>148</v>
      </c>
    </row>
    <row r="1086" spans="1:6" ht="13.5">
      <c r="A1086" s="35">
        <v>76147</v>
      </c>
      <c r="B1086" s="37" t="s">
        <v>1427</v>
      </c>
      <c r="C1086" s="37" t="s">
        <v>134</v>
      </c>
      <c r="D1086" s="37" t="s">
        <v>124</v>
      </c>
      <c r="E1086" s="37" t="s">
        <v>114</v>
      </c>
      <c r="F1086" s="38" t="s">
        <v>113</v>
      </c>
    </row>
    <row r="1087" spans="1:6" ht="13.5">
      <c r="A1087" s="35">
        <v>76233</v>
      </c>
      <c r="B1087" s="37" t="s">
        <v>1428</v>
      </c>
      <c r="C1087" s="37" t="s">
        <v>134</v>
      </c>
      <c r="D1087" s="37" t="s">
        <v>132</v>
      </c>
      <c r="E1087" s="37" t="s">
        <v>114</v>
      </c>
      <c r="F1087" s="38" t="s">
        <v>148</v>
      </c>
    </row>
    <row r="1088" spans="1:6" ht="13.5">
      <c r="A1088" s="35">
        <v>76243</v>
      </c>
      <c r="B1088" s="37" t="s">
        <v>1429</v>
      </c>
      <c r="C1088" s="37" t="s">
        <v>134</v>
      </c>
      <c r="D1088" s="37" t="s">
        <v>124</v>
      </c>
      <c r="E1088" s="37" t="s">
        <v>114</v>
      </c>
      <c r="F1088" s="38" t="s">
        <v>202</v>
      </c>
    </row>
    <row r="1089" spans="1:6" ht="13.5">
      <c r="A1089" s="35">
        <v>76246</v>
      </c>
      <c r="B1089" s="37" t="s">
        <v>1430</v>
      </c>
      <c r="C1089" s="37" t="s">
        <v>134</v>
      </c>
      <c r="D1089" s="37" t="s">
        <v>124</v>
      </c>
      <c r="E1089" s="37" t="s">
        <v>114</v>
      </c>
      <c r="F1089" s="38" t="s">
        <v>202</v>
      </c>
    </row>
    <row r="1090" spans="1:6" ht="13.5">
      <c r="A1090" s="35">
        <v>76248</v>
      </c>
      <c r="B1090" s="37" t="s">
        <v>1431</v>
      </c>
      <c r="C1090" s="37" t="s">
        <v>134</v>
      </c>
      <c r="D1090" s="37" t="s">
        <v>132</v>
      </c>
      <c r="E1090" s="37" t="s">
        <v>114</v>
      </c>
      <c r="F1090" s="38" t="s">
        <v>148</v>
      </c>
    </row>
    <row r="1091" spans="1:6" ht="13.5">
      <c r="A1091" s="35">
        <v>76250</v>
      </c>
      <c r="B1091" s="37" t="s">
        <v>1432</v>
      </c>
      <c r="C1091" s="37" t="s">
        <v>134</v>
      </c>
      <c r="D1091" s="37" t="s">
        <v>124</v>
      </c>
      <c r="E1091" s="37" t="s">
        <v>114</v>
      </c>
      <c r="F1091" s="38" t="s">
        <v>148</v>
      </c>
    </row>
    <row r="1092" spans="1:6" ht="13.5">
      <c r="A1092" s="35">
        <v>76275</v>
      </c>
      <c r="B1092" s="37" t="s">
        <v>1433</v>
      </c>
      <c r="C1092" s="37" t="s">
        <v>134</v>
      </c>
      <c r="D1092" s="37" t="s">
        <v>132</v>
      </c>
      <c r="E1092" s="37" t="s">
        <v>114</v>
      </c>
      <c r="F1092" s="38" t="s">
        <v>148</v>
      </c>
    </row>
    <row r="1093" spans="1:6" ht="13.5">
      <c r="A1093" s="35">
        <v>76306</v>
      </c>
      <c r="B1093" s="37" t="s">
        <v>1434</v>
      </c>
      <c r="C1093" s="37" t="s">
        <v>134</v>
      </c>
      <c r="D1093" s="37" t="s">
        <v>132</v>
      </c>
      <c r="E1093" s="37" t="s">
        <v>114</v>
      </c>
      <c r="F1093" s="38" t="s">
        <v>148</v>
      </c>
    </row>
    <row r="1094" spans="1:6" ht="13.5">
      <c r="A1094" s="35">
        <v>76318</v>
      </c>
      <c r="B1094" s="37" t="s">
        <v>1435</v>
      </c>
      <c r="C1094" s="37" t="s">
        <v>134</v>
      </c>
      <c r="D1094" s="37" t="s">
        <v>132</v>
      </c>
      <c r="E1094" s="37" t="s">
        <v>114</v>
      </c>
      <c r="F1094" s="38" t="s">
        <v>148</v>
      </c>
    </row>
    <row r="1095" spans="1:6" ht="13.5">
      <c r="A1095" s="35">
        <v>76111</v>
      </c>
      <c r="B1095" s="37" t="s">
        <v>1436</v>
      </c>
      <c r="C1095" s="37" t="s">
        <v>134</v>
      </c>
      <c r="D1095" s="37" t="s">
        <v>132</v>
      </c>
      <c r="E1095" s="37" t="s">
        <v>114</v>
      </c>
      <c r="F1095" s="38" t="s">
        <v>148</v>
      </c>
    </row>
    <row r="1096" spans="1:6" ht="13.5">
      <c r="A1096" s="35">
        <v>76364</v>
      </c>
      <c r="B1096" s="37" t="s">
        <v>1437</v>
      </c>
      <c r="C1096" s="37" t="s">
        <v>134</v>
      </c>
      <c r="D1096" s="37" t="s">
        <v>132</v>
      </c>
      <c r="E1096" s="37" t="s">
        <v>114</v>
      </c>
      <c r="F1096" s="38" t="s">
        <v>148</v>
      </c>
    </row>
    <row r="1097" spans="1:6" ht="13.5">
      <c r="A1097" s="35">
        <v>76377</v>
      </c>
      <c r="B1097" s="37" t="s">
        <v>1438</v>
      </c>
      <c r="C1097" s="37" t="s">
        <v>134</v>
      </c>
      <c r="D1097" s="37" t="s">
        <v>132</v>
      </c>
      <c r="E1097" s="37" t="s">
        <v>114</v>
      </c>
      <c r="F1097" s="38" t="s">
        <v>148</v>
      </c>
    </row>
    <row r="1098" spans="1:6" ht="13.5">
      <c r="A1098" s="35">
        <v>76497</v>
      </c>
      <c r="B1098" s="37" t="s">
        <v>1439</v>
      </c>
      <c r="C1098" s="37" t="s">
        <v>134</v>
      </c>
      <c r="D1098" s="37" t="s">
        <v>124</v>
      </c>
      <c r="E1098" s="37" t="s">
        <v>114</v>
      </c>
      <c r="F1098" s="38" t="s">
        <v>148</v>
      </c>
    </row>
    <row r="1099" spans="1:6" ht="13.5">
      <c r="A1099" s="35">
        <v>76520</v>
      </c>
      <c r="B1099" s="37" t="s">
        <v>245</v>
      </c>
      <c r="C1099" s="37" t="s">
        <v>134</v>
      </c>
      <c r="D1099" s="37" t="s">
        <v>132</v>
      </c>
      <c r="E1099" s="37" t="s">
        <v>114</v>
      </c>
      <c r="F1099" s="38" t="s">
        <v>113</v>
      </c>
    </row>
    <row r="1100" spans="1:6" ht="13.5">
      <c r="A1100" s="35">
        <v>76563</v>
      </c>
      <c r="B1100" s="37" t="s">
        <v>1440</v>
      </c>
      <c r="C1100" s="37" t="s">
        <v>134</v>
      </c>
      <c r="D1100" s="37" t="s">
        <v>132</v>
      </c>
      <c r="E1100" s="37" t="s">
        <v>114</v>
      </c>
      <c r="F1100" s="38" t="s">
        <v>148</v>
      </c>
    </row>
    <row r="1101" spans="1:6" ht="13.5">
      <c r="A1101" s="35">
        <v>76616</v>
      </c>
      <c r="B1101" s="37" t="s">
        <v>1441</v>
      </c>
      <c r="C1101" s="37" t="s">
        <v>134</v>
      </c>
      <c r="D1101" s="37" t="s">
        <v>132</v>
      </c>
      <c r="E1101" s="37" t="s">
        <v>114</v>
      </c>
      <c r="F1101" s="38" t="s">
        <v>148</v>
      </c>
    </row>
    <row r="1102" spans="1:6" ht="13.5">
      <c r="A1102" s="35">
        <v>76622</v>
      </c>
      <c r="B1102" s="37" t="s">
        <v>1442</v>
      </c>
      <c r="C1102" s="37" t="s">
        <v>134</v>
      </c>
      <c r="D1102" s="37" t="s">
        <v>124</v>
      </c>
      <c r="E1102" s="37" t="s">
        <v>114</v>
      </c>
      <c r="F1102" s="38" t="s">
        <v>202</v>
      </c>
    </row>
    <row r="1103" spans="1:6" ht="13.5">
      <c r="A1103" s="35">
        <v>76736</v>
      </c>
      <c r="B1103" s="37" t="s">
        <v>1443</v>
      </c>
      <c r="C1103" s="37" t="s">
        <v>134</v>
      </c>
      <c r="D1103" s="37" t="s">
        <v>124</v>
      </c>
      <c r="E1103" s="37" t="s">
        <v>114</v>
      </c>
      <c r="F1103" s="38" t="s">
        <v>148</v>
      </c>
    </row>
    <row r="1104" spans="1:6" ht="13.5">
      <c r="A1104" s="35">
        <v>76823</v>
      </c>
      <c r="B1104" s="37" t="s">
        <v>1444</v>
      </c>
      <c r="C1104" s="37" t="s">
        <v>134</v>
      </c>
      <c r="D1104" s="37" t="s">
        <v>124</v>
      </c>
      <c r="E1104" s="37" t="s">
        <v>114</v>
      </c>
      <c r="F1104" s="38" t="s">
        <v>148</v>
      </c>
    </row>
    <row r="1105" spans="1:6" ht="13.5">
      <c r="A1105" s="35">
        <v>76828</v>
      </c>
      <c r="B1105" s="37" t="s">
        <v>1445</v>
      </c>
      <c r="C1105" s="37" t="s">
        <v>134</v>
      </c>
      <c r="D1105" s="37" t="s">
        <v>124</v>
      </c>
      <c r="E1105" s="37" t="s">
        <v>114</v>
      </c>
      <c r="F1105" s="38" t="s">
        <v>148</v>
      </c>
    </row>
    <row r="1106" spans="1:6" ht="13.5">
      <c r="A1106" s="35">
        <v>76834</v>
      </c>
      <c r="B1106" s="37" t="s">
        <v>1446</v>
      </c>
      <c r="C1106" s="37" t="s">
        <v>134</v>
      </c>
      <c r="D1106" s="37" t="s">
        <v>132</v>
      </c>
      <c r="E1106" s="37" t="s">
        <v>114</v>
      </c>
      <c r="F1106" s="38" t="s">
        <v>148</v>
      </c>
    </row>
    <row r="1107" spans="1:6" ht="13.5">
      <c r="A1107" s="35">
        <v>76845</v>
      </c>
      <c r="B1107" s="37" t="s">
        <v>1447</v>
      </c>
      <c r="C1107" s="37" t="s">
        <v>134</v>
      </c>
      <c r="D1107" s="37" t="s">
        <v>124</v>
      </c>
      <c r="E1107" s="37" t="s">
        <v>114</v>
      </c>
      <c r="F1107" s="38" t="s">
        <v>148</v>
      </c>
    </row>
    <row r="1108" spans="1:6" ht="13.5">
      <c r="A1108" s="35">
        <v>76863</v>
      </c>
      <c r="B1108" s="37" t="s">
        <v>1448</v>
      </c>
      <c r="C1108" s="37" t="s">
        <v>134</v>
      </c>
      <c r="D1108" s="37" t="s">
        <v>124</v>
      </c>
      <c r="E1108" s="37" t="s">
        <v>114</v>
      </c>
      <c r="F1108" s="38" t="s">
        <v>202</v>
      </c>
    </row>
    <row r="1109" spans="1:6" ht="13.5">
      <c r="A1109" s="35">
        <v>76869</v>
      </c>
      <c r="B1109" s="37" t="s">
        <v>1449</v>
      </c>
      <c r="C1109" s="37" t="s">
        <v>134</v>
      </c>
      <c r="D1109" s="37" t="s">
        <v>132</v>
      </c>
      <c r="E1109" s="37" t="s">
        <v>114</v>
      </c>
      <c r="F1109" s="38" t="s">
        <v>148</v>
      </c>
    </row>
    <row r="1110" spans="1:6" ht="13.5">
      <c r="A1110" s="35">
        <v>76890</v>
      </c>
      <c r="B1110" s="37" t="s">
        <v>1450</v>
      </c>
      <c r="C1110" s="37" t="s">
        <v>134</v>
      </c>
      <c r="D1110" s="37" t="s">
        <v>132</v>
      </c>
      <c r="E1110" s="37" t="s">
        <v>114</v>
      </c>
      <c r="F1110" s="38" t="s">
        <v>148</v>
      </c>
    </row>
    <row r="1111" spans="1:6" ht="13.5">
      <c r="A1111" s="35">
        <v>76892</v>
      </c>
      <c r="B1111" s="37" t="s">
        <v>1451</v>
      </c>
      <c r="C1111" s="37" t="s">
        <v>134</v>
      </c>
      <c r="D1111" s="37" t="s">
        <v>132</v>
      </c>
      <c r="E1111" s="37" t="s">
        <v>114</v>
      </c>
      <c r="F1111" s="38" t="s">
        <v>113</v>
      </c>
    </row>
    <row r="1112" spans="1:6" ht="13.5">
      <c r="A1112" s="35">
        <v>76895</v>
      </c>
      <c r="B1112" s="37" t="s">
        <v>1452</v>
      </c>
      <c r="C1112" s="37" t="s">
        <v>134</v>
      </c>
      <c r="D1112" s="37" t="s">
        <v>124</v>
      </c>
      <c r="E1112" s="37" t="s">
        <v>114</v>
      </c>
      <c r="F1112" s="38" t="s">
        <v>202</v>
      </c>
    </row>
    <row r="1113" spans="1:6" ht="13.5">
      <c r="A1113" s="35">
        <v>97161</v>
      </c>
      <c r="B1113" s="37" t="s">
        <v>1453</v>
      </c>
      <c r="C1113" s="37" t="s">
        <v>1454</v>
      </c>
      <c r="D1113" s="37" t="s">
        <v>322</v>
      </c>
      <c r="E1113" s="37" t="s">
        <v>461</v>
      </c>
      <c r="F1113" s="38" t="s">
        <v>462</v>
      </c>
    </row>
    <row r="1114" spans="1:6" ht="13.5">
      <c r="A1114" s="35">
        <v>97001</v>
      </c>
      <c r="B1114" s="37" t="s">
        <v>1455</v>
      </c>
      <c r="C1114" s="37" t="s">
        <v>1454</v>
      </c>
      <c r="D1114" s="37" t="s">
        <v>116</v>
      </c>
      <c r="E1114" s="37" t="s">
        <v>461</v>
      </c>
      <c r="F1114" s="38" t="s">
        <v>462</v>
      </c>
    </row>
    <row r="1115" spans="1:6" ht="13.5">
      <c r="A1115" s="35">
        <v>97511</v>
      </c>
      <c r="B1115" s="37" t="s">
        <v>1456</v>
      </c>
      <c r="C1115" s="37" t="s">
        <v>1454</v>
      </c>
      <c r="D1115" s="37" t="s">
        <v>322</v>
      </c>
      <c r="E1115" s="37" t="s">
        <v>461</v>
      </c>
      <c r="F1115" s="38" t="s">
        <v>462</v>
      </c>
    </row>
    <row r="1116" spans="1:6" ht="13.5">
      <c r="A1116" s="35">
        <v>97777</v>
      </c>
      <c r="B1116" s="37" t="s">
        <v>1457</v>
      </c>
      <c r="C1116" s="37" t="s">
        <v>1454</v>
      </c>
      <c r="D1116" s="37" t="s">
        <v>322</v>
      </c>
      <c r="E1116" s="37" t="s">
        <v>461</v>
      </c>
      <c r="F1116" s="38" t="s">
        <v>462</v>
      </c>
    </row>
    <row r="1117" spans="1:6" ht="13.5">
      <c r="A1117" s="35">
        <v>97666</v>
      </c>
      <c r="B1117" s="37" t="s">
        <v>1458</v>
      </c>
      <c r="C1117" s="37" t="s">
        <v>1454</v>
      </c>
      <c r="D1117" s="37" t="s">
        <v>322</v>
      </c>
      <c r="E1117" s="37" t="s">
        <v>461</v>
      </c>
      <c r="F1117" s="38" t="s">
        <v>462</v>
      </c>
    </row>
    <row r="1118" spans="1:6" ht="13.5">
      <c r="A1118" s="35">
        <v>97889</v>
      </c>
      <c r="B1118" s="37" t="s">
        <v>1459</v>
      </c>
      <c r="C1118" s="37" t="s">
        <v>1454</v>
      </c>
      <c r="D1118" s="37" t="s">
        <v>322</v>
      </c>
      <c r="E1118" s="37" t="s">
        <v>461</v>
      </c>
      <c r="F1118" s="38" t="s">
        <v>462</v>
      </c>
    </row>
    <row r="1119" spans="1:6" ht="13.5">
      <c r="A1119" s="35">
        <v>99773</v>
      </c>
      <c r="B1119" s="37" t="s">
        <v>1460</v>
      </c>
      <c r="C1119" s="37" t="s">
        <v>1461</v>
      </c>
      <c r="D1119" s="37" t="s">
        <v>322</v>
      </c>
      <c r="E1119" s="37" t="s">
        <v>461</v>
      </c>
      <c r="F1119" s="38" t="s">
        <v>462</v>
      </c>
    </row>
    <row r="1120" spans="1:6" ht="13.5">
      <c r="A1120" s="35">
        <v>99524</v>
      </c>
      <c r="B1120" s="37" t="s">
        <v>1462</v>
      </c>
      <c r="C1120" s="37" t="s">
        <v>1461</v>
      </c>
      <c r="D1120" s="37" t="s">
        <v>322</v>
      </c>
      <c r="E1120" s="37" t="s">
        <v>461</v>
      </c>
      <c r="F1120" s="38" t="s">
        <v>462</v>
      </c>
    </row>
    <row r="1121" spans="1:6" ht="13.5">
      <c r="A1121" s="35">
        <v>99001</v>
      </c>
      <c r="B1121" s="37" t="s">
        <v>1463</v>
      </c>
      <c r="C1121" s="37" t="s">
        <v>1461</v>
      </c>
      <c r="D1121" s="37" t="s">
        <v>116</v>
      </c>
      <c r="E1121" s="37" t="s">
        <v>461</v>
      </c>
      <c r="F1121" s="38" t="s">
        <v>462</v>
      </c>
    </row>
    <row r="1122" spans="1:6" ht="13.5">
      <c r="A1122" s="35">
        <v>99624</v>
      </c>
      <c r="B1122" s="37" t="s">
        <v>1464</v>
      </c>
      <c r="C1122" s="37" t="s">
        <v>1461</v>
      </c>
      <c r="D1122" s="37" t="s">
        <v>322</v>
      </c>
      <c r="E1122" s="37" t="s">
        <v>461</v>
      </c>
      <c r="F1122" s="38" t="s">
        <v>462</v>
      </c>
    </row>
    <row r="1123" spans="1:6" ht="13.5">
      <c r="A1123" s="35">
        <v>23815</v>
      </c>
      <c r="B1123" s="37" t="s">
        <v>1465</v>
      </c>
      <c r="C1123" s="37" t="s">
        <v>620</v>
      </c>
      <c r="D1123" s="37" t="s">
        <v>504</v>
      </c>
      <c r="E1123" s="37" t="s">
        <v>114</v>
      </c>
      <c r="F1123" s="38" t="s">
        <v>202</v>
      </c>
    </row>
    <row r="1124" spans="1:6" ht="13.5">
      <c r="A1124" s="35">
        <v>23682</v>
      </c>
      <c r="B1124" s="37" t="s">
        <v>1466</v>
      </c>
      <c r="C1124" s="37" t="s">
        <v>620</v>
      </c>
      <c r="D1124" s="37" t="s">
        <v>504</v>
      </c>
      <c r="E1124" s="37" t="s">
        <v>114</v>
      </c>
      <c r="F1124" s="38" t="s">
        <v>202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AG187"/>
  <sheetViews>
    <sheetView topLeftCell="O1" zoomScaleNormal="100" workbookViewId="0">
      <pane ySplit="1" topLeftCell="A2" activePane="bottomLeft" state="frozen"/>
      <selection pane="bottomLeft" activeCell="AF4" sqref="AF4"/>
    </sheetView>
  </sheetViews>
  <sheetFormatPr baseColWidth="10" defaultColWidth="11.42578125" defaultRowHeight="12.75"/>
  <cols>
    <col min="1" max="1" width="15.42578125" style="75" bestFit="1" customWidth="1"/>
    <col min="2" max="3" width="11.42578125" style="75"/>
    <col min="4" max="4" width="11.7109375" style="75" bestFit="1" customWidth="1"/>
    <col min="5" max="5" width="25.140625" style="75" bestFit="1" customWidth="1"/>
    <col min="6" max="6" width="11.7109375" style="75" bestFit="1" customWidth="1"/>
    <col min="7" max="7" width="12.7109375" style="75" bestFit="1" customWidth="1"/>
    <col min="8" max="10" width="11.5703125" style="75" bestFit="1" customWidth="1"/>
    <col min="11" max="12" width="11.42578125" style="75"/>
    <col min="13" max="13" width="17.5703125" style="75" bestFit="1" customWidth="1"/>
    <col min="14" max="14" width="17.28515625" style="75" customWidth="1"/>
    <col min="15" max="15" width="11.5703125" style="75" bestFit="1" customWidth="1"/>
    <col min="16" max="20" width="11.42578125" style="75"/>
    <col min="21" max="21" width="12.7109375" style="75" bestFit="1" customWidth="1"/>
    <col min="22" max="22" width="11.42578125" style="75"/>
    <col min="23" max="23" width="15.5703125" style="75" customWidth="1"/>
    <col min="24" max="26" width="11.42578125" style="75"/>
    <col min="27" max="31" width="11.7109375" style="75" bestFit="1" customWidth="1"/>
    <col min="32" max="32" width="12.5703125" style="75" bestFit="1" customWidth="1"/>
    <col min="33" max="33" width="36.28515625" style="72" customWidth="1"/>
    <col min="34" max="16384" width="11.42578125" style="72"/>
  </cols>
  <sheetData>
    <row r="1" spans="1:33" s="108" customFormat="1" ht="76.5">
      <c r="A1" s="107" t="s">
        <v>71</v>
      </c>
      <c r="B1" s="107" t="s">
        <v>43</v>
      </c>
      <c r="C1" s="107" t="s">
        <v>44</v>
      </c>
      <c r="D1" s="107" t="s">
        <v>72</v>
      </c>
      <c r="E1" s="107" t="s">
        <v>73</v>
      </c>
      <c r="F1" s="107" t="s">
        <v>74</v>
      </c>
      <c r="G1" s="57" t="s">
        <v>75</v>
      </c>
      <c r="H1" s="107" t="s">
        <v>77</v>
      </c>
      <c r="I1" s="107" t="s">
        <v>78</v>
      </c>
      <c r="J1" s="107" t="s">
        <v>79</v>
      </c>
      <c r="K1" s="107" t="s">
        <v>80</v>
      </c>
      <c r="L1" s="98" t="s">
        <v>81</v>
      </c>
      <c r="M1" s="92" t="s">
        <v>1467</v>
      </c>
      <c r="N1" s="92" t="s">
        <v>1468</v>
      </c>
      <c r="O1" s="92" t="s">
        <v>1469</v>
      </c>
      <c r="P1" s="60" t="s">
        <v>1470</v>
      </c>
      <c r="Q1" s="60" t="s">
        <v>1471</v>
      </c>
      <c r="R1" s="60" t="s">
        <v>1472</v>
      </c>
      <c r="S1" s="92" t="s">
        <v>84</v>
      </c>
      <c r="T1" s="92" t="s">
        <v>85</v>
      </c>
      <c r="U1" s="59" t="s">
        <v>86</v>
      </c>
      <c r="V1" s="60" t="s">
        <v>1473</v>
      </c>
      <c r="W1" s="98" t="s">
        <v>88</v>
      </c>
      <c r="X1" s="92" t="s">
        <v>1474</v>
      </c>
      <c r="Y1" s="58" t="s">
        <v>90</v>
      </c>
      <c r="Z1" s="58" t="s">
        <v>91</v>
      </c>
      <c r="AA1" s="59" t="s">
        <v>92</v>
      </c>
      <c r="AB1" s="98" t="s">
        <v>1475</v>
      </c>
      <c r="AC1" s="92" t="s">
        <v>1476</v>
      </c>
      <c r="AD1" s="92" t="s">
        <v>1477</v>
      </c>
      <c r="AE1" s="92" t="s">
        <v>95</v>
      </c>
      <c r="AF1" s="58" t="s">
        <v>97</v>
      </c>
      <c r="AG1" s="58" t="s">
        <v>1478</v>
      </c>
    </row>
    <row r="2" spans="1:33" s="108" customFormat="1" ht="15">
      <c r="A2" s="110"/>
      <c r="B2" s="110"/>
      <c r="C2" s="110"/>
      <c r="D2" s="110"/>
      <c r="E2" s="110"/>
      <c r="F2" s="110"/>
      <c r="G2" s="111"/>
      <c r="H2" s="110"/>
      <c r="I2" s="110"/>
      <c r="J2" s="110"/>
      <c r="K2" s="110"/>
      <c r="L2" s="112"/>
      <c r="M2" s="113"/>
      <c r="N2" s="113"/>
      <c r="O2" s="113"/>
      <c r="P2" s="114"/>
      <c r="Q2" s="114"/>
      <c r="R2" s="114"/>
      <c r="S2" s="113"/>
      <c r="T2" s="113"/>
      <c r="U2" s="115"/>
      <c r="V2" s="114"/>
      <c r="W2" s="112"/>
      <c r="X2" s="113"/>
      <c r="Y2" s="116"/>
      <c r="Z2" s="116"/>
      <c r="AA2" s="115"/>
      <c r="AB2" s="112"/>
      <c r="AC2" s="113"/>
      <c r="AD2" s="113"/>
      <c r="AE2" s="113"/>
      <c r="AF2" s="117" t="s">
        <v>2282</v>
      </c>
      <c r="AG2" s="117" t="s">
        <v>2283</v>
      </c>
    </row>
    <row r="3" spans="1:33" s="108" customFormat="1" ht="15">
      <c r="A3" s="118" t="s">
        <v>71</v>
      </c>
      <c r="B3" s="118" t="s">
        <v>43</v>
      </c>
      <c r="C3" s="118" t="s">
        <v>2276</v>
      </c>
      <c r="D3" s="118" t="s">
        <v>2277</v>
      </c>
      <c r="E3" s="118" t="s">
        <v>73</v>
      </c>
      <c r="F3" s="118" t="s">
        <v>74</v>
      </c>
      <c r="G3" s="118" t="s">
        <v>75</v>
      </c>
      <c r="H3" s="118" t="s">
        <v>77</v>
      </c>
      <c r="I3" s="118" t="s">
        <v>78</v>
      </c>
      <c r="J3" s="118" t="s">
        <v>79</v>
      </c>
      <c r="K3" s="118" t="s">
        <v>80</v>
      </c>
      <c r="L3" s="118" t="s">
        <v>81</v>
      </c>
      <c r="M3" s="118" t="s">
        <v>2229</v>
      </c>
      <c r="N3" s="118" t="s">
        <v>1468</v>
      </c>
      <c r="O3" s="118" t="s">
        <v>1476</v>
      </c>
      <c r="P3" s="118" t="s">
        <v>1470</v>
      </c>
      <c r="Q3" s="118" t="s">
        <v>2278</v>
      </c>
      <c r="R3" s="118" t="s">
        <v>1472</v>
      </c>
      <c r="S3" s="118" t="s">
        <v>84</v>
      </c>
      <c r="T3" s="118" t="s">
        <v>85</v>
      </c>
      <c r="U3" s="118" t="s">
        <v>86</v>
      </c>
      <c r="V3" s="118" t="s">
        <v>87</v>
      </c>
      <c r="W3" s="118" t="s">
        <v>2279</v>
      </c>
      <c r="X3" s="118" t="s">
        <v>2280</v>
      </c>
      <c r="Y3" s="118" t="s">
        <v>90</v>
      </c>
      <c r="Z3" s="118" t="s">
        <v>91</v>
      </c>
      <c r="AA3" s="118" t="s">
        <v>2281</v>
      </c>
      <c r="AB3" s="118" t="s">
        <v>1475</v>
      </c>
      <c r="AC3" s="118" t="s">
        <v>1476</v>
      </c>
      <c r="AD3" s="118" t="s">
        <v>2235</v>
      </c>
      <c r="AE3" s="118" t="s">
        <v>95</v>
      </c>
      <c r="AF3" s="118" t="s">
        <v>2285</v>
      </c>
      <c r="AG3" s="118" t="s">
        <v>2286</v>
      </c>
    </row>
    <row r="4" spans="1:33" s="4" customFormat="1">
      <c r="A4" s="109" t="s">
        <v>100</v>
      </c>
      <c r="B4" s="56" t="str">
        <f>VLOOKUP(A4,'CENTRO DE COSTOS'!A:D,4,FALSE)</f>
        <v>JUAN SEBASTIÁN RÍOS CASTRILLÓN</v>
      </c>
      <c r="C4" s="56" t="str">
        <f>VLOOKUP(A4,'CENTRO DE COSTOS'!A:D,2,FALSE)</f>
        <v>0004-0005</v>
      </c>
      <c r="D4" s="109">
        <v>5001</v>
      </c>
      <c r="E4" s="109">
        <v>2538428</v>
      </c>
      <c r="F4" s="109">
        <v>75951</v>
      </c>
      <c r="G4" s="109" t="s">
        <v>1479</v>
      </c>
      <c r="H4" s="109" t="s">
        <v>104</v>
      </c>
      <c r="I4" s="109" t="s">
        <v>100</v>
      </c>
      <c r="J4" s="109" t="s">
        <v>1480</v>
      </c>
      <c r="K4" s="109" t="s">
        <v>106</v>
      </c>
      <c r="L4" s="82" t="s">
        <v>1481</v>
      </c>
      <c r="M4" s="97">
        <v>45870.40902777778</v>
      </c>
      <c r="N4" s="97">
        <v>45870.466666666667</v>
      </c>
      <c r="O4" s="82" t="s">
        <v>1482</v>
      </c>
      <c r="P4" s="82" t="s">
        <v>1483</v>
      </c>
      <c r="Q4" s="82" t="s">
        <v>1484</v>
      </c>
      <c r="R4" s="82" t="s">
        <v>1485</v>
      </c>
      <c r="S4" s="82" t="s">
        <v>1486</v>
      </c>
      <c r="T4" s="82" t="s">
        <v>1486</v>
      </c>
      <c r="U4" s="82" t="s">
        <v>1487</v>
      </c>
      <c r="V4" s="82" t="s">
        <v>1488</v>
      </c>
      <c r="W4" s="82" t="s">
        <v>1489</v>
      </c>
      <c r="X4" s="82" t="s">
        <v>1490</v>
      </c>
      <c r="Y4" s="82" t="s">
        <v>113</v>
      </c>
      <c r="Z4" s="82" t="s">
        <v>114</v>
      </c>
      <c r="AA4" s="82" t="s">
        <v>1491</v>
      </c>
      <c r="AB4" s="61">
        <v>1</v>
      </c>
      <c r="AC4" s="61">
        <v>0</v>
      </c>
      <c r="AD4" s="61">
        <v>0</v>
      </c>
      <c r="AE4" s="61">
        <v>0</v>
      </c>
      <c r="AF4" s="69">
        <f>IF(W4="SOPORTE_TELEFÓNICO",'BASE LIQUIDACION'!$B$10,IF(Y4="TIPO I",'BASE LIQUIDACION'!$C$3,IF(Y4="TIPO II",'BASE LIQUIDACION'!$C$4,IF(Y4="TIPO III",'BASE LIQUIDACION'!$C$5,'BASE LIQUIDACION'!$C$7))))</f>
        <v>65960.473639999997</v>
      </c>
      <c r="AG4" s="96">
        <f>IF(W4="SOPORTE_TELEFÓNICO",'BASE LIQUIDACION'!$B$10,(AB4*AF4+AC4*'BASE LIQUIDACION'!$B$12+AD4*'BASE LIQUIDACION'!$B$11+INCIDENTES!AE4*'BASE LIQUIDACION'!$B$13))</f>
        <v>65960.473639999997</v>
      </c>
    </row>
    <row r="5" spans="1:33" s="4" customFormat="1">
      <c r="A5" s="109" t="s">
        <v>598</v>
      </c>
      <c r="B5" s="56" t="str">
        <f>VLOOKUP(A5,'CENTRO DE COSTOS'!A:D,4,FALSE)</f>
        <v>JOSE MAURICIO HERNANDEZ ROJAS</v>
      </c>
      <c r="C5" s="56" t="str">
        <f>VLOOKUP(A5,'CENTRO DE COSTOS'!A:D,2,FALSE)</f>
        <v>0004-0001</v>
      </c>
      <c r="D5" s="109">
        <v>8001</v>
      </c>
      <c r="E5" s="109">
        <v>2535994</v>
      </c>
      <c r="F5" s="109">
        <v>69017</v>
      </c>
      <c r="G5" s="109" t="s">
        <v>1479</v>
      </c>
      <c r="H5" s="109" t="s">
        <v>597</v>
      </c>
      <c r="I5" s="109" t="s">
        <v>598</v>
      </c>
      <c r="J5" s="109" t="s">
        <v>1492</v>
      </c>
      <c r="K5" s="109" t="s">
        <v>106</v>
      </c>
      <c r="L5" s="82" t="s">
        <v>1493</v>
      </c>
      <c r="M5" s="97">
        <v>45870.333333333336</v>
      </c>
      <c r="N5" s="97">
        <v>45870.494444444441</v>
      </c>
      <c r="O5" s="82" t="s">
        <v>1482</v>
      </c>
      <c r="P5" s="82" t="s">
        <v>1483</v>
      </c>
      <c r="Q5" s="82" t="s">
        <v>1494</v>
      </c>
      <c r="R5" s="82" t="s">
        <v>1495</v>
      </c>
      <c r="S5" s="82" t="s">
        <v>1486</v>
      </c>
      <c r="T5" s="82" t="s">
        <v>1486</v>
      </c>
      <c r="U5" s="82" t="s">
        <v>1487</v>
      </c>
      <c r="V5" s="82" t="s">
        <v>1496</v>
      </c>
      <c r="W5" s="82" t="s">
        <v>1489</v>
      </c>
      <c r="X5" s="82" t="s">
        <v>1497</v>
      </c>
      <c r="Y5" s="82" t="s">
        <v>113</v>
      </c>
      <c r="Z5" s="82" t="s">
        <v>114</v>
      </c>
      <c r="AA5" s="82" t="s">
        <v>1498</v>
      </c>
      <c r="AB5" s="61">
        <v>1</v>
      </c>
      <c r="AC5" s="61">
        <v>0</v>
      </c>
      <c r="AD5" s="61">
        <v>0</v>
      </c>
      <c r="AE5" s="61">
        <v>0</v>
      </c>
      <c r="AF5" s="69">
        <f>IF(W5="SOPORTE_TELEFÓNICO",'BASE LIQUIDACION'!$B$10,IF(Y5="TIPO I",'BASE LIQUIDACION'!$C$3,IF(Y5="TIPO II",'BASE LIQUIDACION'!$C$4,IF(Y5="TIPO III",'BASE LIQUIDACION'!$C$5,'BASE LIQUIDACION'!$C$7))))</f>
        <v>65960.473639999997</v>
      </c>
      <c r="AG5" s="96">
        <f>IF(W5="SOPORTE_TELEFÓNICO",'BASE LIQUIDACION'!$B$10,(AB5*AF5+AC5*'BASE LIQUIDACION'!$B$12+AD5*'BASE LIQUIDACION'!$B$11+INCIDENTES!AE5*'BASE LIQUIDACION'!$B$13))</f>
        <v>65960.473639999997</v>
      </c>
    </row>
    <row r="6" spans="1:33" s="4" customFormat="1">
      <c r="A6" s="109" t="s">
        <v>100</v>
      </c>
      <c r="B6" s="56" t="str">
        <f>VLOOKUP(A6,'CENTRO DE COSTOS'!A:D,4,FALSE)</f>
        <v>JUAN SEBASTIÁN RÍOS CASTRILLÓN</v>
      </c>
      <c r="C6" s="56" t="str">
        <f>VLOOKUP(A6,'CENTRO DE COSTOS'!A:D,2,FALSE)</f>
        <v>0004-0005</v>
      </c>
      <c r="D6" s="109">
        <v>5607</v>
      </c>
      <c r="E6" s="109">
        <v>2523682</v>
      </c>
      <c r="F6" s="109">
        <v>31280</v>
      </c>
      <c r="G6" s="109" t="s">
        <v>1479</v>
      </c>
      <c r="H6" s="109" t="s">
        <v>104</v>
      </c>
      <c r="I6" s="109" t="s">
        <v>560</v>
      </c>
      <c r="J6" s="109" t="s">
        <v>1499</v>
      </c>
      <c r="K6" s="109" t="s">
        <v>106</v>
      </c>
      <c r="L6" s="82" t="s">
        <v>1500</v>
      </c>
      <c r="M6" s="97">
        <v>45868.333333333336</v>
      </c>
      <c r="N6" s="97">
        <v>45870.511111111111</v>
      </c>
      <c r="O6" s="82" t="s">
        <v>1482</v>
      </c>
      <c r="P6" s="82" t="s">
        <v>1483</v>
      </c>
      <c r="Q6" s="82" t="s">
        <v>1501</v>
      </c>
      <c r="R6" s="82" t="s">
        <v>1502</v>
      </c>
      <c r="S6" s="82" t="s">
        <v>1486</v>
      </c>
      <c r="T6" s="82" t="s">
        <v>1486</v>
      </c>
      <c r="U6" s="82" t="s">
        <v>1487</v>
      </c>
      <c r="V6" s="82" t="s">
        <v>1503</v>
      </c>
      <c r="W6" s="82" t="s">
        <v>1489</v>
      </c>
      <c r="X6" s="82" t="s">
        <v>1504</v>
      </c>
      <c r="Y6" s="82" t="s">
        <v>148</v>
      </c>
      <c r="Z6" s="82" t="s">
        <v>114</v>
      </c>
      <c r="AA6" s="82" t="s">
        <v>1505</v>
      </c>
      <c r="AB6" s="61">
        <v>1</v>
      </c>
      <c r="AC6" s="61">
        <v>0</v>
      </c>
      <c r="AD6" s="61">
        <v>0</v>
      </c>
      <c r="AE6" s="61">
        <v>0</v>
      </c>
      <c r="AF6" s="69">
        <f>IF(W6="SOPORTE_TELEFÓNICO",'BASE LIQUIDACION'!$B$10,IF(Y6="TIPO I",'BASE LIQUIDACION'!$C$3,IF(Y6="TIPO II",'BASE LIQUIDACION'!$C$4,IF(Y6="TIPO III",'BASE LIQUIDACION'!$C$5,'BASE LIQUIDACION'!$C$7))))</f>
        <v>163813.55812</v>
      </c>
      <c r="AG6" s="96">
        <f>IF(W6="SOPORTE_TELEFÓNICO",'BASE LIQUIDACION'!$B$10,(AB6*AF6+AC6*'BASE LIQUIDACION'!$B$12+AD6*'BASE LIQUIDACION'!$B$11+INCIDENTES!AE6*'BASE LIQUIDACION'!$B$13))</f>
        <v>163813.55812</v>
      </c>
    </row>
    <row r="7" spans="1:33" s="4" customFormat="1">
      <c r="A7" s="109" t="s">
        <v>598</v>
      </c>
      <c r="B7" s="56" t="str">
        <f>VLOOKUP(A7,'CENTRO DE COSTOS'!A:D,4,FALSE)</f>
        <v>JOSE MAURICIO HERNANDEZ ROJAS</v>
      </c>
      <c r="C7" s="56" t="str">
        <f>VLOOKUP(A7,'CENTRO DE COSTOS'!A:D,2,FALSE)</f>
        <v>0004-0001</v>
      </c>
      <c r="D7" s="109">
        <v>8001</v>
      </c>
      <c r="E7" s="109">
        <v>2536376</v>
      </c>
      <c r="F7" s="109">
        <v>41635</v>
      </c>
      <c r="G7" s="109" t="s">
        <v>1479</v>
      </c>
      <c r="H7" s="109" t="s">
        <v>597</v>
      </c>
      <c r="I7" s="109" t="s">
        <v>598</v>
      </c>
      <c r="J7" s="109" t="s">
        <v>1506</v>
      </c>
      <c r="K7" s="109" t="s">
        <v>106</v>
      </c>
      <c r="L7" s="82" t="s">
        <v>1507</v>
      </c>
      <c r="M7" s="97">
        <v>45870.333333333336</v>
      </c>
      <c r="N7" s="97">
        <v>45870.553472222222</v>
      </c>
      <c r="O7" s="82" t="s">
        <v>1482</v>
      </c>
      <c r="P7" s="82" t="s">
        <v>1508</v>
      </c>
      <c r="Q7" s="82" t="s">
        <v>1509</v>
      </c>
      <c r="R7" s="82" t="s">
        <v>1510</v>
      </c>
      <c r="S7" s="82" t="s">
        <v>1486</v>
      </c>
      <c r="T7" s="82" t="s">
        <v>1486</v>
      </c>
      <c r="U7" s="82" t="s">
        <v>1487</v>
      </c>
      <c r="V7" s="82" t="s">
        <v>1511</v>
      </c>
      <c r="W7" s="82" t="s">
        <v>1489</v>
      </c>
      <c r="X7" s="82" t="s">
        <v>1512</v>
      </c>
      <c r="Y7" s="82" t="s">
        <v>113</v>
      </c>
      <c r="Z7" s="82" t="s">
        <v>114</v>
      </c>
      <c r="AA7" s="82" t="s">
        <v>1498</v>
      </c>
      <c r="AB7" s="61">
        <v>1</v>
      </c>
      <c r="AC7" s="61">
        <v>0</v>
      </c>
      <c r="AD7" s="61">
        <v>0</v>
      </c>
      <c r="AE7" s="61">
        <v>0</v>
      </c>
      <c r="AF7" s="69">
        <f>IF(W7="SOPORTE_TELEFÓNICO",'BASE LIQUIDACION'!$B$10,IF(Y7="TIPO I",'BASE LIQUIDACION'!$C$3,IF(Y7="TIPO II",'BASE LIQUIDACION'!$C$4,IF(Y7="TIPO III",'BASE LIQUIDACION'!$C$5,'BASE LIQUIDACION'!$C$7))))</f>
        <v>65960.473639999997</v>
      </c>
      <c r="AG7" s="96">
        <f>IF(W7="SOPORTE_TELEFÓNICO",'BASE LIQUIDACION'!$B$10,(AB7*AF7+AC7*'BASE LIQUIDACION'!$B$12+AD7*'BASE LIQUIDACION'!$B$11+INCIDENTES!AE7*'BASE LIQUIDACION'!$B$13))</f>
        <v>65960.473639999997</v>
      </c>
    </row>
    <row r="8" spans="1:33" s="4" customFormat="1">
      <c r="A8" s="109" t="s">
        <v>116</v>
      </c>
      <c r="B8" s="56" t="str">
        <f>VLOOKUP(A8,'CENTRO DE COSTOS'!A:D,4,FALSE)</f>
        <v>WILLIAM ASDRUBAL ROZO ROZO</v>
      </c>
      <c r="C8" s="56" t="str">
        <f>VLOOKUP(A8,'CENTRO DE COSTOS'!A:D,2,FALSE)</f>
        <v>0004-0004</v>
      </c>
      <c r="D8" s="109">
        <v>11001</v>
      </c>
      <c r="E8" s="109">
        <v>2535930</v>
      </c>
      <c r="F8" s="109">
        <v>74491</v>
      </c>
      <c r="G8" s="109" t="s">
        <v>1479</v>
      </c>
      <c r="H8" s="109" t="s">
        <v>118</v>
      </c>
      <c r="I8" s="109" t="s">
        <v>116</v>
      </c>
      <c r="J8" s="109" t="s">
        <v>1513</v>
      </c>
      <c r="K8" s="109" t="s">
        <v>106</v>
      </c>
      <c r="L8" s="82" t="s">
        <v>1514</v>
      </c>
      <c r="M8" s="97">
        <v>45869.709722222222</v>
      </c>
      <c r="N8" s="97">
        <v>45870.556250000001</v>
      </c>
      <c r="O8" s="82" t="s">
        <v>1482</v>
      </c>
      <c r="P8" s="82" t="s">
        <v>1508</v>
      </c>
      <c r="Q8" s="82" t="s">
        <v>1509</v>
      </c>
      <c r="R8" s="82" t="s">
        <v>1510</v>
      </c>
      <c r="S8" s="82" t="s">
        <v>1486</v>
      </c>
      <c r="T8" s="82" t="s">
        <v>1486</v>
      </c>
      <c r="U8" s="82" t="s">
        <v>1487</v>
      </c>
      <c r="V8" s="82" t="s">
        <v>1515</v>
      </c>
      <c r="W8" s="82" t="s">
        <v>1489</v>
      </c>
      <c r="X8" s="82" t="s">
        <v>1516</v>
      </c>
      <c r="Y8" s="82" t="s">
        <v>113</v>
      </c>
      <c r="Z8" s="82" t="s">
        <v>114</v>
      </c>
      <c r="AA8" s="82" t="s">
        <v>357</v>
      </c>
      <c r="AB8" s="61">
        <v>1</v>
      </c>
      <c r="AC8" s="61">
        <v>0</v>
      </c>
      <c r="AD8" s="61">
        <v>0</v>
      </c>
      <c r="AE8" s="61">
        <v>0</v>
      </c>
      <c r="AF8" s="69">
        <f>IF(W8="SOPORTE_TELEFÓNICO",'BASE LIQUIDACION'!$B$10,IF(Y8="TIPO I",'BASE LIQUIDACION'!$C$3,IF(Y8="TIPO II",'BASE LIQUIDACION'!$C$4,IF(Y8="TIPO III",'BASE LIQUIDACION'!$C$5,'BASE LIQUIDACION'!$C$7))))</f>
        <v>65960.473639999997</v>
      </c>
      <c r="AG8" s="96">
        <f>IF(W8="SOPORTE_TELEFÓNICO",'BASE LIQUIDACION'!$B$10,(AB8*AF8+AC8*'BASE LIQUIDACION'!$B$12+AD8*'BASE LIQUIDACION'!$B$11+INCIDENTES!AE8*'BASE LIQUIDACION'!$B$13))</f>
        <v>65960.473639999997</v>
      </c>
    </row>
    <row r="9" spans="1:33" s="4" customFormat="1">
      <c r="A9" s="109" t="s">
        <v>116</v>
      </c>
      <c r="B9" s="56" t="str">
        <f>VLOOKUP(A9,'CENTRO DE COSTOS'!A:D,4,FALSE)</f>
        <v>WILLIAM ASDRUBAL ROZO ROZO</v>
      </c>
      <c r="C9" s="56" t="str">
        <f>VLOOKUP(A9,'CENTRO DE COSTOS'!A:D,2,FALSE)</f>
        <v>0004-0004</v>
      </c>
      <c r="D9" s="109">
        <v>25754</v>
      </c>
      <c r="E9" s="109">
        <v>2538319</v>
      </c>
      <c r="F9" s="109">
        <v>68735</v>
      </c>
      <c r="G9" s="109" t="s">
        <v>1479</v>
      </c>
      <c r="H9" s="109" t="s">
        <v>118</v>
      </c>
      <c r="I9" s="109" t="s">
        <v>1029</v>
      </c>
      <c r="J9" s="109" t="s">
        <v>1517</v>
      </c>
      <c r="K9" s="109" t="s">
        <v>106</v>
      </c>
      <c r="L9" s="82" t="s">
        <v>1518</v>
      </c>
      <c r="M9" s="97">
        <v>45870.405555555553</v>
      </c>
      <c r="N9" s="97">
        <v>45870.578472222223</v>
      </c>
      <c r="O9" s="82" t="s">
        <v>1482</v>
      </c>
      <c r="P9" s="82" t="s">
        <v>1483</v>
      </c>
      <c r="Q9" s="82" t="s">
        <v>1494</v>
      </c>
      <c r="R9" s="82" t="s">
        <v>1519</v>
      </c>
      <c r="S9" s="82" t="s">
        <v>1486</v>
      </c>
      <c r="T9" s="82" t="s">
        <v>1486</v>
      </c>
      <c r="U9" s="82" t="s">
        <v>1487</v>
      </c>
      <c r="V9" s="82" t="s">
        <v>1520</v>
      </c>
      <c r="W9" s="82" t="s">
        <v>1489</v>
      </c>
      <c r="X9" s="82" t="s">
        <v>1521</v>
      </c>
      <c r="Y9" s="82" t="s">
        <v>113</v>
      </c>
      <c r="Z9" s="82" t="s">
        <v>114</v>
      </c>
      <c r="AA9" s="82" t="s">
        <v>1522</v>
      </c>
      <c r="AB9" s="61">
        <v>1</v>
      </c>
      <c r="AC9" s="61">
        <v>0</v>
      </c>
      <c r="AD9" s="61">
        <v>0</v>
      </c>
      <c r="AE9" s="61">
        <v>0</v>
      </c>
      <c r="AF9" s="69">
        <f>IF(W9="SOPORTE_TELEFÓNICO",'BASE LIQUIDACION'!$B$10,IF(Y9="TIPO I",'BASE LIQUIDACION'!$C$3,IF(Y9="TIPO II",'BASE LIQUIDACION'!$C$4,IF(Y9="TIPO III",'BASE LIQUIDACION'!$C$5,'BASE LIQUIDACION'!$C$7))))</f>
        <v>65960.473639999997</v>
      </c>
      <c r="AG9" s="96">
        <f>IF(W9="SOPORTE_TELEFÓNICO",'BASE LIQUIDACION'!$B$10,(AB9*AF9+AC9*'BASE LIQUIDACION'!$B$12+AD9*'BASE LIQUIDACION'!$B$11+INCIDENTES!AE9*'BASE LIQUIDACION'!$B$13))</f>
        <v>65960.473639999997</v>
      </c>
    </row>
    <row r="10" spans="1:33" s="4" customFormat="1">
      <c r="A10" s="109" t="s">
        <v>140</v>
      </c>
      <c r="B10" s="56" t="str">
        <f>VLOOKUP(A10,'CENTRO DE COSTOS'!A:D,4,FALSE)</f>
        <v>MIGUEL JULIÁN HERNÁNDEZ GUARÍN</v>
      </c>
      <c r="C10" s="56" t="str">
        <f>VLOOKUP(A10,'CENTRO DE COSTOS'!A:D,2,FALSE)</f>
        <v>0004-0008</v>
      </c>
      <c r="D10" s="109">
        <v>25745</v>
      </c>
      <c r="E10" s="109">
        <v>2533523</v>
      </c>
      <c r="F10" s="109">
        <v>35747</v>
      </c>
      <c r="G10" s="109" t="s">
        <v>1479</v>
      </c>
      <c r="H10" s="109" t="s">
        <v>118</v>
      </c>
      <c r="I10" s="109" t="s">
        <v>1028</v>
      </c>
      <c r="J10" s="109" t="s">
        <v>1523</v>
      </c>
      <c r="K10" s="109" t="s">
        <v>106</v>
      </c>
      <c r="L10" s="82" t="s">
        <v>1524</v>
      </c>
      <c r="M10" s="97">
        <v>45869.493750000001</v>
      </c>
      <c r="N10" s="97">
        <v>45870.673611111109</v>
      </c>
      <c r="O10" s="82" t="s">
        <v>1482</v>
      </c>
      <c r="P10" s="82" t="s">
        <v>1483</v>
      </c>
      <c r="Q10" s="82" t="s">
        <v>1494</v>
      </c>
      <c r="R10" s="82" t="s">
        <v>1495</v>
      </c>
      <c r="S10" s="82" t="s">
        <v>1486</v>
      </c>
      <c r="T10" s="82" t="s">
        <v>1486</v>
      </c>
      <c r="U10" s="82" t="s">
        <v>1487</v>
      </c>
      <c r="V10" s="82" t="s">
        <v>1525</v>
      </c>
      <c r="W10" s="82" t="s">
        <v>1526</v>
      </c>
      <c r="X10" s="82">
        <v>0</v>
      </c>
      <c r="Y10" s="82" t="s">
        <v>202</v>
      </c>
      <c r="Z10" s="82" t="s">
        <v>114</v>
      </c>
      <c r="AA10" s="82" t="s">
        <v>351</v>
      </c>
      <c r="AB10" s="61">
        <v>0</v>
      </c>
      <c r="AC10" s="61">
        <v>0</v>
      </c>
      <c r="AD10" s="61">
        <v>0</v>
      </c>
      <c r="AE10" s="61">
        <v>0</v>
      </c>
      <c r="AF10" s="69">
        <f>IF(W10="SOPORTE_TELEFÓNICO",'BASE LIQUIDACION'!$B$10,IF(Y10="TIPO I",'BASE LIQUIDACION'!$C$3,IF(Y10="TIPO II",'BASE LIQUIDACION'!$C$4,IF(Y10="TIPO III",'BASE LIQUIDACION'!$C$5,'BASE LIQUIDACION'!$C$7))))</f>
        <v>37904.65408</v>
      </c>
      <c r="AG10" s="96">
        <f>IF(W10="SOPORTE_TELEFÓNICO",'BASE LIQUIDACION'!$B$10,(AB10*AF10+AC10*'BASE LIQUIDACION'!$B$12+AD10*'BASE LIQUIDACION'!$B$11+INCIDENTES!AE10*'BASE LIQUIDACION'!$B$13))</f>
        <v>37904.65408</v>
      </c>
    </row>
    <row r="11" spans="1:33" s="4" customFormat="1">
      <c r="A11" s="109" t="s">
        <v>303</v>
      </c>
      <c r="B11" s="56" t="str">
        <f>VLOOKUP(A11,'CENTRO DE COSTOS'!A:D,4,FALSE)</f>
        <v>MIGUEL JULIÁN HERNÁNDEZ GUARÍN</v>
      </c>
      <c r="C11" s="56" t="str">
        <f>VLOOKUP(A11,'CENTRO DE COSTOS'!A:D,2,FALSE)</f>
        <v>0004-0008</v>
      </c>
      <c r="D11" s="109">
        <v>54660</v>
      </c>
      <c r="E11" s="109">
        <v>2536062</v>
      </c>
      <c r="F11" s="109">
        <v>79219</v>
      </c>
      <c r="G11" s="109" t="s">
        <v>1479</v>
      </c>
      <c r="H11" s="109" t="s">
        <v>305</v>
      </c>
      <c r="I11" s="109" t="s">
        <v>1244</v>
      </c>
      <c r="J11" s="109" t="s">
        <v>1527</v>
      </c>
      <c r="K11" s="109" t="s">
        <v>106</v>
      </c>
      <c r="L11" s="82" t="s">
        <v>1528</v>
      </c>
      <c r="M11" s="97">
        <v>45869.727777777778</v>
      </c>
      <c r="N11" s="97">
        <v>45870.679166666669</v>
      </c>
      <c r="O11" s="82" t="s">
        <v>1482</v>
      </c>
      <c r="P11" s="82" t="s">
        <v>1483</v>
      </c>
      <c r="Q11" s="82" t="s">
        <v>1484</v>
      </c>
      <c r="R11" s="82" t="s">
        <v>1485</v>
      </c>
      <c r="S11" s="82" t="s">
        <v>1486</v>
      </c>
      <c r="T11" s="82" t="s">
        <v>1486</v>
      </c>
      <c r="U11" s="82" t="s">
        <v>1487</v>
      </c>
      <c r="V11" s="82" t="s">
        <v>1529</v>
      </c>
      <c r="W11" s="82" t="s">
        <v>1489</v>
      </c>
      <c r="X11" s="82" t="s">
        <v>1530</v>
      </c>
      <c r="Y11" s="82" t="s">
        <v>148</v>
      </c>
      <c r="Z11" s="82" t="s">
        <v>114</v>
      </c>
      <c r="AA11" s="82" t="s">
        <v>1531</v>
      </c>
      <c r="AB11" s="61">
        <v>1</v>
      </c>
      <c r="AC11" s="61">
        <v>0</v>
      </c>
      <c r="AD11" s="61">
        <v>0</v>
      </c>
      <c r="AE11" s="61">
        <v>0</v>
      </c>
      <c r="AF11" s="69">
        <f>IF(W11="SOPORTE_TELEFÓNICO",'BASE LIQUIDACION'!$B$10,IF(Y11="TIPO I",'BASE LIQUIDACION'!$C$3,IF(Y11="TIPO II",'BASE LIQUIDACION'!$C$4,IF(Y11="TIPO III",'BASE LIQUIDACION'!$C$5,'BASE LIQUIDACION'!$C$7))))</f>
        <v>163813.55812</v>
      </c>
      <c r="AG11" s="96">
        <f>IF(W11="SOPORTE_TELEFÓNICO",'BASE LIQUIDACION'!$B$10,(AB11*AF11+AC11*'BASE LIQUIDACION'!$B$12+AD11*'BASE LIQUIDACION'!$B$11+INCIDENTES!AE11*'BASE LIQUIDACION'!$B$13))</f>
        <v>163813.55812</v>
      </c>
    </row>
    <row r="12" spans="1:33" s="4" customFormat="1">
      <c r="A12" s="109" t="s">
        <v>322</v>
      </c>
      <c r="B12" s="56" t="str">
        <f>VLOOKUP(A12,'CENTRO DE COSTOS'!A:D,4,FALSE)</f>
        <v>KEVIN ALEXIS CORZO BUSTOS</v>
      </c>
      <c r="C12" s="56" t="str">
        <f>VLOOKUP(A12,'CENTRO DE COSTOS'!A:D,2,FALSE)</f>
        <v>0004-0007</v>
      </c>
      <c r="D12" s="109">
        <v>50150</v>
      </c>
      <c r="E12" s="109">
        <v>2531509</v>
      </c>
      <c r="F12" s="109">
        <v>72286</v>
      </c>
      <c r="G12" s="109" t="s">
        <v>1479</v>
      </c>
      <c r="H12" s="109" t="s">
        <v>324</v>
      </c>
      <c r="I12" s="109" t="s">
        <v>1147</v>
      </c>
      <c r="J12" s="109" t="s">
        <v>1532</v>
      </c>
      <c r="K12" s="109" t="s">
        <v>106</v>
      </c>
      <c r="L12" s="82" t="s">
        <v>1533</v>
      </c>
      <c r="M12" s="97">
        <v>45869.386111111111</v>
      </c>
      <c r="N12" s="97">
        <v>45871.363888888889</v>
      </c>
      <c r="O12" s="82" t="s">
        <v>1482</v>
      </c>
      <c r="P12" s="82" t="s">
        <v>1483</v>
      </c>
      <c r="Q12" s="82" t="s">
        <v>1494</v>
      </c>
      <c r="R12" s="82" t="s">
        <v>1495</v>
      </c>
      <c r="S12" s="82" t="s">
        <v>1486</v>
      </c>
      <c r="T12" s="82" t="s">
        <v>1486</v>
      </c>
      <c r="U12" s="82" t="s">
        <v>1487</v>
      </c>
      <c r="V12" s="82" t="s">
        <v>1534</v>
      </c>
      <c r="W12" s="82" t="s">
        <v>1526</v>
      </c>
      <c r="X12" s="82">
        <v>0</v>
      </c>
      <c r="Y12" s="82" t="s">
        <v>148</v>
      </c>
      <c r="Z12" s="82" t="s">
        <v>114</v>
      </c>
      <c r="AA12" s="82" t="s">
        <v>1535</v>
      </c>
      <c r="AB12" s="61">
        <v>0</v>
      </c>
      <c r="AC12" s="61">
        <v>0</v>
      </c>
      <c r="AD12" s="61">
        <v>0</v>
      </c>
      <c r="AE12" s="61">
        <v>0</v>
      </c>
      <c r="AF12" s="69">
        <f>IF(W12="SOPORTE_TELEFÓNICO",'BASE LIQUIDACION'!$B$10,IF(Y12="TIPO I",'BASE LIQUIDACION'!$C$3,IF(Y12="TIPO II",'BASE LIQUIDACION'!$C$4,IF(Y12="TIPO III",'BASE LIQUIDACION'!$C$5,'BASE LIQUIDACION'!$C$7))))</f>
        <v>37904.65408</v>
      </c>
      <c r="AG12" s="96">
        <f>IF(W12="SOPORTE_TELEFÓNICO",'BASE LIQUIDACION'!$B$10,(AB12*AF12+AC12*'BASE LIQUIDACION'!$B$12+AD12*'BASE LIQUIDACION'!$B$11+INCIDENTES!AE12*'BASE LIQUIDACION'!$B$13))</f>
        <v>37904.65408</v>
      </c>
    </row>
    <row r="13" spans="1:33" s="4" customFormat="1">
      <c r="A13" s="109" t="s">
        <v>622</v>
      </c>
      <c r="B13" s="56" t="str">
        <f>VLOOKUP(A13,'CENTRO DE COSTOS'!A:D,4,FALSE)</f>
        <v>JOSE MAURICIO HERNANDEZ ROJAS</v>
      </c>
      <c r="C13" s="56" t="str">
        <f>VLOOKUP(A13,'CENTRO DE COSTOS'!A:D,2,FALSE)</f>
        <v>0004-0001</v>
      </c>
      <c r="D13" s="109">
        <v>13042</v>
      </c>
      <c r="E13" s="109">
        <v>2522948</v>
      </c>
      <c r="F13" s="109">
        <v>47919</v>
      </c>
      <c r="G13" s="109" t="s">
        <v>1479</v>
      </c>
      <c r="H13" s="109" t="s">
        <v>232</v>
      </c>
      <c r="I13" s="109" t="s">
        <v>630</v>
      </c>
      <c r="J13" s="109" t="s">
        <v>1536</v>
      </c>
      <c r="K13" s="109" t="s">
        <v>106</v>
      </c>
      <c r="L13" s="82" t="s">
        <v>1537</v>
      </c>
      <c r="M13" s="97">
        <v>45867.680555555555</v>
      </c>
      <c r="N13" s="97">
        <v>45871.441666666666</v>
      </c>
      <c r="O13" s="82" t="s">
        <v>1482</v>
      </c>
      <c r="P13" s="82" t="s">
        <v>1483</v>
      </c>
      <c r="Q13" s="82" t="s">
        <v>1484</v>
      </c>
      <c r="R13" s="82" t="s">
        <v>1485</v>
      </c>
      <c r="S13" s="82" t="s">
        <v>317</v>
      </c>
      <c r="T13" s="82" t="s">
        <v>317</v>
      </c>
      <c r="U13" s="82" t="s">
        <v>1487</v>
      </c>
      <c r="V13" s="82" t="s">
        <v>1538</v>
      </c>
      <c r="W13" s="82" t="s">
        <v>1526</v>
      </c>
      <c r="X13" s="82">
        <v>0</v>
      </c>
      <c r="Y13" s="82" t="s">
        <v>344</v>
      </c>
      <c r="Z13" s="82" t="s">
        <v>114</v>
      </c>
      <c r="AA13" s="82" t="s">
        <v>1539</v>
      </c>
      <c r="AB13" s="61">
        <v>0</v>
      </c>
      <c r="AC13" s="61">
        <v>0</v>
      </c>
      <c r="AD13" s="61">
        <v>0</v>
      </c>
      <c r="AE13" s="61">
        <v>0</v>
      </c>
      <c r="AF13" s="69">
        <f>IF(W13="SOPORTE_TELEFÓNICO",'BASE LIQUIDACION'!$B$10,IF(Y13="TIPO I",'BASE LIQUIDACION'!$C$3,IF(Y13="TIPO II",'BASE LIQUIDACION'!$C$4,IF(Y13="TIPO III",'BASE LIQUIDACION'!$C$5,'BASE LIQUIDACION'!$C$7))))</f>
        <v>37904.65408</v>
      </c>
      <c r="AG13" s="96">
        <f>IF(W13="SOPORTE_TELEFÓNICO",'BASE LIQUIDACION'!$B$10,(AB13*AF13+AC13*'BASE LIQUIDACION'!$B$12+AD13*'BASE LIQUIDACION'!$B$11+INCIDENTES!AE13*'BASE LIQUIDACION'!$B$13))</f>
        <v>37904.65408</v>
      </c>
    </row>
    <row r="14" spans="1:33" s="4" customFormat="1">
      <c r="A14" s="109" t="s">
        <v>116</v>
      </c>
      <c r="B14" s="56" t="str">
        <f>VLOOKUP(A14,'CENTRO DE COSTOS'!A:D,4,FALSE)</f>
        <v>WILLIAM ASDRUBAL ROZO ROZO</v>
      </c>
      <c r="C14" s="56" t="str">
        <f>VLOOKUP(A14,'CENTRO DE COSTOS'!A:D,2,FALSE)</f>
        <v>0004-0004</v>
      </c>
      <c r="D14" s="109">
        <v>25572</v>
      </c>
      <c r="E14" s="109">
        <v>2524688</v>
      </c>
      <c r="F14" s="109">
        <v>32406</v>
      </c>
      <c r="G14" s="109" t="s">
        <v>1479</v>
      </c>
      <c r="H14" s="109" t="s">
        <v>118</v>
      </c>
      <c r="I14" s="109" t="s">
        <v>1017</v>
      </c>
      <c r="J14" s="109" t="s">
        <v>1540</v>
      </c>
      <c r="K14" s="109" t="s">
        <v>106</v>
      </c>
      <c r="L14" s="82" t="s">
        <v>1541</v>
      </c>
      <c r="M14" s="97">
        <v>45868.363194444442</v>
      </c>
      <c r="N14" s="97">
        <v>45871.459722222222</v>
      </c>
      <c r="O14" s="82" t="s">
        <v>1482</v>
      </c>
      <c r="P14" s="82" t="s">
        <v>1483</v>
      </c>
      <c r="Q14" s="82" t="s">
        <v>1494</v>
      </c>
      <c r="R14" s="82" t="s">
        <v>1519</v>
      </c>
      <c r="S14" s="82" t="s">
        <v>1486</v>
      </c>
      <c r="T14" s="82" t="s">
        <v>1486</v>
      </c>
      <c r="U14" s="82" t="s">
        <v>1487</v>
      </c>
      <c r="V14" s="82" t="s">
        <v>1542</v>
      </c>
      <c r="W14" s="82" t="s">
        <v>1489</v>
      </c>
      <c r="X14" s="82" t="s">
        <v>1543</v>
      </c>
      <c r="Y14" s="82" t="s">
        <v>344</v>
      </c>
      <c r="Z14" s="82" t="s">
        <v>114</v>
      </c>
      <c r="AA14" s="82" t="s">
        <v>1544</v>
      </c>
      <c r="AB14" s="61">
        <v>1</v>
      </c>
      <c r="AC14" s="61">
        <v>0</v>
      </c>
      <c r="AD14" s="61">
        <v>0</v>
      </c>
      <c r="AE14" s="61">
        <v>0</v>
      </c>
      <c r="AF14" s="69">
        <f>IF(W14="SOPORTE_TELEFÓNICO",'BASE LIQUIDACION'!$B$10,IF(Y14="TIPO I",'BASE LIQUIDACION'!$C$3,IF(Y14="TIPO II",'BASE LIQUIDACION'!$C$4,IF(Y14="TIPO III",'BASE LIQUIDACION'!$C$5,'BASE LIQUIDACION'!$C$7))))</f>
        <v>479589.73656000005</v>
      </c>
      <c r="AG14" s="96">
        <f>IF(W14="SOPORTE_TELEFÓNICO",'BASE LIQUIDACION'!$B$10,(AB14*AF14+AC14*'BASE LIQUIDACION'!$B$12+AD14*'BASE LIQUIDACION'!$B$11+INCIDENTES!AE14*'BASE LIQUIDACION'!$B$13))</f>
        <v>479589.73656000005</v>
      </c>
    </row>
    <row r="15" spans="1:33" s="4" customFormat="1">
      <c r="A15" s="109" t="s">
        <v>124</v>
      </c>
      <c r="B15" s="56" t="str">
        <f>VLOOKUP(A15,'CENTRO DE COSTOS'!A:D,4,FALSE)</f>
        <v>DIEGO FERNANDO HENAO CARDONA</v>
      </c>
      <c r="C15" s="56" t="str">
        <f>VLOOKUP(A15,'CENTRO DE COSTOS'!A:D,2,FALSE)</f>
        <v>0004-0002</v>
      </c>
      <c r="D15" s="109">
        <v>66001</v>
      </c>
      <c r="E15" s="109">
        <v>2542562</v>
      </c>
      <c r="F15" s="109">
        <v>79900</v>
      </c>
      <c r="G15" s="109" t="s">
        <v>1479</v>
      </c>
      <c r="H15" s="109" t="s">
        <v>126</v>
      </c>
      <c r="I15" s="109" t="s">
        <v>124</v>
      </c>
      <c r="J15" s="109" t="s">
        <v>1545</v>
      </c>
      <c r="K15" s="109" t="s">
        <v>106</v>
      </c>
      <c r="L15" s="82" t="s">
        <v>1546</v>
      </c>
      <c r="M15" s="97">
        <v>45871.333333333336</v>
      </c>
      <c r="N15" s="97">
        <v>45871.523611111108</v>
      </c>
      <c r="O15" s="82" t="s">
        <v>1482</v>
      </c>
      <c r="P15" s="82" t="s">
        <v>1483</v>
      </c>
      <c r="Q15" s="82" t="s">
        <v>1484</v>
      </c>
      <c r="R15" s="82" t="s">
        <v>1485</v>
      </c>
      <c r="S15" s="82" t="s">
        <v>317</v>
      </c>
      <c r="T15" s="82" t="s">
        <v>317</v>
      </c>
      <c r="U15" s="82" t="s">
        <v>1487</v>
      </c>
      <c r="V15" s="82" t="s">
        <v>1547</v>
      </c>
      <c r="W15" s="82" t="s">
        <v>1489</v>
      </c>
      <c r="X15" s="82" t="s">
        <v>1548</v>
      </c>
      <c r="Y15" s="82" t="s">
        <v>113</v>
      </c>
      <c r="Z15" s="82" t="s">
        <v>114</v>
      </c>
      <c r="AA15" s="82" t="s">
        <v>131</v>
      </c>
      <c r="AB15" s="61">
        <v>1</v>
      </c>
      <c r="AC15" s="61">
        <v>0</v>
      </c>
      <c r="AD15" s="61">
        <v>0</v>
      </c>
      <c r="AE15" s="61">
        <v>0</v>
      </c>
      <c r="AF15" s="69">
        <f>IF(W15="SOPORTE_TELEFÓNICO",'BASE LIQUIDACION'!$B$10,IF(Y15="TIPO I",'BASE LIQUIDACION'!$C$3,IF(Y15="TIPO II",'BASE LIQUIDACION'!$C$4,IF(Y15="TIPO III",'BASE LIQUIDACION'!$C$5,'BASE LIQUIDACION'!$C$7))))</f>
        <v>65960.473639999997</v>
      </c>
      <c r="AG15" s="96">
        <f>IF(W15="SOPORTE_TELEFÓNICO",'BASE LIQUIDACION'!$B$10,(AB15*AF15+AC15*'BASE LIQUIDACION'!$B$12+AD15*'BASE LIQUIDACION'!$B$11+INCIDENTES!AE15*'BASE LIQUIDACION'!$B$13))</f>
        <v>65960.473639999997</v>
      </c>
    </row>
    <row r="16" spans="1:33" s="4" customFormat="1">
      <c r="A16" s="109" t="s">
        <v>365</v>
      </c>
      <c r="B16" s="56" t="str">
        <f>VLOOKUP(A16,'CENTRO DE COSTOS'!A:D,4,FALSE)</f>
        <v>KEVIN ALEXIS CORZO BUSTOS</v>
      </c>
      <c r="C16" s="56" t="str">
        <f>VLOOKUP(A16,'CENTRO DE COSTOS'!A:D,2,FALSE)</f>
        <v>0004-0007</v>
      </c>
      <c r="D16" s="109">
        <v>73483</v>
      </c>
      <c r="E16" s="109">
        <v>2542477</v>
      </c>
      <c r="F16" s="109">
        <v>70322</v>
      </c>
      <c r="G16" s="109" t="s">
        <v>1479</v>
      </c>
      <c r="H16" s="109" t="s">
        <v>159</v>
      </c>
      <c r="I16" s="109" t="s">
        <v>1403</v>
      </c>
      <c r="J16" s="109" t="s">
        <v>1549</v>
      </c>
      <c r="K16" s="109" t="s">
        <v>106</v>
      </c>
      <c r="L16" s="82" t="s">
        <v>1550</v>
      </c>
      <c r="M16" s="97">
        <v>45870.743055555555</v>
      </c>
      <c r="N16" s="97">
        <v>45871.533333333333</v>
      </c>
      <c r="O16" s="82" t="s">
        <v>1482</v>
      </c>
      <c r="P16" s="82" t="s">
        <v>1483</v>
      </c>
      <c r="Q16" s="82" t="s">
        <v>1551</v>
      </c>
      <c r="R16" s="82" t="s">
        <v>1552</v>
      </c>
      <c r="S16" s="82" t="s">
        <v>1486</v>
      </c>
      <c r="T16" s="82" t="s">
        <v>1486</v>
      </c>
      <c r="U16" s="82" t="s">
        <v>1487</v>
      </c>
      <c r="V16" s="82" t="s">
        <v>1553</v>
      </c>
      <c r="W16" s="82" t="s">
        <v>1526</v>
      </c>
      <c r="X16" s="82">
        <v>0</v>
      </c>
      <c r="Y16" s="82" t="s">
        <v>148</v>
      </c>
      <c r="Z16" s="82" t="s">
        <v>114</v>
      </c>
      <c r="AA16" s="82" t="s">
        <v>1554</v>
      </c>
      <c r="AB16" s="61">
        <v>0</v>
      </c>
      <c r="AC16" s="61">
        <v>0</v>
      </c>
      <c r="AD16" s="61">
        <v>0</v>
      </c>
      <c r="AE16" s="61">
        <v>0</v>
      </c>
      <c r="AF16" s="69">
        <f>IF(W16="SOPORTE_TELEFÓNICO",'BASE LIQUIDACION'!$B$10,IF(Y16="TIPO I",'BASE LIQUIDACION'!$C$3,IF(Y16="TIPO II",'BASE LIQUIDACION'!$C$4,IF(Y16="TIPO III",'BASE LIQUIDACION'!$C$5,'BASE LIQUIDACION'!$C$7))))</f>
        <v>37904.65408</v>
      </c>
      <c r="AG16" s="96">
        <f>IF(W16="SOPORTE_TELEFÓNICO",'BASE LIQUIDACION'!$B$10,(AB16*AF16+AC16*'BASE LIQUIDACION'!$B$12+AD16*'BASE LIQUIDACION'!$B$11+INCIDENTES!AE16*'BASE LIQUIDACION'!$B$13))</f>
        <v>37904.65408</v>
      </c>
    </row>
    <row r="17" spans="1:33" s="4" customFormat="1">
      <c r="A17" s="109" t="s">
        <v>100</v>
      </c>
      <c r="B17" s="56" t="str">
        <f>VLOOKUP(A17,'CENTRO DE COSTOS'!A:D,4,FALSE)</f>
        <v>JUAN SEBASTIÁN RÍOS CASTRILLÓN</v>
      </c>
      <c r="C17" s="56" t="str">
        <f>VLOOKUP(A17,'CENTRO DE COSTOS'!A:D,2,FALSE)</f>
        <v>0004-0005</v>
      </c>
      <c r="D17" s="109">
        <v>5615</v>
      </c>
      <c r="E17" s="109">
        <v>2540012</v>
      </c>
      <c r="F17" s="109">
        <v>76768</v>
      </c>
      <c r="G17" s="109" t="s">
        <v>1479</v>
      </c>
      <c r="H17" s="109" t="s">
        <v>104</v>
      </c>
      <c r="I17" s="109" t="s">
        <v>483</v>
      </c>
      <c r="J17" s="109" t="s">
        <v>1555</v>
      </c>
      <c r="K17" s="109" t="s">
        <v>106</v>
      </c>
      <c r="L17" s="82" t="s">
        <v>1556</v>
      </c>
      <c r="M17" s="97">
        <v>45870.497916666667</v>
      </c>
      <c r="N17" s="97">
        <v>45871.538888888892</v>
      </c>
      <c r="O17" s="82" t="s">
        <v>1482</v>
      </c>
      <c r="P17" s="82" t="s">
        <v>1483</v>
      </c>
      <c r="Q17" s="82" t="s">
        <v>1494</v>
      </c>
      <c r="R17" s="82" t="s">
        <v>1519</v>
      </c>
      <c r="S17" s="82" t="s">
        <v>1486</v>
      </c>
      <c r="T17" s="82" t="s">
        <v>1486</v>
      </c>
      <c r="U17" s="82" t="s">
        <v>1487</v>
      </c>
      <c r="V17" s="82" t="s">
        <v>1557</v>
      </c>
      <c r="W17" s="82" t="s">
        <v>1526</v>
      </c>
      <c r="X17" s="82">
        <v>0</v>
      </c>
      <c r="Y17" s="82" t="s">
        <v>148</v>
      </c>
      <c r="Z17" s="82" t="s">
        <v>114</v>
      </c>
      <c r="AA17" s="82" t="s">
        <v>1505</v>
      </c>
      <c r="AB17" s="61">
        <v>0</v>
      </c>
      <c r="AC17" s="61">
        <v>0</v>
      </c>
      <c r="AD17" s="61">
        <v>0</v>
      </c>
      <c r="AE17" s="61">
        <v>0</v>
      </c>
      <c r="AF17" s="69">
        <f>IF(W17="SOPORTE_TELEFÓNICO",'BASE LIQUIDACION'!$B$10,IF(Y17="TIPO I",'BASE LIQUIDACION'!$C$3,IF(Y17="TIPO II",'BASE LIQUIDACION'!$C$4,IF(Y17="TIPO III",'BASE LIQUIDACION'!$C$5,'BASE LIQUIDACION'!$C$7))))</f>
        <v>37904.65408</v>
      </c>
      <c r="AG17" s="96">
        <f>IF(W17="SOPORTE_TELEFÓNICO",'BASE LIQUIDACION'!$B$10,(AB17*AF17+AC17*'BASE LIQUIDACION'!$B$12+AD17*'BASE LIQUIDACION'!$B$11+INCIDENTES!AE17*'BASE LIQUIDACION'!$B$13))</f>
        <v>37904.65408</v>
      </c>
    </row>
    <row r="18" spans="1:33" s="4" customFormat="1">
      <c r="A18" s="109" t="s">
        <v>124</v>
      </c>
      <c r="B18" s="56" t="str">
        <f>VLOOKUP(A18,'CENTRO DE COSTOS'!A:D,4,FALSE)</f>
        <v>DIEGO FERNANDO HENAO CARDONA</v>
      </c>
      <c r="C18" s="56" t="str">
        <f>VLOOKUP(A18,'CENTRO DE COSTOS'!A:D,2,FALSE)</f>
        <v>0004-0002</v>
      </c>
      <c r="D18" s="109">
        <v>63001</v>
      </c>
      <c r="E18" s="109">
        <v>2543563</v>
      </c>
      <c r="F18" s="109">
        <v>25343</v>
      </c>
      <c r="G18" s="109" t="s">
        <v>1479</v>
      </c>
      <c r="H18" s="109" t="s">
        <v>1262</v>
      </c>
      <c r="I18" s="109" t="s">
        <v>474</v>
      </c>
      <c r="J18" s="109" t="s">
        <v>1558</v>
      </c>
      <c r="K18" s="109" t="s">
        <v>106</v>
      </c>
      <c r="L18" s="82" t="s">
        <v>1559</v>
      </c>
      <c r="M18" s="97">
        <v>45871.5</v>
      </c>
      <c r="N18" s="97">
        <v>45872.414583333331</v>
      </c>
      <c r="O18" s="82" t="s">
        <v>1482</v>
      </c>
      <c r="P18" s="82" t="s">
        <v>1483</v>
      </c>
      <c r="Q18" s="82" t="s">
        <v>1484</v>
      </c>
      <c r="R18" s="82" t="s">
        <v>1485</v>
      </c>
      <c r="S18" s="82" t="s">
        <v>1560</v>
      </c>
      <c r="T18" s="82" t="s">
        <v>1560</v>
      </c>
      <c r="U18" s="82" t="s">
        <v>1487</v>
      </c>
      <c r="V18" s="82" t="s">
        <v>1561</v>
      </c>
      <c r="W18" s="82" t="s">
        <v>1526</v>
      </c>
      <c r="X18" s="82">
        <v>0</v>
      </c>
      <c r="Y18" s="82" t="s">
        <v>148</v>
      </c>
      <c r="Z18" s="82" t="s">
        <v>114</v>
      </c>
      <c r="AA18" s="82" t="s">
        <v>1562</v>
      </c>
      <c r="AB18" s="61">
        <v>0</v>
      </c>
      <c r="AC18" s="61">
        <v>0</v>
      </c>
      <c r="AD18" s="61">
        <v>0</v>
      </c>
      <c r="AE18" s="61">
        <v>0</v>
      </c>
      <c r="AF18" s="69">
        <f>IF(W18="SOPORTE_TELEFÓNICO",'BASE LIQUIDACION'!$B$10,IF(Y18="TIPO I",'BASE LIQUIDACION'!$C$3,IF(Y18="TIPO II",'BASE LIQUIDACION'!$C$4,IF(Y18="TIPO III",'BASE LIQUIDACION'!$C$5,'BASE LIQUIDACION'!$C$7))))</f>
        <v>37904.65408</v>
      </c>
      <c r="AG18" s="96">
        <f>IF(W18="SOPORTE_TELEFÓNICO",'BASE LIQUIDACION'!$B$10,(AB18*AF18+AC18*'BASE LIQUIDACION'!$B$12+AD18*'BASE LIQUIDACION'!$B$11+INCIDENTES!AE18*'BASE LIQUIDACION'!$B$13))</f>
        <v>37904.65408</v>
      </c>
    </row>
    <row r="19" spans="1:33" s="4" customFormat="1">
      <c r="A19" s="109" t="s">
        <v>622</v>
      </c>
      <c r="B19" s="56" t="str">
        <f>VLOOKUP(A19,'CENTRO DE COSTOS'!A:D,4,FALSE)</f>
        <v>JOSE MAURICIO HERNANDEZ ROJAS</v>
      </c>
      <c r="C19" s="56" t="str">
        <f>VLOOKUP(A19,'CENTRO DE COSTOS'!A:D,2,FALSE)</f>
        <v>0004-0001</v>
      </c>
      <c r="D19" s="109">
        <v>20001</v>
      </c>
      <c r="E19" s="109">
        <v>2544453</v>
      </c>
      <c r="F19" s="109">
        <v>77497</v>
      </c>
      <c r="G19" s="109" t="s">
        <v>1479</v>
      </c>
      <c r="H19" s="109" t="s">
        <v>868</v>
      </c>
      <c r="I19" s="109" t="s">
        <v>622</v>
      </c>
      <c r="J19" s="109" t="s">
        <v>1563</v>
      </c>
      <c r="K19" s="109" t="s">
        <v>106</v>
      </c>
      <c r="L19" s="82" t="s">
        <v>1564</v>
      </c>
      <c r="M19" s="97">
        <v>45872.479861111111</v>
      </c>
      <c r="N19" s="97">
        <v>45873.386805555558</v>
      </c>
      <c r="O19" s="82" t="s">
        <v>1482</v>
      </c>
      <c r="P19" s="82" t="s">
        <v>1483</v>
      </c>
      <c r="Q19" s="82" t="s">
        <v>1494</v>
      </c>
      <c r="R19" s="82" t="s">
        <v>1519</v>
      </c>
      <c r="S19" s="82" t="s">
        <v>1486</v>
      </c>
      <c r="T19" s="82" t="s">
        <v>1486</v>
      </c>
      <c r="U19" s="82" t="s">
        <v>1487</v>
      </c>
      <c r="V19" s="82" t="s">
        <v>1565</v>
      </c>
      <c r="W19" s="82" t="s">
        <v>1489</v>
      </c>
      <c r="X19" s="82" t="s">
        <v>1566</v>
      </c>
      <c r="Y19" s="82" t="s">
        <v>113</v>
      </c>
      <c r="Z19" s="82" t="s">
        <v>114</v>
      </c>
      <c r="AA19" s="82" t="s">
        <v>1539</v>
      </c>
      <c r="AB19" s="61">
        <v>1</v>
      </c>
      <c r="AC19" s="61">
        <v>0</v>
      </c>
      <c r="AD19" s="61">
        <v>0</v>
      </c>
      <c r="AE19" s="61">
        <v>0</v>
      </c>
      <c r="AF19" s="69">
        <f>IF(W19="SOPORTE_TELEFÓNICO",'BASE LIQUIDACION'!$B$10,IF(Y19="TIPO I",'BASE LIQUIDACION'!$C$3,IF(Y19="TIPO II",'BASE LIQUIDACION'!$C$4,IF(Y19="TIPO III",'BASE LIQUIDACION'!$C$5,'BASE LIQUIDACION'!$C$7))))</f>
        <v>65960.473639999997</v>
      </c>
      <c r="AG19" s="96">
        <f>IF(W19="SOPORTE_TELEFÓNICO",'BASE LIQUIDACION'!$B$10,(AB19*AF19+AC19*'BASE LIQUIDACION'!$B$12+AD19*'BASE LIQUIDACION'!$B$11+INCIDENTES!AE19*'BASE LIQUIDACION'!$B$13))</f>
        <v>65960.473639999997</v>
      </c>
    </row>
    <row r="20" spans="1:33" s="4" customFormat="1">
      <c r="A20" s="109" t="s">
        <v>375</v>
      </c>
      <c r="B20" s="56" t="str">
        <f>VLOOKUP(A20,'CENTRO DE COSTOS'!A:D,4,FALSE)</f>
        <v>DIEGO FERNANDO HENAO CARDONA</v>
      </c>
      <c r="C20" s="56" t="str">
        <f>VLOOKUP(A20,'CENTRO DE COSTOS'!A:D,2,FALSE)</f>
        <v>0004-0003</v>
      </c>
      <c r="D20" s="109">
        <v>52399</v>
      </c>
      <c r="E20" s="109">
        <v>2539138</v>
      </c>
      <c r="F20" s="109">
        <v>30931</v>
      </c>
      <c r="G20" s="109" t="s">
        <v>1479</v>
      </c>
      <c r="H20" s="109" t="s">
        <v>377</v>
      </c>
      <c r="I20" s="109" t="s">
        <v>436</v>
      </c>
      <c r="J20" s="109" t="s">
        <v>1567</v>
      </c>
      <c r="K20" s="109" t="s">
        <v>106</v>
      </c>
      <c r="L20" s="82" t="s">
        <v>1568</v>
      </c>
      <c r="M20" s="97">
        <v>45870.449305555558</v>
      </c>
      <c r="N20" s="97">
        <v>45873.412499999999</v>
      </c>
      <c r="O20" s="82" t="s">
        <v>1482</v>
      </c>
      <c r="P20" s="82" t="s">
        <v>1483</v>
      </c>
      <c r="Q20" s="82" t="s">
        <v>1494</v>
      </c>
      <c r="R20" s="82" t="s">
        <v>1495</v>
      </c>
      <c r="S20" s="82" t="s">
        <v>1486</v>
      </c>
      <c r="T20" s="82" t="s">
        <v>1486</v>
      </c>
      <c r="U20" s="82" t="s">
        <v>1487</v>
      </c>
      <c r="V20" s="82" t="s">
        <v>1569</v>
      </c>
      <c r="W20" s="82" t="s">
        <v>1526</v>
      </c>
      <c r="X20" s="82">
        <v>0</v>
      </c>
      <c r="Y20" s="82" t="s">
        <v>2284</v>
      </c>
      <c r="Z20" s="82" t="s">
        <v>114</v>
      </c>
      <c r="AA20" s="82" t="s">
        <v>382</v>
      </c>
      <c r="AB20" s="61">
        <v>0</v>
      </c>
      <c r="AC20" s="61">
        <v>0</v>
      </c>
      <c r="AD20" s="61">
        <v>0</v>
      </c>
      <c r="AE20" s="61">
        <v>0</v>
      </c>
      <c r="AF20" s="69">
        <f>IF(W20="SOPORTE_TELEFÓNICO",'BASE LIQUIDACION'!$B$10,IF(Y20="TIPO I",'BASE LIQUIDACION'!$C$3,IF(Y20="TIPO II",'BASE LIQUIDACION'!$C$4,IF(Y20="TIPO III",'BASE LIQUIDACION'!$C$5,'BASE LIQUIDACION'!$C$7))))</f>
        <v>37904.65408</v>
      </c>
      <c r="AG20" s="96">
        <f>IF(W20="SOPORTE_TELEFÓNICO",'BASE LIQUIDACION'!$B$10,(AB20*AF20+AC20*'BASE LIQUIDACION'!$B$12+AD20*'BASE LIQUIDACION'!$B$11+INCIDENTES!AE20*'BASE LIQUIDACION'!$B$13))</f>
        <v>37904.65408</v>
      </c>
    </row>
    <row r="21" spans="1:33" s="4" customFormat="1">
      <c r="A21" s="109" t="s">
        <v>598</v>
      </c>
      <c r="B21" s="56" t="str">
        <f>VLOOKUP(A21,'CENTRO DE COSTOS'!A:D,4,FALSE)</f>
        <v>JOSE MAURICIO HERNANDEZ ROJAS</v>
      </c>
      <c r="C21" s="56" t="str">
        <f>VLOOKUP(A21,'CENTRO DE COSTOS'!A:D,2,FALSE)</f>
        <v>0004-0001</v>
      </c>
      <c r="D21" s="109">
        <v>8001</v>
      </c>
      <c r="E21" s="109">
        <v>2544379</v>
      </c>
      <c r="F21" s="109">
        <v>51072</v>
      </c>
      <c r="G21" s="109" t="s">
        <v>1479</v>
      </c>
      <c r="H21" s="109" t="s">
        <v>597</v>
      </c>
      <c r="I21" s="109" t="s">
        <v>598</v>
      </c>
      <c r="J21" s="109" t="s">
        <v>1570</v>
      </c>
      <c r="K21" s="109" t="s">
        <v>106</v>
      </c>
      <c r="L21" s="82" t="s">
        <v>1571</v>
      </c>
      <c r="M21" s="97">
        <v>45872.566666666666</v>
      </c>
      <c r="N21" s="97">
        <v>45873.430555555555</v>
      </c>
      <c r="O21" s="82" t="s">
        <v>1482</v>
      </c>
      <c r="P21" s="82" t="s">
        <v>1483</v>
      </c>
      <c r="Q21" s="82" t="s">
        <v>1551</v>
      </c>
      <c r="R21" s="82" t="s">
        <v>1552</v>
      </c>
      <c r="S21" s="82" t="s">
        <v>1486</v>
      </c>
      <c r="T21" s="82" t="s">
        <v>1486</v>
      </c>
      <c r="U21" s="82" t="s">
        <v>1487</v>
      </c>
      <c r="V21" s="82" t="s">
        <v>1572</v>
      </c>
      <c r="W21" s="82" t="s">
        <v>1489</v>
      </c>
      <c r="X21" s="82" t="s">
        <v>1573</v>
      </c>
      <c r="Y21" s="82" t="s">
        <v>113</v>
      </c>
      <c r="Z21" s="82" t="s">
        <v>114</v>
      </c>
      <c r="AA21" s="82" t="s">
        <v>1574</v>
      </c>
      <c r="AB21" s="61">
        <v>1</v>
      </c>
      <c r="AC21" s="61">
        <v>0</v>
      </c>
      <c r="AD21" s="61">
        <v>0</v>
      </c>
      <c r="AE21" s="61">
        <v>0</v>
      </c>
      <c r="AF21" s="69">
        <f>IF(W21="SOPORTE_TELEFÓNICO",'BASE LIQUIDACION'!$B$10,IF(Y21="TIPO I",'BASE LIQUIDACION'!$C$3,IF(Y21="TIPO II",'BASE LIQUIDACION'!$C$4,IF(Y21="TIPO III",'BASE LIQUIDACION'!$C$5,'BASE LIQUIDACION'!$C$7))))</f>
        <v>65960.473639999997</v>
      </c>
      <c r="AG21" s="96">
        <f>IF(W21="SOPORTE_TELEFÓNICO",'BASE LIQUIDACION'!$B$10,(AB21*AF21+AC21*'BASE LIQUIDACION'!$B$12+AD21*'BASE LIQUIDACION'!$B$11+INCIDENTES!AE21*'BASE LIQUIDACION'!$B$13))</f>
        <v>65960.473639999997</v>
      </c>
    </row>
    <row r="22" spans="1:33" s="4" customFormat="1">
      <c r="A22" s="109" t="s">
        <v>100</v>
      </c>
      <c r="B22" s="56" t="str">
        <f>VLOOKUP(A22,'CENTRO DE COSTOS'!A:D,4,FALSE)</f>
        <v>JUAN SEBASTIÁN RÍOS CASTRILLÓN</v>
      </c>
      <c r="C22" s="56" t="str">
        <f>VLOOKUP(A22,'CENTRO DE COSTOS'!A:D,2,FALSE)</f>
        <v>0004-0005</v>
      </c>
      <c r="D22" s="109">
        <v>5001</v>
      </c>
      <c r="E22" s="109">
        <v>2546162</v>
      </c>
      <c r="F22" s="109">
        <v>23781</v>
      </c>
      <c r="G22" s="109" t="s">
        <v>1479</v>
      </c>
      <c r="H22" s="109" t="s">
        <v>104</v>
      </c>
      <c r="I22" s="109" t="s">
        <v>100</v>
      </c>
      <c r="J22" s="109" t="s">
        <v>1575</v>
      </c>
      <c r="K22" s="109" t="s">
        <v>106</v>
      </c>
      <c r="L22" s="82" t="s">
        <v>1576</v>
      </c>
      <c r="M22" s="97">
        <v>45873.381944444445</v>
      </c>
      <c r="N22" s="97">
        <v>45873.52847222222</v>
      </c>
      <c r="O22" s="82" t="s">
        <v>1482</v>
      </c>
      <c r="P22" s="82" t="s">
        <v>1483</v>
      </c>
      <c r="Q22" s="82" t="s">
        <v>1484</v>
      </c>
      <c r="R22" s="82" t="s">
        <v>1485</v>
      </c>
      <c r="S22" s="82" t="s">
        <v>1486</v>
      </c>
      <c r="T22" s="82" t="s">
        <v>1486</v>
      </c>
      <c r="U22" s="82" t="s">
        <v>1487</v>
      </c>
      <c r="V22" s="82" t="s">
        <v>1577</v>
      </c>
      <c r="W22" s="82" t="s">
        <v>1489</v>
      </c>
      <c r="X22" s="82" t="s">
        <v>1578</v>
      </c>
      <c r="Y22" s="82" t="s">
        <v>113</v>
      </c>
      <c r="Z22" s="82" t="s">
        <v>114</v>
      </c>
      <c r="AA22" s="82" t="s">
        <v>420</v>
      </c>
      <c r="AB22" s="61">
        <v>1</v>
      </c>
      <c r="AC22" s="61">
        <v>0</v>
      </c>
      <c r="AD22" s="61">
        <v>0</v>
      </c>
      <c r="AE22" s="61">
        <v>0</v>
      </c>
      <c r="AF22" s="69">
        <f>IF(W22="SOPORTE_TELEFÓNICO",'BASE LIQUIDACION'!$B$10,IF(Y22="TIPO I",'BASE LIQUIDACION'!$C$3,IF(Y22="TIPO II",'BASE LIQUIDACION'!$C$4,IF(Y22="TIPO III",'BASE LIQUIDACION'!$C$5,'BASE LIQUIDACION'!$C$7))))</f>
        <v>65960.473639999997</v>
      </c>
      <c r="AG22" s="96">
        <f>IF(W22="SOPORTE_TELEFÓNICO",'BASE LIQUIDACION'!$B$10,(AB22*AF22+AC22*'BASE LIQUIDACION'!$B$12+AD22*'BASE LIQUIDACION'!$B$11+INCIDENTES!AE22*'BASE LIQUIDACION'!$B$13))</f>
        <v>65960.473639999997</v>
      </c>
    </row>
    <row r="23" spans="1:33" s="4" customFormat="1">
      <c r="A23" s="109" t="s">
        <v>132</v>
      </c>
      <c r="B23" s="56" t="str">
        <f>VLOOKUP(A23,'CENTRO DE COSTOS'!A:D,4,FALSE)</f>
        <v>DIEGO FERNANDO HENAO CARDONA</v>
      </c>
      <c r="C23" s="56" t="str">
        <f>VLOOKUP(A23,'CENTRO DE COSTOS'!A:D,2,FALSE)</f>
        <v>0004-0003</v>
      </c>
      <c r="D23" s="109">
        <v>76001</v>
      </c>
      <c r="E23" s="109">
        <v>2543683</v>
      </c>
      <c r="F23" s="109">
        <v>73907</v>
      </c>
      <c r="G23" s="109" t="s">
        <v>1479</v>
      </c>
      <c r="H23" s="109" t="s">
        <v>134</v>
      </c>
      <c r="I23" s="109" t="s">
        <v>132</v>
      </c>
      <c r="J23" s="109" t="s">
        <v>1579</v>
      </c>
      <c r="K23" s="109" t="s">
        <v>106</v>
      </c>
      <c r="L23" s="82" t="s">
        <v>1580</v>
      </c>
      <c r="M23" s="97">
        <v>45871.526388888888</v>
      </c>
      <c r="N23" s="97">
        <v>45873.584722222222</v>
      </c>
      <c r="O23" s="82" t="s">
        <v>1482</v>
      </c>
      <c r="P23" s="82" t="s">
        <v>1483</v>
      </c>
      <c r="Q23" s="82" t="s">
        <v>1581</v>
      </c>
      <c r="R23" s="82" t="s">
        <v>1582</v>
      </c>
      <c r="S23" s="82" t="s">
        <v>1583</v>
      </c>
      <c r="T23" s="82" t="s">
        <v>1583</v>
      </c>
      <c r="U23" s="82" t="s">
        <v>1487</v>
      </c>
      <c r="V23" s="82" t="s">
        <v>1584</v>
      </c>
      <c r="W23" s="82" t="s">
        <v>1489</v>
      </c>
      <c r="X23" s="82" t="s">
        <v>1585</v>
      </c>
      <c r="Y23" s="82" t="s">
        <v>113</v>
      </c>
      <c r="Z23" s="82" t="s">
        <v>114</v>
      </c>
      <c r="AA23" s="82" t="s">
        <v>267</v>
      </c>
      <c r="AB23" s="61">
        <v>1</v>
      </c>
      <c r="AC23" s="61">
        <v>0</v>
      </c>
      <c r="AD23" s="61">
        <v>0</v>
      </c>
      <c r="AE23" s="61">
        <v>0</v>
      </c>
      <c r="AF23" s="69">
        <f>IF(W23="SOPORTE_TELEFÓNICO",'BASE LIQUIDACION'!$B$10,IF(Y23="TIPO I",'BASE LIQUIDACION'!$C$3,IF(Y23="TIPO II",'BASE LIQUIDACION'!$C$4,IF(Y23="TIPO III",'BASE LIQUIDACION'!$C$5,'BASE LIQUIDACION'!$C$7))))</f>
        <v>65960.473639999997</v>
      </c>
      <c r="AG23" s="96">
        <f>IF(W23="SOPORTE_TELEFÓNICO",'BASE LIQUIDACION'!$B$10,(AB23*AF23+AC23*'BASE LIQUIDACION'!$B$12+AD23*'BASE LIQUIDACION'!$B$11+INCIDENTES!AE23*'BASE LIQUIDACION'!$B$13))</f>
        <v>65960.473639999997</v>
      </c>
    </row>
    <row r="24" spans="1:33" s="4" customFormat="1">
      <c r="A24" s="109" t="s">
        <v>622</v>
      </c>
      <c r="B24" s="56" t="str">
        <f>VLOOKUP(A24,'CENTRO DE COSTOS'!A:D,4,FALSE)</f>
        <v>JOSE MAURICIO HERNANDEZ ROJAS</v>
      </c>
      <c r="C24" s="56" t="str">
        <f>VLOOKUP(A24,'CENTRO DE COSTOS'!A:D,2,FALSE)</f>
        <v>0004-0001</v>
      </c>
      <c r="D24" s="109">
        <v>20011</v>
      </c>
      <c r="E24" s="109">
        <v>2547762</v>
      </c>
      <c r="F24" s="109">
        <v>48994</v>
      </c>
      <c r="G24" s="109" t="s">
        <v>1479</v>
      </c>
      <c r="H24" s="109" t="s">
        <v>868</v>
      </c>
      <c r="I24" s="109" t="s">
        <v>871</v>
      </c>
      <c r="J24" s="109" t="s">
        <v>1586</v>
      </c>
      <c r="K24" s="109" t="s">
        <v>106</v>
      </c>
      <c r="L24" s="82" t="s">
        <v>1587</v>
      </c>
      <c r="M24" s="97">
        <v>45873.443749999999</v>
      </c>
      <c r="N24" s="97">
        <v>45873.620138888888</v>
      </c>
      <c r="O24" s="82" t="s">
        <v>1482</v>
      </c>
      <c r="P24" s="82" t="s">
        <v>1483</v>
      </c>
      <c r="Q24" s="82" t="s">
        <v>1494</v>
      </c>
      <c r="R24" s="82" t="s">
        <v>1519</v>
      </c>
      <c r="S24" s="82" t="s">
        <v>317</v>
      </c>
      <c r="T24" s="82" t="s">
        <v>317</v>
      </c>
      <c r="U24" s="82" t="s">
        <v>1487</v>
      </c>
      <c r="V24" s="82" t="s">
        <v>1588</v>
      </c>
      <c r="W24" s="82" t="s">
        <v>1489</v>
      </c>
      <c r="X24" s="82" t="s">
        <v>1589</v>
      </c>
      <c r="Y24" s="82" t="s">
        <v>344</v>
      </c>
      <c r="Z24" s="82" t="s">
        <v>114</v>
      </c>
      <c r="AA24" s="82" t="s">
        <v>1590</v>
      </c>
      <c r="AB24" s="61">
        <v>1</v>
      </c>
      <c r="AC24" s="61">
        <v>0</v>
      </c>
      <c r="AD24" s="61">
        <v>0</v>
      </c>
      <c r="AE24" s="61">
        <v>0</v>
      </c>
      <c r="AF24" s="69">
        <f>IF(W24="SOPORTE_TELEFÓNICO",'BASE LIQUIDACION'!$B$10,IF(Y24="TIPO I",'BASE LIQUIDACION'!$C$3,IF(Y24="TIPO II",'BASE LIQUIDACION'!$C$4,IF(Y24="TIPO III",'BASE LIQUIDACION'!$C$5,'BASE LIQUIDACION'!$C$7))))</f>
        <v>479589.73656000005</v>
      </c>
      <c r="AG24" s="96">
        <f>IF(W24="SOPORTE_TELEFÓNICO",'BASE LIQUIDACION'!$B$10,(AB24*AF24+AC24*'BASE LIQUIDACION'!$B$12+AD24*'BASE LIQUIDACION'!$B$11+INCIDENTES!AE24*'BASE LIQUIDACION'!$B$13))</f>
        <v>479589.73656000005</v>
      </c>
    </row>
    <row r="25" spans="1:33" s="4" customFormat="1">
      <c r="A25" s="109" t="s">
        <v>157</v>
      </c>
      <c r="B25" s="56" t="str">
        <f>VLOOKUP(A25,'CENTRO DE COSTOS'!A:D,4,FALSE)</f>
        <v>KEVIN ALEXIS CORZO BUSTOS</v>
      </c>
      <c r="C25" s="56" t="str">
        <f>VLOOKUP(A25,'CENTRO DE COSTOS'!A:D,2,FALSE)</f>
        <v>0004-0007</v>
      </c>
      <c r="D25" s="109">
        <v>17380</v>
      </c>
      <c r="E25" s="109">
        <v>2543662</v>
      </c>
      <c r="F25" s="109">
        <v>75541</v>
      </c>
      <c r="G25" s="109" t="s">
        <v>1479</v>
      </c>
      <c r="H25" s="109" t="s">
        <v>423</v>
      </c>
      <c r="I25" s="109" t="s">
        <v>787</v>
      </c>
      <c r="J25" s="109" t="s">
        <v>1591</v>
      </c>
      <c r="K25" s="109" t="s">
        <v>106</v>
      </c>
      <c r="L25" s="82" t="s">
        <v>1592</v>
      </c>
      <c r="M25" s="97">
        <v>45871.498611111114</v>
      </c>
      <c r="N25" s="97">
        <v>45873.65347222222</v>
      </c>
      <c r="O25" s="82" t="s">
        <v>1482</v>
      </c>
      <c r="P25" s="82" t="s">
        <v>1483</v>
      </c>
      <c r="Q25" s="82" t="s">
        <v>1494</v>
      </c>
      <c r="R25" s="82" t="s">
        <v>1519</v>
      </c>
      <c r="S25" s="82" t="s">
        <v>317</v>
      </c>
      <c r="T25" s="82" t="s">
        <v>317</v>
      </c>
      <c r="U25" s="82" t="s">
        <v>1487</v>
      </c>
      <c r="V25" s="82" t="s">
        <v>1593</v>
      </c>
      <c r="W25" s="82" t="s">
        <v>1526</v>
      </c>
      <c r="X25" s="82">
        <v>0</v>
      </c>
      <c r="Y25" s="82" t="s">
        <v>202</v>
      </c>
      <c r="Z25" s="82" t="s">
        <v>114</v>
      </c>
      <c r="AA25" s="82" t="s">
        <v>1594</v>
      </c>
      <c r="AB25" s="61">
        <v>0</v>
      </c>
      <c r="AC25" s="61">
        <v>0</v>
      </c>
      <c r="AD25" s="61">
        <v>0</v>
      </c>
      <c r="AE25" s="61">
        <v>0</v>
      </c>
      <c r="AF25" s="69">
        <f>IF(W25="SOPORTE_TELEFÓNICO",'BASE LIQUIDACION'!$B$10,IF(Y25="TIPO I",'BASE LIQUIDACION'!$C$3,IF(Y25="TIPO II",'BASE LIQUIDACION'!$C$4,IF(Y25="TIPO III",'BASE LIQUIDACION'!$C$5,'BASE LIQUIDACION'!$C$7))))</f>
        <v>37904.65408</v>
      </c>
      <c r="AG25" s="96">
        <f>IF(W25="SOPORTE_TELEFÓNICO",'BASE LIQUIDACION'!$B$10,(AB25*AF25+AC25*'BASE LIQUIDACION'!$B$12+AD25*'BASE LIQUIDACION'!$B$11+INCIDENTES!AE25*'BASE LIQUIDACION'!$B$13))</f>
        <v>37904.65408</v>
      </c>
    </row>
    <row r="26" spans="1:33" s="4" customFormat="1">
      <c r="A26" s="109" t="s">
        <v>171</v>
      </c>
      <c r="B26" s="56" t="str">
        <f>VLOOKUP(A26,'CENTRO DE COSTOS'!A:D,4,FALSE)</f>
        <v>MIGUEL JULIÁN HERNÁNDEZ GUARÍN</v>
      </c>
      <c r="C26" s="56" t="str">
        <f>VLOOKUP(A26,'CENTRO DE COSTOS'!A:D,2,FALSE)</f>
        <v>0004-0008</v>
      </c>
      <c r="D26" s="109">
        <v>68001</v>
      </c>
      <c r="E26" s="109">
        <v>2547961</v>
      </c>
      <c r="F26" s="109">
        <v>45682</v>
      </c>
      <c r="G26" s="109" t="s">
        <v>1479</v>
      </c>
      <c r="H26" s="109" t="s">
        <v>173</v>
      </c>
      <c r="I26" s="109" t="s">
        <v>171</v>
      </c>
      <c r="J26" s="109" t="s">
        <v>1595</v>
      </c>
      <c r="K26" s="109" t="s">
        <v>106</v>
      </c>
      <c r="L26" s="82" t="s">
        <v>1596</v>
      </c>
      <c r="M26" s="97">
        <v>45873.451388888891</v>
      </c>
      <c r="N26" s="97">
        <v>45873.714583333334</v>
      </c>
      <c r="O26" s="82" t="s">
        <v>1482</v>
      </c>
      <c r="P26" s="82" t="s">
        <v>1483</v>
      </c>
      <c r="Q26" s="82" t="s">
        <v>1494</v>
      </c>
      <c r="R26" s="82" t="s">
        <v>1519</v>
      </c>
      <c r="S26" s="82" t="s">
        <v>1486</v>
      </c>
      <c r="T26" s="82" t="s">
        <v>1486</v>
      </c>
      <c r="U26" s="82" t="s">
        <v>1487</v>
      </c>
      <c r="V26" s="82" t="s">
        <v>1597</v>
      </c>
      <c r="W26" s="82" t="s">
        <v>1489</v>
      </c>
      <c r="X26" s="82" t="s">
        <v>1598</v>
      </c>
      <c r="Y26" s="82" t="s">
        <v>113</v>
      </c>
      <c r="Z26" s="82" t="s">
        <v>114</v>
      </c>
      <c r="AA26" s="82" t="s">
        <v>1599</v>
      </c>
      <c r="AB26" s="61">
        <v>1</v>
      </c>
      <c r="AC26" s="61">
        <v>0</v>
      </c>
      <c r="AD26" s="61">
        <v>0</v>
      </c>
      <c r="AE26" s="61">
        <v>0</v>
      </c>
      <c r="AF26" s="69">
        <f>IF(W26="SOPORTE_TELEFÓNICO",'BASE LIQUIDACION'!$B$10,IF(Y26="TIPO I",'BASE LIQUIDACION'!$C$3,IF(Y26="TIPO II",'BASE LIQUIDACION'!$C$4,IF(Y26="TIPO III",'BASE LIQUIDACION'!$C$5,'BASE LIQUIDACION'!$C$7))))</f>
        <v>65960.473639999997</v>
      </c>
      <c r="AG26" s="96">
        <f>IF(W26="SOPORTE_TELEFÓNICO",'BASE LIQUIDACION'!$B$10,(AB26*AF26+AC26*'BASE LIQUIDACION'!$B$12+AD26*'BASE LIQUIDACION'!$B$11+INCIDENTES!AE26*'BASE LIQUIDACION'!$B$13))</f>
        <v>65960.473639999997</v>
      </c>
    </row>
    <row r="27" spans="1:33" s="4" customFormat="1">
      <c r="A27" s="109" t="s">
        <v>502</v>
      </c>
      <c r="B27" s="56" t="str">
        <f>VLOOKUP(A27,'CENTRO DE COSTOS'!A:D,4,FALSE)</f>
        <v>JUAN SEBASTIÁN RÍOS CASTRILLÓN</v>
      </c>
      <c r="C27" s="56" t="str">
        <f>VLOOKUP(A27,'CENTRO DE COSTOS'!A:D,2,FALSE)</f>
        <v>0004-0005</v>
      </c>
      <c r="D27" s="109">
        <v>5147</v>
      </c>
      <c r="E27" s="109">
        <v>2548117</v>
      </c>
      <c r="F27" s="109">
        <v>57488</v>
      </c>
      <c r="G27" s="109" t="s">
        <v>1479</v>
      </c>
      <c r="H27" s="109" t="s">
        <v>104</v>
      </c>
      <c r="I27" s="109" t="s">
        <v>514</v>
      </c>
      <c r="J27" s="109" t="s">
        <v>1600</v>
      </c>
      <c r="K27" s="109" t="s">
        <v>106</v>
      </c>
      <c r="L27" s="82" t="s">
        <v>1601</v>
      </c>
      <c r="M27" s="97">
        <v>45873.449305555558</v>
      </c>
      <c r="N27" s="97">
        <v>45873.722916666666</v>
      </c>
      <c r="O27" s="82" t="s">
        <v>1482</v>
      </c>
      <c r="P27" s="82" t="s">
        <v>1483</v>
      </c>
      <c r="Q27" s="82" t="s">
        <v>1494</v>
      </c>
      <c r="R27" s="82" t="s">
        <v>1495</v>
      </c>
      <c r="S27" s="82" t="s">
        <v>317</v>
      </c>
      <c r="T27" s="82" t="s">
        <v>317</v>
      </c>
      <c r="U27" s="82" t="s">
        <v>1487</v>
      </c>
      <c r="V27" s="82" t="s">
        <v>1602</v>
      </c>
      <c r="W27" s="82" t="s">
        <v>1489</v>
      </c>
      <c r="X27" s="82" t="s">
        <v>1603</v>
      </c>
      <c r="Y27" s="82" t="s">
        <v>113</v>
      </c>
      <c r="Z27" s="82" t="s">
        <v>114</v>
      </c>
      <c r="AA27" s="82" t="s">
        <v>1604</v>
      </c>
      <c r="AB27" s="61">
        <v>1</v>
      </c>
      <c r="AC27" s="61">
        <v>0</v>
      </c>
      <c r="AD27" s="61">
        <v>0</v>
      </c>
      <c r="AE27" s="61">
        <v>0</v>
      </c>
      <c r="AF27" s="69">
        <f>IF(W27="SOPORTE_TELEFÓNICO",'BASE LIQUIDACION'!$B$10,IF(Y27="TIPO I",'BASE LIQUIDACION'!$C$3,IF(Y27="TIPO II",'BASE LIQUIDACION'!$C$4,IF(Y27="TIPO III",'BASE LIQUIDACION'!$C$5,'BASE LIQUIDACION'!$C$7))))</f>
        <v>65960.473639999997</v>
      </c>
      <c r="AG27" s="96">
        <f>IF(W27="SOPORTE_TELEFÓNICO",'BASE LIQUIDACION'!$B$10,(AB27*AF27+AC27*'BASE LIQUIDACION'!$B$12+AD27*'BASE LIQUIDACION'!$B$11+INCIDENTES!AE27*'BASE LIQUIDACION'!$B$13))</f>
        <v>65960.473639999997</v>
      </c>
    </row>
    <row r="28" spans="1:33" s="4" customFormat="1">
      <c r="A28" s="109" t="s">
        <v>375</v>
      </c>
      <c r="B28" s="56" t="str">
        <f>VLOOKUP(A28,'CENTRO DE COSTOS'!A:D,4,FALSE)</f>
        <v>DIEGO FERNANDO HENAO CARDONA</v>
      </c>
      <c r="C28" s="56" t="str">
        <f>VLOOKUP(A28,'CENTRO DE COSTOS'!A:D,2,FALSE)</f>
        <v>0004-0003</v>
      </c>
      <c r="D28" s="109">
        <v>52399</v>
      </c>
      <c r="E28" s="109">
        <v>2549237</v>
      </c>
      <c r="F28" s="109">
        <v>80379</v>
      </c>
      <c r="G28" s="109" t="s">
        <v>1479</v>
      </c>
      <c r="H28" s="109" t="s">
        <v>377</v>
      </c>
      <c r="I28" s="109" t="s">
        <v>436</v>
      </c>
      <c r="J28" s="109" t="s">
        <v>1605</v>
      </c>
      <c r="K28" s="109" t="s">
        <v>106</v>
      </c>
      <c r="L28" s="82" t="s">
        <v>1606</v>
      </c>
      <c r="M28" s="97">
        <v>45873.51458333333</v>
      </c>
      <c r="N28" s="97">
        <v>45874.40625</v>
      </c>
      <c r="O28" s="82" t="s">
        <v>1482</v>
      </c>
      <c r="P28" s="82" t="s">
        <v>1483</v>
      </c>
      <c r="Q28" s="82" t="s">
        <v>1494</v>
      </c>
      <c r="R28" s="82" t="s">
        <v>1495</v>
      </c>
      <c r="S28" s="82" t="s">
        <v>1486</v>
      </c>
      <c r="T28" s="82" t="s">
        <v>1486</v>
      </c>
      <c r="U28" s="82" t="s">
        <v>1487</v>
      </c>
      <c r="V28" s="82" t="s">
        <v>1607</v>
      </c>
      <c r="W28" s="82" t="s">
        <v>1526</v>
      </c>
      <c r="X28" s="82">
        <v>0</v>
      </c>
      <c r="Y28" s="82" t="s">
        <v>202</v>
      </c>
      <c r="Z28" s="82" t="s">
        <v>114</v>
      </c>
      <c r="AA28" s="82" t="s">
        <v>382</v>
      </c>
      <c r="AB28" s="61">
        <v>0</v>
      </c>
      <c r="AC28" s="61">
        <v>0</v>
      </c>
      <c r="AD28" s="61">
        <v>0</v>
      </c>
      <c r="AE28" s="61">
        <v>0</v>
      </c>
      <c r="AF28" s="69">
        <f>IF(W28="SOPORTE_TELEFÓNICO",'BASE LIQUIDACION'!$B$10,IF(Y28="TIPO I",'BASE LIQUIDACION'!$C$3,IF(Y28="TIPO II",'BASE LIQUIDACION'!$C$4,IF(Y28="TIPO III",'BASE LIQUIDACION'!$C$5,'BASE LIQUIDACION'!$C$7))))</f>
        <v>37904.65408</v>
      </c>
      <c r="AG28" s="96">
        <f>IF(W28="SOPORTE_TELEFÓNICO",'BASE LIQUIDACION'!$B$10,(AB28*AF28+AC28*'BASE LIQUIDACION'!$B$12+AD28*'BASE LIQUIDACION'!$B$11+INCIDENTES!AE28*'BASE LIQUIDACION'!$B$13))</f>
        <v>37904.65408</v>
      </c>
    </row>
    <row r="29" spans="1:33" s="4" customFormat="1">
      <c r="A29" s="109" t="s">
        <v>1353</v>
      </c>
      <c r="B29" s="56" t="str">
        <f>VLOOKUP(A29,'CENTRO DE COSTOS'!A:D,4,FALSE)</f>
        <v>JOSE MAURICIO HERNANDEZ ROJAS</v>
      </c>
      <c r="C29" s="56" t="str">
        <f>VLOOKUP(A29,'CENTRO DE COSTOS'!A:D,2,FALSE)</f>
        <v>0004-0001</v>
      </c>
      <c r="D29" s="109">
        <v>70001</v>
      </c>
      <c r="E29" s="109">
        <v>2551445</v>
      </c>
      <c r="F29" s="109">
        <v>54273</v>
      </c>
      <c r="G29" s="109" t="s">
        <v>1479</v>
      </c>
      <c r="H29" s="109" t="s">
        <v>836</v>
      </c>
      <c r="I29" s="109" t="s">
        <v>1353</v>
      </c>
      <c r="J29" s="109" t="s">
        <v>1608</v>
      </c>
      <c r="K29" s="109" t="s">
        <v>106</v>
      </c>
      <c r="L29" s="82" t="s">
        <v>1609</v>
      </c>
      <c r="M29" s="97">
        <v>45873.664583333331</v>
      </c>
      <c r="N29" s="97">
        <v>45874.590277777781</v>
      </c>
      <c r="O29" s="82" t="s">
        <v>1482</v>
      </c>
      <c r="P29" s="82" t="s">
        <v>1483</v>
      </c>
      <c r="Q29" s="82" t="s">
        <v>1551</v>
      </c>
      <c r="R29" s="82" t="s">
        <v>1610</v>
      </c>
      <c r="S29" s="82" t="s">
        <v>1486</v>
      </c>
      <c r="T29" s="82" t="s">
        <v>1486</v>
      </c>
      <c r="U29" s="82" t="s">
        <v>1487</v>
      </c>
      <c r="V29" s="82" t="s">
        <v>1611</v>
      </c>
      <c r="W29" s="82" t="s">
        <v>1489</v>
      </c>
      <c r="X29" s="82" t="s">
        <v>1612</v>
      </c>
      <c r="Y29" s="82" t="s">
        <v>113</v>
      </c>
      <c r="Z29" s="82" t="s">
        <v>114</v>
      </c>
      <c r="AA29" s="82" t="s">
        <v>1613</v>
      </c>
      <c r="AB29" s="61">
        <v>1</v>
      </c>
      <c r="AC29" s="61">
        <v>0</v>
      </c>
      <c r="AD29" s="61">
        <v>0</v>
      </c>
      <c r="AE29" s="61">
        <v>0</v>
      </c>
      <c r="AF29" s="69">
        <f>IF(W29="SOPORTE_TELEFÓNICO",'BASE LIQUIDACION'!$B$10,IF(Y29="TIPO I",'BASE LIQUIDACION'!$C$3,IF(Y29="TIPO II",'BASE LIQUIDACION'!$C$4,IF(Y29="TIPO III",'BASE LIQUIDACION'!$C$5,'BASE LIQUIDACION'!$C$7))))</f>
        <v>65960.473639999997</v>
      </c>
      <c r="AG29" s="96">
        <f>IF(W29="SOPORTE_TELEFÓNICO",'BASE LIQUIDACION'!$B$10,(AB29*AF29+AC29*'BASE LIQUIDACION'!$B$12+AD29*'BASE LIQUIDACION'!$B$11+INCIDENTES!AE29*'BASE LIQUIDACION'!$B$13))</f>
        <v>65960.473639999997</v>
      </c>
    </row>
    <row r="30" spans="1:33" s="4" customFormat="1">
      <c r="A30" s="109" t="s">
        <v>502</v>
      </c>
      <c r="B30" s="56" t="str">
        <f>VLOOKUP(A30,'CENTRO DE COSTOS'!A:D,4,FALSE)</f>
        <v>JUAN SEBASTIÁN RÍOS CASTRILLÓN</v>
      </c>
      <c r="C30" s="56" t="str">
        <f>VLOOKUP(A30,'CENTRO DE COSTOS'!A:D,2,FALSE)</f>
        <v>0004-0005</v>
      </c>
      <c r="D30" s="109">
        <v>5045</v>
      </c>
      <c r="E30" s="109">
        <v>2552479</v>
      </c>
      <c r="F30" s="109">
        <v>10035</v>
      </c>
      <c r="G30" s="109" t="s">
        <v>1479</v>
      </c>
      <c r="H30" s="109" t="s">
        <v>104</v>
      </c>
      <c r="I30" s="109" t="s">
        <v>502</v>
      </c>
      <c r="J30" s="109" t="s">
        <v>1614</v>
      </c>
      <c r="K30" s="109" t="s">
        <v>106</v>
      </c>
      <c r="L30" s="82" t="s">
        <v>1615</v>
      </c>
      <c r="M30" s="97">
        <v>45874.333333333336</v>
      </c>
      <c r="N30" s="97">
        <v>45874.679861111108</v>
      </c>
      <c r="O30" s="82" t="s">
        <v>1482</v>
      </c>
      <c r="P30" s="82" t="s">
        <v>1483</v>
      </c>
      <c r="Q30" s="82" t="s">
        <v>1484</v>
      </c>
      <c r="R30" s="82" t="s">
        <v>1485</v>
      </c>
      <c r="S30" s="82" t="s">
        <v>1486</v>
      </c>
      <c r="T30" s="82" t="s">
        <v>1486</v>
      </c>
      <c r="U30" s="82" t="s">
        <v>1487</v>
      </c>
      <c r="V30" s="82" t="s">
        <v>1616</v>
      </c>
      <c r="W30" s="82" t="s">
        <v>1526</v>
      </c>
      <c r="X30" s="82">
        <v>0</v>
      </c>
      <c r="Y30" s="82" t="s">
        <v>113</v>
      </c>
      <c r="Z30" s="82" t="s">
        <v>114</v>
      </c>
      <c r="AA30" s="82" t="s">
        <v>1491</v>
      </c>
      <c r="AB30" s="61">
        <v>0</v>
      </c>
      <c r="AC30" s="61">
        <v>0</v>
      </c>
      <c r="AD30" s="61">
        <v>0</v>
      </c>
      <c r="AE30" s="61">
        <v>0</v>
      </c>
      <c r="AF30" s="69">
        <f>IF(W30="SOPORTE_TELEFÓNICO",'BASE LIQUIDACION'!$B$10,IF(Y30="TIPO I",'BASE LIQUIDACION'!$C$3,IF(Y30="TIPO II",'BASE LIQUIDACION'!$C$4,IF(Y30="TIPO III",'BASE LIQUIDACION'!$C$5,'BASE LIQUIDACION'!$C$7))))</f>
        <v>37904.65408</v>
      </c>
      <c r="AG30" s="96">
        <f>IF(W30="SOPORTE_TELEFÓNICO",'BASE LIQUIDACION'!$B$10,(AB30*AF30+AC30*'BASE LIQUIDACION'!$B$12+AD30*'BASE LIQUIDACION'!$B$11+INCIDENTES!AE30*'BASE LIQUIDACION'!$B$13))</f>
        <v>37904.65408</v>
      </c>
    </row>
    <row r="31" spans="1:33" s="4" customFormat="1">
      <c r="A31" s="109" t="s">
        <v>171</v>
      </c>
      <c r="B31" s="56" t="str">
        <f>VLOOKUP(A31,'CENTRO DE COSTOS'!A:D,4,FALSE)</f>
        <v>MIGUEL JULIÁN HERNÁNDEZ GUARÍN</v>
      </c>
      <c r="C31" s="56" t="str">
        <f>VLOOKUP(A31,'CENTRO DE COSTOS'!A:D,2,FALSE)</f>
        <v>0004-0008</v>
      </c>
      <c r="D31" s="109">
        <v>68679</v>
      </c>
      <c r="E31" s="109">
        <v>2549161</v>
      </c>
      <c r="F31" s="109">
        <v>80714</v>
      </c>
      <c r="G31" s="109" t="s">
        <v>1479</v>
      </c>
      <c r="H31" s="109" t="s">
        <v>173</v>
      </c>
      <c r="I31" s="109" t="s">
        <v>1339</v>
      </c>
      <c r="J31" s="109" t="s">
        <v>1617</v>
      </c>
      <c r="K31" s="109" t="s">
        <v>106</v>
      </c>
      <c r="L31" s="82" t="s">
        <v>1618</v>
      </c>
      <c r="M31" s="97">
        <v>45873.515277777777</v>
      </c>
      <c r="N31" s="97">
        <v>45874.722222222219</v>
      </c>
      <c r="O31" s="82" t="s">
        <v>1482</v>
      </c>
      <c r="P31" s="82" t="s">
        <v>1483</v>
      </c>
      <c r="Q31" s="82" t="s">
        <v>1494</v>
      </c>
      <c r="R31" s="82" t="s">
        <v>1519</v>
      </c>
      <c r="S31" s="82" t="s">
        <v>317</v>
      </c>
      <c r="T31" s="82" t="s">
        <v>317</v>
      </c>
      <c r="U31" s="82" t="s">
        <v>1487</v>
      </c>
      <c r="V31" s="82" t="s">
        <v>1619</v>
      </c>
      <c r="W31" s="82" t="s">
        <v>1526</v>
      </c>
      <c r="X31" s="82">
        <v>0</v>
      </c>
      <c r="Y31" s="82" t="s">
        <v>148</v>
      </c>
      <c r="Z31" s="82" t="s">
        <v>114</v>
      </c>
      <c r="AA31" s="82" t="s">
        <v>1620</v>
      </c>
      <c r="AB31" s="61">
        <v>0</v>
      </c>
      <c r="AC31" s="61">
        <v>0</v>
      </c>
      <c r="AD31" s="61">
        <v>0</v>
      </c>
      <c r="AE31" s="61">
        <v>0</v>
      </c>
      <c r="AF31" s="69">
        <f>IF(W31="SOPORTE_TELEFÓNICO",'BASE LIQUIDACION'!$B$10,IF(Y31="TIPO I",'BASE LIQUIDACION'!$C$3,IF(Y31="TIPO II",'BASE LIQUIDACION'!$C$4,IF(Y31="TIPO III",'BASE LIQUIDACION'!$C$5,'BASE LIQUIDACION'!$C$7))))</f>
        <v>37904.65408</v>
      </c>
      <c r="AG31" s="96">
        <f>IF(W31="SOPORTE_TELEFÓNICO",'BASE LIQUIDACION'!$B$10,(AB31*AF31+AC31*'BASE LIQUIDACION'!$B$12+AD31*'BASE LIQUIDACION'!$B$11+INCIDENTES!AE31*'BASE LIQUIDACION'!$B$13))</f>
        <v>37904.65408</v>
      </c>
    </row>
    <row r="32" spans="1:33" s="4" customFormat="1">
      <c r="A32" s="109" t="s">
        <v>365</v>
      </c>
      <c r="B32" s="56" t="str">
        <f>VLOOKUP(A32,'CENTRO DE COSTOS'!A:D,4,FALSE)</f>
        <v>KEVIN ALEXIS CORZO BUSTOS</v>
      </c>
      <c r="C32" s="56" t="str">
        <f>VLOOKUP(A32,'CENTRO DE COSTOS'!A:D,2,FALSE)</f>
        <v>0004-0007</v>
      </c>
      <c r="D32" s="109">
        <v>41668</v>
      </c>
      <c r="E32" s="109">
        <v>2545301</v>
      </c>
      <c r="F32" s="109">
        <v>56152</v>
      </c>
      <c r="G32" s="109" t="s">
        <v>1479</v>
      </c>
      <c r="H32" s="109" t="s">
        <v>1070</v>
      </c>
      <c r="I32" s="109" t="s">
        <v>1095</v>
      </c>
      <c r="J32" s="109" t="s">
        <v>1621</v>
      </c>
      <c r="K32" s="109" t="s">
        <v>106</v>
      </c>
      <c r="L32" s="82" t="s">
        <v>1622</v>
      </c>
      <c r="M32" s="97">
        <v>45873.333333333336</v>
      </c>
      <c r="N32" s="97">
        <v>45874.740277777775</v>
      </c>
      <c r="O32" s="82" t="s">
        <v>1482</v>
      </c>
      <c r="P32" s="82" t="s">
        <v>1483</v>
      </c>
      <c r="Q32" s="82" t="s">
        <v>1494</v>
      </c>
      <c r="R32" s="82" t="s">
        <v>1519</v>
      </c>
      <c r="S32" s="82" t="s">
        <v>1583</v>
      </c>
      <c r="T32" s="82" t="s">
        <v>1583</v>
      </c>
      <c r="U32" s="82" t="s">
        <v>1487</v>
      </c>
      <c r="V32" s="82" t="s">
        <v>1623</v>
      </c>
      <c r="W32" s="82" t="s">
        <v>1489</v>
      </c>
      <c r="X32" s="82" t="s">
        <v>1624</v>
      </c>
      <c r="Y32" s="82" t="s">
        <v>344</v>
      </c>
      <c r="Z32" s="82" t="s">
        <v>114</v>
      </c>
      <c r="AA32" s="82" t="s">
        <v>1625</v>
      </c>
      <c r="AB32" s="61">
        <v>1</v>
      </c>
      <c r="AC32" s="61">
        <v>0</v>
      </c>
      <c r="AD32" s="61">
        <v>0</v>
      </c>
      <c r="AE32" s="61">
        <v>0</v>
      </c>
      <c r="AF32" s="69">
        <f>IF(W32="SOPORTE_TELEFÓNICO",'BASE LIQUIDACION'!$B$10,IF(Y32="TIPO I",'BASE LIQUIDACION'!$C$3,IF(Y32="TIPO II",'BASE LIQUIDACION'!$C$4,IF(Y32="TIPO III",'BASE LIQUIDACION'!$C$5,'BASE LIQUIDACION'!$C$7))))</f>
        <v>479589.73656000005</v>
      </c>
      <c r="AG32" s="96">
        <f>IF(W32="SOPORTE_TELEFÓNICO",'BASE LIQUIDACION'!$B$10,(AB32*AF32+AC32*'BASE LIQUIDACION'!$B$12+AD32*'BASE LIQUIDACION'!$B$11+INCIDENTES!AE32*'BASE LIQUIDACION'!$B$13))</f>
        <v>479589.73656000005</v>
      </c>
    </row>
    <row r="33" spans="1:33" s="4" customFormat="1">
      <c r="A33" s="109" t="s">
        <v>140</v>
      </c>
      <c r="B33" s="56" t="str">
        <f>VLOOKUP(A33,'CENTRO DE COSTOS'!A:D,4,FALSE)</f>
        <v>MIGUEL JULIÁN HERNÁNDEZ GUARÍN</v>
      </c>
      <c r="C33" s="56" t="str">
        <f>VLOOKUP(A33,'CENTRO DE COSTOS'!A:D,2,FALSE)</f>
        <v>0004-0008</v>
      </c>
      <c r="D33" s="109">
        <v>15176</v>
      </c>
      <c r="E33" s="109">
        <v>2554822</v>
      </c>
      <c r="F33" s="109">
        <v>75048</v>
      </c>
      <c r="G33" s="109" t="s">
        <v>1479</v>
      </c>
      <c r="H33" s="109" t="s">
        <v>142</v>
      </c>
      <c r="I33" s="109" t="s">
        <v>682</v>
      </c>
      <c r="J33" s="109" t="s">
        <v>1626</v>
      </c>
      <c r="K33" s="109" t="s">
        <v>106</v>
      </c>
      <c r="L33" s="82" t="s">
        <v>1627</v>
      </c>
      <c r="M33" s="97">
        <v>45874.418055555558</v>
      </c>
      <c r="N33" s="97">
        <v>45874.761805555558</v>
      </c>
      <c r="O33" s="82" t="s">
        <v>1482</v>
      </c>
      <c r="P33" s="82" t="s">
        <v>1508</v>
      </c>
      <c r="Q33" s="82" t="s">
        <v>1509</v>
      </c>
      <c r="R33" s="82" t="s">
        <v>1510</v>
      </c>
      <c r="S33" s="82" t="s">
        <v>1486</v>
      </c>
      <c r="T33" s="82" t="s">
        <v>1486</v>
      </c>
      <c r="U33" s="82" t="s">
        <v>1487</v>
      </c>
      <c r="V33" s="82" t="s">
        <v>1628</v>
      </c>
      <c r="W33" s="82" t="s">
        <v>1489</v>
      </c>
      <c r="X33" s="82" t="s">
        <v>1629</v>
      </c>
      <c r="Y33" s="82" t="s">
        <v>202</v>
      </c>
      <c r="Z33" s="82" t="s">
        <v>114</v>
      </c>
      <c r="AA33" s="82" t="s">
        <v>1630</v>
      </c>
      <c r="AB33" s="61">
        <v>1</v>
      </c>
      <c r="AC33" s="61">
        <v>0</v>
      </c>
      <c r="AD33" s="61">
        <v>0</v>
      </c>
      <c r="AE33" s="61">
        <v>0</v>
      </c>
      <c r="AF33" s="69">
        <f>IF(W33="SOPORTE_TELEFÓNICO",'BASE LIQUIDACION'!$B$10,IF(Y33="TIPO I",'BASE LIQUIDACION'!$C$3,IF(Y33="TIPO II",'BASE LIQUIDACION'!$C$4,IF(Y33="TIPO III",'BASE LIQUIDACION'!$C$5,'BASE LIQUIDACION'!$C$7))))</f>
        <v>275728.37943999999</v>
      </c>
      <c r="AG33" s="96">
        <f>IF(W33="SOPORTE_TELEFÓNICO",'BASE LIQUIDACION'!$B$10,(AB33*AF33+AC33*'BASE LIQUIDACION'!$B$12+AD33*'BASE LIQUIDACION'!$B$11+INCIDENTES!AE33*'BASE LIQUIDACION'!$B$13))</f>
        <v>275728.37943999999</v>
      </c>
    </row>
    <row r="34" spans="1:33" s="4" customFormat="1">
      <c r="A34" s="109" t="s">
        <v>622</v>
      </c>
      <c r="B34" s="56" t="str">
        <f>VLOOKUP(A34,'CENTRO DE COSTOS'!A:D,4,FALSE)</f>
        <v>JOSE MAURICIO HERNANDEZ ROJAS</v>
      </c>
      <c r="C34" s="56" t="str">
        <f>VLOOKUP(A34,'CENTRO DE COSTOS'!A:D,2,FALSE)</f>
        <v>0004-0001</v>
      </c>
      <c r="D34" s="109">
        <v>20750</v>
      </c>
      <c r="E34" s="109">
        <v>2556949</v>
      </c>
      <c r="F34" s="109">
        <v>29150</v>
      </c>
      <c r="G34" s="109" t="s">
        <v>1479</v>
      </c>
      <c r="H34" s="109" t="s">
        <v>868</v>
      </c>
      <c r="I34" s="109" t="s">
        <v>890</v>
      </c>
      <c r="J34" s="109" t="s">
        <v>1631</v>
      </c>
      <c r="K34" s="109" t="s">
        <v>106</v>
      </c>
      <c r="L34" s="82" t="s">
        <v>1632</v>
      </c>
      <c r="M34" s="97">
        <v>45874.572222222225</v>
      </c>
      <c r="N34" s="97">
        <v>45875.404166666667</v>
      </c>
      <c r="O34" s="82" t="s">
        <v>1482</v>
      </c>
      <c r="P34" s="82" t="s">
        <v>1483</v>
      </c>
      <c r="Q34" s="82" t="s">
        <v>1494</v>
      </c>
      <c r="R34" s="82" t="s">
        <v>1519</v>
      </c>
      <c r="S34" s="82" t="s">
        <v>1486</v>
      </c>
      <c r="T34" s="82" t="s">
        <v>1486</v>
      </c>
      <c r="U34" s="82" t="s">
        <v>1487</v>
      </c>
      <c r="V34" s="82" t="s">
        <v>1633</v>
      </c>
      <c r="W34" s="82" t="s">
        <v>1526</v>
      </c>
      <c r="X34" s="82">
        <v>0</v>
      </c>
      <c r="Y34" s="82" t="s">
        <v>148</v>
      </c>
      <c r="Z34" s="82" t="s">
        <v>114</v>
      </c>
      <c r="AA34" s="82" t="s">
        <v>1539</v>
      </c>
      <c r="AB34" s="61">
        <v>0</v>
      </c>
      <c r="AC34" s="61">
        <v>0</v>
      </c>
      <c r="AD34" s="61">
        <v>0</v>
      </c>
      <c r="AE34" s="61">
        <v>0</v>
      </c>
      <c r="AF34" s="69">
        <f>IF(W34="SOPORTE_TELEFÓNICO",'BASE LIQUIDACION'!$B$10,IF(Y34="TIPO I",'BASE LIQUIDACION'!$C$3,IF(Y34="TIPO II",'BASE LIQUIDACION'!$C$4,IF(Y34="TIPO III",'BASE LIQUIDACION'!$C$5,'BASE LIQUIDACION'!$C$7))))</f>
        <v>37904.65408</v>
      </c>
      <c r="AG34" s="96">
        <f>IF(W34="SOPORTE_TELEFÓNICO",'BASE LIQUIDACION'!$B$10,(AB34*AF34+AC34*'BASE LIQUIDACION'!$B$12+AD34*'BASE LIQUIDACION'!$B$11+INCIDENTES!AE34*'BASE LIQUIDACION'!$B$13))</f>
        <v>37904.65408</v>
      </c>
    </row>
    <row r="35" spans="1:33" s="4" customFormat="1">
      <c r="A35" s="109" t="s">
        <v>504</v>
      </c>
      <c r="B35" s="56" t="str">
        <f>VLOOKUP(A35,'CENTRO DE COSTOS'!A:D,4,FALSE)</f>
        <v>JOSE MAURICIO HERNANDEZ ROJAS</v>
      </c>
      <c r="C35" s="56" t="str">
        <f>VLOOKUP(A35,'CENTRO DE COSTOS'!A:D,2,FALSE)</f>
        <v>0004-0001</v>
      </c>
      <c r="D35" s="109">
        <v>23001</v>
      </c>
      <c r="E35" s="109">
        <v>2555533</v>
      </c>
      <c r="F35" s="109">
        <v>75558</v>
      </c>
      <c r="G35" s="109" t="s">
        <v>1479</v>
      </c>
      <c r="H35" s="109" t="s">
        <v>620</v>
      </c>
      <c r="I35" s="109" t="s">
        <v>504</v>
      </c>
      <c r="J35" s="109" t="s">
        <v>1634</v>
      </c>
      <c r="K35" s="109" t="s">
        <v>106</v>
      </c>
      <c r="L35" s="82" t="s">
        <v>1635</v>
      </c>
      <c r="M35" s="97">
        <v>45874.443749999999</v>
      </c>
      <c r="N35" s="97">
        <v>45875.423611111109</v>
      </c>
      <c r="O35" s="82" t="s">
        <v>1482</v>
      </c>
      <c r="P35" s="82" t="s">
        <v>1508</v>
      </c>
      <c r="Q35" s="82" t="s">
        <v>1509</v>
      </c>
      <c r="R35" s="82" t="s">
        <v>1510</v>
      </c>
      <c r="S35" s="82" t="s">
        <v>317</v>
      </c>
      <c r="T35" s="82" t="s">
        <v>317</v>
      </c>
      <c r="U35" s="82" t="s">
        <v>1487</v>
      </c>
      <c r="V35" s="82" t="s">
        <v>1636</v>
      </c>
      <c r="W35" s="82" t="s">
        <v>1489</v>
      </c>
      <c r="X35" s="82" t="s">
        <v>1637</v>
      </c>
      <c r="Y35" s="82" t="s">
        <v>113</v>
      </c>
      <c r="Z35" s="82" t="s">
        <v>114</v>
      </c>
      <c r="AA35" s="82" t="s">
        <v>1638</v>
      </c>
      <c r="AB35" s="61">
        <v>1</v>
      </c>
      <c r="AC35" s="61">
        <v>0</v>
      </c>
      <c r="AD35" s="61">
        <v>0</v>
      </c>
      <c r="AE35" s="61">
        <v>0</v>
      </c>
      <c r="AF35" s="69">
        <f>IF(W35="SOPORTE_TELEFÓNICO",'BASE LIQUIDACION'!$B$10,IF(Y35="TIPO I",'BASE LIQUIDACION'!$C$3,IF(Y35="TIPO II",'BASE LIQUIDACION'!$C$4,IF(Y35="TIPO III",'BASE LIQUIDACION'!$C$5,'BASE LIQUIDACION'!$C$7))))</f>
        <v>65960.473639999997</v>
      </c>
      <c r="AG35" s="96">
        <f>IF(W35="SOPORTE_TELEFÓNICO",'BASE LIQUIDACION'!$B$10,(AB35*AF35+AC35*'BASE LIQUIDACION'!$B$12+AD35*'BASE LIQUIDACION'!$B$11+INCIDENTES!AE35*'BASE LIQUIDACION'!$B$13))</f>
        <v>65960.473639999997</v>
      </c>
    </row>
    <row r="36" spans="1:33" s="4" customFormat="1">
      <c r="A36" s="109" t="s">
        <v>365</v>
      </c>
      <c r="B36" s="56" t="str">
        <f>VLOOKUP(A36,'CENTRO DE COSTOS'!A:D,4,FALSE)</f>
        <v>KEVIN ALEXIS CORZO BUSTOS</v>
      </c>
      <c r="C36" s="56" t="str">
        <f>VLOOKUP(A36,'CENTRO DE COSTOS'!A:D,2,FALSE)</f>
        <v>0004-0007</v>
      </c>
      <c r="D36" s="109">
        <v>41524</v>
      </c>
      <c r="E36" s="109">
        <v>2560013</v>
      </c>
      <c r="F36" s="109">
        <v>44290</v>
      </c>
      <c r="G36" s="109" t="s">
        <v>1479</v>
      </c>
      <c r="H36" s="109" t="s">
        <v>1070</v>
      </c>
      <c r="I36" s="109" t="s">
        <v>1090</v>
      </c>
      <c r="J36" s="109" t="s">
        <v>1639</v>
      </c>
      <c r="K36" s="109" t="s">
        <v>106</v>
      </c>
      <c r="L36" s="82" t="s">
        <v>1640</v>
      </c>
      <c r="M36" s="97">
        <v>45875.333333333336</v>
      </c>
      <c r="N36" s="97">
        <v>45875.513888888891</v>
      </c>
      <c r="O36" s="82" t="s">
        <v>1482</v>
      </c>
      <c r="P36" s="82" t="s">
        <v>1483</v>
      </c>
      <c r="Q36" s="82" t="s">
        <v>1494</v>
      </c>
      <c r="R36" s="82" t="s">
        <v>1495</v>
      </c>
      <c r="S36" s="82" t="s">
        <v>317</v>
      </c>
      <c r="T36" s="82" t="s">
        <v>317</v>
      </c>
      <c r="U36" s="82" t="s">
        <v>1487</v>
      </c>
      <c r="V36" s="82" t="s">
        <v>1641</v>
      </c>
      <c r="W36" s="82" t="s">
        <v>1489</v>
      </c>
      <c r="X36" s="82" t="s">
        <v>1642</v>
      </c>
      <c r="Y36" s="82" t="s">
        <v>113</v>
      </c>
      <c r="Z36" s="82" t="s">
        <v>114</v>
      </c>
      <c r="AA36" s="82" t="s">
        <v>1643</v>
      </c>
      <c r="AB36" s="61">
        <v>1</v>
      </c>
      <c r="AC36" s="61">
        <v>0</v>
      </c>
      <c r="AD36" s="61">
        <v>0</v>
      </c>
      <c r="AE36" s="61">
        <v>0</v>
      </c>
      <c r="AF36" s="69">
        <f>IF(W36="SOPORTE_TELEFÓNICO",'BASE LIQUIDACION'!$B$10,IF(Y36="TIPO I",'BASE LIQUIDACION'!$C$3,IF(Y36="TIPO II",'BASE LIQUIDACION'!$C$4,IF(Y36="TIPO III",'BASE LIQUIDACION'!$C$5,'BASE LIQUIDACION'!$C$7))))</f>
        <v>65960.473639999997</v>
      </c>
      <c r="AG36" s="96">
        <f>IF(W36="SOPORTE_TELEFÓNICO",'BASE LIQUIDACION'!$B$10,(AB36*AF36+AC36*'BASE LIQUIDACION'!$B$12+AD36*'BASE LIQUIDACION'!$B$11+INCIDENTES!AE36*'BASE LIQUIDACION'!$B$13))</f>
        <v>65960.473639999997</v>
      </c>
    </row>
    <row r="37" spans="1:33" s="4" customFormat="1">
      <c r="A37" s="109" t="s">
        <v>100</v>
      </c>
      <c r="B37" s="56" t="str">
        <f>VLOOKUP(A37,'CENTRO DE COSTOS'!A:D,4,FALSE)</f>
        <v>JUAN SEBASTIÁN RÍOS CASTRILLÓN</v>
      </c>
      <c r="C37" s="56" t="str">
        <f>VLOOKUP(A37,'CENTRO DE COSTOS'!A:D,2,FALSE)</f>
        <v>0004-0005</v>
      </c>
      <c r="D37" s="109">
        <v>5001</v>
      </c>
      <c r="E37" s="109">
        <v>2559160</v>
      </c>
      <c r="F37" s="109">
        <v>73590</v>
      </c>
      <c r="G37" s="109" t="s">
        <v>1479</v>
      </c>
      <c r="H37" s="109" t="s">
        <v>104</v>
      </c>
      <c r="I37" s="109" t="s">
        <v>100</v>
      </c>
      <c r="J37" s="109" t="s">
        <v>1644</v>
      </c>
      <c r="K37" s="109" t="s">
        <v>106</v>
      </c>
      <c r="L37" s="82" t="s">
        <v>1645</v>
      </c>
      <c r="M37" s="97">
        <v>45875.333333333336</v>
      </c>
      <c r="N37" s="97">
        <v>45875.515277777777</v>
      </c>
      <c r="O37" s="82" t="s">
        <v>1482</v>
      </c>
      <c r="P37" s="82" t="s">
        <v>1483</v>
      </c>
      <c r="Q37" s="82" t="s">
        <v>1501</v>
      </c>
      <c r="R37" s="82" t="s">
        <v>1502</v>
      </c>
      <c r="S37" s="82" t="s">
        <v>317</v>
      </c>
      <c r="T37" s="82" t="s">
        <v>317</v>
      </c>
      <c r="U37" s="82" t="s">
        <v>1487</v>
      </c>
      <c r="V37" s="82" t="s">
        <v>1646</v>
      </c>
      <c r="W37" s="82" t="s">
        <v>1489</v>
      </c>
      <c r="X37" s="82" t="s">
        <v>1647</v>
      </c>
      <c r="Y37" s="82" t="s">
        <v>113</v>
      </c>
      <c r="Z37" s="82" t="s">
        <v>114</v>
      </c>
      <c r="AA37" s="82" t="s">
        <v>1505</v>
      </c>
      <c r="AB37" s="61">
        <v>1</v>
      </c>
      <c r="AC37" s="61">
        <v>0</v>
      </c>
      <c r="AD37" s="61">
        <v>0</v>
      </c>
      <c r="AE37" s="61">
        <v>0</v>
      </c>
      <c r="AF37" s="69">
        <f>IF(W37="SOPORTE_TELEFÓNICO",'BASE LIQUIDACION'!$B$10,IF(Y37="TIPO I",'BASE LIQUIDACION'!$C$3,IF(Y37="TIPO II",'BASE LIQUIDACION'!$C$4,IF(Y37="TIPO III",'BASE LIQUIDACION'!$C$5,'BASE LIQUIDACION'!$C$7))))</f>
        <v>65960.473639999997</v>
      </c>
      <c r="AG37" s="96">
        <f>IF(W37="SOPORTE_TELEFÓNICO",'BASE LIQUIDACION'!$B$10,(AB37*AF37+AC37*'BASE LIQUIDACION'!$B$12+AD37*'BASE LIQUIDACION'!$B$11+INCIDENTES!AE37*'BASE LIQUIDACION'!$B$13))</f>
        <v>65960.473639999997</v>
      </c>
    </row>
    <row r="38" spans="1:33" s="4" customFormat="1">
      <c r="A38" s="109" t="s">
        <v>100</v>
      </c>
      <c r="B38" s="56" t="str">
        <f>VLOOKUP(A38,'CENTRO DE COSTOS'!A:D,4,FALSE)</f>
        <v>JUAN SEBASTIÁN RÍOS CASTRILLÓN</v>
      </c>
      <c r="C38" s="56" t="str">
        <f>VLOOKUP(A38,'CENTRO DE COSTOS'!A:D,2,FALSE)</f>
        <v>0004-0005</v>
      </c>
      <c r="D38" s="109">
        <v>5079</v>
      </c>
      <c r="E38" s="109">
        <v>2554843</v>
      </c>
      <c r="F38" s="109">
        <v>19653</v>
      </c>
      <c r="G38" s="109" t="s">
        <v>1479</v>
      </c>
      <c r="H38" s="109" t="s">
        <v>104</v>
      </c>
      <c r="I38" s="109" t="s">
        <v>475</v>
      </c>
      <c r="J38" s="109" t="s">
        <v>1648</v>
      </c>
      <c r="K38" s="109" t="s">
        <v>106</v>
      </c>
      <c r="L38" s="82" t="s">
        <v>1649</v>
      </c>
      <c r="M38" s="97">
        <v>45874.422222222223</v>
      </c>
      <c r="N38" s="97">
        <v>45875.525694444441</v>
      </c>
      <c r="O38" s="82" t="s">
        <v>1482</v>
      </c>
      <c r="P38" s="82" t="s">
        <v>1483</v>
      </c>
      <c r="Q38" s="82" t="s">
        <v>1484</v>
      </c>
      <c r="R38" s="82" t="s">
        <v>1485</v>
      </c>
      <c r="S38" s="82" t="s">
        <v>1486</v>
      </c>
      <c r="T38" s="82" t="s">
        <v>1486</v>
      </c>
      <c r="U38" s="82" t="s">
        <v>1487</v>
      </c>
      <c r="V38" s="82" t="s">
        <v>1650</v>
      </c>
      <c r="W38" s="82" t="s">
        <v>1489</v>
      </c>
      <c r="X38" s="82" t="s">
        <v>1651</v>
      </c>
      <c r="Y38" s="82" t="s">
        <v>148</v>
      </c>
      <c r="Z38" s="82" t="s">
        <v>114</v>
      </c>
      <c r="AA38" s="82" t="s">
        <v>321</v>
      </c>
      <c r="AB38" s="61">
        <v>1</v>
      </c>
      <c r="AC38" s="61">
        <v>0</v>
      </c>
      <c r="AD38" s="61">
        <v>0</v>
      </c>
      <c r="AE38" s="61">
        <v>0</v>
      </c>
      <c r="AF38" s="69">
        <f>IF(W38="SOPORTE_TELEFÓNICO",'BASE LIQUIDACION'!$B$10,IF(Y38="TIPO I",'BASE LIQUIDACION'!$C$3,IF(Y38="TIPO II",'BASE LIQUIDACION'!$C$4,IF(Y38="TIPO III",'BASE LIQUIDACION'!$C$5,'BASE LIQUIDACION'!$C$7))))</f>
        <v>163813.55812</v>
      </c>
      <c r="AG38" s="96">
        <f>IF(W38="SOPORTE_TELEFÓNICO",'BASE LIQUIDACION'!$B$10,(AB38*AF38+AC38*'BASE LIQUIDACION'!$B$12+AD38*'BASE LIQUIDACION'!$B$11+INCIDENTES!AE38*'BASE LIQUIDACION'!$B$13))</f>
        <v>163813.55812</v>
      </c>
    </row>
    <row r="39" spans="1:33" s="4" customFormat="1">
      <c r="A39" s="109" t="s">
        <v>622</v>
      </c>
      <c r="B39" s="56" t="str">
        <f>VLOOKUP(A39,'CENTRO DE COSTOS'!A:D,4,FALSE)</f>
        <v>JOSE MAURICIO HERNANDEZ ROJAS</v>
      </c>
      <c r="C39" s="56" t="str">
        <f>VLOOKUP(A39,'CENTRO DE COSTOS'!A:D,2,FALSE)</f>
        <v>0004-0001</v>
      </c>
      <c r="D39" s="109">
        <v>20013</v>
      </c>
      <c r="E39" s="109">
        <v>2559069</v>
      </c>
      <c r="F39" s="109">
        <v>10637</v>
      </c>
      <c r="G39" s="109" t="s">
        <v>1479</v>
      </c>
      <c r="H39" s="109" t="s">
        <v>868</v>
      </c>
      <c r="I39" s="109" t="s">
        <v>872</v>
      </c>
      <c r="J39" s="109" t="s">
        <v>1652</v>
      </c>
      <c r="K39" s="109" t="s">
        <v>106</v>
      </c>
      <c r="L39" s="82" t="s">
        <v>1653</v>
      </c>
      <c r="M39" s="97">
        <v>45874.742361111108</v>
      </c>
      <c r="N39" s="97">
        <v>45875.554861111108</v>
      </c>
      <c r="O39" s="82" t="s">
        <v>1482</v>
      </c>
      <c r="P39" s="82" t="s">
        <v>1483</v>
      </c>
      <c r="Q39" s="82" t="s">
        <v>1484</v>
      </c>
      <c r="R39" s="82" t="s">
        <v>1485</v>
      </c>
      <c r="S39" s="82" t="s">
        <v>1486</v>
      </c>
      <c r="T39" s="82" t="s">
        <v>1486</v>
      </c>
      <c r="U39" s="82" t="s">
        <v>1487</v>
      </c>
      <c r="V39" s="82" t="s">
        <v>1654</v>
      </c>
      <c r="W39" s="82" t="s">
        <v>1526</v>
      </c>
      <c r="X39" s="82">
        <v>0</v>
      </c>
      <c r="Y39" s="82" t="s">
        <v>148</v>
      </c>
      <c r="Z39" s="82" t="s">
        <v>114</v>
      </c>
      <c r="AA39" s="82" t="s">
        <v>1539</v>
      </c>
      <c r="AB39" s="61">
        <v>0</v>
      </c>
      <c r="AC39" s="61">
        <v>0</v>
      </c>
      <c r="AD39" s="61">
        <v>0</v>
      </c>
      <c r="AE39" s="61">
        <v>0</v>
      </c>
      <c r="AF39" s="69">
        <f>IF(W39="SOPORTE_TELEFÓNICO",'BASE LIQUIDACION'!$B$10,IF(Y39="TIPO I",'BASE LIQUIDACION'!$C$3,IF(Y39="TIPO II",'BASE LIQUIDACION'!$C$4,IF(Y39="TIPO III",'BASE LIQUIDACION'!$C$5,'BASE LIQUIDACION'!$C$7))))</f>
        <v>37904.65408</v>
      </c>
      <c r="AG39" s="96">
        <f>IF(W39="SOPORTE_TELEFÓNICO",'BASE LIQUIDACION'!$B$10,(AB39*AF39+AC39*'BASE LIQUIDACION'!$B$12+AD39*'BASE LIQUIDACION'!$B$11+INCIDENTES!AE39*'BASE LIQUIDACION'!$B$13))</f>
        <v>37904.65408</v>
      </c>
    </row>
    <row r="40" spans="1:33" s="4" customFormat="1">
      <c r="A40" s="109" t="s">
        <v>322</v>
      </c>
      <c r="B40" s="56" t="str">
        <f>VLOOKUP(A40,'CENTRO DE COSTOS'!A:D,4,FALSE)</f>
        <v>KEVIN ALEXIS CORZO BUSTOS</v>
      </c>
      <c r="C40" s="56" t="str">
        <f>VLOOKUP(A40,'CENTRO DE COSTOS'!A:D,2,FALSE)</f>
        <v>0004-0007</v>
      </c>
      <c r="D40" s="109">
        <v>50223</v>
      </c>
      <c r="E40" s="109">
        <v>2552832</v>
      </c>
      <c r="F40" s="109">
        <v>80364</v>
      </c>
      <c r="G40" s="109" t="s">
        <v>1479</v>
      </c>
      <c r="H40" s="109" t="s">
        <v>324</v>
      </c>
      <c r="I40" s="109" t="s">
        <v>1148</v>
      </c>
      <c r="J40" s="109" t="s">
        <v>1655</v>
      </c>
      <c r="K40" s="109" t="s">
        <v>106</v>
      </c>
      <c r="L40" s="82" t="s">
        <v>1656</v>
      </c>
      <c r="M40" s="97">
        <v>45874.333333333336</v>
      </c>
      <c r="N40" s="97">
        <v>45875.681250000001</v>
      </c>
      <c r="O40" s="82" t="s">
        <v>1482</v>
      </c>
      <c r="P40" s="82" t="s">
        <v>1483</v>
      </c>
      <c r="Q40" s="82" t="s">
        <v>1494</v>
      </c>
      <c r="R40" s="82" t="s">
        <v>1519</v>
      </c>
      <c r="S40" s="82" t="s">
        <v>1486</v>
      </c>
      <c r="T40" s="82" t="s">
        <v>1486</v>
      </c>
      <c r="U40" s="82" t="s">
        <v>1487</v>
      </c>
      <c r="V40" s="82" t="s">
        <v>1657</v>
      </c>
      <c r="W40" s="82" t="s">
        <v>1489</v>
      </c>
      <c r="X40" s="82" t="s">
        <v>1658</v>
      </c>
      <c r="Y40" s="82" t="s">
        <v>148</v>
      </c>
      <c r="Z40" s="82" t="s">
        <v>114</v>
      </c>
      <c r="AA40" s="82" t="s">
        <v>330</v>
      </c>
      <c r="AB40" s="61">
        <v>1</v>
      </c>
      <c r="AC40" s="61">
        <v>0</v>
      </c>
      <c r="AD40" s="61">
        <v>0</v>
      </c>
      <c r="AE40" s="61">
        <v>0</v>
      </c>
      <c r="AF40" s="69">
        <f>IF(W40="SOPORTE_TELEFÓNICO",'BASE LIQUIDACION'!$B$10,IF(Y40="TIPO I",'BASE LIQUIDACION'!$C$3,IF(Y40="TIPO II",'BASE LIQUIDACION'!$C$4,IF(Y40="TIPO III",'BASE LIQUIDACION'!$C$5,'BASE LIQUIDACION'!$C$7))))</f>
        <v>163813.55812</v>
      </c>
      <c r="AG40" s="96">
        <f>IF(W40="SOPORTE_TELEFÓNICO",'BASE LIQUIDACION'!$B$10,(AB40*AF40+AC40*'BASE LIQUIDACION'!$B$12+AD40*'BASE LIQUIDACION'!$B$11+INCIDENTES!AE40*'BASE LIQUIDACION'!$B$13))</f>
        <v>163813.55812</v>
      </c>
    </row>
    <row r="41" spans="1:33" s="4" customFormat="1">
      <c r="A41" s="109" t="s">
        <v>1353</v>
      </c>
      <c r="B41" s="56" t="str">
        <f>VLOOKUP(A41,'CENTRO DE COSTOS'!A:D,4,FALSE)</f>
        <v>JOSE MAURICIO HERNANDEZ ROJAS</v>
      </c>
      <c r="C41" s="56" t="str">
        <f>VLOOKUP(A41,'CENTRO DE COSTOS'!A:D,2,FALSE)</f>
        <v>0004-0001</v>
      </c>
      <c r="D41" s="109">
        <v>70215</v>
      </c>
      <c r="E41" s="109">
        <v>2559126</v>
      </c>
      <c r="F41" s="109">
        <v>78757</v>
      </c>
      <c r="G41" s="109" t="s">
        <v>1479</v>
      </c>
      <c r="H41" s="109" t="s">
        <v>836</v>
      </c>
      <c r="I41" s="109" t="s">
        <v>1358</v>
      </c>
      <c r="J41" s="109" t="s">
        <v>1659</v>
      </c>
      <c r="K41" s="109" t="s">
        <v>106</v>
      </c>
      <c r="L41" s="82" t="s">
        <v>1660</v>
      </c>
      <c r="M41" s="97">
        <v>45874.740972222222</v>
      </c>
      <c r="N41" s="97">
        <v>45875.694444444445</v>
      </c>
      <c r="O41" s="82" t="s">
        <v>1482</v>
      </c>
      <c r="P41" s="82" t="s">
        <v>1483</v>
      </c>
      <c r="Q41" s="82" t="s">
        <v>1501</v>
      </c>
      <c r="R41" s="82" t="s">
        <v>1502</v>
      </c>
      <c r="S41" s="82" t="s">
        <v>317</v>
      </c>
      <c r="T41" s="82" t="s">
        <v>317</v>
      </c>
      <c r="U41" s="82" t="s">
        <v>1487</v>
      </c>
      <c r="V41" s="82" t="s">
        <v>1661</v>
      </c>
      <c r="W41" s="82" t="s">
        <v>1489</v>
      </c>
      <c r="X41" s="82" t="s">
        <v>1662</v>
      </c>
      <c r="Y41" s="82" t="s">
        <v>148</v>
      </c>
      <c r="Z41" s="82" t="s">
        <v>114</v>
      </c>
      <c r="AA41" s="82" t="s">
        <v>1663</v>
      </c>
      <c r="AB41" s="61">
        <v>1</v>
      </c>
      <c r="AC41" s="61">
        <v>0</v>
      </c>
      <c r="AD41" s="61">
        <v>0</v>
      </c>
      <c r="AE41" s="61">
        <v>0</v>
      </c>
      <c r="AF41" s="69">
        <f>IF(W41="SOPORTE_TELEFÓNICO",'BASE LIQUIDACION'!$B$10,IF(Y41="TIPO I",'BASE LIQUIDACION'!$C$3,IF(Y41="TIPO II",'BASE LIQUIDACION'!$C$4,IF(Y41="TIPO III",'BASE LIQUIDACION'!$C$5,'BASE LIQUIDACION'!$C$7))))</f>
        <v>163813.55812</v>
      </c>
      <c r="AG41" s="96">
        <f>IF(W41="SOPORTE_TELEFÓNICO",'BASE LIQUIDACION'!$B$10,(AB41*AF41+AC41*'BASE LIQUIDACION'!$B$12+AD41*'BASE LIQUIDACION'!$B$11+INCIDENTES!AE41*'BASE LIQUIDACION'!$B$13))</f>
        <v>163813.55812</v>
      </c>
    </row>
    <row r="42" spans="1:33" s="4" customFormat="1">
      <c r="A42" s="109" t="s">
        <v>100</v>
      </c>
      <c r="B42" s="56" t="str">
        <f>VLOOKUP(A42,'CENTRO DE COSTOS'!A:D,4,FALSE)</f>
        <v>JUAN SEBASTIÁN RÍOS CASTRILLÓN</v>
      </c>
      <c r="C42" s="56" t="str">
        <f>VLOOKUP(A42,'CENTRO DE COSTOS'!A:D,2,FALSE)</f>
        <v>0004-0005</v>
      </c>
      <c r="D42" s="109">
        <v>5604</v>
      </c>
      <c r="E42" s="109">
        <v>2561346</v>
      </c>
      <c r="F42" s="109">
        <v>70814</v>
      </c>
      <c r="G42" s="109" t="s">
        <v>1479</v>
      </c>
      <c r="H42" s="109" t="s">
        <v>104</v>
      </c>
      <c r="I42" s="109" t="s">
        <v>559</v>
      </c>
      <c r="J42" s="109" t="s">
        <v>1664</v>
      </c>
      <c r="K42" s="109" t="s">
        <v>106</v>
      </c>
      <c r="L42" s="82" t="s">
        <v>1665</v>
      </c>
      <c r="M42" s="97">
        <v>45875.412499999999</v>
      </c>
      <c r="N42" s="97">
        <v>45875.720833333333</v>
      </c>
      <c r="O42" s="82" t="s">
        <v>1482</v>
      </c>
      <c r="P42" s="82" t="s">
        <v>1483</v>
      </c>
      <c r="Q42" s="82" t="s">
        <v>1494</v>
      </c>
      <c r="R42" s="82" t="s">
        <v>1519</v>
      </c>
      <c r="S42" s="82" t="s">
        <v>1486</v>
      </c>
      <c r="T42" s="82" t="s">
        <v>1486</v>
      </c>
      <c r="U42" s="82" t="s">
        <v>1487</v>
      </c>
      <c r="V42" s="82" t="s">
        <v>1666</v>
      </c>
      <c r="W42" s="82" t="s">
        <v>1489</v>
      </c>
      <c r="X42" s="82" t="s">
        <v>1667</v>
      </c>
      <c r="Y42" s="82" t="s">
        <v>344</v>
      </c>
      <c r="Z42" s="82" t="s">
        <v>114</v>
      </c>
      <c r="AA42" s="82" t="s">
        <v>364</v>
      </c>
      <c r="AB42" s="61">
        <v>1</v>
      </c>
      <c r="AC42" s="61">
        <v>0</v>
      </c>
      <c r="AD42" s="61">
        <v>0</v>
      </c>
      <c r="AE42" s="61">
        <v>0</v>
      </c>
      <c r="AF42" s="69">
        <f>IF(W42="SOPORTE_TELEFÓNICO",'BASE LIQUIDACION'!$B$10,IF(Y42="TIPO I",'BASE LIQUIDACION'!$C$3,IF(Y42="TIPO II",'BASE LIQUIDACION'!$C$4,IF(Y42="TIPO III",'BASE LIQUIDACION'!$C$5,'BASE LIQUIDACION'!$C$7))))</f>
        <v>479589.73656000005</v>
      </c>
      <c r="AG42" s="96">
        <f>IF(W42="SOPORTE_TELEFÓNICO",'BASE LIQUIDACION'!$B$10,(AB42*AF42+AC42*'BASE LIQUIDACION'!$B$12+AD42*'BASE LIQUIDACION'!$B$11+INCIDENTES!AE42*'BASE LIQUIDACION'!$B$13))</f>
        <v>479589.73656000005</v>
      </c>
    </row>
    <row r="43" spans="1:33" s="4" customFormat="1">
      <c r="A43" s="109" t="s">
        <v>421</v>
      </c>
      <c r="B43" s="56" t="str">
        <f>VLOOKUP(A43,'CENTRO DE COSTOS'!A:D,4,FALSE)</f>
        <v>DIEGO FERNANDO HENAO CARDONA</v>
      </c>
      <c r="C43" s="56" t="str">
        <f>VLOOKUP(A43,'CENTRO DE COSTOS'!A:D,2,FALSE)</f>
        <v>0004-0002</v>
      </c>
      <c r="D43" s="109">
        <v>17001</v>
      </c>
      <c r="E43" s="109">
        <v>2563378</v>
      </c>
      <c r="F43" s="109">
        <v>12642</v>
      </c>
      <c r="G43" s="109" t="s">
        <v>1479</v>
      </c>
      <c r="H43" s="109" t="s">
        <v>423</v>
      </c>
      <c r="I43" s="109" t="s">
        <v>421</v>
      </c>
      <c r="J43" s="109" t="s">
        <v>1668</v>
      </c>
      <c r="K43" s="109" t="s">
        <v>106</v>
      </c>
      <c r="L43" s="82" t="s">
        <v>1669</v>
      </c>
      <c r="M43" s="97">
        <v>45875.557638888888</v>
      </c>
      <c r="N43" s="97">
        <v>45875.737500000003</v>
      </c>
      <c r="O43" s="82" t="s">
        <v>1482</v>
      </c>
      <c r="P43" s="82" t="s">
        <v>1483</v>
      </c>
      <c r="Q43" s="82" t="s">
        <v>1494</v>
      </c>
      <c r="R43" s="82" t="s">
        <v>1495</v>
      </c>
      <c r="S43" s="82" t="s">
        <v>1486</v>
      </c>
      <c r="T43" s="82" t="s">
        <v>1486</v>
      </c>
      <c r="U43" s="82" t="s">
        <v>1487</v>
      </c>
      <c r="V43" s="82" t="s">
        <v>1670</v>
      </c>
      <c r="W43" s="82" t="s">
        <v>1489</v>
      </c>
      <c r="X43" s="82" t="s">
        <v>1671</v>
      </c>
      <c r="Y43" s="82" t="s">
        <v>113</v>
      </c>
      <c r="Z43" s="82" t="s">
        <v>114</v>
      </c>
      <c r="AA43" s="82" t="s">
        <v>131</v>
      </c>
      <c r="AB43" s="61">
        <v>1</v>
      </c>
      <c r="AC43" s="61">
        <v>0</v>
      </c>
      <c r="AD43" s="61">
        <v>0</v>
      </c>
      <c r="AE43" s="61">
        <v>0</v>
      </c>
      <c r="AF43" s="69">
        <f>IF(W43="SOPORTE_TELEFÓNICO",'BASE LIQUIDACION'!$B$10,IF(Y43="TIPO I",'BASE LIQUIDACION'!$C$3,IF(Y43="TIPO II",'BASE LIQUIDACION'!$C$4,IF(Y43="TIPO III",'BASE LIQUIDACION'!$C$5,'BASE LIQUIDACION'!$C$7))))</f>
        <v>65960.473639999997</v>
      </c>
      <c r="AG43" s="96">
        <f>IF(W43="SOPORTE_TELEFÓNICO",'BASE LIQUIDACION'!$B$10,(AB43*AF43+AC43*'BASE LIQUIDACION'!$B$12+AD43*'BASE LIQUIDACION'!$B$11+INCIDENTES!AE43*'BASE LIQUIDACION'!$B$13))</f>
        <v>65960.473639999997</v>
      </c>
    </row>
    <row r="44" spans="1:33" s="4" customFormat="1">
      <c r="A44" s="109" t="s">
        <v>124</v>
      </c>
      <c r="B44" s="56" t="str">
        <f>VLOOKUP(A44,'CENTRO DE COSTOS'!A:D,4,FALSE)</f>
        <v>DIEGO FERNANDO HENAO CARDONA</v>
      </c>
      <c r="C44" s="56" t="str">
        <f>VLOOKUP(A44,'CENTRO DE COSTOS'!A:D,2,FALSE)</f>
        <v>0004-0002</v>
      </c>
      <c r="D44" s="109">
        <v>63001</v>
      </c>
      <c r="E44" s="109">
        <v>2563159</v>
      </c>
      <c r="F44" s="109">
        <v>35540</v>
      </c>
      <c r="G44" s="109" t="s">
        <v>1479</v>
      </c>
      <c r="H44" s="109" t="s">
        <v>1262</v>
      </c>
      <c r="I44" s="109" t="s">
        <v>474</v>
      </c>
      <c r="J44" s="109" t="s">
        <v>1672</v>
      </c>
      <c r="K44" s="109" t="s">
        <v>106</v>
      </c>
      <c r="L44" s="82" t="s">
        <v>1673</v>
      </c>
      <c r="M44" s="97">
        <v>45875.522916666669</v>
      </c>
      <c r="N44" s="97">
        <v>45875.739583333336</v>
      </c>
      <c r="O44" s="82" t="s">
        <v>1482</v>
      </c>
      <c r="P44" s="82" t="s">
        <v>1483</v>
      </c>
      <c r="Q44" s="82" t="s">
        <v>1484</v>
      </c>
      <c r="R44" s="82" t="s">
        <v>1485</v>
      </c>
      <c r="S44" s="82" t="s">
        <v>1486</v>
      </c>
      <c r="T44" s="82" t="s">
        <v>1486</v>
      </c>
      <c r="U44" s="82" t="s">
        <v>1487</v>
      </c>
      <c r="V44" s="82" t="s">
        <v>1674</v>
      </c>
      <c r="W44" s="82" t="s">
        <v>1489</v>
      </c>
      <c r="X44" s="82" t="s">
        <v>1675</v>
      </c>
      <c r="Y44" s="82" t="s">
        <v>148</v>
      </c>
      <c r="Z44" s="82" t="s">
        <v>114</v>
      </c>
      <c r="AA44" s="82" t="s">
        <v>1676</v>
      </c>
      <c r="AB44" s="61">
        <v>1</v>
      </c>
      <c r="AC44" s="61">
        <v>0</v>
      </c>
      <c r="AD44" s="61">
        <v>0</v>
      </c>
      <c r="AE44" s="61">
        <v>0</v>
      </c>
      <c r="AF44" s="69">
        <f>IF(W44="SOPORTE_TELEFÓNICO",'BASE LIQUIDACION'!$B$10,IF(Y44="TIPO I",'BASE LIQUIDACION'!$C$3,IF(Y44="TIPO II",'BASE LIQUIDACION'!$C$4,IF(Y44="TIPO III",'BASE LIQUIDACION'!$C$5,'BASE LIQUIDACION'!$C$7))))</f>
        <v>163813.55812</v>
      </c>
      <c r="AG44" s="96">
        <f>IF(W44="SOPORTE_TELEFÓNICO",'BASE LIQUIDACION'!$B$10,(AB44*AF44+AC44*'BASE LIQUIDACION'!$B$12+AD44*'BASE LIQUIDACION'!$B$11+INCIDENTES!AE44*'BASE LIQUIDACION'!$B$13))</f>
        <v>163813.55812</v>
      </c>
    </row>
    <row r="45" spans="1:33" s="4" customFormat="1">
      <c r="A45" s="109" t="s">
        <v>132</v>
      </c>
      <c r="B45" s="56" t="str">
        <f>VLOOKUP(A45,'CENTRO DE COSTOS'!A:D,4,FALSE)</f>
        <v>DIEGO FERNANDO HENAO CARDONA</v>
      </c>
      <c r="C45" s="56" t="str">
        <f>VLOOKUP(A45,'CENTRO DE COSTOS'!A:D,2,FALSE)</f>
        <v>0004-0003</v>
      </c>
      <c r="D45" s="109">
        <v>76001</v>
      </c>
      <c r="E45" s="109">
        <v>2563957</v>
      </c>
      <c r="F45" s="109">
        <v>71364</v>
      </c>
      <c r="G45" s="109" t="s">
        <v>1479</v>
      </c>
      <c r="H45" s="109" t="s">
        <v>134</v>
      </c>
      <c r="I45" s="109" t="s">
        <v>132</v>
      </c>
      <c r="J45" s="109" t="s">
        <v>1677</v>
      </c>
      <c r="K45" s="109" t="s">
        <v>106</v>
      </c>
      <c r="L45" s="82" t="s">
        <v>1678</v>
      </c>
      <c r="M45" s="97">
        <v>45875.599305555559</v>
      </c>
      <c r="N45" s="97">
        <v>45875.744444444441</v>
      </c>
      <c r="O45" s="82" t="s">
        <v>1482</v>
      </c>
      <c r="P45" s="82" t="s">
        <v>1483</v>
      </c>
      <c r="Q45" s="82" t="s">
        <v>1494</v>
      </c>
      <c r="R45" s="82" t="s">
        <v>1495</v>
      </c>
      <c r="S45" s="82" t="s">
        <v>317</v>
      </c>
      <c r="T45" s="82" t="s">
        <v>317</v>
      </c>
      <c r="U45" s="82" t="s">
        <v>1487</v>
      </c>
      <c r="V45" s="82" t="s">
        <v>1679</v>
      </c>
      <c r="W45" s="82" t="s">
        <v>1526</v>
      </c>
      <c r="X45" s="82">
        <v>0</v>
      </c>
      <c r="Y45" s="82" t="s">
        <v>113</v>
      </c>
      <c r="Z45" s="82" t="s">
        <v>114</v>
      </c>
      <c r="AA45" s="82" t="s">
        <v>1680</v>
      </c>
      <c r="AB45" s="61">
        <v>0</v>
      </c>
      <c r="AC45" s="61">
        <v>0</v>
      </c>
      <c r="AD45" s="61">
        <v>0</v>
      </c>
      <c r="AE45" s="61">
        <v>0</v>
      </c>
      <c r="AF45" s="69">
        <f>IF(W45="SOPORTE_TELEFÓNICO",'BASE LIQUIDACION'!$B$10,IF(Y45="TIPO I",'BASE LIQUIDACION'!$C$3,IF(Y45="TIPO II",'BASE LIQUIDACION'!$C$4,IF(Y45="TIPO III",'BASE LIQUIDACION'!$C$5,'BASE LIQUIDACION'!$C$7))))</f>
        <v>37904.65408</v>
      </c>
      <c r="AG45" s="96">
        <f>IF(W45="SOPORTE_TELEFÓNICO",'BASE LIQUIDACION'!$B$10,(AB45*AF45+AC45*'BASE LIQUIDACION'!$B$12+AD45*'BASE LIQUIDACION'!$B$11+INCIDENTES!AE45*'BASE LIQUIDACION'!$B$13))</f>
        <v>37904.65408</v>
      </c>
    </row>
    <row r="46" spans="1:33" s="4" customFormat="1">
      <c r="A46" s="109" t="s">
        <v>171</v>
      </c>
      <c r="B46" s="56" t="str">
        <f>VLOOKUP(A46,'CENTRO DE COSTOS'!A:D,4,FALSE)</f>
        <v>MIGUEL JULIÁN HERNÁNDEZ GUARÍN</v>
      </c>
      <c r="C46" s="56" t="str">
        <f>VLOOKUP(A46,'CENTRO DE COSTOS'!A:D,2,FALSE)</f>
        <v>0004-0008</v>
      </c>
      <c r="D46" s="109">
        <v>68307</v>
      </c>
      <c r="E46" s="109">
        <v>2561377</v>
      </c>
      <c r="F46" s="109">
        <v>34487</v>
      </c>
      <c r="G46" s="109" t="s">
        <v>1479</v>
      </c>
      <c r="H46" s="109" t="s">
        <v>173</v>
      </c>
      <c r="I46" s="109" t="s">
        <v>1310</v>
      </c>
      <c r="J46" s="109" t="s">
        <v>1681</v>
      </c>
      <c r="K46" s="109" t="s">
        <v>106</v>
      </c>
      <c r="L46" s="82" t="s">
        <v>1682</v>
      </c>
      <c r="M46" s="97">
        <v>45875.415972222225</v>
      </c>
      <c r="N46" s="97">
        <v>45875.763194444444</v>
      </c>
      <c r="O46" s="82" t="s">
        <v>1482</v>
      </c>
      <c r="P46" s="82" t="s">
        <v>1483</v>
      </c>
      <c r="Q46" s="82" t="s">
        <v>1683</v>
      </c>
      <c r="R46" s="82" t="s">
        <v>1684</v>
      </c>
      <c r="S46" s="82" t="s">
        <v>317</v>
      </c>
      <c r="T46" s="82" t="s">
        <v>317</v>
      </c>
      <c r="U46" s="82" t="s">
        <v>1487</v>
      </c>
      <c r="V46" s="82" t="s">
        <v>1685</v>
      </c>
      <c r="W46" s="82" t="s">
        <v>1489</v>
      </c>
      <c r="X46" s="82" t="s">
        <v>1686</v>
      </c>
      <c r="Y46" s="82" t="s">
        <v>113</v>
      </c>
      <c r="Z46" s="82" t="s">
        <v>114</v>
      </c>
      <c r="AA46" s="82" t="s">
        <v>195</v>
      </c>
      <c r="AB46" s="61">
        <v>1</v>
      </c>
      <c r="AC46" s="61">
        <v>0</v>
      </c>
      <c r="AD46" s="61">
        <v>0</v>
      </c>
      <c r="AE46" s="61">
        <v>0</v>
      </c>
      <c r="AF46" s="69">
        <f>IF(W46="SOPORTE_TELEFÓNICO",'BASE LIQUIDACION'!$B$10,IF(Y46="TIPO I",'BASE LIQUIDACION'!$C$3,IF(Y46="TIPO II",'BASE LIQUIDACION'!$C$4,IF(Y46="TIPO III",'BASE LIQUIDACION'!$C$5,'BASE LIQUIDACION'!$C$7))))</f>
        <v>65960.473639999997</v>
      </c>
      <c r="AG46" s="96">
        <f>IF(W46="SOPORTE_TELEFÓNICO",'BASE LIQUIDACION'!$B$10,(AB46*AF46+AC46*'BASE LIQUIDACION'!$B$12+AD46*'BASE LIQUIDACION'!$B$11+INCIDENTES!AE46*'BASE LIQUIDACION'!$B$13))</f>
        <v>65960.473639999997</v>
      </c>
    </row>
    <row r="47" spans="1:33" s="4" customFormat="1">
      <c r="A47" s="109" t="s">
        <v>171</v>
      </c>
      <c r="B47" s="56" t="str">
        <f>VLOOKUP(A47,'CENTRO DE COSTOS'!A:D,4,FALSE)</f>
        <v>MIGUEL JULIÁN HERNÁNDEZ GUARÍN</v>
      </c>
      <c r="C47" s="56" t="str">
        <f>VLOOKUP(A47,'CENTRO DE COSTOS'!A:D,2,FALSE)</f>
        <v>0004-0008</v>
      </c>
      <c r="D47" s="109">
        <v>68001</v>
      </c>
      <c r="E47" s="109">
        <v>2563170</v>
      </c>
      <c r="F47" s="109">
        <v>75991</v>
      </c>
      <c r="G47" s="109" t="s">
        <v>1479</v>
      </c>
      <c r="H47" s="109" t="s">
        <v>173</v>
      </c>
      <c r="I47" s="109" t="s">
        <v>171</v>
      </c>
      <c r="J47" s="109" t="s">
        <v>1687</v>
      </c>
      <c r="K47" s="109" t="s">
        <v>106</v>
      </c>
      <c r="L47" s="82" t="s">
        <v>1688</v>
      </c>
      <c r="M47" s="97">
        <v>45875.526388888888</v>
      </c>
      <c r="N47" s="97">
        <v>45876.406944444447</v>
      </c>
      <c r="O47" s="82" t="s">
        <v>1482</v>
      </c>
      <c r="P47" s="82" t="s">
        <v>1483</v>
      </c>
      <c r="Q47" s="82" t="s">
        <v>1494</v>
      </c>
      <c r="R47" s="82" t="s">
        <v>1519</v>
      </c>
      <c r="S47" s="82" t="s">
        <v>1486</v>
      </c>
      <c r="T47" s="82" t="s">
        <v>1486</v>
      </c>
      <c r="U47" s="82" t="s">
        <v>1487</v>
      </c>
      <c r="V47" s="82" t="s">
        <v>1689</v>
      </c>
      <c r="W47" s="82" t="s">
        <v>1489</v>
      </c>
      <c r="X47" s="82" t="s">
        <v>1690</v>
      </c>
      <c r="Y47" s="82" t="s">
        <v>113</v>
      </c>
      <c r="Z47" s="82" t="s">
        <v>114</v>
      </c>
      <c r="AA47" s="82" t="s">
        <v>1691</v>
      </c>
      <c r="AB47" s="61">
        <v>1</v>
      </c>
      <c r="AC47" s="61">
        <v>0</v>
      </c>
      <c r="AD47" s="61">
        <v>0</v>
      </c>
      <c r="AE47" s="61">
        <v>0</v>
      </c>
      <c r="AF47" s="69">
        <f>IF(W47="SOPORTE_TELEFÓNICO",'BASE LIQUIDACION'!$B$10,IF(Y47="TIPO I",'BASE LIQUIDACION'!$C$3,IF(Y47="TIPO II",'BASE LIQUIDACION'!$C$4,IF(Y47="TIPO III",'BASE LIQUIDACION'!$C$5,'BASE LIQUIDACION'!$C$7))))</f>
        <v>65960.473639999997</v>
      </c>
      <c r="AG47" s="96">
        <f>IF(W47="SOPORTE_TELEFÓNICO",'BASE LIQUIDACION'!$B$10,(AB47*AF47+AC47*'BASE LIQUIDACION'!$B$12+AD47*'BASE LIQUIDACION'!$B$11+INCIDENTES!AE47*'BASE LIQUIDACION'!$B$13))</f>
        <v>65960.473639999997</v>
      </c>
    </row>
    <row r="48" spans="1:33" s="4" customFormat="1">
      <c r="A48" s="109" t="s">
        <v>100</v>
      </c>
      <c r="B48" s="56" t="str">
        <f>VLOOKUP(A48,'CENTRO DE COSTOS'!A:D,4,FALSE)</f>
        <v>JUAN SEBASTIÁN RÍOS CASTRILLÓN</v>
      </c>
      <c r="C48" s="56" t="str">
        <f>VLOOKUP(A48,'CENTRO DE COSTOS'!A:D,2,FALSE)</f>
        <v>0004-0005</v>
      </c>
      <c r="D48" s="109">
        <v>5686</v>
      </c>
      <c r="E48" s="109">
        <v>2558392</v>
      </c>
      <c r="F48" s="109">
        <v>31779</v>
      </c>
      <c r="G48" s="109" t="s">
        <v>1479</v>
      </c>
      <c r="H48" s="109" t="s">
        <v>104</v>
      </c>
      <c r="I48" s="109" t="s">
        <v>571</v>
      </c>
      <c r="J48" s="109" t="s">
        <v>1692</v>
      </c>
      <c r="K48" s="109" t="s">
        <v>106</v>
      </c>
      <c r="L48" s="82" t="s">
        <v>1693</v>
      </c>
      <c r="M48" s="97">
        <v>45874.675000000003</v>
      </c>
      <c r="N48" s="97">
        <v>45876.478472222225</v>
      </c>
      <c r="O48" s="82" t="s">
        <v>1482</v>
      </c>
      <c r="P48" s="82" t="s">
        <v>1483</v>
      </c>
      <c r="Q48" s="82" t="s">
        <v>1484</v>
      </c>
      <c r="R48" s="82" t="s">
        <v>1485</v>
      </c>
      <c r="S48" s="82" t="s">
        <v>1486</v>
      </c>
      <c r="T48" s="82" t="s">
        <v>1486</v>
      </c>
      <c r="U48" s="82" t="s">
        <v>1487</v>
      </c>
      <c r="V48" s="82" t="s">
        <v>1694</v>
      </c>
      <c r="W48" s="82" t="s">
        <v>1489</v>
      </c>
      <c r="X48" s="82" t="s">
        <v>1695</v>
      </c>
      <c r="Y48" s="82" t="s">
        <v>148</v>
      </c>
      <c r="Z48" s="82" t="s">
        <v>114</v>
      </c>
      <c r="AA48" s="82" t="s">
        <v>420</v>
      </c>
      <c r="AB48" s="61">
        <v>1</v>
      </c>
      <c r="AC48" s="61">
        <v>0</v>
      </c>
      <c r="AD48" s="61">
        <v>0</v>
      </c>
      <c r="AE48" s="61">
        <v>0</v>
      </c>
      <c r="AF48" s="69">
        <f>IF(W48="SOPORTE_TELEFÓNICO",'BASE LIQUIDACION'!$B$10,IF(Y48="TIPO I",'BASE LIQUIDACION'!$C$3,IF(Y48="TIPO II",'BASE LIQUIDACION'!$C$4,IF(Y48="TIPO III",'BASE LIQUIDACION'!$C$5,'BASE LIQUIDACION'!$C$7))))</f>
        <v>163813.55812</v>
      </c>
      <c r="AG48" s="96">
        <f>IF(W48="SOPORTE_TELEFÓNICO",'BASE LIQUIDACION'!$B$10,(AB48*AF48+AC48*'BASE LIQUIDACION'!$B$12+AD48*'BASE LIQUIDACION'!$B$11+INCIDENTES!AE48*'BASE LIQUIDACION'!$B$13))</f>
        <v>163813.55812</v>
      </c>
    </row>
    <row r="49" spans="1:33" s="4" customFormat="1">
      <c r="A49" s="109" t="s">
        <v>303</v>
      </c>
      <c r="B49" s="56" t="str">
        <f>VLOOKUP(A49,'CENTRO DE COSTOS'!A:D,4,FALSE)</f>
        <v>MIGUEL JULIÁN HERNÁNDEZ GUARÍN</v>
      </c>
      <c r="C49" s="56" t="str">
        <f>VLOOKUP(A49,'CENTRO DE COSTOS'!A:D,2,FALSE)</f>
        <v>0004-0008</v>
      </c>
      <c r="D49" s="109">
        <v>54001</v>
      </c>
      <c r="E49" s="109">
        <v>2567232</v>
      </c>
      <c r="F49" s="109">
        <v>65491</v>
      </c>
      <c r="G49" s="109" t="s">
        <v>1479</v>
      </c>
      <c r="H49" s="109" t="s">
        <v>305</v>
      </c>
      <c r="I49" s="109" t="s">
        <v>303</v>
      </c>
      <c r="J49" s="109" t="s">
        <v>1696</v>
      </c>
      <c r="K49" s="109" t="s">
        <v>106</v>
      </c>
      <c r="L49" s="82" t="s">
        <v>1697</v>
      </c>
      <c r="M49" s="97">
        <v>45876.523611111108</v>
      </c>
      <c r="N49" s="97">
        <v>45877.390277777777</v>
      </c>
      <c r="O49" s="82" t="s">
        <v>1482</v>
      </c>
      <c r="P49" s="82" t="s">
        <v>1483</v>
      </c>
      <c r="Q49" s="82" t="s">
        <v>1484</v>
      </c>
      <c r="R49" s="82" t="s">
        <v>1485</v>
      </c>
      <c r="S49" s="82" t="s">
        <v>1486</v>
      </c>
      <c r="T49" s="82" t="s">
        <v>1486</v>
      </c>
      <c r="U49" s="82" t="s">
        <v>1487</v>
      </c>
      <c r="V49" s="82" t="s">
        <v>1698</v>
      </c>
      <c r="W49" s="82" t="s">
        <v>1489</v>
      </c>
      <c r="X49" s="82" t="s">
        <v>1699</v>
      </c>
      <c r="Y49" s="82" t="s">
        <v>113</v>
      </c>
      <c r="Z49" s="82" t="s">
        <v>114</v>
      </c>
      <c r="AA49" s="82" t="s">
        <v>311</v>
      </c>
      <c r="AB49" s="61">
        <v>1</v>
      </c>
      <c r="AC49" s="61">
        <v>0</v>
      </c>
      <c r="AD49" s="61">
        <v>0</v>
      </c>
      <c r="AE49" s="61">
        <v>0</v>
      </c>
      <c r="AF49" s="69">
        <f>IF(W49="SOPORTE_TELEFÓNICO",'BASE LIQUIDACION'!$B$10,IF(Y49="TIPO I",'BASE LIQUIDACION'!$C$3,IF(Y49="TIPO II",'BASE LIQUIDACION'!$C$4,IF(Y49="TIPO III",'BASE LIQUIDACION'!$C$5,'BASE LIQUIDACION'!$C$7))))</f>
        <v>65960.473639999997</v>
      </c>
      <c r="AG49" s="96">
        <f>IF(W49="SOPORTE_TELEFÓNICO",'BASE LIQUIDACION'!$B$10,(AB49*AF49+AC49*'BASE LIQUIDACION'!$B$12+AD49*'BASE LIQUIDACION'!$B$11+INCIDENTES!AE49*'BASE LIQUIDACION'!$B$13))</f>
        <v>65960.473639999997</v>
      </c>
    </row>
    <row r="50" spans="1:33" s="4" customFormat="1">
      <c r="A50" s="109" t="s">
        <v>132</v>
      </c>
      <c r="B50" s="56" t="str">
        <f>VLOOKUP(A50,'CENTRO DE COSTOS'!A:D,4,FALSE)</f>
        <v>DIEGO FERNANDO HENAO CARDONA</v>
      </c>
      <c r="C50" s="56" t="str">
        <f>VLOOKUP(A50,'CENTRO DE COSTOS'!A:D,2,FALSE)</f>
        <v>0004-0003</v>
      </c>
      <c r="D50" s="109">
        <v>76001</v>
      </c>
      <c r="E50" s="109">
        <v>2566211</v>
      </c>
      <c r="F50" s="109">
        <v>76951</v>
      </c>
      <c r="G50" s="109" t="s">
        <v>1479</v>
      </c>
      <c r="H50" s="109" t="s">
        <v>134</v>
      </c>
      <c r="I50" s="109" t="s">
        <v>132</v>
      </c>
      <c r="J50" s="109" t="s">
        <v>1700</v>
      </c>
      <c r="K50" s="109" t="s">
        <v>106</v>
      </c>
      <c r="L50" s="82" t="s">
        <v>1701</v>
      </c>
      <c r="M50" s="97">
        <v>45876.333333333336</v>
      </c>
      <c r="N50" s="97">
        <v>45877.402083333334</v>
      </c>
      <c r="O50" s="82" t="s">
        <v>1482</v>
      </c>
      <c r="P50" s="82" t="s">
        <v>1483</v>
      </c>
      <c r="Q50" s="82" t="s">
        <v>1494</v>
      </c>
      <c r="R50" s="82" t="s">
        <v>1519</v>
      </c>
      <c r="S50" s="82" t="s">
        <v>1486</v>
      </c>
      <c r="T50" s="82" t="s">
        <v>1486</v>
      </c>
      <c r="U50" s="82" t="s">
        <v>1487</v>
      </c>
      <c r="V50" s="82" t="s">
        <v>1702</v>
      </c>
      <c r="W50" s="82" t="s">
        <v>1489</v>
      </c>
      <c r="X50" s="82" t="s">
        <v>1703</v>
      </c>
      <c r="Y50" s="82" t="s">
        <v>113</v>
      </c>
      <c r="Z50" s="82" t="s">
        <v>114</v>
      </c>
      <c r="AA50" s="82" t="s">
        <v>1704</v>
      </c>
      <c r="AB50" s="61">
        <v>1</v>
      </c>
      <c r="AC50" s="61">
        <v>0</v>
      </c>
      <c r="AD50" s="61">
        <v>0</v>
      </c>
      <c r="AE50" s="61">
        <v>0</v>
      </c>
      <c r="AF50" s="69">
        <f>IF(W50="SOPORTE_TELEFÓNICO",'BASE LIQUIDACION'!$B$10,IF(Y50="TIPO I",'BASE LIQUIDACION'!$C$3,IF(Y50="TIPO II",'BASE LIQUIDACION'!$C$4,IF(Y50="TIPO III",'BASE LIQUIDACION'!$C$5,'BASE LIQUIDACION'!$C$7))))</f>
        <v>65960.473639999997</v>
      </c>
      <c r="AG50" s="96">
        <f>IF(W50="SOPORTE_TELEFÓNICO",'BASE LIQUIDACION'!$B$10,(AB50*AF50+AC50*'BASE LIQUIDACION'!$B$12+AD50*'BASE LIQUIDACION'!$B$11+INCIDENTES!AE50*'BASE LIQUIDACION'!$B$13))</f>
        <v>65960.473639999997</v>
      </c>
    </row>
    <row r="51" spans="1:33" s="4" customFormat="1">
      <c r="A51" s="109" t="s">
        <v>132</v>
      </c>
      <c r="B51" s="56" t="str">
        <f>VLOOKUP(A51,'CENTRO DE COSTOS'!A:D,4,FALSE)</f>
        <v>DIEGO FERNANDO HENAO CARDONA</v>
      </c>
      <c r="C51" s="56" t="str">
        <f>VLOOKUP(A51,'CENTRO DE COSTOS'!A:D,2,FALSE)</f>
        <v>0004-0003</v>
      </c>
      <c r="D51" s="109">
        <v>76001</v>
      </c>
      <c r="E51" s="109">
        <v>2568506</v>
      </c>
      <c r="F51" s="109">
        <v>33764</v>
      </c>
      <c r="G51" s="109" t="s">
        <v>1479</v>
      </c>
      <c r="H51" s="109" t="s">
        <v>134</v>
      </c>
      <c r="I51" s="109" t="s">
        <v>132</v>
      </c>
      <c r="J51" s="109" t="s">
        <v>1705</v>
      </c>
      <c r="K51" s="109" t="s">
        <v>106</v>
      </c>
      <c r="L51" s="82" t="s">
        <v>1706</v>
      </c>
      <c r="M51" s="97">
        <v>45877.359722222223</v>
      </c>
      <c r="N51" s="97">
        <v>45877.443055555559</v>
      </c>
      <c r="O51" s="82" t="s">
        <v>1482</v>
      </c>
      <c r="P51" s="82" t="s">
        <v>1483</v>
      </c>
      <c r="Q51" s="82" t="s">
        <v>1581</v>
      </c>
      <c r="R51" s="82" t="s">
        <v>1582</v>
      </c>
      <c r="S51" s="82" t="s">
        <v>1486</v>
      </c>
      <c r="T51" s="82" t="s">
        <v>1486</v>
      </c>
      <c r="U51" s="82" t="s">
        <v>1487</v>
      </c>
      <c r="V51" s="82" t="s">
        <v>1707</v>
      </c>
      <c r="W51" s="82" t="s">
        <v>1489</v>
      </c>
      <c r="X51" s="82" t="s">
        <v>1708</v>
      </c>
      <c r="Y51" s="82" t="s">
        <v>113</v>
      </c>
      <c r="Z51" s="82" t="s">
        <v>114</v>
      </c>
      <c r="AA51" s="82" t="s">
        <v>1704</v>
      </c>
      <c r="AB51" s="61">
        <v>1</v>
      </c>
      <c r="AC51" s="61">
        <v>0</v>
      </c>
      <c r="AD51" s="61">
        <v>0</v>
      </c>
      <c r="AE51" s="61">
        <v>0</v>
      </c>
      <c r="AF51" s="69">
        <f>IF(W51="SOPORTE_TELEFÓNICO",'BASE LIQUIDACION'!$B$10,IF(Y51="TIPO I",'BASE LIQUIDACION'!$C$3,IF(Y51="TIPO II",'BASE LIQUIDACION'!$C$4,IF(Y51="TIPO III",'BASE LIQUIDACION'!$C$5,'BASE LIQUIDACION'!$C$7))))</f>
        <v>65960.473639999997</v>
      </c>
      <c r="AG51" s="96">
        <f>IF(W51="SOPORTE_TELEFÓNICO",'BASE LIQUIDACION'!$B$10,(AB51*AF51+AC51*'BASE LIQUIDACION'!$B$12+AD51*'BASE LIQUIDACION'!$B$11+INCIDENTES!AE51*'BASE LIQUIDACION'!$B$13))</f>
        <v>65960.473639999997</v>
      </c>
    </row>
    <row r="52" spans="1:33" s="4" customFormat="1">
      <c r="A52" s="109" t="s">
        <v>116</v>
      </c>
      <c r="B52" s="56" t="str">
        <f>VLOOKUP(A52,'CENTRO DE COSTOS'!A:D,4,FALSE)</f>
        <v>WILLIAM ASDRUBAL ROZO ROZO</v>
      </c>
      <c r="C52" s="56" t="str">
        <f>VLOOKUP(A52,'CENTRO DE COSTOS'!A:D,2,FALSE)</f>
        <v>0004-0004</v>
      </c>
      <c r="D52" s="109">
        <v>11001</v>
      </c>
      <c r="E52" s="109">
        <v>2567244</v>
      </c>
      <c r="F52" s="109">
        <v>74518</v>
      </c>
      <c r="G52" s="109" t="s">
        <v>1479</v>
      </c>
      <c r="H52" s="109" t="s">
        <v>118</v>
      </c>
      <c r="I52" s="109" t="s">
        <v>116</v>
      </c>
      <c r="J52" s="109" t="s">
        <v>1709</v>
      </c>
      <c r="K52" s="109" t="s">
        <v>106</v>
      </c>
      <c r="L52" s="82" t="s">
        <v>1710</v>
      </c>
      <c r="M52" s="97">
        <v>45876.53125</v>
      </c>
      <c r="N52" s="97">
        <v>45877.467361111114</v>
      </c>
      <c r="O52" s="82" t="s">
        <v>1482</v>
      </c>
      <c r="P52" s="82" t="s">
        <v>1508</v>
      </c>
      <c r="Q52" s="82" t="s">
        <v>1509</v>
      </c>
      <c r="R52" s="82" t="s">
        <v>1510</v>
      </c>
      <c r="S52" s="82" t="s">
        <v>1486</v>
      </c>
      <c r="T52" s="82" t="s">
        <v>1486</v>
      </c>
      <c r="U52" s="82" t="s">
        <v>1487</v>
      </c>
      <c r="V52" s="82" t="s">
        <v>1711</v>
      </c>
      <c r="W52" s="82" t="s">
        <v>1489</v>
      </c>
      <c r="X52" s="82" t="s">
        <v>1712</v>
      </c>
      <c r="Y52" s="82" t="s">
        <v>113</v>
      </c>
      <c r="Z52" s="82" t="s">
        <v>114</v>
      </c>
      <c r="AA52" s="82" t="s">
        <v>1713</v>
      </c>
      <c r="AB52" s="61">
        <v>1</v>
      </c>
      <c r="AC52" s="61">
        <v>0</v>
      </c>
      <c r="AD52" s="61">
        <v>0</v>
      </c>
      <c r="AE52" s="61">
        <v>0</v>
      </c>
      <c r="AF52" s="69">
        <f>IF(W52="SOPORTE_TELEFÓNICO",'BASE LIQUIDACION'!$B$10,IF(Y52="TIPO I",'BASE LIQUIDACION'!$C$3,IF(Y52="TIPO II",'BASE LIQUIDACION'!$C$4,IF(Y52="TIPO III",'BASE LIQUIDACION'!$C$5,'BASE LIQUIDACION'!$C$7))))</f>
        <v>65960.473639999997</v>
      </c>
      <c r="AG52" s="96">
        <f>IF(W52="SOPORTE_TELEFÓNICO",'BASE LIQUIDACION'!$B$10,(AB52*AF52+AC52*'BASE LIQUIDACION'!$B$12+AD52*'BASE LIQUIDACION'!$B$11+INCIDENTES!AE52*'BASE LIQUIDACION'!$B$13))</f>
        <v>65960.473639999997</v>
      </c>
    </row>
    <row r="53" spans="1:33" s="4" customFormat="1">
      <c r="A53" s="109" t="s">
        <v>100</v>
      </c>
      <c r="B53" s="56" t="str">
        <f>VLOOKUP(A53,'CENTRO DE COSTOS'!A:D,4,FALSE)</f>
        <v>JUAN SEBASTIÁN RÍOS CASTRILLÓN</v>
      </c>
      <c r="C53" s="56" t="str">
        <f>VLOOKUP(A53,'CENTRO DE COSTOS'!A:D,2,FALSE)</f>
        <v>0004-0005</v>
      </c>
      <c r="D53" s="109">
        <v>5001</v>
      </c>
      <c r="E53" s="109">
        <v>2564850</v>
      </c>
      <c r="F53" s="109">
        <v>68192</v>
      </c>
      <c r="G53" s="109" t="s">
        <v>1479</v>
      </c>
      <c r="H53" s="109" t="s">
        <v>104</v>
      </c>
      <c r="I53" s="109" t="s">
        <v>100</v>
      </c>
      <c r="J53" s="109" t="s">
        <v>1714</v>
      </c>
      <c r="K53" s="109" t="s">
        <v>106</v>
      </c>
      <c r="L53" s="82" t="s">
        <v>1715</v>
      </c>
      <c r="M53" s="97">
        <v>45875.65</v>
      </c>
      <c r="N53" s="97">
        <v>45877.598611111112</v>
      </c>
      <c r="O53" s="82" t="s">
        <v>1482</v>
      </c>
      <c r="P53" s="82" t="s">
        <v>1483</v>
      </c>
      <c r="Q53" s="82" t="s">
        <v>1501</v>
      </c>
      <c r="R53" s="82" t="s">
        <v>1502</v>
      </c>
      <c r="S53" s="82" t="s">
        <v>1486</v>
      </c>
      <c r="T53" s="82" t="s">
        <v>1486</v>
      </c>
      <c r="U53" s="82" t="s">
        <v>1487</v>
      </c>
      <c r="V53" s="82" t="s">
        <v>1716</v>
      </c>
      <c r="W53" s="82" t="s">
        <v>1489</v>
      </c>
      <c r="X53" s="82" t="s">
        <v>1717</v>
      </c>
      <c r="Y53" s="82" t="s">
        <v>113</v>
      </c>
      <c r="Z53" s="82" t="s">
        <v>114</v>
      </c>
      <c r="AA53" s="82" t="s">
        <v>115</v>
      </c>
      <c r="AB53" s="61">
        <v>1</v>
      </c>
      <c r="AC53" s="61">
        <v>0</v>
      </c>
      <c r="AD53" s="61">
        <v>0</v>
      </c>
      <c r="AE53" s="61">
        <v>0</v>
      </c>
      <c r="AF53" s="69">
        <f>IF(W53="SOPORTE_TELEFÓNICO",'BASE LIQUIDACION'!$B$10,IF(Y53="TIPO I",'BASE LIQUIDACION'!$C$3,IF(Y53="TIPO II",'BASE LIQUIDACION'!$C$4,IF(Y53="TIPO III",'BASE LIQUIDACION'!$C$5,'BASE LIQUIDACION'!$C$7))))</f>
        <v>65960.473639999997</v>
      </c>
      <c r="AG53" s="96">
        <f>IF(W53="SOPORTE_TELEFÓNICO",'BASE LIQUIDACION'!$B$10,(AB53*AF53+AC53*'BASE LIQUIDACION'!$B$12+AD53*'BASE LIQUIDACION'!$B$11+INCIDENTES!AE53*'BASE LIQUIDACION'!$B$13))</f>
        <v>65960.473639999997</v>
      </c>
    </row>
    <row r="54" spans="1:33" s="4" customFormat="1">
      <c r="A54" s="109" t="s">
        <v>100</v>
      </c>
      <c r="B54" s="56" t="str">
        <f>VLOOKUP(A54,'CENTRO DE COSTOS'!A:D,4,FALSE)</f>
        <v>JUAN SEBASTIÁN RÍOS CASTRILLÓN</v>
      </c>
      <c r="C54" s="56" t="str">
        <f>VLOOKUP(A54,'CENTRO DE COSTOS'!A:D,2,FALSE)</f>
        <v>0004-0005</v>
      </c>
      <c r="D54" s="109">
        <v>5674</v>
      </c>
      <c r="E54" s="109">
        <v>2566131</v>
      </c>
      <c r="F54" s="109">
        <v>66871</v>
      </c>
      <c r="G54" s="109" t="s">
        <v>1479</v>
      </c>
      <c r="H54" s="109" t="s">
        <v>104</v>
      </c>
      <c r="I54" s="109" t="s">
        <v>569</v>
      </c>
      <c r="J54" s="109" t="s">
        <v>1718</v>
      </c>
      <c r="K54" s="109" t="s">
        <v>106</v>
      </c>
      <c r="L54" s="82" t="s">
        <v>1719</v>
      </c>
      <c r="M54" s="97">
        <v>45876.333333333336</v>
      </c>
      <c r="N54" s="97">
        <v>45877.640277777777</v>
      </c>
      <c r="O54" s="82" t="s">
        <v>1482</v>
      </c>
      <c r="P54" s="82" t="s">
        <v>1483</v>
      </c>
      <c r="Q54" s="82" t="s">
        <v>1484</v>
      </c>
      <c r="R54" s="82" t="s">
        <v>1485</v>
      </c>
      <c r="S54" s="82" t="s">
        <v>1486</v>
      </c>
      <c r="T54" s="82" t="s">
        <v>1486</v>
      </c>
      <c r="U54" s="82" t="s">
        <v>1487</v>
      </c>
      <c r="V54" s="82" t="s">
        <v>1720</v>
      </c>
      <c r="W54" s="82" t="s">
        <v>1489</v>
      </c>
      <c r="X54" s="82" t="s">
        <v>1721</v>
      </c>
      <c r="Y54" s="82" t="s">
        <v>148</v>
      </c>
      <c r="Z54" s="82" t="s">
        <v>114</v>
      </c>
      <c r="AA54" s="82" t="s">
        <v>1722</v>
      </c>
      <c r="AB54" s="61">
        <v>1</v>
      </c>
      <c r="AC54" s="61">
        <v>0</v>
      </c>
      <c r="AD54" s="61">
        <v>0</v>
      </c>
      <c r="AE54" s="61">
        <v>0</v>
      </c>
      <c r="AF54" s="69">
        <f>IF(W54="SOPORTE_TELEFÓNICO",'BASE LIQUIDACION'!$B$10,IF(Y54="TIPO I",'BASE LIQUIDACION'!$C$3,IF(Y54="TIPO II",'BASE LIQUIDACION'!$C$4,IF(Y54="TIPO III",'BASE LIQUIDACION'!$C$5,'BASE LIQUIDACION'!$C$7))))</f>
        <v>163813.55812</v>
      </c>
      <c r="AG54" s="96">
        <f>IF(W54="SOPORTE_TELEFÓNICO",'BASE LIQUIDACION'!$B$10,(AB54*AF54+AC54*'BASE LIQUIDACION'!$B$12+AD54*'BASE LIQUIDACION'!$B$11+INCIDENTES!AE54*'BASE LIQUIDACION'!$B$13))</f>
        <v>163813.55812</v>
      </c>
    </row>
    <row r="55" spans="1:33" s="4" customFormat="1">
      <c r="A55" s="109" t="s">
        <v>303</v>
      </c>
      <c r="B55" s="56" t="str">
        <f>VLOOKUP(A55,'CENTRO DE COSTOS'!A:D,4,FALSE)</f>
        <v>MIGUEL JULIÁN HERNÁNDEZ GUARÍN</v>
      </c>
      <c r="C55" s="56" t="str">
        <f>VLOOKUP(A55,'CENTRO DE COSTOS'!A:D,2,FALSE)</f>
        <v>0004-0008</v>
      </c>
      <c r="D55" s="109">
        <v>54810</v>
      </c>
      <c r="E55" s="109">
        <v>2570971</v>
      </c>
      <c r="F55" s="109">
        <v>47219</v>
      </c>
      <c r="G55" s="109" t="s">
        <v>1479</v>
      </c>
      <c r="H55" s="109" t="s">
        <v>305</v>
      </c>
      <c r="I55" s="109" t="s">
        <v>1249</v>
      </c>
      <c r="J55" s="109" t="s">
        <v>1723</v>
      </c>
      <c r="K55" s="109" t="s">
        <v>106</v>
      </c>
      <c r="L55" s="82" t="s">
        <v>1724</v>
      </c>
      <c r="M55" s="97">
        <v>45877.527083333334</v>
      </c>
      <c r="N55" s="97">
        <v>45877.657638888886</v>
      </c>
      <c r="O55" s="82" t="s">
        <v>1482</v>
      </c>
      <c r="P55" s="82" t="s">
        <v>1483</v>
      </c>
      <c r="Q55" s="82" t="s">
        <v>1494</v>
      </c>
      <c r="R55" s="82" t="s">
        <v>1519</v>
      </c>
      <c r="S55" s="82" t="s">
        <v>1486</v>
      </c>
      <c r="T55" s="82" t="s">
        <v>1486</v>
      </c>
      <c r="U55" s="82" t="s">
        <v>1487</v>
      </c>
      <c r="V55" s="82" t="s">
        <v>1725</v>
      </c>
      <c r="W55" s="82" t="s">
        <v>1526</v>
      </c>
      <c r="X55" s="82"/>
      <c r="Y55" s="82" t="s">
        <v>462</v>
      </c>
      <c r="Z55" s="82" t="s">
        <v>114</v>
      </c>
      <c r="AA55" s="82" t="s">
        <v>1726</v>
      </c>
      <c r="AB55" s="61">
        <v>0</v>
      </c>
      <c r="AC55" s="61">
        <v>0</v>
      </c>
      <c r="AD55" s="61">
        <v>0</v>
      </c>
      <c r="AE55" s="61">
        <v>0</v>
      </c>
      <c r="AF55" s="69">
        <f>IF(W55="SOPORTE_TELEFÓNICO",'BASE LIQUIDACION'!$B$10,IF(Y55="TIPO I",'BASE LIQUIDACION'!$C$3,IF(Y55="TIPO II",'BASE LIQUIDACION'!$C$4,IF(Y55="TIPO III",'BASE LIQUIDACION'!$C$5,'BASE LIQUIDACION'!$C$7))))</f>
        <v>37904.65408</v>
      </c>
      <c r="AG55" s="96">
        <f>IF(W55="SOPORTE_TELEFÓNICO",'BASE LIQUIDACION'!$B$10,(AB55*AF55+AC55*'BASE LIQUIDACION'!$B$12+AD55*'BASE LIQUIDACION'!$B$11+INCIDENTES!AE55*'BASE LIQUIDACION'!$B$13))</f>
        <v>37904.65408</v>
      </c>
    </row>
    <row r="56" spans="1:33" s="4" customFormat="1">
      <c r="A56" s="109" t="s">
        <v>421</v>
      </c>
      <c r="B56" s="56" t="str">
        <f>VLOOKUP(A56,'CENTRO DE COSTOS'!A:D,4,FALSE)</f>
        <v>DIEGO FERNANDO HENAO CARDONA</v>
      </c>
      <c r="C56" s="56" t="str">
        <f>VLOOKUP(A56,'CENTRO DE COSTOS'!A:D,2,FALSE)</f>
        <v>0004-0002</v>
      </c>
      <c r="D56" s="109">
        <v>17001</v>
      </c>
      <c r="E56" s="109">
        <v>2569607</v>
      </c>
      <c r="F56" s="109">
        <v>46201</v>
      </c>
      <c r="G56" s="109" t="s">
        <v>1479</v>
      </c>
      <c r="H56" s="109" t="s">
        <v>423</v>
      </c>
      <c r="I56" s="109" t="s">
        <v>421</v>
      </c>
      <c r="J56" s="109" t="s">
        <v>1727</v>
      </c>
      <c r="K56" s="109" t="s">
        <v>106</v>
      </c>
      <c r="L56" s="82" t="s">
        <v>1728</v>
      </c>
      <c r="M56" s="97">
        <v>45877.415972222225</v>
      </c>
      <c r="N56" s="97">
        <v>45878.439583333333</v>
      </c>
      <c r="O56" s="82" t="s">
        <v>1482</v>
      </c>
      <c r="P56" s="82" t="s">
        <v>1483</v>
      </c>
      <c r="Q56" s="82" t="s">
        <v>1484</v>
      </c>
      <c r="R56" s="82" t="s">
        <v>1485</v>
      </c>
      <c r="S56" s="82" t="s">
        <v>1583</v>
      </c>
      <c r="T56" s="82" t="s">
        <v>1583</v>
      </c>
      <c r="U56" s="82" t="s">
        <v>1487</v>
      </c>
      <c r="V56" s="82" t="s">
        <v>1729</v>
      </c>
      <c r="W56" s="82" t="s">
        <v>1489</v>
      </c>
      <c r="X56" s="82" t="s">
        <v>1730</v>
      </c>
      <c r="Y56" s="82" t="s">
        <v>113</v>
      </c>
      <c r="Z56" s="82" t="s">
        <v>114</v>
      </c>
      <c r="AA56" s="82" t="s">
        <v>428</v>
      </c>
      <c r="AB56" s="61">
        <v>1</v>
      </c>
      <c r="AC56" s="61">
        <v>0</v>
      </c>
      <c r="AD56" s="61">
        <v>0</v>
      </c>
      <c r="AE56" s="61">
        <v>0</v>
      </c>
      <c r="AF56" s="69">
        <f>IF(W56="SOPORTE_TELEFÓNICO",'BASE LIQUIDACION'!$B$10,IF(Y56="TIPO I",'BASE LIQUIDACION'!$C$3,IF(Y56="TIPO II",'BASE LIQUIDACION'!$C$4,IF(Y56="TIPO III",'BASE LIQUIDACION'!$C$5,'BASE LIQUIDACION'!$C$7))))</f>
        <v>65960.473639999997</v>
      </c>
      <c r="AG56" s="96">
        <f>IF(W56="SOPORTE_TELEFÓNICO",'BASE LIQUIDACION'!$B$10,(AB56*AF56+AC56*'BASE LIQUIDACION'!$B$12+AD56*'BASE LIQUIDACION'!$B$11+INCIDENTES!AE56*'BASE LIQUIDACION'!$B$13))</f>
        <v>65960.473639999997</v>
      </c>
    </row>
    <row r="57" spans="1:33" s="4" customFormat="1">
      <c r="A57" s="109" t="s">
        <v>100</v>
      </c>
      <c r="B57" s="56" t="str">
        <f>VLOOKUP(A57,'CENTRO DE COSTOS'!A:D,4,FALSE)</f>
        <v>JUAN SEBASTIÁN RÍOS CASTRILLÓN</v>
      </c>
      <c r="C57" s="56" t="str">
        <f>VLOOKUP(A57,'CENTRO DE COSTOS'!A:D,2,FALSE)</f>
        <v>0004-0005</v>
      </c>
      <c r="D57" s="109">
        <v>5001</v>
      </c>
      <c r="E57" s="109">
        <v>2574055</v>
      </c>
      <c r="F57" s="109">
        <v>41161</v>
      </c>
      <c r="G57" s="109" t="s">
        <v>1479</v>
      </c>
      <c r="H57" s="109" t="s">
        <v>104</v>
      </c>
      <c r="I57" s="109" t="s">
        <v>100</v>
      </c>
      <c r="J57" s="109" t="s">
        <v>1731</v>
      </c>
      <c r="K57" s="109" t="s">
        <v>106</v>
      </c>
      <c r="L57" s="82" t="s">
        <v>1732</v>
      </c>
      <c r="M57" s="97">
        <v>45878.410416666666</v>
      </c>
      <c r="N57" s="97">
        <v>45878.597222222219</v>
      </c>
      <c r="O57" s="82" t="s">
        <v>1482</v>
      </c>
      <c r="P57" s="82" t="s">
        <v>1483</v>
      </c>
      <c r="Q57" s="82" t="s">
        <v>1501</v>
      </c>
      <c r="R57" s="82" t="s">
        <v>1502</v>
      </c>
      <c r="S57" s="82" t="s">
        <v>1583</v>
      </c>
      <c r="T57" s="82" t="s">
        <v>1583</v>
      </c>
      <c r="U57" s="82" t="s">
        <v>1487</v>
      </c>
      <c r="V57" s="82" t="s">
        <v>1733</v>
      </c>
      <c r="W57" s="82" t="s">
        <v>1489</v>
      </c>
      <c r="X57" s="82" t="s">
        <v>1734</v>
      </c>
      <c r="Y57" s="82" t="s">
        <v>113</v>
      </c>
      <c r="Z57" s="82" t="s">
        <v>114</v>
      </c>
      <c r="AA57" s="82" t="s">
        <v>321</v>
      </c>
      <c r="AB57" s="61">
        <v>1</v>
      </c>
      <c r="AC57" s="61">
        <v>0</v>
      </c>
      <c r="AD57" s="61">
        <v>0</v>
      </c>
      <c r="AE57" s="61">
        <v>0</v>
      </c>
      <c r="AF57" s="69">
        <f>IF(W57="SOPORTE_TELEFÓNICO",'BASE LIQUIDACION'!$B$10,IF(Y57="TIPO I",'BASE LIQUIDACION'!$C$3,IF(Y57="TIPO II",'BASE LIQUIDACION'!$C$4,IF(Y57="TIPO III",'BASE LIQUIDACION'!$C$5,'BASE LIQUIDACION'!$C$7))))</f>
        <v>65960.473639999997</v>
      </c>
      <c r="AG57" s="96">
        <f>IF(W57="SOPORTE_TELEFÓNICO",'BASE LIQUIDACION'!$B$10,(AB57*AF57+AC57*'BASE LIQUIDACION'!$B$12+AD57*'BASE LIQUIDACION'!$B$11+INCIDENTES!AE57*'BASE LIQUIDACION'!$B$13))</f>
        <v>65960.473639999997</v>
      </c>
    </row>
    <row r="58" spans="1:33" s="4" customFormat="1">
      <c r="A58" s="109" t="s">
        <v>132</v>
      </c>
      <c r="B58" s="56" t="str">
        <f>VLOOKUP(A58,'CENTRO DE COSTOS'!A:D,4,FALSE)</f>
        <v>DIEGO FERNANDO HENAO CARDONA</v>
      </c>
      <c r="C58" s="56" t="str">
        <f>VLOOKUP(A58,'CENTRO DE COSTOS'!A:D,2,FALSE)</f>
        <v>0004-0003</v>
      </c>
      <c r="D58" s="109">
        <v>76670</v>
      </c>
      <c r="E58" s="109">
        <v>2572074</v>
      </c>
      <c r="F58" s="109">
        <v>80302</v>
      </c>
      <c r="G58" s="109" t="s">
        <v>1479</v>
      </c>
      <c r="H58" s="109" t="s">
        <v>134</v>
      </c>
      <c r="I58" s="109" t="s">
        <v>1354</v>
      </c>
      <c r="J58" s="109" t="s">
        <v>1735</v>
      </c>
      <c r="K58" s="109" t="s">
        <v>106</v>
      </c>
      <c r="L58" s="82" t="s">
        <v>1736</v>
      </c>
      <c r="M58" s="97">
        <v>45877.636111111111</v>
      </c>
      <c r="N58" s="97">
        <v>45878.618750000001</v>
      </c>
      <c r="O58" s="82" t="s">
        <v>1482</v>
      </c>
      <c r="P58" s="82" t="s">
        <v>1483</v>
      </c>
      <c r="Q58" s="82" t="s">
        <v>1484</v>
      </c>
      <c r="R58" s="82" t="s">
        <v>1485</v>
      </c>
      <c r="S58" s="82" t="s">
        <v>1486</v>
      </c>
      <c r="T58" s="82" t="s">
        <v>1486</v>
      </c>
      <c r="U58" s="82" t="s">
        <v>1487</v>
      </c>
      <c r="V58" s="82" t="s">
        <v>1737</v>
      </c>
      <c r="W58" s="82" t="s">
        <v>1489</v>
      </c>
      <c r="X58" s="82" t="s">
        <v>1738</v>
      </c>
      <c r="Y58" s="82" t="s">
        <v>148</v>
      </c>
      <c r="Z58" s="82" t="s">
        <v>114</v>
      </c>
      <c r="AA58" s="82" t="s">
        <v>278</v>
      </c>
      <c r="AB58" s="61">
        <v>1</v>
      </c>
      <c r="AC58" s="61">
        <v>0</v>
      </c>
      <c r="AD58" s="61">
        <v>0</v>
      </c>
      <c r="AE58" s="61">
        <v>0</v>
      </c>
      <c r="AF58" s="69">
        <f>IF(W58="SOPORTE_TELEFÓNICO",'BASE LIQUIDACION'!$B$10,IF(Y58="TIPO I",'BASE LIQUIDACION'!$C$3,IF(Y58="TIPO II",'BASE LIQUIDACION'!$C$4,IF(Y58="TIPO III",'BASE LIQUIDACION'!$C$5,'BASE LIQUIDACION'!$C$7))))</f>
        <v>163813.55812</v>
      </c>
      <c r="AG58" s="96">
        <f>IF(W58="SOPORTE_TELEFÓNICO",'BASE LIQUIDACION'!$B$10,(AB58*AF58+AC58*'BASE LIQUIDACION'!$B$12+AD58*'BASE LIQUIDACION'!$B$11+INCIDENTES!AE58*'BASE LIQUIDACION'!$B$13))</f>
        <v>163813.55812</v>
      </c>
    </row>
    <row r="59" spans="1:33" s="4" customFormat="1">
      <c r="A59" s="109" t="s">
        <v>116</v>
      </c>
      <c r="B59" s="56" t="str">
        <f>VLOOKUP(A59,'CENTRO DE COSTOS'!A:D,4,FALSE)</f>
        <v>WILLIAM ASDRUBAL ROZO ROZO</v>
      </c>
      <c r="C59" s="56" t="str">
        <f>VLOOKUP(A59,'CENTRO DE COSTOS'!A:D,2,FALSE)</f>
        <v>0004-0004</v>
      </c>
      <c r="D59" s="109">
        <v>25290</v>
      </c>
      <c r="E59" s="109">
        <v>2574234</v>
      </c>
      <c r="F59" s="109">
        <v>23055</v>
      </c>
      <c r="G59" s="109" t="s">
        <v>1479</v>
      </c>
      <c r="H59" s="109" t="s">
        <v>118</v>
      </c>
      <c r="I59" s="109" t="s">
        <v>983</v>
      </c>
      <c r="J59" s="109" t="s">
        <v>1739</v>
      </c>
      <c r="K59" s="109" t="s">
        <v>106</v>
      </c>
      <c r="L59" s="82" t="s">
        <v>1740</v>
      </c>
      <c r="M59" s="97">
        <v>45878.480555555558</v>
      </c>
      <c r="N59" s="97">
        <v>45878.625</v>
      </c>
      <c r="O59" s="82" t="s">
        <v>1482</v>
      </c>
      <c r="P59" s="82" t="s">
        <v>1483</v>
      </c>
      <c r="Q59" s="82" t="s">
        <v>1551</v>
      </c>
      <c r="R59" s="82" t="s">
        <v>1741</v>
      </c>
      <c r="S59" s="82" t="s">
        <v>1486</v>
      </c>
      <c r="T59" s="82" t="s">
        <v>1486</v>
      </c>
      <c r="U59" s="82" t="s">
        <v>1487</v>
      </c>
      <c r="V59" s="82" t="s">
        <v>1742</v>
      </c>
      <c r="W59" s="82" t="s">
        <v>1489</v>
      </c>
      <c r="X59" s="82" t="s">
        <v>1743</v>
      </c>
      <c r="Y59" s="82" t="s">
        <v>148</v>
      </c>
      <c r="Z59" s="82" t="s">
        <v>114</v>
      </c>
      <c r="AA59" s="82" t="s">
        <v>297</v>
      </c>
      <c r="AB59" s="61">
        <v>1</v>
      </c>
      <c r="AC59" s="61">
        <v>0</v>
      </c>
      <c r="AD59" s="61">
        <v>0</v>
      </c>
      <c r="AE59" s="61">
        <v>0</v>
      </c>
      <c r="AF59" s="69">
        <f>IF(W59="SOPORTE_TELEFÓNICO",'BASE LIQUIDACION'!$B$10,IF(Y59="TIPO I",'BASE LIQUIDACION'!$C$3,IF(Y59="TIPO II",'BASE LIQUIDACION'!$C$4,IF(Y59="TIPO III",'BASE LIQUIDACION'!$C$5,'BASE LIQUIDACION'!$C$7))))</f>
        <v>163813.55812</v>
      </c>
      <c r="AG59" s="96">
        <f>IF(W59="SOPORTE_TELEFÓNICO",'BASE LIQUIDACION'!$B$10,(AB59*AF59+AC59*'BASE LIQUIDACION'!$B$12+AD59*'BASE LIQUIDACION'!$B$11+INCIDENTES!AE59*'BASE LIQUIDACION'!$B$13))</f>
        <v>163813.55812</v>
      </c>
    </row>
    <row r="60" spans="1:33" s="4" customFormat="1">
      <c r="A60" s="109" t="s">
        <v>303</v>
      </c>
      <c r="B60" s="56" t="str">
        <f>VLOOKUP(A60,'CENTRO DE COSTOS'!A:D,4,FALSE)</f>
        <v>MIGUEL JULIÁN HERNÁNDEZ GUARÍN</v>
      </c>
      <c r="C60" s="56" t="str">
        <f>VLOOKUP(A60,'CENTRO DE COSTOS'!A:D,2,FALSE)</f>
        <v>0004-0008</v>
      </c>
      <c r="D60" s="109">
        <v>54874</v>
      </c>
      <c r="E60" s="109">
        <v>2574501</v>
      </c>
      <c r="F60" s="109">
        <v>75547</v>
      </c>
      <c r="G60" s="109" t="s">
        <v>1479</v>
      </c>
      <c r="H60" s="109" t="s">
        <v>305</v>
      </c>
      <c r="I60" s="109" t="s">
        <v>306</v>
      </c>
      <c r="J60" s="109" t="s">
        <v>1744</v>
      </c>
      <c r="K60" s="109" t="s">
        <v>106</v>
      </c>
      <c r="L60" s="82" t="s">
        <v>1745</v>
      </c>
      <c r="M60" s="97">
        <v>45878.634722222225</v>
      </c>
      <c r="N60" s="97">
        <v>45879.36041666667</v>
      </c>
      <c r="O60" s="82" t="s">
        <v>1482</v>
      </c>
      <c r="P60" s="82" t="s">
        <v>1483</v>
      </c>
      <c r="Q60" s="82" t="s">
        <v>1484</v>
      </c>
      <c r="R60" s="82" t="s">
        <v>1485</v>
      </c>
      <c r="S60" s="82" t="s">
        <v>317</v>
      </c>
      <c r="T60" s="82" t="s">
        <v>317</v>
      </c>
      <c r="U60" s="82" t="s">
        <v>1487</v>
      </c>
      <c r="V60" s="82" t="s">
        <v>1746</v>
      </c>
      <c r="W60" s="82" t="s">
        <v>1526</v>
      </c>
      <c r="X60" s="82"/>
      <c r="Y60" s="82" t="s">
        <v>113</v>
      </c>
      <c r="Z60" s="82" t="s">
        <v>114</v>
      </c>
      <c r="AA60" s="82" t="s">
        <v>311</v>
      </c>
      <c r="AB60" s="61">
        <v>0</v>
      </c>
      <c r="AC60" s="61">
        <v>0</v>
      </c>
      <c r="AD60" s="61">
        <v>0</v>
      </c>
      <c r="AE60" s="61">
        <v>0</v>
      </c>
      <c r="AF60" s="69">
        <f>IF(W60="SOPORTE_TELEFÓNICO",'BASE LIQUIDACION'!$B$10,IF(Y60="TIPO I",'BASE LIQUIDACION'!$C$3,IF(Y60="TIPO II",'BASE LIQUIDACION'!$C$4,IF(Y60="TIPO III",'BASE LIQUIDACION'!$C$5,'BASE LIQUIDACION'!$C$7))))</f>
        <v>37904.65408</v>
      </c>
      <c r="AG60" s="96">
        <f>IF(W60="SOPORTE_TELEFÓNICO",'BASE LIQUIDACION'!$B$10,(AB60*AF60+AC60*'BASE LIQUIDACION'!$B$12+AD60*'BASE LIQUIDACION'!$B$11+INCIDENTES!AE60*'BASE LIQUIDACION'!$B$13))</f>
        <v>37904.65408</v>
      </c>
    </row>
    <row r="61" spans="1:33" s="4" customFormat="1" ht="15" customHeight="1">
      <c r="A61" s="109" t="s">
        <v>100</v>
      </c>
      <c r="B61" s="56" t="str">
        <f>VLOOKUP(A61,'CENTRO DE COSTOS'!A:D,4,FALSE)</f>
        <v>JUAN SEBASTIÁN RÍOS CASTRILLÓN</v>
      </c>
      <c r="C61" s="56" t="str">
        <f>VLOOKUP(A61,'CENTRO DE COSTOS'!A:D,2,FALSE)</f>
        <v>0004-0005</v>
      </c>
      <c r="D61" s="109">
        <v>5001</v>
      </c>
      <c r="E61" s="109">
        <v>2574381</v>
      </c>
      <c r="F61" s="109">
        <v>79674</v>
      </c>
      <c r="G61" s="109" t="s">
        <v>1479</v>
      </c>
      <c r="H61" s="109" t="s">
        <v>104</v>
      </c>
      <c r="I61" s="109" t="s">
        <v>100</v>
      </c>
      <c r="J61" s="109" t="s">
        <v>1747</v>
      </c>
      <c r="K61" s="109" t="s">
        <v>106</v>
      </c>
      <c r="L61" s="82" t="s">
        <v>1748</v>
      </c>
      <c r="M61" s="97">
        <v>45878.575694444444</v>
      </c>
      <c r="N61" s="97">
        <v>45879.412499999999</v>
      </c>
      <c r="O61" s="82" t="s">
        <v>1482</v>
      </c>
      <c r="P61" s="82" t="s">
        <v>1483</v>
      </c>
      <c r="Q61" s="82" t="s">
        <v>1494</v>
      </c>
      <c r="R61" s="82" t="s">
        <v>1495</v>
      </c>
      <c r="S61" s="82" t="s">
        <v>1486</v>
      </c>
      <c r="T61" s="82" t="s">
        <v>1486</v>
      </c>
      <c r="U61" s="82" t="s">
        <v>1487</v>
      </c>
      <c r="V61" s="82" t="s">
        <v>1749</v>
      </c>
      <c r="W61" s="82" t="s">
        <v>1526</v>
      </c>
      <c r="X61" s="82"/>
      <c r="Y61" s="82" t="s">
        <v>113</v>
      </c>
      <c r="Z61" s="82" t="s">
        <v>114</v>
      </c>
      <c r="AA61" s="82" t="s">
        <v>321</v>
      </c>
      <c r="AB61" s="61">
        <v>0</v>
      </c>
      <c r="AC61" s="61">
        <v>0</v>
      </c>
      <c r="AD61" s="61">
        <v>0</v>
      </c>
      <c r="AE61" s="61">
        <v>0</v>
      </c>
      <c r="AF61" s="69">
        <f>IF(W61="SOPORTE_TELEFÓNICO",'BASE LIQUIDACION'!$B$10,IF(Y61="TIPO I",'BASE LIQUIDACION'!$C$3,IF(Y61="TIPO II",'BASE LIQUIDACION'!$C$4,IF(Y61="TIPO III",'BASE LIQUIDACION'!$C$5,'BASE LIQUIDACION'!$C$7))))</f>
        <v>37904.65408</v>
      </c>
      <c r="AG61" s="96">
        <f>IF(W61="SOPORTE_TELEFÓNICO",'BASE LIQUIDACION'!$B$10,(AB61*AF61+AC61*'BASE LIQUIDACION'!$B$12+AD61*'BASE LIQUIDACION'!$B$11+INCIDENTES!AE61*'BASE LIQUIDACION'!$B$13))</f>
        <v>37904.65408</v>
      </c>
    </row>
    <row r="62" spans="1:33" s="4" customFormat="1">
      <c r="A62" s="109" t="s">
        <v>100</v>
      </c>
      <c r="B62" s="56" t="str">
        <f>VLOOKUP(A62,'CENTRO DE COSTOS'!A:D,4,FALSE)</f>
        <v>JUAN SEBASTIÁN RÍOS CASTRILLÓN</v>
      </c>
      <c r="C62" s="56" t="str">
        <f>VLOOKUP(A62,'CENTRO DE COSTOS'!A:D,2,FALSE)</f>
        <v>0004-0005</v>
      </c>
      <c r="D62" s="109">
        <v>5001</v>
      </c>
      <c r="E62" s="109">
        <v>2574160</v>
      </c>
      <c r="F62" s="109">
        <v>68701</v>
      </c>
      <c r="G62" s="109" t="s">
        <v>1479</v>
      </c>
      <c r="H62" s="109" t="s">
        <v>104</v>
      </c>
      <c r="I62" s="109" t="s">
        <v>100</v>
      </c>
      <c r="J62" s="109" t="s">
        <v>1750</v>
      </c>
      <c r="K62" s="109" t="s">
        <v>106</v>
      </c>
      <c r="L62" s="82" t="s">
        <v>1751</v>
      </c>
      <c r="M62" s="97">
        <v>45878.484722222223</v>
      </c>
      <c r="N62" s="97">
        <v>45880.502083333333</v>
      </c>
      <c r="O62" s="82" t="s">
        <v>1482</v>
      </c>
      <c r="P62" s="82" t="s">
        <v>1483</v>
      </c>
      <c r="Q62" s="82" t="s">
        <v>1484</v>
      </c>
      <c r="R62" s="82" t="s">
        <v>1485</v>
      </c>
      <c r="S62" s="82" t="s">
        <v>1486</v>
      </c>
      <c r="T62" s="82" t="s">
        <v>1486</v>
      </c>
      <c r="U62" s="82" t="s">
        <v>1487</v>
      </c>
      <c r="V62" s="82" t="s">
        <v>1752</v>
      </c>
      <c r="W62" s="82" t="s">
        <v>1489</v>
      </c>
      <c r="X62" s="82" t="s">
        <v>1753</v>
      </c>
      <c r="Y62" s="82" t="s">
        <v>113</v>
      </c>
      <c r="Z62" s="82" t="s">
        <v>114</v>
      </c>
      <c r="AA62" s="82" t="s">
        <v>1505</v>
      </c>
      <c r="AB62" s="61">
        <v>1</v>
      </c>
      <c r="AC62" s="61">
        <v>0</v>
      </c>
      <c r="AD62" s="61">
        <v>0</v>
      </c>
      <c r="AE62" s="61">
        <v>0</v>
      </c>
      <c r="AF62" s="69">
        <f>IF(W62="SOPORTE_TELEFÓNICO",'BASE LIQUIDACION'!$B$10,IF(Y62="TIPO I",'BASE LIQUIDACION'!$C$3,IF(Y62="TIPO II",'BASE LIQUIDACION'!$C$4,IF(Y62="TIPO III",'BASE LIQUIDACION'!$C$5,'BASE LIQUIDACION'!$C$7))))</f>
        <v>65960.473639999997</v>
      </c>
      <c r="AG62" s="96">
        <f>IF(W62="SOPORTE_TELEFÓNICO",'BASE LIQUIDACION'!$B$10,(AB62*AF62+AC62*'BASE LIQUIDACION'!$B$12+AD62*'BASE LIQUIDACION'!$B$11+INCIDENTES!AE62*'BASE LIQUIDACION'!$B$13))</f>
        <v>65960.473639999997</v>
      </c>
    </row>
    <row r="63" spans="1:33" s="4" customFormat="1">
      <c r="A63" s="109" t="s">
        <v>100</v>
      </c>
      <c r="B63" s="56" t="str">
        <f>VLOOKUP(A63,'CENTRO DE COSTOS'!A:D,4,FALSE)</f>
        <v>JUAN SEBASTIÁN RÍOS CASTRILLÓN</v>
      </c>
      <c r="C63" s="56" t="str">
        <f>VLOOKUP(A63,'CENTRO DE COSTOS'!A:D,2,FALSE)</f>
        <v>0004-0005</v>
      </c>
      <c r="D63" s="109">
        <v>5001</v>
      </c>
      <c r="E63" s="109">
        <v>2574610</v>
      </c>
      <c r="F63" s="109">
        <v>76844</v>
      </c>
      <c r="G63" s="109" t="s">
        <v>1479</v>
      </c>
      <c r="H63" s="109" t="s">
        <v>104</v>
      </c>
      <c r="I63" s="109" t="s">
        <v>100</v>
      </c>
      <c r="J63" s="109" t="s">
        <v>1754</v>
      </c>
      <c r="K63" s="109" t="s">
        <v>106</v>
      </c>
      <c r="L63" s="82" t="s">
        <v>1755</v>
      </c>
      <c r="M63" s="97">
        <v>45878.728472222225</v>
      </c>
      <c r="N63" s="97">
        <v>45880.504861111112</v>
      </c>
      <c r="O63" s="82" t="s">
        <v>1482</v>
      </c>
      <c r="P63" s="82" t="s">
        <v>1483</v>
      </c>
      <c r="Q63" s="82" t="s">
        <v>1484</v>
      </c>
      <c r="R63" s="82" t="s">
        <v>1485</v>
      </c>
      <c r="S63" s="82" t="s">
        <v>317</v>
      </c>
      <c r="T63" s="82" t="s">
        <v>317</v>
      </c>
      <c r="U63" s="82" t="s">
        <v>1487</v>
      </c>
      <c r="V63" s="82" t="s">
        <v>1756</v>
      </c>
      <c r="W63" s="82" t="s">
        <v>1489</v>
      </c>
      <c r="X63" s="82" t="s">
        <v>1757</v>
      </c>
      <c r="Y63" s="82" t="s">
        <v>113</v>
      </c>
      <c r="Z63" s="82" t="s">
        <v>114</v>
      </c>
      <c r="AA63" s="82" t="s">
        <v>1505</v>
      </c>
      <c r="AB63" s="61">
        <v>1</v>
      </c>
      <c r="AC63" s="61">
        <v>0</v>
      </c>
      <c r="AD63" s="61">
        <v>0</v>
      </c>
      <c r="AE63" s="61">
        <v>0</v>
      </c>
      <c r="AF63" s="69">
        <f>IF(W63="SOPORTE_TELEFÓNICO",'BASE LIQUIDACION'!$B$10,IF(Y63="TIPO I",'BASE LIQUIDACION'!$C$3,IF(Y63="TIPO II",'BASE LIQUIDACION'!$C$4,IF(Y63="TIPO III",'BASE LIQUIDACION'!$C$5,'BASE LIQUIDACION'!$C$7))))</f>
        <v>65960.473639999997</v>
      </c>
      <c r="AG63" s="96">
        <f>IF(W63="SOPORTE_TELEFÓNICO",'BASE LIQUIDACION'!$B$10,(AB63*AF63+AC63*'BASE LIQUIDACION'!$B$12+AD63*'BASE LIQUIDACION'!$B$11+INCIDENTES!AE63*'BASE LIQUIDACION'!$B$13))</f>
        <v>65960.473639999997</v>
      </c>
    </row>
    <row r="64" spans="1:33" s="4" customFormat="1">
      <c r="A64" s="109" t="s">
        <v>100</v>
      </c>
      <c r="B64" s="56" t="str">
        <f>VLOOKUP(A64,'CENTRO DE COSTOS'!A:D,4,FALSE)</f>
        <v>JUAN SEBASTIÁN RÍOS CASTRILLÓN</v>
      </c>
      <c r="C64" s="56" t="str">
        <f>VLOOKUP(A64,'CENTRO DE COSTOS'!A:D,2,FALSE)</f>
        <v>0004-0005</v>
      </c>
      <c r="D64" s="109">
        <v>5209</v>
      </c>
      <c r="E64" s="109">
        <v>2574453</v>
      </c>
      <c r="F64" s="109">
        <v>31970</v>
      </c>
      <c r="G64" s="109" t="s">
        <v>1479</v>
      </c>
      <c r="H64" s="109" t="s">
        <v>104</v>
      </c>
      <c r="I64" s="109" t="s">
        <v>479</v>
      </c>
      <c r="J64" s="109" t="s">
        <v>1758</v>
      </c>
      <c r="K64" s="109" t="s">
        <v>106</v>
      </c>
      <c r="L64" s="82" t="s">
        <v>1759</v>
      </c>
      <c r="M64" s="97">
        <v>45878.745833333334</v>
      </c>
      <c r="N64" s="97">
        <v>45880.544444444444</v>
      </c>
      <c r="O64" s="82" t="s">
        <v>1482</v>
      </c>
      <c r="P64" s="82" t="s">
        <v>1483</v>
      </c>
      <c r="Q64" s="82" t="s">
        <v>1501</v>
      </c>
      <c r="R64" s="82" t="s">
        <v>1502</v>
      </c>
      <c r="S64" s="82" t="s">
        <v>317</v>
      </c>
      <c r="T64" s="82" t="s">
        <v>317</v>
      </c>
      <c r="U64" s="82" t="s">
        <v>1487</v>
      </c>
      <c r="V64" s="82" t="s">
        <v>1760</v>
      </c>
      <c r="W64" s="82" t="s">
        <v>1489</v>
      </c>
      <c r="X64" s="82" t="s">
        <v>1761</v>
      </c>
      <c r="Y64" s="82" t="s">
        <v>202</v>
      </c>
      <c r="Z64" s="82" t="s">
        <v>114</v>
      </c>
      <c r="AA64" s="82" t="s">
        <v>321</v>
      </c>
      <c r="AB64" s="61">
        <v>1</v>
      </c>
      <c r="AC64" s="61">
        <v>0</v>
      </c>
      <c r="AD64" s="61">
        <v>0</v>
      </c>
      <c r="AE64" s="61">
        <v>0</v>
      </c>
      <c r="AF64" s="69">
        <f>IF(W64="SOPORTE_TELEFÓNICO",'BASE LIQUIDACION'!$B$10,IF(Y64="TIPO I",'BASE LIQUIDACION'!$C$3,IF(Y64="TIPO II",'BASE LIQUIDACION'!$C$4,IF(Y64="TIPO III",'BASE LIQUIDACION'!$C$5,'BASE LIQUIDACION'!$C$7))))</f>
        <v>275728.37943999999</v>
      </c>
      <c r="AG64" s="96">
        <f>IF(W64="SOPORTE_TELEFÓNICO",'BASE LIQUIDACION'!$B$10,(AB64*AF64+AC64*'BASE LIQUIDACION'!$B$12+AD64*'BASE LIQUIDACION'!$B$11+INCIDENTES!AE64*'BASE LIQUIDACION'!$B$13))</f>
        <v>275728.37943999999</v>
      </c>
    </row>
    <row r="65" spans="1:33" s="4" customFormat="1">
      <c r="A65" s="109" t="s">
        <v>157</v>
      </c>
      <c r="B65" s="56" t="str">
        <f>VLOOKUP(A65,'CENTRO DE COSTOS'!A:D,4,FALSE)</f>
        <v>KEVIN ALEXIS CORZO BUSTOS</v>
      </c>
      <c r="C65" s="56" t="str">
        <f>VLOOKUP(A65,'CENTRO DE COSTOS'!A:D,2,FALSE)</f>
        <v>0004-0007</v>
      </c>
      <c r="D65" s="109">
        <v>73268</v>
      </c>
      <c r="E65" s="109">
        <v>2576101</v>
      </c>
      <c r="F65" s="109">
        <v>31812</v>
      </c>
      <c r="G65" s="109" t="s">
        <v>1479</v>
      </c>
      <c r="H65" s="109" t="s">
        <v>159</v>
      </c>
      <c r="I65" s="109" t="s">
        <v>1390</v>
      </c>
      <c r="J65" s="109" t="s">
        <v>1762</v>
      </c>
      <c r="K65" s="109" t="s">
        <v>106</v>
      </c>
      <c r="L65" s="82" t="s">
        <v>1763</v>
      </c>
      <c r="M65" s="97">
        <v>45880.347916666666</v>
      </c>
      <c r="N65" s="97">
        <v>45880.554166666669</v>
      </c>
      <c r="O65" s="82" t="s">
        <v>1482</v>
      </c>
      <c r="P65" s="82" t="s">
        <v>1483</v>
      </c>
      <c r="Q65" s="82" t="s">
        <v>1494</v>
      </c>
      <c r="R65" s="82" t="s">
        <v>1519</v>
      </c>
      <c r="S65" s="82" t="s">
        <v>1486</v>
      </c>
      <c r="T65" s="82" t="s">
        <v>1486</v>
      </c>
      <c r="U65" s="82" t="s">
        <v>1487</v>
      </c>
      <c r="V65" s="82" t="s">
        <v>1764</v>
      </c>
      <c r="W65" s="82" t="s">
        <v>1489</v>
      </c>
      <c r="X65" s="82" t="s">
        <v>1765</v>
      </c>
      <c r="Y65" s="82" t="s">
        <v>148</v>
      </c>
      <c r="Z65" s="82" t="s">
        <v>114</v>
      </c>
      <c r="AA65" s="82" t="s">
        <v>1594</v>
      </c>
      <c r="AB65" s="61">
        <v>1</v>
      </c>
      <c r="AC65" s="61">
        <v>0</v>
      </c>
      <c r="AD65" s="61">
        <v>0</v>
      </c>
      <c r="AE65" s="61">
        <v>0</v>
      </c>
      <c r="AF65" s="69">
        <f>IF(W65="SOPORTE_TELEFÓNICO",'BASE LIQUIDACION'!$B$10,IF(Y65="TIPO I",'BASE LIQUIDACION'!$C$3,IF(Y65="TIPO II",'BASE LIQUIDACION'!$C$4,IF(Y65="TIPO III",'BASE LIQUIDACION'!$C$5,'BASE LIQUIDACION'!$C$7))))</f>
        <v>163813.55812</v>
      </c>
      <c r="AG65" s="96">
        <f>IF(W65="SOPORTE_TELEFÓNICO",'BASE LIQUIDACION'!$B$10,(AB65*AF65+AC65*'BASE LIQUIDACION'!$B$12+AD65*'BASE LIQUIDACION'!$B$11+INCIDENTES!AE65*'BASE LIQUIDACION'!$B$13))</f>
        <v>163813.55812</v>
      </c>
    </row>
    <row r="66" spans="1:33" s="4" customFormat="1">
      <c r="A66" s="109" t="s">
        <v>100</v>
      </c>
      <c r="B66" s="56" t="str">
        <f>VLOOKUP(A66,'CENTRO DE COSTOS'!A:D,4,FALSE)</f>
        <v>JUAN SEBASTIÁN RÍOS CASTRILLÓN</v>
      </c>
      <c r="C66" s="56" t="str">
        <f>VLOOKUP(A66,'CENTRO DE COSTOS'!A:D,2,FALSE)</f>
        <v>0004-0005</v>
      </c>
      <c r="D66" s="109">
        <v>5129</v>
      </c>
      <c r="E66" s="109">
        <v>2578493</v>
      </c>
      <c r="F66" s="109">
        <v>56995</v>
      </c>
      <c r="G66" s="109" t="s">
        <v>1479</v>
      </c>
      <c r="H66" s="109" t="s">
        <v>104</v>
      </c>
      <c r="I66" s="109" t="s">
        <v>423</v>
      </c>
      <c r="J66" s="109" t="s">
        <v>1766</v>
      </c>
      <c r="K66" s="109" t="s">
        <v>106</v>
      </c>
      <c r="L66" s="82" t="s">
        <v>1767</v>
      </c>
      <c r="M66" s="97">
        <v>45880.462500000001</v>
      </c>
      <c r="N66" s="97">
        <v>45880.705555555556</v>
      </c>
      <c r="O66" s="82" t="s">
        <v>1482</v>
      </c>
      <c r="P66" s="82" t="s">
        <v>1483</v>
      </c>
      <c r="Q66" s="82" t="s">
        <v>1501</v>
      </c>
      <c r="R66" s="82" t="s">
        <v>1502</v>
      </c>
      <c r="S66" s="82" t="s">
        <v>317</v>
      </c>
      <c r="T66" s="82" t="s">
        <v>317</v>
      </c>
      <c r="U66" s="82" t="s">
        <v>1487</v>
      </c>
      <c r="V66" s="82" t="s">
        <v>1768</v>
      </c>
      <c r="W66" s="82" t="s">
        <v>1489</v>
      </c>
      <c r="X66" s="82" t="s">
        <v>1769</v>
      </c>
      <c r="Y66" s="82" t="s">
        <v>113</v>
      </c>
      <c r="Z66" s="82" t="s">
        <v>114</v>
      </c>
      <c r="AA66" s="82" t="s">
        <v>321</v>
      </c>
      <c r="AB66" s="61">
        <v>1</v>
      </c>
      <c r="AC66" s="61">
        <v>0</v>
      </c>
      <c r="AD66" s="61">
        <v>0</v>
      </c>
      <c r="AE66" s="61">
        <v>0</v>
      </c>
      <c r="AF66" s="69">
        <f>IF(W66="SOPORTE_TELEFÓNICO",'BASE LIQUIDACION'!$B$10,IF(Y66="TIPO I",'BASE LIQUIDACION'!$C$3,IF(Y66="TIPO II",'BASE LIQUIDACION'!$C$4,IF(Y66="TIPO III",'BASE LIQUIDACION'!$C$5,'BASE LIQUIDACION'!$C$7))))</f>
        <v>65960.473639999997</v>
      </c>
      <c r="AG66" s="96">
        <f>IF(W66="SOPORTE_TELEFÓNICO",'BASE LIQUIDACION'!$B$10,(AB66*AF66+AC66*'BASE LIQUIDACION'!$B$12+AD66*'BASE LIQUIDACION'!$B$11+INCIDENTES!AE66*'BASE LIQUIDACION'!$B$13))</f>
        <v>65960.473639999997</v>
      </c>
    </row>
    <row r="67" spans="1:33" s="4" customFormat="1">
      <c r="A67" s="109" t="s">
        <v>100</v>
      </c>
      <c r="B67" s="56" t="str">
        <f>VLOOKUP(A67,'CENTRO DE COSTOS'!A:D,4,FALSE)</f>
        <v>JUAN SEBASTIÁN RÍOS CASTRILLÓN</v>
      </c>
      <c r="C67" s="56" t="str">
        <f>VLOOKUP(A67,'CENTRO DE COSTOS'!A:D,2,FALSE)</f>
        <v>0004-0005</v>
      </c>
      <c r="D67" s="109">
        <v>5360</v>
      </c>
      <c r="E67" s="109">
        <v>2580932</v>
      </c>
      <c r="F67" s="109">
        <v>61338</v>
      </c>
      <c r="G67" s="109" t="s">
        <v>1479</v>
      </c>
      <c r="H67" s="109" t="s">
        <v>104</v>
      </c>
      <c r="I67" s="109" t="s">
        <v>537</v>
      </c>
      <c r="J67" s="109" t="s">
        <v>1770</v>
      </c>
      <c r="K67" s="109" t="s">
        <v>106</v>
      </c>
      <c r="L67" s="82" t="s">
        <v>1771</v>
      </c>
      <c r="M67" s="97">
        <v>45880.643750000003</v>
      </c>
      <c r="N67" s="97">
        <v>45881.445138888892</v>
      </c>
      <c r="O67" s="82" t="s">
        <v>1482</v>
      </c>
      <c r="P67" s="82" t="s">
        <v>1483</v>
      </c>
      <c r="Q67" s="82" t="s">
        <v>1494</v>
      </c>
      <c r="R67" s="82" t="s">
        <v>1519</v>
      </c>
      <c r="S67" s="82" t="s">
        <v>1486</v>
      </c>
      <c r="T67" s="82" t="s">
        <v>1486</v>
      </c>
      <c r="U67" s="82" t="s">
        <v>1487</v>
      </c>
      <c r="V67" s="82" t="s">
        <v>1772</v>
      </c>
      <c r="W67" s="82" t="s">
        <v>1489</v>
      </c>
      <c r="X67" s="82" t="s">
        <v>1773</v>
      </c>
      <c r="Y67" s="82" t="s">
        <v>113</v>
      </c>
      <c r="Z67" s="82" t="s">
        <v>114</v>
      </c>
      <c r="AA67" s="82" t="s">
        <v>1505</v>
      </c>
      <c r="AB67" s="61">
        <v>1</v>
      </c>
      <c r="AC67" s="61">
        <v>0</v>
      </c>
      <c r="AD67" s="61">
        <v>0</v>
      </c>
      <c r="AE67" s="61">
        <v>0</v>
      </c>
      <c r="AF67" s="69">
        <f>IF(W67="SOPORTE_TELEFÓNICO",'BASE LIQUIDACION'!$B$10,IF(Y67="TIPO I",'BASE LIQUIDACION'!$C$3,IF(Y67="TIPO II",'BASE LIQUIDACION'!$C$4,IF(Y67="TIPO III",'BASE LIQUIDACION'!$C$5,'BASE LIQUIDACION'!$C$7))))</f>
        <v>65960.473639999997</v>
      </c>
      <c r="AG67" s="96">
        <f>IF(W67="SOPORTE_TELEFÓNICO",'BASE LIQUIDACION'!$B$10,(AB67*AF67+AC67*'BASE LIQUIDACION'!$B$12+AD67*'BASE LIQUIDACION'!$B$11+INCIDENTES!AE67*'BASE LIQUIDACION'!$B$13))</f>
        <v>65960.473639999997</v>
      </c>
    </row>
    <row r="68" spans="1:33" s="4" customFormat="1">
      <c r="A68" s="109" t="s">
        <v>504</v>
      </c>
      <c r="B68" s="56" t="str">
        <f>VLOOKUP(A68,'CENTRO DE COSTOS'!A:D,4,FALSE)</f>
        <v>JOSE MAURICIO HERNANDEZ ROJAS</v>
      </c>
      <c r="C68" s="56" t="str">
        <f>VLOOKUP(A68,'CENTRO DE COSTOS'!A:D,2,FALSE)</f>
        <v>0004-0001</v>
      </c>
      <c r="D68" s="109">
        <v>5154</v>
      </c>
      <c r="E68" s="109">
        <v>2576357</v>
      </c>
      <c r="F68" s="109">
        <v>52871</v>
      </c>
      <c r="G68" s="109" t="s">
        <v>1479</v>
      </c>
      <c r="H68" s="109" t="s">
        <v>104</v>
      </c>
      <c r="I68" s="109" t="s">
        <v>516</v>
      </c>
      <c r="J68" s="109" t="s">
        <v>1774</v>
      </c>
      <c r="K68" s="109" t="s">
        <v>106</v>
      </c>
      <c r="L68" s="82" t="s">
        <v>1775</v>
      </c>
      <c r="M68" s="97">
        <v>45880.369444444441</v>
      </c>
      <c r="N68" s="97">
        <v>45881.48541666667</v>
      </c>
      <c r="O68" s="82" t="s">
        <v>1482</v>
      </c>
      <c r="P68" s="82" t="s">
        <v>1483</v>
      </c>
      <c r="Q68" s="82" t="s">
        <v>1494</v>
      </c>
      <c r="R68" s="82" t="s">
        <v>1495</v>
      </c>
      <c r="S68" s="82" t="s">
        <v>1486</v>
      </c>
      <c r="T68" s="82" t="s">
        <v>1486</v>
      </c>
      <c r="U68" s="82" t="s">
        <v>1487</v>
      </c>
      <c r="V68" s="82" t="s">
        <v>1776</v>
      </c>
      <c r="W68" s="82" t="s">
        <v>1489</v>
      </c>
      <c r="X68" s="82" t="s">
        <v>1777</v>
      </c>
      <c r="Y68" s="82" t="s">
        <v>148</v>
      </c>
      <c r="Z68" s="82" t="s">
        <v>114</v>
      </c>
      <c r="AA68" s="82" t="s">
        <v>1778</v>
      </c>
      <c r="AB68" s="61">
        <v>1</v>
      </c>
      <c r="AC68" s="61">
        <v>0</v>
      </c>
      <c r="AD68" s="61">
        <v>0</v>
      </c>
      <c r="AE68" s="61">
        <v>0</v>
      </c>
      <c r="AF68" s="69">
        <f>IF(W68="SOPORTE_TELEFÓNICO",'BASE LIQUIDACION'!$B$10,IF(Y68="TIPO I",'BASE LIQUIDACION'!$C$3,IF(Y68="TIPO II",'BASE LIQUIDACION'!$C$4,IF(Y68="TIPO III",'BASE LIQUIDACION'!$C$5,'BASE LIQUIDACION'!$C$7))))</f>
        <v>163813.55812</v>
      </c>
      <c r="AG68" s="96">
        <f>IF(W68="SOPORTE_TELEFÓNICO",'BASE LIQUIDACION'!$B$10,(AB68*AF68+AC68*'BASE LIQUIDACION'!$B$12+AD68*'BASE LIQUIDACION'!$B$11+INCIDENTES!AE68*'BASE LIQUIDACION'!$B$13))</f>
        <v>163813.55812</v>
      </c>
    </row>
    <row r="69" spans="1:33" s="4" customFormat="1">
      <c r="A69" s="109" t="s">
        <v>132</v>
      </c>
      <c r="B69" s="56" t="str">
        <f>VLOOKUP(A69,'CENTRO DE COSTOS'!A:D,4,FALSE)</f>
        <v>DIEGO FERNANDO HENAO CARDONA</v>
      </c>
      <c r="C69" s="56" t="str">
        <f>VLOOKUP(A69,'CENTRO DE COSTOS'!A:D,2,FALSE)</f>
        <v>0004-0003</v>
      </c>
      <c r="D69" s="109">
        <v>76001</v>
      </c>
      <c r="E69" s="109">
        <v>2580867</v>
      </c>
      <c r="F69" s="109">
        <v>74005</v>
      </c>
      <c r="G69" s="109" t="s">
        <v>1479</v>
      </c>
      <c r="H69" s="109" t="s">
        <v>134</v>
      </c>
      <c r="I69" s="109" t="s">
        <v>132</v>
      </c>
      <c r="J69" s="109" t="s">
        <v>1779</v>
      </c>
      <c r="K69" s="109" t="s">
        <v>106</v>
      </c>
      <c r="L69" s="82" t="s">
        <v>1780</v>
      </c>
      <c r="M69" s="97">
        <v>45880.643055555556</v>
      </c>
      <c r="N69" s="97">
        <v>45881.508333333331</v>
      </c>
      <c r="O69" s="82" t="s">
        <v>1482</v>
      </c>
      <c r="P69" s="82" t="s">
        <v>1483</v>
      </c>
      <c r="Q69" s="82" t="s">
        <v>1494</v>
      </c>
      <c r="R69" s="82" t="s">
        <v>1519</v>
      </c>
      <c r="S69" s="82" t="s">
        <v>1486</v>
      </c>
      <c r="T69" s="82" t="s">
        <v>1486</v>
      </c>
      <c r="U69" s="82" t="s">
        <v>1487</v>
      </c>
      <c r="V69" s="82" t="s">
        <v>1781</v>
      </c>
      <c r="W69" s="82" t="s">
        <v>1489</v>
      </c>
      <c r="X69" s="82" t="s">
        <v>1782</v>
      </c>
      <c r="Y69" s="82" t="s">
        <v>113</v>
      </c>
      <c r="Z69" s="82" t="s">
        <v>114</v>
      </c>
      <c r="AA69" s="82" t="s">
        <v>1704</v>
      </c>
      <c r="AB69" s="61">
        <v>1</v>
      </c>
      <c r="AC69" s="61">
        <v>0</v>
      </c>
      <c r="AD69" s="61">
        <v>0</v>
      </c>
      <c r="AE69" s="61">
        <v>0</v>
      </c>
      <c r="AF69" s="69">
        <f>IF(W69="SOPORTE_TELEFÓNICO",'BASE LIQUIDACION'!$B$10,IF(Y69="TIPO I",'BASE LIQUIDACION'!$C$3,IF(Y69="TIPO II",'BASE LIQUIDACION'!$C$4,IF(Y69="TIPO III",'BASE LIQUIDACION'!$C$5,'BASE LIQUIDACION'!$C$7))))</f>
        <v>65960.473639999997</v>
      </c>
      <c r="AG69" s="96">
        <f>IF(W69="SOPORTE_TELEFÓNICO",'BASE LIQUIDACION'!$B$10,(AB69*AF69+AC69*'BASE LIQUIDACION'!$B$12+AD69*'BASE LIQUIDACION'!$B$11+INCIDENTES!AE69*'BASE LIQUIDACION'!$B$13))</f>
        <v>65960.473639999997</v>
      </c>
    </row>
    <row r="70" spans="1:33" s="4" customFormat="1">
      <c r="A70" s="109" t="s">
        <v>504</v>
      </c>
      <c r="B70" s="56" t="str">
        <f>VLOOKUP(A70,'CENTRO DE COSTOS'!A:D,4,FALSE)</f>
        <v>JOSE MAURICIO HERNANDEZ ROJAS</v>
      </c>
      <c r="C70" s="56" t="str">
        <f>VLOOKUP(A70,'CENTRO DE COSTOS'!A:D,2,FALSE)</f>
        <v>0004-0001</v>
      </c>
      <c r="D70" s="109">
        <v>23855</v>
      </c>
      <c r="E70" s="109">
        <v>2582605</v>
      </c>
      <c r="F70" s="109">
        <v>75531</v>
      </c>
      <c r="G70" s="109" t="s">
        <v>1479</v>
      </c>
      <c r="H70" s="109" t="s">
        <v>620</v>
      </c>
      <c r="I70" s="109" t="s">
        <v>948</v>
      </c>
      <c r="J70" s="109" t="s">
        <v>1783</v>
      </c>
      <c r="K70" s="109" t="s">
        <v>106</v>
      </c>
      <c r="L70" s="82" t="s">
        <v>1784</v>
      </c>
      <c r="M70" s="97">
        <v>45881.333333333336</v>
      </c>
      <c r="N70" s="97">
        <v>45881.57708333333</v>
      </c>
      <c r="O70" s="82" t="s">
        <v>1482</v>
      </c>
      <c r="P70" s="82" t="s">
        <v>1483</v>
      </c>
      <c r="Q70" s="82" t="s">
        <v>1551</v>
      </c>
      <c r="R70" s="82" t="s">
        <v>1552</v>
      </c>
      <c r="S70" s="82" t="s">
        <v>317</v>
      </c>
      <c r="T70" s="82" t="s">
        <v>317</v>
      </c>
      <c r="U70" s="82" t="s">
        <v>1487</v>
      </c>
      <c r="V70" s="82" t="s">
        <v>1785</v>
      </c>
      <c r="W70" s="82" t="s">
        <v>1489</v>
      </c>
      <c r="X70" s="82" t="s">
        <v>1786</v>
      </c>
      <c r="Y70" s="82" t="s">
        <v>202</v>
      </c>
      <c r="Z70" s="82" t="s">
        <v>114</v>
      </c>
      <c r="AA70" s="82" t="s">
        <v>1638</v>
      </c>
      <c r="AB70" s="61">
        <v>1</v>
      </c>
      <c r="AC70" s="61">
        <v>0</v>
      </c>
      <c r="AD70" s="61">
        <v>0</v>
      </c>
      <c r="AE70" s="61">
        <v>0</v>
      </c>
      <c r="AF70" s="69">
        <f>IF(W70="SOPORTE_TELEFÓNICO",'BASE LIQUIDACION'!$B$10,IF(Y70="TIPO I",'BASE LIQUIDACION'!$C$3,IF(Y70="TIPO II",'BASE LIQUIDACION'!$C$4,IF(Y70="TIPO III",'BASE LIQUIDACION'!$C$5,'BASE LIQUIDACION'!$C$7))))</f>
        <v>275728.37943999999</v>
      </c>
      <c r="AG70" s="96">
        <f>IF(W70="SOPORTE_TELEFÓNICO",'BASE LIQUIDACION'!$B$10,(AB70*AF70+AC70*'BASE LIQUIDACION'!$B$12+AD70*'BASE LIQUIDACION'!$B$11+INCIDENTES!AE70*'BASE LIQUIDACION'!$B$13))</f>
        <v>275728.37943999999</v>
      </c>
    </row>
    <row r="71" spans="1:33" s="4" customFormat="1">
      <c r="A71" s="109" t="s">
        <v>502</v>
      </c>
      <c r="B71" s="56" t="str">
        <f>VLOOKUP(A71,'CENTRO DE COSTOS'!A:D,4,FALSE)</f>
        <v>JUAN SEBASTIÁN RÍOS CASTRILLÓN</v>
      </c>
      <c r="C71" s="56" t="str">
        <f>VLOOKUP(A71,'CENTRO DE COSTOS'!A:D,2,FALSE)</f>
        <v>0004-0005</v>
      </c>
      <c r="D71" s="109">
        <v>27615</v>
      </c>
      <c r="E71" s="109">
        <v>2574432</v>
      </c>
      <c r="F71" s="109">
        <v>34023</v>
      </c>
      <c r="G71" s="109" t="s">
        <v>1479</v>
      </c>
      <c r="H71" s="109" t="s">
        <v>892</v>
      </c>
      <c r="I71" s="109" t="s">
        <v>779</v>
      </c>
      <c r="J71" s="109" t="s">
        <v>1787</v>
      </c>
      <c r="K71" s="109" t="s">
        <v>106</v>
      </c>
      <c r="L71" s="82" t="s">
        <v>1788</v>
      </c>
      <c r="M71" s="97">
        <v>45878.672222222223</v>
      </c>
      <c r="N71" s="97">
        <v>45881.688194444447</v>
      </c>
      <c r="O71" s="82" t="s">
        <v>1482</v>
      </c>
      <c r="P71" s="82" t="s">
        <v>1483</v>
      </c>
      <c r="Q71" s="82" t="s">
        <v>1494</v>
      </c>
      <c r="R71" s="82" t="s">
        <v>1519</v>
      </c>
      <c r="S71" s="82" t="s">
        <v>317</v>
      </c>
      <c r="T71" s="82" t="s">
        <v>317</v>
      </c>
      <c r="U71" s="82" t="s">
        <v>1487</v>
      </c>
      <c r="V71" s="82" t="s">
        <v>1789</v>
      </c>
      <c r="W71" s="82" t="s">
        <v>1489</v>
      </c>
      <c r="X71" s="82" t="s">
        <v>1790</v>
      </c>
      <c r="Y71" s="82" t="s">
        <v>462</v>
      </c>
      <c r="Z71" s="82" t="s">
        <v>625</v>
      </c>
      <c r="AA71" s="82" t="s">
        <v>1604</v>
      </c>
      <c r="AB71" s="61">
        <v>1</v>
      </c>
      <c r="AC71" s="61">
        <v>0</v>
      </c>
      <c r="AD71" s="61">
        <v>0</v>
      </c>
      <c r="AE71" s="61">
        <v>0</v>
      </c>
      <c r="AF71" s="69">
        <f>IF(W71="SOPORTE_TELEFÓNICO",'BASE LIQUIDACION'!$B$10,IF(Y71="TIPO I",'BASE LIQUIDACION'!$C$3,IF(Y71="TIPO II",'BASE LIQUIDACION'!$C$4,IF(Y71="TIPO III",'BASE LIQUIDACION'!$C$5,'BASE LIQUIDACION'!$C$7))))</f>
        <v>479589.73656000005</v>
      </c>
      <c r="AG71" s="96">
        <f>IF(W71="SOPORTE_TELEFÓNICO",'BASE LIQUIDACION'!$B$10,(AB71*AF71+AC71*'BASE LIQUIDACION'!$B$12+AD71*'BASE LIQUIDACION'!$B$11+INCIDENTES!AE71*'BASE LIQUIDACION'!$B$13))</f>
        <v>479589.73656000005</v>
      </c>
    </row>
    <row r="72" spans="1:33" s="4" customFormat="1">
      <c r="A72" s="109" t="s">
        <v>1353</v>
      </c>
      <c r="B72" s="56" t="str">
        <f>VLOOKUP(A72,'CENTRO DE COSTOS'!A:D,4,FALSE)</f>
        <v>JOSE MAURICIO HERNANDEZ ROJAS</v>
      </c>
      <c r="C72" s="56" t="str">
        <f>VLOOKUP(A72,'CENTRO DE COSTOS'!A:D,2,FALSE)</f>
        <v>0004-0001</v>
      </c>
      <c r="D72" s="109">
        <v>70001</v>
      </c>
      <c r="E72" s="109">
        <v>2583342</v>
      </c>
      <c r="F72" s="109">
        <v>38719</v>
      </c>
      <c r="G72" s="109" t="s">
        <v>1479</v>
      </c>
      <c r="H72" s="109" t="s">
        <v>836</v>
      </c>
      <c r="I72" s="109" t="s">
        <v>1353</v>
      </c>
      <c r="J72" s="109" t="s">
        <v>1791</v>
      </c>
      <c r="K72" s="109" t="s">
        <v>106</v>
      </c>
      <c r="L72" s="82" t="s">
        <v>1792</v>
      </c>
      <c r="M72" s="97">
        <v>45881.351388888892</v>
      </c>
      <c r="N72" s="97">
        <v>45881.697916666664</v>
      </c>
      <c r="O72" s="82" t="s">
        <v>1482</v>
      </c>
      <c r="P72" s="82" t="s">
        <v>1483</v>
      </c>
      <c r="Q72" s="82" t="s">
        <v>1494</v>
      </c>
      <c r="R72" s="82" t="s">
        <v>1495</v>
      </c>
      <c r="S72" s="82" t="s">
        <v>1486</v>
      </c>
      <c r="T72" s="82" t="s">
        <v>1486</v>
      </c>
      <c r="U72" s="82" t="s">
        <v>1487</v>
      </c>
      <c r="V72" s="82" t="s">
        <v>1793</v>
      </c>
      <c r="W72" s="82" t="s">
        <v>1489</v>
      </c>
      <c r="X72" s="82" t="s">
        <v>1794</v>
      </c>
      <c r="Y72" s="82" t="s">
        <v>113</v>
      </c>
      <c r="Z72" s="82" t="s">
        <v>114</v>
      </c>
      <c r="AA72" s="82" t="s">
        <v>1613</v>
      </c>
      <c r="AB72" s="61">
        <v>1</v>
      </c>
      <c r="AC72" s="61">
        <v>0</v>
      </c>
      <c r="AD72" s="61">
        <v>0</v>
      </c>
      <c r="AE72" s="61">
        <v>0</v>
      </c>
      <c r="AF72" s="69">
        <f>IF(W72="SOPORTE_TELEFÓNICO",'BASE LIQUIDACION'!$B$10,IF(Y72="TIPO I",'BASE LIQUIDACION'!$C$3,IF(Y72="TIPO II",'BASE LIQUIDACION'!$C$4,IF(Y72="TIPO III",'BASE LIQUIDACION'!$C$5,'BASE LIQUIDACION'!$C$7))))</f>
        <v>65960.473639999997</v>
      </c>
      <c r="AG72" s="96">
        <f>IF(W72="SOPORTE_TELEFÓNICO",'BASE LIQUIDACION'!$B$10,(AB72*AF72+AC72*'BASE LIQUIDACION'!$B$12+AD72*'BASE LIQUIDACION'!$B$11+INCIDENTES!AE72*'BASE LIQUIDACION'!$B$13))</f>
        <v>65960.473639999997</v>
      </c>
    </row>
    <row r="73" spans="1:33" s="4" customFormat="1">
      <c r="A73" s="109" t="s">
        <v>171</v>
      </c>
      <c r="B73" s="56" t="str">
        <f>VLOOKUP(A73,'CENTRO DE COSTOS'!A:D,4,FALSE)</f>
        <v>MIGUEL JULIÁN HERNÁNDEZ GUARÍN</v>
      </c>
      <c r="C73" s="56" t="str">
        <f>VLOOKUP(A73,'CENTRO DE COSTOS'!A:D,2,FALSE)</f>
        <v>0004-0008</v>
      </c>
      <c r="D73" s="109">
        <v>68307</v>
      </c>
      <c r="E73" s="109">
        <v>2584645</v>
      </c>
      <c r="F73" s="109">
        <v>73607</v>
      </c>
      <c r="G73" s="109" t="s">
        <v>1479</v>
      </c>
      <c r="H73" s="109" t="s">
        <v>173</v>
      </c>
      <c r="I73" s="109" t="s">
        <v>1310</v>
      </c>
      <c r="J73" s="109" t="s">
        <v>1795</v>
      </c>
      <c r="K73" s="109" t="s">
        <v>106</v>
      </c>
      <c r="L73" s="82" t="s">
        <v>1796</v>
      </c>
      <c r="M73" s="97">
        <v>45881.42083333333</v>
      </c>
      <c r="N73" s="97">
        <v>45881.713194444441</v>
      </c>
      <c r="O73" s="82" t="s">
        <v>1482</v>
      </c>
      <c r="P73" s="82" t="s">
        <v>1483</v>
      </c>
      <c r="Q73" s="82" t="s">
        <v>1797</v>
      </c>
      <c r="R73" s="82" t="s">
        <v>1519</v>
      </c>
      <c r="S73" s="82" t="s">
        <v>317</v>
      </c>
      <c r="T73" s="82" t="s">
        <v>317</v>
      </c>
      <c r="U73" s="82" t="s">
        <v>1487</v>
      </c>
      <c r="V73" s="82" t="s">
        <v>1798</v>
      </c>
      <c r="W73" s="82" t="s">
        <v>1526</v>
      </c>
      <c r="X73" s="82">
        <v>0</v>
      </c>
      <c r="Y73" s="82" t="s">
        <v>113</v>
      </c>
      <c r="Z73" s="82" t="s">
        <v>114</v>
      </c>
      <c r="AA73" s="82" t="s">
        <v>179</v>
      </c>
      <c r="AB73" s="61">
        <v>0</v>
      </c>
      <c r="AC73" s="61">
        <v>0</v>
      </c>
      <c r="AD73" s="61">
        <v>0</v>
      </c>
      <c r="AE73" s="61">
        <v>0</v>
      </c>
      <c r="AF73" s="69">
        <f>IF(W73="SOPORTE_TELEFÓNICO",'BASE LIQUIDACION'!$B$10,IF(Y73="TIPO I",'BASE LIQUIDACION'!$C$3,IF(Y73="TIPO II",'BASE LIQUIDACION'!$C$4,IF(Y73="TIPO III",'BASE LIQUIDACION'!$C$5,'BASE LIQUIDACION'!$C$7))))</f>
        <v>37904.65408</v>
      </c>
      <c r="AG73" s="96">
        <f>IF(W73="SOPORTE_TELEFÓNICO",'BASE LIQUIDACION'!$B$10,(AB73*AF73+AC73*'BASE LIQUIDACION'!$B$12+AD73*'BASE LIQUIDACION'!$B$11+INCIDENTES!AE73*'BASE LIQUIDACION'!$B$13))</f>
        <v>37904.65408</v>
      </c>
    </row>
    <row r="74" spans="1:33" s="4" customFormat="1">
      <c r="A74" s="109" t="s">
        <v>132</v>
      </c>
      <c r="B74" s="56" t="str">
        <f>VLOOKUP(A74,'CENTRO DE COSTOS'!A:D,4,FALSE)</f>
        <v>DIEGO FERNANDO HENAO CARDONA</v>
      </c>
      <c r="C74" s="56" t="str">
        <f>VLOOKUP(A74,'CENTRO DE COSTOS'!A:D,2,FALSE)</f>
        <v>0004-0003</v>
      </c>
      <c r="D74" s="109">
        <v>76364</v>
      </c>
      <c r="E74" s="109">
        <v>2580599</v>
      </c>
      <c r="F74" s="109">
        <v>41053</v>
      </c>
      <c r="G74" s="109" t="s">
        <v>1479</v>
      </c>
      <c r="H74" s="109" t="s">
        <v>134</v>
      </c>
      <c r="I74" s="109" t="s">
        <v>1437</v>
      </c>
      <c r="J74" s="109" t="s">
        <v>1799</v>
      </c>
      <c r="K74" s="109" t="s">
        <v>106</v>
      </c>
      <c r="L74" s="82" t="s">
        <v>1800</v>
      </c>
      <c r="M74" s="97">
        <v>45880.634722222225</v>
      </c>
      <c r="N74" s="97">
        <v>45881.72152777778</v>
      </c>
      <c r="O74" s="82" t="s">
        <v>1482</v>
      </c>
      <c r="P74" s="82" t="s">
        <v>1483</v>
      </c>
      <c r="Q74" s="82" t="s">
        <v>1494</v>
      </c>
      <c r="R74" s="82" t="s">
        <v>1495</v>
      </c>
      <c r="S74" s="82" t="s">
        <v>317</v>
      </c>
      <c r="T74" s="82" t="s">
        <v>317</v>
      </c>
      <c r="U74" s="82" t="s">
        <v>1487</v>
      </c>
      <c r="V74" s="82" t="s">
        <v>1801</v>
      </c>
      <c r="W74" s="82" t="s">
        <v>1526</v>
      </c>
      <c r="X74" s="82">
        <v>0</v>
      </c>
      <c r="Y74" s="82" t="s">
        <v>148</v>
      </c>
      <c r="Z74" s="82" t="s">
        <v>114</v>
      </c>
      <c r="AA74" s="82" t="s">
        <v>267</v>
      </c>
      <c r="AB74" s="61">
        <v>0</v>
      </c>
      <c r="AC74" s="61">
        <v>0</v>
      </c>
      <c r="AD74" s="61">
        <v>0</v>
      </c>
      <c r="AE74" s="61">
        <v>0</v>
      </c>
      <c r="AF74" s="69">
        <f>IF(W74="SOPORTE_TELEFÓNICO",'BASE LIQUIDACION'!$B$10,IF(Y74="TIPO I",'BASE LIQUIDACION'!$C$3,IF(Y74="TIPO II",'BASE LIQUIDACION'!$C$4,IF(Y74="TIPO III",'BASE LIQUIDACION'!$C$5,'BASE LIQUIDACION'!$C$7))))</f>
        <v>37904.65408</v>
      </c>
      <c r="AG74" s="96">
        <f>IF(W74="SOPORTE_TELEFÓNICO",'BASE LIQUIDACION'!$B$10,(AB74*AF74+AC74*'BASE LIQUIDACION'!$B$12+AD74*'BASE LIQUIDACION'!$B$11+INCIDENTES!AE74*'BASE LIQUIDACION'!$B$13))</f>
        <v>37904.65408</v>
      </c>
    </row>
    <row r="75" spans="1:33" s="4" customFormat="1">
      <c r="A75" s="109" t="s">
        <v>100</v>
      </c>
      <c r="B75" s="56" t="str">
        <f>VLOOKUP(A75,'CENTRO DE COSTOS'!A:D,4,FALSE)</f>
        <v>JUAN SEBASTIÁN RÍOS CASTRILLÓN</v>
      </c>
      <c r="C75" s="56" t="str">
        <f>VLOOKUP(A75,'CENTRO DE COSTOS'!A:D,2,FALSE)</f>
        <v>0004-0005</v>
      </c>
      <c r="D75" s="109">
        <v>5266</v>
      </c>
      <c r="E75" s="109">
        <v>2584198</v>
      </c>
      <c r="F75" s="109">
        <v>39215</v>
      </c>
      <c r="G75" s="109" t="s">
        <v>1479</v>
      </c>
      <c r="H75" s="109" t="s">
        <v>104</v>
      </c>
      <c r="I75" s="109" t="s">
        <v>527</v>
      </c>
      <c r="J75" s="109" t="s">
        <v>1802</v>
      </c>
      <c r="K75" s="109" t="s">
        <v>106</v>
      </c>
      <c r="L75" s="82" t="s">
        <v>1803</v>
      </c>
      <c r="M75" s="97">
        <v>45881.400694444441</v>
      </c>
      <c r="N75" s="97">
        <v>45882.371527777781</v>
      </c>
      <c r="O75" s="82" t="s">
        <v>1482</v>
      </c>
      <c r="P75" s="82" t="s">
        <v>1483</v>
      </c>
      <c r="Q75" s="82" t="s">
        <v>1501</v>
      </c>
      <c r="R75" s="82" t="s">
        <v>1502</v>
      </c>
      <c r="S75" s="82" t="s">
        <v>1486</v>
      </c>
      <c r="T75" s="82" t="s">
        <v>1486</v>
      </c>
      <c r="U75" s="82" t="s">
        <v>1487</v>
      </c>
      <c r="V75" s="82" t="s">
        <v>1804</v>
      </c>
      <c r="W75" s="82" t="s">
        <v>1489</v>
      </c>
      <c r="X75" s="82" t="s">
        <v>1805</v>
      </c>
      <c r="Y75" s="82" t="s">
        <v>113</v>
      </c>
      <c r="Z75" s="82" t="s">
        <v>114</v>
      </c>
      <c r="AA75" s="82" t="s">
        <v>321</v>
      </c>
      <c r="AB75" s="61">
        <v>1</v>
      </c>
      <c r="AC75" s="61">
        <v>0</v>
      </c>
      <c r="AD75" s="61">
        <v>0</v>
      </c>
      <c r="AE75" s="61">
        <v>0</v>
      </c>
      <c r="AF75" s="69">
        <f>IF(W75="SOPORTE_TELEFÓNICO",'BASE LIQUIDACION'!$B$10,IF(Y75="TIPO I",'BASE LIQUIDACION'!$C$3,IF(Y75="TIPO II",'BASE LIQUIDACION'!$C$4,IF(Y75="TIPO III",'BASE LIQUIDACION'!$C$5,'BASE LIQUIDACION'!$C$7))))</f>
        <v>65960.473639999997</v>
      </c>
      <c r="AG75" s="96">
        <f>IF(W75="SOPORTE_TELEFÓNICO",'BASE LIQUIDACION'!$B$10,(AB75*AF75+AC75*'BASE LIQUIDACION'!$B$12+AD75*'BASE LIQUIDACION'!$B$11+INCIDENTES!AE75*'BASE LIQUIDACION'!$B$13))</f>
        <v>65960.473639999997</v>
      </c>
    </row>
    <row r="76" spans="1:33" s="4" customFormat="1">
      <c r="A76" s="109" t="s">
        <v>598</v>
      </c>
      <c r="B76" s="56" t="str">
        <f>VLOOKUP(A76,'CENTRO DE COSTOS'!A:D,4,FALSE)</f>
        <v>JOSE MAURICIO HERNANDEZ ROJAS</v>
      </c>
      <c r="C76" s="56" t="str">
        <f>VLOOKUP(A76,'CENTRO DE COSTOS'!A:D,2,FALSE)</f>
        <v>0004-0001</v>
      </c>
      <c r="D76" s="109">
        <v>8001</v>
      </c>
      <c r="E76" s="109">
        <v>2585253</v>
      </c>
      <c r="F76" s="109">
        <v>25226</v>
      </c>
      <c r="G76" s="109" t="s">
        <v>1479</v>
      </c>
      <c r="H76" s="109" t="s">
        <v>597</v>
      </c>
      <c r="I76" s="109" t="s">
        <v>598</v>
      </c>
      <c r="J76" s="109" t="s">
        <v>1806</v>
      </c>
      <c r="K76" s="109" t="s">
        <v>106</v>
      </c>
      <c r="L76" s="82" t="s">
        <v>1807</v>
      </c>
      <c r="M76" s="97">
        <v>45881.447916666664</v>
      </c>
      <c r="N76" s="97">
        <v>45882.397916666669</v>
      </c>
      <c r="O76" s="82" t="s">
        <v>1482</v>
      </c>
      <c r="P76" s="82" t="s">
        <v>1483</v>
      </c>
      <c r="Q76" s="82" t="s">
        <v>1484</v>
      </c>
      <c r="R76" s="82" t="s">
        <v>1485</v>
      </c>
      <c r="S76" s="82" t="s">
        <v>1560</v>
      </c>
      <c r="T76" s="82" t="s">
        <v>1560</v>
      </c>
      <c r="U76" s="82" t="s">
        <v>1487</v>
      </c>
      <c r="V76" s="82" t="s">
        <v>1808</v>
      </c>
      <c r="W76" s="82" t="s">
        <v>1526</v>
      </c>
      <c r="X76" s="82"/>
      <c r="Y76" s="82" t="s">
        <v>113</v>
      </c>
      <c r="Z76" s="82" t="s">
        <v>114</v>
      </c>
      <c r="AA76" s="82" t="s">
        <v>1562</v>
      </c>
      <c r="AB76" s="61">
        <v>0</v>
      </c>
      <c r="AC76" s="61">
        <v>0</v>
      </c>
      <c r="AD76" s="61">
        <v>0</v>
      </c>
      <c r="AE76" s="61">
        <v>0</v>
      </c>
      <c r="AF76" s="69">
        <f>IF(W76="SOPORTE_TELEFÓNICO",'BASE LIQUIDACION'!$B$10,IF(Y76="TIPO I",'BASE LIQUIDACION'!$C$3,IF(Y76="TIPO II",'BASE LIQUIDACION'!$C$4,IF(Y76="TIPO III",'BASE LIQUIDACION'!$C$5,'BASE LIQUIDACION'!$C$7))))</f>
        <v>37904.65408</v>
      </c>
      <c r="AG76" s="96">
        <f>IF(W76="SOPORTE_TELEFÓNICO",'BASE LIQUIDACION'!$B$10,(AB76*AF76+AC76*'BASE LIQUIDACION'!$B$12+AD76*'BASE LIQUIDACION'!$B$11+INCIDENTES!AE76*'BASE LIQUIDACION'!$B$13))</f>
        <v>37904.65408</v>
      </c>
    </row>
    <row r="77" spans="1:33" s="4" customFormat="1">
      <c r="A77" s="109" t="s">
        <v>100</v>
      </c>
      <c r="B77" s="56" t="str">
        <f>VLOOKUP(A77,'CENTRO DE COSTOS'!A:D,4,FALSE)</f>
        <v>JUAN SEBASTIÁN RÍOS CASTRILLÓN</v>
      </c>
      <c r="C77" s="56" t="str">
        <f>VLOOKUP(A77,'CENTRO DE COSTOS'!A:D,2,FALSE)</f>
        <v>0004-0005</v>
      </c>
      <c r="D77" s="109">
        <v>5679</v>
      </c>
      <c r="E77" s="109">
        <v>2581583</v>
      </c>
      <c r="F77" s="109">
        <v>34543</v>
      </c>
      <c r="G77" s="109" t="s">
        <v>1479</v>
      </c>
      <c r="H77" s="109" t="s">
        <v>104</v>
      </c>
      <c r="I77" s="109" t="s">
        <v>489</v>
      </c>
      <c r="J77" s="109" t="s">
        <v>1809</v>
      </c>
      <c r="K77" s="109" t="s">
        <v>106</v>
      </c>
      <c r="L77" s="82" t="s">
        <v>1810</v>
      </c>
      <c r="M77" s="97">
        <v>45880.68472222222</v>
      </c>
      <c r="N77" s="97">
        <v>45882.450694444444</v>
      </c>
      <c r="O77" s="82" t="s">
        <v>1482</v>
      </c>
      <c r="P77" s="82" t="s">
        <v>1483</v>
      </c>
      <c r="Q77" s="82" t="s">
        <v>1484</v>
      </c>
      <c r="R77" s="82" t="s">
        <v>1485</v>
      </c>
      <c r="S77" s="82" t="s">
        <v>1486</v>
      </c>
      <c r="T77" s="82" t="s">
        <v>1486</v>
      </c>
      <c r="U77" s="82" t="s">
        <v>1487</v>
      </c>
      <c r="V77" s="82" t="s">
        <v>1811</v>
      </c>
      <c r="W77" s="82" t="s">
        <v>1489</v>
      </c>
      <c r="X77" s="82" t="s">
        <v>1812</v>
      </c>
      <c r="Y77" s="82" t="s">
        <v>148</v>
      </c>
      <c r="Z77" s="82" t="s">
        <v>114</v>
      </c>
      <c r="AA77" s="82" t="s">
        <v>1505</v>
      </c>
      <c r="AB77" s="61">
        <v>1</v>
      </c>
      <c r="AC77" s="61">
        <v>0</v>
      </c>
      <c r="AD77" s="61">
        <v>0</v>
      </c>
      <c r="AE77" s="61">
        <v>0</v>
      </c>
      <c r="AF77" s="69">
        <f>IF(W77="SOPORTE_TELEFÓNICO",'BASE LIQUIDACION'!$B$10,IF(Y77="TIPO I",'BASE LIQUIDACION'!$C$3,IF(Y77="TIPO II",'BASE LIQUIDACION'!$C$4,IF(Y77="TIPO III",'BASE LIQUIDACION'!$C$5,'BASE LIQUIDACION'!$C$7))))</f>
        <v>163813.55812</v>
      </c>
      <c r="AG77" s="96">
        <f>IF(W77="SOPORTE_TELEFÓNICO",'BASE LIQUIDACION'!$B$10,(AB77*AF77+AC77*'BASE LIQUIDACION'!$B$12+AD77*'BASE LIQUIDACION'!$B$11+INCIDENTES!AE77*'BASE LIQUIDACION'!$B$13))</f>
        <v>163813.55812</v>
      </c>
    </row>
    <row r="78" spans="1:33" s="4" customFormat="1">
      <c r="A78" s="109" t="s">
        <v>116</v>
      </c>
      <c r="B78" s="56" t="str">
        <f>VLOOKUP(A78,'CENTRO DE COSTOS'!A:D,4,FALSE)</f>
        <v>WILLIAM ASDRUBAL ROZO ROZO</v>
      </c>
      <c r="C78" s="56" t="str">
        <f>VLOOKUP(A78,'CENTRO DE COSTOS'!A:D,2,FALSE)</f>
        <v>0004-0004</v>
      </c>
      <c r="D78" s="109">
        <v>11001</v>
      </c>
      <c r="E78" s="109">
        <v>2590360</v>
      </c>
      <c r="F78" s="109">
        <v>79279</v>
      </c>
      <c r="G78" s="109" t="s">
        <v>1479</v>
      </c>
      <c r="H78" s="109" t="s">
        <v>118</v>
      </c>
      <c r="I78" s="109" t="s">
        <v>116</v>
      </c>
      <c r="J78" s="109" t="s">
        <v>1813</v>
      </c>
      <c r="K78" s="109" t="s">
        <v>106</v>
      </c>
      <c r="L78" s="82" t="s">
        <v>1814</v>
      </c>
      <c r="M78" s="97">
        <v>45882.383333333331</v>
      </c>
      <c r="N78" s="97">
        <v>45882.574999999997</v>
      </c>
      <c r="O78" s="82" t="s">
        <v>1482</v>
      </c>
      <c r="P78" s="82" t="s">
        <v>1483</v>
      </c>
      <c r="Q78" s="82" t="s">
        <v>1484</v>
      </c>
      <c r="R78" s="82" t="s">
        <v>1485</v>
      </c>
      <c r="S78" s="82" t="s">
        <v>1486</v>
      </c>
      <c r="T78" s="82" t="s">
        <v>1486</v>
      </c>
      <c r="U78" s="82" t="s">
        <v>1487</v>
      </c>
      <c r="V78" s="82" t="s">
        <v>1815</v>
      </c>
      <c r="W78" s="82" t="s">
        <v>1489</v>
      </c>
      <c r="X78" s="82" t="s">
        <v>1816</v>
      </c>
      <c r="Y78" s="82" t="s">
        <v>113</v>
      </c>
      <c r="Z78" s="82" t="s">
        <v>114</v>
      </c>
      <c r="AA78" s="82" t="s">
        <v>1713</v>
      </c>
      <c r="AB78" s="61">
        <v>1</v>
      </c>
      <c r="AC78" s="61">
        <v>0</v>
      </c>
      <c r="AD78" s="61">
        <v>0</v>
      </c>
      <c r="AE78" s="61">
        <v>0</v>
      </c>
      <c r="AF78" s="69">
        <f>IF(W78="SOPORTE_TELEFÓNICO",'BASE LIQUIDACION'!$B$10,IF(Y78="TIPO I",'BASE LIQUIDACION'!$C$3,IF(Y78="TIPO II",'BASE LIQUIDACION'!$C$4,IF(Y78="TIPO III",'BASE LIQUIDACION'!$C$5,'BASE LIQUIDACION'!$C$7))))</f>
        <v>65960.473639999997</v>
      </c>
      <c r="AG78" s="96">
        <f>IF(W78="SOPORTE_TELEFÓNICO",'BASE LIQUIDACION'!$B$10,(AB78*AF78+AC78*'BASE LIQUIDACION'!$B$12+AD78*'BASE LIQUIDACION'!$B$11+INCIDENTES!AE78*'BASE LIQUIDACION'!$B$13))</f>
        <v>65960.473639999997</v>
      </c>
    </row>
    <row r="79" spans="1:33" s="4" customFormat="1">
      <c r="A79" s="109" t="s">
        <v>140</v>
      </c>
      <c r="B79" s="56" t="str">
        <f>VLOOKUP(A79,'CENTRO DE COSTOS'!A:D,4,FALSE)</f>
        <v>MIGUEL JULIÁN HERNÁNDEZ GUARÍN</v>
      </c>
      <c r="C79" s="56" t="str">
        <f>VLOOKUP(A79,'CENTRO DE COSTOS'!A:D,2,FALSE)</f>
        <v>0004-0008</v>
      </c>
      <c r="D79" s="109">
        <v>15176</v>
      </c>
      <c r="E79" s="109">
        <v>2588890</v>
      </c>
      <c r="F79" s="109">
        <v>70551</v>
      </c>
      <c r="G79" s="109" t="s">
        <v>1479</v>
      </c>
      <c r="H79" s="109" t="s">
        <v>142</v>
      </c>
      <c r="I79" s="109" t="s">
        <v>682</v>
      </c>
      <c r="J79" s="109" t="s">
        <v>1817</v>
      </c>
      <c r="K79" s="109" t="s">
        <v>106</v>
      </c>
      <c r="L79" s="82" t="s">
        <v>1818</v>
      </c>
      <c r="M79" s="97">
        <v>45882.333333333336</v>
      </c>
      <c r="N79" s="97">
        <v>45882.646527777775</v>
      </c>
      <c r="O79" s="82" t="s">
        <v>1482</v>
      </c>
      <c r="P79" s="82" t="s">
        <v>1483</v>
      </c>
      <c r="Q79" s="82" t="s">
        <v>1581</v>
      </c>
      <c r="R79" s="82" t="s">
        <v>1582</v>
      </c>
      <c r="S79" s="82" t="s">
        <v>1486</v>
      </c>
      <c r="T79" s="82" t="s">
        <v>1486</v>
      </c>
      <c r="U79" s="82" t="s">
        <v>1487</v>
      </c>
      <c r="V79" s="82" t="s">
        <v>1819</v>
      </c>
      <c r="W79" s="82" t="s">
        <v>1489</v>
      </c>
      <c r="X79" s="82" t="s">
        <v>1820</v>
      </c>
      <c r="Y79" s="82" t="s">
        <v>202</v>
      </c>
      <c r="Z79" s="82" t="s">
        <v>114</v>
      </c>
      <c r="AA79" s="82" t="s">
        <v>149</v>
      </c>
      <c r="AB79" s="61">
        <v>1</v>
      </c>
      <c r="AC79" s="61">
        <v>0</v>
      </c>
      <c r="AD79" s="61">
        <v>0</v>
      </c>
      <c r="AE79" s="61">
        <v>0</v>
      </c>
      <c r="AF79" s="69">
        <f>IF(W79="SOPORTE_TELEFÓNICO",'BASE LIQUIDACION'!$B$10,IF(Y79="TIPO I",'BASE LIQUIDACION'!$C$3,IF(Y79="TIPO II",'BASE LIQUIDACION'!$C$4,IF(Y79="TIPO III",'BASE LIQUIDACION'!$C$5,'BASE LIQUIDACION'!$C$7))))</f>
        <v>275728.37943999999</v>
      </c>
      <c r="AG79" s="96">
        <f>IF(W79="SOPORTE_TELEFÓNICO",'BASE LIQUIDACION'!$B$10,(AB79*AF79+AC79*'BASE LIQUIDACION'!$B$12+AD79*'BASE LIQUIDACION'!$B$11+INCIDENTES!AE79*'BASE LIQUIDACION'!$B$13))</f>
        <v>275728.37943999999</v>
      </c>
    </row>
    <row r="80" spans="1:33" s="4" customFormat="1">
      <c r="A80" s="109" t="s">
        <v>124</v>
      </c>
      <c r="B80" s="56" t="str">
        <f>VLOOKUP(A80,'CENTRO DE COSTOS'!A:D,4,FALSE)</f>
        <v>DIEGO FERNANDO HENAO CARDONA</v>
      </c>
      <c r="C80" s="56" t="str">
        <f>VLOOKUP(A80,'CENTRO DE COSTOS'!A:D,2,FALSE)</f>
        <v>0004-0002</v>
      </c>
      <c r="D80" s="109">
        <v>66001</v>
      </c>
      <c r="E80" s="109">
        <v>2592357</v>
      </c>
      <c r="F80" s="109">
        <v>80907</v>
      </c>
      <c r="G80" s="109" t="s">
        <v>1479</v>
      </c>
      <c r="H80" s="109" t="s">
        <v>126</v>
      </c>
      <c r="I80" s="109" t="s">
        <v>124</v>
      </c>
      <c r="J80" s="109" t="s">
        <v>1821</v>
      </c>
      <c r="K80" s="109" t="s">
        <v>106</v>
      </c>
      <c r="L80" s="82" t="s">
        <v>1822</v>
      </c>
      <c r="M80" s="97">
        <v>45882.499305555553</v>
      </c>
      <c r="N80" s="97">
        <v>45882.65902777778</v>
      </c>
      <c r="O80" s="82" t="s">
        <v>1482</v>
      </c>
      <c r="P80" s="82" t="s">
        <v>1483</v>
      </c>
      <c r="Q80" s="82" t="s">
        <v>1494</v>
      </c>
      <c r="R80" s="82" t="s">
        <v>1495</v>
      </c>
      <c r="S80" s="82" t="s">
        <v>1486</v>
      </c>
      <c r="T80" s="82" t="s">
        <v>1486</v>
      </c>
      <c r="U80" s="82" t="s">
        <v>1487</v>
      </c>
      <c r="V80" s="82" t="s">
        <v>1823</v>
      </c>
      <c r="W80" s="82" t="s">
        <v>1489</v>
      </c>
      <c r="X80" s="82" t="s">
        <v>1824</v>
      </c>
      <c r="Y80" s="82" t="s">
        <v>113</v>
      </c>
      <c r="Z80" s="82" t="s">
        <v>114</v>
      </c>
      <c r="AA80" s="82" t="s">
        <v>1825</v>
      </c>
      <c r="AB80" s="61">
        <v>1</v>
      </c>
      <c r="AC80" s="61">
        <v>0</v>
      </c>
      <c r="AD80" s="61">
        <v>0</v>
      </c>
      <c r="AE80" s="61">
        <v>0</v>
      </c>
      <c r="AF80" s="69">
        <f>IF(W80="SOPORTE_TELEFÓNICO",'BASE LIQUIDACION'!$B$10,IF(Y80="TIPO I",'BASE LIQUIDACION'!$C$3,IF(Y80="TIPO II",'BASE LIQUIDACION'!$C$4,IF(Y80="TIPO III",'BASE LIQUIDACION'!$C$5,'BASE LIQUIDACION'!$C$7))))</f>
        <v>65960.473639999997</v>
      </c>
      <c r="AG80" s="96">
        <f>IF(W80="SOPORTE_TELEFÓNICO",'BASE LIQUIDACION'!$B$10,(AB80*AF80+AC80*'BASE LIQUIDACION'!$B$12+AD80*'BASE LIQUIDACION'!$B$11+INCIDENTES!AE80*'BASE LIQUIDACION'!$B$13))</f>
        <v>65960.473639999997</v>
      </c>
    </row>
    <row r="81" spans="1:33" s="4" customFormat="1">
      <c r="A81" s="109" t="s">
        <v>140</v>
      </c>
      <c r="B81" s="56" t="str">
        <f>VLOOKUP(A81,'CENTRO DE COSTOS'!A:D,4,FALSE)</f>
        <v>MIGUEL JULIÁN HERNÁNDEZ GUARÍN</v>
      </c>
      <c r="C81" s="56" t="str">
        <f>VLOOKUP(A81,'CENTRO DE COSTOS'!A:D,2,FALSE)</f>
        <v>0004-0008</v>
      </c>
      <c r="D81" s="109">
        <v>15806</v>
      </c>
      <c r="E81" s="109">
        <v>2587952</v>
      </c>
      <c r="F81" s="109">
        <v>34861</v>
      </c>
      <c r="G81" s="109" t="s">
        <v>1479</v>
      </c>
      <c r="H81" s="109" t="s">
        <v>142</v>
      </c>
      <c r="I81" s="109" t="s">
        <v>762</v>
      </c>
      <c r="J81" s="109" t="s">
        <v>1826</v>
      </c>
      <c r="K81" s="109" t="s">
        <v>106</v>
      </c>
      <c r="L81" s="82" t="s">
        <v>1827</v>
      </c>
      <c r="M81" s="97">
        <v>45881.665277777778</v>
      </c>
      <c r="N81" s="97">
        <v>45882.738888888889</v>
      </c>
      <c r="O81" s="82" t="s">
        <v>1482</v>
      </c>
      <c r="P81" s="82" t="s">
        <v>1483</v>
      </c>
      <c r="Q81" s="82" t="s">
        <v>1494</v>
      </c>
      <c r="R81" s="82" t="s">
        <v>1495</v>
      </c>
      <c r="S81" s="82" t="s">
        <v>1486</v>
      </c>
      <c r="T81" s="82" t="s">
        <v>1486</v>
      </c>
      <c r="U81" s="82" t="s">
        <v>1487</v>
      </c>
      <c r="V81" s="82" t="s">
        <v>1828</v>
      </c>
      <c r="W81" s="82" t="s">
        <v>1526</v>
      </c>
      <c r="X81" s="82">
        <v>0</v>
      </c>
      <c r="Y81" s="82" t="s">
        <v>148</v>
      </c>
      <c r="Z81" s="82" t="s">
        <v>114</v>
      </c>
      <c r="AA81" s="82" t="s">
        <v>195</v>
      </c>
      <c r="AB81" s="61">
        <v>0</v>
      </c>
      <c r="AC81" s="61">
        <v>0</v>
      </c>
      <c r="AD81" s="61">
        <v>0</v>
      </c>
      <c r="AE81" s="61">
        <v>0</v>
      </c>
      <c r="AF81" s="69">
        <f>IF(W81="SOPORTE_TELEFÓNICO",'BASE LIQUIDACION'!$B$10,IF(Y81="TIPO I",'BASE LIQUIDACION'!$C$3,IF(Y81="TIPO II",'BASE LIQUIDACION'!$C$4,IF(Y81="TIPO III",'BASE LIQUIDACION'!$C$5,'BASE LIQUIDACION'!$C$7))))</f>
        <v>37904.65408</v>
      </c>
      <c r="AG81" s="96">
        <f>IF(W81="SOPORTE_TELEFÓNICO",'BASE LIQUIDACION'!$B$10,(AB81*AF81+AC81*'BASE LIQUIDACION'!$B$12+AD81*'BASE LIQUIDACION'!$B$11+INCIDENTES!AE81*'BASE LIQUIDACION'!$B$13))</f>
        <v>37904.65408</v>
      </c>
    </row>
    <row r="82" spans="1:33" s="4" customFormat="1">
      <c r="A82" s="109" t="s">
        <v>171</v>
      </c>
      <c r="B82" s="56" t="str">
        <f>VLOOKUP(A82,'CENTRO DE COSTOS'!A:D,4,FALSE)</f>
        <v>MIGUEL JULIÁN HERNÁNDEZ GUARÍN</v>
      </c>
      <c r="C82" s="56" t="str">
        <f>VLOOKUP(A82,'CENTRO DE COSTOS'!A:D,2,FALSE)</f>
        <v>0004-0008</v>
      </c>
      <c r="D82" s="109">
        <v>68307</v>
      </c>
      <c r="E82" s="109">
        <v>2593197</v>
      </c>
      <c r="F82" s="109">
        <v>41893</v>
      </c>
      <c r="G82" s="109" t="s">
        <v>1479</v>
      </c>
      <c r="H82" s="109" t="s">
        <v>173</v>
      </c>
      <c r="I82" s="109" t="s">
        <v>1310</v>
      </c>
      <c r="J82" s="109" t="s">
        <v>1829</v>
      </c>
      <c r="K82" s="109" t="s">
        <v>106</v>
      </c>
      <c r="L82" s="82" t="s">
        <v>1830</v>
      </c>
      <c r="M82" s="97">
        <v>45882.611805555556</v>
      </c>
      <c r="N82" s="97">
        <v>45883.418749999997</v>
      </c>
      <c r="O82" s="82" t="s">
        <v>1482</v>
      </c>
      <c r="P82" s="82" t="s">
        <v>1508</v>
      </c>
      <c r="Q82" s="82" t="s">
        <v>1509</v>
      </c>
      <c r="R82" s="82" t="s">
        <v>1831</v>
      </c>
      <c r="S82" s="82" t="s">
        <v>1486</v>
      </c>
      <c r="T82" s="82" t="s">
        <v>1486</v>
      </c>
      <c r="U82" s="82" t="s">
        <v>1487</v>
      </c>
      <c r="V82" s="82" t="s">
        <v>1832</v>
      </c>
      <c r="W82" s="82" t="s">
        <v>1526</v>
      </c>
      <c r="X82" s="82">
        <v>0</v>
      </c>
      <c r="Y82" s="82" t="s">
        <v>113</v>
      </c>
      <c r="Z82" s="82" t="s">
        <v>114</v>
      </c>
      <c r="AA82" s="82" t="s">
        <v>179</v>
      </c>
      <c r="AB82" s="61">
        <v>0</v>
      </c>
      <c r="AC82" s="61">
        <v>0</v>
      </c>
      <c r="AD82" s="61">
        <v>0</v>
      </c>
      <c r="AE82" s="61">
        <v>0</v>
      </c>
      <c r="AF82" s="69">
        <f>IF(W82="SOPORTE_TELEFÓNICO",'BASE LIQUIDACION'!$B$10,IF(Y82="TIPO I",'BASE LIQUIDACION'!$C$3,IF(Y82="TIPO II",'BASE LIQUIDACION'!$C$4,IF(Y82="TIPO III",'BASE LIQUIDACION'!$C$5,'BASE LIQUIDACION'!$C$7))))</f>
        <v>37904.65408</v>
      </c>
      <c r="AG82" s="96">
        <f>IF(W82="SOPORTE_TELEFÓNICO",'BASE LIQUIDACION'!$B$10,(AB82*AF82+AC82*'BASE LIQUIDACION'!$B$12+AD82*'BASE LIQUIDACION'!$B$11+INCIDENTES!AE82*'BASE LIQUIDACION'!$B$13))</f>
        <v>37904.65408</v>
      </c>
    </row>
    <row r="83" spans="1:33" s="4" customFormat="1">
      <c r="A83" s="109" t="s">
        <v>100</v>
      </c>
      <c r="B83" s="56" t="str">
        <f>VLOOKUP(A83,'CENTRO DE COSTOS'!A:D,4,FALSE)</f>
        <v>JUAN SEBASTIÁN RÍOS CASTRILLÓN</v>
      </c>
      <c r="C83" s="56" t="str">
        <f>VLOOKUP(A83,'CENTRO DE COSTOS'!A:D,2,FALSE)</f>
        <v>0004-0005</v>
      </c>
      <c r="D83" s="109">
        <v>5001</v>
      </c>
      <c r="E83" s="109">
        <v>2593016</v>
      </c>
      <c r="F83" s="109">
        <v>27658</v>
      </c>
      <c r="G83" s="109" t="s">
        <v>1479</v>
      </c>
      <c r="H83" s="109" t="s">
        <v>104</v>
      </c>
      <c r="I83" s="109" t="s">
        <v>100</v>
      </c>
      <c r="J83" s="109" t="s">
        <v>1833</v>
      </c>
      <c r="K83" s="109" t="s">
        <v>106</v>
      </c>
      <c r="L83" s="82" t="s">
        <v>1834</v>
      </c>
      <c r="M83" s="97">
        <v>45882.59097222222</v>
      </c>
      <c r="N83" s="97">
        <v>45883.440972222219</v>
      </c>
      <c r="O83" s="82" t="s">
        <v>1482</v>
      </c>
      <c r="P83" s="82" t="s">
        <v>1483</v>
      </c>
      <c r="Q83" s="82" t="s">
        <v>1501</v>
      </c>
      <c r="R83" s="82" t="s">
        <v>1502</v>
      </c>
      <c r="S83" s="82" t="s">
        <v>317</v>
      </c>
      <c r="T83" s="82" t="s">
        <v>317</v>
      </c>
      <c r="U83" s="82" t="s">
        <v>1487</v>
      </c>
      <c r="V83" s="82" t="s">
        <v>1835</v>
      </c>
      <c r="W83" s="82" t="s">
        <v>1489</v>
      </c>
      <c r="X83" s="82" t="s">
        <v>1836</v>
      </c>
      <c r="Y83" s="82" t="s">
        <v>113</v>
      </c>
      <c r="Z83" s="82" t="s">
        <v>114</v>
      </c>
      <c r="AA83" s="82" t="s">
        <v>1505</v>
      </c>
      <c r="AB83" s="61">
        <v>1</v>
      </c>
      <c r="AC83" s="61">
        <v>0</v>
      </c>
      <c r="AD83" s="61">
        <v>0</v>
      </c>
      <c r="AE83" s="61">
        <v>0</v>
      </c>
      <c r="AF83" s="69">
        <f>IF(W83="SOPORTE_TELEFÓNICO",'BASE LIQUIDACION'!$B$10,IF(Y83="TIPO I",'BASE LIQUIDACION'!$C$3,IF(Y83="TIPO II",'BASE LIQUIDACION'!$C$4,IF(Y83="TIPO III",'BASE LIQUIDACION'!$C$5,'BASE LIQUIDACION'!$C$7))))</f>
        <v>65960.473639999997</v>
      </c>
      <c r="AG83" s="96">
        <f>IF(W83="SOPORTE_TELEFÓNICO",'BASE LIQUIDACION'!$B$10,(AB83*AF83+AC83*'BASE LIQUIDACION'!$B$12+AD83*'BASE LIQUIDACION'!$B$11+INCIDENTES!AE83*'BASE LIQUIDACION'!$B$13))</f>
        <v>65960.473639999997</v>
      </c>
    </row>
    <row r="84" spans="1:33" s="4" customFormat="1">
      <c r="A84" s="109" t="s">
        <v>140</v>
      </c>
      <c r="B84" s="56" t="str">
        <f>VLOOKUP(A84,'CENTRO DE COSTOS'!A:D,4,FALSE)</f>
        <v>MIGUEL JULIÁN HERNÁNDEZ GUARÍN</v>
      </c>
      <c r="C84" s="56" t="str">
        <f>VLOOKUP(A84,'CENTRO DE COSTOS'!A:D,2,FALSE)</f>
        <v>0004-0008</v>
      </c>
      <c r="D84" s="109">
        <v>15753</v>
      </c>
      <c r="E84" s="109">
        <v>2586083</v>
      </c>
      <c r="F84" s="109">
        <v>60980</v>
      </c>
      <c r="G84" s="109" t="s">
        <v>1479</v>
      </c>
      <c r="H84" s="109" t="s">
        <v>142</v>
      </c>
      <c r="I84" s="109" t="s">
        <v>749</v>
      </c>
      <c r="J84" s="109" t="s">
        <v>1837</v>
      </c>
      <c r="K84" s="109" t="s">
        <v>106</v>
      </c>
      <c r="L84" s="82" t="s">
        <v>1838</v>
      </c>
      <c r="M84" s="97">
        <v>45881.519444444442</v>
      </c>
      <c r="N84" s="97">
        <v>45883.45</v>
      </c>
      <c r="O84" s="82" t="s">
        <v>1482</v>
      </c>
      <c r="P84" s="82" t="s">
        <v>1483</v>
      </c>
      <c r="Q84" s="82" t="s">
        <v>1484</v>
      </c>
      <c r="R84" s="82" t="s">
        <v>1485</v>
      </c>
      <c r="S84" s="82" t="s">
        <v>1486</v>
      </c>
      <c r="T84" s="82" t="s">
        <v>1486</v>
      </c>
      <c r="U84" s="82" t="s">
        <v>1487</v>
      </c>
      <c r="V84" s="82" t="s">
        <v>1839</v>
      </c>
      <c r="W84" s="82" t="s">
        <v>1489</v>
      </c>
      <c r="X84" s="82" t="s">
        <v>1840</v>
      </c>
      <c r="Y84" s="82" t="s">
        <v>202</v>
      </c>
      <c r="Z84" s="82" t="s">
        <v>114</v>
      </c>
      <c r="AA84" s="82" t="s">
        <v>351</v>
      </c>
      <c r="AB84" s="61">
        <v>1</v>
      </c>
      <c r="AC84" s="61">
        <v>0</v>
      </c>
      <c r="AD84" s="61">
        <v>0</v>
      </c>
      <c r="AE84" s="61">
        <v>0</v>
      </c>
      <c r="AF84" s="69">
        <f>IF(W84="SOPORTE_TELEFÓNICO",'BASE LIQUIDACION'!$B$10,IF(Y84="TIPO I",'BASE LIQUIDACION'!$C$3,IF(Y84="TIPO II",'BASE LIQUIDACION'!$C$4,IF(Y84="TIPO III",'BASE LIQUIDACION'!$C$5,'BASE LIQUIDACION'!$C$7))))</f>
        <v>275728.37943999999</v>
      </c>
      <c r="AG84" s="96">
        <f>IF(W84="SOPORTE_TELEFÓNICO",'BASE LIQUIDACION'!$B$10,(AB84*AF84+AC84*'BASE LIQUIDACION'!$B$12+AD84*'BASE LIQUIDACION'!$B$11+INCIDENTES!AE84*'BASE LIQUIDACION'!$B$13))</f>
        <v>275728.37943999999</v>
      </c>
    </row>
    <row r="85" spans="1:33" s="4" customFormat="1">
      <c r="A85" s="109" t="s">
        <v>100</v>
      </c>
      <c r="B85" s="56" t="str">
        <f>VLOOKUP(A85,'CENTRO DE COSTOS'!A:D,4,FALSE)</f>
        <v>JUAN SEBASTIÁN RÍOS CASTRILLÓN</v>
      </c>
      <c r="C85" s="56" t="str">
        <f>VLOOKUP(A85,'CENTRO DE COSTOS'!A:D,2,FALSE)</f>
        <v>0004-0005</v>
      </c>
      <c r="D85" s="109">
        <v>5001</v>
      </c>
      <c r="E85" s="109">
        <v>2593873</v>
      </c>
      <c r="F85" s="109">
        <v>15100</v>
      </c>
      <c r="G85" s="109" t="s">
        <v>1479</v>
      </c>
      <c r="H85" s="109" t="s">
        <v>104</v>
      </c>
      <c r="I85" s="109" t="s">
        <v>100</v>
      </c>
      <c r="J85" s="109" t="s">
        <v>1841</v>
      </c>
      <c r="K85" s="109" t="s">
        <v>106</v>
      </c>
      <c r="L85" s="82" t="s">
        <v>1842</v>
      </c>
      <c r="M85" s="97">
        <v>45882.652083333334</v>
      </c>
      <c r="N85" s="97">
        <v>45883.501388888886</v>
      </c>
      <c r="O85" s="82" t="s">
        <v>1482</v>
      </c>
      <c r="P85" s="82" t="s">
        <v>1483</v>
      </c>
      <c r="Q85" s="82" t="s">
        <v>1484</v>
      </c>
      <c r="R85" s="82" t="s">
        <v>1485</v>
      </c>
      <c r="S85" s="82" t="s">
        <v>1486</v>
      </c>
      <c r="T85" s="82" t="s">
        <v>1486</v>
      </c>
      <c r="U85" s="82" t="s">
        <v>1487</v>
      </c>
      <c r="V85" s="82" t="s">
        <v>1843</v>
      </c>
      <c r="W85" s="82" t="s">
        <v>1489</v>
      </c>
      <c r="X85" s="82" t="s">
        <v>1844</v>
      </c>
      <c r="Y85" s="82" t="s">
        <v>113</v>
      </c>
      <c r="Z85" s="82" t="s">
        <v>114</v>
      </c>
      <c r="AA85" s="82" t="s">
        <v>1505</v>
      </c>
      <c r="AB85" s="61">
        <v>1</v>
      </c>
      <c r="AC85" s="61">
        <v>0</v>
      </c>
      <c r="AD85" s="61">
        <v>0</v>
      </c>
      <c r="AE85" s="61">
        <v>0</v>
      </c>
      <c r="AF85" s="69">
        <f>IF(W85="SOPORTE_TELEFÓNICO",'BASE LIQUIDACION'!$B$10,IF(Y85="TIPO I",'BASE LIQUIDACION'!$C$3,IF(Y85="TIPO II",'BASE LIQUIDACION'!$C$4,IF(Y85="TIPO III",'BASE LIQUIDACION'!$C$5,'BASE LIQUIDACION'!$C$7))))</f>
        <v>65960.473639999997</v>
      </c>
      <c r="AG85" s="96">
        <f>IF(W85="SOPORTE_TELEFÓNICO",'BASE LIQUIDACION'!$B$10,(AB85*AF85+AC85*'BASE LIQUIDACION'!$B$12+AD85*'BASE LIQUIDACION'!$B$11+INCIDENTES!AE85*'BASE LIQUIDACION'!$B$13))</f>
        <v>65960.473639999997</v>
      </c>
    </row>
    <row r="86" spans="1:33" s="4" customFormat="1">
      <c r="A86" s="109" t="s">
        <v>303</v>
      </c>
      <c r="B86" s="56" t="str">
        <f>VLOOKUP(A86,'CENTRO DE COSTOS'!A:D,4,FALSE)</f>
        <v>MIGUEL JULIÁN HERNÁNDEZ GUARÍN</v>
      </c>
      <c r="C86" s="56" t="str">
        <f>VLOOKUP(A86,'CENTRO DE COSTOS'!A:D,2,FALSE)</f>
        <v>0004-0008</v>
      </c>
      <c r="D86" s="109">
        <v>54001</v>
      </c>
      <c r="E86" s="109">
        <v>2593230</v>
      </c>
      <c r="F86" s="109">
        <v>80005</v>
      </c>
      <c r="G86" s="109" t="s">
        <v>1479</v>
      </c>
      <c r="H86" s="109" t="s">
        <v>305</v>
      </c>
      <c r="I86" s="109" t="s">
        <v>303</v>
      </c>
      <c r="J86" s="109" t="s">
        <v>1845</v>
      </c>
      <c r="K86" s="109" t="s">
        <v>106</v>
      </c>
      <c r="L86" s="82" t="s">
        <v>1846</v>
      </c>
      <c r="M86" s="97">
        <v>45882.604166666664</v>
      </c>
      <c r="N86" s="97">
        <v>45883.507638888892</v>
      </c>
      <c r="O86" s="82" t="s">
        <v>1482</v>
      </c>
      <c r="P86" s="82" t="s">
        <v>1483</v>
      </c>
      <c r="Q86" s="82" t="s">
        <v>1484</v>
      </c>
      <c r="R86" s="82" t="s">
        <v>1485</v>
      </c>
      <c r="S86" s="82" t="s">
        <v>1486</v>
      </c>
      <c r="T86" s="82" t="s">
        <v>1486</v>
      </c>
      <c r="U86" s="82" t="s">
        <v>1487</v>
      </c>
      <c r="V86" s="82" t="s">
        <v>1847</v>
      </c>
      <c r="W86" s="82" t="s">
        <v>1489</v>
      </c>
      <c r="X86" s="82" t="s">
        <v>1848</v>
      </c>
      <c r="Y86" s="82" t="s">
        <v>113</v>
      </c>
      <c r="Z86" s="82" t="s">
        <v>114</v>
      </c>
      <c r="AA86" s="82" t="s">
        <v>1531</v>
      </c>
      <c r="AB86" s="61">
        <v>1</v>
      </c>
      <c r="AC86" s="61">
        <v>0</v>
      </c>
      <c r="AD86" s="61">
        <v>0</v>
      </c>
      <c r="AE86" s="61">
        <v>0</v>
      </c>
      <c r="AF86" s="69">
        <f>IF(W86="SOPORTE_TELEFÓNICO",'BASE LIQUIDACION'!$B$10,IF(Y86="TIPO I",'BASE LIQUIDACION'!$C$3,IF(Y86="TIPO II",'BASE LIQUIDACION'!$C$4,IF(Y86="TIPO III",'BASE LIQUIDACION'!$C$5,'BASE LIQUIDACION'!$C$7))))</f>
        <v>65960.473639999997</v>
      </c>
      <c r="AG86" s="96">
        <f>IF(W86="SOPORTE_TELEFÓNICO",'BASE LIQUIDACION'!$B$10,(AB86*AF86+AC86*'BASE LIQUIDACION'!$B$12+AD86*'BASE LIQUIDACION'!$B$11+INCIDENTES!AE86*'BASE LIQUIDACION'!$B$13))</f>
        <v>65960.473639999997</v>
      </c>
    </row>
    <row r="87" spans="1:33" s="4" customFormat="1">
      <c r="A87" s="109" t="s">
        <v>140</v>
      </c>
      <c r="B87" s="56" t="str">
        <f>VLOOKUP(A87,'CENTRO DE COSTOS'!A:D,4,FALSE)</f>
        <v>MIGUEL JULIÁN HERNÁNDEZ GUARÍN</v>
      </c>
      <c r="C87" s="56" t="str">
        <f>VLOOKUP(A87,'CENTRO DE COSTOS'!A:D,2,FALSE)</f>
        <v>0004-0008</v>
      </c>
      <c r="D87" s="109">
        <v>15001</v>
      </c>
      <c r="E87" s="109">
        <v>2596903</v>
      </c>
      <c r="F87" s="109">
        <v>80972</v>
      </c>
      <c r="G87" s="109" t="s">
        <v>1479</v>
      </c>
      <c r="H87" s="109" t="s">
        <v>142</v>
      </c>
      <c r="I87" s="109" t="s">
        <v>140</v>
      </c>
      <c r="J87" s="109" t="s">
        <v>1849</v>
      </c>
      <c r="K87" s="109" t="s">
        <v>106</v>
      </c>
      <c r="L87" s="82" t="s">
        <v>1850</v>
      </c>
      <c r="M87" s="97">
        <v>45883.413888888892</v>
      </c>
      <c r="N87" s="97">
        <v>45883.519444444442</v>
      </c>
      <c r="O87" s="82" t="s">
        <v>1482</v>
      </c>
      <c r="P87" s="82" t="s">
        <v>1483</v>
      </c>
      <c r="Q87" s="82" t="s">
        <v>1797</v>
      </c>
      <c r="R87" s="82" t="s">
        <v>1519</v>
      </c>
      <c r="S87" s="82" t="s">
        <v>1486</v>
      </c>
      <c r="T87" s="82" t="s">
        <v>1486</v>
      </c>
      <c r="U87" s="82" t="s">
        <v>1487</v>
      </c>
      <c r="V87" s="82" t="s">
        <v>1851</v>
      </c>
      <c r="W87" s="82" t="s">
        <v>1489</v>
      </c>
      <c r="X87" s="82" t="s">
        <v>1852</v>
      </c>
      <c r="Y87" s="82" t="s">
        <v>113</v>
      </c>
      <c r="Z87" s="82" t="s">
        <v>114</v>
      </c>
      <c r="AA87" s="82" t="s">
        <v>1630</v>
      </c>
      <c r="AB87" s="61">
        <v>1</v>
      </c>
      <c r="AC87" s="61">
        <v>0</v>
      </c>
      <c r="AD87" s="61">
        <v>0</v>
      </c>
      <c r="AE87" s="61">
        <v>0</v>
      </c>
      <c r="AF87" s="69">
        <f>IF(W87="SOPORTE_TELEFÓNICO",'BASE LIQUIDACION'!$B$10,IF(Y87="TIPO I",'BASE LIQUIDACION'!$C$3,IF(Y87="TIPO II",'BASE LIQUIDACION'!$C$4,IF(Y87="TIPO III",'BASE LIQUIDACION'!$C$5,'BASE LIQUIDACION'!$C$7))))</f>
        <v>65960.473639999997</v>
      </c>
      <c r="AG87" s="96">
        <f>IF(W87="SOPORTE_TELEFÓNICO",'BASE LIQUIDACION'!$B$10,(AB87*AF87+AC87*'BASE LIQUIDACION'!$B$12+AD87*'BASE LIQUIDACION'!$B$11+INCIDENTES!AE87*'BASE LIQUIDACION'!$B$13))</f>
        <v>65960.473639999997</v>
      </c>
    </row>
    <row r="88" spans="1:33" s="4" customFormat="1">
      <c r="A88" s="109" t="s">
        <v>100</v>
      </c>
      <c r="B88" s="56" t="str">
        <f>VLOOKUP(A88,'CENTRO DE COSTOS'!A:D,4,FALSE)</f>
        <v>JUAN SEBASTIÁN RÍOS CASTRILLÓN</v>
      </c>
      <c r="C88" s="56" t="str">
        <f>VLOOKUP(A88,'CENTRO DE COSTOS'!A:D,2,FALSE)</f>
        <v>0004-0005</v>
      </c>
      <c r="D88" s="109">
        <v>5001</v>
      </c>
      <c r="E88" s="109">
        <v>2595250</v>
      </c>
      <c r="F88" s="109">
        <v>25421</v>
      </c>
      <c r="G88" s="109" t="s">
        <v>1479</v>
      </c>
      <c r="H88" s="109" t="s">
        <v>104</v>
      </c>
      <c r="I88" s="109" t="s">
        <v>100</v>
      </c>
      <c r="J88" s="109" t="s">
        <v>1853</v>
      </c>
      <c r="K88" s="109" t="s">
        <v>106</v>
      </c>
      <c r="L88" s="82" t="s">
        <v>1854</v>
      </c>
      <c r="M88" s="97">
        <v>45883.333333333336</v>
      </c>
      <c r="N88" s="97">
        <v>45883.522222222222</v>
      </c>
      <c r="O88" s="82" t="s">
        <v>1482</v>
      </c>
      <c r="P88" s="82" t="s">
        <v>1483</v>
      </c>
      <c r="Q88" s="82" t="s">
        <v>1581</v>
      </c>
      <c r="R88" s="82" t="s">
        <v>1582</v>
      </c>
      <c r="S88" s="82" t="s">
        <v>317</v>
      </c>
      <c r="T88" s="82" t="s">
        <v>317</v>
      </c>
      <c r="U88" s="82" t="s">
        <v>1487</v>
      </c>
      <c r="V88" s="82" t="s">
        <v>1855</v>
      </c>
      <c r="W88" s="82" t="s">
        <v>1526</v>
      </c>
      <c r="X88" s="82">
        <v>0</v>
      </c>
      <c r="Y88" s="82" t="s">
        <v>113</v>
      </c>
      <c r="Z88" s="82" t="s">
        <v>114</v>
      </c>
      <c r="AA88" s="82" t="s">
        <v>1505</v>
      </c>
      <c r="AB88" s="61">
        <v>0</v>
      </c>
      <c r="AC88" s="61">
        <v>0</v>
      </c>
      <c r="AD88" s="61">
        <v>0</v>
      </c>
      <c r="AE88" s="61">
        <v>0</v>
      </c>
      <c r="AF88" s="69">
        <f>IF(W88="SOPORTE_TELEFÓNICO",'BASE LIQUIDACION'!$B$10,IF(Y88="TIPO I",'BASE LIQUIDACION'!$C$3,IF(Y88="TIPO II",'BASE LIQUIDACION'!$C$4,IF(Y88="TIPO III",'BASE LIQUIDACION'!$C$5,'BASE LIQUIDACION'!$C$7))))</f>
        <v>37904.65408</v>
      </c>
      <c r="AG88" s="96">
        <f>IF(W88="SOPORTE_TELEFÓNICO",'BASE LIQUIDACION'!$B$10,(AB88*AF88+AC88*'BASE LIQUIDACION'!$B$12+AD88*'BASE LIQUIDACION'!$B$11+INCIDENTES!AE88*'BASE LIQUIDACION'!$B$13))</f>
        <v>37904.65408</v>
      </c>
    </row>
    <row r="89" spans="1:33" s="4" customFormat="1">
      <c r="A89" s="109" t="s">
        <v>100</v>
      </c>
      <c r="B89" s="56" t="str">
        <f>VLOOKUP(A89,'CENTRO DE COSTOS'!A:D,4,FALSE)</f>
        <v>JUAN SEBASTIÁN RÍOS CASTRILLÓN</v>
      </c>
      <c r="C89" s="56" t="str">
        <f>VLOOKUP(A89,'CENTRO DE COSTOS'!A:D,2,FALSE)</f>
        <v>0004-0005</v>
      </c>
      <c r="D89" s="109">
        <v>5001</v>
      </c>
      <c r="E89" s="109">
        <v>2594276</v>
      </c>
      <c r="F89" s="109">
        <v>11915</v>
      </c>
      <c r="G89" s="109" t="s">
        <v>1479</v>
      </c>
      <c r="H89" s="109" t="s">
        <v>104</v>
      </c>
      <c r="I89" s="109" t="s">
        <v>100</v>
      </c>
      <c r="J89" s="109" t="s">
        <v>1856</v>
      </c>
      <c r="K89" s="109" t="s">
        <v>106</v>
      </c>
      <c r="L89" s="82" t="s">
        <v>1857</v>
      </c>
      <c r="M89" s="97">
        <v>45882.68472222222</v>
      </c>
      <c r="N89" s="97">
        <v>45883.589583333334</v>
      </c>
      <c r="O89" s="82" t="s">
        <v>1482</v>
      </c>
      <c r="P89" s="82" t="s">
        <v>1483</v>
      </c>
      <c r="Q89" s="82" t="s">
        <v>1484</v>
      </c>
      <c r="R89" s="82" t="s">
        <v>1485</v>
      </c>
      <c r="S89" s="82" t="s">
        <v>1486</v>
      </c>
      <c r="T89" s="82" t="s">
        <v>1486</v>
      </c>
      <c r="U89" s="82" t="s">
        <v>1487</v>
      </c>
      <c r="V89" s="82" t="s">
        <v>1858</v>
      </c>
      <c r="W89" s="82" t="s">
        <v>1489</v>
      </c>
      <c r="X89" s="82" t="s">
        <v>1859</v>
      </c>
      <c r="Y89" s="82" t="s">
        <v>113</v>
      </c>
      <c r="Z89" s="82" t="s">
        <v>114</v>
      </c>
      <c r="AA89" s="82" t="s">
        <v>1505</v>
      </c>
      <c r="AB89" s="61">
        <v>1</v>
      </c>
      <c r="AC89" s="61">
        <v>0</v>
      </c>
      <c r="AD89" s="61">
        <v>0</v>
      </c>
      <c r="AE89" s="61">
        <v>0</v>
      </c>
      <c r="AF89" s="69">
        <f>IF(W89="SOPORTE_TELEFÓNICO",'BASE LIQUIDACION'!$B$10,IF(Y89="TIPO I",'BASE LIQUIDACION'!$C$3,IF(Y89="TIPO II",'BASE LIQUIDACION'!$C$4,IF(Y89="TIPO III",'BASE LIQUIDACION'!$C$5,'BASE LIQUIDACION'!$C$7))))</f>
        <v>65960.473639999997</v>
      </c>
      <c r="AG89" s="96">
        <f>IF(W89="SOPORTE_TELEFÓNICO",'BASE LIQUIDACION'!$B$10,(AB89*AF89+AC89*'BASE LIQUIDACION'!$B$12+AD89*'BASE LIQUIDACION'!$B$11+INCIDENTES!AE89*'BASE LIQUIDACION'!$B$13))</f>
        <v>65960.473639999997</v>
      </c>
    </row>
    <row r="90" spans="1:33" s="4" customFormat="1">
      <c r="A90" s="109" t="s">
        <v>100</v>
      </c>
      <c r="B90" s="56" t="str">
        <f>VLOOKUP(A90,'CENTRO DE COSTOS'!A:D,4,FALSE)</f>
        <v>JUAN SEBASTIÁN RÍOS CASTRILLÓN</v>
      </c>
      <c r="C90" s="56" t="str">
        <f>VLOOKUP(A90,'CENTRO DE COSTOS'!A:D,2,FALSE)</f>
        <v>0004-0005</v>
      </c>
      <c r="D90" s="109">
        <v>5001</v>
      </c>
      <c r="E90" s="109">
        <v>2597874</v>
      </c>
      <c r="F90" s="109">
        <v>80708</v>
      </c>
      <c r="G90" s="109" t="s">
        <v>1479</v>
      </c>
      <c r="H90" s="109" t="s">
        <v>104</v>
      </c>
      <c r="I90" s="109" t="s">
        <v>100</v>
      </c>
      <c r="J90" s="109" t="s">
        <v>1860</v>
      </c>
      <c r="K90" s="109" t="s">
        <v>106</v>
      </c>
      <c r="L90" s="82" t="s">
        <v>1861</v>
      </c>
      <c r="M90" s="97">
        <v>45883.475694444445</v>
      </c>
      <c r="N90" s="97">
        <v>45883.636111111111</v>
      </c>
      <c r="O90" s="82" t="s">
        <v>1482</v>
      </c>
      <c r="P90" s="82" t="s">
        <v>1483</v>
      </c>
      <c r="Q90" s="82" t="s">
        <v>1484</v>
      </c>
      <c r="R90" s="82" t="s">
        <v>1485</v>
      </c>
      <c r="S90" s="82" t="s">
        <v>1486</v>
      </c>
      <c r="T90" s="82" t="s">
        <v>1486</v>
      </c>
      <c r="U90" s="82" t="s">
        <v>1487</v>
      </c>
      <c r="V90" s="82" t="s">
        <v>1862</v>
      </c>
      <c r="W90" s="82" t="s">
        <v>1526</v>
      </c>
      <c r="X90" s="82">
        <v>0</v>
      </c>
      <c r="Y90" s="82" t="s">
        <v>113</v>
      </c>
      <c r="Z90" s="82" t="s">
        <v>114</v>
      </c>
      <c r="AA90" s="82" t="s">
        <v>448</v>
      </c>
      <c r="AB90" s="61">
        <v>0</v>
      </c>
      <c r="AC90" s="61">
        <v>0</v>
      </c>
      <c r="AD90" s="61">
        <v>0</v>
      </c>
      <c r="AE90" s="61">
        <v>0</v>
      </c>
      <c r="AF90" s="69">
        <f>IF(W90="SOPORTE_TELEFÓNICO",'BASE LIQUIDACION'!$B$10,IF(Y90="TIPO I",'BASE LIQUIDACION'!$C$3,IF(Y90="TIPO II",'BASE LIQUIDACION'!$C$4,IF(Y90="TIPO III",'BASE LIQUIDACION'!$C$5,'BASE LIQUIDACION'!$C$7))))</f>
        <v>37904.65408</v>
      </c>
      <c r="AG90" s="96">
        <f>IF(W90="SOPORTE_TELEFÓNICO",'BASE LIQUIDACION'!$B$10,(AB90*AF90+AC90*'BASE LIQUIDACION'!$B$12+AD90*'BASE LIQUIDACION'!$B$11+INCIDENTES!AE90*'BASE LIQUIDACION'!$B$13))</f>
        <v>37904.65408</v>
      </c>
    </row>
    <row r="91" spans="1:33" s="4" customFormat="1">
      <c r="A91" s="109" t="s">
        <v>140</v>
      </c>
      <c r="B91" s="56" t="str">
        <f>VLOOKUP(A91,'CENTRO DE COSTOS'!A:D,4,FALSE)</f>
        <v>MIGUEL JULIÁN HERNÁNDEZ GUARÍN</v>
      </c>
      <c r="C91" s="56" t="str">
        <f>VLOOKUP(A91,'CENTRO DE COSTOS'!A:D,2,FALSE)</f>
        <v>0004-0008</v>
      </c>
      <c r="D91" s="109">
        <v>15248</v>
      </c>
      <c r="E91" s="109">
        <v>2582200</v>
      </c>
      <c r="F91" s="109">
        <v>11094</v>
      </c>
      <c r="G91" s="109" t="s">
        <v>1479</v>
      </c>
      <c r="H91" s="109" t="s">
        <v>142</v>
      </c>
      <c r="I91" s="109" t="s">
        <v>697</v>
      </c>
      <c r="J91" s="109" t="s">
        <v>1863</v>
      </c>
      <c r="K91" s="109" t="s">
        <v>106</v>
      </c>
      <c r="L91" s="82" t="s">
        <v>1864</v>
      </c>
      <c r="M91" s="97">
        <v>45880.722222222219</v>
      </c>
      <c r="N91" s="97">
        <v>45883.694444444445</v>
      </c>
      <c r="O91" s="82" t="s">
        <v>1482</v>
      </c>
      <c r="P91" s="82" t="s">
        <v>1483</v>
      </c>
      <c r="Q91" s="82" t="s">
        <v>1484</v>
      </c>
      <c r="R91" s="82" t="s">
        <v>1485</v>
      </c>
      <c r="S91" s="82" t="s">
        <v>1486</v>
      </c>
      <c r="T91" s="82" t="s">
        <v>1486</v>
      </c>
      <c r="U91" s="82" t="s">
        <v>1487</v>
      </c>
      <c r="V91" s="82" t="s">
        <v>1865</v>
      </c>
      <c r="W91" s="82" t="s">
        <v>1489</v>
      </c>
      <c r="X91" s="82" t="s">
        <v>1866</v>
      </c>
      <c r="Y91" s="82" t="s">
        <v>344</v>
      </c>
      <c r="Z91" s="82" t="s">
        <v>114</v>
      </c>
      <c r="AA91" s="82" t="s">
        <v>351</v>
      </c>
      <c r="AB91" s="61">
        <v>1</v>
      </c>
      <c r="AC91" s="61">
        <v>0</v>
      </c>
      <c r="AD91" s="61">
        <v>0</v>
      </c>
      <c r="AE91" s="61">
        <v>0</v>
      </c>
      <c r="AF91" s="69">
        <f>IF(W91="SOPORTE_TELEFÓNICO",'BASE LIQUIDACION'!$B$10,IF(Y91="TIPO I",'BASE LIQUIDACION'!$C$3,IF(Y91="TIPO II",'BASE LIQUIDACION'!$C$4,IF(Y91="TIPO III",'BASE LIQUIDACION'!$C$5,'BASE LIQUIDACION'!$C$7))))</f>
        <v>479589.73656000005</v>
      </c>
      <c r="AG91" s="96">
        <f>IF(W91="SOPORTE_TELEFÓNICO",'BASE LIQUIDACION'!$B$10,(AB91*AF91+AC91*'BASE LIQUIDACION'!$B$12+AD91*'BASE LIQUIDACION'!$B$11+INCIDENTES!AE91*'BASE LIQUIDACION'!$B$13))</f>
        <v>479589.73656000005</v>
      </c>
    </row>
    <row r="92" spans="1:33" s="4" customFormat="1">
      <c r="A92" s="109" t="s">
        <v>100</v>
      </c>
      <c r="B92" s="56" t="str">
        <f>VLOOKUP(A92,'CENTRO DE COSTOS'!A:D,4,FALSE)</f>
        <v>JUAN SEBASTIÁN RÍOS CASTRILLÓN</v>
      </c>
      <c r="C92" s="56" t="str">
        <f>VLOOKUP(A92,'CENTRO DE COSTOS'!A:D,2,FALSE)</f>
        <v>0004-0005</v>
      </c>
      <c r="D92" s="109">
        <v>5001</v>
      </c>
      <c r="E92" s="109">
        <v>2595248</v>
      </c>
      <c r="F92" s="109">
        <v>34519</v>
      </c>
      <c r="G92" s="109" t="s">
        <v>1479</v>
      </c>
      <c r="H92" s="109" t="s">
        <v>104</v>
      </c>
      <c r="I92" s="109" t="s">
        <v>100</v>
      </c>
      <c r="J92" s="109" t="s">
        <v>1867</v>
      </c>
      <c r="K92" s="109" t="s">
        <v>106</v>
      </c>
      <c r="L92" s="82" t="s">
        <v>1868</v>
      </c>
      <c r="M92" s="97">
        <v>45883.333333333336</v>
      </c>
      <c r="N92" s="97">
        <v>45884.395138888889</v>
      </c>
      <c r="O92" s="82" t="s">
        <v>1482</v>
      </c>
      <c r="P92" s="82" t="s">
        <v>1483</v>
      </c>
      <c r="Q92" s="82" t="s">
        <v>1581</v>
      </c>
      <c r="R92" s="82" t="s">
        <v>1582</v>
      </c>
      <c r="S92" s="82" t="s">
        <v>1486</v>
      </c>
      <c r="T92" s="82" t="s">
        <v>1486</v>
      </c>
      <c r="U92" s="82" t="s">
        <v>1487</v>
      </c>
      <c r="V92" s="82" t="s">
        <v>1869</v>
      </c>
      <c r="W92" s="82" t="s">
        <v>1526</v>
      </c>
      <c r="X92" s="82">
        <v>0</v>
      </c>
      <c r="Y92" s="82" t="s">
        <v>113</v>
      </c>
      <c r="Z92" s="82" t="s">
        <v>114</v>
      </c>
      <c r="AA92" s="82" t="s">
        <v>1870</v>
      </c>
      <c r="AB92" s="61">
        <v>0</v>
      </c>
      <c r="AC92" s="61">
        <v>0</v>
      </c>
      <c r="AD92" s="61">
        <v>0</v>
      </c>
      <c r="AE92" s="61">
        <v>0</v>
      </c>
      <c r="AF92" s="69">
        <f>IF(W92="SOPORTE_TELEFÓNICO",'BASE LIQUIDACION'!$B$10,IF(Y92="TIPO I",'BASE LIQUIDACION'!$C$3,IF(Y92="TIPO II",'BASE LIQUIDACION'!$C$4,IF(Y92="TIPO III",'BASE LIQUIDACION'!$C$5,'BASE LIQUIDACION'!$C$7))))</f>
        <v>37904.65408</v>
      </c>
      <c r="AG92" s="96">
        <f>IF(W92="SOPORTE_TELEFÓNICO",'BASE LIQUIDACION'!$B$10,(AB92*AF92+AC92*'BASE LIQUIDACION'!$B$12+AD92*'BASE LIQUIDACION'!$B$11+INCIDENTES!AE92*'BASE LIQUIDACION'!$B$13))</f>
        <v>37904.65408</v>
      </c>
    </row>
    <row r="93" spans="1:33" s="4" customFormat="1">
      <c r="A93" s="109" t="s">
        <v>622</v>
      </c>
      <c r="B93" s="56" t="str">
        <f>VLOOKUP(A93,'CENTRO DE COSTOS'!A:D,4,FALSE)</f>
        <v>JOSE MAURICIO HERNANDEZ ROJAS</v>
      </c>
      <c r="C93" s="56" t="str">
        <f>VLOOKUP(A93,'CENTRO DE COSTOS'!A:D,2,FALSE)</f>
        <v>0004-0001</v>
      </c>
      <c r="D93" s="109">
        <v>20750</v>
      </c>
      <c r="E93" s="109">
        <v>2597004</v>
      </c>
      <c r="F93" s="109">
        <v>43043</v>
      </c>
      <c r="G93" s="109" t="s">
        <v>1479</v>
      </c>
      <c r="H93" s="109" t="s">
        <v>868</v>
      </c>
      <c r="I93" s="109" t="s">
        <v>890</v>
      </c>
      <c r="J93" s="109" t="s">
        <v>1871</v>
      </c>
      <c r="K93" s="109" t="s">
        <v>106</v>
      </c>
      <c r="L93" s="82" t="s">
        <v>1872</v>
      </c>
      <c r="M93" s="97">
        <v>45883.417361111111</v>
      </c>
      <c r="N93" s="97">
        <v>45884.399305555555</v>
      </c>
      <c r="O93" s="82" t="s">
        <v>1482</v>
      </c>
      <c r="P93" s="82" t="s">
        <v>1483</v>
      </c>
      <c r="Q93" s="82" t="s">
        <v>1494</v>
      </c>
      <c r="R93" s="82" t="s">
        <v>1519</v>
      </c>
      <c r="S93" s="82" t="s">
        <v>1486</v>
      </c>
      <c r="T93" s="82" t="s">
        <v>1486</v>
      </c>
      <c r="U93" s="82" t="s">
        <v>1487</v>
      </c>
      <c r="V93" s="82" t="s">
        <v>1873</v>
      </c>
      <c r="W93" s="82" t="s">
        <v>1526</v>
      </c>
      <c r="X93" s="82">
        <v>0</v>
      </c>
      <c r="Y93" s="82" t="s">
        <v>148</v>
      </c>
      <c r="Z93" s="82" t="s">
        <v>114</v>
      </c>
      <c r="AA93" s="82" t="s">
        <v>1590</v>
      </c>
      <c r="AB93" s="61">
        <v>0</v>
      </c>
      <c r="AC93" s="61">
        <v>0</v>
      </c>
      <c r="AD93" s="61">
        <v>0</v>
      </c>
      <c r="AE93" s="61">
        <v>0</v>
      </c>
      <c r="AF93" s="69">
        <f>IF(W93="SOPORTE_TELEFÓNICO",'BASE LIQUIDACION'!$B$10,IF(Y93="TIPO I",'BASE LIQUIDACION'!$C$3,IF(Y93="TIPO II",'BASE LIQUIDACION'!$C$4,IF(Y93="TIPO III",'BASE LIQUIDACION'!$C$5,'BASE LIQUIDACION'!$C$7))))</f>
        <v>37904.65408</v>
      </c>
      <c r="AG93" s="96">
        <f>IF(W93="SOPORTE_TELEFÓNICO",'BASE LIQUIDACION'!$B$10,(AB93*AF93+AC93*'BASE LIQUIDACION'!$B$12+AD93*'BASE LIQUIDACION'!$B$11+INCIDENTES!AE93*'BASE LIQUIDACION'!$B$13))</f>
        <v>37904.65408</v>
      </c>
    </row>
    <row r="94" spans="1:33" s="4" customFormat="1">
      <c r="A94" s="109" t="s">
        <v>303</v>
      </c>
      <c r="B94" s="56" t="str">
        <f>VLOOKUP(A94,'CENTRO DE COSTOS'!A:D,4,FALSE)</f>
        <v>MIGUEL JULIÁN HERNÁNDEZ GUARÍN</v>
      </c>
      <c r="C94" s="56" t="str">
        <f>VLOOKUP(A94,'CENTRO DE COSTOS'!A:D,2,FALSE)</f>
        <v>0004-0008</v>
      </c>
      <c r="D94" s="109">
        <v>54498</v>
      </c>
      <c r="E94" s="109">
        <v>2589851</v>
      </c>
      <c r="F94" s="109">
        <v>70662</v>
      </c>
      <c r="G94" s="109" t="s">
        <v>1479</v>
      </c>
      <c r="H94" s="109" t="s">
        <v>305</v>
      </c>
      <c r="I94" s="109" t="s">
        <v>450</v>
      </c>
      <c r="J94" s="109" t="s">
        <v>1874</v>
      </c>
      <c r="K94" s="109" t="s">
        <v>106</v>
      </c>
      <c r="L94" s="82" t="s">
        <v>1875</v>
      </c>
      <c r="M94" s="97">
        <v>45882.351388888892</v>
      </c>
      <c r="N94" s="97">
        <v>45884.40625</v>
      </c>
      <c r="O94" s="82" t="s">
        <v>1482</v>
      </c>
      <c r="P94" s="82" t="s">
        <v>1483</v>
      </c>
      <c r="Q94" s="82" t="s">
        <v>1581</v>
      </c>
      <c r="R94" s="82" t="s">
        <v>1582</v>
      </c>
      <c r="S94" s="82" t="s">
        <v>1486</v>
      </c>
      <c r="T94" s="82" t="s">
        <v>1486</v>
      </c>
      <c r="U94" s="82" t="s">
        <v>1487</v>
      </c>
      <c r="V94" s="82" t="s">
        <v>1876</v>
      </c>
      <c r="W94" s="82" t="s">
        <v>1489</v>
      </c>
      <c r="X94" s="82" t="s">
        <v>1877</v>
      </c>
      <c r="Y94" s="82" t="s">
        <v>344</v>
      </c>
      <c r="Z94" s="82" t="s">
        <v>114</v>
      </c>
      <c r="AA94" s="82" t="s">
        <v>1726</v>
      </c>
      <c r="AB94" s="61">
        <v>1</v>
      </c>
      <c r="AC94" s="61">
        <v>0</v>
      </c>
      <c r="AD94" s="61">
        <v>0</v>
      </c>
      <c r="AE94" s="61">
        <v>0</v>
      </c>
      <c r="AF94" s="69">
        <f>IF(W94="SOPORTE_TELEFÓNICO",'BASE LIQUIDACION'!$B$10,IF(Y94="TIPO I",'BASE LIQUIDACION'!$C$3,IF(Y94="TIPO II",'BASE LIQUIDACION'!$C$4,IF(Y94="TIPO III",'BASE LIQUIDACION'!$C$5,'BASE LIQUIDACION'!$C$7))))</f>
        <v>479589.73656000005</v>
      </c>
      <c r="AG94" s="96">
        <f>IF(W94="SOPORTE_TELEFÓNICO",'BASE LIQUIDACION'!$B$10,(AB94*AF94+AC94*'BASE LIQUIDACION'!$B$12+AD94*'BASE LIQUIDACION'!$B$11+INCIDENTES!AE94*'BASE LIQUIDACION'!$B$13))</f>
        <v>479589.73656000005</v>
      </c>
    </row>
    <row r="95" spans="1:33" s="4" customFormat="1">
      <c r="A95" s="109" t="s">
        <v>1353</v>
      </c>
      <c r="B95" s="56" t="str">
        <f>VLOOKUP(A95,'CENTRO DE COSTOS'!A:D,4,FALSE)</f>
        <v>JOSE MAURICIO HERNANDEZ ROJAS</v>
      </c>
      <c r="C95" s="56" t="str">
        <f>VLOOKUP(A95,'CENTRO DE COSTOS'!A:D,2,FALSE)</f>
        <v>0004-0001</v>
      </c>
      <c r="D95" s="109">
        <v>70708</v>
      </c>
      <c r="E95" s="109">
        <v>2600164</v>
      </c>
      <c r="F95" s="109">
        <v>48599</v>
      </c>
      <c r="G95" s="109" t="s">
        <v>1479</v>
      </c>
      <c r="H95" s="109" t="s">
        <v>836</v>
      </c>
      <c r="I95" s="109" t="s">
        <v>1372</v>
      </c>
      <c r="J95" s="109" t="s">
        <v>1878</v>
      </c>
      <c r="K95" s="109" t="s">
        <v>106</v>
      </c>
      <c r="L95" s="82" t="s">
        <v>1879</v>
      </c>
      <c r="M95" s="97">
        <v>45883.688194444447</v>
      </c>
      <c r="N95" s="97">
        <v>45884.411111111112</v>
      </c>
      <c r="O95" s="82" t="s">
        <v>1482</v>
      </c>
      <c r="P95" s="82" t="s">
        <v>1483</v>
      </c>
      <c r="Q95" s="82" t="s">
        <v>1581</v>
      </c>
      <c r="R95" s="82" t="s">
        <v>1582</v>
      </c>
      <c r="S95" s="82" t="s">
        <v>317</v>
      </c>
      <c r="T95" s="82" t="s">
        <v>317</v>
      </c>
      <c r="U95" s="82" t="s">
        <v>1487</v>
      </c>
      <c r="V95" s="82" t="s">
        <v>1880</v>
      </c>
      <c r="W95" s="82" t="s">
        <v>1526</v>
      </c>
      <c r="X95" s="82">
        <v>0</v>
      </c>
      <c r="Y95" s="82" t="s">
        <v>202</v>
      </c>
      <c r="Z95" s="82" t="s">
        <v>114</v>
      </c>
      <c r="AA95" s="82" t="s">
        <v>1613</v>
      </c>
      <c r="AB95" s="61">
        <v>0</v>
      </c>
      <c r="AC95" s="61">
        <v>0</v>
      </c>
      <c r="AD95" s="61">
        <v>0</v>
      </c>
      <c r="AE95" s="61">
        <v>0</v>
      </c>
      <c r="AF95" s="69">
        <f>IF(W95="SOPORTE_TELEFÓNICO",'BASE LIQUIDACION'!$B$10,IF(Y95="TIPO I",'BASE LIQUIDACION'!$C$3,IF(Y95="TIPO II",'BASE LIQUIDACION'!$C$4,IF(Y95="TIPO III",'BASE LIQUIDACION'!$C$5,'BASE LIQUIDACION'!$C$7))))</f>
        <v>37904.65408</v>
      </c>
      <c r="AG95" s="96">
        <f>IF(W95="SOPORTE_TELEFÓNICO",'BASE LIQUIDACION'!$B$10,(AB95*AF95+AC95*'BASE LIQUIDACION'!$B$12+AD95*'BASE LIQUIDACION'!$B$11+INCIDENTES!AE95*'BASE LIQUIDACION'!$B$13))</f>
        <v>37904.65408</v>
      </c>
    </row>
    <row r="96" spans="1:33" s="4" customFormat="1">
      <c r="A96" s="109" t="s">
        <v>100</v>
      </c>
      <c r="B96" s="56" t="str">
        <f>VLOOKUP(A96,'CENTRO DE COSTOS'!A:D,4,FALSE)</f>
        <v>JUAN SEBASTIÁN RÍOS CASTRILLÓN</v>
      </c>
      <c r="C96" s="56" t="str">
        <f>VLOOKUP(A96,'CENTRO DE COSTOS'!A:D,2,FALSE)</f>
        <v>0004-0005</v>
      </c>
      <c r="D96" s="109">
        <v>5030</v>
      </c>
      <c r="E96" s="109">
        <v>2592015</v>
      </c>
      <c r="F96" s="109">
        <v>80254</v>
      </c>
      <c r="G96" s="109" t="s">
        <v>1479</v>
      </c>
      <c r="H96" s="109" t="s">
        <v>104</v>
      </c>
      <c r="I96" s="109" t="s">
        <v>496</v>
      </c>
      <c r="J96" s="109" t="s">
        <v>1881</v>
      </c>
      <c r="K96" s="109" t="s">
        <v>106</v>
      </c>
      <c r="L96" s="82" t="s">
        <v>1882</v>
      </c>
      <c r="M96" s="97">
        <v>45882.474305555559</v>
      </c>
      <c r="N96" s="97">
        <v>45884.44027777778</v>
      </c>
      <c r="O96" s="82" t="s">
        <v>1482</v>
      </c>
      <c r="P96" s="82" t="s">
        <v>1483</v>
      </c>
      <c r="Q96" s="82" t="s">
        <v>1494</v>
      </c>
      <c r="R96" s="82" t="s">
        <v>1519</v>
      </c>
      <c r="S96" s="82" t="s">
        <v>1486</v>
      </c>
      <c r="T96" s="82" t="s">
        <v>1486</v>
      </c>
      <c r="U96" s="82" t="s">
        <v>1487</v>
      </c>
      <c r="V96" s="82" t="s">
        <v>1883</v>
      </c>
      <c r="W96" s="82" t="s">
        <v>1489</v>
      </c>
      <c r="X96" s="82" t="s">
        <v>1884</v>
      </c>
      <c r="Y96" s="82" t="s">
        <v>148</v>
      </c>
      <c r="Z96" s="82" t="s">
        <v>114</v>
      </c>
      <c r="AA96" s="82" t="s">
        <v>1505</v>
      </c>
      <c r="AB96" s="61">
        <v>1</v>
      </c>
      <c r="AC96" s="61">
        <v>0</v>
      </c>
      <c r="AD96" s="61">
        <v>0</v>
      </c>
      <c r="AE96" s="61">
        <v>0</v>
      </c>
      <c r="AF96" s="69">
        <f>IF(W96="SOPORTE_TELEFÓNICO",'BASE LIQUIDACION'!$B$10,IF(Y96="TIPO I",'BASE LIQUIDACION'!$C$3,IF(Y96="TIPO II",'BASE LIQUIDACION'!$C$4,IF(Y96="TIPO III",'BASE LIQUIDACION'!$C$5,'BASE LIQUIDACION'!$C$7))))</f>
        <v>163813.55812</v>
      </c>
      <c r="AG96" s="96">
        <f>IF(W96="SOPORTE_TELEFÓNICO",'BASE LIQUIDACION'!$B$10,(AB96*AF96+AC96*'BASE LIQUIDACION'!$B$12+AD96*'BASE LIQUIDACION'!$B$11+INCIDENTES!AE96*'BASE LIQUIDACION'!$B$13))</f>
        <v>163813.55812</v>
      </c>
    </row>
    <row r="97" spans="1:33" s="4" customFormat="1">
      <c r="A97" s="109" t="s">
        <v>116</v>
      </c>
      <c r="B97" s="56" t="str">
        <f>VLOOKUP(A97,'CENTRO DE COSTOS'!A:D,4,FALSE)</f>
        <v>WILLIAM ASDRUBAL ROZO ROZO</v>
      </c>
      <c r="C97" s="56" t="str">
        <f>VLOOKUP(A97,'CENTRO DE COSTOS'!A:D,2,FALSE)</f>
        <v>0004-0004</v>
      </c>
      <c r="D97" s="109">
        <v>25817</v>
      </c>
      <c r="E97" s="109">
        <v>2600762</v>
      </c>
      <c r="F97" s="109">
        <v>66805</v>
      </c>
      <c r="G97" s="109" t="s">
        <v>1479</v>
      </c>
      <c r="H97" s="109" t="s">
        <v>118</v>
      </c>
      <c r="I97" s="109" t="s">
        <v>1043</v>
      </c>
      <c r="J97" s="109" t="s">
        <v>1885</v>
      </c>
      <c r="K97" s="109" t="s">
        <v>106</v>
      </c>
      <c r="L97" s="82" t="s">
        <v>1886</v>
      </c>
      <c r="M97" s="97">
        <v>45884.333333333336</v>
      </c>
      <c r="N97" s="97">
        <v>45884.613888888889</v>
      </c>
      <c r="O97" s="82" t="s">
        <v>1482</v>
      </c>
      <c r="P97" s="82" t="s">
        <v>1483</v>
      </c>
      <c r="Q97" s="82" t="s">
        <v>1581</v>
      </c>
      <c r="R97" s="82" t="s">
        <v>1582</v>
      </c>
      <c r="S97" s="82" t="s">
        <v>1486</v>
      </c>
      <c r="T97" s="82" t="s">
        <v>1486</v>
      </c>
      <c r="U97" s="82" t="s">
        <v>1487</v>
      </c>
      <c r="V97" s="82" t="s">
        <v>1887</v>
      </c>
      <c r="W97" s="82" t="s">
        <v>1489</v>
      </c>
      <c r="X97" s="82" t="s">
        <v>1888</v>
      </c>
      <c r="Y97" s="82" t="s">
        <v>148</v>
      </c>
      <c r="Z97" s="82" t="s">
        <v>114</v>
      </c>
      <c r="AA97" s="82" t="s">
        <v>1889</v>
      </c>
      <c r="AB97" s="61">
        <v>1</v>
      </c>
      <c r="AC97" s="61">
        <v>0</v>
      </c>
      <c r="AD97" s="61">
        <v>0</v>
      </c>
      <c r="AE97" s="61">
        <v>0</v>
      </c>
      <c r="AF97" s="69">
        <f>IF(W97="SOPORTE_TELEFÓNICO",'BASE LIQUIDACION'!$B$10,IF(Y97="TIPO I",'BASE LIQUIDACION'!$C$3,IF(Y97="TIPO II",'BASE LIQUIDACION'!$C$4,IF(Y97="TIPO III",'BASE LIQUIDACION'!$C$5,'BASE LIQUIDACION'!$C$7))))</f>
        <v>163813.55812</v>
      </c>
      <c r="AG97" s="96">
        <f>IF(W97="SOPORTE_TELEFÓNICO",'BASE LIQUIDACION'!$B$10,(AB97*AF97+AC97*'BASE LIQUIDACION'!$B$12+AD97*'BASE LIQUIDACION'!$B$11+INCIDENTES!AE97*'BASE LIQUIDACION'!$B$13))</f>
        <v>163813.55812</v>
      </c>
    </row>
    <row r="98" spans="1:33" s="4" customFormat="1">
      <c r="A98" s="109" t="s">
        <v>100</v>
      </c>
      <c r="B98" s="56" t="str">
        <f>VLOOKUP(A98,'CENTRO DE COSTOS'!A:D,4,FALSE)</f>
        <v>JUAN SEBASTIÁN RÍOS CASTRILLÓN</v>
      </c>
      <c r="C98" s="56" t="str">
        <f>VLOOKUP(A98,'CENTRO DE COSTOS'!A:D,2,FALSE)</f>
        <v>0004-0005</v>
      </c>
      <c r="D98" s="109">
        <v>5631</v>
      </c>
      <c r="E98" s="109">
        <v>2606100</v>
      </c>
      <c r="F98" s="109">
        <v>76870</v>
      </c>
      <c r="G98" s="109" t="s">
        <v>1479</v>
      </c>
      <c r="H98" s="109" t="s">
        <v>104</v>
      </c>
      <c r="I98" s="109" t="s">
        <v>561</v>
      </c>
      <c r="J98" s="109" t="s">
        <v>1890</v>
      </c>
      <c r="K98" s="109" t="s">
        <v>106</v>
      </c>
      <c r="L98" s="82" t="s">
        <v>1891</v>
      </c>
      <c r="M98" s="97">
        <v>45885.333333333336</v>
      </c>
      <c r="N98" s="97">
        <v>45885.429861111108</v>
      </c>
      <c r="O98" s="82" t="s">
        <v>1482</v>
      </c>
      <c r="P98" s="82" t="s">
        <v>1483</v>
      </c>
      <c r="Q98" s="82" t="s">
        <v>1581</v>
      </c>
      <c r="R98" s="82" t="s">
        <v>1582</v>
      </c>
      <c r="S98" s="82" t="s">
        <v>1486</v>
      </c>
      <c r="T98" s="82" t="s">
        <v>1486</v>
      </c>
      <c r="U98" s="82" t="s">
        <v>1487</v>
      </c>
      <c r="V98" s="82" t="s">
        <v>1892</v>
      </c>
      <c r="W98" s="82" t="s">
        <v>1526</v>
      </c>
      <c r="X98" s="82">
        <v>0</v>
      </c>
      <c r="Y98" s="82" t="s">
        <v>113</v>
      </c>
      <c r="Z98" s="82" t="s">
        <v>114</v>
      </c>
      <c r="AA98" s="82" t="s">
        <v>448</v>
      </c>
      <c r="AB98" s="61">
        <v>0</v>
      </c>
      <c r="AC98" s="61">
        <v>0</v>
      </c>
      <c r="AD98" s="61">
        <v>0</v>
      </c>
      <c r="AE98" s="61">
        <v>0</v>
      </c>
      <c r="AF98" s="69">
        <f>IF(W98="SOPORTE_TELEFÓNICO",'BASE LIQUIDACION'!$B$10,IF(Y98="TIPO I",'BASE LIQUIDACION'!$C$3,IF(Y98="TIPO II",'BASE LIQUIDACION'!$C$4,IF(Y98="TIPO III",'BASE LIQUIDACION'!$C$5,'BASE LIQUIDACION'!$C$7))))</f>
        <v>37904.65408</v>
      </c>
      <c r="AG98" s="96">
        <f>IF(W98="SOPORTE_TELEFÓNICO",'BASE LIQUIDACION'!$B$10,(AB98*AF98+AC98*'BASE LIQUIDACION'!$B$12+AD98*'BASE LIQUIDACION'!$B$11+INCIDENTES!AE98*'BASE LIQUIDACION'!$B$13))</f>
        <v>37904.65408</v>
      </c>
    </row>
    <row r="99" spans="1:33" s="4" customFormat="1">
      <c r="A99" s="109" t="s">
        <v>100</v>
      </c>
      <c r="B99" s="56" t="str">
        <f>VLOOKUP(A99,'CENTRO DE COSTOS'!A:D,4,FALSE)</f>
        <v>JUAN SEBASTIÁN RÍOS CASTRILLÓN</v>
      </c>
      <c r="C99" s="56" t="str">
        <f>VLOOKUP(A99,'CENTRO DE COSTOS'!A:D,2,FALSE)</f>
        <v>0004-0005</v>
      </c>
      <c r="D99" s="109">
        <v>5667</v>
      </c>
      <c r="E99" s="109">
        <v>2605907</v>
      </c>
      <c r="F99" s="109">
        <v>34542</v>
      </c>
      <c r="G99" s="109" t="s">
        <v>1479</v>
      </c>
      <c r="H99" s="109" t="s">
        <v>104</v>
      </c>
      <c r="I99" s="109" t="s">
        <v>567</v>
      </c>
      <c r="J99" s="109" t="s">
        <v>1893</v>
      </c>
      <c r="K99" s="109" t="s">
        <v>106</v>
      </c>
      <c r="L99" s="82" t="s">
        <v>1894</v>
      </c>
      <c r="M99" s="97">
        <v>45884.745138888888</v>
      </c>
      <c r="N99" s="97">
        <v>45885.505555555559</v>
      </c>
      <c r="O99" s="82" t="s">
        <v>1482</v>
      </c>
      <c r="P99" s="82" t="s">
        <v>1483</v>
      </c>
      <c r="Q99" s="82" t="s">
        <v>1484</v>
      </c>
      <c r="R99" s="82" t="s">
        <v>1485</v>
      </c>
      <c r="S99" s="82" t="s">
        <v>1486</v>
      </c>
      <c r="T99" s="82" t="s">
        <v>1486</v>
      </c>
      <c r="U99" s="82" t="s">
        <v>1487</v>
      </c>
      <c r="V99" s="82" t="s">
        <v>1895</v>
      </c>
      <c r="W99" s="82" t="s">
        <v>1489</v>
      </c>
      <c r="X99" s="82" t="s">
        <v>1896</v>
      </c>
      <c r="Y99" s="82" t="s">
        <v>202</v>
      </c>
      <c r="Z99" s="82" t="s">
        <v>114</v>
      </c>
      <c r="AA99" s="82" t="s">
        <v>420</v>
      </c>
      <c r="AB99" s="61">
        <v>1</v>
      </c>
      <c r="AC99" s="61">
        <v>0</v>
      </c>
      <c r="AD99" s="61">
        <v>0</v>
      </c>
      <c r="AE99" s="61">
        <v>0</v>
      </c>
      <c r="AF99" s="69">
        <f>IF(W99="SOPORTE_TELEFÓNICO",'BASE LIQUIDACION'!$B$10,IF(Y99="TIPO I",'BASE LIQUIDACION'!$C$3,IF(Y99="TIPO II",'BASE LIQUIDACION'!$C$4,IF(Y99="TIPO III",'BASE LIQUIDACION'!$C$5,'BASE LIQUIDACION'!$C$7))))</f>
        <v>275728.37943999999</v>
      </c>
      <c r="AG99" s="96">
        <f>IF(W99="SOPORTE_TELEFÓNICO",'BASE LIQUIDACION'!$B$10,(AB99*AF99+AC99*'BASE LIQUIDACION'!$B$12+AD99*'BASE LIQUIDACION'!$B$11+INCIDENTES!AE99*'BASE LIQUIDACION'!$B$13))</f>
        <v>275728.37943999999</v>
      </c>
    </row>
    <row r="100" spans="1:33" s="4" customFormat="1">
      <c r="A100" s="109" t="s">
        <v>502</v>
      </c>
      <c r="B100" s="56" t="str">
        <f>VLOOKUP(A100,'CENTRO DE COSTOS'!A:D,4,FALSE)</f>
        <v>JUAN SEBASTIÁN RÍOS CASTRILLÓN</v>
      </c>
      <c r="C100" s="56" t="str">
        <f>VLOOKUP(A100,'CENTRO DE COSTOS'!A:D,2,FALSE)</f>
        <v>0004-0005</v>
      </c>
      <c r="D100" s="109">
        <v>5172</v>
      </c>
      <c r="E100" s="109">
        <v>2606563</v>
      </c>
      <c r="F100" s="109">
        <v>72551</v>
      </c>
      <c r="G100" s="109" t="s">
        <v>1479</v>
      </c>
      <c r="H100" s="109" t="s">
        <v>104</v>
      </c>
      <c r="I100" s="109" t="s">
        <v>517</v>
      </c>
      <c r="J100" s="109" t="s">
        <v>1897</v>
      </c>
      <c r="K100" s="109" t="s">
        <v>106</v>
      </c>
      <c r="L100" s="82" t="s">
        <v>1898</v>
      </c>
      <c r="M100" s="97">
        <v>45885.449305555558</v>
      </c>
      <c r="N100" s="97">
        <v>45886.52847222222</v>
      </c>
      <c r="O100" s="82" t="s">
        <v>1482</v>
      </c>
      <c r="P100" s="82" t="s">
        <v>1508</v>
      </c>
      <c r="Q100" s="82" t="s">
        <v>1509</v>
      </c>
      <c r="R100" s="82" t="s">
        <v>1510</v>
      </c>
      <c r="S100" s="82" t="s">
        <v>317</v>
      </c>
      <c r="T100" s="82" t="s">
        <v>317</v>
      </c>
      <c r="U100" s="82" t="s">
        <v>1487</v>
      </c>
      <c r="V100" s="82" t="s">
        <v>1899</v>
      </c>
      <c r="W100" s="82" t="s">
        <v>1526</v>
      </c>
      <c r="X100" s="82">
        <v>0</v>
      </c>
      <c r="Y100" s="82" t="s">
        <v>148</v>
      </c>
      <c r="Z100" s="82" t="s">
        <v>114</v>
      </c>
      <c r="AA100" s="82" t="s">
        <v>1900</v>
      </c>
      <c r="AB100" s="61">
        <v>0</v>
      </c>
      <c r="AC100" s="61">
        <v>0</v>
      </c>
      <c r="AD100" s="61">
        <v>0</v>
      </c>
      <c r="AE100" s="61">
        <v>0</v>
      </c>
      <c r="AF100" s="69">
        <f>IF(W100="SOPORTE_TELEFÓNICO",'BASE LIQUIDACION'!$B$10,IF(Y100="TIPO I",'BASE LIQUIDACION'!$C$3,IF(Y100="TIPO II",'BASE LIQUIDACION'!$C$4,IF(Y100="TIPO III",'BASE LIQUIDACION'!$C$5,'BASE LIQUIDACION'!$C$7))))</f>
        <v>37904.65408</v>
      </c>
      <c r="AG100" s="96">
        <f>IF(W100="SOPORTE_TELEFÓNICO",'BASE LIQUIDACION'!$B$10,(AB100*AF100+AC100*'BASE LIQUIDACION'!$B$12+AD100*'BASE LIQUIDACION'!$B$11+INCIDENTES!AE100*'BASE LIQUIDACION'!$B$13))</f>
        <v>37904.65408</v>
      </c>
    </row>
    <row r="101" spans="1:33" s="4" customFormat="1">
      <c r="A101" s="109" t="s">
        <v>100</v>
      </c>
      <c r="B101" s="56" t="str">
        <f>VLOOKUP(A101,'CENTRO DE COSTOS'!A:D,4,FALSE)</f>
        <v>JUAN SEBASTIÁN RÍOS CASTRILLÓN</v>
      </c>
      <c r="C101" s="56" t="str">
        <f>VLOOKUP(A101,'CENTRO DE COSTOS'!A:D,2,FALSE)</f>
        <v>0004-0005</v>
      </c>
      <c r="D101" s="109">
        <v>5001</v>
      </c>
      <c r="E101" s="109">
        <v>2608456</v>
      </c>
      <c r="F101" s="109">
        <v>65732</v>
      </c>
      <c r="G101" s="109" t="s">
        <v>1479</v>
      </c>
      <c r="H101" s="109" t="s">
        <v>104</v>
      </c>
      <c r="I101" s="109" t="s">
        <v>100</v>
      </c>
      <c r="J101" s="109" t="s">
        <v>1901</v>
      </c>
      <c r="K101" s="109" t="s">
        <v>106</v>
      </c>
      <c r="L101" s="82" t="s">
        <v>1902</v>
      </c>
      <c r="M101" s="97">
        <v>45887.495138888888</v>
      </c>
      <c r="N101" s="97">
        <v>45888.481944444444</v>
      </c>
      <c r="O101" s="82" t="s">
        <v>1482</v>
      </c>
      <c r="P101" s="82" t="s">
        <v>1483</v>
      </c>
      <c r="Q101" s="82" t="s">
        <v>1494</v>
      </c>
      <c r="R101" s="82" t="s">
        <v>1519</v>
      </c>
      <c r="S101" s="82" t="s">
        <v>1486</v>
      </c>
      <c r="T101" s="82" t="s">
        <v>1486</v>
      </c>
      <c r="U101" s="82" t="s">
        <v>1487</v>
      </c>
      <c r="V101" s="82" t="s">
        <v>1903</v>
      </c>
      <c r="W101" s="82" t="s">
        <v>1489</v>
      </c>
      <c r="X101" s="82" t="s">
        <v>1904</v>
      </c>
      <c r="Y101" s="82" t="s">
        <v>113</v>
      </c>
      <c r="Z101" s="82" t="s">
        <v>114</v>
      </c>
      <c r="AA101" s="82" t="s">
        <v>321</v>
      </c>
      <c r="AB101" s="61">
        <v>1</v>
      </c>
      <c r="AC101" s="61">
        <v>0</v>
      </c>
      <c r="AD101" s="61">
        <v>0</v>
      </c>
      <c r="AE101" s="61">
        <v>0</v>
      </c>
      <c r="AF101" s="69">
        <f>IF(W101="SOPORTE_TELEFÓNICO",'BASE LIQUIDACION'!$B$10,IF(Y101="TIPO I",'BASE LIQUIDACION'!$C$3,IF(Y101="TIPO II",'BASE LIQUIDACION'!$C$4,IF(Y101="TIPO III",'BASE LIQUIDACION'!$C$5,'BASE LIQUIDACION'!$C$7))))</f>
        <v>65960.473639999997</v>
      </c>
      <c r="AG101" s="96">
        <f>IF(W101="SOPORTE_TELEFÓNICO",'BASE LIQUIDACION'!$B$10,(AB101*AF101+AC101*'BASE LIQUIDACION'!$B$12+AD101*'BASE LIQUIDACION'!$B$11+INCIDENTES!AE101*'BASE LIQUIDACION'!$B$13))</f>
        <v>65960.473639999997</v>
      </c>
    </row>
    <row r="102" spans="1:33" s="4" customFormat="1">
      <c r="A102" s="109" t="s">
        <v>124</v>
      </c>
      <c r="B102" s="56" t="str">
        <f>VLOOKUP(A102,'CENTRO DE COSTOS'!A:D,4,FALSE)</f>
        <v>DIEGO FERNANDO HENAO CARDONA</v>
      </c>
      <c r="C102" s="56" t="str">
        <f>VLOOKUP(A102,'CENTRO DE COSTOS'!A:D,2,FALSE)</f>
        <v>0004-0002</v>
      </c>
      <c r="D102" s="109">
        <v>66001</v>
      </c>
      <c r="E102" s="109">
        <v>2611078</v>
      </c>
      <c r="F102" s="109">
        <v>80959</v>
      </c>
      <c r="G102" s="109" t="s">
        <v>1479</v>
      </c>
      <c r="H102" s="109" t="s">
        <v>126</v>
      </c>
      <c r="I102" s="109" t="s">
        <v>124</v>
      </c>
      <c r="J102" s="109" t="s">
        <v>1905</v>
      </c>
      <c r="K102" s="109" t="s">
        <v>106</v>
      </c>
      <c r="L102" s="82" t="s">
        <v>1906</v>
      </c>
      <c r="M102" s="97">
        <v>45888.426388888889</v>
      </c>
      <c r="N102" s="97">
        <v>45888.48333333333</v>
      </c>
      <c r="O102" s="82" t="s">
        <v>1482</v>
      </c>
      <c r="P102" s="82" t="s">
        <v>1483</v>
      </c>
      <c r="Q102" s="82" t="s">
        <v>1484</v>
      </c>
      <c r="R102" s="82" t="s">
        <v>1485</v>
      </c>
      <c r="S102" s="82" t="s">
        <v>1486</v>
      </c>
      <c r="T102" s="82" t="s">
        <v>1486</v>
      </c>
      <c r="U102" s="82" t="s">
        <v>1487</v>
      </c>
      <c r="V102" s="82" t="s">
        <v>1907</v>
      </c>
      <c r="W102" s="82" t="s">
        <v>1489</v>
      </c>
      <c r="X102" s="82" t="s">
        <v>1908</v>
      </c>
      <c r="Y102" s="82" t="s">
        <v>113</v>
      </c>
      <c r="Z102" s="82" t="s">
        <v>114</v>
      </c>
      <c r="AA102" s="82" t="s">
        <v>1825</v>
      </c>
      <c r="AB102" s="61">
        <v>1</v>
      </c>
      <c r="AC102" s="61">
        <v>0</v>
      </c>
      <c r="AD102" s="61">
        <v>0</v>
      </c>
      <c r="AE102" s="61">
        <v>0</v>
      </c>
      <c r="AF102" s="69">
        <f>IF(W102="SOPORTE_TELEFÓNICO",'BASE LIQUIDACION'!$B$10,IF(Y102="TIPO I",'BASE LIQUIDACION'!$C$3,IF(Y102="TIPO II",'BASE LIQUIDACION'!$C$4,IF(Y102="TIPO III",'BASE LIQUIDACION'!$C$5,'BASE LIQUIDACION'!$C$7))))</f>
        <v>65960.473639999997</v>
      </c>
      <c r="AG102" s="96">
        <f>IF(W102="SOPORTE_TELEFÓNICO",'BASE LIQUIDACION'!$B$10,(AB102*AF102+AC102*'BASE LIQUIDACION'!$B$12+AD102*'BASE LIQUIDACION'!$B$11+INCIDENTES!AE102*'BASE LIQUIDACION'!$B$13))</f>
        <v>65960.473639999997</v>
      </c>
    </row>
    <row r="103" spans="1:33" s="4" customFormat="1">
      <c r="A103" s="109" t="s">
        <v>622</v>
      </c>
      <c r="B103" s="56" t="str">
        <f>VLOOKUP(A103,'CENTRO DE COSTOS'!A:D,4,FALSE)</f>
        <v>JOSE MAURICIO HERNANDEZ ROJAS</v>
      </c>
      <c r="C103" s="56" t="str">
        <f>VLOOKUP(A103,'CENTRO DE COSTOS'!A:D,2,FALSE)</f>
        <v>0004-0001</v>
      </c>
      <c r="D103" s="109">
        <v>20001</v>
      </c>
      <c r="E103" s="109">
        <v>2609293</v>
      </c>
      <c r="F103" s="109">
        <v>35314</v>
      </c>
      <c r="G103" s="109" t="s">
        <v>1479</v>
      </c>
      <c r="H103" s="109" t="s">
        <v>868</v>
      </c>
      <c r="I103" s="109" t="s">
        <v>622</v>
      </c>
      <c r="J103" s="109" t="s">
        <v>1909</v>
      </c>
      <c r="K103" s="109" t="s">
        <v>106</v>
      </c>
      <c r="L103" s="82" t="s">
        <v>1910</v>
      </c>
      <c r="M103" s="97">
        <v>45888.333333333336</v>
      </c>
      <c r="N103" s="97">
        <v>45888.486805555556</v>
      </c>
      <c r="O103" s="82" t="s">
        <v>1482</v>
      </c>
      <c r="P103" s="82" t="s">
        <v>1483</v>
      </c>
      <c r="Q103" s="82" t="s">
        <v>1484</v>
      </c>
      <c r="R103" s="82" t="s">
        <v>1485</v>
      </c>
      <c r="S103" s="82" t="s">
        <v>1486</v>
      </c>
      <c r="T103" s="82" t="s">
        <v>1486</v>
      </c>
      <c r="U103" s="82" t="s">
        <v>1487</v>
      </c>
      <c r="V103" s="82" t="s">
        <v>1911</v>
      </c>
      <c r="W103" s="82" t="s">
        <v>1526</v>
      </c>
      <c r="X103" s="82">
        <v>0</v>
      </c>
      <c r="Y103" s="82" t="s">
        <v>113</v>
      </c>
      <c r="Z103" s="82" t="s">
        <v>114</v>
      </c>
      <c r="AA103" s="82" t="s">
        <v>1539</v>
      </c>
      <c r="AB103" s="61">
        <v>0</v>
      </c>
      <c r="AC103" s="61">
        <v>0</v>
      </c>
      <c r="AD103" s="61">
        <v>0</v>
      </c>
      <c r="AE103" s="61">
        <v>0</v>
      </c>
      <c r="AF103" s="69">
        <f>IF(W103="SOPORTE_TELEFÓNICO",'BASE LIQUIDACION'!$B$10,IF(Y103="TIPO I",'BASE LIQUIDACION'!$C$3,IF(Y103="TIPO II",'BASE LIQUIDACION'!$C$4,IF(Y103="TIPO III",'BASE LIQUIDACION'!$C$5,'BASE LIQUIDACION'!$C$7))))</f>
        <v>37904.65408</v>
      </c>
      <c r="AG103" s="96">
        <f>IF(W103="SOPORTE_TELEFÓNICO",'BASE LIQUIDACION'!$B$10,(AB103*AF103+AC103*'BASE LIQUIDACION'!$B$12+AD103*'BASE LIQUIDACION'!$B$11+INCIDENTES!AE103*'BASE LIQUIDACION'!$B$13))</f>
        <v>37904.65408</v>
      </c>
    </row>
    <row r="104" spans="1:33" s="4" customFormat="1">
      <c r="A104" s="109" t="s">
        <v>421</v>
      </c>
      <c r="B104" s="56" t="str">
        <f>VLOOKUP(A104,'CENTRO DE COSTOS'!A:D,4,FALSE)</f>
        <v>DIEGO FERNANDO HENAO CARDONA</v>
      </c>
      <c r="C104" s="56" t="str">
        <f>VLOOKUP(A104,'CENTRO DE COSTOS'!A:D,2,FALSE)</f>
        <v>0004-0002</v>
      </c>
      <c r="D104" s="109">
        <v>17001</v>
      </c>
      <c r="E104" s="109">
        <v>2606900</v>
      </c>
      <c r="F104" s="109">
        <v>19694</v>
      </c>
      <c r="G104" s="109" t="s">
        <v>1479</v>
      </c>
      <c r="H104" s="109" t="s">
        <v>423</v>
      </c>
      <c r="I104" s="109" t="s">
        <v>421</v>
      </c>
      <c r="J104" s="109" t="s">
        <v>1912</v>
      </c>
      <c r="K104" s="109" t="s">
        <v>106</v>
      </c>
      <c r="L104" s="82" t="s">
        <v>1913</v>
      </c>
      <c r="M104" s="97">
        <v>45885.625694444447</v>
      </c>
      <c r="N104" s="97">
        <v>45888.493750000001</v>
      </c>
      <c r="O104" s="82" t="s">
        <v>1482</v>
      </c>
      <c r="P104" s="82" t="s">
        <v>1483</v>
      </c>
      <c r="Q104" s="82" t="s">
        <v>1484</v>
      </c>
      <c r="R104" s="82" t="s">
        <v>1485</v>
      </c>
      <c r="S104" s="82" t="s">
        <v>1486</v>
      </c>
      <c r="T104" s="82" t="s">
        <v>1486</v>
      </c>
      <c r="U104" s="82" t="s">
        <v>1487</v>
      </c>
      <c r="V104" s="82" t="s">
        <v>1914</v>
      </c>
      <c r="W104" s="82" t="s">
        <v>1526</v>
      </c>
      <c r="X104" s="82">
        <v>0</v>
      </c>
      <c r="Y104" s="82" t="s">
        <v>113</v>
      </c>
      <c r="Z104" s="82" t="s">
        <v>114</v>
      </c>
      <c r="AA104" s="82" t="s">
        <v>428</v>
      </c>
      <c r="AB104" s="61">
        <v>0</v>
      </c>
      <c r="AC104" s="61">
        <v>0</v>
      </c>
      <c r="AD104" s="61">
        <v>0</v>
      </c>
      <c r="AE104" s="61">
        <v>0</v>
      </c>
      <c r="AF104" s="69">
        <f>IF(W104="SOPORTE_TELEFÓNICO",'BASE LIQUIDACION'!$B$10,IF(Y104="TIPO I",'BASE LIQUIDACION'!$C$3,IF(Y104="TIPO II",'BASE LIQUIDACION'!$C$4,IF(Y104="TIPO III",'BASE LIQUIDACION'!$C$5,'BASE LIQUIDACION'!$C$7))))</f>
        <v>37904.65408</v>
      </c>
      <c r="AG104" s="96">
        <f>IF(W104="SOPORTE_TELEFÓNICO",'BASE LIQUIDACION'!$B$10,(AB104*AF104+AC104*'BASE LIQUIDACION'!$B$12+AD104*'BASE LIQUIDACION'!$B$11+INCIDENTES!AE104*'BASE LIQUIDACION'!$B$13))</f>
        <v>37904.65408</v>
      </c>
    </row>
    <row r="105" spans="1:33" s="4" customFormat="1">
      <c r="A105" s="109" t="s">
        <v>421</v>
      </c>
      <c r="B105" s="56" t="str">
        <f>VLOOKUP(A105,'CENTRO DE COSTOS'!A:D,4,FALSE)</f>
        <v>DIEGO FERNANDO HENAO CARDONA</v>
      </c>
      <c r="C105" s="56" t="str">
        <f>VLOOKUP(A105,'CENTRO DE COSTOS'!A:D,2,FALSE)</f>
        <v>0004-0002</v>
      </c>
      <c r="D105" s="109">
        <v>17653</v>
      </c>
      <c r="E105" s="109">
        <v>2606672</v>
      </c>
      <c r="F105" s="109">
        <v>59087</v>
      </c>
      <c r="G105" s="109" t="s">
        <v>1479</v>
      </c>
      <c r="H105" s="109" t="s">
        <v>423</v>
      </c>
      <c r="I105" s="109" t="s">
        <v>780</v>
      </c>
      <c r="J105" s="109" t="s">
        <v>1915</v>
      </c>
      <c r="K105" s="109" t="s">
        <v>106</v>
      </c>
      <c r="L105" s="82" t="s">
        <v>1916</v>
      </c>
      <c r="M105" s="97">
        <v>45885.568749999999</v>
      </c>
      <c r="N105" s="97">
        <v>45888.51458333333</v>
      </c>
      <c r="O105" s="82" t="s">
        <v>1482</v>
      </c>
      <c r="P105" s="82" t="s">
        <v>1483</v>
      </c>
      <c r="Q105" s="82" t="s">
        <v>1484</v>
      </c>
      <c r="R105" s="82" t="s">
        <v>1485</v>
      </c>
      <c r="S105" s="82" t="s">
        <v>1583</v>
      </c>
      <c r="T105" s="82" t="s">
        <v>1583</v>
      </c>
      <c r="U105" s="82" t="s">
        <v>1487</v>
      </c>
      <c r="V105" s="82" t="s">
        <v>1917</v>
      </c>
      <c r="W105" s="82" t="s">
        <v>1526</v>
      </c>
      <c r="X105" s="82">
        <v>0</v>
      </c>
      <c r="Y105" s="82" t="s">
        <v>148</v>
      </c>
      <c r="Z105" s="82" t="s">
        <v>114</v>
      </c>
      <c r="AA105" s="82" t="s">
        <v>428</v>
      </c>
      <c r="AB105" s="61">
        <v>0</v>
      </c>
      <c r="AC105" s="61">
        <v>0</v>
      </c>
      <c r="AD105" s="61">
        <v>0</v>
      </c>
      <c r="AE105" s="61">
        <v>0</v>
      </c>
      <c r="AF105" s="69">
        <f>IF(W105="SOPORTE_TELEFÓNICO",'BASE LIQUIDACION'!$B$10,IF(Y105="TIPO I",'BASE LIQUIDACION'!$C$3,IF(Y105="TIPO II",'BASE LIQUIDACION'!$C$4,IF(Y105="TIPO III",'BASE LIQUIDACION'!$C$5,'BASE LIQUIDACION'!$C$7))))</f>
        <v>37904.65408</v>
      </c>
      <c r="AG105" s="96">
        <f>IF(W105="SOPORTE_TELEFÓNICO",'BASE LIQUIDACION'!$B$10,(AB105*AF105+AC105*'BASE LIQUIDACION'!$B$12+AD105*'BASE LIQUIDACION'!$B$11+INCIDENTES!AE105*'BASE LIQUIDACION'!$B$13))</f>
        <v>37904.65408</v>
      </c>
    </row>
    <row r="106" spans="1:33" s="4" customFormat="1">
      <c r="A106" s="109" t="s">
        <v>322</v>
      </c>
      <c r="B106" s="56" t="str">
        <f>VLOOKUP(A106,'CENTRO DE COSTOS'!A:D,4,FALSE)</f>
        <v>KEVIN ALEXIS CORZO BUSTOS</v>
      </c>
      <c r="C106" s="56" t="str">
        <f>VLOOKUP(A106,'CENTRO DE COSTOS'!A:D,2,FALSE)</f>
        <v>0004-0007</v>
      </c>
      <c r="D106" s="109">
        <v>50001</v>
      </c>
      <c r="E106" s="109">
        <v>2610172</v>
      </c>
      <c r="F106" s="109">
        <v>70175</v>
      </c>
      <c r="G106" s="109" t="s">
        <v>1479</v>
      </c>
      <c r="H106" s="109" t="s">
        <v>324</v>
      </c>
      <c r="I106" s="109" t="s">
        <v>322</v>
      </c>
      <c r="J106" s="109" t="s">
        <v>1918</v>
      </c>
      <c r="K106" s="109" t="s">
        <v>106</v>
      </c>
      <c r="L106" s="82" t="s">
        <v>1919</v>
      </c>
      <c r="M106" s="97">
        <v>45888.375</v>
      </c>
      <c r="N106" s="97">
        <v>45888.547222222223</v>
      </c>
      <c r="O106" s="82" t="s">
        <v>1482</v>
      </c>
      <c r="P106" s="82" t="s">
        <v>1483</v>
      </c>
      <c r="Q106" s="82" t="s">
        <v>1797</v>
      </c>
      <c r="R106" s="82" t="s">
        <v>1519</v>
      </c>
      <c r="S106" s="82" t="s">
        <v>1486</v>
      </c>
      <c r="T106" s="82" t="s">
        <v>1486</v>
      </c>
      <c r="U106" s="82" t="s">
        <v>1487</v>
      </c>
      <c r="V106" s="82" t="s">
        <v>1920</v>
      </c>
      <c r="W106" s="82" t="s">
        <v>1489</v>
      </c>
      <c r="X106" s="82" t="s">
        <v>1921</v>
      </c>
      <c r="Y106" s="82" t="s">
        <v>113</v>
      </c>
      <c r="Z106" s="82" t="s">
        <v>114</v>
      </c>
      <c r="AA106" s="82" t="s">
        <v>1922</v>
      </c>
      <c r="AB106" s="61">
        <v>1</v>
      </c>
      <c r="AC106" s="61">
        <v>0</v>
      </c>
      <c r="AD106" s="61">
        <v>0</v>
      </c>
      <c r="AE106" s="61">
        <v>0</v>
      </c>
      <c r="AF106" s="69">
        <f>IF(W106="SOPORTE_TELEFÓNICO",'BASE LIQUIDACION'!$B$10,IF(Y106="TIPO I",'BASE LIQUIDACION'!$C$3,IF(Y106="TIPO II",'BASE LIQUIDACION'!$C$4,IF(Y106="TIPO III",'BASE LIQUIDACION'!$C$5,'BASE LIQUIDACION'!$C$7))))</f>
        <v>65960.473639999997</v>
      </c>
      <c r="AG106" s="96">
        <f>IF(W106="SOPORTE_TELEFÓNICO",'BASE LIQUIDACION'!$B$10,(AB106*AF106+AC106*'BASE LIQUIDACION'!$B$12+AD106*'BASE LIQUIDACION'!$B$11+INCIDENTES!AE106*'BASE LIQUIDACION'!$B$13))</f>
        <v>65960.473639999997</v>
      </c>
    </row>
    <row r="107" spans="1:33" s="4" customFormat="1">
      <c r="A107" s="109" t="s">
        <v>140</v>
      </c>
      <c r="B107" s="56" t="str">
        <f>VLOOKUP(A107,'CENTRO DE COSTOS'!A:D,4,FALSE)</f>
        <v>MIGUEL JULIÁN HERNÁNDEZ GUARÍN</v>
      </c>
      <c r="C107" s="56" t="str">
        <f>VLOOKUP(A107,'CENTRO DE COSTOS'!A:D,2,FALSE)</f>
        <v>0004-0008</v>
      </c>
      <c r="D107" s="109">
        <v>15238</v>
      </c>
      <c r="E107" s="109">
        <v>2607555</v>
      </c>
      <c r="F107" s="109">
        <v>80265</v>
      </c>
      <c r="G107" s="109" t="s">
        <v>1479</v>
      </c>
      <c r="H107" s="109" t="s">
        <v>142</v>
      </c>
      <c r="I107" s="109" t="s">
        <v>190</v>
      </c>
      <c r="J107" s="109" t="s">
        <v>1923</v>
      </c>
      <c r="K107" s="109" t="s">
        <v>106</v>
      </c>
      <c r="L107" s="82" t="s">
        <v>1924</v>
      </c>
      <c r="M107" s="97">
        <v>45886.626388888886</v>
      </c>
      <c r="N107" s="97">
        <v>45888.618750000001</v>
      </c>
      <c r="O107" s="82" t="s">
        <v>1482</v>
      </c>
      <c r="P107" s="82" t="s">
        <v>1483</v>
      </c>
      <c r="Q107" s="82" t="s">
        <v>1484</v>
      </c>
      <c r="R107" s="82" t="s">
        <v>1485</v>
      </c>
      <c r="S107" s="82" t="s">
        <v>1486</v>
      </c>
      <c r="T107" s="82" t="s">
        <v>1486</v>
      </c>
      <c r="U107" s="82" t="s">
        <v>1487</v>
      </c>
      <c r="V107" s="82" t="s">
        <v>1925</v>
      </c>
      <c r="W107" s="82" t="s">
        <v>1489</v>
      </c>
      <c r="X107" s="82" t="s">
        <v>1926</v>
      </c>
      <c r="Y107" s="82" t="s">
        <v>148</v>
      </c>
      <c r="Z107" s="82" t="s">
        <v>114</v>
      </c>
      <c r="AA107" s="82" t="s">
        <v>351</v>
      </c>
      <c r="AB107" s="61">
        <v>1</v>
      </c>
      <c r="AC107" s="61">
        <v>0</v>
      </c>
      <c r="AD107" s="61">
        <v>0</v>
      </c>
      <c r="AE107" s="61">
        <v>0</v>
      </c>
      <c r="AF107" s="69">
        <f>IF(W107="SOPORTE_TELEFÓNICO",'BASE LIQUIDACION'!$B$10,IF(Y107="TIPO I",'BASE LIQUIDACION'!$C$3,IF(Y107="TIPO II",'BASE LIQUIDACION'!$C$4,IF(Y107="TIPO III",'BASE LIQUIDACION'!$C$5,'BASE LIQUIDACION'!$C$7))))</f>
        <v>163813.55812</v>
      </c>
      <c r="AG107" s="96">
        <f>IF(W107="SOPORTE_TELEFÓNICO",'BASE LIQUIDACION'!$B$10,(AB107*AF107+AC107*'BASE LIQUIDACION'!$B$12+AD107*'BASE LIQUIDACION'!$B$11+INCIDENTES!AE107*'BASE LIQUIDACION'!$B$13))</f>
        <v>163813.55812</v>
      </c>
    </row>
    <row r="108" spans="1:33" s="4" customFormat="1">
      <c r="A108" s="109" t="s">
        <v>598</v>
      </c>
      <c r="B108" s="56" t="str">
        <f>VLOOKUP(A108,'CENTRO DE COSTOS'!A:D,4,FALSE)</f>
        <v>JOSE MAURICIO HERNANDEZ ROJAS</v>
      </c>
      <c r="C108" s="56" t="str">
        <f>VLOOKUP(A108,'CENTRO DE COSTOS'!A:D,2,FALSE)</f>
        <v>0004-0001</v>
      </c>
      <c r="D108" s="109">
        <v>8001</v>
      </c>
      <c r="E108" s="109">
        <v>2606556</v>
      </c>
      <c r="F108" s="109">
        <v>22876</v>
      </c>
      <c r="G108" s="109" t="s">
        <v>1479</v>
      </c>
      <c r="H108" s="109" t="s">
        <v>597</v>
      </c>
      <c r="I108" s="109" t="s">
        <v>598</v>
      </c>
      <c r="J108" s="109" t="s">
        <v>1927</v>
      </c>
      <c r="K108" s="109" t="s">
        <v>106</v>
      </c>
      <c r="L108" s="82" t="s">
        <v>1928</v>
      </c>
      <c r="M108" s="97">
        <v>45885.445833333331</v>
      </c>
      <c r="N108" s="97">
        <v>45888.640972222223</v>
      </c>
      <c r="O108" s="82" t="s">
        <v>1482</v>
      </c>
      <c r="P108" s="82" t="s">
        <v>1483</v>
      </c>
      <c r="Q108" s="82" t="s">
        <v>1494</v>
      </c>
      <c r="R108" s="82" t="s">
        <v>1495</v>
      </c>
      <c r="S108" s="82" t="s">
        <v>1486</v>
      </c>
      <c r="T108" s="82" t="s">
        <v>1486</v>
      </c>
      <c r="U108" s="82" t="s">
        <v>1487</v>
      </c>
      <c r="V108" s="82" t="s">
        <v>1929</v>
      </c>
      <c r="W108" s="82" t="s">
        <v>1489</v>
      </c>
      <c r="X108" s="82" t="s">
        <v>1930</v>
      </c>
      <c r="Y108" s="82" t="s">
        <v>113</v>
      </c>
      <c r="Z108" s="82" t="s">
        <v>114</v>
      </c>
      <c r="AA108" s="82" t="s">
        <v>1498</v>
      </c>
      <c r="AB108" s="61">
        <v>1</v>
      </c>
      <c r="AC108" s="61">
        <v>0</v>
      </c>
      <c r="AD108" s="61">
        <v>0</v>
      </c>
      <c r="AE108" s="61">
        <v>0</v>
      </c>
      <c r="AF108" s="69">
        <f>IF(W108="SOPORTE_TELEFÓNICO",'BASE LIQUIDACION'!$B$10,IF(Y108="TIPO I",'BASE LIQUIDACION'!$C$3,IF(Y108="TIPO II",'BASE LIQUIDACION'!$C$4,IF(Y108="TIPO III",'BASE LIQUIDACION'!$C$5,'BASE LIQUIDACION'!$C$7))))</f>
        <v>65960.473639999997</v>
      </c>
      <c r="AG108" s="96">
        <f>IF(W108="SOPORTE_TELEFÓNICO",'BASE LIQUIDACION'!$B$10,(AB108*AF108+AC108*'BASE LIQUIDACION'!$B$12+AD108*'BASE LIQUIDACION'!$B$11+INCIDENTES!AE108*'BASE LIQUIDACION'!$B$13))</f>
        <v>65960.473639999997</v>
      </c>
    </row>
    <row r="109" spans="1:33" s="4" customFormat="1">
      <c r="A109" s="109" t="s">
        <v>100</v>
      </c>
      <c r="B109" s="56" t="str">
        <f>VLOOKUP(A109,'CENTRO DE COSTOS'!A:D,4,FALSE)</f>
        <v>JUAN SEBASTIÁN RÍOS CASTRILLÓN</v>
      </c>
      <c r="C109" s="56" t="str">
        <f>VLOOKUP(A109,'CENTRO DE COSTOS'!A:D,2,FALSE)</f>
        <v>0004-0005</v>
      </c>
      <c r="D109" s="109">
        <v>5001</v>
      </c>
      <c r="E109" s="109">
        <v>2612393</v>
      </c>
      <c r="F109" s="109">
        <v>79730</v>
      </c>
      <c r="G109" s="109" t="s">
        <v>1479</v>
      </c>
      <c r="H109" s="109" t="s">
        <v>104</v>
      </c>
      <c r="I109" s="109" t="s">
        <v>100</v>
      </c>
      <c r="J109" s="109" t="s">
        <v>1931</v>
      </c>
      <c r="K109" s="109" t="s">
        <v>106</v>
      </c>
      <c r="L109" s="82" t="s">
        <v>1932</v>
      </c>
      <c r="M109" s="97">
        <v>45888.507638888892</v>
      </c>
      <c r="N109" s="97">
        <v>45889.442361111112</v>
      </c>
      <c r="O109" s="82" t="s">
        <v>1482</v>
      </c>
      <c r="P109" s="82" t="s">
        <v>1483</v>
      </c>
      <c r="Q109" s="82" t="s">
        <v>1494</v>
      </c>
      <c r="R109" s="82" t="s">
        <v>1495</v>
      </c>
      <c r="S109" s="82" t="s">
        <v>317</v>
      </c>
      <c r="T109" s="82" t="s">
        <v>317</v>
      </c>
      <c r="U109" s="82" t="s">
        <v>1487</v>
      </c>
      <c r="V109" s="82" t="s">
        <v>1933</v>
      </c>
      <c r="W109" s="82" t="s">
        <v>1489</v>
      </c>
      <c r="X109" s="82" t="s">
        <v>1934</v>
      </c>
      <c r="Y109" s="82" t="s">
        <v>113</v>
      </c>
      <c r="Z109" s="82" t="s">
        <v>114</v>
      </c>
      <c r="AA109" s="82" t="s">
        <v>115</v>
      </c>
      <c r="AB109" s="61">
        <v>1</v>
      </c>
      <c r="AC109" s="61">
        <v>0</v>
      </c>
      <c r="AD109" s="61">
        <v>0</v>
      </c>
      <c r="AE109" s="61">
        <v>0</v>
      </c>
      <c r="AF109" s="69">
        <f>IF(W109="SOPORTE_TELEFÓNICO",'BASE LIQUIDACION'!$B$10,IF(Y109="TIPO I",'BASE LIQUIDACION'!$C$3,IF(Y109="TIPO II",'BASE LIQUIDACION'!$C$4,IF(Y109="TIPO III",'BASE LIQUIDACION'!$C$5,'BASE LIQUIDACION'!$C$7))))</f>
        <v>65960.473639999997</v>
      </c>
      <c r="AG109" s="96">
        <f>IF(W109="SOPORTE_TELEFÓNICO",'BASE LIQUIDACION'!$B$10,(AB109*AF109+AC109*'BASE LIQUIDACION'!$B$12+AD109*'BASE LIQUIDACION'!$B$11+INCIDENTES!AE109*'BASE LIQUIDACION'!$B$13))</f>
        <v>65960.473639999997</v>
      </c>
    </row>
    <row r="110" spans="1:33" s="4" customFormat="1">
      <c r="A110" s="109" t="s">
        <v>100</v>
      </c>
      <c r="B110" s="56" t="str">
        <f>VLOOKUP(A110,'CENTRO DE COSTOS'!A:D,4,FALSE)</f>
        <v>JUAN SEBASTIÁN RÍOS CASTRILLÓN</v>
      </c>
      <c r="C110" s="56" t="str">
        <f>VLOOKUP(A110,'CENTRO DE COSTOS'!A:D,2,FALSE)</f>
        <v>0004-0005</v>
      </c>
      <c r="D110" s="109">
        <v>5360</v>
      </c>
      <c r="E110" s="109">
        <v>5763565</v>
      </c>
      <c r="F110" s="109">
        <v>48928485</v>
      </c>
      <c r="G110" s="109" t="s">
        <v>1479</v>
      </c>
      <c r="H110" s="109" t="s">
        <v>104</v>
      </c>
      <c r="I110" s="109" t="s">
        <v>537</v>
      </c>
      <c r="J110" s="109" t="s">
        <v>1935</v>
      </c>
      <c r="K110" s="109" t="s">
        <v>106</v>
      </c>
      <c r="L110" s="82" t="s">
        <v>1936</v>
      </c>
      <c r="M110" s="97">
        <v>45889.655555555553</v>
      </c>
      <c r="N110" s="97">
        <v>45889.64166666667</v>
      </c>
      <c r="O110" s="82" t="s">
        <v>1482</v>
      </c>
      <c r="P110" s="82" t="s">
        <v>1508</v>
      </c>
      <c r="Q110" s="82" t="s">
        <v>1509</v>
      </c>
      <c r="R110" s="82" t="s">
        <v>1510</v>
      </c>
      <c r="S110" s="82" t="e">
        <v>#N/A</v>
      </c>
      <c r="T110" s="82" t="e">
        <v>#N/A</v>
      </c>
      <c r="U110" s="82" t="s">
        <v>1487</v>
      </c>
      <c r="V110" s="82" t="s">
        <v>1937</v>
      </c>
      <c r="W110" s="82" t="s">
        <v>1526</v>
      </c>
      <c r="X110" s="82">
        <v>0</v>
      </c>
      <c r="Y110" s="82" t="s">
        <v>113</v>
      </c>
      <c r="Z110" s="82" t="s">
        <v>114</v>
      </c>
      <c r="AA110" s="82" t="s">
        <v>1938</v>
      </c>
      <c r="AB110" s="61">
        <v>0</v>
      </c>
      <c r="AC110" s="61">
        <v>0</v>
      </c>
      <c r="AD110" s="61">
        <v>0</v>
      </c>
      <c r="AE110" s="61">
        <v>0</v>
      </c>
      <c r="AF110" s="69">
        <f>IF(W110="SOPORTE_TELEFÓNICO",'BASE LIQUIDACION'!$B$10,IF(Y110="TIPO I",'BASE LIQUIDACION'!$C$3,IF(Y110="TIPO II",'BASE LIQUIDACION'!$C$4,IF(Y110="TIPO III",'BASE LIQUIDACION'!$C$5,'BASE LIQUIDACION'!$C$7))))</f>
        <v>37904.65408</v>
      </c>
      <c r="AG110" s="96">
        <f>IF(W110="SOPORTE_TELEFÓNICO",'BASE LIQUIDACION'!$B$10,(AB110*AF110+AC110*'BASE LIQUIDACION'!$B$12+AD110*'BASE LIQUIDACION'!$B$11+INCIDENTES!AE110*'BASE LIQUIDACION'!$B$13))</f>
        <v>37904.65408</v>
      </c>
    </row>
    <row r="111" spans="1:33" s="4" customFormat="1">
      <c r="A111" s="109" t="s">
        <v>230</v>
      </c>
      <c r="B111" s="56" t="str">
        <f>VLOOKUP(A111,'CENTRO DE COSTOS'!A:D,4,FALSE)</f>
        <v>JOSE MAURICIO HERNANDEZ ROJAS</v>
      </c>
      <c r="C111" s="56" t="str">
        <f>VLOOKUP(A111,'CENTRO DE COSTOS'!A:D,2,FALSE)</f>
        <v>0004-0001</v>
      </c>
      <c r="D111" s="109">
        <v>13001</v>
      </c>
      <c r="E111" s="109">
        <v>2618880</v>
      </c>
      <c r="F111" s="109">
        <v>45118</v>
      </c>
      <c r="G111" s="109" t="s">
        <v>1479</v>
      </c>
      <c r="H111" s="109" t="s">
        <v>232</v>
      </c>
      <c r="I111" s="109" t="s">
        <v>230</v>
      </c>
      <c r="J111" s="109" t="s">
        <v>1939</v>
      </c>
      <c r="K111" s="109" t="s">
        <v>106</v>
      </c>
      <c r="L111" s="82" t="s">
        <v>1940</v>
      </c>
      <c r="M111" s="97">
        <v>45889.494444444441</v>
      </c>
      <c r="N111" s="97">
        <v>45889.647222222222</v>
      </c>
      <c r="O111" s="82" t="s">
        <v>1482</v>
      </c>
      <c r="P111" s="82" t="s">
        <v>1483</v>
      </c>
      <c r="Q111" s="82" t="s">
        <v>1501</v>
      </c>
      <c r="R111" s="82" t="s">
        <v>1502</v>
      </c>
      <c r="S111" s="82" t="s">
        <v>317</v>
      </c>
      <c r="T111" s="82" t="s">
        <v>317</v>
      </c>
      <c r="U111" s="82" t="s">
        <v>1487</v>
      </c>
      <c r="V111" s="82" t="s">
        <v>1941</v>
      </c>
      <c r="W111" s="82" t="s">
        <v>1489</v>
      </c>
      <c r="X111" s="82" t="s">
        <v>1942</v>
      </c>
      <c r="Y111" s="82" t="s">
        <v>113</v>
      </c>
      <c r="Z111" s="82" t="s">
        <v>114</v>
      </c>
      <c r="AA111" s="82" t="s">
        <v>237</v>
      </c>
      <c r="AB111" s="61">
        <v>1</v>
      </c>
      <c r="AC111" s="61">
        <v>0</v>
      </c>
      <c r="AD111" s="61">
        <v>0</v>
      </c>
      <c r="AE111" s="61">
        <v>0</v>
      </c>
      <c r="AF111" s="69">
        <f>IF(W111="SOPORTE_TELEFÓNICO",'BASE LIQUIDACION'!$B$10,IF(Y111="TIPO I",'BASE LIQUIDACION'!$C$3,IF(Y111="TIPO II",'BASE LIQUIDACION'!$C$4,IF(Y111="TIPO III",'BASE LIQUIDACION'!$C$5,'BASE LIQUIDACION'!$C$7))))</f>
        <v>65960.473639999997</v>
      </c>
      <c r="AG111" s="96">
        <f>IF(W111="SOPORTE_TELEFÓNICO",'BASE LIQUIDACION'!$B$10,(AB111*AF111+AC111*'BASE LIQUIDACION'!$B$12+AD111*'BASE LIQUIDACION'!$B$11+INCIDENTES!AE111*'BASE LIQUIDACION'!$B$13))</f>
        <v>65960.473639999997</v>
      </c>
    </row>
    <row r="112" spans="1:33" s="4" customFormat="1">
      <c r="A112" s="109" t="s">
        <v>116</v>
      </c>
      <c r="B112" s="56" t="str">
        <f>VLOOKUP(A112,'CENTRO DE COSTOS'!A:D,4,FALSE)</f>
        <v>WILLIAM ASDRUBAL ROZO ROZO</v>
      </c>
      <c r="C112" s="56" t="str">
        <f>VLOOKUP(A112,'CENTRO DE COSTOS'!A:D,2,FALSE)</f>
        <v>0004-0004</v>
      </c>
      <c r="D112" s="109">
        <v>11001</v>
      </c>
      <c r="E112" s="109">
        <v>2617616</v>
      </c>
      <c r="F112" s="109">
        <v>23165</v>
      </c>
      <c r="G112" s="109" t="s">
        <v>1479</v>
      </c>
      <c r="H112" s="109" t="s">
        <v>118</v>
      </c>
      <c r="I112" s="109" t="s">
        <v>116</v>
      </c>
      <c r="J112" s="109" t="s">
        <v>1943</v>
      </c>
      <c r="K112" s="109" t="s">
        <v>106</v>
      </c>
      <c r="L112" s="82" t="s">
        <v>1944</v>
      </c>
      <c r="M112" s="97">
        <v>45889.413888888892</v>
      </c>
      <c r="N112" s="97">
        <v>45890.337500000001</v>
      </c>
      <c r="O112" s="82" t="s">
        <v>1482</v>
      </c>
      <c r="P112" s="82" t="s">
        <v>1483</v>
      </c>
      <c r="Q112" s="82" t="s">
        <v>1484</v>
      </c>
      <c r="R112" s="82" t="s">
        <v>1485</v>
      </c>
      <c r="S112" s="82" t="s">
        <v>1486</v>
      </c>
      <c r="T112" s="82" t="s">
        <v>1486</v>
      </c>
      <c r="U112" s="82" t="s">
        <v>1487</v>
      </c>
      <c r="V112" s="82" t="s">
        <v>1945</v>
      </c>
      <c r="W112" s="82" t="s">
        <v>1489</v>
      </c>
      <c r="X112" s="82" t="s">
        <v>1946</v>
      </c>
      <c r="Y112" s="82" t="s">
        <v>113</v>
      </c>
      <c r="Z112" s="82" t="s">
        <v>114</v>
      </c>
      <c r="AA112" s="82" t="s">
        <v>1544</v>
      </c>
      <c r="AB112" s="61">
        <v>1</v>
      </c>
      <c r="AC112" s="61">
        <v>0</v>
      </c>
      <c r="AD112" s="61">
        <v>0</v>
      </c>
      <c r="AE112" s="61">
        <v>0</v>
      </c>
      <c r="AF112" s="69">
        <f>IF(W112="SOPORTE_TELEFÓNICO",'BASE LIQUIDACION'!$B$10,IF(Y112="TIPO I",'BASE LIQUIDACION'!$C$3,IF(Y112="TIPO II",'BASE LIQUIDACION'!$C$4,IF(Y112="TIPO III",'BASE LIQUIDACION'!$C$5,'BASE LIQUIDACION'!$C$7))))</f>
        <v>65960.473639999997</v>
      </c>
      <c r="AG112" s="96">
        <f>IF(W112="SOPORTE_TELEFÓNICO",'BASE LIQUIDACION'!$B$10,(AB112*AF112+AC112*'BASE LIQUIDACION'!$B$12+AD112*'BASE LIQUIDACION'!$B$11+INCIDENTES!AE112*'BASE LIQUIDACION'!$B$13))</f>
        <v>65960.473639999997</v>
      </c>
    </row>
    <row r="113" spans="1:33" s="4" customFormat="1">
      <c r="A113" s="109" t="s">
        <v>100</v>
      </c>
      <c r="B113" s="56" t="str">
        <f>VLOOKUP(A113,'CENTRO DE COSTOS'!A:D,4,FALSE)</f>
        <v>JUAN SEBASTIÁN RÍOS CASTRILLÓN</v>
      </c>
      <c r="C113" s="56" t="str">
        <f>VLOOKUP(A113,'CENTRO DE COSTOS'!A:D,2,FALSE)</f>
        <v>0004-0005</v>
      </c>
      <c r="D113" s="109">
        <v>5001</v>
      </c>
      <c r="E113" s="109">
        <v>2619425</v>
      </c>
      <c r="F113" s="109">
        <v>79266</v>
      </c>
      <c r="G113" s="109" t="s">
        <v>1479</v>
      </c>
      <c r="H113" s="109" t="s">
        <v>104</v>
      </c>
      <c r="I113" s="109" t="s">
        <v>100</v>
      </c>
      <c r="J113" s="109" t="s">
        <v>1947</v>
      </c>
      <c r="K113" s="109" t="s">
        <v>106</v>
      </c>
      <c r="L113" s="82" t="s">
        <v>1948</v>
      </c>
      <c r="M113" s="97">
        <v>45889.527083333334</v>
      </c>
      <c r="N113" s="97">
        <v>45890.386111111111</v>
      </c>
      <c r="O113" s="82" t="s">
        <v>1482</v>
      </c>
      <c r="P113" s="82" t="s">
        <v>1483</v>
      </c>
      <c r="Q113" s="82" t="s">
        <v>1551</v>
      </c>
      <c r="R113" s="82" t="s">
        <v>1949</v>
      </c>
      <c r="S113" s="82" t="s">
        <v>317</v>
      </c>
      <c r="T113" s="82" t="s">
        <v>317</v>
      </c>
      <c r="U113" s="82" t="s">
        <v>1487</v>
      </c>
      <c r="V113" s="82" t="s">
        <v>1950</v>
      </c>
      <c r="W113" s="82" t="s">
        <v>1489</v>
      </c>
      <c r="X113" s="82" t="s">
        <v>1951</v>
      </c>
      <c r="Y113" s="82" t="s">
        <v>113</v>
      </c>
      <c r="Z113" s="82" t="s">
        <v>114</v>
      </c>
      <c r="AA113" s="82" t="s">
        <v>115</v>
      </c>
      <c r="AB113" s="61">
        <v>1</v>
      </c>
      <c r="AC113" s="61">
        <v>0</v>
      </c>
      <c r="AD113" s="61">
        <v>0</v>
      </c>
      <c r="AE113" s="61">
        <v>0</v>
      </c>
      <c r="AF113" s="69">
        <f>IF(W113="SOPORTE_TELEFÓNICO",'BASE LIQUIDACION'!$B$10,IF(Y113="TIPO I",'BASE LIQUIDACION'!$C$3,IF(Y113="TIPO II",'BASE LIQUIDACION'!$C$4,IF(Y113="TIPO III",'BASE LIQUIDACION'!$C$5,'BASE LIQUIDACION'!$C$7))))</f>
        <v>65960.473639999997</v>
      </c>
      <c r="AG113" s="96">
        <f>IF(W113="SOPORTE_TELEFÓNICO",'BASE LIQUIDACION'!$B$10,(AB113*AF113+AC113*'BASE LIQUIDACION'!$B$12+AD113*'BASE LIQUIDACION'!$B$11+INCIDENTES!AE113*'BASE LIQUIDACION'!$B$13))</f>
        <v>65960.473639999997</v>
      </c>
    </row>
    <row r="114" spans="1:33" s="4" customFormat="1">
      <c r="A114" s="109" t="s">
        <v>171</v>
      </c>
      <c r="B114" s="56" t="str">
        <f>VLOOKUP(A114,'CENTRO DE COSTOS'!A:D,4,FALSE)</f>
        <v>MIGUEL JULIÁN HERNÁNDEZ GUARÍN</v>
      </c>
      <c r="C114" s="56" t="str">
        <f>VLOOKUP(A114,'CENTRO DE COSTOS'!A:D,2,FALSE)</f>
        <v>0004-0008</v>
      </c>
      <c r="D114" s="109">
        <v>81794</v>
      </c>
      <c r="E114" s="109">
        <v>2621885</v>
      </c>
      <c r="F114" s="109">
        <v>27593</v>
      </c>
      <c r="G114" s="109" t="s">
        <v>1479</v>
      </c>
      <c r="H114" s="109" t="s">
        <v>590</v>
      </c>
      <c r="I114" s="109" t="s">
        <v>596</v>
      </c>
      <c r="J114" s="109" t="s">
        <v>1952</v>
      </c>
      <c r="K114" s="109" t="s">
        <v>106</v>
      </c>
      <c r="L114" s="82" t="s">
        <v>1953</v>
      </c>
      <c r="M114" s="97">
        <v>45889.740972222222</v>
      </c>
      <c r="N114" s="97">
        <v>45890.395833333336</v>
      </c>
      <c r="O114" s="82" t="s">
        <v>1482</v>
      </c>
      <c r="P114" s="82" t="s">
        <v>1483</v>
      </c>
      <c r="Q114" s="82" t="s">
        <v>1551</v>
      </c>
      <c r="R114" s="82" t="s">
        <v>1949</v>
      </c>
      <c r="S114" s="82" t="s">
        <v>1486</v>
      </c>
      <c r="T114" s="82" t="s">
        <v>1486</v>
      </c>
      <c r="U114" s="82" t="s">
        <v>1487</v>
      </c>
      <c r="V114" s="82" t="s">
        <v>1954</v>
      </c>
      <c r="W114" s="82" t="s">
        <v>1526</v>
      </c>
      <c r="X114" s="82">
        <v>0</v>
      </c>
      <c r="Y114" s="82" t="s">
        <v>462</v>
      </c>
      <c r="Z114" s="82" t="s">
        <v>461</v>
      </c>
      <c r="AA114" s="82" t="s">
        <v>1599</v>
      </c>
      <c r="AB114" s="61">
        <v>0</v>
      </c>
      <c r="AC114" s="61">
        <v>0</v>
      </c>
      <c r="AD114" s="61">
        <v>0</v>
      </c>
      <c r="AE114" s="61">
        <v>0</v>
      </c>
      <c r="AF114" s="69">
        <f>IF(W114="SOPORTE_TELEFÓNICO",'BASE LIQUIDACION'!$B$10,IF(Y114="TIPO I",'BASE LIQUIDACION'!$C$3,IF(Y114="TIPO II",'BASE LIQUIDACION'!$C$4,IF(Y114="TIPO III",'BASE LIQUIDACION'!$C$5,'BASE LIQUIDACION'!$C$7))))</f>
        <v>37904.65408</v>
      </c>
      <c r="AG114" s="96">
        <f>IF(W114="SOPORTE_TELEFÓNICO",'BASE LIQUIDACION'!$B$10,(AB114*AF114+AC114*'BASE LIQUIDACION'!$B$12+AD114*'BASE LIQUIDACION'!$B$11+INCIDENTES!AE114*'BASE LIQUIDACION'!$B$13))</f>
        <v>37904.65408</v>
      </c>
    </row>
    <row r="115" spans="1:33" s="4" customFormat="1">
      <c r="A115" s="109" t="s">
        <v>100</v>
      </c>
      <c r="B115" s="56" t="str">
        <f>VLOOKUP(A115,'CENTRO DE COSTOS'!A:D,4,FALSE)</f>
        <v>JUAN SEBASTIÁN RÍOS CASTRILLÓN</v>
      </c>
      <c r="C115" s="56" t="str">
        <f>VLOOKUP(A115,'CENTRO DE COSTOS'!A:D,2,FALSE)</f>
        <v>0004-0005</v>
      </c>
      <c r="D115" s="109">
        <v>5240</v>
      </c>
      <c r="E115" s="109">
        <v>2613938</v>
      </c>
      <c r="F115" s="109">
        <v>40331</v>
      </c>
      <c r="G115" s="109" t="s">
        <v>1479</v>
      </c>
      <c r="H115" s="109" t="s">
        <v>104</v>
      </c>
      <c r="I115" s="109" t="s">
        <v>523</v>
      </c>
      <c r="J115" s="109" t="s">
        <v>1955</v>
      </c>
      <c r="K115" s="109" t="s">
        <v>106</v>
      </c>
      <c r="L115" s="82" t="s">
        <v>1956</v>
      </c>
      <c r="M115" s="97">
        <v>45888.635416666664</v>
      </c>
      <c r="N115" s="97">
        <v>45890.430555555555</v>
      </c>
      <c r="O115" s="82" t="s">
        <v>1482</v>
      </c>
      <c r="P115" s="82" t="s">
        <v>1483</v>
      </c>
      <c r="Q115" s="82" t="s">
        <v>1501</v>
      </c>
      <c r="R115" s="82" t="s">
        <v>1502</v>
      </c>
      <c r="S115" s="82" t="s">
        <v>1486</v>
      </c>
      <c r="T115" s="82" t="s">
        <v>1486</v>
      </c>
      <c r="U115" s="82" t="s">
        <v>1487</v>
      </c>
      <c r="V115" s="82" t="s">
        <v>1957</v>
      </c>
      <c r="W115" s="82" t="s">
        <v>1489</v>
      </c>
      <c r="X115" s="82" t="s">
        <v>1958</v>
      </c>
      <c r="Y115" s="82" t="s">
        <v>148</v>
      </c>
      <c r="Z115" s="82" t="s">
        <v>114</v>
      </c>
      <c r="AA115" s="82" t="s">
        <v>321</v>
      </c>
      <c r="AB115" s="61">
        <v>1</v>
      </c>
      <c r="AC115" s="61">
        <v>0</v>
      </c>
      <c r="AD115" s="61">
        <v>0</v>
      </c>
      <c r="AE115" s="61">
        <v>0</v>
      </c>
      <c r="AF115" s="69">
        <f>IF(W115="SOPORTE_TELEFÓNICO",'BASE LIQUIDACION'!$B$10,IF(Y115="TIPO I",'BASE LIQUIDACION'!$C$3,IF(Y115="TIPO II",'BASE LIQUIDACION'!$C$4,IF(Y115="TIPO III",'BASE LIQUIDACION'!$C$5,'BASE LIQUIDACION'!$C$7))))</f>
        <v>163813.55812</v>
      </c>
      <c r="AG115" s="96">
        <f>IF(W115="SOPORTE_TELEFÓNICO",'BASE LIQUIDACION'!$B$10,(AB115*AF115+AC115*'BASE LIQUIDACION'!$B$12+AD115*'BASE LIQUIDACION'!$B$11+INCIDENTES!AE115*'BASE LIQUIDACION'!$B$13))</f>
        <v>163813.55812</v>
      </c>
    </row>
    <row r="116" spans="1:33" s="4" customFormat="1">
      <c r="A116" s="109" t="s">
        <v>100</v>
      </c>
      <c r="B116" s="56" t="str">
        <f>VLOOKUP(A116,'CENTRO DE COSTOS'!A:D,4,FALSE)</f>
        <v>JUAN SEBASTIÁN RÍOS CASTRILLÓN</v>
      </c>
      <c r="C116" s="56" t="str">
        <f>VLOOKUP(A116,'CENTRO DE COSTOS'!A:D,2,FALSE)</f>
        <v>0004-0005</v>
      </c>
      <c r="D116" s="109">
        <v>5001</v>
      </c>
      <c r="E116" s="109">
        <v>2619778</v>
      </c>
      <c r="F116" s="109">
        <v>21959</v>
      </c>
      <c r="G116" s="109" t="s">
        <v>1479</v>
      </c>
      <c r="H116" s="109" t="s">
        <v>104</v>
      </c>
      <c r="I116" s="109" t="s">
        <v>100</v>
      </c>
      <c r="J116" s="109" t="s">
        <v>1959</v>
      </c>
      <c r="K116" s="109" t="s">
        <v>106</v>
      </c>
      <c r="L116" s="82" t="s">
        <v>1960</v>
      </c>
      <c r="M116" s="97">
        <v>45889.595833333333</v>
      </c>
      <c r="N116" s="97">
        <v>45890.484027777777</v>
      </c>
      <c r="O116" s="82" t="s">
        <v>1482</v>
      </c>
      <c r="P116" s="82" t="s">
        <v>1483</v>
      </c>
      <c r="Q116" s="82" t="s">
        <v>1501</v>
      </c>
      <c r="R116" s="82" t="s">
        <v>1502</v>
      </c>
      <c r="S116" s="82" t="s">
        <v>1486</v>
      </c>
      <c r="T116" s="82" t="s">
        <v>1486</v>
      </c>
      <c r="U116" s="82" t="s">
        <v>1487</v>
      </c>
      <c r="V116" s="82" t="s">
        <v>1961</v>
      </c>
      <c r="W116" s="82" t="s">
        <v>1489</v>
      </c>
      <c r="X116" s="82" t="s">
        <v>1962</v>
      </c>
      <c r="Y116" s="82" t="s">
        <v>113</v>
      </c>
      <c r="Z116" s="82" t="s">
        <v>114</v>
      </c>
      <c r="AA116" s="82" t="s">
        <v>321</v>
      </c>
      <c r="AB116" s="61">
        <v>1</v>
      </c>
      <c r="AC116" s="61">
        <v>0</v>
      </c>
      <c r="AD116" s="61">
        <v>0</v>
      </c>
      <c r="AE116" s="61">
        <v>0</v>
      </c>
      <c r="AF116" s="69">
        <f>IF(W116="SOPORTE_TELEFÓNICO",'BASE LIQUIDACION'!$B$10,IF(Y116="TIPO I",'BASE LIQUIDACION'!$C$3,IF(Y116="TIPO II",'BASE LIQUIDACION'!$C$4,IF(Y116="TIPO III",'BASE LIQUIDACION'!$C$5,'BASE LIQUIDACION'!$C$7))))</f>
        <v>65960.473639999997</v>
      </c>
      <c r="AG116" s="96">
        <f>IF(W116="SOPORTE_TELEFÓNICO",'BASE LIQUIDACION'!$B$10,(AB116*AF116+AC116*'BASE LIQUIDACION'!$B$12+AD116*'BASE LIQUIDACION'!$B$11+INCIDENTES!AE116*'BASE LIQUIDACION'!$B$13))</f>
        <v>65960.473639999997</v>
      </c>
    </row>
    <row r="117" spans="1:33" s="4" customFormat="1">
      <c r="A117" s="109" t="s">
        <v>598</v>
      </c>
      <c r="B117" s="56" t="str">
        <f>VLOOKUP(A117,'CENTRO DE COSTOS'!A:D,4,FALSE)</f>
        <v>JOSE MAURICIO HERNANDEZ ROJAS</v>
      </c>
      <c r="C117" s="56" t="str">
        <f>VLOOKUP(A117,'CENTRO DE COSTOS'!A:D,2,FALSE)</f>
        <v>0004-0001</v>
      </c>
      <c r="D117" s="109">
        <v>8001</v>
      </c>
      <c r="E117" s="109">
        <v>2621386</v>
      </c>
      <c r="F117" s="109">
        <v>45896</v>
      </c>
      <c r="G117" s="109" t="s">
        <v>1479</v>
      </c>
      <c r="H117" s="109" t="s">
        <v>597</v>
      </c>
      <c r="I117" s="109" t="s">
        <v>598</v>
      </c>
      <c r="J117" s="109" t="s">
        <v>1963</v>
      </c>
      <c r="K117" s="109" t="s">
        <v>106</v>
      </c>
      <c r="L117" s="82" t="s">
        <v>1964</v>
      </c>
      <c r="M117" s="97">
        <v>45889.681250000001</v>
      </c>
      <c r="N117" s="97">
        <v>45890.489583333336</v>
      </c>
      <c r="O117" s="82" t="s">
        <v>1482</v>
      </c>
      <c r="P117" s="82" t="s">
        <v>1483</v>
      </c>
      <c r="Q117" s="82" t="s">
        <v>1494</v>
      </c>
      <c r="R117" s="82" t="s">
        <v>1495</v>
      </c>
      <c r="S117" s="82" t="s">
        <v>1486</v>
      </c>
      <c r="T117" s="82" t="s">
        <v>1486</v>
      </c>
      <c r="U117" s="82" t="s">
        <v>1487</v>
      </c>
      <c r="V117" s="82" t="s">
        <v>1965</v>
      </c>
      <c r="W117" s="82" t="s">
        <v>1526</v>
      </c>
      <c r="X117" s="82">
        <v>0</v>
      </c>
      <c r="Y117" s="82" t="s">
        <v>113</v>
      </c>
      <c r="Z117" s="82" t="s">
        <v>114</v>
      </c>
      <c r="AA117" s="82" t="s">
        <v>1498</v>
      </c>
      <c r="AB117" s="61">
        <v>0</v>
      </c>
      <c r="AC117" s="61">
        <v>0</v>
      </c>
      <c r="AD117" s="61">
        <v>0</v>
      </c>
      <c r="AE117" s="61">
        <v>0</v>
      </c>
      <c r="AF117" s="69">
        <f>IF(W117="SOPORTE_TELEFÓNICO",'BASE LIQUIDACION'!$B$10,IF(Y117="TIPO I",'BASE LIQUIDACION'!$C$3,IF(Y117="TIPO II",'BASE LIQUIDACION'!$C$4,IF(Y117="TIPO III",'BASE LIQUIDACION'!$C$5,'BASE LIQUIDACION'!$C$7))))</f>
        <v>37904.65408</v>
      </c>
      <c r="AG117" s="96">
        <f>IF(W117="SOPORTE_TELEFÓNICO",'BASE LIQUIDACION'!$B$10,(AB117*AF117+AC117*'BASE LIQUIDACION'!$B$12+AD117*'BASE LIQUIDACION'!$B$11+INCIDENTES!AE117*'BASE LIQUIDACION'!$B$13))</f>
        <v>37904.65408</v>
      </c>
    </row>
    <row r="118" spans="1:33" s="4" customFormat="1">
      <c r="A118" s="109" t="s">
        <v>124</v>
      </c>
      <c r="B118" s="56" t="str">
        <f>VLOOKUP(A118,'CENTRO DE COSTOS'!A:D,4,FALSE)</f>
        <v>DIEGO FERNANDO HENAO CARDONA</v>
      </c>
      <c r="C118" s="56" t="str">
        <f>VLOOKUP(A118,'CENTRO DE COSTOS'!A:D,2,FALSE)</f>
        <v>0004-0002</v>
      </c>
      <c r="D118" s="109">
        <v>66001</v>
      </c>
      <c r="E118" s="109">
        <v>2622229</v>
      </c>
      <c r="F118" s="109">
        <v>23457</v>
      </c>
      <c r="G118" s="109" t="s">
        <v>1479</v>
      </c>
      <c r="H118" s="109" t="s">
        <v>126</v>
      </c>
      <c r="I118" s="109" t="s">
        <v>124</v>
      </c>
      <c r="J118" s="109" t="s">
        <v>1966</v>
      </c>
      <c r="K118" s="109" t="s">
        <v>106</v>
      </c>
      <c r="L118" s="82" t="s">
        <v>1967</v>
      </c>
      <c r="M118" s="97">
        <v>45890.333333333336</v>
      </c>
      <c r="N118" s="97">
        <v>45890.518750000003</v>
      </c>
      <c r="O118" s="82" t="s">
        <v>1482</v>
      </c>
      <c r="P118" s="82" t="s">
        <v>1483</v>
      </c>
      <c r="Q118" s="82" t="s">
        <v>1551</v>
      </c>
      <c r="R118" s="82" t="s">
        <v>1949</v>
      </c>
      <c r="S118" s="82" t="s">
        <v>1486</v>
      </c>
      <c r="T118" s="82" t="s">
        <v>1486</v>
      </c>
      <c r="U118" s="82" t="s">
        <v>1487</v>
      </c>
      <c r="V118" s="82" t="s">
        <v>1968</v>
      </c>
      <c r="W118" s="82" t="s">
        <v>1526</v>
      </c>
      <c r="X118" s="82">
        <v>0</v>
      </c>
      <c r="Y118" s="82" t="s">
        <v>113</v>
      </c>
      <c r="Z118" s="82" t="s">
        <v>114</v>
      </c>
      <c r="AA118" s="82" t="s">
        <v>413</v>
      </c>
      <c r="AB118" s="61">
        <v>0</v>
      </c>
      <c r="AC118" s="61">
        <v>0</v>
      </c>
      <c r="AD118" s="61">
        <v>0</v>
      </c>
      <c r="AE118" s="61">
        <v>0</v>
      </c>
      <c r="AF118" s="69">
        <f>IF(W118="SOPORTE_TELEFÓNICO",'BASE LIQUIDACION'!$B$10,IF(Y118="TIPO I",'BASE LIQUIDACION'!$C$3,IF(Y118="TIPO II",'BASE LIQUIDACION'!$C$4,IF(Y118="TIPO III",'BASE LIQUIDACION'!$C$5,'BASE LIQUIDACION'!$C$7))))</f>
        <v>37904.65408</v>
      </c>
      <c r="AG118" s="96">
        <f>IF(W118="SOPORTE_TELEFÓNICO",'BASE LIQUIDACION'!$B$10,(AB118*AF118+AC118*'BASE LIQUIDACION'!$B$12+AD118*'BASE LIQUIDACION'!$B$11+INCIDENTES!AE118*'BASE LIQUIDACION'!$B$13))</f>
        <v>37904.65408</v>
      </c>
    </row>
    <row r="119" spans="1:33" s="4" customFormat="1">
      <c r="A119" s="109" t="s">
        <v>365</v>
      </c>
      <c r="B119" s="56" t="str">
        <f>VLOOKUP(A119,'CENTRO DE COSTOS'!A:D,4,FALSE)</f>
        <v>KEVIN ALEXIS CORZO BUSTOS</v>
      </c>
      <c r="C119" s="56" t="str">
        <f>VLOOKUP(A119,'CENTRO DE COSTOS'!A:D,2,FALSE)</f>
        <v>0004-0007</v>
      </c>
      <c r="D119" s="109">
        <v>18592</v>
      </c>
      <c r="E119" s="109">
        <v>2624331</v>
      </c>
      <c r="F119" s="109">
        <v>75593</v>
      </c>
      <c r="G119" s="109" t="s">
        <v>1479</v>
      </c>
      <c r="H119" s="109" t="s">
        <v>367</v>
      </c>
      <c r="I119" s="109" t="s">
        <v>804</v>
      </c>
      <c r="J119" s="109" t="s">
        <v>1969</v>
      </c>
      <c r="K119" s="109" t="s">
        <v>106</v>
      </c>
      <c r="L119" s="82" t="s">
        <v>1970</v>
      </c>
      <c r="M119" s="97">
        <v>45890.422222222223</v>
      </c>
      <c r="N119" s="97">
        <v>45890.549305555556</v>
      </c>
      <c r="O119" s="82" t="s">
        <v>1482</v>
      </c>
      <c r="P119" s="82" t="s">
        <v>1483</v>
      </c>
      <c r="Q119" s="82" t="s">
        <v>1581</v>
      </c>
      <c r="R119" s="82" t="s">
        <v>1582</v>
      </c>
      <c r="S119" s="82" t="s">
        <v>1486</v>
      </c>
      <c r="T119" s="82" t="s">
        <v>1486</v>
      </c>
      <c r="U119" s="82" t="s">
        <v>1487</v>
      </c>
      <c r="V119" s="82" t="s">
        <v>1971</v>
      </c>
      <c r="W119" s="82" t="s">
        <v>1526</v>
      </c>
      <c r="X119" s="82">
        <v>0</v>
      </c>
      <c r="Y119" s="82" t="s">
        <v>462</v>
      </c>
      <c r="Z119" s="82" t="s">
        <v>114</v>
      </c>
      <c r="AA119" s="82" t="s">
        <v>374</v>
      </c>
      <c r="AB119" s="61">
        <v>0</v>
      </c>
      <c r="AC119" s="61">
        <v>0</v>
      </c>
      <c r="AD119" s="61">
        <v>0</v>
      </c>
      <c r="AE119" s="61">
        <v>0</v>
      </c>
      <c r="AF119" s="69">
        <f>IF(W119="SOPORTE_TELEFÓNICO",'BASE LIQUIDACION'!$B$10,IF(Y119="TIPO I",'BASE LIQUIDACION'!$C$3,IF(Y119="TIPO II",'BASE LIQUIDACION'!$C$4,IF(Y119="TIPO III",'BASE LIQUIDACION'!$C$5,'BASE LIQUIDACION'!$C$7))))</f>
        <v>37904.65408</v>
      </c>
      <c r="AG119" s="96">
        <f>IF(W119="SOPORTE_TELEFÓNICO",'BASE LIQUIDACION'!$B$10,(AB119*AF119+AC119*'BASE LIQUIDACION'!$B$12+AD119*'BASE LIQUIDACION'!$B$11+INCIDENTES!AE119*'BASE LIQUIDACION'!$B$13))</f>
        <v>37904.65408</v>
      </c>
    </row>
    <row r="120" spans="1:33" s="4" customFormat="1">
      <c r="A120" s="109" t="s">
        <v>100</v>
      </c>
      <c r="B120" s="56" t="str">
        <f>VLOOKUP(A120,'CENTRO DE COSTOS'!A:D,4,FALSE)</f>
        <v>JUAN SEBASTIÁN RÍOS CASTRILLÓN</v>
      </c>
      <c r="C120" s="56" t="str">
        <f>VLOOKUP(A120,'CENTRO DE COSTOS'!A:D,2,FALSE)</f>
        <v>0004-0005</v>
      </c>
      <c r="D120" s="109">
        <v>5001</v>
      </c>
      <c r="E120" s="109">
        <v>2623153</v>
      </c>
      <c r="F120" s="109">
        <v>68195</v>
      </c>
      <c r="G120" s="109" t="s">
        <v>1479</v>
      </c>
      <c r="H120" s="109" t="s">
        <v>104</v>
      </c>
      <c r="I120" s="109" t="s">
        <v>100</v>
      </c>
      <c r="J120" s="109" t="s">
        <v>1972</v>
      </c>
      <c r="K120" s="109" t="s">
        <v>106</v>
      </c>
      <c r="L120" s="82" t="s">
        <v>1973</v>
      </c>
      <c r="M120" s="97">
        <v>45890.359722222223</v>
      </c>
      <c r="N120" s="97">
        <v>45890.568055555559</v>
      </c>
      <c r="O120" s="82" t="s">
        <v>1482</v>
      </c>
      <c r="P120" s="82" t="s">
        <v>1483</v>
      </c>
      <c r="Q120" s="82" t="s">
        <v>1581</v>
      </c>
      <c r="R120" s="82" t="s">
        <v>1582</v>
      </c>
      <c r="S120" s="82" t="s">
        <v>317</v>
      </c>
      <c r="T120" s="82" t="s">
        <v>317</v>
      </c>
      <c r="U120" s="82" t="s">
        <v>1487</v>
      </c>
      <c r="V120" s="82" t="s">
        <v>1974</v>
      </c>
      <c r="W120" s="82" t="s">
        <v>1489</v>
      </c>
      <c r="X120" s="82" t="s">
        <v>1975</v>
      </c>
      <c r="Y120" s="82" t="s">
        <v>113</v>
      </c>
      <c r="Z120" s="82" t="s">
        <v>114</v>
      </c>
      <c r="AA120" s="82" t="s">
        <v>1976</v>
      </c>
      <c r="AB120" s="61">
        <v>1</v>
      </c>
      <c r="AC120" s="61">
        <v>0</v>
      </c>
      <c r="AD120" s="61">
        <v>0</v>
      </c>
      <c r="AE120" s="61">
        <v>0</v>
      </c>
      <c r="AF120" s="69">
        <f>IF(W120="SOPORTE_TELEFÓNICO",'BASE LIQUIDACION'!$B$10,IF(Y120="TIPO I",'BASE LIQUIDACION'!$C$3,IF(Y120="TIPO II",'BASE LIQUIDACION'!$C$4,IF(Y120="TIPO III",'BASE LIQUIDACION'!$C$5,'BASE LIQUIDACION'!$C$7))))</f>
        <v>65960.473639999997</v>
      </c>
      <c r="AG120" s="96">
        <f>IF(W120="SOPORTE_TELEFÓNICO",'BASE LIQUIDACION'!$B$10,(AB120*AF120+AC120*'BASE LIQUIDACION'!$B$12+AD120*'BASE LIQUIDACION'!$B$11+INCIDENTES!AE120*'BASE LIQUIDACION'!$B$13))</f>
        <v>65960.473639999997</v>
      </c>
    </row>
    <row r="121" spans="1:33" s="4" customFormat="1">
      <c r="A121" s="109" t="s">
        <v>157</v>
      </c>
      <c r="B121" s="56" t="str">
        <f>VLOOKUP(A121,'CENTRO DE COSTOS'!A:D,4,FALSE)</f>
        <v>KEVIN ALEXIS CORZO BUSTOS</v>
      </c>
      <c r="C121" s="56" t="str">
        <f>VLOOKUP(A121,'CENTRO DE COSTOS'!A:D,2,FALSE)</f>
        <v>0004-0007</v>
      </c>
      <c r="D121" s="109">
        <v>73349</v>
      </c>
      <c r="E121" s="109">
        <v>2621718</v>
      </c>
      <c r="F121" s="109">
        <v>40513</v>
      </c>
      <c r="G121" s="109" t="s">
        <v>1479</v>
      </c>
      <c r="H121" s="109" t="s">
        <v>159</v>
      </c>
      <c r="I121" s="109" t="s">
        <v>1396</v>
      </c>
      <c r="J121" s="109" t="s">
        <v>1977</v>
      </c>
      <c r="K121" s="109" t="s">
        <v>106</v>
      </c>
      <c r="L121" s="82" t="s">
        <v>1978</v>
      </c>
      <c r="M121" s="97">
        <v>45889.695138888892</v>
      </c>
      <c r="N121" s="97">
        <v>45890.569444444445</v>
      </c>
      <c r="O121" s="82" t="s">
        <v>1482</v>
      </c>
      <c r="P121" s="82" t="s">
        <v>1483</v>
      </c>
      <c r="Q121" s="82" t="s">
        <v>1484</v>
      </c>
      <c r="R121" s="82" t="s">
        <v>1485</v>
      </c>
      <c r="S121" s="82" t="s">
        <v>1486</v>
      </c>
      <c r="T121" s="82" t="s">
        <v>1486</v>
      </c>
      <c r="U121" s="82" t="s">
        <v>1487</v>
      </c>
      <c r="V121" s="82" t="s">
        <v>1979</v>
      </c>
      <c r="W121" s="82" t="s">
        <v>1489</v>
      </c>
      <c r="X121" s="82" t="s">
        <v>1980</v>
      </c>
      <c r="Y121" s="82" t="s">
        <v>202</v>
      </c>
      <c r="Z121" s="82" t="s">
        <v>114</v>
      </c>
      <c r="AA121" s="82" t="s">
        <v>164</v>
      </c>
      <c r="AB121" s="61">
        <v>1</v>
      </c>
      <c r="AC121" s="61">
        <v>0</v>
      </c>
      <c r="AD121" s="61">
        <v>0</v>
      </c>
      <c r="AE121" s="61">
        <v>0</v>
      </c>
      <c r="AF121" s="69">
        <f>IF(W121="SOPORTE_TELEFÓNICO",'BASE LIQUIDACION'!$B$10,IF(Y121="TIPO I",'BASE LIQUIDACION'!$C$3,IF(Y121="TIPO II",'BASE LIQUIDACION'!$C$4,IF(Y121="TIPO III",'BASE LIQUIDACION'!$C$5,'BASE LIQUIDACION'!$C$7))))</f>
        <v>275728.37943999999</v>
      </c>
      <c r="AG121" s="96">
        <f>IF(W121="SOPORTE_TELEFÓNICO",'BASE LIQUIDACION'!$B$10,(AB121*AF121+AC121*'BASE LIQUIDACION'!$B$12+AD121*'BASE LIQUIDACION'!$B$11+INCIDENTES!AE121*'BASE LIQUIDACION'!$B$13))</f>
        <v>275728.37943999999</v>
      </c>
    </row>
    <row r="122" spans="1:33" s="4" customFormat="1">
      <c r="A122" s="109" t="s">
        <v>100</v>
      </c>
      <c r="B122" s="56" t="str">
        <f>VLOOKUP(A122,'CENTRO DE COSTOS'!A:D,4,FALSE)</f>
        <v>JUAN SEBASTIÁN RÍOS CASTRILLÓN</v>
      </c>
      <c r="C122" s="56" t="str">
        <f>VLOOKUP(A122,'CENTRO DE COSTOS'!A:D,2,FALSE)</f>
        <v>0004-0005</v>
      </c>
      <c r="D122" s="109">
        <v>5001</v>
      </c>
      <c r="E122" s="109">
        <v>2625785</v>
      </c>
      <c r="F122" s="109">
        <v>49465</v>
      </c>
      <c r="G122" s="109" t="s">
        <v>1479</v>
      </c>
      <c r="H122" s="109" t="s">
        <v>104</v>
      </c>
      <c r="I122" s="109" t="s">
        <v>100</v>
      </c>
      <c r="J122" s="109" t="s">
        <v>1981</v>
      </c>
      <c r="K122" s="109" t="s">
        <v>106</v>
      </c>
      <c r="L122" s="82" t="s">
        <v>1982</v>
      </c>
      <c r="M122" s="97">
        <v>45890.509722222225</v>
      </c>
      <c r="N122" s="97">
        <v>45890.640277777777</v>
      </c>
      <c r="O122" s="82" t="s">
        <v>1482</v>
      </c>
      <c r="P122" s="82" t="s">
        <v>1483</v>
      </c>
      <c r="Q122" s="82" t="s">
        <v>1494</v>
      </c>
      <c r="R122" s="82" t="s">
        <v>1495</v>
      </c>
      <c r="S122" s="82" t="s">
        <v>1486</v>
      </c>
      <c r="T122" s="82" t="s">
        <v>1486</v>
      </c>
      <c r="U122" s="82" t="s">
        <v>1487</v>
      </c>
      <c r="V122" s="82" t="s">
        <v>1983</v>
      </c>
      <c r="W122" s="82" t="s">
        <v>1489</v>
      </c>
      <c r="X122" s="82" t="s">
        <v>1984</v>
      </c>
      <c r="Y122" s="82" t="s">
        <v>113</v>
      </c>
      <c r="Z122" s="82" t="s">
        <v>114</v>
      </c>
      <c r="AA122" s="82" t="s">
        <v>1505</v>
      </c>
      <c r="AB122" s="61">
        <v>1</v>
      </c>
      <c r="AC122" s="61">
        <v>0</v>
      </c>
      <c r="AD122" s="61">
        <v>0</v>
      </c>
      <c r="AE122" s="61">
        <v>0</v>
      </c>
      <c r="AF122" s="69">
        <f>IF(W122="SOPORTE_TELEFÓNICO",'BASE LIQUIDACION'!$B$10,IF(Y122="TIPO I",'BASE LIQUIDACION'!$C$3,IF(Y122="TIPO II",'BASE LIQUIDACION'!$C$4,IF(Y122="TIPO III",'BASE LIQUIDACION'!$C$5,'BASE LIQUIDACION'!$C$7))))</f>
        <v>65960.473639999997</v>
      </c>
      <c r="AG122" s="96">
        <f>IF(W122="SOPORTE_TELEFÓNICO",'BASE LIQUIDACION'!$B$10,(AB122*AF122+AC122*'BASE LIQUIDACION'!$B$12+AD122*'BASE LIQUIDACION'!$B$11+INCIDENTES!AE122*'BASE LIQUIDACION'!$B$13))</f>
        <v>65960.473639999997</v>
      </c>
    </row>
    <row r="123" spans="1:33" s="4" customFormat="1">
      <c r="A123" s="109" t="s">
        <v>100</v>
      </c>
      <c r="B123" s="56" t="str">
        <f>VLOOKUP(A123,'CENTRO DE COSTOS'!A:D,4,FALSE)</f>
        <v>JUAN SEBASTIÁN RÍOS CASTRILLÓN</v>
      </c>
      <c r="C123" s="56" t="str">
        <f>VLOOKUP(A123,'CENTRO DE COSTOS'!A:D,2,FALSE)</f>
        <v>0004-0005</v>
      </c>
      <c r="D123" s="109">
        <v>5088</v>
      </c>
      <c r="E123" s="109">
        <v>2622204</v>
      </c>
      <c r="F123" s="109">
        <v>75175</v>
      </c>
      <c r="G123" s="109" t="s">
        <v>1479</v>
      </c>
      <c r="H123" s="109" t="s">
        <v>104</v>
      </c>
      <c r="I123" s="109" t="s">
        <v>211</v>
      </c>
      <c r="J123" s="109" t="s">
        <v>1985</v>
      </c>
      <c r="K123" s="109" t="s">
        <v>106</v>
      </c>
      <c r="L123" s="82" t="s">
        <v>1986</v>
      </c>
      <c r="M123" s="97">
        <v>45890.333333333336</v>
      </c>
      <c r="N123" s="97">
        <v>45890.645833333336</v>
      </c>
      <c r="O123" s="82" t="s">
        <v>1482</v>
      </c>
      <c r="P123" s="82" t="s">
        <v>1483</v>
      </c>
      <c r="Q123" s="82" t="s">
        <v>1494</v>
      </c>
      <c r="R123" s="82" t="s">
        <v>1495</v>
      </c>
      <c r="S123" s="82" t="s">
        <v>317</v>
      </c>
      <c r="T123" s="82" t="s">
        <v>317</v>
      </c>
      <c r="U123" s="82" t="s">
        <v>1487</v>
      </c>
      <c r="V123" s="82" t="s">
        <v>1987</v>
      </c>
      <c r="W123" s="82" t="s">
        <v>1526</v>
      </c>
      <c r="X123" s="82">
        <v>0</v>
      </c>
      <c r="Y123" s="82" t="s">
        <v>113</v>
      </c>
      <c r="Z123" s="82" t="s">
        <v>114</v>
      </c>
      <c r="AA123" s="82" t="s">
        <v>1722</v>
      </c>
      <c r="AB123" s="61">
        <v>0</v>
      </c>
      <c r="AC123" s="61">
        <v>0</v>
      </c>
      <c r="AD123" s="61">
        <v>0</v>
      </c>
      <c r="AE123" s="61">
        <v>0</v>
      </c>
      <c r="AF123" s="69">
        <f>IF(W123="SOPORTE_TELEFÓNICO",'BASE LIQUIDACION'!$B$10,IF(Y123="TIPO I",'BASE LIQUIDACION'!$C$3,IF(Y123="TIPO II",'BASE LIQUIDACION'!$C$4,IF(Y123="TIPO III",'BASE LIQUIDACION'!$C$5,'BASE LIQUIDACION'!$C$7))))</f>
        <v>37904.65408</v>
      </c>
      <c r="AG123" s="96">
        <f>IF(W123="SOPORTE_TELEFÓNICO",'BASE LIQUIDACION'!$B$10,(AB123*AF123+AC123*'BASE LIQUIDACION'!$B$12+AD123*'BASE LIQUIDACION'!$B$11+INCIDENTES!AE123*'BASE LIQUIDACION'!$B$13))</f>
        <v>37904.65408</v>
      </c>
    </row>
    <row r="124" spans="1:33" s="4" customFormat="1">
      <c r="A124" s="109" t="s">
        <v>504</v>
      </c>
      <c r="B124" s="56" t="str">
        <f>VLOOKUP(A124,'CENTRO DE COSTOS'!A:D,4,FALSE)</f>
        <v>JOSE MAURICIO HERNANDEZ ROJAS</v>
      </c>
      <c r="C124" s="56" t="str">
        <f>VLOOKUP(A124,'CENTRO DE COSTOS'!A:D,2,FALSE)</f>
        <v>0004-0001</v>
      </c>
      <c r="D124" s="109">
        <v>5250</v>
      </c>
      <c r="E124" s="109">
        <v>2612751</v>
      </c>
      <c r="F124" s="109">
        <v>62490</v>
      </c>
      <c r="G124" s="109" t="s">
        <v>1479</v>
      </c>
      <c r="H124" s="109" t="s">
        <v>104</v>
      </c>
      <c r="I124" s="109" t="s">
        <v>524</v>
      </c>
      <c r="J124" s="109" t="s">
        <v>1988</v>
      </c>
      <c r="K124" s="109" t="s">
        <v>106</v>
      </c>
      <c r="L124" s="82" t="s">
        <v>1989</v>
      </c>
      <c r="M124" s="97">
        <v>45888.535416666666</v>
      </c>
      <c r="N124" s="97">
        <v>45890.654166666667</v>
      </c>
      <c r="O124" s="82" t="s">
        <v>1482</v>
      </c>
      <c r="P124" s="82" t="s">
        <v>1483</v>
      </c>
      <c r="Q124" s="82" t="s">
        <v>1501</v>
      </c>
      <c r="R124" s="82" t="s">
        <v>1502</v>
      </c>
      <c r="S124" s="82" t="s">
        <v>317</v>
      </c>
      <c r="T124" s="82" t="s">
        <v>317</v>
      </c>
      <c r="U124" s="82" t="s">
        <v>1487</v>
      </c>
      <c r="V124" s="82" t="s">
        <v>1990</v>
      </c>
      <c r="W124" s="82" t="s">
        <v>1489</v>
      </c>
      <c r="X124" s="82" t="s">
        <v>1991</v>
      </c>
      <c r="Y124" s="82" t="s">
        <v>344</v>
      </c>
      <c r="Z124" s="82" t="s">
        <v>114</v>
      </c>
      <c r="AA124" s="82" t="s">
        <v>1778</v>
      </c>
      <c r="AB124" s="61">
        <v>1</v>
      </c>
      <c r="AC124" s="61">
        <v>0</v>
      </c>
      <c r="AD124" s="61">
        <v>0</v>
      </c>
      <c r="AE124" s="61">
        <v>0</v>
      </c>
      <c r="AF124" s="69">
        <f>IF(W124="SOPORTE_TELEFÓNICO",'BASE LIQUIDACION'!$B$10,IF(Y124="TIPO I",'BASE LIQUIDACION'!$C$3,IF(Y124="TIPO II",'BASE LIQUIDACION'!$C$4,IF(Y124="TIPO III",'BASE LIQUIDACION'!$C$5,'BASE LIQUIDACION'!$C$7))))</f>
        <v>479589.73656000005</v>
      </c>
      <c r="AG124" s="96">
        <f>IF(W124="SOPORTE_TELEFÓNICO",'BASE LIQUIDACION'!$B$10,(AB124*AF124+AC124*'BASE LIQUIDACION'!$B$12+AD124*'BASE LIQUIDACION'!$B$11+INCIDENTES!AE124*'BASE LIQUIDACION'!$B$13))</f>
        <v>479589.73656000005</v>
      </c>
    </row>
    <row r="125" spans="1:33" s="4" customFormat="1">
      <c r="A125" s="109" t="s">
        <v>100</v>
      </c>
      <c r="B125" s="56" t="str">
        <f>VLOOKUP(A125,'CENTRO DE COSTOS'!A:D,4,FALSE)</f>
        <v>JUAN SEBASTIÁN RÍOS CASTRILLÓN</v>
      </c>
      <c r="C125" s="56" t="str">
        <f>VLOOKUP(A125,'CENTRO DE COSTOS'!A:D,2,FALSE)</f>
        <v>0004-0005</v>
      </c>
      <c r="D125" s="109">
        <v>5001</v>
      </c>
      <c r="E125" s="109">
        <v>2625712</v>
      </c>
      <c r="F125" s="109">
        <v>78400</v>
      </c>
      <c r="G125" s="109" t="s">
        <v>1479</v>
      </c>
      <c r="H125" s="109" t="s">
        <v>104</v>
      </c>
      <c r="I125" s="109" t="s">
        <v>100</v>
      </c>
      <c r="J125" s="109" t="s">
        <v>1992</v>
      </c>
      <c r="K125" s="109" t="s">
        <v>106</v>
      </c>
      <c r="L125" s="82" t="s">
        <v>1993</v>
      </c>
      <c r="M125" s="97">
        <v>45890.498611111114</v>
      </c>
      <c r="N125" s="97">
        <v>45890.707638888889</v>
      </c>
      <c r="O125" s="82" t="s">
        <v>1482</v>
      </c>
      <c r="P125" s="82" t="s">
        <v>1483</v>
      </c>
      <c r="Q125" s="82" t="s">
        <v>1484</v>
      </c>
      <c r="R125" s="82" t="s">
        <v>1485</v>
      </c>
      <c r="S125" s="82" t="s">
        <v>1486</v>
      </c>
      <c r="T125" s="82" t="s">
        <v>1486</v>
      </c>
      <c r="U125" s="82" t="s">
        <v>1487</v>
      </c>
      <c r="V125" s="82" t="s">
        <v>1994</v>
      </c>
      <c r="W125" s="82" t="s">
        <v>1489</v>
      </c>
      <c r="X125" s="82" t="s">
        <v>1995</v>
      </c>
      <c r="Y125" s="82" t="s">
        <v>113</v>
      </c>
      <c r="Z125" s="82" t="s">
        <v>114</v>
      </c>
      <c r="AA125" s="82" t="s">
        <v>364</v>
      </c>
      <c r="AB125" s="61">
        <v>1</v>
      </c>
      <c r="AC125" s="61">
        <v>0</v>
      </c>
      <c r="AD125" s="61">
        <v>0</v>
      </c>
      <c r="AE125" s="61">
        <v>0</v>
      </c>
      <c r="AF125" s="69">
        <f>IF(W125="SOPORTE_TELEFÓNICO",'BASE LIQUIDACION'!$B$10,IF(Y125="TIPO I",'BASE LIQUIDACION'!$C$3,IF(Y125="TIPO II",'BASE LIQUIDACION'!$C$4,IF(Y125="TIPO III",'BASE LIQUIDACION'!$C$5,'BASE LIQUIDACION'!$C$7))))</f>
        <v>65960.473639999997</v>
      </c>
      <c r="AG125" s="96">
        <f>IF(W125="SOPORTE_TELEFÓNICO",'BASE LIQUIDACION'!$B$10,(AB125*AF125+AC125*'BASE LIQUIDACION'!$B$12+AD125*'BASE LIQUIDACION'!$B$11+INCIDENTES!AE125*'BASE LIQUIDACION'!$B$13))</f>
        <v>65960.473639999997</v>
      </c>
    </row>
    <row r="126" spans="1:33" s="4" customFormat="1">
      <c r="A126" s="109" t="s">
        <v>171</v>
      </c>
      <c r="B126" s="56" t="str">
        <f>VLOOKUP(A126,'CENTRO DE COSTOS'!A:D,4,FALSE)</f>
        <v>MIGUEL JULIÁN HERNÁNDEZ GUARÍN</v>
      </c>
      <c r="C126" s="56" t="str">
        <f>VLOOKUP(A126,'CENTRO DE COSTOS'!A:D,2,FALSE)</f>
        <v>0004-0008</v>
      </c>
      <c r="D126" s="109">
        <v>68001</v>
      </c>
      <c r="E126" s="109">
        <v>2625894</v>
      </c>
      <c r="F126" s="109">
        <v>75992</v>
      </c>
      <c r="G126" s="109" t="s">
        <v>1996</v>
      </c>
      <c r="H126" s="109" t="s">
        <v>173</v>
      </c>
      <c r="I126" s="109" t="s">
        <v>171</v>
      </c>
      <c r="J126" s="109" t="s">
        <v>1997</v>
      </c>
      <c r="K126" s="109" t="s">
        <v>106</v>
      </c>
      <c r="L126" s="82" t="s">
        <v>1998</v>
      </c>
      <c r="M126" s="97">
        <v>45890.538194444445</v>
      </c>
      <c r="N126" s="97">
        <v>45891.388888888891</v>
      </c>
      <c r="O126" s="82" t="s">
        <v>1482</v>
      </c>
      <c r="P126" s="82" t="s">
        <v>1508</v>
      </c>
      <c r="Q126" s="82" t="s">
        <v>1509</v>
      </c>
      <c r="R126" s="82" t="s">
        <v>1510</v>
      </c>
      <c r="S126" s="82" t="s">
        <v>1486</v>
      </c>
      <c r="T126" s="82" t="s">
        <v>1486</v>
      </c>
      <c r="U126" s="82" t="s">
        <v>1487</v>
      </c>
      <c r="V126" s="82" t="s">
        <v>1999</v>
      </c>
      <c r="W126" s="82" t="s">
        <v>1526</v>
      </c>
      <c r="X126" s="82">
        <v>0</v>
      </c>
      <c r="Y126" s="82" t="s">
        <v>113</v>
      </c>
      <c r="Z126" s="82" t="s">
        <v>114</v>
      </c>
      <c r="AA126" s="82" t="s">
        <v>229</v>
      </c>
      <c r="AB126" s="61">
        <v>0</v>
      </c>
      <c r="AC126" s="61">
        <v>0</v>
      </c>
      <c r="AD126" s="61">
        <v>0</v>
      </c>
      <c r="AE126" s="61">
        <v>0</v>
      </c>
      <c r="AF126" s="69">
        <f>IF(W126="SOPORTE_TELEFÓNICO",'BASE LIQUIDACION'!$B$10,IF(Y126="TIPO I",'BASE LIQUIDACION'!$C$3,IF(Y126="TIPO II",'BASE LIQUIDACION'!$C$4,IF(Y126="TIPO III",'BASE LIQUIDACION'!$C$5,'BASE LIQUIDACION'!$C$7))))</f>
        <v>37904.65408</v>
      </c>
      <c r="AG126" s="96">
        <f>IF(W126="SOPORTE_TELEFÓNICO",'BASE LIQUIDACION'!$B$10,(AB126*AF126+AC126*'BASE LIQUIDACION'!$B$12+AD126*'BASE LIQUIDACION'!$B$11+INCIDENTES!AE126*'BASE LIQUIDACION'!$B$13))</f>
        <v>37904.65408</v>
      </c>
    </row>
    <row r="127" spans="1:33" s="4" customFormat="1">
      <c r="A127" s="109" t="s">
        <v>303</v>
      </c>
      <c r="B127" s="56" t="str">
        <f>VLOOKUP(A127,'CENTRO DE COSTOS'!A:D,4,FALSE)</f>
        <v>MIGUEL JULIÁN HERNÁNDEZ GUARÍN</v>
      </c>
      <c r="C127" s="56" t="str">
        <f>VLOOKUP(A127,'CENTRO DE COSTOS'!A:D,2,FALSE)</f>
        <v>0004-0008</v>
      </c>
      <c r="D127" s="109">
        <v>54001</v>
      </c>
      <c r="E127" s="109">
        <v>2627064</v>
      </c>
      <c r="F127" s="109">
        <v>80138</v>
      </c>
      <c r="G127" s="109" t="s">
        <v>1996</v>
      </c>
      <c r="H127" s="109" t="s">
        <v>305</v>
      </c>
      <c r="I127" s="109" t="s">
        <v>303</v>
      </c>
      <c r="J127" s="109" t="s">
        <v>2000</v>
      </c>
      <c r="K127" s="109" t="s">
        <v>106</v>
      </c>
      <c r="L127" s="82" t="s">
        <v>2001</v>
      </c>
      <c r="M127" s="97">
        <v>45890.63958333333</v>
      </c>
      <c r="N127" s="97">
        <v>45891.491666666669</v>
      </c>
      <c r="O127" s="82" t="s">
        <v>1482</v>
      </c>
      <c r="P127" s="82" t="s">
        <v>1483</v>
      </c>
      <c r="Q127" s="82" t="s">
        <v>1494</v>
      </c>
      <c r="R127" s="82" t="s">
        <v>1495</v>
      </c>
      <c r="S127" s="82" t="s">
        <v>1486</v>
      </c>
      <c r="T127" s="82" t="s">
        <v>1486</v>
      </c>
      <c r="U127" s="82" t="s">
        <v>1487</v>
      </c>
      <c r="V127" s="82" t="s">
        <v>2002</v>
      </c>
      <c r="W127" s="82" t="s">
        <v>1526</v>
      </c>
      <c r="X127" s="82">
        <v>0</v>
      </c>
      <c r="Y127" s="82" t="s">
        <v>113</v>
      </c>
      <c r="Z127" s="82" t="s">
        <v>114</v>
      </c>
      <c r="AA127" s="82" t="s">
        <v>2003</v>
      </c>
      <c r="AB127" s="61">
        <v>0</v>
      </c>
      <c r="AC127" s="61">
        <v>0</v>
      </c>
      <c r="AD127" s="61">
        <v>0</v>
      </c>
      <c r="AE127" s="61">
        <v>0</v>
      </c>
      <c r="AF127" s="69">
        <f>IF(W127="SOPORTE_TELEFÓNICO",'BASE LIQUIDACION'!$B$10,IF(Y127="TIPO I",'BASE LIQUIDACION'!$C$3,IF(Y127="TIPO II",'BASE LIQUIDACION'!$C$4,IF(Y127="TIPO III",'BASE LIQUIDACION'!$C$5,'BASE LIQUIDACION'!$C$7))))</f>
        <v>37904.65408</v>
      </c>
      <c r="AG127" s="96">
        <f>IF(W127="SOPORTE_TELEFÓNICO",'BASE LIQUIDACION'!$B$10,(AB127*AF127+AC127*'BASE LIQUIDACION'!$B$12+AD127*'BASE LIQUIDACION'!$B$11+INCIDENTES!AE127*'BASE LIQUIDACION'!$B$13))</f>
        <v>37904.65408</v>
      </c>
    </row>
    <row r="128" spans="1:33" s="4" customFormat="1">
      <c r="A128" s="109" t="s">
        <v>303</v>
      </c>
      <c r="B128" s="56" t="str">
        <f>VLOOKUP(A128,'CENTRO DE COSTOS'!A:D,4,FALSE)</f>
        <v>MIGUEL JULIÁN HERNÁNDEZ GUARÍN</v>
      </c>
      <c r="C128" s="56" t="str">
        <f>VLOOKUP(A128,'CENTRO DE COSTOS'!A:D,2,FALSE)</f>
        <v>0004-0008</v>
      </c>
      <c r="D128" s="109">
        <v>54405</v>
      </c>
      <c r="E128" s="109">
        <v>2627565</v>
      </c>
      <c r="F128" s="109">
        <v>62629</v>
      </c>
      <c r="G128" s="109" t="s">
        <v>1996</v>
      </c>
      <c r="H128" s="109" t="s">
        <v>305</v>
      </c>
      <c r="I128" s="109" t="s">
        <v>1238</v>
      </c>
      <c r="J128" s="109" t="s">
        <v>2004</v>
      </c>
      <c r="K128" s="109" t="s">
        <v>106</v>
      </c>
      <c r="L128" s="82" t="s">
        <v>2005</v>
      </c>
      <c r="M128" s="97">
        <v>45890.681944444441</v>
      </c>
      <c r="N128" s="97">
        <v>45891.522916666669</v>
      </c>
      <c r="O128" s="82" t="s">
        <v>1482</v>
      </c>
      <c r="P128" s="82" t="s">
        <v>1483</v>
      </c>
      <c r="Q128" s="82" t="s">
        <v>1494</v>
      </c>
      <c r="R128" s="82" t="s">
        <v>1519</v>
      </c>
      <c r="S128" s="82" t="s">
        <v>1583</v>
      </c>
      <c r="T128" s="82" t="s">
        <v>1583</v>
      </c>
      <c r="U128" s="82" t="s">
        <v>1487</v>
      </c>
      <c r="V128" s="82" t="s">
        <v>2006</v>
      </c>
      <c r="W128" s="82" t="s">
        <v>1489</v>
      </c>
      <c r="X128" s="82" t="s">
        <v>2007</v>
      </c>
      <c r="Y128" s="82" t="s">
        <v>113</v>
      </c>
      <c r="Z128" s="82" t="s">
        <v>114</v>
      </c>
      <c r="AA128" s="82" t="s">
        <v>1531</v>
      </c>
      <c r="AB128" s="61">
        <v>1</v>
      </c>
      <c r="AC128" s="61">
        <v>0</v>
      </c>
      <c r="AD128" s="61">
        <v>0</v>
      </c>
      <c r="AE128" s="61">
        <v>0</v>
      </c>
      <c r="AF128" s="69">
        <f>IF(W128="SOPORTE_TELEFÓNICO",'BASE LIQUIDACION'!$B$10,IF(Y128="TIPO I",'BASE LIQUIDACION'!$C$3,IF(Y128="TIPO II",'BASE LIQUIDACION'!$C$4,IF(Y128="TIPO III",'BASE LIQUIDACION'!$C$5,'BASE LIQUIDACION'!$C$7))))</f>
        <v>65960.473639999997</v>
      </c>
      <c r="AG128" s="96">
        <f>IF(W128="SOPORTE_TELEFÓNICO",'BASE LIQUIDACION'!$B$10,(AB128*AF128+AC128*'BASE LIQUIDACION'!$B$12+AD128*'BASE LIQUIDACION'!$B$11+INCIDENTES!AE128*'BASE LIQUIDACION'!$B$13))</f>
        <v>65960.473639999997</v>
      </c>
    </row>
    <row r="129" spans="1:33" s="4" customFormat="1">
      <c r="A129" s="109" t="s">
        <v>375</v>
      </c>
      <c r="B129" s="56" t="str">
        <f>VLOOKUP(A129,'CENTRO DE COSTOS'!A:D,4,FALSE)</f>
        <v>DIEGO FERNANDO HENAO CARDONA</v>
      </c>
      <c r="C129" s="56" t="str">
        <f>VLOOKUP(A129,'CENTRO DE COSTOS'!A:D,2,FALSE)</f>
        <v>0004-0003</v>
      </c>
      <c r="D129" s="109">
        <v>86001</v>
      </c>
      <c r="E129" s="109">
        <v>2627605</v>
      </c>
      <c r="F129" s="109">
        <v>74100</v>
      </c>
      <c r="G129" s="109" t="s">
        <v>1996</v>
      </c>
      <c r="H129" s="109" t="s">
        <v>1251</v>
      </c>
      <c r="I129" s="109" t="s">
        <v>1254</v>
      </c>
      <c r="J129" s="109" t="s">
        <v>2008</v>
      </c>
      <c r="K129" s="109" t="s">
        <v>106</v>
      </c>
      <c r="L129" s="82" t="s">
        <v>2009</v>
      </c>
      <c r="M129" s="97">
        <v>45890.674305555556</v>
      </c>
      <c r="N129" s="97">
        <v>45891.645138888889</v>
      </c>
      <c r="O129" s="82" t="s">
        <v>1482</v>
      </c>
      <c r="P129" s="82" t="s">
        <v>1483</v>
      </c>
      <c r="Q129" s="82" t="s">
        <v>1484</v>
      </c>
      <c r="R129" s="82" t="s">
        <v>1485</v>
      </c>
      <c r="S129" s="82" t="s">
        <v>317</v>
      </c>
      <c r="T129" s="82" t="s">
        <v>317</v>
      </c>
      <c r="U129" s="82" t="s">
        <v>1487</v>
      </c>
      <c r="V129" s="82" t="s">
        <v>2010</v>
      </c>
      <c r="W129" s="82" t="s">
        <v>1489</v>
      </c>
      <c r="X129" s="82" t="s">
        <v>2011</v>
      </c>
      <c r="Y129" s="82" t="s">
        <v>344</v>
      </c>
      <c r="Z129" s="82" t="s">
        <v>114</v>
      </c>
      <c r="AA129" s="82" t="s">
        <v>382</v>
      </c>
      <c r="AB129" s="61">
        <v>1</v>
      </c>
      <c r="AC129" s="61">
        <v>0</v>
      </c>
      <c r="AD129" s="61">
        <v>0</v>
      </c>
      <c r="AE129" s="61">
        <v>0</v>
      </c>
      <c r="AF129" s="69">
        <f>IF(W129="SOPORTE_TELEFÓNICO",'BASE LIQUIDACION'!$B$10,IF(Y129="TIPO I",'BASE LIQUIDACION'!$C$3,IF(Y129="TIPO II",'BASE LIQUIDACION'!$C$4,IF(Y129="TIPO III",'BASE LIQUIDACION'!$C$5,'BASE LIQUIDACION'!$C$7))))</f>
        <v>479589.73656000005</v>
      </c>
      <c r="AG129" s="96">
        <f>IF(W129="SOPORTE_TELEFÓNICO",'BASE LIQUIDACION'!$B$10,(AB129*AF129+AC129*'BASE LIQUIDACION'!$B$12+AD129*'BASE LIQUIDACION'!$B$11+INCIDENTES!AE129*'BASE LIQUIDACION'!$B$13))</f>
        <v>479589.73656000005</v>
      </c>
    </row>
    <row r="130" spans="1:33" s="4" customFormat="1">
      <c r="A130" s="109" t="s">
        <v>140</v>
      </c>
      <c r="B130" s="56" t="str">
        <f>VLOOKUP(A130,'CENTRO DE COSTOS'!A:D,4,FALSE)</f>
        <v>MIGUEL JULIÁN HERNÁNDEZ GUARÍN</v>
      </c>
      <c r="C130" s="56" t="str">
        <f>VLOOKUP(A130,'CENTRO DE COSTOS'!A:D,2,FALSE)</f>
        <v>0004-0008</v>
      </c>
      <c r="D130" s="109">
        <v>15001</v>
      </c>
      <c r="E130" s="109">
        <v>2628509</v>
      </c>
      <c r="F130" s="109">
        <v>43976</v>
      </c>
      <c r="G130" s="109" t="s">
        <v>1996</v>
      </c>
      <c r="H130" s="109" t="s">
        <v>142</v>
      </c>
      <c r="I130" s="109" t="s">
        <v>140</v>
      </c>
      <c r="J130" s="109" t="s">
        <v>2012</v>
      </c>
      <c r="K130" s="109" t="s">
        <v>106</v>
      </c>
      <c r="L130" s="82" t="s">
        <v>2013</v>
      </c>
      <c r="M130" s="97">
        <v>45891.333333333336</v>
      </c>
      <c r="N130" s="97">
        <v>45891.649305555555</v>
      </c>
      <c r="O130" s="82" t="s">
        <v>1482</v>
      </c>
      <c r="P130" s="82" t="s">
        <v>1483</v>
      </c>
      <c r="Q130" s="82" t="s">
        <v>1494</v>
      </c>
      <c r="R130" s="82" t="s">
        <v>1495</v>
      </c>
      <c r="S130" s="82" t="s">
        <v>1486</v>
      </c>
      <c r="T130" s="82" t="s">
        <v>1486</v>
      </c>
      <c r="U130" s="82" t="s">
        <v>1487</v>
      </c>
      <c r="V130" s="82" t="s">
        <v>2014</v>
      </c>
      <c r="W130" s="82" t="s">
        <v>1526</v>
      </c>
      <c r="X130" s="82">
        <v>0</v>
      </c>
      <c r="Y130" s="82" t="s">
        <v>113</v>
      </c>
      <c r="Z130" s="82" t="s">
        <v>114</v>
      </c>
      <c r="AA130" s="82" t="s">
        <v>1630</v>
      </c>
      <c r="AB130" s="61">
        <v>0</v>
      </c>
      <c r="AC130" s="61">
        <v>0</v>
      </c>
      <c r="AD130" s="61">
        <v>0</v>
      </c>
      <c r="AE130" s="61">
        <v>0</v>
      </c>
      <c r="AF130" s="69">
        <f>IF(W130="SOPORTE_TELEFÓNICO",'BASE LIQUIDACION'!$B$10,IF(Y130="TIPO I",'BASE LIQUIDACION'!$C$3,IF(Y130="TIPO II",'BASE LIQUIDACION'!$C$4,IF(Y130="TIPO III",'BASE LIQUIDACION'!$C$5,'BASE LIQUIDACION'!$C$7))))</f>
        <v>37904.65408</v>
      </c>
      <c r="AG130" s="96">
        <f>IF(W130="SOPORTE_TELEFÓNICO",'BASE LIQUIDACION'!$B$10,(AB130*AF130+AC130*'BASE LIQUIDACION'!$B$12+AD130*'BASE LIQUIDACION'!$B$11+INCIDENTES!AE130*'BASE LIQUIDACION'!$B$13))</f>
        <v>37904.65408</v>
      </c>
    </row>
    <row r="131" spans="1:33" s="4" customFormat="1">
      <c r="A131" s="109" t="s">
        <v>100</v>
      </c>
      <c r="B131" s="56" t="str">
        <f>VLOOKUP(A131,'CENTRO DE COSTOS'!A:D,4,FALSE)</f>
        <v>JUAN SEBASTIÁN RÍOS CASTRILLÓN</v>
      </c>
      <c r="C131" s="56" t="str">
        <f>VLOOKUP(A131,'CENTRO DE COSTOS'!A:D,2,FALSE)</f>
        <v>0004-0005</v>
      </c>
      <c r="D131" s="109">
        <v>5001</v>
      </c>
      <c r="E131" s="109">
        <v>2631630</v>
      </c>
      <c r="F131" s="109">
        <v>22831</v>
      </c>
      <c r="G131" s="109" t="s">
        <v>1996</v>
      </c>
      <c r="H131" s="109" t="s">
        <v>104</v>
      </c>
      <c r="I131" s="109" t="s">
        <v>100</v>
      </c>
      <c r="J131" s="109" t="s">
        <v>2015</v>
      </c>
      <c r="K131" s="109" t="s">
        <v>106</v>
      </c>
      <c r="L131" s="82" t="s">
        <v>2016</v>
      </c>
      <c r="M131" s="97">
        <v>45891.512499999997</v>
      </c>
      <c r="N131" s="97">
        <v>45891.652777777781</v>
      </c>
      <c r="O131" s="82" t="s">
        <v>1482</v>
      </c>
      <c r="P131" s="82" t="s">
        <v>1483</v>
      </c>
      <c r="Q131" s="82" t="s">
        <v>1494</v>
      </c>
      <c r="R131" s="82" t="s">
        <v>1495</v>
      </c>
      <c r="S131" s="82" t="s">
        <v>317</v>
      </c>
      <c r="T131" s="82" t="s">
        <v>317</v>
      </c>
      <c r="U131" s="82" t="s">
        <v>1487</v>
      </c>
      <c r="V131" s="82" t="s">
        <v>2017</v>
      </c>
      <c r="W131" s="82" t="s">
        <v>1489</v>
      </c>
      <c r="X131" s="82" t="s">
        <v>2018</v>
      </c>
      <c r="Y131" s="82" t="s">
        <v>113</v>
      </c>
      <c r="Z131" s="82" t="s">
        <v>114</v>
      </c>
      <c r="AA131" s="82" t="s">
        <v>364</v>
      </c>
      <c r="AB131" s="61">
        <v>1</v>
      </c>
      <c r="AC131" s="61">
        <v>0</v>
      </c>
      <c r="AD131" s="61">
        <v>0</v>
      </c>
      <c r="AE131" s="61">
        <v>0</v>
      </c>
      <c r="AF131" s="69">
        <f>IF(W131="SOPORTE_TELEFÓNICO",'BASE LIQUIDACION'!$B$10,IF(Y131="TIPO I",'BASE LIQUIDACION'!$C$3,IF(Y131="TIPO II",'BASE LIQUIDACION'!$C$4,IF(Y131="TIPO III",'BASE LIQUIDACION'!$C$5,'BASE LIQUIDACION'!$C$7))))</f>
        <v>65960.473639999997</v>
      </c>
      <c r="AG131" s="96">
        <f>IF(W131="SOPORTE_TELEFÓNICO",'BASE LIQUIDACION'!$B$10,(AB131*AF131+AC131*'BASE LIQUIDACION'!$B$12+AD131*'BASE LIQUIDACION'!$B$11+INCIDENTES!AE131*'BASE LIQUIDACION'!$B$13))</f>
        <v>65960.473639999997</v>
      </c>
    </row>
    <row r="132" spans="1:33" s="4" customFormat="1">
      <c r="A132" s="109" t="s">
        <v>100</v>
      </c>
      <c r="B132" s="56" t="str">
        <f>VLOOKUP(A132,'CENTRO DE COSTOS'!A:D,4,FALSE)</f>
        <v>JUAN SEBASTIÁN RÍOS CASTRILLÓN</v>
      </c>
      <c r="C132" s="56" t="str">
        <f>VLOOKUP(A132,'CENTRO DE COSTOS'!A:D,2,FALSE)</f>
        <v>0004-0005</v>
      </c>
      <c r="D132" s="109">
        <v>5360</v>
      </c>
      <c r="E132" s="109">
        <v>2630546</v>
      </c>
      <c r="F132" s="109">
        <v>55408</v>
      </c>
      <c r="G132" s="109" t="s">
        <v>1996</v>
      </c>
      <c r="H132" s="109" t="s">
        <v>104</v>
      </c>
      <c r="I132" s="109" t="s">
        <v>537</v>
      </c>
      <c r="J132" s="109" t="s">
        <v>2019</v>
      </c>
      <c r="K132" s="109" t="s">
        <v>106</v>
      </c>
      <c r="L132" s="82" t="s">
        <v>2020</v>
      </c>
      <c r="M132" s="97">
        <v>45891.435416666667</v>
      </c>
      <c r="N132" s="97">
        <v>45891.743055555555</v>
      </c>
      <c r="O132" s="82" t="s">
        <v>1482</v>
      </c>
      <c r="P132" s="82" t="s">
        <v>1483</v>
      </c>
      <c r="Q132" s="82" t="s">
        <v>1494</v>
      </c>
      <c r="R132" s="82" t="s">
        <v>1495</v>
      </c>
      <c r="S132" s="82" t="s">
        <v>317</v>
      </c>
      <c r="T132" s="82" t="s">
        <v>317</v>
      </c>
      <c r="U132" s="82" t="s">
        <v>1487</v>
      </c>
      <c r="V132" s="82" t="s">
        <v>2021</v>
      </c>
      <c r="W132" s="82" t="s">
        <v>1489</v>
      </c>
      <c r="X132" s="82" t="s">
        <v>2022</v>
      </c>
      <c r="Y132" s="82" t="s">
        <v>113</v>
      </c>
      <c r="Z132" s="82" t="s">
        <v>114</v>
      </c>
      <c r="AA132" s="82" t="s">
        <v>364</v>
      </c>
      <c r="AB132" s="61">
        <v>1</v>
      </c>
      <c r="AC132" s="61">
        <v>0</v>
      </c>
      <c r="AD132" s="61">
        <v>0</v>
      </c>
      <c r="AE132" s="61">
        <v>0</v>
      </c>
      <c r="AF132" s="69">
        <f>IF(W132="SOPORTE_TELEFÓNICO",'BASE LIQUIDACION'!$B$10,IF(Y132="TIPO I",'BASE LIQUIDACION'!$C$3,IF(Y132="TIPO II",'BASE LIQUIDACION'!$C$4,IF(Y132="TIPO III",'BASE LIQUIDACION'!$C$5,'BASE LIQUIDACION'!$C$7))))</f>
        <v>65960.473639999997</v>
      </c>
      <c r="AG132" s="96">
        <f>IF(W132="SOPORTE_TELEFÓNICO",'BASE LIQUIDACION'!$B$10,(AB132*AF132+AC132*'BASE LIQUIDACION'!$B$12+AD132*'BASE LIQUIDACION'!$B$11+INCIDENTES!AE132*'BASE LIQUIDACION'!$B$13))</f>
        <v>65960.473639999997</v>
      </c>
    </row>
    <row r="133" spans="1:33" s="4" customFormat="1">
      <c r="A133" s="109" t="s">
        <v>303</v>
      </c>
      <c r="B133" s="56" t="str">
        <f>VLOOKUP(A133,'CENTRO DE COSTOS'!A:D,4,FALSE)</f>
        <v>MIGUEL JULIÁN HERNÁNDEZ GUARÍN</v>
      </c>
      <c r="C133" s="56" t="str">
        <f>VLOOKUP(A133,'CENTRO DE COSTOS'!A:D,2,FALSE)</f>
        <v>0004-0008</v>
      </c>
      <c r="D133" s="109">
        <v>54001</v>
      </c>
      <c r="E133" s="109">
        <v>2631311</v>
      </c>
      <c r="F133" s="109">
        <v>79235</v>
      </c>
      <c r="G133" s="109" t="s">
        <v>1996</v>
      </c>
      <c r="H133" s="109" t="s">
        <v>305</v>
      </c>
      <c r="I133" s="109" t="s">
        <v>303</v>
      </c>
      <c r="J133" s="109" t="s">
        <v>2023</v>
      </c>
      <c r="K133" s="109" t="s">
        <v>106</v>
      </c>
      <c r="L133" s="82" t="s">
        <v>2024</v>
      </c>
      <c r="M133" s="97">
        <v>45891.484027777777</v>
      </c>
      <c r="N133" s="97">
        <v>45892.370138888888</v>
      </c>
      <c r="O133" s="82" t="s">
        <v>1482</v>
      </c>
      <c r="P133" s="82" t="s">
        <v>1483</v>
      </c>
      <c r="Q133" s="82" t="s">
        <v>1797</v>
      </c>
      <c r="R133" s="82" t="s">
        <v>1519</v>
      </c>
      <c r="S133" s="82" t="s">
        <v>317</v>
      </c>
      <c r="T133" s="82" t="s">
        <v>317</v>
      </c>
      <c r="U133" s="82" t="s">
        <v>1487</v>
      </c>
      <c r="V133" s="82" t="s">
        <v>2025</v>
      </c>
      <c r="W133" s="82" t="s">
        <v>1526</v>
      </c>
      <c r="X133" s="82">
        <v>0</v>
      </c>
      <c r="Y133" s="82" t="s">
        <v>113</v>
      </c>
      <c r="Z133" s="82" t="s">
        <v>114</v>
      </c>
      <c r="AA133" s="82" t="s">
        <v>2003</v>
      </c>
      <c r="AB133" s="61">
        <v>0</v>
      </c>
      <c r="AC133" s="61">
        <v>0</v>
      </c>
      <c r="AD133" s="61">
        <v>0</v>
      </c>
      <c r="AE133" s="61">
        <v>0</v>
      </c>
      <c r="AF133" s="69">
        <f>IF(W133="SOPORTE_TELEFÓNICO",'BASE LIQUIDACION'!$B$10,IF(Y133="TIPO I",'BASE LIQUIDACION'!$C$3,IF(Y133="TIPO II",'BASE LIQUIDACION'!$C$4,IF(Y133="TIPO III",'BASE LIQUIDACION'!$C$5,'BASE LIQUIDACION'!$C$7))))</f>
        <v>37904.65408</v>
      </c>
      <c r="AG133" s="96">
        <f>IF(W133="SOPORTE_TELEFÓNICO",'BASE LIQUIDACION'!$B$10,(AB133*AF133+AC133*'BASE LIQUIDACION'!$B$12+AD133*'BASE LIQUIDACION'!$B$11+INCIDENTES!AE133*'BASE LIQUIDACION'!$B$13))</f>
        <v>37904.65408</v>
      </c>
    </row>
    <row r="134" spans="1:33" s="4" customFormat="1">
      <c r="A134" s="109" t="s">
        <v>100</v>
      </c>
      <c r="B134" s="56" t="str">
        <f>VLOOKUP(A134,'CENTRO DE COSTOS'!A:D,4,FALSE)</f>
        <v>JUAN SEBASTIÁN RÍOS CASTRILLÓN</v>
      </c>
      <c r="C134" s="56" t="str">
        <f>VLOOKUP(A134,'CENTRO DE COSTOS'!A:D,2,FALSE)</f>
        <v>0004-0005</v>
      </c>
      <c r="D134" s="109">
        <v>5001</v>
      </c>
      <c r="E134" s="109">
        <v>2633823</v>
      </c>
      <c r="F134" s="109">
        <v>49465</v>
      </c>
      <c r="G134" s="109" t="s">
        <v>1996</v>
      </c>
      <c r="H134" s="109" t="s">
        <v>104</v>
      </c>
      <c r="I134" s="109" t="s">
        <v>100</v>
      </c>
      <c r="J134" s="109" t="s">
        <v>1981</v>
      </c>
      <c r="K134" s="109" t="s">
        <v>106</v>
      </c>
      <c r="L134" s="82" t="s">
        <v>2026</v>
      </c>
      <c r="M134" s="97">
        <v>45892.333333333336</v>
      </c>
      <c r="N134" s="97">
        <v>45892.434027777781</v>
      </c>
      <c r="O134" s="82" t="s">
        <v>1482</v>
      </c>
      <c r="P134" s="82" t="s">
        <v>1483</v>
      </c>
      <c r="Q134" s="82" t="s">
        <v>1797</v>
      </c>
      <c r="R134" s="82" t="s">
        <v>1519</v>
      </c>
      <c r="S134" s="82" t="s">
        <v>1486</v>
      </c>
      <c r="T134" s="82" t="s">
        <v>1486</v>
      </c>
      <c r="U134" s="82" t="s">
        <v>1487</v>
      </c>
      <c r="V134" s="82" t="s">
        <v>2027</v>
      </c>
      <c r="W134" s="82" t="s">
        <v>1489</v>
      </c>
      <c r="X134" s="82" t="s">
        <v>2028</v>
      </c>
      <c r="Y134" s="82" t="s">
        <v>113</v>
      </c>
      <c r="Z134" s="82" t="s">
        <v>114</v>
      </c>
      <c r="AA134" s="82" t="s">
        <v>321</v>
      </c>
      <c r="AB134" s="61">
        <v>1</v>
      </c>
      <c r="AC134" s="61">
        <v>0</v>
      </c>
      <c r="AD134" s="61">
        <v>0</v>
      </c>
      <c r="AE134" s="61">
        <v>0</v>
      </c>
      <c r="AF134" s="69">
        <f>IF(W134="SOPORTE_TELEFÓNICO",'BASE LIQUIDACION'!$B$10,IF(Y134="TIPO I",'BASE LIQUIDACION'!$C$3,IF(Y134="TIPO II",'BASE LIQUIDACION'!$C$4,IF(Y134="TIPO III",'BASE LIQUIDACION'!$C$5,'BASE LIQUIDACION'!$C$7))))</f>
        <v>65960.473639999997</v>
      </c>
      <c r="AG134" s="96">
        <f>IF(W134="SOPORTE_TELEFÓNICO",'BASE LIQUIDACION'!$B$10,(AB134*AF134+AC134*'BASE LIQUIDACION'!$B$12+AD134*'BASE LIQUIDACION'!$B$11+INCIDENTES!AE134*'BASE LIQUIDACION'!$B$13))</f>
        <v>65960.473639999997</v>
      </c>
    </row>
    <row r="135" spans="1:33" s="4" customFormat="1">
      <c r="A135" s="109" t="s">
        <v>157</v>
      </c>
      <c r="B135" s="56" t="str">
        <f>VLOOKUP(A135,'CENTRO DE COSTOS'!A:D,4,FALSE)</f>
        <v>KEVIN ALEXIS CORZO BUSTOS</v>
      </c>
      <c r="C135" s="56" t="str">
        <f>VLOOKUP(A135,'CENTRO DE COSTOS'!A:D,2,FALSE)</f>
        <v>0004-0007</v>
      </c>
      <c r="D135" s="109">
        <v>73001</v>
      </c>
      <c r="E135" s="109">
        <v>2633676</v>
      </c>
      <c r="F135" s="109">
        <v>52901</v>
      </c>
      <c r="G135" s="109" t="s">
        <v>1996</v>
      </c>
      <c r="H135" s="109" t="s">
        <v>159</v>
      </c>
      <c r="I135" s="109" t="s">
        <v>157</v>
      </c>
      <c r="J135" s="109" t="s">
        <v>2029</v>
      </c>
      <c r="K135" s="109" t="s">
        <v>106</v>
      </c>
      <c r="L135" s="82" t="s">
        <v>2030</v>
      </c>
      <c r="M135" s="97">
        <v>45892.333333333336</v>
      </c>
      <c r="N135" s="97">
        <v>45892.460416666669</v>
      </c>
      <c r="O135" s="82" t="s">
        <v>1482</v>
      </c>
      <c r="P135" s="82" t="s">
        <v>1483</v>
      </c>
      <c r="Q135" s="82" t="s">
        <v>1494</v>
      </c>
      <c r="R135" s="82" t="s">
        <v>1495</v>
      </c>
      <c r="S135" s="82" t="s">
        <v>1486</v>
      </c>
      <c r="T135" s="82" t="s">
        <v>1486</v>
      </c>
      <c r="U135" s="82" t="s">
        <v>1487</v>
      </c>
      <c r="V135" s="82" t="s">
        <v>2031</v>
      </c>
      <c r="W135" s="82" t="s">
        <v>1489</v>
      </c>
      <c r="X135" s="82" t="s">
        <v>2032</v>
      </c>
      <c r="Y135" s="82" t="s">
        <v>113</v>
      </c>
      <c r="Z135" s="82" t="s">
        <v>114</v>
      </c>
      <c r="AA135" s="82" t="s">
        <v>170</v>
      </c>
      <c r="AB135" s="61">
        <v>1</v>
      </c>
      <c r="AC135" s="61">
        <v>0</v>
      </c>
      <c r="AD135" s="61">
        <v>0</v>
      </c>
      <c r="AE135" s="61">
        <v>0</v>
      </c>
      <c r="AF135" s="69">
        <f>IF(W135="SOPORTE_TELEFÓNICO",'BASE LIQUIDACION'!$B$10,IF(Y135="TIPO I",'BASE LIQUIDACION'!$C$3,IF(Y135="TIPO II",'BASE LIQUIDACION'!$C$4,IF(Y135="TIPO III",'BASE LIQUIDACION'!$C$5,'BASE LIQUIDACION'!$C$7))))</f>
        <v>65960.473639999997</v>
      </c>
      <c r="AG135" s="96">
        <f>IF(W135="SOPORTE_TELEFÓNICO",'BASE LIQUIDACION'!$B$10,(AB135*AF135+AC135*'BASE LIQUIDACION'!$B$12+AD135*'BASE LIQUIDACION'!$B$11+INCIDENTES!AE135*'BASE LIQUIDACION'!$B$13))</f>
        <v>65960.473639999997</v>
      </c>
    </row>
    <row r="136" spans="1:33" s="4" customFormat="1">
      <c r="A136" s="109" t="s">
        <v>502</v>
      </c>
      <c r="B136" s="56" t="str">
        <f>VLOOKUP(A136,'CENTRO DE COSTOS'!A:D,4,FALSE)</f>
        <v>JUAN SEBASTIÁN RÍOS CASTRILLÓN</v>
      </c>
      <c r="C136" s="56" t="str">
        <f>VLOOKUP(A136,'CENTRO DE COSTOS'!A:D,2,FALSE)</f>
        <v>0004-0005</v>
      </c>
      <c r="D136" s="109">
        <v>5045</v>
      </c>
      <c r="E136" s="109">
        <v>2616924</v>
      </c>
      <c r="F136" s="109">
        <v>32310</v>
      </c>
      <c r="G136" s="109" t="s">
        <v>1996</v>
      </c>
      <c r="H136" s="109" t="s">
        <v>104</v>
      </c>
      <c r="I136" s="109" t="s">
        <v>502</v>
      </c>
      <c r="J136" s="109" t="s">
        <v>2033</v>
      </c>
      <c r="K136" s="109" t="s">
        <v>106</v>
      </c>
      <c r="L136" s="82" t="s">
        <v>2034</v>
      </c>
      <c r="M136" s="97">
        <v>45889.375</v>
      </c>
      <c r="N136" s="97">
        <v>45892.463888888888</v>
      </c>
      <c r="O136" s="82" t="s">
        <v>1482</v>
      </c>
      <c r="P136" s="82" t="s">
        <v>1483</v>
      </c>
      <c r="Q136" s="82" t="s">
        <v>1494</v>
      </c>
      <c r="R136" s="82" t="s">
        <v>1519</v>
      </c>
      <c r="S136" s="82" t="s">
        <v>1583</v>
      </c>
      <c r="T136" s="82" t="s">
        <v>1583</v>
      </c>
      <c r="U136" s="82" t="s">
        <v>1487</v>
      </c>
      <c r="V136" s="82" t="s">
        <v>2035</v>
      </c>
      <c r="W136" s="82" t="s">
        <v>1526</v>
      </c>
      <c r="X136" s="82">
        <v>0</v>
      </c>
      <c r="Y136" s="82" t="s">
        <v>113</v>
      </c>
      <c r="Z136" s="82" t="s">
        <v>114</v>
      </c>
      <c r="AA136" s="82" t="s">
        <v>1604</v>
      </c>
      <c r="AB136" s="61">
        <v>0</v>
      </c>
      <c r="AC136" s="61">
        <v>0</v>
      </c>
      <c r="AD136" s="61">
        <v>0</v>
      </c>
      <c r="AE136" s="61">
        <v>0</v>
      </c>
      <c r="AF136" s="69">
        <f>IF(W136="SOPORTE_TELEFÓNICO",'BASE LIQUIDACION'!$B$10,IF(Y136="TIPO I",'BASE LIQUIDACION'!$C$3,IF(Y136="TIPO II",'BASE LIQUIDACION'!$C$4,IF(Y136="TIPO III",'BASE LIQUIDACION'!$C$5,'BASE LIQUIDACION'!$C$7))))</f>
        <v>37904.65408</v>
      </c>
      <c r="AG136" s="96">
        <f>IF(W136="SOPORTE_TELEFÓNICO",'BASE LIQUIDACION'!$B$10,(AB136*AF136+AC136*'BASE LIQUIDACION'!$B$12+AD136*'BASE LIQUIDACION'!$B$11+INCIDENTES!AE136*'BASE LIQUIDACION'!$B$13))</f>
        <v>37904.65408</v>
      </c>
    </row>
    <row r="137" spans="1:33" s="4" customFormat="1">
      <c r="A137" s="109" t="s">
        <v>502</v>
      </c>
      <c r="B137" s="56" t="str">
        <f>VLOOKUP(A137,'CENTRO DE COSTOS'!A:D,4,FALSE)</f>
        <v>JUAN SEBASTIÁN RÍOS CASTRILLÓN</v>
      </c>
      <c r="C137" s="56" t="str">
        <f>VLOOKUP(A137,'CENTRO DE COSTOS'!A:D,2,FALSE)</f>
        <v>0004-0005</v>
      </c>
      <c r="D137" s="109">
        <v>5665</v>
      </c>
      <c r="E137" s="109">
        <v>2624964</v>
      </c>
      <c r="F137" s="109">
        <v>80961</v>
      </c>
      <c r="G137" s="109" t="s">
        <v>1996</v>
      </c>
      <c r="H137" s="109" t="s">
        <v>104</v>
      </c>
      <c r="I137" s="109" t="s">
        <v>566</v>
      </c>
      <c r="J137" s="109" t="s">
        <v>2036</v>
      </c>
      <c r="K137" s="109" t="s">
        <v>106</v>
      </c>
      <c r="L137" s="82" t="s">
        <v>2037</v>
      </c>
      <c r="M137" s="97">
        <v>45890.465277777781</v>
      </c>
      <c r="N137" s="97">
        <v>45892.467361111114</v>
      </c>
      <c r="O137" s="82" t="s">
        <v>1482</v>
      </c>
      <c r="P137" s="82" t="s">
        <v>1483</v>
      </c>
      <c r="Q137" s="82" t="s">
        <v>1551</v>
      </c>
      <c r="R137" s="82" t="s">
        <v>1741</v>
      </c>
      <c r="S137" s="82" t="s">
        <v>1486</v>
      </c>
      <c r="T137" s="82" t="s">
        <v>1486</v>
      </c>
      <c r="U137" s="82" t="s">
        <v>1487</v>
      </c>
      <c r="V137" s="82" t="s">
        <v>2038</v>
      </c>
      <c r="W137" s="82" t="s">
        <v>1526</v>
      </c>
      <c r="X137" s="82">
        <v>0</v>
      </c>
      <c r="Y137" s="82" t="s">
        <v>202</v>
      </c>
      <c r="Z137" s="82" t="s">
        <v>114</v>
      </c>
      <c r="AA137" s="82" t="s">
        <v>216</v>
      </c>
      <c r="AB137" s="61">
        <v>0</v>
      </c>
      <c r="AC137" s="61">
        <v>0</v>
      </c>
      <c r="AD137" s="61">
        <v>0</v>
      </c>
      <c r="AE137" s="61">
        <v>0</v>
      </c>
      <c r="AF137" s="69">
        <f>IF(W137="SOPORTE_TELEFÓNICO",'BASE LIQUIDACION'!$B$10,IF(Y137="TIPO I",'BASE LIQUIDACION'!$C$3,IF(Y137="TIPO II",'BASE LIQUIDACION'!$C$4,IF(Y137="TIPO III",'BASE LIQUIDACION'!$C$5,'BASE LIQUIDACION'!$C$7))))</f>
        <v>37904.65408</v>
      </c>
      <c r="AG137" s="96">
        <f>IF(W137="SOPORTE_TELEFÓNICO",'BASE LIQUIDACION'!$B$10,(AB137*AF137+AC137*'BASE LIQUIDACION'!$B$12+AD137*'BASE LIQUIDACION'!$B$11+INCIDENTES!AE137*'BASE LIQUIDACION'!$B$13))</f>
        <v>37904.65408</v>
      </c>
    </row>
    <row r="138" spans="1:33" s="4" customFormat="1">
      <c r="A138" s="109" t="s">
        <v>171</v>
      </c>
      <c r="B138" s="56" t="str">
        <f>VLOOKUP(A138,'CENTRO DE COSTOS'!A:D,4,FALSE)</f>
        <v>MIGUEL JULIÁN HERNÁNDEZ GUARÍN</v>
      </c>
      <c r="C138" s="56" t="str">
        <f>VLOOKUP(A138,'CENTRO DE COSTOS'!A:D,2,FALSE)</f>
        <v>0004-0008</v>
      </c>
      <c r="D138" s="109">
        <v>68255</v>
      </c>
      <c r="E138" s="109">
        <v>2629061</v>
      </c>
      <c r="F138" s="109">
        <v>73471</v>
      </c>
      <c r="G138" s="109" t="s">
        <v>1996</v>
      </c>
      <c r="H138" s="109" t="s">
        <v>173</v>
      </c>
      <c r="I138" s="109" t="s">
        <v>1303</v>
      </c>
      <c r="J138" s="109" t="s">
        <v>2039</v>
      </c>
      <c r="K138" s="109" t="s">
        <v>106</v>
      </c>
      <c r="L138" s="82" t="s">
        <v>2040</v>
      </c>
      <c r="M138" s="97">
        <v>45891.34097222222</v>
      </c>
      <c r="N138" s="97">
        <v>45892.486111111109</v>
      </c>
      <c r="O138" s="82" t="s">
        <v>1482</v>
      </c>
      <c r="P138" s="82" t="s">
        <v>1483</v>
      </c>
      <c r="Q138" s="82" t="s">
        <v>1551</v>
      </c>
      <c r="R138" s="82" t="s">
        <v>1949</v>
      </c>
      <c r="S138" s="82" t="s">
        <v>317</v>
      </c>
      <c r="T138" s="82" t="s">
        <v>317</v>
      </c>
      <c r="U138" s="82" t="s">
        <v>1487</v>
      </c>
      <c r="V138" s="82" t="s">
        <v>2041</v>
      </c>
      <c r="W138" s="82" t="s">
        <v>1489</v>
      </c>
      <c r="X138" s="82" t="s">
        <v>2042</v>
      </c>
      <c r="Y138" s="82" t="s">
        <v>148</v>
      </c>
      <c r="Z138" s="82" t="s">
        <v>114</v>
      </c>
      <c r="AA138" s="82" t="s">
        <v>1620</v>
      </c>
      <c r="AB138" s="61">
        <v>1</v>
      </c>
      <c r="AC138" s="61">
        <v>0</v>
      </c>
      <c r="AD138" s="61">
        <v>0</v>
      </c>
      <c r="AE138" s="61">
        <v>0</v>
      </c>
      <c r="AF138" s="69">
        <f>IF(W138="SOPORTE_TELEFÓNICO",'BASE LIQUIDACION'!$B$10,IF(Y138="TIPO I",'BASE LIQUIDACION'!$C$3,IF(Y138="TIPO II",'BASE LIQUIDACION'!$C$4,IF(Y138="TIPO III",'BASE LIQUIDACION'!$C$5,'BASE LIQUIDACION'!$C$7))))</f>
        <v>163813.55812</v>
      </c>
      <c r="AG138" s="96">
        <f>IF(W138="SOPORTE_TELEFÓNICO",'BASE LIQUIDACION'!$B$10,(AB138*AF138+AC138*'BASE LIQUIDACION'!$B$12+AD138*'BASE LIQUIDACION'!$B$11+INCIDENTES!AE138*'BASE LIQUIDACION'!$B$13))</f>
        <v>163813.55812</v>
      </c>
    </row>
    <row r="139" spans="1:33" s="4" customFormat="1">
      <c r="A139" s="109" t="s">
        <v>598</v>
      </c>
      <c r="B139" s="56" t="str">
        <f>VLOOKUP(A139,'CENTRO DE COSTOS'!A:D,4,FALSE)</f>
        <v>JOSE MAURICIO HERNANDEZ ROJAS</v>
      </c>
      <c r="C139" s="56" t="str">
        <f>VLOOKUP(A139,'CENTRO DE COSTOS'!A:D,2,FALSE)</f>
        <v>0004-0001</v>
      </c>
      <c r="D139" s="109">
        <v>8001</v>
      </c>
      <c r="E139" s="109">
        <v>2634439</v>
      </c>
      <c r="F139" s="109">
        <v>45896</v>
      </c>
      <c r="G139" s="109" t="s">
        <v>1996</v>
      </c>
      <c r="H139" s="109" t="s">
        <v>597</v>
      </c>
      <c r="I139" s="109" t="s">
        <v>598</v>
      </c>
      <c r="J139" s="109" t="s">
        <v>1963</v>
      </c>
      <c r="K139" s="109" t="s">
        <v>106</v>
      </c>
      <c r="L139" s="82" t="s">
        <v>2043</v>
      </c>
      <c r="M139" s="97">
        <v>45892.435416666667</v>
      </c>
      <c r="N139" s="97">
        <v>45892.593055555553</v>
      </c>
      <c r="O139" s="82" t="s">
        <v>1482</v>
      </c>
      <c r="P139" s="82" t="s">
        <v>1483</v>
      </c>
      <c r="Q139" s="82" t="s">
        <v>1494</v>
      </c>
      <c r="R139" s="82" t="s">
        <v>1519</v>
      </c>
      <c r="S139" s="82" t="s">
        <v>1486</v>
      </c>
      <c r="T139" s="82" t="s">
        <v>1486</v>
      </c>
      <c r="U139" s="82" t="s">
        <v>1487</v>
      </c>
      <c r="V139" s="82" t="s">
        <v>2044</v>
      </c>
      <c r="W139" s="82" t="s">
        <v>1489</v>
      </c>
      <c r="X139" s="82" t="s">
        <v>2045</v>
      </c>
      <c r="Y139" s="82" t="s">
        <v>113</v>
      </c>
      <c r="Z139" s="82" t="s">
        <v>114</v>
      </c>
      <c r="AA139" s="82" t="s">
        <v>1498</v>
      </c>
      <c r="AB139" s="61">
        <v>1</v>
      </c>
      <c r="AC139" s="61">
        <v>0</v>
      </c>
      <c r="AD139" s="61">
        <v>0</v>
      </c>
      <c r="AE139" s="61">
        <v>0</v>
      </c>
      <c r="AF139" s="69">
        <f>IF(W139="SOPORTE_TELEFÓNICO",'BASE LIQUIDACION'!$B$10,IF(Y139="TIPO I",'BASE LIQUIDACION'!$C$3,IF(Y139="TIPO II",'BASE LIQUIDACION'!$C$4,IF(Y139="TIPO III",'BASE LIQUIDACION'!$C$5,'BASE LIQUIDACION'!$C$7))))</f>
        <v>65960.473639999997</v>
      </c>
      <c r="AG139" s="96">
        <f>IF(W139="SOPORTE_TELEFÓNICO",'BASE LIQUIDACION'!$B$10,(AB139*AF139+AC139*'BASE LIQUIDACION'!$B$12+AD139*'BASE LIQUIDACION'!$B$11+INCIDENTES!AE139*'BASE LIQUIDACION'!$B$13))</f>
        <v>65960.473639999997</v>
      </c>
    </row>
    <row r="140" spans="1:33" s="4" customFormat="1">
      <c r="A140" s="109" t="s">
        <v>100</v>
      </c>
      <c r="B140" s="56" t="str">
        <f>VLOOKUP(A140,'CENTRO DE COSTOS'!A:D,4,FALSE)</f>
        <v>JUAN SEBASTIÁN RÍOS CASTRILLÓN</v>
      </c>
      <c r="C140" s="56" t="str">
        <f>VLOOKUP(A140,'CENTRO DE COSTOS'!A:D,2,FALSE)</f>
        <v>0004-0005</v>
      </c>
      <c r="D140" s="109">
        <v>5088</v>
      </c>
      <c r="E140" s="109">
        <v>2634539</v>
      </c>
      <c r="F140" s="109">
        <v>80316</v>
      </c>
      <c r="G140" s="109" t="s">
        <v>1996</v>
      </c>
      <c r="H140" s="109" t="s">
        <v>104</v>
      </c>
      <c r="I140" s="109" t="s">
        <v>211</v>
      </c>
      <c r="J140" s="109" t="s">
        <v>2046</v>
      </c>
      <c r="K140" s="109" t="s">
        <v>106</v>
      </c>
      <c r="L140" s="82" t="s">
        <v>2047</v>
      </c>
      <c r="M140" s="97">
        <v>45892.489583333336</v>
      </c>
      <c r="N140" s="97">
        <v>45893.456250000003</v>
      </c>
      <c r="O140" s="82" t="s">
        <v>1482</v>
      </c>
      <c r="P140" s="82" t="s">
        <v>1483</v>
      </c>
      <c r="Q140" s="82" t="s">
        <v>1494</v>
      </c>
      <c r="R140" s="82" t="s">
        <v>1519</v>
      </c>
      <c r="S140" s="82" t="s">
        <v>1486</v>
      </c>
      <c r="T140" s="82" t="s">
        <v>1486</v>
      </c>
      <c r="U140" s="82" t="s">
        <v>1487</v>
      </c>
      <c r="V140" s="82" t="s">
        <v>2048</v>
      </c>
      <c r="W140" s="82" t="s">
        <v>1489</v>
      </c>
      <c r="X140" s="82" t="s">
        <v>2049</v>
      </c>
      <c r="Y140" s="82" t="s">
        <v>113</v>
      </c>
      <c r="Z140" s="82" t="s">
        <v>114</v>
      </c>
      <c r="AA140" s="82" t="s">
        <v>1505</v>
      </c>
      <c r="AB140" s="61">
        <v>1</v>
      </c>
      <c r="AC140" s="61">
        <v>0</v>
      </c>
      <c r="AD140" s="61">
        <v>0</v>
      </c>
      <c r="AE140" s="61">
        <v>0</v>
      </c>
      <c r="AF140" s="69">
        <f>IF(W140="SOPORTE_TELEFÓNICO",'BASE LIQUIDACION'!$B$10,IF(Y140="TIPO I",'BASE LIQUIDACION'!$C$3,IF(Y140="TIPO II",'BASE LIQUIDACION'!$C$4,IF(Y140="TIPO III",'BASE LIQUIDACION'!$C$5,'BASE LIQUIDACION'!$C$7))))</f>
        <v>65960.473639999997</v>
      </c>
      <c r="AG140" s="96">
        <f>IF(W140="SOPORTE_TELEFÓNICO",'BASE LIQUIDACION'!$B$10,(AB140*AF140+AC140*'BASE LIQUIDACION'!$B$12+AD140*'BASE LIQUIDACION'!$B$11+INCIDENTES!AE140*'BASE LIQUIDACION'!$B$13))</f>
        <v>65960.473639999997</v>
      </c>
    </row>
    <row r="141" spans="1:33" s="4" customFormat="1">
      <c r="A141" s="109" t="s">
        <v>365</v>
      </c>
      <c r="B141" s="56" t="str">
        <f>VLOOKUP(A141,'CENTRO DE COSTOS'!A:D,4,FALSE)</f>
        <v>KEVIN ALEXIS CORZO BUSTOS</v>
      </c>
      <c r="C141" s="56" t="str">
        <f>VLOOKUP(A141,'CENTRO DE COSTOS'!A:D,2,FALSE)</f>
        <v>0004-0007</v>
      </c>
      <c r="D141" s="109">
        <v>18753</v>
      </c>
      <c r="E141" s="109">
        <v>2625814</v>
      </c>
      <c r="F141" s="109">
        <v>44541</v>
      </c>
      <c r="G141" s="109" t="s">
        <v>1996</v>
      </c>
      <c r="H141" s="109" t="s">
        <v>367</v>
      </c>
      <c r="I141" s="109" t="s">
        <v>814</v>
      </c>
      <c r="J141" s="109" t="s">
        <v>2050</v>
      </c>
      <c r="K141" s="109" t="s">
        <v>106</v>
      </c>
      <c r="L141" s="82" t="s">
        <v>2051</v>
      </c>
      <c r="M141" s="97">
        <v>45890.509027777778</v>
      </c>
      <c r="N141" s="97">
        <v>45894.394444444442</v>
      </c>
      <c r="O141" s="82" t="s">
        <v>1482</v>
      </c>
      <c r="P141" s="82" t="s">
        <v>1483</v>
      </c>
      <c r="Q141" s="82" t="s">
        <v>1551</v>
      </c>
      <c r="R141" s="82" t="s">
        <v>1949</v>
      </c>
      <c r="S141" s="82" t="s">
        <v>317</v>
      </c>
      <c r="T141" s="82" t="s">
        <v>317</v>
      </c>
      <c r="U141" s="82" t="s">
        <v>1487</v>
      </c>
      <c r="V141" s="82" t="s">
        <v>2052</v>
      </c>
      <c r="W141" s="82" t="s">
        <v>1489</v>
      </c>
      <c r="X141" s="82" t="s">
        <v>2053</v>
      </c>
      <c r="Y141" s="82" t="s">
        <v>462</v>
      </c>
      <c r="Z141" s="82" t="s">
        <v>815</v>
      </c>
      <c r="AA141" s="82" t="s">
        <v>374</v>
      </c>
      <c r="AB141" s="61">
        <v>1</v>
      </c>
      <c r="AC141" s="61">
        <v>0</v>
      </c>
      <c r="AD141" s="61">
        <v>0</v>
      </c>
      <c r="AE141" s="61">
        <v>0</v>
      </c>
      <c r="AF141" s="69">
        <f>IF(W141="SOPORTE_TELEFÓNICO",'BASE LIQUIDACION'!$B$10,IF(Y141="TIPO I",'BASE LIQUIDACION'!$C$3,IF(Y141="TIPO II",'BASE LIQUIDACION'!$C$4,IF(Y141="TIPO III",'BASE LIQUIDACION'!$C$5,'BASE LIQUIDACION'!$C$7))))</f>
        <v>479589.73656000005</v>
      </c>
      <c r="AG141" s="96">
        <f>IF(W141="SOPORTE_TELEFÓNICO",'BASE LIQUIDACION'!$B$10,(AB141*AF141+AC141*'BASE LIQUIDACION'!$B$12+AD141*'BASE LIQUIDACION'!$B$11+INCIDENTES!AE141*'BASE LIQUIDACION'!$B$13))</f>
        <v>479589.73656000005</v>
      </c>
    </row>
    <row r="142" spans="1:33" s="4" customFormat="1">
      <c r="A142" s="109" t="s">
        <v>124</v>
      </c>
      <c r="B142" s="56" t="str">
        <f>VLOOKUP(A142,'CENTRO DE COSTOS'!A:D,4,FALSE)</f>
        <v>DIEGO FERNANDO HENAO CARDONA</v>
      </c>
      <c r="C142" s="56" t="str">
        <f>VLOOKUP(A142,'CENTRO DE COSTOS'!A:D,2,FALSE)</f>
        <v>0004-0002</v>
      </c>
      <c r="D142" s="109">
        <v>63001</v>
      </c>
      <c r="E142" s="109">
        <v>2634461</v>
      </c>
      <c r="F142" s="109">
        <v>31072</v>
      </c>
      <c r="G142" s="109" t="s">
        <v>1996</v>
      </c>
      <c r="H142" s="109" t="s">
        <v>1262</v>
      </c>
      <c r="I142" s="109" t="s">
        <v>474</v>
      </c>
      <c r="J142" s="109" t="s">
        <v>2054</v>
      </c>
      <c r="K142" s="109" t="s">
        <v>106</v>
      </c>
      <c r="L142" s="82" t="s">
        <v>2055</v>
      </c>
      <c r="M142" s="97">
        <v>45892.466666666667</v>
      </c>
      <c r="N142" s="97">
        <v>45894.402777777781</v>
      </c>
      <c r="O142" s="82" t="s">
        <v>1482</v>
      </c>
      <c r="P142" s="82" t="s">
        <v>1483</v>
      </c>
      <c r="Q142" s="82" t="s">
        <v>1494</v>
      </c>
      <c r="R142" s="82" t="s">
        <v>1519</v>
      </c>
      <c r="S142" s="82" t="s">
        <v>1486</v>
      </c>
      <c r="T142" s="82" t="s">
        <v>1486</v>
      </c>
      <c r="U142" s="82" t="s">
        <v>1487</v>
      </c>
      <c r="V142" s="82" t="s">
        <v>2056</v>
      </c>
      <c r="W142" s="82" t="s">
        <v>1489</v>
      </c>
      <c r="X142" s="82" t="s">
        <v>2057</v>
      </c>
      <c r="Y142" s="82" t="s">
        <v>148</v>
      </c>
      <c r="Z142" s="82" t="s">
        <v>114</v>
      </c>
      <c r="AA142" s="82" t="s">
        <v>1676</v>
      </c>
      <c r="AB142" s="61">
        <v>1</v>
      </c>
      <c r="AC142" s="61">
        <v>0</v>
      </c>
      <c r="AD142" s="61">
        <v>0</v>
      </c>
      <c r="AE142" s="61">
        <v>0</v>
      </c>
      <c r="AF142" s="69">
        <f>IF(W142="SOPORTE_TELEFÓNICO",'BASE LIQUIDACION'!$B$10,IF(Y142="TIPO I",'BASE LIQUIDACION'!$C$3,IF(Y142="TIPO II",'BASE LIQUIDACION'!$C$4,IF(Y142="TIPO III",'BASE LIQUIDACION'!$C$5,'BASE LIQUIDACION'!$C$7))))</f>
        <v>163813.55812</v>
      </c>
      <c r="AG142" s="96">
        <f>IF(W142="SOPORTE_TELEFÓNICO",'BASE LIQUIDACION'!$B$10,(AB142*AF142+AC142*'BASE LIQUIDACION'!$B$12+AD142*'BASE LIQUIDACION'!$B$11+INCIDENTES!AE142*'BASE LIQUIDACION'!$B$13))</f>
        <v>163813.55812</v>
      </c>
    </row>
    <row r="143" spans="1:33" s="4" customFormat="1">
      <c r="A143" s="109" t="s">
        <v>365</v>
      </c>
      <c r="B143" s="56" t="str">
        <f>VLOOKUP(A143,'CENTRO DE COSTOS'!A:D,4,FALSE)</f>
        <v>KEVIN ALEXIS CORZO BUSTOS</v>
      </c>
      <c r="C143" s="56" t="str">
        <f>VLOOKUP(A143,'CENTRO DE COSTOS'!A:D,2,FALSE)</f>
        <v>0004-0007</v>
      </c>
      <c r="D143" s="109">
        <v>18753</v>
      </c>
      <c r="E143" s="109">
        <v>2634932</v>
      </c>
      <c r="F143" s="109">
        <v>80402</v>
      </c>
      <c r="G143" s="109" t="s">
        <v>1996</v>
      </c>
      <c r="H143" s="109" t="s">
        <v>367</v>
      </c>
      <c r="I143" s="109" t="s">
        <v>814</v>
      </c>
      <c r="J143" s="109" t="s">
        <v>2058</v>
      </c>
      <c r="K143" s="109" t="s">
        <v>106</v>
      </c>
      <c r="L143" s="82" t="s">
        <v>2059</v>
      </c>
      <c r="M143" s="97">
        <v>45892.745138888888</v>
      </c>
      <c r="N143" s="97">
        <v>45894.451388888891</v>
      </c>
      <c r="O143" s="82" t="s">
        <v>1482</v>
      </c>
      <c r="P143" s="82" t="s">
        <v>1483</v>
      </c>
      <c r="Q143" s="82" t="s">
        <v>1551</v>
      </c>
      <c r="R143" s="82" t="s">
        <v>1949</v>
      </c>
      <c r="S143" s="82" t="s">
        <v>1486</v>
      </c>
      <c r="T143" s="82" t="s">
        <v>1486</v>
      </c>
      <c r="U143" s="82" t="s">
        <v>1487</v>
      </c>
      <c r="V143" s="82" t="s">
        <v>2060</v>
      </c>
      <c r="W143" s="82" t="s">
        <v>1489</v>
      </c>
      <c r="X143" s="82" t="s">
        <v>2061</v>
      </c>
      <c r="Y143" s="82" t="s">
        <v>462</v>
      </c>
      <c r="Z143" s="82" t="s">
        <v>815</v>
      </c>
      <c r="AA143" s="82" t="s">
        <v>374</v>
      </c>
      <c r="AB143" s="61">
        <v>1</v>
      </c>
      <c r="AC143" s="61">
        <v>0</v>
      </c>
      <c r="AD143" s="61">
        <v>0</v>
      </c>
      <c r="AE143" s="61">
        <v>0</v>
      </c>
      <c r="AF143" s="69">
        <f>IF(W143="SOPORTE_TELEFÓNICO",'BASE LIQUIDACION'!$B$10,IF(Y143="TIPO I",'BASE LIQUIDACION'!$C$3,IF(Y143="TIPO II",'BASE LIQUIDACION'!$C$4,IF(Y143="TIPO III",'BASE LIQUIDACION'!$C$5,'BASE LIQUIDACION'!$C$7))))</f>
        <v>479589.73656000005</v>
      </c>
      <c r="AG143" s="96">
        <f>IF(W143="SOPORTE_TELEFÓNICO",'BASE LIQUIDACION'!$B$10,(AB143*AF143+AC143*'BASE LIQUIDACION'!$B$12+AD143*'BASE LIQUIDACION'!$B$11+INCIDENTES!AE143*'BASE LIQUIDACION'!$B$13))</f>
        <v>479589.73656000005</v>
      </c>
    </row>
    <row r="144" spans="1:33" s="4" customFormat="1">
      <c r="A144" s="109" t="s">
        <v>124</v>
      </c>
      <c r="B144" s="56" t="str">
        <f>VLOOKUP(A144,'CENTRO DE COSTOS'!A:D,4,FALSE)</f>
        <v>DIEGO FERNANDO HENAO CARDONA</v>
      </c>
      <c r="C144" s="56" t="str">
        <f>VLOOKUP(A144,'CENTRO DE COSTOS'!A:D,2,FALSE)</f>
        <v>0004-0002</v>
      </c>
      <c r="D144" s="109">
        <v>63594</v>
      </c>
      <c r="E144" s="109">
        <v>2634771</v>
      </c>
      <c r="F144" s="109">
        <v>72065</v>
      </c>
      <c r="G144" s="109" t="s">
        <v>1996</v>
      </c>
      <c r="H144" s="109" t="s">
        <v>1262</v>
      </c>
      <c r="I144" s="109" t="s">
        <v>1270</v>
      </c>
      <c r="J144" s="109" t="s">
        <v>2062</v>
      </c>
      <c r="K144" s="109" t="s">
        <v>106</v>
      </c>
      <c r="L144" s="82" t="s">
        <v>2063</v>
      </c>
      <c r="M144" s="97">
        <v>45892.744444444441</v>
      </c>
      <c r="N144" s="97">
        <v>45894.46597222222</v>
      </c>
      <c r="O144" s="82" t="s">
        <v>1482</v>
      </c>
      <c r="P144" s="82" t="s">
        <v>1483</v>
      </c>
      <c r="Q144" s="82" t="s">
        <v>1494</v>
      </c>
      <c r="R144" s="82" t="s">
        <v>1519</v>
      </c>
      <c r="S144" s="82" t="s">
        <v>317</v>
      </c>
      <c r="T144" s="82" t="s">
        <v>317</v>
      </c>
      <c r="U144" s="82" t="s">
        <v>1487</v>
      </c>
      <c r="V144" s="82" t="s">
        <v>2064</v>
      </c>
      <c r="W144" s="82" t="s">
        <v>1489</v>
      </c>
      <c r="X144" s="82" t="s">
        <v>2065</v>
      </c>
      <c r="Y144" s="82" t="s">
        <v>148</v>
      </c>
      <c r="Z144" s="82" t="s">
        <v>114</v>
      </c>
      <c r="AA144" s="82" t="s">
        <v>1676</v>
      </c>
      <c r="AB144" s="61">
        <v>1</v>
      </c>
      <c r="AC144" s="61">
        <v>0</v>
      </c>
      <c r="AD144" s="61">
        <v>0</v>
      </c>
      <c r="AE144" s="61">
        <v>0</v>
      </c>
      <c r="AF144" s="69">
        <f>IF(W144="SOPORTE_TELEFÓNICO",'BASE LIQUIDACION'!$B$10,IF(Y144="TIPO I",'BASE LIQUIDACION'!$C$3,IF(Y144="TIPO II",'BASE LIQUIDACION'!$C$4,IF(Y144="TIPO III",'BASE LIQUIDACION'!$C$5,'BASE LIQUIDACION'!$C$7))))</f>
        <v>163813.55812</v>
      </c>
      <c r="AG144" s="96">
        <f>IF(W144="SOPORTE_TELEFÓNICO",'BASE LIQUIDACION'!$B$10,(AB144*AF144+AC144*'BASE LIQUIDACION'!$B$12+AD144*'BASE LIQUIDACION'!$B$11+INCIDENTES!AE144*'BASE LIQUIDACION'!$B$13))</f>
        <v>163813.55812</v>
      </c>
    </row>
    <row r="145" spans="1:33" s="4" customFormat="1">
      <c r="A145" s="109" t="s">
        <v>365</v>
      </c>
      <c r="B145" s="56" t="str">
        <f>VLOOKUP(A145,'CENTRO DE COSTOS'!A:D,4,FALSE)</f>
        <v>KEVIN ALEXIS CORZO BUSTOS</v>
      </c>
      <c r="C145" s="56" t="str">
        <f>VLOOKUP(A145,'CENTRO DE COSTOS'!A:D,2,FALSE)</f>
        <v>0004-0007</v>
      </c>
      <c r="D145" s="109">
        <v>41001</v>
      </c>
      <c r="E145" s="109">
        <v>2637820</v>
      </c>
      <c r="F145" s="109">
        <v>67804</v>
      </c>
      <c r="G145" s="109" t="s">
        <v>1996</v>
      </c>
      <c r="H145" s="109" t="s">
        <v>1070</v>
      </c>
      <c r="I145" s="109" t="s">
        <v>365</v>
      </c>
      <c r="J145" s="109" t="s">
        <v>2066</v>
      </c>
      <c r="K145" s="109" t="s">
        <v>106</v>
      </c>
      <c r="L145" s="82" t="s">
        <v>2067</v>
      </c>
      <c r="M145" s="97">
        <v>45894.413194444445</v>
      </c>
      <c r="N145" s="97">
        <v>45894.541666666664</v>
      </c>
      <c r="O145" s="82" t="s">
        <v>1482</v>
      </c>
      <c r="P145" s="82" t="s">
        <v>1483</v>
      </c>
      <c r="Q145" s="82" t="s">
        <v>1797</v>
      </c>
      <c r="R145" s="82" t="s">
        <v>1519</v>
      </c>
      <c r="S145" s="82" t="s">
        <v>1486</v>
      </c>
      <c r="T145" s="82" t="s">
        <v>1486</v>
      </c>
      <c r="U145" s="82" t="s">
        <v>1487</v>
      </c>
      <c r="V145" s="82" t="s">
        <v>2068</v>
      </c>
      <c r="W145" s="82" t="s">
        <v>1489</v>
      </c>
      <c r="X145" s="82" t="s">
        <v>2069</v>
      </c>
      <c r="Y145" s="82" t="s">
        <v>113</v>
      </c>
      <c r="Z145" s="82" t="s">
        <v>114</v>
      </c>
      <c r="AA145" s="82" t="s">
        <v>1625</v>
      </c>
      <c r="AB145" s="61">
        <v>1</v>
      </c>
      <c r="AC145" s="61">
        <v>0</v>
      </c>
      <c r="AD145" s="61">
        <v>0</v>
      </c>
      <c r="AE145" s="61">
        <v>0</v>
      </c>
      <c r="AF145" s="69">
        <f>IF(W145="SOPORTE_TELEFÓNICO",'BASE LIQUIDACION'!$B$10,IF(Y145="TIPO I",'BASE LIQUIDACION'!$C$3,IF(Y145="TIPO II",'BASE LIQUIDACION'!$C$4,IF(Y145="TIPO III",'BASE LIQUIDACION'!$C$5,'BASE LIQUIDACION'!$C$7))))</f>
        <v>65960.473639999997</v>
      </c>
      <c r="AG145" s="96">
        <f>IF(W145="SOPORTE_TELEFÓNICO",'BASE LIQUIDACION'!$B$10,(AB145*AF145+AC145*'BASE LIQUIDACION'!$B$12+AD145*'BASE LIQUIDACION'!$B$11+INCIDENTES!AE145*'BASE LIQUIDACION'!$B$13))</f>
        <v>65960.473639999997</v>
      </c>
    </row>
    <row r="146" spans="1:33" s="4" customFormat="1">
      <c r="A146" s="109" t="s">
        <v>100</v>
      </c>
      <c r="B146" s="56" t="str">
        <f>VLOOKUP(A146,'CENTRO DE COSTOS'!A:D,4,FALSE)</f>
        <v>JUAN SEBASTIÁN RÍOS CASTRILLÓN</v>
      </c>
      <c r="C146" s="56" t="str">
        <f>VLOOKUP(A146,'CENTRO DE COSTOS'!A:D,2,FALSE)</f>
        <v>0004-0005</v>
      </c>
      <c r="D146" s="109">
        <v>5001</v>
      </c>
      <c r="E146" s="109">
        <v>2639537</v>
      </c>
      <c r="F146" s="109">
        <v>51118</v>
      </c>
      <c r="G146" s="109" t="s">
        <v>1996</v>
      </c>
      <c r="H146" s="109" t="s">
        <v>104</v>
      </c>
      <c r="I146" s="109" t="s">
        <v>100</v>
      </c>
      <c r="J146" s="109" t="s">
        <v>2070</v>
      </c>
      <c r="K146" s="109" t="s">
        <v>106</v>
      </c>
      <c r="L146" s="82" t="s">
        <v>2071</v>
      </c>
      <c r="M146" s="97">
        <v>45894.508333333331</v>
      </c>
      <c r="N146" s="97">
        <v>45894.629861111112</v>
      </c>
      <c r="O146" s="82" t="s">
        <v>1482</v>
      </c>
      <c r="P146" s="82" t="s">
        <v>1483</v>
      </c>
      <c r="Q146" s="82" t="s">
        <v>1484</v>
      </c>
      <c r="R146" s="82" t="s">
        <v>1485</v>
      </c>
      <c r="S146" s="82" t="s">
        <v>317</v>
      </c>
      <c r="T146" s="82" t="s">
        <v>317</v>
      </c>
      <c r="U146" s="82" t="s">
        <v>1487</v>
      </c>
      <c r="V146" s="82" t="s">
        <v>2072</v>
      </c>
      <c r="W146" s="82" t="s">
        <v>1489</v>
      </c>
      <c r="X146" s="82" t="s">
        <v>2073</v>
      </c>
      <c r="Y146" s="82" t="s">
        <v>113</v>
      </c>
      <c r="Z146" s="82" t="s">
        <v>114</v>
      </c>
      <c r="AA146" s="82" t="s">
        <v>420</v>
      </c>
      <c r="AB146" s="61">
        <v>1</v>
      </c>
      <c r="AC146" s="61">
        <v>0</v>
      </c>
      <c r="AD146" s="61">
        <v>0</v>
      </c>
      <c r="AE146" s="61">
        <v>0</v>
      </c>
      <c r="AF146" s="69">
        <f>IF(W146="SOPORTE_TELEFÓNICO",'BASE LIQUIDACION'!$B$10,IF(Y146="TIPO I",'BASE LIQUIDACION'!$C$3,IF(Y146="TIPO II",'BASE LIQUIDACION'!$C$4,IF(Y146="TIPO III",'BASE LIQUIDACION'!$C$5,'BASE LIQUIDACION'!$C$7))))</f>
        <v>65960.473639999997</v>
      </c>
      <c r="AG146" s="96">
        <f>IF(W146="SOPORTE_TELEFÓNICO",'BASE LIQUIDACION'!$B$10,(AB146*AF146+AC146*'BASE LIQUIDACION'!$B$12+AD146*'BASE LIQUIDACION'!$B$11+INCIDENTES!AE146*'BASE LIQUIDACION'!$B$13))</f>
        <v>65960.473639999997</v>
      </c>
    </row>
    <row r="147" spans="1:33" s="4" customFormat="1">
      <c r="A147" s="109" t="s">
        <v>116</v>
      </c>
      <c r="B147" s="56" t="str">
        <f>VLOOKUP(A147,'CENTRO DE COSTOS'!A:D,4,FALSE)</f>
        <v>WILLIAM ASDRUBAL ROZO ROZO</v>
      </c>
      <c r="C147" s="56" t="str">
        <f>VLOOKUP(A147,'CENTRO DE COSTOS'!A:D,2,FALSE)</f>
        <v>0004-0004</v>
      </c>
      <c r="D147" s="109">
        <v>25754</v>
      </c>
      <c r="E147" s="109">
        <v>2638173</v>
      </c>
      <c r="F147" s="109">
        <v>31875</v>
      </c>
      <c r="G147" s="109" t="s">
        <v>1996</v>
      </c>
      <c r="H147" s="109" t="s">
        <v>118</v>
      </c>
      <c r="I147" s="109" t="s">
        <v>1029</v>
      </c>
      <c r="J147" s="109" t="s">
        <v>2074</v>
      </c>
      <c r="K147" s="109" t="s">
        <v>106</v>
      </c>
      <c r="L147" s="82" t="s">
        <v>2075</v>
      </c>
      <c r="M147" s="97">
        <v>45894.436805555553</v>
      </c>
      <c r="N147" s="97">
        <v>45894.780555555553</v>
      </c>
      <c r="O147" s="82" t="s">
        <v>1482</v>
      </c>
      <c r="P147" s="82" t="s">
        <v>1483</v>
      </c>
      <c r="Q147" s="82" t="s">
        <v>1581</v>
      </c>
      <c r="R147" s="82" t="s">
        <v>1582</v>
      </c>
      <c r="S147" s="82" t="s">
        <v>1486</v>
      </c>
      <c r="T147" s="82" t="s">
        <v>1486</v>
      </c>
      <c r="U147" s="82" t="s">
        <v>1487</v>
      </c>
      <c r="V147" s="82" t="s">
        <v>2076</v>
      </c>
      <c r="W147" s="82" t="s">
        <v>1489</v>
      </c>
      <c r="X147" s="82" t="s">
        <v>2077</v>
      </c>
      <c r="Y147" s="82" t="s">
        <v>113</v>
      </c>
      <c r="Z147" s="82" t="s">
        <v>114</v>
      </c>
      <c r="AA147" s="82" t="s">
        <v>2078</v>
      </c>
      <c r="AB147" s="61">
        <v>1</v>
      </c>
      <c r="AC147" s="61">
        <v>0</v>
      </c>
      <c r="AD147" s="61">
        <v>0</v>
      </c>
      <c r="AE147" s="61">
        <v>0</v>
      </c>
      <c r="AF147" s="69">
        <f>IF(W147="SOPORTE_TELEFÓNICO",'BASE LIQUIDACION'!$B$10,IF(Y147="TIPO I",'BASE LIQUIDACION'!$C$3,IF(Y147="TIPO II",'BASE LIQUIDACION'!$C$4,IF(Y147="TIPO III",'BASE LIQUIDACION'!$C$5,'BASE LIQUIDACION'!$C$7))))</f>
        <v>65960.473639999997</v>
      </c>
      <c r="AG147" s="96">
        <f>IF(W147="SOPORTE_TELEFÓNICO",'BASE LIQUIDACION'!$B$10,(AB147*AF147+AC147*'BASE LIQUIDACION'!$B$12+AD147*'BASE LIQUIDACION'!$B$11+INCIDENTES!AE147*'BASE LIQUIDACION'!$B$13))</f>
        <v>65960.473639999997</v>
      </c>
    </row>
    <row r="148" spans="1:33" s="4" customFormat="1">
      <c r="A148" s="109" t="s">
        <v>180</v>
      </c>
      <c r="B148" s="56" t="str">
        <f>VLOOKUP(A148,'CENTRO DE COSTOS'!A:D,4,FALSE)</f>
        <v>KEVIN ALEXIS CORZO BUSTOS</v>
      </c>
      <c r="C148" s="56" t="str">
        <f>VLOOKUP(A148,'CENTRO DE COSTOS'!A:D,2,FALSE)</f>
        <v>0004-0007</v>
      </c>
      <c r="D148" s="109">
        <v>85001</v>
      </c>
      <c r="E148" s="109">
        <v>2641562</v>
      </c>
      <c r="F148" s="109">
        <v>78446</v>
      </c>
      <c r="G148" s="109" t="s">
        <v>1996</v>
      </c>
      <c r="H148" s="109" t="s">
        <v>182</v>
      </c>
      <c r="I148" s="109" t="s">
        <v>180</v>
      </c>
      <c r="J148" s="109" t="s">
        <v>2079</v>
      </c>
      <c r="K148" s="109" t="s">
        <v>106</v>
      </c>
      <c r="L148" s="82" t="s">
        <v>2080</v>
      </c>
      <c r="M148" s="97">
        <v>45894.675694444442</v>
      </c>
      <c r="N148" s="97">
        <v>45894.793055555558</v>
      </c>
      <c r="O148" s="82" t="s">
        <v>1482</v>
      </c>
      <c r="P148" s="82" t="s">
        <v>1483</v>
      </c>
      <c r="Q148" s="82" t="s">
        <v>1494</v>
      </c>
      <c r="R148" s="82" t="s">
        <v>1519</v>
      </c>
      <c r="S148" s="82" t="s">
        <v>1486</v>
      </c>
      <c r="T148" s="82" t="s">
        <v>1486</v>
      </c>
      <c r="U148" s="82" t="s">
        <v>1487</v>
      </c>
      <c r="V148" s="82" t="s">
        <v>2081</v>
      </c>
      <c r="W148" s="82" t="s">
        <v>1526</v>
      </c>
      <c r="X148" s="82">
        <v>0</v>
      </c>
      <c r="Y148" s="82" t="s">
        <v>113</v>
      </c>
      <c r="Z148" s="82" t="s">
        <v>114</v>
      </c>
      <c r="AA148" s="82" t="s">
        <v>188</v>
      </c>
      <c r="AB148" s="61">
        <v>0</v>
      </c>
      <c r="AC148" s="61">
        <v>0</v>
      </c>
      <c r="AD148" s="61">
        <v>0</v>
      </c>
      <c r="AE148" s="61">
        <v>0</v>
      </c>
      <c r="AF148" s="69">
        <f>IF(W148="SOPORTE_TELEFÓNICO",'BASE LIQUIDACION'!$B$10,IF(Y148="TIPO I",'BASE LIQUIDACION'!$C$3,IF(Y148="TIPO II",'BASE LIQUIDACION'!$C$4,IF(Y148="TIPO III",'BASE LIQUIDACION'!$C$5,'BASE LIQUIDACION'!$C$7))))</f>
        <v>37904.65408</v>
      </c>
      <c r="AG148" s="96">
        <f>IF(W148="SOPORTE_TELEFÓNICO",'BASE LIQUIDACION'!$B$10,(AB148*AF148+AC148*'BASE LIQUIDACION'!$B$12+AD148*'BASE LIQUIDACION'!$B$11+INCIDENTES!AE148*'BASE LIQUIDACION'!$B$13))</f>
        <v>37904.65408</v>
      </c>
    </row>
    <row r="149" spans="1:33" s="4" customFormat="1">
      <c r="A149" s="109" t="s">
        <v>100</v>
      </c>
      <c r="B149" s="56" t="str">
        <f>VLOOKUP(A149,'CENTRO DE COSTOS'!A:D,4,FALSE)</f>
        <v>JUAN SEBASTIÁN RÍOS CASTRILLÓN</v>
      </c>
      <c r="C149" s="56" t="str">
        <f>VLOOKUP(A149,'CENTRO DE COSTOS'!A:D,2,FALSE)</f>
        <v>0004-0005</v>
      </c>
      <c r="D149" s="109">
        <v>5440</v>
      </c>
      <c r="E149" s="109">
        <v>2637266</v>
      </c>
      <c r="F149" s="109">
        <v>28856</v>
      </c>
      <c r="G149" s="109" t="s">
        <v>1996</v>
      </c>
      <c r="H149" s="109" t="s">
        <v>104</v>
      </c>
      <c r="I149" s="109" t="s">
        <v>545</v>
      </c>
      <c r="J149" s="109" t="s">
        <v>2082</v>
      </c>
      <c r="K149" s="109" t="s">
        <v>106</v>
      </c>
      <c r="L149" s="82" t="s">
        <v>2083</v>
      </c>
      <c r="M149" s="97">
        <v>45894.390972222223</v>
      </c>
      <c r="N149" s="97">
        <v>45895.34652777778</v>
      </c>
      <c r="O149" s="82" t="s">
        <v>1482</v>
      </c>
      <c r="P149" s="82" t="s">
        <v>1483</v>
      </c>
      <c r="Q149" s="82" t="s">
        <v>1484</v>
      </c>
      <c r="R149" s="82" t="s">
        <v>1485</v>
      </c>
      <c r="S149" s="82" t="s">
        <v>1486</v>
      </c>
      <c r="T149" s="82" t="s">
        <v>1486</v>
      </c>
      <c r="U149" s="82" t="s">
        <v>1487</v>
      </c>
      <c r="V149" s="82" t="s">
        <v>2084</v>
      </c>
      <c r="W149" s="82" t="s">
        <v>1526</v>
      </c>
      <c r="X149" s="82" t="s">
        <v>2085</v>
      </c>
      <c r="Y149" s="82" t="s">
        <v>148</v>
      </c>
      <c r="Z149" s="82" t="s">
        <v>114</v>
      </c>
      <c r="AA149" s="82" t="s">
        <v>1722</v>
      </c>
      <c r="AB149" s="61">
        <v>0</v>
      </c>
      <c r="AC149" s="61">
        <v>0</v>
      </c>
      <c r="AD149" s="61">
        <v>0</v>
      </c>
      <c r="AE149" s="61">
        <v>0</v>
      </c>
      <c r="AF149" s="69">
        <f>IF(W149="SOPORTE_TELEFÓNICO",'BASE LIQUIDACION'!$B$10,IF(Y149="TIPO I",'BASE LIQUIDACION'!$C$3,IF(Y149="TIPO II",'BASE LIQUIDACION'!$C$4,IF(Y149="TIPO III",'BASE LIQUIDACION'!$C$5,'BASE LIQUIDACION'!$C$7))))</f>
        <v>37904.65408</v>
      </c>
      <c r="AG149" s="96">
        <f>IF(W149="SOPORTE_TELEFÓNICO",'BASE LIQUIDACION'!$B$10,(AB149*AF149+AC149*'BASE LIQUIDACION'!$B$12+AD149*'BASE LIQUIDACION'!$B$11+INCIDENTES!AE149*'BASE LIQUIDACION'!$B$13))</f>
        <v>37904.65408</v>
      </c>
    </row>
    <row r="150" spans="1:33" s="4" customFormat="1">
      <c r="A150" s="109" t="s">
        <v>100</v>
      </c>
      <c r="B150" s="56" t="str">
        <f>VLOOKUP(A150,'CENTRO DE COSTOS'!A:D,4,FALSE)</f>
        <v>JUAN SEBASTIÁN RÍOS CASTRILLÓN</v>
      </c>
      <c r="C150" s="56" t="str">
        <f>VLOOKUP(A150,'CENTRO DE COSTOS'!A:D,2,FALSE)</f>
        <v>0004-0005</v>
      </c>
      <c r="D150" s="109">
        <v>5001</v>
      </c>
      <c r="E150" s="109">
        <v>2639550</v>
      </c>
      <c r="F150" s="109">
        <v>27048</v>
      </c>
      <c r="G150" s="109" t="s">
        <v>1996</v>
      </c>
      <c r="H150" s="109" t="s">
        <v>104</v>
      </c>
      <c r="I150" s="109" t="s">
        <v>100</v>
      </c>
      <c r="J150" s="109" t="s">
        <v>2086</v>
      </c>
      <c r="K150" s="109" t="s">
        <v>106</v>
      </c>
      <c r="L150" s="82" t="s">
        <v>2087</v>
      </c>
      <c r="M150" s="97">
        <v>45894.511805555558</v>
      </c>
      <c r="N150" s="97">
        <v>45895.38958333333</v>
      </c>
      <c r="O150" s="82" t="s">
        <v>1482</v>
      </c>
      <c r="P150" s="82" t="s">
        <v>1483</v>
      </c>
      <c r="Q150" s="82" t="s">
        <v>1484</v>
      </c>
      <c r="R150" s="82" t="s">
        <v>1485</v>
      </c>
      <c r="S150" s="82" t="s">
        <v>317</v>
      </c>
      <c r="T150" s="82" t="s">
        <v>317</v>
      </c>
      <c r="U150" s="82" t="s">
        <v>1487</v>
      </c>
      <c r="V150" s="82" t="s">
        <v>2088</v>
      </c>
      <c r="W150" s="82" t="s">
        <v>1489</v>
      </c>
      <c r="X150" s="82" t="s">
        <v>2089</v>
      </c>
      <c r="Y150" s="82" t="s">
        <v>113</v>
      </c>
      <c r="Z150" s="82" t="s">
        <v>114</v>
      </c>
      <c r="AA150" s="82" t="s">
        <v>1505</v>
      </c>
      <c r="AB150" s="61">
        <v>1</v>
      </c>
      <c r="AC150" s="61">
        <v>0</v>
      </c>
      <c r="AD150" s="61">
        <v>0</v>
      </c>
      <c r="AE150" s="61">
        <v>0</v>
      </c>
      <c r="AF150" s="69">
        <f>IF(W150="SOPORTE_TELEFÓNICO",'BASE LIQUIDACION'!$B$10,IF(Y150="TIPO I",'BASE LIQUIDACION'!$C$3,IF(Y150="TIPO II",'BASE LIQUIDACION'!$C$4,IF(Y150="TIPO III",'BASE LIQUIDACION'!$C$5,'BASE LIQUIDACION'!$C$7))))</f>
        <v>65960.473639999997</v>
      </c>
      <c r="AG150" s="96">
        <f>IF(W150="SOPORTE_TELEFÓNICO",'BASE LIQUIDACION'!$B$10,(AB150*AF150+AC150*'BASE LIQUIDACION'!$B$12+AD150*'BASE LIQUIDACION'!$B$11+INCIDENTES!AE150*'BASE LIQUIDACION'!$B$13))</f>
        <v>65960.473639999997</v>
      </c>
    </row>
    <row r="151" spans="1:33" s="4" customFormat="1">
      <c r="A151" s="109" t="s">
        <v>100</v>
      </c>
      <c r="B151" s="56" t="str">
        <f>VLOOKUP(A151,'CENTRO DE COSTOS'!A:D,4,FALSE)</f>
        <v>JUAN SEBASTIÁN RÍOS CASTRILLÓN</v>
      </c>
      <c r="C151" s="56" t="str">
        <f>VLOOKUP(A151,'CENTRO DE COSTOS'!A:D,2,FALSE)</f>
        <v>0004-0005</v>
      </c>
      <c r="D151" s="109">
        <v>5001</v>
      </c>
      <c r="E151" s="109">
        <v>2640273</v>
      </c>
      <c r="F151" s="109">
        <v>23500</v>
      </c>
      <c r="G151" s="109" t="s">
        <v>1996</v>
      </c>
      <c r="H151" s="109" t="s">
        <v>104</v>
      </c>
      <c r="I151" s="109" t="s">
        <v>100</v>
      </c>
      <c r="J151" s="109" t="s">
        <v>2090</v>
      </c>
      <c r="K151" s="109" t="s">
        <v>106</v>
      </c>
      <c r="L151" s="82" t="s">
        <v>2091</v>
      </c>
      <c r="M151" s="97">
        <v>45894.600694444453</v>
      </c>
      <c r="N151" s="97">
        <v>45895.435416666667</v>
      </c>
      <c r="O151" s="82" t="s">
        <v>1482</v>
      </c>
      <c r="P151" s="82" t="s">
        <v>1483</v>
      </c>
      <c r="Q151" s="82" t="s">
        <v>1581</v>
      </c>
      <c r="R151" s="82" t="s">
        <v>1582</v>
      </c>
      <c r="S151" s="82" t="s">
        <v>1583</v>
      </c>
      <c r="T151" s="82" t="s">
        <v>1583</v>
      </c>
      <c r="U151" s="82" t="s">
        <v>1487</v>
      </c>
      <c r="V151" s="82" t="s">
        <v>2092</v>
      </c>
      <c r="W151" s="82" t="s">
        <v>1489</v>
      </c>
      <c r="X151" s="82" t="s">
        <v>2093</v>
      </c>
      <c r="Y151" s="82" t="s">
        <v>113</v>
      </c>
      <c r="Z151" s="82" t="s">
        <v>114</v>
      </c>
      <c r="AA151" s="82" t="s">
        <v>1505</v>
      </c>
      <c r="AB151" s="61">
        <v>1</v>
      </c>
      <c r="AC151" s="61">
        <v>0</v>
      </c>
      <c r="AD151" s="61">
        <v>0</v>
      </c>
      <c r="AE151" s="61">
        <v>0</v>
      </c>
      <c r="AF151" s="69">
        <f>IF(W151="SOPORTE_TELEFÓNICO",'BASE LIQUIDACION'!$B$10,IF(Y151="TIPO I",'BASE LIQUIDACION'!$C$3,IF(Y151="TIPO II",'BASE LIQUIDACION'!$C$4,IF(Y151="TIPO III",'BASE LIQUIDACION'!$C$5,'BASE LIQUIDACION'!$C$7))))</f>
        <v>65960.473639999997</v>
      </c>
      <c r="AG151" s="96">
        <f>IF(W151="SOPORTE_TELEFÓNICO",'BASE LIQUIDACION'!$B$10,(AB151*AF151+AC151*'BASE LIQUIDACION'!$B$12+AD151*'BASE LIQUIDACION'!$B$11+INCIDENTES!AE151*'BASE LIQUIDACION'!$B$13))</f>
        <v>65960.473639999997</v>
      </c>
    </row>
    <row r="152" spans="1:33" s="4" customFormat="1">
      <c r="A152" s="109" t="s">
        <v>303</v>
      </c>
      <c r="B152" s="56" t="str">
        <f>VLOOKUP(A152,'CENTRO DE COSTOS'!A:D,4,FALSE)</f>
        <v>MIGUEL JULIÁN HERNÁNDEZ GUARÍN</v>
      </c>
      <c r="C152" s="56" t="str">
        <f>VLOOKUP(A152,'CENTRO DE COSTOS'!A:D,2,FALSE)</f>
        <v>0004-0008</v>
      </c>
      <c r="D152" s="109">
        <v>54001</v>
      </c>
      <c r="E152" s="109">
        <v>2644104</v>
      </c>
      <c r="F152" s="109">
        <v>34261</v>
      </c>
      <c r="G152" s="109" t="s">
        <v>1996</v>
      </c>
      <c r="H152" s="109" t="s">
        <v>305</v>
      </c>
      <c r="I152" s="109" t="s">
        <v>303</v>
      </c>
      <c r="J152" s="109" t="s">
        <v>2094</v>
      </c>
      <c r="K152" s="109" t="s">
        <v>106</v>
      </c>
      <c r="L152" s="82" t="s">
        <v>2095</v>
      </c>
      <c r="M152" s="97">
        <v>45895.384027777778</v>
      </c>
      <c r="N152" s="97">
        <v>45895.472222222219</v>
      </c>
      <c r="O152" s="82" t="s">
        <v>1482</v>
      </c>
      <c r="P152" s="82" t="s">
        <v>1483</v>
      </c>
      <c r="Q152" s="82" t="s">
        <v>1484</v>
      </c>
      <c r="R152" s="82" t="s">
        <v>1485</v>
      </c>
      <c r="S152" s="82" t="s">
        <v>1583</v>
      </c>
      <c r="T152" s="82" t="s">
        <v>1583</v>
      </c>
      <c r="U152" s="82" t="s">
        <v>1487</v>
      </c>
      <c r="V152" s="82" t="s">
        <v>2096</v>
      </c>
      <c r="W152" s="82" t="s">
        <v>1489</v>
      </c>
      <c r="X152" s="82" t="s">
        <v>2097</v>
      </c>
      <c r="Y152" s="82" t="s">
        <v>113</v>
      </c>
      <c r="Z152" s="82" t="s">
        <v>114</v>
      </c>
      <c r="AA152" s="82" t="s">
        <v>311</v>
      </c>
      <c r="AB152" s="61">
        <v>1</v>
      </c>
      <c r="AC152" s="61">
        <v>0</v>
      </c>
      <c r="AD152" s="61">
        <v>0</v>
      </c>
      <c r="AE152" s="61">
        <v>0</v>
      </c>
      <c r="AF152" s="69">
        <f>IF(W152="SOPORTE_TELEFÓNICO",'BASE LIQUIDACION'!$B$10,IF(Y152="TIPO I",'BASE LIQUIDACION'!$C$3,IF(Y152="TIPO II",'BASE LIQUIDACION'!$C$4,IF(Y152="TIPO III",'BASE LIQUIDACION'!$C$5,'BASE LIQUIDACION'!$C$7))))</f>
        <v>65960.473639999997</v>
      </c>
      <c r="AG152" s="96">
        <f>IF(W152="SOPORTE_TELEFÓNICO",'BASE LIQUIDACION'!$B$10,(AB152*AF152+AC152*'BASE LIQUIDACION'!$B$12+AD152*'BASE LIQUIDACION'!$B$11+INCIDENTES!AE152*'BASE LIQUIDACION'!$B$13))</f>
        <v>65960.473639999997</v>
      </c>
    </row>
    <row r="153" spans="1:33" s="4" customFormat="1">
      <c r="A153" s="109" t="s">
        <v>124</v>
      </c>
      <c r="B153" s="56" t="str">
        <f>VLOOKUP(A153,'CENTRO DE COSTOS'!A:D,4,FALSE)</f>
        <v>DIEGO FERNANDO HENAO CARDONA</v>
      </c>
      <c r="C153" s="56" t="str">
        <f>VLOOKUP(A153,'CENTRO DE COSTOS'!A:D,2,FALSE)</f>
        <v>0004-0002</v>
      </c>
      <c r="D153" s="109">
        <v>66001</v>
      </c>
      <c r="E153" s="109">
        <v>2642359</v>
      </c>
      <c r="F153" s="109">
        <v>18137</v>
      </c>
      <c r="G153" s="109" t="s">
        <v>1996</v>
      </c>
      <c r="H153" s="109" t="s">
        <v>126</v>
      </c>
      <c r="I153" s="109" t="s">
        <v>124</v>
      </c>
      <c r="J153" s="109" t="s">
        <v>2098</v>
      </c>
      <c r="K153" s="109" t="s">
        <v>106</v>
      </c>
      <c r="L153" s="82" t="s">
        <v>2099</v>
      </c>
      <c r="M153" s="97">
        <v>45895.333333333343</v>
      </c>
      <c r="N153" s="97">
        <v>45895.484027777777</v>
      </c>
      <c r="O153" s="82" t="s">
        <v>1482</v>
      </c>
      <c r="P153" s="82" t="s">
        <v>1483</v>
      </c>
      <c r="Q153" s="82" t="s">
        <v>1494</v>
      </c>
      <c r="R153" s="82" t="s">
        <v>1519</v>
      </c>
      <c r="S153" s="82" t="s">
        <v>1486</v>
      </c>
      <c r="T153" s="82" t="s">
        <v>1486</v>
      </c>
      <c r="U153" s="82" t="s">
        <v>1487</v>
      </c>
      <c r="V153" s="82" t="s">
        <v>2100</v>
      </c>
      <c r="W153" s="82" t="s">
        <v>1489</v>
      </c>
      <c r="X153" s="82" t="s">
        <v>2101</v>
      </c>
      <c r="Y153" s="82" t="s">
        <v>113</v>
      </c>
      <c r="Z153" s="82" t="s">
        <v>114</v>
      </c>
      <c r="AA153" s="82" t="s">
        <v>413</v>
      </c>
      <c r="AB153" s="61">
        <v>1</v>
      </c>
      <c r="AC153" s="61">
        <v>0</v>
      </c>
      <c r="AD153" s="61">
        <v>0</v>
      </c>
      <c r="AE153" s="61">
        <v>0</v>
      </c>
      <c r="AF153" s="69">
        <f>IF(W153="SOPORTE_TELEFÓNICO",'BASE LIQUIDACION'!$B$10,IF(Y153="TIPO I",'BASE LIQUIDACION'!$C$3,IF(Y153="TIPO II",'BASE LIQUIDACION'!$C$4,IF(Y153="TIPO III",'BASE LIQUIDACION'!$C$5,'BASE LIQUIDACION'!$C$7))))</f>
        <v>65960.473639999997</v>
      </c>
      <c r="AG153" s="96">
        <f>IF(W153="SOPORTE_TELEFÓNICO",'BASE LIQUIDACION'!$B$10,(AB153*AF153+AC153*'BASE LIQUIDACION'!$B$12+AD153*'BASE LIQUIDACION'!$B$11+INCIDENTES!AE153*'BASE LIQUIDACION'!$B$13))</f>
        <v>65960.473639999997</v>
      </c>
    </row>
    <row r="154" spans="1:33" s="4" customFormat="1">
      <c r="A154" s="109" t="s">
        <v>100</v>
      </c>
      <c r="B154" s="56" t="str">
        <f>VLOOKUP(A154,'CENTRO DE COSTOS'!A:D,4,FALSE)</f>
        <v>JUAN SEBASTIÁN RÍOS CASTRILLÓN</v>
      </c>
      <c r="C154" s="56" t="str">
        <f>VLOOKUP(A154,'CENTRO DE COSTOS'!A:D,2,FALSE)</f>
        <v>0004-0005</v>
      </c>
      <c r="D154" s="109">
        <v>5001</v>
      </c>
      <c r="E154" s="109">
        <v>2642260</v>
      </c>
      <c r="F154" s="109">
        <v>34786</v>
      </c>
      <c r="G154" s="109" t="s">
        <v>1996</v>
      </c>
      <c r="H154" s="109" t="s">
        <v>104</v>
      </c>
      <c r="I154" s="109" t="s">
        <v>100</v>
      </c>
      <c r="J154" s="109" t="s">
        <v>2102</v>
      </c>
      <c r="K154" s="109" t="s">
        <v>106</v>
      </c>
      <c r="L154" s="82" t="s">
        <v>2103</v>
      </c>
      <c r="M154" s="97">
        <v>45895.333333333343</v>
      </c>
      <c r="N154" s="97">
        <v>45895.488194444442</v>
      </c>
      <c r="O154" s="82" t="s">
        <v>1482</v>
      </c>
      <c r="P154" s="82" t="s">
        <v>1483</v>
      </c>
      <c r="Q154" s="82" t="s">
        <v>1551</v>
      </c>
      <c r="R154" s="82" t="s">
        <v>1949</v>
      </c>
      <c r="S154" s="82" t="s">
        <v>1486</v>
      </c>
      <c r="T154" s="82" t="s">
        <v>1486</v>
      </c>
      <c r="U154" s="82" t="s">
        <v>1487</v>
      </c>
      <c r="V154" s="82" t="s">
        <v>2104</v>
      </c>
      <c r="W154" s="82" t="s">
        <v>1489</v>
      </c>
      <c r="X154" s="82" t="s">
        <v>1757</v>
      </c>
      <c r="Y154" s="82" t="s">
        <v>113</v>
      </c>
      <c r="Z154" s="82" t="s">
        <v>114</v>
      </c>
      <c r="AA154" s="82" t="s">
        <v>1505</v>
      </c>
      <c r="AB154" s="61">
        <v>1</v>
      </c>
      <c r="AC154" s="61">
        <v>0</v>
      </c>
      <c r="AD154" s="61">
        <v>0</v>
      </c>
      <c r="AE154" s="61">
        <v>0</v>
      </c>
      <c r="AF154" s="69">
        <f>IF(W154="SOPORTE_TELEFÓNICO",'BASE LIQUIDACION'!$B$10,IF(Y154="TIPO I",'BASE LIQUIDACION'!$C$3,IF(Y154="TIPO II",'BASE LIQUIDACION'!$C$4,IF(Y154="TIPO III",'BASE LIQUIDACION'!$C$5,'BASE LIQUIDACION'!$C$7))))</f>
        <v>65960.473639999997</v>
      </c>
      <c r="AG154" s="96">
        <f>IF(W154="SOPORTE_TELEFÓNICO",'BASE LIQUIDACION'!$B$10,(AB154*AF154+AC154*'BASE LIQUIDACION'!$B$12+AD154*'BASE LIQUIDACION'!$B$11+INCIDENTES!AE154*'BASE LIQUIDACION'!$B$13))</f>
        <v>65960.473639999997</v>
      </c>
    </row>
    <row r="155" spans="1:33" s="4" customFormat="1">
      <c r="A155" s="109" t="s">
        <v>375</v>
      </c>
      <c r="B155" s="56" t="str">
        <f>VLOOKUP(A155,'CENTRO DE COSTOS'!A:D,4,FALSE)</f>
        <v>DIEGO FERNANDO HENAO CARDONA</v>
      </c>
      <c r="C155" s="56" t="str">
        <f>VLOOKUP(A155,'CENTRO DE COSTOS'!A:D,2,FALSE)</f>
        <v>0004-0003</v>
      </c>
      <c r="D155" s="109">
        <v>52838</v>
      </c>
      <c r="E155" s="109">
        <v>2637261</v>
      </c>
      <c r="F155" s="109">
        <v>79019</v>
      </c>
      <c r="G155" s="109" t="s">
        <v>1996</v>
      </c>
      <c r="H155" s="109" t="s">
        <v>377</v>
      </c>
      <c r="I155" s="109" t="s">
        <v>1215</v>
      </c>
      <c r="J155" s="109" t="s">
        <v>2105</v>
      </c>
      <c r="K155" s="109" t="s">
        <v>106</v>
      </c>
      <c r="L155" s="82" t="s">
        <v>2106</v>
      </c>
      <c r="M155" s="97">
        <v>45894.390277777777</v>
      </c>
      <c r="N155" s="97">
        <v>45895.488888888889</v>
      </c>
      <c r="O155" s="82" t="s">
        <v>1482</v>
      </c>
      <c r="P155" s="82" t="s">
        <v>1483</v>
      </c>
      <c r="Q155" s="82" t="s">
        <v>1484</v>
      </c>
      <c r="R155" s="82" t="s">
        <v>1485</v>
      </c>
      <c r="S155" s="82" t="s">
        <v>317</v>
      </c>
      <c r="T155" s="82" t="s">
        <v>317</v>
      </c>
      <c r="U155" s="82" t="s">
        <v>1487</v>
      </c>
      <c r="V155" s="82" t="s">
        <v>2107</v>
      </c>
      <c r="W155" s="82" t="s">
        <v>1489</v>
      </c>
      <c r="X155" s="82" t="s">
        <v>2108</v>
      </c>
      <c r="Y155" s="82" t="s">
        <v>148</v>
      </c>
      <c r="Z155" s="82" t="s">
        <v>114</v>
      </c>
      <c r="AA155" s="82" t="s">
        <v>382</v>
      </c>
      <c r="AB155" s="61">
        <v>1</v>
      </c>
      <c r="AC155" s="61">
        <v>0</v>
      </c>
      <c r="AD155" s="61">
        <v>0</v>
      </c>
      <c r="AE155" s="61">
        <v>0</v>
      </c>
      <c r="AF155" s="69">
        <f>IF(W155="SOPORTE_TELEFÓNICO",'BASE LIQUIDACION'!$B$10,IF(Y155="TIPO I",'BASE LIQUIDACION'!$C$3,IF(Y155="TIPO II",'BASE LIQUIDACION'!$C$4,IF(Y155="TIPO III",'BASE LIQUIDACION'!$C$5,'BASE LIQUIDACION'!$C$7))))</f>
        <v>163813.55812</v>
      </c>
      <c r="AG155" s="96">
        <f>IF(W155="SOPORTE_TELEFÓNICO",'BASE LIQUIDACION'!$B$10,(AB155*AF155+AC155*'BASE LIQUIDACION'!$B$12+AD155*'BASE LIQUIDACION'!$B$11+INCIDENTES!AE155*'BASE LIQUIDACION'!$B$13))</f>
        <v>163813.55812</v>
      </c>
    </row>
    <row r="156" spans="1:33" s="4" customFormat="1">
      <c r="A156" s="109" t="s">
        <v>100</v>
      </c>
      <c r="B156" s="56" t="str">
        <f>VLOOKUP(A156,'CENTRO DE COSTOS'!A:D,4,FALSE)</f>
        <v>JUAN SEBASTIÁN RÍOS CASTRILLÓN</v>
      </c>
      <c r="C156" s="56" t="str">
        <f>VLOOKUP(A156,'CENTRO DE COSTOS'!A:D,2,FALSE)</f>
        <v>0004-0005</v>
      </c>
      <c r="D156" s="109">
        <v>5113</v>
      </c>
      <c r="E156" s="109">
        <v>2639599</v>
      </c>
      <c r="F156" s="109">
        <v>80848</v>
      </c>
      <c r="G156" s="109" t="s">
        <v>1996</v>
      </c>
      <c r="H156" s="109" t="s">
        <v>104</v>
      </c>
      <c r="I156" s="109" t="s">
        <v>507</v>
      </c>
      <c r="J156" s="109" t="s">
        <v>2109</v>
      </c>
      <c r="K156" s="109" t="s">
        <v>106</v>
      </c>
      <c r="L156" s="82" t="s">
        <v>2110</v>
      </c>
      <c r="M156" s="97">
        <v>45894.53402777778</v>
      </c>
      <c r="N156" s="97">
        <v>45895.500694444447</v>
      </c>
      <c r="O156" s="82" t="s">
        <v>1482</v>
      </c>
      <c r="P156" s="82" t="s">
        <v>1483</v>
      </c>
      <c r="Q156" s="82" t="s">
        <v>1484</v>
      </c>
      <c r="R156" s="82" t="s">
        <v>1485</v>
      </c>
      <c r="S156" s="82" t="s">
        <v>317</v>
      </c>
      <c r="T156" s="82" t="s">
        <v>317</v>
      </c>
      <c r="U156" s="82" t="s">
        <v>1487</v>
      </c>
      <c r="V156" s="82" t="s">
        <v>2111</v>
      </c>
      <c r="W156" s="82" t="s">
        <v>1489</v>
      </c>
      <c r="X156" s="82" t="s">
        <v>2112</v>
      </c>
      <c r="Y156" s="82" t="s">
        <v>344</v>
      </c>
      <c r="Z156" s="82" t="s">
        <v>114</v>
      </c>
      <c r="AA156" s="82" t="s">
        <v>420</v>
      </c>
      <c r="AB156" s="61">
        <v>1</v>
      </c>
      <c r="AC156" s="61">
        <v>0</v>
      </c>
      <c r="AD156" s="61">
        <v>0</v>
      </c>
      <c r="AE156" s="61">
        <v>0</v>
      </c>
      <c r="AF156" s="69">
        <f>IF(W156="SOPORTE_TELEFÓNICO",'BASE LIQUIDACION'!$B$10,IF(Y156="TIPO I",'BASE LIQUIDACION'!$C$3,IF(Y156="TIPO II",'BASE LIQUIDACION'!$C$4,IF(Y156="TIPO III",'BASE LIQUIDACION'!$C$5,'BASE LIQUIDACION'!$C$7))))</f>
        <v>479589.73656000005</v>
      </c>
      <c r="AG156" s="96">
        <f>IF(W156="SOPORTE_TELEFÓNICO",'BASE LIQUIDACION'!$B$10,(AB156*AF156+AC156*'BASE LIQUIDACION'!$B$12+AD156*'BASE LIQUIDACION'!$B$11+INCIDENTES!AE156*'BASE LIQUIDACION'!$B$13))</f>
        <v>479589.73656000005</v>
      </c>
    </row>
    <row r="157" spans="1:33" s="4" customFormat="1">
      <c r="A157" s="109" t="s">
        <v>1353</v>
      </c>
      <c r="B157" s="56" t="str">
        <f>VLOOKUP(A157,'CENTRO DE COSTOS'!A:D,4,FALSE)</f>
        <v>JOSE MAURICIO HERNANDEZ ROJAS</v>
      </c>
      <c r="C157" s="56" t="str">
        <f>VLOOKUP(A157,'CENTRO DE COSTOS'!A:D,2,FALSE)</f>
        <v>0004-0001</v>
      </c>
      <c r="D157" s="109">
        <v>70670</v>
      </c>
      <c r="E157" s="109">
        <v>2647008</v>
      </c>
      <c r="F157" s="109">
        <v>25642</v>
      </c>
      <c r="G157" s="109" t="s">
        <v>1996</v>
      </c>
      <c r="H157" s="109" t="s">
        <v>836</v>
      </c>
      <c r="I157" s="109" t="s">
        <v>1368</v>
      </c>
      <c r="J157" s="109" t="s">
        <v>2113</v>
      </c>
      <c r="K157" s="109" t="s">
        <v>106</v>
      </c>
      <c r="L157" s="82" t="s">
        <v>2114</v>
      </c>
      <c r="M157" s="97">
        <v>45895.575694444437</v>
      </c>
      <c r="N157" s="97">
        <v>45895.625</v>
      </c>
      <c r="O157" s="82" t="s">
        <v>1482</v>
      </c>
      <c r="P157" s="82" t="s">
        <v>1483</v>
      </c>
      <c r="Q157" s="82" t="s">
        <v>1484</v>
      </c>
      <c r="R157" s="82" t="s">
        <v>1485</v>
      </c>
      <c r="S157" s="82" t="s">
        <v>1560</v>
      </c>
      <c r="T157" s="82" t="s">
        <v>1560</v>
      </c>
      <c r="U157" s="82" t="s">
        <v>1487</v>
      </c>
      <c r="V157" s="82" t="s">
        <v>2115</v>
      </c>
      <c r="W157" s="82" t="s">
        <v>1526</v>
      </c>
      <c r="X157" s="82" t="s">
        <v>2085</v>
      </c>
      <c r="Y157" s="82" t="s">
        <v>148</v>
      </c>
      <c r="Z157" s="82" t="s">
        <v>114</v>
      </c>
      <c r="AA157" s="82" t="s">
        <v>2116</v>
      </c>
      <c r="AB157" s="61">
        <v>0</v>
      </c>
      <c r="AC157" s="61">
        <v>0</v>
      </c>
      <c r="AD157" s="61">
        <v>0</v>
      </c>
      <c r="AE157" s="61">
        <v>0</v>
      </c>
      <c r="AF157" s="69">
        <f>IF(W157="SOPORTE_TELEFÓNICO",'BASE LIQUIDACION'!$B$10,IF(Y157="TIPO I",'BASE LIQUIDACION'!$C$3,IF(Y157="TIPO II",'BASE LIQUIDACION'!$C$4,IF(Y157="TIPO III",'BASE LIQUIDACION'!$C$5,'BASE LIQUIDACION'!$C$7))))</f>
        <v>37904.65408</v>
      </c>
      <c r="AG157" s="96">
        <f>IF(W157="SOPORTE_TELEFÓNICO",'BASE LIQUIDACION'!$B$10,(AB157*AF157+AC157*'BASE LIQUIDACION'!$B$12+AD157*'BASE LIQUIDACION'!$B$11+INCIDENTES!AE157*'BASE LIQUIDACION'!$B$13))</f>
        <v>37904.65408</v>
      </c>
    </row>
    <row r="158" spans="1:33" s="4" customFormat="1">
      <c r="A158" s="109" t="s">
        <v>100</v>
      </c>
      <c r="B158" s="56" t="str">
        <f>VLOOKUP(A158,'CENTRO DE COSTOS'!A:D,4,FALSE)</f>
        <v>JUAN SEBASTIÁN RÍOS CASTRILLÓN</v>
      </c>
      <c r="C158" s="56" t="str">
        <f>VLOOKUP(A158,'CENTRO DE COSTOS'!A:D,2,FALSE)</f>
        <v>0004-0005</v>
      </c>
      <c r="D158" s="109">
        <v>5001</v>
      </c>
      <c r="E158" s="109">
        <v>2642397</v>
      </c>
      <c r="F158" s="109">
        <v>49465</v>
      </c>
      <c r="G158" s="109" t="s">
        <v>1996</v>
      </c>
      <c r="H158" s="109" t="s">
        <v>104</v>
      </c>
      <c r="I158" s="109" t="s">
        <v>100</v>
      </c>
      <c r="J158" s="109" t="s">
        <v>1981</v>
      </c>
      <c r="K158" s="109" t="s">
        <v>106</v>
      </c>
      <c r="L158" s="82" t="s">
        <v>2117</v>
      </c>
      <c r="M158" s="97">
        <v>45895.333333333343</v>
      </c>
      <c r="N158" s="97">
        <v>45895.668055555558</v>
      </c>
      <c r="O158" s="82" t="s">
        <v>1482</v>
      </c>
      <c r="P158" s="82" t="s">
        <v>1483</v>
      </c>
      <c r="Q158" s="82" t="s">
        <v>1551</v>
      </c>
      <c r="R158" s="82" t="s">
        <v>1610</v>
      </c>
      <c r="S158" s="82" t="s">
        <v>1486</v>
      </c>
      <c r="T158" s="82" t="s">
        <v>1486</v>
      </c>
      <c r="U158" s="82" t="s">
        <v>1487</v>
      </c>
      <c r="V158" s="82" t="s">
        <v>2118</v>
      </c>
      <c r="W158" s="82" t="s">
        <v>1489</v>
      </c>
      <c r="X158" s="82" t="s">
        <v>1984</v>
      </c>
      <c r="Y158" s="82" t="s">
        <v>113</v>
      </c>
      <c r="Z158" s="82" t="s">
        <v>114</v>
      </c>
      <c r="AA158" s="82" t="s">
        <v>2119</v>
      </c>
      <c r="AB158" s="61">
        <v>1</v>
      </c>
      <c r="AC158" s="61">
        <v>0</v>
      </c>
      <c r="AD158" s="61">
        <v>0</v>
      </c>
      <c r="AE158" s="61">
        <v>0</v>
      </c>
      <c r="AF158" s="69">
        <f>IF(W158="SOPORTE_TELEFÓNICO",'BASE LIQUIDACION'!$B$10,IF(Y158="TIPO I",'BASE LIQUIDACION'!$C$3,IF(Y158="TIPO II",'BASE LIQUIDACION'!$C$4,IF(Y158="TIPO III",'BASE LIQUIDACION'!$C$5,'BASE LIQUIDACION'!$C$7))))</f>
        <v>65960.473639999997</v>
      </c>
      <c r="AG158" s="96">
        <f>IF(W158="SOPORTE_TELEFÓNICO",'BASE LIQUIDACION'!$B$10,(AB158*AF158+AC158*'BASE LIQUIDACION'!$B$12+AD158*'BASE LIQUIDACION'!$B$11+INCIDENTES!AE158*'BASE LIQUIDACION'!$B$13))</f>
        <v>65960.473639999997</v>
      </c>
    </row>
    <row r="159" spans="1:33" s="4" customFormat="1">
      <c r="A159" s="109" t="s">
        <v>124</v>
      </c>
      <c r="B159" s="56" t="str">
        <f>VLOOKUP(A159,'CENTRO DE COSTOS'!A:D,4,FALSE)</f>
        <v>DIEGO FERNANDO HENAO CARDONA</v>
      </c>
      <c r="C159" s="56" t="str">
        <f>VLOOKUP(A159,'CENTRO DE COSTOS'!A:D,2,FALSE)</f>
        <v>0004-0002</v>
      </c>
      <c r="D159" s="109">
        <v>63001</v>
      </c>
      <c r="E159" s="109">
        <v>2640348</v>
      </c>
      <c r="F159" s="109">
        <v>79972</v>
      </c>
      <c r="G159" s="109" t="s">
        <v>1996</v>
      </c>
      <c r="H159" s="109" t="s">
        <v>1262</v>
      </c>
      <c r="I159" s="109" t="s">
        <v>474</v>
      </c>
      <c r="J159" s="109" t="s">
        <v>2120</v>
      </c>
      <c r="K159" s="109" t="s">
        <v>106</v>
      </c>
      <c r="L159" s="82" t="s">
        <v>2121</v>
      </c>
      <c r="M159" s="97">
        <v>45894.604861111111</v>
      </c>
      <c r="N159" s="97">
        <v>45895.676388888889</v>
      </c>
      <c r="O159" s="82" t="s">
        <v>1482</v>
      </c>
      <c r="P159" s="82" t="s">
        <v>1483</v>
      </c>
      <c r="Q159" s="82" t="s">
        <v>1484</v>
      </c>
      <c r="R159" s="82" t="s">
        <v>1485</v>
      </c>
      <c r="S159" s="82" t="s">
        <v>1486</v>
      </c>
      <c r="T159" s="82" t="s">
        <v>1486</v>
      </c>
      <c r="U159" s="82" t="s">
        <v>1487</v>
      </c>
      <c r="V159" s="82" t="s">
        <v>2122</v>
      </c>
      <c r="W159" s="82" t="s">
        <v>1489</v>
      </c>
      <c r="X159" s="82" t="s">
        <v>2123</v>
      </c>
      <c r="Y159" s="82" t="s">
        <v>148</v>
      </c>
      <c r="Z159" s="82" t="s">
        <v>114</v>
      </c>
      <c r="AA159" s="82" t="s">
        <v>1676</v>
      </c>
      <c r="AB159" s="61">
        <v>1</v>
      </c>
      <c r="AC159" s="61">
        <v>0</v>
      </c>
      <c r="AD159" s="61">
        <v>0</v>
      </c>
      <c r="AE159" s="61">
        <v>0</v>
      </c>
      <c r="AF159" s="69">
        <f>IF(W159="SOPORTE_TELEFÓNICO",'BASE LIQUIDACION'!$B$10,IF(Y159="TIPO I",'BASE LIQUIDACION'!$C$3,IF(Y159="TIPO II",'BASE LIQUIDACION'!$C$4,IF(Y159="TIPO III",'BASE LIQUIDACION'!$C$5,'BASE LIQUIDACION'!$C$7))))</f>
        <v>163813.55812</v>
      </c>
      <c r="AG159" s="96">
        <f>IF(W159="SOPORTE_TELEFÓNICO",'BASE LIQUIDACION'!$B$10,(AB159*AF159+AC159*'BASE LIQUIDACION'!$B$12+AD159*'BASE LIQUIDACION'!$B$11+INCIDENTES!AE159*'BASE LIQUIDACION'!$B$13))</f>
        <v>163813.55812</v>
      </c>
    </row>
    <row r="160" spans="1:33" s="4" customFormat="1">
      <c r="A160" s="109" t="s">
        <v>100</v>
      </c>
      <c r="B160" s="56" t="str">
        <f>VLOOKUP(A160,'CENTRO DE COSTOS'!A:D,4,FALSE)</f>
        <v>JUAN SEBASTIÁN RÍOS CASTRILLÓN</v>
      </c>
      <c r="C160" s="56" t="str">
        <f>VLOOKUP(A160,'CENTRO DE COSTOS'!A:D,2,FALSE)</f>
        <v>0004-0005</v>
      </c>
      <c r="D160" s="109">
        <v>5001</v>
      </c>
      <c r="E160" s="109">
        <v>2642639</v>
      </c>
      <c r="F160" s="109">
        <v>45297</v>
      </c>
      <c r="G160" s="109" t="s">
        <v>1996</v>
      </c>
      <c r="H160" s="109" t="s">
        <v>104</v>
      </c>
      <c r="I160" s="109" t="s">
        <v>100</v>
      </c>
      <c r="J160" s="109" t="s">
        <v>2124</v>
      </c>
      <c r="K160" s="109" t="s">
        <v>106</v>
      </c>
      <c r="L160" s="82" t="s">
        <v>2125</v>
      </c>
      <c r="M160" s="97">
        <v>45895.333333333343</v>
      </c>
      <c r="N160" s="97">
        <v>45896.320138888892</v>
      </c>
      <c r="O160" s="82" t="s">
        <v>1482</v>
      </c>
      <c r="P160" s="82" t="s">
        <v>1483</v>
      </c>
      <c r="Q160" s="82" t="s">
        <v>1551</v>
      </c>
      <c r="R160" s="82" t="s">
        <v>1949</v>
      </c>
      <c r="S160" s="82" t="s">
        <v>317</v>
      </c>
      <c r="T160" s="82" t="s">
        <v>317</v>
      </c>
      <c r="U160" s="82" t="s">
        <v>1487</v>
      </c>
      <c r="V160" s="82" t="s">
        <v>2126</v>
      </c>
      <c r="W160" s="82" t="s">
        <v>1526</v>
      </c>
      <c r="X160" s="82">
        <v>0</v>
      </c>
      <c r="Y160" s="82" t="s">
        <v>113</v>
      </c>
      <c r="Z160" s="82" t="s">
        <v>114</v>
      </c>
      <c r="AA160" s="82" t="s">
        <v>216</v>
      </c>
      <c r="AB160" s="61">
        <v>0</v>
      </c>
      <c r="AC160" s="61">
        <v>0</v>
      </c>
      <c r="AD160" s="61">
        <v>0</v>
      </c>
      <c r="AE160" s="61">
        <v>0</v>
      </c>
      <c r="AF160" s="69">
        <f>IF(W160="SOPORTE_TELEFÓNICO",'BASE LIQUIDACION'!$B$10,IF(Y160="TIPO I",'BASE LIQUIDACION'!$C$3,IF(Y160="TIPO II",'BASE LIQUIDACION'!$C$4,IF(Y160="TIPO III",'BASE LIQUIDACION'!$C$5,'BASE LIQUIDACION'!$C$7))))</f>
        <v>37904.65408</v>
      </c>
      <c r="AG160" s="96">
        <f>IF(W160="SOPORTE_TELEFÓNICO",'BASE LIQUIDACION'!$B$10,(AB160*AF160+AC160*'BASE LIQUIDACION'!$B$12+AD160*'BASE LIQUIDACION'!$B$11+INCIDENTES!AE160*'BASE LIQUIDACION'!$B$13))</f>
        <v>37904.65408</v>
      </c>
    </row>
    <row r="161" spans="1:33" s="4" customFormat="1">
      <c r="A161" s="109" t="s">
        <v>622</v>
      </c>
      <c r="B161" s="56" t="str">
        <f>VLOOKUP(A161,'CENTRO DE COSTOS'!A:D,4,FALSE)</f>
        <v>JOSE MAURICIO HERNANDEZ ROJAS</v>
      </c>
      <c r="C161" s="56" t="str">
        <f>VLOOKUP(A161,'CENTRO DE COSTOS'!A:D,2,FALSE)</f>
        <v>0004-0001</v>
      </c>
      <c r="D161" s="109">
        <v>13074</v>
      </c>
      <c r="E161" s="109">
        <v>2636690</v>
      </c>
      <c r="F161" s="109">
        <v>30605</v>
      </c>
      <c r="G161" s="109" t="s">
        <v>1996</v>
      </c>
      <c r="H161" s="109" t="s">
        <v>232</v>
      </c>
      <c r="I161" s="109" t="s">
        <v>633</v>
      </c>
      <c r="J161" s="109" t="s">
        <v>2127</v>
      </c>
      <c r="K161" s="109" t="s">
        <v>106</v>
      </c>
      <c r="L161" s="82" t="s">
        <v>2128</v>
      </c>
      <c r="M161" s="97">
        <v>45894.368055555547</v>
      </c>
      <c r="N161" s="97">
        <v>45896.381944444453</v>
      </c>
      <c r="O161" s="82" t="s">
        <v>1482</v>
      </c>
      <c r="P161" s="82" t="s">
        <v>1483</v>
      </c>
      <c r="Q161" s="82" t="s">
        <v>1581</v>
      </c>
      <c r="R161" s="82" t="s">
        <v>1582</v>
      </c>
      <c r="S161" s="82" t="s">
        <v>1486</v>
      </c>
      <c r="T161" s="82" t="s">
        <v>1486</v>
      </c>
      <c r="U161" s="82" t="s">
        <v>1487</v>
      </c>
      <c r="V161" s="82" t="s">
        <v>2129</v>
      </c>
      <c r="W161" s="82" t="s">
        <v>1526</v>
      </c>
      <c r="X161" s="82">
        <v>0</v>
      </c>
      <c r="Y161" s="82" t="s">
        <v>344</v>
      </c>
      <c r="Z161" s="82" t="s">
        <v>114</v>
      </c>
      <c r="AA161" s="82" t="s">
        <v>1539</v>
      </c>
      <c r="AB161" s="61">
        <v>0</v>
      </c>
      <c r="AC161" s="61">
        <v>0</v>
      </c>
      <c r="AD161" s="61">
        <v>0</v>
      </c>
      <c r="AE161" s="61">
        <v>0</v>
      </c>
      <c r="AF161" s="69">
        <f>IF(W161="SOPORTE_TELEFÓNICO",'BASE LIQUIDACION'!$B$10,IF(Y161="TIPO I",'BASE LIQUIDACION'!$C$3,IF(Y161="TIPO II",'BASE LIQUIDACION'!$C$4,IF(Y161="TIPO III",'BASE LIQUIDACION'!$C$5,'BASE LIQUIDACION'!$C$7))))</f>
        <v>37904.65408</v>
      </c>
      <c r="AG161" s="96">
        <f>IF(W161="SOPORTE_TELEFÓNICO",'BASE LIQUIDACION'!$B$10,(AB161*AF161+AC161*'BASE LIQUIDACION'!$B$12+AD161*'BASE LIQUIDACION'!$B$11+INCIDENTES!AE161*'BASE LIQUIDACION'!$B$13))</f>
        <v>37904.65408</v>
      </c>
    </row>
    <row r="162" spans="1:33" s="4" customFormat="1">
      <c r="A162" s="109" t="s">
        <v>124</v>
      </c>
      <c r="B162" s="56" t="str">
        <f>VLOOKUP(A162,'CENTRO DE COSTOS'!A:D,4,FALSE)</f>
        <v>DIEGO FERNANDO HENAO CARDONA</v>
      </c>
      <c r="C162" s="56" t="str">
        <f>VLOOKUP(A162,'CENTRO DE COSTOS'!A:D,2,FALSE)</f>
        <v>0004-0002</v>
      </c>
      <c r="D162" s="109">
        <v>63401</v>
      </c>
      <c r="E162" s="109">
        <v>2645081</v>
      </c>
      <c r="F162" s="109">
        <v>74223</v>
      </c>
      <c r="G162" s="109" t="s">
        <v>1996</v>
      </c>
      <c r="H162" s="109" t="s">
        <v>1262</v>
      </c>
      <c r="I162" s="109" t="s">
        <v>1267</v>
      </c>
      <c r="J162" s="109" t="s">
        <v>2130</v>
      </c>
      <c r="K162" s="109" t="s">
        <v>106</v>
      </c>
      <c r="L162" s="82" t="s">
        <v>2131</v>
      </c>
      <c r="M162" s="97">
        <v>45895.43472222222</v>
      </c>
      <c r="N162" s="97">
        <v>45896.490972222222</v>
      </c>
      <c r="O162" s="82" t="s">
        <v>1482</v>
      </c>
      <c r="P162" s="82" t="s">
        <v>1483</v>
      </c>
      <c r="Q162" s="82" t="s">
        <v>1484</v>
      </c>
      <c r="R162" s="82" t="s">
        <v>1485</v>
      </c>
      <c r="S162" s="82" t="s">
        <v>1486</v>
      </c>
      <c r="T162" s="82" t="s">
        <v>1486</v>
      </c>
      <c r="U162" s="82" t="s">
        <v>1487</v>
      </c>
      <c r="V162" s="82" t="s">
        <v>2132</v>
      </c>
      <c r="W162" s="82" t="s">
        <v>1489</v>
      </c>
      <c r="X162" s="82" t="s">
        <v>2133</v>
      </c>
      <c r="Y162" s="82" t="s">
        <v>148</v>
      </c>
      <c r="Z162" s="82" t="s">
        <v>114</v>
      </c>
      <c r="AA162" s="82" t="s">
        <v>1676</v>
      </c>
      <c r="AB162" s="61">
        <v>1</v>
      </c>
      <c r="AC162" s="61">
        <v>0</v>
      </c>
      <c r="AD162" s="61">
        <v>0</v>
      </c>
      <c r="AE162" s="61">
        <v>0</v>
      </c>
      <c r="AF162" s="69">
        <f>IF(W162="SOPORTE_TELEFÓNICO",'BASE LIQUIDACION'!$B$10,IF(Y162="TIPO I",'BASE LIQUIDACION'!$C$3,IF(Y162="TIPO II",'BASE LIQUIDACION'!$C$4,IF(Y162="TIPO III",'BASE LIQUIDACION'!$C$5,'BASE LIQUIDACION'!$C$7))))</f>
        <v>163813.55812</v>
      </c>
      <c r="AG162" s="96">
        <f>IF(W162="SOPORTE_TELEFÓNICO",'BASE LIQUIDACION'!$B$10,(AB162*AF162+AC162*'BASE LIQUIDACION'!$B$12+AD162*'BASE LIQUIDACION'!$B$11+INCIDENTES!AE162*'BASE LIQUIDACION'!$B$13))</f>
        <v>163813.55812</v>
      </c>
    </row>
    <row r="163" spans="1:33" s="4" customFormat="1">
      <c r="A163" s="109" t="s">
        <v>100</v>
      </c>
      <c r="B163" s="56" t="str">
        <f>VLOOKUP(A163,'CENTRO DE COSTOS'!A:D,4,FALSE)</f>
        <v>JUAN SEBASTIÁN RÍOS CASTRILLÓN</v>
      </c>
      <c r="C163" s="56" t="str">
        <f>VLOOKUP(A163,'CENTRO DE COSTOS'!A:D,2,FALSE)</f>
        <v>0004-0005</v>
      </c>
      <c r="D163" s="109">
        <v>5890</v>
      </c>
      <c r="E163" s="109">
        <v>2652270</v>
      </c>
      <c r="F163" s="109">
        <v>80809</v>
      </c>
      <c r="G163" s="109" t="s">
        <v>1996</v>
      </c>
      <c r="H163" s="109" t="s">
        <v>104</v>
      </c>
      <c r="I163" s="109" t="s">
        <v>587</v>
      </c>
      <c r="J163" s="109" t="s">
        <v>2134</v>
      </c>
      <c r="K163" s="109" t="s">
        <v>106</v>
      </c>
      <c r="L163" s="82" t="s">
        <v>2135</v>
      </c>
      <c r="M163" s="97">
        <v>45896.477777777778</v>
      </c>
      <c r="N163" s="97">
        <v>45896.658333333333</v>
      </c>
      <c r="O163" s="82" t="s">
        <v>1482</v>
      </c>
      <c r="P163" s="82" t="s">
        <v>1483</v>
      </c>
      <c r="Q163" s="82" t="s">
        <v>1494</v>
      </c>
      <c r="R163" s="82" t="s">
        <v>1495</v>
      </c>
      <c r="S163" s="82" t="s">
        <v>1486</v>
      </c>
      <c r="T163" s="82" t="s">
        <v>1486</v>
      </c>
      <c r="U163" s="82" t="s">
        <v>1487</v>
      </c>
      <c r="V163" s="82" t="s">
        <v>2136</v>
      </c>
      <c r="W163" s="82" t="s">
        <v>1489</v>
      </c>
      <c r="X163" s="82" t="s">
        <v>2137</v>
      </c>
      <c r="Y163" s="82" t="s">
        <v>148</v>
      </c>
      <c r="Z163" s="82" t="s">
        <v>114</v>
      </c>
      <c r="AA163" s="82" t="s">
        <v>364</v>
      </c>
      <c r="AB163" s="61">
        <v>1</v>
      </c>
      <c r="AC163" s="61">
        <v>0</v>
      </c>
      <c r="AD163" s="61">
        <v>0</v>
      </c>
      <c r="AE163" s="61">
        <v>0</v>
      </c>
      <c r="AF163" s="69">
        <f>IF(W163="SOPORTE_TELEFÓNICO",'BASE LIQUIDACION'!$B$10,IF(Y163="TIPO I",'BASE LIQUIDACION'!$C$3,IF(Y163="TIPO II",'BASE LIQUIDACION'!$C$4,IF(Y163="TIPO III",'BASE LIQUIDACION'!$C$5,'BASE LIQUIDACION'!$C$7))))</f>
        <v>163813.55812</v>
      </c>
      <c r="AG163" s="96">
        <f>IF(W163="SOPORTE_TELEFÓNICO",'BASE LIQUIDACION'!$B$10,(AB163*AF163+AC163*'BASE LIQUIDACION'!$B$12+AD163*'BASE LIQUIDACION'!$B$11+INCIDENTES!AE163*'BASE LIQUIDACION'!$B$13))</f>
        <v>163813.55812</v>
      </c>
    </row>
    <row r="164" spans="1:33" s="4" customFormat="1">
      <c r="A164" s="109" t="s">
        <v>124</v>
      </c>
      <c r="B164" s="56" t="str">
        <f>VLOOKUP(A164,'CENTRO DE COSTOS'!A:D,4,FALSE)</f>
        <v>DIEGO FERNANDO HENAO CARDONA</v>
      </c>
      <c r="C164" s="56" t="str">
        <f>VLOOKUP(A164,'CENTRO DE COSTOS'!A:D,2,FALSE)</f>
        <v>0004-0002</v>
      </c>
      <c r="D164" s="109">
        <v>76895</v>
      </c>
      <c r="E164" s="109">
        <v>2648639</v>
      </c>
      <c r="F164" s="109">
        <v>69635</v>
      </c>
      <c r="G164" s="109" t="s">
        <v>1996</v>
      </c>
      <c r="H164" s="109" t="s">
        <v>134</v>
      </c>
      <c r="I164" s="109" t="s">
        <v>1452</v>
      </c>
      <c r="J164" s="109" t="s">
        <v>2138</v>
      </c>
      <c r="K164" s="109" t="s">
        <v>106</v>
      </c>
      <c r="L164" s="82" t="s">
        <v>2139</v>
      </c>
      <c r="M164" s="97">
        <v>45895.707638888889</v>
      </c>
      <c r="N164" s="97">
        <v>45896.681944444441</v>
      </c>
      <c r="O164" s="82" t="s">
        <v>1482</v>
      </c>
      <c r="P164" s="82" t="s">
        <v>1483</v>
      </c>
      <c r="Q164" s="82" t="s">
        <v>1683</v>
      </c>
      <c r="R164" s="82" t="s">
        <v>2140</v>
      </c>
      <c r="S164" s="82" t="s">
        <v>1486</v>
      </c>
      <c r="T164" s="82" t="s">
        <v>1486</v>
      </c>
      <c r="U164" s="82" t="s">
        <v>1487</v>
      </c>
      <c r="V164" s="82" t="s">
        <v>2141</v>
      </c>
      <c r="W164" s="82" t="s">
        <v>1489</v>
      </c>
      <c r="X164" s="82" t="s">
        <v>2142</v>
      </c>
      <c r="Y164" s="82" t="s">
        <v>202</v>
      </c>
      <c r="Z164" s="82" t="s">
        <v>114</v>
      </c>
      <c r="AA164" s="82" t="s">
        <v>413</v>
      </c>
      <c r="AB164" s="61">
        <v>1</v>
      </c>
      <c r="AC164" s="61">
        <v>0</v>
      </c>
      <c r="AD164" s="61">
        <v>0</v>
      </c>
      <c r="AE164" s="61">
        <v>0</v>
      </c>
      <c r="AF164" s="69">
        <f>IF(W164="SOPORTE_TELEFÓNICO",'BASE LIQUIDACION'!$B$10,IF(Y164="TIPO I",'BASE LIQUIDACION'!$C$3,IF(Y164="TIPO II",'BASE LIQUIDACION'!$C$4,IF(Y164="TIPO III",'BASE LIQUIDACION'!$C$5,'BASE LIQUIDACION'!$C$7))))</f>
        <v>275728.37943999999</v>
      </c>
      <c r="AG164" s="96">
        <f>IF(W164="SOPORTE_TELEFÓNICO",'BASE LIQUIDACION'!$B$10,(AB164*AF164+AC164*'BASE LIQUIDACION'!$B$12+AD164*'BASE LIQUIDACION'!$B$11+INCIDENTES!AE164*'BASE LIQUIDACION'!$B$13))</f>
        <v>275728.37943999999</v>
      </c>
    </row>
    <row r="165" spans="1:33" s="4" customFormat="1">
      <c r="A165" s="109" t="s">
        <v>171</v>
      </c>
      <c r="B165" s="56" t="str">
        <f>VLOOKUP(A165,'CENTRO DE COSTOS'!A:D,4,FALSE)</f>
        <v>MIGUEL JULIÁN HERNÁNDEZ GUARÍN</v>
      </c>
      <c r="C165" s="56" t="str">
        <f>VLOOKUP(A165,'CENTRO DE COSTOS'!A:D,2,FALSE)</f>
        <v>0004-0008</v>
      </c>
      <c r="D165" s="109">
        <v>68276</v>
      </c>
      <c r="E165" s="109">
        <v>2650934</v>
      </c>
      <c r="F165" s="109">
        <v>47835</v>
      </c>
      <c r="G165" s="109" t="s">
        <v>1996</v>
      </c>
      <c r="H165" s="109" t="s">
        <v>173</v>
      </c>
      <c r="I165" s="109" t="s">
        <v>1307</v>
      </c>
      <c r="J165" s="109" t="s">
        <v>2143</v>
      </c>
      <c r="K165" s="109" t="s">
        <v>106</v>
      </c>
      <c r="L165" s="82" t="s">
        <v>2144</v>
      </c>
      <c r="M165" s="97">
        <v>45896.404861111107</v>
      </c>
      <c r="N165" s="97">
        <v>45896.686111111107</v>
      </c>
      <c r="O165" s="82" t="s">
        <v>1482</v>
      </c>
      <c r="P165" s="82" t="s">
        <v>1483</v>
      </c>
      <c r="Q165" s="82" t="s">
        <v>1494</v>
      </c>
      <c r="R165" s="82" t="s">
        <v>1495</v>
      </c>
      <c r="S165" s="82" t="s">
        <v>317</v>
      </c>
      <c r="T165" s="82" t="s">
        <v>317</v>
      </c>
      <c r="U165" s="82" t="s">
        <v>1487</v>
      </c>
      <c r="V165" s="82" t="s">
        <v>2145</v>
      </c>
      <c r="W165" s="82" t="s">
        <v>1526</v>
      </c>
      <c r="X165" s="82">
        <v>0</v>
      </c>
      <c r="Y165" s="82" t="s">
        <v>113</v>
      </c>
      <c r="Z165" s="82" t="s">
        <v>114</v>
      </c>
      <c r="AA165" s="82" t="s">
        <v>195</v>
      </c>
      <c r="AB165" s="61">
        <v>0</v>
      </c>
      <c r="AC165" s="61">
        <v>0</v>
      </c>
      <c r="AD165" s="61">
        <v>0</v>
      </c>
      <c r="AE165" s="61">
        <v>0</v>
      </c>
      <c r="AF165" s="69">
        <f>IF(W165="SOPORTE_TELEFÓNICO",'BASE LIQUIDACION'!$B$10,IF(Y165="TIPO I",'BASE LIQUIDACION'!$C$3,IF(Y165="TIPO II",'BASE LIQUIDACION'!$C$4,IF(Y165="TIPO III",'BASE LIQUIDACION'!$C$5,'BASE LIQUIDACION'!$C$7))))</f>
        <v>37904.65408</v>
      </c>
      <c r="AG165" s="96">
        <f>IF(W165="SOPORTE_TELEFÓNICO",'BASE LIQUIDACION'!$B$10,(AB165*AF165+AC165*'BASE LIQUIDACION'!$B$12+AD165*'BASE LIQUIDACION'!$B$11+INCIDENTES!AE165*'BASE LIQUIDACION'!$B$13))</f>
        <v>37904.65408</v>
      </c>
    </row>
    <row r="166" spans="1:33" s="4" customFormat="1">
      <c r="A166" s="109" t="s">
        <v>100</v>
      </c>
      <c r="B166" s="56" t="str">
        <f>VLOOKUP(A166,'CENTRO DE COSTOS'!A:D,4,FALSE)</f>
        <v>JUAN SEBASTIÁN RÍOS CASTRILLÓN</v>
      </c>
      <c r="C166" s="56" t="str">
        <f>VLOOKUP(A166,'CENTRO DE COSTOS'!A:D,2,FALSE)</f>
        <v>0004-0005</v>
      </c>
      <c r="D166" s="109">
        <v>5360</v>
      </c>
      <c r="E166" s="109">
        <v>2649707</v>
      </c>
      <c r="F166" s="109">
        <v>19695</v>
      </c>
      <c r="G166" s="109" t="s">
        <v>1996</v>
      </c>
      <c r="H166" s="109" t="s">
        <v>104</v>
      </c>
      <c r="I166" s="109" t="s">
        <v>537</v>
      </c>
      <c r="J166" s="109" t="s">
        <v>2146</v>
      </c>
      <c r="K166" s="109" t="s">
        <v>106</v>
      </c>
      <c r="L166" s="82" t="s">
        <v>2147</v>
      </c>
      <c r="M166" s="97">
        <v>45896.333333333343</v>
      </c>
      <c r="N166" s="97">
        <v>45896.695138888892</v>
      </c>
      <c r="O166" s="82" t="s">
        <v>1482</v>
      </c>
      <c r="P166" s="82" t="s">
        <v>1483</v>
      </c>
      <c r="Q166" s="82" t="s">
        <v>1484</v>
      </c>
      <c r="R166" s="82" t="s">
        <v>1485</v>
      </c>
      <c r="S166" s="82" t="s">
        <v>1486</v>
      </c>
      <c r="T166" s="82" t="s">
        <v>1486</v>
      </c>
      <c r="U166" s="82" t="s">
        <v>1487</v>
      </c>
      <c r="V166" s="82" t="s">
        <v>2148</v>
      </c>
      <c r="W166" s="82" t="s">
        <v>1489</v>
      </c>
      <c r="X166" s="82" t="s">
        <v>2149</v>
      </c>
      <c r="Y166" s="82" t="s">
        <v>113</v>
      </c>
      <c r="Z166" s="82" t="s">
        <v>114</v>
      </c>
      <c r="AA166" s="82" t="s">
        <v>1505</v>
      </c>
      <c r="AB166" s="61">
        <v>1</v>
      </c>
      <c r="AC166" s="61">
        <v>0</v>
      </c>
      <c r="AD166" s="61">
        <v>0</v>
      </c>
      <c r="AE166" s="61">
        <v>0</v>
      </c>
      <c r="AF166" s="69">
        <f>IF(W166="SOPORTE_TELEFÓNICO",'BASE LIQUIDACION'!$B$10,IF(Y166="TIPO I",'BASE LIQUIDACION'!$C$3,IF(Y166="TIPO II",'BASE LIQUIDACION'!$C$4,IF(Y166="TIPO III",'BASE LIQUIDACION'!$C$5,'BASE LIQUIDACION'!$C$7))))</f>
        <v>65960.473639999997</v>
      </c>
      <c r="AG166" s="96">
        <f>IF(W166="SOPORTE_TELEFÓNICO",'BASE LIQUIDACION'!$B$10,(AB166*AF166+AC166*'BASE LIQUIDACION'!$B$12+AD166*'BASE LIQUIDACION'!$B$11+INCIDENTES!AE166*'BASE LIQUIDACION'!$B$13))</f>
        <v>65960.473639999997</v>
      </c>
    </row>
    <row r="167" spans="1:33" s="4" customFormat="1">
      <c r="A167" s="109" t="s">
        <v>116</v>
      </c>
      <c r="B167" s="56" t="str">
        <f>VLOOKUP(A167,'CENTRO DE COSTOS'!A:D,4,FALSE)</f>
        <v>WILLIAM ASDRUBAL ROZO ROZO</v>
      </c>
      <c r="C167" s="56" t="str">
        <f>VLOOKUP(A167,'CENTRO DE COSTOS'!A:D,2,FALSE)</f>
        <v>0004-0004</v>
      </c>
      <c r="D167" s="109">
        <v>25126</v>
      </c>
      <c r="E167" s="109">
        <v>2645719</v>
      </c>
      <c r="F167" s="109">
        <v>57533</v>
      </c>
      <c r="G167" s="109" t="s">
        <v>1996</v>
      </c>
      <c r="H167" s="109" t="s">
        <v>118</v>
      </c>
      <c r="I167" s="109" t="s">
        <v>964</v>
      </c>
      <c r="J167" s="109" t="s">
        <v>2150</v>
      </c>
      <c r="K167" s="109" t="s">
        <v>106</v>
      </c>
      <c r="L167" s="82" t="s">
        <v>2151</v>
      </c>
      <c r="M167" s="97">
        <v>45895.46597222222</v>
      </c>
      <c r="N167" s="97">
        <v>45896.714583333327</v>
      </c>
      <c r="O167" s="82" t="s">
        <v>1482</v>
      </c>
      <c r="P167" s="82" t="s">
        <v>1483</v>
      </c>
      <c r="Q167" s="82" t="s">
        <v>1501</v>
      </c>
      <c r="R167" s="82" t="s">
        <v>1502</v>
      </c>
      <c r="S167" s="82" t="s">
        <v>1486</v>
      </c>
      <c r="T167" s="82" t="s">
        <v>1486</v>
      </c>
      <c r="U167" s="82" t="s">
        <v>1487</v>
      </c>
      <c r="V167" s="82" t="s">
        <v>2152</v>
      </c>
      <c r="W167" s="82" t="s">
        <v>1489</v>
      </c>
      <c r="X167" s="82" t="s">
        <v>2153</v>
      </c>
      <c r="Y167" s="82" t="s">
        <v>148</v>
      </c>
      <c r="Z167" s="82" t="s">
        <v>114</v>
      </c>
      <c r="AA167" s="82" t="s">
        <v>2078</v>
      </c>
      <c r="AB167" s="61">
        <v>1</v>
      </c>
      <c r="AC167" s="61">
        <v>0</v>
      </c>
      <c r="AD167" s="61">
        <v>0</v>
      </c>
      <c r="AE167" s="61">
        <v>0</v>
      </c>
      <c r="AF167" s="69">
        <f>IF(W167="SOPORTE_TELEFÓNICO",'BASE LIQUIDACION'!$B$10,IF(Y167="TIPO I",'BASE LIQUIDACION'!$C$3,IF(Y167="TIPO II",'BASE LIQUIDACION'!$C$4,IF(Y167="TIPO III",'BASE LIQUIDACION'!$C$5,'BASE LIQUIDACION'!$C$7))))</f>
        <v>163813.55812</v>
      </c>
      <c r="AG167" s="96">
        <f>IF(W167="SOPORTE_TELEFÓNICO",'BASE LIQUIDACION'!$B$10,(AB167*AF167+AC167*'BASE LIQUIDACION'!$B$12+AD167*'BASE LIQUIDACION'!$B$11+INCIDENTES!AE167*'BASE LIQUIDACION'!$B$13))</f>
        <v>163813.55812</v>
      </c>
    </row>
    <row r="168" spans="1:33" s="4" customFormat="1">
      <c r="A168" s="109" t="s">
        <v>622</v>
      </c>
      <c r="B168" s="56" t="str">
        <f>VLOOKUP(A168,'CENTRO DE COSTOS'!A:D,4,FALSE)</f>
        <v>JOSE MAURICIO HERNANDEZ ROJAS</v>
      </c>
      <c r="C168" s="56" t="str">
        <f>VLOOKUP(A168,'CENTRO DE COSTOS'!A:D,2,FALSE)</f>
        <v>0004-0001</v>
      </c>
      <c r="D168" s="109">
        <v>20001</v>
      </c>
      <c r="E168" s="109">
        <v>2653341</v>
      </c>
      <c r="F168" s="109">
        <v>28993</v>
      </c>
      <c r="G168" s="109" t="s">
        <v>1996</v>
      </c>
      <c r="H168" s="109" t="s">
        <v>868</v>
      </c>
      <c r="I168" s="109" t="s">
        <v>622</v>
      </c>
      <c r="J168" s="109" t="s">
        <v>2154</v>
      </c>
      <c r="K168" s="109" t="s">
        <v>106</v>
      </c>
      <c r="L168" s="82" t="s">
        <v>2155</v>
      </c>
      <c r="M168" s="97">
        <v>45896.589583333327</v>
      </c>
      <c r="N168" s="97">
        <v>45897.429861111108</v>
      </c>
      <c r="O168" s="82" t="s">
        <v>1482</v>
      </c>
      <c r="P168" s="82" t="s">
        <v>1483</v>
      </c>
      <c r="Q168" s="82" t="s">
        <v>1683</v>
      </c>
      <c r="R168" s="82" t="s">
        <v>1684</v>
      </c>
      <c r="S168" s="82" t="s">
        <v>1486</v>
      </c>
      <c r="T168" s="82" t="s">
        <v>1486</v>
      </c>
      <c r="U168" s="82" t="s">
        <v>1487</v>
      </c>
      <c r="V168" s="82" t="s">
        <v>2156</v>
      </c>
      <c r="W168" s="82" t="s">
        <v>1489</v>
      </c>
      <c r="X168" s="82" t="s">
        <v>2157</v>
      </c>
      <c r="Y168" s="82" t="s">
        <v>113</v>
      </c>
      <c r="Z168" s="82" t="s">
        <v>114</v>
      </c>
      <c r="AA168" s="82" t="s">
        <v>1539</v>
      </c>
      <c r="AB168" s="61">
        <v>1</v>
      </c>
      <c r="AC168" s="61">
        <v>0</v>
      </c>
      <c r="AD168" s="61">
        <v>0</v>
      </c>
      <c r="AE168" s="61">
        <v>0</v>
      </c>
      <c r="AF168" s="69">
        <f>IF(W168="SOPORTE_TELEFÓNICO",'BASE LIQUIDACION'!$B$10,IF(Y168="TIPO I",'BASE LIQUIDACION'!$C$3,IF(Y168="TIPO II",'BASE LIQUIDACION'!$C$4,IF(Y168="TIPO III",'BASE LIQUIDACION'!$C$5,'BASE LIQUIDACION'!$C$7))))</f>
        <v>65960.473639999997</v>
      </c>
      <c r="AG168" s="96">
        <f>IF(W168="SOPORTE_TELEFÓNICO",'BASE LIQUIDACION'!$B$10,(AB168*AF168+AC168*'BASE LIQUIDACION'!$B$12+AD168*'BASE LIQUIDACION'!$B$11+INCIDENTES!AE168*'BASE LIQUIDACION'!$B$13))</f>
        <v>65960.473639999997</v>
      </c>
    </row>
    <row r="169" spans="1:33" s="4" customFormat="1">
      <c r="A169" s="109" t="s">
        <v>303</v>
      </c>
      <c r="B169" s="56" t="str">
        <f>VLOOKUP(A169,'CENTRO DE COSTOS'!A:D,4,FALSE)</f>
        <v>MIGUEL JULIÁN HERNÁNDEZ GUARÍN</v>
      </c>
      <c r="C169" s="56" t="str">
        <f>VLOOKUP(A169,'CENTRO DE COSTOS'!A:D,2,FALSE)</f>
        <v>0004-0008</v>
      </c>
      <c r="D169" s="109">
        <v>54001</v>
      </c>
      <c r="E169" s="109">
        <v>2653177</v>
      </c>
      <c r="F169" s="109">
        <v>52854</v>
      </c>
      <c r="G169" s="109" t="s">
        <v>1996</v>
      </c>
      <c r="H169" s="109" t="s">
        <v>305</v>
      </c>
      <c r="I169" s="109" t="s">
        <v>303</v>
      </c>
      <c r="J169" s="109" t="s">
        <v>2158</v>
      </c>
      <c r="K169" s="109" t="s">
        <v>106</v>
      </c>
      <c r="L169" s="82" t="s">
        <v>2159</v>
      </c>
      <c r="M169" s="97">
        <v>45896.595833333333</v>
      </c>
      <c r="N169" s="97">
        <v>45897.451388888891</v>
      </c>
      <c r="O169" s="82" t="s">
        <v>1482</v>
      </c>
      <c r="P169" s="82" t="s">
        <v>1483</v>
      </c>
      <c r="Q169" s="82" t="s">
        <v>1484</v>
      </c>
      <c r="R169" s="82" t="s">
        <v>1485</v>
      </c>
      <c r="S169" s="82" t="s">
        <v>317</v>
      </c>
      <c r="T169" s="82" t="s">
        <v>317</v>
      </c>
      <c r="U169" s="82" t="s">
        <v>1487</v>
      </c>
      <c r="V169" s="82" t="s">
        <v>2160</v>
      </c>
      <c r="W169" s="82" t="s">
        <v>1489</v>
      </c>
      <c r="X169" s="82" t="s">
        <v>2161</v>
      </c>
      <c r="Y169" s="82" t="s">
        <v>113</v>
      </c>
      <c r="Z169" s="82" t="s">
        <v>114</v>
      </c>
      <c r="AA169" s="82" t="s">
        <v>311</v>
      </c>
      <c r="AB169" s="61">
        <v>1</v>
      </c>
      <c r="AC169" s="61">
        <v>0</v>
      </c>
      <c r="AD169" s="61">
        <v>0</v>
      </c>
      <c r="AE169" s="61">
        <v>0</v>
      </c>
      <c r="AF169" s="69">
        <f>IF(W169="SOPORTE_TELEFÓNICO",'BASE LIQUIDACION'!$B$10,IF(Y169="TIPO I",'BASE LIQUIDACION'!$C$3,IF(Y169="TIPO II",'BASE LIQUIDACION'!$C$4,IF(Y169="TIPO III",'BASE LIQUIDACION'!$C$5,'BASE LIQUIDACION'!$C$7))))</f>
        <v>65960.473639999997</v>
      </c>
      <c r="AG169" s="96">
        <f>IF(W169="SOPORTE_TELEFÓNICO",'BASE LIQUIDACION'!$B$10,(AB169*AF169+AC169*'BASE LIQUIDACION'!$B$12+AD169*'BASE LIQUIDACION'!$B$11+INCIDENTES!AE169*'BASE LIQUIDACION'!$B$13))</f>
        <v>65960.473639999997</v>
      </c>
    </row>
    <row r="170" spans="1:33" s="4" customFormat="1">
      <c r="A170" s="109" t="s">
        <v>171</v>
      </c>
      <c r="B170" s="56" t="str">
        <f>VLOOKUP(A170,'CENTRO DE COSTOS'!A:D,4,FALSE)</f>
        <v>MIGUEL JULIÁN HERNÁNDEZ GUARÍN</v>
      </c>
      <c r="C170" s="56" t="str">
        <f>VLOOKUP(A170,'CENTRO DE COSTOS'!A:D,2,FALSE)</f>
        <v>0004-0008</v>
      </c>
      <c r="D170" s="109">
        <v>68575</v>
      </c>
      <c r="E170" s="109">
        <v>2651261</v>
      </c>
      <c r="F170" s="109">
        <v>73235</v>
      </c>
      <c r="G170" s="109" t="s">
        <v>1996</v>
      </c>
      <c r="H170" s="109" t="s">
        <v>173</v>
      </c>
      <c r="I170" s="109" t="s">
        <v>1336</v>
      </c>
      <c r="J170" s="109" t="s">
        <v>2162</v>
      </c>
      <c r="K170" s="109" t="s">
        <v>106</v>
      </c>
      <c r="L170" s="82" t="s">
        <v>2163</v>
      </c>
      <c r="M170" s="97">
        <v>45896.423611111109</v>
      </c>
      <c r="N170" s="97">
        <v>45897.539583333331</v>
      </c>
      <c r="O170" s="82" t="s">
        <v>1482</v>
      </c>
      <c r="P170" s="82" t="s">
        <v>1483</v>
      </c>
      <c r="Q170" s="82" t="s">
        <v>1551</v>
      </c>
      <c r="R170" s="82" t="s">
        <v>1552</v>
      </c>
      <c r="S170" s="82" t="s">
        <v>317</v>
      </c>
      <c r="T170" s="82" t="s">
        <v>317</v>
      </c>
      <c r="U170" s="82" t="s">
        <v>1487</v>
      </c>
      <c r="V170" s="82" t="s">
        <v>2164</v>
      </c>
      <c r="W170" s="82" t="s">
        <v>1489</v>
      </c>
      <c r="X170" s="82" t="s">
        <v>2165</v>
      </c>
      <c r="Y170" s="82" t="s">
        <v>344</v>
      </c>
      <c r="Z170" s="82" t="s">
        <v>114</v>
      </c>
      <c r="AA170" s="82" t="s">
        <v>2166</v>
      </c>
      <c r="AB170" s="61">
        <v>1</v>
      </c>
      <c r="AC170" s="61">
        <v>0</v>
      </c>
      <c r="AD170" s="61">
        <v>0</v>
      </c>
      <c r="AE170" s="61">
        <v>0</v>
      </c>
      <c r="AF170" s="69">
        <f>IF(W170="SOPORTE_TELEFÓNICO",'BASE LIQUIDACION'!$B$10,IF(Y170="TIPO I",'BASE LIQUIDACION'!$C$3,IF(Y170="TIPO II",'BASE LIQUIDACION'!$C$4,IF(Y170="TIPO III",'BASE LIQUIDACION'!$C$5,'BASE LIQUIDACION'!$C$7))))</f>
        <v>479589.73656000005</v>
      </c>
      <c r="AG170" s="96">
        <f>IF(W170="SOPORTE_TELEFÓNICO",'BASE LIQUIDACION'!$B$10,(AB170*AF170+AC170*'BASE LIQUIDACION'!$B$12+AD170*'BASE LIQUIDACION'!$B$11+INCIDENTES!AE170*'BASE LIQUIDACION'!$B$13))</f>
        <v>479589.73656000005</v>
      </c>
    </row>
    <row r="171" spans="1:33" s="4" customFormat="1">
      <c r="A171" s="109" t="s">
        <v>100</v>
      </c>
      <c r="B171" s="56" t="str">
        <f>VLOOKUP(A171,'CENTRO DE COSTOS'!A:D,4,FALSE)</f>
        <v>JUAN SEBASTIÁN RÍOS CASTRILLÓN</v>
      </c>
      <c r="C171" s="56" t="str">
        <f>VLOOKUP(A171,'CENTRO DE COSTOS'!A:D,2,FALSE)</f>
        <v>0004-0005</v>
      </c>
      <c r="D171" s="109">
        <v>5088</v>
      </c>
      <c r="E171" s="109">
        <v>2653495</v>
      </c>
      <c r="F171" s="109">
        <v>16567</v>
      </c>
      <c r="G171" s="109" t="s">
        <v>1996</v>
      </c>
      <c r="H171" s="109" t="s">
        <v>104</v>
      </c>
      <c r="I171" s="109" t="s">
        <v>211</v>
      </c>
      <c r="J171" s="109" t="s">
        <v>2167</v>
      </c>
      <c r="K171" s="109" t="s">
        <v>106</v>
      </c>
      <c r="L171" s="82" t="s">
        <v>2168</v>
      </c>
      <c r="M171" s="97">
        <v>45896.612500000003</v>
      </c>
      <c r="N171" s="97">
        <v>45897.597222222219</v>
      </c>
      <c r="O171" s="82" t="s">
        <v>1482</v>
      </c>
      <c r="P171" s="82" t="s">
        <v>1483</v>
      </c>
      <c r="Q171" s="82" t="s">
        <v>1494</v>
      </c>
      <c r="R171" s="82" t="s">
        <v>1519</v>
      </c>
      <c r="S171" s="82" t="s">
        <v>1486</v>
      </c>
      <c r="T171" s="82" t="s">
        <v>1486</v>
      </c>
      <c r="U171" s="82" t="s">
        <v>1487</v>
      </c>
      <c r="V171" s="82" t="s">
        <v>2169</v>
      </c>
      <c r="W171" s="82" t="s">
        <v>1489</v>
      </c>
      <c r="X171" s="82" t="s">
        <v>2170</v>
      </c>
      <c r="Y171" s="82" t="s">
        <v>113</v>
      </c>
      <c r="Z171" s="82" t="s">
        <v>114</v>
      </c>
      <c r="AA171" s="82" t="s">
        <v>1976</v>
      </c>
      <c r="AB171" s="61">
        <v>1</v>
      </c>
      <c r="AC171" s="61">
        <v>0</v>
      </c>
      <c r="AD171" s="61">
        <v>0</v>
      </c>
      <c r="AE171" s="61">
        <v>0</v>
      </c>
      <c r="AF171" s="69">
        <f>IF(W171="SOPORTE_TELEFÓNICO",'BASE LIQUIDACION'!$B$10,IF(Y171="TIPO I",'BASE LIQUIDACION'!$C$3,IF(Y171="TIPO II",'BASE LIQUIDACION'!$C$4,IF(Y171="TIPO III",'BASE LIQUIDACION'!$C$5,'BASE LIQUIDACION'!$C$7))))</f>
        <v>65960.473639999997</v>
      </c>
      <c r="AG171" s="96">
        <f>IF(W171="SOPORTE_TELEFÓNICO",'BASE LIQUIDACION'!$B$10,(AB171*AF171+AC171*'BASE LIQUIDACION'!$B$12+AD171*'BASE LIQUIDACION'!$B$11+INCIDENTES!AE171*'BASE LIQUIDACION'!$B$13))</f>
        <v>65960.473639999997</v>
      </c>
    </row>
    <row r="172" spans="1:33" s="4" customFormat="1">
      <c r="A172" s="109" t="s">
        <v>171</v>
      </c>
      <c r="B172" s="56" t="str">
        <f>VLOOKUP(A172,'CENTRO DE COSTOS'!A:D,4,FALSE)</f>
        <v>MIGUEL JULIÁN HERNÁNDEZ GUARÍN</v>
      </c>
      <c r="C172" s="56" t="str">
        <f>VLOOKUP(A172,'CENTRO DE COSTOS'!A:D,2,FALSE)</f>
        <v>0004-0008</v>
      </c>
      <c r="D172" s="109">
        <v>68081</v>
      </c>
      <c r="E172" s="109">
        <v>2651856</v>
      </c>
      <c r="F172" s="109">
        <v>74053</v>
      </c>
      <c r="G172" s="109" t="s">
        <v>1996</v>
      </c>
      <c r="H172" s="109" t="s">
        <v>173</v>
      </c>
      <c r="I172" s="109" t="s">
        <v>1288</v>
      </c>
      <c r="J172" s="109" t="s">
        <v>2171</v>
      </c>
      <c r="K172" s="109" t="s">
        <v>106</v>
      </c>
      <c r="L172" s="82" t="s">
        <v>2172</v>
      </c>
      <c r="M172" s="97">
        <v>45896.463194444441</v>
      </c>
      <c r="N172" s="97">
        <v>45897.743750000001</v>
      </c>
      <c r="O172" s="82" t="s">
        <v>1482</v>
      </c>
      <c r="P172" s="82" t="s">
        <v>1483</v>
      </c>
      <c r="Q172" s="82" t="s">
        <v>1494</v>
      </c>
      <c r="R172" s="82" t="s">
        <v>1519</v>
      </c>
      <c r="S172" s="82" t="s">
        <v>317</v>
      </c>
      <c r="T172" s="82" t="s">
        <v>317</v>
      </c>
      <c r="U172" s="82" t="s">
        <v>1487</v>
      </c>
      <c r="V172" s="82" t="s">
        <v>2173</v>
      </c>
      <c r="W172" s="82" t="s">
        <v>1489</v>
      </c>
      <c r="X172" s="82" t="s">
        <v>2174</v>
      </c>
      <c r="Y172" s="82" t="s">
        <v>202</v>
      </c>
      <c r="Z172" s="82" t="s">
        <v>114</v>
      </c>
      <c r="AA172" s="82" t="s">
        <v>2166</v>
      </c>
      <c r="AB172" s="61">
        <v>1</v>
      </c>
      <c r="AC172" s="61">
        <v>0</v>
      </c>
      <c r="AD172" s="61">
        <v>0</v>
      </c>
      <c r="AE172" s="61">
        <v>0</v>
      </c>
      <c r="AF172" s="69">
        <f>IF(W172="SOPORTE_TELEFÓNICO",'BASE LIQUIDACION'!$B$10,IF(Y172="TIPO I",'BASE LIQUIDACION'!$C$3,IF(Y172="TIPO II",'BASE LIQUIDACION'!$C$4,IF(Y172="TIPO III",'BASE LIQUIDACION'!$C$5,'BASE LIQUIDACION'!$C$7))))</f>
        <v>275728.37943999999</v>
      </c>
      <c r="AG172" s="96">
        <f>IF(W172="SOPORTE_TELEFÓNICO",'BASE LIQUIDACION'!$B$10,(AB172*AF172+AC172*'BASE LIQUIDACION'!$B$12+AD172*'BASE LIQUIDACION'!$B$11+INCIDENTES!AE172*'BASE LIQUIDACION'!$B$13))</f>
        <v>275728.37943999999</v>
      </c>
    </row>
    <row r="173" spans="1:33" s="4" customFormat="1">
      <c r="A173" s="109" t="s">
        <v>100</v>
      </c>
      <c r="B173" s="56" t="str">
        <f>VLOOKUP(A173,'CENTRO DE COSTOS'!A:D,4,FALSE)</f>
        <v>JUAN SEBASTIÁN RÍOS CASTRILLÓN</v>
      </c>
      <c r="C173" s="56" t="str">
        <f>VLOOKUP(A173,'CENTRO DE COSTOS'!A:D,2,FALSE)</f>
        <v>0004-0005</v>
      </c>
      <c r="D173" s="109">
        <v>5264</v>
      </c>
      <c r="E173" s="109">
        <v>2651249</v>
      </c>
      <c r="F173" s="109">
        <v>72988</v>
      </c>
      <c r="G173" s="109" t="s">
        <v>1996</v>
      </c>
      <c r="H173" s="109" t="s">
        <v>104</v>
      </c>
      <c r="I173" s="109" t="s">
        <v>430</v>
      </c>
      <c r="J173" s="109" t="s">
        <v>2175</v>
      </c>
      <c r="K173" s="109" t="s">
        <v>106</v>
      </c>
      <c r="L173" s="82" t="s">
        <v>2176</v>
      </c>
      <c r="M173" s="97">
        <v>45896.422222222223</v>
      </c>
      <c r="N173" s="97">
        <v>45897.745833333327</v>
      </c>
      <c r="O173" s="82" t="s">
        <v>1482</v>
      </c>
      <c r="P173" s="82" t="s">
        <v>1483</v>
      </c>
      <c r="Q173" s="82" t="s">
        <v>1484</v>
      </c>
      <c r="R173" s="82" t="s">
        <v>1485</v>
      </c>
      <c r="S173" s="82" t="s">
        <v>1486</v>
      </c>
      <c r="T173" s="82" t="s">
        <v>1486</v>
      </c>
      <c r="U173" s="82" t="s">
        <v>1487</v>
      </c>
      <c r="V173" s="82" t="s">
        <v>2177</v>
      </c>
      <c r="W173" s="82" t="s">
        <v>1489</v>
      </c>
      <c r="X173" s="82" t="s">
        <v>2178</v>
      </c>
      <c r="Y173" s="82" t="s">
        <v>148</v>
      </c>
      <c r="Z173" s="82" t="s">
        <v>114</v>
      </c>
      <c r="AA173" s="82" t="s">
        <v>364</v>
      </c>
      <c r="AB173" s="61">
        <v>1</v>
      </c>
      <c r="AC173" s="61">
        <v>0</v>
      </c>
      <c r="AD173" s="61">
        <v>0</v>
      </c>
      <c r="AE173" s="61">
        <v>0</v>
      </c>
      <c r="AF173" s="69">
        <f>IF(W173="SOPORTE_TELEFÓNICO",'BASE LIQUIDACION'!$B$10,IF(Y173="TIPO I",'BASE LIQUIDACION'!$C$3,IF(Y173="TIPO II",'BASE LIQUIDACION'!$C$4,IF(Y173="TIPO III",'BASE LIQUIDACION'!$C$5,'BASE LIQUIDACION'!$C$7))))</f>
        <v>163813.55812</v>
      </c>
      <c r="AG173" s="96">
        <f>IF(W173="SOPORTE_TELEFÓNICO",'BASE LIQUIDACION'!$B$10,(AB173*AF173+AC173*'BASE LIQUIDACION'!$B$12+AD173*'BASE LIQUIDACION'!$B$11+INCIDENTES!AE173*'BASE LIQUIDACION'!$B$13))</f>
        <v>163813.55812</v>
      </c>
    </row>
    <row r="174" spans="1:33" s="4" customFormat="1">
      <c r="A174" s="109" t="s">
        <v>100</v>
      </c>
      <c r="B174" s="56" t="str">
        <f>VLOOKUP(A174,'CENTRO DE COSTOS'!A:D,4,FALSE)</f>
        <v>JUAN SEBASTIÁN RÍOS CASTRILLÓN</v>
      </c>
      <c r="C174" s="56" t="str">
        <f>VLOOKUP(A174,'CENTRO DE COSTOS'!A:D,2,FALSE)</f>
        <v>0004-0005</v>
      </c>
      <c r="D174" s="109">
        <v>5615</v>
      </c>
      <c r="E174" s="109">
        <v>2658470</v>
      </c>
      <c r="F174" s="109">
        <v>21112</v>
      </c>
      <c r="G174" s="109" t="s">
        <v>1996</v>
      </c>
      <c r="H174" s="109" t="s">
        <v>104</v>
      </c>
      <c r="I174" s="109" t="s">
        <v>483</v>
      </c>
      <c r="J174" s="109" t="s">
        <v>2179</v>
      </c>
      <c r="K174" s="109" t="s">
        <v>106</v>
      </c>
      <c r="L174" s="82" t="s">
        <v>2180</v>
      </c>
      <c r="M174" s="97">
        <v>45897.479861111111</v>
      </c>
      <c r="N174" s="97">
        <v>45898.387499999997</v>
      </c>
      <c r="O174" s="82" t="s">
        <v>1482</v>
      </c>
      <c r="P174" s="82" t="s">
        <v>1483</v>
      </c>
      <c r="Q174" s="82" t="s">
        <v>1494</v>
      </c>
      <c r="R174" s="82" t="s">
        <v>1495</v>
      </c>
      <c r="S174" s="82" t="s">
        <v>1583</v>
      </c>
      <c r="T174" s="82" t="s">
        <v>1583</v>
      </c>
      <c r="U174" s="82" t="s">
        <v>1487</v>
      </c>
      <c r="V174" s="82" t="s">
        <v>2181</v>
      </c>
      <c r="W174" s="82" t="s">
        <v>1526</v>
      </c>
      <c r="X174" s="82">
        <v>0</v>
      </c>
      <c r="Y174" s="82" t="s">
        <v>148</v>
      </c>
      <c r="Z174" s="82" t="s">
        <v>114</v>
      </c>
      <c r="AA174" s="82" t="s">
        <v>2182</v>
      </c>
      <c r="AB174" s="61">
        <v>0</v>
      </c>
      <c r="AC174" s="61">
        <v>0</v>
      </c>
      <c r="AD174" s="61">
        <v>0</v>
      </c>
      <c r="AE174" s="61">
        <v>0</v>
      </c>
      <c r="AF174" s="69">
        <f>IF(W174="SOPORTE_TELEFÓNICO",'BASE LIQUIDACION'!$B$10,IF(Y174="TIPO I",'BASE LIQUIDACION'!$C$3,IF(Y174="TIPO II",'BASE LIQUIDACION'!$C$4,IF(Y174="TIPO III",'BASE LIQUIDACION'!$C$5,'BASE LIQUIDACION'!$C$7))))</f>
        <v>37904.65408</v>
      </c>
      <c r="AG174" s="96">
        <f>IF(W174="SOPORTE_TELEFÓNICO",'BASE LIQUIDACION'!$B$10,(AB174*AF174+AC174*'BASE LIQUIDACION'!$B$12+AD174*'BASE LIQUIDACION'!$B$11+INCIDENTES!AE174*'BASE LIQUIDACION'!$B$13))</f>
        <v>37904.65408</v>
      </c>
    </row>
    <row r="175" spans="1:33" s="4" customFormat="1">
      <c r="A175" s="109" t="s">
        <v>100</v>
      </c>
      <c r="B175" s="56" t="str">
        <f>VLOOKUP(A175,'CENTRO DE COSTOS'!A:D,4,FALSE)</f>
        <v>JUAN SEBASTIÁN RÍOS CASTRILLÓN</v>
      </c>
      <c r="C175" s="56" t="str">
        <f>VLOOKUP(A175,'CENTRO DE COSTOS'!A:D,2,FALSE)</f>
        <v>0004-0005</v>
      </c>
      <c r="D175" s="109">
        <v>5001</v>
      </c>
      <c r="E175" s="109">
        <v>2664270</v>
      </c>
      <c r="F175" s="109">
        <v>23504</v>
      </c>
      <c r="G175" s="109" t="s">
        <v>1996</v>
      </c>
      <c r="H175" s="109" t="s">
        <v>104</v>
      </c>
      <c r="I175" s="109" t="s">
        <v>100</v>
      </c>
      <c r="J175" s="109" t="s">
        <v>2183</v>
      </c>
      <c r="K175" s="109" t="s">
        <v>106</v>
      </c>
      <c r="L175" s="82" t="s">
        <v>2184</v>
      </c>
      <c r="M175" s="97">
        <v>45898.475694444453</v>
      </c>
      <c r="N175" s="97">
        <v>45898.644444444442</v>
      </c>
      <c r="O175" s="82" t="s">
        <v>1482</v>
      </c>
      <c r="P175" s="82" t="s">
        <v>1483</v>
      </c>
      <c r="Q175" s="82" t="s">
        <v>1494</v>
      </c>
      <c r="R175" s="82" t="s">
        <v>1519</v>
      </c>
      <c r="S175" s="82" t="s">
        <v>1583</v>
      </c>
      <c r="T175" s="82" t="s">
        <v>1583</v>
      </c>
      <c r="U175" s="82" t="s">
        <v>1487</v>
      </c>
      <c r="V175" s="82" t="s">
        <v>2185</v>
      </c>
      <c r="W175" s="82" t="s">
        <v>1489</v>
      </c>
      <c r="X175" s="82" t="s">
        <v>2186</v>
      </c>
      <c r="Y175" s="82" t="s">
        <v>113</v>
      </c>
      <c r="Z175" s="82" t="s">
        <v>114</v>
      </c>
      <c r="AA175" s="82" t="s">
        <v>1976</v>
      </c>
      <c r="AB175" s="61">
        <v>1</v>
      </c>
      <c r="AC175" s="61">
        <v>0</v>
      </c>
      <c r="AD175" s="61">
        <v>0</v>
      </c>
      <c r="AE175" s="61">
        <v>0</v>
      </c>
      <c r="AF175" s="69">
        <f>IF(W175="SOPORTE_TELEFÓNICO",'BASE LIQUIDACION'!$B$10,IF(Y175="TIPO I",'BASE LIQUIDACION'!$C$3,IF(Y175="TIPO II",'BASE LIQUIDACION'!$C$4,IF(Y175="TIPO III",'BASE LIQUIDACION'!$C$5,'BASE LIQUIDACION'!$C$7))))</f>
        <v>65960.473639999997</v>
      </c>
      <c r="AG175" s="96">
        <f>IF(W175="SOPORTE_TELEFÓNICO",'BASE LIQUIDACION'!$B$10,(AB175*AF175+AC175*'BASE LIQUIDACION'!$B$12+AD175*'BASE LIQUIDACION'!$B$11+INCIDENTES!AE175*'BASE LIQUIDACION'!$B$13))</f>
        <v>65960.473639999997</v>
      </c>
    </row>
    <row r="176" spans="1:33" s="4" customFormat="1">
      <c r="A176" s="109" t="s">
        <v>100</v>
      </c>
      <c r="B176" s="56" t="str">
        <f>VLOOKUP(A176,'CENTRO DE COSTOS'!A:D,4,FALSE)</f>
        <v>JUAN SEBASTIÁN RÍOS CASTRILLÓN</v>
      </c>
      <c r="C176" s="56" t="str">
        <f>VLOOKUP(A176,'CENTRO DE COSTOS'!A:D,2,FALSE)</f>
        <v>0004-0005</v>
      </c>
      <c r="D176" s="109">
        <v>5001</v>
      </c>
      <c r="E176" s="109">
        <v>2664099</v>
      </c>
      <c r="F176" s="109">
        <v>18302</v>
      </c>
      <c r="G176" s="109" t="s">
        <v>1996</v>
      </c>
      <c r="H176" s="109" t="s">
        <v>104</v>
      </c>
      <c r="I176" s="109" t="s">
        <v>100</v>
      </c>
      <c r="J176" s="109" t="s">
        <v>2187</v>
      </c>
      <c r="K176" s="109" t="s">
        <v>106</v>
      </c>
      <c r="L176" s="82" t="s">
        <v>2188</v>
      </c>
      <c r="M176" s="97">
        <v>45898.462500000001</v>
      </c>
      <c r="N176" s="97">
        <v>45898.647222222222</v>
      </c>
      <c r="O176" s="82" t="s">
        <v>1482</v>
      </c>
      <c r="P176" s="82" t="s">
        <v>1483</v>
      </c>
      <c r="Q176" s="82" t="s">
        <v>1484</v>
      </c>
      <c r="R176" s="82" t="s">
        <v>1485</v>
      </c>
      <c r="S176" s="82" t="s">
        <v>1583</v>
      </c>
      <c r="T176" s="82" t="s">
        <v>1583</v>
      </c>
      <c r="U176" s="82" t="s">
        <v>1487</v>
      </c>
      <c r="V176" s="82" t="s">
        <v>2189</v>
      </c>
      <c r="W176" s="82" t="s">
        <v>1489</v>
      </c>
      <c r="X176" s="82" t="s">
        <v>2190</v>
      </c>
      <c r="Y176" s="82" t="s">
        <v>113</v>
      </c>
      <c r="Z176" s="82" t="s">
        <v>114</v>
      </c>
      <c r="AA176" s="82" t="s">
        <v>1505</v>
      </c>
      <c r="AB176" s="61">
        <v>1</v>
      </c>
      <c r="AC176" s="61">
        <v>0</v>
      </c>
      <c r="AD176" s="61">
        <v>0</v>
      </c>
      <c r="AE176" s="61">
        <v>0</v>
      </c>
      <c r="AF176" s="69">
        <f>IF(W176="SOPORTE_TELEFÓNICO",'BASE LIQUIDACION'!$B$10,IF(Y176="TIPO I",'BASE LIQUIDACION'!$C$3,IF(Y176="TIPO II",'BASE LIQUIDACION'!$C$4,IF(Y176="TIPO III",'BASE LIQUIDACION'!$C$5,'BASE LIQUIDACION'!$C$7))))</f>
        <v>65960.473639999997</v>
      </c>
      <c r="AG176" s="96">
        <f>IF(W176="SOPORTE_TELEFÓNICO",'BASE LIQUIDACION'!$B$10,(AB176*AF176+AC176*'BASE LIQUIDACION'!$B$12+AD176*'BASE LIQUIDACION'!$B$11+INCIDENTES!AE176*'BASE LIQUIDACION'!$B$13))</f>
        <v>65960.473639999997</v>
      </c>
    </row>
    <row r="177" spans="1:33" s="4" customFormat="1">
      <c r="A177" s="109" t="s">
        <v>100</v>
      </c>
      <c r="B177" s="56" t="str">
        <f>VLOOKUP(A177,'CENTRO DE COSTOS'!A:D,4,FALSE)</f>
        <v>JUAN SEBASTIÁN RÍOS CASTRILLÓN</v>
      </c>
      <c r="C177" s="56" t="str">
        <f>VLOOKUP(A177,'CENTRO DE COSTOS'!A:D,2,FALSE)</f>
        <v>0004-0005</v>
      </c>
      <c r="D177" s="109">
        <v>5001</v>
      </c>
      <c r="E177" s="109">
        <v>2662580</v>
      </c>
      <c r="F177" s="109">
        <v>21681</v>
      </c>
      <c r="G177" s="109" t="s">
        <v>1996</v>
      </c>
      <c r="H177" s="109" t="s">
        <v>104</v>
      </c>
      <c r="I177" s="109" t="s">
        <v>100</v>
      </c>
      <c r="J177" s="109" t="s">
        <v>2191</v>
      </c>
      <c r="K177" s="109" t="s">
        <v>106</v>
      </c>
      <c r="L177" s="82" t="s">
        <v>2192</v>
      </c>
      <c r="M177" s="97">
        <v>45898.379166666673</v>
      </c>
      <c r="N177" s="97">
        <v>45898.65625</v>
      </c>
      <c r="O177" s="82" t="s">
        <v>1482</v>
      </c>
      <c r="P177" s="82" t="s">
        <v>1483</v>
      </c>
      <c r="Q177" s="82" t="s">
        <v>1581</v>
      </c>
      <c r="R177" s="82" t="s">
        <v>1582</v>
      </c>
      <c r="S177" s="82" t="s">
        <v>1486</v>
      </c>
      <c r="T177" s="82" t="s">
        <v>1486</v>
      </c>
      <c r="U177" s="82" t="s">
        <v>1487</v>
      </c>
      <c r="V177" s="82" t="s">
        <v>2193</v>
      </c>
      <c r="W177" s="82" t="s">
        <v>1489</v>
      </c>
      <c r="X177" s="82" t="s">
        <v>2194</v>
      </c>
      <c r="Y177" s="82" t="s">
        <v>113</v>
      </c>
      <c r="Z177" s="82" t="s">
        <v>114</v>
      </c>
      <c r="AA177" s="82" t="s">
        <v>1976</v>
      </c>
      <c r="AB177" s="61">
        <v>1</v>
      </c>
      <c r="AC177" s="61">
        <v>0</v>
      </c>
      <c r="AD177" s="61">
        <v>0</v>
      </c>
      <c r="AE177" s="61">
        <v>0</v>
      </c>
      <c r="AF177" s="69">
        <f>IF(W177="SOPORTE_TELEFÓNICO",'BASE LIQUIDACION'!$B$10,IF(Y177="TIPO I",'BASE LIQUIDACION'!$C$3,IF(Y177="TIPO II",'BASE LIQUIDACION'!$C$4,IF(Y177="TIPO III",'BASE LIQUIDACION'!$C$5,'BASE LIQUIDACION'!$C$7))))</f>
        <v>65960.473639999997</v>
      </c>
      <c r="AG177" s="96">
        <f>IF(W177="SOPORTE_TELEFÓNICO",'BASE LIQUIDACION'!$B$10,(AB177*AF177+AC177*'BASE LIQUIDACION'!$B$12+AD177*'BASE LIQUIDACION'!$B$11+INCIDENTES!AE177*'BASE LIQUIDACION'!$B$13))</f>
        <v>65960.473639999997</v>
      </c>
    </row>
    <row r="178" spans="1:33" s="4" customFormat="1">
      <c r="A178" s="109" t="s">
        <v>375</v>
      </c>
      <c r="B178" s="56" t="str">
        <f>VLOOKUP(A178,'CENTRO DE COSTOS'!A:D,4,FALSE)</f>
        <v>DIEGO FERNANDO HENAO CARDONA</v>
      </c>
      <c r="C178" s="56" t="str">
        <f>VLOOKUP(A178,'CENTRO DE COSTOS'!A:D,2,FALSE)</f>
        <v>0004-0003</v>
      </c>
      <c r="D178" s="109">
        <v>52323</v>
      </c>
      <c r="E178" s="109">
        <v>2662657</v>
      </c>
      <c r="F178" s="109">
        <v>10155</v>
      </c>
      <c r="G178" s="109" t="s">
        <v>1996</v>
      </c>
      <c r="H178" s="109" t="s">
        <v>377</v>
      </c>
      <c r="I178" s="109" t="s">
        <v>1187</v>
      </c>
      <c r="J178" s="109" t="s">
        <v>2195</v>
      </c>
      <c r="K178" s="109" t="s">
        <v>106</v>
      </c>
      <c r="L178" s="82" t="s">
        <v>2196</v>
      </c>
      <c r="M178" s="97">
        <v>45898.37777777778</v>
      </c>
      <c r="N178" s="97">
        <v>45898.65902777778</v>
      </c>
      <c r="O178" s="82" t="s">
        <v>1482</v>
      </c>
      <c r="P178" s="82" t="s">
        <v>1483</v>
      </c>
      <c r="Q178" s="82" t="s">
        <v>1494</v>
      </c>
      <c r="R178" s="82" t="s">
        <v>1495</v>
      </c>
      <c r="S178" s="82" t="s">
        <v>1486</v>
      </c>
      <c r="T178" s="82" t="s">
        <v>1486</v>
      </c>
      <c r="U178" s="82" t="s">
        <v>1487</v>
      </c>
      <c r="V178" s="82" t="s">
        <v>2197</v>
      </c>
      <c r="W178" s="82" t="s">
        <v>1526</v>
      </c>
      <c r="X178" s="82">
        <v>0</v>
      </c>
      <c r="Y178" s="82" t="s">
        <v>148</v>
      </c>
      <c r="Z178" s="82" t="s">
        <v>114</v>
      </c>
      <c r="AA178" s="82" t="s">
        <v>2198</v>
      </c>
      <c r="AB178" s="61">
        <v>0</v>
      </c>
      <c r="AC178" s="61">
        <v>0</v>
      </c>
      <c r="AD178" s="61">
        <v>0</v>
      </c>
      <c r="AE178" s="61">
        <v>0</v>
      </c>
      <c r="AF178" s="69">
        <f>IF(W178="SOPORTE_TELEFÓNICO",'BASE LIQUIDACION'!$B$10,IF(Y178="TIPO I",'BASE LIQUIDACION'!$C$3,IF(Y178="TIPO II",'BASE LIQUIDACION'!$C$4,IF(Y178="TIPO III",'BASE LIQUIDACION'!$C$5,'BASE LIQUIDACION'!$C$7))))</f>
        <v>37904.65408</v>
      </c>
      <c r="AG178" s="96">
        <f>IF(W178="SOPORTE_TELEFÓNICO",'BASE LIQUIDACION'!$B$10,(AB178*AF178+AC178*'BASE LIQUIDACION'!$B$12+AD178*'BASE LIQUIDACION'!$B$11+INCIDENTES!AE178*'BASE LIQUIDACION'!$B$13))</f>
        <v>37904.65408</v>
      </c>
    </row>
    <row r="179" spans="1:33" s="4" customFormat="1">
      <c r="A179" s="109" t="s">
        <v>303</v>
      </c>
      <c r="B179" s="56" t="str">
        <f>VLOOKUP(A179,'CENTRO DE COSTOS'!A:D,4,FALSE)</f>
        <v>MIGUEL JULIÁN HERNÁNDEZ GUARÍN</v>
      </c>
      <c r="C179" s="56" t="str">
        <f>VLOOKUP(A179,'CENTRO DE COSTOS'!A:D,2,FALSE)</f>
        <v>0004-0008</v>
      </c>
      <c r="D179" s="109">
        <v>54001</v>
      </c>
      <c r="E179" s="109">
        <v>2663727</v>
      </c>
      <c r="F179" s="109">
        <v>47306</v>
      </c>
      <c r="G179" s="109" t="s">
        <v>1996</v>
      </c>
      <c r="H179" s="109" t="s">
        <v>305</v>
      </c>
      <c r="I179" s="109" t="s">
        <v>303</v>
      </c>
      <c r="J179" s="109" t="s">
        <v>2199</v>
      </c>
      <c r="K179" s="109" t="s">
        <v>106</v>
      </c>
      <c r="L179" s="82" t="s">
        <v>2200</v>
      </c>
      <c r="M179" s="97">
        <v>45898.438888888893</v>
      </c>
      <c r="N179" s="97">
        <v>45898.727777777778</v>
      </c>
      <c r="O179" s="82" t="s">
        <v>1482</v>
      </c>
      <c r="P179" s="82" t="s">
        <v>1483</v>
      </c>
      <c r="Q179" s="82" t="s">
        <v>1494</v>
      </c>
      <c r="R179" s="82" t="s">
        <v>1519</v>
      </c>
      <c r="S179" s="82" t="s">
        <v>1486</v>
      </c>
      <c r="T179" s="82" t="s">
        <v>1486</v>
      </c>
      <c r="U179" s="82" t="s">
        <v>1487</v>
      </c>
      <c r="V179" s="82" t="s">
        <v>2201</v>
      </c>
      <c r="W179" s="82" t="s">
        <v>1489</v>
      </c>
      <c r="X179" s="82" t="s">
        <v>2202</v>
      </c>
      <c r="Y179" s="82" t="s">
        <v>113</v>
      </c>
      <c r="Z179" s="82" t="s">
        <v>114</v>
      </c>
      <c r="AA179" s="82" t="s">
        <v>311</v>
      </c>
      <c r="AB179" s="61">
        <v>1</v>
      </c>
      <c r="AC179" s="61">
        <v>0</v>
      </c>
      <c r="AD179" s="61">
        <v>0</v>
      </c>
      <c r="AE179" s="61">
        <v>0</v>
      </c>
      <c r="AF179" s="69">
        <f>IF(W179="SOPORTE_TELEFÓNICO",'BASE LIQUIDACION'!$B$10,IF(Y179="TIPO I",'BASE LIQUIDACION'!$C$3,IF(Y179="TIPO II",'BASE LIQUIDACION'!$C$4,IF(Y179="TIPO III",'BASE LIQUIDACION'!$C$5,'BASE LIQUIDACION'!$C$7))))</f>
        <v>65960.473639999997</v>
      </c>
      <c r="AG179" s="96">
        <f>IF(W179="SOPORTE_TELEFÓNICO",'BASE LIQUIDACION'!$B$10,(AB179*AF179+AC179*'BASE LIQUIDACION'!$B$12+AD179*'BASE LIQUIDACION'!$B$11+INCIDENTES!AE179*'BASE LIQUIDACION'!$B$13))</f>
        <v>65960.473639999997</v>
      </c>
    </row>
    <row r="180" spans="1:33" s="4" customFormat="1">
      <c r="A180" s="109" t="s">
        <v>124</v>
      </c>
      <c r="B180" s="56" t="str">
        <f>VLOOKUP(A180,'CENTRO DE COSTOS'!A:D,4,FALSE)</f>
        <v>DIEGO FERNANDO HENAO CARDONA</v>
      </c>
      <c r="C180" s="56" t="str">
        <f>VLOOKUP(A180,'CENTRO DE COSTOS'!A:D,2,FALSE)</f>
        <v>0004-0002</v>
      </c>
      <c r="D180" s="109">
        <v>76622</v>
      </c>
      <c r="E180" s="109">
        <v>2663498</v>
      </c>
      <c r="F180" s="109">
        <v>29596</v>
      </c>
      <c r="G180" s="109" t="s">
        <v>1996</v>
      </c>
      <c r="H180" s="109" t="s">
        <v>134</v>
      </c>
      <c r="I180" s="109" t="s">
        <v>1442</v>
      </c>
      <c r="J180" s="109" t="s">
        <v>2203</v>
      </c>
      <c r="K180" s="109" t="s">
        <v>106</v>
      </c>
      <c r="L180" s="82" t="s">
        <v>2204</v>
      </c>
      <c r="M180" s="97">
        <v>45898.432638888888</v>
      </c>
      <c r="N180" s="97">
        <v>45899.397916666669</v>
      </c>
      <c r="O180" s="82" t="s">
        <v>1482</v>
      </c>
      <c r="P180" s="82" t="s">
        <v>1483</v>
      </c>
      <c r="Q180" s="82" t="s">
        <v>1494</v>
      </c>
      <c r="R180" s="82" t="s">
        <v>1495</v>
      </c>
      <c r="S180" s="82" t="s">
        <v>1486</v>
      </c>
      <c r="T180" s="82" t="s">
        <v>1486</v>
      </c>
      <c r="U180" s="82" t="s">
        <v>1487</v>
      </c>
      <c r="V180" s="82" t="s">
        <v>2205</v>
      </c>
      <c r="W180" s="82" t="s">
        <v>1526</v>
      </c>
      <c r="X180" s="82">
        <v>0</v>
      </c>
      <c r="Y180" s="82" t="s">
        <v>202</v>
      </c>
      <c r="Z180" s="82" t="s">
        <v>114</v>
      </c>
      <c r="AA180" s="82" t="s">
        <v>413</v>
      </c>
      <c r="AB180" s="61">
        <v>0</v>
      </c>
      <c r="AC180" s="61">
        <v>0</v>
      </c>
      <c r="AD180" s="61">
        <v>0</v>
      </c>
      <c r="AE180" s="61">
        <v>0</v>
      </c>
      <c r="AF180" s="69">
        <f>IF(W180="SOPORTE_TELEFÓNICO",'BASE LIQUIDACION'!$B$10,IF(Y180="TIPO I",'BASE LIQUIDACION'!$C$3,IF(Y180="TIPO II",'BASE LIQUIDACION'!$C$4,IF(Y180="TIPO III",'BASE LIQUIDACION'!$C$5,'BASE LIQUIDACION'!$C$7))))</f>
        <v>37904.65408</v>
      </c>
      <c r="AG180" s="96">
        <f>IF(W180="SOPORTE_TELEFÓNICO",'BASE LIQUIDACION'!$B$10,(AB180*AF180+AC180*'BASE LIQUIDACION'!$B$12+AD180*'BASE LIQUIDACION'!$B$11+INCIDENTES!AE180*'BASE LIQUIDACION'!$B$13))</f>
        <v>37904.65408</v>
      </c>
    </row>
    <row r="181" spans="1:33" s="4" customFormat="1">
      <c r="A181" s="109" t="s">
        <v>303</v>
      </c>
      <c r="B181" s="56" t="str">
        <f>VLOOKUP(A181,'CENTRO DE COSTOS'!A:D,4,FALSE)</f>
        <v>MIGUEL JULIÁN HERNÁNDEZ GUARÍN</v>
      </c>
      <c r="C181" s="56" t="str">
        <f>VLOOKUP(A181,'CENTRO DE COSTOS'!A:D,2,FALSE)</f>
        <v>0004-0008</v>
      </c>
      <c r="D181" s="109">
        <v>54001</v>
      </c>
      <c r="E181" s="109">
        <v>2668015</v>
      </c>
      <c r="F181" s="109">
        <v>27376</v>
      </c>
      <c r="G181" s="109" t="s">
        <v>1996</v>
      </c>
      <c r="H181" s="109" t="s">
        <v>305</v>
      </c>
      <c r="I181" s="109" t="s">
        <v>303</v>
      </c>
      <c r="J181" s="109" t="s">
        <v>2206</v>
      </c>
      <c r="K181" s="109" t="s">
        <v>106</v>
      </c>
      <c r="L181" s="82" t="s">
        <v>2207</v>
      </c>
      <c r="M181" s="97">
        <v>45899.361111111109</v>
      </c>
      <c r="N181" s="97">
        <v>45899.574305555558</v>
      </c>
      <c r="O181" s="82" t="s">
        <v>1482</v>
      </c>
      <c r="P181" s="82" t="s">
        <v>1483</v>
      </c>
      <c r="Q181" s="82" t="s">
        <v>1484</v>
      </c>
      <c r="R181" s="82" t="s">
        <v>1485</v>
      </c>
      <c r="S181" s="82" t="s">
        <v>1583</v>
      </c>
      <c r="T181" s="82" t="s">
        <v>1583</v>
      </c>
      <c r="U181" s="82" t="s">
        <v>1487</v>
      </c>
      <c r="V181" s="82" t="s">
        <v>2208</v>
      </c>
      <c r="W181" s="82" t="s">
        <v>1489</v>
      </c>
      <c r="X181" s="82" t="s">
        <v>2209</v>
      </c>
      <c r="Y181" s="82" t="s">
        <v>113</v>
      </c>
      <c r="Z181" s="82" t="s">
        <v>114</v>
      </c>
      <c r="AA181" s="82" t="s">
        <v>1531</v>
      </c>
      <c r="AB181" s="61">
        <v>1</v>
      </c>
      <c r="AC181" s="61">
        <v>0</v>
      </c>
      <c r="AD181" s="61">
        <v>0</v>
      </c>
      <c r="AE181" s="61">
        <v>0</v>
      </c>
      <c r="AF181" s="69">
        <f>IF(W181="SOPORTE_TELEFÓNICO",'BASE LIQUIDACION'!$B$10,IF(Y181="TIPO I",'BASE LIQUIDACION'!$C$3,IF(Y181="TIPO II",'BASE LIQUIDACION'!$C$4,IF(Y181="TIPO III",'BASE LIQUIDACION'!$C$5,'BASE LIQUIDACION'!$C$7))))</f>
        <v>65960.473639999997</v>
      </c>
      <c r="AG181" s="96">
        <f>IF(W181="SOPORTE_TELEFÓNICO",'BASE LIQUIDACION'!$B$10,(AB181*AF181+AC181*'BASE LIQUIDACION'!$B$12+AD181*'BASE LIQUIDACION'!$B$11+INCIDENTES!AE181*'BASE LIQUIDACION'!$B$13))</f>
        <v>65960.473639999997</v>
      </c>
    </row>
    <row r="182" spans="1:33" s="4" customFormat="1">
      <c r="A182" s="109" t="s">
        <v>132</v>
      </c>
      <c r="B182" s="56" t="str">
        <f>VLOOKUP(A182,'CENTRO DE COSTOS'!A:D,4,FALSE)</f>
        <v>DIEGO FERNANDO HENAO CARDONA</v>
      </c>
      <c r="C182" s="56" t="str">
        <f>VLOOKUP(A182,'CENTRO DE COSTOS'!A:D,2,FALSE)</f>
        <v>0004-0003</v>
      </c>
      <c r="D182" s="109">
        <v>76275</v>
      </c>
      <c r="E182" s="109">
        <v>2667578</v>
      </c>
      <c r="F182" s="109">
        <v>39685</v>
      </c>
      <c r="G182" s="109" t="s">
        <v>1996</v>
      </c>
      <c r="H182" s="109" t="s">
        <v>134</v>
      </c>
      <c r="I182" s="109" t="s">
        <v>1433</v>
      </c>
      <c r="J182" s="109" t="s">
        <v>2210</v>
      </c>
      <c r="K182" s="109" t="s">
        <v>106</v>
      </c>
      <c r="L182" s="82" t="s">
        <v>2211</v>
      </c>
      <c r="M182" s="97">
        <v>45899.333333333343</v>
      </c>
      <c r="N182" s="97">
        <v>45899.578472222223</v>
      </c>
      <c r="O182" s="82" t="s">
        <v>1482</v>
      </c>
      <c r="P182" s="82" t="s">
        <v>1483</v>
      </c>
      <c r="Q182" s="82" t="s">
        <v>1484</v>
      </c>
      <c r="R182" s="82" t="s">
        <v>1485</v>
      </c>
      <c r="S182" s="82" t="s">
        <v>1486</v>
      </c>
      <c r="T182" s="82" t="s">
        <v>1486</v>
      </c>
      <c r="U182" s="82" t="s">
        <v>1487</v>
      </c>
      <c r="V182" s="82" t="s">
        <v>2212</v>
      </c>
      <c r="W182" s="82" t="s">
        <v>1489</v>
      </c>
      <c r="X182" s="82" t="s">
        <v>2213</v>
      </c>
      <c r="Y182" s="82" t="s">
        <v>148</v>
      </c>
      <c r="Z182" s="82" t="s">
        <v>114</v>
      </c>
      <c r="AA182" s="82" t="s">
        <v>139</v>
      </c>
      <c r="AB182" s="61">
        <v>1</v>
      </c>
      <c r="AC182" s="61">
        <v>0</v>
      </c>
      <c r="AD182" s="61">
        <v>0</v>
      </c>
      <c r="AE182" s="61">
        <v>0</v>
      </c>
      <c r="AF182" s="69">
        <f>IF(W182="SOPORTE_TELEFÓNICO",'BASE LIQUIDACION'!$B$10,IF(Y182="TIPO I",'BASE LIQUIDACION'!$C$3,IF(Y182="TIPO II",'BASE LIQUIDACION'!$C$4,IF(Y182="TIPO III",'BASE LIQUIDACION'!$C$5,'BASE LIQUIDACION'!$C$7))))</f>
        <v>163813.55812</v>
      </c>
      <c r="AG182" s="96">
        <f>IF(W182="SOPORTE_TELEFÓNICO",'BASE LIQUIDACION'!$B$10,(AB182*AF182+AC182*'BASE LIQUIDACION'!$B$12+AD182*'BASE LIQUIDACION'!$B$11+INCIDENTES!AE182*'BASE LIQUIDACION'!$B$13))</f>
        <v>163813.55812</v>
      </c>
    </row>
    <row r="183" spans="1:33" s="4" customFormat="1">
      <c r="A183" s="109" t="s">
        <v>100</v>
      </c>
      <c r="B183" s="56" t="str">
        <f>VLOOKUP(A183,'CENTRO DE COSTOS'!A:D,4,FALSE)</f>
        <v>JUAN SEBASTIÁN RÍOS CASTRILLÓN</v>
      </c>
      <c r="C183" s="56" t="str">
        <f>VLOOKUP(A183,'CENTRO DE COSTOS'!A:D,2,FALSE)</f>
        <v>0004-0005</v>
      </c>
      <c r="D183" s="109">
        <v>5390</v>
      </c>
      <c r="E183" s="109">
        <v>2664339</v>
      </c>
      <c r="F183" s="109">
        <v>26868</v>
      </c>
      <c r="G183" s="109" t="s">
        <v>1996</v>
      </c>
      <c r="H183" s="109" t="s">
        <v>104</v>
      </c>
      <c r="I183" s="109" t="s">
        <v>542</v>
      </c>
      <c r="J183" s="109" t="s">
        <v>2214</v>
      </c>
      <c r="K183" s="109" t="s">
        <v>106</v>
      </c>
      <c r="L183" s="82" t="s">
        <v>2215</v>
      </c>
      <c r="M183" s="97">
        <v>45898.470138888893</v>
      </c>
      <c r="N183" s="97">
        <v>45899.584027777782</v>
      </c>
      <c r="O183" s="82" t="s">
        <v>1482</v>
      </c>
      <c r="P183" s="82" t="s">
        <v>1483</v>
      </c>
      <c r="Q183" s="82" t="s">
        <v>1484</v>
      </c>
      <c r="R183" s="82" t="s">
        <v>1485</v>
      </c>
      <c r="S183" s="82" t="s">
        <v>1486</v>
      </c>
      <c r="T183" s="82" t="s">
        <v>1486</v>
      </c>
      <c r="U183" s="82" t="s">
        <v>1487</v>
      </c>
      <c r="V183" s="82" t="s">
        <v>2216</v>
      </c>
      <c r="W183" s="82" t="s">
        <v>1489</v>
      </c>
      <c r="X183" s="82" t="s">
        <v>2217</v>
      </c>
      <c r="Y183" s="82" t="s">
        <v>148</v>
      </c>
      <c r="Z183" s="82" t="s">
        <v>114</v>
      </c>
      <c r="AA183" s="82" t="s">
        <v>1505</v>
      </c>
      <c r="AB183" s="61">
        <v>1</v>
      </c>
      <c r="AC183" s="61">
        <v>0</v>
      </c>
      <c r="AD183" s="61">
        <v>0</v>
      </c>
      <c r="AE183" s="61">
        <v>0</v>
      </c>
      <c r="AF183" s="69">
        <f>IF(W183="SOPORTE_TELEFÓNICO",'BASE LIQUIDACION'!$B$10,IF(Y183="TIPO I",'BASE LIQUIDACION'!$C$3,IF(Y183="TIPO II",'BASE LIQUIDACION'!$C$4,IF(Y183="TIPO III",'BASE LIQUIDACION'!$C$5,'BASE LIQUIDACION'!$C$7))))</f>
        <v>163813.55812</v>
      </c>
      <c r="AG183" s="96">
        <f>IF(W183="SOPORTE_TELEFÓNICO",'BASE LIQUIDACION'!$B$10,(AB183*AF183+AC183*'BASE LIQUIDACION'!$B$12+AD183*'BASE LIQUIDACION'!$B$11+INCIDENTES!AE183*'BASE LIQUIDACION'!$B$13))</f>
        <v>163813.55812</v>
      </c>
    </row>
    <row r="184" spans="1:33" s="4" customFormat="1">
      <c r="A184" s="109" t="s">
        <v>116</v>
      </c>
      <c r="B184" s="56" t="str">
        <f>VLOOKUP(A184,'CENTRO DE COSTOS'!A:D,4,FALSE)</f>
        <v>WILLIAM ASDRUBAL ROZO ROZO</v>
      </c>
      <c r="C184" s="56" t="str">
        <f>VLOOKUP(A184,'CENTRO DE COSTOS'!A:D,2,FALSE)</f>
        <v>0004-0004</v>
      </c>
      <c r="D184" s="109">
        <v>25754</v>
      </c>
      <c r="E184" s="109">
        <v>2667919</v>
      </c>
      <c r="F184" s="109">
        <v>72698</v>
      </c>
      <c r="G184" s="109" t="s">
        <v>1996</v>
      </c>
      <c r="H184" s="109" t="s">
        <v>118</v>
      </c>
      <c r="I184" s="109" t="s">
        <v>1029</v>
      </c>
      <c r="J184" s="109" t="s">
        <v>2218</v>
      </c>
      <c r="K184" s="109" t="s">
        <v>106</v>
      </c>
      <c r="L184" s="82" t="s">
        <v>2219</v>
      </c>
      <c r="M184" s="97">
        <v>45899.362500000003</v>
      </c>
      <c r="N184" s="97">
        <v>45899.591666666667</v>
      </c>
      <c r="O184" s="82" t="s">
        <v>1482</v>
      </c>
      <c r="P184" s="82" t="s">
        <v>1483</v>
      </c>
      <c r="Q184" s="82" t="s">
        <v>1494</v>
      </c>
      <c r="R184" s="82" t="s">
        <v>1495</v>
      </c>
      <c r="S184" s="82" t="s">
        <v>1486</v>
      </c>
      <c r="T184" s="82" t="s">
        <v>1486</v>
      </c>
      <c r="U184" s="82" t="s">
        <v>1487</v>
      </c>
      <c r="V184" s="82" t="s">
        <v>2220</v>
      </c>
      <c r="W184" s="82" t="s">
        <v>1489</v>
      </c>
      <c r="X184" s="82" t="s">
        <v>2221</v>
      </c>
      <c r="Y184" s="82" t="s">
        <v>113</v>
      </c>
      <c r="Z184" s="82" t="s">
        <v>114</v>
      </c>
      <c r="AA184" s="82" t="s">
        <v>297</v>
      </c>
      <c r="AB184" s="61">
        <v>1</v>
      </c>
      <c r="AC184" s="61">
        <v>0</v>
      </c>
      <c r="AD184" s="61">
        <v>0</v>
      </c>
      <c r="AE184" s="61">
        <v>0</v>
      </c>
      <c r="AF184" s="69">
        <f>IF(W184="SOPORTE_TELEFÓNICO",'BASE LIQUIDACION'!$B$10,IF(Y184="TIPO I",'BASE LIQUIDACION'!$C$3,IF(Y184="TIPO II",'BASE LIQUIDACION'!$C$4,IF(Y184="TIPO III",'BASE LIQUIDACION'!$C$5,'BASE LIQUIDACION'!$C$7))))</f>
        <v>65960.473639999997</v>
      </c>
      <c r="AG184" s="96">
        <f>IF(W184="SOPORTE_TELEFÓNICO",'BASE LIQUIDACION'!$B$10,(AB184*AF184+AC184*'BASE LIQUIDACION'!$B$12+AD184*'BASE LIQUIDACION'!$B$11+INCIDENTES!AE184*'BASE LIQUIDACION'!$B$13))</f>
        <v>65960.473639999997</v>
      </c>
    </row>
    <row r="185" spans="1:33" s="4" customFormat="1">
      <c r="A185" s="109" t="s">
        <v>100</v>
      </c>
      <c r="B185" s="56" t="str">
        <f>VLOOKUP(A185,'CENTRO DE COSTOS'!A:D,4,FALSE)</f>
        <v>JUAN SEBASTIÁN RÍOS CASTRILLÓN</v>
      </c>
      <c r="C185" s="56" t="str">
        <f>VLOOKUP(A185,'CENTRO DE COSTOS'!A:D,2,FALSE)</f>
        <v>0004-0005</v>
      </c>
      <c r="D185" s="109">
        <v>5001</v>
      </c>
      <c r="E185" s="109">
        <v>2668097</v>
      </c>
      <c r="F185" s="109">
        <v>39463</v>
      </c>
      <c r="G185" s="109" t="s">
        <v>1996</v>
      </c>
      <c r="H185" s="109" t="s">
        <v>104</v>
      </c>
      <c r="I185" s="109" t="s">
        <v>100</v>
      </c>
      <c r="J185" s="109" t="s">
        <v>2222</v>
      </c>
      <c r="K185" s="109" t="s">
        <v>106</v>
      </c>
      <c r="L185" s="82" t="s">
        <v>2223</v>
      </c>
      <c r="M185" s="97">
        <v>45899.464583333327</v>
      </c>
      <c r="N185" s="97">
        <v>45899.609027777777</v>
      </c>
      <c r="O185" s="82" t="s">
        <v>1482</v>
      </c>
      <c r="P185" s="82" t="s">
        <v>1483</v>
      </c>
      <c r="Q185" s="82" t="s">
        <v>1494</v>
      </c>
      <c r="R185" s="82" t="s">
        <v>1495</v>
      </c>
      <c r="S185" s="82" t="s">
        <v>1486</v>
      </c>
      <c r="T185" s="82" t="s">
        <v>1486</v>
      </c>
      <c r="U185" s="82" t="s">
        <v>1487</v>
      </c>
      <c r="V185" s="82" t="s">
        <v>2224</v>
      </c>
      <c r="W185" s="82" t="s">
        <v>1489</v>
      </c>
      <c r="X185" s="82" t="s">
        <v>2225</v>
      </c>
      <c r="Y185" s="82" t="s">
        <v>113</v>
      </c>
      <c r="Z185" s="82" t="s">
        <v>114</v>
      </c>
      <c r="AA185" s="82" t="s">
        <v>364</v>
      </c>
      <c r="AB185" s="61">
        <v>1</v>
      </c>
      <c r="AC185" s="61">
        <v>0</v>
      </c>
      <c r="AD185" s="61">
        <v>0</v>
      </c>
      <c r="AE185" s="61">
        <v>0</v>
      </c>
      <c r="AF185" s="69">
        <f>IF(W185="SOPORTE_TELEFÓNICO",'BASE LIQUIDACION'!$B$10,IF(Y185="TIPO I",'BASE LIQUIDACION'!$C$3,IF(Y185="TIPO II",'BASE LIQUIDACION'!$C$4,IF(Y185="TIPO III",'BASE LIQUIDACION'!$C$5,'BASE LIQUIDACION'!$C$7))))</f>
        <v>65960.473639999997</v>
      </c>
      <c r="AG185" s="96">
        <f>IF(W185="SOPORTE_TELEFÓNICO",'BASE LIQUIDACION'!$B$10,(AB185*AF185+AC185*'BASE LIQUIDACION'!$B$12+AD185*'BASE LIQUIDACION'!$B$11+INCIDENTES!AE185*'BASE LIQUIDACION'!$B$13))</f>
        <v>65960.473639999997</v>
      </c>
    </row>
    <row r="186" spans="1:33" s="4" customFormat="1">
      <c r="A186" s="109" t="s">
        <v>100</v>
      </c>
      <c r="B186" s="56" t="str">
        <f>VLOOKUP(A186,'CENTRO DE COSTOS'!A:D,4,FALSE)</f>
        <v>JUAN SEBASTIÁN RÍOS CASTRILLÓN</v>
      </c>
      <c r="C186" s="56" t="str">
        <f>VLOOKUP(A186,'CENTRO DE COSTOS'!A:D,2,FALSE)</f>
        <v>0004-0005</v>
      </c>
      <c r="D186" s="109">
        <v>5212</v>
      </c>
      <c r="E186" s="109">
        <v>2668395</v>
      </c>
      <c r="F186" s="109">
        <v>64922</v>
      </c>
      <c r="G186" s="109" t="s">
        <v>1996</v>
      </c>
      <c r="H186" s="109" t="s">
        <v>104</v>
      </c>
      <c r="I186" s="109" t="s">
        <v>521</v>
      </c>
      <c r="J186" s="109" t="s">
        <v>2226</v>
      </c>
      <c r="K186" s="109" t="s">
        <v>106</v>
      </c>
      <c r="L186" s="82" t="s">
        <v>2227</v>
      </c>
      <c r="M186" s="97">
        <v>45899.556944444441</v>
      </c>
      <c r="N186" s="97">
        <v>45900.472916666673</v>
      </c>
      <c r="O186" s="82" t="s">
        <v>1482</v>
      </c>
      <c r="P186" s="82" t="s">
        <v>1483</v>
      </c>
      <c r="Q186" s="82" t="s">
        <v>1797</v>
      </c>
      <c r="R186" s="82" t="s">
        <v>1519</v>
      </c>
      <c r="S186" s="82" t="s">
        <v>317</v>
      </c>
      <c r="T186" s="82" t="s">
        <v>317</v>
      </c>
      <c r="U186" s="82" t="s">
        <v>1487</v>
      </c>
      <c r="V186" s="82" t="s">
        <v>2228</v>
      </c>
      <c r="W186" s="82" t="s">
        <v>1526</v>
      </c>
      <c r="X186" s="82">
        <v>0</v>
      </c>
      <c r="Y186" s="82" t="s">
        <v>113</v>
      </c>
      <c r="Z186" s="82" t="s">
        <v>114</v>
      </c>
      <c r="AA186" s="82" t="s">
        <v>216</v>
      </c>
      <c r="AB186" s="61">
        <v>0</v>
      </c>
      <c r="AC186" s="61">
        <v>0</v>
      </c>
      <c r="AD186" s="61">
        <v>0</v>
      </c>
      <c r="AE186" s="61">
        <v>0</v>
      </c>
      <c r="AF186" s="69">
        <f>IF(W186="SOPORTE_TELEFÓNICO",'BASE LIQUIDACION'!$B$10,IF(Y186="TIPO I",'BASE LIQUIDACION'!$C$3,IF(Y186="TIPO II",'BASE LIQUIDACION'!$C$4,IF(Y186="TIPO III",'BASE LIQUIDACION'!$C$5,'BASE LIQUIDACION'!$C$7))))</f>
        <v>37904.65408</v>
      </c>
      <c r="AG186" s="96">
        <f>IF(W186="SOPORTE_TELEFÓNICO",'BASE LIQUIDACION'!$B$10,(AB186*AF186+AC186*'BASE LIQUIDACION'!$B$12+AD186*'BASE LIQUIDACION'!$B$11+INCIDENTES!AE186*'BASE LIQUIDACION'!$B$13))</f>
        <v>37904.65408</v>
      </c>
    </row>
    <row r="187" spans="1:33">
      <c r="AG187" s="79">
        <f>SUM(AG4:AG186)</f>
        <v>20560730.355479997</v>
      </c>
    </row>
  </sheetData>
  <protectedRanges>
    <protectedRange algorithmName="SHA-512" hashValue="CbntCM56YWgXHu4+OOrTghpH39pBZb4D6eBjK7U1usiFrpeJYUrWINoAXH/F78Kbl2TTiZ0gVzAwB/pZlIomZg==" saltValue="Rtsq70621ICfRzd7gOQdgg==" spinCount="100000" sqref="V4" name="Rango2_5_1"/>
    <protectedRange algorithmName="SHA-512" hashValue="CbntCM56YWgXHu4+OOrTghpH39pBZb4D6eBjK7U1usiFrpeJYUrWINoAXH/F78Kbl2TTiZ0gVzAwB/pZlIomZg==" saltValue="Rtsq70621ICfRzd7gOQdgg==" spinCount="100000" sqref="V5" name="Rango2_5_1_1"/>
    <protectedRange algorithmName="SHA-512" hashValue="CbntCM56YWgXHu4+OOrTghpH39pBZb4D6eBjK7U1usiFrpeJYUrWINoAXH/F78Kbl2TTiZ0gVzAwB/pZlIomZg==" saltValue="Rtsq70621ICfRzd7gOQdgg==" spinCount="100000" sqref="V6" name="Rango2_5_1_2"/>
    <protectedRange algorithmName="SHA-512" hashValue="CbntCM56YWgXHu4+OOrTghpH39pBZb4D6eBjK7U1usiFrpeJYUrWINoAXH/F78Kbl2TTiZ0gVzAwB/pZlIomZg==" saltValue="Rtsq70621ICfRzd7gOQdgg==" spinCount="100000" sqref="V7" name="Rango2_5_1_3"/>
    <protectedRange algorithmName="SHA-512" hashValue="CbntCM56YWgXHu4+OOrTghpH39pBZb4D6eBjK7U1usiFrpeJYUrWINoAXH/F78Kbl2TTiZ0gVzAwB/pZlIomZg==" saltValue="Rtsq70621ICfRzd7gOQdgg==" spinCount="100000" sqref="V8" name="Rango2_5_1_1_1"/>
    <protectedRange algorithmName="SHA-512" hashValue="CbntCM56YWgXHu4+OOrTghpH39pBZb4D6eBjK7U1usiFrpeJYUrWINoAXH/F78Kbl2TTiZ0gVzAwB/pZlIomZg==" saltValue="Rtsq70621ICfRzd7gOQdgg==" spinCount="100000" sqref="V9:V10" name="Rango2_5_1_1_2"/>
    <protectedRange algorithmName="SHA-512" hashValue="CbntCM56YWgXHu4+OOrTghpH39pBZb4D6eBjK7U1usiFrpeJYUrWINoAXH/F78Kbl2TTiZ0gVzAwB/pZlIomZg==" saltValue="Rtsq70621ICfRzd7gOQdgg==" spinCount="100000" sqref="V11" name="Rango2_5_1_1_4"/>
    <protectedRange algorithmName="SHA-512" hashValue="CbntCM56YWgXHu4+OOrTghpH39pBZb4D6eBjK7U1usiFrpeJYUrWINoAXH/F78Kbl2TTiZ0gVzAwB/pZlIomZg==" saltValue="Rtsq70621ICfRzd7gOQdgg==" spinCount="100000" sqref="V12:V13" name="Rango2_5_1_1_5"/>
    <protectedRange algorithmName="SHA-512" hashValue="CbntCM56YWgXHu4+OOrTghpH39pBZb4D6eBjK7U1usiFrpeJYUrWINoAXH/F78Kbl2TTiZ0gVzAwB/pZlIomZg==" saltValue="Rtsq70621ICfRzd7gOQdgg==" spinCount="100000" sqref="V14:V16" name="Rango2_5_1_1_6"/>
    <protectedRange algorithmName="SHA-512" hashValue="CbntCM56YWgXHu4+OOrTghpH39pBZb4D6eBjK7U1usiFrpeJYUrWINoAXH/F78Kbl2TTiZ0gVzAwB/pZlIomZg==" saltValue="Rtsq70621ICfRzd7gOQdgg==" spinCount="100000" sqref="V17" name="Rango2_5_1_1_7"/>
    <protectedRange algorithmName="SHA-512" hashValue="CbntCM56YWgXHu4+OOrTghpH39pBZb4D6eBjK7U1usiFrpeJYUrWINoAXH/F78Kbl2TTiZ0gVzAwB/pZlIomZg==" saltValue="Rtsq70621ICfRzd7gOQdgg==" spinCount="100000" sqref="V18" name="Rango2_5_1_1_8"/>
    <protectedRange algorithmName="SHA-512" hashValue="CbntCM56YWgXHu4+OOrTghpH39pBZb4D6eBjK7U1usiFrpeJYUrWINoAXH/F78Kbl2TTiZ0gVzAwB/pZlIomZg==" saltValue="Rtsq70621ICfRzd7gOQdgg==" spinCount="100000" sqref="V35" name="Rango2_5_1_3_1"/>
    <protectedRange algorithmName="SHA-512" hashValue="CbntCM56YWgXHu4+OOrTghpH39pBZb4D6eBjK7U1usiFrpeJYUrWINoAXH/F78Kbl2TTiZ0gVzAwB/pZlIomZg==" saltValue="Rtsq70621ICfRzd7gOQdgg==" spinCount="100000" sqref="V36" name="Rango2_5_1_3_2"/>
    <protectedRange algorithmName="SHA-512" hashValue="CbntCM56YWgXHu4+OOrTghpH39pBZb4D6eBjK7U1usiFrpeJYUrWINoAXH/F78Kbl2TTiZ0gVzAwB/pZlIomZg==" saltValue="Rtsq70621ICfRzd7gOQdgg==" spinCount="100000" sqref="V37:V38" name="Rango2_5_1_3_3"/>
    <protectedRange algorithmName="SHA-512" hashValue="CbntCM56YWgXHu4+OOrTghpH39pBZb4D6eBjK7U1usiFrpeJYUrWINoAXH/F78Kbl2TTiZ0gVzAwB/pZlIomZg==" saltValue="Rtsq70621ICfRzd7gOQdgg==" spinCount="100000" sqref="V39" name="Rango2_5_1_5"/>
    <protectedRange algorithmName="SHA-512" hashValue="CbntCM56YWgXHu4+OOrTghpH39pBZb4D6eBjK7U1usiFrpeJYUrWINoAXH/F78Kbl2TTiZ0gVzAwB/pZlIomZg==" saltValue="Rtsq70621ICfRzd7gOQdgg==" spinCount="100000" sqref="V40" name="Rango2_5_1_5_1"/>
    <protectedRange algorithmName="SHA-512" hashValue="CbntCM56YWgXHu4+OOrTghpH39pBZb4D6eBjK7U1usiFrpeJYUrWINoAXH/F78Kbl2TTiZ0gVzAwB/pZlIomZg==" saltValue="Rtsq70621ICfRzd7gOQdgg==" spinCount="100000" sqref="V41:V42" name="Rango2_5_1_5_2"/>
    <protectedRange algorithmName="SHA-512" hashValue="CbntCM56YWgXHu4+OOrTghpH39pBZb4D6eBjK7U1usiFrpeJYUrWINoAXH/F78Kbl2TTiZ0gVzAwB/pZlIomZg==" saltValue="Rtsq70621ICfRzd7gOQdgg==" spinCount="100000" sqref="V43" name="Rango2_5_1_5_3"/>
    <protectedRange algorithmName="SHA-512" hashValue="CbntCM56YWgXHu4+OOrTghpH39pBZb4D6eBjK7U1usiFrpeJYUrWINoAXH/F78Kbl2TTiZ0gVzAwB/pZlIomZg==" saltValue="Rtsq70621ICfRzd7gOQdgg==" spinCount="100000" sqref="V44:V45" name="Rango2_5_1_5_4"/>
    <protectedRange algorithmName="SHA-512" hashValue="CbntCM56YWgXHu4+OOrTghpH39pBZb4D6eBjK7U1usiFrpeJYUrWINoAXH/F78Kbl2TTiZ0gVzAwB/pZlIomZg==" saltValue="Rtsq70621ICfRzd7gOQdgg==" spinCount="100000" sqref="V46" name="Rango2_5_1_5_5"/>
    <protectedRange algorithmName="SHA-512" hashValue="CbntCM56YWgXHu4+OOrTghpH39pBZb4D6eBjK7U1usiFrpeJYUrWINoAXH/F78Kbl2TTiZ0gVzAwB/pZlIomZg==" saltValue="Rtsq70621ICfRzd7gOQdgg==" spinCount="100000" sqref="V47" name="Rango2_5_1_5_6"/>
    <protectedRange algorithmName="SHA-512" hashValue="CbntCM56YWgXHu4+OOrTghpH39pBZb4D6eBjK7U1usiFrpeJYUrWINoAXH/F78Kbl2TTiZ0gVzAwB/pZlIomZg==" saltValue="Rtsq70621ICfRzd7gOQdgg==" spinCount="100000" sqref="V48" name="Rango2_5_1_5_7"/>
    <protectedRange algorithmName="SHA-512" hashValue="CbntCM56YWgXHu4+OOrTghpH39pBZb4D6eBjK7U1usiFrpeJYUrWINoAXH/F78Kbl2TTiZ0gVzAwB/pZlIomZg==" saltValue="Rtsq70621ICfRzd7gOQdgg==" spinCount="100000" sqref="V49" name="Rango2_5_1_5_8"/>
    <protectedRange algorithmName="SHA-512" hashValue="CbntCM56YWgXHu4+OOrTghpH39pBZb4D6eBjK7U1usiFrpeJYUrWINoAXH/F78Kbl2TTiZ0gVzAwB/pZlIomZg==" saltValue="Rtsq70621ICfRzd7gOQdgg==" spinCount="100000" sqref="V50" name="Rango2_5_1_5_9"/>
    <protectedRange algorithmName="SHA-512" hashValue="CbntCM56YWgXHu4+OOrTghpH39pBZb4D6eBjK7U1usiFrpeJYUrWINoAXH/F78Kbl2TTiZ0gVzAwB/pZlIomZg==" saltValue="Rtsq70621ICfRzd7gOQdgg==" spinCount="100000" sqref="V51" name="Rango2_5_1_6"/>
    <protectedRange algorithmName="SHA-512" hashValue="CbntCM56YWgXHu4+OOrTghpH39pBZb4D6eBjK7U1usiFrpeJYUrWINoAXH/F78Kbl2TTiZ0gVzAwB/pZlIomZg==" saltValue="Rtsq70621ICfRzd7gOQdgg==" spinCount="100000" sqref="V52" name="Rango2_5_1_6_1"/>
    <protectedRange algorithmName="SHA-512" hashValue="CbntCM56YWgXHu4+OOrTghpH39pBZb4D6eBjK7U1usiFrpeJYUrWINoAXH/F78Kbl2TTiZ0gVzAwB/pZlIomZg==" saltValue="Rtsq70621ICfRzd7gOQdgg==" spinCount="100000" sqref="V53" name="Rango2_5_1_6_2"/>
    <protectedRange algorithmName="SHA-512" hashValue="CbntCM56YWgXHu4+OOrTghpH39pBZb4D6eBjK7U1usiFrpeJYUrWINoAXH/F78Kbl2TTiZ0gVzAwB/pZlIomZg==" saltValue="Rtsq70621ICfRzd7gOQdgg==" spinCount="100000" sqref="V54" name="Rango2_5_1_6_3"/>
    <protectedRange algorithmName="SHA-512" hashValue="CbntCM56YWgXHu4+OOrTghpH39pBZb4D6eBjK7U1usiFrpeJYUrWINoAXH/F78Kbl2TTiZ0gVzAwB/pZlIomZg==" saltValue="Rtsq70621ICfRzd7gOQdgg==" spinCount="100000" sqref="V55" name="Rango2_5_1_7"/>
    <protectedRange algorithmName="SHA-512" hashValue="CbntCM56YWgXHu4+OOrTghpH39pBZb4D6eBjK7U1usiFrpeJYUrWINoAXH/F78Kbl2TTiZ0gVzAwB/pZlIomZg==" saltValue="Rtsq70621ICfRzd7gOQdgg==" spinCount="100000" sqref="V56:V57" name="Rango2_5_1_7_1"/>
    <protectedRange algorithmName="SHA-512" hashValue="CbntCM56YWgXHu4+OOrTghpH39pBZb4D6eBjK7U1usiFrpeJYUrWINoAXH/F78Kbl2TTiZ0gVzAwB/pZlIomZg==" saltValue="Rtsq70621ICfRzd7gOQdgg==" spinCount="100000" sqref="V58" name="Rango2_5_1_7_2"/>
    <protectedRange algorithmName="SHA-512" hashValue="CbntCM56YWgXHu4+OOrTghpH39pBZb4D6eBjK7U1usiFrpeJYUrWINoAXH/F78Kbl2TTiZ0gVzAwB/pZlIomZg==" saltValue="Rtsq70621ICfRzd7gOQdgg==" spinCount="100000" sqref="V59" name="Rango2_5_1_7_3"/>
    <protectedRange algorithmName="SHA-512" hashValue="CbntCM56YWgXHu4+OOrTghpH39pBZb4D6eBjK7U1usiFrpeJYUrWINoAXH/F78Kbl2TTiZ0gVzAwB/pZlIomZg==" saltValue="Rtsq70621ICfRzd7gOQdgg==" spinCount="100000" sqref="V60" name="Rango2_5_1_7_4"/>
    <protectedRange algorithmName="SHA-512" hashValue="CbntCM56YWgXHu4+OOrTghpH39pBZb4D6eBjK7U1usiFrpeJYUrWINoAXH/F78Kbl2TTiZ0gVzAwB/pZlIomZg==" saltValue="Rtsq70621ICfRzd7gOQdgg==" spinCount="100000" sqref="V61" name="Rango2_5_1_7_5"/>
    <protectedRange algorithmName="SHA-512" hashValue="CbntCM56YWgXHu4+OOrTghpH39pBZb4D6eBjK7U1usiFrpeJYUrWINoAXH/F78Kbl2TTiZ0gVzAwB/pZlIomZg==" saltValue="Rtsq70621ICfRzd7gOQdgg==" spinCount="100000" sqref="V62" name="Rango2_5_1_7_6"/>
    <protectedRange algorithmName="SHA-512" hashValue="CbntCM56YWgXHu4+OOrTghpH39pBZb4D6eBjK7U1usiFrpeJYUrWINoAXH/F78Kbl2TTiZ0gVzAwB/pZlIomZg==" saltValue="Rtsq70621ICfRzd7gOQdgg==" spinCount="100000" sqref="V63" name="Rango2_5_1_7_7"/>
    <protectedRange algorithmName="SHA-512" hashValue="CbntCM56YWgXHu4+OOrTghpH39pBZb4D6eBjK7U1usiFrpeJYUrWINoAXH/F78Kbl2TTiZ0gVzAwB/pZlIomZg==" saltValue="Rtsq70621ICfRzd7gOQdgg==" spinCount="100000" sqref="V64" name="Rango2_5_1_7_8"/>
    <protectedRange algorithmName="SHA-512" hashValue="CbntCM56YWgXHu4+OOrTghpH39pBZb4D6eBjK7U1usiFrpeJYUrWINoAXH/F78Kbl2TTiZ0gVzAwB/pZlIomZg==" saltValue="Rtsq70621ICfRzd7gOQdgg==" spinCount="100000" sqref="V65" name="Rango2_5_1_7_9"/>
    <protectedRange algorithmName="SHA-512" hashValue="CbntCM56YWgXHu4+OOrTghpH39pBZb4D6eBjK7U1usiFrpeJYUrWINoAXH/F78Kbl2TTiZ0gVzAwB/pZlIomZg==" saltValue="Rtsq70621ICfRzd7gOQdgg==" spinCount="100000" sqref="V66:V67" name="Rango2_5_1_8"/>
    <protectedRange algorithmName="SHA-512" hashValue="CbntCM56YWgXHu4+OOrTghpH39pBZb4D6eBjK7U1usiFrpeJYUrWINoAXH/F78Kbl2TTiZ0gVzAwB/pZlIomZg==" saltValue="Rtsq70621ICfRzd7gOQdgg==" spinCount="100000" sqref="V68:V69" name="Rango2_5_1_8_1"/>
    <protectedRange algorithmName="SHA-512" hashValue="CbntCM56YWgXHu4+OOrTghpH39pBZb4D6eBjK7U1usiFrpeJYUrWINoAXH/F78Kbl2TTiZ0gVzAwB/pZlIomZg==" saltValue="Rtsq70621ICfRzd7gOQdgg==" spinCount="100000" sqref="V70" name="Rango2_5_1_8_2"/>
    <protectedRange algorithmName="SHA-512" hashValue="CbntCM56YWgXHu4+OOrTghpH39pBZb4D6eBjK7U1usiFrpeJYUrWINoAXH/F78Kbl2TTiZ0gVzAwB/pZlIomZg==" saltValue="Rtsq70621ICfRzd7gOQdgg==" spinCount="100000" sqref="V71:V72" name="Rango2_5_1_8_3"/>
    <protectedRange algorithmName="SHA-512" hashValue="CbntCM56YWgXHu4+OOrTghpH39pBZb4D6eBjK7U1usiFrpeJYUrWINoAXH/F78Kbl2TTiZ0gVzAwB/pZlIomZg==" saltValue="Rtsq70621ICfRzd7gOQdgg==" spinCount="100000" sqref="V73" name="Rango2_5_1_8_4"/>
    <protectedRange algorithmName="SHA-512" hashValue="CbntCM56YWgXHu4+OOrTghpH39pBZb4D6eBjK7U1usiFrpeJYUrWINoAXH/F78Kbl2TTiZ0gVzAwB/pZlIomZg==" saltValue="Rtsq70621ICfRzd7gOQdgg==" spinCount="100000" sqref="V74" name="Rango2_5_1_9"/>
    <protectedRange algorithmName="SHA-512" hashValue="CbntCM56YWgXHu4+OOrTghpH39pBZb4D6eBjK7U1usiFrpeJYUrWINoAXH/F78Kbl2TTiZ0gVzAwB/pZlIomZg==" saltValue="Rtsq70621ICfRzd7gOQdgg==" spinCount="100000" sqref="V75" name="Rango2_5_1_9_1"/>
    <protectedRange algorithmName="SHA-512" hashValue="CbntCM56YWgXHu4+OOrTghpH39pBZb4D6eBjK7U1usiFrpeJYUrWINoAXH/F78Kbl2TTiZ0gVzAwB/pZlIomZg==" saltValue="Rtsq70621ICfRzd7gOQdgg==" spinCount="100000" sqref="V76" name="Rango2_5_1_9_2"/>
    <protectedRange algorithmName="SHA-512" hashValue="CbntCM56YWgXHu4+OOrTghpH39pBZb4D6eBjK7U1usiFrpeJYUrWINoAXH/F78Kbl2TTiZ0gVzAwB/pZlIomZg==" saltValue="Rtsq70621ICfRzd7gOQdgg==" spinCount="100000" sqref="V77" name="Rango2_5_1_9_3"/>
    <protectedRange algorithmName="SHA-512" hashValue="CbntCM56YWgXHu4+OOrTghpH39pBZb4D6eBjK7U1usiFrpeJYUrWINoAXH/F78Kbl2TTiZ0gVzAwB/pZlIomZg==" saltValue="Rtsq70621ICfRzd7gOQdgg==" spinCount="100000" sqref="V78" name="Rango2_5_1_9_4"/>
    <protectedRange algorithmName="SHA-512" hashValue="CbntCM56YWgXHu4+OOrTghpH39pBZb4D6eBjK7U1usiFrpeJYUrWINoAXH/F78Kbl2TTiZ0gVzAwB/pZlIomZg==" saltValue="Rtsq70621ICfRzd7gOQdgg==" spinCount="100000" sqref="V79" name="Rango2_5_1_9_5"/>
    <protectedRange algorithmName="SHA-512" hashValue="CbntCM56YWgXHu4+OOrTghpH39pBZb4D6eBjK7U1usiFrpeJYUrWINoAXH/F78Kbl2TTiZ0gVzAwB/pZlIomZg==" saltValue="Rtsq70621ICfRzd7gOQdgg==" spinCount="100000" sqref="V80" name="Rango2_5_1_9_6"/>
    <protectedRange algorithmName="SHA-512" hashValue="CbntCM56YWgXHu4+OOrTghpH39pBZb4D6eBjK7U1usiFrpeJYUrWINoAXH/F78Kbl2TTiZ0gVzAwB/pZlIomZg==" saltValue="Rtsq70621ICfRzd7gOQdgg==" spinCount="100000" sqref="V81" name="Rango2_5_1_9_7"/>
    <protectedRange algorithmName="SHA-512" hashValue="CbntCM56YWgXHu4+OOrTghpH39pBZb4D6eBjK7U1usiFrpeJYUrWINoAXH/F78Kbl2TTiZ0gVzAwB/pZlIomZg==" saltValue="Rtsq70621ICfRzd7gOQdgg==" spinCount="100000" sqref="V82" name="Rango2_5_1_9_8"/>
    <protectedRange algorithmName="SHA-512" hashValue="CbntCM56YWgXHu4+OOrTghpH39pBZb4D6eBjK7U1usiFrpeJYUrWINoAXH/F78Kbl2TTiZ0gVzAwB/pZlIomZg==" saltValue="Rtsq70621ICfRzd7gOQdgg==" spinCount="100000" sqref="V83:V84" name="Rango2_5_1_9_9"/>
    <protectedRange algorithmName="SHA-512" hashValue="CbntCM56YWgXHu4+OOrTghpH39pBZb4D6eBjK7U1usiFrpeJYUrWINoAXH/F78Kbl2TTiZ0gVzAwB/pZlIomZg==" saltValue="Rtsq70621ICfRzd7gOQdgg==" spinCount="100000" sqref="V85" name="Rango2_5_1_9_10"/>
    <protectedRange algorithmName="SHA-512" hashValue="CbntCM56YWgXHu4+OOrTghpH39pBZb4D6eBjK7U1usiFrpeJYUrWINoAXH/F78Kbl2TTiZ0gVzAwB/pZlIomZg==" saltValue="Rtsq70621ICfRzd7gOQdgg==" spinCount="100000" sqref="V86" name="Rango2_5_1_9_11"/>
    <protectedRange algorithmName="SHA-512" hashValue="CbntCM56YWgXHu4+OOrTghpH39pBZb4D6eBjK7U1usiFrpeJYUrWINoAXH/F78Kbl2TTiZ0gVzAwB/pZlIomZg==" saltValue="Rtsq70621ICfRzd7gOQdgg==" spinCount="100000" sqref="V95" name="Rango2_5_1_11"/>
    <protectedRange algorithmName="SHA-512" hashValue="CbntCM56YWgXHu4+OOrTghpH39pBZb4D6eBjK7U1usiFrpeJYUrWINoAXH/F78Kbl2TTiZ0gVzAwB/pZlIomZg==" saltValue="Rtsq70621ICfRzd7gOQdgg==" spinCount="100000" sqref="V131:V132" name="Rango2_5_1_12"/>
    <protectedRange algorithmName="SHA-512" hashValue="CbntCM56YWgXHu4+OOrTghpH39pBZb4D6eBjK7U1usiFrpeJYUrWINoAXH/F78Kbl2TTiZ0gVzAwB/pZlIomZg==" saltValue="Rtsq70621ICfRzd7gOQdgg==" spinCount="100000" sqref="V133" name="Rango2_5_1_12_1"/>
    <protectedRange algorithmName="SHA-512" hashValue="CbntCM56YWgXHu4+OOrTghpH39pBZb4D6eBjK7U1usiFrpeJYUrWINoAXH/F78Kbl2TTiZ0gVzAwB/pZlIomZg==" saltValue="Rtsq70621ICfRzd7gOQdgg==" spinCount="100000" sqref="V134" name="Rango2_5_1_12_2"/>
    <protectedRange algorithmName="SHA-512" hashValue="CbntCM56YWgXHu4+OOrTghpH39pBZb4D6eBjK7U1usiFrpeJYUrWINoAXH/F78Kbl2TTiZ0gVzAwB/pZlIomZg==" saltValue="Rtsq70621ICfRzd7gOQdgg==" spinCount="100000" sqref="V135" name="Rango2_5_1_12_3"/>
    <protectedRange algorithmName="SHA-512" hashValue="CbntCM56YWgXHu4+OOrTghpH39pBZb4D6eBjK7U1usiFrpeJYUrWINoAXH/F78Kbl2TTiZ0gVzAwB/pZlIomZg==" saltValue="Rtsq70621ICfRzd7gOQdgg==" spinCount="100000" sqref="V136" name="Rango2_5_1_12_4"/>
    <protectedRange algorithmName="SHA-512" hashValue="CbntCM56YWgXHu4+OOrTghpH39pBZb4D6eBjK7U1usiFrpeJYUrWINoAXH/F78Kbl2TTiZ0gVzAwB/pZlIomZg==" saltValue="Rtsq70621ICfRzd7gOQdgg==" spinCount="100000" sqref="V137" name="Rango2_5_1_12_5"/>
    <protectedRange algorithmName="SHA-512" hashValue="CbntCM56YWgXHu4+OOrTghpH39pBZb4D6eBjK7U1usiFrpeJYUrWINoAXH/F78Kbl2TTiZ0gVzAwB/pZlIomZg==" saltValue="Rtsq70621ICfRzd7gOQdgg==" spinCount="100000" sqref="V138" name="Rango2_5_1_13"/>
    <protectedRange algorithmName="SHA-512" hashValue="CbntCM56YWgXHu4+OOrTghpH39pBZb4D6eBjK7U1usiFrpeJYUrWINoAXH/F78Kbl2TTiZ0gVzAwB/pZlIomZg==" saltValue="Rtsq70621ICfRzd7gOQdgg==" spinCount="100000" sqref="V139" name="Rango2_5_1_14"/>
  </protectedRanges>
  <conditionalFormatting sqref="E1:E1048576">
    <cfRule type="duplicateValues" dxfId="91" priority="1"/>
  </conditionalFormatting>
  <conditionalFormatting sqref="E4:E18">
    <cfRule type="duplicateValues" dxfId="90" priority="148"/>
    <cfRule type="duplicateValues" dxfId="89" priority="149"/>
    <cfRule type="duplicateValues" dxfId="88" priority="150"/>
  </conditionalFormatting>
  <conditionalFormatting sqref="E4:E147">
    <cfRule type="duplicateValues" dxfId="87" priority="157"/>
  </conditionalFormatting>
  <conditionalFormatting sqref="E4:E148">
    <cfRule type="duplicateValues" dxfId="86" priority="156"/>
  </conditionalFormatting>
  <conditionalFormatting sqref="E4:E167">
    <cfRule type="duplicateValues" dxfId="85" priority="155"/>
  </conditionalFormatting>
  <conditionalFormatting sqref="E4:E173">
    <cfRule type="duplicateValues" dxfId="84" priority="154"/>
  </conditionalFormatting>
  <conditionalFormatting sqref="E4:E185">
    <cfRule type="duplicateValues" dxfId="83" priority="153"/>
  </conditionalFormatting>
  <conditionalFormatting sqref="E4:E186">
    <cfRule type="duplicateValues" dxfId="82" priority="151"/>
    <cfRule type="duplicateValues" dxfId="81" priority="152"/>
  </conditionalFormatting>
  <conditionalFormatting sqref="E19:E27">
    <cfRule type="duplicateValues" dxfId="80" priority="145"/>
    <cfRule type="duplicateValues" dxfId="79" priority="146"/>
    <cfRule type="duplicateValues" dxfId="78" priority="147"/>
  </conditionalFormatting>
  <conditionalFormatting sqref="E28:E33">
    <cfRule type="duplicateValues" dxfId="77" priority="142"/>
    <cfRule type="duplicateValues" dxfId="76" priority="143"/>
    <cfRule type="duplicateValues" dxfId="75" priority="144"/>
  </conditionalFormatting>
  <conditionalFormatting sqref="E34:E61">
    <cfRule type="duplicateValues" dxfId="74" priority="139"/>
    <cfRule type="duplicateValues" dxfId="73" priority="140"/>
    <cfRule type="duplicateValues" dxfId="72" priority="141"/>
  </conditionalFormatting>
  <conditionalFormatting sqref="E62:E66">
    <cfRule type="duplicateValues" dxfId="71" priority="136"/>
    <cfRule type="duplicateValues" dxfId="70" priority="137"/>
    <cfRule type="duplicateValues" dxfId="69" priority="138"/>
  </conditionalFormatting>
  <conditionalFormatting sqref="E67:E74">
    <cfRule type="duplicateValues" dxfId="68" priority="133"/>
    <cfRule type="duplicateValues" dxfId="67" priority="134"/>
    <cfRule type="duplicateValues" dxfId="66" priority="135"/>
  </conditionalFormatting>
  <conditionalFormatting sqref="E75:E81">
    <cfRule type="duplicateValues" dxfId="65" priority="130"/>
    <cfRule type="duplicateValues" dxfId="64" priority="131"/>
    <cfRule type="duplicateValues" dxfId="63" priority="132"/>
  </conditionalFormatting>
  <conditionalFormatting sqref="E82:E91">
    <cfRule type="duplicateValues" dxfId="62" priority="127"/>
    <cfRule type="duplicateValues" dxfId="61" priority="128"/>
    <cfRule type="duplicateValues" dxfId="60" priority="129"/>
  </conditionalFormatting>
  <conditionalFormatting sqref="E92:E100">
    <cfRule type="duplicateValues" dxfId="59" priority="124"/>
    <cfRule type="duplicateValues" dxfId="58" priority="125"/>
    <cfRule type="duplicateValues" dxfId="57" priority="126"/>
  </conditionalFormatting>
  <conditionalFormatting sqref="E101:E108">
    <cfRule type="duplicateValues" dxfId="56" priority="121"/>
    <cfRule type="duplicateValues" dxfId="55" priority="122"/>
    <cfRule type="duplicateValues" dxfId="54" priority="123"/>
  </conditionalFormatting>
  <conditionalFormatting sqref="E109:E111">
    <cfRule type="duplicateValues" dxfId="53" priority="118"/>
    <cfRule type="duplicateValues" dxfId="52" priority="119"/>
    <cfRule type="duplicateValues" dxfId="51" priority="120"/>
  </conditionalFormatting>
  <conditionalFormatting sqref="E112:E125">
    <cfRule type="duplicateValues" dxfId="50" priority="115"/>
    <cfRule type="duplicateValues" dxfId="49" priority="116"/>
    <cfRule type="duplicateValues" dxfId="48" priority="117"/>
  </conditionalFormatting>
  <conditionalFormatting sqref="E126:E139">
    <cfRule type="duplicateValues" dxfId="47" priority="112"/>
    <cfRule type="duplicateValues" dxfId="46" priority="113"/>
    <cfRule type="duplicateValues" dxfId="45" priority="114"/>
  </conditionalFormatting>
  <conditionalFormatting sqref="E140:E147">
    <cfRule type="duplicateValues" dxfId="44" priority="109"/>
    <cfRule type="duplicateValues" dxfId="43" priority="110"/>
    <cfRule type="duplicateValues" dxfId="42" priority="111"/>
  </conditionalFormatting>
  <conditionalFormatting sqref="E148">
    <cfRule type="duplicateValues" dxfId="41" priority="102"/>
    <cfRule type="duplicateValues" dxfId="40" priority="103"/>
    <cfRule type="duplicateValues" dxfId="39" priority="104"/>
    <cfRule type="duplicateValues" dxfId="38" priority="105"/>
  </conditionalFormatting>
  <conditionalFormatting sqref="E149:E159">
    <cfRule type="duplicateValues" dxfId="37" priority="106"/>
    <cfRule type="duplicateValues" dxfId="36" priority="107"/>
    <cfRule type="duplicateValues" dxfId="35" priority="108"/>
  </conditionalFormatting>
  <conditionalFormatting sqref="E160:E167">
    <cfRule type="duplicateValues" dxfId="34" priority="99"/>
    <cfRule type="duplicateValues" dxfId="33" priority="100"/>
    <cfRule type="duplicateValues" dxfId="32" priority="101"/>
  </conditionalFormatting>
  <conditionalFormatting sqref="E168:E173">
    <cfRule type="duplicateValues" dxfId="31" priority="96"/>
    <cfRule type="duplicateValues" dxfId="30" priority="97"/>
    <cfRule type="duplicateValues" dxfId="29" priority="98"/>
  </conditionalFormatting>
  <conditionalFormatting sqref="E174:E185">
    <cfRule type="duplicateValues" dxfId="28" priority="93"/>
    <cfRule type="duplicateValues" dxfId="27" priority="94"/>
    <cfRule type="duplicateValues" dxfId="26" priority="95"/>
  </conditionalFormatting>
  <conditionalFormatting sqref="E186">
    <cfRule type="duplicateValues" dxfId="25" priority="90"/>
    <cfRule type="duplicateValues" dxfId="24" priority="91"/>
    <cfRule type="duplicateValues" dxfId="23" priority="92"/>
  </conditionalFormatting>
  <conditionalFormatting sqref="L4:L18">
    <cfRule type="duplicateValues" dxfId="22" priority="89"/>
  </conditionalFormatting>
  <conditionalFormatting sqref="L19:L27">
    <cfRule type="duplicateValues" dxfId="21" priority="88"/>
  </conditionalFormatting>
  <conditionalFormatting sqref="L28:L33">
    <cfRule type="duplicateValues" dxfId="20" priority="87"/>
  </conditionalFormatting>
  <conditionalFormatting sqref="L34:L61">
    <cfRule type="duplicateValues" dxfId="19" priority="86"/>
  </conditionalFormatting>
  <conditionalFormatting sqref="L62:L66">
    <cfRule type="duplicateValues" dxfId="18" priority="85"/>
  </conditionalFormatting>
  <conditionalFormatting sqref="L67:L74">
    <cfRule type="duplicateValues" dxfId="17" priority="84"/>
  </conditionalFormatting>
  <conditionalFormatting sqref="L75:L81">
    <cfRule type="duplicateValues" dxfId="16" priority="83"/>
  </conditionalFormatting>
  <conditionalFormatting sqref="L82:L91">
    <cfRule type="duplicateValues" dxfId="15" priority="82"/>
  </conditionalFormatting>
  <conditionalFormatting sqref="L92:L100">
    <cfRule type="duplicateValues" dxfId="14" priority="81"/>
  </conditionalFormatting>
  <conditionalFormatting sqref="L101:L108">
    <cfRule type="duplicateValues" dxfId="13" priority="80"/>
  </conditionalFormatting>
  <conditionalFormatting sqref="L109:L111">
    <cfRule type="duplicateValues" dxfId="12" priority="79"/>
  </conditionalFormatting>
  <conditionalFormatting sqref="L112:L125">
    <cfRule type="duplicateValues" dxfId="11" priority="78"/>
  </conditionalFormatting>
  <conditionalFormatting sqref="L126:L139">
    <cfRule type="duplicateValues" dxfId="10" priority="77"/>
  </conditionalFormatting>
  <conditionalFormatting sqref="L140:L147">
    <cfRule type="duplicateValues" dxfId="9" priority="76"/>
  </conditionalFormatting>
  <conditionalFormatting sqref="L148">
    <cfRule type="duplicateValues" dxfId="8" priority="74"/>
  </conditionalFormatting>
  <conditionalFormatting sqref="L149:L159">
    <cfRule type="duplicateValues" dxfId="7" priority="75"/>
  </conditionalFormatting>
  <conditionalFormatting sqref="L160:L167">
    <cfRule type="duplicateValues" dxfId="6" priority="73"/>
  </conditionalFormatting>
  <conditionalFormatting sqref="L168:L173">
    <cfRule type="duplicateValues" dxfId="5" priority="72"/>
  </conditionalFormatting>
  <conditionalFormatting sqref="L174:L185">
    <cfRule type="duplicateValues" dxfId="4" priority="71"/>
  </conditionalFormatting>
  <conditionalFormatting sqref="L186">
    <cfRule type="duplicateValues" dxfId="3" priority="70"/>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39997558519241921"/>
  </sheetPr>
  <dimension ref="A1:AG11"/>
  <sheetViews>
    <sheetView topLeftCell="N1" workbookViewId="0">
      <selection activeCell="AG14" sqref="AG14"/>
    </sheetView>
  </sheetViews>
  <sheetFormatPr baseColWidth="10" defaultColWidth="11.42578125" defaultRowHeight="12.75"/>
  <cols>
    <col min="1" max="1" width="15.42578125" style="72" bestFit="1" customWidth="1"/>
    <col min="2" max="2" width="20.85546875" style="72" customWidth="1"/>
    <col min="3" max="3" width="13.7109375" style="72" customWidth="1"/>
    <col min="4" max="4" width="13.140625" style="72" customWidth="1"/>
    <col min="5" max="5" width="11.7109375" style="72" bestFit="1" customWidth="1"/>
    <col min="6" max="6" width="14.5703125" style="72" bestFit="1" customWidth="1"/>
    <col min="7" max="7" width="12.7109375" style="72" customWidth="1"/>
    <col min="8" max="8" width="14.42578125" style="72" customWidth="1"/>
    <col min="9" max="12" width="11.42578125" style="72"/>
    <col min="13" max="13" width="14.7109375" style="72" bestFit="1" customWidth="1"/>
    <col min="14" max="14" width="14.28515625" style="72" bestFit="1" customWidth="1"/>
    <col min="15" max="15" width="22" bestFit="1" customWidth="1"/>
    <col min="16" max="16" width="12.7109375" style="72" customWidth="1"/>
    <col min="17" max="17" width="12.7109375" style="72" bestFit="1" customWidth="1"/>
    <col min="18" max="19" width="11.42578125" style="72"/>
    <col min="20" max="20" width="12.7109375" style="72" bestFit="1" customWidth="1"/>
    <col min="21" max="21" width="12.7109375" style="72" customWidth="1"/>
    <col min="22" max="23" width="11.42578125" style="72"/>
    <col min="24" max="24" width="11.7109375" style="72" bestFit="1" customWidth="1"/>
    <col min="25" max="27" width="11.42578125" style="72"/>
    <col min="28" max="32" width="11.7109375" style="72" bestFit="1" customWidth="1"/>
    <col min="33" max="33" width="12.140625" style="72" bestFit="1" customWidth="1"/>
    <col min="34" max="16384" width="11.42578125" style="72"/>
  </cols>
  <sheetData>
    <row r="1" spans="1:33" s="105" customFormat="1" ht="63.75">
      <c r="A1" s="98" t="s">
        <v>71</v>
      </c>
      <c r="B1" s="98" t="s">
        <v>43</v>
      </c>
      <c r="C1" s="98" t="s">
        <v>44</v>
      </c>
      <c r="D1" s="98" t="s">
        <v>72</v>
      </c>
      <c r="E1" s="98" t="s">
        <v>73</v>
      </c>
      <c r="F1" s="98" t="s">
        <v>74</v>
      </c>
      <c r="G1" s="57" t="s">
        <v>75</v>
      </c>
      <c r="H1" s="98" t="s">
        <v>77</v>
      </c>
      <c r="I1" s="98" t="s">
        <v>78</v>
      </c>
      <c r="J1" s="98" t="s">
        <v>79</v>
      </c>
      <c r="K1" s="98" t="s">
        <v>80</v>
      </c>
      <c r="L1" s="98" t="s">
        <v>81</v>
      </c>
      <c r="M1" s="98" t="s">
        <v>2229</v>
      </c>
      <c r="N1" s="98" t="s">
        <v>2230</v>
      </c>
      <c r="O1" s="92" t="s">
        <v>1469</v>
      </c>
      <c r="P1" s="98" t="s">
        <v>2231</v>
      </c>
      <c r="Q1" s="98" t="s">
        <v>2232</v>
      </c>
      <c r="R1" s="58" t="s">
        <v>84</v>
      </c>
      <c r="S1" s="58" t="s">
        <v>85</v>
      </c>
      <c r="T1" s="59" t="s">
        <v>86</v>
      </c>
      <c r="U1" s="98" t="s">
        <v>2233</v>
      </c>
      <c r="V1" s="98" t="s">
        <v>1473</v>
      </c>
      <c r="W1" s="98" t="s">
        <v>88</v>
      </c>
      <c r="X1" s="98" t="s">
        <v>2234</v>
      </c>
      <c r="Y1" s="98" t="s">
        <v>90</v>
      </c>
      <c r="Z1" s="98" t="s">
        <v>91</v>
      </c>
      <c r="AA1" s="59" t="s">
        <v>92</v>
      </c>
      <c r="AB1" s="98" t="s">
        <v>1475</v>
      </c>
      <c r="AC1" s="98" t="s">
        <v>95</v>
      </c>
      <c r="AD1" s="98" t="s">
        <v>1476</v>
      </c>
      <c r="AE1" s="98" t="s">
        <v>2235</v>
      </c>
      <c r="AF1" s="98" t="s">
        <v>2236</v>
      </c>
      <c r="AG1" s="98" t="s">
        <v>9</v>
      </c>
    </row>
    <row r="2" spans="1:33" s="105" customFormat="1" ht="15">
      <c r="A2" s="118" t="s">
        <v>71</v>
      </c>
      <c r="B2" s="118" t="s">
        <v>43</v>
      </c>
      <c r="C2" s="118" t="s">
        <v>2276</v>
      </c>
      <c r="D2" s="118" t="s">
        <v>2277</v>
      </c>
      <c r="E2" s="118" t="s">
        <v>73</v>
      </c>
      <c r="F2" s="118" t="s">
        <v>74</v>
      </c>
      <c r="G2" s="118" t="s">
        <v>75</v>
      </c>
      <c r="H2" s="118" t="s">
        <v>77</v>
      </c>
      <c r="I2" s="118" t="s">
        <v>78</v>
      </c>
      <c r="J2" s="118" t="s">
        <v>79</v>
      </c>
      <c r="K2" s="118" t="s">
        <v>80</v>
      </c>
      <c r="L2" s="118" t="s">
        <v>81</v>
      </c>
      <c r="M2" s="118" t="s">
        <v>2229</v>
      </c>
      <c r="N2" s="118" t="s">
        <v>1468</v>
      </c>
      <c r="O2" s="118" t="s">
        <v>1476</v>
      </c>
      <c r="P2" s="118" t="s">
        <v>2231</v>
      </c>
      <c r="Q2" s="118" t="s">
        <v>2275</v>
      </c>
      <c r="R2" s="118" t="s">
        <v>84</v>
      </c>
      <c r="S2" s="118" t="s">
        <v>85</v>
      </c>
      <c r="T2" s="118" t="s">
        <v>86</v>
      </c>
      <c r="U2" s="118" t="s">
        <v>2233</v>
      </c>
      <c r="V2" s="118" t="s">
        <v>87</v>
      </c>
      <c r="W2" s="118" t="s">
        <v>2279</v>
      </c>
      <c r="X2" s="118" t="s">
        <v>2280</v>
      </c>
      <c r="Y2" s="118" t="s">
        <v>90</v>
      </c>
      <c r="Z2" s="118" t="s">
        <v>91</v>
      </c>
      <c r="AA2" s="118" t="s">
        <v>2281</v>
      </c>
      <c r="AB2" s="118" t="s">
        <v>1475</v>
      </c>
      <c r="AC2" s="118" t="s">
        <v>95</v>
      </c>
      <c r="AD2" s="118" t="s">
        <v>1476</v>
      </c>
      <c r="AE2" s="118" t="s">
        <v>2235</v>
      </c>
      <c r="AF2" s="118" t="s">
        <v>2287</v>
      </c>
      <c r="AG2" s="118" t="s">
        <v>2288</v>
      </c>
    </row>
    <row r="3" spans="1:33" s="4" customFormat="1">
      <c r="A3" s="100" t="s">
        <v>322</v>
      </c>
      <c r="B3" s="66" t="str">
        <f>VLOOKUP(A3,'CENTRO DE COSTOS'!A:D,4,FALSE)</f>
        <v>KEVIN ALEXIS CORZO BUSTOS</v>
      </c>
      <c r="C3" s="61" t="str">
        <f>VLOOKUP(A3,'CENTRO DE COSTOS'!A:D,2,FALSE)</f>
        <v>0004-0007</v>
      </c>
      <c r="D3" s="100">
        <v>50001</v>
      </c>
      <c r="E3" s="100">
        <v>13784392</v>
      </c>
      <c r="F3" s="100">
        <v>67754</v>
      </c>
      <c r="G3" s="100" t="s">
        <v>2237</v>
      </c>
      <c r="H3" s="100" t="s">
        <v>324</v>
      </c>
      <c r="I3" s="100" t="s">
        <v>322</v>
      </c>
      <c r="J3" s="100" t="s">
        <v>2238</v>
      </c>
      <c r="K3" s="100" t="s">
        <v>106</v>
      </c>
      <c r="L3" s="100" t="s">
        <v>2239</v>
      </c>
      <c r="M3" s="101">
        <v>45870.703472222223</v>
      </c>
      <c r="N3" s="101">
        <v>45874.572222222225</v>
      </c>
      <c r="O3" s="61"/>
      <c r="P3" s="100" t="s">
        <v>2240</v>
      </c>
      <c r="Q3" s="100" t="s">
        <v>2241</v>
      </c>
      <c r="R3" s="102" t="s">
        <v>1486</v>
      </c>
      <c r="S3" s="103" t="s">
        <v>1486</v>
      </c>
      <c r="T3" s="100" t="s">
        <v>2242</v>
      </c>
      <c r="U3" s="100" t="s">
        <v>2243</v>
      </c>
      <c r="V3" s="100" t="s">
        <v>2244</v>
      </c>
      <c r="W3" s="100" t="s">
        <v>1489</v>
      </c>
      <c r="X3" s="100">
        <v>0</v>
      </c>
      <c r="Y3" s="104" t="s">
        <v>113</v>
      </c>
      <c r="Z3" s="66" t="str">
        <f>VLOOKUP(D3,TIPOLOGIAS!A:F,5,0)</f>
        <v>TERRESTRE</v>
      </c>
      <c r="AA3" s="100" t="s">
        <v>1535</v>
      </c>
      <c r="AB3" s="100">
        <v>1</v>
      </c>
      <c r="AC3" s="100">
        <v>0</v>
      </c>
      <c r="AD3" s="100">
        <v>0</v>
      </c>
      <c r="AE3" s="100">
        <v>0</v>
      </c>
      <c r="AF3" s="67">
        <f>IF(W3="SOPORTE_TELEFÓNICO",'BASE LIQUIDACION'!$B$10,IF(Y3="TIPO I",'BASE LIQUIDACION'!$C$3,IF(Y3="TIPO II",'BASE LIQUIDACION'!$C$4,IF(Y3="TIPO III",'BASE LIQUIDACION'!$C$5,'BASE LIQUIDACION'!$C$7))))</f>
        <v>65960.473639999997</v>
      </c>
      <c r="AG3" s="68">
        <f>IF(W3="SOPORTE_TELEFÓNICO",'BASE LIQUIDACION'!$B$10,(AB3*AF3+AC3*'BASE LIQUIDACION'!$B$13+AD3*'BASE LIQUIDACION'!$B$12+AE3*'BASE LIQUIDACION'!$B$11))</f>
        <v>65960.473639999997</v>
      </c>
    </row>
    <row r="4" spans="1:33">
      <c r="A4" s="100" t="s">
        <v>132</v>
      </c>
      <c r="B4" s="66" t="str">
        <f>VLOOKUP(A4,'CENTRO DE COSTOS'!A:D,4,FALSE)</f>
        <v>DIEGO FERNANDO HENAO CARDONA</v>
      </c>
      <c r="C4" s="61" t="str">
        <f>VLOOKUP(A4,'CENTRO DE COSTOS'!A:D,2,FALSE)</f>
        <v>0004-0003</v>
      </c>
      <c r="D4" s="100">
        <v>76001</v>
      </c>
      <c r="E4" s="100">
        <v>13874868</v>
      </c>
      <c r="F4" s="100">
        <v>74347</v>
      </c>
      <c r="G4" s="100" t="s">
        <v>2237</v>
      </c>
      <c r="H4" s="100" t="s">
        <v>134</v>
      </c>
      <c r="I4" s="100" t="s">
        <v>132</v>
      </c>
      <c r="J4" s="100" t="s">
        <v>2245</v>
      </c>
      <c r="K4" s="100" t="s">
        <v>106</v>
      </c>
      <c r="L4" s="100" t="s">
        <v>2246</v>
      </c>
      <c r="M4" s="101">
        <v>45882.333333333336</v>
      </c>
      <c r="N4" s="101">
        <v>45882.40625</v>
      </c>
      <c r="O4" s="61"/>
      <c r="P4" s="100" t="s">
        <v>2240</v>
      </c>
      <c r="Q4" s="100" t="s">
        <v>2240</v>
      </c>
      <c r="R4" s="102" t="s">
        <v>317</v>
      </c>
      <c r="S4" s="103" t="s">
        <v>318</v>
      </c>
      <c r="T4" s="100" t="s">
        <v>2247</v>
      </c>
      <c r="U4" s="100" t="s">
        <v>2248</v>
      </c>
      <c r="V4" s="100" t="s">
        <v>2249</v>
      </c>
      <c r="W4" s="100" t="s">
        <v>1526</v>
      </c>
      <c r="X4" s="100"/>
      <c r="Y4" s="104" t="s">
        <v>113</v>
      </c>
      <c r="Z4" s="66" t="str">
        <f>VLOOKUP(D4,TIPOLOGIAS!A:F,5,0)</f>
        <v>TERRESTRE</v>
      </c>
      <c r="AA4" s="100" t="s">
        <v>139</v>
      </c>
      <c r="AB4" s="100">
        <v>0</v>
      </c>
      <c r="AC4" s="100">
        <v>0</v>
      </c>
      <c r="AD4" s="100">
        <v>0</v>
      </c>
      <c r="AE4" s="100">
        <v>0</v>
      </c>
      <c r="AF4" s="67">
        <f>IF(W4="SOPORTE_TELEFÓNICO",'BASE LIQUIDACION'!$B$10,IF(Y4="TIPO I",'BASE LIQUIDACION'!$C$3,IF(Y4="TIPO II",'BASE LIQUIDACION'!$C$4,IF(Y4="TIPO III",'BASE LIQUIDACION'!$C$5,'BASE LIQUIDACION'!$C$7))))</f>
        <v>37904.65408</v>
      </c>
      <c r="AG4" s="68">
        <f>IF(W4="SOPORTE_TELEFÓNICO",'BASE LIQUIDACION'!$B$10,(AB4*AF4+AC4*'BASE LIQUIDACION'!$B$13+AD4*'BASE LIQUIDACION'!$B$12+AE4*'BASE LIQUIDACION'!$B$11))</f>
        <v>37904.65408</v>
      </c>
    </row>
    <row r="5" spans="1:33">
      <c r="A5" s="100" t="s">
        <v>116</v>
      </c>
      <c r="B5" s="66" t="str">
        <f>VLOOKUP(A5,'CENTRO DE COSTOS'!A:D,4,FALSE)</f>
        <v>WILLIAM ASDRUBAL ROZO ROZO</v>
      </c>
      <c r="C5" s="61" t="str">
        <f>VLOOKUP(A5,'CENTRO DE COSTOS'!A:D,2,FALSE)</f>
        <v>0004-0004</v>
      </c>
      <c r="D5" s="100">
        <v>11001</v>
      </c>
      <c r="E5" s="100">
        <v>13849471</v>
      </c>
      <c r="F5" s="100">
        <v>73244</v>
      </c>
      <c r="G5" s="100" t="s">
        <v>2237</v>
      </c>
      <c r="H5" s="100" t="s">
        <v>118</v>
      </c>
      <c r="I5" s="100" t="s">
        <v>116</v>
      </c>
      <c r="J5" s="100" t="s">
        <v>2250</v>
      </c>
      <c r="K5" s="100" t="s">
        <v>106</v>
      </c>
      <c r="L5" s="100" t="s">
        <v>2251</v>
      </c>
      <c r="M5" s="101">
        <v>45875.356944444444</v>
      </c>
      <c r="N5" s="101">
        <v>45883.348611111112</v>
      </c>
      <c r="O5" s="61"/>
      <c r="P5" s="100" t="s">
        <v>2240</v>
      </c>
      <c r="Q5" s="100" t="s">
        <v>2240</v>
      </c>
      <c r="R5" s="102" t="s">
        <v>317</v>
      </c>
      <c r="S5" s="103" t="s">
        <v>371</v>
      </c>
      <c r="T5" s="100" t="s">
        <v>2252</v>
      </c>
      <c r="U5" s="100" t="s">
        <v>2253</v>
      </c>
      <c r="V5" s="100" t="s">
        <v>2254</v>
      </c>
      <c r="W5" s="100" t="s">
        <v>1489</v>
      </c>
      <c r="X5" s="100" t="s">
        <v>2255</v>
      </c>
      <c r="Y5" s="104" t="s">
        <v>113</v>
      </c>
      <c r="Z5" s="66" t="str">
        <f>VLOOKUP(D5,TIPOLOGIAS!A:F,5,0)</f>
        <v>TERRESTRE</v>
      </c>
      <c r="AA5" s="100" t="s">
        <v>357</v>
      </c>
      <c r="AB5" s="100">
        <v>1</v>
      </c>
      <c r="AC5" s="100">
        <v>0</v>
      </c>
      <c r="AD5" s="100">
        <v>0</v>
      </c>
      <c r="AE5" s="100">
        <v>0</v>
      </c>
      <c r="AF5" s="67">
        <f>IF(W5="SOPORTE_TELEFÓNICO",'BASE LIQUIDACION'!$B$10,IF(Y5="TIPO I",'BASE LIQUIDACION'!$C$3,IF(Y5="TIPO II",'BASE LIQUIDACION'!$C$4,IF(Y5="TIPO III",'BASE LIQUIDACION'!$C$5,'BASE LIQUIDACION'!$C$7))))</f>
        <v>65960.473639999997</v>
      </c>
      <c r="AG5" s="68">
        <f>IF(W5="SOPORTE_TELEFÓNICO",'BASE LIQUIDACION'!$B$10,(AB5*AF5+AC5*'BASE LIQUIDACION'!$B$13+AD5*'BASE LIQUIDACION'!$B$12+AE5*'BASE LIQUIDACION'!$B$11))</f>
        <v>65960.473639999997</v>
      </c>
    </row>
    <row r="6" spans="1:33">
      <c r="A6" s="100" t="s">
        <v>116</v>
      </c>
      <c r="B6" s="66" t="str">
        <f>VLOOKUP(A6,'CENTRO DE COSTOS'!A:D,4,FALSE)</f>
        <v>WILLIAM ASDRUBAL ROZO ROZO</v>
      </c>
      <c r="C6" s="61" t="str">
        <f>VLOOKUP(A6,'CENTRO DE COSTOS'!A:D,2,FALSE)</f>
        <v>0004-0004</v>
      </c>
      <c r="D6" s="100">
        <v>11001</v>
      </c>
      <c r="E6" s="100">
        <v>13842774</v>
      </c>
      <c r="F6" s="100">
        <v>32053</v>
      </c>
      <c r="G6" s="100" t="s">
        <v>2237</v>
      </c>
      <c r="H6" s="100" t="s">
        <v>118</v>
      </c>
      <c r="I6" s="100" t="s">
        <v>116</v>
      </c>
      <c r="J6" s="100" t="s">
        <v>2256</v>
      </c>
      <c r="K6" s="100" t="s">
        <v>106</v>
      </c>
      <c r="L6" s="100" t="s">
        <v>2257</v>
      </c>
      <c r="M6" s="101">
        <v>45877.714583333334</v>
      </c>
      <c r="N6" s="101">
        <v>45883.502083333333</v>
      </c>
      <c r="O6" s="61"/>
      <c r="P6" s="100" t="s">
        <v>2240</v>
      </c>
      <c r="Q6" s="100" t="s">
        <v>2240</v>
      </c>
      <c r="R6" s="102" t="s">
        <v>1486</v>
      </c>
      <c r="S6" s="103" t="s">
        <v>1486</v>
      </c>
      <c r="T6" s="100" t="s">
        <v>2242</v>
      </c>
      <c r="U6" s="100" t="s">
        <v>2258</v>
      </c>
      <c r="V6" s="100" t="s">
        <v>2259</v>
      </c>
      <c r="W6" s="100" t="s">
        <v>1489</v>
      </c>
      <c r="X6" s="100">
        <v>0</v>
      </c>
      <c r="Y6" s="104" t="s">
        <v>113</v>
      </c>
      <c r="Z6" s="66" t="str">
        <f>VLOOKUP(D6,TIPOLOGIAS!A:F,5,0)</f>
        <v>TERRESTRE</v>
      </c>
      <c r="AA6" s="100" t="s">
        <v>1522</v>
      </c>
      <c r="AB6" s="100">
        <v>2</v>
      </c>
      <c r="AC6" s="100">
        <v>0</v>
      </c>
      <c r="AD6" s="100">
        <v>0</v>
      </c>
      <c r="AE6" s="100">
        <v>0</v>
      </c>
      <c r="AF6" s="67">
        <f>IF(W6="SOPORTE_TELEFÓNICO",'BASE LIQUIDACION'!$B$10,IF(Y6="TIPO I",'BASE LIQUIDACION'!$C$3,IF(Y6="TIPO II",'BASE LIQUIDACION'!$C$4,IF(Y6="TIPO III",'BASE LIQUIDACION'!$C$5,'BASE LIQUIDACION'!$C$7))))</f>
        <v>65960.473639999997</v>
      </c>
      <c r="AG6" s="68">
        <f>IF(W6="SOPORTE_TELEFÓNICO",'BASE LIQUIDACION'!$B$10,(AB6*AF6+AC6*'BASE LIQUIDACION'!$B$13+AD6*'BASE LIQUIDACION'!$B$12+AE6*'BASE LIQUIDACION'!$B$11))</f>
        <v>131920.94727999999</v>
      </c>
    </row>
    <row r="7" spans="1:33">
      <c r="A7" s="100" t="s">
        <v>124</v>
      </c>
      <c r="B7" s="66" t="str">
        <f>VLOOKUP(A7,'CENTRO DE COSTOS'!A:D,4,FALSE)</f>
        <v>DIEGO FERNANDO HENAO CARDONA</v>
      </c>
      <c r="C7" s="61" t="str">
        <f>VLOOKUP(A7,'CENTRO DE COSTOS'!A:D,2,FALSE)</f>
        <v>0004-0002</v>
      </c>
      <c r="D7" s="100">
        <v>66170</v>
      </c>
      <c r="E7" s="100">
        <v>13868364</v>
      </c>
      <c r="F7" s="100">
        <v>72300</v>
      </c>
      <c r="G7" s="100" t="s">
        <v>2237</v>
      </c>
      <c r="H7" s="100" t="s">
        <v>126</v>
      </c>
      <c r="I7" s="100" t="s">
        <v>1274</v>
      </c>
      <c r="J7" s="100" t="s">
        <v>2260</v>
      </c>
      <c r="K7" s="100" t="s">
        <v>106</v>
      </c>
      <c r="L7" s="100" t="s">
        <v>2261</v>
      </c>
      <c r="M7" s="101">
        <v>45882.70208333333</v>
      </c>
      <c r="N7" s="101">
        <v>45884.42083333333</v>
      </c>
      <c r="O7" s="61"/>
      <c r="P7" s="100" t="s">
        <v>2240</v>
      </c>
      <c r="Q7" s="100" t="s">
        <v>2240</v>
      </c>
      <c r="R7" s="102" t="s">
        <v>1486</v>
      </c>
      <c r="S7" s="103" t="s">
        <v>1486</v>
      </c>
      <c r="T7" s="100" t="s">
        <v>2242</v>
      </c>
      <c r="U7" s="100" t="s">
        <v>2258</v>
      </c>
      <c r="V7" s="100" t="s">
        <v>2262</v>
      </c>
      <c r="W7" s="100" t="s">
        <v>1489</v>
      </c>
      <c r="X7" s="100">
        <v>0</v>
      </c>
      <c r="Y7" s="104" t="s">
        <v>113</v>
      </c>
      <c r="Z7" s="66" t="str">
        <f>VLOOKUP(D7,TIPOLOGIAS!A:F,5,0)</f>
        <v>TERRESTRE</v>
      </c>
      <c r="AA7" s="100" t="s">
        <v>1825</v>
      </c>
      <c r="AB7" s="100">
        <v>1</v>
      </c>
      <c r="AC7" s="100">
        <v>0</v>
      </c>
      <c r="AD7" s="100">
        <v>0</v>
      </c>
      <c r="AE7" s="100">
        <v>0</v>
      </c>
      <c r="AF7" s="67">
        <f>IF(W7="SOPORTE_TELEFÓNICO",'BASE LIQUIDACION'!$B$10,IF(Y7="TIPO I",'BASE LIQUIDACION'!$C$3,IF(Y7="TIPO II",'BASE LIQUIDACION'!$C$4,IF(Y7="TIPO III",'BASE LIQUIDACION'!$C$5,'BASE LIQUIDACION'!$C$7))))</f>
        <v>65960.473639999997</v>
      </c>
      <c r="AG7" s="68">
        <f>IF(W7="SOPORTE_TELEFÓNICO",'BASE LIQUIDACION'!$B$10,(AB7*AF7+AC7*'BASE LIQUIDACION'!$B$13+AD7*'BASE LIQUIDACION'!$B$12+AE7*'BASE LIQUIDACION'!$B$11))</f>
        <v>65960.473639999997</v>
      </c>
    </row>
    <row r="8" spans="1:33">
      <c r="A8" s="100" t="s">
        <v>171</v>
      </c>
      <c r="B8" s="66" t="str">
        <f>VLOOKUP(A8,'CENTRO DE COSTOS'!A:D,4,FALSE)</f>
        <v>MIGUEL JULIÁN HERNÁNDEZ GUARÍN</v>
      </c>
      <c r="C8" s="61" t="str">
        <f>VLOOKUP(A8,'CENTRO DE COSTOS'!A:D,2,FALSE)</f>
        <v>0004-0008</v>
      </c>
      <c r="D8" s="100">
        <v>68001</v>
      </c>
      <c r="E8" s="100">
        <v>13846754</v>
      </c>
      <c r="F8" s="100">
        <v>62914</v>
      </c>
      <c r="G8" s="100" t="s">
        <v>2237</v>
      </c>
      <c r="H8" s="100" t="s">
        <v>173</v>
      </c>
      <c r="I8" s="100" t="s">
        <v>171</v>
      </c>
      <c r="J8" s="100" t="s">
        <v>2263</v>
      </c>
      <c r="K8" s="100" t="s">
        <v>106</v>
      </c>
      <c r="L8" s="100" t="s">
        <v>2264</v>
      </c>
      <c r="M8" s="101">
        <v>45882.70208333333</v>
      </c>
      <c r="N8" s="101">
        <v>45884.519444444442</v>
      </c>
      <c r="O8" s="61"/>
      <c r="P8" s="100" t="s">
        <v>2240</v>
      </c>
      <c r="Q8" s="100" t="s">
        <v>2240</v>
      </c>
      <c r="R8" s="102" t="s">
        <v>108</v>
      </c>
      <c r="S8" s="103" t="s">
        <v>1486</v>
      </c>
      <c r="T8" s="100" t="s">
        <v>2252</v>
      </c>
      <c r="U8" s="100" t="s">
        <v>2253</v>
      </c>
      <c r="V8" s="100" t="s">
        <v>2265</v>
      </c>
      <c r="W8" s="100" t="s">
        <v>1489</v>
      </c>
      <c r="X8" s="100" t="s">
        <v>2266</v>
      </c>
      <c r="Y8" s="104" t="s">
        <v>113</v>
      </c>
      <c r="Z8" s="66" t="str">
        <f>VLOOKUP(D8,TIPOLOGIAS!A:F,5,0)</f>
        <v>TERRESTRE</v>
      </c>
      <c r="AA8" s="100" t="s">
        <v>2166</v>
      </c>
      <c r="AB8" s="100">
        <v>1</v>
      </c>
      <c r="AC8" s="100">
        <v>0</v>
      </c>
      <c r="AD8" s="100">
        <v>0</v>
      </c>
      <c r="AE8" s="100">
        <v>0</v>
      </c>
      <c r="AF8" s="67">
        <f>IF(W8="SOPORTE_TELEFÓNICO",'BASE LIQUIDACION'!$B$10,IF(Y8="TIPO I",'BASE LIQUIDACION'!$C$3,IF(Y8="TIPO II",'BASE LIQUIDACION'!$C$4,IF(Y8="TIPO III",'BASE LIQUIDACION'!$C$5,'BASE LIQUIDACION'!$C$7))))</f>
        <v>65960.473639999997</v>
      </c>
      <c r="AG8" s="68">
        <f>IF(W8="SOPORTE_TELEFÓNICO",'BASE LIQUIDACION'!$B$10,(AB8*AF8+AC8*'BASE LIQUIDACION'!$B$13+AD8*'BASE LIQUIDACION'!$B$12+AE8*'BASE LIQUIDACION'!$B$11))</f>
        <v>65960.473639999997</v>
      </c>
    </row>
    <row r="9" spans="1:33">
      <c r="A9" s="100" t="s">
        <v>116</v>
      </c>
      <c r="B9" s="66" t="str">
        <f>VLOOKUP(A9,'CENTRO DE COSTOS'!A:D,4,FALSE)</f>
        <v>WILLIAM ASDRUBAL ROZO ROZO</v>
      </c>
      <c r="C9" s="61" t="str">
        <f>VLOOKUP(A9,'CENTRO DE COSTOS'!A:D,2,FALSE)</f>
        <v>0004-0004</v>
      </c>
      <c r="D9" s="100">
        <v>11001</v>
      </c>
      <c r="E9" s="100">
        <v>13856531</v>
      </c>
      <c r="F9" s="100">
        <v>62211</v>
      </c>
      <c r="G9" s="100" t="s">
        <v>2237</v>
      </c>
      <c r="H9" s="100" t="s">
        <v>118</v>
      </c>
      <c r="I9" s="100" t="s">
        <v>116</v>
      </c>
      <c r="J9" s="100" t="s">
        <v>2267</v>
      </c>
      <c r="K9" s="100" t="s">
        <v>106</v>
      </c>
      <c r="L9" s="100" t="s">
        <v>2268</v>
      </c>
      <c r="M9" s="101">
        <v>45882.70208333333</v>
      </c>
      <c r="N9" s="101">
        <v>45888.510416666664</v>
      </c>
      <c r="O9" s="61"/>
      <c r="P9" s="100" t="s">
        <v>2240</v>
      </c>
      <c r="Q9" s="100" t="s">
        <v>2240</v>
      </c>
      <c r="R9" s="102" t="s">
        <v>1486</v>
      </c>
      <c r="S9" s="103" t="s">
        <v>1486</v>
      </c>
      <c r="T9" s="100" t="s">
        <v>2252</v>
      </c>
      <c r="U9" s="100" t="s">
        <v>2253</v>
      </c>
      <c r="V9" s="100" t="s">
        <v>2269</v>
      </c>
      <c r="W9" s="100" t="s">
        <v>1489</v>
      </c>
      <c r="X9" s="100" t="s">
        <v>2270</v>
      </c>
      <c r="Y9" s="104" t="s">
        <v>113</v>
      </c>
      <c r="Z9" s="66" t="str">
        <f>VLOOKUP(D9,TIPOLOGIAS!A:F,5,0)</f>
        <v>TERRESTRE</v>
      </c>
      <c r="AA9" s="100" t="s">
        <v>1889</v>
      </c>
      <c r="AB9" s="100">
        <v>1</v>
      </c>
      <c r="AC9" s="100">
        <v>0</v>
      </c>
      <c r="AD9" s="100">
        <v>0</v>
      </c>
      <c r="AE9" s="100">
        <v>0</v>
      </c>
      <c r="AF9" s="67">
        <f>IF(W9="SOPORTE_TELEFÓNICO",'BASE LIQUIDACION'!$B$10,IF(Y9="TIPO I",'BASE LIQUIDACION'!$C$3,IF(Y9="TIPO II",'BASE LIQUIDACION'!$C$4,IF(Y9="TIPO III",'BASE LIQUIDACION'!$C$5,'BASE LIQUIDACION'!$C$7))))</f>
        <v>65960.473639999997</v>
      </c>
      <c r="AG9" s="68">
        <f>IF(W9="SOPORTE_TELEFÓNICO",'BASE LIQUIDACION'!$B$10,(AB9*AF9+AC9*'BASE LIQUIDACION'!$B$13+AD9*'BASE LIQUIDACION'!$B$12+AE9*'BASE LIQUIDACION'!$B$11))</f>
        <v>65960.473639999997</v>
      </c>
    </row>
    <row r="10" spans="1:33">
      <c r="A10" s="100" t="s">
        <v>132</v>
      </c>
      <c r="B10" s="66" t="str">
        <f>VLOOKUP(A10,'CENTRO DE COSTOS'!A:D,4,FALSE)</f>
        <v>DIEGO FERNANDO HENAO CARDONA</v>
      </c>
      <c r="C10" s="61" t="str">
        <f>VLOOKUP(A10,'CENTRO DE COSTOS'!A:D,2,FALSE)</f>
        <v>0004-0003</v>
      </c>
      <c r="D10" s="100">
        <v>76001</v>
      </c>
      <c r="E10" s="100">
        <v>13889932</v>
      </c>
      <c r="F10" s="100">
        <v>33651</v>
      </c>
      <c r="G10" s="100" t="s">
        <v>2237</v>
      </c>
      <c r="H10" s="100" t="s">
        <v>134</v>
      </c>
      <c r="I10" s="100" t="s">
        <v>132</v>
      </c>
      <c r="J10" s="100" t="s">
        <v>2271</v>
      </c>
      <c r="K10" s="100" t="s">
        <v>106</v>
      </c>
      <c r="L10" s="100" t="s">
        <v>2272</v>
      </c>
      <c r="M10" s="101">
        <v>45889.590277777781</v>
      </c>
      <c r="N10" s="101">
        <v>45891.43472222222</v>
      </c>
      <c r="O10" s="61"/>
      <c r="P10" s="100" t="s">
        <v>2240</v>
      </c>
      <c r="Q10" s="100" t="s">
        <v>2241</v>
      </c>
      <c r="R10" s="102" t="s">
        <v>1486</v>
      </c>
      <c r="S10" s="103" t="s">
        <v>1486</v>
      </c>
      <c r="T10" s="100" t="s">
        <v>2242</v>
      </c>
      <c r="U10" s="100" t="s">
        <v>2258</v>
      </c>
      <c r="V10" s="100" t="s">
        <v>2273</v>
      </c>
      <c r="W10" s="100" t="s">
        <v>1489</v>
      </c>
      <c r="X10" s="100">
        <v>0</v>
      </c>
      <c r="Y10" s="104" t="s">
        <v>113</v>
      </c>
      <c r="Z10" s="66" t="str">
        <f>VLOOKUP(D10,TIPOLOGIAS!A:F,5,0)</f>
        <v>TERRESTRE</v>
      </c>
      <c r="AA10" s="100" t="s">
        <v>1704</v>
      </c>
      <c r="AB10" s="100">
        <v>1</v>
      </c>
      <c r="AC10" s="100">
        <v>0</v>
      </c>
      <c r="AD10" s="100">
        <v>0</v>
      </c>
      <c r="AE10" s="100">
        <v>0</v>
      </c>
      <c r="AF10" s="67">
        <f>IF(W10="SOPORTE_TELEFÓNICO",'BASE LIQUIDACION'!$B$10,IF(Y10="TIPO I",'BASE LIQUIDACION'!$C$3,IF(Y10="TIPO II",'BASE LIQUIDACION'!$C$4,IF(Y10="TIPO III",'BASE LIQUIDACION'!$C$5,'BASE LIQUIDACION'!$C$7))))</f>
        <v>65960.473639999997</v>
      </c>
      <c r="AG10" s="68">
        <f>IF(W10="SOPORTE_TELEFÓNICO",'BASE LIQUIDACION'!$B$10,(AB10*AF10+AC10*'BASE LIQUIDACION'!$B$13+AD10*'BASE LIQUIDACION'!$B$12+AE10*'BASE LIQUIDACION'!$B$11))</f>
        <v>65960.473639999997</v>
      </c>
    </row>
    <row r="11" spans="1:33">
      <c r="AG11" s="99">
        <f>SUM(AG3:AG10)</f>
        <v>565588.44319999986</v>
      </c>
    </row>
  </sheetData>
  <conditionalFormatting sqref="E3:E10">
    <cfRule type="duplicateValues" dxfId="2" priority="1114"/>
    <cfRule type="duplicateValues" dxfId="1" priority="1115"/>
    <cfRule type="duplicateValues" dxfId="0" priority="1116"/>
  </conditionalFormatting>
  <dataValidations count="1">
    <dataValidation type="list" allowBlank="1" showInputMessage="1" showErrorMessage="1" sqref="U3 Q3" xr:uid="{BAF00D13-8563-4176-A3BC-AD1FFAE7B604}">
      <formula1>INDIRECT(P3)</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EC8A-9E29-4BF4-A0D7-5C2D955FB8B2}">
  <dimension ref="A1:D23"/>
  <sheetViews>
    <sheetView workbookViewId="0">
      <selection activeCell="A2" sqref="A2:D23"/>
    </sheetView>
  </sheetViews>
  <sheetFormatPr baseColWidth="10" defaultColWidth="11.42578125" defaultRowHeight="15"/>
  <cols>
    <col min="1" max="1" width="15.28515625" style="21" bestFit="1" customWidth="1"/>
    <col min="2" max="2" width="18.28515625" style="21" bestFit="1" customWidth="1"/>
    <col min="3" max="4" width="30.28515625" style="21" bestFit="1" customWidth="1"/>
    <col min="5" max="16384" width="11.42578125" style="21"/>
  </cols>
  <sheetData>
    <row r="1" spans="1:4">
      <c r="A1" s="20" t="s">
        <v>78</v>
      </c>
      <c r="B1" s="20" t="s">
        <v>2274</v>
      </c>
      <c r="C1" s="20" t="s">
        <v>2275</v>
      </c>
      <c r="D1" s="20" t="s">
        <v>43</v>
      </c>
    </row>
    <row r="2" spans="1:4">
      <c r="A2" s="40" t="s">
        <v>502</v>
      </c>
      <c r="B2" s="41" t="s">
        <v>58</v>
      </c>
      <c r="C2" s="41" t="s">
        <v>56</v>
      </c>
      <c r="D2" s="41" t="s">
        <v>57</v>
      </c>
    </row>
    <row r="3" spans="1:4">
      <c r="A3" s="42" t="s">
        <v>598</v>
      </c>
      <c r="B3" s="43" t="s">
        <v>55</v>
      </c>
      <c r="C3" s="43" t="s">
        <v>51</v>
      </c>
      <c r="D3" s="43" t="s">
        <v>54</v>
      </c>
    </row>
    <row r="4" spans="1:4">
      <c r="A4" s="42" t="s">
        <v>116</v>
      </c>
      <c r="B4" s="43" t="s">
        <v>67</v>
      </c>
      <c r="C4" s="43" t="s">
        <v>48</v>
      </c>
      <c r="D4" s="43" t="s">
        <v>66</v>
      </c>
    </row>
    <row r="5" spans="1:4">
      <c r="A5" s="42" t="s">
        <v>171</v>
      </c>
      <c r="B5" s="43" t="s">
        <v>64</v>
      </c>
      <c r="C5" s="43" t="s">
        <v>62</v>
      </c>
      <c r="D5" s="43" t="s">
        <v>63</v>
      </c>
    </row>
    <row r="6" spans="1:4">
      <c r="A6" s="42" t="s">
        <v>132</v>
      </c>
      <c r="B6" s="43" t="s">
        <v>52</v>
      </c>
      <c r="C6" s="43" t="s">
        <v>65</v>
      </c>
      <c r="D6" s="43" t="s">
        <v>49</v>
      </c>
    </row>
    <row r="7" spans="1:4">
      <c r="A7" s="42" t="s">
        <v>230</v>
      </c>
      <c r="B7" s="43" t="s">
        <v>55</v>
      </c>
      <c r="C7" s="43" t="s">
        <v>51</v>
      </c>
      <c r="D7" s="43" t="s">
        <v>54</v>
      </c>
    </row>
    <row r="8" spans="1:4">
      <c r="A8" s="42" t="s">
        <v>303</v>
      </c>
      <c r="B8" s="43" t="s">
        <v>64</v>
      </c>
      <c r="C8" s="43" t="s">
        <v>62</v>
      </c>
      <c r="D8" s="43" t="s">
        <v>63</v>
      </c>
    </row>
    <row r="9" spans="1:4">
      <c r="A9" s="42" t="s">
        <v>368</v>
      </c>
      <c r="B9" s="43" t="s">
        <v>61</v>
      </c>
      <c r="C9" s="43" t="s">
        <v>59</v>
      </c>
      <c r="D9" s="43" t="s">
        <v>60</v>
      </c>
    </row>
    <row r="10" spans="1:4">
      <c r="A10" s="42" t="s">
        <v>157</v>
      </c>
      <c r="B10" s="43" t="s">
        <v>61</v>
      </c>
      <c r="C10" s="43" t="s">
        <v>59</v>
      </c>
      <c r="D10" s="43" t="s">
        <v>60</v>
      </c>
    </row>
    <row r="11" spans="1:4">
      <c r="A11" s="42" t="s">
        <v>421</v>
      </c>
      <c r="B11" s="43" t="s">
        <v>50</v>
      </c>
      <c r="C11" s="43" t="s">
        <v>53</v>
      </c>
      <c r="D11" s="43" t="s">
        <v>49</v>
      </c>
    </row>
    <row r="12" spans="1:4">
      <c r="A12" s="42" t="s">
        <v>100</v>
      </c>
      <c r="B12" s="43" t="s">
        <v>58</v>
      </c>
      <c r="C12" s="43" t="s">
        <v>56</v>
      </c>
      <c r="D12" s="43" t="s">
        <v>57</v>
      </c>
    </row>
    <row r="13" spans="1:4">
      <c r="A13" s="42" t="s">
        <v>504</v>
      </c>
      <c r="B13" s="43" t="s">
        <v>55</v>
      </c>
      <c r="C13" s="43" t="s">
        <v>51</v>
      </c>
      <c r="D13" s="43" t="s">
        <v>54</v>
      </c>
    </row>
    <row r="14" spans="1:4">
      <c r="A14" s="42" t="s">
        <v>365</v>
      </c>
      <c r="B14" s="43" t="s">
        <v>61</v>
      </c>
      <c r="C14" s="43" t="s">
        <v>59</v>
      </c>
      <c r="D14" s="43" t="s">
        <v>60</v>
      </c>
    </row>
    <row r="15" spans="1:4">
      <c r="A15" s="42" t="s">
        <v>375</v>
      </c>
      <c r="B15" s="43" t="s">
        <v>52</v>
      </c>
      <c r="C15" s="43" t="s">
        <v>65</v>
      </c>
      <c r="D15" s="43" t="s">
        <v>49</v>
      </c>
    </row>
    <row r="16" spans="1:4">
      <c r="A16" s="42" t="s">
        <v>124</v>
      </c>
      <c r="B16" s="43" t="s">
        <v>50</v>
      </c>
      <c r="C16" s="43" t="s">
        <v>53</v>
      </c>
      <c r="D16" s="43" t="s">
        <v>49</v>
      </c>
    </row>
    <row r="17" spans="1:4">
      <c r="A17" s="42" t="s">
        <v>855</v>
      </c>
      <c r="B17" s="43" t="s">
        <v>52</v>
      </c>
      <c r="C17" s="43" t="s">
        <v>65</v>
      </c>
      <c r="D17" s="43" t="s">
        <v>49</v>
      </c>
    </row>
    <row r="18" spans="1:4">
      <c r="A18" s="42" t="s">
        <v>1105</v>
      </c>
      <c r="B18" s="43" t="s">
        <v>55</v>
      </c>
      <c r="C18" s="43" t="s">
        <v>51</v>
      </c>
      <c r="D18" s="43" t="s">
        <v>54</v>
      </c>
    </row>
    <row r="19" spans="1:4">
      <c r="A19" s="42" t="s">
        <v>1353</v>
      </c>
      <c r="B19" s="43" t="s">
        <v>55</v>
      </c>
      <c r="C19" s="43" t="s">
        <v>51</v>
      </c>
      <c r="D19" s="43" t="s">
        <v>54</v>
      </c>
    </row>
    <row r="20" spans="1:4">
      <c r="A20" s="42" t="s">
        <v>140</v>
      </c>
      <c r="B20" s="43" t="s">
        <v>64</v>
      </c>
      <c r="C20" s="43" t="s">
        <v>62</v>
      </c>
      <c r="D20" s="43" t="s">
        <v>63</v>
      </c>
    </row>
    <row r="21" spans="1:4">
      <c r="A21" s="42" t="s">
        <v>622</v>
      </c>
      <c r="B21" s="43" t="s">
        <v>55</v>
      </c>
      <c r="C21" s="43" t="s">
        <v>51</v>
      </c>
      <c r="D21" s="43" t="s">
        <v>54</v>
      </c>
    </row>
    <row r="22" spans="1:4">
      <c r="A22" s="42" t="s">
        <v>322</v>
      </c>
      <c r="B22" s="43" t="s">
        <v>61</v>
      </c>
      <c r="C22" s="43" t="s">
        <v>59</v>
      </c>
      <c r="D22" s="43" t="s">
        <v>60</v>
      </c>
    </row>
    <row r="23" spans="1:4">
      <c r="A23" s="42" t="s">
        <v>180</v>
      </c>
      <c r="B23" s="43" t="s">
        <v>61</v>
      </c>
      <c r="C23" s="43" t="s">
        <v>59</v>
      </c>
      <c r="D23" s="43" t="s">
        <v>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Props1.xml><?xml version="1.0" encoding="utf-8"?>
<ds:datastoreItem xmlns:ds="http://schemas.openxmlformats.org/officeDocument/2006/customXml" ds:itemID="{11B9DF70-142A-4942-BF56-8725B125536A}">
  <ds:schemaRefs>
    <ds:schemaRef ds:uri="http://schemas.microsoft.com/sharepoint/v3/contenttype/forms"/>
  </ds:schemaRefs>
</ds:datastoreItem>
</file>

<file path=customXml/itemProps2.xml><?xml version="1.0" encoding="utf-8"?>
<ds:datastoreItem xmlns:ds="http://schemas.openxmlformats.org/officeDocument/2006/customXml" ds:itemID="{4FA28A76-0414-4343-9C5F-864ED72B7E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0c89e-4cf9-4131-8f93-e930e748987a"/>
    <ds:schemaRef ds:uri="45c089de-fbcb-4273-99e1-da05513ea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D18F971-F33C-4527-A37B-7E3C0C33E2F6}">
  <ds:schemaRefs>
    <ds:schemaRef ds:uri="http://schemas.microsoft.com/office/2006/metadata/properties"/>
    <ds:schemaRef ds:uri="http://schemas.microsoft.com/office/infopath/2007/PartnerControls"/>
    <ds:schemaRef ds:uri="45c089de-fbcb-4273-99e1-da05513ea3d0"/>
    <ds:schemaRef ds:uri="d3b0c89e-4cf9-4131-8f93-e930e74898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RESUMEN</vt:lpstr>
      <vt:lpstr>BASE LIQUIDACION</vt:lpstr>
      <vt:lpstr>Tablas dinámicas</vt:lpstr>
      <vt:lpstr>ADECUACIONES</vt:lpstr>
      <vt:lpstr>Hoja1</vt:lpstr>
      <vt:lpstr>TIPOLOGIAS</vt:lpstr>
      <vt:lpstr>INCIDENTES</vt:lpstr>
      <vt:lpstr>OC</vt:lpstr>
      <vt:lpstr>CENTRO DE COSTOS</vt:lpstr>
    </vt:vector>
  </TitlesOfParts>
  <Manager/>
  <Company>SURAMERICANA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Suramericana</dc:creator>
  <cp:keywords/>
  <dc:description/>
  <cp:lastModifiedBy>Luz Nedy Molina Torrado</cp:lastModifiedBy>
  <cp:revision/>
  <dcterms:created xsi:type="dcterms:W3CDTF">2010-11-30T07:07:28Z</dcterms:created>
  <dcterms:modified xsi:type="dcterms:W3CDTF">2025-10-10T16:34:33Z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