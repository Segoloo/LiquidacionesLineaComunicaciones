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AGOSTO/LIQUIDACIONES AGOSTO/"/>
    </mc:Choice>
  </mc:AlternateContent>
  <xr:revisionPtr revIDLastSave="16" documentId="8_{615DED90-7147-46C3-BBC6-12D54D6762F9}" xr6:coauthVersionLast="47" xr6:coauthVersionMax="47" xr10:uidLastSave="{C7F232D8-0F4E-4A1D-9AAB-DD87F8042178}"/>
  <bookViews>
    <workbookView xWindow="28800" yWindow="0" windowWidth="19200" windowHeight="15600" tabRatio="940" activeTab="4" xr2:uid="{00000000-000D-0000-FFFF-FFFF00000000}"/>
  </bookViews>
  <sheets>
    <sheet name="RESUMEN" sheetId="2" r:id="rId1"/>
    <sheet name="BASE DE LIQUIDACION 2025" sheetId="5" state="hidden" r:id="rId2"/>
    <sheet name="Tabla dinámica" sheetId="131" state="hidden" r:id="rId3"/>
    <sheet name="PUBLICIDAD APERTURAS" sheetId="128" r:id="rId4"/>
    <sheet name="PUBLICIDAD OC" sheetId="127" r:id="rId5"/>
    <sheet name="TIPOLOGIA" sheetId="130" state="hidden" r:id="rId6"/>
    <sheet name="CENTRO DE COSTOS" sheetId="12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6" hidden="1">'CENTRO DE COSTOS'!$A$1:$D$23</definedName>
    <definedName name="_xlnm._FilterDatabase" localSheetId="3" hidden="1">'PUBLICIDAD APERTURAS'!$A$1:$AE$487</definedName>
    <definedName name="_xlnm._FilterDatabase" localSheetId="4" hidden="1">'PUBLICIDAD OC'!$A$1:$AF$121</definedName>
    <definedName name="_xlnm._FilterDatabase" localSheetId="0" hidden="1">RESUMEN!$O$29:$P$29</definedName>
    <definedName name="A" localSheetId="6">#REF!</definedName>
    <definedName name="A">#REF!</definedName>
    <definedName name="ACTIVIDAD" localSheetId="6">[1]Hoja2!$P$2:$P$30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6">[6]Clientes!$A$2:$A$100</definedName>
    <definedName name="Clientes">[2]Clientes!$A$2:$A$100</definedName>
    <definedName name="COORDINADOR">[1]Hoja2!$D$2:$D$30</definedName>
    <definedName name="Coordinadores" localSheetId="6">[7]Coordinadores!$A$2:$A$1000</definedName>
    <definedName name="Coordinadores">[2]Coordinadores!$A$2:$A$1000</definedName>
    <definedName name="DOCUMENTADOR">[1]Hoja2!$A$2:$A$30</definedName>
    <definedName name="ES">[1]Hoja2!$K$2:$K$30</definedName>
    <definedName name="ESS">[1]Hoja2!$K$2:$K$30</definedName>
    <definedName name="Estado" localSheetId="6">[6]Formulas!$K$2:$K$5000</definedName>
    <definedName name="Estado">[2]Formulas!$K$2:$K$5000</definedName>
    <definedName name="ESTADOACTIVIDAD">[1]Hoja2!$M$2:$M$30</definedName>
    <definedName name="ESTADOS" localSheetId="6">'[8]Listas desplegables'!$B$1:$D$1</definedName>
    <definedName name="ESTADOS">'[9]Listas desplegables'!$B$1:$D$1</definedName>
    <definedName name="ESTADOSCIERRES">'[10]lista desplegable'!$CX$1:$DA$1</definedName>
    <definedName name="Facturacion">'[11]Listas desplegables'!$AO$1:$AR$1</definedName>
    <definedName name="FACTURACIÓN" localSheetId="6">'[8]Listas desplegables'!$Y$1:$AB$1</definedName>
    <definedName name="FACTURACIÓN">'[9]Listas desplegables'!$Y$1:$AB$1</definedName>
    <definedName name="falla">#REF!</definedName>
    <definedName name="Fallas" localSheetId="6">'[12]Listas desplegables'!$F$2:$L$2</definedName>
    <definedName name="Fallas">'[13]Listas desplegables'!$F$2:$L$2</definedName>
    <definedName name="Grupo_Falla" localSheetId="6">'[14]Listas Desplegables'!$CH$2:$CH$5</definedName>
    <definedName name="Grupo_Falla">'[15]Listas Desplegables'!$CH$2:$CH$5</definedName>
    <definedName name="inconservmanager" localSheetId="6">'[16]Listas desplegables'!$BC$2:$BC$100</definedName>
    <definedName name="inconservmanager">'[4]Listas desplegables'!$BC$2:$BC$100</definedName>
    <definedName name="INCUMPLIMIENTO" localSheetId="6">'[4]Listas desplegables'!$AK$1:$AN$1</definedName>
    <definedName name="INCUMPLIMIENTO">'[17]Listas desplegables'!$AT$1:$AX$1</definedName>
    <definedName name="LISTA" localSheetId="6">[18]Dptos!$A$1139:$A$1171</definedName>
    <definedName name="LISTA">[19]Dptos!$A$1139:$A$1171</definedName>
    <definedName name="LISTA2" localSheetId="6">#REF!</definedName>
    <definedName name="LISTA2">[20]Hoja3!$A$1:$A$26</definedName>
    <definedName name="LOLO">[21]Coordinadores!$A$2:$A$1000</definedName>
    <definedName name="solicitudes" localSheetId="6">'[11]Listas desplegables'!$U$1:$AF$1</definedName>
    <definedName name="solicitudes">'[11]Listas desplegables'!$U$1:$AF$1</definedName>
    <definedName name="Tecnicos" localSheetId="6">[6]Tecnicos!$A$2:$A$1000</definedName>
    <definedName name="Tecnicos">[2]Tecnicos!$A$2:$A$1000</definedName>
    <definedName name="Version" localSheetId="6">[22]Formulas!$I$2:$I$3</definedName>
    <definedName name="Version">[2]Formulas!$I$2:$I$3</definedName>
  </definedNames>
  <calcPr calcId="191028"/>
  <pivotCaches>
    <pivotCache cacheId="45" r:id="rId30"/>
    <pivotCache cacheId="46" r:id="rId31"/>
    <pivotCache cacheId="47"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2" l="1"/>
  <c r="N14" i="2" s="1"/>
  <c r="L13" i="2"/>
  <c r="L15" i="2" s="1"/>
  <c r="M12" i="2"/>
  <c r="N12" i="2" s="1"/>
  <c r="C3" i="127"/>
  <c r="C4" i="127"/>
  <c r="C5" i="127"/>
  <c r="C6" i="127"/>
  <c r="C7" i="127"/>
  <c r="C8" i="127"/>
  <c r="C9" i="127"/>
  <c r="C10" i="127"/>
  <c r="C11" i="127"/>
  <c r="C12" i="127"/>
  <c r="C13" i="127"/>
  <c r="C14" i="127"/>
  <c r="C15" i="127"/>
  <c r="C16" i="127"/>
  <c r="C17" i="127"/>
  <c r="C18" i="127"/>
  <c r="C19" i="127"/>
  <c r="C20" i="127"/>
  <c r="C21" i="127"/>
  <c r="C22" i="127"/>
  <c r="C23" i="127"/>
  <c r="C24" i="127"/>
  <c r="C25" i="127"/>
  <c r="C26" i="127"/>
  <c r="C27" i="127"/>
  <c r="C28" i="127"/>
  <c r="C29" i="127"/>
  <c r="C30" i="127"/>
  <c r="C31" i="127"/>
  <c r="C32" i="127"/>
  <c r="C33" i="127"/>
  <c r="C34" i="127"/>
  <c r="C35" i="127"/>
  <c r="C36" i="127"/>
  <c r="C37" i="127"/>
  <c r="C38" i="127"/>
  <c r="C39" i="127"/>
  <c r="C40" i="127"/>
  <c r="C41" i="127"/>
  <c r="C42" i="127"/>
  <c r="C43" i="127"/>
  <c r="C44" i="127"/>
  <c r="C45" i="127"/>
  <c r="C46" i="127"/>
  <c r="C47" i="127"/>
  <c r="C48" i="127"/>
  <c r="C49" i="127"/>
  <c r="C50" i="127"/>
  <c r="C51" i="127"/>
  <c r="C52" i="127"/>
  <c r="C53" i="127"/>
  <c r="C54" i="127"/>
  <c r="C55" i="127"/>
  <c r="C56" i="127"/>
  <c r="C57" i="127"/>
  <c r="C58" i="127"/>
  <c r="C59" i="127"/>
  <c r="C60" i="127"/>
  <c r="C61" i="127"/>
  <c r="C62" i="127"/>
  <c r="C63" i="127"/>
  <c r="C64" i="127"/>
  <c r="C65" i="127"/>
  <c r="C66" i="127"/>
  <c r="C67" i="127"/>
  <c r="C68" i="127"/>
  <c r="C69" i="127"/>
  <c r="C70" i="127"/>
  <c r="C71" i="127"/>
  <c r="C72" i="127"/>
  <c r="C73" i="127"/>
  <c r="C74" i="127"/>
  <c r="C75" i="127"/>
  <c r="C76" i="127"/>
  <c r="C77" i="127"/>
  <c r="C78" i="127"/>
  <c r="C79" i="127"/>
  <c r="C80" i="127"/>
  <c r="C81" i="127"/>
  <c r="C82" i="127"/>
  <c r="C83" i="127"/>
  <c r="C84" i="127"/>
  <c r="C85" i="127"/>
  <c r="C86" i="127"/>
  <c r="C87" i="127"/>
  <c r="C88" i="127"/>
  <c r="C89" i="127"/>
  <c r="C90" i="127"/>
  <c r="C91" i="127"/>
  <c r="C92" i="127"/>
  <c r="C93" i="127"/>
  <c r="C94" i="127"/>
  <c r="C95" i="127"/>
  <c r="C96" i="127"/>
  <c r="C97" i="127"/>
  <c r="C98" i="127"/>
  <c r="C99" i="127"/>
  <c r="C100" i="127"/>
  <c r="C101" i="127"/>
  <c r="C102" i="127"/>
  <c r="C103" i="127"/>
  <c r="C104" i="127"/>
  <c r="C105" i="127"/>
  <c r="C106" i="127"/>
  <c r="C107" i="127"/>
  <c r="C108" i="127"/>
  <c r="C109" i="127"/>
  <c r="C110" i="127"/>
  <c r="C111" i="127"/>
  <c r="C112" i="127"/>
  <c r="C113" i="127"/>
  <c r="C114" i="127"/>
  <c r="C115" i="127"/>
  <c r="C116" i="127"/>
  <c r="C117" i="127"/>
  <c r="C118" i="127"/>
  <c r="C119" i="127"/>
  <c r="C120" i="127"/>
  <c r="B3" i="127"/>
  <c r="B4" i="127"/>
  <c r="B5" i="127"/>
  <c r="B6" i="127"/>
  <c r="B7" i="127"/>
  <c r="B8" i="127"/>
  <c r="B9" i="127"/>
  <c r="B10" i="127"/>
  <c r="B11" i="127"/>
  <c r="B12" i="127"/>
  <c r="B13" i="127"/>
  <c r="B14" i="127"/>
  <c r="B15" i="127"/>
  <c r="B16" i="127"/>
  <c r="B17" i="127"/>
  <c r="B18" i="127"/>
  <c r="B19" i="127"/>
  <c r="B20" i="127"/>
  <c r="B21" i="127"/>
  <c r="B22" i="127"/>
  <c r="B23" i="127"/>
  <c r="B24" i="127"/>
  <c r="B25" i="127"/>
  <c r="B26" i="127"/>
  <c r="B27" i="127"/>
  <c r="B28" i="127"/>
  <c r="B29" i="127"/>
  <c r="B30" i="127"/>
  <c r="B31" i="127"/>
  <c r="B32" i="127"/>
  <c r="B33" i="127"/>
  <c r="B34" i="127"/>
  <c r="B35" i="127"/>
  <c r="B36" i="127"/>
  <c r="B37" i="127"/>
  <c r="B38" i="127"/>
  <c r="B39" i="127"/>
  <c r="B40" i="127"/>
  <c r="B41" i="127"/>
  <c r="B42" i="127"/>
  <c r="B43" i="127"/>
  <c r="B44" i="127"/>
  <c r="B45" i="127"/>
  <c r="B46" i="127"/>
  <c r="B47" i="127"/>
  <c r="B48" i="127"/>
  <c r="B49" i="127"/>
  <c r="B50" i="127"/>
  <c r="B51" i="127"/>
  <c r="B52" i="127"/>
  <c r="B53" i="127"/>
  <c r="B54" i="127"/>
  <c r="B55" i="127"/>
  <c r="B56" i="127"/>
  <c r="B57" i="127"/>
  <c r="B58" i="127"/>
  <c r="B59" i="127"/>
  <c r="B60" i="127"/>
  <c r="B61" i="127"/>
  <c r="B62" i="127"/>
  <c r="B63" i="127"/>
  <c r="B64" i="127"/>
  <c r="B65" i="127"/>
  <c r="B66" i="127"/>
  <c r="B67" i="127"/>
  <c r="B68" i="127"/>
  <c r="B69" i="127"/>
  <c r="B70" i="127"/>
  <c r="B71" i="127"/>
  <c r="B72" i="127"/>
  <c r="B73" i="127"/>
  <c r="B74" i="127"/>
  <c r="B75" i="127"/>
  <c r="B76" i="127"/>
  <c r="B77" i="127"/>
  <c r="B78" i="127"/>
  <c r="B79" i="127"/>
  <c r="B80" i="127"/>
  <c r="B81" i="127"/>
  <c r="B82" i="127"/>
  <c r="B83" i="127"/>
  <c r="B84" i="127"/>
  <c r="B85" i="127"/>
  <c r="B86" i="127"/>
  <c r="B87" i="127"/>
  <c r="B88" i="127"/>
  <c r="B89" i="127"/>
  <c r="B90" i="127"/>
  <c r="B91" i="127"/>
  <c r="B92" i="127"/>
  <c r="B93" i="127"/>
  <c r="B94" i="127"/>
  <c r="B95" i="127"/>
  <c r="B96" i="127"/>
  <c r="B97" i="127"/>
  <c r="B98" i="127"/>
  <c r="B99" i="127"/>
  <c r="B100" i="127"/>
  <c r="B101" i="127"/>
  <c r="B102" i="127"/>
  <c r="B103" i="127"/>
  <c r="B104" i="127"/>
  <c r="B105" i="127"/>
  <c r="B106" i="127"/>
  <c r="B107" i="127"/>
  <c r="B108" i="127"/>
  <c r="B109" i="127"/>
  <c r="B110" i="127"/>
  <c r="B111" i="127"/>
  <c r="B112" i="127"/>
  <c r="B113" i="127"/>
  <c r="B114" i="127"/>
  <c r="B115" i="127"/>
  <c r="B116" i="127"/>
  <c r="B117" i="127"/>
  <c r="B118" i="127"/>
  <c r="B119" i="127"/>
  <c r="B120" i="127"/>
  <c r="M4" i="2" l="1"/>
  <c r="N4" i="2" s="1"/>
  <c r="M5" i="2"/>
  <c r="N5" i="2" s="1"/>
  <c r="M6" i="2"/>
  <c r="N6" i="2" s="1"/>
  <c r="M7" i="2"/>
  <c r="N7" i="2" s="1"/>
  <c r="M8" i="2"/>
  <c r="N8" i="2" s="1"/>
  <c r="M9" i="2"/>
  <c r="N9" i="2" s="1"/>
  <c r="M10" i="2"/>
  <c r="N10" i="2" s="1"/>
  <c r="M11" i="2"/>
  <c r="N11" i="2" s="1"/>
  <c r="M13" i="2"/>
  <c r="N13" i="2" s="1"/>
  <c r="B459" i="128" l="1"/>
  <c r="C459" i="128"/>
  <c r="B460" i="128"/>
  <c r="C460" i="128"/>
  <c r="B461" i="128"/>
  <c r="C461" i="128"/>
  <c r="B462" i="128"/>
  <c r="C462" i="128"/>
  <c r="B463" i="128"/>
  <c r="C463" i="128"/>
  <c r="B464" i="128"/>
  <c r="C464" i="128"/>
  <c r="B465" i="128"/>
  <c r="C465" i="128"/>
  <c r="B466" i="128"/>
  <c r="C466" i="128"/>
  <c r="B467" i="128"/>
  <c r="C467" i="128"/>
  <c r="B468" i="128"/>
  <c r="C468" i="128"/>
  <c r="B469" i="128"/>
  <c r="C469" i="128"/>
  <c r="B470" i="128"/>
  <c r="C470" i="128"/>
  <c r="B471" i="128"/>
  <c r="C471" i="128"/>
  <c r="B472" i="128"/>
  <c r="C472" i="128"/>
  <c r="B473" i="128"/>
  <c r="C473" i="128"/>
  <c r="B474" i="128"/>
  <c r="C474" i="128"/>
  <c r="B475" i="128"/>
  <c r="C475" i="128"/>
  <c r="B476" i="128"/>
  <c r="C476" i="128"/>
  <c r="B477" i="128"/>
  <c r="C477" i="128"/>
  <c r="B478" i="128"/>
  <c r="C478" i="128"/>
  <c r="B479" i="128"/>
  <c r="C479" i="128"/>
  <c r="B480" i="128"/>
  <c r="C480" i="128"/>
  <c r="B481" i="128"/>
  <c r="C481" i="128"/>
  <c r="B482" i="128"/>
  <c r="C482" i="128"/>
  <c r="B483" i="128"/>
  <c r="C483" i="128"/>
  <c r="B484" i="128"/>
  <c r="C484" i="128"/>
  <c r="B485" i="128"/>
  <c r="C485" i="128"/>
  <c r="B486" i="128"/>
  <c r="C486" i="128"/>
  <c r="C211" i="128"/>
  <c r="C212" i="128"/>
  <c r="C213" i="128"/>
  <c r="C214" i="128"/>
  <c r="C215" i="128"/>
  <c r="C216" i="128"/>
  <c r="C217" i="128"/>
  <c r="C218" i="128"/>
  <c r="C219" i="128"/>
  <c r="C220" i="128"/>
  <c r="C221" i="128"/>
  <c r="C222" i="128"/>
  <c r="C223" i="128"/>
  <c r="C224" i="128"/>
  <c r="C225" i="128"/>
  <c r="C226" i="128"/>
  <c r="C227" i="128"/>
  <c r="C228" i="128"/>
  <c r="C229" i="128"/>
  <c r="C230" i="128"/>
  <c r="C231" i="128"/>
  <c r="C232" i="128"/>
  <c r="C233" i="128"/>
  <c r="C234" i="128"/>
  <c r="C235" i="128"/>
  <c r="C236" i="128"/>
  <c r="C237" i="128"/>
  <c r="C238" i="128"/>
  <c r="C239" i="128"/>
  <c r="C240" i="128"/>
  <c r="C241" i="128"/>
  <c r="C242" i="128"/>
  <c r="C243" i="128"/>
  <c r="C244" i="128"/>
  <c r="C245" i="128"/>
  <c r="C246" i="128"/>
  <c r="C247" i="128"/>
  <c r="C248" i="128"/>
  <c r="C249" i="128"/>
  <c r="C250" i="128"/>
  <c r="C251" i="128"/>
  <c r="C252" i="128"/>
  <c r="C253" i="128"/>
  <c r="C254" i="128"/>
  <c r="C255" i="128"/>
  <c r="C256" i="128"/>
  <c r="C257" i="128"/>
  <c r="C258" i="128"/>
  <c r="C259" i="128"/>
  <c r="C260" i="128"/>
  <c r="C261" i="128"/>
  <c r="C262" i="128"/>
  <c r="C263" i="128"/>
  <c r="C264" i="128"/>
  <c r="C265" i="128"/>
  <c r="C266" i="128"/>
  <c r="C267" i="128"/>
  <c r="C268" i="128"/>
  <c r="C269" i="128"/>
  <c r="C270" i="128"/>
  <c r="C271" i="128"/>
  <c r="C272" i="128"/>
  <c r="C273" i="128"/>
  <c r="C274" i="128"/>
  <c r="C275" i="128"/>
  <c r="C276" i="128"/>
  <c r="C277" i="128"/>
  <c r="C278" i="128"/>
  <c r="C279" i="128"/>
  <c r="C280" i="128"/>
  <c r="C281" i="128"/>
  <c r="C282" i="128"/>
  <c r="C283" i="128"/>
  <c r="C284" i="128"/>
  <c r="C285" i="128"/>
  <c r="C286" i="128"/>
  <c r="C287" i="128"/>
  <c r="C288" i="128"/>
  <c r="C289" i="128"/>
  <c r="C290" i="128"/>
  <c r="C291" i="128"/>
  <c r="C292" i="128"/>
  <c r="C293" i="128"/>
  <c r="C294" i="128"/>
  <c r="C295" i="128"/>
  <c r="C296" i="128"/>
  <c r="C297" i="128"/>
  <c r="C298" i="128"/>
  <c r="C299" i="128"/>
  <c r="C300" i="128"/>
  <c r="C301" i="128"/>
  <c r="C302" i="128"/>
  <c r="C303" i="128"/>
  <c r="C304" i="128"/>
  <c r="C305" i="128"/>
  <c r="C306" i="128"/>
  <c r="C307" i="128"/>
  <c r="C308" i="128"/>
  <c r="C309" i="128"/>
  <c r="C310" i="128"/>
  <c r="C311" i="128"/>
  <c r="C312" i="128"/>
  <c r="C313" i="128"/>
  <c r="C314" i="128"/>
  <c r="C315" i="128"/>
  <c r="C316" i="128"/>
  <c r="C317" i="128"/>
  <c r="C318" i="128"/>
  <c r="C319" i="128"/>
  <c r="C320" i="128"/>
  <c r="C321" i="128"/>
  <c r="C322" i="128"/>
  <c r="C323" i="128"/>
  <c r="C324" i="128"/>
  <c r="C325" i="128"/>
  <c r="C326" i="128"/>
  <c r="C327" i="128"/>
  <c r="C328" i="128"/>
  <c r="C329" i="128"/>
  <c r="C330" i="128"/>
  <c r="C331" i="128"/>
  <c r="C332" i="128"/>
  <c r="C333" i="128"/>
  <c r="C334" i="128"/>
  <c r="C335" i="128"/>
  <c r="C336" i="128"/>
  <c r="C337" i="128"/>
  <c r="C338" i="128"/>
  <c r="C339" i="128"/>
  <c r="C340" i="128"/>
  <c r="C341" i="128"/>
  <c r="C342" i="128"/>
  <c r="C343" i="128"/>
  <c r="C344" i="128"/>
  <c r="C345" i="128"/>
  <c r="C346" i="128"/>
  <c r="C347" i="128"/>
  <c r="C348" i="128"/>
  <c r="C349" i="128"/>
  <c r="C350" i="128"/>
  <c r="C351" i="128"/>
  <c r="C352" i="128"/>
  <c r="C353" i="128"/>
  <c r="C354" i="128"/>
  <c r="C355" i="128"/>
  <c r="C356" i="128"/>
  <c r="C357" i="128"/>
  <c r="C358" i="128"/>
  <c r="C359" i="128"/>
  <c r="C360" i="128"/>
  <c r="C361" i="128"/>
  <c r="C362" i="128"/>
  <c r="C363" i="128"/>
  <c r="C364" i="128"/>
  <c r="C365" i="128"/>
  <c r="C366" i="128"/>
  <c r="C367" i="128"/>
  <c r="C368" i="128"/>
  <c r="C369" i="128"/>
  <c r="C370" i="128"/>
  <c r="C371" i="128"/>
  <c r="C372" i="128"/>
  <c r="C373" i="128"/>
  <c r="C374" i="128"/>
  <c r="C375" i="128"/>
  <c r="C376" i="128"/>
  <c r="C377" i="128"/>
  <c r="C378" i="128"/>
  <c r="C379" i="128"/>
  <c r="C380" i="128"/>
  <c r="C381" i="128"/>
  <c r="C382" i="128"/>
  <c r="C383" i="128"/>
  <c r="C384" i="128"/>
  <c r="C385" i="128"/>
  <c r="C386" i="128"/>
  <c r="C387" i="128"/>
  <c r="C388" i="128"/>
  <c r="C389" i="128"/>
  <c r="C390" i="128"/>
  <c r="C391" i="128"/>
  <c r="C392" i="128"/>
  <c r="C393" i="128"/>
  <c r="C394" i="128"/>
  <c r="C395" i="128"/>
  <c r="C396" i="128"/>
  <c r="C397" i="128"/>
  <c r="C398" i="128"/>
  <c r="C399" i="128"/>
  <c r="C400" i="128"/>
  <c r="C401" i="128"/>
  <c r="C402" i="128"/>
  <c r="C403" i="128"/>
  <c r="C404" i="128"/>
  <c r="C405" i="128"/>
  <c r="C406" i="128"/>
  <c r="C407" i="128"/>
  <c r="C408" i="128"/>
  <c r="C409" i="128"/>
  <c r="C410" i="128"/>
  <c r="C411" i="128"/>
  <c r="C412" i="128"/>
  <c r="C413" i="128"/>
  <c r="C414" i="128"/>
  <c r="C415" i="128"/>
  <c r="C416" i="128"/>
  <c r="C417" i="128"/>
  <c r="C418" i="128"/>
  <c r="C419" i="128"/>
  <c r="C420" i="128"/>
  <c r="C421" i="128"/>
  <c r="C422" i="128"/>
  <c r="C423" i="128"/>
  <c r="C424" i="128"/>
  <c r="C425" i="128"/>
  <c r="C426" i="128"/>
  <c r="C427" i="128"/>
  <c r="C428" i="128"/>
  <c r="C429" i="128"/>
  <c r="C430" i="128"/>
  <c r="C431" i="128"/>
  <c r="C432" i="128"/>
  <c r="C433" i="128"/>
  <c r="C434" i="128"/>
  <c r="C435" i="128"/>
  <c r="C436" i="128"/>
  <c r="C437" i="128"/>
  <c r="C438" i="128"/>
  <c r="C439" i="128"/>
  <c r="C440" i="128"/>
  <c r="C441" i="128"/>
  <c r="C442" i="128"/>
  <c r="C443" i="128"/>
  <c r="C444" i="128"/>
  <c r="C445" i="128"/>
  <c r="C446" i="128"/>
  <c r="C447" i="128"/>
  <c r="C448" i="128"/>
  <c r="C449" i="128"/>
  <c r="C450" i="128"/>
  <c r="C451" i="128"/>
  <c r="C452" i="128"/>
  <c r="C453" i="128"/>
  <c r="C454" i="128"/>
  <c r="C455" i="128"/>
  <c r="C456" i="128"/>
  <c r="C457" i="128"/>
  <c r="C458" i="128"/>
  <c r="B211" i="128"/>
  <c r="B212" i="128"/>
  <c r="B213" i="128"/>
  <c r="B214" i="128"/>
  <c r="B215" i="128"/>
  <c r="B216" i="128"/>
  <c r="B217" i="128"/>
  <c r="B218" i="128"/>
  <c r="B219" i="128"/>
  <c r="B220" i="128"/>
  <c r="B221" i="128"/>
  <c r="B222" i="128"/>
  <c r="B223" i="128"/>
  <c r="B224" i="128"/>
  <c r="B225" i="128"/>
  <c r="B226" i="128"/>
  <c r="B227" i="128"/>
  <c r="B228" i="128"/>
  <c r="B229" i="128"/>
  <c r="B230" i="128"/>
  <c r="B231" i="128"/>
  <c r="B232" i="128"/>
  <c r="B233" i="128"/>
  <c r="B234" i="128"/>
  <c r="B235" i="128"/>
  <c r="B236" i="128"/>
  <c r="B237" i="128"/>
  <c r="B238" i="128"/>
  <c r="B239" i="128"/>
  <c r="B240" i="128"/>
  <c r="B241" i="128"/>
  <c r="B242" i="128"/>
  <c r="B243" i="128"/>
  <c r="B244" i="128"/>
  <c r="B245" i="128"/>
  <c r="B246" i="128"/>
  <c r="B247" i="128"/>
  <c r="B248" i="128"/>
  <c r="B249" i="128"/>
  <c r="B250" i="128"/>
  <c r="B251" i="128"/>
  <c r="B252" i="128"/>
  <c r="B253" i="128"/>
  <c r="B254" i="128"/>
  <c r="B255" i="128"/>
  <c r="B256" i="128"/>
  <c r="B257" i="128"/>
  <c r="B258" i="128"/>
  <c r="B259" i="128"/>
  <c r="B260" i="128"/>
  <c r="B261" i="128"/>
  <c r="B262" i="128"/>
  <c r="B263" i="128"/>
  <c r="B264" i="128"/>
  <c r="B265" i="128"/>
  <c r="B266" i="128"/>
  <c r="B267" i="128"/>
  <c r="B268" i="128"/>
  <c r="B269" i="128"/>
  <c r="B270" i="128"/>
  <c r="B271" i="128"/>
  <c r="B272" i="128"/>
  <c r="B273" i="128"/>
  <c r="B274" i="128"/>
  <c r="B275" i="128"/>
  <c r="B276" i="128"/>
  <c r="B277" i="128"/>
  <c r="B278" i="128"/>
  <c r="B279" i="128"/>
  <c r="B280" i="128"/>
  <c r="B281" i="128"/>
  <c r="B282" i="128"/>
  <c r="B283" i="128"/>
  <c r="B284" i="128"/>
  <c r="B285" i="128"/>
  <c r="B286" i="128"/>
  <c r="B287" i="128"/>
  <c r="B288" i="128"/>
  <c r="B289" i="128"/>
  <c r="B290" i="128"/>
  <c r="B291" i="128"/>
  <c r="B292" i="128"/>
  <c r="B293" i="128"/>
  <c r="B294" i="128"/>
  <c r="B295" i="128"/>
  <c r="B296" i="128"/>
  <c r="B297" i="128"/>
  <c r="B298" i="128"/>
  <c r="B299" i="128"/>
  <c r="B300" i="128"/>
  <c r="B301" i="128"/>
  <c r="B302" i="128"/>
  <c r="B303" i="128"/>
  <c r="B304" i="128"/>
  <c r="B305" i="128"/>
  <c r="B306" i="128"/>
  <c r="B307" i="128"/>
  <c r="B308" i="128"/>
  <c r="B309" i="128"/>
  <c r="B310" i="128"/>
  <c r="B311" i="128"/>
  <c r="B312" i="128"/>
  <c r="B313" i="128"/>
  <c r="B314" i="128"/>
  <c r="B315" i="128"/>
  <c r="B316" i="128"/>
  <c r="B317" i="128"/>
  <c r="B318" i="128"/>
  <c r="B319" i="128"/>
  <c r="B320" i="128"/>
  <c r="B321" i="128"/>
  <c r="B322" i="128"/>
  <c r="B323" i="128"/>
  <c r="B324" i="128"/>
  <c r="B325" i="128"/>
  <c r="B326" i="128"/>
  <c r="B327" i="128"/>
  <c r="B328" i="128"/>
  <c r="B329" i="128"/>
  <c r="B330" i="128"/>
  <c r="B331" i="128"/>
  <c r="B332" i="128"/>
  <c r="B333" i="128"/>
  <c r="B334" i="128"/>
  <c r="B335" i="128"/>
  <c r="B336" i="128"/>
  <c r="B337" i="128"/>
  <c r="B338" i="128"/>
  <c r="B339" i="128"/>
  <c r="B340" i="128"/>
  <c r="B341" i="128"/>
  <c r="B342" i="128"/>
  <c r="B343" i="128"/>
  <c r="B344" i="128"/>
  <c r="B345" i="128"/>
  <c r="B346" i="128"/>
  <c r="B347" i="128"/>
  <c r="B348" i="128"/>
  <c r="B349" i="128"/>
  <c r="B350" i="128"/>
  <c r="B351" i="128"/>
  <c r="B352" i="128"/>
  <c r="B353" i="128"/>
  <c r="B354" i="128"/>
  <c r="B355" i="128"/>
  <c r="B356" i="128"/>
  <c r="B357" i="128"/>
  <c r="B358" i="128"/>
  <c r="B359" i="128"/>
  <c r="B360" i="128"/>
  <c r="B361" i="128"/>
  <c r="B362" i="128"/>
  <c r="B363" i="128"/>
  <c r="B364" i="128"/>
  <c r="B365" i="128"/>
  <c r="B366" i="128"/>
  <c r="B367" i="128"/>
  <c r="B368" i="128"/>
  <c r="B369" i="128"/>
  <c r="B370" i="128"/>
  <c r="B371" i="128"/>
  <c r="B372" i="128"/>
  <c r="B373" i="128"/>
  <c r="B374" i="128"/>
  <c r="B375" i="128"/>
  <c r="B376" i="128"/>
  <c r="B377" i="128"/>
  <c r="B378" i="128"/>
  <c r="B379" i="128"/>
  <c r="B380" i="128"/>
  <c r="B381" i="128"/>
  <c r="B382" i="128"/>
  <c r="B383" i="128"/>
  <c r="B384" i="128"/>
  <c r="B385" i="128"/>
  <c r="B386" i="128"/>
  <c r="B387" i="128"/>
  <c r="B388" i="128"/>
  <c r="B389" i="128"/>
  <c r="B390" i="128"/>
  <c r="B391" i="128"/>
  <c r="B392" i="128"/>
  <c r="B393" i="128"/>
  <c r="B394" i="128"/>
  <c r="B395" i="128"/>
  <c r="B396" i="128"/>
  <c r="B397" i="128"/>
  <c r="B398" i="128"/>
  <c r="B399" i="128"/>
  <c r="B400" i="128"/>
  <c r="B401" i="128"/>
  <c r="B402" i="128"/>
  <c r="B403" i="128"/>
  <c r="B404" i="128"/>
  <c r="B405" i="128"/>
  <c r="B406" i="128"/>
  <c r="B407" i="128"/>
  <c r="B408" i="128"/>
  <c r="B409" i="128"/>
  <c r="B410" i="128"/>
  <c r="B411" i="128"/>
  <c r="B412" i="128"/>
  <c r="B413" i="128"/>
  <c r="B414" i="128"/>
  <c r="B415" i="128"/>
  <c r="B416" i="128"/>
  <c r="B417" i="128"/>
  <c r="B418" i="128"/>
  <c r="B419" i="128"/>
  <c r="B420" i="128"/>
  <c r="B421" i="128"/>
  <c r="B422" i="128"/>
  <c r="B423" i="128"/>
  <c r="B424" i="128"/>
  <c r="B425" i="128"/>
  <c r="B426" i="128"/>
  <c r="B427" i="128"/>
  <c r="B428" i="128"/>
  <c r="B429" i="128"/>
  <c r="B430" i="128"/>
  <c r="B431" i="128"/>
  <c r="B432" i="128"/>
  <c r="B433" i="128"/>
  <c r="B434" i="128"/>
  <c r="B435" i="128"/>
  <c r="B436" i="128"/>
  <c r="B437" i="128"/>
  <c r="B438" i="128"/>
  <c r="B439" i="128"/>
  <c r="B440" i="128"/>
  <c r="B441" i="128"/>
  <c r="B442" i="128"/>
  <c r="B443" i="128"/>
  <c r="B444" i="128"/>
  <c r="B445" i="128"/>
  <c r="B446" i="128"/>
  <c r="B447" i="128"/>
  <c r="B448" i="128"/>
  <c r="B449" i="128"/>
  <c r="B450" i="128"/>
  <c r="B451" i="128"/>
  <c r="B452" i="128"/>
  <c r="B453" i="128"/>
  <c r="B454" i="128"/>
  <c r="B455" i="128"/>
  <c r="B456" i="128"/>
  <c r="B457" i="128"/>
  <c r="B458" i="128"/>
  <c r="B3" i="128"/>
  <c r="C3" i="128"/>
  <c r="B4" i="128"/>
  <c r="C4" i="128"/>
  <c r="B5" i="128"/>
  <c r="C5" i="128"/>
  <c r="B6" i="128"/>
  <c r="C6" i="128"/>
  <c r="B7" i="128"/>
  <c r="C7" i="128"/>
  <c r="B8" i="128"/>
  <c r="C8" i="128"/>
  <c r="B9" i="128"/>
  <c r="C9" i="128"/>
  <c r="B10" i="128"/>
  <c r="C10" i="128"/>
  <c r="B11" i="128"/>
  <c r="C11" i="128"/>
  <c r="B12" i="128"/>
  <c r="C12" i="128"/>
  <c r="B13" i="128"/>
  <c r="C13" i="128"/>
  <c r="B14" i="128"/>
  <c r="C14" i="128"/>
  <c r="B15" i="128"/>
  <c r="C15" i="128"/>
  <c r="B16" i="128"/>
  <c r="C16" i="128"/>
  <c r="B17" i="128"/>
  <c r="C17" i="128"/>
  <c r="B18" i="128"/>
  <c r="C18" i="128"/>
  <c r="B19" i="128"/>
  <c r="C19" i="128"/>
  <c r="B20" i="128"/>
  <c r="C20" i="128"/>
  <c r="B21" i="128"/>
  <c r="C21" i="128"/>
  <c r="B22" i="128"/>
  <c r="C22" i="128"/>
  <c r="B23" i="128"/>
  <c r="C23" i="128"/>
  <c r="B24" i="128"/>
  <c r="C24" i="128"/>
  <c r="B25" i="128"/>
  <c r="C25" i="128"/>
  <c r="B26" i="128"/>
  <c r="C26" i="128"/>
  <c r="B27" i="128"/>
  <c r="C27" i="128"/>
  <c r="B28" i="128"/>
  <c r="C28" i="128"/>
  <c r="B29" i="128"/>
  <c r="C29" i="128"/>
  <c r="B30" i="128"/>
  <c r="C30" i="128"/>
  <c r="B31" i="128"/>
  <c r="C31" i="128"/>
  <c r="B32" i="128"/>
  <c r="C32" i="128"/>
  <c r="B33" i="128"/>
  <c r="C33" i="128"/>
  <c r="B34" i="128"/>
  <c r="C34" i="128"/>
  <c r="B35" i="128"/>
  <c r="C35" i="128"/>
  <c r="B36" i="128"/>
  <c r="C36" i="128"/>
  <c r="B37" i="128"/>
  <c r="C37" i="128"/>
  <c r="B38" i="128"/>
  <c r="C38" i="128"/>
  <c r="B39" i="128"/>
  <c r="C39" i="128"/>
  <c r="B40" i="128"/>
  <c r="C40" i="128"/>
  <c r="B41" i="128"/>
  <c r="C41" i="128"/>
  <c r="B42" i="128"/>
  <c r="C42" i="128"/>
  <c r="B43" i="128"/>
  <c r="C43" i="128"/>
  <c r="B44" i="128"/>
  <c r="C44" i="128"/>
  <c r="B45" i="128"/>
  <c r="C45" i="128"/>
  <c r="B46" i="128"/>
  <c r="C46" i="128"/>
  <c r="B47" i="128"/>
  <c r="C47" i="128"/>
  <c r="B48" i="128"/>
  <c r="C48" i="128"/>
  <c r="B49" i="128"/>
  <c r="C49" i="128"/>
  <c r="B50" i="128"/>
  <c r="C50" i="128"/>
  <c r="B51" i="128"/>
  <c r="C51" i="128"/>
  <c r="B52" i="128"/>
  <c r="C52" i="128"/>
  <c r="B53" i="128"/>
  <c r="C53" i="128"/>
  <c r="B54" i="128"/>
  <c r="C54" i="128"/>
  <c r="B55" i="128"/>
  <c r="C55" i="128"/>
  <c r="B56" i="128"/>
  <c r="C56" i="128"/>
  <c r="B57" i="128"/>
  <c r="C57" i="128"/>
  <c r="B58" i="128"/>
  <c r="C58" i="128"/>
  <c r="B59" i="128"/>
  <c r="C59" i="128"/>
  <c r="B60" i="128"/>
  <c r="C60" i="128"/>
  <c r="B61" i="128"/>
  <c r="C61" i="128"/>
  <c r="B62" i="128"/>
  <c r="C62" i="128"/>
  <c r="B63" i="128"/>
  <c r="C63" i="128"/>
  <c r="B64" i="128"/>
  <c r="C64" i="128"/>
  <c r="B65" i="128"/>
  <c r="C65" i="128"/>
  <c r="B66" i="128"/>
  <c r="C66" i="128"/>
  <c r="B67" i="128"/>
  <c r="C67" i="128"/>
  <c r="B68" i="128"/>
  <c r="C68" i="128"/>
  <c r="B69" i="128"/>
  <c r="C69" i="128"/>
  <c r="B70" i="128"/>
  <c r="C70" i="128"/>
  <c r="B71" i="128"/>
  <c r="C71" i="128"/>
  <c r="B72" i="128"/>
  <c r="C72" i="128"/>
  <c r="B73" i="128"/>
  <c r="C73" i="128"/>
  <c r="B74" i="128"/>
  <c r="C74" i="128"/>
  <c r="B75" i="128"/>
  <c r="C75" i="128"/>
  <c r="B76" i="128"/>
  <c r="C76" i="128"/>
  <c r="B77" i="128"/>
  <c r="C77" i="128"/>
  <c r="B78" i="128"/>
  <c r="C78" i="128"/>
  <c r="B79" i="128"/>
  <c r="C79" i="128"/>
  <c r="B80" i="128"/>
  <c r="C80" i="128"/>
  <c r="B81" i="128"/>
  <c r="C81" i="128"/>
  <c r="B82" i="128"/>
  <c r="C82" i="128"/>
  <c r="B83" i="128"/>
  <c r="C83" i="128"/>
  <c r="B84" i="128"/>
  <c r="C84" i="128"/>
  <c r="B85" i="128"/>
  <c r="C85" i="128"/>
  <c r="B86" i="128"/>
  <c r="C86" i="128"/>
  <c r="B87" i="128"/>
  <c r="C87" i="128"/>
  <c r="B88" i="128"/>
  <c r="C88" i="128"/>
  <c r="B89" i="128"/>
  <c r="C89" i="128"/>
  <c r="B90" i="128"/>
  <c r="C90" i="128"/>
  <c r="B91" i="128"/>
  <c r="C91" i="128"/>
  <c r="B92" i="128"/>
  <c r="C92" i="128"/>
  <c r="B93" i="128"/>
  <c r="C93" i="128"/>
  <c r="B94" i="128"/>
  <c r="C94" i="128"/>
  <c r="B95" i="128"/>
  <c r="C95" i="128"/>
  <c r="B96" i="128"/>
  <c r="C96" i="128"/>
  <c r="B97" i="128"/>
  <c r="C97" i="128"/>
  <c r="B98" i="128"/>
  <c r="C98" i="128"/>
  <c r="B99" i="128"/>
  <c r="C99" i="128"/>
  <c r="B100" i="128"/>
  <c r="C100" i="128"/>
  <c r="B101" i="128"/>
  <c r="C101" i="128"/>
  <c r="B102" i="128"/>
  <c r="C102" i="128"/>
  <c r="B103" i="128"/>
  <c r="C103" i="128"/>
  <c r="B104" i="128"/>
  <c r="C104" i="128"/>
  <c r="B105" i="128"/>
  <c r="C105" i="128"/>
  <c r="B106" i="128"/>
  <c r="C106" i="128"/>
  <c r="B107" i="128"/>
  <c r="C107" i="128"/>
  <c r="B108" i="128"/>
  <c r="C108" i="128"/>
  <c r="B109" i="128"/>
  <c r="C109" i="128"/>
  <c r="B110" i="128"/>
  <c r="C110" i="128"/>
  <c r="B111" i="128"/>
  <c r="C111" i="128"/>
  <c r="B112" i="128"/>
  <c r="C112" i="128"/>
  <c r="B113" i="128"/>
  <c r="C113" i="128"/>
  <c r="B114" i="128"/>
  <c r="C114" i="128"/>
  <c r="B115" i="128"/>
  <c r="C115" i="128"/>
  <c r="B116" i="128"/>
  <c r="C116" i="128"/>
  <c r="B117" i="128"/>
  <c r="C117" i="128"/>
  <c r="B118" i="128"/>
  <c r="C118" i="128"/>
  <c r="B119" i="128"/>
  <c r="C119" i="128"/>
  <c r="B120" i="128"/>
  <c r="C120" i="128"/>
  <c r="B121" i="128"/>
  <c r="C121" i="128"/>
  <c r="B122" i="128"/>
  <c r="C122" i="128"/>
  <c r="B123" i="128"/>
  <c r="C123" i="128"/>
  <c r="B124" i="128"/>
  <c r="C124" i="128"/>
  <c r="B125" i="128"/>
  <c r="C125" i="128"/>
  <c r="B126" i="128"/>
  <c r="C126" i="128"/>
  <c r="B127" i="128"/>
  <c r="C127" i="128"/>
  <c r="B128" i="128"/>
  <c r="C128" i="128"/>
  <c r="B129" i="128"/>
  <c r="C129" i="128"/>
  <c r="B130" i="128"/>
  <c r="C130" i="128"/>
  <c r="B131" i="128"/>
  <c r="C131" i="128"/>
  <c r="B132" i="128"/>
  <c r="C132" i="128"/>
  <c r="B133" i="128"/>
  <c r="C133" i="128"/>
  <c r="B134" i="128"/>
  <c r="C134" i="128"/>
  <c r="B135" i="128"/>
  <c r="C135" i="128"/>
  <c r="B136" i="128"/>
  <c r="C136" i="128"/>
  <c r="B137" i="128"/>
  <c r="C137" i="128"/>
  <c r="B138" i="128"/>
  <c r="C138" i="128"/>
  <c r="B139" i="128"/>
  <c r="C139" i="128"/>
  <c r="B140" i="128"/>
  <c r="C140" i="128"/>
  <c r="B141" i="128"/>
  <c r="C141" i="128"/>
  <c r="B142" i="128"/>
  <c r="C142" i="128"/>
  <c r="B143" i="128"/>
  <c r="C143" i="128"/>
  <c r="B144" i="128"/>
  <c r="C144" i="128"/>
  <c r="B145" i="128"/>
  <c r="C145" i="128"/>
  <c r="B146" i="128"/>
  <c r="C146" i="128"/>
  <c r="B147" i="128"/>
  <c r="C147" i="128"/>
  <c r="B148" i="128"/>
  <c r="C148" i="128"/>
  <c r="B149" i="128"/>
  <c r="C149" i="128"/>
  <c r="B150" i="128"/>
  <c r="C150" i="128"/>
  <c r="B151" i="128"/>
  <c r="C151" i="128"/>
  <c r="B152" i="128"/>
  <c r="C152" i="128"/>
  <c r="B153" i="128"/>
  <c r="C153" i="128"/>
  <c r="B154" i="128"/>
  <c r="C154" i="128"/>
  <c r="B155" i="128"/>
  <c r="C155" i="128"/>
  <c r="B156" i="128"/>
  <c r="C156" i="128"/>
  <c r="B157" i="128"/>
  <c r="C157" i="128"/>
  <c r="B158" i="128"/>
  <c r="C158" i="128"/>
  <c r="B159" i="128"/>
  <c r="C159" i="128"/>
  <c r="B160" i="128"/>
  <c r="C160" i="128"/>
  <c r="B161" i="128"/>
  <c r="C161" i="128"/>
  <c r="B162" i="128"/>
  <c r="C162" i="128"/>
  <c r="B163" i="128"/>
  <c r="C163" i="128"/>
  <c r="B164" i="128"/>
  <c r="C164" i="128"/>
  <c r="B165" i="128"/>
  <c r="C165" i="128"/>
  <c r="B166" i="128"/>
  <c r="C166" i="128"/>
  <c r="B167" i="128"/>
  <c r="C167" i="128"/>
  <c r="B168" i="128"/>
  <c r="C168" i="128"/>
  <c r="B169" i="128"/>
  <c r="C169" i="128"/>
  <c r="B170" i="128"/>
  <c r="C170" i="128"/>
  <c r="B171" i="128"/>
  <c r="C171" i="128"/>
  <c r="B172" i="128"/>
  <c r="C172" i="128"/>
  <c r="B173" i="128"/>
  <c r="C173" i="128"/>
  <c r="B174" i="128"/>
  <c r="C174" i="128"/>
  <c r="B175" i="128"/>
  <c r="C175" i="128"/>
  <c r="B176" i="128"/>
  <c r="C176" i="128"/>
  <c r="B177" i="128"/>
  <c r="C177" i="128"/>
  <c r="B178" i="128"/>
  <c r="C178" i="128"/>
  <c r="B179" i="128"/>
  <c r="C179" i="128"/>
  <c r="B180" i="128"/>
  <c r="C180" i="128"/>
  <c r="B181" i="128"/>
  <c r="C181" i="128"/>
  <c r="B182" i="128"/>
  <c r="C182" i="128"/>
  <c r="B183" i="128"/>
  <c r="C183" i="128"/>
  <c r="B184" i="128"/>
  <c r="C184" i="128"/>
  <c r="B185" i="128"/>
  <c r="C185" i="128"/>
  <c r="B186" i="128"/>
  <c r="C186" i="128"/>
  <c r="B187" i="128"/>
  <c r="C187" i="128"/>
  <c r="B188" i="128"/>
  <c r="C188" i="128"/>
  <c r="B189" i="128"/>
  <c r="C189" i="128"/>
  <c r="B190" i="128"/>
  <c r="C190" i="128"/>
  <c r="B191" i="128"/>
  <c r="C191" i="128"/>
  <c r="B192" i="128"/>
  <c r="C192" i="128"/>
  <c r="B193" i="128"/>
  <c r="C193" i="128"/>
  <c r="B194" i="128"/>
  <c r="C194" i="128"/>
  <c r="B195" i="128"/>
  <c r="C195" i="128"/>
  <c r="B196" i="128"/>
  <c r="C196" i="128"/>
  <c r="B197" i="128"/>
  <c r="C197" i="128"/>
  <c r="B198" i="128"/>
  <c r="C198" i="128"/>
  <c r="B199" i="128"/>
  <c r="C199" i="128"/>
  <c r="B200" i="128"/>
  <c r="C200" i="128"/>
  <c r="B201" i="128"/>
  <c r="C201" i="128"/>
  <c r="B202" i="128"/>
  <c r="C202" i="128"/>
  <c r="B203" i="128"/>
  <c r="C203" i="128"/>
  <c r="B204" i="128"/>
  <c r="C204" i="128"/>
  <c r="B205" i="128"/>
  <c r="C205" i="128"/>
  <c r="B206" i="128"/>
  <c r="C206" i="128"/>
  <c r="B207" i="128"/>
  <c r="C207" i="128"/>
  <c r="B208" i="128"/>
  <c r="C208" i="128"/>
  <c r="B209" i="128"/>
  <c r="C209" i="128"/>
  <c r="B210" i="128"/>
  <c r="C210" i="128"/>
  <c r="L8" i="5"/>
  <c r="L7" i="5"/>
  <c r="L6" i="5"/>
  <c r="L5" i="5"/>
  <c r="L4" i="5"/>
  <c r="K8" i="5"/>
  <c r="K7" i="5"/>
  <c r="K6" i="5"/>
  <c r="K5" i="5"/>
  <c r="K4" i="5"/>
  <c r="J8" i="5"/>
  <c r="J7" i="5"/>
  <c r="J6" i="5"/>
  <c r="J5" i="5"/>
  <c r="J4" i="5"/>
  <c r="I8" i="5"/>
  <c r="I7" i="5"/>
  <c r="I6" i="5"/>
  <c r="I5" i="5"/>
  <c r="I4" i="5"/>
  <c r="E3" i="5"/>
  <c r="E4" i="5"/>
  <c r="D4" i="5"/>
  <c r="D3" i="5"/>
  <c r="C4" i="5"/>
  <c r="C3" i="5"/>
  <c r="B4" i="5"/>
  <c r="B3" i="5"/>
  <c r="F28" i="131"/>
  <c r="E28" i="131"/>
  <c r="F27" i="131"/>
  <c r="E27" i="131"/>
  <c r="F26" i="131"/>
  <c r="E26" i="131"/>
  <c r="F25" i="131"/>
  <c r="E25" i="131"/>
  <c r="F24" i="131"/>
  <c r="E24" i="131"/>
  <c r="F23" i="131"/>
  <c r="E23" i="131"/>
  <c r="F22" i="131"/>
  <c r="E22" i="131"/>
  <c r="E5" i="131"/>
  <c r="E6" i="131"/>
  <c r="E7" i="131"/>
  <c r="E8" i="131"/>
  <c r="E9" i="131"/>
  <c r="E10" i="131"/>
  <c r="E4" i="131"/>
  <c r="F5" i="131"/>
  <c r="F6" i="131"/>
  <c r="F7" i="131"/>
  <c r="F8" i="131"/>
  <c r="F9" i="131"/>
  <c r="F10" i="131"/>
  <c r="F4" i="131"/>
  <c r="AD2" i="127"/>
  <c r="AE2" i="127"/>
  <c r="AB459" i="128" l="1"/>
  <c r="AB463" i="128"/>
  <c r="AB464" i="128"/>
  <c r="AB466" i="128"/>
  <c r="AB467" i="128"/>
  <c r="AB469" i="128"/>
  <c r="AB471" i="128"/>
  <c r="AB472" i="128"/>
  <c r="AB473" i="128"/>
  <c r="AB475" i="128"/>
  <c r="AB477" i="128"/>
  <c r="AB478" i="128"/>
  <c r="AB479" i="128"/>
  <c r="AB480" i="128"/>
  <c r="AB482" i="128"/>
  <c r="AB460" i="128"/>
  <c r="AB461" i="128"/>
  <c r="AB462" i="128"/>
  <c r="AB465" i="128"/>
  <c r="AB468" i="128"/>
  <c r="AB470" i="128"/>
  <c r="AB474" i="128"/>
  <c r="AB476" i="128"/>
  <c r="AB481" i="128"/>
  <c r="AB483" i="128"/>
  <c r="AB484" i="128"/>
  <c r="AB485" i="128"/>
  <c r="AB486" i="128"/>
  <c r="AC459" i="128"/>
  <c r="AC463" i="128"/>
  <c r="AC464" i="128"/>
  <c r="AC466" i="128"/>
  <c r="AC467" i="128"/>
  <c r="AC469" i="128"/>
  <c r="AC471" i="128"/>
  <c r="AC472" i="128"/>
  <c r="AC473" i="128"/>
  <c r="AC475" i="128"/>
  <c r="AC477" i="128"/>
  <c r="AC478" i="128"/>
  <c r="AC479" i="128"/>
  <c r="AC480" i="128"/>
  <c r="AC482" i="128"/>
  <c r="AC460" i="128"/>
  <c r="AC461" i="128"/>
  <c r="AC462" i="128"/>
  <c r="AC465" i="128"/>
  <c r="AC468" i="128"/>
  <c r="AC470" i="128"/>
  <c r="AC474" i="128"/>
  <c r="AC476" i="128"/>
  <c r="AC481" i="128"/>
  <c r="AC483" i="128"/>
  <c r="AC484" i="128"/>
  <c r="AC485" i="128"/>
  <c r="AC486" i="128"/>
  <c r="AD459" i="128"/>
  <c r="AD463" i="128"/>
  <c r="AD464" i="128"/>
  <c r="AD466" i="128"/>
  <c r="AD467" i="128"/>
  <c r="AD469" i="128"/>
  <c r="AD471" i="128"/>
  <c r="AD472" i="128"/>
  <c r="AD473" i="128"/>
  <c r="AD475" i="128"/>
  <c r="AD477" i="128"/>
  <c r="AD478" i="128"/>
  <c r="AD479" i="128"/>
  <c r="AE479" i="128" s="1"/>
  <c r="AD480" i="128"/>
  <c r="AD482" i="128"/>
  <c r="AD460" i="128"/>
  <c r="AD461" i="128"/>
  <c r="AD462" i="128"/>
  <c r="AD465" i="128"/>
  <c r="AD468" i="128"/>
  <c r="AD470" i="128"/>
  <c r="AD474" i="128"/>
  <c r="AD476" i="128"/>
  <c r="AD481" i="128"/>
  <c r="AD483" i="128"/>
  <c r="AD484" i="128"/>
  <c r="AD485" i="128"/>
  <c r="AD486" i="128"/>
  <c r="AD120" i="127"/>
  <c r="AD82" i="127"/>
  <c r="AD49" i="127"/>
  <c r="AE120" i="127"/>
  <c r="AE82" i="127"/>
  <c r="AE49" i="127"/>
  <c r="AD118" i="127"/>
  <c r="AD3" i="127"/>
  <c r="AD4" i="127"/>
  <c r="AD6" i="127"/>
  <c r="AD7" i="127"/>
  <c r="AD9" i="127"/>
  <c r="AD12" i="127"/>
  <c r="AD13" i="127"/>
  <c r="AD14" i="127"/>
  <c r="AD15" i="127"/>
  <c r="AD16" i="127"/>
  <c r="AD17" i="127"/>
  <c r="AD18" i="127"/>
  <c r="AD20" i="127"/>
  <c r="AD21" i="127"/>
  <c r="AD22" i="127"/>
  <c r="AD23" i="127"/>
  <c r="AD24" i="127"/>
  <c r="AD25" i="127"/>
  <c r="AD27" i="127"/>
  <c r="AD29" i="127"/>
  <c r="AD31" i="127"/>
  <c r="AD36" i="127"/>
  <c r="AD37" i="127"/>
  <c r="AD38" i="127"/>
  <c r="AD40" i="127"/>
  <c r="AD42" i="127"/>
  <c r="AD43" i="127"/>
  <c r="AD44" i="127"/>
  <c r="AD46" i="127"/>
  <c r="AD48" i="127"/>
  <c r="AD51" i="127"/>
  <c r="AD52" i="127"/>
  <c r="AD53" i="127"/>
  <c r="AD54" i="127"/>
  <c r="AD56" i="127"/>
  <c r="AD57" i="127"/>
  <c r="AD58" i="127"/>
  <c r="AD60" i="127"/>
  <c r="AD62" i="127"/>
  <c r="AD63" i="127"/>
  <c r="AD64" i="127"/>
  <c r="AD66" i="127"/>
  <c r="AD68" i="127"/>
  <c r="AD70" i="127"/>
  <c r="AD71" i="127"/>
  <c r="AD72" i="127"/>
  <c r="AD73" i="127"/>
  <c r="AD74" i="127"/>
  <c r="AD75" i="127"/>
  <c r="AD77" i="127"/>
  <c r="AD78" i="127"/>
  <c r="AD79" i="127"/>
  <c r="AD80" i="127"/>
  <c r="AD81" i="127"/>
  <c r="AD83" i="127"/>
  <c r="AD85" i="127"/>
  <c r="AD87" i="127"/>
  <c r="AD88" i="127"/>
  <c r="AD90" i="127"/>
  <c r="AD92" i="127"/>
  <c r="AD93" i="127"/>
  <c r="AD95" i="127"/>
  <c r="AD97" i="127"/>
  <c r="AD100" i="127"/>
  <c r="AD101" i="127"/>
  <c r="AD102" i="127"/>
  <c r="AD104" i="127"/>
  <c r="AD105" i="127"/>
  <c r="AD106" i="127"/>
  <c r="AD107" i="127"/>
  <c r="AD109" i="127"/>
  <c r="AD111" i="127"/>
  <c r="AD113" i="127"/>
  <c r="AD116" i="127"/>
  <c r="AD117" i="127"/>
  <c r="AD119" i="127"/>
  <c r="AD5" i="127"/>
  <c r="AD8" i="127"/>
  <c r="AD11" i="127"/>
  <c r="AD19" i="127"/>
  <c r="AD26" i="127"/>
  <c r="AD28" i="127"/>
  <c r="AD30" i="127"/>
  <c r="AD32" i="127"/>
  <c r="AD33" i="127"/>
  <c r="AD45" i="127"/>
  <c r="AD50" i="127"/>
  <c r="AD55" i="127"/>
  <c r="AD61" i="127"/>
  <c r="AD65" i="127"/>
  <c r="AD67" i="127"/>
  <c r="AD69" i="127"/>
  <c r="AD76" i="127"/>
  <c r="AD84" i="127"/>
  <c r="AD89" i="127"/>
  <c r="AD91" i="127"/>
  <c r="AD94" i="127"/>
  <c r="AD96" i="127"/>
  <c r="AD98" i="127"/>
  <c r="AD99" i="127"/>
  <c r="AD103" i="127"/>
  <c r="AD110" i="127"/>
  <c r="AD10" i="127"/>
  <c r="AD59" i="127"/>
  <c r="AD86" i="127"/>
  <c r="AD114" i="127"/>
  <c r="AD115" i="127"/>
  <c r="AD34" i="127"/>
  <c r="AD35" i="127"/>
  <c r="AD39" i="127"/>
  <c r="AD41" i="127"/>
  <c r="AD47" i="127"/>
  <c r="AD108" i="127"/>
  <c r="AD112" i="127"/>
  <c r="AE118" i="127"/>
  <c r="AE3" i="127"/>
  <c r="AE4" i="127"/>
  <c r="AE6" i="127"/>
  <c r="AE7" i="127"/>
  <c r="AE9" i="127"/>
  <c r="AE12" i="127"/>
  <c r="AE13" i="127"/>
  <c r="AE14" i="127"/>
  <c r="AE15" i="127"/>
  <c r="AE16" i="127"/>
  <c r="AE17" i="127"/>
  <c r="AE18" i="127"/>
  <c r="AE20" i="127"/>
  <c r="AE21" i="127"/>
  <c r="AE22" i="127"/>
  <c r="AE23" i="127"/>
  <c r="AE24" i="127"/>
  <c r="AE25" i="127"/>
  <c r="AE27" i="127"/>
  <c r="AE29" i="127"/>
  <c r="AE31" i="127"/>
  <c r="AE36" i="127"/>
  <c r="AE37" i="127"/>
  <c r="AE38" i="127"/>
  <c r="AE40" i="127"/>
  <c r="AE42" i="127"/>
  <c r="AE43" i="127"/>
  <c r="AE44" i="127"/>
  <c r="AE46" i="127"/>
  <c r="AE48" i="127"/>
  <c r="AE51" i="127"/>
  <c r="AE52" i="127"/>
  <c r="AE53" i="127"/>
  <c r="AE54" i="127"/>
  <c r="AE56" i="127"/>
  <c r="AE57" i="127"/>
  <c r="AE58" i="127"/>
  <c r="AE60" i="127"/>
  <c r="AE62" i="127"/>
  <c r="AE63" i="127"/>
  <c r="AE64" i="127"/>
  <c r="AE66" i="127"/>
  <c r="AE68" i="127"/>
  <c r="AE70" i="127"/>
  <c r="AE71" i="127"/>
  <c r="AE72" i="127"/>
  <c r="AE73" i="127"/>
  <c r="AE74" i="127"/>
  <c r="AE75" i="127"/>
  <c r="AE77" i="127"/>
  <c r="AE78" i="127"/>
  <c r="AE79" i="127"/>
  <c r="AE80" i="127"/>
  <c r="AE81" i="127"/>
  <c r="AE83" i="127"/>
  <c r="AE85" i="127"/>
  <c r="AE87" i="127"/>
  <c r="AE88" i="127"/>
  <c r="AE90" i="127"/>
  <c r="AE92" i="127"/>
  <c r="AE93" i="127"/>
  <c r="AE95" i="127"/>
  <c r="AE97" i="127"/>
  <c r="AE100" i="127"/>
  <c r="AE101" i="127"/>
  <c r="AE102" i="127"/>
  <c r="AE104" i="127"/>
  <c r="AE105" i="127"/>
  <c r="AE106" i="127"/>
  <c r="AE107" i="127"/>
  <c r="AE109" i="127"/>
  <c r="AE111" i="127"/>
  <c r="AE113" i="127"/>
  <c r="AE116" i="127"/>
  <c r="AE117" i="127"/>
  <c r="AE119" i="127"/>
  <c r="AE5" i="127"/>
  <c r="AE8" i="127"/>
  <c r="AE11" i="127"/>
  <c r="AE19" i="127"/>
  <c r="AE26" i="127"/>
  <c r="AE28" i="127"/>
  <c r="AE30" i="127"/>
  <c r="AE32" i="127"/>
  <c r="AE33" i="127"/>
  <c r="AE45" i="127"/>
  <c r="AE50" i="127"/>
  <c r="AE55" i="127"/>
  <c r="AE61" i="127"/>
  <c r="AE65" i="127"/>
  <c r="AE67" i="127"/>
  <c r="AE69" i="127"/>
  <c r="AE76" i="127"/>
  <c r="AE84" i="127"/>
  <c r="AE89" i="127"/>
  <c r="AE91" i="127"/>
  <c r="AE94" i="127"/>
  <c r="AE96" i="127"/>
  <c r="AE98" i="127"/>
  <c r="AE99" i="127"/>
  <c r="AE103" i="127"/>
  <c r="AE110" i="127"/>
  <c r="AE10" i="127"/>
  <c r="AE59" i="127"/>
  <c r="AE86" i="127"/>
  <c r="AE114" i="127"/>
  <c r="AE115" i="127"/>
  <c r="AE34" i="127"/>
  <c r="AE35" i="127"/>
  <c r="AE39" i="127"/>
  <c r="AE41" i="127"/>
  <c r="AE47" i="127"/>
  <c r="AE108" i="127"/>
  <c r="AE112" i="127"/>
  <c r="AB8" i="128"/>
  <c r="AB10" i="128"/>
  <c r="AB12" i="128"/>
  <c r="AB14" i="128"/>
  <c r="AB15" i="128"/>
  <c r="AB18" i="128"/>
  <c r="AB19" i="128"/>
  <c r="AB23" i="128"/>
  <c r="AB24" i="128"/>
  <c r="AB26" i="128"/>
  <c r="AB28" i="128"/>
  <c r="AB29" i="128"/>
  <c r="AB33" i="128"/>
  <c r="AB36" i="128"/>
  <c r="AB39" i="128"/>
  <c r="AB40" i="128"/>
  <c r="AB42" i="128"/>
  <c r="AB43" i="128"/>
  <c r="AB44" i="128"/>
  <c r="AB45" i="128"/>
  <c r="AB46" i="128"/>
  <c r="AB47" i="128"/>
  <c r="AB48" i="128"/>
  <c r="AB49" i="128"/>
  <c r="AB50" i="128"/>
  <c r="AB51" i="128"/>
  <c r="AB52" i="128"/>
  <c r="AB53" i="128"/>
  <c r="AB54" i="128"/>
  <c r="AB55" i="128"/>
  <c r="AB56" i="128"/>
  <c r="AB59" i="128"/>
  <c r="AB64" i="128"/>
  <c r="AB65" i="128"/>
  <c r="AB66" i="128"/>
  <c r="AB68" i="128"/>
  <c r="AB69" i="128"/>
  <c r="AB70" i="128"/>
  <c r="AB71" i="128"/>
  <c r="AB72" i="128"/>
  <c r="AB73" i="128"/>
  <c r="AB74" i="128"/>
  <c r="AB75" i="128"/>
  <c r="AB76" i="128"/>
  <c r="AB77" i="128"/>
  <c r="AB80" i="128"/>
  <c r="AB87" i="128"/>
  <c r="AB89" i="128"/>
  <c r="AB90" i="128"/>
  <c r="AB92" i="128"/>
  <c r="AB95" i="128"/>
  <c r="AB97" i="128"/>
  <c r="AB100" i="128"/>
  <c r="AB101" i="128"/>
  <c r="AB104" i="128"/>
  <c r="AB105" i="128"/>
  <c r="AB106" i="128"/>
  <c r="AB107" i="128"/>
  <c r="AB109" i="128"/>
  <c r="AB119" i="128"/>
  <c r="AB120" i="128"/>
  <c r="AB122" i="128"/>
  <c r="AB127" i="128"/>
  <c r="AB133" i="128"/>
  <c r="AB135" i="128"/>
  <c r="AB138" i="128"/>
  <c r="AB143" i="128"/>
  <c r="AB144" i="128"/>
  <c r="AB145" i="128"/>
  <c r="AB148" i="128"/>
  <c r="AB149" i="128"/>
  <c r="AB150" i="128"/>
  <c r="AB151" i="128"/>
  <c r="AB153" i="128"/>
  <c r="AB158" i="128"/>
  <c r="AB163" i="128"/>
  <c r="AB165" i="128"/>
  <c r="AB166" i="128"/>
  <c r="AB167" i="128"/>
  <c r="AB168" i="128"/>
  <c r="AB169" i="128"/>
  <c r="AB170" i="128"/>
  <c r="AB173" i="128"/>
  <c r="AB176" i="128"/>
  <c r="AB177" i="128"/>
  <c r="AB179" i="128"/>
  <c r="AB181" i="128"/>
  <c r="AB182" i="128"/>
  <c r="AB185" i="128"/>
  <c r="AB186" i="128"/>
  <c r="AB187" i="128"/>
  <c r="AB188" i="128"/>
  <c r="AB196" i="128"/>
  <c r="AB198" i="128"/>
  <c r="AB199" i="128"/>
  <c r="AB200" i="128"/>
  <c r="AB206" i="128"/>
  <c r="AB209" i="128"/>
  <c r="AB210" i="128"/>
  <c r="AB211" i="128"/>
  <c r="AB213" i="128"/>
  <c r="AB214" i="128"/>
  <c r="AB216" i="128"/>
  <c r="AB217" i="128"/>
  <c r="AB218" i="128"/>
  <c r="AB219" i="128"/>
  <c r="AB221" i="128"/>
  <c r="AB222" i="128"/>
  <c r="AB223" i="128"/>
  <c r="AB225" i="128"/>
  <c r="AB228" i="128"/>
  <c r="AB229" i="128"/>
  <c r="AB230" i="128"/>
  <c r="AB231" i="128"/>
  <c r="AB234" i="128"/>
  <c r="AB237" i="128"/>
  <c r="AB238" i="128"/>
  <c r="AB239" i="128"/>
  <c r="AB240" i="128"/>
  <c r="AB244" i="128"/>
  <c r="AB245" i="128"/>
  <c r="AB246" i="128"/>
  <c r="AB247" i="128"/>
  <c r="AB250" i="128"/>
  <c r="AB251" i="128"/>
  <c r="AB252" i="128"/>
  <c r="AB253" i="128"/>
  <c r="AB254" i="128"/>
  <c r="AB255" i="128"/>
  <c r="AB256" i="128"/>
  <c r="AB261" i="128"/>
  <c r="AB265" i="128"/>
  <c r="AB266" i="128"/>
  <c r="AB267" i="128"/>
  <c r="AB269" i="128"/>
  <c r="AB270" i="128"/>
  <c r="AB273" i="128"/>
  <c r="AB275" i="128"/>
  <c r="AB276" i="128"/>
  <c r="AB279" i="128"/>
  <c r="AB283" i="128"/>
  <c r="AB284" i="128"/>
  <c r="AB285" i="128"/>
  <c r="AB286" i="128"/>
  <c r="AB287" i="128"/>
  <c r="AB289" i="128"/>
  <c r="AB290" i="128"/>
  <c r="AB303" i="128"/>
  <c r="AB306" i="128"/>
  <c r="AB308" i="128"/>
  <c r="AB309" i="128"/>
  <c r="AB310" i="128"/>
  <c r="AB311" i="128"/>
  <c r="AB313" i="128"/>
  <c r="AB314" i="128"/>
  <c r="AB315" i="128"/>
  <c r="AB316" i="128"/>
  <c r="AB321" i="128"/>
  <c r="AB322" i="128"/>
  <c r="AB325" i="128"/>
  <c r="AB326" i="128"/>
  <c r="AB329" i="128"/>
  <c r="AB330" i="128"/>
  <c r="AB334" i="128"/>
  <c r="AB335" i="128"/>
  <c r="AB337" i="128"/>
  <c r="AB342" i="128"/>
  <c r="AB343" i="128"/>
  <c r="AB344" i="128"/>
  <c r="AB345" i="128"/>
  <c r="AB346" i="128"/>
  <c r="AB347" i="128"/>
  <c r="AB350" i="128"/>
  <c r="AB352" i="128"/>
  <c r="AB353" i="128"/>
  <c r="AB354" i="128"/>
  <c r="AB359" i="128"/>
  <c r="AB360" i="128"/>
  <c r="AB363" i="128"/>
  <c r="AB365" i="128"/>
  <c r="AB372" i="128"/>
  <c r="AB373" i="128"/>
  <c r="AB376" i="128"/>
  <c r="AB379" i="128"/>
  <c r="AB380" i="128"/>
  <c r="AB381" i="128"/>
  <c r="AB384" i="128"/>
  <c r="AB387" i="128"/>
  <c r="AB388" i="128"/>
  <c r="AB390" i="128"/>
  <c r="AB392" i="128"/>
  <c r="AB393" i="128"/>
  <c r="AB396" i="128"/>
  <c r="AB397" i="128"/>
  <c r="AB398" i="128"/>
  <c r="AB402" i="128"/>
  <c r="AB404" i="128"/>
  <c r="AB406" i="128"/>
  <c r="AB407" i="128"/>
  <c r="AB408" i="128"/>
  <c r="AB409" i="128"/>
  <c r="AB410" i="128"/>
  <c r="AB411" i="128"/>
  <c r="AB412" i="128"/>
  <c r="AB418" i="128"/>
  <c r="AB420" i="128"/>
  <c r="AB421" i="128"/>
  <c r="AB424" i="128"/>
  <c r="AB425" i="128"/>
  <c r="AB427" i="128"/>
  <c r="AB430" i="128"/>
  <c r="AB431" i="128"/>
  <c r="AB432" i="128"/>
  <c r="AB433" i="128"/>
  <c r="AB435" i="128"/>
  <c r="AB437" i="128"/>
  <c r="AB439" i="128"/>
  <c r="AB440" i="128"/>
  <c r="AB442" i="128"/>
  <c r="AB443" i="128"/>
  <c r="AB444" i="128"/>
  <c r="AB445" i="128"/>
  <c r="AB448" i="128"/>
  <c r="AB450" i="128"/>
  <c r="AB451" i="128"/>
  <c r="AB455" i="128"/>
  <c r="AB456" i="128"/>
  <c r="AB457" i="128"/>
  <c r="AB458" i="128"/>
  <c r="AB3" i="128"/>
  <c r="AB4" i="128"/>
  <c r="AB5" i="128"/>
  <c r="AB6" i="128"/>
  <c r="AB7" i="128"/>
  <c r="AB9" i="128"/>
  <c r="AB11" i="128"/>
  <c r="AB13" i="128"/>
  <c r="AB16" i="128"/>
  <c r="AB17" i="128"/>
  <c r="AB20" i="128"/>
  <c r="AB21" i="128"/>
  <c r="AB22" i="128"/>
  <c r="AB25" i="128"/>
  <c r="AB27" i="128"/>
  <c r="AB30" i="128"/>
  <c r="AB31" i="128"/>
  <c r="AB32" i="128"/>
  <c r="AB34" i="128"/>
  <c r="AB35" i="128"/>
  <c r="AB37" i="128"/>
  <c r="AB38" i="128"/>
  <c r="AB41" i="128"/>
  <c r="AB57" i="128"/>
  <c r="AB58" i="128"/>
  <c r="AB60" i="128"/>
  <c r="AB61" i="128"/>
  <c r="AB62" i="128"/>
  <c r="AB63" i="128"/>
  <c r="AB67" i="128"/>
  <c r="AB78" i="128"/>
  <c r="AB79" i="128"/>
  <c r="AB81" i="128"/>
  <c r="AB82" i="128"/>
  <c r="AB83" i="128"/>
  <c r="AB84" i="128"/>
  <c r="AB85" i="128"/>
  <c r="AB86" i="128"/>
  <c r="AB88" i="128"/>
  <c r="AB91" i="128"/>
  <c r="AB93" i="128"/>
  <c r="AB94" i="128"/>
  <c r="AB96" i="128"/>
  <c r="AB98" i="128"/>
  <c r="AB99" i="128"/>
  <c r="AB102" i="128"/>
  <c r="AB103" i="128"/>
  <c r="AB108" i="128"/>
  <c r="AB110" i="128"/>
  <c r="AB111" i="128"/>
  <c r="AB112" i="128"/>
  <c r="AB113" i="128"/>
  <c r="AB114" i="128"/>
  <c r="AB115" i="128"/>
  <c r="AB116" i="128"/>
  <c r="AB117" i="128"/>
  <c r="AB118" i="128"/>
  <c r="AB121" i="128"/>
  <c r="AB123" i="128"/>
  <c r="AB124" i="128"/>
  <c r="AB125" i="128"/>
  <c r="AB126" i="128"/>
  <c r="AB128" i="128"/>
  <c r="AB129" i="128"/>
  <c r="AB130" i="128"/>
  <c r="AB131" i="128"/>
  <c r="AB132" i="128"/>
  <c r="AB134" i="128"/>
  <c r="AB136" i="128"/>
  <c r="AB137" i="128"/>
  <c r="AB139" i="128"/>
  <c r="AB140" i="128"/>
  <c r="AB141" i="128"/>
  <c r="AB142" i="128"/>
  <c r="AB146" i="128"/>
  <c r="AB147" i="128"/>
  <c r="AB152" i="128"/>
  <c r="AB154" i="128"/>
  <c r="AB155" i="128"/>
  <c r="AB156" i="128"/>
  <c r="AB157" i="128"/>
  <c r="AB159" i="128"/>
  <c r="AB160" i="128"/>
  <c r="AB161" i="128"/>
  <c r="AB162" i="128"/>
  <c r="AB164" i="128"/>
  <c r="AB171" i="128"/>
  <c r="AB172" i="128"/>
  <c r="AB174" i="128"/>
  <c r="AB175" i="128"/>
  <c r="AB178" i="128"/>
  <c r="AB180" i="128"/>
  <c r="AB183" i="128"/>
  <c r="AB184" i="128"/>
  <c r="AB189" i="128"/>
  <c r="AB190" i="128"/>
  <c r="AB191" i="128"/>
  <c r="AB192" i="128"/>
  <c r="AB193" i="128"/>
  <c r="AB194" i="128"/>
  <c r="AB195" i="128"/>
  <c r="AB197" i="128"/>
  <c r="AB201" i="128"/>
  <c r="AB202" i="128"/>
  <c r="AB203" i="128"/>
  <c r="AB204" i="128"/>
  <c r="AB205" i="128"/>
  <c r="AB207" i="128"/>
  <c r="AB208" i="128"/>
  <c r="AB212" i="128"/>
  <c r="AB215" i="128"/>
  <c r="AB220" i="128"/>
  <c r="AB224" i="128"/>
  <c r="AB226" i="128"/>
  <c r="AB227" i="128"/>
  <c r="AB232" i="128"/>
  <c r="AB233" i="128"/>
  <c r="AB235" i="128"/>
  <c r="AB236" i="128"/>
  <c r="AB241" i="128"/>
  <c r="AB242" i="128"/>
  <c r="AB243" i="128"/>
  <c r="AB248" i="128"/>
  <c r="AB249" i="128"/>
  <c r="AB257" i="128"/>
  <c r="AB258" i="128"/>
  <c r="AB259" i="128"/>
  <c r="AB260" i="128"/>
  <c r="AB262" i="128"/>
  <c r="AB263" i="128"/>
  <c r="AB264" i="128"/>
  <c r="AB268" i="128"/>
  <c r="AB271" i="128"/>
  <c r="AB272" i="128"/>
  <c r="AB274" i="128"/>
  <c r="AB277" i="128"/>
  <c r="AB278" i="128"/>
  <c r="AB280" i="128"/>
  <c r="AB281" i="128"/>
  <c r="AB282" i="128"/>
  <c r="AB288" i="128"/>
  <c r="AB291" i="128"/>
  <c r="AB292" i="128"/>
  <c r="AB293" i="128"/>
  <c r="AB294" i="128"/>
  <c r="AB295" i="128"/>
  <c r="AB296" i="128"/>
  <c r="AB297" i="128"/>
  <c r="AB298" i="128"/>
  <c r="AB299" i="128"/>
  <c r="AB300" i="128"/>
  <c r="AB301" i="128"/>
  <c r="AB302" i="128"/>
  <c r="AB304" i="128"/>
  <c r="AB305" i="128"/>
  <c r="AB307" i="128"/>
  <c r="AB312" i="128"/>
  <c r="AB317" i="128"/>
  <c r="AB318" i="128"/>
  <c r="AB319" i="128"/>
  <c r="AB320" i="128"/>
  <c r="AB323" i="128"/>
  <c r="AB324" i="128"/>
  <c r="AB327" i="128"/>
  <c r="AB328" i="128"/>
  <c r="AB331" i="128"/>
  <c r="AB332" i="128"/>
  <c r="AB333" i="128"/>
  <c r="AB336" i="128"/>
  <c r="AB338" i="128"/>
  <c r="AB339" i="128"/>
  <c r="AB340" i="128"/>
  <c r="AB341" i="128"/>
  <c r="AB348" i="128"/>
  <c r="AB349" i="128"/>
  <c r="AB351" i="128"/>
  <c r="AB355" i="128"/>
  <c r="AB356" i="128"/>
  <c r="AB357" i="128"/>
  <c r="AB358" i="128"/>
  <c r="AB361" i="128"/>
  <c r="AB362" i="128"/>
  <c r="AB364" i="128"/>
  <c r="AB366" i="128"/>
  <c r="AB367" i="128"/>
  <c r="AB368" i="128"/>
  <c r="AB369" i="128"/>
  <c r="AB370" i="128"/>
  <c r="AB371" i="128"/>
  <c r="AB374" i="128"/>
  <c r="AB375" i="128"/>
  <c r="AB377" i="128"/>
  <c r="AB378" i="128"/>
  <c r="AB382" i="128"/>
  <c r="AB383" i="128"/>
  <c r="AB385" i="128"/>
  <c r="AB386" i="128"/>
  <c r="AB389" i="128"/>
  <c r="AB391" i="128"/>
  <c r="AB394" i="128"/>
  <c r="AB395" i="128"/>
  <c r="AB399" i="128"/>
  <c r="AB400" i="128"/>
  <c r="AB401" i="128"/>
  <c r="AB403" i="128"/>
  <c r="AB405" i="128"/>
  <c r="AB413" i="128"/>
  <c r="AB414" i="128"/>
  <c r="AB415" i="128"/>
  <c r="AB416" i="128"/>
  <c r="AB417" i="128"/>
  <c r="AB419" i="128"/>
  <c r="AB422" i="128"/>
  <c r="AB423" i="128"/>
  <c r="AB426" i="128"/>
  <c r="AB428" i="128"/>
  <c r="AB429" i="128"/>
  <c r="AB434" i="128"/>
  <c r="AB436" i="128"/>
  <c r="AB438" i="128"/>
  <c r="AB441" i="128"/>
  <c r="AB446" i="128"/>
  <c r="AB447" i="128"/>
  <c r="AB449" i="128"/>
  <c r="AB452" i="128"/>
  <c r="AB453" i="128"/>
  <c r="AB454" i="128"/>
  <c r="AC8" i="128"/>
  <c r="AC10" i="128"/>
  <c r="AC12" i="128"/>
  <c r="AC14" i="128"/>
  <c r="AC15" i="128"/>
  <c r="AC18" i="128"/>
  <c r="AC19" i="128"/>
  <c r="AC23" i="128"/>
  <c r="AC24" i="128"/>
  <c r="AC26" i="128"/>
  <c r="AC28" i="128"/>
  <c r="AC29" i="128"/>
  <c r="AC33" i="128"/>
  <c r="AC36" i="128"/>
  <c r="AC39" i="128"/>
  <c r="AC40" i="128"/>
  <c r="AC42" i="128"/>
  <c r="AC43" i="128"/>
  <c r="AC44" i="128"/>
  <c r="AC45" i="128"/>
  <c r="AC46" i="128"/>
  <c r="AC47" i="128"/>
  <c r="AC48" i="128"/>
  <c r="AC49" i="128"/>
  <c r="AC50" i="128"/>
  <c r="AC51" i="128"/>
  <c r="AC52" i="128"/>
  <c r="AC53" i="128"/>
  <c r="AC54" i="128"/>
  <c r="AC55" i="128"/>
  <c r="AC56" i="128"/>
  <c r="AC59" i="128"/>
  <c r="AC64" i="128"/>
  <c r="AC65" i="128"/>
  <c r="AC66" i="128"/>
  <c r="AC68" i="128"/>
  <c r="AC69" i="128"/>
  <c r="AC70" i="128"/>
  <c r="AC71" i="128"/>
  <c r="AC72" i="128"/>
  <c r="AC73" i="128"/>
  <c r="AC74" i="128"/>
  <c r="AC75" i="128"/>
  <c r="AC76" i="128"/>
  <c r="AC77" i="128"/>
  <c r="AC80" i="128"/>
  <c r="AC87" i="128"/>
  <c r="AC89" i="128"/>
  <c r="AC90" i="128"/>
  <c r="AC92" i="128"/>
  <c r="AC95" i="128"/>
  <c r="AC97" i="128"/>
  <c r="AC100" i="128"/>
  <c r="AC101" i="128"/>
  <c r="AC104" i="128"/>
  <c r="AC105" i="128"/>
  <c r="AC106" i="128"/>
  <c r="AC107" i="128"/>
  <c r="AC109" i="128"/>
  <c r="AC119" i="128"/>
  <c r="AC120" i="128"/>
  <c r="AC122" i="128"/>
  <c r="AC127" i="128"/>
  <c r="AC133" i="128"/>
  <c r="AC135" i="128"/>
  <c r="AC138" i="128"/>
  <c r="AC143" i="128"/>
  <c r="AC144" i="128"/>
  <c r="AC145" i="128"/>
  <c r="AC148" i="128"/>
  <c r="AC149" i="128"/>
  <c r="AC150" i="128"/>
  <c r="AC151" i="128"/>
  <c r="AC153" i="128"/>
  <c r="AC158" i="128"/>
  <c r="AC163" i="128"/>
  <c r="AC165" i="128"/>
  <c r="AC166" i="128"/>
  <c r="AC167" i="128"/>
  <c r="AC168" i="128"/>
  <c r="AC169" i="128"/>
  <c r="AC170" i="128"/>
  <c r="AC173" i="128"/>
  <c r="AC176" i="128"/>
  <c r="AC177" i="128"/>
  <c r="AC179" i="128"/>
  <c r="AC181" i="128"/>
  <c r="AC182" i="128"/>
  <c r="AC185" i="128"/>
  <c r="AC186" i="128"/>
  <c r="AC187" i="128"/>
  <c r="AC188" i="128"/>
  <c r="AC196" i="128"/>
  <c r="AC198" i="128"/>
  <c r="AC199" i="128"/>
  <c r="AC200" i="128"/>
  <c r="AC206" i="128"/>
  <c r="AC209" i="128"/>
  <c r="AC210" i="128"/>
  <c r="AC211" i="128"/>
  <c r="AC213" i="128"/>
  <c r="AC214" i="128"/>
  <c r="AC216" i="128"/>
  <c r="AC217" i="128"/>
  <c r="AC218" i="128"/>
  <c r="AC219" i="128"/>
  <c r="AC221" i="128"/>
  <c r="AC222" i="128"/>
  <c r="AC223" i="128"/>
  <c r="AC225" i="128"/>
  <c r="AC228" i="128"/>
  <c r="AC229" i="128"/>
  <c r="AC230" i="128"/>
  <c r="AC231" i="128"/>
  <c r="AC234" i="128"/>
  <c r="AC237" i="128"/>
  <c r="AC238" i="128"/>
  <c r="AC239" i="128"/>
  <c r="AC240" i="128"/>
  <c r="AC244" i="128"/>
  <c r="AC245" i="128"/>
  <c r="AC246" i="128"/>
  <c r="AC247" i="128"/>
  <c r="AC250" i="128"/>
  <c r="AC251" i="128"/>
  <c r="AC252" i="128"/>
  <c r="AC253" i="128"/>
  <c r="AC254" i="128"/>
  <c r="AC255" i="128"/>
  <c r="AC256" i="128"/>
  <c r="AC261" i="128"/>
  <c r="AC265" i="128"/>
  <c r="AC266" i="128"/>
  <c r="AC267" i="128"/>
  <c r="AC269" i="128"/>
  <c r="AC270" i="128"/>
  <c r="AC273" i="128"/>
  <c r="AC275" i="128"/>
  <c r="AC276" i="128"/>
  <c r="AC279" i="128"/>
  <c r="AC283" i="128"/>
  <c r="AC284" i="128"/>
  <c r="AC285" i="128"/>
  <c r="AC286" i="128"/>
  <c r="AC287" i="128"/>
  <c r="AC289" i="128"/>
  <c r="AC290" i="128"/>
  <c r="AC303" i="128"/>
  <c r="AC306" i="128"/>
  <c r="AC308" i="128"/>
  <c r="AC309" i="128"/>
  <c r="AC310" i="128"/>
  <c r="AC311" i="128"/>
  <c r="AC313" i="128"/>
  <c r="AC314" i="128"/>
  <c r="AC315" i="128"/>
  <c r="AC316" i="128"/>
  <c r="AC321" i="128"/>
  <c r="AC322" i="128"/>
  <c r="AC325" i="128"/>
  <c r="AC326" i="128"/>
  <c r="AC329" i="128"/>
  <c r="AC330" i="128"/>
  <c r="AC334" i="128"/>
  <c r="AC335" i="128"/>
  <c r="AC337" i="128"/>
  <c r="AC342" i="128"/>
  <c r="AC343" i="128"/>
  <c r="AC344" i="128"/>
  <c r="AC345" i="128"/>
  <c r="AC346" i="128"/>
  <c r="AC347" i="128"/>
  <c r="AC350" i="128"/>
  <c r="AC352" i="128"/>
  <c r="AC353" i="128"/>
  <c r="AC354" i="128"/>
  <c r="AC359" i="128"/>
  <c r="AC360" i="128"/>
  <c r="AC363" i="128"/>
  <c r="AC365" i="128"/>
  <c r="AC372" i="128"/>
  <c r="AC373" i="128"/>
  <c r="AC376" i="128"/>
  <c r="AC379" i="128"/>
  <c r="AC380" i="128"/>
  <c r="AC381" i="128"/>
  <c r="AC384" i="128"/>
  <c r="AC387" i="128"/>
  <c r="AC388" i="128"/>
  <c r="AC390" i="128"/>
  <c r="AC392" i="128"/>
  <c r="AC393" i="128"/>
  <c r="AC396" i="128"/>
  <c r="AC397" i="128"/>
  <c r="AC398" i="128"/>
  <c r="AC402" i="128"/>
  <c r="AC404" i="128"/>
  <c r="AC406" i="128"/>
  <c r="AC407" i="128"/>
  <c r="AC408" i="128"/>
  <c r="AC409" i="128"/>
  <c r="AC410" i="128"/>
  <c r="AC411" i="128"/>
  <c r="AC412" i="128"/>
  <c r="AC418" i="128"/>
  <c r="AC420" i="128"/>
  <c r="AC421" i="128"/>
  <c r="AC424" i="128"/>
  <c r="AC425" i="128"/>
  <c r="AC427" i="128"/>
  <c r="AC430" i="128"/>
  <c r="AC431" i="128"/>
  <c r="AC432" i="128"/>
  <c r="AC433" i="128"/>
  <c r="AC435" i="128"/>
  <c r="AC437" i="128"/>
  <c r="AC439" i="128"/>
  <c r="AC440" i="128"/>
  <c r="AC442" i="128"/>
  <c r="AC443" i="128"/>
  <c r="AC444" i="128"/>
  <c r="AC445" i="128"/>
  <c r="AC448" i="128"/>
  <c r="AC450" i="128"/>
  <c r="AC451" i="128"/>
  <c r="AC455" i="128"/>
  <c r="AC456" i="128"/>
  <c r="AC457" i="128"/>
  <c r="AC458" i="128"/>
  <c r="AC3" i="128"/>
  <c r="AC4" i="128"/>
  <c r="AC5" i="128"/>
  <c r="AC6" i="128"/>
  <c r="AC7" i="128"/>
  <c r="AC9" i="128"/>
  <c r="AC11" i="128"/>
  <c r="AC13" i="128"/>
  <c r="AC16" i="128"/>
  <c r="AC17" i="128"/>
  <c r="AC20" i="128"/>
  <c r="AC21" i="128"/>
  <c r="AC22" i="128"/>
  <c r="AC25" i="128"/>
  <c r="AC27" i="128"/>
  <c r="AC30" i="128"/>
  <c r="AC31" i="128"/>
  <c r="AC32" i="128"/>
  <c r="AC34" i="128"/>
  <c r="AC35" i="128"/>
  <c r="AC37" i="128"/>
  <c r="AC38" i="128"/>
  <c r="AC41" i="128"/>
  <c r="AC57" i="128"/>
  <c r="AC58" i="128"/>
  <c r="AC60" i="128"/>
  <c r="AC61" i="128"/>
  <c r="AC62" i="128"/>
  <c r="AC63" i="128"/>
  <c r="AC67" i="128"/>
  <c r="AC78" i="128"/>
  <c r="AC79" i="128"/>
  <c r="AC81" i="128"/>
  <c r="AC82" i="128"/>
  <c r="AC83" i="128"/>
  <c r="AC84" i="128"/>
  <c r="AC85" i="128"/>
  <c r="AC86" i="128"/>
  <c r="AC88" i="128"/>
  <c r="AC91" i="128"/>
  <c r="AC93" i="128"/>
  <c r="AC94" i="128"/>
  <c r="AC96" i="128"/>
  <c r="AC98" i="128"/>
  <c r="AC99" i="128"/>
  <c r="AC102" i="128"/>
  <c r="AC103" i="128"/>
  <c r="AC108" i="128"/>
  <c r="AC110" i="128"/>
  <c r="AC111" i="128"/>
  <c r="AC112" i="128"/>
  <c r="AC113" i="128"/>
  <c r="AC114" i="128"/>
  <c r="AC115" i="128"/>
  <c r="AC116" i="128"/>
  <c r="AC117" i="128"/>
  <c r="AC118" i="128"/>
  <c r="AC121" i="128"/>
  <c r="AC123" i="128"/>
  <c r="AC124" i="128"/>
  <c r="AC125" i="128"/>
  <c r="AC126" i="128"/>
  <c r="AC128" i="128"/>
  <c r="AC129" i="128"/>
  <c r="AC130" i="128"/>
  <c r="AC131" i="128"/>
  <c r="AC132" i="128"/>
  <c r="AC134" i="128"/>
  <c r="AC136" i="128"/>
  <c r="AC137" i="128"/>
  <c r="AC139" i="128"/>
  <c r="AC140" i="128"/>
  <c r="AC141" i="128"/>
  <c r="AC142" i="128"/>
  <c r="AC146" i="128"/>
  <c r="AC147" i="128"/>
  <c r="AC152" i="128"/>
  <c r="AC154" i="128"/>
  <c r="AC155" i="128"/>
  <c r="AC156" i="128"/>
  <c r="AC157" i="128"/>
  <c r="AC159" i="128"/>
  <c r="AC160" i="128"/>
  <c r="AC161" i="128"/>
  <c r="AC162" i="128"/>
  <c r="AC164" i="128"/>
  <c r="AC171" i="128"/>
  <c r="AC172" i="128"/>
  <c r="AC174" i="128"/>
  <c r="AC175" i="128"/>
  <c r="AC178" i="128"/>
  <c r="AC180" i="128"/>
  <c r="AC183" i="128"/>
  <c r="AC184" i="128"/>
  <c r="AC189" i="128"/>
  <c r="AC190" i="128"/>
  <c r="AC191" i="128"/>
  <c r="AC192" i="128"/>
  <c r="AC193" i="128"/>
  <c r="AC194" i="128"/>
  <c r="AC195" i="128"/>
  <c r="AC197" i="128"/>
  <c r="AC201" i="128"/>
  <c r="AC202" i="128"/>
  <c r="AC203" i="128"/>
  <c r="AC204" i="128"/>
  <c r="AC205" i="128"/>
  <c r="AC207" i="128"/>
  <c r="AC208" i="128"/>
  <c r="AC212" i="128"/>
  <c r="AC215" i="128"/>
  <c r="AC220" i="128"/>
  <c r="AC224" i="128"/>
  <c r="AC226" i="128"/>
  <c r="AC227" i="128"/>
  <c r="AC232" i="128"/>
  <c r="AC233" i="128"/>
  <c r="AC235" i="128"/>
  <c r="AC236" i="128"/>
  <c r="AC241" i="128"/>
  <c r="AC242" i="128"/>
  <c r="AC243" i="128"/>
  <c r="AC248" i="128"/>
  <c r="AC249" i="128"/>
  <c r="AC257" i="128"/>
  <c r="AC258" i="128"/>
  <c r="AC259" i="128"/>
  <c r="AC260" i="128"/>
  <c r="AC262" i="128"/>
  <c r="AC263" i="128"/>
  <c r="AC264" i="128"/>
  <c r="AC268" i="128"/>
  <c r="AC271" i="128"/>
  <c r="AC272" i="128"/>
  <c r="AC274" i="128"/>
  <c r="AC277" i="128"/>
  <c r="AC278" i="128"/>
  <c r="AC280" i="128"/>
  <c r="AC281" i="128"/>
  <c r="AC282" i="128"/>
  <c r="AC288" i="128"/>
  <c r="AC291" i="128"/>
  <c r="AC292" i="128"/>
  <c r="AC293" i="128"/>
  <c r="AC294" i="128"/>
  <c r="AC295" i="128"/>
  <c r="AC296" i="128"/>
  <c r="AC297" i="128"/>
  <c r="AC298" i="128"/>
  <c r="AC299" i="128"/>
  <c r="AC300" i="128"/>
  <c r="AC301" i="128"/>
  <c r="AC302" i="128"/>
  <c r="AC304" i="128"/>
  <c r="AC305" i="128"/>
  <c r="AC307" i="128"/>
  <c r="AC312" i="128"/>
  <c r="AC317" i="128"/>
  <c r="AC318" i="128"/>
  <c r="AC319" i="128"/>
  <c r="AC320" i="128"/>
  <c r="AC323" i="128"/>
  <c r="AC324" i="128"/>
  <c r="AC327" i="128"/>
  <c r="AC328" i="128"/>
  <c r="AC331" i="128"/>
  <c r="AC332" i="128"/>
  <c r="AC333" i="128"/>
  <c r="AC336" i="128"/>
  <c r="AC338" i="128"/>
  <c r="AC339" i="128"/>
  <c r="AC340" i="128"/>
  <c r="AC341" i="128"/>
  <c r="AC348" i="128"/>
  <c r="AC349" i="128"/>
  <c r="AC351" i="128"/>
  <c r="AC355" i="128"/>
  <c r="AC356" i="128"/>
  <c r="AC357" i="128"/>
  <c r="AC358" i="128"/>
  <c r="AC361" i="128"/>
  <c r="AC362" i="128"/>
  <c r="AC364" i="128"/>
  <c r="AC366" i="128"/>
  <c r="AC367" i="128"/>
  <c r="AC368" i="128"/>
  <c r="AC369" i="128"/>
  <c r="AC370" i="128"/>
  <c r="AC371" i="128"/>
  <c r="AC374" i="128"/>
  <c r="AC375" i="128"/>
  <c r="AC377" i="128"/>
  <c r="AC378" i="128"/>
  <c r="AC382" i="128"/>
  <c r="AC383" i="128"/>
  <c r="AC385" i="128"/>
  <c r="AC386" i="128"/>
  <c r="AC389" i="128"/>
  <c r="AC391" i="128"/>
  <c r="AC394" i="128"/>
  <c r="AC395" i="128"/>
  <c r="AC399" i="128"/>
  <c r="AC400" i="128"/>
  <c r="AC401" i="128"/>
  <c r="AC403" i="128"/>
  <c r="AC405" i="128"/>
  <c r="AC413" i="128"/>
  <c r="AC414" i="128"/>
  <c r="AC415" i="128"/>
  <c r="AC416" i="128"/>
  <c r="AC417" i="128"/>
  <c r="AC419" i="128"/>
  <c r="AC422" i="128"/>
  <c r="AC423" i="128"/>
  <c r="AC426" i="128"/>
  <c r="AC428" i="128"/>
  <c r="AC429" i="128"/>
  <c r="AC434" i="128"/>
  <c r="AC436" i="128"/>
  <c r="AC438" i="128"/>
  <c r="AC441" i="128"/>
  <c r="AC446" i="128"/>
  <c r="AC447" i="128"/>
  <c r="AC449" i="128"/>
  <c r="AC452" i="128"/>
  <c r="AC453" i="128"/>
  <c r="AC454" i="128"/>
  <c r="AD8" i="128"/>
  <c r="AD10" i="128"/>
  <c r="AD12" i="128"/>
  <c r="AD14" i="128"/>
  <c r="AD15" i="128"/>
  <c r="AD18" i="128"/>
  <c r="AD19" i="128"/>
  <c r="AD23" i="128"/>
  <c r="AD24" i="128"/>
  <c r="AD26" i="128"/>
  <c r="AD28" i="128"/>
  <c r="AD29" i="128"/>
  <c r="AD33" i="128"/>
  <c r="AD36" i="128"/>
  <c r="AD39" i="128"/>
  <c r="AD40" i="128"/>
  <c r="AD42" i="128"/>
  <c r="AD43" i="128"/>
  <c r="AD44" i="128"/>
  <c r="AD45" i="128"/>
  <c r="AD46" i="128"/>
  <c r="AD47" i="128"/>
  <c r="AD48" i="128"/>
  <c r="AD49" i="128"/>
  <c r="AD50" i="128"/>
  <c r="AD51" i="128"/>
  <c r="AD52" i="128"/>
  <c r="AD53" i="128"/>
  <c r="AD54" i="128"/>
  <c r="AD55" i="128"/>
  <c r="AD56" i="128"/>
  <c r="AD59" i="128"/>
  <c r="AD64" i="128"/>
  <c r="AD65" i="128"/>
  <c r="AD66" i="128"/>
  <c r="AD68" i="128"/>
  <c r="AD69" i="128"/>
  <c r="AD70" i="128"/>
  <c r="AD71" i="128"/>
  <c r="AD72" i="128"/>
  <c r="AD73" i="128"/>
  <c r="AD74" i="128"/>
  <c r="AD75" i="128"/>
  <c r="AD76" i="128"/>
  <c r="AD77" i="128"/>
  <c r="AD80" i="128"/>
  <c r="AD87" i="128"/>
  <c r="AD89" i="128"/>
  <c r="AD90" i="128"/>
  <c r="AD92" i="128"/>
  <c r="AD95" i="128"/>
  <c r="AD97" i="128"/>
  <c r="AD100" i="128"/>
  <c r="AD101" i="128"/>
  <c r="AD104" i="128"/>
  <c r="AD105" i="128"/>
  <c r="AD106" i="128"/>
  <c r="AD107" i="128"/>
  <c r="AD109" i="128"/>
  <c r="AD119" i="128"/>
  <c r="AD120" i="128"/>
  <c r="AD122" i="128"/>
  <c r="AD127" i="128"/>
  <c r="AD133" i="128"/>
  <c r="AD135" i="128"/>
  <c r="AD138" i="128"/>
  <c r="AD143" i="128"/>
  <c r="AD144" i="128"/>
  <c r="AD145" i="128"/>
  <c r="AD148" i="128"/>
  <c r="AD149" i="128"/>
  <c r="AD150" i="128"/>
  <c r="AD151" i="128"/>
  <c r="AD153" i="128"/>
  <c r="AD158" i="128"/>
  <c r="AD163" i="128"/>
  <c r="AD165" i="128"/>
  <c r="AD166" i="128"/>
  <c r="AD167" i="128"/>
  <c r="AD168" i="128"/>
  <c r="AD169" i="128"/>
  <c r="AD170" i="128"/>
  <c r="AD173" i="128"/>
  <c r="AD176" i="128"/>
  <c r="AD177" i="128"/>
  <c r="AD179" i="128"/>
  <c r="AD181" i="128"/>
  <c r="AD182" i="128"/>
  <c r="AD185" i="128"/>
  <c r="AD186" i="128"/>
  <c r="AD187" i="128"/>
  <c r="AD188" i="128"/>
  <c r="AD196" i="128"/>
  <c r="AD198" i="128"/>
  <c r="AD199" i="128"/>
  <c r="AD200" i="128"/>
  <c r="AD206" i="128"/>
  <c r="AD209" i="128"/>
  <c r="AD210" i="128"/>
  <c r="AD211" i="128"/>
  <c r="AD213" i="128"/>
  <c r="AD214" i="128"/>
  <c r="AD216" i="128"/>
  <c r="AD217" i="128"/>
  <c r="AD218" i="128"/>
  <c r="AD219" i="128"/>
  <c r="AD221" i="128"/>
  <c r="AD222" i="128"/>
  <c r="AD223" i="128"/>
  <c r="AD225" i="128"/>
  <c r="AD228" i="128"/>
  <c r="AD229" i="128"/>
  <c r="AD230" i="128"/>
  <c r="AD231" i="128"/>
  <c r="AD234" i="128"/>
  <c r="AD237" i="128"/>
  <c r="AD238" i="128"/>
  <c r="AD239" i="128"/>
  <c r="AD240" i="128"/>
  <c r="AD244" i="128"/>
  <c r="AD245" i="128"/>
  <c r="AD246" i="128"/>
  <c r="AD247" i="128"/>
  <c r="AD250" i="128"/>
  <c r="AD251" i="128"/>
  <c r="AD252" i="128"/>
  <c r="AD253" i="128"/>
  <c r="AD254" i="128"/>
  <c r="AD255" i="128"/>
  <c r="AD256" i="128"/>
  <c r="AD261" i="128"/>
  <c r="AD265" i="128"/>
  <c r="AD266" i="128"/>
  <c r="AD267" i="128"/>
  <c r="AD269" i="128"/>
  <c r="AD270" i="128"/>
  <c r="AD273" i="128"/>
  <c r="AD275" i="128"/>
  <c r="AD276" i="128"/>
  <c r="AD279" i="128"/>
  <c r="AD283" i="128"/>
  <c r="AD284" i="128"/>
  <c r="AD285" i="128"/>
  <c r="AD286" i="128"/>
  <c r="AD287" i="128"/>
  <c r="AD289" i="128"/>
  <c r="AD290" i="128"/>
  <c r="AD303" i="128"/>
  <c r="AD306" i="128"/>
  <c r="AD308" i="128"/>
  <c r="AD309" i="128"/>
  <c r="AD310" i="128"/>
  <c r="AD311" i="128"/>
  <c r="AD313" i="128"/>
  <c r="AD314" i="128"/>
  <c r="AD315" i="128"/>
  <c r="AD316" i="128"/>
  <c r="AD321" i="128"/>
  <c r="AD322" i="128"/>
  <c r="AD325" i="128"/>
  <c r="AD326" i="128"/>
  <c r="AD329" i="128"/>
  <c r="AD330" i="128"/>
  <c r="AD334" i="128"/>
  <c r="AD335" i="128"/>
  <c r="AD337" i="128"/>
  <c r="AD342" i="128"/>
  <c r="AD343" i="128"/>
  <c r="AD344" i="128"/>
  <c r="AD345" i="128"/>
  <c r="AD346" i="128"/>
  <c r="AD347" i="128"/>
  <c r="AD350" i="128"/>
  <c r="AD352" i="128"/>
  <c r="AD353" i="128"/>
  <c r="AD354" i="128"/>
  <c r="AD359" i="128"/>
  <c r="AD360" i="128"/>
  <c r="AD363" i="128"/>
  <c r="AD365" i="128"/>
  <c r="AD372" i="128"/>
  <c r="AD373" i="128"/>
  <c r="AD376" i="128"/>
  <c r="AD379" i="128"/>
  <c r="AD380" i="128"/>
  <c r="AD381" i="128"/>
  <c r="AD384" i="128"/>
  <c r="AD387" i="128"/>
  <c r="AD388" i="128"/>
  <c r="AD390" i="128"/>
  <c r="AD392" i="128"/>
  <c r="AD393" i="128"/>
  <c r="AD396" i="128"/>
  <c r="AD397" i="128"/>
  <c r="AD398" i="128"/>
  <c r="AD402" i="128"/>
  <c r="AD404" i="128"/>
  <c r="AD406" i="128"/>
  <c r="AD407" i="128"/>
  <c r="AD408" i="128"/>
  <c r="AD409" i="128"/>
  <c r="AD410" i="128"/>
  <c r="AD411" i="128"/>
  <c r="AD412" i="128"/>
  <c r="AD418" i="128"/>
  <c r="AD420" i="128"/>
  <c r="AD421" i="128"/>
  <c r="AD424" i="128"/>
  <c r="AD425" i="128"/>
  <c r="AD427" i="128"/>
  <c r="AD430" i="128"/>
  <c r="AD431" i="128"/>
  <c r="AD432" i="128"/>
  <c r="AD433" i="128"/>
  <c r="AD435" i="128"/>
  <c r="AD437" i="128"/>
  <c r="AD439" i="128"/>
  <c r="AD440" i="128"/>
  <c r="AD442" i="128"/>
  <c r="AD443" i="128"/>
  <c r="AD444" i="128"/>
  <c r="AD445" i="128"/>
  <c r="AD448" i="128"/>
  <c r="AD450" i="128"/>
  <c r="AD451" i="128"/>
  <c r="AD455" i="128"/>
  <c r="AD456" i="128"/>
  <c r="AD457" i="128"/>
  <c r="AD458" i="128"/>
  <c r="AD3" i="128"/>
  <c r="AD4" i="128"/>
  <c r="AD5" i="128"/>
  <c r="AD6" i="128"/>
  <c r="AD7" i="128"/>
  <c r="AD9" i="128"/>
  <c r="AD11" i="128"/>
  <c r="AD13" i="128"/>
  <c r="AD16" i="128"/>
  <c r="AD17" i="128"/>
  <c r="AD20" i="128"/>
  <c r="AD21" i="128"/>
  <c r="AD22" i="128"/>
  <c r="AD25" i="128"/>
  <c r="AD27" i="128"/>
  <c r="AD30" i="128"/>
  <c r="AD31" i="128"/>
  <c r="AD32" i="128"/>
  <c r="AD34" i="128"/>
  <c r="AD35" i="128"/>
  <c r="AD37" i="128"/>
  <c r="AD38" i="128"/>
  <c r="AD41" i="128"/>
  <c r="AD57" i="128"/>
  <c r="AD58" i="128"/>
  <c r="AD60" i="128"/>
  <c r="AD61" i="128"/>
  <c r="AD62" i="128"/>
  <c r="AD63" i="128"/>
  <c r="AD67" i="128"/>
  <c r="AD78" i="128"/>
  <c r="AD79" i="128"/>
  <c r="AD81" i="128"/>
  <c r="AD82" i="128"/>
  <c r="AD83" i="128"/>
  <c r="AD84" i="128"/>
  <c r="AD85" i="128"/>
  <c r="AD86" i="128"/>
  <c r="AD88" i="128"/>
  <c r="AD91" i="128"/>
  <c r="AD93" i="128"/>
  <c r="AD94" i="128"/>
  <c r="AD96" i="128"/>
  <c r="AD98" i="128"/>
  <c r="AD99" i="128"/>
  <c r="AD102" i="128"/>
  <c r="AD103" i="128"/>
  <c r="AD108" i="128"/>
  <c r="AD110" i="128"/>
  <c r="AD111" i="128"/>
  <c r="AD112" i="128"/>
  <c r="AD113" i="128"/>
  <c r="AD114" i="128"/>
  <c r="AD115" i="128"/>
  <c r="AD116" i="128"/>
  <c r="AD117" i="128"/>
  <c r="AD118" i="128"/>
  <c r="AD121" i="128"/>
  <c r="AD123" i="128"/>
  <c r="AD124" i="128"/>
  <c r="AD125" i="128"/>
  <c r="AD126" i="128"/>
  <c r="AD128" i="128"/>
  <c r="AD129" i="128"/>
  <c r="AD130" i="128"/>
  <c r="AD131" i="128"/>
  <c r="AD132" i="128"/>
  <c r="AD134" i="128"/>
  <c r="AD136" i="128"/>
  <c r="AD137" i="128"/>
  <c r="AD139" i="128"/>
  <c r="AD140" i="128"/>
  <c r="AD141" i="128"/>
  <c r="AD142" i="128"/>
  <c r="AD146" i="128"/>
  <c r="AD147" i="128"/>
  <c r="AD152" i="128"/>
  <c r="AD154" i="128"/>
  <c r="AD155" i="128"/>
  <c r="AD156" i="128"/>
  <c r="AD157" i="128"/>
  <c r="AD159" i="128"/>
  <c r="AD160" i="128"/>
  <c r="AD161" i="128"/>
  <c r="AD162" i="128"/>
  <c r="AD164" i="128"/>
  <c r="AD171" i="128"/>
  <c r="AD172" i="128"/>
  <c r="AD174" i="128"/>
  <c r="AD175" i="128"/>
  <c r="AD178" i="128"/>
  <c r="AD180" i="128"/>
  <c r="AD183" i="128"/>
  <c r="AD184" i="128"/>
  <c r="AD189" i="128"/>
  <c r="AD190" i="128"/>
  <c r="AD191" i="128"/>
  <c r="AD192" i="128"/>
  <c r="AD193" i="128"/>
  <c r="AD194" i="128"/>
  <c r="AD195" i="128"/>
  <c r="AD197" i="128"/>
  <c r="AD201" i="128"/>
  <c r="AD202" i="128"/>
  <c r="AD203" i="128"/>
  <c r="AD204" i="128"/>
  <c r="AD205" i="128"/>
  <c r="AD207" i="128"/>
  <c r="AD208" i="128"/>
  <c r="AD212" i="128"/>
  <c r="AD215" i="128"/>
  <c r="AD220" i="128"/>
  <c r="AD224" i="128"/>
  <c r="AD226" i="128"/>
  <c r="AD227" i="128"/>
  <c r="AD232" i="128"/>
  <c r="AD233" i="128"/>
  <c r="AD235" i="128"/>
  <c r="AD236" i="128"/>
  <c r="AD241" i="128"/>
  <c r="AD242" i="128"/>
  <c r="AD243" i="128"/>
  <c r="AD248" i="128"/>
  <c r="AD249" i="128"/>
  <c r="AD257" i="128"/>
  <c r="AD258" i="128"/>
  <c r="AD259" i="128"/>
  <c r="AD260" i="128"/>
  <c r="AD262" i="128"/>
  <c r="AD263" i="128"/>
  <c r="AD264" i="128"/>
  <c r="AD268" i="128"/>
  <c r="AD271" i="128"/>
  <c r="AD272" i="128"/>
  <c r="AD274" i="128"/>
  <c r="AD277" i="128"/>
  <c r="AD278" i="128"/>
  <c r="AD280" i="128"/>
  <c r="AD281" i="128"/>
  <c r="AD282" i="128"/>
  <c r="AD288" i="128"/>
  <c r="AD291" i="128"/>
  <c r="AD292" i="128"/>
  <c r="AD293" i="128"/>
  <c r="AD294" i="128"/>
  <c r="AD295" i="128"/>
  <c r="AD296" i="128"/>
  <c r="AD297" i="128"/>
  <c r="AD298" i="128"/>
  <c r="AD299" i="128"/>
  <c r="AD300" i="128"/>
  <c r="AD301" i="128"/>
  <c r="AD302" i="128"/>
  <c r="AD304" i="128"/>
  <c r="AD305" i="128"/>
  <c r="AD307" i="128"/>
  <c r="AD312" i="128"/>
  <c r="AD317" i="128"/>
  <c r="AD318" i="128"/>
  <c r="AD319" i="128"/>
  <c r="AD320" i="128"/>
  <c r="AD323" i="128"/>
  <c r="AD324" i="128"/>
  <c r="AD327" i="128"/>
  <c r="AD328" i="128"/>
  <c r="AD331" i="128"/>
  <c r="AD332" i="128"/>
  <c r="AD333" i="128"/>
  <c r="AD336" i="128"/>
  <c r="AD338" i="128"/>
  <c r="AD339" i="128"/>
  <c r="AD340" i="128"/>
  <c r="AD341" i="128"/>
  <c r="AD348" i="128"/>
  <c r="AD349" i="128"/>
  <c r="AD351" i="128"/>
  <c r="AD355" i="128"/>
  <c r="AD356" i="128"/>
  <c r="AD357" i="128"/>
  <c r="AD358" i="128"/>
  <c r="AD361" i="128"/>
  <c r="AD362" i="128"/>
  <c r="AD364" i="128"/>
  <c r="AD366" i="128"/>
  <c r="AD367" i="128"/>
  <c r="AD368" i="128"/>
  <c r="AD369" i="128"/>
  <c r="AD370" i="128"/>
  <c r="AD371" i="128"/>
  <c r="AD374" i="128"/>
  <c r="AD375" i="128"/>
  <c r="AD377" i="128"/>
  <c r="AD378" i="128"/>
  <c r="AD382" i="128"/>
  <c r="AD383" i="128"/>
  <c r="AD385" i="128"/>
  <c r="AD386" i="128"/>
  <c r="AD389" i="128"/>
  <c r="AD391" i="128"/>
  <c r="AD394" i="128"/>
  <c r="AD395" i="128"/>
  <c r="AD399" i="128"/>
  <c r="AD400" i="128"/>
  <c r="AD401" i="128"/>
  <c r="AD403" i="128"/>
  <c r="AD405" i="128"/>
  <c r="AD413" i="128"/>
  <c r="AD414" i="128"/>
  <c r="AD415" i="128"/>
  <c r="AD416" i="128"/>
  <c r="AD417" i="128"/>
  <c r="AD419" i="128"/>
  <c r="AD422" i="128"/>
  <c r="AD423" i="128"/>
  <c r="AD426" i="128"/>
  <c r="AD428" i="128"/>
  <c r="AD429" i="128"/>
  <c r="AD434" i="128"/>
  <c r="AD436" i="128"/>
  <c r="AD438" i="128"/>
  <c r="AD441" i="128"/>
  <c r="AD446" i="128"/>
  <c r="AD447" i="128"/>
  <c r="AD449" i="128"/>
  <c r="AD452" i="128"/>
  <c r="AD453" i="128"/>
  <c r="AD454" i="128"/>
  <c r="M3" i="2"/>
  <c r="M15" i="2" s="1"/>
  <c r="AF2" i="127"/>
  <c r="AE463" i="128" l="1"/>
  <c r="AE481" i="128"/>
  <c r="AE477" i="128"/>
  <c r="AE475" i="128"/>
  <c r="AE473" i="128"/>
  <c r="AF82" i="127"/>
  <c r="AF49" i="127"/>
  <c r="AE484" i="128"/>
  <c r="AE459" i="128"/>
  <c r="AE468" i="128"/>
  <c r="AE465" i="128"/>
  <c r="AE478" i="128"/>
  <c r="AE466" i="128"/>
  <c r="AE482" i="128"/>
  <c r="AE486" i="128"/>
  <c r="AE474" i="128"/>
  <c r="AE472" i="128"/>
  <c r="AE483" i="128"/>
  <c r="AE462" i="128"/>
  <c r="AE461" i="128"/>
  <c r="AE471" i="128"/>
  <c r="AE460" i="128"/>
  <c r="AE485" i="128"/>
  <c r="AE469" i="128"/>
  <c r="AE467" i="128"/>
  <c r="AE464" i="128"/>
  <c r="AE476" i="128"/>
  <c r="AE470" i="128"/>
  <c r="AE480" i="128"/>
  <c r="N3" i="2"/>
  <c r="N15" i="2" s="1"/>
  <c r="AF120" i="127"/>
  <c r="AF98" i="127"/>
  <c r="AF50" i="127"/>
  <c r="AF62" i="127"/>
  <c r="AF43" i="127"/>
  <c r="AF114" i="127"/>
  <c r="AF84" i="127"/>
  <c r="AF28" i="127"/>
  <c r="AF72" i="127"/>
  <c r="AF54" i="127"/>
  <c r="AF36" i="127"/>
  <c r="AF96" i="127"/>
  <c r="AF116" i="127"/>
  <c r="AF77" i="127"/>
  <c r="AF42" i="127"/>
  <c r="AF86" i="127"/>
  <c r="AF76" i="127"/>
  <c r="AF106" i="127"/>
  <c r="AF87" i="127"/>
  <c r="AF53" i="127"/>
  <c r="AF31" i="127"/>
  <c r="AF94" i="127"/>
  <c r="AF58" i="127"/>
  <c r="AF40" i="127"/>
  <c r="AF19" i="127"/>
  <c r="AF105" i="127"/>
  <c r="AF70" i="127"/>
  <c r="AF52" i="127"/>
  <c r="AF29" i="127"/>
  <c r="AF14" i="127"/>
  <c r="AF111" i="127"/>
  <c r="AF92" i="127"/>
  <c r="AF74" i="127"/>
  <c r="AF57" i="127"/>
  <c r="AF18" i="127"/>
  <c r="AF118" i="127"/>
  <c r="AF11" i="127"/>
  <c r="AF97" i="127"/>
  <c r="AF78" i="127"/>
  <c r="AF6" i="127"/>
  <c r="AF90" i="127"/>
  <c r="AF104" i="127"/>
  <c r="AF27" i="127"/>
  <c r="AF73" i="127"/>
  <c r="AF7" i="127"/>
  <c r="AF119" i="127"/>
  <c r="AF83" i="127"/>
  <c r="AF102" i="127"/>
  <c r="AF5" i="127"/>
  <c r="AF80" i="127"/>
  <c r="AF112" i="127"/>
  <c r="AF65" i="127"/>
  <c r="AF66" i="127"/>
  <c r="AF25" i="127"/>
  <c r="AF12" i="127"/>
  <c r="AF108" i="127"/>
  <c r="AF46" i="127"/>
  <c r="AF99" i="127"/>
  <c r="AF55" i="127"/>
  <c r="AF100" i="127"/>
  <c r="AF63" i="127"/>
  <c r="AF23" i="127"/>
  <c r="AF3" i="127"/>
  <c r="AF39" i="127"/>
  <c r="AF35" i="127"/>
  <c r="AF107" i="127"/>
  <c r="AF81" i="127"/>
  <c r="AF101" i="127"/>
  <c r="AF24" i="127"/>
  <c r="AF68" i="127"/>
  <c r="AE244" i="128"/>
  <c r="AE103" i="128"/>
  <c r="AE439" i="128"/>
  <c r="AE398" i="128"/>
  <c r="AE376" i="128"/>
  <c r="AE120" i="128"/>
  <c r="AE39" i="128"/>
  <c r="AE441" i="128"/>
  <c r="AE395" i="128"/>
  <c r="AE115" i="128"/>
  <c r="AE412" i="128"/>
  <c r="AE251" i="128"/>
  <c r="AE448" i="128"/>
  <c r="AE430" i="128"/>
  <c r="AE409" i="128"/>
  <c r="AE388" i="128"/>
  <c r="AE365" i="128"/>
  <c r="AE343" i="128"/>
  <c r="AE315" i="128"/>
  <c r="AE289" i="128"/>
  <c r="AF47" i="127"/>
  <c r="AF41" i="127"/>
  <c r="AF34" i="127"/>
  <c r="AF115" i="127"/>
  <c r="AF59" i="127"/>
  <c r="AF10" i="127"/>
  <c r="AF110" i="127"/>
  <c r="AF103" i="127"/>
  <c r="AF91" i="127"/>
  <c r="AF89" i="127"/>
  <c r="AF69" i="127"/>
  <c r="AF67" i="127"/>
  <c r="AF61" i="127"/>
  <c r="AF45" i="127"/>
  <c r="AF33" i="127"/>
  <c r="AF32" i="127"/>
  <c r="AF30" i="127"/>
  <c r="AF26" i="127"/>
  <c r="AF8" i="127"/>
  <c r="AF117" i="127"/>
  <c r="AF113" i="127"/>
  <c r="AF109" i="127"/>
  <c r="AF95" i="127"/>
  <c r="AF93" i="127"/>
  <c r="AF88" i="127"/>
  <c r="AF85" i="127"/>
  <c r="AF79" i="127"/>
  <c r="AF75" i="127"/>
  <c r="AF71" i="127"/>
  <c r="AF64" i="127"/>
  <c r="AF60" i="127"/>
  <c r="AF56" i="127"/>
  <c r="AF51" i="127"/>
  <c r="AF48" i="127"/>
  <c r="AF44" i="127"/>
  <c r="AF38" i="127"/>
  <c r="AF37" i="127"/>
  <c r="AF22" i="127"/>
  <c r="AF21" i="127"/>
  <c r="AF20" i="127"/>
  <c r="AF17" i="127"/>
  <c r="AF16" i="127"/>
  <c r="AF15" i="127"/>
  <c r="AF13" i="127"/>
  <c r="AF9" i="127"/>
  <c r="AF4" i="127"/>
  <c r="AE119" i="128"/>
  <c r="AE312" i="128"/>
  <c r="AE218" i="128"/>
  <c r="AE198" i="128"/>
  <c r="AE149" i="128"/>
  <c r="AE109" i="128"/>
  <c r="AE69" i="128"/>
  <c r="AE10" i="128"/>
  <c r="AE437" i="128"/>
  <c r="AE12" i="128"/>
  <c r="AE258" i="128"/>
  <c r="AE280" i="128"/>
  <c r="AE317" i="128"/>
  <c r="AE408" i="128"/>
  <c r="AE363" i="128"/>
  <c r="AE314" i="128"/>
  <c r="AE264" i="128"/>
  <c r="AE135" i="128"/>
  <c r="AE100" i="128"/>
  <c r="AE75" i="128"/>
  <c r="AE56" i="128"/>
  <c r="AE44" i="128"/>
  <c r="AE23" i="128"/>
  <c r="AE427" i="128"/>
  <c r="AE299" i="128"/>
  <c r="AE291" i="128"/>
  <c r="AE225" i="128"/>
  <c r="AE210" i="128"/>
  <c r="AE182" i="128"/>
  <c r="AE163" i="128"/>
  <c r="AE133" i="128"/>
  <c r="AE97" i="128"/>
  <c r="AE74" i="128"/>
  <c r="AE55" i="128"/>
  <c r="AE43" i="128"/>
  <c r="AE19" i="128"/>
  <c r="AE209" i="128"/>
  <c r="AE340" i="128"/>
  <c r="AE57" i="128"/>
  <c r="AE22" i="128"/>
  <c r="AE3" i="128"/>
  <c r="AE320" i="128"/>
  <c r="AE288" i="128"/>
  <c r="AE333" i="128"/>
  <c r="AE196" i="128"/>
  <c r="AE370" i="128"/>
  <c r="AE13" i="128"/>
  <c r="AE391" i="128"/>
  <c r="AE91" i="128"/>
  <c r="AE231" i="128"/>
  <c r="AE241" i="128"/>
  <c r="AE246" i="128"/>
  <c r="AE443" i="128"/>
  <c r="AE424" i="128"/>
  <c r="AE381" i="128"/>
  <c r="AE359" i="128"/>
  <c r="AE335" i="128"/>
  <c r="AE401" i="128"/>
  <c r="AE377" i="128"/>
  <c r="AE364" i="128"/>
  <c r="AE339" i="128"/>
  <c r="AE99" i="128"/>
  <c r="AE83" i="128"/>
  <c r="AE41" i="128"/>
  <c r="AE21" i="128"/>
  <c r="AE254" i="128"/>
  <c r="AE240" i="128"/>
  <c r="AE301" i="128"/>
  <c r="AE266" i="128"/>
  <c r="AE18" i="128"/>
  <c r="AE447" i="128"/>
  <c r="AE400" i="128"/>
  <c r="AE362" i="128"/>
  <c r="AE98" i="128"/>
  <c r="AE276" i="128"/>
  <c r="AE253" i="128"/>
  <c r="AE332" i="128"/>
  <c r="AE392" i="128"/>
  <c r="AE444" i="128"/>
  <c r="AE230" i="128"/>
  <c r="AE125" i="128"/>
  <c r="AE260" i="128"/>
  <c r="AE222" i="128"/>
  <c r="AE72" i="128"/>
  <c r="AE53" i="128"/>
  <c r="AE132" i="128"/>
  <c r="AE275" i="128"/>
  <c r="AE394" i="128"/>
  <c r="AE345" i="128"/>
  <c r="AE208" i="128"/>
  <c r="AE331" i="128"/>
  <c r="AE88" i="128"/>
  <c r="AE189" i="128"/>
  <c r="AE318" i="128"/>
  <c r="AE281" i="128"/>
  <c r="AE200" i="128"/>
  <c r="AE369" i="128"/>
  <c r="AE61" i="128"/>
  <c r="AE419" i="128"/>
  <c r="AE235" i="128"/>
  <c r="AE204" i="128"/>
  <c r="AE184" i="128"/>
  <c r="AE82" i="128"/>
  <c r="AE194" i="128"/>
  <c r="AE174" i="128"/>
  <c r="AE152" i="128"/>
  <c r="AE164" i="128"/>
  <c r="AE449" i="128"/>
  <c r="AE440" i="128"/>
  <c r="AE402" i="128"/>
  <c r="AE379" i="128"/>
  <c r="AE353" i="128"/>
  <c r="AE330" i="128"/>
  <c r="AE309" i="128"/>
  <c r="AE399" i="128"/>
  <c r="AE374" i="128"/>
  <c r="AE37" i="128"/>
  <c r="AE215" i="128"/>
  <c r="AE193" i="128"/>
  <c r="AE172" i="128"/>
  <c r="AE147" i="128"/>
  <c r="AE423" i="128"/>
  <c r="AE323" i="128"/>
  <c r="AE293" i="128"/>
  <c r="AE271" i="128"/>
  <c r="AE249" i="128"/>
  <c r="AE155" i="128"/>
  <c r="AE85" i="128"/>
  <c r="AE27" i="128"/>
  <c r="AE432" i="128"/>
  <c r="AE411" i="128"/>
  <c r="AE185" i="128"/>
  <c r="AE166" i="128"/>
  <c r="AE138" i="128"/>
  <c r="AE349" i="128"/>
  <c r="AE324" i="128"/>
  <c r="AE272" i="128"/>
  <c r="AE201" i="128"/>
  <c r="AE108" i="128"/>
  <c r="AE455" i="128"/>
  <c r="AE393" i="128"/>
  <c r="AE322" i="128"/>
  <c r="AE256" i="128"/>
  <c r="AE167" i="128"/>
  <c r="AE80" i="128"/>
  <c r="AE8" i="128"/>
  <c r="AE367" i="128"/>
  <c r="AE86" i="128"/>
  <c r="AE188" i="128"/>
  <c r="AE48" i="128"/>
  <c r="AE383" i="128"/>
  <c r="AE227" i="128"/>
  <c r="AE6" i="128"/>
  <c r="AE105" i="128"/>
  <c r="AE111" i="128"/>
  <c r="AE454" i="128"/>
  <c r="AE294" i="128"/>
  <c r="AE156" i="128"/>
  <c r="AE372" i="128"/>
  <c r="AE213" i="128"/>
  <c r="AE28" i="128"/>
  <c r="AE68" i="128"/>
  <c r="AE302" i="128"/>
  <c r="AE180" i="128"/>
  <c r="AE121" i="128"/>
  <c r="AE433" i="128"/>
  <c r="AE346" i="128"/>
  <c r="AE186" i="128"/>
  <c r="AE143" i="128"/>
  <c r="AE65" i="128"/>
  <c r="AE47" i="128"/>
  <c r="AE328" i="128"/>
  <c r="AE145" i="128"/>
  <c r="AE386" i="128"/>
  <c r="AE277" i="128"/>
  <c r="AE203" i="128"/>
  <c r="AE124" i="128"/>
  <c r="AE63" i="128"/>
  <c r="AE397" i="128"/>
  <c r="AE350" i="128"/>
  <c r="AE49" i="128"/>
  <c r="AE303" i="128"/>
  <c r="AE259" i="128"/>
  <c r="AE116" i="128"/>
  <c r="AE415" i="128"/>
  <c r="AE296" i="128"/>
  <c r="AE233" i="128"/>
  <c r="AE159" i="128"/>
  <c r="AE326" i="128"/>
  <c r="AE265" i="128"/>
  <c r="AE169" i="128"/>
  <c r="AE282" i="128"/>
  <c r="AE429" i="128"/>
  <c r="AE305" i="128"/>
  <c r="AE9" i="128"/>
  <c r="AE216" i="128"/>
  <c r="AE107" i="128"/>
  <c r="AE71" i="128"/>
  <c r="AE338" i="128"/>
  <c r="AE262" i="128"/>
  <c r="AE242" i="128"/>
  <c r="AE192" i="128"/>
  <c r="AE146" i="128"/>
  <c r="AE130" i="128"/>
  <c r="AE360" i="128"/>
  <c r="AE337" i="128"/>
  <c r="AE313" i="128"/>
  <c r="AE286" i="128"/>
  <c r="AE252" i="128"/>
  <c r="AE153" i="128"/>
  <c r="AE73" i="128"/>
  <c r="AE368" i="128"/>
  <c r="AE257" i="128"/>
  <c r="AE160" i="128"/>
  <c r="AE67" i="128"/>
  <c r="AE352" i="128"/>
  <c r="AE33" i="128"/>
  <c r="AE421" i="128"/>
  <c r="AE269" i="128"/>
  <c r="AE199" i="128"/>
  <c r="AE78" i="128"/>
  <c r="AE267" i="128"/>
  <c r="AE114" i="128"/>
  <c r="AE93" i="128"/>
  <c r="AE16" i="128"/>
  <c r="AE442" i="128"/>
  <c r="AE334" i="128"/>
  <c r="AE284" i="128"/>
  <c r="AE250" i="128"/>
  <c r="AE234" i="128"/>
  <c r="AE219" i="128"/>
  <c r="AE150" i="128"/>
  <c r="AE90" i="128"/>
  <c r="AE52" i="128"/>
  <c r="AE416" i="128"/>
  <c r="AE361" i="128"/>
  <c r="AE212" i="128"/>
  <c r="AE171" i="128"/>
  <c r="AE438" i="128"/>
  <c r="AE357" i="128"/>
  <c r="AE207" i="128"/>
  <c r="AE190" i="128"/>
  <c r="AE128" i="128"/>
  <c r="AE354" i="128"/>
  <c r="AE236" i="128"/>
  <c r="AE89" i="128"/>
  <c r="AE81" i="128"/>
  <c r="AE436" i="128"/>
  <c r="AE414" i="128"/>
  <c r="AE385" i="128"/>
  <c r="AE110" i="128"/>
  <c r="AE396" i="128"/>
  <c r="AE373" i="128"/>
  <c r="AE347" i="128"/>
  <c r="AE261" i="128"/>
  <c r="AE214" i="128"/>
  <c r="AE187" i="128"/>
  <c r="AE139" i="128"/>
  <c r="AE32" i="128"/>
  <c r="AE418" i="128"/>
  <c r="AE329" i="128"/>
  <c r="AE308" i="128"/>
  <c r="AE170" i="128"/>
  <c r="AE87" i="128"/>
  <c r="AE50" i="128"/>
  <c r="AE137" i="128"/>
  <c r="AE306" i="128"/>
  <c r="AE96" i="128"/>
  <c r="AE38" i="128"/>
  <c r="AE20" i="128"/>
  <c r="AE458" i="128"/>
  <c r="AE273" i="128"/>
  <c r="AE238" i="128"/>
  <c r="AE206" i="128"/>
  <c r="AE179" i="128"/>
  <c r="AE127" i="128"/>
  <c r="AE161" i="128"/>
  <c r="AE126" i="128"/>
  <c r="AE34" i="128"/>
  <c r="AE420" i="128"/>
  <c r="AE70" i="128"/>
  <c r="AE358" i="128"/>
  <c r="AE142" i="128"/>
  <c r="AE17" i="128"/>
  <c r="AE406" i="128"/>
  <c r="AE221" i="128"/>
  <c r="AE177" i="128"/>
  <c r="AE151" i="128"/>
  <c r="AE122" i="128"/>
  <c r="AE92" i="128"/>
  <c r="AE15" i="128"/>
  <c r="AE141" i="128"/>
  <c r="AE79" i="128"/>
  <c r="AE453" i="128"/>
  <c r="AE405" i="128"/>
  <c r="AE382" i="128"/>
  <c r="AE226" i="128"/>
  <c r="AE197" i="128"/>
  <c r="AE118" i="128"/>
  <c r="AE60" i="128"/>
  <c r="AE5" i="128"/>
  <c r="AE451" i="128"/>
  <c r="AE255" i="128"/>
  <c r="AE229" i="128"/>
  <c r="AE104" i="128"/>
  <c r="AE77" i="128"/>
  <c r="AE64" i="128"/>
  <c r="AE46" i="128"/>
  <c r="AE26" i="128"/>
  <c r="AE54" i="128"/>
  <c r="AE173" i="128"/>
  <c r="AE36" i="128"/>
  <c r="AE371" i="128"/>
  <c r="AE183" i="128"/>
  <c r="AE279" i="128"/>
  <c r="AE129" i="128"/>
  <c r="AE94" i="128"/>
  <c r="AE311" i="128"/>
  <c r="AE270" i="128"/>
  <c r="AE237" i="128"/>
  <c r="AE417" i="128"/>
  <c r="AE263" i="128"/>
  <c r="AE243" i="128"/>
  <c r="AE131" i="128"/>
  <c r="AE342" i="128"/>
  <c r="AE223" i="128"/>
  <c r="AE452" i="128"/>
  <c r="AE422" i="128"/>
  <c r="AE403" i="128"/>
  <c r="AE268" i="128"/>
  <c r="AE248" i="128"/>
  <c r="AE224" i="128"/>
  <c r="AE195" i="128"/>
  <c r="AE154" i="128"/>
  <c r="AE117" i="128"/>
  <c r="AE84" i="128"/>
  <c r="AE58" i="128"/>
  <c r="AE25" i="128"/>
  <c r="AE450" i="128"/>
  <c r="AE431" i="128"/>
  <c r="AE390" i="128"/>
  <c r="AE290" i="128"/>
  <c r="AE228" i="128"/>
  <c r="AE211" i="128"/>
  <c r="AE165" i="128"/>
  <c r="AE101" i="128"/>
  <c r="AE76" i="128"/>
  <c r="AE59" i="128"/>
  <c r="AE24" i="128"/>
  <c r="AE310" i="128"/>
  <c r="AE205" i="128"/>
  <c r="AE113" i="128"/>
  <c r="AE283" i="128"/>
  <c r="AE247" i="128"/>
  <c r="AE457" i="128"/>
  <c r="AE285" i="128"/>
  <c r="AE40" i="128"/>
  <c r="AE327" i="128"/>
  <c r="AE295" i="128"/>
  <c r="AE202" i="128"/>
  <c r="AE157" i="128"/>
  <c r="AE123" i="128"/>
  <c r="AE30" i="128"/>
  <c r="AE456" i="128"/>
  <c r="AE325" i="128"/>
  <c r="AE168" i="128"/>
  <c r="AE144" i="128"/>
  <c r="AE106" i="128"/>
  <c r="AE29" i="128"/>
  <c r="AE434" i="128"/>
  <c r="AE389" i="128"/>
  <c r="AE356" i="128"/>
  <c r="AE307" i="128"/>
  <c r="AE297" i="128"/>
  <c r="AE278" i="128"/>
  <c r="AE428" i="128"/>
  <c r="AE351" i="128"/>
  <c r="AE304" i="128"/>
  <c r="AE274" i="128"/>
  <c r="AE232" i="128"/>
  <c r="AE136" i="128"/>
  <c r="AE62" i="128"/>
  <c r="AE7" i="128"/>
  <c r="AE435" i="128"/>
  <c r="AE239" i="128"/>
  <c r="AE181" i="128"/>
  <c r="AE162" i="128"/>
  <c r="AE404" i="128"/>
  <c r="AE446" i="128"/>
  <c r="AE425" i="128"/>
  <c r="AE384" i="128"/>
  <c r="AE95" i="128"/>
  <c r="AE378" i="128"/>
  <c r="AE366" i="128"/>
  <c r="AE300" i="128"/>
  <c r="AE292" i="128"/>
  <c r="AE426" i="128"/>
  <c r="AE134" i="128"/>
  <c r="AE102" i="128"/>
  <c r="AE4" i="128"/>
  <c r="AE410" i="128"/>
  <c r="AE344" i="128"/>
  <c r="AE45" i="128"/>
  <c r="AE413" i="128"/>
  <c r="AE375" i="128"/>
  <c r="AE445" i="128"/>
  <c r="AE158" i="128"/>
  <c r="AE35" i="128"/>
  <c r="AE220" i="128"/>
  <c r="AE287" i="128"/>
  <c r="AE355" i="128"/>
  <c r="AE348" i="128"/>
  <c r="AE341" i="128"/>
  <c r="AE336" i="128"/>
  <c r="AE319" i="128"/>
  <c r="AE298" i="128"/>
  <c r="AE191" i="128"/>
  <c r="AE178" i="128"/>
  <c r="AE175" i="128"/>
  <c r="AE140" i="128"/>
  <c r="AE112" i="128"/>
  <c r="AE31" i="128"/>
  <c r="AE11" i="128"/>
  <c r="AE407" i="128"/>
  <c r="AE387" i="128"/>
  <c r="AE380" i="128"/>
  <c r="AE321" i="128"/>
  <c r="AE316" i="128"/>
  <c r="AE245" i="128"/>
  <c r="AE217" i="128"/>
  <c r="AE176" i="128"/>
  <c r="AE148" i="128"/>
  <c r="AE66" i="128"/>
  <c r="AE51" i="128"/>
  <c r="AE42" i="128"/>
  <c r="AE14" i="128"/>
  <c r="AF121" i="127" l="1"/>
  <c r="G4" i="2" s="1"/>
  <c r="C2" i="127" l="1"/>
  <c r="B2" i="127"/>
  <c r="AD2" i="128"/>
  <c r="AC2" i="128"/>
  <c r="AB2" i="128"/>
  <c r="C2" i="128"/>
  <c r="B2" i="128"/>
  <c r="AE2" i="128" l="1"/>
  <c r="AE487" i="128" l="1"/>
  <c r="G3" i="2" s="1"/>
  <c r="A1" i="2"/>
  <c r="A4" i="2"/>
  <c r="A5" i="2" s="1"/>
  <c r="F4" i="2"/>
  <c r="H4" i="2" l="1"/>
  <c r="F3" i="2"/>
  <c r="F6" i="2" s="1"/>
  <c r="H3" i="2" l="1"/>
  <c r="G5" i="2" l="1"/>
  <c r="G6" i="2" s="1"/>
  <c r="H5" i="2" l="1"/>
  <c r="H6" i="2" s="1"/>
</calcChain>
</file>

<file path=xl/sharedStrings.xml><?xml version="1.0" encoding="utf-8"?>
<sst xmlns="http://schemas.openxmlformats.org/spreadsheetml/2006/main" count="16781" uniqueCount="4036">
  <si>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</si>
  <si>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</si>
  <si>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</si>
  <si>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</si>
  <si>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</si>
  <si>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</si>
  <si>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</si>
  <si>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</si>
  <si>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</si>
  <si>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</si>
  <si>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</si>
  <si>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</si>
  <si>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</si>
  <si>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AGOSTO DE 2025</t>
  </si>
  <si>
    <t>811013990-5</t>
  </si>
  <si>
    <t>LINEA COMUNICACIONES S.A.S</t>
  </si>
  <si>
    <t>INSTALACION PUBLICIDAD APERTURAS CORRESPONSALES BANCARIOS</t>
  </si>
  <si>
    <t xml:space="preserve">OPERADOR DEL CORRESPONSAL BANCARIO </t>
  </si>
  <si>
    <t>APERTURA CB 80676 -80675 - 80739</t>
  </si>
  <si>
    <t>PASTO-MAGUI-PASTO</t>
  </si>
  <si>
    <t>ORDENES DE CAMBIO POR DEMANDA</t>
  </si>
  <si>
    <t>APERTURA CB 80750</t>
  </si>
  <si>
    <t>PASTO-ROBERTO PAYAN-PASTO</t>
  </si>
  <si>
    <t>TRAYECTOS ESPECIALES OC</t>
  </si>
  <si>
    <t>APERTURA CB 80963</t>
  </si>
  <si>
    <t>TOTAL A FACTURAR</t>
  </si>
  <si>
    <t>APERTURA CB 81135</t>
  </si>
  <si>
    <t>PASTO-FRANCISCO PIZARRO-PASTO</t>
  </si>
  <si>
    <t>APERTURA CB 80753-80807-80806</t>
  </si>
  <si>
    <t>BUCARAMANGA-SANTA ROSA DEL SUR-BUCARAMANGA</t>
  </si>
  <si>
    <t>APERTURA CB 80903</t>
  </si>
  <si>
    <t>YOPAL-OROCUE-YOPAL</t>
  </si>
  <si>
    <t>APERTURA CB 80997</t>
  </si>
  <si>
    <t>APARTADO-RIOSUCIO-APARTADO</t>
  </si>
  <si>
    <t>APERTURA CB 80971-80990</t>
  </si>
  <si>
    <t>APARTADO-BAJO BAUDO-ACANDI-APARTADO</t>
  </si>
  <si>
    <t>APERTURA CB 80993</t>
  </si>
  <si>
    <t>BUCARAMANGA-ARAUCA-BUCARAMANGA</t>
  </si>
  <si>
    <t>APERTURA CB 81147 -OC CB 41733</t>
  </si>
  <si>
    <t>MEDELLIN-ISTMINA-MEDELLIN</t>
  </si>
  <si>
    <t>OC CB 27281</t>
  </si>
  <si>
    <t>BUCARAMANGA-FORTUL-BUCARAMANGA</t>
  </si>
  <si>
    <t>OC CB 41254 - 47764</t>
  </si>
  <si>
    <t>BUCARAMANGA-SARAVENA-FORTUL-BUCARAMANGA</t>
  </si>
  <si>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</si>
  <si>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</si>
  <si>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</si>
  <si>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</si>
  <si>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</si>
  <si>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</si>
  <si>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</si>
  <si>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</si>
  <si>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</si>
  <si>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</si>
  <si>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</si>
  <si>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</si>
  <si>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</si>
  <si>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</si>
  <si>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</si>
  <si>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</si>
  <si>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</si>
  <si>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</si>
  <si>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</si>
  <si>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</si>
  <si>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</si>
  <si>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</si>
  <si>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</si>
  <si>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</si>
  <si>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</si>
  <si>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</si>
  <si>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</si>
  <si>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PUBLICIDAD APERTURAS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</si>
  <si>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</si>
  <si>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</si>
  <si>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</si>
  <si>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</si>
  <si>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</si>
  <si>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</si>
  <si>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</si>
  <si>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</si>
  <si>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</si>
  <si>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</si>
  <si>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</si>
  <si>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</si>
  <si>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</si>
  <si>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</si>
  <si>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</si>
  <si>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</si>
  <si>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</si>
  <si>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</si>
  <si>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</si>
  <si>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</si>
  <si>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</si>
  <si>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</si>
  <si>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</si>
  <si>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</si>
  <si>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</si>
  <si>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</si>
  <si>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</si>
  <si>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</si>
  <si>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</si>
  <si>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</si>
  <si>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</si>
  <si>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</si>
  <si>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</si>
  <si>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</si>
  <si>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</si>
  <si>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</si>
  <si>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</si>
  <si>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</si>
  <si>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</si>
  <si>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</si>
  <si>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</si>
  <si>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</si>
  <si>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</si>
  <si>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</si>
  <si>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</si>
  <si>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</si>
  <si>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</si>
  <si>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</si>
  <si>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</si>
  <si>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</si>
  <si>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</si>
  <si>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FLANGER, DISPLAY LEGAL, DISPLAY CARTA O TABLOIDE</t>
  </si>
  <si>
    <t xml:space="preserve">INSTALACIÓN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</si>
  <si>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</si>
  <si>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</si>
  <si>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</si>
  <si>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</si>
  <si>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</si>
  <si>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NEIVA</t>
  </si>
  <si>
    <t>TA-25-897275</t>
  </si>
  <si>
    <t>APERTURA</t>
  </si>
  <si>
    <t>CB CRECIMIENTO - NUEVO</t>
  </si>
  <si>
    <t>CAQUETA</t>
  </si>
  <si>
    <t>FLORENCIA</t>
  </si>
  <si>
    <t>BARRIO BUENOS AIRES FLORENCIA 1</t>
  </si>
  <si>
    <t>REDEBAN</t>
  </si>
  <si>
    <t>FO-25-1293630</t>
  </si>
  <si>
    <t>UNO A UNO</t>
  </si>
  <si>
    <t>EJECUTADO</t>
  </si>
  <si>
    <t>28-07-2025 SE REALIZA LLAMADA AL CLIENTE, SE HABLA CON CON EL ESPOSO DE LA SRA LEIDY VERONICA CARVAJAL BARRETO SE VALIDA DIRECCIÓN OK, CANAL OK, DISPONIBILIDAD TOTAL, LLAMAR EL DÍA LA INSTALACIÓN PARA CONFIRMAR VISITA, AVISO EXTERIOR ALTURA APROX 3,30 METROS; TOMACORRIENTE CERCANO: SI; TIENE CABINA DE SEGURIDAD: NO // CONTACTO REALIZADO POR LA APP 01-0 SE REALIZA INSTALACIÓN DE CORRESPONSAL, SE INSTALAN EQUIPOS CON PRUEBAS EXITOSAS, SE CAPACITA Y SE EVALÚA AL CLIENTE, SE INSTALA PUBLICIDAD COMPLETA, CB QUEDA OPERATIVO. USUARIO SOMOS BANCOLOMBIA ACTIVO</t>
  </si>
  <si>
    <t>DEVIA REINOSO JUAN CARLOS</t>
  </si>
  <si>
    <t>V8ZZZ345</t>
  </si>
  <si>
    <t>TIPO IV</t>
  </si>
  <si>
    <t>TERRESTRE</t>
  </si>
  <si>
    <t>TA-25-897283</t>
  </si>
  <si>
    <t>BARRIO SIETE DE AGOSTO FLORENCIA 7</t>
  </si>
  <si>
    <t>FO-25-1293646</t>
  </si>
  <si>
    <t>28-07-2025 SE REALIZA LLAMADA AL CLIENTE, SE HABLA CON CON EL SR LUIS MIGUEL BAHAMON ROJAS SE VALIDA DIRECCIÓN OK, CANAL OK, DISPONIBILIDAD TOTAL, LLAMAR EL DÍA LA INSTALACIÓN PARA CONFIRMAR VISITA, AVISO EXTERIOR ALTURA APROX 2 METROS; TOMACORRIENTE CERCANO: SI; TIENE CABINA DE SEGURIDAD: SI // CONTACTO REALIZADO POR LA APP 1/08/2025 SE REALIZA INSTALACIÓN DE CORRESPONSAL, SE INSTALAN EQUIPOS CON PRUEBAS EXITOSAS, SE CAPACITA Y SE EVALÚA AL CLIENTE, SE INSTALA PUBLICIDAD COMPLETA, CB QUEDA OPERATIVO. USUARIO SOMOS BANCOLOMBIA ACTIVO</t>
  </si>
  <si>
    <t>V8ZZZ349</t>
  </si>
  <si>
    <t>PASTO</t>
  </si>
  <si>
    <t>TA-25-897342</t>
  </si>
  <si>
    <t>NARIÑO</t>
  </si>
  <si>
    <t>MAGUI</t>
  </si>
  <si>
    <t>BARRIO CRR BRISAS DE HAMBURGO MAGUI</t>
  </si>
  <si>
    <t>FO-25-1293775</t>
  </si>
  <si>
    <t>28-07 SE REALIZA LLAMADA AL CLIENTE, SE HABLA CON LA SRA KAROL NATALIA ANGULO CORTES SE VALIDA DIRECCIÓN OK, CANAL OK, DISPONIBILIDAD TOTAL, LLAMAR EL DÍA LA INSTALACIÓN PARA CONFIRMAR VISITA, AVISO EXTERIOR ALTURA APROX 4 METROS; TOMACORRIENTE CERCANO: SI; TIENE CABINA DE SEGURIDAD: SI 06-08 DADO QUE EL SITIO SE DEBE REALIZAR DESPLAZAMIENTO MARITIMO, SE REALIZARA EL DIA LUNES 11 POR DISPONIBILIDAD DE TRANSPORTE.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t>
  </si>
  <si>
    <t>PAZ MARTINEZ RICHARD HUMBERTO</t>
  </si>
  <si>
    <t>V8ZZZ380</t>
  </si>
  <si>
    <t>TIPO IV ESPECIAL</t>
  </si>
  <si>
    <t>FLUVIAL</t>
  </si>
  <si>
    <t>TA-25-897364</t>
  </si>
  <si>
    <t>BARRIO LA PISTA MAGUI</t>
  </si>
  <si>
    <t>FO-25-1293834</t>
  </si>
  <si>
    <t>28-07 SE REALIZA LLAMADA AL CLIENTE, SE HABLA CON LA SRA DAYAN YORELY ANGULO CORTES SE VALIDA DIRECCIÓN OK, CANAL OK, DISPONIBILIDAD TOTAL, LLAMAR EL DÍA LA INSTALACIÓN PARA CONFIRMAR VISITA, AVISO EXTERIOR ALTURA APROX 4 METROS; TOMACORRIENTE CERCANO: SI; TIENE CABINA DE SEGURIDAD: SI - COMUNICACIÓN POR WPP 06-08 DEBIDO A QUE EL DESPLAZAMIENTO ES VIA MARITIMA, DADO DISPONIBILIDAD DE TRANSPORTE SE REALIZARA EL DIA LUNES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t>
  </si>
  <si>
    <t>V8ZZZ393</t>
  </si>
  <si>
    <t>YOPAL</t>
  </si>
  <si>
    <t>TA-25-897375</t>
  </si>
  <si>
    <t>CASANARE</t>
  </si>
  <si>
    <t>BARRIO LA ESPERANZA YOPAL 6</t>
  </si>
  <si>
    <t>FO-25-1293877</t>
  </si>
  <si>
    <t>28-07 SE REALIZA COMUNICACION CON LA SRA ZULEIMA SIERRA ZAPATA, SE VALIDA DIRECCIÓN OK, CANAL OK, DISPONIBILIDAD TOTAL, LLAMAR EL DÍA LA INSTALACIÓN PARA CONFIRMAR VISITA, AVISO EXTERIOR ALTURA APROX DONDE EL TECNICO LO VEA CONVENIENTE; TOMACORRIENTE CERCANO: SI; TIENE CABINA DE SEGURIDAD: SI// MODEM A 5 METROS 29-07 EN COMUNICACIÓN CON LA SEÑORA ZULEIMA SIERRA AL NUMERO 3228924900, INDICA QUE POR TEMAS PERSONALES NO PUEDE ATENDER HOY LA INSTALACIÓN, INDICA NOS ATIENDE EL DIA 31-7-2025 31-07 EN COMUNICACIÓN CON LA SEÑORA ZULEIMA SIERRA AL NÚMERO 3228924900, INDICA NOS ATIENDE EL DIA 2-8-2025 1/08/2025 SE REALIZA INSTALACIÓN DE CORRESPONSAL, SE INSTALAN EQUIPOS CON PRUEBAS EXITOSAS, SE CAPACITA Y SE EVALÚA AL CLIENTE, SE INSTALA PUBLICIDAD COMPLETA, CB QUEDA OPERATIVO. USUARIO SOMOS BANCOLOMBIA ACTIVO</t>
  </si>
  <si>
    <t>BERNAL ELAICA EDGAR ALEXIS</t>
  </si>
  <si>
    <t>V8ZZZ402</t>
  </si>
  <si>
    <t>MEDELLIN</t>
  </si>
  <si>
    <t>TA-25-904686</t>
  </si>
  <si>
    <t>CB CRECIMIENTO ALIANZA - NUEVO</t>
  </si>
  <si>
    <t>ANTIOQUIA</t>
  </si>
  <si>
    <t>DISTRICOL VARIEDADES Y DETALLE</t>
  </si>
  <si>
    <t>FO-25-1306012</t>
  </si>
  <si>
    <t>AGREGADOR</t>
  </si>
  <si>
    <t>DISTRICOL</t>
  </si>
  <si>
    <t>30/07/2025 PROGRAMACIÓN REALIZADA POR LA ALIANZA 1/08/2025 SE REALIZA INSTALACIÓN DE CORRESPONSAL, SE INSTALAN EQUIPOS CON PRUEBAS EXITOSAS, SE CAPACITA Y SE EVALÚA AL CLIENTE, SE INSTALA PUBLICIDAD COMPLETA, CB QUEDA OPERATIVO. USUARIO SOMOS BANCOLOMBIA ACTIVO</t>
  </si>
  <si>
    <t>BARRIENTOS HERNANDEZ CRISTIAN HORACIO</t>
  </si>
  <si>
    <t>VAZZZ340</t>
  </si>
  <si>
    <t>TA-25-904688</t>
  </si>
  <si>
    <t>DISTRICOL PAPELERIA LA PIZARRA</t>
  </si>
  <si>
    <t>FO-25-1306018</t>
  </si>
  <si>
    <t>PAREJA ECHAVARRIA JHON DAVID</t>
  </si>
  <si>
    <t>VAZZZ341</t>
  </si>
  <si>
    <t>TA-25-904689</t>
  </si>
  <si>
    <t>BELLO</t>
  </si>
  <si>
    <t>DISTRICOL ABARROTES EL PUERTO</t>
  </si>
  <si>
    <t>FO-25-1306022</t>
  </si>
  <si>
    <t>VAZZZ342</t>
  </si>
  <si>
    <t>TA-25-904063</t>
  </si>
  <si>
    <t>MONTERREY</t>
  </si>
  <si>
    <t>BARRIO ALCARAVANES MONTERREY 1</t>
  </si>
  <si>
    <t>FO-25-1304972</t>
  </si>
  <si>
    <t>30-07-2025 SE REALIZA LLAMADA AL CLIENTE, SE HABLA CON EL SR EDWIN YESID SOSA BUITRAGO SE VALIDA DIRECCIÓN OK, CANAL OK, DISPONIBILIDAD TOTAL, LLAMAR EL DÍA LA INSTALACIÓN PARA CONFIRMAR VISITA, AVISO EXTERIOR ALTURA APROX SE VALIDA EL DIA DE LA APERTURA HAY ESPACIO SUFICIENTE; TOMACORRIENTE CERCANO: SI; TIENE CABINA DE SEGURIDAD: SI // CONTACTO REALIZADO POR LA APP 01-08 EN COMUNICACIÓN CON EL SEÑOR EDWIN SOSA AL NUMERO 3114659005, SE INFORMA QUE NO SE PUEDE REALIZAR LA APERTURA, MOTIVO CIERRE  DE LA MARGINAL, CICLISMO VUELTA COLOMBIA. INDICA NOS ATIENDE EL 5-8-2025 5/08/2025 SE REALIZA INSTALACIÓN DE CORRESPONSAL, SE INSTALAN EQUIPOS CON PRUEBAS EXITOSAS, SE CAPACITA Y SE EVALÚA AL CLIENTE, SE INSTALA PUBLICIDAD COMPLETA, CB QUEDA OPERATIVO. USUARIO SOMOS BANCOLOMBIA ACTIVO</t>
  </si>
  <si>
    <t>VAZZZ361</t>
  </si>
  <si>
    <t>TIPO II</t>
  </si>
  <si>
    <t>TUNJA</t>
  </si>
  <si>
    <t>TA-25-904065</t>
  </si>
  <si>
    <t>BOYACA</t>
  </si>
  <si>
    <t>MONGUA</t>
  </si>
  <si>
    <t>BARRIO CENTRO MONGUA 1</t>
  </si>
  <si>
    <t>FO-25-1304982</t>
  </si>
  <si>
    <t>30-07-2025 SE REALIZA LLAMADA AL CLIENTE, SE HABLA CON LA SRA YESICA PAOLA MERCHAN CASTAÑEDA SE VALIDA DIRECCIÓN OK, CANAL OK, DISPONIBILIDAD TOTAL, LLAMAR EL DÍA LA INSTALACIÓN PARA CONFIRMAR VISITA, AVISO EXTERIOR ALTURA APROX 2,50 METROS; TOMACORRIENTE CERCANO: SI; TIENE CABINA DE SEGURIDAD: SI // CONTACTO REALIZADO POR LA APP 01-08 SE REALIZA INSTALACIÓN DE CORRESPONSAL, SE INSTALAN EQUIPOS CON PRUEBAS EXITOSAS, SE CAPACITA Y SE EVALÚA AL CLIENTE, SE INSTALA PUBLICIDAD COMPLETA, CB QUEDA OPERATIVO. USUARIO SOMOS BANCOLOMBIA ACTIVO</t>
  </si>
  <si>
    <t>SOLER HOYOS CRISTIAN LEONARDO</t>
  </si>
  <si>
    <t>VAZZZ363</t>
  </si>
  <si>
    <t>TA-25-904066</t>
  </si>
  <si>
    <t>HUILA</t>
  </si>
  <si>
    <t>GIGANTE</t>
  </si>
  <si>
    <t>BARRIO CENTRO GIGANTE  6</t>
  </si>
  <si>
    <t>FO-25-1304987</t>
  </si>
  <si>
    <t>30-07-2025 SE REALIZA LLAMADA AL CLIENTE, SE HABLA CON LA SRA HEIDY JOHANNA CABRERA MAYORCA SE VALIDA DIRECCIÓN OK, CANAL OK, DISPONIBILIDAD TOTAL, LLAMAR EL DÍA LA INSTALACIÓN PARA CONFIRMAR VISITA, AVISO EXTERIOR ALTURA APROX 2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t>
  </si>
  <si>
    <t>DIAZ VARGAS JONATHAN MIGUEL</t>
  </si>
  <si>
    <t>VAZZZ364</t>
  </si>
  <si>
    <t>CALI</t>
  </si>
  <si>
    <t>TA-25-904070</t>
  </si>
  <si>
    <t>CAMBIO DE RAZON SOCIAL</t>
  </si>
  <si>
    <t>CAUCA</t>
  </si>
  <si>
    <t>CORINTO</t>
  </si>
  <si>
    <t>BARRIO CENTRO CORINTO 9</t>
  </si>
  <si>
    <t>FO-25-1305008</t>
  </si>
  <si>
    <t>30-07-2025 SE REALIZA LLAMADA AL CLIENTE, SE HABLA CON EL SR ITALIA ERAZO SE VALIDA DIRECCIÓN OK, CANAL OK, DISPONIBILIDAD TOTAL, LLAMAR EL DÍA LA INSTALACIÓN PARA CONFIRMAR VISITA, AVISO EXTERIOR ALTURA APROX 2,20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t>
  </si>
  <si>
    <t>PAREDES CASTILLO DIEGO</t>
  </si>
  <si>
    <t>VAZZZ368</t>
  </si>
  <si>
    <t>TIPO III</t>
  </si>
  <si>
    <t>TA-25-904072</t>
  </si>
  <si>
    <t>BARRIO BELEN MALIBU MEDELLIN</t>
  </si>
  <si>
    <t>FO-25-1305019</t>
  </si>
  <si>
    <t>30-07-2025 SE REALIZA LLAMADA AL CLIENTE, SE HABLA CON EL SR DIEGO SIMON ARISTIZABAL DELGADO SE VALIDA DIRECCIÓN OK, CANAL OK, DISPONIBILIDAD TOTAL, LLAMAR EL DÍA LA INSTALACIÓN PARA CONFIRMAR VISITA, AVISO EXTERIOR ALTURA APROX 2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t>
  </si>
  <si>
    <t>QUINTERO SANCHEZ JUAN SEBASTIAN</t>
  </si>
  <si>
    <t>VAZZZ370</t>
  </si>
  <si>
    <t>TA-25-904073</t>
  </si>
  <si>
    <t>ROBERTO PAYAN</t>
  </si>
  <si>
    <t>BARRIO LA PRIMAVERA ROBERTO PAYAN</t>
  </si>
  <si>
    <t>FO-25-1305024</t>
  </si>
  <si>
    <t>30-07-2025 SE REALIZA LLAMADA AL CLIENTE, SE HABLA CON LA ENCARGADA DEL SR EDINSON JAVIER CASTILLO CORTES SE VALIDA DIRECCIÓN OK, CANAL OK, DISPONIBILIDAD TOTAL, LLAMAR EL DÍA LA INSTALACIÓN PARA CONFIRMAR VISITA, AVISO EXTERIOR ALTURA APROX 3-4 METROS; TOMACORRIENTE CERCANO: SI; TIENE CABINA DE SEGURIDAD: SI // CONTACTO REALIZADO POR LA APP 11-08 SÉ ALCANZO A LLEGAR HASTA POR DEMORAS EN EL TRANSPORTE (LANCHA) 12/08/2025 SE REALIZA INSTALACIÓN DE CORRESPONSAL, SE INSTALAN EQUIPOS CON PRUEBAS EXITOSAS, SE CAPACITA Y SE EVALÚA AL CLIENTE, SE INSTALA PUBLICIDAD COMPLETA, CB QUEDA OPERATIVO. USUARIO SOMOS BANCOLOMBIA ACTIVO</t>
  </si>
  <si>
    <t>VAZZZ371</t>
  </si>
  <si>
    <t>TA-25-904074</t>
  </si>
  <si>
    <t>PUPIALES</t>
  </si>
  <si>
    <t>BARRIO EL CENTRO PUPIALES 1</t>
  </si>
  <si>
    <t>FO-25-1305027</t>
  </si>
  <si>
    <t>30-07-2025 SE REALIZA LLAMADA AL CLIENTE, SE HABLA CON EL SR ENRIQUE CARLOS ALBERTO MUÑOZ BRAVO SE VALIDA DIRECCIÓN OK, CANAL OK, DISPONIBILIDAD TOTAL, LLAMAR EL DÍA LA INSTALACIÓN PARA CONFIRMAR VISITA, AVISO EXTERIOR ALTURA APROX 2,50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t>
  </si>
  <si>
    <t>REMICIO AMADO JOHN HEBER</t>
  </si>
  <si>
    <t>VAZZZ372</t>
  </si>
  <si>
    <t>TA-25-904075</t>
  </si>
  <si>
    <t>BARRIO LA CALLE  CUATE MAGUI</t>
  </si>
  <si>
    <t>FO-25-1305033</t>
  </si>
  <si>
    <t>30-07-2025 SE REALIZA LLAMADA AL CLIENTE, SE HABLA CON EL SR NELSON DANIEL CAICEDO SEGURA SE VALIDA DIRECCIÓN OK, CANAL OK, DISPONIBILIDAD TOTAL, LLAMAR EL DÍA LA INSTALACIÓN PARA CONFIRMAR VISITA, AVISO EXTERIOR ALTURA APROX 3 METROS; TOMACORRIENTE CERCANO: SI; TIENE CABINA DE SEGURIDAD: SI // CONTACTO REALIZADO POR LA APP 11-08 SÉ ALCANZO A LLEGAR HASTA POR DEMORAS EN EL TRANSPORTE (LANCHA) 12-08 SE ESTA PENDIENTE DEL TRANSPORTE EN LANCHA PARA LLEGAR AL SITIO, NOS ENCONTRAMOS EN LA ZONA EN DESPLAZAMIENTO 13/08/2025 SE REALIZA INSTALACIÓN DE CORRESPONSAL, SE INSTALAN EQUIPOS CON PRUEBAS EXITOSAS, SE CAPACITA Y SE EVALÚA AL CLIENTE, SE INSTALA PUBLICIDAD COMPLETA, CB QUEDA OPERATIVO. USUARIO SOMOS BANCOLOMBIA ACTIVO</t>
  </si>
  <si>
    <t>VAZZZ373</t>
  </si>
  <si>
    <t>TA-25-904086</t>
  </si>
  <si>
    <t>BARRIO BELEN MEDELLIN 17</t>
  </si>
  <si>
    <t>FO-25-1305052</t>
  </si>
  <si>
    <t>30-07-2025 SE REALIZA LLAMADA AL CLIENTE, SE HABLA CON EL SR JOSE REYMUNDO ESTRADA, VALIDA DIRECCIÓN OK, CANAL OK, DISPONIBILIDAD TOTAL, LLAMAR EL DÍA LA INSTALACIÓN PARA CONFIRMAR VISITA, AVISO EXTERIOR ALTURA APROX  4 METROS; TOMACORRIENTE CERCANO: SI; TIENE CABINA DE SEGURIDAD: SI // MODEM A 5 METROS 1/08/2025 SE REALIZA INSTALACIÓN DE CORRESPONSAL, SE INSTALAN EQUIPOS CON PRUEBAS EXITOSAS, SE CAPACITA Y SE EVALÚA AL CLIENTE, SE INSTALA PUBLICIDAD COMPLETA, CB QUEDA OPERATIVO. USUARIO SOMOS BANCOLOMBIA ACTIVO</t>
  </si>
  <si>
    <t>VAZZZ377</t>
  </si>
  <si>
    <t>VILLAVICENCIO</t>
  </si>
  <si>
    <t>TA-25-904088</t>
  </si>
  <si>
    <t>META</t>
  </si>
  <si>
    <t>GRANADA</t>
  </si>
  <si>
    <t>BARRIO CENTRO GRANADA  1</t>
  </si>
  <si>
    <t>FO-25-1305055</t>
  </si>
  <si>
    <t>30-07-2025 SE REALIZA LLAMADA AL CLIENTE, SE HABLA CON LA SRA LEONOR CASTILLO DIAZ,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t>
  </si>
  <si>
    <t>ROZO JIMENEZ EDGAR ARMANDO</t>
  </si>
  <si>
    <t>VAZZZ378</t>
  </si>
  <si>
    <t>BUCARAMANGA</t>
  </si>
  <si>
    <t>TA-25-904091</t>
  </si>
  <si>
    <t>BOLIVAR</t>
  </si>
  <si>
    <t>SANTA ROSA DEL SUR</t>
  </si>
  <si>
    <t>BARRIO LA FERIA SANTA ROSA DEL SUR</t>
  </si>
  <si>
    <t>FO-25-1305064</t>
  </si>
  <si>
    <t>30-07-2025 SE REALIZA LLAMADA AL CLIENTE, SE HABLA CON EL HIJO DE LA LA SRA RUTH YAMILE SANABRIA MORALES, VALIDA DIRECCIÓN OK, CANAL OK, DISPONIBILIDAD TOTAL, LLAMAR EL DÍA LA INSTALACIÓN PARA CONFIRMAR VISITA, AVISO EXTERIOR ALTURA APROX DONDE EL TECNICO LO VEA CONVENIENTE; TOMACORRIENTE CERCANO: SI; TIENE CABINA DE SEGURIDAD: SI//MODEM A 5 METROS 5/08/2025 SE REALIZA INSTALACIÓN DE CORRESPONSAL, SE INSTALAN EQUIPOS CON PRUEBAS EXITOSAS, SE CAPACITA Y SE EVALÚA AL CLIENTE, SE INSTALA PUBLICIDAD COMPLETA, CB QUEDA OPERATIVO. USUARIO SOMOS BANCOLOMBIA ACTIVO</t>
  </si>
  <si>
    <t>ORTEBARRERAGA MARLON STWAR</t>
  </si>
  <si>
    <t>VAZZZ381</t>
  </si>
  <si>
    <t>TERRESTRE/FLUVIAL</t>
  </si>
  <si>
    <t>TA-25-904092</t>
  </si>
  <si>
    <t>BARRIO CENTRO FLORENCIA 39</t>
  </si>
  <si>
    <t>FO-25-1305067</t>
  </si>
  <si>
    <t>30-07-2025 SE REALIZA LLAMADA AL CLIENTE, SE HABLA CON  LA LA SRA DAIRA ISABEL TORRES LOZANO, VALIDA DIRECCIÓN OK, CANAL OK, DISPONIBILIDAD TOTAL, LLAMAR EL DÍA LA INSTALACIÓN PARA CONFIRMAR VISITA, AVISO EXTERIOR ALTURA APROX DONDE EL TECNICO LO VEA CONVENIENTE; TOMACORRIENTE CERCANO: SI; TIENE CABINA DE SEGURIDAD: SI 4/08/2025 LA SEÑORA DIARIA ISABEL SE COMUNICA CONMIGO Y ME MANIFESTO QUE EL DÍA DE MAÑANA NO PUEDE ATENDER LA VISITA PARA LA INSTALACIÓN YA QUE POR MOTIVOS PERSONALES DEBE VIAJAR EL DÍA DE HOY EN HORAS DE LA NOCHE A LA CIUDAD DE BOGOTÁ Y REGRESA EL DOMINGO EN LA NOCHE A FLORENCIA, PARA QUE EL DÍA LUNES 04 DE AGOSTO SE LE REALICE LA INSTALACIÓN. 4/08/2025 SE REALIZA INSTALACIÓN DE CORRESPONSAL, SE INSTALAN EQUIPOS CON PRUEBAS EXITOSAS, SE CAPACITA Y SE EVALÚA AL CLIENTE, SE INSTALA PUBLICIDAD COMPLETA, CB QUEDA OPERATIVO. USUARIO SOMOS BANCOLOMBIA ACTIVO</t>
  </si>
  <si>
    <t>BERMUDEZ SANCHEZ JOSE NEYBER</t>
  </si>
  <si>
    <t>VAZZZ382</t>
  </si>
  <si>
    <t>CUCUTA</t>
  </si>
  <si>
    <t>TA-25-904094</t>
  </si>
  <si>
    <t>NORTE DE SANTANDER</t>
  </si>
  <si>
    <t>OCAÑA</t>
  </si>
  <si>
    <t>BARRIO JUAN 23  OCAÑA</t>
  </si>
  <si>
    <t>FO-25-1305075</t>
  </si>
  <si>
    <t>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t>
  </si>
  <si>
    <t>GELVEZ MOGOLLON JOSE ELISEO</t>
  </si>
  <si>
    <t>VAZZZ384</t>
  </si>
  <si>
    <t>TA-25-904098</t>
  </si>
  <si>
    <t>CALDONO</t>
  </si>
  <si>
    <t>BARRIO PESCADOR CALDONO</t>
  </si>
  <si>
    <t>FO-25-1305084</t>
  </si>
  <si>
    <t>30-07-2025 SE REALIZA LLAMADA AL CLIENTE, SE HABLA CON LA SRA LINA VANESSA TROCHEZ BARONA, VALIDA DIRECCIÓN OK, CANAL OK, DISPONIBILIDAD TOTAL, LLAMAR EL DÍA LA INSTALACIÓN PARA CONFIRMAR VISITA, AVISO EXTERIOR ALTURA APROX  3 METROS; TOMACORRIENTE CERCANO: SI; TIENE CABINA DE SEGURIDAD: NO// MODEM A 15 METROS 1/08/2025 SE REALIZA INSTALACIÓN DE CORRESPONSAL, SE INSTALAN EQUIPOS CON PRUEBAS EXITOSAS, SE CAPACITA Y SE EVALÚA AL CLIENTE, SE INSTALA PUBLICIDAD COMPLETA, CB QUEDA OPERATIVO. USUARIO SOMOS BANCOLOMBIA ACTIVO</t>
  </si>
  <si>
    <t>GIMBUEL LASSO LUIS GERMAN</t>
  </si>
  <si>
    <t>VAZZZ386</t>
  </si>
  <si>
    <t>CARTAGENA</t>
  </si>
  <si>
    <t>TA-25-904100</t>
  </si>
  <si>
    <t>MARIA LA BAJA</t>
  </si>
  <si>
    <t>BARRIO VRD NUEVA ESPERANZA MARIA LA BAJA</t>
  </si>
  <si>
    <t>FO-25-1305093</t>
  </si>
  <si>
    <t>30-07-2025 SE REALIZA LLAMADA AL CLIENTE, SE HABLA CON EL SR ROBER OLAVE BERRIO, VALIDA DIRECCIÓN OK, CANAL OK, DISPONIBILIDAD TOTAL, LLAMAR EL DÍA LA INSTALACIÓN PARA CONFIRMAR VISITA, AVISO EXTERIOR ALTURA APROX  DONDE EL TECNICO LO VEA CONVENIENTE; TOMACORRIENTE CERCANO: SI; TIENE CABINA DE SEGURIDAD: SI 01-08 SE VALIDA CON CLIENTE INFORMA QUE MAÑANA  HAY PROGRAMADA UNA PARADA TÉCNICA DEL SERVICIO DE LA LUZ DESDE LAS 7AM  A 4 PM POR LO QUE SE REAGENDA LA VISITA PARA EL DIA LUNES 04-08 CLIENTE INFORMA QUE EN LA VÍA SE ENCUENTRA UN PARO QUE TIENE BLOQUEADA LA CARRETERA Y NO SE SABE A QUE HORAS LO LEVANTEN POR LO QUE SE REAGENDA PARA EL MIÉRCOLES 6/08/2025 SE REALIZA INSTALACIÓN DE CORRESPONSAL, SE INSTALAN EQUIPOS CON PRUEBAS EXITOSAS, SE CAPACITA Y SE EVALÚA AL CLIENTE, SE INSTALA PUBLICIDAD COMPLETA, CB QUEDA OPERATIVO. USUARIO SOMOS BANCOLOMBIA ACTIVO</t>
  </si>
  <si>
    <t>MARTINEZ SALGUEDO ANDRES AUGUSTO</t>
  </si>
  <si>
    <t>VAZZZ388</t>
  </si>
  <si>
    <t>TA-25-904101</t>
  </si>
  <si>
    <t>LA PLATA</t>
  </si>
  <si>
    <t>BARRIO LA POLA LA PLATA 5</t>
  </si>
  <si>
    <t>FO-25-1305096</t>
  </si>
  <si>
    <t>30-07-2025 SE REALIZA LLAMADA AL CLIENTE, SE HABLA CON EL SR ADRIAN MAZABEL REYES, VALIDA DIRECCIÓN OK, CANAL OK, DISPONIBILIDAD TOTAL, LLAMAR EL DÍA LA INSTALACIÓN PARA CONFIRMAR VISITA, AVISO EXTERIOR ALTURA APROX  2,50 METROS; TOMACORRIENTE CERCANO: SI; TIENE CABINA DE SEGURIDAD: SI 01-08 SE REALIZA INSTALACIÓN DE CORRESPONSAL, SE INSTALAN EQUIPOS CON PRUEBAS EXITOSAS, SE CAPACITA Y SE EVALÚA AL CLIENTE, SE INSTALA PUBLICIDAD COMPLETA, CB QUEDA OPERATIVO. USUARIO SOMOS BANCOLOMBIA ACTIVO</t>
  </si>
  <si>
    <t>ANDRADE HERNANDEZ JUAN CARLOS</t>
  </si>
  <si>
    <t>VAZZZ389</t>
  </si>
  <si>
    <t>TA-25-904105</t>
  </si>
  <si>
    <t>BARRIO CAICEDO MEDELLIN 17</t>
  </si>
  <si>
    <t>FO-25-1305113</t>
  </si>
  <si>
    <t>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t>
  </si>
  <si>
    <t>VAZZZ393</t>
  </si>
  <si>
    <t>TA-25-904106</t>
  </si>
  <si>
    <t>SOGAMOSO</t>
  </si>
  <si>
    <t>BARRIO GUSTAVO JIMENEZ SOGAMOSO 4</t>
  </si>
  <si>
    <t>FO-25-1305118</t>
  </si>
  <si>
    <t>30-07 SE REALIZA LLAMADA AL CLIENTE, SE HABLA CON LA SRA LORENA NATALY MERCHÁN CASTAÑEDA SE VALIDA DIRECCIÓN OK, CANAL OK, DISPONIBILIDAD TOTAL, LLAMAR EL DÍA LA INSTALACIÓN PARA CONFIRMAR VISITA, AVISO EXTERIOR ALTURA APROX 2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t>
  </si>
  <si>
    <t>VAZZZ395</t>
  </si>
  <si>
    <t>TA-25-904110</t>
  </si>
  <si>
    <t>BARRANCA DE UPIA</t>
  </si>
  <si>
    <t>BARRIO LIBERTAD I BARRANCA DE UPIA</t>
  </si>
  <si>
    <t>FO-25-1305133</t>
  </si>
  <si>
    <t>30-07 SE REALIZA LLAMADA AL CLIENTE, SE HABLA CON LA SRA YURY MARCELA SIGUA VELANDIA  SE VALIDA DIRECCIÓN OK, CANAL OK, DISPONIBILIDAD TOTAL, LLAMAR EL DÍA LA INSTALACIÓN PARA CONFIRMAR VISITA, AVISO EXTERIOR ALTURA APROX 3.5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t>
  </si>
  <si>
    <t>PEDREROS CONTRERAS MICHAEL STEVENS</t>
  </si>
  <si>
    <t>VAZZZ398</t>
  </si>
  <si>
    <t>TA-25-904116</t>
  </si>
  <si>
    <t>BARRIO CORR PUERTO VENUS NARIÑO</t>
  </si>
  <si>
    <t>FO-25-1305143</t>
  </si>
  <si>
    <t>30-07 SE REALIZA LLAMADA AL CLIENTE, SE HABLA CON LA SRA JAVIER CAMILO CADAVID TORO  SE VALIDA DIRECCIÓN OK, CANAL OK, DISPONIBILIDAD TOTAL, LLAMAR EL DÍA LA INSTALACIÓN PARA CONFIRMAR VISITA, AVISO EXTERIOR ALTURA APROX 2 METROS; TOMACORRIENTE CERCANO: SI; TIENE CABINA DE SEGURIDAD: NO 31-07 EL DESPLAZAMIENTO HACIA EL CORREGIMIENTO TOMÓ APROXIMADAMENTE OCHO HORAS, POR LO QUE SE LLEGÓ AL LUGAR SOBRE LAS 5:30 P.M. AL MOMENTO DE LA LLEGADA, EL USUARIO INFORMÓ QUE NO ATENDERÍA LA ACTIVIDAD PROGRAMADA PARA EL DÍA DE HOY, INDICANDO QUE SU DISPONIBILIDAD SERÍA PARA EL DÍA SIGUIENTE. POR LO TANTO, SE REPROGRAMA LA ATENCIÓN DE LA ACTIVIDAD PARA EL DÍA DE MAÑANA, CONFORME A LA INDICACIÓN DEL USUARIO EN SITIO. 1/08/2025 SE REALIZA INSTALACIÓN DE CORRESPONSAL, SE INSTALAN EQUIPOS CON PRUEBAS EXITOSAS, SE CAPACITA Y SE EVALÚA AL CLIENTE, SE INSTALA PUBLICIDAD COMPLETA, CB QUEDA OPERATIVO. USUARIO SOMOS BANCOLOMBIA ACTIVO</t>
  </si>
  <si>
    <t>MARTINEZ TOVAR OSCAR DAVID</t>
  </si>
  <si>
    <t>VAZZZ401</t>
  </si>
  <si>
    <t>TA-25-915445</t>
  </si>
  <si>
    <t>BARRIO LA LIBERTAD FLORENCIA 2</t>
  </si>
  <si>
    <t>FO-25-1316240</t>
  </si>
  <si>
    <t>01-08-2025 SE REALIZA LLAMADA AL CLIENTE, SE HABLA CON LA SRA MARTHA LILIA MARTINEZ ALDANA SE VALIDA DIRECCIÓN OK, CANAL OK, DISPONIBILIDAD TOTAL, LLAMAR EL DÍA LA INSTALACIÓN PARA CONFIRMAR VISITA, AVISO EXTERIOR ALTURA APROX CLIENTE NO TIENE CONOCIMIENTO DE MEDIDAS;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</si>
  <si>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F7ZZZ994</t>
  </si>
  <si>
    <t>BARRANQUILLA</t>
  </si>
  <si>
    <t>TA-25-915446</t>
  </si>
  <si>
    <t>ATLANTICO</t>
  </si>
  <si>
    <t>MALAMBO</t>
  </si>
  <si>
    <t>BARRIO CONCOR MALAMBO 4</t>
  </si>
  <si>
    <t>FO-25-1316244</t>
  </si>
  <si>
    <t>01-08-2025 SE REALIZA LLAMADA AL CLIENTE, SE HABLA CON LA SRA VALERY TORRES RODRÍGUEZ SE VALIDA DIRECCIÓN OK, CANAL OK, DISPONIBILIDAD TOTAL, LLAMAR EL DÍA LA INSTALACIÓN PARA CONFIRMAR VISITA, AVISO EXTERIOR ALTURA APROX 2-3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</si>
  <si>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PORRAS CASTRO DARLON NASCK</t>
  </si>
  <si>
    <t>F7ZZZ995</t>
  </si>
  <si>
    <t>TA-25-915451</t>
  </si>
  <si>
    <t>BARRIO NIÑA CECI CUCUTA 9</t>
  </si>
  <si>
    <t>FO-25-1316254</t>
  </si>
  <si>
    <t>01-08-2025 SE REALIZA LLAMADA AL CLIENTE, SE HABLA CON EL SR HEIDER JOHAN PORTILLO CAÑIZALEZ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</si>
  <si>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DURAN ACOSTA FRANK YONNY</t>
  </si>
  <si>
    <t>F7ZZZ996</t>
  </si>
  <si>
    <t>TA-25-915453</t>
  </si>
  <si>
    <t>BARRIO BAMBO OCAÑA</t>
  </si>
  <si>
    <t>FO-25-1316260</t>
  </si>
  <si>
    <t>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05-08 SE CONTACTA TELEFÓNICAMENTE AL CLIENTE, EL SEÑOR MARÍA DEL CARMEN, CONFIRMA DATOS OK, SE LE INFORMA QUE HOY SE INICIA DESPLAZAMIENTO AL MUNICIPIO DE OCAÑA. SE AGENDA VISITA PARA EL DÍA 06/08. /06-08 SE REALIZA INSTALACIÓN DE CORRESPONSAL, SE INSTALAN EQUIPOS CON PRUEBAS EXITOSAS, SE CAPACITA Y SE EVALÚA AL CLIENTE, SE INSTALA PUBLICIDAD COMPLETA, CB QUEDA OPERATIVO. USUARIO SOMOS BANCOLOMBIA ACTIVO</t>
  </si>
  <si>
    <t>PACHECO BUITRAGO JAVIER ALONSO</t>
  </si>
  <si>
    <t>F7ZZZ997</t>
  </si>
  <si>
    <t>TA-25-915455</t>
  </si>
  <si>
    <t>BARRIO EL LIBANO OCAÑA 1</t>
  </si>
  <si>
    <t>FO-25-1316266</t>
  </si>
  <si>
    <t>01-08-2025 SE REALIZA LLAMADA AL CLIENTE, SE HABLA CON EL SR BLADIMIR GAONA SE VALIDA DIRECCIÓN OK, CANAL OK, DISPONIBILIDAD TOTAL, LLAMAR EL DÍA LA INSTALACIÓN PARA CONFIRMAR VISITA, AVISO EXTERIOR ALTURA APROX 2 METROS; TOMACORRIENTE CERCANO: SI; TIENE CABINA DE SEGURIDAD: NO // CONTACTO REALIZADO POR LA APP 05-08 SE CONTACTA TELEFÓNICAMENTE AL CLIENTE, EL SEÑOR BLADIMIR GAONA, CONFIRMA DATOS OK, SE LE INFORMA QUE HOY SE INICIA DESPLAZAMIENTO AL MUNICIPIO DE OCAÑA. SE AGENDA VISITA PARA EL DÍA 06/08. 6/08/2025 SE REALIZA INSTALACIÓN DE CORRESPONSAL, SE INSTALAN EQUIPOS CON PRUEBAS EXITOSAS, SE CAPACITA Y SE EVALÚA AL CLIENTE, SE INSTALA PUBLICIDAD COMPLETA, CB QUEDA OPERATIVO. USUARIO SOMOS BANCOLOMBIA ACTIVO</t>
  </si>
  <si>
    <t>F7ZZZ998</t>
  </si>
  <si>
    <t>SINCELEJO</t>
  </si>
  <si>
    <t>TA-25-915456</t>
  </si>
  <si>
    <t>SUCRE</t>
  </si>
  <si>
    <t>BARRIO EL CABRERO SINCELEJO</t>
  </si>
  <si>
    <t>FO-25-1316271</t>
  </si>
  <si>
    <t>01-08-2025 SE REALIZA LLAMADA AL CLIENTE, SE HABLA CON EL SR FAVIAN LIEVANO ROJAS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</si>
  <si>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SANTOS GUZMAN CHRISTIAN FELIPE</t>
  </si>
  <si>
    <t>F7ZZZ999</t>
  </si>
  <si>
    <t>MONTERIA</t>
  </si>
  <si>
    <t>TA-25-915457</t>
  </si>
  <si>
    <t>CORDOBA</t>
  </si>
  <si>
    <t>BARRIO URBINA MONTERIA</t>
  </si>
  <si>
    <t>FO-25-1316273</t>
  </si>
  <si>
    <t>01-08-2025 SE REALIZA LLAMADA AL CLIENTE, SE HABLA CON EL SR FREDY DE JESUS VERGARA URANGO SE VALIDA DIRECCIÓN OK, CANAL OK, DISPONIBILIDAD TOTAL, LLAMAR EL DÍA LA INSTALACIÓN PARA CONFIRMAR VISITA, AVISO EXTERIOR ALTURA APROX 3 METROS; TOMACORRIENTE CERCANO: SI; TIENE CABINA DE SEGURIDAD: NO // CONTACTO REALIZADO POR WHATSAPP 4/08/2025 SE REALIZA INSTALACIÓN DE CORRESPONSAL, SE INSTALAN EQUIPOS CON PRUEBAS EXITOSAS, SE CAPACITA Y SE EVALÚA AL CLIENTE, SE INSTALA PUBLICIDAD COMPLETA, CB QUEDA OPERATIVO. USUARIO SOMOS BANCOLOMBIA ACTIVO</t>
  </si>
  <si>
    <t>GONZALEZ FERRER JESUS ALEXANDER</t>
  </si>
  <si>
    <t>F8ZZZ000</t>
  </si>
  <si>
    <t>TA-25-915458</t>
  </si>
  <si>
    <t>BARRIO CALLEJON CUCUTA 22</t>
  </si>
  <si>
    <t>FO-25-1316279</t>
  </si>
  <si>
    <t>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</si>
  <si>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NARANJO AFANADOR RUBEN JESUS</t>
  </si>
  <si>
    <t>F8ZZZ001</t>
  </si>
  <si>
    <t>TA-25-915459</t>
  </si>
  <si>
    <t>BARRIO EL CARMEN OCAÑA 1</t>
  </si>
  <si>
    <t>FO-25-1316282</t>
  </si>
  <si>
    <t>01-08-2025 SE REALIZA LLAMADA AL CLIENTE, SE HABLA CON EL SR ANDERSON STEVEN CASTILLA CHOGO SE VALIDA DIRECCIÓN OK, CANAL OK, DISPONIBILIDAD TOTAL, LLAMAR EL DÍA LA INSTALACIÓN PARA CONFIRMAR VISITA, AVISO EXTERIOR ALTURA APROX 2,50 - 3 METROS; TOMACORRIENTE CERCANO: SI; TIENE CABINA DE SEGURIDAD: NO // CONTACTO REALIZADO POR LA APP 05-08 SE REALIZA INSTALACIÓN DE CORRESPONSAL, SE INSTALAN EQUIPOS CON PRUEBAS EXITOSAS, SE CAPACITA Y SE EVALÚA AL CLIENTE, SE INSTALA PUBLICIDAD COMPLETA, CB QUEDA OPERATIVO. USUARIO SOMOS BANCOLOMBIA ACTIVO</t>
  </si>
  <si>
    <t>GONZALEZ ESTUPIÑAN YEISON WALTER ANTONIO</t>
  </si>
  <si>
    <t>F8ZZZ002</t>
  </si>
  <si>
    <t>VALLEDUPAR</t>
  </si>
  <si>
    <t>TA-25-915460</t>
  </si>
  <si>
    <t>CESAR</t>
  </si>
  <si>
    <t>AGUACHICA</t>
  </si>
  <si>
    <t>BARRIO LA SABANITA AGUACHICA 1</t>
  </si>
  <si>
    <t>FO-25-1316290</t>
  </si>
  <si>
    <t>01-08-2025 SE REALIZA LLAMADA AL CLIENTE, SE HABLA CON LA SRA YELENA OSORIO SÁNCHEZ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</si>
  <si>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MONTES DIAZ JOHN FRED</t>
  </si>
  <si>
    <t>F8ZZZ003</t>
  </si>
  <si>
    <t>TA-25-915461</t>
  </si>
  <si>
    <t>BARRIO AMBERES CARTAGENA DE INDIAS 3</t>
  </si>
  <si>
    <t>FO-25-1316299</t>
  </si>
  <si>
    <t>01-08-2025 SE REALIZA LLAMADA AL CLIENTE, SE HABLA CON LA SRA OLGA MARENA MARTINEZ BENAVIDES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</si>
  <si>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CANEDO HERRERA ALEXANDER</t>
  </si>
  <si>
    <t>F8ZZZ004</t>
  </si>
  <si>
    <t>TA-25-915463</t>
  </si>
  <si>
    <t>BARRIO SAN MARTIN SANTA ROSA DEL SUR 3</t>
  </si>
  <si>
    <t>FO-25-1316304</t>
  </si>
  <si>
    <t>01-08-2025 SE REALIZA LLAMADA AL CLIENTE, SE HABLA CON LA SRA PAULA SE VALIDA DIRECCIÓN OK, CANAL OK, DISPONIBILIDAD TOTAL, LLAMAR EL DÍA LA INSTALACIÓN PARA CONFIRMAR VISITA, AVISO EXTERIOR ALTURA APROX TIENE ESPACIO SUFICIENTE PARA EL AVISO; TOMACORRIENTE CERCANO: SI; TIENE CABINA DE SEGURIDAD: SI // CONTACTO REALIZADO POR LA APP 6/08/2025 SE REALIZA INSTALACIÓN DE CORRESPONSAL, SE INSTALAN EQUIPOS CON PRUEBAS EXITOSAS, SE CAPACITA Y SE EVALÚA AL CLIENTE, SE INSTALA PUBLICIDAD COMPLETA, CB QUEDA OPERATIVO. USUARIO SOMOS BANCOLOMBIA ACTIVO</t>
  </si>
  <si>
    <t>F8ZZZ005</t>
  </si>
  <si>
    <t>TA-25-915464</t>
  </si>
  <si>
    <t>VALLE DEL CAUCA</t>
  </si>
  <si>
    <t>BARRIO SAN PASCUAL CALI 2</t>
  </si>
  <si>
    <t>FO-25-1316308</t>
  </si>
  <si>
    <t>01-08-2025 SE REALIZA LLAMADA AL CLIENTE, SE HABLA CON LA SRA YULI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</si>
  <si>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F8ZZZ006</t>
  </si>
  <si>
    <t>TA-25-915467</t>
  </si>
  <si>
    <t>TAMINANGO</t>
  </si>
  <si>
    <t>BARRIO EL PRADO TAMINANGO 3</t>
  </si>
  <si>
    <t>FO-25-1316317</t>
  </si>
  <si>
    <t>01-08-2025 SE REALIZA LLAMADA AL CLIENTE, SE HABLA CON LA SRA YUDI HERMENCIA VASQUEZ ARTEAGA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</si>
  <si>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F8ZZZ007</t>
  </si>
  <si>
    <t>BOGOTA</t>
  </si>
  <si>
    <t>TA-25-915468</t>
  </si>
  <si>
    <t>CUNDINAMARCA</t>
  </si>
  <si>
    <t>BARRIO LA ISABELLA BOGOTA</t>
  </si>
  <si>
    <t>FO-25-1328346</t>
  </si>
  <si>
    <t>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t>
  </si>
  <si>
    <t>GALINDO ROJAS LUIS FELIPE</t>
  </si>
  <si>
    <t>F8ZZZ008</t>
  </si>
  <si>
    <t>MANIZALES</t>
  </si>
  <si>
    <t>TA-25-915469</t>
  </si>
  <si>
    <t>CALDAS</t>
  </si>
  <si>
    <t>BARRIO GUAYACANES MANIZALES 1</t>
  </si>
  <si>
    <t>FO-25-1316329</t>
  </si>
  <si>
    <t>01-08-2025 SE REALIZA LLAMADA AL CLIENTE, SE HABLA CON EL SR OSCAR ALONSO CARDENAS SE VALIDA DIRECCIÓN OK, CANAL OK, DISPONIBILIDAD TOTAL, LLAMAR EL DÍA LA INSTALACIÓN PARA CONFIRMAR VISITA, AVISO EXTERIOR ALTURA APROX 2,50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</si>
  <si>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AGUIRRE HENAO RAUL EDUARDO</t>
  </si>
  <si>
    <t>F8ZZZ009</t>
  </si>
  <si>
    <t>TA-25-915470</t>
  </si>
  <si>
    <t>BARRIO SAN JAVIER LA LOMA MEDELLIN 1</t>
  </si>
  <si>
    <t>FO-25-1316336</t>
  </si>
  <si>
    <t xml:space="preserve">01-08-2025 SE REALIZA LLAMADA AL CLIENTE, SE HABLA CON LA SRA NORA ELENA LOPEZ ARISMENDY SE VALIDA DIRECCIÓN OK, CANAL OK, DISPONIBILIDAD TOTAL, LLAMAR EL DÍA LA INSTALACIÓN PARA CONFIRMAR VISITA, AVISO EXTERIOR ALTURA APROX TIENE SIFICUENTE ESPACIO PARA CUALQUIER MEDIDA;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CLIENTE PIDO NO INSTALAR BASE YA QUE SE ENCUENTRA EN ADECUACIONES LOCATIVAS </t>
  </si>
  <si>
    <t>BADEL ACUÑA LUIS ALBERTO</t>
  </si>
  <si>
    <t>F8ZZZ010</t>
  </si>
  <si>
    <t>PEREIRA</t>
  </si>
  <si>
    <t>TA-25-915471</t>
  </si>
  <si>
    <t>TORO</t>
  </si>
  <si>
    <t>BARRIO BULEVAR AVENIDA TORO</t>
  </si>
  <si>
    <t>FO-25-1316342</t>
  </si>
  <si>
    <t>01-08-2025 SE REALIZA LLAMADA AL CLIENTE, SE HABLA CON LA SRA MAIDA LEANDRA FLOREZ VELASQUEZ SE VALIDA DIRECCIÓN OK, CANAL OK, DISPONIBILIDAD TOTAL, LLAMAR EL DÍA LA INSTALACIÓN PARA CONFIRMAR VISITA, AVISO EXTERIOR ALTURA APROX 1,50 METROS; TOMACORRIENTE CERCANO: SI; TIENE CABINA DE SEGURIDAD: SI // CONTACTO REALIZADO POR LA APP 5/08/2025 SE REALIZA INSTALACIÓN DE CORRESPONSAL, SE INSTALAN EQUIPOS CON PRUEBAS EXITOSAS, SE CAPACITA Y SE EVALÚA AL CLIENTE, SE INSTALA PUBLICIDAD COMPLETA, CB QUEDA OPERATIVO. USUARIO SOMOS BANCOLOMBIA ACTIVO</t>
  </si>
  <si>
    <t>FRANCO CAÑAVERAL YAMID RAUL</t>
  </si>
  <si>
    <t>F8ZZZ011</t>
  </si>
  <si>
    <t>TA-25-915472</t>
  </si>
  <si>
    <t>BARRIO CHAGUALO MEDELLIN 4</t>
  </si>
  <si>
    <t>FO-25-1316348</t>
  </si>
  <si>
    <t>01-08-2025 SE REALIZA LLAMADA AL CLIENTE, SE HABLA CON LA SRA YINARY HOLGUIN SERNA SE VALIDA DIRECCIÓN OK, CANAL OK, DISPONIBILIDAD TOTAL, LLAMAR EL DÍA LA INSTALACIÓN PARA CONFIRMAR VISITA, AVISO EXTERIOR ALTURA APROX 2,50 METROS; TOMACORRIENTE CERCANO: SI; TIENE CABINA DE SEGURIDAD: NO // CONTACTO REALIZADO POR LA APP 4/08/2025 SE REALIZA INSTALACIÓN DE CORRESPONSAL, SE INSTALAN EQUIPOS CON PRUEBAS EXITOSAS, SE CAPACITA Y SE EVALÚA AL CLIENTE, SE INSTALA PUBLICIDAD COMPLETA, CB QUEDA OPERATIVO. USUARIO SOMOS BANCOLOMBIA ACTIVO</t>
  </si>
  <si>
    <t>F8ZZZ013</t>
  </si>
  <si>
    <t>TA-25-915473</t>
  </si>
  <si>
    <t>BARRIO VILLAS DEL DORADO BOGOTA 8</t>
  </si>
  <si>
    <t>FO-25-1316351</t>
  </si>
  <si>
    <t>01-08-2025 SE REALIZA LLAMADA AL CLIENTE, SE HABLA CON LA SRA ADRIANA (ESPOSA)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</si>
  <si>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MURCIA HERNANDEZ HARVEY IGNACIO</t>
  </si>
  <si>
    <t>F8ZZZ014</t>
  </si>
  <si>
    <t>TA-25-915474</t>
  </si>
  <si>
    <t>VILLA RICA</t>
  </si>
  <si>
    <t>BARRIO CENTRO VILLA RICA  4</t>
  </si>
  <si>
    <t>FO-25-1316356</t>
  </si>
  <si>
    <t>01-08-2025 SE REALIZA LLAMADA AL CLIENTE, SE HABLA CON LA SRA LENCY DANIELA COLORADO BALANTA SE VALIDA DIRECCIÓN OK, CANAL OK, DISPONIBILIDAD TOTAL, LLAMAR EL DÍA LA INSTALACIÓN PARA CONFIRMAR VISITA, AVISO EXTERIOR ALTURA APROX 3 METROS; TOMACORRIENTE CERCANO: SI; TIENE CABINA DE SEGURIDAD: SI  4/08/2025 SE REALIZA INSTALACIÓN DE CORRESPONSAL, SE INSTALAN EQUIPOS CON PRUEBAS EXITOSAS, SE CAPACITA Y SE EVALÚA AL CLIENTE, SE INSTALA PUBLICIDAD COMPLETA, CB QUEDA OPERATIVO. USUARIO SOMOS BANCOLOMBIA ACTIVO</t>
  </si>
  <si>
    <t>HERRERA MONAR GEOVANNY</t>
  </si>
  <si>
    <t>F8ZZZ015</t>
  </si>
  <si>
    <t>TA-25-915475</t>
  </si>
  <si>
    <t>SAN ANDRES DE TUMACO</t>
  </si>
  <si>
    <t>BARRIO SABALETA SAN ANDRES DE TUMACO</t>
  </si>
  <si>
    <t>FO-25-1316359</t>
  </si>
  <si>
    <t>01-08 SE REALIZA LLAMADA AL CLIENTE, SE HABLA CON LA SRA NATHALY CIELITO SOLARTE BOLAÑOS SE VALIDA DIRECCIÓN OK, CANAL OK, DISPONIBILIDAD TOTAL, LLAMAR EL DÍA LA INSTALACIÓN PARA CONFIRMAR VISITA, AVISO EXTERIOR ALTURA APROX 3 METROS; TOMACORRIENTE CERCANO: SI; TIENE CABINA DE SEGURIDAD: SI - COMUNICACIÓN POR WPP 5/08/2025 SE REALIZA INSTALACIÓN DE CORRESPONSAL, SE INSTALAN EQUIPOS CON PRUEBAS EXITOSAS, SE CAPACITA Y SE EVALÚA AL CLIENTE, SE INSTALA PUBLICIDAD COMPLETA, CB QUEDA OPERATIVO. USUARIO SOMOS BANCOLOMBIA ACTIVO</t>
  </si>
  <si>
    <t>F8ZZZ016</t>
  </si>
  <si>
    <t>TA-25-915476</t>
  </si>
  <si>
    <t>BARRIO FELIDIA CALI</t>
  </si>
  <si>
    <t>FO-25-1316363</t>
  </si>
  <si>
    <t>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t>
  </si>
  <si>
    <t>BOLAÑOS TABORDA JORGE ENRIQUE</t>
  </si>
  <si>
    <t>F8ZZZ017</t>
  </si>
  <si>
    <t>TA-25-915477</t>
  </si>
  <si>
    <t>BARRIO TRONCAL CALI 1</t>
  </si>
  <si>
    <t>FO-25-1316366</t>
  </si>
  <si>
    <t>01-08-2025 SE REALIZA LLAMADA AL CLIENTE, SE HABLA CON LA SRA MELISSA ANDREA SAAVEDRA GONZALEZ, SE VALIDA DIRECCIÓN OK, CANAL OK, DISPONIBILIDAD TOTAL, LLAMAR EL DÍA LA INSTALACIÓN PARA CONFIRMAR VISITA, AVISO EXTERIOR ALTURA APROX  2.50 METROS; TOMACORRIENTE CERCANO: SI; TIENE CABINA DE SEGURIDAD: SI  4/08/2025 SE REALIZA INSTALACIÓN DE CORRESPONSAL, SE INSTALAN EQUIPOS CON PRUEBAS EXITOSAS, SE CAPACITA Y SE EVALÚA AL CLIENTE, SE INSTALA PUBLICIDAD COMPLETA, CB QUEDA OPERATIVO. USUARIO SOMOS BANCOLOMBIA ACTIVO</t>
  </si>
  <si>
    <t>TORRES GARCIA JENDRY JOSE</t>
  </si>
  <si>
    <t>F8ZZZ018</t>
  </si>
  <si>
    <t>TA-25-915478</t>
  </si>
  <si>
    <t>ANAPOIMA</t>
  </si>
  <si>
    <t>BARRIO CENTRO ANAPOIMA ANAPOIMA 1</t>
  </si>
  <si>
    <t>FO-25-1316370</t>
  </si>
  <si>
    <t>01-08-2025 SE REALIZA LLAMADA AL CLIENTE, SE HABLA CON EL SR WILLIAM GIOVANNY LOPEZ AVILA,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t>
  </si>
  <si>
    <t>GOMEZ VEGA DAVID SNEYDER</t>
  </si>
  <si>
    <t>F8ZZZ019</t>
  </si>
  <si>
    <t>TA-25-915479</t>
  </si>
  <si>
    <t>BARRIO CERVANTES MANIZALES 3</t>
  </si>
  <si>
    <t>FO-25-1316376</t>
  </si>
  <si>
    <t>01-08-2025 SE REALIZA LLAMADA AL CLIENTE, SE HABLA CON LA SRA VALENTINA BALLESTEROS GALLEGO,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t>
  </si>
  <si>
    <t>ARROYAVE CANO MANUEL GUILLERMO</t>
  </si>
  <si>
    <t>F8ZZZ020</t>
  </si>
  <si>
    <t>TA-25-915483</t>
  </si>
  <si>
    <t>LOS PATIOS</t>
  </si>
  <si>
    <t>BARRIO RECTA COROZAL LOS PATIOS</t>
  </si>
  <si>
    <t>FO-25-1316381</t>
  </si>
  <si>
    <t>01-08-2025 SE REALIZA LLAMADA AL CLIENTE, SE HABLA CON LA ESPOSA DEL SR EDILSON DÍAZ CASTRO, SE VALIDA DIRECCIÓN OK, CANAL OK, DISPONIBILIDAD TOTAL, LLAMAR EL DÍA LA INSTALACIÓN PARA CONFIRMAR VISITA, AVISO EXTERIOR ALTURA APROX  DONDE EL TECNICO LO VEA CONVENIENTE; TOMACORRIENTE CERCANO: SI; TIENE CABINA DE SEGURIDAD: NO 04-08 SE REALIZA INSTALACIÓN DE CORRESPONSAL, SE INSTALAN EQUIPOS CON PRUEBAS EXITOSAS, SE CAPACITA Y SE EVALÚA AL CLIENTE, SE INSTALA PUBLICIDAD COMPLETA, CB QUEDA OPERATIVO. USUARIO SOMOS BANCOLOMBIA ACTIVO</t>
  </si>
  <si>
    <t>F8ZZZ021</t>
  </si>
  <si>
    <t>TA-25-915486</t>
  </si>
  <si>
    <t>BARRIO MARIA FERNANDA TUNJA 1</t>
  </si>
  <si>
    <t>FO-25-1316385</t>
  </si>
  <si>
    <t>01-08-2025 SE REALIZA LLAMADA AL CLIENTE, SE HABLA CON LA SRA YULY TATIANA GONZÁLEZ ZEA. SE VALIDA DIRECCIÓN OK, CANAL OK, DISPONIBILIDAD TOTAL, LLAMAR EL DÍA LA INSTALACIÓN PARA CONFIRMAR VISITA, AVISO EXTERIOR ALTURA APROX  DONDE EL TECNICO LO VEA CONVENIENTE; TOMACORRIENTE CERCANO: SI; TIENE CABINA DE SEGURIDAD: NO 4/08/2025 SE REALIZA INSTALACIÓN DE CORRESPONSAL, SE INSTALAN EQUIPOS CON PRUEBAS EXITOSAS, SE CAPACITA Y SE EVALÚA AL CLIENTE, SE INSTALA PUBLICIDAD COMPLETA, CB QUEDA OPERATIVO. USUARIO SOMOS BANCOLOMBIA ACTIVO</t>
  </si>
  <si>
    <t>HERRERA GARZON JEYSON STEVENT</t>
  </si>
  <si>
    <t>F8ZZZ022</t>
  </si>
  <si>
    <t>TA-25-915489</t>
  </si>
  <si>
    <t>TARQUI</t>
  </si>
  <si>
    <t>BARRIO LA LOMA - BODEGA TARQUI</t>
  </si>
  <si>
    <t>FO-25-1316391</t>
  </si>
  <si>
    <t>01-08-2025 SE REALIZA LLAMADA AL CLIENTE, SE HABLA CON LA SRA JENNY MARLENY GONZALEZ MURILLO. SE VALIDA DIRECCIÓN OK, CANAL OK, DISPONIBILIDAD TOTAL, LLAMAR EL DÍA LA INSTALACIÓN PARA CONFIRMAR VISITA, AVISO EXTERIOR ALTURA APROX  DONDE EL TECNICO LO VEA CONVENIENTE; TOMACORRIENTE CERCANO: SI; TIENE CABINA DE SEGURIDAD: NO// DISPONIBILIDAD EN HORAS PM 4/08/2025 SE REALIZA INSTALACIÓN DE CORRESPONSAL, SE INSTALAN EQUIPOS CON PRUEBAS EXITOSAS, SE CAPACITA Y SE EVALÚA AL CLIENTE, SE INSTALA PUBLICIDAD COMPLETA, CB QUEDA OPERATIVO. USUARIO SOMOS BANCOLOMBIA ACTIVO</t>
  </si>
  <si>
    <t>F8ZZZ023</t>
  </si>
  <si>
    <t>TA-25-915493</t>
  </si>
  <si>
    <t>BARRIO SAN MARTIN SANTA ROSA DEL SUR 4</t>
  </si>
  <si>
    <t>FO-25-1316401</t>
  </si>
  <si>
    <t>01-08-2025 SE REALIZA LLAMADA AL CLIENTE, SE HABLA CON  LA MAMA DEL SR JUAN DIEGO MARTINEZ SÁNCHEZ. SE VALIDA DIRECCIÓN OK, CANAL OK, DISPONIBILIDAD TOTAL, LLAMAR EL DÍA LA INSTALACIÓN PARA CONFIRMAR VISITA, AVISO EXTERIOR ALTURA APROX  DONDE EL TECNICO LO VEA CONVENIENTE; TOMACORRIENTE CERCANO: SI; TIENE CABINA DE SEGURIDAD: NO// MODEM A 5 METROS DE DISTANCIA  5/08/2025 SE REALIZA INSTALACIÓN DE CORRESPONSAL, SE INSTALAN EQUIPOS CON PRUEBAS EXITOSAS, SE CAPACITA Y SE EVALÚA AL CLIENTE, SE INSTALA PUBLICIDAD COMPLETA, CB QUEDA OPERATIVO. USUARIO SOMOS BANCOLOMBIA ACTIVO</t>
  </si>
  <si>
    <t>F8ZZZ024</t>
  </si>
  <si>
    <t>TA-25-915494</t>
  </si>
  <si>
    <t>BARRIO LA IGUALDAD BOGOTA 3</t>
  </si>
  <si>
    <t>FO-25-1316407</t>
  </si>
  <si>
    <t>01-08-2025 SE REALIZA LLAMADA AL CLIENTE, SE HABLA CON  EL ESPOSO DE LA SRA LILIANA VERDUGO AMADO. SE VALIDA DIRECCIÓN OK, CANAL OK, DISPONIBILIDAD TOTAL, LLAMAR EL DÍA LA INSTALACIÓN PARA CONFIRMAR VISITA, AVISO EXTERIOR ALTURA APROX  3 METROS; TOMACORRIENTE CERCANO: SI; TIENE CABINA DE SEGURIDAD: SI 04-08 SE REALIZA INSTALACIÓN DE CORRESPONSAL, SE INSTALAN EQUIPOS CON PRUEBAS EXITOSAS, SE CAPACITA Y SE EVALÚA AL CLIENTE, SE INSTALA PUBLICIDAD COMPLETA, CB QUEDA OPERATIVO. USUARIO SOMOS BANCOLOMBIA ACTIVO</t>
  </si>
  <si>
    <t>GARCIA PASTRANA KEVIN FERNANDO</t>
  </si>
  <si>
    <t>F8ZZZ025</t>
  </si>
  <si>
    <t>TA-25-915495</t>
  </si>
  <si>
    <t>PATIA</t>
  </si>
  <si>
    <t>BARRIO LA CENTRAL PATIA 6</t>
  </si>
  <si>
    <t>FO-25-1316417</t>
  </si>
  <si>
    <t>01-08-2025 SE REALIZA LLAMADA AL CLIENTE, SE HABLA CON EL SR JOSE FERNANDO CASTILLO RUANO.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</si>
  <si>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F8ZZZ026</t>
  </si>
  <si>
    <t>TA-25-915496</t>
  </si>
  <si>
    <t>ZIPAQUIRA</t>
  </si>
  <si>
    <t>BARRIO SAN PABLO ZIPAQUIRA 3</t>
  </si>
  <si>
    <t>FO-25-1316424</t>
  </si>
  <si>
    <t>EJECUTADO/CANCELADO</t>
  </si>
  <si>
    <t>01-08-2025 SE REALIZA LLAMADA AL CLIENTE, SE HABLA CON EL SR JHONNATAN SAMUEL GONZALEZ MARTINEZ SE VALIDA DIRECCIÓN OK, CANAL OK, DISPONIBILIDAD TOTAL, LLAMAR EL DÍA LA INSTALACIÓN PARA CONFIRMAR VISITA, AVISO EXTERIOR ALTURA APROX  3 METROS; TOMACORRIENTE CERCANO: SI; TIENE CABINA DE SEGURIDAD: SI// MODEM A 6 METROS 5/08/2025 SE REALIZA VISITA PARA EJECUTAR LA IMPLEMENTACIÓN DE CORRESPONSAL BANCARIO PERO AL LLEGAR NO ES POSIBLE REALIZAR YA QUE EL SR JHONATAN SE LE PRESENTÓ UNA CALAMIDAD POR EL CUAL NO LE ES POSIBLE ATENDER SE BRINDA INFORMACIÓN PARA REALIZA LA NUEVA SOLICITUD DE INSTALACIÓN</t>
  </si>
  <si>
    <t>GALEANO SORIANO JUAN DAVID</t>
  </si>
  <si>
    <t>F8ZZZ027</t>
  </si>
  <si>
    <t>TA-25-915497</t>
  </si>
  <si>
    <t>QUINDIO</t>
  </si>
  <si>
    <t>ARMENIA</t>
  </si>
  <si>
    <t>BARRIO SAN JOSE ARMENIA 1</t>
  </si>
  <si>
    <t>FO-25-1316427</t>
  </si>
  <si>
    <t>01-08-2025 SE REALIZA LLAMADA AL CLIENTE, SE HABLA CON EL SR  ROBINSON CHAYAN CARVAJAL TABARES, SE VALIDA DIRECCIÓN OK, CANAL OK, DISPONIBILIDAD TOTAL, LLAMAR EL DÍA LA INSTALACIÓN PARA CONFIRMAR VISITA, AVISO EXTERIOR ALTURA APROX  2 METROS; TOMACORRIENTE CERCANO: SI; TIENE CABINA DE SEGURIDAD: NO 4/08/2025 SE REALIZA INSTALACIÓN DE CORRESPONSAL, SE INSTALAN EQUIPOS CON PRUEBAS EXITOSAS, SE CAPACITA Y SE EVALÚA AL CLIENTE, SE INSTALA PUBLICIDAD COMPLETA, CB QUEDA OPERATIVO. USUARIO SOMOS BANCOLOMBIA ACTIVO</t>
  </si>
  <si>
    <t>SANCHEZ SOLORZANO JUAN SEBASTIAN</t>
  </si>
  <si>
    <t>F8ZZZ028</t>
  </si>
  <si>
    <t>TA-25-915498</t>
  </si>
  <si>
    <t>RESTREPO</t>
  </si>
  <si>
    <t>BARRIO CENTRO RESTREPO 7</t>
  </si>
  <si>
    <t>FO-25-1316432</t>
  </si>
  <si>
    <t>01-08-2025 SE REALIZA LLAMADA AL CLIENTE, SE HABLA CON LA SRA MARIA CELMIRA BERMUDEZ AMAYA,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MENOS AVISO YA QUE EL USUARIO LO TENIA INSTALADO, CB QUEDA OPERATIVO. USUARIO SOMOS BANCOLOMBIA ACTIVO</t>
  </si>
  <si>
    <t>F8ZZZ029</t>
  </si>
  <si>
    <t>TA-25-915499</t>
  </si>
  <si>
    <t>BARRIO EL TESORO BOGOTA 5</t>
  </si>
  <si>
    <t>FO-25-1316436</t>
  </si>
  <si>
    <t>01-08-2025 SE REALIZA LLAMADA AL CLIENTE, SE HABLA CON EL SR JUAN MAURICIO PABON MORA,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t>
  </si>
  <si>
    <t>BUSTOS MORA DIEGO MANUEL</t>
  </si>
  <si>
    <t>F8ZZZ030</t>
  </si>
  <si>
    <t>TA-25-915500</t>
  </si>
  <si>
    <t>BARRIO TRINIDAD BOGOTA 2</t>
  </si>
  <si>
    <t>FO-25-1316439</t>
  </si>
  <si>
    <t>01-08-2025 SE REALIZA LLAMADA AL CLIENTE, SE HABLA CON LA SRA MARIA ELBI CRUZ LOZANO,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</si>
  <si>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F8ZZZ031</t>
  </si>
  <si>
    <t>TA-25-915501</t>
  </si>
  <si>
    <t>RISARALDA</t>
  </si>
  <si>
    <t>BARRIO EL JARDIN ETAPA 3 PEREIRA</t>
  </si>
  <si>
    <t>FO-25-1316441</t>
  </si>
  <si>
    <t>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t>
  </si>
  <si>
    <t>F8ZZZ033</t>
  </si>
  <si>
    <t>TA-25-915502</t>
  </si>
  <si>
    <t>SANTIAGO DE TOLU</t>
  </si>
  <si>
    <t>BARRIO EL ARROYITO SANTIAGO DE TOLU</t>
  </si>
  <si>
    <t>FO-25-1316445</t>
  </si>
  <si>
    <t>01-08 SE REALIZA LLAMADA AL CLIENTE, SE HABLA CON LA SRA JESSICA JULIETH BETIN VERGARA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</si>
  <si>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F8ZZZ034</t>
  </si>
  <si>
    <t>TA-25-915504</t>
  </si>
  <si>
    <t>DUITAMA</t>
  </si>
  <si>
    <t>BARRIO VEREDA LA TRINIDAD DUITAMA 2</t>
  </si>
  <si>
    <t>FO-25-1316450</t>
  </si>
  <si>
    <t>01-08-2025 SE REALIZA LLAMADA AL CLIENTE, SE HABLA CON LA SRA MERCEDES FORERO SOLER, SE VALIDA DIRECCIÓN OK, CANAL OK, DISPONIBILIDAD TOTAL, LLAMAR EL DÍA LA INSTALACIÓN PARA CONFIRMAR VISITA, AVISO EXTERIOR ALTURA APROX  2 METROS; TOMACORRIENTE CERCANO: SI; TIENE CABINA DE SEGURIDAD: SI// MODEM A 10 METROS 4/08/2025 SE ESTABLECE COMUNICACIÓN CON LA SEÑORA MERCEDES FORERO SOLER AL NÚMERO DE CONTACTO 3132328620 SE LE INDICA QUE POR TEMAS DE STOCK DE PUBLICIDAD NO ES POSIBLE REALIZAR LA INSTALACIÓN EL DÍA DE HOY POR ORDEN DE LA ENTIDAD ADEMÁS SE PRESENTAN NOVEDADES EN LA ZONA TUNJA PAIPA POR CIERRES VIALES DEBIÓ AL PARO QUE SE ESTA PRESENTANDO EN LA ZONA SE LE INFORMA QUE NOS ESTAREMOS CONTACTANDO NUEVAMENTE PARA CONFIRMAR VISITA CUANDO NOS LLEGUE EL STOCK DE PUBLICIDAD CLIENTE CONFORME 05-08 EN COMUNICACIÓN CON EL CLIENTE SE LE EXPLICA QUE AUN CONTINUA LA NOVEDAD DEL CIERRE VIAL POR EL PARO MINERO EL CUAL TIENE BLOQUEADA LA VÍA PRINCIPAL TUNJA PAIPA SIN ACCESOS A LOS MUNICIPIOS ALEDAÑOS ADEMÁS CONTINUAMOS SIN STOCK DE PUBLICIDAD EL CUAL LA ENTIDAD NO AUTORIZA LA INSTALACIÓN SIN LOS MISMOS CLIENTE CONFORME 08/08/2025 SE REALIZA INSTALACIÓN DE CORRESPONSAL, SE INSTALAN EQUIPOS CON PRUEBAS EXITOSAS, SE CAPACITA Y SE EVALÚA AL CLIENTE, SE INSTALA PUBLICIDAD COMPLETA, CB QUEDA OPERATIVO. USUARIO SOMOS BANCOLOMBIA ACTIVO</t>
  </si>
  <si>
    <t>RODRIGUEZ MURCIA YERSON IVAN</t>
  </si>
  <si>
    <t>F8ZZZ035</t>
  </si>
  <si>
    <t>TA-25-915508</t>
  </si>
  <si>
    <t>BARRIO VILLA ESTRELLA CARTAGENA 3</t>
  </si>
  <si>
    <t>FO-25-1316456</t>
  </si>
  <si>
    <t>01-08 SE REALIZA LLAMADA AL CLIENTE, SE HABLA CON LA SRA ALEXANDRA ANGULO ANDRADE  SE VALIDA DIRECCIÓN OK, CANAL OK, DISPONIBILIDAD TOTAL, LLAMAR EL DÍA LA INSTALACIÓN PARA CONFIRMAR VISITA, AVISO EXTERIOR ALTURA APROX 2 METROS; TOMACORRIENTE CERCANO: SI; TIENE CABINA DE SEGURIDAD: NO 4/08/2025 SE ESCALA EL SIGUIENTE CASO, DONDE SE VA INSTALAR EN UN APARTAMENTO DEL SEGUNDO PISO, TORRE 2 DEL CONJUNTO RESIDENCIAL “CONDOMIO IPANEMA”, INDICAN QUE EL AVISO SE PUEDE INSTALAR EN EL PASILLO DEL EDIFICIO, A LA ENTRADA DEL APARTAMENTO. SE EVIDENCIA TAMBIÉN QUE EL COMERCIO ES UNA VIVIENDA CON UNA VITRINA PEQUEÑA CON ACCESORIOS DE CELULARES. / PROCEDEMOS A ESCALAR A ENTIDAD LA SITUACIÓN, YA QUE SE TIENE PREVISTA LA INSTALACIÓN EN UN APARTAMENTO QUE NO CUENTA CON AVISO PUBLICITARIO, LO CUAL PUEDE GENERAR DIFICULTADES EN LA IDENTIFICACIÓN DEL PUNTO. // ENTIDAD SOLICITA CANCELAR LA ACTIVIDAD</t>
  </si>
  <si>
    <t>F8ZZZ036</t>
  </si>
  <si>
    <t>TA-25-915513</t>
  </si>
  <si>
    <t>PITALITO</t>
  </si>
  <si>
    <t xml:space="preserve">BARRIO PARAISO  PITALITO </t>
  </si>
  <si>
    <t>FO-25-1316460</t>
  </si>
  <si>
    <t>01-08 SE REALIZA LLAMADA AL CLIENTE, SE HABLA CON LA SRA NOHORA VIVIANA MARIN ROSERO  SE VALIDA DIRECCIÓN OK, CANAL OK, DISPONIBILIDAD TOTAL, LLAMAR EL DÍA LA INSTALACIÓN PARA CONFIRMAR VISITA, AVISO EXTERIOR ALTURA APROX 5 METROS; TOMACORRIENTE CERCANO: SI; TIENE CABINA DE SEGURIDAD: NO - EL MODEM ESTA A 7 MT  5/08/2025 SE REALIZA INSTALACIÓN DE CORRESPONSAL, SE INSTALAN EQUIPOS CON PRUEBAS EXITOSAS, SE CAPACITA Y SE EVALÚA AL CLIENTE, SE INSTALA PUBLICIDAD COMPLETA, CB QUEDA OPERATIVO. USUARIO SOMOS BANCOLOMBIA ACTIVO</t>
  </si>
  <si>
    <t>F8ZZZ037</t>
  </si>
  <si>
    <t>APARTADO</t>
  </si>
  <si>
    <t>TA-25-915515</t>
  </si>
  <si>
    <t>NECOCLI</t>
  </si>
  <si>
    <t>BARRIO CL PRINCIPAL CORREGIMIENTO EL TOTUMO NECOCLI ANTI  NECOCLI</t>
  </si>
  <si>
    <t>FO-25-1316465</t>
  </si>
  <si>
    <t>01-08 SE REALIZA LLAMADA AL CLIENTE, SE HABLA CON LA SR YEISON ALBERTO ACEVEDO CELADA SE VALIDA DIRECCIÓN OK, CANAL OK, DISPONIBILIDAD TOTAL, LLAMAR EL DÍA LA INSTALACIÓN PARA CONFIRMAR VISITA, AVISO EXTERIOR ALTURA APROX 2 METROS; TOMACORRIENTE CERCANO: SI; TIENE CABINA DE SEGURIDAD: SI 05-08 SE REALIZA INSTALACIÓN DE CORRESPONSAL, SE INSTALAN EQUIPOS CON PRUEBAS EXITOSAS, SE CAPACITA Y SE EVALÚA AL CLIENTE, SE INSTALA PUBLICIDAD COMPLETA, CB QUEDA OPERATIVO. USUARIO SOMOS BANCOLOMBIA ACTIVO</t>
  </si>
  <si>
    <t>SALDARRIAGA MIRANDA SANTIAGO</t>
  </si>
  <si>
    <t>F8ZZZ038</t>
  </si>
  <si>
    <t>TA-25-915519</t>
  </si>
  <si>
    <t>TENA</t>
  </si>
  <si>
    <t>BARRIO GUASIMAL TENA TENA</t>
  </si>
  <si>
    <t>FO-25-1316472</t>
  </si>
  <si>
    <t>01-08 SE REALIZA LLAMADA AL CLIENTE, SE HABLA CON LA SRA YAMILE PALENCIA CORDERO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t>
  </si>
  <si>
    <t>F8ZZZ039</t>
  </si>
  <si>
    <t>TA-25-915520</t>
  </si>
  <si>
    <t>AGUADAS</t>
  </si>
  <si>
    <t>BARRIO OLIVARES SECTOR LA Y  AGUADAS</t>
  </si>
  <si>
    <t>FO-25-1316477</t>
  </si>
  <si>
    <t>01-08 SE REALIZA LLAMADA AL CLIENTE, SE HABLA CON LA SRA MARIA LINDELIA HENAO QUINTERO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t>
  </si>
  <si>
    <t>F8ZZZ040</t>
  </si>
  <si>
    <t>TA-25-915522</t>
  </si>
  <si>
    <t>BARRIO VINA DEL RIO MANIZALES</t>
  </si>
  <si>
    <t>FO-25-1316479</t>
  </si>
  <si>
    <t>01-08 SE REALIZA LLAMADA AL CLIENTE, SE HABLA CON LA SRA LIDIANA LEGUIZAMON LEGUIZAMO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</si>
  <si>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F8ZZZ041</t>
  </si>
  <si>
    <t>TA-25-915523</t>
  </si>
  <si>
    <t>SUTATAUSA</t>
  </si>
  <si>
    <t>BARRIO CENTRO SUTATAUSA CENTRO</t>
  </si>
  <si>
    <t>FO-25-1316485</t>
  </si>
  <si>
    <t>01-08 SE REALIZA LLAMADA AL CLIENTE, SE HABLA CON LA SR YEISON ORLANDO PINZON CASTAÑEDA  SE VALIDA DIRECCIÓN OK, CANAL OK, DISPONIBILIDAD TOTAL, LLAMAR EL DÍA LA INSTALACIÓN PARA CONFIRMAR VISITA, AVISO EXTERIOR ALTURA APROX 2.5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</si>
  <si>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F8ZZZ042</t>
  </si>
  <si>
    <t>TA-25-915525</t>
  </si>
  <si>
    <t>VILLA DEL ROSARIO</t>
  </si>
  <si>
    <t>BARRIO LA PARADA VILLA DEL ROSARIO 11</t>
  </si>
  <si>
    <t>FO-25-1316487</t>
  </si>
  <si>
    <t>01-08 SE REALIZA LLAMADA AL CLIENTE, SE HABLA CON LA SRA LEDYS ANDREA ESCALANTE BERBESI  SE VALIDA DIRECCIÓN OK, CANAL OK, DISPONIBILIDAD TOTAL, LLAMAR EL DÍA LA INSTALACIÓN PARA CONFIRMAR VISITA, AVISO EXTERIOR ALTURA: NO INDICA ALTURA; TOMACORRIENTE CERCANO: SI; TIENE CABINA DE SEGURIDAD: NO 4/08/2025 SE REALIZÓ VISITA AL COMERCIO Y CLIENTE NO ACEPTA LA ACTIVIDAD DE IMPLEMENTACIÓN DE CORRESPONSAL, QUE EN OTRO MOMENTO SE COMUNICARA CON EL BANCO PARA SOLICITARLO EN CASO QUE LO LLEGARA A NECESITAR.</t>
  </si>
  <si>
    <t>MORA VEGA JEAMPIER</t>
  </si>
  <si>
    <t>F8ZZZ043</t>
  </si>
  <si>
    <t>TA-25-915526</t>
  </si>
  <si>
    <t>LORICA</t>
  </si>
  <si>
    <t>BARRIO SAN MIGUEL LORICA</t>
  </si>
  <si>
    <t>FO-25-1316489</t>
  </si>
  <si>
    <t>01-08 SE REALIZA LLAMADA AL CLIENTE, SE HABLA CON LA SR JONATHAN CARRASCAL LLORENTE  SE VALIDA DIRECCIÓN OK, CANAL OK, DISPONIBILIDAD TOTAL, LLAMAR EL DÍA LA INSTALACIÓN PARA CONFIRMAR VISITA, AVISO EXTERIOR ALTURA APROX 3 METROS; TOMACORRIENTE CERCANO: SI; TIENE CABINA DE SEGURIDAD: NO - EL MODEM ESTA A 4 MT  5/08/2025 SE REALIZA INSTALACIÓN DE CORRESPONSAL, SE INSTALAN EQUIPOS CON PRUEBAS EXITOSAS, SE CAPACITA Y SE EVALÚA AL CLIENTE, SE INSTALA PUBLICIDAD COMPLETA, CB QUEDA OPERATIVO. USUARIO SOMOS BANCOLOMBIA ACTIVO</t>
  </si>
  <si>
    <t>F8ZZZ044</t>
  </si>
  <si>
    <t>TA-25-915528</t>
  </si>
  <si>
    <t>YOLOMBO</t>
  </si>
  <si>
    <t>BARRIO EL CENTRO YOLOMBO</t>
  </si>
  <si>
    <t>FO-25-1316493</t>
  </si>
  <si>
    <t>01-08 SE REALIZA LLAMADA AL CLIENTE, SE HABLA CON LA SR JUAN SEBASTIAN RUIZ VARGAS  SE VALIDA DIRECCIÓN OK, CANAL OK, DISPONIBILIDAD TOTAL, LLAMAR EL DÍA LA INSTALACIÓN PARA CONFIRMAR VISITA. CAMBIO DE RAZONO SOCIAL 22150  (USUARIO INDICA QUE LE HACE FALTA EL FLANGGER Y DISPLAY DE HORARIO, EL AVISO ESTA EN PERFECTO ESTADO. ADICIONAL NO NECESITA CAPACITACIÓN) 6/08/2025 SE REALIZA INSTALACIÓN DE CORRESPONSAL, SE INSTALAN EQUIPOS CON PRUEBAS EXITOSAS, NO  SE CAPACITA, SE INSTALA PUBLICIDAD COMPLETA, CB QUEDA OPERATIVO. USUARIO SOMOS BANCOLOMBIA ACTIVO</t>
  </si>
  <si>
    <t>F8ZZZ045 F8ZZZ046</t>
  </si>
  <si>
    <t>TA-25-915529</t>
  </si>
  <si>
    <t>BARRIO VEREDA LA ZABALETA SAN ANDRES DE TUMACO</t>
  </si>
  <si>
    <t>FO-25-1316499</t>
  </si>
  <si>
    <t>01-08 SE REALIZA LLAMADA AL CLIENTE, SE HABLA CON LA SRA NUBIA MAYELY GALEANO SANCHEZ SE VALIDA DIRECCIÓN OK, CANAL OK, DISPONIBILIDAD TOTAL, LLAMAR EL DÍA LA INSTALACIÓN PARA CONFIRMAR VISITA, AVISO EXTERIOR ALTURA APROX 3 METROS; TOMACORRIENTE CERCANO: SI; TIENE CABINA DE SEGURIDAD: SI 6/08/2025 SE REALIZA INSTALACIÓN DE CORRESPONSAL, SE INSTALAN EQUIPOS CON PRUEBAS EXITOSAS, SE CAPACITA Y SE EVALÚA AL CLIENTE, SE INSTALA PUBLICIDAD COMPLETA, CB QUEDA OPERATIVO. USUARIO SOMOS BANCOLOMBIA ACTIVO</t>
  </si>
  <si>
    <t>F8ZZZ047</t>
  </si>
  <si>
    <t>TA-25-915535</t>
  </si>
  <si>
    <t>BARRIO SAN BLAS BOGOTA 6</t>
  </si>
  <si>
    <t>FO-25-1316505</t>
  </si>
  <si>
    <t>01-08 SE REALIZA LLAMADA AL CLIENTE, SE HABLA CON LA SR ALDEMAR SAENZ OSPINA SE VALIDA DIRECCIÓN OK, CANAL OK, DISPONIBILIDAD TOTAL, LLAMAR EL DÍA LA INSTALACIÓN PARA CONFIRMAR VISITA, AVISO EXTERIOR ALTURA APROX 2 METROS; TOMACORRIENTE CERCANO: SI; TIENE CABINA DE SEGURIDAD: SI 04-08 SE REALIZA INSTALACIÓN DE CORRESPONSAL, SE INSTALAN EQUIPOS CON PRUEBAS EXITOSAS, SE CAPACITA Y SE EVALÚA AL CLIENTE, SE INSTALA PUBLICIDAD COMPLETA, CB QUEDA OPERATIVO. USUARIO SOMOS BANCOLOMBIA ACTIVO</t>
  </si>
  <si>
    <t>ROMERO ROJAS BREIDY JHOHAN</t>
  </si>
  <si>
    <t>F8ZZZ048</t>
  </si>
  <si>
    <t>TA-25-915536</t>
  </si>
  <si>
    <t>ITUANGO</t>
  </si>
  <si>
    <t>BARRIO CARRERA RUIZ ITUANGO</t>
  </si>
  <si>
    <t>FO-25-1316508</t>
  </si>
  <si>
    <t>01-08 SE REALIZA LLAMADA AL CLIENTE, SE HABLA CON LA SRA SOR MARIA POSADA GIRALDO SE VALIDA DIRECCIÓN OK, CANAL OK, DISPONIBILIDAD TOTAL, LLAMAR EL DÍA LA INSTALACIÓN PARA CONFIRMAR VISITA, AVISO EXTERIOR ALTURA: NO INDICA ALTURA; TOMACORRIENTE CERCANO: SI; TIENE CABINA DE SEGURIDAD: SI 5/08/2025 SE LLEGA A APERTURA EN HORAS DE LA TARDE POR ACTIVIDADES EN RUTA Y EL MÁS ESTADO DE LA VÍA REPRESA-ITUANGO. COMERCIO TRABAJO HASTA LAS 5:30 SE INICIALIZAR Y SE CAPACITA SOMOS BANCOLOMBIA. SE DEJA PARA SEGUIR IMPLEMENTACIÓN EL DÍA DE MAÑANA A PRIMERA HORA 6/08/2025 SE REALIZA INSTALACIÓN DE CORRESPONSAL, SE INSTALAN EQUIPOS CON PRUEBAS EXITOSAS, SE CAPACITA Y SE EVALÚA AL CLIENTE, SE INSTALA PUBLICIDAD COMPLETA, CB QUEDA OPERATIVO. USUARIO SOMOS BANCOLOMBIA ACTIVO</t>
  </si>
  <si>
    <t>DIAZ ZABALA FRANCIS DUBAN</t>
  </si>
  <si>
    <t>F8ZZZ049</t>
  </si>
  <si>
    <t>TA-25-915537</t>
  </si>
  <si>
    <t>SAN MARCOS</t>
  </si>
  <si>
    <t>BARRIO SUCRE SAN MARCOS 1</t>
  </si>
  <si>
    <t>FO-25-1316511</t>
  </si>
  <si>
    <t>01-08 SE REALIZA LLAMADA AL CLIENTE, SE HABLA CON LA SR WALTER YAMID GONZALEZ TIRADO  SE VALIDA DIRECCIÓN OK, CANAL OK, DISPONIBILIDAD TOTAL, LLAMAR EL DÍA LA INSTALACIÓN PARA CONFIRMAR VISITA, AVISO EXTERIOR ALTURA APROX 2 METROS; TOMACORRIENTE CERCANO: SI; TIENE CABINA DE SEGURIDAD: NO - COMUNICACIÓN POR WPP  4/08/2025 SE REALIZA INSTALACIÓN DE CORRESPONSAL, SE INSTALAN EQUIPOS CON PRUEBAS EXITOSAS, SE CAPACITA Y SE EVALÚA AL CLIENTE, SE INSTALA PUBLICIDAD COMPLETA, CB QUEDA OPERATIVO. USUARIO SOMOS BANCOLOMBIA ACTIVO</t>
  </si>
  <si>
    <t>CASSIANI PEREZ RAUL RAMIRO</t>
  </si>
  <si>
    <t>F8ZZZ050</t>
  </si>
  <si>
    <t>TA-25-915539</t>
  </si>
  <si>
    <t>BARRIO CARACOLI NEIVA</t>
  </si>
  <si>
    <t>FO-25-1316514</t>
  </si>
  <si>
    <t>01-08 SE REALIZA LLAMADA AL CLIENTE, SE HABLA CON LA SRA GLORIA FORERO FOREROSE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t>
  </si>
  <si>
    <t>F8ZZZ051</t>
  </si>
  <si>
    <t>IBAGUE</t>
  </si>
  <si>
    <t>TA-25-915540</t>
  </si>
  <si>
    <t>TOLIMA</t>
  </si>
  <si>
    <t>BARRIO SAN SIMON PARTE BAJA IBAGUE 4</t>
  </si>
  <si>
    <t>FO-25-1316516</t>
  </si>
  <si>
    <t>01-08 SE REALIZA LLAMADA AL CLIENTE, SE HABLA CON LA SRA ERIKA JOHANNA OLIVARES CALDERÓN 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t>
  </si>
  <si>
    <t>BARRAGAN TAFUR EDWIN ESTEBAN</t>
  </si>
  <si>
    <t>F8ZZZ052</t>
  </si>
  <si>
    <t>TA-25-920650</t>
  </si>
  <si>
    <t>OPRAP CENTRO COMERCIAL LA ESTACIÓN</t>
  </si>
  <si>
    <t>FO-25-1327564</t>
  </si>
  <si>
    <t>ROBUSTO</t>
  </si>
  <si>
    <t>OPRAP</t>
  </si>
  <si>
    <t>04-08 SE REALIZA LLAMADA AL CLIENTE, SE HABLA CON LA SR WILLIAM CABRERA SE VALIDA DIRECCIÓN OK, CANAL OK, DISPONIBILIDAD TOTAL, LLAMAR EL DÍA LA INSTALACIÓN PARA CONFIRMAR VISITA 05-08 SE REALIZA INSTALACIÓN DE CORRESPONSAL, SE INSTALAN EQUIPOS CON PRUEBAS EXITOSAS, NO SE CAPACITA, NO SE INSTALA DISPLAY DE HORARIO, CB QUEDA OPERATIVO</t>
  </si>
  <si>
    <t>MONTERO MUESES GIAN CARLO</t>
  </si>
  <si>
    <t>F9ZZZ221 F9ZZZ222 F9ZZZ223 F9ZZZ224</t>
  </si>
  <si>
    <t>TA-25-930967</t>
  </si>
  <si>
    <t>PTM MEDELLIN AMALINA MULTISERV</t>
  </si>
  <si>
    <t>FO-25-1338727</t>
  </si>
  <si>
    <t>COMCARD - PTM</t>
  </si>
  <si>
    <t>06-08 PROGRAMACIÓN REALIZADA POR LA ALIANZA 11/08/2025 SE REALIZA INSTALACIÓN DE CORRESPONSAL, SE INSTALAN EQUIPOS CON PRUEBAS EXITOSAS, SE CAPACITA Y SE EVALÚA AL CLIENTE, SE INSTALA PUBLICIDAD COMPLETA, CB QUEDA OPERATIVO. USUARIO SOMOS BANCOLOMBIA ACTIVO</t>
  </si>
  <si>
    <t>FGZZZ992</t>
  </si>
  <si>
    <t>TA-25-930968</t>
  </si>
  <si>
    <t>PTM MEDELLIN VARIEDADES LA CHI</t>
  </si>
  <si>
    <t>FO-25-1338736</t>
  </si>
  <si>
    <t>FGZZZ993</t>
  </si>
  <si>
    <t>TA-25-930969</t>
  </si>
  <si>
    <t>PTM MEDELLIN DEPOSITO ELFERRET</t>
  </si>
  <si>
    <t>FO-25-1338743</t>
  </si>
  <si>
    <t>FGZZZ994</t>
  </si>
  <si>
    <t>TA-25-930972</t>
  </si>
  <si>
    <t>PTM MEDELLIN DROGUERIA FARMA 2</t>
  </si>
  <si>
    <t>FO-25-1338750</t>
  </si>
  <si>
    <t>FGZZZ995</t>
  </si>
  <si>
    <t>TA-25-930974</t>
  </si>
  <si>
    <t>PTM BELLO CRIPTOFUA</t>
  </si>
  <si>
    <t>FO-25-1338756</t>
  </si>
  <si>
    <t>06-08 PROGRAMACIÓN REALIZADA POR LA ALIANZA 8/08/2025 SE REALIZA INSTALACIÓN DE CORRESPONSAL, SE INSTALAN EQUIPOS CON PRUEBAS EXITOSAS, SE CAPACITA Y SE EVALÚA AL CLIENTE, SE INSTALA PUBLICIDAD COMPLETA, CB QUEDA OPERATIVO. USUARIO SOMOS BANCOLOMBIA ACTIVO</t>
  </si>
  <si>
    <t>FGZZZ996</t>
  </si>
  <si>
    <t>TA-25-930975</t>
  </si>
  <si>
    <t>PTM BELLO UNIVERSO CONSTRUCTOR</t>
  </si>
  <si>
    <t>FO-25-1338762</t>
  </si>
  <si>
    <t>FGZZZ997</t>
  </si>
  <si>
    <t>TA-25-930976</t>
  </si>
  <si>
    <t>BURITICA</t>
  </si>
  <si>
    <t>PTM BURITICA VARIEDADES EL CAR</t>
  </si>
  <si>
    <t>FO-25-1338770</t>
  </si>
  <si>
    <t>FGZZZ998</t>
  </si>
  <si>
    <t>TA-25-930977</t>
  </si>
  <si>
    <t>CACERES</t>
  </si>
  <si>
    <t>PTM CACERES DROGUERIA GALENO Y</t>
  </si>
  <si>
    <t>FO-25-1338778</t>
  </si>
  <si>
    <t>06-08 PROGRAMACIÓN REALIZADA POR LA ALIANZA 11-08 ESTÁ ACTIVIDAD NO SE REALIZA EL DÍA DE HOY POR RETRASO EN LA VIA POR PARE Y SIGA POR DESLIZAMIENTO EN LA VIA 12/08/2025 SE REALIZA INSTALACIÓN DE CORRESPONSAL, SE INSTALAN EQUIPOS CON PRUEBAS EXITOSAS, SE CAPACITA Y SE EVALÚA AL CLIENTE, SE INSTALA PUBLICIDAD COMPLETA, CB QUEDA OPERATIVO. USUARIO SOMOS BANCOLOMBIA ACTIVO</t>
  </si>
  <si>
    <t>FGZZZ999</t>
  </si>
  <si>
    <t>TA-25-930978</t>
  </si>
  <si>
    <t>CAUCASIA</t>
  </si>
  <si>
    <t>PTM CAUCASIA VARIEDADES LERS</t>
  </si>
  <si>
    <t>FO-25-1338785</t>
  </si>
  <si>
    <t>FHZZZ000</t>
  </si>
  <si>
    <t>TA-25-930980</t>
  </si>
  <si>
    <t>MARINILLA</t>
  </si>
  <si>
    <t>PTM MARINILLA PAPELERIA Y VARI</t>
  </si>
  <si>
    <t>FO-25-1338794</t>
  </si>
  <si>
    <t>FHZZZ001</t>
  </si>
  <si>
    <t>TA-25-930981</t>
  </si>
  <si>
    <t>SALGAR</t>
  </si>
  <si>
    <t>PTM SALGAR NATULIGHT TIENDA NA</t>
  </si>
  <si>
    <t>FO-25-1338801</t>
  </si>
  <si>
    <t>06-08 PROGRAMACIÓN REALIZADA POR LA ALIANZA 11/08/2025 REPORTAMOS NOVEDAD DE INSTALACIÓN.VISITAMOS COMERCIO ENCONTRANDO CERCANÍA CON 2 PUNTOS: PUNTO EXISTENTE 1: 3007029991 BARRIO PARQUE 2 SALGAR. COORDENADAS 5.963714 -75.979253 PUNTO EXISTENTE 2: 3007037617 DISTRICOL CELULARES JU. COORDENADAS 5.963669 -75.979412 COORDENADAS PUNTO A INSTALAR HOY: 5.963799 -75.979332 / ENTIDAD SOLICITA CANCELAR ACTIVIDAD</t>
  </si>
  <si>
    <t>CASTAÑEDA PALACIO CARLOS FELIPE</t>
  </si>
  <si>
    <t>FHZZZ002</t>
  </si>
  <si>
    <t>TA-25-930983</t>
  </si>
  <si>
    <t>TURBO</t>
  </si>
  <si>
    <t>PTM TURBO MICELANIA Y PAPELERI</t>
  </si>
  <si>
    <t>FO-25-1338808</t>
  </si>
  <si>
    <t>06-08 PROGRAMACIÓN REALIZADA POR LA ALIANZA 08-08 SE ESTABLECE COMUNICACIÓN CON LA USUARIO INDICA QUE NO ESTA DISPONIBLE QUE SE REPROGRAMA ACTIVIDAD  12/08/2025 SE REALIZA INSTALACIÓN DE CORRESPONSAL, SE INSTALAN EQUIPOS CON PRUEBAS EXITOSAS, SE CAPACITA Y SE EVALÚA AL CLIENTE, SE INSTALA PUBLICIDAD COMPLETA, CB QUEDA OPERATIVO. USUARIO SOMOS BANCOLOMBIA ACTIVO</t>
  </si>
  <si>
    <t>FHZZZ003</t>
  </si>
  <si>
    <t>TA-25-930985</t>
  </si>
  <si>
    <t>PTM TURBO SERVIDOGAS FLOREZ</t>
  </si>
  <si>
    <t>FO-25-1338816</t>
  </si>
  <si>
    <t>FHZZZ004</t>
  </si>
  <si>
    <t>TA-25-930986</t>
  </si>
  <si>
    <t>PTM BARRANQUILLA VARIEDADES Y</t>
  </si>
  <si>
    <t>FO-25-1338823</t>
  </si>
  <si>
    <t>06-08 PROGRAMACIÓN REALIZADA POR LA ALIANZA 08-08 POR PROBLEMAS DE ORDEN PÚBLICO EN EL SECTOR, SE REAGENDA VISITA PARA EL DÍA LUNES 11 DE AGOSTO 11/08/2025 SE REALIZA INSTALACIÓN DE CORRESPONSAL, SE INSTALAN EQUIPOS CON PRUEBAS EXITOSAS, SE CAPACITA Y SE EVALÚA AL CLIENTE, SE INSTALA PUBLICIDAD COMPLETA, CB QUEDA OPERATIVO. USUARIO SOMOS BANCOLOMBIA ACTIVO</t>
  </si>
  <si>
    <t>DE AVILA SIADES ALBERTO ENRIQUE</t>
  </si>
  <si>
    <t>FHZZZ005</t>
  </si>
  <si>
    <t>TA-25-930991</t>
  </si>
  <si>
    <t>PTM CARTAGENA DROGUERIA Y FARM</t>
  </si>
  <si>
    <t>FO-25-1338829</t>
  </si>
  <si>
    <t>FHZZZ006</t>
  </si>
  <si>
    <t>TA-25-931004</t>
  </si>
  <si>
    <t>CIRCASIA</t>
  </si>
  <si>
    <t>PTM CIRCASIA CREDIPLAN VENTA D</t>
  </si>
  <si>
    <t>FO-25-1338842</t>
  </si>
  <si>
    <t>FHZZZ007</t>
  </si>
  <si>
    <t>TA-25-931026</t>
  </si>
  <si>
    <t>PTM PEREIRA YOUR NEW LOOK</t>
  </si>
  <si>
    <t>FO-25-1338850</t>
  </si>
  <si>
    <t>06-08 PROGRAMACIÓN REALIZADA POR LA ALIANZA 11-08 SE REALIZA INSTALACIÓN DE CORRESPONSAL, SE INSTALAN EQUIPOS CON PRUEBAS EXITOSAS, SE CAPACITA Y SE EVALÚA AL CLIENTE, SE INSTALA PUBLICIDAD COMPLETA, CB QUEDA OPERATIVO. USUARIO SOMOS BANCOLOMBIA ACTIVO</t>
  </si>
  <si>
    <t>FHZZZ008</t>
  </si>
  <si>
    <t>TA-25-931034</t>
  </si>
  <si>
    <t>DOSQUEBRADAS</t>
  </si>
  <si>
    <t>PTM DOSQUEBRADAS APOTEOSICA PE</t>
  </si>
  <si>
    <t>FO-25-1338859</t>
  </si>
  <si>
    <t>FHZZZ009</t>
  </si>
  <si>
    <t>TA-25-931044</t>
  </si>
  <si>
    <t>SANTANDER</t>
  </si>
  <si>
    <t>PTM BUCARAMANGA TIENDA NINO MA</t>
  </si>
  <si>
    <t>FO-25-1338872</t>
  </si>
  <si>
    <t>FHZZZ010</t>
  </si>
  <si>
    <t>TA-25-931065</t>
  </si>
  <si>
    <t>PTM BUCARAMANGA TERRAZEO FRESH</t>
  </si>
  <si>
    <t>FO-25-1338883</t>
  </si>
  <si>
    <t>FHZZZ011</t>
  </si>
  <si>
    <t>TA-25-931066</t>
  </si>
  <si>
    <t>BARRANCABERMEJA</t>
  </si>
  <si>
    <t>PTM BARRANCABERMEJA PAPELERIA</t>
  </si>
  <si>
    <t>FO-25-1338890</t>
  </si>
  <si>
    <t>FHZZZ012</t>
  </si>
  <si>
    <t>TA-25-931067</t>
  </si>
  <si>
    <t>GIRON</t>
  </si>
  <si>
    <t>PTM GIRON VARIEDADES ANDINAS</t>
  </si>
  <si>
    <t>FO-25-1338899</t>
  </si>
  <si>
    <t>SANTOS GONZALEZ JOHAN FABIAN</t>
  </si>
  <si>
    <t>FHZZZ013</t>
  </si>
  <si>
    <t>TA-25-931068</t>
  </si>
  <si>
    <t>PTM GIRON KYOMU DISTRIBUCIONES</t>
  </si>
  <si>
    <t>FO-25-1338907</t>
  </si>
  <si>
    <t>FHZZZ014</t>
  </si>
  <si>
    <t>TA-25-931069</t>
  </si>
  <si>
    <t>PIEDECUESTA</t>
  </si>
  <si>
    <t>PTM PIEDECUESTA PLANET SCHOOLL</t>
  </si>
  <si>
    <t>FO-25-1338916</t>
  </si>
  <si>
    <t>PEÑA DIAZ IVAN YESID</t>
  </si>
  <si>
    <t>FHZZZ015</t>
  </si>
  <si>
    <t>TA-25-931070</t>
  </si>
  <si>
    <t>PTM IBAGUE TIENDA DONDE PITA</t>
  </si>
  <si>
    <t>FO-25-1338925</t>
  </si>
  <si>
    <t>FHZZZ016</t>
  </si>
  <si>
    <t>TA-25-931072</t>
  </si>
  <si>
    <t>PTM CALI CELURAIGOZA S.A.S.</t>
  </si>
  <si>
    <t>FO-25-1338933</t>
  </si>
  <si>
    <t>FHZZZ017</t>
  </si>
  <si>
    <t>TA-25-931084</t>
  </si>
  <si>
    <t>PTM CALI POLLOS COLORADO</t>
  </si>
  <si>
    <t>FO-25-1338945</t>
  </si>
  <si>
    <t>FHZZZ018</t>
  </si>
  <si>
    <t>TA-25-931102</t>
  </si>
  <si>
    <t>PTM CALI MULTISERVICIOS DAOR</t>
  </si>
  <si>
    <t>FO-25-1338956</t>
  </si>
  <si>
    <t>FHZZZ019</t>
  </si>
  <si>
    <t>TA-25-931115</t>
  </si>
  <si>
    <t>PTM CALI MINIMARKET FULL HOGAR</t>
  </si>
  <si>
    <t>FO-25-1338965</t>
  </si>
  <si>
    <t>FHZZZ020</t>
  </si>
  <si>
    <t>TA-25-931124</t>
  </si>
  <si>
    <t>PTM YOPAL FULL MOBILE STORE</t>
  </si>
  <si>
    <t>FO-25-1338974</t>
  </si>
  <si>
    <t>FHZZZ021</t>
  </si>
  <si>
    <t>TA-25-931137</t>
  </si>
  <si>
    <t>PTM BOGOTA NISSI PERSONALIZADO</t>
  </si>
  <si>
    <t>FO-25-1338987</t>
  </si>
  <si>
    <t>ORTIZ MARTINEZ STIVEN</t>
  </si>
  <si>
    <t>FHZZZ022</t>
  </si>
  <si>
    <t>TA-25-931152</t>
  </si>
  <si>
    <t>PTM BOGOTA ZAHARA JEWELRY</t>
  </si>
  <si>
    <t>FO-25-1338995</t>
  </si>
  <si>
    <t>HERNANDEZ NARANJO OSCAR EDUARDO</t>
  </si>
  <si>
    <t>FHZZZ023</t>
  </si>
  <si>
    <t>TA-25-931212</t>
  </si>
  <si>
    <t>PTM BOGOTA ANGEL Y DUCK</t>
  </si>
  <si>
    <t>FO-25-1339282</t>
  </si>
  <si>
    <t>FHZZZ024</t>
  </si>
  <si>
    <t>TA-25-931153</t>
  </si>
  <si>
    <t>PTM BOGOTA MISCELANEA Y PAPELE</t>
  </si>
  <si>
    <t>FO-25-1339004</t>
  </si>
  <si>
    <t>FHZZZ025</t>
  </si>
  <si>
    <t>TA-25-931154</t>
  </si>
  <si>
    <t>PTM BOGOTA CIGARRERIA Y MINIMA</t>
  </si>
  <si>
    <t>FO-25-1339013</t>
  </si>
  <si>
    <t>FHZZZ026</t>
  </si>
  <si>
    <t>TA-25-931155</t>
  </si>
  <si>
    <t>PTM BOGOTA CASA DE EVENTOS MAR</t>
  </si>
  <si>
    <t>FO-25-1339020</t>
  </si>
  <si>
    <t>FHZZZ027</t>
  </si>
  <si>
    <t>TA-25-929379</t>
  </si>
  <si>
    <t>OROCUE</t>
  </si>
  <si>
    <t>BARRIO SAN GREGORIO OROCUE 2</t>
  </si>
  <si>
    <t>FO-25-1337532</t>
  </si>
  <si>
    <t>06-08-2025 SE REALIZA LLAMADA AL CLIENTE, SE HABLA CON LA SRA JESSICA ALEXANDRA LONDOÑO LOPEZ SE VALIDA DIRECCIÓN OK, CANAL OK, DISPONIBILIDAD TOTAL, LLAMAR EL DÍA LA INSTALACIÓN PARA CONFIRMAR VISITA, AVISO EXTERIOR ALTURA APROX 2,20 METROS; TOMACORRIENTE CERCANO: SI; TIENE CABINA DE SEGURIDAD: SI // CONTACTO REALIZADO POR LA APP 19-08 SE REALIZA INSTALACIÓN DE CORRESPONSAL, SE INSTALAN EQUIPOS CON PRUEBAS EXITOSAS, SE CAPACITA Y SE EVALÚA AL CLIENTE, SE INSTALA PUBLICIDAD COMPLETA, CB QUEDA OPERATIVO. USUARIO SOMOS BANCOLOMBIA ACTIVO</t>
  </si>
  <si>
    <t>FGZZZ881</t>
  </si>
  <si>
    <t>TA-25-929386</t>
  </si>
  <si>
    <t>PONEDERA</t>
  </si>
  <si>
    <t>BARRIO CENTRO PONEDERA  4</t>
  </si>
  <si>
    <t>FO-25-1337541</t>
  </si>
  <si>
    <t>06-08-2025 SE REALIZA LLAMADA AL CLIENTE, SE HABLA CON EL SR ALEJÓ ALFONSO PERTUZ PINEDAZ SE VALIDA DIRECCIÓN OK, CANAL OK, DISPONIBILIDAD TOTAL, LLAMAR EL DÍA LA INSTALACIÓN PARA CONFIRMAR VISITA, AVISO EXTERIOR ALTURA APROX 2,50 METROS; TOMACORRIENTE CERCANO: SI; TIENE CABINA DE SEGURIDAD: NO// CONTACTO REALIZADO POR LA APP 08-08 SE REALIZA INSTALACIÓN DE CORRESPONSAL, SE INSTALAN EQUIPOS CON PRUEBAS EXITOSAS, SE CAPACITA Y SE EVALÚA AL CLIENTE, SE INSTALA PUBLICIDAD COMPLETA, CB QUEDA OPERATIVO. USUARIO SOMOS BANCOLOMBIA ACTIVO</t>
  </si>
  <si>
    <t>PEÑALOZA GUTIERREZ RAFAEL GUSTAVO</t>
  </si>
  <si>
    <t>FGZZZ882</t>
  </si>
  <si>
    <t>TA-25-929387</t>
  </si>
  <si>
    <t>BARRIO GRANCOLOMBIA VILLA DEL ROSARIO 3</t>
  </si>
  <si>
    <t>FO-25-1337545</t>
  </si>
  <si>
    <t>06-08-2025 SE REALIZA LLAMADA AL CLIENTE, SE HABLA CON EL SR ERNESTO VELASQUEZ CANDELO SE VALIDA DIRECCIÓN OK, CANAL OK, DISPONIBILIDAD TOTAL, LLAMAR EL DÍA LA INSTALACIÓN PARA CONFIRMAR VISITA, AVISO EXTERIOR ALTURA APROX HAY ESPACIO SUFICIENTE; TOMACORRIENTE CERCANO: SI; TIENE CABINA DE SEGURIDAD: NO// CONTACTO REALIZADO POR LA APP // CLIENTE INDICA QUE SI NO SE LOGRA CONTACTO POR LLAMADA HABITUAL POR FAVOR ESCRIBIRLE AL WHATSAPP 11-08 SE REALIZA INSTALACIÓN DE CORRESPONSAL, SE INSTALAN EQUIPOS CON PRUEBAS EXITOSAS, SE CAPACITA Y SE EVALÚA AL CLIENTE, SE INSTALA PUBLICIDAD COMPLETA, CB QUEDA OPERATIVO. USUARIO SOMOS BANCOLOMBIA ACTIVO</t>
  </si>
  <si>
    <t>FGZZZ883</t>
  </si>
  <si>
    <t>TA-25-929389</t>
  </si>
  <si>
    <t>EL DONCELLO</t>
  </si>
  <si>
    <t>BRR EL RECREO EL DONCELLO</t>
  </si>
  <si>
    <t>FO-25-1337553</t>
  </si>
  <si>
    <t>06-08-2025 SE REALIZA LLAMADA AL CLIENTE, SE HABLA CON LA SRA DIANA LORENA JARAMILLO BERMEO SE VALIDA DIRECCIÓN OK, CANAL OK, DISPONIBILIDAD TOTAL, LLAMAR EL DÍA LA INSTALACIÓN PARA CONFIRMAR VISITA, AVISO EXTERIOR ALTURA APROX 1,80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</si>
  <si>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FGZZZ884</t>
  </si>
  <si>
    <t>TA-25-929390</t>
  </si>
  <si>
    <t>GARAGOA</t>
  </si>
  <si>
    <t>BARRIO CIUDAD JARDIN GARAGOA 2</t>
  </si>
  <si>
    <t>FO-25-1337562</t>
  </si>
  <si>
    <t>06-08-2025 SE REALIZA LLAMADA AL CLIENTE, SE HABLA CON EL SR JUAN CARLOS BARRETO GAMEZ SE VALIDA DIRECCIÓN OK, CANAL OK, DISPONIBILIDAD TOTAL, LLAMAR EL DÍA LA INSTALACIÓN PARA CONFIRMAR VISITA, AVISO EXTERIOR ALTURA APROX HAY ESPACIO SUFICIENTE; TOMACORRIENTE CERCANO: SI; TIENE CABINA DE SEGURIDAD: SI// CONTACTO REALIZADO POR LA APP 11-08 SE ESTABLECE COMUNICACION CON EL SEÑOR JUAN CARLOS BARRETO GAMEZ AL NUMERO TELEFONICO 3132858576 CON QUIEN SE CONFIRMA VISITA PARA EL DIA DE MAÑANA A LAS 2PM YA QUE POR TEMAS DE TRANSPORTE Y DESLIZAMIENTO EN LA VIA NO ES POSIBLE VISITAR EL DIA DE HOY, CLIENTE CONFORME. 12-08 SE REALIZA INSTALACIÓN DE CORRESPONSAL, SE INSTALAN EQUIPOS CON PRUEBAS EXITOSAS, SE CAPACITA Y SE EVALÚA AL CLIENTE, SE INSTALA PUBLICIDAD COMPLETA, CB QUEDA OPERATIVO. USUARIO SOMOS BANCOLOMBIA ACTIVO</t>
  </si>
  <si>
    <t>FGZZZ885</t>
  </si>
  <si>
    <t>TA-25-929391</t>
  </si>
  <si>
    <t>ACACIAS</t>
  </si>
  <si>
    <t>BARRIO INDEPENDENCIA ACACIAS 1</t>
  </si>
  <si>
    <t>FO-25-1367708</t>
  </si>
  <si>
    <t>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t>
  </si>
  <si>
    <t>CASTRILLON URREA LONDIER LEANDRO</t>
  </si>
  <si>
    <t>FGZZZ886</t>
  </si>
  <si>
    <t>TA-25-929392</t>
  </si>
  <si>
    <t>OTANCHE</t>
  </si>
  <si>
    <t>BARRIO CENTRO OTANCHE 4</t>
  </si>
  <si>
    <t>FO-25-1337573</t>
  </si>
  <si>
    <t>06-08-2025 SE REALIZA LLAMADA AL CLIENTE, SE HABLA CON LA SRA LEDNY YURANY VALERO ROGELESZ SE VALIDA DIRECCIÓN OK, CANAL OK, DISPONIBILIDAD TOTAL, LLAMAR EL DÍA LA INSTALACIÓN PARA CONFIRMAR VISITA, AVISO EXTERIOR ALTURA APROX MAX 3 METROS; TOMACORRIENTE CERCANO: SI; TIENE CABINA DE SEGURIDAD: SI // CONTACTO REALIZADO POR WHATSAPP 11-08 POR TEMAS RELACIONADO AL PARO DE MINEROS PRESENTADO EN EL DEPARTAMENTO LA ORDEN SE REPROGRAMA HASTA  NUEVA ORDEN 13/08/2025 SE REALIZA INSTALACIÓN DE CORRESPONSAL, SE INSTALAN EQUIPOS CON PRUEBAS EXITOSAS, NO SE CAPACITA YA QUE EL USUARIO SABE EL MANEJO DEL EQUIPO, SE INSTALA PUBLICIDAD COMPLETA, CB QUEDA OPERATIVO. USUARIO SOMOS BANCOLOMBIA ACTIVO</t>
  </si>
  <si>
    <t>FGZZZ887</t>
  </si>
  <si>
    <t>TA-25-929393</t>
  </si>
  <si>
    <t>SOCORRO</t>
  </si>
  <si>
    <t>BARRIO SOCORRO SOCORRO 2</t>
  </si>
  <si>
    <t>FO-25-1337580</t>
  </si>
  <si>
    <t>06-08-2025 SE REALIZA LLAMADA AL CLIENTE, SE HABLA CON LA SRA ANA ALEJANDRA VILLABONA RUEDA SE VALIDA DIRECCIÓN OK, CANAL OK, DISPONIBILIDAD TOTAL, LLAMAR EL DÍA LA INSTALACIÓN PARA CONFIRMAR VISITA, AVISO EXTERIOR ALTURA APROX NO TIENE CONOCIMIENTO DE MEDIDAS; TOMACORRIENTE CERCANO: SI; TIENE CABINA DE SEGURIDAD: NO // CONTACTO REALIZADO POR LA APP 11-08 SE REALIZA INSTALACIÓN DE CORRESPONSAL, SE INSTALAN EQUIPOS CON PRUEBAS EXITOSAS, SE CAPACITA Y SE EVALÚA AL CLIENTE, SE INSTALA PUBLICIDAD COMPLETA, CB QUEDA OPERATIVO. USUARIO SOMOS BANCOLOMBIA ACTIVO</t>
  </si>
  <si>
    <t>MARTINEZ FLOREZ DONIS ALBERTO</t>
  </si>
  <si>
    <t>FGZZZ888</t>
  </si>
  <si>
    <t>TA-25-929394</t>
  </si>
  <si>
    <t>FLORIDABLANCA</t>
  </si>
  <si>
    <t>BARRIO LA ESMERALDA FLORIDABLANCA FLORIDABLANCA</t>
  </si>
  <si>
    <t>FO-25-1337588</t>
  </si>
  <si>
    <t>06-08-2025 SE REALIZA LLAMADA AL CLIENTE, SE HABLA CON LA SRA SILVIA DANIELA ROMERO RUIZ SE VALIDA DIRECCIÓN OK, CANAL OK, DISPONIBILIDAD TOTAL, LLAMAR EL DÍA LA INSTALACIÓN PARA CONFIRMAR VISITA, AVISO EXTERIOR ALTURA APROX 3,50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</si>
  <si>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REYES RAMIREZ DIEGO ALEXANDER</t>
  </si>
  <si>
    <t>FGZZZ889</t>
  </si>
  <si>
    <t>TA-25-929395</t>
  </si>
  <si>
    <t>BARRIO SAN LUIS CUCUTA 31</t>
  </si>
  <si>
    <t>FO-25-1337593</t>
  </si>
  <si>
    <t>06-08-2025 SE REALIZA LLAMADA AL CLIENTE, SE HABLA CON LA SRA MYRIAM SUGEY VERGEL VERGEL SE VALIDA DIRECCIÓN OK, CANAL OK, DISPONIBILIDAD TOTAL, LLAMAR EL DÍA LA INSTALACIÓN PARA CONFIRMAR VISITA, AVISO EXTERIOR ALTURA APROX 2,50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</si>
  <si>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FGZZZ890</t>
  </si>
  <si>
    <t>TA-25-929396</t>
  </si>
  <si>
    <t>BARRIO LA GAVIOTA IBAGUE 9</t>
  </si>
  <si>
    <t>FO-25-1337597</t>
  </si>
  <si>
    <t>06-08-2025 SE REALIZA LLAMADA AL CLIENTE, SE HABLA CON LA SRA ANGELICA LEÓN SE VALIDA DIRECCIÓN OK, CANAL OK, DISPONIBILIDAD TOTAL, LLAMAR EL DÍA LA INSTALACIÓN PARA CONFIRMAR VISITA, AVISO EXTERIOR ALTURA APROX 3 METROS; TOMACORRIENTE CERCANO: SI; TIENE CABINA DE SEGURIDAD: SI // CONTACTO REALIZADO POR WHASTAPP 08-08 SE REALIZA INSTALACIÓN DE CORRESPONSAL, SE INSTALAN EQUIPOS CON PRUEBAS EXITOSAS, SE CAPACITA Y SE EVALÚA AL CLIENTE, SE INSTALA PUBLICIDAD COMPLETA, CB QUEDA OPERATIVO. USUARIO SOMOS BANCOLOMBIA ACTIVO</t>
  </si>
  <si>
    <t>GUTIERREZ  CAMILO ANDRES</t>
  </si>
  <si>
    <t>FGZZZ891</t>
  </si>
  <si>
    <t>TA-25-929397</t>
  </si>
  <si>
    <t>BARRIO VERGEL IBAGUE</t>
  </si>
  <si>
    <t>FO-25-1337605</t>
  </si>
  <si>
    <t>06-08-2025 SE REALIZA LLAMADA AL CLIENTE, SE HABLA CON LA SRA ORIANA RIVAS AMEZQUITA SE VALIDA DIRECCIÓN OK, CANAL OK, DISPONIBILIDAD TOTAL, LLAMAR EL DÍA LA INSTALACIÓN PARA CONFIRMAR VISITA, AVISO EXTERIOR ALTURA APROX MAX 3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</si>
  <si>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FGZZZ892</t>
  </si>
  <si>
    <t>TA-25-929399</t>
  </si>
  <si>
    <t>PAZ DE ARIPORO</t>
  </si>
  <si>
    <t>BARRIO CENTRO PAZ DE ARIPORO 10</t>
  </si>
  <si>
    <t>FO-25-1337610</t>
  </si>
  <si>
    <t>06-08-2025 SE REALIZA LLAMADA AL CLIENTE, SE HABLA CON LA SRA YEMNY NATALI GONZALEZ CASTILLO SE VALIDA DIRECCIÓN OK, CANAL OK, DISPONIBILIDAD TOTAL, LLAMAR EL DÍA LA INSTALACIÓN PARA CONFIRMAR VISITA, AVISO EXTERIOR ALTURA APROX MAX 2,50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</si>
  <si>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FGZZZ893</t>
  </si>
  <si>
    <t>TA-25-929402</t>
  </si>
  <si>
    <t>BARRIO VRD EL JUNCAL AGUACHICA</t>
  </si>
  <si>
    <t>FO-25-1337616</t>
  </si>
  <si>
    <t>06-08-2025 SE REALIZA LLAMADA AL CLIENTE, SE HABLA CON EL SR ALONSO ALZATE GIL SE VALIDA DIRECCIÓN OK, CANAL OK, DISPONIBILIDAD TOTAL, LLAMAR EL DÍA LA INSTALACIÓN PARA CONFIRMAR VISITA, AVISO EXTERIOR ALTURA APROX 1,50 METROS; TOMACORRIENTE CERCANO: SI; TIENE CABINA DE SEGURIDAD: NO // CONTACTO REALIZADO POR LA APP 8/08/2025 SE REALIZA INSTALACIÓN DE CORRESPONSAL, SE INSTALAN EQUIPOS CON PRUEBAS EXITOSAS, SE CAPACITA Y SE EVALÚA AL CLIENTE, SE INSTALA PUBLICIDAD COMPLETA, CB QUEDA OPERATIVO.NOTA: NO ES POSIBLE INGRESAR A USUARIO DE SOMOS BANCOLOMBIA DE CLIENTE YA QUE PRESENTA ERROR DE CORREO EN EL BANCO Y DEBE SER CORREGIDO POR EL BANCO, SE REALIZA CAPACITACIÓN CON USUARIO DE PRUEBA</t>
  </si>
  <si>
    <t>MAESTRE MENGUAL EDGAR ENRIQUE</t>
  </si>
  <si>
    <t>FGZZZ894</t>
  </si>
  <si>
    <t>TA-25-929404</t>
  </si>
  <si>
    <t>BARRIO CABECERA 2 PIEDECUESTA PIEDECUESTA</t>
  </si>
  <si>
    <t>FO-25-1337624</t>
  </si>
  <si>
    <t>06-08-2025 SE REALIZA LLAMADA AL CLIENTE, SE HABLA CON LA SRA MARIBEL HENAO PASACHOA SE VALIDA DIRECCIÓN OK, CANAL OK, DISPONIBILIDAD TOTAL, LLAMAR EL DÍA LA INSTALACIÓN PARA CONFIRMAR VISITA, AVISO EXTERIOR ALTURA APROX MAX 2 METROS; TOMACORRIENTE CERCANO: SI; TIENE CABINA DE SEGURIDAD: NO // CONTACTO REALIZADO POR LA APP 08-08 SE REALIZA INSTALACIÓN DE CORRESPONSAL, SE INSTALAN EQUIPOS CON PRUEBAS EXITOSAS, SE CAPACITA Y SE EVALÚA AL CLIENTE, SE INSTALA PUBLICIDAD COMPLETA, CB QUEDA OPERATIVO. USUARIO SOMOS BANCOLOMBIA ACTIVO</t>
  </si>
  <si>
    <t>FGZZZ895</t>
  </si>
  <si>
    <t>TA-25-929405</t>
  </si>
  <si>
    <t>BARRIO CANTA CLARO MONTERIA 4</t>
  </si>
  <si>
    <t>FO-25-1337629</t>
  </si>
  <si>
    <t>06-08-2025 SE REALIZA LLAMADA AL CLIENTE, SE HABLA CON LA SRA ANA MARIA HUMANEZ ESTRADA SE VALIDA DIRECCIÓN OK, CANAL OK, DISPONIBILIDAD TOTAL, LLAMAR EL DÍA LA INSTALACIÓN PARA CONFIRMAR VISITA, AVISO EXTERIOR ALTURA APROX MAX 5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</si>
  <si>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FGZZZ896</t>
  </si>
  <si>
    <t>TA-25-929407</t>
  </si>
  <si>
    <t>BARRIO CHUCHURUBI MONTERIA 9</t>
  </si>
  <si>
    <t>FO-25-1337634</t>
  </si>
  <si>
    <t>06-08-2025 SE REALIZA LLAMADA AL CLIENTE, SE HABLA CON LA SRA SAUDITH MARCELA ARRIETA CASTELLANOS SE VALIDA DIRECCIÓN OK, CANAL OK, DISPONIBILIDAD TOTAL, LLAMAR EL DÍA LA INSTALACIÓN PARA CONFIRMAR VISITA, AVISO EXTERIOR ALTURA APROX 2,20 METROS; TOMACORRIENTE CERCANO: SI; TIENE CABINA DE SEGURIDAD: SI // CONTACTO REALIZADO POR LA APP // HORARIO DEL COMERCIO 8AM-12 PM Y DE 2 PM-6 PM 08-08 SE REALIZA INSTALACIÓN DE CORRESPONSAL, SE INSTALAN EQUIPOS CON PRUEBAS EXITOSAS, SE CAPACITA Y SE EVALÚA AL CLIENTE, SE INSTALA PUBLICIDAD COMPLETA, CB QUEDA OPERATIVO. USUARIO SOMOS BANCOLOMBIA ACTIVO</t>
  </si>
  <si>
    <t>FGZZZ897</t>
  </si>
  <si>
    <t>TA-25-929408</t>
  </si>
  <si>
    <t>BARRIO URB LOS ARAUJOS MONTERIA 1</t>
  </si>
  <si>
    <t>FO-25-1337642</t>
  </si>
  <si>
    <t>06-08-2025 SE REALIZA LLAMADA AL CLIENTE, SE HABLA CON EL SR RUBEN ARTURO ALMENTERO KERGUELEN SE VALIDA DIRECCIÓN OK, CANAL OK, DISPONIBILIDAD TOTAL, LLAMAR EL DÍA LA INSTALACIÓN PARA CONFIRMAR VISITA, AVISO EXTERIOR ALTURA APROX 2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t>
  </si>
  <si>
    <t>FGZZZ898</t>
  </si>
  <si>
    <t>TA-25-929409</t>
  </si>
  <si>
    <t>BARRIO URB PRADOS DEL ESTE CUCUTA 8</t>
  </si>
  <si>
    <t>FO-25-1337647</t>
  </si>
  <si>
    <t>06-08-2025 SE REALIZA LLAMADA AL CLIENTE, SE HABLA CON EL SR GUSTAVO ADOLFO GARCIA BUENDIA SE VALIDA DIRECCIÓN OK, CANAL OK, DISPONIBILIDAD TOTAL, LLAMAR EL DÍA LA INSTALACIÓN PARA CONFIRMAR VISITA, AVISO EXTERIOR ALTURA APROX 2 METROS; TOMACORRIENTE CERCANO: SI; TIENE CABINA DE SEGURIDAD: NO // CONTACTO REALIZADO POR WHASTAPP 08-08 SE REALIZA INSTALACIÓN DE CORRESPONSAL, SE INSTALAN EQUIPOS CON PRUEBAS EXITOSAS, SE CAPACITA Y SE EVALÚA AL CLIENTE, SE INSTALA PUBLICIDAD COMPLETA, CB QUEDA OPERATIVO. USUARIO SOMOS BANCOLOMBIA ACTIVO</t>
  </si>
  <si>
    <t>FGZZZ899</t>
  </si>
  <si>
    <t>TA-25-929410</t>
  </si>
  <si>
    <t>BARRIO KENNEDY BUCARAMANGA 2</t>
  </si>
  <si>
    <t>FO-25-1337654</t>
  </si>
  <si>
    <t>06-08-2025 SE REALIZA LLAMADA AL CLIENTE, SE HABLA CON EL SR ALEXIS FERNEY ADARME AFANADOR SE VALIDA DIRECCIÓN OK, CANAL OK, DISPONIBILIDAD TOTAL, LLAMAR EL DÍA LA INSTALACIÓN PARA CONFIRMAR VISITA, AVISO EXTERIOR ALTURA APROX 2 METROS; TOMACORRIENTE CERCANO: SI (3 METROS); TIENE CABINA DE SEGURIDAD: SI // CONTACTO REALIZADO POR LA APP 8/08/2025 SE REALIZA INSTALACIÓN DE CORRESPONSAL, SE INSTALAN EQUIPOS CON PRUEBAS EXITOSAS, SE CAPACITA Y SE EVALÚA AL CLIENTE, SE INSTALA PUBLICIDAD COMPLETA, CB QUEDA OPERATIVO. USUARIO SOMOS BANCOLOMBIA ACTIVO</t>
  </si>
  <si>
    <t>HERRERA LUQUE SAUL JAVIER</t>
  </si>
  <si>
    <t>FGZZZ900</t>
  </si>
  <si>
    <t>TA-25-929418</t>
  </si>
  <si>
    <t>CUBARRAL</t>
  </si>
  <si>
    <t>BARRIO ZONA RURAL CUBARRAL</t>
  </si>
  <si>
    <t>FO-25-1337663</t>
  </si>
  <si>
    <t>06-08-2025 SE REALIZA LLAMADA AL CLIENTE, SE HABLA CON EL SR NELSON ESTEBAN RAMIREZ CHAVES SE VALIDA DIRECCIÓN OK, CANAL OK, DISPONIBILIDAD TOTAL, LLAMAR EL DÍA LA INSTALACIÓN PARA CONFIRMAR VISITA, AVISO EXTERIOR ALTURA APROX 2,60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t>
  </si>
  <si>
    <t>FGZZZ901</t>
  </si>
  <si>
    <t>TA-25-929430</t>
  </si>
  <si>
    <t>BARRIO LA CONCEPCION ZIPAQUIRA</t>
  </si>
  <si>
    <t>FO-25-1337678</t>
  </si>
  <si>
    <t>06-08-2025 SE REALIZA LLAMADA AL CLIENTE, SE HABLA CON LA SRA JAZMIN LORENA GALEANO FORERO SE VALIDA DIRECCIÓN OK, CANAL OK, DISPONIBILIDAD TOTAL, LLAMAR EL DÍA LA INSTALACIÓN PARA CONFIRMAR VISITA, AVISO EXTERIOR ALTURA APROX 1,70 METROS; TOMACORRIENTE CERCANO: SI; TIENE CABINA DE SEGURIDAD: SI // CONTACTO REALIZADO POR LA APP 11-08 SE REALIZA INSTALACIÓN DE CORRESPONSAL, SE INSTALAN EQUIPOS CON PRUEBAS EXITOSAS, SE CAPACITA Y SE EVALÚA AL CLIENTE, SE INSTALA PUBLICIDAD COMPLETA, CB QUEDA OPERATIVO. USUARIO SOMOS BANCOLOMBIA ACTIVO</t>
  </si>
  <si>
    <t>LOZADA ROJAS CHRISTIAN ANDRES</t>
  </si>
  <si>
    <t>FGZZZ902</t>
  </si>
  <si>
    <t>TA-25-929449</t>
  </si>
  <si>
    <t>MANTA</t>
  </si>
  <si>
    <t>BARRIO CENTRO MANTA 2</t>
  </si>
  <si>
    <t>FO-25-1337685</t>
  </si>
  <si>
    <t>06-08-2025 SE REALIZA LLAMADA AL CLIENTE, SE HABLA CON EL SR CHRISTIAN CAMILO SANCHEZ ORJUELA, SE VALIDA DIRECCIÓN OK, CANAL OK, DISPONIBILIDAD TOTAL, LLAMAR EL DÍA LA INSTALACIÓN PARA CONFIRMAR VISITA, AVISO EXTERIOR ALTURA APROX 2,50 METROS; TOMACORRIENTE CERCANO: SI; TIENE CABINA DE SEGURIDAD: NO 08-p08 A LA HORA NO SE HA LOGRADO CONTACTAR AL CLIENTE PARA INFORMAR DE LA ATENCIÓN DE LA ACTIVIDAD PARA EL DÍA DE MAÑANA 11-08-2025 11/08/2025 SE REALIZA INSTALACIÓN DE CORRESPONSAL, SE INSTALAN EQUIPOS CON PRUEBAS EXITOSAS, SE CAPACITA Y SE EVALÚA AL CLIENTE, SE INSTALA PUBLICIDAD COMPLETA, CB QUEDA OPERATIVO. USUARIO SOMOS BANCOLOMBIA ACTIVO</t>
  </si>
  <si>
    <t>FGZZZ903</t>
  </si>
  <si>
    <t>TA-25-929451</t>
  </si>
  <si>
    <t>VILLA DE SAN DIEGO DE UBATE</t>
  </si>
  <si>
    <t>BARRIO VEREDA LA ESPERANZA VILLA DE SAN DIEGO DE UBATE</t>
  </si>
  <si>
    <t>FO-25-1337691</t>
  </si>
  <si>
    <t>06-08-2025 SE REALIZA LLAMADA AL CLIENTE, SE HABLA CON LA SRA LUCILA SANCHEZ RUIZ,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</si>
  <si>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FGZZZ904</t>
  </si>
  <si>
    <t>TA-25-929453</t>
  </si>
  <si>
    <t>OIBA</t>
  </si>
  <si>
    <t>BARRIO LA VARIABLE OIBA OIBA</t>
  </si>
  <si>
    <t>FO-25-1337696</t>
  </si>
  <si>
    <t>06-08-2025 SE REALIZA LLAMADA AL CLIENTE, SE HABLA CON LA SRA ESMERALDA VALLEJO LOPEZ, SE VALIDA DIRECCIÓN OK, CANAL OK, DISPONIBILIDAD TOTAL, LLAMAR EL DÍA LA INSTALACIÓN PARA CONFIRMAR VISITA, AVISO EXTERIOR ALTURA APROX 2 METROS; TOMACORRIENTE CERCANO: SI; TIENE CABINA DE SEGURIDAD: NOEN COMUNICACIÓN CON LA CLIENTE ESMERALDA VALLEJO AL CELULAR 3174319370, QUE POR MOTIVO DE DESPLAZAMIENTO, NO SE LOGRÓ LLEGAR A LA HORA, SE REPROGRAMA ACTIVIDAD PARA MAÑANA MARTES 12 DE AGOSTO DEL 2025. 12/08/2025 SE REALIZA INSTALACIÓN DE CORRESPONSAL, SE INSTALAN EQUIPOS CON PRUEBAS EXITOSAS, SE CAPACITA Y SE EVALÚA AL CLIENTE, SE INSTALA PUBLICIDAD COMPLETA, CB QUEDA OPERATIVO. USUARIO SOMOS BANCOLOMBIA ACTIVO</t>
  </si>
  <si>
    <t>FGZZZ905</t>
  </si>
  <si>
    <t>TA-25-929470</t>
  </si>
  <si>
    <t>BARRIO TERRON COLORADO CALI 2</t>
  </si>
  <si>
    <t>FO-25-1337707</t>
  </si>
  <si>
    <t>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t>
  </si>
  <si>
    <t>FGZZZ906</t>
  </si>
  <si>
    <t>TA-25-929484</t>
  </si>
  <si>
    <t>SANTA ROSA DE OSOS</t>
  </si>
  <si>
    <t>BARRIO VEREDA EL CANEY SANTA ROSA DE OSOS 1</t>
  </si>
  <si>
    <t>FO-25-1337717</t>
  </si>
  <si>
    <t>06-08 SE REALIZA LLAMADA AL CLIENTE, SE HABLA CON LA SR LUIS FELIPE DURANGO ZULUAGA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t>
  </si>
  <si>
    <t>FGZZZ907</t>
  </si>
  <si>
    <t>TA-25-929495</t>
  </si>
  <si>
    <t>BARRIO  EL INGENIO CALI</t>
  </si>
  <si>
    <t>FO-25-1337724</t>
  </si>
  <si>
    <t>06-08-2025 SE REALIZA LLAMADA AL CLIENTE, SE HABLA CON LA SRA YAMILE MAYORQUIN DICE QUE EL SR RODOLFO BRAND MAMIAN NO SE ENCUENTA,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t>
  </si>
  <si>
    <t>FGZZZ908</t>
  </si>
  <si>
    <t>TA-25-929577</t>
  </si>
  <si>
    <t>SUTAMARCHAN</t>
  </si>
  <si>
    <t>BARRIO CENTRO SUTAMARCHAN 4</t>
  </si>
  <si>
    <t>FO-25-1337775</t>
  </si>
  <si>
    <t>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t>
  </si>
  <si>
    <t>FGZZZ909</t>
  </si>
  <si>
    <t>TA-25-931157</t>
  </si>
  <si>
    <t>BARRIO ASOVIVIENDA CAUCASIA 2</t>
  </si>
  <si>
    <t>FO-25-1339032</t>
  </si>
  <si>
    <t>06-08-2025 SE REALIZA LLAMADA AL CLIENTE, SE HABLA CON LA SRA MARIA CAMILA CANO CADAVID, SE VALIDA DIRECCIÓN OK, CANAL OK, DISPONIBILIDAD TOTAL, LLAMAR EL DÍA LA INSTALACIÓN PARA CONFIRMAR VISITA, AVISO EXTERIOR ALTURA APROX  1,50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</si>
  <si>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FGZZZ910</t>
  </si>
  <si>
    <t>TA-25-931158</t>
  </si>
  <si>
    <t>ALGECIRAS</t>
  </si>
  <si>
    <t>BARRIO CENTRO ALGECIRAS 18</t>
  </si>
  <si>
    <t>FO-25-1339039</t>
  </si>
  <si>
    <t>06-08-2025 SE REALIZA LLAMADA AL CLIENTE, SE HABLA CON LA SRA LEYDI MARITZA CORTAZO QUILINDO,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t>
  </si>
  <si>
    <t>FGZZZ911</t>
  </si>
  <si>
    <t>TA-25-931159</t>
  </si>
  <si>
    <t>JENESANO</t>
  </si>
  <si>
    <t>BARRIO CENTRO JENESANO 7</t>
  </si>
  <si>
    <t>FO-25-1339047</t>
  </si>
  <si>
    <t>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t>
  </si>
  <si>
    <t>FGZZZ912</t>
  </si>
  <si>
    <t>TA-25-931160</t>
  </si>
  <si>
    <t>SOLEDAD</t>
  </si>
  <si>
    <t>BARRIO MANANTIALES SOLEDAD</t>
  </si>
  <si>
    <t>FO-25-1339054</t>
  </si>
  <si>
    <t>06-08-2025 SE REALIZA LLAMADA AL CLIENTE, SE HABLA CON LA SRA ISMARI ROJAS GOMEZ, SE VALIDA DIRECCIÓN OK, CANAL OK, DISPONIBILIDAD TOTAL, LLAMAR EL DÍA LA INSTALACIÓN PARA CONFIRMAR VISITA, AVISO EXTERIOR ALTURA APROX  2 METROS; TOMACORRIENTE CERCANO: SI; TIENE CABINA DE SEGURIDAD: NO// TIENE DISPONIBILIDAD EN LAS HORAS DE LA MAÑANA 11/08/2025 SE REALIZA INSTALACIÓN DE CORRESPONSAL, SE INSTALAN EQUIPOS CON PRUEBAS EXITOSAS, SE CAPACITA Y SE EVALÚA AL CLIENTE, SE INSTALA PUBLICIDAD COMPLETA, CB QUEDA OPERATIVO. USUARIO SOMOS BANCOLOMBIA ACTIVO</t>
  </si>
  <si>
    <t>DE AGUAS MUÑOZ DAVID JOSE</t>
  </si>
  <si>
    <t>FGZZZ913</t>
  </si>
  <si>
    <t>TA-25-931161</t>
  </si>
  <si>
    <t>BARRIO GAITAN IBAGUE</t>
  </si>
  <si>
    <t>FO-25-1339064</t>
  </si>
  <si>
    <t>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t>
  </si>
  <si>
    <t>FGZZZ914</t>
  </si>
  <si>
    <t>TA-25-931162</t>
  </si>
  <si>
    <t>BRR CIUDAD BICENTENARIO SEC SAN SEBASTIAN CARTAGENA DE INDIAS</t>
  </si>
  <si>
    <t>FO-25-1339072</t>
  </si>
  <si>
    <t>06-08-2025 SE REALIZA LLAMADA AL CLIENTE, SE HABLA CON EL SR OSCAR ENRIQUE BOLAÑO BOHORQUEZ, SE VALIDA DIRECCIÓN OK, CANAL OK, DISPONIBILIDAD TOTAL, LLAMAR EL DÍA LA INSTALACIÓN PARA CONFIRMAR VISITA, AVISO EXTERIOR ALTURA APROX DONDE EL TECNICO LO VEA CONVENIENTE; TOMACORRIENTE CERCANO: SI; TIENE CABINA DE SEGURIDAD: SI 08-08 SE LLAMA AL CLIENTE INFORMA QUE AÚN ESTÁ EN ADECUACIONES EL LOCAL LE FALTA LAS VITRINAS ESTANTES Y QUE LE ESTUQUEN POR TAL MOTIVO SE APLAZA LA APERTURA PARA EL MIÉRCOLES 13 DE AGOSTO QUEDA PENDIENTE 13/08/2025 SE REALIZA INSTALACIÓN DE CORRESPONSAL, SE INSTALAN EQUIPOS CON PRUEBAS EXITOSAS, SE CAPACITA Y SE EVALÚA AL CLIENTE, SE INSTALA PUBLICIDAD COMPLETA, CB QUEDA OPERATIVO. USUARIO SOMOS BANCOLOMBIA ACTIVO</t>
  </si>
  <si>
    <t>FGZZZ915</t>
  </si>
  <si>
    <t>TA-25-931163</t>
  </si>
  <si>
    <t>BARRIO SAN REMO IBAGUE</t>
  </si>
  <si>
    <t>FO-25-1339083</t>
  </si>
  <si>
    <t>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t>
  </si>
  <si>
    <t>FGZZZ916</t>
  </si>
  <si>
    <t>TA-25-931164</t>
  </si>
  <si>
    <t>BARRIO SAN CARLOS PIEDECUESTA 1</t>
  </si>
  <si>
    <t>FO-25-1339090</t>
  </si>
  <si>
    <t>06-08-2025 SE REALIZA LLAMADA AL CLIENTE, SE HABLA CON EL SR OLMER AUGUSTO VALENCIA JAIMES, SE VALIDA DIRECCIÓN OK, CANAL OK, DISPONIBILIDAD TOTAL, LLAMAR EL DÍA LA INSTALACIÓN PARA CONFIRMAR VISITA, AVISO EXTERIOR ALTURA APROX 2 METROS; TOMACORRIENTE CERCANO: SI; TIENE CABINA DE SEGURIDAD: NO// MODEM A 5 METROS  11-08 SE REALIZA INSTALACIÓN DE CORRESPONSAL, SE INSTALAN EQUIPOS CON PRUEBAS EXITOSAS, SE CAPACITA Y SE EVALÚA AL CLIENTE, SE INSTALA PUBLICIDAD COMPLETA, CB QUEDA OPERATIVO. USUARIO SOMOS BANCOLOMBIA ACTIVO</t>
  </si>
  <si>
    <t>FGZZZ917</t>
  </si>
  <si>
    <t>TA-25-931165</t>
  </si>
  <si>
    <t>BARRIO BOITA BOGOTA 8</t>
  </si>
  <si>
    <t>FO-25-1339105</t>
  </si>
  <si>
    <t>06-08-2025 SE REALIZA LLAMADA AL CLIENTE, SE HABLA CON EL SR EDGAR ANDREZ OBANDO GUTIERREZ,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</si>
  <si>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FGZZZ918</t>
  </si>
  <si>
    <t>TA-25-931166</t>
  </si>
  <si>
    <t>MIRANDA</t>
  </si>
  <si>
    <t>BARRIO CENTRO MIRANDA 3</t>
  </si>
  <si>
    <t>FO-25-1339113</t>
  </si>
  <si>
    <t>06-08-2025 SE REALIZA LLAMADA AL CLIENTE, SE HABLA CON LA SRA EVELYN YULIET MERA QUINTERO, SE VALIDA DIRECCIÓN OK, CANAL OK, DISPONIBILIDAD TOTAL, LLAMAR EL DÍA LA INSTALACIÓN PARA CONFIRMAR VISITA, AVISO EXTERIOR ALTURA APROX DONDE EL TECNICO LO VEA CONVENIENTE; TOMACORRIENTE CERCANO: SI; TIENE CABINA DE SEGURIDAD: NO  8/08/2025 SE REALIZA INSTALACIÓN DE CORRESPONSAL, SE INSTALAN EQUIPOS CON PRUEBAS EXITOSAS, SE CAPACITA Y SE EVALÚA AL CLIENTE, SE INSTALA PUBLICIDAD COMPLETA, CB QUEDA OPERATIVO. USUARIO SOMOS BANCOLOMBIA ACTIVO</t>
  </si>
  <si>
    <t>FGZZZ919</t>
  </si>
  <si>
    <t>TA-25-931167</t>
  </si>
  <si>
    <t>ALCALA</t>
  </si>
  <si>
    <t>BARRIO LA PLAZUELA ALCALA</t>
  </si>
  <si>
    <t>FO-25-1339125</t>
  </si>
  <si>
    <t>06-08-2025 SE REALIZA LLAMADA AL CLIENTE, SE HABLA CON LA SRA DIANA MILDRED LINARES ACEVEDO, SE VALIDA DIRECCIÓN OK, CANAL OK, DISPONIBILIDAD TOTAL, LLAMAR EL DÍA LA INSTALACIÓN PARA CONFIRMAR VISITA, AVISO EXTERIOR ALTURA APROX DONDE EL TECNICO LO VEA CONVENIENTE; TOMACORRIENTE CERCANO: SI; TIENE CABINA DE SEGURIDAD: NO 11/08/2025 SE REALIZA INSTALACIÓN DE CORRESPONSAL, SE INSTALAN EQUIPOS CON PRUEBAS EXITOSAS, SE CAPACITA Y SE EVALÚA AL CLIENTE, SE INSTALA PUBLICIDAD COMPLETA, CB QUEDA OPERATIVO. USUARIO SOMOS BANCOLOMBIA ACTIVO</t>
  </si>
  <si>
    <t>FGZZZ920</t>
  </si>
  <si>
    <t>TA-25-931170</t>
  </si>
  <si>
    <t>BUESACO</t>
  </si>
  <si>
    <t>BARRIO LA LOMA BUESACO</t>
  </si>
  <si>
    <t>FO-25-1339133</t>
  </si>
  <si>
    <t>06-08-2025 SE REALIZA LLAMADA AL CLIENTE, SE HABLA CON LA SRA DAYANA CAROLINA VIVEROS MUÑOZ, SE VALIDA DIRECCIÓN OK, CANAL OK, DISPONIBILIDAD TOTAL, LLAMAR EL DÍA LA INSTALACIÓN PARA CONFIRMAR VISITA, AVISO EXTERIOR ALTURA APROX  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</si>
  <si>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FGZZZ921</t>
  </si>
  <si>
    <t>TA-25-931172</t>
  </si>
  <si>
    <t>SOACHA</t>
  </si>
  <si>
    <t>BARRIO TREBOL SOACHA SOACHA</t>
  </si>
  <si>
    <t>FO-25-1339140</t>
  </si>
  <si>
    <t>06-08-2025 SE REALIZA LLAMADA AL CLIENTE, SE HABLA CON EL SR HARVEY ARTURO BUSTOS GAITAN, SE VALIDA DIRECCIÓN OK, CANAL OK, DISPONIBILIDAD TOTAL, LLAMAR EL DÍA LA INSTALACIÓN PARA CONFIRMAR VISITA, AVISO EXTERIOR ALTURA APROX  2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</si>
  <si>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FGZZZ923</t>
  </si>
  <si>
    <t>TA-25-931229</t>
  </si>
  <si>
    <t>BARRIO JORDAN TUNJA 3</t>
  </si>
  <si>
    <t>FO-25-1339297</t>
  </si>
  <si>
    <t>06-08 SE REALIZA LLAMADA AL CLIENTE, SE HABLA CON LA SRA LEIDY CAROLINA REYES PACHECO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t>
  </si>
  <si>
    <t>GONZALEZ GONZALEZ MARIO ALBERTO</t>
  </si>
  <si>
    <t>FGZZZ924</t>
  </si>
  <si>
    <t>TA-25-931173</t>
  </si>
  <si>
    <t>BARRIO TERMINAL DE BUCARAMANGA BUCARAMANGA</t>
  </si>
  <si>
    <t>FO-25-1339148</t>
  </si>
  <si>
    <t>06-08 SE REALIZA LLAMADA AL CLIENTE, SE HABLA CON LA SRA KATERYN ALEJANDRA MOLINA MENDOZA SE VALIDA DIRECCIÓN OK, CANAL OK, DISPONIBILIDAD TOTAL, LLAMAR EL DÍA LA INSTALACIÓN PARA CONFIRMAR VISITA, AVISO EXTERIOR ALTURA APROX 3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</si>
  <si>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FGZZZ925</t>
  </si>
  <si>
    <t>TA-25-931174</t>
  </si>
  <si>
    <t>MOMIL</t>
  </si>
  <si>
    <t>BARRIO SANTA LUCIA MOMIL 1</t>
  </si>
  <si>
    <t>FO-25-1339157</t>
  </si>
  <si>
    <t>06-08 SE REALIZA LLAMADA AL CLIENTE, SE HABLA CON LA SRA ALEJANDRA OSORIO MOLINA SE VALIDA DIRECCIÓN OK, CANAL OK, DISPONIBILIDAD TOTAL, LLAMAR EL DÍA LA INSTALACIÓN PARA CONFIRMAR VISITA, AVISO EXTERIOR ALTURA APROX 3 METROS; TOMACORRIENTE CERCANO: SI; TIENE CABINA DE SEGURIDAD: NO - EL MODEM ESTA A 7 MT  11/08/2025 SE REALIZA INSTALACIÓN DE CORRESPONSAL, SE INSTALAN EQUIPOS CON PRUEBAS EXITOSAS, SE CAPACITA Y SE EVALÚA AL CLIENTE, SE INSTALA PUBLICIDAD COMPLETA, CB QUEDA OPERATIVO. USUARIO SOMOS BANCOLOMBIA ACTIVO</t>
  </si>
  <si>
    <t>FGZZZ926</t>
  </si>
  <si>
    <t>TA-25-931176</t>
  </si>
  <si>
    <t>BARRIO SAN VALENTIN NEIVA 2</t>
  </si>
  <si>
    <t>FO-25-1339169</t>
  </si>
  <si>
    <t>06-08 SE REALIZA LLAMADA AL CLIENTE, SE HABLA CON LA SRA MARTHA CECILIA MOSQUERA ESCOBAR SE VALIDA DIRECCIÓN OK, CANAL OK, DISPONIBILIDAD TOTAL, LLAMAR EL DÍA LA INSTALACIÓN PARA CONFIRMAR VISITA, AVISO EXTERIOR ALTURA APROX 2 METROS; TOMACORRIENTE CERCANO: SI; TIENE CABINA DE SEGURIDAD: NO - COMUNICACIÓN POR WPP 08-08 SE REALIZA INSTALACIÓN DE CORRESPONSAL, SE INSTALAN EQUIPOS CON PRUEBAS EXITOSAS, SE CAPACITA Y SE EVALÚA AL CLIENTE, SE INSTALA PUBLICIDAD COMPLETA, CB QUEDA OPERATIVO. USUARIO SOMOS BANCOLOMBIA ACTIVO</t>
  </si>
  <si>
    <t>FGZZZ927</t>
  </si>
  <si>
    <t>TA-25-931177</t>
  </si>
  <si>
    <t>BARRIO EL PALMAR PAZ DE ARIPORO 2</t>
  </si>
  <si>
    <t>FO-25-1339174</t>
  </si>
  <si>
    <t>06-08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11/08/2025 SE VISITA COMERCIO, LA SEÑORA DIANA SARAVIA INDICA QUE POR TEMAS DE REMODELACION DEL LOCAL, ESTE ESTARÁ LISTO HASTA LA PROXIMA SEMANA, POR TAL MOTIVO SE ESCALA A COORDINADOR Y SE CANCELA, SE LE INDICA AL USUARIO QUE UNA VEZ ESTE EL LOCAL LISTO LLAME A LA ENTIDAD.</t>
  </si>
  <si>
    <t>FGZZZ928</t>
  </si>
  <si>
    <t>TA-25-931178</t>
  </si>
  <si>
    <t>BARRIO CENTRO VILLA RICA 5</t>
  </si>
  <si>
    <t>FO-25-1350933</t>
  </si>
  <si>
    <t>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t>
  </si>
  <si>
    <t>FGZZZ929</t>
  </si>
  <si>
    <t>TA-25-931179</t>
  </si>
  <si>
    <t>BARRIO CENTRO PEREIRA 52</t>
  </si>
  <si>
    <t>FO-25-1339182</t>
  </si>
  <si>
    <t>06-08 SE REALIZA LLAMADA AL CLIENTE, SE HABLA CON LA SRA MARIANA GISETH NAVARRO MUETE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</si>
  <si>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FGZZZ931</t>
  </si>
  <si>
    <t>TA-25-931180</t>
  </si>
  <si>
    <t>SAN JUAN NEPOMUCENO</t>
  </si>
  <si>
    <t>BARRIO LA FRONTERA SAN JUAN NEPOMUCENO</t>
  </si>
  <si>
    <t>FO-25-1339187</t>
  </si>
  <si>
    <t>06-08 SE REALIZA LLAMADA AL CLIENTE, SE HABLA CON LA SR RONALD SAMIR ROMERO CARO  SE VALIDA DIRECCIÓN OK, CANAL OK, DISPONIBILIDAD TOTAL, LLAMAR EL DÍA LA INSTALACIÓN PARA CONFIRMAR VISITA, AVISO EXTERIOR ALTURA APROX 2.20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</si>
  <si>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FGZZZ932</t>
  </si>
  <si>
    <t>TA-25-931181</t>
  </si>
  <si>
    <t>FIRAVITOBA</t>
  </si>
  <si>
    <t>BARRIO CENTRO FIRAVITOBA 2</t>
  </si>
  <si>
    <t>FO-25-1339192</t>
  </si>
  <si>
    <t>06-08 SE REALIZA LLAMADA AL CLIENTE, SE HABLA CON LA SR RONALD MANUEL SUAREZ CORREA  SE VALIDA DIRECCIÓN OK, CANAL OK, DISPONIBILIDAD TOTAL, LLAMAR EL DÍA LA INSTALACIÓN PARA CONFIRMAR VISITA, AVISO EXTERIOR ALTURA APROX 2.5 METROS; TOMACORRIENTE CERCANO: SI; TIENE CABINA DE SEGURIDAD: SI  08-08 POR TEMAS RELACIONADOS AL PARO DE MINEROS PRESENTADO EN EL DEPARTAMENTO,    LA ORDEN  SE REPROGRAMA HASTA  NUEVA ORDEN 12/08/2025 SE VISITA DIRECCIÓN COMERCIO , NO SE PROCEDE A EJECUTAR INSTALACIÓN POR DIRECCIÓN ERRADA ,SE VALIDA CÁMARA DE COMERCIO DIRECCIÓN COINCIDE CON LA ORDEN DE TRABAJO PERO SE VÁLIDA QUE LA DIRECCIÓN LE CORRESPONDE A OTRO PREDIO QUE ESTA UBICADO EN LA CASA DE AL LADO DE DONDE SE INSTALARÍA, SE LE INDICA AL CLIENTE QUE DEBE ACTUALIZAR CAMARA DE COMERCIO</t>
  </si>
  <si>
    <t>ALVARADO MORENO CRISTHIAN</t>
  </si>
  <si>
    <t>FGZZZ933</t>
  </si>
  <si>
    <t>TA-25-931182</t>
  </si>
  <si>
    <t>CALIFORNIA</t>
  </si>
  <si>
    <t>BARRIO CALIFORNIA CALIFORNIA</t>
  </si>
  <si>
    <t>FO-25-1339197</t>
  </si>
  <si>
    <t>06-08 SE REALIZA LLAMADA AL CLIENTE, SE HABLA CON LA SRA KELLY JOHANNA SANCHEZ BANDERAS  SE VALIDA DIRECCIÓN OK, CANAL OK, DISPONIBILIDAD TOTAL, LLAMAR EL DÍA LA INSTALACIÓN PARA CONFIRMAR VISITA, AVISO EXTERIOR ALTURA APROX 3 METROS; TOMACORRIENTE CERCANO: SI; TIENE CABINA DE SEGURIDAD: NO 11-08 EN COMUNICACIÓN CON LA SEÑORA KELLY AL MOVIL 3103538440,SE CONFIRMA DISPONIBILIDAD DE ATENCIÓN POR PARTE DEL CLIENTE  PARA EL DÍA MARTES 12 DE AGOSTO. 12/08/2025 SE REALIZA INSTALACIÓN DE CORRESPONSAL, SE INSTALAN EQUIPOS CON PRUEBAS EXITOSAS, SE CAPACITA Y SE EVALÚA AL CLIENTE, SE INSTALA PUBLICIDAD COMPLETA, CB QUEDA OPERATIVO. USUARIO SOMOS BANCOLOMBIA ACTIVO</t>
  </si>
  <si>
    <t>FGZZZ934</t>
  </si>
  <si>
    <t>TA-25-931183</t>
  </si>
  <si>
    <t>BARRIO LIBERTADOR DUITAMA 1</t>
  </si>
  <si>
    <t>FO-25-1339202</t>
  </si>
  <si>
    <t>06-08 SE REALIZA LLAMADA AL CLIENTE, SE HABLA CON LA SRA MARIA DEL ROSARIO MONSOCUA VEGA SE VALIDA DIRECCIÓN OK, CANAL OK, DISPONIBILIDAD TOTAL, LLAMAR EL DÍA LA INSTALACIÓN PARA CONFIRMAR VISITA, USUARIO INDICA QUE YA TIENE AVISO; TOMACORRIENTE CERCANO: SI; TIENE CABINA DE SEGURIDAD: SI  08-08 SE REALIZA INSTALACIÓN DE CORRESPONSAL, SE INSTALAN EQUIPOS CON PRUEBAS EXITOSAS, SE CAPACITA Y SE EVALÚA AL CLIENTE, SE INSTALA SOLO AVISO YA QUE EN BODEGA NO HAY FALNGGER YD DISPLAY DE HORARIO, CB QUEDA OPERATIVO. USUARIO SOMOS BANCOLOMBIA ACTIVO</t>
  </si>
  <si>
    <t>FGZZZ935</t>
  </si>
  <si>
    <t>TA-25-931184</t>
  </si>
  <si>
    <t>CHARTA</t>
  </si>
  <si>
    <t>BARRIO EL CARMEN CHARTA</t>
  </si>
  <si>
    <t>FO-25-1339209</t>
  </si>
  <si>
    <t>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t>
  </si>
  <si>
    <t>FGZZZ936</t>
  </si>
  <si>
    <t>TA-25-931185</t>
  </si>
  <si>
    <t>LA CELIA</t>
  </si>
  <si>
    <t>BARRIO CENTRO LA CELIA 6</t>
  </si>
  <si>
    <t>FO-25-1339215</t>
  </si>
  <si>
    <t>06-08 SE REALIZA LLAMADA AL CLIENTE, SE HABLA CON LA SR JHONIER ALEXIS OSORIO CORREA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</si>
  <si>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FGZZZ937</t>
  </si>
  <si>
    <t>TA-25-931186</t>
  </si>
  <si>
    <t>AGUAZUL</t>
  </si>
  <si>
    <t>BARRIO LA ESPIGA AGUAZUL</t>
  </si>
  <si>
    <t>FO-25-1339221</t>
  </si>
  <si>
    <t>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t>
  </si>
  <si>
    <t>FGZZZ940</t>
  </si>
  <si>
    <t>TA-25-931187</t>
  </si>
  <si>
    <t>BARRIO ALAMOS DUITAMA</t>
  </si>
  <si>
    <t>FO-25-1339227</t>
  </si>
  <si>
    <t>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t>
  </si>
  <si>
    <t>FGZZZ941</t>
  </si>
  <si>
    <t>TA-25-931191</t>
  </si>
  <si>
    <t>SANTA SOFIA</t>
  </si>
  <si>
    <t>BARRIO CENTRO SANTA SOFIA 6</t>
  </si>
  <si>
    <t>FO-25-1339232</t>
  </si>
  <si>
    <t>06-08 SE REALIZA LLAMADA AL CLIENTE, SE HABLA CON LA SRA ANGELICA MARIA LOPEZ GAMBOA SE VALIDA DIRECCIÓN OK, CANAL OK, DISPONIBILIDAD TOTAL, LLAMAR EL DÍA LA INSTALACIÓN PARA CONFIRMAR VISITA, AVISO EXTERIOR ALTURA APROX 2 METROS; TOMACORRIENTE CERCANO: SI; TIENE CABINA DE SEGURIDAD: SI 08-08 POR TEMAS RELACIONADOS AL PARO DE MINEROS PRESENTADO EN EL DEPARTAMENTO SE REPROGRAMA VISITA HASTA  NUEVA ORDEN 15/08/2025 SE REALIZA INSTALACIÓN DE CORRESPONSAL, SE INSTALAN EQUIPOS CON PRUEBAS EXITOSAS, SE CAPACITA Y SE EVALÚA AL CLIENTE, SE INSTALA PUBLICIDAD COMPLETA, CB QUEDA OPERATIVO. USUARIO SOMOS BANCOLOMBIA ACTIVO. SE INSTALA ROUTER</t>
  </si>
  <si>
    <t>FGZZZ942</t>
  </si>
  <si>
    <t>TA-25-931198</t>
  </si>
  <si>
    <t>PUERTO LIBERTADOR</t>
  </si>
  <si>
    <t>BARRIO VIA TRONCAL PUERTO LIBERTADOR</t>
  </si>
  <si>
    <t>FO-25-1339237</t>
  </si>
  <si>
    <t>06-08 SE REALIZA LLAMADA AL CLIENTE, SE HABLA CON LA SRA MARIA CECILIA MERCADO LOPEZSE VALIDA DIRECCIÓN OK, CANAL OK, DISPONIBILIDAD TOTAL, LLAMAR EL DÍA LA INSTALACIÓN PARA CONFIRMAR VISITA, AVISO EXTERIOR ALTURA APROX 2 METROS; TOMACORRIENTE CERCANO: SI; TIENE CABINA DE SEGURIDAD: NO - COMUNICACIÓN POR WPP / EL MODEM ESTA A 5 MT  / EL MODEM NO TIENE PUERTO DISPONIBLES 11-08 EN COMUNICACIÓN CON LA SRA MARIA MARCELA MERCADO, INDICA QUE NO PUEDE ATENDER LA INSTALACIÓN EL DÍA DE HOY DEBIDO A QUE SE ENCUENTRA EN CITA MÉDICA, SOLICITA SE REPROGRAME PARA EL DÍA JUEVES 14-08 14/08/2025 SE REALIZA INSTALACIÓN DE CORRESPONSAL, SE INSTALAN EQUIPOS CON PRUEBAS EXITOSAS, SE CAPACITA Y SE EVALÚA AL CLIENTE, SE INSTALA PUBLICIDAD COMPLETA, CB QUEDA OPERATIVO. USUARIO SOMOS BANCOLOMBIA ACTIVO</t>
  </si>
  <si>
    <t>COGOLLO VERTEL EDER LUIS</t>
  </si>
  <si>
    <t>FGZZZ943</t>
  </si>
  <si>
    <t>TA-25-931199</t>
  </si>
  <si>
    <t>BARRIO CIUDAD JARDIN BARRANQUILLA 17</t>
  </si>
  <si>
    <t>FO-25-1339240</t>
  </si>
  <si>
    <t>06-08 SE REALIZA LLAMADA AL CLIENTE, SE HABLA CON LA SR ENRIQUE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</si>
  <si>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FGZZZ944</t>
  </si>
  <si>
    <t>TA-25-931204</t>
  </si>
  <si>
    <t>CB CRECIMIENTO - OTRAS LISTAS</t>
  </si>
  <si>
    <t>ZAPATOCA</t>
  </si>
  <si>
    <t>BARRIO SANTA BARBARA ZAPATOCA 2</t>
  </si>
  <si>
    <t>FO-25-1339254</t>
  </si>
  <si>
    <t>06-08 SE REALIZA LLAMADA AL CLIENTE, SE HABLA CON LA SRA YOSARY MILENA MANJARRES RODRÍGUEZ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t>
  </si>
  <si>
    <t>MARIÑO PABON JORGE ENRIQUE</t>
  </si>
  <si>
    <t>FGZZZ947</t>
  </si>
  <si>
    <t>TA-25-931206</t>
  </si>
  <si>
    <t>CHIQUINQUIRA</t>
  </si>
  <si>
    <t>BARRIO EL BOSQUE CHIQUINQUIRA 2</t>
  </si>
  <si>
    <t>FO-25-1339258</t>
  </si>
  <si>
    <t>06-08 SE REALIZA LLAMADA AL CLIENTE, SE HABLA CON LA SRA ANDREA KATHERINE FUENTES LETRADO SE VALIDA DIRECCIÓN OK, CANAL OK, DISPONIBILIDAD TOTAL, LLAMAR EL DÍA LA INSTALACIÓN PARA CONFIRMAR VISITA, AVISO EXTERIOR ALTURA: NO INDICAL ALTURA; TOMACORRIENTE CERCANO: SI; TIENE CABINA DE SEGURIDAD: NO 11-08 POR TEMAS RELACIONADO AL PARO DE MINEROS PRESENTADO EN EL DEPARTAMENTO LA ORDEN SE REPROGRAMA HASTA  NUEVA ORDEN 12-08 SE REALIZA INSTALACIÓN DE CORRESPONSAL, SE INSTALAN EQUIPOS CON PRUEBAS EXITOSAS, SE CAPACITA Y SE EVALÚA AL CLIENTE, SE INSTALA PUBLICIDAD COMPLETA, CB QUEDA OPERATIVO. USUARIO SOMOS BANCOLOMBIA ACTIVO</t>
  </si>
  <si>
    <t>FGZZZ948</t>
  </si>
  <si>
    <t>TA-25-931207</t>
  </si>
  <si>
    <t>VILLAMARIA</t>
  </si>
  <si>
    <t>BARRIO LA FLORIDA VILLAMARIA</t>
  </si>
  <si>
    <t>FO-25-1339265</t>
  </si>
  <si>
    <t>06-08 SE REALIZA LLAMADA AL CLIENTE, SE HABLA CON LA SRA JOSE ANTONIO TRUJILLO DE LOS RIOS SE VALIDA DIRECCIÓN OK, CANAL OK, DISPONIBILIDAD TOTAL, LLAMAR EL DÍA LA INSTALACIÓN PARA CONFIRMAR VISITA, AVISO EXTERIOR ALTURA APROX 2 METROS; TOMACORRIENTE CERCANO: SI; TIENE CABINA DE SEGURIDAD: NO - COMUNICACIÓN POR WPP 10/08/2025 SE REALIZA INSTALACIÓN DE CORRESPONSAL, SE INSTALAN EQUIPOS CON PRUEBAS EXITOSAS, SE CAPACITA Y SE EVALÚA AL CLIENTE, SE INSTALA PUBLICIDAD COMPLETA, CB QUEDA OPERATIVO. USUARIO SOMOS BANCOLOMBIA ACTIVO</t>
  </si>
  <si>
    <t>FGZZZ949</t>
  </si>
  <si>
    <t>TA-25-951678</t>
  </si>
  <si>
    <t>BARRIO NUEVO HORIZONTE CUCUTA 6</t>
  </si>
  <si>
    <t>FO-25-1359797</t>
  </si>
  <si>
    <t>11-08 SE REALIZA LLAMADA AL CLIENTE, SE HABLA CON LA SRA LUIS RAMÓN CARRASCAL VERGEL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</si>
  <si>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FIZZZ271</t>
  </si>
  <si>
    <t>TA-25-951708</t>
  </si>
  <si>
    <t>BARRIO CENTRO VALLEDUPAR 32</t>
  </si>
  <si>
    <t>FO-25-1359815</t>
  </si>
  <si>
    <t>11-08-2025 SE REALIZA LLAMADA AL CLIENTE, SE HABLA CON EL SR DANIEL ENRIQUE PRADA GOMEZ SE VALIDA DIRECCIÓN OK, CANAL OK, DISPONIBILIDAD TOTAL, LLAMAR EL DÍA LA INSTALACIÓN PARA CONFIRMAR VISITA, AVISO EXTERIOR ALTURA APROX 2 METROS; TOMACORRIENTE CERCANO: SI; TIENE CABINA DE SEGURIDAD: SI // CONTACTO REALIZADO POR LA APP // CLIENTE INDICA QUE PARA EL DIA DE MAÑANA TIENE CITA MEDICA, SOLICITA VISITAR EL 13/08 13/08/2025 SE REALIZA INSTALACIÓN DE CORRESPONSAL, SE INSTALAN EQUIPOS CON PRUEBAS EXITOSAS, SE CAPACITA Y SE EVALÚA AL CLIENTE, SE INSTALA PUBLICIDAD COMPLETA, CB QUEDA OPERATIVO. USUARIO SOMOS BANCOLOMBIA ACTIVO</t>
  </si>
  <si>
    <t>FIZZZ272</t>
  </si>
  <si>
    <t>TA-25-951739</t>
  </si>
  <si>
    <t>SATIVASUR</t>
  </si>
  <si>
    <t>BARRIO CENTRO SATIVASUR</t>
  </si>
  <si>
    <t>FO-25-1359836</t>
  </si>
  <si>
    <t>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t>
  </si>
  <si>
    <t>FIZZZ273</t>
  </si>
  <si>
    <t>TA-25-951767</t>
  </si>
  <si>
    <t>BARRIO CHAPINERO SOGAMOSO 3</t>
  </si>
  <si>
    <t>FO-25-1359854</t>
  </si>
  <si>
    <t>11-08-2025 SE REALIZA LLAMADA AL CLIENTE, SE HABLA CON LA SRA MARÍA YOLANDA SALAMANCA CRUZ SE VALIDA DIRECCIÓN OK, CANAL OK, DISPONIBILIDAD TOTAL, LLAMAR EL DÍA LA INSTALACIÓN PARA CONFIRMAR VISITA, AVISO EXTERIOR ALTURA APROX CLIENTE NO TIENE CONOCIMIENTO DE MEDIDAS;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t>
  </si>
  <si>
    <t>FIZZZ274</t>
  </si>
  <si>
    <t>TA-25-951795</t>
  </si>
  <si>
    <t>BARRIO NUEVOS PIONEROS SINCELEJO</t>
  </si>
  <si>
    <t>FO-25-1359873</t>
  </si>
  <si>
    <t>11-08-2025 SE REALIZA LLAMADA AL CLIENTE, SE HABLA CON LA SRA MILENA DEL ROCIO PEREZ MENDEZ SE VALIDA DIRECCIÓN OK, CANAL OK, DISPONIBILIDAD TOTAL, LLAMAR EL DÍA LA INSTALACIÓN PARA CONFIRMAR VISITA, AVISO EXTERIOR ALTURA APROX CLIENTE NO TIENE CONOCIMIENTO DE MEDIDAS; TOMACORRIENTE CERCANO: SI; TIENE CABINA DE SEGURIDAD: SI // CONTACTO REALIZADO POR WHATSAPP 13/08/2025 SE REALIZA INSTALACIÓN DE CORRESPONSAL, SE INSTALAN EQUIPOS CON PRUEBAS EXITOSAS, SE CAPACITA Y SE EVALÚA AL CLIENTE, SE INSTALA PUBLICIDAD COMPLETA, CB QUEDA OPERATIVO. USUARIO SOMOS BANCOLOMBIA ACTIVO</t>
  </si>
  <si>
    <t>FIZZZ275</t>
  </si>
  <si>
    <t>TA-25-951828</t>
  </si>
  <si>
    <t>BARRIO SAN MARTIN VILLA DEL ROSARIO  2</t>
  </si>
  <si>
    <t>FO-25-1359892</t>
  </si>
  <si>
    <t>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12/08/2025 SE REALIZA INSTALACIÓN DE CORRESPONSAL, SE INSTALAN EQUIPOS CON PRUEBAS EXITOSAS, SE CAPACITA Y SE EVALÚA AL CLIENTE, SE INSTALA PUBLICIDAD COMPLETA, CB QUEDA OPERATIVO. USUARIO SOMOS BANCOLOMBIA ACTIVO</t>
  </si>
  <si>
    <t>FIZZZ276</t>
  </si>
  <si>
    <t>TA-25-951857</t>
  </si>
  <si>
    <t>CANDELARIA</t>
  </si>
  <si>
    <t>BARRIO CANDELARIA CANDELARIA</t>
  </si>
  <si>
    <t>FO-25-1359911</t>
  </si>
  <si>
    <t>11-08-2025 SE REALIZA LLAMADA AL CLIENTE, SE HABLA CON EL SR ABID ENRIQUE MUÑOZ ARIZA SE VALIDA DIRECCIÓN OK, CANAL OK, DISPONIBILIDAD TOTAL, LLAMAR EL DÍA LA INSTALACIÓN PARA CONFIRMAR VISITA, AVISO EXTERIOR ALTURA APROX 2 METROS; TOMACORRIENTE CERCANO: SI; TIENE CABINA DE SEGURIDAD: SI // CONTACTO REALIZADO POR LA APP 12-08 SE REALIZA INSTALACIÓN DE CORRESPONSAL, SE INSTALAN EQUIPOS CON PRUEBAS EXITOSAS, SE CAPACITA Y SE EVALÚA AL CLIENTE, SE INSTALA PUBLICIDAD COMPLETA, CB QUEDA OPERATIVO. USUARIO SOMOS BANCOLOMBIA ACTIVO</t>
  </si>
  <si>
    <t>FIZZZ278</t>
  </si>
  <si>
    <t>TA-25-951899</t>
  </si>
  <si>
    <t>BARRIO PORVENIR VILLAVICENCIO 11</t>
  </si>
  <si>
    <t>FO-25-1359933</t>
  </si>
  <si>
    <t>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t>
  </si>
  <si>
    <t>FIZZZ279</t>
  </si>
  <si>
    <t>TA-25-951927</t>
  </si>
  <si>
    <t>BARRIO URB LA CAMPIÑA LOS PATIOS  1</t>
  </si>
  <si>
    <t>FO-25-1359954</t>
  </si>
  <si>
    <t>11-08-2025 SE REALIZA LLAMADA AL CLIENTE, SE HABLA CON LA SRA JUDITH MENDOZA BERMUDEZ SE VALIDA DIRECCIÓN OK, CANAL OK, DISPONIBILIDAD TOTAL, LLAMAR EL DÍA LA INSTALACIÓN PARA CONFIRMAR VISITA, AVISO EXTERIOR ALTURA APROX 6 METROS; TOMACORRIENTE CERCANO: SI; TIENE CABINA DE SEGURIDAD: SI // CONTACTO REALIZADO POR LA APP // CLIENTE SOLICITA VISITAR EN HORAS DE LA TARDE MAS ESPECIFICO A LAS 3, YA QUE A ESA HORA ESATRIA ELLA Y LA JOVEN QUE LA AYUDA A ATENDER EL NEGOCIO 12-08 SE REALIZA INSTALACIÓN DE CORRESPONSAL, SE INSTALAN EQUIPOS CON PRUEBAS EXITOSAS, SE CAPACITA Y SE EVALÚA AL CLIENTE, SE INSTALA PUBLICIDAD COMPLETA, CB QUEDA OPERATIVO. USUARIO SOMOS BANCOLOMBIA ACTIVO</t>
  </si>
  <si>
    <t>FIZZZ280</t>
  </si>
  <si>
    <t>TA-25-951957</t>
  </si>
  <si>
    <t>BARRIO CENTRO SINCELEJO 26</t>
  </si>
  <si>
    <t>FO-25-1359973</t>
  </si>
  <si>
    <t>11-08-2025 SE REALIZA LLAMADA AL CLIENTE, SE HABLA CON EL SR ROBERTO CARLOS ROMERO CARDOZA SE VALIDA DIRECCIÓN OK, CANAL OK, DISPONIBILIDAD TOTAL, LLAMAR EL DÍA LA INSTALACIÓN PARA CONFIRMAR VISITA, AVISO EXTERIOR ALTURA APROX 1 METROS; TOMACORRIENTE CERCANO: SI; TIENE CABINA DE SEGURIDAD: NO // CONTACTO REALIZADO POR LA APP // CLIENTE COMENTA QUE DE SER POSIBLE VISITAR EN LA MAÑANA 12/08/2025 SE REALIZA INSTALACIÓN DE CORRESPONSAL, SE INSTALAN EQUIPOS CON PRUEBAS EXITOSAS, SE CAPACITA Y SE EVALÚA AL CLIENTE, SE INSTALA PUBLICIDAD COMPLETA, CB QUEDA OPERATIVO. USUARIO SOMOS BANCOLOMBIA ACTIVO</t>
  </si>
  <si>
    <t>FIZZZ281</t>
  </si>
  <si>
    <t>TA-25-951985</t>
  </si>
  <si>
    <t>BARRIO EL BRILLANTE VILLAVICENCIO 2</t>
  </si>
  <si>
    <t>FO-25-1359996</t>
  </si>
  <si>
    <t>11-08-2025 SE REALIZA LLAMADA AL CLIENTE, SE HABLA CON EL SR ROLFER JERMEHY PARDO SERNA SE VALIDA DIRECCIÓN OK, CANAL OK, DISPONIBILIDAD TOTAL, LLAMAR EL DÍA LA INSTALACIÓN PARA CONFIRMAR VISITA, AVISO EXTERIOR ALTURA APROX 3,50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t>
  </si>
  <si>
    <t>FIZZZ282</t>
  </si>
  <si>
    <t>TA-25-952015</t>
  </si>
  <si>
    <t>BARRIO NORTE VILLA DE SAN DIEGO DE UBATE 3</t>
  </si>
  <si>
    <t>FO-25-1360015</t>
  </si>
  <si>
    <t>11-08-2025 SE REALIZA LLAMADA AL CLIENTE, SE HABLA CON LA SRA MINELY PAOLA RODRIGUEZ GUZMAN SE VALIDA DIRECCIÓN OK, CANAL OK, DISPONIBILIDAD TOTAL, LLAMAR EL DÍA LA INSTALACIÓN PARA CONFIRMAR VISITA, AVISO EXTERIOR ALTURA APROX 2,50 METROS; TOMACORRIENTE CERCANO: SI; TIENE CABINA DE SEGURIDAD: NO // CONTACTO REALIZADO POR LA APP 12/08/2025 SE REALIZA INSTALACIÓN DE CORRESPONSAL, SE INSTALAN EQUIPOS CON PRUEBAS EXITOSAS, SE CAPACITA Y SE EVALÚA AL CLIENTE, SE INSTALA PUBLICIDAD COMPLETA, CB QUEDA OPERATIVO. USUARIO SOMOS BANCOLOMBIA ACTIVO</t>
  </si>
  <si>
    <t>FIZZZ283</t>
  </si>
  <si>
    <t>TA-25-952041</t>
  </si>
  <si>
    <t>BARRIO ENCISO LLANADITAS MEDELLIN</t>
  </si>
  <si>
    <t>FO-25-1360033</t>
  </si>
  <si>
    <t>11-08-2025 SE REALIZA LLAMADA AL CLIENTE, SE HABLA CON EL SR SEBASTIAN QUINTERO MARTINEZ SE VALIDA DIRECCIÓN OK, CANAL OK, DISPONIBILIDAD TOTAL, LLAMAR EL DÍA LA INSTALACIÓN PARA CONFIRMAR VISITA, AVISO EXTERIOR ALTURA APROX 2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t>
  </si>
  <si>
    <t>ALVAREZ ARENAS VICTOR HUGO</t>
  </si>
  <si>
    <t>FIZZZ284</t>
  </si>
  <si>
    <t>TA-25-952072</t>
  </si>
  <si>
    <t>BARBACOAS</t>
  </si>
  <si>
    <t>BARRIO CL SAN ANTONIO BARBACOAS</t>
  </si>
  <si>
    <t>FO-25-1360054</t>
  </si>
  <si>
    <t>11-08 SE REALIZA LLAMADA AL CLIENTE, SE HABLA CON LA SR BRAINER ALONSO CUERO QUIÑONES  SE VALIDA DIRECCIÓN OK, CANAL OK, DISPONIBILIDAD TOTAL, LLAMAR EL DÍA LA INSTALACIÓN PARA CONFIRMAR VISITA, AVISO EXTERIOR ALTURA APROX 2 METROS; TOMACORRIENTE CERCANO: SI; TIENE CABINA DE SEGURIDAD: NO 13-08 13-08 ACTUALMENTE SE ENCUENTRAN EL TECNICO EN MAGUI, DE ALLI DEBE CONSIGUIR OTRO TRANSPORTE PARA BARBACOAS EN LANCHA Y BUS. SE REPROGRAMA ACTIVIDAD 14-08 SE REALIZA INSTALACIÓN DE CORRESPONSAL, SE INSTALAN EQUIPOS CON PRUEBAS EXITOSAS, SE CAPACITA Y SE EVALÚA AL CLIENTE, SE INSTALA PUBLICIDAD COMPLETA, CB QUEDA OPERATIVO. USUARIO SOMOS BANCOLOMBIA ACTIVO</t>
  </si>
  <si>
    <t>FIZZZ285</t>
  </si>
  <si>
    <t>TA-25-952096</t>
  </si>
  <si>
    <t>FLORIDA</t>
  </si>
  <si>
    <t>BARRIO LA ESPERANZA FLORIDA 1</t>
  </si>
  <si>
    <t>FO-25-1360070</t>
  </si>
  <si>
    <t>11-08 SE REALIZA LLAMADA AL CLIENTE, SE HABLA CON LA SRA KELLY JHOANNA ZUÑIGA ASPRILLA  SE VALIDA DIRECCIÓN OK, CANAL OK, DISPONIBILIDAD TOTAL, LLAMAR EL DÍA LA INSTALACIÓN PARA CONFIRMAR VISITA, AVISO EXTERIOR ALTURA APROX 2 METROS; TOMACORRIENTE CERCANO: SI; TIENE CABINA DE SEGURIDAD: NO - EL MODEM ESTA A 4 MT  13-08 SE COMUNICA CON EL CLIENTE VÍA TELÉFONICA PARA CONFIRMA LA VISTA E INDICA QUE EL DÍA DE HOY NO HAY SERVICIO DE TRANSPORTE PÚBLICO HACIA EL MUNICIPIO DE FLORIDA, SE DESPLAZA HACIA LA TERMINAL DE CALI Y SE CONFIRMA LA INFORMACIÓN. 14/08/2025 SE REALIZA INSTALACIÓN DE CORRESPONSAL, SE INSTALAN EQUIPOS CON PRUEBAS EXITOSAS, SE CAPACITA Y SE EVALÚA AL CLIENTE, SE INSTALA PUBLICIDAD COMPLETA, CB QUEDA OPERATIVO. USUARIO SOMOS BANCOLOMBIA ACTIVO</t>
  </si>
  <si>
    <t>FIZZZ286</t>
  </si>
  <si>
    <t>TA-25-952124</t>
  </si>
  <si>
    <t>BARRIO PASO ANCHO ZIPAQUIRÁ</t>
  </si>
  <si>
    <t>FO-25-1360091</t>
  </si>
  <si>
    <t>11-08 SE REALIZA LLAMADA AL CLIENTE, SE HABLA CON LA SRA YOLI PAOLA CASALLAS MARQUEZ  SE VALIDA DIRECCIÓN OK, CANAL OK, DISPONIBILIDAD TOTAL, LLAMAR EL DÍA LA INSTALACIÓN PARA CONFIRMAR VISITA, AVISO EXTERIOR ALTURA APROX 2 METROS; TOMACORRIENTE CERCANO: SI; TIENE CABINA DE SEGURIDAD: NO // CONTACTO REALIZADO POR LA APP // CLIENTE SOLICITA QUE SE VISITE PARA LA APERTURA EL DIA 14/08 YA QUE EL MIERCOLES NO HABRA NADIE EN EL COMERCIO 14/08/2025 SE REALIZA INSTALACIÓN DE CORRESPONSAL, SE INSTALAN EQUIPOS CON PRUEBAS EXITOSAS, SE CAPACITA Y SE EVALÚA AL CLIENTE, SE INSTALA PUBLICIDAD COMPLETA, CB QUEDA OPERATIVO. USUARIO SOMOS BANCOLOMBIA ACTIVO</t>
  </si>
  <si>
    <t>FIZZZ287</t>
  </si>
  <si>
    <t>TA-25-952153</t>
  </si>
  <si>
    <t>BARRIO BOCHICA BOGOTA 3</t>
  </si>
  <si>
    <t>FO-25-1360107</t>
  </si>
  <si>
    <t>11-08 SE REALIZA LLAMADA AL CLIENTE, SE HABLA CON LA SRA LEITH MARCELA BOHORQUEZ GRANADOS SE VALIDA DIRECCIÓN OK, CANAL OK, DISPONIBILIDAD TOTAL, LLAMAR EL DÍA LA INSTALACIÓN PARA CONFIRMAR VISITA, AVISO EXTERIOR ALTURA APROX 2 METROS; TOMACORRIENTE CERCANO: SI; TIENE CABINA DE SEGURIDAD: NO - COMUNIICACIÓN POR WPP 12-08 SE REALIZA INSTALACIÓN DE CORRESPONSAL, SE INSTALAN EQUIPOS CON PRUEBAS EXITOSAS, SE CAPACITA Y SE EVALÚA AL CLIENTE, SE INSTALA PUBLICIDAD COMPLETA, CB QUEDA OPERATIVO. USUARIO SOMOS BANCOLOMBIA ACTIVO</t>
  </si>
  <si>
    <t>FIZZZ288</t>
  </si>
  <si>
    <t>TA-25-952173</t>
  </si>
  <si>
    <t>BARRIO LA PRIMAVERA ROBERTO PAYAN 1</t>
  </si>
  <si>
    <t>FO-25-1360123</t>
  </si>
  <si>
    <t>11-08 SE REALIZA LLAMADA AL CLIENTE, SE HABLA CON LA SR YEISON ROMARIO CASANOVA CORTES  SE VALIDA DIRECCIÓN OK, CANAL OK, DISPONIBILIDAD TOTAL, LLAMAR EL DÍA LA INSTALACIÓN PARA CONFIRMAR VISITA, AVISO EXTERIOR ALTURA APROX 6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</si>
  <si>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FIZZZ289</t>
  </si>
  <si>
    <t>TA-25-952201</t>
  </si>
  <si>
    <t>SAN PEDRO DE URABA</t>
  </si>
  <si>
    <t>BARRO ALFONSO LOPEZ SAN PEDRO DE URABA ANTIOQUIA SAN PEDRO DE URABA</t>
  </si>
  <si>
    <t>FO-25-1360142</t>
  </si>
  <si>
    <t>11-08 SE REALIZA LLAMADA AL CLIENTE, SE HABLA CON LA SR IVAN DARIO MONTALVO VILLEGAS  SE VALIDA DIRECCIÓN OK, CANAL OK, DISPONIBILIDAD TOTAL, LLAMAR EL DÍA LA INSTALACIÓN PARA CONFIRMAR VISITA, AVISO EXTERIOR ALTURA APROX 2 METROS; TOMACORRIENTE CERCANO: SI; TIENE CABINA DE SEGURIDAD: NO - EL MODEM ESTA A 8 MT  13-08 SE HACE LLAMADA PREVIA AL USUARRIO, EL SR IVAN DARIO NOS INFORMA QUE TIENE TODAS LAS ADECUACIONES Y CUENTA CON TIEMPO PARA RECIBIRNOS, PERO NOS INDICA QUE EN LA ZONA DE SAN PEDRO ESTAN SIN INTERNET. DICE QUE A ESTADO LLOVIENDO MUCHO Y QUE POSIBLEMENTE POR ESO ESTAN AFECTADOS CON ESTE SERVICIO, NOS PIDE ENCARECIDAMENTE QUE SI PODEMOS REAGENDAR LA VISITA Y QUE EL NOS INFORMARA APENAS RESTABLESCAN EL INTERNEN EN LA ZONA. 20/08/2025 SE REALIZA INSTALACIÓN DE CORRESPONSAL, SE INSTALAN EQUIPOS CON PRUEBAS EXITOSAS, SE CAPACITA Y SE EVALÚA AL CLIENTE, SE INSTALA PUBLICIDAD COMPLETA, CB QUEDA OPERATIVO. USUARIO SOMOS BANCOLOMBIA ACTIVO. SE INSTALAN 3 MT DE CABLE UTP</t>
  </si>
  <si>
    <t>FIZZZ290</t>
  </si>
  <si>
    <t>TA-25-952233</t>
  </si>
  <si>
    <t>BARRIO PRADITO MEDELLIN 6</t>
  </si>
  <si>
    <t>FO-25-1360163</t>
  </si>
  <si>
    <t>11-08 SE REALIZA LLAMADA AL CLIENTE, SE HABLA CON LA SR RUDERICO DE JESUS ORTIZ HERNANDEZ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</si>
  <si>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FIZZZ291</t>
  </si>
  <si>
    <t>TA-25-952261</t>
  </si>
  <si>
    <t>POPAYAN</t>
  </si>
  <si>
    <t>BARRIO LA MARIA OCCIDENTE POPAYAN 1</t>
  </si>
  <si>
    <t>FO-25-1360187</t>
  </si>
  <si>
    <t>11-08 SE REALIZA LLAMADA AL CLIENTE, SE HABLA CON LA SR YULMER DANILO CORDOBA SAMBONI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</si>
  <si>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FIZZZ292</t>
  </si>
  <si>
    <t>TA-25-952286</t>
  </si>
  <si>
    <t>NILO</t>
  </si>
  <si>
    <t>BARRIO TOLEMAIDA NILO 1</t>
  </si>
  <si>
    <t>FO-25-1360203</t>
  </si>
  <si>
    <t>11-08 SE REALIZA LLAMADA AL CLIENTE, SE HABLA CON LA SRA PIEDAD GARCIA RODRIGUEZ SE VALIDA DIRECCIÓN OK, CANAL OK, DISPONIBILIDAD TOTAL, LLAMAR EL DÍA LA INSTALACIÓN PARA CONFIRMAR VISITA, AVISO EXTERIOR ALTURA APROX 2 METROS; TOMACORRIENTE CERCANO: SI; TIENE CABINA DE SEGURIDAD: NO - DEBE ENVIAR NOMBRE COMPLETO Y CEDULA A LA USUARIO PARA AUTORIZAR EL INGRESO - SI NO CONTESTA ESCRIBIR POR WPP 12-08 SE REALIZA INSTALACIÓN DE CORRESPONSAL, SE INSTALAN EQUIPOS CON PRUEBAS EXITOSAS, SE CAPACITA Y SE EVALÚA AL CLIENTE, SE INSTALA PUBLICIDAD COMPLETA, CB QUEDA OPERATIVO. USUARIO SOMOS BANCOLOMBIA ACTIVO</t>
  </si>
  <si>
    <t>FIZZZ293</t>
  </si>
  <si>
    <t>TA-25-952313</t>
  </si>
  <si>
    <t>EL CARMEN DE VIBORAL</t>
  </si>
  <si>
    <t>BARRIO OSPINA EL CARMEN DE VIBORAL</t>
  </si>
  <si>
    <t>FO-25-1360221</t>
  </si>
  <si>
    <t>11-08 SE REALIZA LLAMADA AL CLIENTE, SE HABLA CON LA SRA NORMA GISELA ZULUAGA GARCIA  SE VALIDA DIRECCIÓN OK, CANAL OK, DISPONIBILIDAD TOTAL, LLAMAR EL DÍA LA INSTALACIÓN PARA CONFIRMAR VISITA, AVISO EXTERIOR ALTURA APROX 2.50 METROS; TOMACORRIENTE CERCANO: SI; TIENE CABINA DE SEGURIDAD: NO - COMUNICACIÓN POR WPP / EL MODEM NO TIENE PUERTOS DISPONIBLE 13/08/2025 SE REALIZA INSTALACIÓN DE CORRESPONSAL, SE INSTALAN EQUIPOS CON PRUEBAS EXITOSAS, SE CAPACITA Y SE EVALÚA AL CLIENTE, SE INSTALA PUBLICIDAD COMPLETA, CB QUEDA OPERATIVO. USUARIO SOMOS BANCOLOMBIA ACTIVO</t>
  </si>
  <si>
    <t>FIZZZ294</t>
  </si>
  <si>
    <t>TA-25-952341</t>
  </si>
  <si>
    <t>CHOCO</t>
  </si>
  <si>
    <t>BAJO BAUDO</t>
  </si>
  <si>
    <t>BARRIO PUEBLO NUEVO BAJO BAUDO 1</t>
  </si>
  <si>
    <t>FO-25-1360238</t>
  </si>
  <si>
    <t>11-08 SE REALIZA LLAMADA AL CLIENTE, SE HABLA CON LA SR NARCISO HURTADO TORRES  SE VALIDA DIRECCIÓN OK, CANAL OK, DISPONIBILIDAD TOTAL, LLAMAR EL DÍA LA INSTALACIÓN PARA CONFIRMAR VISITA, AVISO EXTERIOR ALTURA APROX 2 METROS; TOMACORRIENTE CERCANO: SI; TIENE CABINA DE SEGURIDAD: SI  - COMUNICACIÓN POR WPP 21-08 SE REALIZA INSTALACIÓN DE CORRESPONSAL, SE INSTALAN EQUIPOS CON PRUEBAS EXITOSAS, SE CAPACITA Y SE EVALÚA AL CLIENTE, SE INSTALA PUBLICIDAD COMPLETA, CB QUEDA OPERATIVO. USUARIO SOMOS BANCOLOMBIA ACTIVO</t>
  </si>
  <si>
    <t>ROBLEDO DIAZ ANDRES FELIPE</t>
  </si>
  <si>
    <t>FIZZZ295</t>
  </si>
  <si>
    <t>AEREO</t>
  </si>
  <si>
    <t>TA-25-952369</t>
  </si>
  <si>
    <t>SAN RAFAEL</t>
  </si>
  <si>
    <t>BARRIOS SAN RAFAEL SAN RAFAEL</t>
  </si>
  <si>
    <t>FO-25-1360257</t>
  </si>
  <si>
    <t>11-08 SE REALIZA LLAMADA AL CLIENTE, SE HABLA CON LA SRA JEREMIAS CARDONA MONSALVE SE VALIDA DIRECCIÓN OK, CANAL OK, DISPONIBILIDAD TOTAL, LLAMAR EL DÍA LA INSTALACIÓN PARA CONFIRMAR VISITA, AVISO EXTERIOR ALTURA APROX 2.70 METROS; TOMACORRIENTE CERCANO: SI; TIENE CABINA DE SEGURIDAD: SI - COMUNICACION POR WPP / EL MODEM ESTA A 6 MT  13/08/2025 SE REALIZA INSTALACIÓN DE CORRESPONSAL, SE INSTALAN EQUIPOS CON PRUEBAS EXITOSAS, SE CAPACITA Y SE EVALÚA AL CLIENTE, SE INSTALA PUBLICIDAD COMPLETA, CB QUEDA OPERATIVO. USUARIO SOMOS BANCOLOMBIA ACTIVO</t>
  </si>
  <si>
    <t>FIZZZ296</t>
  </si>
  <si>
    <t>TA-25-952397</t>
  </si>
  <si>
    <t>PALMIRA</t>
  </si>
  <si>
    <t>BARRIO ALTAMIRA PALMIRA 3</t>
  </si>
  <si>
    <t>FO-25-1360278</t>
  </si>
  <si>
    <t>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t>
  </si>
  <si>
    <t>SANCHEZ URREGO ROBINSON DAVID</t>
  </si>
  <si>
    <t>FIZZZ297</t>
  </si>
  <si>
    <t>TA-25-952447</t>
  </si>
  <si>
    <t>PUERTO TRIUNFO</t>
  </si>
  <si>
    <t>BARRIO DORADAL PUERTO TRIUNFO 4</t>
  </si>
  <si>
    <t>FO-25-1360314</t>
  </si>
  <si>
    <t>11-08 SE REALIZA LLAMADA AL CLIENTE, SE HABLA CON LA SRA DIANA PATRICIA LOPEZ GUZMAN SE VALIDA DIRECCIÓN OK, CANAL OK, DISPONIBILIDAD TOTAL, LLAMAR EL DÍA LA INSTALACIÓN PARA CONFIRMAR VISITA, TIENE TODA LA PUBLICIDAD Y ESTA EN BUEN ESTADO   - CAMBIO DE RAZON SOCIAL 36355 - LLEVAR SOLO DISPLAY  12-08 SE REALIZA INSTALACIÓN DE CORRESPONSAL, SE INSTALAN EQUIPOS CON PRUEBAS EXITOSAS, SE CAPACITA Y SE EVALÚA AL CLIENTE, SE INSTALA SOLO DISPLAY DE HORARIO LA DEMAS PUBLICIDAD ESTABA INSTALADA, CB QUEDA OPERATIVO. USUARIO SOMOS BANCOLOMBIA ACTIVO</t>
  </si>
  <si>
    <t>FIZZZ299</t>
  </si>
  <si>
    <t>TA-25-952466</t>
  </si>
  <si>
    <t>BARRIO CALLEJON CUCUTA 23</t>
  </si>
  <si>
    <t>FO-25-1360334</t>
  </si>
  <si>
    <t>11-08 SE REALIZA LLAMADA AL CLIENTE, SE HABLA CON LA SR JOSÉ AGUSTÍN CASALLAS RODRÍGUEZ SE VALIDA DIRECCIÓN OK, CANAL OK, DISPONIBILIDAD TOTAL, LLAMAR EL DÍA LA INSTALACIÓN PARA CONFIRMAR VISITA, AVISO EXTERIOR ALTURA APROX 2 METROS; TOMACORRIENTE CERCANO: SI; TIENE CABINA DE SEGURIDAD: SI 12-08 SE REALIZÓ LLAMADA TELEFÓNICA AL NÚMERO 3202698207 INDICA QUE NO ESTA DISPONIBLE POR MOTIVO DE VIAJE PARA RECIBIR LA APERTURA, NOS  ATIENDE EL DÍA JUEVES 14/08/2025. 14-08 SE REALIZA INSTALACIÓN DE CORRESPONSAL, SE INSTALAN EQUIPOS CON PRUEBAS EXITOSAS, SE CAPACITA Y SE EVALÚA AL CLIENTE, SE INSTALA PUBLICIDAD COMPLETA, CB QUEDA OPERATIVO. USUARIO SOMOS BANCOLOMBIA ACTIVO</t>
  </si>
  <si>
    <t>FIZZZ301</t>
  </si>
  <si>
    <t>TA-25-952467</t>
  </si>
  <si>
    <t>SUSACON</t>
  </si>
  <si>
    <t>BARRIO VEREDA EL HATO ARBOL SOLO SUSACON</t>
  </si>
  <si>
    <t>FO-25-1360339</t>
  </si>
  <si>
    <t>11-08 SE REALIZA LLAMADA AL CLIENTE, SE HABLA CON LA SR HECTOR JAVIER RAMIREZ WALTEROS  SE VALIDA DIRECCIÓN OK, CANAL OK, DISPONIBILIDAD TOTAL, LLAMAR EL DÍA LA INSTALACIÓN PARA CONFIRMAR VISITA, AVISO EXTERIOR ALTURA: NO INDICA ALTURA; TOMACORRIENTE CERCANO: SI; TIENE CABINA DE SEGURIDAD: NO 13-08 SE REALIZA INSTALACIÓN DE CORRESPONSAL, SE INSTALAN EQUIPOS CON PRUEBAS EXITOSAS, SE CAPACITA Y SE EVALÚA AL CLIENTE, SE INSTALA PUBLICIDAD COMPLETA, CB QUEDA OPERATIVO. USUARIO SOMOS BANCOLOMBIA ACTIVO</t>
  </si>
  <si>
    <t>FIZZZ302</t>
  </si>
  <si>
    <t>TA-25-952468</t>
  </si>
  <si>
    <t>BARRIO SAN FRANCISCO BOGOTA 16</t>
  </si>
  <si>
    <t>FO-25-1360343</t>
  </si>
  <si>
    <t>11-08 SE REALIZA LLAMADA AL CLIENTE, SE HABLA CON LA SRA BLANCA FULVIA PEÑA PINEDA SE VALIDA DIRECCIÓN OK, CANAL OK, DISPONIBILIDAD TOTAL, LLAMAR EL DÍA LA INSTALACIÓN PARA CONFIRMAR VISITA, AVISO EXTERIOR ALTURA APROX 2 .70 METROS; TOMACORRIENTE CERCANO: SI; TIENE CABINA DE SEGURIDAD: NO - COMUICACIÓN POR WPP 12-08 SE REALIZA INSTALACIÓN DE CORRESPONSAL, SE INSTALAN EQUIPOS CON PRUEBAS EXITOSAS, SE CAPACITA Y SE EVALÚA AL CLIENTE, SE INSTALA PUBLICIDAD COMPLETA, CB QUEDA OPERATIVO. USUARIO SOMOS BANCOLOMBIA ACTIVO</t>
  </si>
  <si>
    <t>FIZZZ304</t>
  </si>
  <si>
    <t>TA-25-952469</t>
  </si>
  <si>
    <t>BARRIO UNION DE VIVIENDA POPULAR CALI</t>
  </si>
  <si>
    <t>FO-25-1360347</t>
  </si>
  <si>
    <t>11-08 SE REALIZA LLAMADA AL CLIENTE, SE HABLA CON LA SR OSMAR YESID SUAZA ALMARALES SE VALIDA DIRECCIÓN OK, CANAL OK, DISPONIBILIDAD TOTAL, LLAMAR EL DÍA LA INSTALACIÓN PARA CONFIRMAR VISITA, AVISO EXTERIOR ALTURA: NO INDICA ALTURA ; TOMACORRIENTE CERCANO: SI; TIENE CABINA DE SEGURIDAD: NO 13/08/2025 SE REALIZA INSTALACIÓN DE CORRESPONSAL, SE INSTALAN EQUIPOS CON PRUEBAS EXITOSAS, SE CAPACITA Y SE EVALÚA AL CLIENTE, SE INSTALA PUBLICIDAD COMPLETA, CB QUEDA OPERATIVO. USUARIO SOMOS BANCOLOMBIA ACTIVO</t>
  </si>
  <si>
    <t>CUERO RUIZ JHONNY</t>
  </si>
  <si>
    <t>FIZZZ305</t>
  </si>
  <si>
    <t>TA-25-952470</t>
  </si>
  <si>
    <t>VILLA DE LEYVA</t>
  </si>
  <si>
    <t>BARRIO SANTA ANA VILLA DE LEYVA</t>
  </si>
  <si>
    <t>FO-25-1360349</t>
  </si>
  <si>
    <t>11-08 SE REALIZA LLAMADA AL CLIENTE, SE HABLA CON LA SR CARLOS ANDRÉS ROJAS QUINTERO  SE VALIDA DIRECCIÓN OK, CANAL OK, DISPONIBILIDAD TOTAL, LLAMAR EL DÍA LA INSTALACIÓN PARA CONFIRMAR VISITA, AVISO EXTERIOR ALTURA APROX 2 METROS; TOMACORRIENTE CERCANO: SI; TIENE CABINA DE SEGURIDAD: NO - COMUNICACIÓN POR WPP 13/08/2025 SE REALIZA INSTALACIÓN DE CORRESPONSAL, SE INSTALAN EQUIPOS CON PRUEBAS EXITOSAS, SE CAPACITA Y SE EVALÚA AL CLIENTE, SE INSTALA PUBLICIDAD COMPLETA, CB QUEDA OPERATIVO. USUARIO SOMOS BANCOLOMBIA ACTIVO</t>
  </si>
  <si>
    <t>FIZZZ306</t>
  </si>
  <si>
    <t>TA-25-952471</t>
  </si>
  <si>
    <t>BARRIO MELENDEZ CALI 5</t>
  </si>
  <si>
    <t>FO-25-1360351</t>
  </si>
  <si>
    <t>11-08 SE REALIZA LLAMADA AL CLIENTE, SE HABLA CON LA SRA DORIS ALICIA COROZO GRUEZO SE VALIDA DIRECCIÓN OK, CANAL OK, DISPONIBILIDAD TOTAL, LLAMAR EL DÍA LA INSTALACIÓN PARA CONFIRMAR VISITA, AVISO EXTERIOR ALTURA APROX 3 METROS; TOMACORRIENTE CERCANO: SI; TIENE CABINA DE SEGURIDAD: SI 12/08/2025 SE REALIZA INSTALACIÓN DE CORRESPONSAL, SE INSTALAN EQUIPOS CON PRUEBAS EXITOSAS, SE CAPACITA Y SE EVALÚA AL CLIENTE, SE INSTALA PUBLICIDAD COMPLETA, CB QUEDA OPERATIVO. USUARIO SOMOS BANCOLOMBIA ACTIVO</t>
  </si>
  <si>
    <t>FIZZZ307</t>
  </si>
  <si>
    <t>TA-25-952472</t>
  </si>
  <si>
    <t>BARRIO CENTRO SUSACON 2</t>
  </si>
  <si>
    <t>FO-25-1360353</t>
  </si>
  <si>
    <t>11-08 SE REALIZA LLAMADA AL CLIENTE, SE HABLA CON LA SRA BLANCA YULISA FIGUEREDO LAGOS SE VALIDA DIRECCIÓN OK, CANAL OK, DISPONIBILIDAD TOTAL, LLAMAR EL DÍA LA INSTALACIÓN PARA CONFIRMAR VISITA, AVISO EXTERIOR ALTURA APROX 4 METROS; TOMACORRIENTE CERCANO: SI; TIENE CABINA DE SEGURIDAD: NO13-08 SE REALIZA INSTALACIÓN DE CORRESPONSAL, SE INSTALAN EQUIPOS CON PRUEBAS EXITOSAS, SE CAPACITA Y SE EVALÚA AL CLIENTE, SE INSTALA PUBLICIDAD COMPLETA, CB QUEDA OPERATIVO. USUARIO SOMOS BANCOLOMBIA ACTIVO</t>
  </si>
  <si>
    <t>FIZZZ308</t>
  </si>
  <si>
    <t>TA-25-952475</t>
  </si>
  <si>
    <t>BARRIO VILLA CLAUDIA BOGOTA 1</t>
  </si>
  <si>
    <t>FO-25-1360358</t>
  </si>
  <si>
    <t>11-08 SE REALIZA LLAMADA AL CLIENTE, SE HABLA CON LA SRA DERLYN LOPEZ HERNANDEZ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t>
  </si>
  <si>
    <t>FIZZZ309</t>
  </si>
  <si>
    <t>TA-25-952476</t>
  </si>
  <si>
    <t>YARUMAL</t>
  </si>
  <si>
    <t>BARRIO VARIANTE YARUMAL</t>
  </si>
  <si>
    <t>FO-25-1360360</t>
  </si>
  <si>
    <t>11-08 SE REALIZA LLAMADA AL CLIENTE, SE HABLA CON EL SR ANIBAL DAGOBERTO AMAYA MUÑOZ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</si>
  <si>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FIZZZ310</t>
  </si>
  <si>
    <t>TA-25-952478</t>
  </si>
  <si>
    <t>BARRIO NECOCLI ANTIOQUIA NECOCLI</t>
  </si>
  <si>
    <t>FO-25-1360365</t>
  </si>
  <si>
    <t>11-08 SE REALIZA LLAMADA AL CLIENTE, SE HABLA CON LA SRA CATERINE CASTRO GUTIERREZ SE VALIDA DIRECCIÓN OK, CANAL OK, DISPONIBILIDAD TOTAL, LLAMAR EL DÍA LA INSTALACIÓN PARA CONFIRMAR VISITA, AVISO EXTERIOR ALTURA APROX 3.04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t>
  </si>
  <si>
    <t>FIZZZ311</t>
  </si>
  <si>
    <t>TA-25-952479</t>
  </si>
  <si>
    <t>BARRIO CENTRO PEREIRA 54</t>
  </si>
  <si>
    <t>FO-25-1360368</t>
  </si>
  <si>
    <t>11-08 SE REALIZA LLAMADA AL CLIENTE, SE HABLA CON LA SRA KELY VIVIANA POSADA URIBE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</si>
  <si>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FIZZZ312</t>
  </si>
  <si>
    <t>TA-25-952483</t>
  </si>
  <si>
    <t>BARRIO CORR DE SANTA BARBARA PASTO</t>
  </si>
  <si>
    <t>FO-25-1360373</t>
  </si>
  <si>
    <t>11-08 SE REALIZA LLAMADA AL CLIENTE, SE HABLA CON LA SR JULIO CESAR LOPEZ DIAZ SE VALIDA DIRECCIÓN OK, CANAL OK, DISPONIBILIDAD TOTAL, LLAMAR EL DÍA LA INSTALACIÓN PARA CONFIRMAR VISITA, AVISO EXTERIOR ALTURA APROX 3 METROS; TOMACORRIENTE CERCANO: SI; TIENE CABINA DE SEGURIDAD: NO 12-08 SE REALIZA INSTALACIÓN DE CORRESPONSAL, SE INSTALAN EQUIPOS CON PRUEBAS EXITOSAS, SE CAPACITA Y SE EVALÚA AL CLIENTE, SE INSTALA PUBLICIDAD COMPLETA, CB QUEDA OPERATIVO. USUARIO SOMOS BANCOLOMBIA ACTIVO</t>
  </si>
  <si>
    <t>GUERRERO RAMIREZ OSCAR DARIO</t>
  </si>
  <si>
    <t>FIZZZ313</t>
  </si>
  <si>
    <t>TA-25-952485</t>
  </si>
  <si>
    <t>BARRIO LOS MUISCAS TUNJA 9</t>
  </si>
  <si>
    <t>FO-25-1360377</t>
  </si>
  <si>
    <t>11-08 SE REALIZA LLAMADA AL CLIENTE, SE HABLA CON LA SRA YULI PAOLA GÓMEZ BARRERA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t>
  </si>
  <si>
    <t>FIZZZ314</t>
  </si>
  <si>
    <t>TA-25-952486</t>
  </si>
  <si>
    <t>PAMPLONA</t>
  </si>
  <si>
    <t>BARRIO LOS CEREZOS PAMPLONA</t>
  </si>
  <si>
    <t>FO-25-1360379</t>
  </si>
  <si>
    <t>11-08 SE REALIZA LLAMADA AL CLIENTE, SE HABLA CON LA SRA MAYRA ALEJANDRA BARAJAS LIZARAZO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</si>
  <si>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FIZZZ315</t>
  </si>
  <si>
    <t>TA-25-952488</t>
  </si>
  <si>
    <t>BARRIO SANTO DOMINGO PAMPLONA 2</t>
  </si>
  <si>
    <t>FO-25-1360385</t>
  </si>
  <si>
    <t>11-08 SE REALIZA LLAMADA AL CLIENTE, SE HABLA CON LA SR JAVIER ENRIQUE TORRES GUTIERREZ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</si>
  <si>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FIZZZ316</t>
  </si>
  <si>
    <t>TA-25-952490</t>
  </si>
  <si>
    <t>BARRIO LA ESPERANZA BOGOTA 4</t>
  </si>
  <si>
    <t>FO-25-1360389</t>
  </si>
  <si>
    <t>11-08 SE REALIZA LLAMADA AL CLIENTE, SE HABLA CON LA SRA LIGIA ELENA GONZALEZ GONZALEZSE VALIDA DIRECCIÓN OK, CANAL OK, DISPONIBILIDAD TOTAL, LLAMAR EL DÍA LA INSTALACIÓN PARA CONFIRMAR VISITA, AVISO EXTERIOR ALTURA APROX 3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t>
  </si>
  <si>
    <t>FIZZZ317</t>
  </si>
  <si>
    <t>TA-25-952491</t>
  </si>
  <si>
    <t>BARRIO ARMANDO VASQUEZ CANDELARIA</t>
  </si>
  <si>
    <t>FO-25-1360392</t>
  </si>
  <si>
    <t>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t>
  </si>
  <si>
    <t>FIZZZ318</t>
  </si>
  <si>
    <t>TA-25-952494</t>
  </si>
  <si>
    <t>BARRIO NEVADO MANIZALES 2</t>
  </si>
  <si>
    <t>FO-25-1360397</t>
  </si>
  <si>
    <t>11-08 SE REALIZA LLAMADA AL CLIENTE, SE HABLA CON LA SR ALBEIRO BLANDON RAMIREZ  SE VALIDA DIRECCIÓN OK, CANAL OK, DISPONIBILIDAD TOTAL, LLAMAR EL DÍA LA INSTALACIÓN PARA CONFIRMAR VISITA, AVISO EXTERIOR ALTURA: NO INDICA ALTURA; TOMACORRIENTE CERCANO: SI; TIENE CABINA DE SEGURIDAD: NO 12/08/2025 SE REALIZA INSTALACIÓN DE CORRESPONSAL, SE INSTALAN EQUIPOS CON PRUEBAS EXITOSAS, SE CAPACITA Y SE EVALÚA AL CLIENTE, SE INSTALA PUBLICIDAD COMPLETA, CB QUEDA OPERATIVO. USUARIO SOMOS BANCOLOMBIA ACTIVO</t>
  </si>
  <si>
    <t>FIZZZ319</t>
  </si>
  <si>
    <t>TA-25-952495</t>
  </si>
  <si>
    <t>BARRIO BOSA CARBONEL BOGOTA 1</t>
  </si>
  <si>
    <t>FO-25-1374679</t>
  </si>
  <si>
    <t>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t>
  </si>
  <si>
    <t>FIZZZ320</t>
  </si>
  <si>
    <t>TA-25-952496</t>
  </si>
  <si>
    <t>TARAZA</t>
  </si>
  <si>
    <t>BARRIO SAN NICOLAS TARAZA 1</t>
  </si>
  <si>
    <t>FO-25-1360406</t>
  </si>
  <si>
    <t xml:space="preserve">10-08 SE REALIZA LLAMADA AL CLIENTE, SE HABLA CON LA SR FERNEY ANTONIO CASTILLO PASTRANA SE VALIDA DIRECCIÓN OK, CANAL OK, DISPONIBILIDAD TOTAL, LLAMAR EL DÍA LA INSTALACIÓN PARA CONFIRMAR VISITA, AVISO EXTERIOR ALTURA APROX 2 METROS; TOMACORRIENTE CERCANO: SI; TIENE CABINA DE SEGURIDAD: NO 12/08/2025 VISITAMOS PUNTO PARA INSTALACIÓN ENCONTRANDO QUE YA HAY OTRO EXISTENTE A MEDIA CUADRA CON CODIGO 3007077869 PTM SAN NICOLAS TARAZA. ESTE PUNTO FUE TRASLADADO HACE UN MES A ESTA NUEVA DIRECCIÓN. USUARIO DE INSTALACIÓN DE HOY COMENTA QUE CUANDO PASÓ LOS PAPELES PARA SOLICITAR EL CORRESPONSAL NO EXISTÍA ESE OTRO CB EN ESTA DIRECCIÓN SINO QUE SE TRASLADÓ COMO COMENTAMOS ANTERIORMENTE. COORDENADAS PUNTO EXISTENTE: 7.584959 -75.400686 COORDENADAS PUNTO NUEVO: 7.584725 -75.400914  14/08/2025 ENTIDAD SOLICITA CANCELAR </t>
  </si>
  <si>
    <t>FIZZZ321</t>
  </si>
  <si>
    <t>TA-25-952497</t>
  </si>
  <si>
    <t>BARRIO URB NIZA CUCUTA 2</t>
  </si>
  <si>
    <t>FO-25-1360408</t>
  </si>
  <si>
    <t>11-08 SE REALIZA LLAMADA AL CLIENTE, SE HABLA CON LA SRA ANDREA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</si>
  <si>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FIZZZ322</t>
  </si>
  <si>
    <t>TA-25-952498</t>
  </si>
  <si>
    <t>BARRIO VEINTE DE JULIO SINCELEJO</t>
  </si>
  <si>
    <t>FO-25-1360411</t>
  </si>
  <si>
    <t>11-08 SE REALIZA LLAMADA AL CLIENTE, SE HABLA CON LA SR FABIAN TORRES  SE VALIDA DIRECCIÓN OK, CANAL OK, DISPONIBILIDAD TOTAL, LLAMAR EL DÍA LA INSTALACIÓN PARA CONFIRMAR VISITA, AVISO EXTERIOR ALTURA APROX 3 METROS; TOMACORRIENTE CERCANO: SI; TIENE CABINA DE SEGURIDAD: NO - EL MODEM ESTA 7 MT  12-08 SE REALIZA INSTALACIÓN DE CORRESPONSAL, SE INSTALAN EQUIPOS CON PRUEBAS EXITOSAS, SE CAPACITA Y SE EVALÚA AL CLIENTE, SE INSTALA PUBLICIDAD COMPLETA, CB QUEDA OPERATIVO. USUARIO SOMOS BANCOLOMBIA ACTIVO</t>
  </si>
  <si>
    <t>FIZZZ323</t>
  </si>
  <si>
    <t>TA-25-952501</t>
  </si>
  <si>
    <t>BARRIO CENTRO PEREIRA 53</t>
  </si>
  <si>
    <t>FO-25-1360416</t>
  </si>
  <si>
    <t>11-08 SE REALIZA LLAMADA AL CLIENTE, SE HABLA CON LA SRA KELLY JOHANA SANCHEZ DELGADO SE VALIDA DIRECCIÓN OK, CANAL OK, DISPONIBILIDAD TOTAL, LLAMAR EL DÍA LA INSTALACIÓN PARA CONFIRMAR VISITA, AVISO EXTERIOR ALTURA APROX 3 METROS; TOMACORRIENTE CERCANO: SI; TIENE CABINA DE SEGURIDAD: SI  12/08/2025 SE REALIZA INSTALACIÓN DE CORRESPONSAL POR CAMBIO DE RAZON SOCIAL, SE INSTALAN EQUIPOS CON PRUEBAS EXITOSAS, SE CAPACITA Y SE EVALÚA AL CLIENTE, SE INSTALA SOLO FLANGGER LA DEMAS PUBLICIDAD YA ESTABA INSTALADA, CB QUEDA OPERATIVO. USUARIO SOMOS BANCOLOMBIA ACTIVO</t>
  </si>
  <si>
    <t>FIZZZ324</t>
  </si>
  <si>
    <t>TA-25-952502</t>
  </si>
  <si>
    <t>BARRIO CENTRO ORIENTAL CON HUEVO MEDELLIN</t>
  </si>
  <si>
    <t>FO-25-1360419</t>
  </si>
  <si>
    <t>11-08 SE REALIZA LLAMADA AL CLIENTE, SE HABLA CON EL SR FRANCISCO LUIS MONTOYA TAMAYO SE VALIDA DIRECCIÓN OK, CANAL OK, DISPONIBILIDAD TOTAL, LLAMAR EL DÍA LA INSTALACIÓN PARA CONFIRMAR VISITA, AVISO EXTERIOR ALTURA APROX 2 METROS; TOMACORRIENTE CERCANO: SI; TIENE CABINA DE SEGURIDAD: SI 12/08/2025 SE REALIZA INSTALACIÓN DE CORRESPONSAL, SE INSTALAN EQUIPOS CON PRUEBAS EXITOSAS, SE CAPACITA Y SE EVALÚA AL CLIENTE, SE INSTALA PUBLICIDAD COMPLETA, CB QUEDA OPERATIVO. USUARIO SOMOS BANCOLOMBIA ACTIVO</t>
  </si>
  <si>
    <t>FIZZZ325</t>
  </si>
  <si>
    <t>TA-25-952503</t>
  </si>
  <si>
    <t>BARRIO BELEN MEDELLIN 18</t>
  </si>
  <si>
    <t>FO-25-1360424</t>
  </si>
  <si>
    <t>11-08 SE REALIZA LLAMADA AL CLIENTE, SE HABLA CON LA SRA  Yuly Builes SE VALIDA DIRECCIÓN OK, CANAL OK, DISPONIBILIDAD TOTAL, LLAMAR EL DÍA LA INSTALACIÓN PARA CONFIRMAR VISITA, AVISO EXTERIOR ALTURA APROX 2.20 METROS; TOMACORRIENTE CERCANO: SI; TIENE CABINA DE SEGURIDAD: NO - COMUNICACIÓN POR WPP 12-08 SE REALIZA INSTALACIÓN DE CORRESPONSAL, SE INSTALAN EQUIPOS CON PRUEBAS EXITOSAS, SE CAPACITA Y SE EVALÚA AL CLIENTE, SE INSTALA SOLO FLANGGER LA DEMAS PUBLICIDAD YA ESTABA INSTALADA, CB QUEDA OPERATIVO. USUARIO SOMOS BANCOLOMBIA ACTIVO</t>
  </si>
  <si>
    <t>FIZZZ326</t>
  </si>
  <si>
    <t>TA-25-952504</t>
  </si>
  <si>
    <t>MARSELLA</t>
  </si>
  <si>
    <t>BARRIO CENTRO MARSELLA 7</t>
  </si>
  <si>
    <t>FO-25-1360428</t>
  </si>
  <si>
    <t>11-08 SE REALIZA LLAMADA AL CLIENTE, SE HABLA CON EL SR CELSO MARTINEZ ORTIZ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</si>
  <si>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FIZZZ327</t>
  </si>
  <si>
    <t>TA-25-952505</t>
  </si>
  <si>
    <t>BARRIO CENTRO LA CELIA 7</t>
  </si>
  <si>
    <t>FO-25-1360430</t>
  </si>
  <si>
    <t>11-08 SE REALIZA LLAMADA AL CLIENTE, SE HABLA CON EL SR NESTOR IVAN CASTAÑO SOTO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</si>
  <si>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FIZZZ328</t>
  </si>
  <si>
    <t>TA-25-952506</t>
  </si>
  <si>
    <t>BARRIO MARCO FIDEL SUAREZ BOGOTA 8</t>
  </si>
  <si>
    <t>FO-25-1360435</t>
  </si>
  <si>
    <t>11-08 SE REALIZA LLAMADA AL CLIENTE, SE HABLA CON LA SR WILSON OSWALDO GARZON GARZON SE VALIDA DIRECCIÓN OK, CANAL OK, DISPONIBILIDAD TOTAL, LLAMAR EL DÍA LA INSTALACIÓN PARA CONFIRMAR VISITA, AVISO EXTERIOR ALTURA: NO INDICA ALTURA; TOMACORRIENTE CERCANO: SI; TIENE CABINA DE SEGURIDAD: SI 12/08/2025 SE REALIZA INSTALACIÓN DE CORRESPONSAL, SE INSTALAN EQUIPOS CON PRUEBAS EXITOSAS, SE CAPACITA Y SE EVALÚA AL CLIENTE, SE INSTALA PUBLICIDAD COMPLETA, CB QUEDA OPERATIVO. USUARIO SOMOS BANCOLOMBIA ACTIVO. NOTA: DESPUES DE INSTALADO EL CORRESPOSAL ENTIDAD SOLICITO REALIZAR EL RETIRO NO INDICARON EL MOTIVO</t>
  </si>
  <si>
    <t>FIZZZ329</t>
  </si>
  <si>
    <t>TA-25-952507</t>
  </si>
  <si>
    <t>LOS SANTOS</t>
  </si>
  <si>
    <t>BARRIO LOS SANTOS LOS SANTOS 1</t>
  </si>
  <si>
    <t>FO-25-1360440</t>
  </si>
  <si>
    <t>11-08 SE REALIZA LLAMADA AL CLIENTE, SE HABLA CON LA SRA ERICA YURLEY CACERES DELGADO SE VALIDA DIRECCIÓN OK, CANAL OK, DISPONIBILIDAD TOTAL, LLAMAR EL DÍA LA INSTALACIÓN PARA CONFIRMAR VISITA, AVISO EXTERIOR ALTURA APROX 2 METROS; TOMACORRIENTE CERCANO: SI; TIENE CABINA DE SEGURIDAD: NO - COMUNICACIÓN POR WPP12/08/2025 SE REALIZA INSTALACIÓN DE CORRESPONSAL, SE INSTALAN EQUIPOS CON PRUEBAS EXITOSAS, SE CAPACITA Y SE EVALÚA AL CLIENTE, SE INSTALA PUBLICIDAD COMPLETA, CB QUEDA OPERATIVO. USUARIO SOMOS BANCOLOMBIA ACTIVO</t>
  </si>
  <si>
    <t>FIZZZ330</t>
  </si>
  <si>
    <t>TA-25-952508</t>
  </si>
  <si>
    <t>BARRIO LA POLA IBAGUE 7</t>
  </si>
  <si>
    <t>FO-25-1360444</t>
  </si>
  <si>
    <t>11-08 SE REALIZA LLAMADA AL CLIENTE, SE HABLA CON LA SRA MARÍA ALEJANDRA CORREA DELGADO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</si>
  <si>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FIZZZ331</t>
  </si>
  <si>
    <t>TA-25-952514</t>
  </si>
  <si>
    <t>BARRIO ACAPULCO VILLAVICENCIO 2</t>
  </si>
  <si>
    <t>FO-25-1360451</t>
  </si>
  <si>
    <t>11-08 SE REALIZA LLAMADA AL CLIENTE, SE HABLA CON LA SRA YESICA VICTORIA ESPITIA GONZÁLEZ  VERGEL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</si>
  <si>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FIZZZ333</t>
  </si>
  <si>
    <t>TA-25-969495</t>
  </si>
  <si>
    <t>DISTRICOL PET SHOP MI TAPITO</t>
  </si>
  <si>
    <t>FO-25-1371520</t>
  </si>
  <si>
    <t>13-08 PROGRAMACIÓN REALIZADA POR LA ALIANZA 14/08/2025 SE REALIZA INSTALACIÓN DE CORRESPONSAL, SE INSTALAN EQUIPOS CON PRUEBAS EXITOSAS, SE CAPACITA Y SE EVALÚA AL CLIENTE, SE INSTALA PUBLICIDAD COMPLETA, CB QUEDA OPERATIVO. USUARIO SOMOS BANCOLOMBIA ACTIVO</t>
  </si>
  <si>
    <t>FJZZZ887</t>
  </si>
  <si>
    <t>TA-25-969518</t>
  </si>
  <si>
    <t>DISTRICOL LA VIÑA JCI</t>
  </si>
  <si>
    <t>FO-25-1371529</t>
  </si>
  <si>
    <t>FJZZZ888</t>
  </si>
  <si>
    <t>TA-25-969535</t>
  </si>
  <si>
    <t>DISTRICOL EDEMAT GROUP S.A.S.</t>
  </si>
  <si>
    <t>FO-25-1371534</t>
  </si>
  <si>
    <t>13-08 PROGRAMACIÓN REALIZADA POR LA ALIANZA 15/08/2025 SE REALIZA INSTALACIÓN DE CORRESPONSAL, SE INSTALAN EQUIPOS CON PRUEBAS EXITOSAS, SE CAPACITA Y SE EVALÚA AL CLIENTE, SE INSTALA PUBLICIDAD COMPLETA, CB QUEDA OPERATIVO. USUARIO SOMOS BANCOLOMBIA ACTIVO</t>
  </si>
  <si>
    <t>FJZZZ889</t>
  </si>
  <si>
    <t>TA-25-969537</t>
  </si>
  <si>
    <t>DISTRICOL CARNES LAS MERCEDES</t>
  </si>
  <si>
    <t>FO-25-1371536</t>
  </si>
  <si>
    <t>FJZZZ890</t>
  </si>
  <si>
    <t>TA-25-969539</t>
  </si>
  <si>
    <t>DISTRICOL PC BELEN 76</t>
  </si>
  <si>
    <t>FO-25-1371538</t>
  </si>
  <si>
    <t>FJZZZ891</t>
  </si>
  <si>
    <t>TA-25-969540</t>
  </si>
  <si>
    <t>PTM MEDELLIN AUTOSERVICIO LA P</t>
  </si>
  <si>
    <t>FO-25-1371541</t>
  </si>
  <si>
    <t>FJZZZ892</t>
  </si>
  <si>
    <t>TA-25-969541</t>
  </si>
  <si>
    <t>PTM MEDELLIN AJN TRAVEL</t>
  </si>
  <si>
    <t>FO-25-1371543</t>
  </si>
  <si>
    <t>FJZZZ893</t>
  </si>
  <si>
    <t>TA-25-969543</t>
  </si>
  <si>
    <t>PTM MEDELLIN MISCELANEA LA TAT</t>
  </si>
  <si>
    <t>FO-25-1371545</t>
  </si>
  <si>
    <t>FJZZZ894</t>
  </si>
  <si>
    <t>TA-25-969547</t>
  </si>
  <si>
    <t>PTM BELLO MISCELANEA SOLUCION</t>
  </si>
  <si>
    <t>FO-25-1371547</t>
  </si>
  <si>
    <t>13-08 PROGRAMACIÓN REALIZADA POR LA ALIANZA 15-08 SE REALIZA INSTALACIÓN DE CORRESPONSAL, SE INSTALAN EQUIPOS CON PRUEBAS EXITOSAS, SE CAPACITA Y SE EVALÚA AL CLIENTE, SE INSTALA PUBLICIDAD COMPLETA, CB QUEDA OPERATIVO. USUARIO SOMOS BANCOLOMBIA ACTIVO</t>
  </si>
  <si>
    <t>FJZZZ895</t>
  </si>
  <si>
    <t>TA-25-969548</t>
  </si>
  <si>
    <t>PTM CALDAS BOTANICASALOMON</t>
  </si>
  <si>
    <t>FO-25-1371550</t>
  </si>
  <si>
    <t>13-08 PROGRAMACIÓN REALIZADA POR LA ALIANZA 15/08/2025 SE REALIZA INSTALACIÓN DE CORRESPONSAL, SE INSTALAN EQUIPOS CON PRUEBAS EXITOSAS, NO SE CAPACITA USUARIO INDICA QUE NO REQUIERE, SE INSTALA PUBLICIDAD COMPLETA, CB QUEDA OPERATIVO. USUARIO SOMOS BANCOLOMBIA ACTIVO</t>
  </si>
  <si>
    <t>FJZZZ896</t>
  </si>
  <si>
    <t>TA-25-969549</t>
  </si>
  <si>
    <t>DISTRICOL TIENDA ISABELLA´S</t>
  </si>
  <si>
    <t>FO-25-1371553</t>
  </si>
  <si>
    <t>13-08 PROGRAMACIÓN REALIZADA POR LA ALIANZA 14-08 SE REALIZA INSTALACIÓN DE CORRESPONSAL, SE INSTALAN EQUIPOS CON PRUEBAS EXITOSAS, SE CAPACITA Y SE EVALÚA AL CLIENTE, SE INSTALA PUBLICIDAD COMPLETA, CB QUEDA OPERATIVO. USUARIO SOMOS BANCOLOMBIA ACTIVO</t>
  </si>
  <si>
    <t>FJZZZ897</t>
  </si>
  <si>
    <t>TA-25-969553</t>
  </si>
  <si>
    <t>LA CEJA</t>
  </si>
  <si>
    <t>DISTRICOL CREDIPLUS M Y M</t>
  </si>
  <si>
    <t>FO-25-1371556</t>
  </si>
  <si>
    <t>FJZZZ898</t>
  </si>
  <si>
    <t>TA-25-969556</t>
  </si>
  <si>
    <t>DISTRICOL Q´CHICHA S.A.S.</t>
  </si>
  <si>
    <t>FO-25-1371558</t>
  </si>
  <si>
    <t>FJZZZ899</t>
  </si>
  <si>
    <t>TA-25-969557</t>
  </si>
  <si>
    <t>DISTRICOL FREA HOM</t>
  </si>
  <si>
    <t>FO-25-1371561</t>
  </si>
  <si>
    <t>FJZZZ900</t>
  </si>
  <si>
    <t>TA-25-969558</t>
  </si>
  <si>
    <t>DISTRICOL R&amp;M SEGUROS SERVICIO</t>
  </si>
  <si>
    <t>FO-25-1371563</t>
  </si>
  <si>
    <t>FJZZZ901</t>
  </si>
  <si>
    <t>TA-25-969559</t>
  </si>
  <si>
    <t>SANTANA</t>
  </si>
  <si>
    <t>DISTRICOL KAROLAY PLATINUM</t>
  </si>
  <si>
    <t>FO-25-1371565</t>
  </si>
  <si>
    <t>FJZZZ902</t>
  </si>
  <si>
    <t>TA-25-969560</t>
  </si>
  <si>
    <t>DISTRICOL V&amp;C DE LA AMAZONIA</t>
  </si>
  <si>
    <t>FO-25-1371567</t>
  </si>
  <si>
    <t>13-08 PROGRAMACIÓN REALIZADA POR LA ALIANZA14/08/2025 SE REALIZA VISITA SOBRE LA CRA Y CALLE PARA LA IMPLEMENTACIÓN DEL CB  81013, PERO LA DIRECCIÓN RELACIONADA EN LISTA DE CHEQUEO NO ESTÁ EN SOBRE LA CRA Y CALLE, TAMPOCO HAY UN COMERCIO CON EL NOMBRE RELACIONADO EN LISTA DE CHEQUEO, SE EVIDENCIA   CR 8A # 5B – 71 QUE ES UN COLEGIÓ Y EN FRENTE DONDE PODRÍA SER CR 8A # 5B – 78, PERO ES UN LOTE ENMONTADO DONDE NO HAY CASAS., SE BUSCO EN TODA LA CALLE Y SON CASAS Y NINGUNA CON ESA NOMENCLATURA. . POR TAL RAZÓN SE CANCELA. ANEXO EVIDENCIAS ENCONTRADAS</t>
  </si>
  <si>
    <t>FJZZZ903</t>
  </si>
  <si>
    <t>TA-25-969567</t>
  </si>
  <si>
    <t>CARTAGENA DEL CHAIRA</t>
  </si>
  <si>
    <t>DISTRICOL CROCHET ROSA MONTANA</t>
  </si>
  <si>
    <t>FO-25-1371573</t>
  </si>
  <si>
    <t>13-08 PROGRAMACIÓN REALIZADA POR LA ALIANZA 20/08/2025 SE REALIZA INSTALACIÓN DE CORRESPONSAL, SE INSTALAN EQUIPOS CON PRUEBAS EXITOSAS, SE CAPACITA Y SE EVALÚA AL CLIENTE, SE INSTALA PUBLICIDAD COMPLETA, CB QUEDA OPERATIVO. USUARIO SOMOS BANCOLOMBIA ACTIVO</t>
  </si>
  <si>
    <t>FJZZZ904</t>
  </si>
  <si>
    <t>TA-25-969568</t>
  </si>
  <si>
    <t>MILAN</t>
  </si>
  <si>
    <t>DISTRICOL MISELANEA FAMILIAR</t>
  </si>
  <si>
    <t>FO-25-1371575</t>
  </si>
  <si>
    <t>FJZZZ905</t>
  </si>
  <si>
    <t>TA-25-969569</t>
  </si>
  <si>
    <t>PTM POPAYAN COPILIGT</t>
  </si>
  <si>
    <t>FO-25-1371577</t>
  </si>
  <si>
    <t>FJZZZ906</t>
  </si>
  <si>
    <t>TA-25-969570</t>
  </si>
  <si>
    <t>PLANETA RICA</t>
  </si>
  <si>
    <t>DISTRICOL ABASTOS PROGRESO G</t>
  </si>
  <si>
    <t>FO-25-1371579</t>
  </si>
  <si>
    <t>13-08 PROGRAMACIÓN REALIZADA POR LA ALIANZA 15-08 SE ESTÁ BLECE COMUNIACION CON EL CLIENTE GERALDINE PÉREZ INDICA QUE POR FUERTES LLUVIAS EN EL CORREGIMIENTO SE INTERRUMPIÓ EL FLUIDO ELÉCTRICO, SOLICITA REPROGRAMAR VISTA PARA EL DÍA SÁBADO 16/08/202516-08 SE REALIZA INSTALACIÓN DE CORRESPONSAL, SE INSTALAN EQUIPOS CON PRUEBAS EXITOSAS, SE CAPACITA Y SE EVALÚA AL CLIENTE, SE INSTALA PUBLICIDAD COMPLETA, CB QUEDA OPERATIVO. USUARIO SOMOS BANCOLOMBIA ACTIVO</t>
  </si>
  <si>
    <t>FJZZZ907</t>
  </si>
  <si>
    <t>TA-25-969571</t>
  </si>
  <si>
    <t>DISTRICOL LA PATRONA CATERING</t>
  </si>
  <si>
    <t>FO-25-1371581</t>
  </si>
  <si>
    <t>FJZZZ908</t>
  </si>
  <si>
    <t>TA-25-969572</t>
  </si>
  <si>
    <t>ACANDI</t>
  </si>
  <si>
    <t>DISTRICOL DROGUEINTEGRAL</t>
  </si>
  <si>
    <t>FO-25-1371584</t>
  </si>
  <si>
    <t>13-08 PROGRAMACIÓN REALIZADA POR LA ALIANZA 21-08 SE REALIZA INSTALACIÓN DE CORRESPONSAL, SE INSTALAN EQUIPOS CON PRUEBAS EXITOSAS, SE CAPACITA Y SE EVALÚA AL CLIENTE, SE INSTALA PUBLICIDAD COMPLETA, CB QUEDA OPERATIVO. USUARIO SOMOS BANCOLOMBIA ACTIVO</t>
  </si>
  <si>
    <t>FJZZZ909</t>
  </si>
  <si>
    <t>TA-25-969573</t>
  </si>
  <si>
    <t>RIOSUCIO</t>
  </si>
  <si>
    <t>DISTRICOL QUÍMICOS LOS 3 REYES</t>
  </si>
  <si>
    <t>FO-25-1371586</t>
  </si>
  <si>
    <t>13-08 PROGRAMACIÓN REALIZADA POR LA ALIANZA 25-08 SE REALIZA INSTALACIÓN DE CORRESPONSAL, SE INSTALAN EQUIPOS CON PRUEBAS EXITOSAS, SE CAPACITA Y SE EVALÚA AL CLIENTE, SE INSTALA PUBLICIDAD COMPLETA, CB QUEDA OPERATIVO. USUARIO SOMOS BANCOLOMBIA ACTIVO</t>
  </si>
  <si>
    <t>FJZZZ910</t>
  </si>
  <si>
    <t>TA-25-969574</t>
  </si>
  <si>
    <t>AIPE</t>
  </si>
  <si>
    <t>DISTRICOL MULTIPRODUCTOS MISCE</t>
  </si>
  <si>
    <t>FO-25-1371588</t>
  </si>
  <si>
    <t>FJZZZ911</t>
  </si>
  <si>
    <t>TA-25-969575</t>
  </si>
  <si>
    <t>GARZON</t>
  </si>
  <si>
    <t>DISTRICOL FAMILIAR MAX SUPER</t>
  </si>
  <si>
    <t>FO-25-1371591</t>
  </si>
  <si>
    <t>FJZZZ912</t>
  </si>
  <si>
    <t>SANTA MARTA</t>
  </si>
  <si>
    <t>TA-25-969576</t>
  </si>
  <si>
    <t>LA GUAJIRA</t>
  </si>
  <si>
    <t>RIOHACHA</t>
  </si>
  <si>
    <t>DISTRICOL EKIRAASEDECALLEANCHA</t>
  </si>
  <si>
    <t>FO-25-1371595</t>
  </si>
  <si>
    <t>FJZZZ913</t>
  </si>
  <si>
    <t>TA-25-969577</t>
  </si>
  <si>
    <t>DISTRICOL VARIEDAPAPELERIGLEY</t>
  </si>
  <si>
    <t>FO-25-1371598</t>
  </si>
  <si>
    <t>FJZZZ914</t>
  </si>
  <si>
    <t>TA-25-969581</t>
  </si>
  <si>
    <t>PTM RIOACHA TIENDA DEPORTIVA F</t>
  </si>
  <si>
    <t>FO-25-1371601</t>
  </si>
  <si>
    <t>FJZZZ915</t>
  </si>
  <si>
    <t>TA-25-969582</t>
  </si>
  <si>
    <t>DIBULLA</t>
  </si>
  <si>
    <t>DISTRICOL DROGUERIA ALFARERO 2</t>
  </si>
  <si>
    <t>FO-25-1371604</t>
  </si>
  <si>
    <t>THOMAS  CAMPO SIGIFREDO SEGUNDO</t>
  </si>
  <si>
    <t>FJZZZ916</t>
  </si>
  <si>
    <t>TA-25-969586</t>
  </si>
  <si>
    <t>MAICAO</t>
  </si>
  <si>
    <t>DISTRICOL HELADERIADULTENTACIO</t>
  </si>
  <si>
    <t>FO-25-1371609</t>
  </si>
  <si>
    <t>BENITEZ CARVAJAL ALVARO JAVIER</t>
  </si>
  <si>
    <t>FJZZZ917</t>
  </si>
  <si>
    <t>TA-25-969588</t>
  </si>
  <si>
    <t>DISTRICOL DROGUERI GRAN TREBOL</t>
  </si>
  <si>
    <t>FO-25-1371613</t>
  </si>
  <si>
    <t>FJZZZ918</t>
  </si>
  <si>
    <t>TA-25-969591</t>
  </si>
  <si>
    <t>DISTRICOL DROG SUPEREXTRABAR 2</t>
  </si>
  <si>
    <t>FO-25-1371617</t>
  </si>
  <si>
    <t>13-08 PROGRAMACIÓN REALIZADA POR LA ALIANZA 15/08/2025SE VISITA EL COMERCIO PARA REALIZAR APERTURA PERO NO ES POSIBLE YA QUE EN EL COMERCIO FUNCIONA CORRESPONSAL AVAL POR LO QUE NO SE APERTURA</t>
  </si>
  <si>
    <t>FJZZZ919</t>
  </si>
  <si>
    <t>TA-25-969595</t>
  </si>
  <si>
    <t>DISTRICOL DROG FARMAMEDIC</t>
  </si>
  <si>
    <t>FO-25-1371620</t>
  </si>
  <si>
    <t>FJZZZ920</t>
  </si>
  <si>
    <t>TA-25-969610</t>
  </si>
  <si>
    <t>DISTRICOL DROG LA PRESENTACION</t>
  </si>
  <si>
    <t>FO-25-1371622</t>
  </si>
  <si>
    <t xml:space="preserve">13-08 PROGRAMACIÓN REALIZADA POR LA ALIANZA 14/08/2025 SE REALIZÓ VISITA AL COMERCIO PERO NO SE REALIZÓ INSTALACIÓN DEL CORRESPONSAL POR DIRECCIÓN ERRADA, EN LISTA DE CHEQUEO APARECE DIRECCIÓN CR 3 # 6 - 11 BRR LA PRESENTACION AL IGUAL QUE EN CAMARA DE COMERCIO, PERO EL COMERCIO ESTA UBICADO EN DIRECCIÓN CRA 2 11-67 POR LO QUE SE VALIDA CON REDEBAN Y SE CANCELA LA APERTURA </t>
  </si>
  <si>
    <t>FJZZZ921</t>
  </si>
  <si>
    <t>TA-25-969626</t>
  </si>
  <si>
    <t>DISTRICOL MAX PLAX</t>
  </si>
  <si>
    <t>FO-25-1371624</t>
  </si>
  <si>
    <t>13-08 PROGRAMACIÓN REALIZADA POR LA ALIANZA 14/08/2025 SE CONTACTA TELEFÓNICAMENTE AL CLIENTE, EL SEÑOR MANUEL REYES, CONFIRMA DATOS OK, SOLICITA QUE SE REALICE LA VISITA EL DÍA DE MAÑANA 15/08. 15/08/2025 SE REALIZA INSTALACIÓN DE CORRESPONSAL, SE INSTALAN EQUIPOS CON PRUEBAS EXITOSAS, SE CAPACITA Y SE EVALÚA AL CLIENTE, SE INSTALA PUBLICIDAD COMPLETA, CB QUEDA OPERATIVO. USUARIO SOMOS BANCOLOMBIA ACTIVO</t>
  </si>
  <si>
    <t>FJZZZ922</t>
  </si>
  <si>
    <t>TA-25-969639</t>
  </si>
  <si>
    <t>DISTRICOL ZULYRINCODENTALCLINI</t>
  </si>
  <si>
    <t>FO-25-1371629</t>
  </si>
  <si>
    <t>FJZZZ923</t>
  </si>
  <si>
    <t>TA-25-969648</t>
  </si>
  <si>
    <t>DISTRICOL MULTISERVICIOS ARKAD</t>
  </si>
  <si>
    <t>FO-25-1371631</t>
  </si>
  <si>
    <t>FJZZZ924</t>
  </si>
  <si>
    <t>TA-25-969652</t>
  </si>
  <si>
    <t>QUIMBAYA</t>
  </si>
  <si>
    <t>DISTRICOL TONNY RYP SERVICIOS</t>
  </si>
  <si>
    <t>FO-25-1371636</t>
  </si>
  <si>
    <t>FJZZZ925</t>
  </si>
  <si>
    <t>TA-25-969654</t>
  </si>
  <si>
    <t>DISTRICOL TECNOMANIA EL GOCHO</t>
  </si>
  <si>
    <t>FO-25-1371640</t>
  </si>
  <si>
    <t>FJZZZ926</t>
  </si>
  <si>
    <t>TA-25-969655</t>
  </si>
  <si>
    <t>APIA</t>
  </si>
  <si>
    <t>DISTRICOL SWEET GIRL BY EMILY</t>
  </si>
  <si>
    <t>FO-25-1371643</t>
  </si>
  <si>
    <t>FJZZZ927</t>
  </si>
  <si>
    <t>TA-25-969656</t>
  </si>
  <si>
    <t>PTM BUCARAMANGA DESTELLOS CYC</t>
  </si>
  <si>
    <t>FO-25-1371647</t>
  </si>
  <si>
    <t>ORTEGA BARRERAGA MARLON STWAR</t>
  </si>
  <si>
    <t>FJZZZ928</t>
  </si>
  <si>
    <t>TA-25-969658</t>
  </si>
  <si>
    <t>PTM BUCARAMANGA MINIMARKET EL</t>
  </si>
  <si>
    <t>FO-25-1371649</t>
  </si>
  <si>
    <t>FJZZZ929</t>
  </si>
  <si>
    <t>TA-25-969660</t>
  </si>
  <si>
    <t>PTM PIEDECUESTA EL RINCÓN DE A</t>
  </si>
  <si>
    <t>FO-25-1371651</t>
  </si>
  <si>
    <t>FJZZZ930</t>
  </si>
  <si>
    <t>TA-25-969661</t>
  </si>
  <si>
    <t>DISTRICOL MULTISERVICIOS MATI</t>
  </si>
  <si>
    <t>FO-25-1371653</t>
  </si>
  <si>
    <t>FJZZZ931</t>
  </si>
  <si>
    <t>TA-25-969662</t>
  </si>
  <si>
    <t>DISTRICOL VARIEDADES Y PAPELER</t>
  </si>
  <si>
    <t>FO-25-1371657</t>
  </si>
  <si>
    <t>13-08 PROGRAMACIÓN REALIZADA POR LA ALIANZA 14/08/2025 SE REALIZA VISITA AL PUNTO CB 3007081002 DISTRICOL VARIEDADES Y PAPELERIA, PARA REALIZAR IMPLEMENTACION DEL PUNTO  ,PERO AL LLEGAR AL SITIO SE ENCUENTRA QUE ALLÍ OPERA UN PUNTO EFECTY ACTIVO Y CORRESPONSAL DE OTRO BANCO POR LO CUAL SE PROCEDE A REALIZAR CANCELACIÓN DE DICHA ACTIVIDAD Y SE GENERA EL REPORTE PERTINENTE</t>
  </si>
  <si>
    <t>FJZZZ932</t>
  </si>
  <si>
    <t>TA-25-969663</t>
  </si>
  <si>
    <t>PTM CALI VARIEDADES MARIANNE</t>
  </si>
  <si>
    <t>FO-25-1371661</t>
  </si>
  <si>
    <t>FJZZZ933</t>
  </si>
  <si>
    <t>TA-25-969664</t>
  </si>
  <si>
    <t>PTM CANDELARIA VARIEDADES M&amp;G</t>
  </si>
  <si>
    <t>FO-25-1371663</t>
  </si>
  <si>
    <t>13-08 PROGRAMACIÓN REALIZADA POR LA ALIANZA</t>
  </si>
  <si>
    <t>FJZZZ934</t>
  </si>
  <si>
    <t>TA-25-969665</t>
  </si>
  <si>
    <t>TULUA</t>
  </si>
  <si>
    <t>PTM TULIA CHALOZ</t>
  </si>
  <si>
    <t>FO-25-1371666</t>
  </si>
  <si>
    <t>FJZZZ935</t>
  </si>
  <si>
    <t>TA-25-969669</t>
  </si>
  <si>
    <t>ARAUCA</t>
  </si>
  <si>
    <t>DISTRICOL MEKACAMBIOS</t>
  </si>
  <si>
    <t>FO-25-1371671</t>
  </si>
  <si>
    <t>FJZZZ936</t>
  </si>
  <si>
    <t>TA-25-969670</t>
  </si>
  <si>
    <t>DISTRICOL COPIDESCUENTOS LA 30</t>
  </si>
  <si>
    <t>FO-25-1371673</t>
  </si>
  <si>
    <t>FJZZZ937</t>
  </si>
  <si>
    <t>TA-25-969671</t>
  </si>
  <si>
    <t>PUTUMAYO</t>
  </si>
  <si>
    <t>SIBUNDOY</t>
  </si>
  <si>
    <t>DISTRICOL DROG FARSALUD Y VIDA</t>
  </si>
  <si>
    <t>FO-25-1371676</t>
  </si>
  <si>
    <t>CASTILLO HERRERA ALEX RICARDO</t>
  </si>
  <si>
    <t>FJZZZ938</t>
  </si>
  <si>
    <t>TA-25-969673</t>
  </si>
  <si>
    <t>VALLE DEL GUAMUEZ</t>
  </si>
  <si>
    <t>DISTRICOL ESTILOS</t>
  </si>
  <si>
    <t>FO-25-1371685</t>
  </si>
  <si>
    <t>13-08 PROGRAMACIÓN REALIZADA POR LA ALIANZA 15-08 SE REALIZA VALIDACIÓN PARA DESPLAZAMIENTO EL DIA DE HOY PERO POR PROBLEMAS EN LA VIA HACIA PUTUMAYO NO SE CONSIGUE TRANSPORTE , SE HABLA CON EL CLIENTE Y SE REALIZARA DESPLAZAMIENTO EL DIA MARTES PARA ATENCIÓN DE APERTURA 20/08/2025 SE REALIZA INSTALACIÓN DE CORRESPONSAL, SE INSTALAN EQUIPOS CON PRUEBAS EXITOSAS, SE CAPACITA Y SE EVALÚA AL CLIENTE, SE INSTALA PUBLICIDAD COMPLETA, CB QUEDA OPERATIVO. USUARIO SOMOS BANCOLOMBIA ACTIVO</t>
  </si>
  <si>
    <t>FJZZZ939</t>
  </si>
  <si>
    <t>TA-25-969680</t>
  </si>
  <si>
    <t>DISTRICOL CENTRO DE SERVICIOS</t>
  </si>
  <si>
    <t>FO-25-1371687</t>
  </si>
  <si>
    <t>FJZZZ940</t>
  </si>
  <si>
    <t>TA-25-969684</t>
  </si>
  <si>
    <t>PTM BOGOTA TIENDA EL PATRON BO</t>
  </si>
  <si>
    <t>FO-25-1371689</t>
  </si>
  <si>
    <t>FJZZZ941</t>
  </si>
  <si>
    <t>TA-25-975408</t>
  </si>
  <si>
    <t>Alkomprar La Central</t>
  </si>
  <si>
    <t>FO-25-1378009</t>
  </si>
  <si>
    <t>RETAILER</t>
  </si>
  <si>
    <t>ALKOMPRAR</t>
  </si>
  <si>
    <t>14-08 SE REALIZA LLAMADA AL CLIENTE, SE HABLA CON LA SRA  Natalia Garzon  SE VALIDA DIRECCIÓN OK, CANAL OK, DISPONIBILIDAD TOTAL, LLAMAR EL DÍA LA INSTALACIÓN PARA CONFIRMAR VISITA - COMUNICACIÓN POR WPP 15-08 SE REALIZA INSTALACIÓN DE CORRESPONSAL, SE INSTALAN EQUIPOS CON PRUEBAS EXITOSAS, NO SE CAPACITA, SE INSTALA SOLO DISPLAY DE HORARIO, CB QUEDA OPERATIVO. SE DEJE CB PURO POR PETICIÓN DEL USUARIO</t>
  </si>
  <si>
    <t>SFZZZ197 SFZZZ198 SFZZZ199</t>
  </si>
  <si>
    <t>TA-25-983250</t>
  </si>
  <si>
    <t>PTM MEDELLIN TODOENUNO</t>
  </si>
  <si>
    <t>FO-25-1392146</t>
  </si>
  <si>
    <t>19-08 PROGRAMACIÓN REALIZADA POR LA ALIANZA 20/08/2025 SE REALIZA INSTALACIÓN DE CORRESPONSAL, SE INSTALAN EQUIPOS CON PRUEBAS EXITOSAS, SE CAPACITA Y SE EVALÚA AL CLIENTE, SE INSTALA PUBLICIDAD COMPLETA, CB QUEDA OPERATIVO. USUARIO SOMOS BANCOLOMBIA ACTIVO</t>
  </si>
  <si>
    <t>SGZZZ959</t>
  </si>
  <si>
    <t>TA-25-983251</t>
  </si>
  <si>
    <t>PTM SOACHA TIENDA DISEAS</t>
  </si>
  <si>
    <t>FO-25-1392149</t>
  </si>
  <si>
    <t>SGZZZ960</t>
  </si>
  <si>
    <t>TA-25-983254</t>
  </si>
  <si>
    <t>PTM BUCARAMANGA FERREMUEBLES S</t>
  </si>
  <si>
    <t>FO-25-1392155</t>
  </si>
  <si>
    <t>SGZZZ961</t>
  </si>
  <si>
    <t>TA-25-982504</t>
  </si>
  <si>
    <t>BARRIO PUEBLO NUEVO CAUCASIA 4</t>
  </si>
  <si>
    <t>FO-25-1390782</t>
  </si>
  <si>
    <t>16-08 SE REALIZA LLAMADA AL CLIENTE, SE HABLA CON LA SRA YULIETH PAOLA PESTANA REYES DIRECCIÓN OK, CANAL OK, DISPONIBILIDAD TOTAL, LLAMAR EL DÍA LA INSTALACIÓN PARA CONFIRMAR VISITA, AVISO EXTERIOR ALTURA: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</si>
  <si>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SGZZZ967</t>
  </si>
  <si>
    <t>TA-25-982507</t>
  </si>
  <si>
    <t>MAGDALENA</t>
  </si>
  <si>
    <t>EL BANCO</t>
  </si>
  <si>
    <t>BARRIO MANZANARES EL BANCO</t>
  </si>
  <si>
    <t>FO-25-1390784</t>
  </si>
  <si>
    <t>16-08 SE REALIZA LLAMADA AL CLIENTE, SE HABLA CON EL SR JUVEN DEL BARRIO DIRECCIÓN OK, CANAL OK, DISPONIBILIDAD TOTAL, LLAMAR EL DÍA LA INSTALACIÓN PARA CONFIRMAR VISITA, AVISO EXTERIOR ALTURA: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t>
  </si>
  <si>
    <t>SGZZZ968</t>
  </si>
  <si>
    <t>TA-25-982509</t>
  </si>
  <si>
    <t>BARRIO SANTANDER CUCUTA 3</t>
  </si>
  <si>
    <t>FO-25-1390790</t>
  </si>
  <si>
    <t>16-08 SE REALIZA LLAMADA AL CLIENTE, SE HABLA CON LA SRA MARIA CAMILA TORRES SEPULVEDA DIRECCIÓN OK, CANAL OK, DISPONIBILIDAD TOTAL, LLAMAR EL DÍA LA INSTALACIÓN PARA CONFIRMAR VISITA, AVISO EXTERIOR ALTURA: NO INDICA ALTURA; TOMACORRIENTE CERCANO: SI; TIENE CABINA DE SEGURIDAD: SI; INDICA 8 METROS DE CABLE PARA LA CONEXIÓN DATAFONO-MODEM 20-08 SE REALIZA INSTALACIÓN DE CORRESPONSAL, SE INSTALAN EQUIPOS CON PRUEBAS EXITOSAS, SE CAPACITA Y SE EVALÚA AL CLIENTE, SE INSTALA PUBLICIDAD COMPLETA, CB QUEDA OPERATIVO. USUARIO SOMOS BANCOLOMBIA ACTIVO</t>
  </si>
  <si>
    <t>SGZZZ969</t>
  </si>
  <si>
    <t>TA-25-982510</t>
  </si>
  <si>
    <t>BARRIO CHICALA NEIVA 1</t>
  </si>
  <si>
    <t>FO-25-1390793</t>
  </si>
  <si>
    <t>16-08 SE REALIZA LLAMADA AL CLIENTE, SE HABLA CON LA SR OSCAR FERNANDO ORTIZ GUERRERO  SE VALIDA DIRECCIÓN OK, CANAL OK, DISPONIBILIDAD TOTAL, LLAMAR EL DÍA LA INSTALACIÓN PARA CONFIRMAR VISITA, AVISO EXTERIOR ALTURA APROX 2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t>
  </si>
  <si>
    <t>SGZZZ970</t>
  </si>
  <si>
    <t>TA-25-982512</t>
  </si>
  <si>
    <t>BARRIO CIUDADELA UNIVERSITARIA SINCELEJO</t>
  </si>
  <si>
    <t>FO-25-1390797</t>
  </si>
  <si>
    <t>16-08 SE REALIZA LLAMADA AL CLIENTE, SE HABLA CON EL SR ALFREDO DE JESUS SALAZAR OVIEDO DIRECCIÓN OK, CANAL OK, DISPONIBILIDAD TOTAL, LLAMAR EL DÍA LA INSTALACIÓN PARA CONFIRMAR VISITA, AVISO EXTERIOR ALTURA: NO INDICA ALTURA; TOMACORRIENTE CERCANO: SI; TIENE CABINA DE SEGURIDAD: SI, REJA20-08 SE REALIZA INSTALACIÓN DE CORRESPONSAL, SE INSTALAN EQUIPOS CON PRUEBAS EXITOSAS, SE CAPACITA Y SE EVALÚA AL CLIENTE, SE INSTALA PUBLICIDAD COMPLETA, CB QUEDA OPERATIVO. USUARIO SOMOS BANCOLOMBIA ACTIVO</t>
  </si>
  <si>
    <t>CACERES HERNANDEZ ANDRES</t>
  </si>
  <si>
    <t>SGZZZ971</t>
  </si>
  <si>
    <t>TA-25-982513</t>
  </si>
  <si>
    <t>BARRIO 6 DE MARZO MONTERIA 6</t>
  </si>
  <si>
    <t>FO-25-1390800</t>
  </si>
  <si>
    <t>16-08 SE REALIZA LLAMADA AL CLIENTE, SE HABLA CON LA SRA LAURA SOFIA CADENA PESTANA DIRECCIÓN OK, CANAL OK, DISPONIBILIDAD TOTAL, LLAMAR EL DÍA LA INSTALACIÓN PARA CONFIRMAR VISITA, AVISO EXTERIOR ALTURA: APROX 2 METROS ; TOMACORRIENTE CERCANO: SI; TIENE CABINA DE SEGURIDAD: SI 20/08/2025 SE REALIZA INSTALACIÓN DE CORRESPONSAL, SE INSTALAN EQUIPOS CON PRUEBAS EXITOSAS, SE CAPACITA Y SE EVALÚA AL CLIENTE, SE INSTALA PUBLICIDAD COMPLETA, CB QUEDA OPERATIVO. USUARIO SOMOS BANCOLOMBIA ACTIVO</t>
  </si>
  <si>
    <t>SGZZZ972</t>
  </si>
  <si>
    <t>TA-25-982514</t>
  </si>
  <si>
    <t>LA PAZ</t>
  </si>
  <si>
    <t>BARRIO CENTRO LA PAZ</t>
  </si>
  <si>
    <t>FO-25-1390812</t>
  </si>
  <si>
    <t>16-08 SE REALIZA LLAMADA AL CLIENTE, SE HABLA CON LA SRA JULIETA BARBOSA CEPEDA  SE VALIDA DIRECCIÓN OK, CANAL OK, DISPONIBILIDAD TOTAL, LLAMAR EL DÍA LA INSTALACIÓN PARA CONFIRMAR VISITA, AVISO EXTERIOR ALTURA APROX 1.50 METROS; TOMACORRIENTE CERCANO: SI; TIENE CABINA DE SEGURIDAD: NO 21-08 SE REALIZA INSTALACIÓN DE CORRESPONSAL, SE INSTALAN EQUIPOS CON PRUEBAS EXITOSAS, SE CAPACITA Y SE EVALÚA AL CLIENTE, SE INSTALA PUBLICIDAD COMPLETA, CB QUEDA OPERATIVO. USUARIO SOMOS BANCOLOMBIA ACTIVO</t>
  </si>
  <si>
    <t>SGZZZ973</t>
  </si>
  <si>
    <t>TA-25-982515</t>
  </si>
  <si>
    <t>BARRIO EL TRIANGULO MANIZALES</t>
  </si>
  <si>
    <t>FO-25-1390818</t>
  </si>
  <si>
    <t>16-08 SE REALIZA LLAMADA AL CLIENTE, SE HABLA CON EL SR CLAUDIA MARCELA HERNANDEZ LOPEZ DIRECCIÓN OK, CANAL OK, DISPONIBILIDAD TOTAL, LLAMAR EL DÍA LA INSTALACIÓN PARA CONFIRMAR VISITA, AVISO EXTERIOR ALTURA: APROX 2,50 METROS; TOMACORRIENTE CERCANO: SI; TIENE CABINA DE SEGURIDAD: NO, // CONTCATO REALIZADO POR LA APP 20/08/2025 SE REALIZA INSTALACIÓN DE CORRESPONSAL, SE INSTALAN EQUIPOS CON PRUEBAS EXITOSAS, SE CAPACITA Y SE EVALÚA AL CLIENTE, SE INSTALA PUBLICIDAD COMPLETA, CB QUEDA OPERATIVO. USUARIO SOMOS BANCOLOMBIA ACTIVO</t>
  </si>
  <si>
    <t>SGZZZ974</t>
  </si>
  <si>
    <t>TA-25-982516</t>
  </si>
  <si>
    <t>FUSAGASUGA</t>
  </si>
  <si>
    <t>BARRIO RECREO FUSAGASUGA</t>
  </si>
  <si>
    <t>FO-25-1390823</t>
  </si>
  <si>
    <t>16-08 SE REALIZA LLAMADA AL CLIENTE, SE HABLA CON EL SR CHAYANNE CAMILO RODRIGUEZ GONZALEZ DIRECCIÓN OK, CANAL OK, DISPONIBILIDAD TOTAL, LLAMAR EL DÍA LA INSTALACIÓN PARA CONFIRMAR VISITA, AVISO EXTERIOR ALTURA: APROX 4 METROS; TOMACORRIENTE CERCANO: SI; TIENE CABINA DE SEGURIDAD: NO, REJA  20/08/2025 SE REALIZA INSTALACIÓN DE CORRESPONSAL, SE INSTALAN EQUIPOS CON PRUEBAS EXITOSAS, SE CAPACITA Y SE EVALÚA AL CLIENTE, SE INSTALA PUBLICIDAD COMPLETA, CB QUEDA OPERATIVO. USUARIO SOMOS BANCOLOMBIA ACTIVO</t>
  </si>
  <si>
    <t>SGZZZ975</t>
  </si>
  <si>
    <t>TA-25-982517</t>
  </si>
  <si>
    <t>BARRIO CENTRO BELLO 1</t>
  </si>
  <si>
    <t>FO-25-1390829</t>
  </si>
  <si>
    <t>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t>
  </si>
  <si>
    <t>SGZZZ976</t>
  </si>
  <si>
    <t>TA-25-982518</t>
  </si>
  <si>
    <t>BARRIO CEDRITOS FUSAGASUGA 4</t>
  </si>
  <si>
    <t>FO-25-1390834</t>
  </si>
  <si>
    <t>16-08 SE REALIZA LLAMADA AL CLIENTE, SE HABLA CON EL SR OSCAR EDUARDO RODRIGUEZ LOPEZ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</si>
  <si>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SGZZZ977</t>
  </si>
  <si>
    <t>TA-25-982519</t>
  </si>
  <si>
    <t>ANGOSTURA</t>
  </si>
  <si>
    <t xml:space="preserve">BARRIO CENTRO ANGOSTURA </t>
  </si>
  <si>
    <t>FO-25-1390839</t>
  </si>
  <si>
    <t>16-08 SE REALIZA LLAMADA AL CLIENTE, SE HABLA CON LA SRA NATALIA SANCHEZ URIBE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t>
  </si>
  <si>
    <t>SGZZZ978</t>
  </si>
  <si>
    <t>TA-25-982520</t>
  </si>
  <si>
    <t>BARRIO MARIA CANO PALMIRA 1</t>
  </si>
  <si>
    <t>FO-25-1390846</t>
  </si>
  <si>
    <t>19-08-2025 SE REALIZA LLAMADA AL CLIENTE, SE HABLA CON EL SR CRISTHIAN CAMILO HERRERA HIDALGO SE VALIDA DIRECCIÓN OK, CANAL OK, DISPONIBILIDAD TOTAL, LLAMAR EL DÍA LA INSTALACIÓN PARA CONFIRMAR VISITA, AVISO EXTERIOR ALTURA APROX CLIENTE NO TIENE CONOCIMIENTO DE MEDIDAS;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t>
  </si>
  <si>
    <t>SGZZZ979</t>
  </si>
  <si>
    <t>TA-25-982522</t>
  </si>
  <si>
    <t>BARRIO LA ESMERALDA POPAYAN  8</t>
  </si>
  <si>
    <t>FO-25-1390852</t>
  </si>
  <si>
    <t>19-08-2025 SE REALIZA LLAMADA AL CLIENTE, SE HABLA CON EL SR NESTOR ANDRES CRIOLLO TACUE SE VALIDA DIRECCIÓN OK, CANAL OK, DISPONIBILIDAD TOTAL, LLAMAR EL DÍA LA INSTALACIÓN PARA CONFIRMAR VISITA, AVISO EXTERIOR ALTURA APROX 3 METROS MAX;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t>
  </si>
  <si>
    <t>SGZZZ980</t>
  </si>
  <si>
    <t>TA-25-982523</t>
  </si>
  <si>
    <t>YUMBO</t>
  </si>
  <si>
    <t>BARRIO GUABINAS YUMBO YUMBO</t>
  </si>
  <si>
    <t>FO-25-1390857</t>
  </si>
  <si>
    <t>19-08-2025 SE REALIZA LLAMADA AL CLIENTE, SE HABLA CON EL SR DIEGO FRANCISCO TOBAR SANCHEZ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</si>
  <si>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SGZZZ981</t>
  </si>
  <si>
    <t>TA-25-982524</t>
  </si>
  <si>
    <t>SUPIA</t>
  </si>
  <si>
    <t>BARRIO AVENIDA CARVAJAL SUPIA</t>
  </si>
  <si>
    <t>FO-25-1390862</t>
  </si>
  <si>
    <t>19-08-2025 SE REALIZA LLAMADA AL CLIENTE, SE HABLA CON EL SR RUBEN DARIO FRANCO ESTRADA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</si>
  <si>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SGZZZ982</t>
  </si>
  <si>
    <t>TA-25-982525</t>
  </si>
  <si>
    <t>SILVANIA</t>
  </si>
  <si>
    <t>BARRIO MOLINO ROJO SILVANIA</t>
  </si>
  <si>
    <t>FO-25-1390865</t>
  </si>
  <si>
    <t>16-08 SE REALIZA LLAMADA AL CLIENTE, SE HABLA CON LA SRA LEIDY GOMEZ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t>
  </si>
  <si>
    <t>SGZZZ983</t>
  </si>
  <si>
    <t>TA-25-982527</t>
  </si>
  <si>
    <t>CHIA</t>
  </si>
  <si>
    <t>BARRIO NUEVO MILENIO CHIA 1</t>
  </si>
  <si>
    <t>FO-25-1390872</t>
  </si>
  <si>
    <t>19-08-2025 SE REALIZA LLAMADA AL CLIENTE, SE HABLA CON EL SR JOSE ISADIT FORERO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t>
  </si>
  <si>
    <t>SGZZZ984</t>
  </si>
  <si>
    <t>TA-25-982528</t>
  </si>
  <si>
    <t>BARRIO LA FLORESTA CALI 1</t>
  </si>
  <si>
    <t>FO-25-1390876</t>
  </si>
  <si>
    <t>19-08-2025 SE REALIZA LLAMADA AL CLIENTE, SE HABLA CON LA SRA CLAUDIA PATRICIA HERRAN VANEGAS SE VALIDA DIRECCIÓN OK, CANAL OK, DISPONIBILIDAD TOTAL, LLAMAR EL DÍA LA INSTALACIÓN PARA CONFIRMAR VISITA, AVISO EXTERIOR ALTURA APROX 2 METROS; TOMACORRIENTE CERCANO: SI; TIENE CABINA DE SEGURIDAD: NO // CONTACTO REALIZADO POR LA APP 20-08 SE REALIZA INSTALACIÓN DE CORRESPONSAL, SE INSTALAN EQUIPOS CON PRUEBAS EXITOSAS, SE CAPACITA Y SE EVALÚA AL CLIENTE, SE INSTALA PUBLICIDAD COMPLETA, CB QUEDA OPERATIVO. USUARIO SOMOS BANCOLOMBIA ACTIVO</t>
  </si>
  <si>
    <t>SGZZZ985</t>
  </si>
  <si>
    <t>TA-25-982529</t>
  </si>
  <si>
    <t>NECHI</t>
  </si>
  <si>
    <t>BARRIO CENTRO NECHI 3</t>
  </si>
  <si>
    <t>FO-25-1390881</t>
  </si>
  <si>
    <t>16-08 SE REALIZA LLAMADA AL CLIENTE, SE HABLA CON LA SRA DANIELA DAVILA ARIAS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t>
  </si>
  <si>
    <t>CALDERA SALCEDO CARLOS JULIO</t>
  </si>
  <si>
    <t>SGZZZ986</t>
  </si>
  <si>
    <t>TA-25-982530</t>
  </si>
  <si>
    <t>BARRIO LA INDEPENDENCIA CALI 1</t>
  </si>
  <si>
    <t>FO-25-1390884</t>
  </si>
  <si>
    <t>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t>
  </si>
  <si>
    <t>SGZZZ987</t>
  </si>
  <si>
    <t>TA-25-982531</t>
  </si>
  <si>
    <t>BARRIO BOLIVIA BOGOTA 3</t>
  </si>
  <si>
    <t>FO-25-1390888</t>
  </si>
  <si>
    <t>16-08 SE REALIZA LLAMADA AL CLIENTE, SE HABLA CON LA SRA MYRIAN LORENA FERRO DIRECCIÓN OK, CANAL OK, DISPONIBILIDAD TOTAL, LLAMAR EL DÍA LA INSTALACIÓN PARA CONFIRMAR VISITA, AVISO EXTERIOR ALTURA: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</si>
  <si>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SGZZZ988</t>
  </si>
  <si>
    <t>TA-25-982533</t>
  </si>
  <si>
    <t>SANDONA</t>
  </si>
  <si>
    <t>BARRIO EL COMERCIO SANDONA</t>
  </si>
  <si>
    <t>FO-25-1390894</t>
  </si>
  <si>
    <t>19-08-2025 SE REALIZA LLAMADA AL CLIENTE, SE HABLA CON LA SRA NHORA DEL CARMEN ARCOS ARCOS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t>
  </si>
  <si>
    <t>SGZZZ989</t>
  </si>
  <si>
    <t>TA-25-982534</t>
  </si>
  <si>
    <t>BARRIO CANDELARIA LA NUEVA BOGOTA 10</t>
  </si>
  <si>
    <t>FO-25-1390897</t>
  </si>
  <si>
    <t>19-08-2025 SE REALIZA LLAMADA AL CLIENTE, SE HABLA CON EL ESPOSO DE LA SRA LILIA LEONOR RODRIGUEZ CUERVO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</si>
  <si>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SGZZZ990</t>
  </si>
  <si>
    <t>TA-25-982535</t>
  </si>
  <si>
    <t>BARRIO EL HORIZONTE TULUA</t>
  </si>
  <si>
    <t>FO-25-1390901</t>
  </si>
  <si>
    <t>19-08-2025 SE REALIZA LLAMADA AL CLIENTE, SE HABLA CON LA SRA LUZ STELLA RAMIREZ TABARES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</si>
  <si>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SGZZZ991</t>
  </si>
  <si>
    <t>TA-25-982536</t>
  </si>
  <si>
    <t>TIERRALTA</t>
  </si>
  <si>
    <t>BARRIO 9 DE AGOSTO TIERRALTA</t>
  </si>
  <si>
    <t>FO-25-1390904</t>
  </si>
  <si>
    <t>19-08-2025 SE REALIZA LLAMADA AL CLIENTE, SE HABLA CON EL ESPOSO DE LA SRA ENA ROCIO RODRIGUEZ GASPAR SE VALIDA DIRECCIÓN OK, CANAL OK, DISPONIBILIDAD TOTAL, LLAMAR EL DÍA LA INSTALACIÓN PARA CONFIRMAR VISITA, AVISO EXTERIOR ALTURA APROX 3,50 METROS; TOMACORRIENTE CERCANO: SI; TIENE CABINA DE SEGURIDAD: SI // CONTACTO REALIZADO POR LA APP 21/08/2025 SE REALIZA INSTALACIÓN DE CORRESPONSAL, SE INSTALAN EQUIPOS CON PRUEBAS EXITOSAS, SE CAPACITA Y SE EVALÚA AL CLIENTE, SE INSTALA PUBLICIDAD COMPLETA, CB QUEDA OPERATIVO. USUARIO SOMOS BANCOLOMBIA ACTIVO</t>
  </si>
  <si>
    <t>SGZZZ992</t>
  </si>
  <si>
    <t>TA-25-982538</t>
  </si>
  <si>
    <t>BOAVITA</t>
  </si>
  <si>
    <t>BARRIO CENTRO BOAVITA 6</t>
  </si>
  <si>
    <t>FO-25-1390908</t>
  </si>
  <si>
    <t>16-08 SE REALIZA LLAMADA AL CLIENTE, SE HABLA CON LA SRA LAURA YULIETH DUARTE CUADROS DIRECCIÓN OK, CANAL OK, DISPONIBILIDAD TOTAL, LLAMAR EL DÍA LA INSTALACIÓN PARA CONFIRMAR VISITA, AVISO EXTERIOR ALTURA: 2 METROS APROX; TOMACORRIENTE CERCANO: SI; TIENE CABINA DE SEGURIDAD: SI 20-08 POR DEMORA DE BUS INTERMUNICIPAL EN DESPLAZAMIENTO HACIA SITIO SE COMUNICA CON CLIENTE AL NÚMERO TELEFÓNICO 3112111435 LA SEÑORA LAURA YULIETH DUARTE CONFIRMA VISITA PARA EL DIA DE MAÑANA 21/8/2025 DESPUES DE LAS 9 A.M 21/08/2025 SE REALIZA INSTALACIÓN DE CORRESPONSAL, SE INSTALAN EQUIPOS CON PRUEBAS EXITOSAS, SE CAPACITA Y SE EVALÚA AL CLIENTE, SE INSTALA PUBLICIDAD COMPLETA, CB QUEDA OPERATIVO. USUARIO SOMOS BANCOLOMBIA ACTIVO</t>
  </si>
  <si>
    <t>SGZZZ993</t>
  </si>
  <si>
    <t>TA-25-982539</t>
  </si>
  <si>
    <t>BARRIO PIEDECUESTA PIEDECUESTA 3</t>
  </si>
  <si>
    <t>FO-25-1390913</t>
  </si>
  <si>
    <t>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t>
  </si>
  <si>
    <t>SGZZZ994</t>
  </si>
  <si>
    <t>TA-25-982541</t>
  </si>
  <si>
    <t>PUERTO GAITAN</t>
  </si>
  <si>
    <t>BARRIO PERLAS DEL NANACACIAS PUERTO GAITAN</t>
  </si>
  <si>
    <t>FO-25-1390916</t>
  </si>
  <si>
    <t>16-08 SE REALIZA LLAMADA AL CLIENTE, SE HABLA CON LA SRA JENNY ALEXANDRA RUIZ CRISTANCHODIRECCIÓN OK, CANAL OK, DISPONIBILIDAD TOTAL, LLAMAR EL DÍA LA INSTALACIÓN PARA CONFIRMAR VISITA, AVISO EXTERIOR ALTURA: 2 METROS APROX; TOMACORRIENTE CERCANO: SI; TIENE CABINA DE SEGURIDAD: SI 20-08 SE REALIZA INSTALACIÓN DE CORRESPONSAL, SE INSTALAN EQUIPOS CON PRUEBAS EXITOSAS, SE CAPACITA Y SE EVALÚA AL CLIENTE, SE INSTALA PUBLICIDAD COMPLETA, CB QUEDA OPERATIVO. USUARIO SOMOS BANCOLOMBIA ACTIVO</t>
  </si>
  <si>
    <t>SGZZZ995</t>
  </si>
  <si>
    <t>TA-25-982542</t>
  </si>
  <si>
    <t>PUEBLO BELLO</t>
  </si>
  <si>
    <t>BARRIO LA CEIBA PUEBLO BELLO</t>
  </si>
  <si>
    <t>FO-25-1390919</t>
  </si>
  <si>
    <t>16-08 SE REALIZA LLAMADA AL CLIENTE, SE HABLA CON EL SR DAIMIR JOSE GUERRERO SANTIAGO  DIRECCIÓN OK, CANAL OK, DISPONIBILIDAD TOTAL, LLAMAR EL DÍA LA INSTALACIÓN PARA CONFIRMAR VISITA, AVISO EXTERIOR ALTURA: APROX 3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</si>
  <si>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SGZZZ996</t>
  </si>
  <si>
    <t>TA-25-982543</t>
  </si>
  <si>
    <t>BARRIO VILLA SAN MARCOS  CALI</t>
  </si>
  <si>
    <t>FO-25-1390924</t>
  </si>
  <si>
    <t>19-08-2025 SE REALIZA LLAMADA AL CLIENTE, SE HABLA CON EL SR DEYBY ALEXANDER VALDERRAMA MIRANDA SE VALIDA DIRECCIÓN OK, CANAL OK, DISPONIBILIDAD TOTAL, LLAMAR EL DÍA LA INSTALACIÓN PARA CONFIRMAR VISITA, AVISO EXTERIOR ALTURA APROX 2,50-3 METROS; TOMACORRIENTE CERCANO: SI; TIENE CABINA DE SEGURIDAD: SI // CONTACTO REALIZADO POR LA APP 20/08/2025 SE REALIZA INSTALACIÓN DE CORRESPONSAL, SE INSTALAN EQUIPOS CON PRUEBAS EXITOSAS, SE CAPACITA Y SE EVALÚA AL CLIENTE, SE INSTALA PUBLICIDAD COMPLETA, CB QUEDA OPERATIVO. USUARIO SOMOS BANCOLOMBIA ACTIVO</t>
  </si>
  <si>
    <t>SGZZZ997</t>
  </si>
  <si>
    <t>TA-25-982544</t>
  </si>
  <si>
    <t>PALESTINA</t>
  </si>
  <si>
    <t>BARRIO ARAUCA PALESTINA 2</t>
  </si>
  <si>
    <t>FO-25-1390928</t>
  </si>
  <si>
    <t>19-08-2025 SE REALIZA LLAMADA AL CLIENTE, SE HABLA CON EL ESPOSO DE LA SRA ANGELA MARIA OSPINA ZULUAGA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</si>
  <si>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SGZZZ998</t>
  </si>
  <si>
    <t>TA-25-982545</t>
  </si>
  <si>
    <t>BUGALAGRANDE</t>
  </si>
  <si>
    <t>BARRIO LOS MARMOLES BUGALAGRANDE</t>
  </si>
  <si>
    <t>FO-25-1390932</t>
  </si>
  <si>
    <t>19-08 SE REALIZA LLAMADA AL CLIENTE, SE HABLA CON EL SR EDGAR CRUZ VELEZ  SE VALIDA DIRECCIÓN OK, CANAL OK, DISPONIBILIDAD TOTAL, LLAMAR EL DÍA LA INSTALACIÓN PARA CONFIRMAR VISITA, AVISO EXTERIOR ALTURA APROX 3 METROS; TOMACORRIENTE CERCANO: SI; TIENE CABINA DE SEGURIDAD: NO 21/08/2025 SE REALIZA INSTALACIÓN DE CORRESPONSAL, SE INSTALAN EQUIPOS CON PRUEBAS EXITOSAS, SE CAPACITA Y SE EVALÚA AL CLIENTE, SE INSTALA PUBLICIDAD COMPLETA, CB QUEDA OPERATIVO. USUARIO SOMOS BANCOLOMBIA ACTIVO</t>
  </si>
  <si>
    <t>SGZZZ999</t>
  </si>
  <si>
    <t>TA-25-982600</t>
  </si>
  <si>
    <t>BARRIO LA CUMBRE FLORIDABLANCA  12</t>
  </si>
  <si>
    <t>FO-25-1391123</t>
  </si>
  <si>
    <t>16-08 SE REALIZA LLAMADA AL CLIENTE, SE HABLA CON EL SR RICARDO LEON RANGEL  DIRECCIÓN OK, CANAL OK, DISPONIBILIDAD TOTAL, LLAMAR EL DÍA LA INSTALACIÓN PARA CONFIRMAR VISITA, AVISO EXTERIOR ALTURA: APROX 5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</si>
  <si>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SHZZZ001</t>
  </si>
  <si>
    <t>TA-25-982548</t>
  </si>
  <si>
    <t>FUNZA</t>
  </si>
  <si>
    <t>BARRIO PADRE FUNZA FUNZA</t>
  </si>
  <si>
    <t>FO-25-1400516</t>
  </si>
  <si>
    <t>19-08 SE REALIZA LLAMADA AL CLIENTE, SE HABLA CON LA SRA DELFINA VARGAS IBAÑEZ SE VALIDA DIRECCIÓN OK, CANAL OK, DISPONIBILIDAD TOTAL, LLAMAR EL DÍA LA INSTALACIÓN AL NÚMERO 3152100085 PARA CONFIRMAR VISITA, AVISO EXTERIOR NO INDICA ALTURA; TOMACORRIENTE CERCANO: SI; TIENE CABINA DE SEGURIDAD: NO 20-08 SE VISITA COMERCIO YA QUE NO HUBO CONTACTO PREVIO CON EL CLIENTE POR VÍA TELEFÓNICA, EN EL SITIO NOS BRINDAN UN NÚMERO TELEFÓNICO 3152100085 DONDE NOS COMUNICAMOS CON LA SRA DELFINA VARGAS QUIEN INFORMA QUE LA PERSONA ENCARGADA PARA LA INSTALACIÓN NO SE ENCUENTRA YA SE FUE DE VIAJE Y VUELVEN HASTA EL DÍA VIERNES EN LA NOCHE POR LO QUE PIDE SEA REAGENDADA LA INSTALACIÓN PARA EL DÍA LUNES 25 DE AGOSTO, SE LE INDICA AL COORDINADOR QUIEN AUTORIZA EL REAGENDAMIENTO, INSTALACIÓN FALLIDA REPROGRAMADA. 25-08 SE REALIZA INSTALACIÓN DE CORRESPONSAL, SE INSTALAN EQUIPOS CON PRUEBAS EXITOSAS, SE CAPACITA Y SE EVALÚA AL CLIENTE, SE INSTALA PUBLICIDAD COMPLETA, CB QUEDA OPERATIVO. USUARIO SOMOS BANCOLOMBIA ACTIVO</t>
  </si>
  <si>
    <t>SHZZZ002</t>
  </si>
  <si>
    <t>TA-25-982550</t>
  </si>
  <si>
    <t>BARRIO KENNEDY SAN CARLOS BOGOTA</t>
  </si>
  <si>
    <t>FO-25-1390950</t>
  </si>
  <si>
    <t>16-08 SE REALIZA LLAMADA AL CLIENTE, SE HABLA CON EL SR ROBERT BARRERA HERRERA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</si>
  <si>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SOTO LONDOÑO FREDY ALEXANDER</t>
  </si>
  <si>
    <t>SHZZZ003</t>
  </si>
  <si>
    <t>TA-25-982551</t>
  </si>
  <si>
    <t>TAMESIS</t>
  </si>
  <si>
    <t>BARRIO TAMESIS TAMESIS 4</t>
  </si>
  <si>
    <t>FO-25-1390956</t>
  </si>
  <si>
    <t>16-08 SE REALIZA LLAMADA AL CLIENTE, SE HABLA CON EL SR WILMAR ALEJANDRO BEDOYA GALLEGO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t>
  </si>
  <si>
    <t>SHZZZ004</t>
  </si>
  <si>
    <t>TA-25-982552</t>
  </si>
  <si>
    <t>BARRIO GIBRALTAR ARMENIA</t>
  </si>
  <si>
    <t>FO-25-1390963</t>
  </si>
  <si>
    <t>19-08 SE REALIZA LLAMADA AL CLIENTE, SE HABLA CON LA SRA LUZ ANGELA ANGULO NEGRETEA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</si>
  <si>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SHZZZ005</t>
  </si>
  <si>
    <t>TA-25-982553</t>
  </si>
  <si>
    <t>BARRIO EL PINAR BELLO 3</t>
  </si>
  <si>
    <t>FO-25-1390968</t>
  </si>
  <si>
    <t>16-08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7 MT  / COMUNICACIÓN POR WPP 20/08/2025 SE REALIZA INSTALACIÓN DE CORRESPONSAL, SE INSTALAN EQUIPOS CON PRUEBAS EXITOSAS, SE CAPACITA Y SE EVALÚA AL CLIENTE, SE INSTALA PUBLICIDAD COMPLETA, CB QUEDA OPERATIVO. USUARIO SOMOS BANCOLOMBIA ACTIVO</t>
  </si>
  <si>
    <t>SHZZZ006</t>
  </si>
  <si>
    <t>TA-25-982554</t>
  </si>
  <si>
    <t>EL BAGRE</t>
  </si>
  <si>
    <t>BARRIO BIJAO EL BAGRE 5</t>
  </si>
  <si>
    <t>FO-25-1390972</t>
  </si>
  <si>
    <t>16-08 SE REALIZA LLAMADA AL CLIENTE, SE HABLA CON EL SR CRITIAN  SE VALIDA DIRECCIÓN OK, CANAL OK, DISPONIBILIDAD TOTAL, LLAMAR EL DÍA LA INSTALACIÓN PARA CONFIRMAR VISITA, AVISO EXTERIOR ALTURA: NO INDICA ALTURA; TOMACORRIENTE CERCANO: SI; TIENE CABINA DE SEGURIDAD: NO 21/08/2025 SE REALIZA INSTALACIÓN DE CORRESPONSAL, SE INSTALAN EQUIPOS CON PRUEBAS EXITOSAS, SE CAPACITA Y SE EVALÚA AL CLIENTE, SE INSTALA PUBLICIDAD COMPLETA, CB QUEDA OPERATIVO. USUARIO SOMOS BANCOLOMBIA ACTIVO</t>
  </si>
  <si>
    <t>SHZZZ007</t>
  </si>
  <si>
    <t>TA-25-982556</t>
  </si>
  <si>
    <t>BARRIO MANCERA ACACIAS 6</t>
  </si>
  <si>
    <t>FO-25-1390978</t>
  </si>
  <si>
    <t>16-08 SE REALIZA LLAMADA AL CLIENTE, SE HABLA CON LA SR BREYNER EDUARDO RODRIGUEZ USECHE  SE VALIDA DIRECCIÓN OK, CANAL OK, DISPONIBILIDAD TOTAL, LLAMAR EL DÍA LA INSTALACIÓN PARA CONFIRMAR VISITA, AVISO EXTERIOR ALTURA APROX 2.5 METROS; TOMACORRIENTE CERCANO: SI; TIENE CABINA DE SEGURIDAD: NO - COMUNICACIÓ POR WPP 21/08/2025 SE REALIZA INSTALACIÓN DE CORRESPONSAL, SE INSTALAN EQUIPOS CON PRUEBAS EXITOSAS, SE CAPACITA Y SE EVALÚA AL CLIENTE, SE INSTALA PUBLICIDAD COMPLETA, CB QUEDA OPERATIVO. USUARIO SOMOS BANCOLOMBIA ACTIVO</t>
  </si>
  <si>
    <t>SHZZZ008</t>
  </si>
  <si>
    <t>TA-25-982557</t>
  </si>
  <si>
    <t>BARRIO SAN LUIS CUCUTA  32</t>
  </si>
  <si>
    <t>FO-25-1390985</t>
  </si>
  <si>
    <t>16-08 SE REALIZA LLAMADA AL CLIENTE, SE HABLA CON LA SR JEAN CARLOS BAYONA CONTRERAS SE VALIDA DIRECCIÓN OK, CANAL OK, DISPONIBILIDAD TOTAL, LLAMAR EL DÍA LA INSTALACIÓN PARA CONFIRMAR VISITA, AVISO EXTERIOR ALTURA APROX 2 METROS; TOMACORRIENTE CERCANO: SI; TIENE CABINA DE SEGURIDAD: SI - EL MODEM ESTA A 4 MT 20-08 SE REALIZA INSTALACIÓN DE CORRESPONSAL, SE INSTALAN EQUIPOS CON PRUEBAS EXITOSAS, SE CAPACITA Y SE EVALÚA AL CLIENTE, SE INSTALA PUBLICIDAD COMPLETA, CB QUEDA OPERATIVO. USUARIO SOMOS BANCOLOMBIA ACTIVO</t>
  </si>
  <si>
    <t>SHZZZ009</t>
  </si>
  <si>
    <t>TA-25-982559</t>
  </si>
  <si>
    <t>BARRIO VRD VILLA DEL SOCORRO CAUCASIA</t>
  </si>
  <si>
    <t>FO-25-1390990</t>
  </si>
  <si>
    <t>16-08 SE REALIZA LLAMADA AL CLIENTE, SE HABLA CON LA SR JORGE LUIS BALLESTEROS MARTINEZ SE VALIDA DIRECCIÓN OK, CANAL OK, DISPONIBILIDAD TOTAL, LLAMAR EL DÍA LA INSTALACIÓN PARA CONFIRMAR VISITA, AVISO EXTERIOR ALTURA APROX 4 METROS;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t>
  </si>
  <si>
    <t>SHZZZ010</t>
  </si>
  <si>
    <t>TA-25-982561</t>
  </si>
  <si>
    <t>BARRIO SUGAMUXI SOGAMOSO</t>
  </si>
  <si>
    <t>FO-25-1390993</t>
  </si>
  <si>
    <t>16-08 SE REALIZA LLAMADA AL CLIENTE, SE HABLA CON LA SR JUAN SEBASTIAN SALAMANCA RAMOS SE VALIDA DIRECCIÓN OK, CANAL OK, DISPONIBILIDAD TOTAL, LLAMAR EL DÍA LA INSTALACIÓN PARA CONFIRMAR VISITA, AVISO EXTERIOR ALTURA APROX 2.50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t>
  </si>
  <si>
    <t>SHZZZ011</t>
  </si>
  <si>
    <t>TA-25-982562</t>
  </si>
  <si>
    <t>BARRIO BAMBUSA ARMENIA</t>
  </si>
  <si>
    <t>FO-25-1390995</t>
  </si>
  <si>
    <t>19-08 SE REALIZA LLAMADA AL CLIENTE, SE HABLA CON EL SR FABIO DE JESUS TUSARMA  SE VALIDA DIRECCIÓN OK, CANAL OK, DISPONIBILIDAD TOTAL, LLAMAR EL DÍA LA INSTALACIÓN PARA CONFIRMAR VISITA, AVISO EXTERIOR NO INDICA ALTURA; TOMACORRIENTE CERCANO: SI; TIENE CABINA DE SEGURIDAD: SI; MODEM NO CUENTA CON PUERTOS DISPONIBLES 20-08 SE REALIZA INSTALACIÓN DE CORRESPONSAL, SE INSTALAN EQUIPOS CON PRUEBAS EXITOSAS, SE CAPACITA Y SE EVALÚA AL CLIENTE, SE INSTALA PUBLICIDAD COMPLETA, CB QUEDA OPERATIVO. USUARIO SOMOS BANCOLOMBIA ACTIVO</t>
  </si>
  <si>
    <t>SHZZZ012</t>
  </si>
  <si>
    <t>TA-25-982564</t>
  </si>
  <si>
    <t>BARRIO VILLA PILAR MANIZALES 1</t>
  </si>
  <si>
    <t>FO-25-1391003</t>
  </si>
  <si>
    <t>19-08 SE REALIZA LLAMADA AL CLIENTE, SE HABLA CON LA SRA CENEIDA ROJAS GONZALEZ SE VALIDA DIRECCIÓN OK, CANAL OK, DISPONIBILIDAD TOTAL, LLAMAR EL DÍA LA INSTALACIÓN PARA CONFIRMAR VISITA, AVISO EXTERIOR NO INDICA ALTURA; TOMACORRIENTE CERCANO: SI; TIENE CABINA DE SEGURIDAD: NO 20-08 SE REALIZA INSTALACIÓN DE CORRESPONSAL, SE INSTALAN EQUIPOS CON PRUEBAS EXITOSAS, SE CAPACITA Y SE EVALÚA AL CLIENTE, SE INSTALA PUBLICIDAD COMPLETA, CB QUEDA OPERATIVO. USUARIO SOMOS BANCOLOMBIA ACTIVO</t>
  </si>
  <si>
    <t>SHZZZ014</t>
  </si>
  <si>
    <t>TA-25-982569</t>
  </si>
  <si>
    <t>BARRIO CGT SANTA ISABEL MONTERIA</t>
  </si>
  <si>
    <t>FO-25-1391010</t>
  </si>
  <si>
    <t>16-08 SE REALIZA LLAMADA AL CLIENTE, SE HABLA CON LA SR FIDEL ANTONIO CARVAJAL VILLADIEGO  SE VALIDA DIRECCIÓN OK, CANAL OK, DISPONIBILIDAD TOTAL, LLAMAR EL DÍA LA INSTALACIÓN PARA CONFIRMAR VISITA, AVISO EXTERIOR ALTURA APROX 2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</si>
  <si>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SHZZZ015</t>
  </si>
  <si>
    <t>TA-25-982574</t>
  </si>
  <si>
    <t>CAJICA</t>
  </si>
  <si>
    <t>BARRIO EL PRADO CAJICA 1</t>
  </si>
  <si>
    <t>FO-25-1391017</t>
  </si>
  <si>
    <t>16-08 SE REALIZA LLAMADA AL CLIENTE, SE HABLA CON LA SRA MARBY YESENIA RODRIGUEZ MURCIA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t>
  </si>
  <si>
    <t>VEGA MANRIQUE JONATAN MAURICIO</t>
  </si>
  <si>
    <t>SHZZZ016</t>
  </si>
  <si>
    <t>TA-25-982575</t>
  </si>
  <si>
    <t>BARRIO CIUDADELA SUCRE SOACHA 2</t>
  </si>
  <si>
    <t>FO-25-1391021</t>
  </si>
  <si>
    <t>16-08 SE REALIZA LLAMADA AL CLIENTE, SE HABLA CON LA SRA YUDITH SIRLEY SANCHEZ MORENO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t>
  </si>
  <si>
    <t>SHZZZ017</t>
  </si>
  <si>
    <t>TA-25-982576</t>
  </si>
  <si>
    <t>BARRIO ROBLEDO VILLA FLORA MEDELLIN 5</t>
  </si>
  <si>
    <t>FO-25-1391024</t>
  </si>
  <si>
    <t>16-08 SE REALIZA LLAMADA AL CLIENTE, SE HABLA CON LA SRA YOMER NELLY OSSA GOMEZ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</si>
  <si>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SHZZZ018</t>
  </si>
  <si>
    <t>TA-25-982577</t>
  </si>
  <si>
    <t>BARRIO 20 DE ENERO NECHI</t>
  </si>
  <si>
    <t>FO-25-1391028</t>
  </si>
  <si>
    <t>16-08 SE REALIZA LLAMADA AL CLIENTE, SE HABLA CON LA SR DIANIS ESTER MONROY RIVERA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</si>
  <si>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SHZZZ019</t>
  </si>
  <si>
    <t>TA-25-982578</t>
  </si>
  <si>
    <t>BARRIO EL PRADO BUCARAMANGA 5</t>
  </si>
  <si>
    <t>FO-25-1391034</t>
  </si>
  <si>
    <t>16-08 SE REALIZA LLAMADA AL CLIENTE, SE HABLA CON LA SRA HEIDY KAMILA FLOREZ ARGUELLO SE VALIDA DIRECCIÓN OK, CANAL OK, DISPONIBILIDAD TOTAL, LLAMAR EL DÍA LA INSTALACIÓN PARA CONFIRMAR VISITA, AVISO EXTERIOR ALTURA APROX 1.80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</si>
  <si>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SHZZZ020</t>
  </si>
  <si>
    <t>TA-25-982580</t>
  </si>
  <si>
    <t>BARRIO ZAPATOCA ZAPATOCA</t>
  </si>
  <si>
    <t>FO-25-1391039</t>
  </si>
  <si>
    <t>16-08 SE REALIZA LLAMADA AL CLIENTE, SE HABLA CON LA SR NELSON HELI GÓMEZ GÓMEZ  SE VALIDA DIRECCIÓN OK, CANAL OK, DISPONIBILIDAD TOTAL, LLAMAR EL DÍA LA INSTALACIÓN PARA CONFIRMAR VISITA, AVISO EXTERIOR ALTURA APROX 2.5 METROS; TOMACORRIENTE CERCANO: SI; TIENE CABINA DE SEGURIDAD: NO - EL MODEM ESTA A 4 MT  20/08/2025 SE REALIZA INSTALACIÓN DE CORRESPONSAL, SE INSTALAN EQUIPOS CON PRUEBAS EXITOSAS, SE CAPACITA Y SE EVALÚA AL CLIENTE, SE INSTALA PUBLICIDAD COMPLETA, CB QUEDA OPERATIVO. USUARIO SOMOS BANCOLOMBIA ACTIVO</t>
  </si>
  <si>
    <t>SHZZZ021</t>
  </si>
  <si>
    <t>TA-25-982581</t>
  </si>
  <si>
    <t>BARRIO NAVIDAD LORICA</t>
  </si>
  <si>
    <t>FO-25-1391044</t>
  </si>
  <si>
    <t>16-08 SE REALIZA LLAMADA AL CLIENTE, SE HABLA CON LA SRA PAOLA HERRERA SUAREZ SE VALIDA DIRECCIÓN OK, CANAL OK, DISPONIBILIDAD TOTAL, LLAMAR EL DÍA LA INSTALACIÓN PARA CONFIRMAR VISITA, AVISO EXTERIOR ALTURA:NO INDICA ALTURA; TOMACORRIENTE CERCANO: SI; TIENE CABINA DE SEGURIDAD: NO 20-08 SE REALIZA INSTALACIÓN DE CORRESPONSAL, SE INSTALAN EQUIPOS CON PRUEBAS EXITOSAS, SE CAPACITA Y SE EVALÚA AL CLIENTE, SE INSTALA PUBLICIDAD COMPLETA, CB QUEDA OPERATIVO. USUARIO SOMOS BANCOLOMBIA ACTIVO</t>
  </si>
  <si>
    <t>SHZZZ022</t>
  </si>
  <si>
    <t>TA-25-982582</t>
  </si>
  <si>
    <t>BARRIO TRIGAL DEL NORTE CUCUTA 10</t>
  </si>
  <si>
    <t>FO-25-1391048</t>
  </si>
  <si>
    <t>16-08 SE REALIZA LLAMADA AL CLIENTE, SE HABLA CON LA SRA BRAYAM ORLANDO MURCIA ARDILA SE VALIDA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</si>
  <si>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SHZZZ023</t>
  </si>
  <si>
    <t>TA-25-982585</t>
  </si>
  <si>
    <t>JAMUNDI</t>
  </si>
  <si>
    <t>BARRIO BELLO HORIZONTE JAMUNDI</t>
  </si>
  <si>
    <t>FO-25-1391057</t>
  </si>
  <si>
    <t>19-08 SE REALIZA LLAMADA AL CLIENTE, SE HABLA CON EL SR DIEGO ANDRES ARIAS GOMEZ SE VALIDA DIRECCIÓN OK, CANAL OK, DISPONIBILIDAD TOTAL, LLAMAR EL DÍA LA INSTALACIÓN PARA CONFIRMAR VISITA, AVISO EXTERIOR NO INDICA ALTURA; TOMACORRIENTE CERCANO: SI; TIENE CABINA DE SEGURIDAD: SI 20-08 SE REALIZA INSTALACIÓN DE CORRESPONSAL, SE INSTALAN EQUIPOS CON PRUEBAS EXITOSAS, SE CAPACITA Y SE EVALÚA AL CLIENTE, SE INSTALA PUBLICIDAD COMPLETA, CB QUEDA OPERATIVO. USUARIO SOMOS BANCOLOMBIA ACTIV</t>
  </si>
  <si>
    <t>SHZZZ024</t>
  </si>
  <si>
    <t>TA-25-982587</t>
  </si>
  <si>
    <t>BARRIO PANDIGUANDO POPAYAN 2</t>
  </si>
  <si>
    <t>FO-25-1391061</t>
  </si>
  <si>
    <t>19-08 SE REALIZA LLAMADA AL CLIENTE, SE HABLA CON EL SR LUIS ESTEBAN MIRANDA GRACIANO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</si>
  <si>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SHZZZ025</t>
  </si>
  <si>
    <t>TA-25-982588</t>
  </si>
  <si>
    <t>BARRIO LOURDES CALI</t>
  </si>
  <si>
    <t>FO-25-1391066</t>
  </si>
  <si>
    <t>19-08 SE REALIZA LLAMADA AL CLIENTE, SE HABLA CON LA SR SAUL ZULUAGA LOPEZ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t>
  </si>
  <si>
    <t>SHZZZ026</t>
  </si>
  <si>
    <t>TA-25-982589</t>
  </si>
  <si>
    <t>CALARCA</t>
  </si>
  <si>
    <t>BARRIO LAS PALOMAS CALARCA 1</t>
  </si>
  <si>
    <t>FO-25-1391068</t>
  </si>
  <si>
    <t>19-08 SE REALIZA LLAMADA AL CLIENTE, SE HABLA CON EL SR JORGE JONAN LOPEZ GIL SE VALIDA DIRECCIÓN OK, CANAL OK, DISPONIBILIDAD TOTAL, LLAMAR EL DÍA LA INSTALACIÓN PARA CONFIRMAR VISITA, AVISO EXTERIOR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t>
  </si>
  <si>
    <t>SHZZZ027</t>
  </si>
  <si>
    <t>TA-25-982590</t>
  </si>
  <si>
    <t>SIBATE</t>
  </si>
  <si>
    <t>BARRIO PROGRESO SIBATE 1</t>
  </si>
  <si>
    <t>FO-25-1391073</t>
  </si>
  <si>
    <t>16-08 SE REALIZA LLAMADA AL CLIENTE, SE HABLA CON LA SRA SANDRA MILENA GARCIA ALVAREZ  SE VALIDA DIRECCIÓN OK, CANAL OK, DISPONIBILIDAD TOTAL, LLAMAR EL DÍA LA INSTALACIÓN PARA CONFIRMAR VISITA, AVISO EXTERIOR ALTURA: NO INDICA ALTURA ; TOMACORRIENTE CERCANO: SI; TIENE CABINA DE SEGURIDAD: NO 21/08/2025 SE REALIZA INSTALACIÓN DE CORRESPONSAL, SE INSTALAN EQUIPOS CON PRUEBAS EXITOSAS, SE CAPACITA Y SE EVALÚA AL CLIENTE, SE INSTALA PUBLICIDAD COMPLETA, CB QUEDA OPERATIVO. USUARIO SOMOS BANCOLOMBIA ACTIVO</t>
  </si>
  <si>
    <t>SHZZZ028</t>
  </si>
  <si>
    <t>TA-25-982591</t>
  </si>
  <si>
    <t>PUERTO BERRIO</t>
  </si>
  <si>
    <t>BARRIO CENTRO PUERTO BERRIO 9</t>
  </si>
  <si>
    <t>FO-25-1391078</t>
  </si>
  <si>
    <t>16-08 SE REALIZA LLAMADA AL CLIENTE, SE HABLA CON LA SR WILLIAM DE JESUS GARCIA AGUDELO SE VALIDA DIRECCIÓN OK, CANAL OK, DISPONIBILIDAD TOTAL, LLAMAR EL DÍA LA INSTALACIÓN PARA CONFIRMAR VISITA, AVISO EXTERIOR ALTURA APROX 2 METROS; TOMACORRIENTE CERCANO: SI; TIENE CABINA DE SEGURIDAD: NO 21-08 SE REALIZA INSTALACIÓN DE CORRESPONSAL, SE INSTALAN EQUIPOS CON PRUEBAS EXITOSAS, SE CAPACITA Y SE EVALÚA AL CLIENTE, SE INSTALA PUBLICIDAD COMPLETA, CB QUEDA OPERATIVO. USUARIO SOMOS BANCOLOMBIA ACTIVO</t>
  </si>
  <si>
    <t>SHZZZ029</t>
  </si>
  <si>
    <t>TA-25-982592</t>
  </si>
  <si>
    <t>MOSQUERA</t>
  </si>
  <si>
    <t>BARRIO CENTRO MOSQUERA MOSQUERA</t>
  </si>
  <si>
    <t>FO-25-1391081</t>
  </si>
  <si>
    <t>16-08 SE REALIZA LLAMADA AL CLIENTE, SE HABLA CON LA SRA YEIMY KATHERINE VARGAS BAUTISTA  SE VALIDA DIRECCIÓN OK, CANAL OK, DISPONIBILIDAD TOTAL, LLAMAR EL DÍA LA INSTALACIÓN PARA CONFIRMAR VISITA, AVISO EXTERIOR ALTURA: NO INDICA ALTURA;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t>
  </si>
  <si>
    <t>SHZZZ030</t>
  </si>
  <si>
    <t>TA-25-982593</t>
  </si>
  <si>
    <t>SAN JACINTO</t>
  </si>
  <si>
    <t>BARRIO CENTRO SAN JACINTO 3</t>
  </si>
  <si>
    <t>FO-25-1391088</t>
  </si>
  <si>
    <t>16-08 SE REALIZA LLAMADA AL CLIENTE, SE HABLA CON LA SRA DAYANA SALAZAR JIMENEZ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</si>
  <si>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SHZZZ031</t>
  </si>
  <si>
    <t>TA-25-982594</t>
  </si>
  <si>
    <t>LLORO</t>
  </si>
  <si>
    <t>BARRIO NUEVO LLORO LLORO</t>
  </si>
  <si>
    <t>FO-25-1391091</t>
  </si>
  <si>
    <t>16-08 SE REALIZA LLAMADA AL CLIENTE, SE HABLA CON LA SRA YENSY LONDOÑO L SE VALIDA DIRECCIÓN OK, CANAL OK, DISPONIBILIDAD TOTAL, LLAMAR EL DÍA LA INSTALACIÓN PARA CONFIRMAR VISITA, AVISO EXTERIOR ALTURA APROX 2 METROS; TOMACORRIENTE CERCANO: SI; TIENE CABINA DE SEGURIDAD: NO 27/08/2025 SE REALIZA INSTALACIÓN DE CORRESPONSAL, SE INSTALAN EQUIPOS CON PRUEBAS EXITOSAS, SE CAPACITA Y SE EVALÚA AL CLIENTE, SE INSTALA PUBLICIDAD COMPLETA, CB QUEDA OPERATIVO. USUARIO SOMOS BANCOLOMBIA ACTIVO</t>
  </si>
  <si>
    <t>SHZZZ032</t>
  </si>
  <si>
    <t>TA-25-992996</t>
  </si>
  <si>
    <t>DISTRICOL VARIEDADES GUACAMAYA</t>
  </si>
  <si>
    <t>FO-25-1404415</t>
  </si>
  <si>
    <t>21-08 PROGRAMACIÓN REALIZADA POR LA ALIANZA 25-08 SE REALIZA INSTALACIÓN DE CORRESPONSAL, SE INSTALAN EQUIPOS CON PRUEBAS EXITOSAS, SE CAPACITA Y SE EVALÚA AL CLIENTE, SE INSTALA PUBLICIDAD COMPLETA, CB QUEDA OPERATIVO. USUARIO SOMOS BANCOLOMBIA ACTIVO</t>
  </si>
  <si>
    <t>SIZZZ933</t>
  </si>
  <si>
    <t>TA-25-992998</t>
  </si>
  <si>
    <t>DISTRICOL CENTRO COMERCIAL</t>
  </si>
  <si>
    <t>FO-25-1404421</t>
  </si>
  <si>
    <t>21-08 PROGRAMACIÓN REALIZADA POR LA ALIANZA 25-08 POR TEMAS DE TRANSPORTE Y ORDEN PÚBLICO EN LA VÍA NO SE LOGRA VISITAR HOY SE VISITA EL DÍA DE MAÑANA 26/08/2025 VISITAMOS PUNTO Y E ENCUENTRA QUE NO HAY AVISO COMERCIAL EN SITIO, ES UN LOCAL DENTRO DEL CENTRO COMERCIAL PERO NO HAY AVISO CON NOMBRE COMERCIAL. ADICIONALMENTE RESPECTO A LA DIRECCIÓN: COMERCIO INFORMA QUE NO TIENEN RECIBO DE SERVICIOS PÚBLICOS, Y EN CÁMARA DE COMERCIO NO REGISTRA LA DIRECCIÓN QUE TENEMOS EN LISTA DE CHEQUEO, ENTONCES NO TENEMOS COMO CONFIRMAR INFORMACIÓN DE COMERCIO. COORDENADAS SI NOS DAN EN DIRECCIÓN CORRECTA. COMERCIO SI ESTÁ DENTRO DE UN CENTRO COMERCIAL, PERO NO TENEMOS COMO CORROBORAR EL NOMBRE NI DIRECCIÓN. 26/08/2025 TENIENDO EN CUENTA LAS NOVEDADES ENCONTRADAS POR FAVOR CANCELAR LA IMPLEMENTACIÓN AL PUNTO, LO ESTARÉ INFORMANDO AL ALIADO.</t>
  </si>
  <si>
    <t>SIZZZ934</t>
  </si>
  <si>
    <t>TA-25-992999</t>
  </si>
  <si>
    <t>DISTRICOL PAPELERIA DETALLES A</t>
  </si>
  <si>
    <t>FO-25-1404425</t>
  </si>
  <si>
    <t>SIZZZ935</t>
  </si>
  <si>
    <t>TA-25-993008</t>
  </si>
  <si>
    <t>DISTRICOL CITYPHONE CLUB</t>
  </si>
  <si>
    <t>FO-25-1404427</t>
  </si>
  <si>
    <t>21-08 PROGRAMACIÓN REALIZADA POR LA ALIANZA 22/08/2025 SE REALIZA INSTALACIÓN DE CORRESPONSAL, SE INSTALAN EQUIPOS CON PRUEBAS EXITOSAS, SE CAPACITA Y SE EVALÚA AL CLIENTE, SE INSTALA PUBLICIDAD COMPLETA, CB QUEDA OPERATIVO. USUARIO SOMOS BANCOLOMBIA ACTIVO</t>
  </si>
  <si>
    <t>SIZZZ936</t>
  </si>
  <si>
    <t>TA-25-993009</t>
  </si>
  <si>
    <t>DISTRICOL SAANTINA S.A.S</t>
  </si>
  <si>
    <t>FO-25-1404429</t>
  </si>
  <si>
    <t>SIZZZ937</t>
  </si>
  <si>
    <t>TA-25-993010</t>
  </si>
  <si>
    <t>DISTRICOL CONECTADOS 123</t>
  </si>
  <si>
    <t>FO-25-1404432</t>
  </si>
  <si>
    <t>SIZZZ938</t>
  </si>
  <si>
    <t>TA-25-993019</t>
  </si>
  <si>
    <t>BARBOSA</t>
  </si>
  <si>
    <t>DISTRICOL MOTO EXPRESS</t>
  </si>
  <si>
    <t>FO-25-1404437</t>
  </si>
  <si>
    <t>SIZZZ939</t>
  </si>
  <si>
    <t>TA-25-992097</t>
  </si>
  <si>
    <t>BARRIO ARROYO ABAJO MARÍA LA BAJA</t>
  </si>
  <si>
    <t>FO-25-1402155</t>
  </si>
  <si>
    <t>21-08-2025 SE REALIZA LLAMADA AL CLIENTE, SE HABLA CON LA SRA IDALY HERNANDEZ VASQUEZ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</si>
  <si>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SIZZZ880</t>
  </si>
  <si>
    <t>TA-25-992098</t>
  </si>
  <si>
    <t>FRANCISCO PIZARRO</t>
  </si>
  <si>
    <t>BARRIO AV LOS ESTUDIANTES FRANCISCO PIZARRO</t>
  </si>
  <si>
    <t>FO-25-1402160</t>
  </si>
  <si>
    <t>21-08-2025 SE REALIZA LLAMADA AL CLIENTE, SE HABLA CON EL SR JESUS FABRICIO YEPEZ SEVILLANO SE VALIDA DIRECCIÓN OK, CANAL OK, DISPONIBILIDAD TOTAL, LLAMAR EL DÍA LA INSTALACIÓN PARA CONFIRMAR VISITA, AVISO EXTERIOR ALTURA APROX 2,20 METROS; TOMACORRIENTE CERCANO: SI; TIENE CABINA DE SEGURIDAD: SI // CONTACTO REALIZADO POR LA APP 26/08/2025 SE REALIZA INSTALACIÓN DE CORRESPONSAL, SE INSTALAN EQUIPOS CON PRUEBAS EXITOSAS, SE CAPACITA Y SE EVALÚA AL CLIENTE, SE INSTALA PUBLICIDAD COMPLETA, CB QUEDA OPERATIVO. USUARIO SOMOS BANCOLOMBIA ACTIVO. EL COMERCIO NO CUENTA CON AVISO COMERCIAL DEBIDO A QUE ESTABAN ADECUANDO EL LUGAR PARA LA INSTALACIÓN Y DEBIDO A QUE ESTA FUE ADELANTADA NO ALCANZARON A TENER EL AVISO PUESTO, LA NOVEDAD FUE ESCALADA Y APROBADA</t>
  </si>
  <si>
    <t>SIZZZ881</t>
  </si>
  <si>
    <t>TA-25-992099</t>
  </si>
  <si>
    <t>BELMIRA</t>
  </si>
  <si>
    <t>BARRIO BELMIRA BELMIRA</t>
  </si>
  <si>
    <t>FO-25-1402165</t>
  </si>
  <si>
    <t>21-08-2025 SE REALIZA LLAMADA AL CLIENTE, SE HABLA CON LA SRA LINA ALEJANDRA LONDOÑO ZAPATA SE VALIDA DIRECCIÓN OK, CANAL OK, DISPONIBILIDAD TOTAL, LLAMAR EL DÍA LA INSTALACIÓN PARA CONFIRMAR VISITA, AVISO EXTERIOR ALTURA APROX 1,50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t>
  </si>
  <si>
    <t>SIZZZ882</t>
  </si>
  <si>
    <t>TA-25-992101</t>
  </si>
  <si>
    <t>BARRIO BICENTENARIO CARTAGENA DE INDIAS 5</t>
  </si>
  <si>
    <t>FO-25-1402167</t>
  </si>
  <si>
    <t>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t>
  </si>
  <si>
    <t>SIZZZ883</t>
  </si>
  <si>
    <t>TA-25-992105</t>
  </si>
  <si>
    <t>EL SANTUARIO</t>
  </si>
  <si>
    <t>BARRIO BUENOS AIRES EL SANTUARIO</t>
  </si>
  <si>
    <t>FO-25-1402175</t>
  </si>
  <si>
    <t>21-08-2025 SE REALIZA LLAMADA AL CLIENTE, SE HABLA CON EL SR FABIO NELSON GIRALDO OROZCO SE VALIDA DIRECCIÓN OK, CANAL OK, DISPONIBILIDAD TOTAL, LLAMAR EL DÍA LA INSTALACIÓN PARA CONFIRMAR VISITA, AVISO EXTERIOR ALTURA APROX 2 METROS; TOMACORRIENTE CERCANO: SI; TIENE CABINA DE SEGURIDAD: NO // CONTACTO REALIZADO POR LA APP 25/08/2025 SE REALIZA INSTALACIÓN DE CORRESPONSAL, SE INSTALAN EQUIPOS CON PRUEBAS EXITOSAS, SE CAPACITA Y SE EVALÚA AL CLIENTE, SE INSTALA PUBLICIDAD COMPLETA, CB QUEDA OPERATIVO. USUARIO SOMOS BANCOLOMBIA ACTIVO</t>
  </si>
  <si>
    <t>ZAPATA LOPEZ EDWARD ASDRUBAL</t>
  </si>
  <si>
    <t>SIZZZ884</t>
  </si>
  <si>
    <t>TA-25-992108</t>
  </si>
  <si>
    <t>BARRIO CARIBE MANIZALES 1</t>
  </si>
  <si>
    <t>FO-25-1402185</t>
  </si>
  <si>
    <t>21-08-2025 SE REALIZA LLAMADA AL CLIENTE, SE HABLA CON LA SRA LUISA FERNANDA MARTINEZ RUA SE VALIDA DIRECCIÓN OK, CANAL OK, DISPONIBILIDAD TOTAL, LLAMAR EL DÍA LA INSTALACIÓN PARA CONFIRMAR VISITA, AVISO EXTERIOR ALTURA APROX 3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t>
  </si>
  <si>
    <t>SIZZZ885</t>
  </si>
  <si>
    <t>TA-25-992109</t>
  </si>
  <si>
    <t>ARBELAEZ</t>
  </si>
  <si>
    <t>BARRIO CENTRO ARBELAEZ 1</t>
  </si>
  <si>
    <t>FO-25-1402191</t>
  </si>
  <si>
    <t>21-08-2025 SE REALIZA LLAMADA AL CLIENTE, SE HABLA CON EL SR CESAR AGUSTO NOVOA AGUDELO SE VALIDA DIRECCIÓN OK, CANAL OK, DISPONIBILIDAD TOTAL, LLAMAR EL DÍA LA INSTALACIÓN PARA CONFIRMAR VISITA, AVISO EXTERIOR ALTURA APROX 2 METROS; TOMACORRIENTE CERCANO: SI; TIENE CABINA DE SEGURIDAD: SI (CLIENTE SOLICITA PINPAD) // CONTACTO REALIZADO POR LA APP 25/08/2025 SE REALIZA INSTALACIÓN DE CORRESPONSAL, SE INSTALAN EQUIPOS CON PRUEBAS EXITOSAS, SE CAPACITA Y SE EVALÚA AL CLIENTE, SE INSTALA PUBLICIDAD COMPLETA, CB QUEDA OPERATIVO. USUARIO SOMOS BANCOLOMBIA ACTIVO</t>
  </si>
  <si>
    <t>SIZZZ886</t>
  </si>
  <si>
    <t>TA-25-992111</t>
  </si>
  <si>
    <t>CHINCHINA</t>
  </si>
  <si>
    <t>BARRIO CENTRO CHINCHINA 13</t>
  </si>
  <si>
    <t>FO-25-1402195</t>
  </si>
  <si>
    <t>21-08-2025 SE REALIZA LLAMADA AL CLIENTE, SE HABLA CON EL SR ANTONIO JOSE TORO TORO SE VALIDA DIRECCIÓN OK, CANAL OK, DISPONIBILIDAD TOTAL, LLAMAR EL DÍA LA INSTALACIÓN PARA CONFIRMAR VISITA, AVISO EXTERIOR ALTURA APROX 2 METROS; TOMACORRIENTE CERCANO: SI; TIENE CABINA DE SEGURIDAD: SI (CLIENTE SOLICITA PINPAD) // CONTACTO REALIZADO POR LA APP 22/08/2025 SE REALIZA INSTALACIÓN DE CORRESPONSAL, SE INSTALAN EQUIPOS CON PRUEBAS EXITOSAS, SE CAPACITA Y SE EVALÚA AL CLIENTE, SE INSTALA PUBLICIDAD COMPLETA MENOS AVISO POR CAMBIO DE RAZON SOCIAL, CB QUEDA OPERATIVO. USUARIO SOMOS BANCOLOMBIA ACTIVO</t>
  </si>
  <si>
    <t>SIZZZ887</t>
  </si>
  <si>
    <t>TA-25-992113</t>
  </si>
  <si>
    <t>BARRIO CENTRO CUBARRAL  8</t>
  </si>
  <si>
    <t>FO-25-1402202</t>
  </si>
  <si>
    <t>21-08-2025 SE REALIZA LLAMADA AL CLIENTE, SE HABLA CON LA SRA MAIRA BERNARDA RODRIGUEZ CARDONA SE VALIDA DIRECCIÓN OK, CANAL OK, DISPONIBILIDAD TOTAL, LLAMAR EL DÍA LA INSTALACIÓN PARA CONFIRMAR VISITA, AVISO EXTERIOR ALTURA APROX 2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t>
  </si>
  <si>
    <t>SIZZZ888</t>
  </si>
  <si>
    <t>TA-25-992114</t>
  </si>
  <si>
    <t>BARRIO CENTRO MANIZALES 27</t>
  </si>
  <si>
    <t>FO-25-1402209</t>
  </si>
  <si>
    <t>21-08-2025 SE REALIZA LLAMADA AL CLIENTE, SE HABLA CON LA SRA LEYDI VIVIANA PULGARIN SE VALIDA DIRECCIÓN OK, CANAL OK, DISPONIBILIDAD TOTAL, LLAMAR EL DÍA LA INSTALACIÓN PARA CONFIRMAR VISITA, AVISO EXTERIOR ALTURA APROX 3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t>
  </si>
  <si>
    <t>SIZZZ889</t>
  </si>
  <si>
    <t>TA-25-992115</t>
  </si>
  <si>
    <t>PUERTO TEJADA</t>
  </si>
  <si>
    <t>BARRIO CENTRO PUERTO TEJADA 12</t>
  </si>
  <si>
    <t>FO-25-1402214</t>
  </si>
  <si>
    <t>21-08-2025 SE REALIZA LLAMADA AL CLIENTE, SE HABLA CON LA SRA OLGA MERCEDES REYES RIASCOS SE VALIDA DIRECCIÓN OK, CANAL OK, DISPONIBILIDAD TOTAL, LLAMAR EL DÍA LA INSTALACIÓN PARA CONFIRMAR VISITA, AVISO EXTERIOR ALTURA APROX 2,50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</si>
  <si>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SIZZZ890</t>
  </si>
  <si>
    <t>TA-25-992116</t>
  </si>
  <si>
    <t>BARRIO CENTRO ZIPQUIRA</t>
  </si>
  <si>
    <t>FO-25-1402219</t>
  </si>
  <si>
    <t>21-08-2025 SE REALIZA LLAMADA AL CLIENTE, SE HABLA CON LA SRA NANCY MERCEDES GUERRERO ALVAREZ SE VALIDA DIRECCIÓN OK, CANAL OK, DISPONIBILIDAD TOTAL, LLAMAR EL DÍA LA INSTALACIÓN PARA CONFIRMAR VISITA, AVISO EXTERIOR ALTURA APROX 2,50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t>
  </si>
  <si>
    <t>SIZZZ892</t>
  </si>
  <si>
    <t>TA-25-992117</t>
  </si>
  <si>
    <t>BARRIO CGT SAN JUAN DE ASIS PUERTO LIBERTADOR</t>
  </si>
  <si>
    <t>FO-25-1402224</t>
  </si>
  <si>
    <t>21-08-2025 SE REALIZA LLAMADA AL CLIENTE, SE HABLA CON EL SR SANTIAGO ENRIQUE TEJADA ATENCIO SE VALIDA DIRECCIÓN OK, CANAL OK, DISPONIBILIDAD TOTAL, LLAMAR EL DÍA LA INSTALACIÓN PARA CONFIRMAR VISITA, AVISO EXTERIOR ALTURA APROX 3 METROS; TOMACORRIENTE CERCANO: SI; TIENE CABINA DE SEGURIDAD: NO // CONTACTO REALIZADO POR LA APP 25-08 SE REALIZA GESTIÓN TELEFÓNICA CON EL SÑ SANTIAGO TEJADA, MANIFESTADO NO ENCONTRARSE EN EL ESTABLECIMIENTO POR MOTIVO DE VIAJE PIDE QUE SE REPROGRAME LA VISITA PARA EL DÍA MIÉRCOLES 27/08/25 27/08/2025 SE ESCALA CASO DE APERTURA CB 81152, DONDE SE EVIDENCIA QUE EN LA FACHADA DEL COMERCIO NO CUENTA CON AVISO PUBLICITARIO CON EL NOMBRE DEL COMERCIO. CABE ANOTAR QUE LA DIRECCION EN EL CORREGIMIENTO SI COINCIDE CON CÁMARA DE COMERCIO Y SERVICIOS PÚBLICOS, LO MISMO QUE EL OBJETIVO COMERCIAL, TAMBIEN COINCIDE CON LOS PRODUCTOS EXHIBIDOS // ENTIDAD APRUEBA INSTALACIÓN - 27-08 SE REALIZA INSTALACIÓN DE CORRESPONSAL, SE INSTALAN EQUIPOS CON PRUEBAS EXITOSAS, SE CAPACITA Y SE EVALÚA AL CLIENTE, SE INSTALA PUBLICIDAD COMPLETA, CB QUEDA OPERATIVO. USUARIO SOMOS BANCOLOMBIA ACTIVO</t>
  </si>
  <si>
    <t>ARRAZOLA HERNANDEZ NICOLAS AUGUSTO</t>
  </si>
  <si>
    <t>SIZZZ893</t>
  </si>
  <si>
    <t>TA-25-992118</t>
  </si>
  <si>
    <t>BARRIO CHILAGOS  CHIA 1</t>
  </si>
  <si>
    <t>FO-25-1402228</t>
  </si>
  <si>
    <t>21-08-2025 SE REALIZA LLAMADA AL CLIENTE, SE HABLA CON LA SRA LEIDY YAMILE URUEÑA MEDINA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</si>
  <si>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SIZZZ894</t>
  </si>
  <si>
    <t>TA-25-992119</t>
  </si>
  <si>
    <t>ARJONA</t>
  </si>
  <si>
    <t>BARRIO CL JUNCAL SEC EL PONDO ARJONA</t>
  </si>
  <si>
    <t>FO-25-1402232</t>
  </si>
  <si>
    <t>21-08-2025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22-08 SE VALIDA CON EL CLIENTE INFORMA QUE EL DIA DE MAÑANA NO ABRA SERVICIO DE LUZ EN EL PUEBLO HASTA LAS 5PM POR LO QUE SE REPROGRAMA LA VISITA PARA EL DIA LUNES 25/08/2025 SE REALIZA INSTALACIÓN DE CORRESPONSAL, SE INSTALAN EQUIPOS CON PRUEBAS EXITOSAS, SE CAPACITA Y SE EVALÚA AL CLIENTE, SE INSTALA PUBLICIDAD COMPLETA, CB QUEDA OPERATIVO. USUARIO SOMOS BANCOLOMBIA ACTIVO</t>
  </si>
  <si>
    <t>SIZZZ895</t>
  </si>
  <si>
    <t>TA-25-992120</t>
  </si>
  <si>
    <t>BARRIO COLOMBIATON CARTAGENA DE INDIAS</t>
  </si>
  <si>
    <t>FO-25-1402240</t>
  </si>
  <si>
    <t>21-08 SE REALIZA LA LLAMADA AL CLIENTE, SE HABLA CON LA SRA DARYS DEL CARMEN MEZA PALOMINO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</si>
  <si>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SIZZZ896</t>
  </si>
  <si>
    <t>TA-25-992133</t>
  </si>
  <si>
    <t>BARRIO EL CARMEN FLORIDABLANCA 5</t>
  </si>
  <si>
    <t>FO-25-1402245</t>
  </si>
  <si>
    <t>21-08 SE REALIZA LA LLAMADA AL CLIENTE, SE HABLA CON EL SR JAMES FERNANDO AGUIRRE HERNÁNDEZ SE VALIDA DIRECCIÓN OK, CANAL OK, DISPONIBILIDAD TOTAL, LLAMAR EL DIA DE LA INSTALACIÓN PARA CONFIRMAR VISITA, AVISO EXTERIOR ALTURA APROX 2 METROS; TOMACORRIENTE CERCANO: SI; TIENE CABINA DE SEGURIDAD; SI 22-08 SE REALIZA INSTALACIÓN DE CORRESPONSAL, SE INSTALAN EQUIPOS CON PRUEBAS EXITOSAS, SE CAPACITA Y SE EVALÚA AL CLIENTE, SE INSTALA PUBLICIDAD COMPLETA, CB QUEDA OPERATIVO. USUARIO SOMOS BANCOLOMBIA ACTIVO</t>
  </si>
  <si>
    <t>SIZZZ897</t>
  </si>
  <si>
    <t>TA-25-992134</t>
  </si>
  <si>
    <t>SAN ALBERTO</t>
  </si>
  <si>
    <t xml:space="preserve">BARRIO EL CENTRO SAN ALBERTO </t>
  </si>
  <si>
    <t>FO-25-1402250</t>
  </si>
  <si>
    <t>21-08 SE REALIZA LA LLAMADA AL CLIENTE, SE HABLA CON LA SRA MARIA MERCEDES HERNANDEZ HERRERA  SE VALIDA DIRECCIÓN OK, CANAL OK, DISPONIBILIDAD TOTAL, LLAMAR EL DIA DE LA INSTALACIÓN PARA CONFIRMAR VISITA, AVISO EXTERIOR ALTURA APROX 1,5 METROS; TOMACORRIENTE CERCANO: SI; TIENE CABINA DE SEGURIDAD; SI 22-08 SE REALIZA INSTALACIÓN DE CORRESPONSAL, SE INSTALAN EQUIPOS CON PRUEBAS EXITOSAS, SE CAPACITA Y SE EVALÚA AL CLIENTE, SE INSTALA PUBLICIDAD COMPLETA, CB QUEDA OPERATIVO. USUARIO SOMOS BANCOLOMBIA ACTIVO</t>
  </si>
  <si>
    <t>SIZZZ898</t>
  </si>
  <si>
    <t>TA-25-992135</t>
  </si>
  <si>
    <t>GUATICA</t>
  </si>
  <si>
    <t>BARRIO EL JARDIN GUATICA</t>
  </si>
  <si>
    <t>FO-25-1420655</t>
  </si>
  <si>
    <t>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t>
  </si>
  <si>
    <t>SIZZZ899</t>
  </si>
  <si>
    <t>TA-25-992137</t>
  </si>
  <si>
    <t>GUATAVITA</t>
  </si>
  <si>
    <t>BARRIO GUATAVITA GUATAVITA</t>
  </si>
  <si>
    <t>FO-25-1402272</t>
  </si>
  <si>
    <t>21-08 SE REALIZA LA LLAMADA AL CLIENTE, SE HABLA CON EL SR NICOLAS ADONIAS VELASQUEZ OBANDO SE VALIDA DIRECCIÓN OK, CANAL OK, DISPONIBILIDAD TOTAL, LLAMAR EL DIA DE LA INSTALACIÓN PARA CONFIRMAR VISITA, AVISO EXTERIOR NO INDICA ALTURA, EL USUARIO REFIERE QUE L ALCALDIA DE GUATAVITA NO ESTÁ PERMITIENDO AVISOS EXTERIORES QUE NO SEAN EN MADERA O HIERRO FORJADO; TOMACORRIENTE CERCANO: SI; TIENE CABINA DE SEGURIDAD; SI 25/08/2025 SE REALIZA INSTALACIÓN DE CORRESPONSAL, SE INSTALAN EQUIPOS CON PRUEBAS EXITOSAS, SE CAPACITA Y SE EVALÚA AL CLIENTE, SE INSTALA PUBLICIDAD COMPLETA, CB QUEDA OPERATIVO. USUARIO SOMOS BANCOLOMBIA ACTIVO</t>
  </si>
  <si>
    <t>SIZZZ901</t>
  </si>
  <si>
    <t>TA-25-992141</t>
  </si>
  <si>
    <t>BARRIO HATO 1 FUNZA</t>
  </si>
  <si>
    <t>FO-25-1402280</t>
  </si>
  <si>
    <t>21-08 SE REALIZA LA LLAMADA AL CLIENTE, SE HABLA CON LA SRA  ADRIANA MARIA MURILLO TORRES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</si>
  <si>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SIZZZ902</t>
  </si>
  <si>
    <t>TA-25-992142</t>
  </si>
  <si>
    <t>BARRIO LA CUMBRE MANIZALES 1</t>
  </si>
  <si>
    <t>FO-25-1402285</t>
  </si>
  <si>
    <t>21-08 SE REALIZA LA LLAMADA AL CLIENTE, SE HABLA CON LA SRA YERALDIN GIRALDO VELEZ SE VALIDA DIRECCIÓN OK, CANAL OK, DISPONIBILIDAD TOTAL, LLAMAR EL DIA DE LA INSTALACIÓN PARA CONFIRMAR VISITA, AVISO EXTERIOR NO INDICA ALTURA; TOMACORRIENTE CERCANO: SI; TIENE CABINA DE SEGURIDAD; POR EL MOMENTO NO 25/08/2025 SE REALIZA INSTALACIÓN DE CORRESPONSAL, SE INSTALAN EQUIPOS CON PRUEBAS EXITOSAS, SE CAPACITA Y SE EVALÚA AL CLIENTE, SE INSTALA PUBLICIDAD COMPLETA, CB QUEDA OPERATIVO. USUARIO SOMOS BANCOLOMBIA ACTIVO</t>
  </si>
  <si>
    <t>SIZZZ903</t>
  </si>
  <si>
    <t>TA-25-992143</t>
  </si>
  <si>
    <t>BARRIO LA MARIA OCCIDENTE POPAYAN 3</t>
  </si>
  <si>
    <t>FO-25-1402293</t>
  </si>
  <si>
    <t>21-08 SE REALIZA LA LLAMADA AL CLIENTE, SE HABLA CON EL SR JHON FREDY REALPE PEREZ SE VALIDA DIRECCIÓN OK, CANAL OK, DISPONIBILIDAD TOTAL, LLAMAR EL DIA DE LA INSTALACIÓN PARA CONFIRMAR VISITA, AVISO EXTERIOR 2 METROS APROX; TOMACORRIENTE CERCANO: SI; TIENE CABINA DE SEGURIDAD; SI 25/08/2025 SE REALIZA INSTALACIÓN DE CORRESPONSAL, SE INSTALAN EQUIPOS CON PRUEBAS EXITOSAS, SE CAPACITA Y SE EVALÚA AL CLIENTE, SE INSTALA PUBLICIDAD COMPLETA, CB QUEDA OPERATIVO. USUARIO SOMOS BANCOLOMBIA ACTIVO</t>
  </si>
  <si>
    <t>SIZZZ904</t>
  </si>
  <si>
    <t>TA-25-992144</t>
  </si>
  <si>
    <t>LA MESA</t>
  </si>
  <si>
    <t>BARRIO LA MESA LA MESA 7</t>
  </si>
  <si>
    <t>FO-25-1402302</t>
  </si>
  <si>
    <t>21-08 SE REALIZA LA LLAMADA AL CLIENTE, SE HABLA CON LA SRA  YURI MAGALI RIVERA ROSADO SE VALIDA DIRECCIÓN OK, CANAL OK, DISPONIBILIDAD TOTAL, LLAMAR EL DIA DE LA INSTALACIÓN PARA CONFIRMAR VISITA, AVISO EXTERIOR 2 METROS APROX; TOMACORRIENTE CERCANO: SI; TIENE CABINA DE SEGURIDAD; SI 22/08/2025 SE REALIZA INSTALACIÓN DE CORRESPONSAL, SE INSTALAN EQUIPOS CON PRUEBAS EXITOSAS, SE CAPACITA Y SE EVALÚA AL CLIENTE, SE INSTALA PUBLICIDAD COMPLETA, CB QUEDA OPERATIVO. USUARIO SOMOS BANCOLOMBIA ACTIVO</t>
  </si>
  <si>
    <t>SIZZZ905</t>
  </si>
  <si>
    <t>TA-25-992145</t>
  </si>
  <si>
    <t>CAREPA</t>
  </si>
  <si>
    <t>BARRIO LA PRADERA CAREPA ANTIOQUIA  CAREPA</t>
  </si>
  <si>
    <t>FO-25-1402309</t>
  </si>
  <si>
    <t>21-08 SE REALIZA LA LLAMADA AL CLIENTE, SE HABLA CON EL SR  FABIO NELSON LOPEZ MUÑOZ SE VALIDA DIRECCIÓN OK, CANAL OK, DISPONIBILIDAD TOTAL, LLAMAR EL DIA DE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</si>
  <si>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SIZZZ906</t>
  </si>
  <si>
    <t>TA-25-992147</t>
  </si>
  <si>
    <t>BARRIO LAURELES APARTADO ANTIOQUIA APARTADO</t>
  </si>
  <si>
    <t>FO-25-1402319</t>
  </si>
  <si>
    <t>21-08 SE REALIZA LA LLAMADA AL CLIENTE, SE HABLA CON EL SR  WIDELMAN CARDENAS SE VALIDA DIRECCIÓN OK, CANAL OK, DISPONIBILIDAD TOTAL, LLAMAR EL DIA DE LA INSTALACIÓN PARA CONFIRMAR VISITA, AVISO EXTERIOR 2,5 METROS APROX; TOMACORRIENTE CERCANO: SI; TIENE CABINA DE SEGURIDAD; NO 22-08 SE REALIZA INSTALACIÓN DE CORRESPONSAL, SE INSTALAN EQUIPOS CON PRUEBAS EXITOSAS, SE CAPACITA Y SE EVALÚA AL CLIENTE, SE INSTALA PUBLICIDAD COMPLETA, CB QUEDA OPERATIVO. USUARIO SOMOS BANCOLOMBIA ACTIVO</t>
  </si>
  <si>
    <t>SIZZZ908</t>
  </si>
  <si>
    <t>TA-25-992148</t>
  </si>
  <si>
    <t>BARRIO LOMAS DE GRANADA POPAYAN 8</t>
  </si>
  <si>
    <t>FO-25-1402322</t>
  </si>
  <si>
    <t>21-08 SE REALIZA LA LLAMADA AL CLIENTE, SE HABLA CON LA SRA JOHANA CATERINE HOYOS BASTIDAS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t>
  </si>
  <si>
    <t>SIZZZ909</t>
  </si>
  <si>
    <t>TA-25-992149</t>
  </si>
  <si>
    <t>BARRIO LOS CAMBULOS MANEIZALES</t>
  </si>
  <si>
    <t>FO-25-1402324</t>
  </si>
  <si>
    <t>21-08 SE REALIZA LA LLAMADA AL CLIENTE, SE HABLA CON EL SR  ALEJANDRO SALAZAR CORTES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t>
  </si>
  <si>
    <t>SIZZZ910</t>
  </si>
  <si>
    <t>TA-25-992151</t>
  </si>
  <si>
    <t>IPIALES</t>
  </si>
  <si>
    <t>BARRIO OBRERO IPIALES 6</t>
  </si>
  <si>
    <t>FO-25-1402328</t>
  </si>
  <si>
    <t>21-08 SE REALIZA LA LLAMADA AL CLIENTE, SE HABLA CON EL SR EDWIN DARIO LEYTON CHACON  SE VALIDA DIRECCIÓN OK, CANAL OK, DISPONIBILIDAD TOTAL, LLAMAR EL DIA DE LA INSTALACIÓN PARA CONFIRMAR VISITA, AVISO EXTERIOR 2METROS APROX; TOMACORRIENTE CERCANO: SI; TIENE CABINA DE SEGURIDAD; SI 22/08/2025 SE REALIZA INSTALACIÓN DE CORRESPONSAL, SE INSTALAN EQUIPOS CON PRUEBAS EXITOSAS, SE CAPACITA Y SE EVALÚA AL CLIENTE, SE INSTALA PUBLICIDAD COMPLETA, CB QUEDA OPERATIVO. USUARIO SOMOS BANCOLOMBIA ACTIVO</t>
  </si>
  <si>
    <t>SIZZZ911</t>
  </si>
  <si>
    <t>TA-25-992155</t>
  </si>
  <si>
    <t>SANTANDER DE QUILICHAO</t>
  </si>
  <si>
    <t>BARRIO PANAMERICANO SANTANDER DE QUILICHAO  3</t>
  </si>
  <si>
    <t>FO-25-1402332</t>
  </si>
  <si>
    <t>21-08 SE REALIZA LLAMADA AL CLIENTE, SE HABLA CON LA  SRA EVELIN PEÑA DAZA SE VALIDA DIRECCIÓN OK, CANAL OK, DISPONIBILIDAD TOTAL, LLAMAR EL DÍA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</si>
  <si>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SIZZZ912</t>
  </si>
  <si>
    <t>TA-25-992160</t>
  </si>
  <si>
    <t>BARRIO PARQUE TAMESIS   2</t>
  </si>
  <si>
    <t>FO-25-1402338</t>
  </si>
  <si>
    <t>21-08 SE REALIZA LLAMADA AL CLIENTE, SE HABLA CON LA SRA MARIA CAMILA  SE VALIDA DIRECCIÓN OK, CANAL OK, DISPONIBILIDAD TOTAL, LLAMAR EL DÍA LA INSTALACIÓN PARA CONFIRMAR VISITA, AVISO EXTERIOR ALTURA APROX 3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</si>
  <si>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SIZZZ913</t>
  </si>
  <si>
    <t>TA-25-992166</t>
  </si>
  <si>
    <t>BARRIO PATIO BONITO II SECTOR BOGOTA</t>
  </si>
  <si>
    <t>FO-25-1402343</t>
  </si>
  <si>
    <t>21-08 SE REALIZA LLAMADA AL CLIENTE, SE HABLA CON LA SRA MARIA CRISTINA BARRERO TORO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t>
  </si>
  <si>
    <t>SIZZZ914</t>
  </si>
  <si>
    <t>TA-25-992176</t>
  </si>
  <si>
    <t>BARRIO POLO BOGOTA 2</t>
  </si>
  <si>
    <t>FO-25-1402386</t>
  </si>
  <si>
    <t>21-08 SE REALIZA LLAMADA AL CLIENTE, SE HABLA CON LA SR FERNANDO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</si>
  <si>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SIZZZ916</t>
  </si>
  <si>
    <t>TA-25-992179</t>
  </si>
  <si>
    <t>BARRIO ROBLEDO MEDELLIN 29</t>
  </si>
  <si>
    <t>FO-25-1402405</t>
  </si>
  <si>
    <t>21-08 SE REALIZA LLAMADA AL CLIENTE, SE HABLA CON LA SRA ANA MARIA URIBE UPEGUI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</si>
  <si>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SIZZZ917</t>
  </si>
  <si>
    <t>TA-25-992180</t>
  </si>
  <si>
    <t>ISTMINA</t>
  </si>
  <si>
    <t>BARRIO SANTA GENOVEVA FRENTE AL RESTAURANTE LA CASONA ISTMINA</t>
  </si>
  <si>
    <t>FO-25-1402425</t>
  </si>
  <si>
    <t>21-08 SE REALIZA LLAMADA AL CLIENTE, SE HABLA CON LA SR YEISON DAVID TORRES SE VALIDA DIRECCIÓN OK, CANAL OK, DISPONIBILIDAD TOTAL, LLAMAR EL DÍA LA INSTALACIÓN PARA CONFIRMAR VISITA, AVISO EXTERIOR ALTURA: NO INDICA ALTURA; TOMACORRIENTE CERCANO: SI; TIENE CABINA DE SEGURIDAD: NO 29-08 SE REALIZA INSTALACIÓN DE CORRESPONSAL, SE INSTALAN EQUIPOS CON PRUEBAS EXITOSAS, SE CAPACITA Y SE EVALÚA AL CLIENTE, SE INSTALA PUBLICIDAD COMPLETA, CB QUEDA OPERATIVO. USUARIO SOMOS BANCOLOMBIA ACTIVO</t>
  </si>
  <si>
    <t>SIZZZ918</t>
  </si>
  <si>
    <t>TA-25-992181</t>
  </si>
  <si>
    <t>DON MATIAS</t>
  </si>
  <si>
    <t>BARRIO SECTOR TRONCAL NORTE DONMATIAS</t>
  </si>
  <si>
    <t>FO-25-1402447</t>
  </si>
  <si>
    <t>21-08 SE REALIZA LLAMADA AL CLIENTE, SE HABLA CON LA SR JUAN CARLOS  SE VALIDA DIRECCIÓN OK, CANAL OK, DISPONIBILIDAD TOTAL, LLAMAR EL DÍA LA INSTALACIÓN PARA CONFIRMAR VISITA, AVISO EXTERIOR ALTURA APROX 4 METROS; TOMACORRIENTE CERCANO: SI; TIENE CABINA DE SEGURIDAD: SI  - EL MODEM ESTA 10 MT  22/08/2025 SE CANCELA VISITA YA QUE USUARIO ESTÁ CON DUDAS SOBRE SI PROCEDER CON INSTALACIÓN O NO YA QUE LA SOLUCITUD LA RADICO EL HIJO, PERO ESTÁ TODO A NOMBRE DE EL, ENTONCES SOLICITA SUSPENDER MIENTRAS DEFINEN SI SE INSTALA O NO.</t>
  </si>
  <si>
    <t>SIZZZ919</t>
  </si>
  <si>
    <t>TA-25-992183</t>
  </si>
  <si>
    <t>BARRIO SERRANIAS BOGOTA</t>
  </si>
  <si>
    <t>FO-25-1402466</t>
  </si>
  <si>
    <t>21-08 SE REALIZA LLAMADA AL CLIENTE, SE HABLA CON LA SRA PAOLA ANDREA CALDERON SANCHEZ SE VALIDA DIRECCIÓN OK, CANAL OK, DISPONIBILIDAD TOTAL, LLAMAR EL DÍA LA INSTALACIÓN PARA CONFIRMAR VISITA, AVISO EXTERIOR ALTURA APROX 2 METROS; TOMACORRIENTE CERCANO: SI; TIENE CABINA DE SEGURIDAD: SI 25/08/2025 SE REALIZA INSTALACIÓN DE CORRESPONSAL, SE INSTALAN EQUIPOS CON PRUEBAS EXITOSAS, SE CAPACITA Y SE EVALÚA AL CLIENTE, SE INSTALA PUBLICIDAD COMPLETA, CB QUEDA OPERATIVO. USUARIO SOMOS BANCOLOMBIA ACTIVO</t>
  </si>
  <si>
    <t>SIZZZ920</t>
  </si>
  <si>
    <t>TA-25-992185</t>
  </si>
  <si>
    <t>BARRIO SEXTA ETAPA ESPERANZA VILLAVICENCIO</t>
  </si>
  <si>
    <t>FO-25-1402484</t>
  </si>
  <si>
    <t>21-08 SE REALIZA LLAMADA AL CLIENTE, SE HABLA CON LA SR FABIAN ANDRES BAQUERO LEAL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t>
  </si>
  <si>
    <t>SIZZZ921</t>
  </si>
  <si>
    <t>TA-25-992191</t>
  </si>
  <si>
    <t>BARRIO TERRON COLORADO CALI 3</t>
  </si>
  <si>
    <t>FO-25-1402502</t>
  </si>
  <si>
    <t>21-08 SE REALIZA LLAMADA AL CLIENTE, SE HABLA CON LA SRA DIANA MARCELA MEDINA BARRAGAN  SE VALIDA DIRECCIÓN OK, CANAL OK, DISPONIBILIDAD TOTAL, LLAMAR EL DÍA LA INSTALACIÓN PARA CONFIRMAR VISITA, AVISO EXTERIOR ALTURA: NO INDICA ALTURA; TOMACORRIENTE CERCANO: SI; TIENE CABINA DE SEGURIDAD: SI 22/08/2025 SE REALIZA INSTALACIÓN DE CORRESPONSAL, SE INSTALAN EQUIPOS CON PRUEBAS EXITOSAS, SE CAPACITA Y SE EVALÚA AL CLIENTE, SE INSTALA PUBLICIDAD COMPLETA, CB QUEDA OPERATIVO. USUARIO SOMOS BANCOLOMBIA ACTIVO</t>
  </si>
  <si>
    <t>SIZZZ922</t>
  </si>
  <si>
    <t>TA-25-992195</t>
  </si>
  <si>
    <t>BARRIO VILLAVICENCIO PAREIRA</t>
  </si>
  <si>
    <t>FO-25-1402525</t>
  </si>
  <si>
    <t>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t>
  </si>
  <si>
    <t>SIZZZ923</t>
  </si>
  <si>
    <t>TA-25-992196</t>
  </si>
  <si>
    <t>SAN ANTERO</t>
  </si>
  <si>
    <t>BARRIO CGT EL PORVENIR SAN ANTERO</t>
  </si>
  <si>
    <t>FO-25-1402543</t>
  </si>
  <si>
    <t>21-08 SE REALIZA LLAMADA AL CLIENTE, SE HABLA CON EL SR WILMER JOSE NAVARRO RUIZ SE VALIDA DIRECCIÓN OK, CANAL OK, DISPONIBILIDAD TOTAL, LLAMAR EL DÍA LA INSTALACIÓN PARA CONFIRMAR VISITA, AVISO EXTERIOR ALTURA APROX 1.5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</si>
  <si>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SIZZZ924</t>
  </si>
  <si>
    <t>TA-25-992197</t>
  </si>
  <si>
    <t>FO-25-1402562</t>
  </si>
  <si>
    <t>21-08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</si>
  <si>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SIZZZ925</t>
  </si>
  <si>
    <t>TA-25-1005055</t>
  </si>
  <si>
    <t>BARRIO LOS CAMBULOS NEIVA 1</t>
  </si>
  <si>
    <t>FO-25-1418960</t>
  </si>
  <si>
    <t>25-08 SE REALIZA LLAMADA AL CLIENTE, SE HABLA CON LA SRA ANGELA YANIVE OSPINA SALINAS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</si>
  <si>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VBZZZ271</t>
  </si>
  <si>
    <t>TA-25-1005057</t>
  </si>
  <si>
    <t>BARRIO BELLAVISTA FLORIDABLANCA FLORIDABLACA</t>
  </si>
  <si>
    <t>FO-25-1418968</t>
  </si>
  <si>
    <t>25-08 SE REALIZA LLAMADA AL CLIENTE, SE HABLA CON LA SRA MARIA AZUCENA ARDILA SE VALIDA DIRECCIÓN OK, CANAL OK, DISPONIBILIDAD TOTAL, LLAMAR EL DÍA DELA INSTALACIÓN PARA CONFIRMAR VISITA, AVISO EXTERIOR 2 METROS APROX; TOMACORRIENTE CERCANO: SI; TIENE CABINA DE SEGURIDAD: SI 26/08/2025 SE REALIZA INSTALACIÓN DE CORRESPONSAL, SE INSTALAN EQUIPOS CON PRUEBAS EXITOSAS, SE CAPACITA Y SE EVALÚA AL CLIENTE, SE INSTALA PUBLICIDAD COMPLETA, CB QUEDA OPERATIVO. USUARIO SOMOS BANCOLOMBIA ACTIVO</t>
  </si>
  <si>
    <t>VBZZZ272</t>
  </si>
  <si>
    <t>TA-25-1005058</t>
  </si>
  <si>
    <t>BARRIO DOCE DE OCTUBRE VALLEDUPAR 5</t>
  </si>
  <si>
    <t>FO-25-1418974</t>
  </si>
  <si>
    <t>25-08 SE REALIZA LLAMADA AL CLIENTE, SE HABLA CON EL SR RAUL PEYES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t>
  </si>
  <si>
    <t>VBZZZ273</t>
  </si>
  <si>
    <t>TA-25-1005059</t>
  </si>
  <si>
    <t>TUTA</t>
  </si>
  <si>
    <t>BARRIO VEREDA RIO DE PIEDRAS TUTA</t>
  </si>
  <si>
    <t>FO-25-1418980</t>
  </si>
  <si>
    <t>25-08 SE REALIZA LLAMADA AL CLIENTE, SE HABLA CON LA SRA SANDRA LILIANA CUESTAS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</si>
  <si>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VBZZZ274</t>
  </si>
  <si>
    <t>TA-25-1005061</t>
  </si>
  <si>
    <t>SAN DIEGO</t>
  </si>
  <si>
    <t>BARRIO MUNICH SAN DIEGO</t>
  </si>
  <si>
    <t>FO-25-1418984</t>
  </si>
  <si>
    <t>25-08 SE REALIZA LLAMADA AL CLIENTE, SE HABLA CON LA SRA CARMEN EMILIA RUEDA FUENTES  SE VALIDA DIRECCIÓN OK, CANAL OK, DISPONIBILIDAD TOTAL, LLAMAR EL DÍA DE LA INSTALACIÓN PARA CONFIRMAR VISITA AL NÚMERO 3116264418,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</si>
  <si>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VBZZZ275</t>
  </si>
  <si>
    <t>TA-25-1005062</t>
  </si>
  <si>
    <t>BARRIO VILLANUEVA PIEDECUESTA 1</t>
  </si>
  <si>
    <t>FO-25-1418990</t>
  </si>
  <si>
    <t>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t>
  </si>
  <si>
    <t>VBZZZ276</t>
  </si>
  <si>
    <t>TA-25-1005063</t>
  </si>
  <si>
    <t>CAIMITO</t>
  </si>
  <si>
    <t>BARRIO LAS GUADUAS CAIMITO</t>
  </si>
  <si>
    <t>FO-25-1418996</t>
  </si>
  <si>
    <t>25-08 SE REALIZA LLAMADA AL CLIENTE, SE HABLA CON LA SRA SANDRA MILENA UPARELA VILORIA SE VALIDA DIRECCIÓN OK, CANAL OK, DISPONIBILIDAD TOTAL, LLAMAR EL DÍA DE LA INSTALACIÓN PARA CONFIRMAR VISITA, AVISO EXTERIOR APROX 3 METROS; MODEM NO CUENTA CON PUERTOS DISPONILES; TOMACORRIENTE CERCANO: SI; TIENE CABINA DE SEGURIDAD: NO 26/08/2025 SE REALIZA INSTALACIÓN DE CORRESPONSAL, SE INSTALAN EQUIPOS CON PRUEBAS EXITOSAS, SE CAPACITA Y SE EVALÚA AL CLIENTE, SE INSTALA PUBLICIDAD COMPLETA, CB QUEDA OPERATIVO. USUARIO SOMOS BANCOLOMBIA ACTIVO</t>
  </si>
  <si>
    <t>VBZZZ277</t>
  </si>
  <si>
    <t>TA-25-1005065</t>
  </si>
  <si>
    <t>TENERIFE</t>
  </si>
  <si>
    <t>BARRIO CENTRO TENERIFE 2</t>
  </si>
  <si>
    <t>FO-25-1419002</t>
  </si>
  <si>
    <t>25-08 SE REALIZA LLAMADA AL CLIENTE, SE HABLA CON EL SR  JHON MARIO GIRALDO OSPINA SE VALIDA DIRECCIÓN OK; CANAL OK, DISPONIBILIDAD TOTAL, LLAMAR EL DÍA DE 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</si>
  <si>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VBZZZ278</t>
  </si>
  <si>
    <t>TA-25-1005066</t>
  </si>
  <si>
    <t>EL DORADO</t>
  </si>
  <si>
    <t>BARRIO CENTRO EL DORADO 2</t>
  </si>
  <si>
    <t>FO-25-1419007</t>
  </si>
  <si>
    <t>25-08 SE REALIZA LLAMADA AL CLIENTE, SE HABLA CON EL SR ANDRES MARTINEZ SE VALIDA DIRECCIÓN OK; CANAL OK, DISPONIBILIDAD TOTAL, LLAMAR EL DÍA DE LA INSTALACIÓN PARA CONFIRMAR VISITA, AVISO EXTERIOR APROX 2 METROS; TOMACORRIENTE CERCANO: SI; TIENE CABINA DE SEGURIDAD: SI 26/08/2025 SE REALIZA INSTALACIÓN DE CORRESPONSAL, SE INSTALAN EQUIPOS CON PRUEBAS EXITOSAS, SE CAPACITA Y SE EVALÚA AL CLIENTE, SE INSTALA PUBLICIDAD COMPLETA, CB QUEDA OPERATIVO. USUARIO SOMOS BANCOLOMBIA ACTIVO</t>
  </si>
  <si>
    <t>VBZZZ279</t>
  </si>
  <si>
    <t>TA-25-1005067</t>
  </si>
  <si>
    <t>CANALETE</t>
  </si>
  <si>
    <t>BARRIO EL CENTRO CANALETE</t>
  </si>
  <si>
    <t>FO-25-1419012</t>
  </si>
  <si>
    <t>25-08 SE REALIZA LLAMADA AL CLIENTE, SE HABLA CON LA SRA EDELMA MARIA MONTALVO MADERA SE VALIDA DIRECCIÓN OK, CANAL OK, DISPONIBILIDAD TOTAL, LLAMAR EL DÍA DE LA INSTALACIÓN PARA CONFIRMAR VISITA, AVISO EXTERIOR APROX 2 METROS; TOMACORRIENTE CERCANO: SI; TIENE CABINA DE SEGURIDAD: SI 27/08/2025 SE REALIZA INSTALACIÓN DE CORRESPONSAL, SE INSTALAN EQUIPOS CON PRUEBAS EXITOSAS, SE CAPACITA Y SE EVALÚA AL CLIENTE, SE INSTALA PUBLICIDAD COMPLETA, CB QUEDA OPERATIVO. USUARIO SOMOS BANCOLOMBIA ACTIVO. NOTA: LAS PRUEBAS DE RECAUDO Y TRANSFERENCIA NO SE REALIZARON PORQUE EL CLIENTE NO TIENE OTRA CUENTA Y NO HAY FACTURAS PARA HACER RECAUDOS.</t>
  </si>
  <si>
    <t>VBZZZ280</t>
  </si>
  <si>
    <t>TA-25-1005071</t>
  </si>
  <si>
    <t>FLORESTA</t>
  </si>
  <si>
    <t>BARRIO CENTRO FLORESTA</t>
  </si>
  <si>
    <t>FO-25-1419021</t>
  </si>
  <si>
    <t>25-08 SE REALIZA LLAMADA AL CLIENTE, SE HABLA CON EL SR GUSTAVO ANTONIO VARGAS RINCON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t>
  </si>
  <si>
    <t>VBZZZ281</t>
  </si>
  <si>
    <t>TA-25-1005073</t>
  </si>
  <si>
    <t>BARRIO SAN JOSE SAN MARCOS 2</t>
  </si>
  <si>
    <t>FO-25-1419026</t>
  </si>
  <si>
    <t>25-08 SE REALIZA LLAMADA AL CLIENTE, SE HABLA CON EL SR LUIS EDUARDO VERGARA HERRERA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t>
  </si>
  <si>
    <t>VBZZZ282</t>
  </si>
  <si>
    <t>TA-25-1005074</t>
  </si>
  <si>
    <t>FUENTE DE ORO</t>
  </si>
  <si>
    <t>BARRIO CENTRO FUENTE 7 DE ORO</t>
  </si>
  <si>
    <t>FO-25-1419031</t>
  </si>
  <si>
    <t>25-08 SE REALIZA LLAMADA AL CLIENTE, SE HABLA CON LA SRA SANDRA PATRICIA MARTINEZ GARCIA SE VALIDA DIRECCIÓN OK, CANAL OK, DISPONIBILIDAD TOTAL, LLAMAR EL DÍA DE LA INSTALACIÓN PARA CONFIRMAR VISITA, AVISO EXTERIOR APROX 1,5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</si>
  <si>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VBZZZ283</t>
  </si>
  <si>
    <t>TA-25-1005075</t>
  </si>
  <si>
    <t>PUERTO LLERAS</t>
  </si>
  <si>
    <t>BARRIO CENTRO PUERTO 7 LLERAS</t>
  </si>
  <si>
    <t>FO-25-1419036</t>
  </si>
  <si>
    <t>25-08 SE REALIZA LLAMADA AL CLIENTE, SE HABLA CON LA SRA HASBLEIDY YULENNY SOTO PULIDO SE VALIDA DIRECCIÓN OK, CANAL OK, DISPONIBILIDAD TOTAL, LLAMAR EL DÍA DE LA INSTALACIÓN PARA CONFIRMAR VISITA,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</si>
  <si>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VBZZZ284</t>
  </si>
  <si>
    <t>TA-25-1005078</t>
  </si>
  <si>
    <t>PAIPA</t>
  </si>
  <si>
    <t>BARRIO CENTRO PAIPA 19</t>
  </si>
  <si>
    <t>FO-25-1419041</t>
  </si>
  <si>
    <t>25-08 SE REALIZA LLAMADA AL CLIENTE, SE HABLA CON EL SR LUIS FERNANDO GRANADOS CORREDOR SE VALIDA DIRECCIÓN OK, CANAL OK, DISPONIBILIDAD TOTAL, LLAMAR EL DÍA DE LA INSTALACIÓN PARA CONFIRMAR VISITA, AVISO EXTERIOR 2 METROS APROX; TOMACORRIENTE CERCANO: SI; TIENE CABINA DE SEGURIDAD: SI 26-08 SE LOGRA COMUNICACION CON EL SEÑOR LUIS FERNANDO GRANADOS AL NUMERO TELEFONICO 3134561677 QUIEN NOS INFORMA QUE EL DIA DE HOY AMANECIO SIN SERVICIO DE INTERNET YA QUE HAY UNA FALLA GENERAL EN LA CIUDAD, CLIENTE MANIFIESTA QUE SE COMUNICARA EN EL TRANSCURSO DEL DIA PARA CONFIRMAR LA VISITA, CLIENTE MANIFIESTA QUE NECESITA 7 METROS DE CABLE UTP Y EL AVISO SE DEBE COLOCAR A 3 METROS DE ALTURA. 27/08/2025 SE REALIZA INSTALACIÓN DE CORRESPONSAL, SE INSTALAN EQUIPOS CON PRUEBAS EXITOSAS, SE CAPACITA Y SE EVALÚA AL CLIENTE, SE INSTALA PUBLICIDAD COMPLETA, CB QUEDA OPERATIVO. USUARIO SOMOS BANCOLOMBIA ACTIVO</t>
  </si>
  <si>
    <t>VBZZZ285</t>
  </si>
  <si>
    <t>TA-25-1005079</t>
  </si>
  <si>
    <t>BARRIO SANTA ISABEL CALI 3</t>
  </si>
  <si>
    <t>FO-25-1419047</t>
  </si>
  <si>
    <t>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t>
  </si>
  <si>
    <t>VBZZZ286</t>
  </si>
  <si>
    <t>TA-25-1005081</t>
  </si>
  <si>
    <t>BARRIO POPULAR MODELO PALMIRA</t>
  </si>
  <si>
    <t>FO-25-1419050</t>
  </si>
  <si>
    <t>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t>
  </si>
  <si>
    <t>VBZZZ287</t>
  </si>
  <si>
    <t>TA-25-1033965</t>
  </si>
  <si>
    <t>GRAMALOTE</t>
  </si>
  <si>
    <t>BARRIO GRAMALOTE GRAMALOTE</t>
  </si>
  <si>
    <t>FO-25-1432951</t>
  </si>
  <si>
    <t>27-08-2025 SE REALIZA LLAMADA AL CLIENTE, SE HABLA CON LA SRA BELKIS XIOMARA MEZA TORRES SE VALIDA DIRECCIÓN OK, CANAL OK, DISPONIBILIDAD TOTAL, LLAMAR EL DÍA LA INSTALACIÓN PARA CONFIRMAR VISITA, AVISO EXTERIOR ALTURA APROX 3 METROS; TOMACORRIENTE CERCANO: SI; TIENE CABINA DE SEGURIDAD: SI // CONTACTO REALIZADO POR LA APP 28-08 SE COMUNICA CON LA CLIENTE BELKIS XIOMARA AL #3044403270, NOS COMUNICA QUE EL DIA DE HOY NO PUEDE ATENDER LA VISITA YA QUE EN EL PUEBLO NO HAY LUZ, Y LLEGA HASTA DESPUES DE LAS 6 PM, SE PROGRAMA VISITA PARA EL DIA DE MAÑANA 29/08 29/08/2025 SE REALIZA INSTALACIÓN DE CORRESPONSAL, SE INSTALAN EQUIPOS CON PRUEBAS EXITOSAS, SE CAPACITA Y SE EVALÚA AL CLIENTE, SE INSTALA PUBLICIDAD COMPLETA, CB QUEDA OPERATIVO. USUARIO SOMOS BANCOLOMBIA ACTIVO</t>
  </si>
  <si>
    <t>FKZZZ630</t>
  </si>
  <si>
    <t>TA-25-1033968</t>
  </si>
  <si>
    <t>ALGARROBO</t>
  </si>
  <si>
    <t>BARRIO CENTRO ALGARROBO 1</t>
  </si>
  <si>
    <t>FO-25-1432956</t>
  </si>
  <si>
    <t>26-08 SE REALIZA LLAMADA AL CLIENTE, SE HABLA CON EL SR  MIGUEL ANGEL VILLEGAS YEPES SE VALIDA DIRECCIÓN OK, CANAL OK, DISPONIBILIDAD TOTAL, LLAMAR EL DÍA DE LA INSTALACIÓN PARA CONFIRMAR VISITA, AVISO EXTERIOR 2,5 METROS APROX; TOMACORRIENTE CERCANO: SI; TIENE CABINA DE SEGURIDAD: NO 28/08/2025 SE REALIZA INSTALACIÓN DE CORRESPONSAL, SE INSTALAN EQUIPOS CON PRUEBAS EXITOSAS, SE CAPACITA Y SE EVALÚA AL CLIENTE, SE INSTALA PUBLICIDAD COMPLETA, CB QUEDA OPERATIVO. USUARIO SOMOS BANCOLOMBIA ACTIVO</t>
  </si>
  <si>
    <t>FKZZZ631</t>
  </si>
  <si>
    <t>TA-25-1033971</t>
  </si>
  <si>
    <t>BARRIO GUADUALES GARZON</t>
  </si>
  <si>
    <t>FO-25-1432962</t>
  </si>
  <si>
    <t>27-08-2025 SE REALIZA LLAMADA AL CLIENTE, SE HABLA CON LA SRA LINA MARCELA LOPEZ CUELLAR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t>
  </si>
  <si>
    <t>FKZZZ632</t>
  </si>
  <si>
    <t>TA-25-1033972</t>
  </si>
  <si>
    <t>GUAMO</t>
  </si>
  <si>
    <t>BARRIO SANTA ANA GUAMO 2</t>
  </si>
  <si>
    <t>FO-25-1432965</t>
  </si>
  <si>
    <t>27-08-2025 SE REALIZA LLAMADA AL CLIENTE, SE HABLA CON EL SR EDGAR ANDRES HIMBOL QUIÑONES SE VALIDA DIRECCIÓN OK, CANAL OK, DISPONIBILIDAD TOTAL, LLAMAR EL DÍA LA INSTALACIÓN PARA CONFIRMAR VISITA, AVISO EXTERIOR ALTURA APROX 2,50 METROS; TOMACORRIENTE CERCANO: SI; TIENE CABINA DE SEGURIDAD: SI // CONTACTO REALIZADO POR LA APP 28/08/2025 SE REALIZA INSTALACIÓN DE CORRESPONSAL, SE INSTALAN EQUIPOS CON PRUEBAS EXITOSAS, SE CAPACITA Y SE EVALÚA AL CLIENTE, SE INSTALA PUBLICIDAD COMPLETA, CB QUEDA OPERATIVO. USUARIO SOMOS BANCOLOMBIA ACTIVO</t>
  </si>
  <si>
    <t>FKZZZ633</t>
  </si>
  <si>
    <t>TA-25-1033973</t>
  </si>
  <si>
    <t>FLORIAN</t>
  </si>
  <si>
    <t>BARRIO CENTRO FLORIAN 1</t>
  </si>
  <si>
    <t>FO-25-1432972</t>
  </si>
  <si>
    <t>27-08-2025 SE REALIZA LLAMADA AL CLIENTE, SE HABLA CON EL SR CARLOS ALBERTO DIAZ MELO SE VALIDA DIRECCIÓN OK, CANAL OK, DISPONIBILIDAD TOTAL, LLAMAR EL DÍA LA INSTALACIÓN PARA CONFIRMAR VISITA, AVISO EXTERIOR ALTURA APROX 2,50 METROS; TOMACORRIENTE CERCANO: SI; TIENE CABINA DE SEGURIDAD: SI // CONTACTO REALIZADO POR LA APP 29/08/2025 SE REALIZA INSTALACIÓN DE CORRESPONSAL, SE INSTALAN EQUIPOS CON PRUEBAS EXITOSAS, SE CAPACITA Y SE EVALÚA AL CLIENTE, SE INSTALA PUBLICIDAD COMPLETA, CB QUEDA OPERATIVO. USUARIO SOMOS BANCOLOMBIA ACTIVO</t>
  </si>
  <si>
    <t>FKZZZ634</t>
  </si>
  <si>
    <t>TA-25-1033975</t>
  </si>
  <si>
    <t>COGUA</t>
  </si>
  <si>
    <t>BARRIO CENTRO COGUA 9</t>
  </si>
  <si>
    <t>FO-25-1432985</t>
  </si>
  <si>
    <t>27-08-2025 SE REALIZA LLAMADA AL CLIENTE, SE HABLA CON LA SRA DIANA NATALY CASAS MENDIETA SE VALIDA DIRECCIÓN OK, CANAL OK, DISPONIBILIDAD TOTAL, LLAMAR EL DÍA LA INSTALACIÓN PARA CONFIRMAR VISITA, AVISO EXTERIOR ALTURA APROX 4 METROS; TOMACORRIENTE CERCANO: SI; TIENE CABINA DE SEGURIDAD: SI // CONTACTO REALIZADO POR LA APP 28-08 SE REALIZA INSTALACIÓN DE CORRESPONSAL, SE INSTALAN EQUIPOS CON PRUEBAS EXITOSAS, SE CAPACITA Y SE EVALÚA AL CLIENTE, SE INSTALA PUBLICIDAD COMPLETA, CB QUEDA OPERATIVO. USUARIO SOMOS BANCOLOMBIA ACTIVO</t>
  </si>
  <si>
    <t>FKZZZ636</t>
  </si>
  <si>
    <t>TA-25-1033976</t>
  </si>
  <si>
    <t>MADRID</t>
  </si>
  <si>
    <t>BARRIO SAN JOSE MADRID MADRID</t>
  </si>
  <si>
    <t>FO-25-1432992</t>
  </si>
  <si>
    <t>27-08-2025 SE REALIZA LLAMADA AL CLIENTE, SE HABLA CON EL SR IVAN DARIO GOMEZ SANDOVAL SE VALIDA DIRECCIÓN OK, CANAL OK, DISPONIBILIDAD TOTAL, LLAMAR EL DÍA LA INSTALACIÓN PARA CONFIRMAR VISITA, AVISO EXTERIOR ALTURA APROX 2 METROS; TOMACORRIENTE CERCANO: SI; TIENE CABINA DE SEGURIDAD: NO // CONTACTO REALIZADO POR LA APP 28/08/2025 ESTANDO EN SITIO PARA REALIZAR APERTURA REDEBAN 3007081210 BARRIO SAN JOSE MADRID MADRID, EL COMERCIO TIENE NOMBRE EN UN PENDON, ADJUNTO CÁMARA DE COMERCIO + REGISTRO FOTOGRÁFICO. / POR FAVOR INSTALAR LA VINCULACIÓN YA QUE SE EVIDENCIA QUE EL COMERCIO TIENE EL AVISO CON EL NOMBRE DEL ESTABLECIMIENTO.  28/08/2025 SE REALIZA INSTALACIÓN DE CORRESPONSAL, SE INSTALAN EQUIPOS CON PRUEBAS EXITOSAS, SE CAPACITA Y SE EVALÚA AL CLIENTE, SE INSTALA PUBLICIDAD COMPLETA, CB QUEDA OPERATIVO. USUARIO SOMOS BANCOLOMBIA ACTIVO. NO SE PUEDE REALIZAR CONSULTA DE SALGO NO SE CUÁNTA CON TARJETA NI RECAUDO SIN FACTURAS PARA PAGAR</t>
  </si>
  <si>
    <t>FKZZZ637</t>
  </si>
  <si>
    <t>TA-25-1033977</t>
  </si>
  <si>
    <t>BARRIO LA ESMERALDA BOGOTA 7</t>
  </si>
  <si>
    <t>FO-25-1432997</t>
  </si>
  <si>
    <t>27-08-2025 SE REALIZA LLAMADA AL CLIENTE, SE HABLA CON EL SR CAMILO EDUARDO PINZON CASTILLO SE VALIDA DIRECCIÓN OK, CANAL OK, DISPONIBILIDAD TOTAL, LLAMAR EL DÍA LA INSTALACIÓN PARA CONFIRMAR VISITA, AVISO EXTERIOR ALTURA APROX 2 METROS; TOMACORRIENTE CERCANO: SI; TIENE CABINA DE SEGURIDAD: NO // CONTACTO REALIZADO POR LA APP 29/08/2025 SE REALIZA INSTALACIÓN DE CORRESPONSAL, SE INSTALAN EQUIPOS CON PRUEBAS EXITOSAS, SE CAPACITA Y SE EVALÚA AL CLIENTE, SE INSTALA PUBLICIDAD COMPLETA, CB QUEDA OPERATIVO. USUARIO SOMOS BANCOLOMBIA ACTIVO</t>
  </si>
  <si>
    <t>FKZZZ638</t>
  </si>
  <si>
    <t>TA-25-1033978</t>
  </si>
  <si>
    <t>BARRIO VILLA LADY FUSAGASUGA</t>
  </si>
  <si>
    <t>FO-25-1433002</t>
  </si>
  <si>
    <t>27-08-2025 SE REALIZA LLAMADA AL CLIENTE, SE HABLA CON LA SRA SOFIA LALINDE SARMIENTO SE VALIDA DIRECCIÓN OK, CANAL OK, DISPONIBILIDAD TOTAL, LLAMAR EL DÍA LA INSTALACIÓN PARA CONFIRMAR VISITA, AVISO EXTERIOR ALTURA APROX 2 METROS; TOMACORRIENTE CERCANO: SI; TIENE CABINA DE SEGURIDAD: SI // CONTACTO REALIZADO POR LA APP 28-09 ESTABLECERMOS COMUNICACION TELÉFONICA CON LA CLIENTE SOFÍA LALINDE 3176035897 SE LE INDICA QUE SE LE VISITARÁ. EL DÍA DE MAÑANA YA QUE HAY PROBLEMAS EN LA VÍA DEVIDO  AL ROPTURA DE UN TUBO DE GAS NATURAL Y NO HAY PASO SE LE INDICA AL COORDINADOR WILLIAM ROZO QUIEN AUTORIZA 29/08/2025 SE REALIZA INSTALACIÓN DE CORRESPONSAL, SE INSTALAN EQUIPOS CON PRUEBAS EXITOSAS, SE CAPACITA Y SE EVALÚA AL CLIENTE, SE INSTALA PUBLICIDAD COMPLETA, CB QUEDA OPERATIVO. USUARIO SOMOS BANCOLOMBIA ACTIVO</t>
  </si>
  <si>
    <t>FKZZZ639</t>
  </si>
  <si>
    <t>TA-25-1033982</t>
  </si>
  <si>
    <t>BARRIO CENTRO RISARALDA 2</t>
  </si>
  <si>
    <t>FO-25-1433008</t>
  </si>
  <si>
    <t>27-08-2025 SE REALIZA LLAMADA AL CLIENTE, SE HABLA CON LA SRA LEIDY YOHANNA SANCHEZ BETANCUR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CAPACITA Y SE EVALÚA AL CLIENTE, SE INSTALA PUBLICIDAD COMPLETA, CB QUEDA OPERATIVO. USUARIO SOMOS BANCOLOMBIA ACTIVO. SE HACEN PRUEBA DE CONSULTA DE SALDO SOLAMENTE YA QUE USUARIO NO CUENTA CON LAS HERRAMIENTAS PARA REALIZAR LAS DEMAS PRUEBAS(RETIRO,RECAUDO, TRANSFERENCIA) SERVICIO OK</t>
  </si>
  <si>
    <t>FKZZZ640</t>
  </si>
  <si>
    <t>TA-25-1033983</t>
  </si>
  <si>
    <t>TURMEQUE</t>
  </si>
  <si>
    <t>BARRIO LA PLAZA CENTRO TURMEQUE</t>
  </si>
  <si>
    <t>FO-25-1433014</t>
  </si>
  <si>
    <t>27-08-2025 SE REALIZA LLAMADA AL CLIENTE, SE HABLA CON LA SRA FLORINDA LARA GUATAQUIRA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SE INSTALA ROUTER E0682019513003931</t>
  </si>
  <si>
    <t>FKZZZ641</t>
  </si>
  <si>
    <t>TA-25-1033984</t>
  </si>
  <si>
    <t>EL ROSARIO</t>
  </si>
  <si>
    <t>BARRIO SAGRADO CORAZON DE JESUS EL ROSARIO</t>
  </si>
  <si>
    <t>FO-25-1433021</t>
  </si>
  <si>
    <t>27-08 SE REALIZA LLAMADA AL CLIENTE, SE HABLA CON LA SRA YULIANA ÑAÑEZ POPAYAN SE VALIDA DIRECCIÓN OK, CANAL OK, DISPONIBILIDAD TOTAL, LLAMAR EL DÍA LA INSTALACIÓN PARA CONFIRMAR VISITA, AVISO EXTERIOR ALTURA: 2,60 ; TOMACORRIENTE CERCANO: SI; TIENE CABINA DE SEGURIDAD: NO - COMUNICACIÓN POR WPP / EL MODEM ESTA A 4 MT  29/08/2025 SE REALIZA INSTALACIÓN DE CORRESPONSAL, SE INSTALAN EQUIPOS CON PRUEBAS EXITOSAS, SE CAPACITA Y SE EVALÚA AL CLIENTE, SE INSTALA PUBLICIDAD COMPLETA, CB QUEDA OPERATIVO. USUARIO SOMOS BANCOLOMBIA ACTIVO</t>
  </si>
  <si>
    <t>FKZZZ642</t>
  </si>
  <si>
    <t>TA-25-1033986</t>
  </si>
  <si>
    <t>FOMEQUE</t>
  </si>
  <si>
    <t>BARRIO CENTRO FOMEQUE FOMEQUE</t>
  </si>
  <si>
    <t>FO-25-1433033</t>
  </si>
  <si>
    <t>27-08-2025 SE REALIZA LLAMADA AL CLIENTE, SE HABLA CON EL SR ISAURO SABALA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HACE SOLO UNA CONSULTA DE SALDO Y SE VA EN INTERNET, SE CAPACITA Y SE EVALÚA AL CLIENTE, SE INSTALA PUBLICIDAD COMPLETA, CB QUEDA OPERATIVO. USUARIO SOMOS BANCOLOMBIA ACTIVO. INTERNET DEL CLIENTE CON FALLAS SE INDICA PEDIR SERVICIO TÉCNICO PARA VALIDAR SE HACE SOLO UNA CONSULTA DE SALDO Y SE VA EL INTERNET</t>
  </si>
  <si>
    <t>FKZZZ644</t>
  </si>
  <si>
    <t>TA-25-1033988</t>
  </si>
  <si>
    <t>BARRIO NARANJAL BOLIVAR 1</t>
  </si>
  <si>
    <t>FO-25-1433043</t>
  </si>
  <si>
    <t>27-08-2025 SE REALIZA LLAMADA AL CLIENTE, SE HABLA CON LA SRA JENNY JOHANA AGUDELO TORRES  SE VALIDA DIRECCIÓN OK, CANAL OK, DISPONIBILIDAD TOTAL, LLAMAR EL DÍA LA INSTALACIÓN PARA CONFIRMAR VISITA, AVISO EXTERIOR ALTURA APROX 1,5 METROS; TOMACORRIENTE CERCANO: SI; TIENE CABINA DE SEGURIDAD: SI  29/08/2025 EN LA VISITA REALIZADA POR EL TECNICO EN EL SITIO SE EVIDENCIA QUE EN EL PUNTO NO CUENTA CON AVISO DEL NOMBRE DEL COMERCIO, NI NOMENCLATURA EN LA FACHADA.  / ENTIDAD APRUEBA INSTALACIÓN 29/08/2025 SE REALIZA INSTALACIÓN DE CORRESPONSAL, SE INSTALAN EQUIPOS CON PRUEBAS EXITOSAS, SE CAPACITA Y SE EVALÚA AL CLIENTE, SE INSTALA PUBLICIDAD COMPLETA, CB QUEDA OPERATIVO. USUARIO SOMOS BANCOLOMBIA ACTIVO</t>
  </si>
  <si>
    <t>FKZZZ647</t>
  </si>
  <si>
    <t>TA-25-1033989</t>
  </si>
  <si>
    <t>COPACABANA</t>
  </si>
  <si>
    <t>BARRIO VRD ZARZAL LA LUZ COPACABANA</t>
  </si>
  <si>
    <t>FO-25-1433048</t>
  </si>
  <si>
    <t>27-08-2025 SE REALIZA LLAMADA AL CLIENTE, SE HABLA CON LA SRA ZULY YULIANA CASTAÑO PUERTA SE VALIDA DIRECCIÓN OK, CANAL OK, DISPONIBILIDAD TOTAL, LLAMAR EL DÍA LA INSTALACIÓN PARA CONFIRMAR VISITA, AVISO EXTERIOR ALTURA APROX 2,5 METROS; TOMACORRIENTE CERCANO: SI; TIENE CABINA DE SEGURIDAD: SI  29/08/2025 SE REALIZA INSTALACIÓN DE CORRESPONSAL, SE INSTALAN EQUIPOS CON PRUEBAS EXITOSAS, SE CAPACITA Y SE EVALÚA AL CLIENTE, SE INSTALA PUBLICIDAD COMPLETA, CB QUEDA OPERATIVO. USUARIO SOMOS BANCOLOMBIA ACTIVO</t>
  </si>
  <si>
    <t>FKZZZ648</t>
  </si>
  <si>
    <t>TA-25-1033992</t>
  </si>
  <si>
    <t>BARRIO ESMERALDA ARMENIA</t>
  </si>
  <si>
    <t>FO-25-1433065</t>
  </si>
  <si>
    <t>27-08-2025 SE REALIZA LLAMADA AL CLIENTE, SE HABLA CON EL SR JAUMBER DUNOT GUTIERREZ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</si>
  <si>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FKZZZ650</t>
  </si>
  <si>
    <t>TA-25-1033993</t>
  </si>
  <si>
    <t>BARRIO EL BOSQUE PALMIRA 1</t>
  </si>
  <si>
    <t>FO-25-1433073</t>
  </si>
  <si>
    <t>27-08-2025 SE REALIZA LLAMADA AL CLIENTE, SE HABLA CON LA SRA BERTHA LIGIA PANTOJA ERAZO SE VALIDA DIRECCIÓN OK, CANAL OK, DISPONIBILIDAD TOTAL, LLAMAR EL DÍA LA INSTALACIÓN PARA CONFIRMAR VISITA, AVISO EXTERIOR ALTURA NO INDICA ALTURA; TOMACORRIENTE CERCANO: SI; TIENE CABINA DE SEGURIDAD: SI  28/08/2025 SE REALIZA INSTALACIÓN DE CORRESPONSAL, SE INSTALAN EQUIPOS CON PRUEBAS EXITOSAS, SE CAPACITA Y SE EVALÚA AL CLIENTE, SE INSTALA PUBLICIDAD COMPLETA, CB QUEDA OPERATIVO. USUARIO SOMOS BANCOLOMBIA ACTIVO</t>
  </si>
  <si>
    <t>FKZZZ651</t>
  </si>
  <si>
    <t>TA-25-1033994</t>
  </si>
  <si>
    <t>BARRIO ULPIANO LLOREDA CALI 1</t>
  </si>
  <si>
    <t>FO-25-1433077</t>
  </si>
  <si>
    <t>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t>
  </si>
  <si>
    <t>FKZZZ652</t>
  </si>
  <si>
    <t>TA-25-1033995</t>
  </si>
  <si>
    <t>BARRIO CAÑAVERALEJO BOGOTA 1</t>
  </si>
  <si>
    <t>FO-25-1433086</t>
  </si>
  <si>
    <t>27-08-2025 SE REALIZA LLAMADA AL CLIENTE, SE HABLA CON LA SRA NUBIA YANETH ARENAS NARANJO SE VALIDA DIRECCIÓN OK, CANAL OK, DISPONIBILIDAD TOTAL, LLAMAR EL DÍA LA INSTALACIÓN PARA CONFIRMAR VISITA, AVISO EXTERIOR ALTURA APROX 3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</si>
  <si>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FKZZZ653</t>
  </si>
  <si>
    <t>TA-25-1033996</t>
  </si>
  <si>
    <t>BARRIO BILBAO BOGOTA 7</t>
  </si>
  <si>
    <t>FO-25-1433090</t>
  </si>
  <si>
    <t>27-08-2025 SE REALIZA LLAMADA AL CLIENTE, SE HABLA CON EL SR HECTOR GONZALO CORTES PACHON SE VALIDA DIRECCIÓN OK, CANAL OK, DISPONIBILIDAD TOTAL, LLAMAR EL DÍA LA INSTALACIÓN PARA CONFIRMAR VISITA, AVISO EXTERIOR ALTURA APROX 3 METROS; TOMACORRIENTE CERCANO: SI; TIENE CABINA DE SEGURIDAD: SI  28/08/2025 ESTANDO EN SITIO PARA REALIZAR APERTURA REDEBAN 3007081191  BARRIO BILBAO BOGOTA, EL COMERCIO NO TIENE NOMBRE EN LA FACAHA, ADJUNTO CÁMARA DE COMERCIO + REGISTRO FOTOGRÁFICO. / REPUESTA DE LA RED: POR FAVOR REALICEMOS LA VINCULACIÓN Y DEJEMOS LA NOVEDAD EN EL INFORME.  28/08/2025 SE REALIZA INSTALACIÓN DE CORRESPONSAL, SE INSTALAN EQUIPOS, SE CAPACITA Y SE EVALÚA AL CLIENTE, SE INSTALA PUBLICIDAD COMPLETA, CB QUEDA OPERATIVO. USUARIO SOMOS BANCOLOMBIA ACTIVO. NO SE PUEDE REALIZAR PRUEBA DE RECAUDO PUES NO TIENEN NINGÚN RECIBO PARA PAGAR Y TAMPOCO LA DE LA TRANSFERENCIA POR QUE NO HAY NÚMERO DE OTRA CUENTA A LA CUAL ENVIAR LA TRASFERENCIA</t>
  </si>
  <si>
    <t>FKZZZ654</t>
  </si>
  <si>
    <t>TA-25-1033997</t>
  </si>
  <si>
    <t>BARRIO PORVENIR FLORENCIA</t>
  </si>
  <si>
    <t>FO-25-1433097</t>
  </si>
  <si>
    <t>27-08-2025 SE REALIZA LLAMADA AL CLIENTE, SE HABLA CON EL SR YEFERSON BUSTOS ASCENCIO SE VALIDA DIRECCIÓN OK, CANAL OK, DISPONIBILIDAD TOTAL, LLAMAR EL DÍA LA INSTALACIÓN PARA CONFIRMAR VISITA, AVISO EXTERIOR ALTURA APROX 2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</si>
  <si>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FKZZZ655</t>
  </si>
  <si>
    <t>TA-25-1033998</t>
  </si>
  <si>
    <t>SABANALARGA</t>
  </si>
  <si>
    <t>BARRIO CENTRO SABANALARGA 24</t>
  </si>
  <si>
    <t>FO-25-1433101</t>
  </si>
  <si>
    <t>26-08 SE REALIZA LLAMADA AL CLIENTE, SE HABLA CON EL SR  FRANCISCO DAVID BERDUGO CASTAÑEDA  SE VALIDA DIRECCIÓN OK, CANAL OK, DISPONIBILIDAD TOTAL, LLAMAR EL DÍA DE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t>
  </si>
  <si>
    <t>FKZZZ656</t>
  </si>
  <si>
    <t>TA-25-1034001</t>
  </si>
  <si>
    <t>SAN GIL</t>
  </si>
  <si>
    <t>BARRIO SAN GIL SAN GIL 1</t>
  </si>
  <si>
    <t>FO-25-1433107</t>
  </si>
  <si>
    <t>27-08-2025 SE REALIZA LLAMADA AL CLIENTE, SE HABLA CON LA SRA ELIANA ANDREA DIAZ ROMERO SE VALIDA DIRECCIÓN OK, CANAL OK, DISPONIBILIDAD TOTAL, LLAMAR EL DÍA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TRANFERENCIA SE REALIZA PERO CLIENTE NO TIENE OTRA CUENTA PARA TRASFERIR , SALDO</t>
  </si>
  <si>
    <t>FKZZZ657</t>
  </si>
  <si>
    <t>TA-25-1034002</t>
  </si>
  <si>
    <t>BARRIO FLORALIA CALI 11</t>
  </si>
  <si>
    <t>FO-25-1433110</t>
  </si>
  <si>
    <t>27-08-2025 SE REALIZA LLAMADA AL CLIENTE, SE HABLA CON EL SR CRISTIAN AGUDELO GUERRERO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</si>
  <si>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FKZZZ658</t>
  </si>
  <si>
    <t>TA-25-1034003</t>
  </si>
  <si>
    <t>BARRIO CENTRO CHINCHINA 14</t>
  </si>
  <si>
    <t>FO-25-1433115</t>
  </si>
  <si>
    <t>27-08-2025 SE REALIZA LLAMADA AL CLIENTE, SE HABLA CON LA SRA  YAMILETH SALAZAR SE VALIDA DIRECCIÓN OK, CANAL OK, DISPONIBILIDAD TOTAL, LLAMAR EL DÍA LA INSTALACIÓN PARA CONFIRMAR VISITA, AVISO EXTERIOR 2,5 METROS APROX ; TOMACORRIENTE CERCANO: SI; TIENE CABINA DE SEGURIDAD: SI 28/08/2025 SE REALIZA INSTALACIÓN DE CORRESPONSAL, SE INSTALAN EQUIPOS CON PRUEBAS EXITOSAS, SE CAPACITA Y SE EVALÚA AL CLIENTE, SE INSTALA PUBLICIDAD COMPLETA, CB QUEDA OPERATIVO. USUARIO SOMOS BANCOLOMBIA ACTIVO</t>
  </si>
  <si>
    <t>FKZZZ659</t>
  </si>
  <si>
    <t>TA-25-1034005</t>
  </si>
  <si>
    <t>BARRIO LOS NARANJOS 1 CALI</t>
  </si>
  <si>
    <t>FO-25-1433122</t>
  </si>
  <si>
    <t>27-08-2025 SE REALIZA LLAMADA AL CLIENTE, SE HABLA CON LA SRA  INGRY LILIAN CORNELIO ESCOBAR SE VALIDA DIRECCIÓN OK, CANAL OK, DISPONIBILIDAD TOTAL, LLAMAR EL DÍA LA INSTALACIÓN PARA CONFIRMAR VISITA, AVISO EXTERIOR NO INDICA ALTURA  ; TOMACORRIENTE CERCANO: SI; TIENE CABINA DE SEGURIDAD: SI 28/08/2025 SE REALIZA INSTALACIÓN DE CORRESPONSAL, SE INSTALAN EQUIPOS CON PRUEBAS EXITOSAS, SE CAPACITA Y SE EVALÚA AL CLIENTE, SE INSTALA PUBLICIDAD COMPLETA, CB QUEDA OPERATIVO. USUARIO SOMOS BANCOLOMBIA ACTIVO. DEMÁS PRUEBAS SE SIMULAN YA QUE CLIENTE NO DISPONE DE MÁS HERRAMIENTAS</t>
  </si>
  <si>
    <t>FKZZZ660</t>
  </si>
  <si>
    <t>TA-25-1034007</t>
  </si>
  <si>
    <t>BARRIO ANAPOIMA ANAPOIMA 2</t>
  </si>
  <si>
    <t>FO-25-1433126</t>
  </si>
  <si>
    <t>27-08-2025 SE REALIZA LLAMADA AL CLIENTE, SE HABLA CON EL SR  ALFONSO GUEVARA MARTINEZ SE VALIDA DIRECCIÓN OK, CANAL OK, DISPONIBILIDAD TOTAL, LLAMAR EL DÍA LA INSTALACIÓN PARA CONFIRMAR VISITA, AVISO EXTERIOR ALTURA APROX 2,5 METROS; TOMACORRIENTE CERCANO: SI; TIENE CABINA DE SEGURIDAD: NO  29/08/2025 SE REALIZA INSTALACIÓN DE CORRESPONSAL, SE INSTALAN EQUIPOS CON PRUEBAS EXITOSAS, SE CAPACITA Y SE EVALÚA AL CLIENTE, SE INSTALA PUBLICIDAD COMPLETA, CB QUEDA OPERATIVO. USUARIO SOMOS BANCOLOMBIA ACTIVO</t>
  </si>
  <si>
    <t>FKZZZ661</t>
  </si>
  <si>
    <t>TA-25-1034013</t>
  </si>
  <si>
    <t>BECERRIL</t>
  </si>
  <si>
    <t>BARRIO CENTRO BECERRIL 8</t>
  </si>
  <si>
    <t>FO-25-1433137</t>
  </si>
  <si>
    <t>26-08 SE REALIZA LLAMADA AL CLIENTE, SE HABLA CON LA SRA  YOLIMA VERA BARRIOS SE VALIDA DIRECCIÓN OK, CANAL OK, DISPONIBILIDAD TOTAL, LLAMAR EL DÍA DE LA INSTALACIÓN PARA CONFIRMAR VISITA, AVISO EXTERIOR 3 METROS APROX; TOMACORRIENTE CERCANO: SI; TIENE CABINA DE SEGURIDAD: SI 28/08/2025 SE REALIZA INSTALACIÓN DE CORRESPONSAL, SE INSTALAN EQUIPOS CON PRUEBAS EXITOSAS, SE CAPACITA Y SE EVALÚA AL CLIENTE, SE INSTALA PUBLICIDAD COMPLETA, CB QUEDA OPERATIVO. USUARIO SOMOS BANCOLOMBIA ACTIVO</t>
  </si>
  <si>
    <t>FKZZZ663</t>
  </si>
  <si>
    <t>TA-25-1034015</t>
  </si>
  <si>
    <t>SAN CARLOS DE GUAROA</t>
  </si>
  <si>
    <t>BARRIO CENTRO SAN CARLOS DE GUAROA 8</t>
  </si>
  <si>
    <t>FO-25-1433143</t>
  </si>
  <si>
    <t>27-08 SE REALIZA LLAMADA AL CLIENTE, SE HABLA CON LA SRA LAURA NATALY CALDERON RODRIGUEZ  SE VALIDA DIRECCIÓN OK, CANAL OK, DISPONIBILIDAD TOTAL, LLAMAR EL DÍA LA INSTALACIÓN PARA CONFIRMAR VISITA, AVISO EXTERIOR ALTURA APROX 2 METROS; TOMACORRIENTE CERCANO: SI; TIENE CABINA DE SEGURIDAD: NO 29/08/2025 SE REALIZA INSTALACIÓN DE CORRESPONSAL, SE INSTALAN EQUIPOS CON PRUEBAS EXITOSAS, SE CAPACITA Y SE EVALÚA AL CLIENTE, SE INSTALA PUBLICIDAD COMPLETA, CB QUEDA OPERATIVO. USUARIO SOMOS BANCOLOMBIA ACTIVO</t>
  </si>
  <si>
    <t>FKZZZ664</t>
  </si>
  <si>
    <t>TA-25-1034019</t>
  </si>
  <si>
    <t>BARRIO LA RIVERA CALI 6</t>
  </si>
  <si>
    <t>FO-25-1433158</t>
  </si>
  <si>
    <t>27-08 SE REALIZA LLAMADA AL CLIENTE, SE HABLA CON LA SRA JENNY VIVIANA RUIZ CORTES  SE VALIDA DIRECCIÓN OK, CANAL OK, DISPONIBILIDAD TOTAL, LLAMAR EL DÍA LA INSTALACIÓN PARA CONFIRMAR VISITA, AVISO EXTERIOR ALTURA APROX 2 METROS; TOMACORRIENTE CERCANO: SI; TIENE CABINA DE SEGURIDAD: SI 28-09 SE REALIZA INSTALACIÓN DE CORRESPONSAL, SE INSTALAN EQUIPOS CON PRUEBAS EXITOSAS, NO SE CAPACITA YA QUE EL USUARIO SABE EL MANEJO POR CAMBIO DE RAZON SOCIAL, SE INSTALA PUBLICIDAD COMPLETA, CB QUEDA OPERATIVO. USUARIO SOMOS BANCOLOMBIA ACTIVO</t>
  </si>
  <si>
    <t>FKZZZ666</t>
  </si>
  <si>
    <t>TA-25-1034020</t>
  </si>
  <si>
    <t>BARRIO BARRANCAS BOGOTA 13</t>
  </si>
  <si>
    <t>FO-25-1433163</t>
  </si>
  <si>
    <t>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t>
  </si>
  <si>
    <t>FKZZZ667</t>
  </si>
  <si>
    <t>TA-25-1034021</t>
  </si>
  <si>
    <t>BARRIO PUEBLITO PAISA CUBA PEREIRA</t>
  </si>
  <si>
    <t>FO-25-1433171</t>
  </si>
  <si>
    <t>27-08 SE REALIZA LLAMADA AL CLIENTE, SE HABLA CON LA SRA MAYILESLY ARANGO ROMERO  SE VALIDA DIRECCIÓN OK, CANAL OK, DISPONIBILIDAD TOTAL, LLAMAR EL DÍA LA INSTALACIÓN PARA CONFIRMAR VISITA, AVISO EXTERIOR ALTURA: NO INDICA ALTURA; TOMACORRIENTE CERCANO: SI; TIENE CABINA DE SEGURIDAD: NO 28/08/2025 SE REALIZA INSTALACIÓN DE CORRESPONSAL, SE INSTALAN EQUIPOS CON PRUEBAS EXITOSAS, SE CAPACITA Y SE EVALÚA AL CLIENTE, SE INSTALA PUBLICIDAD COMPLETA, CB QUEDA OPERATIVO. USUARIO SOMOS BANCOLOMBIA ACTIVO. SOLO REALIZAMOS PRUEBA DE CONSULTA DE SALDO YA QUE EL CLIENTE NO TIENE LA TARJETA PARA REALIZAR PRUEBAS DE TRANSFERENCIA, DEPOSITO, RETIRO, Y RECAUDO</t>
  </si>
  <si>
    <t>FKZZZ668</t>
  </si>
  <si>
    <t>TA-25-1034023</t>
  </si>
  <si>
    <t>BARRIO BRISAS DEL PLAYON ACACIAS</t>
  </si>
  <si>
    <t>FO-25-1433185</t>
  </si>
  <si>
    <t>27-08 SE REALIZA LLAMADA AL CLIENTE, SE HABLA CON LA SRA LUZ YENNY MARTÍNEZ LEON SE VALIDA DIRECCIÓN OK, CANAL OK, DISPONIBILIDAD TOTAL, LLAMAR EL DÍA LA INSTALACIÓN PARA CONFIRMAR VISITA, AVISO EXTERIOR ALTURA: NO INDICA ALTURA; TOMACORRIENTE CERCANO: NO; TIENE CABINA DE SEGURIDAD: SI - EL MODEM ESTA A 4 MT  28/08/2025 SE REALIZA INSTALACIÓN DE CORRESPONSAL, SE INSTALAN EQUIPOS CON PRUEBAS EXITOSAS, SE CAPACITA Y SE EVALÚA AL CLIENTE, SE INSTALA PUBLICIDAD COMPLETA, CB QUEDA OPERATIVO. USUARIO SOMOS BANCOLOMBIA ACTIVO</t>
  </si>
  <si>
    <t>FKZZZ670</t>
  </si>
  <si>
    <t>TA-25-1034024</t>
  </si>
  <si>
    <t>BARRIO LAS MARIAS AIPE</t>
  </si>
  <si>
    <t>FO-25-1433192</t>
  </si>
  <si>
    <t>27-08 SE REALIZA LLAMADA AL CLIENTE, SE HABLA CON LA SRA CHELSEA PERDOMO GARCIA  SE VALIDA DIRECCIÓN OK, CANAL OK, DISPONIBILIDAD TOTAL, LLAMAR EL DÍA LA INSTALACIÓN PARA CONFIRMAR VISITA, AVISO EXTERIOR ALTURA: NO INDICA ALTURA; TOMACORRIENTE CERCANO: SI; TIENE CABINA DE SEGURIDAD: NO 28-08 SE REALIZA INSTALACIÓN DE CORRESPONSAL, SE INSTALAN EQUIPOS CON PRUEBAS EXITOSAS, SE CAPACITA Y SE EVALÚA AL CLIENTE, SE INSTALA PUBLICIDAD COMPLETA, CB QUEDA OPERATIVO. USUARIO SOMOS BANCOLOMBIA ACTIVO</t>
  </si>
  <si>
    <t>FKZZZ671</t>
  </si>
  <si>
    <t>TA-25-1034028</t>
  </si>
  <si>
    <t>BARRIO CENTRO RESTREPO 8</t>
  </si>
  <si>
    <t>FO-25-1433218</t>
  </si>
  <si>
    <t>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t>
  </si>
  <si>
    <t>FKZZZ674</t>
  </si>
  <si>
    <t>TA-25-1034029</t>
  </si>
  <si>
    <t>BARRIO SAENS MANIZALES</t>
  </si>
  <si>
    <t>FO-25-1433222</t>
  </si>
  <si>
    <t>27-08 SE REALIZA LLAMADA AL CLIENTE, SE HABLA CON LA SRA ESTELA RAMIREZ JARAMILLO, SE VALIDA DIRECCIÓN OK, CANAL OK, DISPONIBILIDAD TOTAL, LLAMAR EL DÍA LA INSTALACIÓN PARA CONFIRMAR VISITA, AVISO EXTERIOR ALTURA APROX 4 METROS; TOMACORRIENTE CERCANO: SI; TIENE CABINA DE SEGURIDAD: SI - EL MODEM ESTA A 4 MT  28-09 EN COMUNICACIÓN CON EL USUARIO INDICA QUE HOY NO PUEDE RECIBIR LA ACTIVIDAD POR QUE SALIO DE URG, PIDE QUE SE VISITE EL DIA DE MAÑANA  29/08/2025 SE REALIZA VISITA USUARIO NO CUENTA CON INTERNET EN EL COMERCIO E INDICA SOLICITUD DE REAGENDAR LA VISITA PARA CUANDO YA TENGA LAS CONEXIONES DE INTERNET, SE LE INDICA QUE DEBE DE REAGENDARLA CON EL ASESOR, SE CANCELA POR NO CONEXIÓNES A MODEM</t>
  </si>
  <si>
    <t>FKZZZ675</t>
  </si>
  <si>
    <t>TA-25-1031265</t>
  </si>
  <si>
    <t>LA ESTRELLA</t>
  </si>
  <si>
    <t>BARRIO BAVARIA LA ESTRELLA 1</t>
  </si>
  <si>
    <t>FO-25-1429791</t>
  </si>
  <si>
    <t>26-08 SE REALIZA LLAMADA AL CLIENTE, SE HABLA CON LA SRA  DALILA DEL SOCORRO MONDRAGON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t>
  </si>
  <si>
    <t>FKZZZ676</t>
  </si>
  <si>
    <t>TA-25-1034030</t>
  </si>
  <si>
    <t>BARRIO ALFONSO LOPEZ 6 BOGOTA</t>
  </si>
  <si>
    <t>FO-25-1433226</t>
  </si>
  <si>
    <t>27-08 SE REALIZA LLAMADA AL CLIENTE, SE HABLA CON EL SR JOSE ESTEFANS TRIANA TRIANA  SE VALIDA DIRECCIÓN OK, CANAL OK, DISPONIBILIDAD TOTAL, LLAMAR EL DÍA LA INSTALACIÓN PARA CONFIRMAR VISITA, AVISO EXTERIOR ALTURA APROX 2.70 METROS; TOMACORRIENTE CERCANO: SI; TIENE CABINA DE SEGURIDAD: NO - COMUNICACIÓN POR WPP 28-09 EN CONTACTO CON EL COMERCIO JOSE ESTEFANS TRIANA TRIANA / TELEFONO DE CONTACTO: 3058720953, CONFIRMA RECIBIR INSTALACIÓN EL DÍA DE MAÑANA 29-08-205 29/08/2025 SE REALIZA INSTALACIÓN DE CORRESPONSAL, SE INSTALAN EQUIPOS CON PRUEBAS EXITOSAS, SE CAPACITA Y SE EVALÚA AL CLIENTE, SE INSTALA PUBLICIDAD COMPLETA, CB QUEDA OPERATIVO. USUARIO SOMOS BANCOLOMBIA ACTIVO</t>
  </si>
  <si>
    <t>FKZZZ677</t>
  </si>
  <si>
    <t>TA-25-1034031</t>
  </si>
  <si>
    <t>BARRIO CENTRO TULUA 28</t>
  </si>
  <si>
    <t>FO-25-1433234</t>
  </si>
  <si>
    <t>27-08 SE REALIZA LLAMADA AL CLIENTE, SE HABLA CON LA SR DAVID FELIPE TORO MAZUERA SE VALIDA DIRECCIÓN OK, CANAL OK, DISPONIBILIDAD TOTAL, LLAMAR EL DÍA LA INSTALACIÓN PARA CONFIRMAR VISITA, AVISO EXTERIOR ALTURA APROX 2.5 METROS; TOMACORRIENTE CERCANO: SI; TIENE CABINA DE SEGURIDAD: NO 29-08 SE REALIZA INSTALACIÓN DE CORRESPONSAL, SE INSTALAN EQUIPOS CON PRUEBAS EXITOSAS, SE CAPACITA Y SE EVALÚA AL CLIENTE, SE INSTALA PUBLICIDAD COMPLETA, CB QUEDA OPERATIVO. USUARIO SOMOS BANCOLOMBIA ACTIVO</t>
  </si>
  <si>
    <t>FKZZZ678</t>
  </si>
  <si>
    <t>TA-25-1034454</t>
  </si>
  <si>
    <t>DISTRICOL FRUVER PAGUE MENOS</t>
  </si>
  <si>
    <t>FO-25-1433870</t>
  </si>
  <si>
    <t>27-08 PROGRAMACIÓN REALIZADA POR LA ALIANZA 29/08/2025 SE REALIZA INSTALACIÓN DE CORRESPONSAL, SE INSTALAN EQUIPOS CON PRUEBAS EXITOSAS, SE CAPACITA Y SE EVALÚA AL CLIENTE, SE INSTALA PUBLICIDAD COMPLETA, CB QUEDA OPERATIVO. USUARIO SOMOS BANCOLOMBIA ACTIVO</t>
  </si>
  <si>
    <t>FKZZZ681</t>
  </si>
  <si>
    <t>TA-25-1034455</t>
  </si>
  <si>
    <t>DISTRICOL SUPERMERCADO PORVENI</t>
  </si>
  <si>
    <t>FO-25-1433873</t>
  </si>
  <si>
    <t>FKZZZ682</t>
  </si>
  <si>
    <t>TA-25-1034456</t>
  </si>
  <si>
    <t>ENTRERRIOS</t>
  </si>
  <si>
    <t>DISTRICOL AMERICA STORE</t>
  </si>
  <si>
    <t>FO-25-1433878</t>
  </si>
  <si>
    <t>27-08 PROGRAMACIÓN REALIZADA POR LA ALIANZA 28/08/2025 EN PUNTO NO HAY AVISO. USUARIO INFORMA QUE ESTÁ EN ADECUACIÓN EL COMERCIO YA QUE ES NUEVO, EL TÉCNICO SI EVIDENCIA QUE ESTÁN MONTÁNDOLO APENAS. USUARIO INFORMA QUE EL AVISO DE COMERCIO LO MONTAN EL DÍA DE MAÑANA Y YA ESTÁ EN COMERCIO, ADJUNTO FOTO. DIRECCIÓN DE LISTA DE CHEQUEO COINCIDE CON CÁMARA DE COMERCIO. 28/08/2025 POR FAVOR PROCEDER CON LA CANCELACIÓN DE LA IMPLEMENTACIÓN CORRESPONDIENTE, SEGÚN LA RESPUESTA DE LA ENTIDAD.</t>
  </si>
  <si>
    <t>FKZZZ683</t>
  </si>
  <si>
    <t>TA-25-1034457</t>
  </si>
  <si>
    <t>DISTRICOL PEQUEÑOS ENCANTOS</t>
  </si>
  <si>
    <t>FO-25-1433881</t>
  </si>
  <si>
    <t>27-08 PROGRAMACIÓN REALIZADA POR LA ALIANZA 28-08 SE REALIZA INSTALACIÓN DE CORRESPONSAL, SE INSTALAN EQUIPOS CON PRUEBAS EXITOSAS, SE CAPACITA Y SE EVALÚA AL CLIENTE, SE INSTALA PUBLICIDAD COMPLETA, CB QUEDA OPERATIVO. USUARIO SOMOS BANCOLOMBIA ACTIVO</t>
  </si>
  <si>
    <t>FKZZZ684</t>
  </si>
  <si>
    <t>TA-25-1034458</t>
  </si>
  <si>
    <t>VEGACHI</t>
  </si>
  <si>
    <t>DISTRICOL CELUMOVIL VEGACHI</t>
  </si>
  <si>
    <t>FO-25-1433884</t>
  </si>
  <si>
    <t>27-08 PROGRAMACIÓN REALIZADA POR LA ALIANZA 28/08/2025 SE REALIZA INSTALACIÓN DE CORRESPONSAL, SE INSTALAN EQUIPOS CON PRUEBAS EXITOSAS, SE CAPACITA Y SE EVALÚA AL CLIENTE, SE INSTALA PUBLICIDAD COMPLETA, CB QUEDA OPERATIVO. USUARIO SOMOS BANCOLOMBIA ACTIVO</t>
  </si>
  <si>
    <t>FKZZZ685</t>
  </si>
  <si>
    <t>TA-25-1034459</t>
  </si>
  <si>
    <t>DISTRICOL MAGIC PAPELERIA CREA</t>
  </si>
  <si>
    <t>FO-25-1433887</t>
  </si>
  <si>
    <t>FKZZZ686</t>
  </si>
  <si>
    <t>TA-25-1034460</t>
  </si>
  <si>
    <t>EL PAUJIL</t>
  </si>
  <si>
    <t>DISTRICOL TIENDA CHAUX</t>
  </si>
  <si>
    <t>FO-25-1433892</t>
  </si>
  <si>
    <t>27-08 PROGRAMACIÓN REALIZADA POR LA ALIANZA 28-08 SE REALIZA INSTALACIÓN DE CORRESPONSAL, SE INSTALAN EQUIPOS CON PRUEBAS EXITOSAS, SE CAPACITA Y SE EVALÚA AL CLIENTE, SE INSTALA PUBLICIDAD COMPLETA, CB QUEDA OPERATIVO. USUARIO SOMOS BANCOLOMBIA ACTIV</t>
  </si>
  <si>
    <t>FKZZZ687</t>
  </si>
  <si>
    <t>TA-25-1034462</t>
  </si>
  <si>
    <t>DISTRICOL EL LANCERO B MILITAR</t>
  </si>
  <si>
    <t>FO-25-1433899</t>
  </si>
  <si>
    <t>27-08 PROGRAMACIÓN REALIZADA POR LA ALIANZA 28/08/2025 SE REALIZA INSTALACIÓN DE CORRESPONSAL, SE INSTALAN EQUIPOS CON PRUEBAS EXITOSAS, SE CAPACITA Y SE EVALÚA AL CLIENTE, SE INSTALA PUBLICIDAD COMPLETA, CB QUEDA OPERATIVO. USUARIO SOMOS BANCOLOMBIA ACTIVO. NO SÉ TIENE CUENTA DE AHORROS PARA REALIZAR TRANSFERENCIA EXITOSA. QUEDA OPERATIVO.</t>
  </si>
  <si>
    <t>FKZZZ689</t>
  </si>
  <si>
    <t>TA-25-1034463</t>
  </si>
  <si>
    <t>LA UNION</t>
  </si>
  <si>
    <t>DISTRICOL PAP Y MISC DELPARQUE</t>
  </si>
  <si>
    <t>FO-25-1433905</t>
  </si>
  <si>
    <t>27-08 PROGRAMACIÓN REALIZADA POR LA ALIANZA 29/08/2025 SE REALIZA VISITA PARA INSTALACIÓN DE CB PERO AL LLEGAR SE ENCUENTRA QUE NO CUENTAN CON AVISO COMERCIAL Y LA DIRECCIÓN DEL LUGAR NO COINCIDE CON LA QUE NOS ENTREGAN EN EL CORREO DE LA APERTURA POR LO CUAL SE ESCALA A EDISON SAMBONI DE REDEBAN EL CUAL INDICA QUE NO SE PUEDE REALIZAR LA APERTURA POR DIRECCIÓN ERRADA POR LO CUAL NO SE PUEDE REALIZAR LA APERTURA</t>
  </si>
  <si>
    <t>FKZZZ690</t>
  </si>
  <si>
    <t>TA-25-1034464</t>
  </si>
  <si>
    <t>TUQUERRES</t>
  </si>
  <si>
    <t>DISTRICOL DROG SANA SANA</t>
  </si>
  <si>
    <t>FO-25-1433910</t>
  </si>
  <si>
    <t>27-08 PROGRAMACIÓN REALIZADA POR LA ALIANZA28/08/2025 SE REALIZA INSTALACIÓN DE CORRESPONSAL, SE INSTALAN EQUIPOS CON PRUEBAS EXITOSAS, SE CAPACITA Y SE EVALÚA AL CLIENTE, SE INSTALA PUBLICIDAD COMPLETA, CB QUEDA OPERATIVO. USUARIO SOMOS BANCOLOMBIA ACTIVO</t>
  </si>
  <si>
    <t>FKZZZ691</t>
  </si>
  <si>
    <t>TA-25-1034469</t>
  </si>
  <si>
    <t>DISTRICOL COSITAS Y VAINAS</t>
  </si>
  <si>
    <t>FO-25-1433917</t>
  </si>
  <si>
    <t>FKZZZ692</t>
  </si>
  <si>
    <t>TA-25-1034474</t>
  </si>
  <si>
    <t>DISTRICOL PAPELERIA LA MONA 2</t>
  </si>
  <si>
    <t>FO-25-1433923</t>
  </si>
  <si>
    <t>27-08 PROGRAMACIÓN REALIZADA POR LA ALIANZA 28/08/2025 SE REALIZA INSTALACIÓN DE CORRESPONSAL, SE INSTALAN EQUIPOS CON PRUEBAS EXITOSAS, SE CAPACITA Y SE EVALÚA AL CLIENTE, SE INSTALA PUBLICIDAD COMPLETA, CB QUEDA OPERATIVO. USUARIO SOMOS BANCOLOMBIA ACTIVO. NOTA: NO SE REGISTRA TRANSFERENCIA, NO SE CUENTA CON MAS CUENTAS</t>
  </si>
  <si>
    <t>FKZZZ693</t>
  </si>
  <si>
    <t>TA-25-1034475</t>
  </si>
  <si>
    <t>DISTRICOL SUPERDROGAS LA 17</t>
  </si>
  <si>
    <t>FO-25-1433927</t>
  </si>
  <si>
    <t xml:space="preserve">27-08 PROGRAMACIÓN REALIZADA POR LA ALIANZA 28/08/2025 SE REALIZA INSTALACIÓN DE CORRESPONSAL, SE INSTALAN EQUIPOS CON PRUEBAS EXITOSAS, SE CAPACITA Y SE EVALÚA AL CLIENTE, SE INSTALA PUBLICIDAD COMPLETA, CB QUEDA OPERATIVO. USUARIO SOMOS BANCOLOMBIA ACTIVO.  NO SE REALIZA PRUEBA DE TRANSFERENCIA, NO SE CUENTA CON CUENTA PARA REALIZAR LA OPERACION </t>
  </si>
  <si>
    <t>FKZZZ694</t>
  </si>
  <si>
    <t>TA-25-1034477</t>
  </si>
  <si>
    <t>AMALFI</t>
  </si>
  <si>
    <t>DISTRICOL TIENDA A MAR</t>
  </si>
  <si>
    <t>FO-25-1433936</t>
  </si>
  <si>
    <t>27-08 PROGRAMACIÓN REALIZADA POR LA ALIANZA 28/08/2025 VISITAMOS PUNTO ENCONTRANDO OTRO CB EN EL LOCAL CONTIGUO. CODIGO EXISTENTE 71566 BARRIO EL CAMELLON AMALFI. ADICIONALMENTE HAY UNA NOVEDAD CON LA DIRECCIÓN. COMERCIO ESTÁ UBICADO EN CALLE 20 PERO CON CARRERA 17.</t>
  </si>
  <si>
    <t>FKZZZ696</t>
  </si>
  <si>
    <t>TA-25-1034479</t>
  </si>
  <si>
    <t>DISTRICOL MISCELANEA YAJANDRE</t>
  </si>
  <si>
    <t>FO-25-1433944</t>
  </si>
  <si>
    <t>FKZZZ697</t>
  </si>
  <si>
    <t>FECHA ASIGNACION A LINEA COMUNICACIONES</t>
  </si>
  <si>
    <t>FECHA DEL CIERRE DEL TICKET (DD/MM/AAAA)</t>
  </si>
  <si>
    <t>ACOMETIDA</t>
  </si>
  <si>
    <t>SOLICITUD</t>
  </si>
  <si>
    <t>DESCRIPCIÓN</t>
  </si>
  <si>
    <t>CAUSAL ESTADO</t>
  </si>
  <si>
    <t>OBSERVACION</t>
  </si>
  <si>
    <t xml:space="preserve">TERMINAL </t>
  </si>
  <si>
    <t>DIAS DE VISITA</t>
  </si>
  <si>
    <t>TRANSPORTE AVISO EXTERIOR</t>
  </si>
  <si>
    <t>VALOR ACTIVIDAD</t>
  </si>
  <si>
    <t>VALOR TRANSPORTE AVISO</t>
  </si>
  <si>
    <t>ORDEN DE CAMBIO</t>
  </si>
  <si>
    <t>BARRIO URBANIZACION VILLA MARI</t>
  </si>
  <si>
    <t>FO-25-1307996</t>
  </si>
  <si>
    <t>PUBLICIDAD</t>
  </si>
  <si>
    <t>AVISO EXTERIOR</t>
  </si>
  <si>
    <t>CB UNO A UNO</t>
  </si>
  <si>
    <t>EJECUTADO_EXITOSO</t>
  </si>
  <si>
    <t>EJECUTADO EXITOSO</t>
  </si>
  <si>
    <t>SE COMUNICA CB SR(A) DAHIANA PARA SOLICITAR QUE EL AVISO EXTERIOR SE LE CAYÓ, AGRADECE LE COLABOREN INSTALANDO DE NUEVO, GRACIAS
0
01/08/2025 SE REALIZA INSTALACIÓN DE AVISO EXTERIOR POR SOLICITUD DEL CLIENTE. CERRAR</t>
  </si>
  <si>
    <t>VISITA_TÉCNICA</t>
  </si>
  <si>
    <t>DISTRICOL RAPITIENDA EL GOCHO</t>
  </si>
  <si>
    <t>FO-25-1311324</t>
  </si>
  <si>
    <t>SE COMUNICA CB SR(A) ONYLIARDYS LINDIOLA PARA SOLICITAR AVISO EXTERIOR POR DAÑO TOTAL GRACIAS
0
01/08/2025 VISITAMOS COMERCIO REALIZAMOS INSTALACIÓN DE AVISO EXTERIOR YA QUE EL QUE TENIA SE LE DAÑO.  CERRAR</t>
  </si>
  <si>
    <t>DISTRICOL INVERSIONES GRUPO GM</t>
  </si>
  <si>
    <t>FO-25-1313567</t>
  </si>
  <si>
    <t>SE COMUNICA CB SR(A) GILSON ANTONIO MATIUZZI PARA SOLICITAR AVISO EXTERIOR POR DAÑO TOTAL, CB INDICA MANEJA DOS AVISOS EXTERIORES GRACIAS
0
01/08/2025 VISITAMOS COMERCIO REALIZAMOS INSTALACIÓN DE AVISO EXTERIOR YA QUE EL QUE TENIS SE DAÑO.  CERRAR</t>
  </si>
  <si>
    <t>BARRIO LA SOLEDAD II BOGOTA</t>
  </si>
  <si>
    <t>FO-25-1313557</t>
  </si>
  <si>
    <t>SE COMUNICA CB SR(A) ESPERANZA PARA SOLICITAR ,AVISO EXTERIOR DEBIDO A QUE LE ROBARON EL QUE TENIA, POR FAVOR COLABORARLE, GRACIAS
0
01/08/2025 SE REALIZA INSTALACIÓN DE AVISO DE ACUERDO A INDICACIONES DEL CLIENTE. CERRAR</t>
  </si>
  <si>
    <t>PTM BOGOTA  SAN JOSE PHARMA</t>
  </si>
  <si>
    <t>FO-25-1309883</t>
  </si>
  <si>
    <t>SE COMUNICA CB SR(A) JUAN PARA SOLICITAR AVISO EXTERIOR POR QUE SE LO ROBARON , GRACIAS
0
01/08/2025 SE REALIZA INSTALACIÓN DE AVISO EXTERIOR SIN MARCO AUTORIZADO POR REDEBAN CERRAR</t>
  </si>
  <si>
    <t>BARRIO PANCE CALI 3</t>
  </si>
  <si>
    <t>FO-25-1307991</t>
  </si>
  <si>
    <t xml:space="preserve"> SE COMUNICA CB SR(A) ANDRES PARA SOLICITAR 02 AVISOS EXTERIORES POR ROBO. LOCAL ESQUINERO RADICADO DE TPC 13825950
0
01/08/2025 SE VISITA CORRESPONSAL Y SE REALIZA INSTALACIÓN DE AVISO SIN MARCO SOBRE SUPERFICIE DE VIDRIO A SOLICITUD DEL CLIENTE.  CERRAR</t>
  </si>
  <si>
    <t>BARRIO CENTRO MOSQUERA  3</t>
  </si>
  <si>
    <t>FO-25-1297545</t>
  </si>
  <si>
    <t>EJECUTADO_CANCELADO</t>
  </si>
  <si>
    <t>PETICIÓN USUARIO</t>
  </si>
  <si>
    <t>SE COMUNICA CB SR WILLIAM PARA SOLICITAR EL AVISO EXTERIOR YA QUE SE LE ROMPIO, GRACIAS RADICADO DE TPC 13814805
0
02/08/2025 DURANTE LA VISITA TECNICA PARA REALIZA INSTALACIÓN DE AVISO EXTERIOR COMERCIO SE ENCUENTRA CERRADO SE LLAMA AL CELULAR 3134074094 EN EL CUAL NOS RESPONDE EL SR DANIEL VARGAS Y NOS INDICA QUE SE ENCUENTRA CERCA DEL COMERCIO Y LAS PERSONAS ENCARGADA DEL MISMO NO LE CONTESTAN PARA RECIBIR LA VISITA SE BRINDA INFORMACIÓN SE PROCEDE AL CIERRE DE LA ACTIVIDAD SE REALIZA DEVOLUCIÓN DE PUBLICIDAD NO UTILIZADA A BODEGA  CERRAR</t>
  </si>
  <si>
    <t>BARRIO FURATENA MONTERIA 2</t>
  </si>
  <si>
    <t>FO-25-1316191</t>
  </si>
  <si>
    <t>SE COMUNICA CB SR(A) KARINA PARA SOLICITAR EL AVISO EXTERIOR YA QUE SE LO ROBARON . GRACIAS
0
02/08/2025 SE INSTALA PUBLICIDAD AVISO EXTERNO YA QUE NO SE ENCONTRÓ EN SITIO. CERRAR</t>
  </si>
  <si>
    <t>BARRIO SAN PABLO MADRID</t>
  </si>
  <si>
    <t>FO-25-1313562</t>
  </si>
  <si>
    <t>SE COMUNICA CB SR SANTIAGO PARA SOLICITAR EL AVISO EXTERIOR YA QUE SE LO ROBARON, ESPERO LE PUEDAN COLABORAR, GRACIAS.
0
02/08/2025 DURANTE LA VISITA TECNICA SE REALIZA INSTALACIÓN DE AVISO EXTERIOR CON CHAZOS A LA PARED EN LUGAR INDICADO POR COMERCIO A CONFORMIDAD DE CORRESPONSAL NO SE MANIPULA EQUIPOS  SIN NOVEDAD EN INSTALACIÓN CERRAR</t>
  </si>
  <si>
    <t>BARRIO SUCRE PITALITO 3</t>
  </si>
  <si>
    <t>FO-25-1309894</t>
  </si>
  <si>
    <t xml:space="preserve"> SE COMUNICA CB SR(A)DIANA PARA SOLICITAR AVISO EXTERIOR PORQUE EN DÍAS ANTERIORES LO TUMBARON Y LO PARTIERON POR FAVOR Y , GRACIAS RADICADO DE TPC 13834164
0
02/08/2025 SE REALIZA VISITA AL PUNTO, SE IMPLEMENTA CON EXITO AVISO EXTERIOR M CERRAR</t>
  </si>
  <si>
    <t>BARRIO CENTRO PEREIRA 31</t>
  </si>
  <si>
    <t>FO-25-1318916</t>
  </si>
  <si>
    <t xml:space="preserve"> SE COMUNICA SR(A)MÓNICA; SOLICITA AVISO YA QUE SE LO ROBARON EL DIA 30 DE JULIO EN HORAS DE LA NOCHE
0
04/08/2025 VISITAMOS COMERCIO REALIZAMOS INSTALACIÓN DE AVISO EXTERIOR YA QUE SE LE ROBARON EL QUE TENIA.  CERRAR</t>
  </si>
  <si>
    <t>BARRIO URB MONTECARLO IBAGUE</t>
  </si>
  <si>
    <t>FO-25-1318915</t>
  </si>
  <si>
    <t xml:space="preserve"> SE COMUNICA CB SR(A) MABEL PARA SOLICITAR LE VAYAN A COLOCAR AVISO EXTERIROR SE LE CAYO LO TIENEEN PERFECTO ESTADO , GRACIAS RADICADO DE TPC 13850518
0
04/08/2025 INSTALACIÓN DE AVISO EXTERIOR, YA QUE EL QUE TIENE ESTÁ RAYADO CUANDO SE  CAYO  CERRAR</t>
  </si>
  <si>
    <t>BARRIO CENTRO PUERTO BERRIO 7</t>
  </si>
  <si>
    <t>FO-25-1318910</t>
  </si>
  <si>
    <t>SE COMUNICA CB SR(A) MANUELA, PARA SOLICITAR EL AVISO EXTERIOR PRINCIPAL EL QUE TENIA PASO UN VENTARRÓN, LO TUMBO Y SE LE PARTIÓ , GRACIAS RADICADO DE TPC 13851871
0
04/08/2025 SE REALIZA INSTALACIÓN DEL AVISO EXTERIOR EXITOSAMENTE OK,  YA QUE EL ANTERIOR SE ENCUENTRA DETERIORADO OK,  CERRAR</t>
  </si>
  <si>
    <t>BARRIO PUERTO BERRIO PUERTO BE</t>
  </si>
  <si>
    <t>FO-25-1297539</t>
  </si>
  <si>
    <t>SE COMUNICA CB SR(A) ANDRES PARA SOLICITAR AVISO EXTERIOR POR DAÑO, GRACIAS RADICADO DE TPC 13815258
0
04/08/2025 SE REALIZA INSTALACIÓN DEL AVISO EXTERIOR EXITOSAMENTE OK,  EL ANTERIOR SE ENCONTRABA DETERIORADO OK CERRAR</t>
  </si>
  <si>
    <t>BARRIO EL CARMELO PUERTO BERRI</t>
  </si>
  <si>
    <t>FO-25-1308002</t>
  </si>
  <si>
    <t xml:space="preserve"> SE COMUNICA CB SR(A) YECENIA PARA SOLICITAR AVISO EXTERIOR, EL QUE TENIA SE LO CALLO LA LLUVIA Y SE PARTIO, GRACIAS
0
04/08/2025 SE REALIZA VISITA AL PUNTO,  SE ENCUENTRA CERRADO,  SE HABLA CON USUARIO INDICA QUE SE ENCUENTRA EN LA CIUDAD DE MEDELLIN EN CITA MEDICA POR LO CUAL EL USUARIO INDICA QUE LA SEÑORA MONICA RODRIGUEZ FIRME LA INSTALACIÓN DEL AVISO EXTERIOR,  NO SE OBTIENE TIRILLA POR TAL MOTIVO OK CERRAR</t>
  </si>
  <si>
    <t>BARRIO SANTA LUCIA BOGOTA 11</t>
  </si>
  <si>
    <t>FO-25-1316183</t>
  </si>
  <si>
    <t>SE COMUNICA CB SR(A)DORA NAVARRETE PARA SOLICITAR AVISO EXTERIOR POR QUE SE LO ROBARON , GRACIAS
0
04/08/2025 DURANTE LA VISITA TECNICA SE REALIZA INSTALACIÓN DE AVISO EXTERIOR CON CHAZOS A LA PARED EN LUGAR INDICADO POR COMERCIO A CONFORMIDAD DE CORRESPONSAL NO SE MANIPULA EQUIPOS  SIN NOVEDAD EN INSTALACIÓN CERRAR</t>
  </si>
  <si>
    <t>BARRIO CADIZ IBAGUE 2</t>
  </si>
  <si>
    <t>FO-25-1293506</t>
  </si>
  <si>
    <t xml:space="preserve">SE COMUNICA CB SRA FLOR MIRANDA ) PARA SOLICITAR QUE LE COLABOREN COLGANDO EL AVISO EXTERIOR YA QUE SE LE CAYO
03/08/2025 POR HORARIO DE ATENCIÓN COMERCIO ABRE EL LUNES A PARTIR DE LAS 8AM
04/08/2025 SE INSTALA AVISO  EXTERIOR  EL CB YA CONTABA CON AVISO EXTERIOR  </t>
  </si>
  <si>
    <t>BARRIO MANZANARES NEIVA 2</t>
  </si>
  <si>
    <t>FO-25-1321599</t>
  </si>
  <si>
    <t>LEIDY 75076 SE COMUNICA PARA SOLICITAR AVISO EXTERIOR YA QUE SE CAYÓ Y SE DAÑO. GRACIAS
0
04/08/2025 SE REALIZA VISITA AL PUNTO, SE IMPLEMENTA AVISO EXTERIOR SEGÚN PETICIÓN USUARIO . CERRAR</t>
  </si>
  <si>
    <t>BARRIO LA CAMPINA SINCELEJO</t>
  </si>
  <si>
    <t>FO-25-1305301</t>
  </si>
  <si>
    <t xml:space="preserve"> SE COMUNICA CB SR(A) LUIS GARCIA SOLICITA EL AVISO EXTERIOR YA QUE SE CAYO Y SE PARTIO, GRACIAS
0
05/08/2025 SE VISITA COMERCIO Y SE HACE INSTALACIÓN DE AVISÓ EXTERIOR YA QUE SE CAYÓ Y SE PARTIÓ. CERRAR</t>
  </si>
  <si>
    <t>PTM BOGOTA PAPELERÍA NICOLE</t>
  </si>
  <si>
    <t>FO-25-1309889</t>
  </si>
  <si>
    <t>SE COMUNICA CB SR(A) SR ANDREA, SOLICITA AVISO EXTERIOR , YA QUE SE DESPRENDIÓ Y SE ROMPIÓ, SOLO QUEDO EL MARCO, GRACIAS RADICADO DE TPC 13839575
0
05/08/2025 SE VISITA COMERCIO POR INSTALACIÓN DE AVISO EXTERIOR POR DAÑO DEL EXISTENTE SE PROCEDE CON CAMBIO DE AVISO Y DESTRUCCIÓN DEL AVISO EXISTENTE Y SE DEJA CB OPERANDO SIN NOVEDAD  CERRAR</t>
  </si>
  <si>
    <t>BARRIO ATALAYA  I CUCUTA</t>
  </si>
  <si>
    <t>FO-25-1324440</t>
  </si>
  <si>
    <t>SE COMUNICA CB SR(A) YESENIA, SOLICITA AVISO EXTERIOR YA QUE EL QUE TENIA EL VIENTO LO TIRO AL PISO Y SE PARTIO EN 2 ACTUALMENTE EL PUNTO NO TIENE PUBLICIDAD SOLICITA UNO
0
05/08/2025 SE INSTALA AVISO EXTERIOR OK CERRAR</t>
  </si>
  <si>
    <t>BARRIO URB PIEDRA PINTADA IBAG</t>
  </si>
  <si>
    <t>FO-25-1328458</t>
  </si>
  <si>
    <t>SE COMUNICA CB SR(A)JAIRO MENDOZA PARA SOLICITAR EL AVISO EXTERIOR POR ROBO
0
05/08/2025 SE REALIZA INSTALACIÓN DE AVISO EXTERIOR POR SOLICITUD DEL CLIENTE. CERRAR</t>
  </si>
  <si>
    <t>BARRIO PARQUES DE BOLIVAR CUCUTA</t>
  </si>
  <si>
    <t>FO-25-1327336</t>
  </si>
  <si>
    <t>SE COMUNICA KATTERINE PARA SOLICITAR LE COLABOREN CON EL PAGADO DEL AVISO EXTERIOR PORQUE SE LA CAYÓ
0
05/08/2025 SE REALIZÓ VISITA AL COMERCIO Y SE REINSTALA AVISO EXTERIOR CLIENTE DESEA QUE SE INSTALE MÁS ALTO Y EN  DIAGONAL POR MOTIVO QUE LA GENTE SE HA GOLPEADO, NO DESEA QUE SE INSTALA ALFRENTE YA QUE NO SE VE.  CERRAR</t>
  </si>
  <si>
    <t>LA PINTADA</t>
  </si>
  <si>
    <t>PTM LA PINTADA DROGUERIA LA CE</t>
  </si>
  <si>
    <t>FO-25-1309885</t>
  </si>
  <si>
    <t>SE COMUNICA CB SR(A) CRISTIAN DAVID HENAO PARA SOLICITAR AVISO EXTERIOR SE ROMPIO , GRACIAS
0
05/08/2025 SE REALIZA INSTALACIÓN DE PUBLICIDAD, AVISO EXTERIOR  CERRAR</t>
  </si>
  <si>
    <t>HERNANDEZ CHAVARRIA JUAN CAMILO</t>
  </si>
  <si>
    <t>BARRIO LA FRANCIA IBAGUE 4</t>
  </si>
  <si>
    <t>FO-25-1289345</t>
  </si>
  <si>
    <t xml:space="preserve">05/08/2025 / INSTALACIÓN DE AVISO EXTERIOR NUEVO, EL QUE TENÍA SE LO ROBARON </t>
  </si>
  <si>
    <t>BARRIO VRD RINCON SANTO CAJICA</t>
  </si>
  <si>
    <t>FO-25-1333257</t>
  </si>
  <si>
    <t>05/08/2025 / DURANTE LA VISITA TECNICA SE REALIZA INSTALACIÓN DE AVISO EXTERIOR EN LUGAR INDICADO POR COMERCIO A CONFORMIDAD DE CORRESPONSAL NO SE MANIPULA EQUIPOS  SIN NOVEDAD EN INSTALACIÓN</t>
  </si>
  <si>
    <t>BARRIO 5 DE NOVIEMBRE VALLEDUPAR 1</t>
  </si>
  <si>
    <t>FO-25-1304288</t>
  </si>
  <si>
    <t>06/08/2025 / BUENOS SE VISITA SE CB Y SE ENCUENTRA NOVEDAD QUE LA PUBLICIDAD ANTERIOR SE HABIA CAÍDO Y ESTABA PARTIDA SE PROCEDE A INSTALAR UN AVISO NUEVO</t>
  </si>
  <si>
    <t>BARRIO ALFONSO LOPEZ PEREIRA</t>
  </si>
  <si>
    <t>FO-25-1333267</t>
  </si>
  <si>
    <t>06/08/2025 / SE INSTALA AVISO EXTERIOR.</t>
  </si>
  <si>
    <t>PTM ARMENIA WWW ALFANET</t>
  </si>
  <si>
    <t>FO-25-1329677</t>
  </si>
  <si>
    <t xml:space="preserve">06/08/2025 / SE VISITA COMERCIO SE REALIZÓ INSTALACION DE AVISÓ EXTERIOR NUEVO. </t>
  </si>
  <si>
    <t>BARRIO CUBA PEREIRA 3</t>
  </si>
  <si>
    <t>FO-25-1327268</t>
  </si>
  <si>
    <t xml:space="preserve">06/08/2025 / VISITAMOS COMERCIO NO INSTALAMOS AVISO EXTERIOR SOLO LO PEGAMOS BIEN Y AJUSTAMOS LAS BISAGRAS QUÉ TRAE EL MARCO PARA QUE NO SE ABRA Y NO SE SUELTE EL LETRERO. </t>
  </si>
  <si>
    <t>BARRIO LAS DELICIAS VALLEDUPAR</t>
  </si>
  <si>
    <t>FO-25-1307993</t>
  </si>
  <si>
    <t xml:space="preserve">06/08/2025 / BUENAS TARDES SE VISITA CB Y SE EVIDENCIA QUE EL AVISO EXTERIOR NO SE ENCUENTRA. SE PROCEDE A INSTALAR UNO NUEVO </t>
  </si>
  <si>
    <t>BARRIO CAMPOS VALDES MEDELLIN</t>
  </si>
  <si>
    <t>FO-25-1313555</t>
  </si>
  <si>
    <t xml:space="preserve">08/08/2025 / SE INSTALA AVISO EXTERIOR </t>
  </si>
  <si>
    <t>BARRIO LA PRIMAVERA CALI  1</t>
  </si>
  <si>
    <t>FO-25-1341482</t>
  </si>
  <si>
    <t xml:space="preserve">08/08/2025 / SE INSTALA AVISO EXTERIOR YA QUE EL DEL CLIENTE FUE HURTADO </t>
  </si>
  <si>
    <t>BARRIO CENTRO ACACIAS META 7</t>
  </si>
  <si>
    <t>FO-25-1341025</t>
  </si>
  <si>
    <t xml:space="preserve">08/08/2025 / SE INSTALA AVISO EXTERIOR OK </t>
  </si>
  <si>
    <t>BARRIO CENTRO CALI 42</t>
  </si>
  <si>
    <t>FO-25-1350763</t>
  </si>
  <si>
    <t>09/08/2025 / SE REALIZA INSTALACIÓN DE AVISO EXTERIOR EN EL CB. / 09/08/2025 SE HABLA CON EL CB HE INDICA QUE AÚN NO HAY NADIE EN WITIO, QUE LLEGAN TIPO 10.</t>
  </si>
  <si>
    <t>ZARZAL</t>
  </si>
  <si>
    <t>BARRIO CENTRO ZARZAL 6</t>
  </si>
  <si>
    <t>FO-25-1348180</t>
  </si>
  <si>
    <t>09/08/2025 / SE INSTALA AVISO EXTERIOR.</t>
  </si>
  <si>
    <t>BARRIO LA ROSITA 2 VILLAVICENC</t>
  </si>
  <si>
    <t>FO-25-1316181</t>
  </si>
  <si>
    <t xml:space="preserve">11/08/2025 / SE INSTALA AVISO EXTERIOR OK SIN NOVEDADES </t>
  </si>
  <si>
    <t>BARRIO ANTONIO PINILLA VILLAVICENCIO 1</t>
  </si>
  <si>
    <t>FO-25-1326214</t>
  </si>
  <si>
    <t>PTM MEDELLIN NEGOCIO 360</t>
  </si>
  <si>
    <t>FO-25-1330477</t>
  </si>
  <si>
    <t xml:space="preserve">11/08/2025 / SE REALIZA INSTALACIÓN DE AVISO EXTERIOR YA QUE EL ANTERIOR SE DAÑÓ </t>
  </si>
  <si>
    <t>FORTUL</t>
  </si>
  <si>
    <t>SECTOR FORTUL I   ARAUCA</t>
  </si>
  <si>
    <t>FO-25-1311319</t>
  </si>
  <si>
    <t>11/08/2025 / SE REALIZA INSTALACIÓN DE AVISO EXTERIOR NO SE MANIPULA TERMINAL SERVICIO OPERATIVO  / 06/08/2025 SE ESTABLECE CONTACTO TELEFÓNICO CON EL USUARIO AL NÚMERO ISAAC ROMERO 3134692170 Y SE LE INFORMA QUE NOS ENCONTRAMOS A LA ESPERA DE DISPONIBILIDAD DE VUELOS Y ORDEN PÚBLICO EN LA ZONA PARA PODER REALIZAR EL DESPLAZAMIENTO</t>
  </si>
  <si>
    <t>BARRIO POPULAR VILLAVICENCIO 3</t>
  </si>
  <si>
    <t>FO-25-1311320</t>
  </si>
  <si>
    <t>CHOACHI</t>
  </si>
  <si>
    <t>BARRIO CENTRO CHOACHI  6</t>
  </si>
  <si>
    <t>FO-25-1326217</t>
  </si>
  <si>
    <t>11/08/2025 / SE INSTALA AVISO OK</t>
  </si>
  <si>
    <t>INFANTE SIERRA MANUEL FERNANDO</t>
  </si>
  <si>
    <t>BARRIO BELLAVISTA CUCUTA 1</t>
  </si>
  <si>
    <t>FO-25-1360898</t>
  </si>
  <si>
    <t xml:space="preserve">12/08/2025 / SE INSTALA AVISO EXTERIOR OK </t>
  </si>
  <si>
    <t>BARRIO ESTACION IBAGUE  1</t>
  </si>
  <si>
    <t>FO-25-1333271</t>
  </si>
  <si>
    <t>CB CON EFECTY</t>
  </si>
  <si>
    <t>12/08/2025 / SE LLEGA AL SITIO PARA REALIZAR INSTALACIÓN DE AVISO EXTERIOR, PERO NO ES POSIBLE DEBIDO A QUE EL COMERCIO CUENTA CON EFECTY.</t>
  </si>
  <si>
    <t>BARRIO EL LAGO ACACIAS</t>
  </si>
  <si>
    <t>FO-25-1329687</t>
  </si>
  <si>
    <t xml:space="preserve">12/08/2025 / SE INSTALA AVISO EXTERIOR OK SIN NOVEDADES </t>
  </si>
  <si>
    <t>EL CARMEN DE ATRATO</t>
  </si>
  <si>
    <t>BARRIO ALTOS DE ATRATO EL CARM</t>
  </si>
  <si>
    <t>FO-25-1324338</t>
  </si>
  <si>
    <t>12/08/2025 / SE INSTALA AVISO EXTERIOR EL ANTERIOR SE CAYÓ Y SE DESTRUYÓ  / 11/08/2025 SE REALIZÓ GESTIÓN TELEFÓNICA SE HABLÓ CON LA SEÑORA MARTA NOS INDICA QUE LA CARRETERA EN EL SECTOR DEL 7 SE ENCUENTRA BLOQUEADA POR DERRUMBE AÚN NO SE SABE DÍA  DE APERTURA</t>
  </si>
  <si>
    <t>BARRIO LA LUCHA SANTA MARTA 1</t>
  </si>
  <si>
    <t>FO-25-1366803</t>
  </si>
  <si>
    <t>12/08/2025 POR FAVOR COMUNICARSE CON CB PARA CONFIRMAR SOLICITUD, UBICACION Y PROGRAMAR VISITA TECNICA | 13/08/2025 SE REALIZA INSTALACIÓN DE AVISO EXTERIOR</t>
  </si>
  <si>
    <t>BARRIO CALLEJON CUCUTA 9</t>
  </si>
  <si>
    <t>FO-25-1364784</t>
  </si>
  <si>
    <t>12/08/2025 12-08 POR FAVOR COMUNICARSE CON CB PARA CONFIRMAR SOLICITUD, UBICACION Y PROGRAMAR VISITA TECNICA | 13/08/2025 SE VISITA COMERCIO, SE INSTALA AVISO EXTERIOR EXITOSO.</t>
  </si>
  <si>
    <t>BARRIO ESPERANZA VILLAVICENCIO</t>
  </si>
  <si>
    <t>FO-25-1354487</t>
  </si>
  <si>
    <t>PETICIÓN BANCOLOMBIA</t>
  </si>
  <si>
    <t>09/08/2025 9-08 SE ESCALA AL COORDINADOR DE ZONA PARA REALIZAR VISITA | 13/08/2025 SE REALIZA VISITA AL PUNTO Y COMERCIO SE ENCUENTRA CERRADO Y SE EVIDENCIA QUE YA CUENTA CON AVISO EXTERIOR</t>
  </si>
  <si>
    <t>DISTRICOL TELEMAR ACCESORIOS 2</t>
  </si>
  <si>
    <t>FO-25-1341452</t>
  </si>
  <si>
    <t>06/08/2025 SE REALIZA CONTACTO TELEFONICO AL 3206980205 CON LA SRA SINDY QUIEN CONFIRMA DATOS HE INDICA QUE EL AVISO QUEDARA INSTALADO A UN POCO MAS DE 2 METROS DE ALTURA SE PROGRAMA VISITA TECNICA | 13/08/2025 INSTALACIÓN DE AVISO EXTERIOR OK</t>
  </si>
  <si>
    <t>BARRIO LOS SAUCES MADRID</t>
  </si>
  <si>
    <t>FO-25-1334436</t>
  </si>
  <si>
    <t>06/08/2025 POR FAVOR, COMUNICARSE CON USUARIO PARA CONFIRMAR UBICACION, SOLICITUD Y PROGRAMAR VISITA TECNICA | 13/08/2025 DURANTE LA VISITA TECNICA PARA REALIZAR L INSTALACIÓN DE AVISO EXTERIOR NO ES POSIBLE PORQUE COMERCIO YA CUENTA CON AVISO EXTERIOR DE CARA NEGRA EN BUEN ESTADO PERFECTAS CONDICIONES DE DEJA EVIDENCIA FOTOGRÁFICA, ADICIONAL CUENTA CON UN AVISO INSTALADO DE CARA AMARILLA SE DEJA EVIDENCIA FOTOGRÁFICA EL CUAL NO PERMITE EL RETIRO DEL MISMO, COMERCIO INFORMA NO FIRMAR QUEDA MOLESTO POR NO REALIZAR LA INSTALACIÓN DEL AVISO ADIONAL NO SUMINISTRADA DATOS. LA PUBLICIDAD SE RETORNA A BODEGA</t>
  </si>
  <si>
    <t>MATERIALES EMO    IBAGUE</t>
  </si>
  <si>
    <t>FO-25-1334889</t>
  </si>
  <si>
    <t>06/08/2025 POR FAVOR, COMUNICARSE CON USUARIO PARA CONFIRMAR UBICACION, SOLICITUD Y PROGRAMAR VISITA TECNICA | 13/08/2025 INSTALACIÓN DE AVISO EXTERIOR. INFORMA QUE LE ROBARON EL ANTERIOR AVISO</t>
  </si>
  <si>
    <t>BARRIO LA PAZ FLORIDABLANCA 4</t>
  </si>
  <si>
    <t>FO-25-1373038</t>
  </si>
  <si>
    <t>13/08/2025 POR FAVOR COMUNICARSE CON CB PARA CONFIRMAR SOLICITUD, UBICACION Y PROGRAMAR VISITA TECNICA | 14/08/2025 SE VISITA COMERCIO SE INSTALA AVISO EXTERIOR DONDE CLIENTE INDICA</t>
  </si>
  <si>
    <t>BARRIO CENTRO DUITAMA 10</t>
  </si>
  <si>
    <t>FO-25-1367166</t>
  </si>
  <si>
    <t>14/08/2025 SE REALIZA INSTALACIÓN AVISO EXTERIOR 1.50 METROS NUEVO POR RUPTURA CLIENTE CONFORME</t>
  </si>
  <si>
    <t>BARRIO CENTRO VILLAVICENCIO 13</t>
  </si>
  <si>
    <t>FO-25-1367127</t>
  </si>
  <si>
    <t>12/08/2025 POR FAVOR COMUNICARSE CON CB PARA CONFIRMAR SOLICITUD, UBICACION Y PROGRAMAR VISITA TECNICA | 14/08/2025 SE INSTALA PUBLICIDAD OK SIN NOVEDADES</t>
  </si>
  <si>
    <t>BARRIO VEREDA CRISTALINAS PUER</t>
  </si>
  <si>
    <t>FO-25-1313660</t>
  </si>
  <si>
    <t>31/07/2025 SE INTENTA COMUNICACION CON USUARIO. NO RESPONDE. POR FAVOR, COMUNICARSE CON USUARIO PARA CONFIRMAR UBICACION, SOLICITUD Y PROGRAMAR VISITA TECNICA | 31/07/2025 SE INTENTA COMUNICACION CON USUARIO. NO RESPONDE. POR FAVOR, COMUNICARSE CON USUARIO PARA CONFIRMAR UBICACION, SOLICITUD Y PROGRAMAR VISITA TECNICA | 31/07/2025 SE INTENTA COMUNICACION CON USUARIO. NO RESPONDE. POR FAVOR, COMUNICARSE CON USUARIO PARA CONFIRMAR UBICACION, SOLICITUD Y PROGRAMAR VISITA TECNICA | 15/08/2025 SE REALIZA INSTALACIÓN DE AVISO EXTERIOR POR SOLICITUD DEL COMERCIO</t>
  </si>
  <si>
    <t>BARRIO CAROLITA MANIZALES</t>
  </si>
  <si>
    <t>FO-25-1372399</t>
  </si>
  <si>
    <t>13/08/2025 POR FAVOR COMUNICARSE CON CB PARA CONFIRMAR SOLICITUD, UBICACION Y PROGRAMAR VISITA TECNICA | 15/08/2025 SE REALIZA INSTALACIÓN DE AVISO EXTERIOR YA QUE EL ANTERIOR SE CAYO Y SE QUEBRÓ</t>
  </si>
  <si>
    <t>DISTRICOL CELUMAX LTE</t>
  </si>
  <si>
    <t>FO-25-1360893</t>
  </si>
  <si>
    <t>11/08/2025 POR FAVOR COMUNICARSE CON CB PARA CONFIRMAR SOLICITUD, UBICACION Y PROGRAMAR VISITA TECNICA | 15/08/2025 SE INSTALA AVISO EXTERIOR OK</t>
  </si>
  <si>
    <t>COMCARD MED PELUQUERO PICACHO</t>
  </si>
  <si>
    <t>FO-25-1364318</t>
  </si>
  <si>
    <t>12/08/2025 12-08 POR FAVOR COMUNICARSE CON CB PARA CONFIRMAR SOLICITUD, UBICACION Y PROGRAMAR VISITA TECNICA | 15/08/2025 SE INSTALA AVISO EXTERIOR OK</t>
  </si>
  <si>
    <t>BARRIO MARCO FIDEL SUAREZ BOGOTA 4</t>
  </si>
  <si>
    <t>FO-25-1371503</t>
  </si>
  <si>
    <t>13/08/2025 13-08 POR FAVOR COMUNICARSE CON CB PARA CONFIRMAR SOLICITUD, UBICACION Y PROGRAMAR VISITA TECNICA | 15/08/2025 INSTALACIÓN DE AVISO EXTERIOR ROBADO</t>
  </si>
  <si>
    <t>BARRIO BOCHICA CENTRAL BOGOTA</t>
  </si>
  <si>
    <t>FO-25-1380054</t>
  </si>
  <si>
    <t>15/08/2025 POR FAVOR, COMUNICARSE CON USUARIO PARA CONFIRMAR UBICACION, SOLICITUD Y PROGRAMAR VISITA TECNICA | 16/08/2025 INSTALACIÓN DE AVISO EXTERIOR ROBADO</t>
  </si>
  <si>
    <t>BARRIO SUBA RINCON BOGOTA 16</t>
  </si>
  <si>
    <t>FO-25-1380058</t>
  </si>
  <si>
    <t>15/08/2025 POR FAVOR, COMUNICARSE CON USUARIO PARA CONFIRMAR UBICACION, SOLICITUD Y PROGRAMAR VISITA TECNICA | 16/08/2025 SE VISITA COMERCIO, SE INSTALA AVISO EXTERIOR SOLICITADO, NO SE MANIPULAN EQUIPOS.</t>
  </si>
  <si>
    <t>BARRIO OBRERO CALI 4</t>
  </si>
  <si>
    <t>FO-25-1381040</t>
  </si>
  <si>
    <t>15/08/2025 POR FAVOR, COMUNICARSE CON USUARIO PARA CONFIRMAR UBICACION, SOLICITUD Y PROGRAMAR VISITA TECNICA | 19/08/2025 SE INSTALA AVISO EXTERIOR YA QUE EL DEL CLIENTE ESTABA PARTIDA</t>
  </si>
  <si>
    <t>BARRIO CASTILLA MEDELLIN 8</t>
  </si>
  <si>
    <t>FO-25-1372793</t>
  </si>
  <si>
    <t>13/08/2025 POR FAVOR COMUNICARSE CON CB PARA CONFIRMAR SOLICITUD, UBICACION Y PROGRAMAR VISITA TECNICA | 19/08/2025 SE REALIZA INSTALACIÓN DEL AVISO EXTERIOR EXITOSAMENTE OK</t>
  </si>
  <si>
    <t>PTM MEDELLIN SERVICIO ELECTRIC</t>
  </si>
  <si>
    <t>FO-25-1383949</t>
  </si>
  <si>
    <t>16/08/2025 POR FAVOR, COMUNICARSE CON USUARIO PARA CONFIRMAR UBICACION, SOLICITUD Y PROGRAMAR VISITA TECNICA | 19/08/2025 SE INSTALA AVISO EXTERIOR</t>
  </si>
  <si>
    <t>BARRIO PASTRANITA BOGOTA 1</t>
  </si>
  <si>
    <t>FO-25-1388004</t>
  </si>
  <si>
    <t>18/08/2025 POR FAVOR, COMUNICARSE CON USUARIO PARA CONFIRMAR UBICACION, SOLICITUD Y PROGRAMAR VISITA TECNICA | 19/08/2025 INSTALACIÓN DE AVISO EXTERIOR OK NO SE MANIPULAN EQUIPOS</t>
  </si>
  <si>
    <t>BARRIO NUEVA ESPERANZA MONTERI</t>
  </si>
  <si>
    <t>FO-25-1379612</t>
  </si>
  <si>
    <t>15/08/2025 POR FAVOR, COMUNICARSE CON USUARIO PARA CONFIRMAR UBICACION, SOLICITUD Y PROGRAMAR VISITA TECNICA | 19/08/2025 SE REALIZA VISITA TÉCNICA PARA INSTALACIÓN DE AVISO EXTERIOR, YA EL AVISO ANTERIOR FUE URTADO, SE INSTALA NUEVO AVISO SIN NOVEDAD</t>
  </si>
  <si>
    <t>DISTRICOL FOTO ESTUDIO TRUMAN</t>
  </si>
  <si>
    <t>FO-25-1396582</t>
  </si>
  <si>
    <t>SOLICITUD_CANCELADA</t>
  </si>
  <si>
    <t>CANCELADO POR LA ENTIDAD</t>
  </si>
  <si>
    <t>20/08/2025 SE REALIZO CONTACTO TELEFÓNICO CON LA SRA NUBIA AL 3017199292 QUIEN NOS INDICA QUE LA CASA LA DIVIDIERON EN 3 LOCALES Y ELLA QUEDO EN EL LOCAL CON NOMENCLATURA 8-48 SIENDO ENTONCES LA DIRECCIÓN CALLE 29 8-48 RESPUESTA DE LA RED: POR FAVOR, PROCEDAMOS CON LA CANCELACIÓN DE LA INSTALACIÓN DEBIDO A QUE LA DIRECCIÓN REGISTRADA ES INCORRECTA. ES NECESARIO INFORMAR AL COMERCIO QUE DEBE ACTUALIZAR LA DIRECCIÓN ANTE LA ENTIDAD. UNA VEZ SE HAYA REALIZADO ESTA ACTUALIZACIÓN, PODRÁ VOLVER A SOLICITAR LA PUBLICIDAD SE LE DA INFORMACION A CLIENTE Y SE CIERRA ORDEN</t>
  </si>
  <si>
    <t>SOPORTE_TELEFÓNICO</t>
  </si>
  <si>
    <t>SALAZAR AGUDELO JHONATAN STIVEN</t>
  </si>
  <si>
    <t>BARRIO VERGEL FUSAGASUGA 1</t>
  </si>
  <si>
    <t>FO-25-1380639</t>
  </si>
  <si>
    <t>15/08/2025 POR FAVOR, COMUNICARSE CON USUARIO PARA CONFIRMAR UBICACION, SOLICITUD Y PROGRAMAR VISITA TECNICA | 20/08/2025 SE REALIZA VISITA DE CAMPO DONDE SE INSTALA AVISO EXTERIOR DE ACUERDO A INDICACIONES DEL CLIENTE</t>
  </si>
  <si>
    <t>DISTRICOL DISTRIBUCIONES JSOIS</t>
  </si>
  <si>
    <t>FO-25-1392102</t>
  </si>
  <si>
    <t>19/08/2025 SE REALIZA CONTACTO TELEFONICO AL 3133474742 CON LA SRA YURANI QUIEN CONFIRMA QUE EL AVISO SE CAYO Y SE PARTIO INDICA ESTA INSTALADO A UNOS 3 METROS DE ALTURA VALIDA DATOS Y SE PROGRAMA VISITA TECNICA | 20/08/2025 SE INSTALA AVISO EXTERIOR</t>
  </si>
  <si>
    <t>LA DORADA</t>
  </si>
  <si>
    <t>BARRIO EL CENTRO LA DORADA</t>
  </si>
  <si>
    <t>FO-25-1393632</t>
  </si>
  <si>
    <t>19/08/2025 SE INTENTA CONTACTO TELEFONICO CON EL CB AL 3177341990 EN REPETIDAS OCASIONES SIN RESPUESTA SE PROGRAMA VISITA TECNICA POR FAVOR COMUNICARSE CON CB ANTES DE DESPLAZARSE PARA VALIDAR SOLICITUD Y DATOS | 20/08/2025 INSTALACIÓN DE AVISO EXTERIOR "CLIENTE INFORMA QUE EL ANTERIOR SE LE PARTIÓ"</t>
  </si>
  <si>
    <t>PTM  SAN JUAN NEPOMUCENO  LUBR</t>
  </si>
  <si>
    <t>FO-25-1371928</t>
  </si>
  <si>
    <t>13/08/2025 POR FAVOR COMUNICARSE CON CB PARA CONFIRMAR SOLICITUD, UBICACION Y PROGRAMAR VISITA TECNICA | 21/08/2025 SE REALIZA INSTALACIÓN DE AVISO EXTERIOR POR DAÑO DEL ANTERIOR QUEDA TODO OK</t>
  </si>
  <si>
    <t>BARRIO MACARENA PARTE BAJA IBAGUE</t>
  </si>
  <si>
    <t>FO-25-1407572</t>
  </si>
  <si>
    <t>22/08/2025 SE INTENTA CONTACTO TELEFONICO CON EL CB AL 3204162165 SIN RESPUESTA SE ESCALA PARA VISITA TECNICA LLAMAR ANTES DE DESPLAZARSE PARA VALIDAR SOLICITUD Y DATOS | 22/08/2025 SE INSTALA AVISO EXTERIOR PORQUE EL ANTERIOR SE LO ROBARON.</t>
  </si>
  <si>
    <t>VARGAS HERRERA JHON JAIRO</t>
  </si>
  <si>
    <t>PTM TULUA COMERCIALIZADORA DM</t>
  </si>
  <si>
    <t>FO-25-1403875</t>
  </si>
  <si>
    <t>21/08/2025 SE REALIZA CONTACTO TELEFONICO CON LA SRA ELIANA AL 3126325959 INDICA QUE SE ROBARON EL MARCO DEL AVISO Y EN EL ROBO PARTIERON TODO EL AVISO VALIDA DATOS HE INDICA QUE ESTABA APROXIMADAMENTE A 2 METROS SE PROGRAMA VISITA TECNICA | 22/08/2025 SE REALIZA INSTALACIÓN DE AVISO EXTERIOR SIN NOVEDAD.</t>
  </si>
  <si>
    <t>BARRIO AY MI LLANURA VILLAVICE</t>
  </si>
  <si>
    <t>FO-25-1394997</t>
  </si>
  <si>
    <t>20/08/2025 POR FAVOR, COMUNICARSE CON USUARIO PARA CONFIRMAR UBICACION, SOLICITUD Y PROGRAMAR VISITA TECNICA | 22/08/2025 SE REALIZA INSTALACIÓN DE AVISO EXTERIOR POR SOLICITUD DEL COMERCIO</t>
  </si>
  <si>
    <t>BARRIO LA CASTELLANA IBAGUE</t>
  </si>
  <si>
    <t>FO-25-1408584</t>
  </si>
  <si>
    <t>22/08/2025 SE INTENTA CONTACTO CON EL CB AL 3194615487 SIN RESPUESTA SE ESCALA PARA VISITE TECNICA FAVOR LLAMAR PARA CONFIRMAR SOLICITUD Y DATOS | 23/08/2025 SE REALIZAINSTALACIÓN DE AVISO EXTERIOR EL CLIENTE INFORMA QUE EL ANTERIOR SE LO ROBARON</t>
  </si>
  <si>
    <t>BARRIO CENTRO MANIZALES 15</t>
  </si>
  <si>
    <t>FO-25-1404734</t>
  </si>
  <si>
    <t>21/08/2025 POR FAVOR, COMUNICARSE CON USUARIO PARA CONFIRMAR UBICACION, SOLICITUD Y PROGRAMAR VISITA TECNICA | 23/08/2025 SE REALIZA INSTALACIÓN DE AVISO EXTERIOR YA QUE EL ANTERIOR SE LE CAYO Y QUEBRO, NO SE MANIPULAN EQUIPOS</t>
  </si>
  <si>
    <t>ENVIGADO</t>
  </si>
  <si>
    <t>DISTRICOL EL MINI DE ANNY</t>
  </si>
  <si>
    <t>FO-25-1395721</t>
  </si>
  <si>
    <t>20/08/2025 SE INTENTA CONTACTO TELEFONICO CON EL CB AL 3147981967 EN REPETIDAS OCASIONES SIN RESPUESTA SE ESCALA PARA VISITA FAVOR LLAMAR PARA CONFIRMAR DATOS Y SOLICITUD ANTES DE DESPLAZARSE | 23/08/2025 SE INSTALA AVISO EXTERIOR</t>
  </si>
  <si>
    <t>ITAGUI</t>
  </si>
  <si>
    <t>BARRIO SANTA MARIA ITAGUI 5</t>
  </si>
  <si>
    <t>FO-25-1407637</t>
  </si>
  <si>
    <t>22/08/2025 SE REALIZA CONTACTO TELEFONICO CON EL SR JHON AL 3127769558 INDICA QUE EN LA NOCHE SE LE ROBARON EL AVISO EXTERIOR VALIDA DATOS  HE INDICA QUE ESTABA INSTALADO APROXIMADAMENTE A 2 METROS SE ESCALA PARA VISITA TECNICA | 23/08/2025 SE INSTALA AVISO EXTERIOR</t>
  </si>
  <si>
    <t>BARRIO ALAMOS BOGOTA 10</t>
  </si>
  <si>
    <t>FO-25-1391085</t>
  </si>
  <si>
    <t>19/08/2025 SE REALIZA CONTACTO TELEFONICO CON LA SRA JOHANA CANO AL 3202273501 INDICA QUE SE LE REBARON EL AVISO QUE ESTABA A MAS DE 2 METROS DE ALTURA SE VALIDAN DATOS Y SE ESCALA PARA VISITA TECNICA | 23/08/2025 SE REALIZA INSTALACIÓN DE AVISO EXTERIOR SIN MARCO A SOLICITUD DEL REPRESENTANTE DEL COMERCIO.</t>
  </si>
  <si>
    <t>BARRIO HACARITAMA VILLAVICENCI</t>
  </si>
  <si>
    <t>FO-25-1403328</t>
  </si>
  <si>
    <t>21/08/2025 SE REALIZA CONTACTO TELEFONICO CON LA SRA SRA CARMENZA AL 3222251170 CONFIRMA SOLICITUD YA QUE AVISO SE DAÑO Y VALIDA DATOS SE PROGRAMA VISITA TECNICA | 23/08/2025 SE INSTALA AVISO EXTERIOR</t>
  </si>
  <si>
    <t>BARRIO BARBOSA BARBOSA 3</t>
  </si>
  <si>
    <t>FO-25-1405472</t>
  </si>
  <si>
    <t>21/08/2025 POR FAVOR, COMUNICARSE CON USUARIO PARA CONFIRMAR UBICACION, SOLICITUD Y PROGRAMAR VISITA TECNICA | 23/08/2025 SE INSTALA AVISO EXTERIOR A PETICIÓN DEL USUARIO YA QUE EL QUE TENÍAN ESTABA PARTIDO</t>
  </si>
  <si>
    <t>BARRIO ESTERO VILLAVICENCIO 15</t>
  </si>
  <si>
    <t>FO-25-1408112</t>
  </si>
  <si>
    <t>22/08/2025 SE INTENTA CONTACTO CON EL CB AL 3102652689 SIN RESPUESTA SE ESCALA PARA VISITA FAVOR LLAMAR PARA CONFIRMAR SOLICITUD Y DATOS | 23/08/2025 SE INSTALA AVISO EXTERIOR</t>
  </si>
  <si>
    <t>BARRIO VILLA ORTIZ VILLAVICENC</t>
  </si>
  <si>
    <t>FO-25-1408582</t>
  </si>
  <si>
    <t>22/08/2025 SE REALIZA CONTACTO CON LA SRA JULY ANDREA AL 3232802711 INDICA QUE SE LE ROBARON EL AVISO SE VALIDA DATOS Y SE PROGRAMA PARA VISITA TECNICA | 23/08/2025 SE INSTALA AVISO EXTERIOR</t>
  </si>
  <si>
    <t>BARRIO KENNEDY SINCELEJO</t>
  </si>
  <si>
    <t>FO-25-1410228</t>
  </si>
  <si>
    <t>22/08/2025 POR FAVOR, COMUNICARSE CON USUARIO PARA CONFIRMAR UBICACION, SOLICITUD Y PROGRAMAR VISITA TECNICA | 23/08/2025 SE VISITA COMERCIO Y SE HACE INSTALACIÓN DE AVISÓ EXTERIOR YA QUE SE CAYÓ Y SE PARTIÓ.</t>
  </si>
  <si>
    <t>LEBRIJA</t>
  </si>
  <si>
    <t>PTM LEBRIJA AGUADA</t>
  </si>
  <si>
    <t>FO-25-1413734</t>
  </si>
  <si>
    <t>23/08/2025 POR FAVOR, COMUNICARSE CON USUARIO PARA CONFIRMAR UBICACION, SOLICITUD Y PROGRAMAR VISITA TECNICA | 25/08/2025 SE INSTALA AVISO EXTERIOR</t>
  </si>
  <si>
    <t>BARRIO MANRIQUE GUADALUPE MEDE</t>
  </si>
  <si>
    <t>FO-25-1408861</t>
  </si>
  <si>
    <t>22/08/2025 SE INTENTA CONTACTO CON EL CB AL 3147496834  SIN RESPUESTA SE ESCALA PARA VISITA FAVOR LLAMAR Y VALIDAR SOLICITUD Y DATOS ANTES DE DESPLAZARSE | 25/08/2025 SE EJECUTA EXITOSAMENTE LA INSTALACIÓN DEL AVISO EXTERIOR CORRESPONDIENTE AL PUNTO DE ATENCIÓN BANCOLOMBIA. EL PROCESO SE LLEVÓ A CABO CONFORME A LOS LINEAMIENTOS TÉCNICOS ESTABLECIDOS, GARANTIZANDO VISIBILIDAD ÓPTIMA, CORRECTA FIJACIÓN ESTRUCTURAL Y ALINEACIÓN CON LA IDENTIDAD VISUAL DE LA MARCA. EL AVISO QUEDA PLENAMENTE OPERATIVO Y EN CONDICIONES ADECUADAS PARA SU EXPOSICIÓN AL PÚBLICO.</t>
  </si>
  <si>
    <t>SARAVENA</t>
  </si>
  <si>
    <t>BARRIO SARAVENA SARAVENA</t>
  </si>
  <si>
    <t>FO-25-1398931</t>
  </si>
  <si>
    <t>20/08/2025 SE INTENTA CONTACTO TELEFONICO CON EL CB AL 3134366738 EN REPETIDAS OCASIONES SIN RESPUESTA SE ESCALA PARA VISITA TECNICA POR FAVOR LLAMAR AL CB ANTES DE DESPLAZARSE PARA VALIDAR SOLICITUD Y DATOS | 25/08/2025 SE REALIZA INSTALACIÓN DE AVISO EXTERIOR NO SE MANIPULA TERMINAL</t>
  </si>
  <si>
    <t>DISTRICOL ASECONTRY</t>
  </si>
  <si>
    <t>FO-25-1393631</t>
  </si>
  <si>
    <t>19/08/2025 SE REALIZA CONTACTO TELEFONICO AL 3205936250 EVELIN QUIEN CONFIRMA QUE EL AVISO SE DAÑO CONFIRMA DATOS Y QUE EL AVISO QUEDA INSTALADO A APROXIMADAMENTE 2 METROS DE ALTURA SE PROGRAMA VISITA TECNICA | 25/08/2025 SE REALIZÓ INSTALACIÓN DE AVISO EXTERIOR OK.</t>
  </si>
  <si>
    <t>PTM PIEDECUESTA CYBER ANDRES</t>
  </si>
  <si>
    <t>FO-25-1411252</t>
  </si>
  <si>
    <t>22/08/2025 POR FAVOR, COMUNICARSE CON USUARIO PARA CONFIRMAR UBICACION, SOLICITUD Y PROGRAMAR VISITA TECNICA | 23/08/2025 SE TRATA DE HACER CONTACTO TELEFÓNICO CON LA SRA ERIKA ADARME AL NUMERO DE CONTACTO 3187733300 NO SE LOGRO COMUNICACIÓN SE LLAMO EN REPETUDAS OCASIONES | 25/08/2025 SE REALIZA INSTALACIÓN DE AVISO EXTERIOR A GUSTO DEL CLIENTE</t>
  </si>
  <si>
    <t>DISTRICOL CORRESPONSAL LA 27</t>
  </si>
  <si>
    <t>FO-25-1418802</t>
  </si>
  <si>
    <t>25/08/2025 POR FAVOR, COMUNICARSE CON USUARIO PARA CONFIRMAR UBICACION, SOLICITUD Y PROGRAMAR VISITA TECNICA | 25/08/2025 SE REALIZA INSTALACIÓN DE AVISO EXTERIOR POR HURTO, SE INSTALA DONDE INDICA EL CLIENTE.</t>
  </si>
  <si>
    <t>BARRIO CENTRO FORTUL 2</t>
  </si>
  <si>
    <t>FO-25-1397125</t>
  </si>
  <si>
    <t>26/08/2025 SE REALIZA INSTALACIÓN DE AVISO EXTERIOR NO SE MANIPULA TERMINAL</t>
  </si>
  <si>
    <t>BARRIO CENTRO CALI</t>
  </si>
  <si>
    <t>FO-25-1420326</t>
  </si>
  <si>
    <t>25/08/2025 POR FAVOR, COMUNICARSE CON USUARIO PARA CONFIRMAR UBICACION, SOLICITUD Y PROGRAMAR VISITA TECNICA | 26/08/2025 SE REALIZA INSTALACIÓN DE AVISO EXTERIOR SIN NOVEDAD.</t>
  </si>
  <si>
    <t>DURANIA</t>
  </si>
  <si>
    <t>BARRIO CENTRO DURANIA CUCUTA</t>
  </si>
  <si>
    <t>FO-25-1420331</t>
  </si>
  <si>
    <t>26/08/2025 SE INSTALA AVISO EXTERIOR OK</t>
  </si>
  <si>
    <t>BARRIO FERIAS BOGOTA 4</t>
  </si>
  <si>
    <t>FO-25-1420332</t>
  </si>
  <si>
    <t>26/08/2025 SE ENTREGA AVISO EXTERIOR Y SE REALIZA INSTALACIÓN SIN NOVEDAD</t>
  </si>
  <si>
    <t>BARRIO VILLA BACHUE TUNJA</t>
  </si>
  <si>
    <t>FO-25-1425900</t>
  </si>
  <si>
    <t>26/08/2025 POR FAVOR, COMUNICARSE CON USUARIO PARA CONFIRMAR UBICACION, SOLICITUD Y PROGRAMAR VISITA TECNICA | 27/08/2025 SE REALIZA INSTALACIÓN AVISO EXTERIOR</t>
  </si>
  <si>
    <t>BARRIO SALADO IBAGUE 2</t>
  </si>
  <si>
    <t>FO-25-1431568</t>
  </si>
  <si>
    <t>27/08/2025 POR FAVOR, COMUNICARSE CON USUARIO PARA CONFIRMAR UBICACION, SOLICITUD Y PROGRAMAR VISITA TECNICA | 27/08/2025 INSTALACIÓN DE AVISO EXTERIOR "EL ANTERIOR SE LO ROBARON"</t>
  </si>
  <si>
    <t>BARRIO MUTUALIDAD BUCARAMANGA 1</t>
  </si>
  <si>
    <t>FO-25-1431569</t>
  </si>
  <si>
    <t>27/08/2025 POR FAVOR, COMUNICARSE CON USUARIO PARA CONFIRMAR UBICACION, SOLICITUD Y PROGRAMAR VISITA TECNICA | 27/08/2025 SE REALIZA VISITA AL COMERCIO SE REUBICA AVISO EXTERIOR DEBIDO A QUE TRATARON DE ROBARLO</t>
  </si>
  <si>
    <t>BARRIO BRISAS DE SEVILLA SOLED</t>
  </si>
  <si>
    <t>FO-25-1428204</t>
  </si>
  <si>
    <t>27/08/2025 SE REALIZA VISITA SE PROCEDE A INSTALAR AVISO EXTERIOR,YA QUE EL QUE TENÍA EL CLIENTE SE CAYÓ Y SE PARTIÓ EN DOS MITADES</t>
  </si>
  <si>
    <t>FO-25-1430317</t>
  </si>
  <si>
    <t>DIRECCION ERRADA</t>
  </si>
  <si>
    <t>26/08/2025 POR FAVOR, COMUNICARSE CON USUARIO PARA CONFIRMAR UBICACION, SOLICITUD Y PROGRAMAR VISITA TECNICA | 27/08/2025 SE REALIZA VISITA U COMERCIO NO EXISTE EN DIRECCIÓN ESTABLECIDA</t>
  </si>
  <si>
    <t>BARRIO PRIMAVERA VILLAVICENCIO</t>
  </si>
  <si>
    <t>FO-25-1436379</t>
  </si>
  <si>
    <t>27/08/2025 POR FAVOR, COMUNICARSE CON USUARIO PARA CONFIRMAR UBICACION, SOLICITUD Y PROGRAMAR VISITA TECNICA | 28/08/2025 SE REALIZA VISITA A CB PARA INSTALACIÓN DE AVISO EXTERIOR, INSTALADO SIN NOVEDAD TODO OK</t>
  </si>
  <si>
    <t>MOLINA CASTRO JAVIER ALBERTO</t>
  </si>
  <si>
    <t>BARRIO RELIQUIA VILLAVICENCIO</t>
  </si>
  <si>
    <t>FO-25-1436378</t>
  </si>
  <si>
    <t>27/08/2025 POR FAVOR, COMUNICARSE CON USUARIO PARA CONFIRMAR UBICACION, SOLICITUD Y PROGRAMAR VISITA TECNICA | 28/08/2025 SE INSTALA AVISO EXTERIOR OK SIN NOVEDAD</t>
  </si>
  <si>
    <t>BARRIO OLIMPICO VILLACENCIO</t>
  </si>
  <si>
    <t>FO-25-1434632</t>
  </si>
  <si>
    <t>27/08/2025 POR FAVOR, COMUNICARSE CON USUARIO PARA CONFIRMAR UBICACION, SOLICITUD Y PROGRAMAR VISITA TECNICA | 28/08/2025 SE INSTALA AVISO EXTERIOR OK SIN NOVEDADES</t>
  </si>
  <si>
    <t>BARRIO CUBIS ISTMINA 4</t>
  </si>
  <si>
    <t>FO-25-1413556</t>
  </si>
  <si>
    <t>23/08/2025 SE REALIZA CONTACTO CON LA SRA MARINA AL 3204771643 INDICA QUE EL AVISO SE DAÑO VALIDA DATOS SE ESCALA PARA VISITA TECNICA INFORMA QUE EL AVISO ESTA INSTALADO A 1 METRO APROXIMADO DE ALTURA | 28/08/2025 SE REALIZA INSTALACION DE AVISO EXTERIOR, EL PUNTO NO TIENE ESPACIO DISPONIBLE EN FACHADA Y SE PEGA EN DONDE EL CLIENTE NOS INDICA</t>
  </si>
  <si>
    <t>BARRIO PALERMO ACACIAS</t>
  </si>
  <si>
    <t>FO-25-1436375</t>
  </si>
  <si>
    <t>27/08/2025 POR FAVOR, COMUNICARSE CON USUARIO PARA CONFIRMAR UBICACION, SOLICITUD Y PROGRAMAR VISITA TECNICA | 28/08/2025 SE REALIZA INSTALACIÓN DE AVISO EXTERIOR POR DETERIORO</t>
  </si>
  <si>
    <t>BARRIO CONCAJA ACACIAS</t>
  </si>
  <si>
    <t>FO-25-1434032</t>
  </si>
  <si>
    <t>27/08/2025 POR FAVOR, COMUNICARSE CON USUARIO PARA CONFIRMAR UBICACION, SOLICITUD Y PROGRAMAR VISITA TECNICA | 28/08/2025 SE REALIZA VISITA TECNICA SE EVIDENCIA QUE EL COMERCIO CUENTA CON AVISO POR LO TANTO NO SE INSTALA</t>
  </si>
  <si>
    <t>COMCARD MEDELLIN JUBILEO</t>
  </si>
  <si>
    <t>FO-25-1434033</t>
  </si>
  <si>
    <t>27/08/2025 POR FAVOR, COMUNICARSE CON USUARIO PARA CONFIRMAR UBICACION, SOLICITUD Y PROGRAMAR VISITA TECNICA | 28/08/2025 INSTALACIÓN DE AVISO EXTERIOR OK</t>
  </si>
  <si>
    <t>DISTRICOL PA EL SANTISIMO</t>
  </si>
  <si>
    <t>FO-25-1436384 | FO-25-1434035</t>
  </si>
  <si>
    <t>27/08/2025 POR FAVOR, COMUNICARSE CON USUARIO PARA CONFIRMAR UBICACION, SOLICITUD Y PROGRAMAR VISITA TECNICA | 27/08/2025 SE REALIZA LLAMADA TELEFÓNICA Y NO RESPONDE POR LO TANTO SE VISITA COMERCIO, AL LLEGAR SE ENCUENTRA CERRADO SE TOMA EVIDENCIA PERO NO SE ALCANZA A VER EL DAÑO DE EL AVISO QUE SE ENCUENTRA EN SITIO SE TOMA IMÁGENES
28/08/2025 INSTALACIÓN DE AVISO POR DETERIORO</t>
  </si>
  <si>
    <t>SAN ONOFRE</t>
  </si>
  <si>
    <t>DISTRICOL CAMAZUGO</t>
  </si>
  <si>
    <t>FO-25-1430032</t>
  </si>
  <si>
    <t>26/08/2025 POR FAVOR, COMUNICARSE CON USUARIO PARA CONFIRMAR UBICACION, SOLICITUD Y PROGRAMAR VISITA TECNICA | 28/08/2025 SE VISITA COMERCIO Y SE HACE INSTALACIÓN DE AVISÓ EXTERIOR YA QUE SE CAYÓ Y SE PARTIÓ.</t>
  </si>
  <si>
    <t>BARRIO BUENOS AIRES MEDELLIN 2</t>
  </si>
  <si>
    <t>FO-25-1421663</t>
  </si>
  <si>
    <t>25/08/2025 POR FAVOR, COMUNICARSE CON USUARIO PARA CONFIRMAR UBICACION, SOLICITUD Y PROGRAMAR VISITA TECNICA | 28/08/2025 INSTALACIÓN DE AVISO EXTERIOR OK</t>
  </si>
  <si>
    <t>BARRIO SANTA TERESITA MEDELLIN</t>
  </si>
  <si>
    <t>FO-25-1418809</t>
  </si>
  <si>
    <t>25/08/2025 POR FAVOR, COMUNICARSE CON USUARIO PARA CONFIRMAR UBICACION, SOLICITUD Y PROGRAMAR VISITA TECNICA | 28/08/2025 SE REALIZA INSTALACIÓN DE AVISO EXTERIOR OK</t>
  </si>
  <si>
    <t>BOSA ESTACION 3</t>
  </si>
  <si>
    <t>FO-25-1440812</t>
  </si>
  <si>
    <t>28/08/2025 POR FAVOR, COMUNICARSE CON USUARIO PARA CONFIRMAR UBICACION, SOLICITUD Y PROGRAMAR VISITA TECNICA | 29/08/2025 INSTALACIÓN DE AVISO EXTERIORES POR VANDALISMO NO SE MANIPULA TERMINAL</t>
  </si>
  <si>
    <t>BARRIO AV PANAMERICANA PASTO 1</t>
  </si>
  <si>
    <t>FO-25-1437960</t>
  </si>
  <si>
    <t>28/08/2025 POR FAVOR, COMUNICARSE CON USUARIO PARA CONFIRMAR UBICACION, SOLICITUD Y PROGRAMAR VISITA TECNICA | 29/08/2025 SE REALIZÓ LA INSTALACIÓN DE AVISO EXTERNO POR DAÑO SE AJUSTA PARA EVITAR NUEVAMENTE LA NOVEDAD NO SE MANIPULA CB CLIENTE INFORMA QUE SE ENCUENTRA OPERATIVO</t>
  </si>
  <si>
    <t>BARRIO LOS CIRUELOS IBAGUE</t>
  </si>
  <si>
    <t>FO-25-1436638</t>
  </si>
  <si>
    <t>29/08/2025 SE INSTALA AVISO EXTERIOR POR ROBO</t>
  </si>
  <si>
    <t>BARRIO LA FUENTE TUNJA 3</t>
  </si>
  <si>
    <t>FO-25-1436374</t>
  </si>
  <si>
    <t>27/08/2025 POR FAVOR, COMUNICARSE CON USUARIO PARA CONFIRMAR UBICACION, SOLICITUD Y PROGRAMAR VISITA TECNICA | 29/08/2025 INSTALACIÓN DE AVISO EXTERIOR EXITOSO POR DAÑO DEL OTRO AVISO EL VIENTO LO AVÍA TUMBADO, SE DEJA BIEN ASEGURADO</t>
  </si>
  <si>
    <t>TAMALAMEQUE</t>
  </si>
  <si>
    <t>BARRIO PALMIRA TAMALAMEQUE</t>
  </si>
  <si>
    <t>FO-25-1428193</t>
  </si>
  <si>
    <t>26/08/2025 POR FAVOR, COMUNICARSE CON USUARIO PARA CONFIRMAR UBICACION, SOLICITUD Y PROGRAMAR VISITA TECNICA | 29/08/2025 SE LLEGA A SITIO Y SE EVIDENCIA QUE EL AVISO EXTERIOR SE PARTIO , SE PROCEDE A INSTALAR UN NUEVO AVISO</t>
  </si>
  <si>
    <t>BARRIO CADIZ IBAGUE</t>
  </si>
  <si>
    <t>FO-25-1441061</t>
  </si>
  <si>
    <t>28/08/2025 POR FAVOR, COMUNICARSE CON USUARIO PARA CONFIRMAR UBICACION, SOLICITUD Y PROGRAMAR VISITA TECNICA | 30/08/2025 SE LLEGA AL SITIO PARA REALIZAR INSTALACIÓN DE AVISO, PERO NO ES POSIBLE COMERCIO SE ENCUENTRA CERRADO.</t>
  </si>
  <si>
    <t>PTM BELLO TIENDA LOS DUQUE</t>
  </si>
  <si>
    <t>FO-25-1436380</t>
  </si>
  <si>
    <t>27/08/2025 POR FAVOR, COMUNICARSE CON USUARIO PARA CONFIRMAR UBICACION, SOLICITUD Y PROGRAMAR VISITA TECNICA | 30/08/2025 SE REALIZA LA INSTALACIÓN DEL NUEVO AVISO EXTERIOR EN EL PUNTO DEL CORRESPONSAL BANCOLOMBIA, REEMPLAZANDO EL ANTERIOR QUE FUE DESPRENDIDO POR LA BRISA Y PRESENTABA SIGNOS EVIDENTES DE DETERIORO. EL NUEVO AVISO QUEDA FIJADO CONFORME A LAS INDICACIONES DEL CLIENTE, ASEGURANDO VISIBILIDAD ÓPTIMA DESDE EL EXTERIOR Y UNA PRESENTACIÓN ACORDE CON LA IMAGEN</t>
  </si>
  <si>
    <t>BARRIO SAN CAYETANO MANIZALES</t>
  </si>
  <si>
    <t>FO-25-1432412</t>
  </si>
  <si>
    <t>27/08/2025 POR FAVOR, COMUNICARSE CON USUARIO PARA CONFIRMAR UBICACION, SOLICITUD Y PROGRAMAR VISITA TECNICA | 30/08/2025 SE REALIZA INSTALACIÓN DE AVISO EXTERIOR YA QUE EL ANTERIOR SE LO ROBARON</t>
  </si>
  <si>
    <t>COD. CIUDAD</t>
  </si>
  <si>
    <t>DESDE DONDE SE ATIENDE</t>
  </si>
  <si>
    <t>TIPO DE TRAYECTO NUEVO</t>
  </si>
  <si>
    <t>TIPOLOGIA NUEVA</t>
  </si>
  <si>
    <t>LA VICTORIA</t>
  </si>
  <si>
    <t>AMAZONAS</t>
  </si>
  <si>
    <t>PUERTO SANTANDER</t>
  </si>
  <si>
    <t>EL ENCANTO</t>
  </si>
  <si>
    <t>LA CHORRERA</t>
  </si>
  <si>
    <t>LA PEDRERA</t>
  </si>
  <si>
    <t>LETICIA</t>
  </si>
  <si>
    <t>MIRITI - PARANA</t>
  </si>
  <si>
    <t>PUERTO ALEGRIA</t>
  </si>
  <si>
    <t>PUERTO ARICA</t>
  </si>
  <si>
    <t>PUERTO NARIÑO</t>
  </si>
  <si>
    <t>TARAPACA</t>
  </si>
  <si>
    <t>ARGELIA</t>
  </si>
  <si>
    <t>BETULIA</t>
  </si>
  <si>
    <t>BRICEÑO</t>
  </si>
  <si>
    <t>CONCEPCION</t>
  </si>
  <si>
    <t>CONCORDIA</t>
  </si>
  <si>
    <t>GUADALUPE</t>
  </si>
  <si>
    <t>JERICO</t>
  </si>
  <si>
    <t>RIONEGRO</t>
  </si>
  <si>
    <t>SAN CARLOS</t>
  </si>
  <si>
    <t>SAN FRANCISCO</t>
  </si>
  <si>
    <t>SAN LUIS</t>
  </si>
  <si>
    <t>SAN PEDRO DE LOS MILAGROS</t>
  </si>
  <si>
    <t>SANTA BARBARA</t>
  </si>
  <si>
    <t>TOLEDO</t>
  </si>
  <si>
    <t>VALPARAISO</t>
  </si>
  <si>
    <t>VENECIA</t>
  </si>
  <si>
    <t>ABEJORRAL</t>
  </si>
  <si>
    <t>ABRIAQUI</t>
  </si>
  <si>
    <t>ALEJANDRIA</t>
  </si>
  <si>
    <t>AMAGA</t>
  </si>
  <si>
    <t>ANDES</t>
  </si>
  <si>
    <t>ANGELOPOLIS</t>
  </si>
  <si>
    <t>ANORI</t>
  </si>
  <si>
    <t>ANZA</t>
  </si>
  <si>
    <t>ARBOLETES</t>
  </si>
  <si>
    <t>BETANIA</t>
  </si>
  <si>
    <t>CAICEDO</t>
  </si>
  <si>
    <t>CAMPAMENTO</t>
  </si>
  <si>
    <t>CAÑASGORDAS</t>
  </si>
  <si>
    <t>CARACOLI</t>
  </si>
  <si>
    <t>CARAMANTA</t>
  </si>
  <si>
    <t>CAROLINA</t>
  </si>
  <si>
    <t>CHIGORODO</t>
  </si>
  <si>
    <t>CISNEROS</t>
  </si>
  <si>
    <t>CIUDAD BOLIVAR</t>
  </si>
  <si>
    <t>COCORNA</t>
  </si>
  <si>
    <t>DABEIBA</t>
  </si>
  <si>
    <t>EBEJICO</t>
  </si>
  <si>
    <t>FREDONIA</t>
  </si>
  <si>
    <t>FRONTINO</t>
  </si>
  <si>
    <t>GIRALDO</t>
  </si>
  <si>
    <t>GIRARDOTA</t>
  </si>
  <si>
    <t>GOMEZ PLATA</t>
  </si>
  <si>
    <t>GUARNE</t>
  </si>
  <si>
    <t>GUATAPE</t>
  </si>
  <si>
    <t>HELICONIA</t>
  </si>
  <si>
    <t>HISPANIA</t>
  </si>
  <si>
    <t>JARDIN</t>
  </si>
  <si>
    <t>LIBORINA</t>
  </si>
  <si>
    <t>MACEO</t>
  </si>
  <si>
    <t>MONTEBELLO</t>
  </si>
  <si>
    <t>MURINDO</t>
  </si>
  <si>
    <t>MUTATA</t>
  </si>
  <si>
    <t>OLAYA</t>
  </si>
  <si>
    <t>PEÑOL</t>
  </si>
  <si>
    <t>PEQUE</t>
  </si>
  <si>
    <t>PUEBLORRICO</t>
  </si>
  <si>
    <t>PUERTO NARE</t>
  </si>
  <si>
    <t>REMEDIOS</t>
  </si>
  <si>
    <t>RETIRO</t>
  </si>
  <si>
    <t>SABANETA</t>
  </si>
  <si>
    <t>SAN ANDRES DE CUERQUIA</t>
  </si>
  <si>
    <t>SAN JERONIMO</t>
  </si>
  <si>
    <t>SAN JOSE DE LA MONTAÑA</t>
  </si>
  <si>
    <t>SAN JUAN DE URABA</t>
  </si>
  <si>
    <t>SAN ROQUE</t>
  </si>
  <si>
    <t>SAN VICENTE</t>
  </si>
  <si>
    <t>SANTA FE DE ANTIOQUIA</t>
  </si>
  <si>
    <t>SANTO DOMINGO</t>
  </si>
  <si>
    <t>SEGOVIA</t>
  </si>
  <si>
    <t>SONSON</t>
  </si>
  <si>
    <t>SOPETRAN</t>
  </si>
  <si>
    <t>TARSO</t>
  </si>
  <si>
    <t>TITIRIBI</t>
  </si>
  <si>
    <t>URAMITA</t>
  </si>
  <si>
    <t>URRAO</t>
  </si>
  <si>
    <t>VALDIVIA</t>
  </si>
  <si>
    <t>VIGIA DEL FUERTE</t>
  </si>
  <si>
    <t>YALI</t>
  </si>
  <si>
    <t>YONDO</t>
  </si>
  <si>
    <t>ZARAGOZA</t>
  </si>
  <si>
    <t>ARAUQUITA</t>
  </si>
  <si>
    <t>CRAVO NORTE</t>
  </si>
  <si>
    <t>PUERTO RONDON</t>
  </si>
  <si>
    <t>TAME</t>
  </si>
  <si>
    <t>PUERTO COLOMBIA</t>
  </si>
  <si>
    <t>BARANOA</t>
  </si>
  <si>
    <t>CAMPO DE LA CRUZ</t>
  </si>
  <si>
    <t>GALAPA</t>
  </si>
  <si>
    <t>JUAN DE ACOSTA</t>
  </si>
  <si>
    <t>LURUACO</t>
  </si>
  <si>
    <t>MANATI</t>
  </si>
  <si>
    <t>PALMAR DE VARELA</t>
  </si>
  <si>
    <t>PIOJO</t>
  </si>
  <si>
    <t>POLONUEVO</t>
  </si>
  <si>
    <t>REPELON</t>
  </si>
  <si>
    <t>SABANAGRANDE</t>
  </si>
  <si>
    <t>SANTA LUCIA</t>
  </si>
  <si>
    <t>SANTO TOMAS</t>
  </si>
  <si>
    <t>SUAN</t>
  </si>
  <si>
    <t>TUBARA</t>
  </si>
  <si>
    <t>USIACURI</t>
  </si>
  <si>
    <t>CALAMAR</t>
  </si>
  <si>
    <t>EL PEÑON</t>
  </si>
  <si>
    <t>MORALES</t>
  </si>
  <si>
    <t>SAN PABLO</t>
  </si>
  <si>
    <t>SANTA ROSA</t>
  </si>
  <si>
    <t>VILLANUEVA</t>
  </si>
  <si>
    <t>ACHI</t>
  </si>
  <si>
    <t>ALTOS DEL ROSARIO</t>
  </si>
  <si>
    <t>ARENAL</t>
  </si>
  <si>
    <t>ARROYOHONDO</t>
  </si>
  <si>
    <t>BARRANCO DE LOBA</t>
  </si>
  <si>
    <t>CANTAGALLO</t>
  </si>
  <si>
    <t>CICUCO</t>
  </si>
  <si>
    <t>CLEMENCIA</t>
  </si>
  <si>
    <t>EL CARMEN DE BOLIVAR</t>
  </si>
  <si>
    <t>EL GUAMO</t>
  </si>
  <si>
    <t>HATILLO DE LOBA</t>
  </si>
  <si>
    <t>MAGANGUE</t>
  </si>
  <si>
    <t>MAHATES</t>
  </si>
  <si>
    <t>MARGARITA</t>
  </si>
  <si>
    <t>MOMPOS</t>
  </si>
  <si>
    <t>MONTECRISTO</t>
  </si>
  <si>
    <t>NOROSI</t>
  </si>
  <si>
    <t>PINILLOS</t>
  </si>
  <si>
    <t>REGIDOR</t>
  </si>
  <si>
    <t>RIO VIEJO</t>
  </si>
  <si>
    <t>SAN CRISTOBAL</t>
  </si>
  <si>
    <t>SAN ESTANISLAO</t>
  </si>
  <si>
    <t>SAN FERNANDO</t>
  </si>
  <si>
    <t>SAN JACINTO DEL CAUCA</t>
  </si>
  <si>
    <t>SAN MARTIN DE LOBA</t>
  </si>
  <si>
    <t>SANTA CATALINA</t>
  </si>
  <si>
    <t>SIMITI</t>
  </si>
  <si>
    <t>SOPLAVIENTO</t>
  </si>
  <si>
    <t>TALAIGUA NUEVO</t>
  </si>
  <si>
    <t>TIQUISIO</t>
  </si>
  <si>
    <t>TURBACO</t>
  </si>
  <si>
    <t>TURBANA</t>
  </si>
  <si>
    <t>ZAMBRANO</t>
  </si>
  <si>
    <t>BELEN</t>
  </si>
  <si>
    <t>BUENAVISTA</t>
  </si>
  <si>
    <t>CIENAGA</t>
  </si>
  <si>
    <t>MIRAFLORES</t>
  </si>
  <si>
    <t>PAEZ</t>
  </si>
  <si>
    <t>SANTA MARIA</t>
  </si>
  <si>
    <t>ALMEIDA</t>
  </si>
  <si>
    <t>AQUITANIA</t>
  </si>
  <si>
    <t>ARCABUCO</t>
  </si>
  <si>
    <t>BERBEO</t>
  </si>
  <si>
    <t>BETEITIVA</t>
  </si>
  <si>
    <t>BUSBANZA</t>
  </si>
  <si>
    <t>CAMPOHERMOSO</t>
  </si>
  <si>
    <t>CERINZA</t>
  </si>
  <si>
    <t>CHINAVITA</t>
  </si>
  <si>
    <t>CHIQUIZA</t>
  </si>
  <si>
    <t>CHISCAS</t>
  </si>
  <si>
    <t>CHITA</t>
  </si>
  <si>
    <t>CHITARAQUE</t>
  </si>
  <si>
    <t>CHIVATA</t>
  </si>
  <si>
    <t>CHIVOR</t>
  </si>
  <si>
    <t>COMBITA</t>
  </si>
  <si>
    <t>COPER</t>
  </si>
  <si>
    <t>CORRALES</t>
  </si>
  <si>
    <t>COVARACHIA</t>
  </si>
  <si>
    <t>CUBARA</t>
  </si>
  <si>
    <t>CUCAITA</t>
  </si>
  <si>
    <t>CUITIVA</t>
  </si>
  <si>
    <t>EL COCUY</t>
  </si>
  <si>
    <t>EL ESPINO</t>
  </si>
  <si>
    <t>GACHANTIVA</t>
  </si>
  <si>
    <t>GAMEZA</t>
  </si>
  <si>
    <t>GUACAMAYAS</t>
  </si>
  <si>
    <t>GUATEQUE</t>
  </si>
  <si>
    <t>GUAYATA</t>
  </si>
  <si>
    <t>GUICAN</t>
  </si>
  <si>
    <t>IZA</t>
  </si>
  <si>
    <t>LA CAPILLA</t>
  </si>
  <si>
    <t>LA UVITA</t>
  </si>
  <si>
    <t>LABRANZAGRANDE</t>
  </si>
  <si>
    <t>MACANAL</t>
  </si>
  <si>
    <t>MARIPI</t>
  </si>
  <si>
    <t>MONGUI</t>
  </si>
  <si>
    <t>MONIQUIRA</t>
  </si>
  <si>
    <t>MOTAVITA</t>
  </si>
  <si>
    <t>MUZO</t>
  </si>
  <si>
    <t>NOBSA</t>
  </si>
  <si>
    <t>NUEVO COLON</t>
  </si>
  <si>
    <t>OICATA</t>
  </si>
  <si>
    <t>PACHAVITA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</si>
  <si>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</si>
  <si>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</si>
  <si>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</si>
  <si>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</si>
  <si>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</si>
  <si>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</si>
  <si>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</si>
  <si>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</si>
  <si>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</si>
  <si>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</si>
  <si>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</si>
  <si>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</si>
  <si>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</si>
  <si>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</si>
  <si>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</si>
  <si>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</si>
  <si>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</si>
  <si>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</si>
  <si>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</si>
  <si>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</si>
  <si>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</si>
  <si>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</si>
  <si>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SATIVANORTE</t>
  </si>
  <si>
    <t>SIACHOQUE</t>
  </si>
  <si>
    <t>SOATA</t>
  </si>
  <si>
    <t>SOCHA</t>
  </si>
  <si>
    <t>SOCOTA</t>
  </si>
  <si>
    <t>SOMONDOCO</t>
  </si>
  <si>
    <t>SORA</t>
  </si>
  <si>
    <t>SORACA</t>
  </si>
  <si>
    <t>SOTAQUIRA</t>
  </si>
  <si>
    <t>SUTATENZA</t>
  </si>
  <si>
    <t>TASCO</t>
  </si>
  <si>
    <t>TENZA</t>
  </si>
  <si>
    <t>TIBANA</t>
  </si>
  <si>
    <t>TIBASOSA</t>
  </si>
  <si>
    <t>TINJACA</t>
  </si>
  <si>
    <t>TIPACOQUE</t>
  </si>
  <si>
    <t>TOCA</t>
  </si>
  <si>
    <t>TOGÜI</t>
  </si>
  <si>
    <t>TOPAGA</t>
  </si>
  <si>
    <t>TOTA</t>
  </si>
  <si>
    <t>TUNUNGUA</t>
  </si>
  <si>
    <t>TUTAZA</t>
  </si>
  <si>
    <t>UMBITA</t>
  </si>
  <si>
    <t>VENTAQUEMADA</t>
  </si>
  <si>
    <t>VIRACACHA</t>
  </si>
  <si>
    <t>ZETAQUIRA</t>
  </si>
  <si>
    <t>SALAMINA</t>
  </si>
  <si>
    <t>ANSERMA</t>
  </si>
  <si>
    <t>ARANZAZU</t>
  </si>
  <si>
    <t>BELALCAZAR</t>
  </si>
  <si>
    <t>FILADELFIA</t>
  </si>
  <si>
    <t>LA MERCED</t>
  </si>
  <si>
    <t>MANZANARES</t>
  </si>
  <si>
    <t>MARMATO</t>
  </si>
  <si>
    <t>MARQUETALIA</t>
  </si>
  <si>
    <t>MARULANDA</t>
  </si>
  <si>
    <t>NEIRA</t>
  </si>
  <si>
    <t>NORCASIA</t>
  </si>
  <si>
    <t>PACORA</t>
  </si>
  <si>
    <t>PENSILVANIA</t>
  </si>
  <si>
    <t>SAMANA</t>
  </si>
  <si>
    <t>SAN JOSE</t>
  </si>
  <si>
    <t>VICTORIA</t>
  </si>
  <si>
    <t>VITERBO</t>
  </si>
  <si>
    <t>ALBANIA</t>
  </si>
  <si>
    <t>PUERTO RICO</t>
  </si>
  <si>
    <t>BELEN DE LOS ANDAQUIES</t>
  </si>
  <si>
    <t>CURILLO</t>
  </si>
  <si>
    <t>LA MONTAÑITA</t>
  </si>
  <si>
    <t>MORELIA</t>
  </si>
  <si>
    <t>SAN JOSE DEL FRAGUA</t>
  </si>
  <si>
    <t>SAN VICENTE DEL CAGUAN</t>
  </si>
  <si>
    <t>TERRESTRE / AEREO</t>
  </si>
  <si>
    <t>SOLANO</t>
  </si>
  <si>
    <t>SOLITA</t>
  </si>
  <si>
    <t>CHAMEZA</t>
  </si>
  <si>
    <t>HATO COROZAL</t>
  </si>
  <si>
    <t>LA SALINA</t>
  </si>
  <si>
    <t>MANI</t>
  </si>
  <si>
    <t>NUNCHIA</t>
  </si>
  <si>
    <t>PORE</t>
  </si>
  <si>
    <t>RECETOR</t>
  </si>
  <si>
    <t>SACAMA</t>
  </si>
  <si>
    <t>SAN LUIS DE PALENQUE</t>
  </si>
  <si>
    <t>TAMARA</t>
  </si>
  <si>
    <t>TAURAMENA</t>
  </si>
  <si>
    <t>TRINIDAD</t>
  </si>
  <si>
    <t>BALBOA</t>
  </si>
  <si>
    <t>EL TAMBO</t>
  </si>
  <si>
    <t>LA VEGA</t>
  </si>
  <si>
    <t>SUAREZ</t>
  </si>
  <si>
    <t>ALMAGUER</t>
  </si>
  <si>
    <t>BUENOS AIRES</t>
  </si>
  <si>
    <t>CAJIBIO</t>
  </si>
  <si>
    <t>CALOTO</t>
  </si>
  <si>
    <t>GUACHENE</t>
  </si>
  <si>
    <t>GUAPI</t>
  </si>
  <si>
    <t>INZA</t>
  </si>
  <si>
    <t>JAMBALO</t>
  </si>
  <si>
    <t>LA SIERRA</t>
  </si>
  <si>
    <t>LOPEZ</t>
  </si>
  <si>
    <t>MERCADERES</t>
  </si>
  <si>
    <t>PADILLA</t>
  </si>
  <si>
    <t>PIAMONTE</t>
  </si>
  <si>
    <t>PIENDAMO</t>
  </si>
  <si>
    <t>PURACE</t>
  </si>
  <si>
    <t>ROSAS</t>
  </si>
  <si>
    <t>SAN SEBASTIAN</t>
  </si>
  <si>
    <t>SILVIA</t>
  </si>
  <si>
    <t>SOTARA</t>
  </si>
  <si>
    <t>TIMBIO</t>
  </si>
  <si>
    <t>TIMBIQUI</t>
  </si>
  <si>
    <t>TORIBIO</t>
  </si>
  <si>
    <t>TOTORO</t>
  </si>
  <si>
    <t>MANAURE</t>
  </si>
  <si>
    <t>SAN MARTIN</t>
  </si>
  <si>
    <t>AGUSTIN CODAZZI</t>
  </si>
  <si>
    <t>ASTREA</t>
  </si>
  <si>
    <t>BOSCONIA</t>
  </si>
  <si>
    <t>CHIMICHAGUA</t>
  </si>
  <si>
    <t>CHIRIGUANA</t>
  </si>
  <si>
    <t>CURUMANI</t>
  </si>
  <si>
    <t>EL COPEY</t>
  </si>
  <si>
    <t>EL PASO</t>
  </si>
  <si>
    <t>GAMARRA</t>
  </si>
  <si>
    <t>GONZALEZ</t>
  </si>
  <si>
    <t>LA GLORIA</t>
  </si>
  <si>
    <t>LA JAGUA DE IBIRICO</t>
  </si>
  <si>
    <t>PAILITAS</t>
  </si>
  <si>
    <t>PELAYA</t>
  </si>
  <si>
    <t>RIO DE ORO</t>
  </si>
  <si>
    <t>ALTO BAUDO</t>
  </si>
  <si>
    <t>ATRATO</t>
  </si>
  <si>
    <t>BAGADO</t>
  </si>
  <si>
    <t>BAHIA SOLANO</t>
  </si>
  <si>
    <t>BELEN DE BAJIRA</t>
  </si>
  <si>
    <t>BOJAYA</t>
  </si>
  <si>
    <t>CARMEN DEL DARIEN</t>
  </si>
  <si>
    <t>CERTEGUI</t>
  </si>
  <si>
    <t>CONDOTO</t>
  </si>
  <si>
    <t>EL CANTON DEL SAN PABLO</t>
  </si>
  <si>
    <t>EL LITORAL DEL SAN JUAN</t>
  </si>
  <si>
    <t>TERRESTRE / FLUVIAL</t>
  </si>
  <si>
    <t>JURADO</t>
  </si>
  <si>
    <t>MEDIO ATRATO</t>
  </si>
  <si>
    <t>MEDIO BAUDO</t>
  </si>
  <si>
    <t>MEDIO SAN JUAN</t>
  </si>
  <si>
    <t>NOVITA</t>
  </si>
  <si>
    <t>NUQUI</t>
  </si>
  <si>
    <t>QUIBDO</t>
  </si>
  <si>
    <t>RIO IRO</t>
  </si>
  <si>
    <t>RIO QUITO</t>
  </si>
  <si>
    <t>SAN JOSE DEL PALMAR</t>
  </si>
  <si>
    <t>SIPI</t>
  </si>
  <si>
    <t>TADO</t>
  </si>
  <si>
    <t>UNGUIA</t>
  </si>
  <si>
    <t>UNION PANAMERICANA</t>
  </si>
  <si>
    <t>CHIMA</t>
  </si>
  <si>
    <t>AYAPEL</t>
  </si>
  <si>
    <t>CERETE</t>
  </si>
  <si>
    <t>CHINU</t>
  </si>
  <si>
    <t>CIENAGA DE ORO</t>
  </si>
  <si>
    <t>COTORRA</t>
  </si>
  <si>
    <t>LA APARTADA</t>
  </si>
  <si>
    <t>LOS CORDOBAS</t>
  </si>
  <si>
    <t>MONTELIBANO</t>
  </si>
  <si>
    <t>MOÑITOS</t>
  </si>
  <si>
    <t>PUEBLO NUEVO</t>
  </si>
  <si>
    <t>PUERTO ESCONDIDO</t>
  </si>
  <si>
    <t>PURISIMA</t>
  </si>
  <si>
    <t>SAHAGUN</t>
  </si>
  <si>
    <t>SAN ANDRES SOTAVENTO</t>
  </si>
  <si>
    <t>SAN BERNARDO DEL VIENTO</t>
  </si>
  <si>
    <t>SAN PELAYO</t>
  </si>
  <si>
    <t>VALENCIA</t>
  </si>
  <si>
    <t>ALBAN</t>
  </si>
  <si>
    <t>CABRERA</t>
  </si>
  <si>
    <t>RICAURTE</t>
  </si>
  <si>
    <t>SAN BERNARDO</t>
  </si>
  <si>
    <t>SAN CAYETANO</t>
  </si>
  <si>
    <t>AGUA DE DIOS</t>
  </si>
  <si>
    <t>ANOLAIMA</t>
  </si>
  <si>
    <t>APULO</t>
  </si>
  <si>
    <t>BELTRAN</t>
  </si>
  <si>
    <t>BITUIMA</t>
  </si>
  <si>
    <t>BOJACA</t>
  </si>
  <si>
    <t>CACHIPAY</t>
  </si>
  <si>
    <t>CAPARRAPI</t>
  </si>
  <si>
    <t>CAQUEZA</t>
  </si>
  <si>
    <t>CARMEN DE CARUPA</t>
  </si>
  <si>
    <t>CHAGUANI</t>
  </si>
  <si>
    <t>CHIPAQUE</t>
  </si>
  <si>
    <t>CHOCONTA</t>
  </si>
  <si>
    <t>COTA</t>
  </si>
  <si>
    <t>CUCUNUBA</t>
  </si>
  <si>
    <t>EL COLEGIO</t>
  </si>
  <si>
    <t>EL ROSAL</t>
  </si>
  <si>
    <t>FACATATIVA</t>
  </si>
  <si>
    <t>FOSCA</t>
  </si>
  <si>
    <t>FUQUENE</t>
  </si>
  <si>
    <t>GACHALA</t>
  </si>
  <si>
    <t>GACHANCIPA</t>
  </si>
  <si>
    <t>GACHETA</t>
  </si>
  <si>
    <t>GAMA</t>
  </si>
  <si>
    <t>GIRARDOT</t>
  </si>
  <si>
    <t>GUACHETA</t>
  </si>
  <si>
    <t>GUADUAS</t>
  </si>
  <si>
    <t>GUASCA</t>
  </si>
  <si>
    <t>GUATAQUI</t>
  </si>
  <si>
    <t>GUAYABAL DE SIQUIMA</t>
  </si>
  <si>
    <t>GUAYABETAL</t>
  </si>
  <si>
    <t>GUTIERREZ</t>
  </si>
  <si>
    <t>JERUSALEN</t>
  </si>
  <si>
    <t>JUNIN</t>
  </si>
  <si>
    <t>LA CALERA</t>
  </si>
  <si>
    <t>LA PALMA</t>
  </si>
  <si>
    <t>LA PEÑA</t>
  </si>
  <si>
    <t>LENGUAZAQUE</t>
  </si>
  <si>
    <t>MACHETA</t>
  </si>
  <si>
    <t>MEDINA</t>
  </si>
  <si>
    <t>NEMOCON</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</si>
  <si>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</si>
  <si>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</si>
  <si>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</si>
  <si>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</si>
  <si>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</si>
  <si>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</si>
  <si>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</si>
  <si>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</si>
  <si>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</si>
  <si>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</si>
  <si>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</si>
  <si>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</si>
  <si>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</si>
  <si>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</si>
  <si>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</si>
  <si>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</si>
  <si>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SIMIJACA</t>
  </si>
  <si>
    <t>SOPO</t>
  </si>
  <si>
    <t>SUBACHOQUE</t>
  </si>
  <si>
    <t>SUESCA</t>
  </si>
  <si>
    <t>SUPATA</t>
  </si>
  <si>
    <t>SUSA</t>
  </si>
  <si>
    <t>TABIO</t>
  </si>
  <si>
    <t>TAUSA</t>
  </si>
  <si>
    <t>TENJO</t>
  </si>
  <si>
    <t>TIBACUY</t>
  </si>
  <si>
    <t>TIBIRITA</t>
  </si>
  <si>
    <t>TOCAIMA</t>
  </si>
  <si>
    <t>TOCANCIPA</t>
  </si>
  <si>
    <t>TOPAIPI</t>
  </si>
  <si>
    <t>UBALA</t>
  </si>
  <si>
    <t>UBAQUE</t>
  </si>
  <si>
    <t>UNE</t>
  </si>
  <si>
    <t>UTICA</t>
  </si>
  <si>
    <t>VERGARA</t>
  </si>
  <si>
    <t>VIANI</t>
  </si>
  <si>
    <t>VILLAGOMEZ</t>
  </si>
  <si>
    <t>VILLAPINZON</t>
  </si>
  <si>
    <t>VILLETA</t>
  </si>
  <si>
    <t>VIOTA</t>
  </si>
  <si>
    <t>YACOPI</t>
  </si>
  <si>
    <t>ZIPACON</t>
  </si>
  <si>
    <t>GUAINIA</t>
  </si>
  <si>
    <t>BARRANCO MINAS</t>
  </si>
  <si>
    <t>CACAHUAL</t>
  </si>
  <si>
    <t>INIRIDA</t>
  </si>
  <si>
    <t>LA GUADALUPE</t>
  </si>
  <si>
    <t>MAPIRIPANA</t>
  </si>
  <si>
    <t>MORICHAL</t>
  </si>
  <si>
    <t>PANA PANA</t>
  </si>
  <si>
    <t>SAN FELIPE</t>
  </si>
  <si>
    <t>GUAVIARE</t>
  </si>
  <si>
    <t>EL RETORNO</t>
  </si>
  <si>
    <t>SAN JOSE DEL GUAVIARE</t>
  </si>
  <si>
    <t>ACEVEDO</t>
  </si>
  <si>
    <t>AGRADO</t>
  </si>
  <si>
    <t>ALTAMIRA</t>
  </si>
  <si>
    <t>BARAYA</t>
  </si>
  <si>
    <t>CAMPOALEGRE</t>
  </si>
  <si>
    <t>COLOMBIA</t>
  </si>
  <si>
    <t>ELIAS</t>
  </si>
  <si>
    <t>HOBO</t>
  </si>
  <si>
    <t>IQUIRA</t>
  </si>
  <si>
    <t>ISNOS</t>
  </si>
  <si>
    <t>LA ARGENTINA</t>
  </si>
  <si>
    <t>NATAGA</t>
  </si>
  <si>
    <t>OPORAPA</t>
  </si>
  <si>
    <t>PAICOL</t>
  </si>
  <si>
    <t>PALERMO</t>
  </si>
  <si>
    <t>PITAL</t>
  </si>
  <si>
    <t>RIVERA</t>
  </si>
  <si>
    <t>SALADOBLANCO</t>
  </si>
  <si>
    <t>SAN AGUSTIN</t>
  </si>
  <si>
    <t>SUAZA</t>
  </si>
  <si>
    <t>TELLO</t>
  </si>
  <si>
    <t>TERUEL</t>
  </si>
  <si>
    <t>TESALIA</t>
  </si>
  <si>
    <t>TIMANA</t>
  </si>
  <si>
    <t>VILLAVIEJA</t>
  </si>
  <si>
    <t>YAGUARA</t>
  </si>
  <si>
    <t>BARRANCAS</t>
  </si>
  <si>
    <t>DISTRACCION</t>
  </si>
  <si>
    <t>EL MOLINO</t>
  </si>
  <si>
    <t>FONSECA</t>
  </si>
  <si>
    <t>HATONUEVO</t>
  </si>
  <si>
    <t>LA JAGUA DEL PILAR</t>
  </si>
  <si>
    <t>SAN JUAN DEL CESAR</t>
  </si>
  <si>
    <t>URIBIA</t>
  </si>
  <si>
    <t>URUMITA</t>
  </si>
  <si>
    <t>GUAMAL</t>
  </si>
  <si>
    <t>ARACATACA</t>
  </si>
  <si>
    <t>ARIGUANI</t>
  </si>
  <si>
    <t>CERRO SAN ANTONIO</t>
  </si>
  <si>
    <t>CHIBOLO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</si>
  <si>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</si>
  <si>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</si>
  <si>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</si>
  <si>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</si>
  <si>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</si>
  <si>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</si>
  <si>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</si>
  <si>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</si>
  <si>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</si>
  <si>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</si>
  <si>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</si>
  <si>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</si>
  <si>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</si>
  <si>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</si>
  <si>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</si>
  <si>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</si>
  <si>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ZAPAYAN</t>
  </si>
  <si>
    <t>ZONA BANANERA</t>
  </si>
  <si>
    <t>CABUYARO</t>
  </si>
  <si>
    <t>CASTILLA LA NUEVA</t>
  </si>
  <si>
    <t>CUMARAL</t>
  </si>
  <si>
    <t>EL CALVARIO</t>
  </si>
  <si>
    <t>EL CASTILLO</t>
  </si>
  <si>
    <t>LA MACARENA</t>
  </si>
  <si>
    <t>LEJANIAS</t>
  </si>
  <si>
    <t>MAPIRIPAN</t>
  </si>
  <si>
    <t>MESETAS</t>
  </si>
  <si>
    <t>PUERTO CONCORDIA</t>
  </si>
  <si>
    <t>PUERTO LOPEZ</t>
  </si>
  <si>
    <t>SAN JUAN DE ARAMA</t>
  </si>
  <si>
    <t>SAN JUANITO</t>
  </si>
  <si>
    <t>URIBE</t>
  </si>
  <si>
    <t>VISTAHERMOSA</t>
  </si>
  <si>
    <t>COLON</t>
  </si>
  <si>
    <t>PROVIDENCIA</t>
  </si>
  <si>
    <t>ALDANA</t>
  </si>
  <si>
    <t>ANCUYA</t>
  </si>
  <si>
    <t>ARBOLEDA</t>
  </si>
  <si>
    <t>CHACHAGUI</t>
  </si>
  <si>
    <t>CONSACA</t>
  </si>
  <si>
    <t>CONTADERO</t>
  </si>
  <si>
    <t>CUASPUD</t>
  </si>
  <si>
    <t>CUMBAL</t>
  </si>
  <si>
    <t>CUMBITARA</t>
  </si>
  <si>
    <t>EL CHARCO</t>
  </si>
  <si>
    <t>EL PEÑOL</t>
  </si>
  <si>
    <t>EL TABLON DE GOMEZ</t>
  </si>
  <si>
    <t>FUNES</t>
  </si>
  <si>
    <t>GUACHUCAL</t>
  </si>
  <si>
    <t>GUAITARILLA</t>
  </si>
  <si>
    <t>GUALMATAN</t>
  </si>
  <si>
    <t>ILES</t>
  </si>
  <si>
    <t>IMUES</t>
  </si>
  <si>
    <t>LA CRUZ</t>
  </si>
  <si>
    <t>LA FLORIDA</t>
  </si>
  <si>
    <t>LA LLANADA</t>
  </si>
  <si>
    <t>LA TOLA</t>
  </si>
  <si>
    <t>LEIVA</t>
  </si>
  <si>
    <t>LINARES</t>
  </si>
  <si>
    <t>LOS ANDES</t>
  </si>
  <si>
    <t>MALLAMA</t>
  </si>
  <si>
    <t>OLAYA HERRERA</t>
  </si>
  <si>
    <t>OSPINA</t>
  </si>
  <si>
    <t>POLICARPA</t>
  </si>
  <si>
    <t>POTOSI</t>
  </si>
  <si>
    <t>PUERRES</t>
  </si>
  <si>
    <t>SAMANIEGO</t>
  </si>
  <si>
    <t>SAN LORENZO</t>
  </si>
  <si>
    <t>SAN PEDRO DE CARTAGO</t>
  </si>
  <si>
    <t>SANTACRUZ</t>
  </si>
  <si>
    <t>SAPUYES</t>
  </si>
  <si>
    <t>TANGUA</t>
  </si>
  <si>
    <t>YACUANQUER</t>
  </si>
  <si>
    <t>SANTIAGO</t>
  </si>
  <si>
    <t>ABREGO</t>
  </si>
  <si>
    <t>ARBOLEDAS</t>
  </si>
  <si>
    <t>BOCHALEMA</t>
  </si>
  <si>
    <t>BUCARASICA</t>
  </si>
  <si>
    <t>CACHIRA</t>
  </si>
  <si>
    <t>CACOTA</t>
  </si>
  <si>
    <t>CHINACOTA</t>
  </si>
  <si>
    <t>CHITAGA</t>
  </si>
  <si>
    <t>CONVENCION</t>
  </si>
  <si>
    <t>CUCUTILLA</t>
  </si>
  <si>
    <t>EL CARMEN</t>
  </si>
  <si>
    <t>EL TARRA</t>
  </si>
  <si>
    <t>EL ZULIA</t>
  </si>
  <si>
    <t>HACARI</t>
  </si>
  <si>
    <t>HERRAN</t>
  </si>
  <si>
    <t>LA ESPERANZA</t>
  </si>
  <si>
    <t>LA PLAYA</t>
  </si>
  <si>
    <t>LABATECA</t>
  </si>
  <si>
    <t>LOURDES</t>
  </si>
  <si>
    <t>MUTISCUA</t>
  </si>
  <si>
    <t>PAMPLONITA</t>
  </si>
  <si>
    <t>RAGONVALIA</t>
  </si>
  <si>
    <t>SALAZAR</t>
  </si>
  <si>
    <t>SAN CALIXTO</t>
  </si>
  <si>
    <t>SARDINATA</t>
  </si>
  <si>
    <t>SILOS</t>
  </si>
  <si>
    <t>TEORAMA</t>
  </si>
  <si>
    <t>TIBU</t>
  </si>
  <si>
    <t>VILLA CARO</t>
  </si>
  <si>
    <t>SAN MIGUEL</t>
  </si>
  <si>
    <t>LEGUIZAMO</t>
  </si>
  <si>
    <t>MOCOA</t>
  </si>
  <si>
    <t>ORITO</t>
  </si>
  <si>
    <t>PUERTO ASIS</t>
  </si>
  <si>
    <t>PUERTO CAICEDO</t>
  </si>
  <si>
    <t>PUERTO GUZMAN</t>
  </si>
  <si>
    <t>VILLAGARZON</t>
  </si>
  <si>
    <t>FILANDIA</t>
  </si>
  <si>
    <t>GENOVA</t>
  </si>
  <si>
    <t>LA TEBAIDA</t>
  </si>
  <si>
    <t>MONTENEGRO</t>
  </si>
  <si>
    <t>PIJAO</t>
  </si>
  <si>
    <t>SALENTO</t>
  </si>
  <si>
    <t>BELEN DE UMBRIA</t>
  </si>
  <si>
    <t>LA VIRGINIA</t>
  </si>
  <si>
    <t>MISTRATO</t>
  </si>
  <si>
    <t>PUEBLO RICO</t>
  </si>
  <si>
    <t>QUINCHIA</t>
  </si>
  <si>
    <t>SANTA ROSA DE CABAL</t>
  </si>
  <si>
    <t>SANTUARIO</t>
  </si>
  <si>
    <t>ARCHIPIELAGO DE SAN ANDRES Y PROVIDENCIA</t>
  </si>
  <si>
    <t>SAN ANDRES</t>
  </si>
  <si>
    <t>AGUADA</t>
  </si>
  <si>
    <t>ARATOCA</t>
  </si>
  <si>
    <t>BARICHARA</t>
  </si>
  <si>
    <t>CAPITANEJO</t>
  </si>
  <si>
    <t>CARCASI</t>
  </si>
  <si>
    <t>CEPITA</t>
  </si>
  <si>
    <t>CERRITO</t>
  </si>
  <si>
    <t>CHARALA</t>
  </si>
  <si>
    <t>CHIPATA</t>
  </si>
  <si>
    <t>CIMITARRA</t>
  </si>
  <si>
    <t>CONFINES</t>
  </si>
  <si>
    <t>CONTRATACION</t>
  </si>
  <si>
    <t>COROMORO</t>
  </si>
  <si>
    <t>CURITI</t>
  </si>
  <si>
    <t>EL CARMEN DE CHUCURI</t>
  </si>
  <si>
    <t>EL GUACAMAYO</t>
  </si>
  <si>
    <t>EL PLAYON</t>
  </si>
  <si>
    <t>ENCINO</t>
  </si>
  <si>
    <t>ENCISO</t>
  </si>
  <si>
    <t>GALAN</t>
  </si>
  <si>
    <t>GAMBITA</t>
  </si>
  <si>
    <t>GUACA</t>
  </si>
  <si>
    <t>GUAPOTA</t>
  </si>
  <si>
    <t>GUAVATA</t>
  </si>
  <si>
    <t>GUEPSA</t>
  </si>
  <si>
    <t>HATO</t>
  </si>
  <si>
    <t>JESUS MARIA</t>
  </si>
  <si>
    <t>JORDAN</t>
  </si>
  <si>
    <t>LA BELLEZA</t>
  </si>
  <si>
    <t>LANDAZURI</t>
  </si>
  <si>
    <t>MACARAVITA</t>
  </si>
  <si>
    <t>MALAGA</t>
  </si>
  <si>
    <t>MATANZA</t>
  </si>
  <si>
    <t>MOGOTES</t>
  </si>
  <si>
    <t>MOLAGAVITA</t>
  </si>
  <si>
    <t>OCAMONTE</t>
  </si>
  <si>
    <t>ONZAGA</t>
  </si>
  <si>
    <t>PALMAR</t>
  </si>
  <si>
    <t>PALMAS DEL SOCORRO</t>
  </si>
  <si>
    <t>PARAMO</t>
  </si>
  <si>
    <t>PINCHOTE</t>
  </si>
  <si>
    <t>PUENTE NACIONAL</t>
  </si>
  <si>
    <t>PUERTO PARRA</t>
  </si>
  <si>
    <t>PUERTO WILCHES</t>
  </si>
  <si>
    <t>SABANA DE TORRES</t>
  </si>
  <si>
    <t>SAN BENITO</t>
  </si>
  <si>
    <t>SAN JOAQUIN</t>
  </si>
  <si>
    <t>SAN JOSE DE MIRANDA</t>
  </si>
  <si>
    <t>SAN VICENTE DE CHUCURI</t>
  </si>
  <si>
    <t>SANTA HELENA DEL OPON</t>
  </si>
  <si>
    <t>SIMACOTA</t>
  </si>
  <si>
    <t>SUAITA</t>
  </si>
  <si>
    <t>SURATA</t>
  </si>
  <si>
    <t>TONA</t>
  </si>
  <si>
    <t>VALLE DE SAN JOSE</t>
  </si>
  <si>
    <t>VELEZ</t>
  </si>
  <si>
    <t>VETAS</t>
  </si>
  <si>
    <t>SAN PEDRO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</si>
  <si>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</si>
  <si>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</si>
  <si>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</si>
  <si>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</si>
  <si>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</si>
  <si>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</si>
  <si>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</si>
  <si>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</si>
  <si>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</si>
  <si>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</si>
  <si>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</si>
  <si>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</si>
  <si>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</si>
  <si>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</si>
  <si>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</si>
  <si>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</si>
  <si>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</si>
  <si>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</si>
  <si>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</si>
  <si>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</si>
  <si>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</si>
  <si>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</si>
  <si>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</si>
  <si>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</si>
  <si>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</si>
  <si>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</si>
  <si>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</si>
  <si>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</si>
  <si>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</si>
  <si>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</si>
  <si>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</si>
  <si>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</si>
  <si>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</si>
  <si>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</si>
  <si>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</si>
  <si>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</si>
  <si>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</si>
  <si>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</si>
  <si>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</si>
  <si>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</si>
  <si>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</si>
  <si>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</si>
  <si>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</si>
  <si>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</si>
  <si>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</si>
  <si>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</si>
  <si>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</si>
  <si>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</si>
  <si>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</si>
  <si>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</si>
  <si>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</si>
  <si>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</si>
  <si>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</si>
  <si>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</si>
  <si>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</si>
  <si>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</si>
  <si>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</si>
  <si>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</si>
  <si>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</si>
  <si>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</si>
  <si>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ANDALUCIA</t>
  </si>
  <si>
    <t>ANSERMANUEVO</t>
  </si>
  <si>
    <t>BUENAVENTURA</t>
  </si>
  <si>
    <t>CAICEDONIA</t>
  </si>
  <si>
    <t>CALIMA</t>
  </si>
  <si>
    <t>CARTAGO</t>
  </si>
  <si>
    <t>DAGUA</t>
  </si>
  <si>
    <t>EL AGUILA</t>
  </si>
  <si>
    <t>EL CAIRO</t>
  </si>
  <si>
    <t>EL CERRITO</t>
  </si>
  <si>
    <t>EL DOVIO</t>
  </si>
  <si>
    <t>GINEBRA</t>
  </si>
  <si>
    <t>GUACARI</t>
  </si>
  <si>
    <t>GUADALAJARA DE BUGA</t>
  </si>
  <si>
    <t>LA CUMBRE</t>
  </si>
  <si>
    <t>OBANDO</t>
  </si>
  <si>
    <t>PRADERA</t>
  </si>
  <si>
    <t>RIOFRIO</t>
  </si>
  <si>
    <t>ROLDANILLO</t>
  </si>
  <si>
    <t>SEVILLA</t>
  </si>
  <si>
    <t>TRUJILLO</t>
  </si>
  <si>
    <t>ULLOA</t>
  </si>
  <si>
    <t>VERSALLES</t>
  </si>
  <si>
    <t>VIJES</t>
  </si>
  <si>
    <t>YOTOCO</t>
  </si>
  <si>
    <t>CARURU</t>
  </si>
  <si>
    <t>VAUPES</t>
  </si>
  <si>
    <t>MITU</t>
  </si>
  <si>
    <t>PACOA</t>
  </si>
  <si>
    <t>PAPUNAUA</t>
  </si>
  <si>
    <t>TARAIRA</t>
  </si>
  <si>
    <t>YAVARATE</t>
  </si>
  <si>
    <t>CUMARIBO</t>
  </si>
  <si>
    <t>VICHADA</t>
  </si>
  <si>
    <t>LA PRIMAVERA</t>
  </si>
  <si>
    <t>PUERTO CARREÑO</t>
  </si>
  <si>
    <t>SANTA ROSALIA</t>
  </si>
  <si>
    <t>TUCHIN</t>
  </si>
  <si>
    <t>SAN JOSE DE URE</t>
  </si>
  <si>
    <t>CENTRO_COSTO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</si>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</sst>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 _€_-;\-* #,##0.00\ _€_-;_-* &quot;-&quot;??\ _€_-;_-@_-"/>
    <numFmt numFmtId="165" formatCode="_(&quot;$&quot;\ * #,##0.00_);_(&quot;$&quot;\ * \(#,##0.00\);_(&quot;$&quot;\ * &quot;-&quot;??_);_(@_)"/>
    <numFmt numFmtId="166" formatCode="&quot;$&quot;#,##0.00;\-&quot;$&quot;#,##0.00"/>
    <numFmt numFmtId="167" formatCode="_-&quot;$&quot;* #,##0.00_-;\-&quot;$&quot;* #,##0.00_-;_-&quot;$&quot;* &quot;-&quot;??_-;_-@_-"/>
    <numFmt numFmtId="168" formatCode="[$-240A]dddd\,\ dd&quot; de &quot;mmmm&quot; de &quot;yyyy"/>
    <numFmt numFmtId="169" formatCode="_(&quot;$&quot;\ * #,##0_);_(&quot;$&quot;\ * \(#,##0\);_(&quot;$&quot;\ * &quot;-&quot;??_);_(@_)"/>
    <numFmt numFmtId="170" formatCode="_-&quot;$&quot;* #,##0_-;\-&quot;$&quot;* #,##0_-;_-&quot;$&quot;* &quot;-&quot;??_-;_-@_-"/>
    <numFmt numFmtId="171" formatCode="[$-409]d\-m\-yy\ h:mm\ AM/PM;@"/>
    <numFmt numFmtId="172" formatCode="_-&quot;$&quot;* #,##0_-;\-&quot;$&quot;* #,##0_-;_-&quot;$&quot;* &quot;-&quot;_-;_-@_-"/>
    <numFmt numFmtId="173" formatCode="_ &quot;$&quot;\ * #,##0_ ;_ &quot;$&quot;\ * \-#,##0_ ;_ &quot;$&quot;\ * &quot;-&quot;??_ ;_ @_ "/>
    <numFmt numFmtId="174" formatCode="_ * #,##0.00_ ;_ * \-#,##0.00_ ;_ * &quot;-&quot;??_ ;_ @_ "/>
    <numFmt numFmtId="175" formatCode="&quot;$&quot;\ #,##0"/>
    <numFmt numFmtId="176" formatCode="_-[$$-240A]\ * #,##0_-;\-[$$-240A]\ * #,##0_-;_-[$$-240A]\ * &quot;-&quot;_-;_-@_-"/>
    <numFmt numFmtId="177" formatCode="dd/mm/yyyy;@"/>
    <numFmt numFmtId="178" formatCode="dd/mm/yyyy"/>
  </numFmts>
  <fonts count="26">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b/>
      <sz val="1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10"/>
      <name val="Gelion Thin"/>
    </font>
    <font>
      <b/>
      <sz val="10"/>
      <name val="Gelion Thin"/>
    </font>
    <font>
      <sz val="11"/>
      <name val="Calibri"/>
      <family val="2"/>
      <scheme val="minor"/>
    </font>
    <font>
      <b/>
      <sz val="10"/>
      <color rgb="FFC00000"/>
      <name val="Gelion Thin"/>
    </font>
    <font>
      <sz val="10"/>
      <color rgb="FFC00000"/>
      <name val="Gelion Thin"/>
    </font>
    <font>
      <sz val="11"/>
      <color rgb="FFC00000"/>
      <name val="Calibri"/>
      <family val="2"/>
      <scheme val="minor"/>
    </font>
    <font>
      <b/>
      <sz val="9"/>
      <color rgb="FFC00000"/>
      <name val="Gelion Thin"/>
    </font>
    <font>
      <sz val="10"/>
      <name val="Calibri"/>
      <family val="2"/>
      <scheme val="minor"/>
    </font>
  </fonts>
  <fills count="12">
    <fill>
      <patternFill patternType="none"/>
    </fill>
    <fill>
      <patternFill patternType="gray125"/>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B0F70A"/>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86">
    <xf numFmtId="0" fontId="0" fillId="0" borderId="0"/>
    <xf numFmtId="167"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0" fontId="1" fillId="0" borderId="0"/>
    <xf numFmtId="165" fontId="2" fillId="0" borderId="0" applyFont="0" applyFill="0" applyBorder="0" applyAlignment="0" applyProtection="0"/>
    <xf numFmtId="0" fontId="3" fillId="0" borderId="0"/>
    <xf numFmtId="0" fontId="1" fillId="0" borderId="0"/>
    <xf numFmtId="0" fontId="2" fillId="0" borderId="0"/>
    <xf numFmtId="0" fontId="2" fillId="0" borderId="0"/>
    <xf numFmtId="171" fontId="2" fillId="0" borderId="0"/>
    <xf numFmtId="173" fontId="2" fillId="0" borderId="0" applyFont="0" applyFill="0" applyBorder="0" applyAlignment="0" applyProtection="0"/>
    <xf numFmtId="0" fontId="2" fillId="0" borderId="0"/>
    <xf numFmtId="0" fontId="2" fillId="0" borderId="0"/>
    <xf numFmtId="0" fontId="1" fillId="0" borderId="0"/>
    <xf numFmtId="0" fontId="2" fillId="0" borderId="0"/>
    <xf numFmtId="171" fontId="1" fillId="0" borderId="0"/>
    <xf numFmtId="0" fontId="5" fillId="0" borderId="0"/>
    <xf numFmtId="168" fontId="2" fillId="0" borderId="0"/>
    <xf numFmtId="171" fontId="1" fillId="0" borderId="0"/>
    <xf numFmtId="0" fontId="6" fillId="0" borderId="0"/>
    <xf numFmtId="0" fontId="6" fillId="0" borderId="0"/>
    <xf numFmtId="0" fontId="1" fillId="0" borderId="0"/>
    <xf numFmtId="0" fontId="1" fillId="0" borderId="0"/>
    <xf numFmtId="0" fontId="1" fillId="0" borderId="0"/>
    <xf numFmtId="43" fontId="1" fillId="0" borderId="0" applyFont="0" applyFill="0" applyBorder="0" applyAlignment="0" applyProtection="0"/>
    <xf numFmtId="0" fontId="2" fillId="0" borderId="0"/>
    <xf numFmtId="174" fontId="2" fillId="0" borderId="0" applyFont="0" applyFill="0" applyBorder="0" applyAlignment="0" applyProtection="0"/>
    <xf numFmtId="171" fontId="2" fillId="0" borderId="0"/>
    <xf numFmtId="0" fontId="1" fillId="0" borderId="0"/>
    <xf numFmtId="171" fontId="2" fillId="0" borderId="0"/>
    <xf numFmtId="0" fontId="2" fillId="0" borderId="0"/>
    <xf numFmtId="0" fontId="1" fillId="0" borderId="0"/>
    <xf numFmtId="0" fontId="1" fillId="0" borderId="0"/>
    <xf numFmtId="0" fontId="2" fillId="0" borderId="0"/>
    <xf numFmtId="43" fontId="2" fillId="0" borderId="0" applyFont="0" applyFill="0" applyBorder="0" applyAlignment="0" applyProtection="0"/>
    <xf numFmtId="0" fontId="2" fillId="0" borderId="0"/>
    <xf numFmtId="0" fontId="3" fillId="0" borderId="0"/>
    <xf numFmtId="0" fontId="1" fillId="0" borderId="0"/>
    <xf numFmtId="171" fontId="1" fillId="0" borderId="0"/>
    <xf numFmtId="0" fontId="1" fillId="0" borderId="0"/>
    <xf numFmtId="0" fontId="1" fillId="0" borderId="0"/>
    <xf numFmtId="174" fontId="2" fillId="0" borderId="0" applyFont="0" applyFill="0" applyBorder="0" applyAlignment="0" applyProtection="0"/>
    <xf numFmtId="0" fontId="1" fillId="0" borderId="0"/>
    <xf numFmtId="0" fontId="1" fillId="0" borderId="0"/>
    <xf numFmtId="0" fontId="1" fillId="0" borderId="0"/>
    <xf numFmtId="0" fontId="1" fillId="0" borderId="0"/>
    <xf numFmtId="0" fontId="7" fillId="0" borderId="0" applyNumberForma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167" fontId="3" fillId="0" borderId="0" applyFont="0" applyFill="0" applyBorder="0" applyAlignment="0" applyProtection="0"/>
    <xf numFmtId="165" fontId="1" fillId="0" borderId="0" applyFont="0" applyFill="0" applyBorder="0" applyAlignment="0" applyProtection="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71" fontId="2" fillId="0" borderId="0"/>
    <xf numFmtId="174" fontId="2" fillId="0" borderId="0" applyFont="0" applyFill="0" applyBorder="0" applyAlignment="0" applyProtection="0"/>
    <xf numFmtId="0" fontId="1" fillId="0" borderId="0"/>
    <xf numFmtId="172" fontId="2"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43" fontId="1" fillId="0" borderId="0" applyFont="0" applyFill="0" applyBorder="0" applyAlignment="0" applyProtection="0"/>
  </cellStyleXfs>
  <cellXfs count="106">
    <xf numFmtId="0" fontId="0" fillId="0" borderId="0" xfId="0"/>
    <xf numFmtId="0" fontId="4" fillId="0" borderId="0" xfId="0" applyFont="1"/>
    <xf numFmtId="43" fontId="0" fillId="0" borderId="0" xfId="0" applyNumberFormat="1"/>
    <xf numFmtId="170" fontId="0" fillId="0" borderId="0" xfId="0" applyNumberFormat="1"/>
    <xf numFmtId="0" fontId="11" fillId="0" borderId="1" xfId="0" applyFont="1" applyBorder="1" applyAlignment="1">
      <alignment vertical="center" wrapText="1"/>
    </xf>
    <xf numFmtId="0" fontId="11" fillId="0" borderId="1" xfId="0" applyFont="1" applyBorder="1" applyAlignment="1">
      <alignment horizontal="center" vertical="center" wrapText="1"/>
    </xf>
    <xf numFmtId="170" fontId="11" fillId="0" borderId="1" xfId="0" applyNumberFormat="1" applyFont="1" applyBorder="1" applyAlignment="1">
      <alignment vertical="center" wrapText="1"/>
    </xf>
    <xf numFmtId="0" fontId="12" fillId="0" borderId="0" xfId="0" applyFont="1"/>
    <xf numFmtId="165" fontId="12" fillId="0" borderId="1" xfId="4"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9" fontId="12" fillId="0" borderId="0" xfId="0" applyNumberFormat="1" applyFont="1"/>
    <xf numFmtId="0" fontId="9" fillId="0" borderId="1" xfId="84" applyFont="1" applyBorder="1"/>
    <xf numFmtId="0" fontId="1" fillId="0" borderId="0" xfId="84"/>
    <xf numFmtId="0" fontId="10" fillId="2" borderId="1" xfId="0" applyFont="1" applyFill="1" applyBorder="1" applyAlignment="1">
      <alignment vertical="center" wrapText="1"/>
    </xf>
    <xf numFmtId="17" fontId="11" fillId="0" borderId="1" xfId="0" applyNumberFormat="1" applyFont="1" applyBorder="1" applyAlignment="1">
      <alignment vertical="center" wrapText="1"/>
    </xf>
    <xf numFmtId="0" fontId="10" fillId="2" borderId="1" xfId="0" applyFont="1" applyFill="1" applyBorder="1" applyAlignment="1">
      <alignment horizontal="center" vertical="center" wrapText="1"/>
    </xf>
    <xf numFmtId="170" fontId="10" fillId="2" borderId="1" xfId="1" applyNumberFormat="1" applyFont="1" applyFill="1" applyBorder="1" applyAlignment="1">
      <alignment vertical="center" wrapText="1"/>
    </xf>
    <xf numFmtId="166" fontId="10" fillId="2" borderId="1" xfId="0" applyNumberFormat="1" applyFont="1" applyFill="1" applyBorder="1" applyAlignment="1">
      <alignment horizontal="left" vertical="center" wrapText="1"/>
    </xf>
    <xf numFmtId="0" fontId="14" fillId="3" borderId="1" xfId="0" applyFont="1" applyFill="1" applyBorder="1" applyAlignment="1">
      <alignment wrapText="1"/>
    </xf>
    <xf numFmtId="0" fontId="14" fillId="3" borderId="5" xfId="0" applyFont="1" applyFill="1" applyBorder="1" applyAlignment="1">
      <alignment wrapText="1"/>
    </xf>
    <xf numFmtId="0" fontId="14" fillId="4" borderId="5" xfId="0" applyFont="1" applyFill="1" applyBorder="1" applyAlignment="1">
      <alignment wrapText="1"/>
    </xf>
    <xf numFmtId="0" fontId="15" fillId="0" borderId="3" xfId="0" applyFont="1" applyBorder="1"/>
    <xf numFmtId="0" fontId="15" fillId="5" borderId="7" xfId="0" applyFont="1" applyFill="1" applyBorder="1"/>
    <xf numFmtId="0" fontId="15" fillId="0" borderId="7" xfId="0" applyFont="1" applyBorder="1"/>
    <xf numFmtId="0" fontId="16" fillId="0" borderId="7" xfId="0" applyFont="1" applyBorder="1"/>
    <xf numFmtId="0" fontId="15" fillId="6" borderId="7" xfId="0" applyFont="1" applyFill="1" applyBorder="1"/>
    <xf numFmtId="169" fontId="12" fillId="0" borderId="1" xfId="12" applyNumberFormat="1" applyFont="1" applyBorder="1" applyAlignment="1">
      <alignment vertical="center"/>
    </xf>
    <xf numFmtId="0" fontId="10" fillId="2" borderId="4" xfId="12" applyFont="1" applyFill="1" applyBorder="1" applyAlignment="1">
      <alignment horizontal="center"/>
    </xf>
    <xf numFmtId="175" fontId="10" fillId="2" borderId="7" xfId="12" applyNumberFormat="1" applyFont="1" applyFill="1" applyBorder="1" applyAlignment="1">
      <alignment horizontal="center" vertical="center"/>
    </xf>
    <xf numFmtId="175" fontId="10" fillId="2" borderId="3" xfId="12" applyNumberFormat="1" applyFont="1" applyFill="1" applyBorder="1" applyAlignment="1">
      <alignment horizontal="center" vertical="center"/>
    </xf>
    <xf numFmtId="0" fontId="17" fillId="0" borderId="1" xfId="0" applyFont="1" applyBorder="1"/>
    <xf numFmtId="0" fontId="17" fillId="0" borderId="5" xfId="0" applyFont="1" applyBorder="1"/>
    <xf numFmtId="0" fontId="17" fillId="0" borderId="3" xfId="0" applyFont="1" applyBorder="1"/>
    <xf numFmtId="0" fontId="17" fillId="0" borderId="7" xfId="0" applyFont="1" applyBorder="1"/>
    <xf numFmtId="0" fontId="0" fillId="0" borderId="0" xfId="0" pivotButton="1"/>
    <xf numFmtId="10" fontId="0" fillId="0" borderId="0" xfId="0" applyNumberFormat="1"/>
    <xf numFmtId="176" fontId="0" fillId="0" borderId="0" xfId="0" applyNumberFormat="1"/>
    <xf numFmtId="0" fontId="0" fillId="8" borderId="0" xfId="0" applyFill="1"/>
    <xf numFmtId="10" fontId="4" fillId="8" borderId="0" xfId="0" applyNumberFormat="1" applyFont="1" applyFill="1" applyAlignment="1">
      <alignment horizontal="center"/>
    </xf>
    <xf numFmtId="169" fontId="12" fillId="9" borderId="1" xfId="4" applyNumberFormat="1" applyFont="1" applyFill="1" applyBorder="1" applyAlignment="1">
      <alignment horizontal="center" vertical="center"/>
    </xf>
    <xf numFmtId="169" fontId="12" fillId="9" borderId="2" xfId="4" applyNumberFormat="1" applyFont="1" applyFill="1" applyBorder="1" applyAlignment="1">
      <alignment horizontal="center" vertical="center"/>
    </xf>
    <xf numFmtId="169" fontId="12" fillId="9" borderId="1" xfId="4" applyNumberFormat="1" applyFont="1" applyFill="1" applyBorder="1" applyAlignment="1">
      <alignment vertical="center" wrapText="1"/>
    </xf>
    <xf numFmtId="169" fontId="12" fillId="9" borderId="1" xfId="4" applyNumberFormat="1" applyFont="1" applyFill="1" applyBorder="1" applyAlignment="1">
      <alignment horizontal="center"/>
    </xf>
    <xf numFmtId="0" fontId="19" fillId="7" borderId="1" xfId="0" applyFont="1" applyFill="1" applyBorder="1" applyAlignment="1" applyProtection="1">
      <alignment horizontal="center" vertical="center" wrapText="1"/>
      <protection locked="0"/>
    </xf>
    <xf numFmtId="0" fontId="18" fillId="0" borderId="1" xfId="0" applyFont="1" applyBorder="1" applyAlignment="1">
      <alignment horizontal="center" vertical="center"/>
    </xf>
    <xf numFmtId="0" fontId="18" fillId="0" borderId="0" xfId="0" applyFont="1"/>
    <xf numFmtId="168" fontId="19" fillId="7" borderId="1" xfId="0" applyNumberFormat="1" applyFont="1" applyFill="1" applyBorder="1" applyAlignment="1">
      <alignment horizontal="center" vertical="center" wrapText="1"/>
    </xf>
    <xf numFmtId="168" fontId="19" fillId="7" borderId="1" xfId="0" applyNumberFormat="1" applyFont="1" applyFill="1" applyBorder="1" applyAlignment="1" applyProtection="1">
      <alignment horizontal="center" vertical="center" wrapText="1"/>
      <protection locked="0"/>
    </xf>
    <xf numFmtId="170" fontId="18" fillId="0" borderId="1" xfId="1" applyNumberFormat="1" applyFont="1" applyFill="1" applyBorder="1" applyAlignment="1">
      <alignment horizontal="left"/>
    </xf>
    <xf numFmtId="175" fontId="10" fillId="2" borderId="8" xfId="12" applyNumberFormat="1" applyFont="1" applyFill="1" applyBorder="1" applyAlignment="1">
      <alignment horizontal="center" vertical="center"/>
    </xf>
    <xf numFmtId="9" fontId="0" fillId="0" borderId="0" xfId="0" applyNumberFormat="1"/>
    <xf numFmtId="170" fontId="0" fillId="0" borderId="0" xfId="1" applyNumberFormat="1" applyFont="1"/>
    <xf numFmtId="170" fontId="18" fillId="0" borderId="2" xfId="1" applyNumberFormat="1" applyFont="1" applyFill="1" applyBorder="1" applyAlignment="1">
      <alignment horizontal="left"/>
    </xf>
    <xf numFmtId="170" fontId="19" fillId="7" borderId="1" xfId="1" applyNumberFormat="1" applyFont="1" applyFill="1" applyBorder="1" applyAlignment="1">
      <alignment horizontal="center" vertical="center" wrapText="1"/>
    </xf>
    <xf numFmtId="169" fontId="18" fillId="0" borderId="1" xfId="6" applyNumberFormat="1" applyFont="1" applyFill="1" applyBorder="1" applyAlignment="1">
      <alignment horizontal="center"/>
    </xf>
    <xf numFmtId="175" fontId="10" fillId="2" borderId="4" xfId="12" applyNumberFormat="1" applyFont="1" applyFill="1" applyBorder="1" applyAlignment="1">
      <alignment horizontal="center" vertical="center"/>
    </xf>
    <xf numFmtId="0" fontId="11" fillId="0" borderId="1" xfId="0" applyFont="1" applyBorder="1" applyAlignment="1">
      <alignment horizontal="center" vertical="center"/>
    </xf>
    <xf numFmtId="0" fontId="22" fillId="0" borderId="0" xfId="0" applyFont="1"/>
    <xf numFmtId="14" fontId="22" fillId="0" borderId="0" xfId="0" applyNumberFormat="1" applyFont="1"/>
    <xf numFmtId="170" fontId="21" fillId="0" borderId="0" xfId="0" applyNumberFormat="1" applyFont="1"/>
    <xf numFmtId="0" fontId="23" fillId="0" borderId="0" xfId="0" applyFont="1"/>
    <xf numFmtId="0" fontId="23" fillId="0" borderId="0" xfId="0" applyFont="1" applyAlignment="1">
      <alignment horizontal="center"/>
    </xf>
    <xf numFmtId="169" fontId="24" fillId="0" borderId="3" xfId="6" applyNumberFormat="1" applyFont="1" applyFill="1" applyBorder="1" applyAlignment="1">
      <alignment horizontal="center"/>
    </xf>
    <xf numFmtId="170" fontId="11" fillId="0" borderId="1" xfId="1" applyNumberFormat="1" applyFont="1" applyBorder="1" applyAlignment="1">
      <alignment horizontal="center" vertical="center"/>
    </xf>
    <xf numFmtId="14" fontId="19" fillId="7" borderId="4" xfId="0" applyNumberFormat="1" applyFont="1" applyFill="1" applyBorder="1" applyAlignment="1" applyProtection="1">
      <alignment horizontal="center" vertical="center" wrapText="1"/>
      <protection locked="0"/>
    </xf>
    <xf numFmtId="168" fontId="19" fillId="7" borderId="4" xfId="0" applyNumberFormat="1" applyFont="1" applyFill="1" applyBorder="1" applyAlignment="1">
      <alignment horizontal="center" vertical="center" wrapText="1"/>
    </xf>
    <xf numFmtId="167" fontId="19" fillId="7" borderId="1" xfId="78" applyFont="1" applyFill="1" applyBorder="1" applyAlignment="1">
      <alignment horizontal="center" vertical="center" wrapText="1"/>
    </xf>
    <xf numFmtId="0" fontId="20" fillId="7" borderId="1" xfId="0" applyFont="1" applyFill="1" applyBorder="1" applyAlignment="1">
      <alignment horizontal="center" vertical="center" wrapText="1"/>
    </xf>
    <xf numFmtId="0" fontId="25" fillId="0" borderId="4" xfId="0" applyFont="1" applyBorder="1" applyAlignment="1">
      <alignment horizontal="left"/>
    </xf>
    <xf numFmtId="0" fontId="25" fillId="0" borderId="1" xfId="0" applyFont="1" applyBorder="1" applyAlignment="1">
      <alignment horizontal="left"/>
    </xf>
    <xf numFmtId="0" fontId="25" fillId="0" borderId="4" xfId="0" applyFont="1" applyBorder="1" applyAlignment="1" applyProtection="1">
      <alignment horizontal="left"/>
      <protection locked="0"/>
    </xf>
    <xf numFmtId="0" fontId="25" fillId="0" borderId="1" xfId="0" applyFont="1" applyBorder="1" applyAlignment="1" applyProtection="1">
      <alignment horizontal="left"/>
      <protection locked="0"/>
    </xf>
    <xf numFmtId="0" fontId="25" fillId="0" borderId="9" xfId="0" applyFont="1" applyBorder="1" applyAlignment="1" applyProtection="1">
      <alignment horizontal="left"/>
      <protection locked="0"/>
    </xf>
    <xf numFmtId="177" fontId="25" fillId="0" borderId="4" xfId="0" applyNumberFormat="1" applyFont="1" applyBorder="1" applyAlignment="1" applyProtection="1">
      <alignment horizontal="left" vertical="center"/>
      <protection locked="0"/>
    </xf>
    <xf numFmtId="0" fontId="25" fillId="10" borderId="4" xfId="0" applyFont="1" applyFill="1" applyBorder="1" applyAlignment="1" applyProtection="1">
      <alignment horizontal="left"/>
      <protection locked="0"/>
    </xf>
    <xf numFmtId="14" fontId="25" fillId="0" borderId="4" xfId="0" applyNumberFormat="1" applyFont="1" applyBorder="1" applyAlignment="1" applyProtection="1">
      <alignment horizontal="left" vertical="center"/>
      <protection locked="0"/>
    </xf>
    <xf numFmtId="14" fontId="25" fillId="0" borderId="1" xfId="0" applyNumberFormat="1" applyFont="1" applyBorder="1" applyAlignment="1">
      <alignment horizontal="left"/>
    </xf>
    <xf numFmtId="0" fontId="25" fillId="0" borderId="4" xfId="0" applyFont="1" applyBorder="1" applyAlignment="1">
      <alignment horizontal="left" wrapText="1"/>
    </xf>
    <xf numFmtId="1" fontId="25" fillId="0" borderId="4" xfId="0" applyNumberFormat="1" applyFont="1" applyBorder="1" applyAlignment="1">
      <alignment horizontal="left"/>
    </xf>
    <xf numFmtId="0" fontId="19" fillId="0" borderId="0" xfId="0" applyFont="1" applyAlignment="1">
      <alignment wrapText="1"/>
    </xf>
    <xf numFmtId="0" fontId="25" fillId="0" borderId="4" xfId="0" applyFont="1" applyBorder="1" applyAlignment="1" applyProtection="1">
      <alignment horizontal="left" vertical="center"/>
      <protection locked="0"/>
    </xf>
    <xf numFmtId="0" fontId="25" fillId="0" borderId="1" xfId="0" applyFont="1" applyBorder="1"/>
    <xf numFmtId="178" fontId="25" fillId="0" borderId="1" xfId="0" applyNumberFormat="1" applyFont="1" applyBorder="1" applyAlignment="1" applyProtection="1">
      <alignment horizontal="left" vertical="center"/>
      <protection locked="0"/>
    </xf>
    <xf numFmtId="0" fontId="25" fillId="0" borderId="1" xfId="0" applyFont="1" applyBorder="1" applyAlignment="1" applyProtection="1">
      <alignment horizontal="left" vertical="center"/>
      <protection locked="0"/>
    </xf>
    <xf numFmtId="0" fontId="19" fillId="7" borderId="1" xfId="0" applyFont="1" applyFill="1" applyBorder="1" applyAlignment="1">
      <alignment horizontal="center" vertical="center" wrapText="1"/>
    </xf>
    <xf numFmtId="0" fontId="18" fillId="0" borderId="1" xfId="0" applyFont="1" applyBorder="1" applyAlignment="1">
      <alignment horizontal="center"/>
    </xf>
    <xf numFmtId="22" fontId="18" fillId="0" borderId="1" xfId="0" applyNumberFormat="1" applyFont="1" applyBorder="1" applyAlignment="1">
      <alignment horizontal="center"/>
    </xf>
    <xf numFmtId="1" fontId="18" fillId="0" borderId="1" xfId="0" applyNumberFormat="1" applyFont="1" applyBorder="1" applyAlignment="1">
      <alignment horizontal="center"/>
    </xf>
    <xf numFmtId="1" fontId="18" fillId="0" borderId="1" xfId="85" applyNumberFormat="1" applyFont="1" applyBorder="1" applyAlignment="1">
      <alignment horizontal="center"/>
    </xf>
    <xf numFmtId="49" fontId="18" fillId="0" borderId="1" xfId="0" applyNumberFormat="1" applyFont="1" applyBorder="1" applyAlignment="1">
      <alignment horizontal="center"/>
    </xf>
    <xf numFmtId="0" fontId="18" fillId="11" borderId="1" xfId="0" applyFont="1" applyFill="1" applyBorder="1" applyAlignment="1">
      <alignment horizontal="center"/>
    </xf>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13" fillId="2" borderId="1" xfId="0" applyFont="1" applyFill="1" applyBorder="1" applyAlignment="1">
      <alignment horizontal="center"/>
    </xf>
    <xf numFmtId="0" fontId="13" fillId="2" borderId="1" xfId="0" applyFont="1" applyFill="1" applyBorder="1" applyAlignment="1">
      <alignment horizontal="center" vertical="center"/>
    </xf>
    <xf numFmtId="0" fontId="10" fillId="2" borderId="2" xfId="12" applyFont="1" applyFill="1" applyBorder="1" applyAlignment="1">
      <alignment horizontal="center"/>
    </xf>
    <xf numFmtId="0" fontId="10" fillId="2" borderId="6" xfId="12" applyFont="1" applyFill="1" applyBorder="1" applyAlignment="1">
      <alignment horizontal="center"/>
    </xf>
    <xf numFmtId="0" fontId="10" fillId="2" borderId="5" xfId="12" applyFont="1" applyFill="1" applyBorder="1" applyAlignment="1">
      <alignment horizontal="center"/>
    </xf>
    <xf numFmtId="0" fontId="10" fillId="2" borderId="2" xfId="0" applyFont="1" applyFill="1" applyBorder="1" applyAlignment="1">
      <alignment horizontal="center"/>
    </xf>
    <xf numFmtId="0" fontId="10" fillId="2" borderId="6" xfId="0" applyFont="1" applyFill="1" applyBorder="1" applyAlignment="1">
      <alignment horizontal="center"/>
    </xf>
    <xf numFmtId="0" fontId="10" fillId="2" borderId="5" xfId="0" applyFont="1" applyFill="1" applyBorder="1" applyAlignment="1">
      <alignment horizontal="center"/>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1" xfId="0" applyFont="1" applyBorder="1" applyAlignment="1">
      <alignment horizontal="left" vertical="center" wrapText="1"/>
    </xf>
  </cellXfs>
  <cellStyles count="86">
    <cellStyle name="Excel Built-in Normal" xfId="20" xr:uid="{00000000-0005-0000-0000-000000000000}"/>
    <cellStyle name="Hyperlink" xfId="50" xr:uid="{00000000-0005-0000-0000-000001000000}"/>
    <cellStyle name="Millares" xfId="85" builtinId="3"/>
    <cellStyle name="Millares 2" xfId="28" xr:uid="{00000000-0005-0000-0000-000002000000}"/>
    <cellStyle name="Millares 2 2" xfId="38" xr:uid="{00000000-0005-0000-0000-000003000000}"/>
    <cellStyle name="Millares 2 3" xfId="52" xr:uid="{00000000-0005-0000-0000-000004000000}"/>
    <cellStyle name="Millares 3" xfId="53" xr:uid="{00000000-0005-0000-0000-000005000000}"/>
    <cellStyle name="Moneda" xfId="1" builtinId="4"/>
    <cellStyle name="Moneda [0] 2" xfId="74" xr:uid="{00000000-0005-0000-0000-000007000000}"/>
    <cellStyle name="Moneda 2" xfId="6" xr:uid="{00000000-0005-0000-0000-000008000000}"/>
    <cellStyle name="Moneda 2 10" xfId="8" xr:uid="{00000000-0005-0000-0000-000009000000}"/>
    <cellStyle name="Moneda 2 10 2" xfId="79" xr:uid="{00000000-0005-0000-0000-00000A000000}"/>
    <cellStyle name="Moneda 2 2 2" xfId="2" xr:uid="{00000000-0005-0000-0000-00000B000000}"/>
    <cellStyle name="Moneda 3" xfId="54" xr:uid="{00000000-0005-0000-0000-00000C000000}"/>
    <cellStyle name="Moneda 3 7" xfId="83" xr:uid="{00000000-0005-0000-0000-00000D000000}"/>
    <cellStyle name="Moneda 4" xfId="4" xr:uid="{00000000-0005-0000-0000-00000E000000}"/>
    <cellStyle name="Moneda 4 2" xfId="55" xr:uid="{00000000-0005-0000-0000-00000F000000}"/>
    <cellStyle name="Moneda 4 3" xfId="80" xr:uid="{00000000-0005-0000-0000-000010000000}"/>
    <cellStyle name="Moneda 5" xfId="78" xr:uid="{00000000-0005-0000-0000-000011000000}"/>
    <cellStyle name="Moneda 6" xfId="82" xr:uid="{00000000-0005-0000-0000-000012000000}"/>
    <cellStyle name="Normal" xfId="0" builtinId="0"/>
    <cellStyle name="Normal 10" xfId="40" xr:uid="{00000000-0005-0000-0000-000014000000}"/>
    <cellStyle name="Normal 10 2 10" xfId="22" xr:uid="{00000000-0005-0000-0000-000015000000}"/>
    <cellStyle name="Normal 10 2 10 2" xfId="56" xr:uid="{00000000-0005-0000-0000-000016000000}"/>
    <cellStyle name="Normal 10 2 10 3" xfId="42" xr:uid="{00000000-0005-0000-0000-000017000000}"/>
    <cellStyle name="Normal 10 2 10 50" xfId="32" xr:uid="{00000000-0005-0000-0000-000018000000}"/>
    <cellStyle name="Normal 10 2 10 50 2" xfId="57" xr:uid="{00000000-0005-0000-0000-000019000000}"/>
    <cellStyle name="Normal 11" xfId="75" xr:uid="{00000000-0005-0000-0000-00001A000000}"/>
    <cellStyle name="Normal 12" xfId="76" xr:uid="{00000000-0005-0000-0000-00001B000000}"/>
    <cellStyle name="Normal 15" xfId="29" xr:uid="{00000000-0005-0000-0000-00001C000000}"/>
    <cellStyle name="Normal 17" xfId="30" xr:uid="{00000000-0005-0000-0000-00001D000000}"/>
    <cellStyle name="Normal 172" xfId="9" xr:uid="{00000000-0005-0000-0000-00001E000000}"/>
    <cellStyle name="Normal 177" xfId="84" xr:uid="{6A08ECF3-ED3A-4B44-B418-34DE397D8929}"/>
    <cellStyle name="Normal 2" xfId="17" xr:uid="{00000000-0005-0000-0000-00001F000000}"/>
    <cellStyle name="Normal 2 10" xfId="11" xr:uid="{00000000-0005-0000-0000-000020000000}"/>
    <cellStyle name="Normal 2 10 2" xfId="12" xr:uid="{00000000-0005-0000-0000-000021000000}"/>
    <cellStyle name="Normal 2 10 3" xfId="25" xr:uid="{00000000-0005-0000-0000-000022000000}"/>
    <cellStyle name="Normal 2 2" xfId="19" xr:uid="{00000000-0005-0000-0000-000023000000}"/>
    <cellStyle name="Normal 2 2 2" xfId="3" xr:uid="{00000000-0005-0000-0000-000024000000}"/>
    <cellStyle name="Normal 2 2 2 2" xfId="13" xr:uid="{00000000-0005-0000-0000-000025000000}"/>
    <cellStyle name="Normal 2 2 2 2 2" xfId="33" xr:uid="{00000000-0005-0000-0000-000026000000}"/>
    <cellStyle name="Normal 2 2 2 2 3" xfId="58" xr:uid="{00000000-0005-0000-0000-000027000000}"/>
    <cellStyle name="Normal 2 2 2 2 6 2" xfId="7" xr:uid="{00000000-0005-0000-0000-000028000000}"/>
    <cellStyle name="Normal 2 2 2 2 6 2 2" xfId="77" xr:uid="{00000000-0005-0000-0000-000029000000}"/>
    <cellStyle name="Normal 2 2 2 2 6 2 3" xfId="81" xr:uid="{00000000-0005-0000-0000-00002A000000}"/>
    <cellStyle name="Normal 2 2 2 3" xfId="5" xr:uid="{00000000-0005-0000-0000-00002B000000}"/>
    <cellStyle name="Normal 2 2 2 3 49" xfId="39" xr:uid="{00000000-0005-0000-0000-00002C000000}"/>
    <cellStyle name="Normal 2 2 2 4" xfId="21" xr:uid="{00000000-0005-0000-0000-00002D000000}"/>
    <cellStyle name="Normal 2 2 3" xfId="35" xr:uid="{00000000-0005-0000-0000-00002E000000}"/>
    <cellStyle name="Normal 2 2 3 2" xfId="59" xr:uid="{00000000-0005-0000-0000-00002F000000}"/>
    <cellStyle name="Normal 2 2 4" xfId="26" xr:uid="{00000000-0005-0000-0000-000030000000}"/>
    <cellStyle name="Normal 2 2 4 2" xfId="60" xr:uid="{00000000-0005-0000-0000-000031000000}"/>
    <cellStyle name="Normal 2 2 5" xfId="43" xr:uid="{00000000-0005-0000-0000-000032000000}"/>
    <cellStyle name="Normal 2 2 52" xfId="61" xr:uid="{00000000-0005-0000-0000-000033000000}"/>
    <cellStyle name="Normal 2 3" xfId="36" xr:uid="{00000000-0005-0000-0000-000034000000}"/>
    <cellStyle name="Normal 2 3 2" xfId="62" xr:uid="{00000000-0005-0000-0000-000035000000}"/>
    <cellStyle name="Normal 2 4" xfId="23" xr:uid="{00000000-0005-0000-0000-000036000000}"/>
    <cellStyle name="Normal 2 4 2" xfId="63" xr:uid="{00000000-0005-0000-0000-000037000000}"/>
    <cellStyle name="Normal 2 41" xfId="31" xr:uid="{00000000-0005-0000-0000-000038000000}"/>
    <cellStyle name="Normal 2 5" xfId="41" xr:uid="{00000000-0005-0000-0000-000039000000}"/>
    <cellStyle name="Normal 3" xfId="24" xr:uid="{00000000-0005-0000-0000-00003A000000}"/>
    <cellStyle name="Normal 3 2" xfId="64" xr:uid="{00000000-0005-0000-0000-00003B000000}"/>
    <cellStyle name="Normal 3 3" xfId="65" xr:uid="{00000000-0005-0000-0000-00003C000000}"/>
    <cellStyle name="Normal 3 4" xfId="47" xr:uid="{00000000-0005-0000-0000-00003D000000}"/>
    <cellStyle name="Normal 4" xfId="27" xr:uid="{00000000-0005-0000-0000-00003E000000}"/>
    <cellStyle name="Normal 4 2" xfId="66" xr:uid="{00000000-0005-0000-0000-00003F000000}"/>
    <cellStyle name="Normal 4 3" xfId="48" xr:uid="{00000000-0005-0000-0000-000040000000}"/>
    <cellStyle name="Normal 5" xfId="10" xr:uid="{00000000-0005-0000-0000-000041000000}"/>
    <cellStyle name="Normal 5 10" xfId="44" xr:uid="{00000000-0005-0000-0000-000042000000}"/>
    <cellStyle name="Normal 5 10 2" xfId="67" xr:uid="{00000000-0005-0000-0000-000043000000}"/>
    <cellStyle name="Normal 5 2" xfId="37" xr:uid="{00000000-0005-0000-0000-000044000000}"/>
    <cellStyle name="Normal 5 2 2" xfId="68" xr:uid="{00000000-0005-0000-0000-000045000000}"/>
    <cellStyle name="Normal 5 3" xfId="69" xr:uid="{00000000-0005-0000-0000-000046000000}"/>
    <cellStyle name="Normal 5 4" xfId="49" xr:uid="{00000000-0005-0000-0000-000047000000}"/>
    <cellStyle name="Normal 5 5" xfId="34" xr:uid="{00000000-0005-0000-0000-000048000000}"/>
    <cellStyle name="Normal 6" xfId="51" xr:uid="{00000000-0005-0000-0000-000049000000}"/>
    <cellStyle name="Normal 7" xfId="15" xr:uid="{00000000-0005-0000-0000-00004A000000}"/>
    <cellStyle name="Normal 7 10" xfId="70" xr:uid="{00000000-0005-0000-0000-00004B000000}"/>
    <cellStyle name="Normal 7 2" xfId="18" xr:uid="{00000000-0005-0000-0000-00004C000000}"/>
    <cellStyle name="Normal 7 4" xfId="71" xr:uid="{00000000-0005-0000-0000-00004D000000}"/>
    <cellStyle name="Normal 8" xfId="14" xr:uid="{00000000-0005-0000-0000-00004E000000}"/>
    <cellStyle name="Normal 8 2" xfId="72" xr:uid="{00000000-0005-0000-0000-00004F000000}"/>
    <cellStyle name="Normal 8 3" xfId="45" xr:uid="{00000000-0005-0000-0000-000050000000}"/>
    <cellStyle name="Normal 81" xfId="16" xr:uid="{00000000-0005-0000-0000-000051000000}"/>
    <cellStyle name="Normal 9" xfId="46" xr:uid="{00000000-0005-0000-0000-000052000000}"/>
    <cellStyle name="Normal 9 2" xfId="73" xr:uid="{00000000-0005-0000-0000-000053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170" formatCode="_-&quot;$&quot;* #,##0_-;\-&quot;$&quot;* #,##0_-;_-&quot;$&quot;* &quot;-&quot;??_-;_-@_-"/>
    </dxf>
  </dxfs>
  <tableStyles count="0" defaultTableStyle="TableStyleMedium2" defaultPivotStyle="PivotStyleLight16"/>
  <colors>
    <mruColors>
      <color rgb="FFB0F70A"/>
      <color rgb="FF001D62"/>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customXml" Target="../customXml/item3.xml"/><Relationship Id="rId21" Type="http://schemas.openxmlformats.org/officeDocument/2006/relationships/externalLink" Target="externalLinks/externalLink1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pivotCacheDefinition" Target="pivotCache/pivotCacheDefinition3.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752475</xdr:colOff>
      <xdr:row>20</xdr:row>
      <xdr:rowOff>0</xdr:rowOff>
    </xdr:from>
    <xdr:to>
      <xdr:col>11</xdr:col>
      <xdr:colOff>781050</xdr:colOff>
      <xdr:row>20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8107E3D4-D12E-4815-9BB7-AD9E629DE967}"/>
            </a:ext>
          </a:extLst>
        </xdr:cNvPr>
        <xdr:cNvSpPr/>
      </xdr:nvSpPr>
      <xdr:spPr bwMode="auto">
        <a:xfrm>
          <a:off x="7084695" y="78105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22</xdr:row>
      <xdr:rowOff>0</xdr:rowOff>
    </xdr:from>
    <xdr:to>
      <xdr:col>13</xdr:col>
      <xdr:colOff>777240</xdr:colOff>
      <xdr:row>22</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E8EA45-4C8D-4D8C-9863-762BF80A8A0B}"/>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3</xdr:row>
      <xdr:rowOff>0</xdr:rowOff>
    </xdr:from>
    <xdr:ext cx="26670"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4AA06C02-18E9-4008-8A58-B7CBCB4A6FEE}"/>
            </a:ext>
          </a:extLst>
        </xdr:cNvPr>
        <xdr:cNvSpPr/>
      </xdr:nvSpPr>
      <xdr:spPr bwMode="auto">
        <a:xfrm>
          <a:off x="16466820" y="5095875"/>
          <a:ext cx="2667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15</xdr:col>
      <xdr:colOff>752475</xdr:colOff>
      <xdr:row>22</xdr:row>
      <xdr:rowOff>0</xdr:rowOff>
    </xdr:from>
    <xdr:to>
      <xdr:col>15</xdr:col>
      <xdr:colOff>777240</xdr:colOff>
      <xdr:row>22</xdr:row>
      <xdr:rowOff>76200</xdr:rowOff>
    </xdr:to>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4EC1ECA6-5850-4900-A1ED-A4EC1D4F9DC1}"/>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22</xdr:row>
      <xdr:rowOff>0</xdr:rowOff>
    </xdr:from>
    <xdr:to>
      <xdr:col>12</xdr:col>
      <xdr:colOff>777240</xdr:colOff>
      <xdr:row>22</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7A108737-CD27-493A-8691-63F3E3CB640A}"/>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22</xdr:row>
      <xdr:rowOff>0</xdr:rowOff>
    </xdr:from>
    <xdr:to>
      <xdr:col>12</xdr:col>
      <xdr:colOff>754380</xdr:colOff>
      <xdr:row>22</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FAA42177-819C-4AD1-859D-67EC25F6256A}"/>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22</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3BCA97B6-7E5C-49ED-BC36-E95EACEBFF9E}"/>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22</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8C0DB760-D483-4F32-A53F-A183D7FE8A22}"/>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20</xdr:row>
      <xdr:rowOff>0</xdr:rowOff>
    </xdr:from>
    <xdr:to>
      <xdr:col>12</xdr:col>
      <xdr:colOff>781050</xdr:colOff>
      <xdr:row>20</xdr:row>
      <xdr:rowOff>76200</xdr:rowOff>
    </xdr:to>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91D390FF-FB94-40B8-8D24-0CB0495ED2FA}"/>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777240</xdr:colOff>
      <xdr:row>21</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0F308ACA-1B95-4F33-8744-3FB1C72974AD}"/>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752475</xdr:colOff>
      <xdr:row>21</xdr:row>
      <xdr:rowOff>76200</xdr:rowOff>
    </xdr:to>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9157999F-2856-4DC6-BE40-0E9D067173DC}"/>
            </a:ext>
          </a:extLst>
        </xdr:cNvPr>
        <xdr:cNvSpPr/>
      </xdr:nvSpPr>
      <xdr:spPr bwMode="auto">
        <a:xfrm>
          <a:off x="14695170"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21</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F1191DD2-112A-4913-A7F4-70426EE22CF1}"/>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3A935877-EFBF-462C-B814-A81FE82CBD25}"/>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20</xdr:row>
      <xdr:rowOff>0</xdr:rowOff>
    </xdr:from>
    <xdr:to>
      <xdr:col>12</xdr:col>
      <xdr:colOff>781050</xdr:colOff>
      <xdr:row>20</xdr:row>
      <xdr:rowOff>76200</xdr:rowOff>
    </xdr:to>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1DEA5B1-2EDC-48CC-BEA9-9FFD9956D530}"/>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777240</xdr:colOff>
      <xdr:row>21</xdr:row>
      <xdr:rowOff>76200</xdr:rowOff>
    </xdr:to>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C145D356-E802-4F8C-A2D3-5D980B339E77}"/>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754380</xdr:colOff>
      <xdr:row>21</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47FEB89-382E-44C5-A89D-0836A35D3BA5}"/>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21</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9CE8D20D-C645-4A7B-A120-2404A6BF7A5A}"/>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880C0FC8-5D8B-48DB-BC68-31344F7DD2BF}"/>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xdr:row>
      <xdr:rowOff>0</xdr:rowOff>
    </xdr:from>
    <xdr:to>
      <xdr:col>12</xdr:col>
      <xdr:colOff>781050</xdr:colOff>
      <xdr:row>2</xdr:row>
      <xdr:rowOff>76200</xdr:rowOff>
    </xdr:to>
    <xdr:sp macro="" textlink="">
      <xdr:nvSpPr>
        <xdr:cNvPr id="20" name="ComboBox1" hidden="1">
          <a:extLst>
            <a:ext uri="{63B3BB69-23CF-44E3-9099-C40C66FF867C}">
              <a14:compatExt xmlns:a14="http://schemas.microsoft.com/office/drawing/2010/main" spid="_x0000_s1028"/>
            </a:ext>
            <a:ext uri="{FF2B5EF4-FFF2-40B4-BE49-F238E27FC236}">
              <a16:creationId xmlns:a16="http://schemas.microsoft.com/office/drawing/2014/main" id="{98E10DAD-275B-4C93-8F73-CFD7F4D9BDD8}"/>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777240</xdr:colOff>
      <xdr:row>21</xdr:row>
      <xdr:rowOff>76200</xdr:rowOff>
    </xdr:to>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96AAC396-9CFD-4815-A265-7723979D11BE}"/>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754380</xdr:colOff>
      <xdr:row>21</xdr:row>
      <xdr:rowOff>76200</xdr:rowOff>
    </xdr:to>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99F67F8E-D516-4574-912C-E6CCF27CF53B}"/>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21</xdr:row>
      <xdr:rowOff>0</xdr:rowOff>
    </xdr:from>
    <xdr:ext cx="32385" cy="76200"/>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DCE16900-BA3A-4A89-A294-D41DD1AA55DD}"/>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24" name="ComboBox1" hidden="1">
          <a:extLst>
            <a:ext uri="{63B3BB69-23CF-44E3-9099-C40C66FF867C}">
              <a14:compatExt xmlns:a14="http://schemas.microsoft.com/office/drawing/2010/main" spid="_x0000_s1028"/>
            </a:ext>
            <a:ext uri="{FF2B5EF4-FFF2-40B4-BE49-F238E27FC236}">
              <a16:creationId xmlns:a16="http://schemas.microsoft.com/office/drawing/2014/main" id="{3D6F3B5F-C6E4-462B-AC5B-585B9435858E}"/>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0</xdr:row>
      <xdr:rowOff>0</xdr:rowOff>
    </xdr:from>
    <xdr:to>
      <xdr:col>12</xdr:col>
      <xdr:colOff>781050</xdr:colOff>
      <xdr:row>0</xdr:row>
      <xdr:rowOff>76200</xdr:rowOff>
    </xdr:to>
    <xdr:sp macro="" textlink="">
      <xdr:nvSpPr>
        <xdr:cNvPr id="25" name="ComboBox1" hidden="1">
          <a:extLst>
            <a:ext uri="{63B3BB69-23CF-44E3-9099-C40C66FF867C}">
              <a14:compatExt xmlns:a14="http://schemas.microsoft.com/office/drawing/2010/main" spid="_x0000_s1028"/>
            </a:ext>
            <a:ext uri="{FF2B5EF4-FFF2-40B4-BE49-F238E27FC236}">
              <a16:creationId xmlns:a16="http://schemas.microsoft.com/office/drawing/2014/main" id="{CBA56A3F-9675-47B0-BF70-F3CE1626B88B}"/>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752475</xdr:colOff>
      <xdr:row>21</xdr:row>
      <xdr:rowOff>76200</xdr:rowOff>
    </xdr:to>
    <xdr:sp macro="" textlink="">
      <xdr:nvSpPr>
        <xdr:cNvPr id="26" name="ComboBox1" hidden="1">
          <a:extLst>
            <a:ext uri="{63B3BB69-23CF-44E3-9099-C40C66FF867C}">
              <a14:compatExt xmlns:a14="http://schemas.microsoft.com/office/drawing/2010/main" spid="_x0000_s1028"/>
            </a:ext>
            <a:ext uri="{FF2B5EF4-FFF2-40B4-BE49-F238E27FC236}">
              <a16:creationId xmlns:a16="http://schemas.microsoft.com/office/drawing/2014/main" id="{D6535AF0-7CF7-4BFB-90DE-D343602EC398}"/>
            </a:ext>
          </a:extLst>
        </xdr:cNvPr>
        <xdr:cNvSpPr/>
      </xdr:nvSpPr>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21</xdr:row>
      <xdr:rowOff>0</xdr:rowOff>
    </xdr:from>
    <xdr:to>
      <xdr:col>12</xdr:col>
      <xdr:colOff>752475</xdr:colOff>
      <xdr:row>21</xdr:row>
      <xdr:rowOff>76200</xdr:rowOff>
    </xdr:to>
    <xdr:pic>
      <xdr:nvPicPr>
        <xdr:cNvPr id="27" name="Picture 3">
          <a:extLst>
            <a:ext uri="{FF2B5EF4-FFF2-40B4-BE49-F238E27FC236}">
              <a16:creationId xmlns:a16="http://schemas.microsoft.com/office/drawing/2014/main" id="{281342DD-B74C-4732-8F36-A1784425406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21</xdr:row>
      <xdr:rowOff>0</xdr:rowOff>
    </xdr:from>
    <xdr:to>
      <xdr:col>12</xdr:col>
      <xdr:colOff>752475</xdr:colOff>
      <xdr:row>21</xdr:row>
      <xdr:rowOff>76200</xdr:rowOff>
    </xdr:to>
    <xdr:pic>
      <xdr:nvPicPr>
        <xdr:cNvPr id="28" name="Picture 4">
          <a:extLst>
            <a:ext uri="{FF2B5EF4-FFF2-40B4-BE49-F238E27FC236}">
              <a16:creationId xmlns:a16="http://schemas.microsoft.com/office/drawing/2014/main" id="{39C864F2-74EC-4069-907A-9EE5478562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21</xdr:row>
      <xdr:rowOff>0</xdr:rowOff>
    </xdr:from>
    <xdr:to>
      <xdr:col>12</xdr:col>
      <xdr:colOff>752475</xdr:colOff>
      <xdr:row>21</xdr:row>
      <xdr:rowOff>76200</xdr:rowOff>
    </xdr:to>
    <xdr:pic>
      <xdr:nvPicPr>
        <xdr:cNvPr id="29" name="ComboBox1">
          <a:extLst>
            <a:ext uri="{FF2B5EF4-FFF2-40B4-BE49-F238E27FC236}">
              <a16:creationId xmlns:a16="http://schemas.microsoft.com/office/drawing/2014/main" id="{2448B610-9DC7-45E6-B65C-BE7E0A45BCD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21</xdr:row>
      <xdr:rowOff>0</xdr:rowOff>
    </xdr:from>
    <xdr:to>
      <xdr:col>12</xdr:col>
      <xdr:colOff>752475</xdr:colOff>
      <xdr:row>21</xdr:row>
      <xdr:rowOff>76200</xdr:rowOff>
    </xdr:to>
    <xdr:sp macro="" textlink="">
      <xdr:nvSpPr>
        <xdr:cNvPr id="30" name="ComboBox1" hidden="1">
          <a:extLst>
            <a:ext uri="{63B3BB69-23CF-44E3-9099-C40C66FF867C}">
              <a14:compatExt xmlns:a14="http://schemas.microsoft.com/office/drawing/2010/main" spid="_x0000_s1028"/>
            </a:ext>
            <a:ext uri="{FF2B5EF4-FFF2-40B4-BE49-F238E27FC236}">
              <a16:creationId xmlns:a16="http://schemas.microsoft.com/office/drawing/2014/main" id="{5832E5BD-3C4E-4023-8616-796C99548499}"/>
            </a:ext>
          </a:extLst>
        </xdr:cNvPr>
        <xdr:cNvSpPr/>
      </xdr:nvSpPr>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21</xdr:row>
      <xdr:rowOff>0</xdr:rowOff>
    </xdr:from>
    <xdr:ext cx="32385" cy="76200"/>
    <xdr:sp macro="" textlink="">
      <xdr:nvSpPr>
        <xdr:cNvPr id="31" name="ComboBox1" hidden="1">
          <a:extLst>
            <a:ext uri="{63B3BB69-23CF-44E3-9099-C40C66FF867C}">
              <a14:compatExt xmlns:a14="http://schemas.microsoft.com/office/drawing/2010/main" spid="_x0000_s1028"/>
            </a:ext>
            <a:ext uri="{FF2B5EF4-FFF2-40B4-BE49-F238E27FC236}">
              <a16:creationId xmlns:a16="http://schemas.microsoft.com/office/drawing/2014/main" id="{C60590D1-D89A-465A-9995-0D59AA18F616}"/>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2" name="ComboBox1" hidden="1">
          <a:extLst>
            <a:ext uri="{63B3BB69-23CF-44E3-9099-C40C66FF867C}">
              <a14:compatExt xmlns:a14="http://schemas.microsoft.com/office/drawing/2010/main" spid="_x0000_s1028"/>
            </a:ext>
            <a:ext uri="{FF2B5EF4-FFF2-40B4-BE49-F238E27FC236}">
              <a16:creationId xmlns:a16="http://schemas.microsoft.com/office/drawing/2014/main" id="{2617BEF1-D029-4DEC-83DD-D31EC31AB39A}"/>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3" name="ComboBox1" hidden="1">
          <a:extLst>
            <a:ext uri="{63B3BB69-23CF-44E3-9099-C40C66FF867C}">
              <a14:compatExt xmlns:a14="http://schemas.microsoft.com/office/drawing/2010/main" spid="_x0000_s1028"/>
            </a:ext>
            <a:ext uri="{FF2B5EF4-FFF2-40B4-BE49-F238E27FC236}">
              <a16:creationId xmlns:a16="http://schemas.microsoft.com/office/drawing/2014/main" id="{8B0AB49C-51E1-4B72-A675-20787217B5AE}"/>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4" name="ComboBox1" hidden="1">
          <a:extLst>
            <a:ext uri="{63B3BB69-23CF-44E3-9099-C40C66FF867C}">
              <a14:compatExt xmlns:a14="http://schemas.microsoft.com/office/drawing/2010/main" spid="_x0000_s1028"/>
            </a:ext>
            <a:ext uri="{FF2B5EF4-FFF2-40B4-BE49-F238E27FC236}">
              <a16:creationId xmlns:a16="http://schemas.microsoft.com/office/drawing/2014/main" id="{0897EAE9-6057-4C1C-A45E-C78D5890F0E3}"/>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5" name="ComboBox1" hidden="1">
          <a:extLst>
            <a:ext uri="{63B3BB69-23CF-44E3-9099-C40C66FF867C}">
              <a14:compatExt xmlns:a14="http://schemas.microsoft.com/office/drawing/2010/main" spid="_x0000_s1028"/>
            </a:ext>
            <a:ext uri="{FF2B5EF4-FFF2-40B4-BE49-F238E27FC236}">
              <a16:creationId xmlns:a16="http://schemas.microsoft.com/office/drawing/2014/main" id="{609D36E6-C155-4918-8D60-C9A494BBC5BC}"/>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6" name="ComboBox1" hidden="1">
          <a:extLst>
            <a:ext uri="{63B3BB69-23CF-44E3-9099-C40C66FF867C}">
              <a14:compatExt xmlns:a14="http://schemas.microsoft.com/office/drawing/2010/main" spid="_x0000_s1028"/>
            </a:ext>
            <a:ext uri="{FF2B5EF4-FFF2-40B4-BE49-F238E27FC236}">
              <a16:creationId xmlns:a16="http://schemas.microsoft.com/office/drawing/2014/main" id="{8EC845B1-B9D4-421C-AC1F-29E1A1255B49}"/>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7" name="ComboBox1" hidden="1">
          <a:extLst>
            <a:ext uri="{63B3BB69-23CF-44E3-9099-C40C66FF867C}">
              <a14:compatExt xmlns:a14="http://schemas.microsoft.com/office/drawing/2010/main" spid="_x0000_s1028"/>
            </a:ext>
            <a:ext uri="{FF2B5EF4-FFF2-40B4-BE49-F238E27FC236}">
              <a16:creationId xmlns:a16="http://schemas.microsoft.com/office/drawing/2014/main" id="{3746EC75-370E-4FEB-8138-89237368855A}"/>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8" name="ComboBox1" hidden="1">
          <a:extLst>
            <a:ext uri="{63B3BB69-23CF-44E3-9099-C40C66FF867C}">
              <a14:compatExt xmlns:a14="http://schemas.microsoft.com/office/drawing/2010/main" spid="_x0000_s1028"/>
            </a:ext>
            <a:ext uri="{FF2B5EF4-FFF2-40B4-BE49-F238E27FC236}">
              <a16:creationId xmlns:a16="http://schemas.microsoft.com/office/drawing/2014/main" id="{1067F29F-3B9D-4657-B301-E7EA210E80FE}"/>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39" name="ComboBox1" hidden="1">
          <a:extLst>
            <a:ext uri="{63B3BB69-23CF-44E3-9099-C40C66FF867C}">
              <a14:compatExt xmlns:a14="http://schemas.microsoft.com/office/drawing/2010/main" spid="_x0000_s1028"/>
            </a:ext>
            <a:ext uri="{FF2B5EF4-FFF2-40B4-BE49-F238E27FC236}">
              <a16:creationId xmlns:a16="http://schemas.microsoft.com/office/drawing/2014/main" id="{7A659A7E-EB86-4348-A926-B2D4D9D0EFFA}"/>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21</xdr:row>
      <xdr:rowOff>0</xdr:rowOff>
    </xdr:from>
    <xdr:ext cx="32385" cy="76200"/>
    <xdr:sp macro="" textlink="">
      <xdr:nvSpPr>
        <xdr:cNvPr id="40" name="ComboBox1" hidden="1">
          <a:extLst>
            <a:ext uri="{63B3BB69-23CF-44E3-9099-C40C66FF867C}">
              <a14:compatExt xmlns:a14="http://schemas.microsoft.com/office/drawing/2010/main" spid="_x0000_s1028"/>
            </a:ext>
            <a:ext uri="{FF2B5EF4-FFF2-40B4-BE49-F238E27FC236}">
              <a16:creationId xmlns:a16="http://schemas.microsoft.com/office/drawing/2014/main" id="{77BA96BC-65C4-4FDE-96C3-FB8BB72112A2}"/>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15</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11F8AAB6-2313-4A38-AE27-3465E9F138C8}"/>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1</xdr:row>
      <xdr:rowOff>0</xdr:rowOff>
    </xdr:from>
    <xdr:to>
      <xdr:col>15</xdr:col>
      <xdr:colOff>0</xdr:colOff>
      <xdr:row>1</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2234C947-9E58-44F2-A0F4-4B7B9BE08B26}"/>
            </a:ext>
          </a:extLst>
        </xdr:cNvPr>
        <xdr:cNvSpPr/>
      </xdr:nvSpPr>
      <xdr:spPr bwMode="auto">
        <a:xfrm>
          <a:off x="3886200" y="1295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752475</xdr:colOff>
      <xdr:row>0</xdr:row>
      <xdr:rowOff>76200</xdr:rowOff>
    </xdr:to>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B3052C27-ACE3-4CAC-A877-56847AE6654B}"/>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E933812A-C62C-494F-B4BE-26C953EF5A6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7B240520-327F-40A5-956A-C288315BF4D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2</xdr:row>
      <xdr:rowOff>134056</xdr:rowOff>
    </xdr:to>
    <xdr:sp macro="" textlink="">
      <xdr:nvSpPr>
        <xdr:cNvPr id="2" name="AutoShape 1" descr="image.png">
          <a:extLst>
            <a:ext uri="{FF2B5EF4-FFF2-40B4-BE49-F238E27FC236}">
              <a16:creationId xmlns:a16="http://schemas.microsoft.com/office/drawing/2014/main" id="{3BDCEA9C-0B80-4A0E-8EC2-B08081C6B5CD}"/>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7C10DF-1C02-4ACA-BAEA-94E4E94F43B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1385299F-63EF-4C4F-A575-9B505191FD1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96651990-EB98-46F8-B30A-7728C28EF66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B1CE6001-36B5-4D6C-B616-49C903BA7D5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9B2CDAE7-D0F9-4AFB-90DC-4EF617D5857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1B6F330D-73CA-4C50-AF2C-B58B8BA7BCDF}"/>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D51F4F85-2783-44A4-8C9A-0074F231E8A2}"/>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D726A485-B28A-46D7-B4B9-5FF4673BB0A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7D78FFB7-828A-42DD-AD5D-5CFA608BD68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27D31A02-A190-49D1-B5AA-F7CC5AAD71D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48A8D784-5A2F-4267-BB58-ED37897C1B24}"/>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0AD049D9-871B-40C8-A5C1-BE6E7BBA8E8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1C74A79-0ED8-48FD-A976-19C448FF53C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384A0871-D961-4DEA-A1A3-37C347AC4B7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273DFDD7-7CA2-4F7D-9CAF-7C44135E0CF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62C6F3C4-2E04-4928-9840-4021E763CA0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E8D450BE-96D3-42E5-8953-70A51FCDA56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0" name="ComboBox1" hidden="1">
          <a:extLst>
            <a:ext uri="{63B3BB69-23CF-44E3-9099-C40C66FF867C}">
              <a14:compatExt xmlns:a14="http://schemas.microsoft.com/office/drawing/2010/main" spid="_x0000_s1028"/>
            </a:ext>
            <a:ext uri="{FF2B5EF4-FFF2-40B4-BE49-F238E27FC236}">
              <a16:creationId xmlns:a16="http://schemas.microsoft.com/office/drawing/2014/main" id="{DC549FF6-13D5-499D-8F12-37456CB0DED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8218208C-4155-426F-BF62-69FC8469C41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382F6310-82BF-4BEB-ACFE-52D70E32C5B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5E0EC410-8157-4B4F-8901-D46DDB0C739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754380</xdr:colOff>
      <xdr:row>0</xdr:row>
      <xdr:rowOff>76200</xdr:rowOff>
    </xdr:to>
    <xdr:sp macro="" textlink="">
      <xdr:nvSpPr>
        <xdr:cNvPr id="24" name="ComboBox1" hidden="1">
          <a:extLst>
            <a:ext uri="{63B3BB69-23CF-44E3-9099-C40C66FF867C}">
              <a14:compatExt xmlns:a14="http://schemas.microsoft.com/office/drawing/2010/main" spid="_x0000_s1028"/>
            </a:ext>
            <a:ext uri="{FF2B5EF4-FFF2-40B4-BE49-F238E27FC236}">
              <a16:creationId xmlns:a16="http://schemas.microsoft.com/office/drawing/2014/main" id="{F2AA8F4F-312F-4EC4-930F-5EB653A23A3E}"/>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pic>
      <xdr:nvPicPr>
        <xdr:cNvPr id="25" name="Picture 3">
          <a:extLst>
            <a:ext uri="{FF2B5EF4-FFF2-40B4-BE49-F238E27FC236}">
              <a16:creationId xmlns:a16="http://schemas.microsoft.com/office/drawing/2014/main" id="{28B32A77-04F7-4CFB-996F-1D75DB674D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6" name="Picture 4">
          <a:extLst>
            <a:ext uri="{FF2B5EF4-FFF2-40B4-BE49-F238E27FC236}">
              <a16:creationId xmlns:a16="http://schemas.microsoft.com/office/drawing/2014/main" id="{73E909AC-C0CF-4C85-89F0-872C3F4DD5E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7" name="ComboBox1">
          <a:extLst>
            <a:ext uri="{FF2B5EF4-FFF2-40B4-BE49-F238E27FC236}">
              <a16:creationId xmlns:a16="http://schemas.microsoft.com/office/drawing/2014/main" id="{28ACA35E-43B6-4214-A040-B6E4351B78B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28" name="ComboBox1" hidden="1">
          <a:extLst>
            <a:ext uri="{63B3BB69-23CF-44E3-9099-C40C66FF867C}">
              <a14:compatExt xmlns:a14="http://schemas.microsoft.com/office/drawing/2010/main" spid="_x0000_s1028"/>
            </a:ext>
            <a:ext uri="{FF2B5EF4-FFF2-40B4-BE49-F238E27FC236}">
              <a16:creationId xmlns:a16="http://schemas.microsoft.com/office/drawing/2014/main" id="{59CDACF3-9998-4054-B801-245CBE6E5492}"/>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25943634262" createdVersion="8" refreshedVersion="8" minRefreshableVersion="3" recordCount="487" xr:uid="{BF33E792-EF02-4568-ABE3-E01C91EB3289}">
  <cacheSource type="worksheet">
    <worksheetSource ref="A1:AE1048576" sheet="PUBLICIDAD APERTURAS"/>
  </cacheSource>
  <cacheFields count="31">
    <cacheField name="CIUDAD SEDE" numFmtId="0">
      <sharedItems containsBlank="1"/>
    </cacheField>
    <cacheField name="COORDINADOR" numFmtId="0">
      <sharedItems containsBlank="1" count="7">
        <s v="KEVIN ALEXIS CORZO BUSTOS"/>
        <s v="DIEGO FERNANDO HENAO CARDONA"/>
        <s v="JUAN SEBASTIÁN RÍOS CASTRILLÓN"/>
        <s v="MIGUEL JULIÁN HERNÁNDEZ GUARÍN"/>
        <s v="JOSE MAURICIO HERNANDEZ ROJAS"/>
        <s v="WILLIAM ASDRUBAL ROZO ROZO"/>
        <m/>
      </sharedItems>
    </cacheField>
    <cacheField name="CENTRO DE COSTOS LÍNEACOM" numFmtId="0">
      <sharedItems containsBlank="1" count="8">
        <s v="0004-0007"/>
        <s v="0004-0003"/>
        <s v="0004-0005"/>
        <s v="0004-0008"/>
        <s v="0004-0001"/>
        <s v="0004-0004"/>
        <s v="0004-0002"/>
        <m/>
      </sharedItems>
    </cacheField>
    <cacheField name="CÓDIGO DANE" numFmtId="0">
      <sharedItems containsString="0" containsBlank="1" containsNumber="1" containsInteger="1" minValue="5001" maxValue="86865"/>
    </cacheField>
    <cacheField name="TA/CODIGO ACTIVIDAD" numFmtId="0">
      <sharedItems containsBlank="1"/>
    </cacheField>
    <cacheField name="CODIGO CB" numFmtId="0">
      <sharedItems containsString="0" containsBlank="1" containsNumber="1" containsInteger="1" minValue="80664" maxValue="81253"/>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7-28T00:00:00" maxDate="2025-08-28T00:00:00"/>
    </cacheField>
    <cacheField name="FECHA ULTIMA ACTUALIZACION" numFmtId="14">
      <sharedItems containsNonDate="0" containsDate="1" containsString="0" containsBlank="1" minDate="2025-08-01T00:00:00" maxDate="2025-08-30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FLANGER, DISPLAY LEGAL, DISPLAY CARTA O TABLOIDE" numFmtId="0">
      <sharedItems containsString="0" containsBlank="1" containsNumber="1" containsInteger="1" minValue="0" maxValue="1"/>
    </cacheField>
    <cacheField name="INSTALACIÓN DE AVISOS EXTERNOS " numFmtId="0">
      <sharedItems containsString="0" containsBlank="1" containsNumber="1" containsInteger="1" minValue="0" maxValue="1"/>
    </cacheField>
    <cacheField name="TRANSPORTE DE AVISO  POR INSTALACION O POR NO INSTALACION (IDA-REGRESO)" numFmtId="0">
      <sharedItems containsString="0" containsBlank="1" containsNumber="1" containsInteger="1" minValue="0" maxValue="3"/>
    </cacheField>
    <cacheField name="VALOR FLANGER, SEPARADOR, STICKER, DISPLAY" numFmtId="0">
      <sharedItems containsString="0" containsBlank="1" containsNumber="1" minValue="11251.22416" maxValue="11251.22416"/>
    </cacheField>
    <cacheField name="VALOR INSTALACIÓN DE AVISOS EXTERNOS " numFmtId="0">
      <sharedItems containsString="0" containsBlank="1" containsNumber="1" minValue="126317.12212" maxValue="126317.12212"/>
    </cacheField>
    <cacheField name="VALOR TRANSPORTE DE AVISO" numFmtId="0">
      <sharedItems containsString="0" containsBlank="1" containsNumber="1" minValue="57411.974240000003" maxValue="110808.27512000001"/>
    </cacheField>
    <cacheField name="VALOR TOTAL INSTALACION DE PUBLICIDAD" numFmtId="0">
      <sharedItems containsString="0" containsBlank="1" containsNumber="1" minValue="11251.22416" maxValue="108572846.540279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25943634262" createdVersion="8" refreshedVersion="8" minRefreshableVersion="3" recordCount="121" xr:uid="{068DB0A3-10F2-4977-BA05-5251E04EB957}">
  <cacheSource type="worksheet">
    <worksheetSource ref="A1:AF1048576" sheet="PUBLICIDAD OC"/>
  </cacheSource>
  <cacheFields count="32">
    <cacheField name="CIUDAD SEDE" numFmtId="0">
      <sharedItems containsBlank="1"/>
    </cacheField>
    <cacheField name="COORDINADOR" numFmtId="0">
      <sharedItems containsBlank="1" count="7">
        <s v="KEVIN ALEXIS CORZO BUSTOS"/>
        <s v="DIEGO FERNANDO HENAO CARDONA"/>
        <s v="WILLIAM ASDRUBAL ROZO ROZO"/>
        <s v="JOSE MAURICIO HERNANDEZ ROJAS"/>
        <s v="JUAN SEBASTIÁN RÍOS CASTRILLÓN"/>
        <s v="MIGUEL JULIÁN HERNÁNDEZ GUARÍN"/>
        <m/>
      </sharedItems>
    </cacheField>
    <cacheField name="CENTRO DE COSTOS LÍNEACOM" numFmtId="0">
      <sharedItems containsBlank="1" count="8">
        <s v="0004-0007"/>
        <s v="0004-0002"/>
        <s v="0004-0004"/>
        <s v="0004-0003"/>
        <s v="0004-0001"/>
        <s v="0004-0005"/>
        <s v="0004-0008"/>
        <m/>
      </sharedItems>
    </cacheField>
    <cacheField name="CÓDIGO DANE" numFmtId="0">
      <sharedItems containsString="0" containsBlank="1" containsNumber="1" containsInteger="1" minValue="5001" maxValue="81736"/>
    </cacheField>
    <cacheField name="TA/CODIGO ACTIVIDAD" numFmtId="0">
      <sharedItems containsString="0" containsBlank="1" containsNumber="1" containsInteger="1" minValue="2507891" maxValue="2660757"/>
    </cacheField>
    <cacheField name="CODIGO CB" numFmtId="0">
      <sharedItems containsString="0" containsBlank="1" containsNumber="1" containsInteger="1" minValue="12998" maxValue="80646"/>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7-26T11:22:00" maxDate="2025-08-28T16:36:00"/>
    </cacheField>
    <cacheField name="FECHA DEL CIERRE DEL TICKET (DD/MM/AAAA)" numFmtId="0">
      <sharedItems containsNonDate="0" containsDate="1" containsString="0" containsBlank="1" minDate="2025-08-01T10:54:00" maxDate="2025-08-30T14:37: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String="0" containsBlank="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TRANSPORTE AVISO EXTERIOR" numFmtId="0">
      <sharedItems containsString="0" containsBlank="1" containsNumber="1" containsInteger="1" minValue="0" maxValue="3"/>
    </cacheField>
    <cacheField name="VALOR ACTIVIDAD" numFmtId="0">
      <sharedItems containsString="0" containsBlank="1" containsNumber="1" minValue="0" maxValue="548633.63271999999"/>
    </cacheField>
    <cacheField name="VALOR TRANSPORTE AVISO" numFmtId="0">
      <sharedItems containsString="0" containsBlank="1" containsNumber="1" minValue="0" maxValue="110808.27512000001"/>
    </cacheField>
    <cacheField name="VALOR TOTAL INSTALACION DE PUBLICIDAD" numFmtId="0">
      <sharedItems containsString="0" containsBlank="1" containsNumber="1" minValue="37904.65408" maxValue="19641961.0322400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3.925943634262" createdVersion="8" refreshedVersion="8" minRefreshableVersion="3" recordCount="26" xr:uid="{152A225F-9290-4E2A-BFA3-8153B5C53A93}">
  <cacheSource type="worksheet">
    <worksheetSource ref="E3:F29" sheet="Tabla dinámica"/>
  </cacheSource>
  <cacheFields count="2">
    <cacheField name="NOMBRE CC" numFmtId="0">
      <sharedItems containsBlank="1" count="9">
        <s v="Redeban Eje Cafetero (Pereira)"/>
        <s v="Redeban Suroccidente (Cali)"/>
        <s v="Redeban Costa (Barranqullla)"/>
        <s v="Redeban Noroccidente (Medellín)"/>
        <s v="Redeban Oriente (Otros)"/>
        <s v="Redeban Santander"/>
        <s v="Redeban Centro ( Bogotá)"/>
        <m/>
        <s v="NOMBRE CC"/>
      </sharedItems>
    </cacheField>
    <cacheField name="VALOR" numFmtId="0">
      <sharedItems containsBlank="1" containsMixedTypes="1" containsNumber="1" minValue="808865.77864000015" maxValue="20874862.19479998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s v="NEIVA"/>
    <x v="0"/>
    <x v="0"/>
    <n v="18001"/>
    <s v="TA-25-897275"/>
    <n v="80665"/>
    <s v="APERTURA"/>
    <s v="CB CRECIMIENTO - NUEVO"/>
    <s v="CAQUETA"/>
    <s v="FLORENCIA"/>
    <s v="BARRIO BUENOS AIRES FLORENCIA 1"/>
    <s v="REDEBAN"/>
    <s v="FO-25-1293630"/>
    <d v="2025-07-28T00:00:00"/>
    <d v="2025-08-01T00:00:00"/>
    <s v="UNO A UNO"/>
    <s v="UNO A UNO"/>
    <s v="EJECUTADO"/>
    <s v="28-07-2025 SE REALIZA LLAMADA AL CLIENTE, SE HABLA CON CON EL ESPOSO DE LA SRA LEIDY VERONICA CARVAJAL BARRETO SE VALIDA DIRECCIÓN OK, CANAL OK, DISPONIBILIDAD TOTAL, LLAMAR EL DÍA LA INSTALACIÓN PARA CONFIRMAR VISITA, AVISO EXTERIOR ALTURA APROX 3,30 METROS; TOMACORRIENTE CERCANO: SI; TIENE CABINA DE SEGURIDAD: NO // CONTACTO REALIZADO POR LA APP 01-0 SE REALIZA INSTALACIÓN DE CORRESPONSAL, SE INSTALAN EQUIPOS CON PRUEBAS EXITOSAS, SE CAPACITA Y SE EVALÚA AL CLIENTE, SE INSTALA PUBLICIDAD COMPLETA, CB QUEDA OPERATIVO. USUARIO SOMOS BANCOLOMBIA ACTIVO"/>
    <s v="DEVIA REINOSO JUAN CARLOS"/>
    <s v="V8ZZZ345"/>
    <s v="TIPO IV"/>
    <s v="TERRESTRE"/>
    <s v="DEVIA REINOSO JUAN CARLOS"/>
    <n v="1"/>
    <n v="1"/>
    <n v="1"/>
    <n v="11251.22416"/>
    <n v="126317.12212"/>
    <n v="110808.27512000001"/>
    <n v="248376.6214"/>
  </r>
  <r>
    <s v="NEIVA"/>
    <x v="0"/>
    <x v="0"/>
    <n v="18001"/>
    <s v="TA-25-897283"/>
    <n v="80664"/>
    <s v="APERTURA"/>
    <s v="CB CRECIMIENTO - NUEVO"/>
    <s v="CAQUETA"/>
    <s v="FLORENCIA"/>
    <s v="BARRIO SIETE DE AGOSTO FLORENCIA 7"/>
    <s v="REDEBAN"/>
    <s v="FO-25-1293646"/>
    <d v="2025-07-28T00:00:00"/>
    <d v="2025-08-01T00:00:00"/>
    <s v="UNO A UNO"/>
    <s v="UNO A UNO"/>
    <s v="EJECUTADO"/>
    <s v="28-07-2025 SE REALIZA LLAMADA AL CLIENTE, SE HABLA CON CON EL SR LUIS MIGUEL BAHAMON ROJAS SE VALIDA DIRECCIÓN OK, CANAL OK, DISPONIBILIDAD TOTAL, LLAMAR EL DÍA LA INSTALACIÓN PARA CONFIRMAR VISITA, AVISO EXTERIOR ALTURA APROX 2 METROS; TOMACORRIENTE CERCANO: SI; TIENE CABINA DE SEGURIDAD: SI // CONTACTO REALIZADO POR LA APP 1/08/2025 SE REALIZA INSTALACIÓN DE CORRESPONSAL, SE INSTALAN EQUIPOS CON PRUEBAS EXITOSAS, SE CAPACITA Y SE EVALÚA AL CLIENTE, SE INSTALA PUBLICIDAD COMPLETA, CB QUEDA OPERATIVO. USUARIO SOMOS BANCOLOMBIA ACTIVO"/>
    <s v="DEVIA REINOSO JUAN CARLOS"/>
    <s v="V8ZZZ349"/>
    <s v="TIPO IV"/>
    <s v="TERRESTRE"/>
    <s v="DEVIA REINOSO JUAN CARLOS"/>
    <n v="1"/>
    <n v="1"/>
    <n v="1"/>
    <n v="11251.22416"/>
    <n v="126317.12212"/>
    <n v="110808.27512000001"/>
    <n v="248376.6214"/>
  </r>
  <r>
    <s v="PASTO"/>
    <x v="1"/>
    <x v="1"/>
    <n v="52427"/>
    <s v="TA-25-897342"/>
    <n v="80676"/>
    <s v="APERTURA"/>
    <s v="CB CRECIMIENTO - NUEVO"/>
    <s v="NARIÑO"/>
    <s v="MAGUI"/>
    <s v="BARRIO CRR BRISAS DE HAMBURGO MAGUI"/>
    <s v="REDEBAN"/>
    <s v="FO-25-1293775"/>
    <d v="2025-07-28T00:00:00"/>
    <d v="2025-08-14T00:00:00"/>
    <s v="UNO A UNO"/>
    <s v="UNO A UNO"/>
    <s v="EJECUTADO"/>
    <s v="28-07 SE REALIZA LLAMADA AL CLIENTE, SE HABLA CON LA SRA KAROL NATALIA ANGULO CORTES SE VALIDA DIRECCIÓN OK, CANAL OK, DISPONIBILIDAD TOTAL, LLAMAR EL DÍA LA INSTALACIÓN PARA CONFIRMAR VISITA, AVISO EXTERIOR ALTURA APROX 4 METROS; TOMACORRIENTE CERCANO: SI; TIENE CABINA DE SEGURIDAD: SI 06-08 DADO QUE EL SITIO SE DEBE REALIZAR DESPLAZAMIENTO MARITIMO, SE REALIZARA EL DIA LUNES 11 POR DISPONIBILIDAD DE TRANSPORTE.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
    <s v="PAZ MARTINEZ RICHARD HUMBERTO"/>
    <s v="V8ZZZ380"/>
    <s v="TIPO IV ESPECIAL"/>
    <s v="FLUVIAL"/>
    <s v="PAZ MARTINEZ RICHARD HUMBERTO"/>
    <n v="1"/>
    <n v="1"/>
    <n v="1"/>
    <n v="11251.22416"/>
    <n v="126317.12212"/>
    <n v="110808.27512000001"/>
    <n v="248376.6214"/>
  </r>
  <r>
    <s v="PASTO"/>
    <x v="1"/>
    <x v="1"/>
    <n v="52427"/>
    <s v="TA-25-897364"/>
    <n v="80675"/>
    <s v="APERTURA"/>
    <s v="CB CRECIMIENTO - NUEVO"/>
    <s v="NARIÑO"/>
    <s v="MAGUI"/>
    <s v="BARRIO LA PISTA MAGUI"/>
    <s v="REDEBAN"/>
    <s v="FO-25-1293834"/>
    <d v="2025-07-28T00:00:00"/>
    <d v="2025-08-14T00:00:00"/>
    <s v="UNO A UNO"/>
    <s v="UNO A UNO"/>
    <s v="EJECUTADO"/>
    <s v="28-07 SE REALIZA LLAMADA AL CLIENTE, SE HABLA CON LA SRA DAYAN YORELY ANGULO CORTES SE VALIDA DIRECCIÓN OK, CANAL OK, DISPONIBILIDAD TOTAL, LLAMAR EL DÍA LA INSTALACIÓN PARA CONFIRMAR VISITA, AVISO EXTERIOR ALTURA APROX 4 METROS; TOMACORRIENTE CERCANO: SI; TIENE CABINA DE SEGURIDAD: SI - COMUNICACIÓN POR WPP 06-08 DEBIDO A QUE EL DESPLAZAMIENTO ES VIA MARITIMA, DADO DISPONIBILIDAD DE TRANSPORTE SE REALIZARA EL DIA LUNES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
    <s v="PAZ MARTINEZ RICHARD HUMBERTO"/>
    <s v="V8ZZZ393"/>
    <s v="TIPO IV ESPECIAL"/>
    <s v="FLUVIAL"/>
    <s v="PAZ MARTINEZ RICHARD HUMBERTO"/>
    <n v="1"/>
    <n v="1"/>
    <n v="1"/>
    <n v="11251.22416"/>
    <n v="126317.12212"/>
    <n v="110808.27512000001"/>
    <n v="248376.6214"/>
  </r>
  <r>
    <s v="YOPAL"/>
    <x v="0"/>
    <x v="0"/>
    <n v="85001"/>
    <s v="TA-25-897375"/>
    <n v="80709"/>
    <s v="APERTURA"/>
    <s v="CB CRECIMIENTO - NUEVO"/>
    <s v="CASANARE"/>
    <s v="YOPAL"/>
    <s v="BARRIO LA ESPERANZA YOPAL 6"/>
    <s v="REDEBAN"/>
    <s v="FO-25-1293877"/>
    <d v="2025-07-28T00:00:00"/>
    <d v="2025-08-01T00:00:00"/>
    <s v="UNO A UNO"/>
    <s v="UNO A UNO"/>
    <s v="EJECUTADO"/>
    <s v="28-07 SE REALIZA COMUNICACION CON LA SRA ZULEIMA SIERRA ZAPATA, SE VALIDA DIRECCIÓN OK, CANAL OK, DISPONIBILIDAD TOTAL, LLAMAR EL DÍA LA INSTALACIÓN PARA CONFIRMAR VISITA, AVISO EXTERIOR ALTURA APROX DONDE EL TECNICO LO VEA CONVENIENTE; TOMACORRIENTE CERCANO: SI; TIENE CABINA DE SEGURIDAD: SI// MODEM A 5 METROS 29-07 EN COMUNICACIÓN CON LA SEÑORA ZULEIMA SIERRA AL NUMERO 3228924900, INDICA QUE POR TEMAS PERSONALES NO PUEDE ATENDER HOY LA INSTALACIÓN, INDICA NOS ATIENDE EL DIA 31-7-2025 31-07 EN COMUNICACIÓN CON LA SEÑORA ZULEIMA SIERRA AL NÚMERO 3228924900, INDICA NOS ATIENDE EL DIA 2-8-2025 1/08/2025 SE REALIZA INSTALACIÓN DE CORRESPONSAL, SE INSTALAN EQUIPOS CON PRUEBAS EXITOSAS, SE CAPACITA Y SE EVALÚA AL CLIENTE, SE INSTALA PUBLICIDAD COMPLETA, CB QUEDA OPERATIVO. USUARIO SOMOS BANCOLOMBIA ACTIVO"/>
    <s v="BERNAL ELAICA EDGAR ALEXIS"/>
    <s v="V8ZZZ402"/>
    <s v="TIPO I"/>
    <s v="TERRESTRE"/>
    <s v="BERNAL ELAICA EDGAR ALEXIS"/>
    <n v="1"/>
    <n v="1"/>
    <n v="1"/>
    <n v="11251.22416"/>
    <n v="126317.12212"/>
    <n v="57411.974240000003"/>
    <n v="194980.32052000001"/>
  </r>
  <r>
    <s v="MEDELLIN"/>
    <x v="2"/>
    <x v="2"/>
    <n v="5001"/>
    <s v="TA-25-904686"/>
    <n v="80717"/>
    <s v="APERTURA"/>
    <s v="CB CRECIMIENTO ALIANZA - NUEVO"/>
    <s v="ANTIOQUIA"/>
    <s v="MEDELLIN"/>
    <s v="DISTRICOL VARIEDADES Y DETALLE"/>
    <s v="REDEBAN"/>
    <s v="FO-25-1306012"/>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BARRIENTOS HERNANDEZ CRISTIAN HORACIO"/>
    <s v="VAZZZ340"/>
    <s v="TIPO I"/>
    <s v="TERRESTRE"/>
    <s v="BARRIENTOS HERNANDEZ CRISTIAN HORACIO"/>
    <n v="1"/>
    <n v="1"/>
    <n v="1"/>
    <n v="11251.22416"/>
    <n v="126317.12212"/>
    <n v="57411.974240000003"/>
    <n v="194980.32052000001"/>
  </r>
  <r>
    <s v="MEDELLIN"/>
    <x v="2"/>
    <x v="2"/>
    <n v="5001"/>
    <s v="TA-25-904688"/>
    <n v="80718"/>
    <s v="APERTURA"/>
    <s v="CB CRECIMIENTO ALIANZA - NUEVO"/>
    <s v="ANTIOQUIA"/>
    <s v="MEDELLIN"/>
    <s v="DISTRICOL PAPELERIA LA PIZARRA"/>
    <s v="REDEBAN"/>
    <s v="FO-25-1306018"/>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PAREJA ECHAVARRIA JHON DAVID"/>
    <s v="VAZZZ341"/>
    <s v="TIPO I"/>
    <s v="TERRESTRE"/>
    <s v="PAREJA ECHAVARRIA JHON DAVID"/>
    <n v="1"/>
    <n v="1"/>
    <n v="1"/>
    <n v="11251.22416"/>
    <n v="126317.12212"/>
    <n v="57411.974240000003"/>
    <n v="194980.32052000001"/>
  </r>
  <r>
    <s v="MEDELLIN"/>
    <x v="2"/>
    <x v="2"/>
    <n v="5088"/>
    <s v="TA-25-904689"/>
    <n v="80715"/>
    <s v="APERTURA"/>
    <s v="CB CRECIMIENTO ALIANZA - NUEVO"/>
    <s v="ANTIOQUIA"/>
    <s v="BELLO"/>
    <s v="DISTRICOL ABARROTES EL PUERTO"/>
    <s v="REDEBAN"/>
    <s v="FO-25-1306022"/>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BARRIENTOS HERNANDEZ CRISTIAN HORACIO"/>
    <s v="VAZZZ342"/>
    <s v="TIPO I"/>
    <s v="TERRESTRE"/>
    <s v="BARRIENTOS HERNANDEZ CRISTIAN HORACIO"/>
    <n v="1"/>
    <n v="1"/>
    <n v="1"/>
    <n v="11251.22416"/>
    <n v="126317.12212"/>
    <n v="57411.974240000003"/>
    <n v="194980.32052000001"/>
  </r>
  <r>
    <s v="YOPAL"/>
    <x v="0"/>
    <x v="0"/>
    <n v="85162"/>
    <s v="TA-25-904063"/>
    <n v="80742"/>
    <s v="APERTURA"/>
    <s v="CB CRECIMIENTO - NUEVO"/>
    <s v="CASANARE"/>
    <s v="MONTERREY"/>
    <s v="BARRIO ALCARAVANES MONTERREY 1"/>
    <s v="REDEBAN"/>
    <s v="FO-25-1304972"/>
    <d v="2025-07-30T00:00:00"/>
    <d v="2025-08-05T00:00:00"/>
    <s v="UNO A UNO"/>
    <s v="UNO A UNO"/>
    <s v="EJECUTADO"/>
    <s v="30-07-2025 SE REALIZA LLAMADA AL CLIENTE, SE HABLA CON EL SR EDWIN YESID SOSA BUITRAGO SE VALIDA DIRECCIÓN OK, CANAL OK, DISPONIBILIDAD TOTAL, LLAMAR EL DÍA LA INSTALACIÓN PARA CONFIRMAR VISITA, AVISO EXTERIOR ALTURA APROX SE VALIDA EL DIA DE LA APERTURA HAY ESPACIO SUFICIENTE; TOMACORRIENTE CERCANO: SI; TIENE CABINA DE SEGURIDAD: SI // CONTACTO REALIZADO POR LA APP 01-08 EN COMUNICACIÓN CON EL SEÑOR EDWIN SOSA AL NUMERO 3114659005, SE INFORMA QUE NO SE PUEDE REALIZAR LA APERTURA, MOTIVO CIERRE  DE LA MARGINAL, CICLISMO VUELTA COLOMBIA. INDICA NOS ATIENDE EL 5-8-2025 5/08/2025 SE REALIZA INSTALACIÓN DE CORRESPONSAL, SE INSTALAN EQUIPOS CON PRUEBAS EXITOSAS, SE CAPACITA Y SE EVALÚA AL CLIENTE, SE INSTALA PUBLICIDAD COMPLETA, CB QUEDA OPERATIVO. USUARIO SOMOS BANCOLOMBIA ACTIVO"/>
    <s v="BERNAL ELAICA EDGAR ALEXIS"/>
    <s v="VAZZZ361"/>
    <s v="TIPO II"/>
    <s v="TERRESTRE"/>
    <s v="BERNAL ELAICA EDGAR ALEXIS"/>
    <n v="1"/>
    <n v="1"/>
    <n v="1"/>
    <n v="11251.22416"/>
    <n v="126317.12212"/>
    <n v="110808.27512000001"/>
    <n v="248376.6214"/>
  </r>
  <r>
    <s v="TUNJA"/>
    <x v="3"/>
    <x v="3"/>
    <n v="15464"/>
    <s v="TA-25-904065"/>
    <n v="80720"/>
    <s v="APERTURA"/>
    <s v="CB CRECIMIENTO - NUEVO"/>
    <s v="BOYACA"/>
    <s v="MONGUA"/>
    <s v="BARRIO CENTRO MONGUA 1"/>
    <s v="REDEBAN"/>
    <s v="FO-25-1304982"/>
    <d v="2025-07-30T00:00:00"/>
    <d v="2025-08-01T00:00:00"/>
    <s v="UNO A UNO"/>
    <s v="UNO A UNO"/>
    <s v="EJECUTADO"/>
    <s v="30-07-2025 SE REALIZA LLAMADA AL CLIENTE, SE HABLA CON LA SRA YESICA PAOLA MERCHAN CASTAÑEDA SE VALIDA DIRECCIÓN OK, CANAL OK, DISPONIBILIDAD TOTAL, LLAMAR EL DÍA LA INSTALACIÓN PARA CONFIRMAR VISITA, AVISO EXTERIOR ALTURA APROX 2,50 METROS; TOMACORRIENTE CERCANO: SI; TIENE CABINA DE SEGURIDAD: SI // CONTACTO REALIZADO POR LA APP 01-08 SE REALIZA INSTALACIÓN DE CORRESPONSAL, SE INSTALAN EQUIPOS CON PRUEBAS EXITOSAS, SE CAPACITA Y SE EVALÚA AL CLIENTE, SE INSTALA PUBLICIDAD COMPLETA, CB QUEDA OPERATIVO. USUARIO SOMOS BANCOLOMBIA ACTIVO"/>
    <s v="SOLER HOYOS CRISTIAN LEONARDO"/>
    <s v="VAZZZ363"/>
    <s v="TIPO II"/>
    <s v="TERRESTRE"/>
    <s v="SOLER HOYOS CRISTIAN LEONARDO"/>
    <n v="1"/>
    <n v="1"/>
    <n v="1"/>
    <n v="11251.22416"/>
    <n v="126317.12212"/>
    <n v="110808.27512000001"/>
    <n v="248376.6214"/>
  </r>
  <r>
    <s v="NEIVA"/>
    <x v="0"/>
    <x v="0"/>
    <n v="41306"/>
    <s v="TA-25-904066"/>
    <n v="80736"/>
    <s v="APERTURA"/>
    <s v="CB CRECIMIENTO - NUEVO"/>
    <s v="HUILA"/>
    <s v="GIGANTE"/>
    <s v="BARRIO CENTRO GIGANTE  6"/>
    <s v="REDEBAN"/>
    <s v="FO-25-1304987"/>
    <d v="2025-07-30T00:00:00"/>
    <d v="2025-08-01T00:00:00"/>
    <s v="UNO A UNO"/>
    <s v="UNO A UNO"/>
    <s v="EJECUTADO"/>
    <s v="30-07-2025 SE REALIZA LLAMADA AL CLIENTE, SE HABLA CON LA SRA HEIDY JOHANNA CABRERA MAYORCA SE VALIDA DIRECCIÓN OK, CANAL OK, DISPONIBILIDAD TOTAL, LLAMAR EL DÍA LA INSTALACIÓN PARA CONFIRMAR VISITA, AVISO EXTERIOR ALTURA APROX 2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
    <s v="DIAZ VARGAS JONATHAN MIGUEL"/>
    <s v="VAZZZ364"/>
    <s v="TIPO II"/>
    <s v="TERRESTRE"/>
    <s v="DIAZ VARGAS JONATHAN MIGUEL"/>
    <n v="1"/>
    <n v="1"/>
    <n v="1"/>
    <n v="11251.22416"/>
    <n v="126317.12212"/>
    <n v="110808.27512000001"/>
    <n v="248376.6214"/>
  </r>
  <r>
    <s v="CALI"/>
    <x v="1"/>
    <x v="1"/>
    <n v="19212"/>
    <s v="TA-25-904070"/>
    <n v="80727"/>
    <s v="APERTURA"/>
    <s v="CAMBIO DE RAZON SOCIAL"/>
    <s v="CAUCA"/>
    <s v="CORINTO"/>
    <s v="BARRIO CENTRO CORINTO 9"/>
    <s v="REDEBAN"/>
    <s v="FO-25-1305008"/>
    <d v="2025-07-30T00:00:00"/>
    <d v="2025-08-01T00:00:00"/>
    <s v="UNO A UNO"/>
    <s v="UNO A UNO"/>
    <s v="EJECUTADO"/>
    <s v="30-07-2025 SE REALIZA LLAMADA AL CLIENTE, SE HABLA CON EL SR ITALIA ERAZO SE VALIDA DIRECCIÓN OK, CANAL OK, DISPONIBILIDAD TOTAL, LLAMAR EL DÍA LA INSTALACIÓN PARA CONFIRMAR VISITA, AVISO EXTERIOR ALTURA APROX 2,20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
    <s v="PAREDES CASTILLO DIEGO"/>
    <s v="VAZZZ368"/>
    <s v="TIPO III"/>
    <s v="TERRESTRE"/>
    <s v="PAREDES CASTILLO DIEGO"/>
    <n v="1"/>
    <n v="1"/>
    <n v="1"/>
    <n v="11251.22416"/>
    <n v="126317.12212"/>
    <n v="110808.27512000001"/>
    <n v="248376.6214"/>
  </r>
  <r>
    <s v="MEDELLIN"/>
    <x v="2"/>
    <x v="2"/>
    <n v="5001"/>
    <s v="TA-25-904072"/>
    <n v="80762"/>
    <s v="APERTURA"/>
    <s v="CB CRECIMIENTO - NUEVO"/>
    <s v="ANTIOQUIA"/>
    <s v="MEDELLIN"/>
    <s v="BARRIO BELEN MALIBU MEDELLIN"/>
    <s v="REDEBAN"/>
    <s v="FO-25-1305019"/>
    <d v="2025-07-30T00:00:00"/>
    <d v="2025-08-01T00:00:00"/>
    <s v="UNO A UNO"/>
    <s v="UNO A UNO"/>
    <s v="EJECUTADO"/>
    <s v="30-07-2025 SE REALIZA LLAMADA AL CLIENTE, SE HABLA CON EL SR DIEGO SIMON ARISTIZABAL DELGADO SE VALIDA DIRECCIÓN OK, CANAL OK, DISPONIBILIDAD TOTAL, LLAMAR EL DÍA LA INSTALACIÓN PARA CONFIRMAR VISITA, AVISO EXTERIOR ALTURA APROX 2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
    <s v="QUINTERO SANCHEZ JUAN SEBASTIAN"/>
    <s v="VAZZZ370"/>
    <s v="TIPO I"/>
    <s v="TERRESTRE"/>
    <s v="QUINTERO SANCHEZ JUAN SEBASTIAN"/>
    <n v="1"/>
    <n v="1"/>
    <n v="1"/>
    <n v="11251.22416"/>
    <n v="126317.12212"/>
    <n v="57411.974240000003"/>
    <n v="194980.32052000001"/>
  </r>
  <r>
    <s v="PASTO"/>
    <x v="1"/>
    <x v="1"/>
    <n v="52621"/>
    <s v="TA-25-904073"/>
    <n v="80750"/>
    <s v="APERTURA"/>
    <s v="CB CRECIMIENTO - NUEVO"/>
    <s v="NARIÑO"/>
    <s v="ROBERTO PAYAN"/>
    <s v="BARRIO LA PRIMAVERA ROBERTO PAYAN"/>
    <s v="REDEBAN"/>
    <s v="FO-25-1305024"/>
    <d v="2025-07-30T00:00:00"/>
    <d v="2025-08-12T00:00:00"/>
    <s v="UNO A UNO"/>
    <s v="UNO A UNO"/>
    <s v="EJECUTADO"/>
    <s v="30-07-2025 SE REALIZA LLAMADA AL CLIENTE, SE HABLA CON LA ENCARGADA DEL SR EDINSON JAVIER CASTILLO CORTES SE VALIDA DIRECCIÓN OK, CANAL OK, DISPONIBILIDAD TOTAL, LLAMAR EL DÍA LA INSTALACIÓN PARA CONFIRMAR VISITA, AVISO EXTERIOR ALTURA APROX 3-4 METROS; TOMACORRIENTE CERCANO: SI; TIENE CABINA DE SEGURIDAD: SI // CONTACTO REALIZADO POR LA APP 11-08 SÉ ALCANZO A LLEGAR HASTA POR DEMORAS EN EL TRANSPORTE (LANCHA) 12/08/2025 SE REALIZA INSTALACIÓN DE CORRESPONSAL, SE INSTALAN EQUIPOS CON PRUEBAS EXITOSAS, SE CAPACITA Y SE EVALÚA AL CLIENTE, SE INSTALA PUBLICIDAD COMPLETA, CB QUEDA OPERATIVO. USUARIO SOMOS BANCOLOMBIA ACTIVO"/>
    <s v="PAZ MARTINEZ RICHARD HUMBERTO"/>
    <s v="VAZZZ371"/>
    <s v="TIPO IV ESPECIAL"/>
    <s v="FLUVIAL"/>
    <s v="PAZ MARTINEZ RICHARD HUMBERTO"/>
    <n v="1"/>
    <n v="1"/>
    <n v="1"/>
    <n v="11251.22416"/>
    <n v="126317.12212"/>
    <n v="110808.27512000001"/>
    <n v="248376.6214"/>
  </r>
  <r>
    <s v="PASTO"/>
    <x v="1"/>
    <x v="1"/>
    <n v="52585"/>
    <s v="TA-25-904074"/>
    <n v="80749"/>
    <s v="APERTURA"/>
    <s v="CB CRECIMIENTO - NUEVO"/>
    <s v="NARIÑO"/>
    <s v="PUPIALES"/>
    <s v="BARRIO EL CENTRO PUPIALES 1"/>
    <s v="REDEBAN"/>
    <s v="FO-25-1305027"/>
    <d v="2025-07-30T00:00:00"/>
    <d v="2025-08-01T00:00:00"/>
    <s v="UNO A UNO"/>
    <s v="UNO A UNO"/>
    <s v="EJECUTADO"/>
    <s v="30-07-2025 SE REALIZA LLAMADA AL CLIENTE, SE HABLA CON EL SR ENRIQUE CARLOS ALBERTO MUÑOZ BRAVO SE VALIDA DIRECCIÓN OK, CANAL OK, DISPONIBILIDAD TOTAL, LLAMAR EL DÍA LA INSTALACIÓN PARA CONFIRMAR VISITA, AVISO EXTERIOR ALTURA APROX 2,50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
    <s v="REMICIO AMADO JOHN HEBER"/>
    <s v="VAZZZ372"/>
    <s v="TIPO II"/>
    <s v="TERRESTRE"/>
    <s v="REMICIO AMADO JOHN HEBER"/>
    <n v="1"/>
    <n v="1"/>
    <n v="1"/>
    <n v="11251.22416"/>
    <n v="126317.12212"/>
    <n v="110808.27512000001"/>
    <n v="248376.6214"/>
  </r>
  <r>
    <s v="PASTO"/>
    <x v="1"/>
    <x v="1"/>
    <n v="52427"/>
    <s v="TA-25-904075"/>
    <n v="80739"/>
    <s v="APERTURA"/>
    <s v="CB CRECIMIENTO - NUEVO"/>
    <s v="NARIÑO"/>
    <s v="MAGUI"/>
    <s v="BARRIO LA CALLE  CUATE MAGUI"/>
    <s v="REDEBAN"/>
    <s v="FO-25-1305033"/>
    <d v="2025-07-30T00:00:00"/>
    <d v="2025-08-13T00:00:00"/>
    <s v="UNO A UNO"/>
    <s v="UNO A UNO"/>
    <s v="EJECUTADO"/>
    <s v="30-07-2025 SE REALIZA LLAMADA AL CLIENTE, SE HABLA CON EL SR NELSON DANIEL CAICEDO SEGURA SE VALIDA DIRECCIÓN OK, CANAL OK, DISPONIBILIDAD TOTAL, LLAMAR EL DÍA LA INSTALACIÓN PARA CONFIRMAR VISITA, AVISO EXTERIOR ALTURA APROX 3 METROS; TOMACORRIENTE CERCANO: SI; TIENE CABINA DE SEGURIDAD: SI // CONTACTO REALIZADO POR LA APP 11-08 SÉ ALCANZO A LLEGAR HASTA POR DEMORAS EN EL TRANSPORTE (LANCHA) 12-08 SE ESTA PENDIENTE DEL TRANSPORTE EN LANCHA PARA LLEGAR AL SITIO, NOS ENCONTRAMOS EN LA ZONA EN DESPLAZAMIENTO 13/08/2025 SE REALIZA INSTALACIÓN DE CORRESPONSAL, SE INSTALAN EQUIPOS CON PRUEBAS EXITOSAS, SE CAPACITA Y SE EVALÚA AL CLIENTE, SE INSTALA PUBLICIDAD COMPLETA, CB QUEDA OPERATIVO. USUARIO SOMOS BANCOLOMBIA ACTIVO"/>
    <s v="PAZ MARTINEZ RICHARD HUMBERTO"/>
    <s v="VAZZZ373"/>
    <s v="TIPO IV ESPECIAL"/>
    <s v="FLUVIAL"/>
    <s v="PAZ MARTINEZ RICHARD HUMBERTO"/>
    <n v="1"/>
    <n v="1"/>
    <n v="1"/>
    <n v="11251.22416"/>
    <n v="126317.12212"/>
    <n v="110808.27512000001"/>
    <n v="248376.6214"/>
  </r>
  <r>
    <s v="MEDELLIN"/>
    <x v="2"/>
    <x v="2"/>
    <n v="5001"/>
    <s v="TA-25-904086"/>
    <n v="80763"/>
    <s v="APERTURA"/>
    <s v="CB CRECIMIENTO - NUEVO"/>
    <s v="ANTIOQUIA"/>
    <s v="MEDELLIN"/>
    <s v="BARRIO BELEN MEDELLIN 17"/>
    <s v="REDEBAN"/>
    <s v="FO-25-1305052"/>
    <d v="2025-07-30T00:00:00"/>
    <d v="2025-08-01T00:00:00"/>
    <s v="UNO A UNO"/>
    <s v="UNO A UNO"/>
    <s v="EJECUTADO"/>
    <s v="30-07-2025 SE REALIZA LLAMADA AL CLIENTE, SE HABLA CON EL SR JOSE REYMUNDO ESTRADA, VALIDA DIRECCIÓN OK, CANAL OK, DISPONIBILIDAD TOTAL, LLAMAR EL DÍA LA INSTALACIÓN PARA CONFIRMAR VISITA, AVISO EXTERIOR ALTURA APROX  4 METROS; TOMACORRIENTE CERCANO: SI; TIENE CABINA DE SEGURIDAD: SI // MODEM A 5 METROS 1/08/2025 SE REALIZA INSTALACIÓN DE CORRESPONSAL, SE INSTALAN EQUIPOS CON PRUEBAS EXITOSAS, SE CAPACITA Y SE EVALÚA AL CLIENTE, SE INSTALA PUBLICIDAD COMPLETA, CB QUEDA OPERATIVO. USUARIO SOMOS BANCOLOMBIA ACTIVO"/>
    <s v="QUINTERO SANCHEZ JUAN SEBASTIAN"/>
    <s v="VAZZZ377"/>
    <s v="TIPO I"/>
    <s v="TERRESTRE"/>
    <s v="QUINTERO SANCHEZ JUAN SEBASTIAN"/>
    <n v="1"/>
    <n v="1"/>
    <n v="1"/>
    <n v="11251.22416"/>
    <n v="126317.12212"/>
    <n v="57411.974240000003"/>
    <n v="194980.32052000001"/>
  </r>
  <r>
    <s v="VILLAVICENCIO"/>
    <x v="0"/>
    <x v="0"/>
    <n v="50313"/>
    <s v="TA-25-904088"/>
    <n v="80737"/>
    <s v="APERTURA"/>
    <s v="CB CRECIMIENTO - NUEVO"/>
    <s v="META"/>
    <s v="GRANADA"/>
    <s v="BARRIO CENTRO GRANADA  1"/>
    <s v="REDEBAN"/>
    <s v="FO-25-1305055"/>
    <d v="2025-07-30T00:00:00"/>
    <d v="2025-08-01T00:00:00"/>
    <s v="UNO A UNO"/>
    <s v="UNO A UNO"/>
    <s v="EJECUTADO"/>
    <s v="30-07-2025 SE REALIZA LLAMADA AL CLIENTE, SE HABLA CON LA SRA LEONOR CASTILLO DIAZ,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 v="ROZO JIMENEZ EDGAR ARMANDO"/>
    <s v="VAZZZ378"/>
    <s v="TIPO II"/>
    <s v="TERRESTRE"/>
    <s v="ROZO JIMENEZ EDGAR ARMANDO"/>
    <n v="1"/>
    <n v="1"/>
    <n v="1"/>
    <n v="11251.22416"/>
    <n v="126317.12212"/>
    <n v="110808.27512000001"/>
    <n v="248376.6214"/>
  </r>
  <r>
    <s v="BUCARAMANGA"/>
    <x v="3"/>
    <x v="3"/>
    <n v="13688"/>
    <s v="TA-25-904091"/>
    <n v="80753"/>
    <s v="APERTURA"/>
    <s v="CB CRECIMIENTO - NUEVO"/>
    <s v="BOLIVAR"/>
    <s v="SANTA ROSA DEL SUR"/>
    <s v="BARRIO LA FERIA SANTA ROSA DEL SUR"/>
    <s v="REDEBAN"/>
    <s v="FO-25-1305064"/>
    <d v="2025-07-30T00:00:00"/>
    <d v="2025-08-05T00:00:00"/>
    <s v="UNO A UNO"/>
    <s v="UNO A UNO"/>
    <s v="EJECUTADO"/>
    <s v="30-07-2025 SE REALIZA LLAMADA AL CLIENTE, SE HABLA CON EL HIJO DE LA LA SRA RUTH YAMILE SANABRIA MORALES, VALIDA DIRECCIÓN OK, CANAL OK, DISPONIBILIDAD TOTAL, LLAMAR EL DÍA LA INSTALACIÓN PARA CONFIRMAR VISITA, AVISO EXTERIOR ALTURA APROX DONDE EL TECNICO LO VEA CONVENIENTE; TOMACORRIENTE CERCANO: SI; TIENE CABINA DE SEGURIDAD: SI//MODEM A 5 METROS 5/08/2025 SE REALIZA INSTALACIÓN DE CORRESPONSAL, SE INSTALAN EQUIPOS CON PRUEBAS EXITOSAS, SE CAPACITA Y SE EVALÚA AL CLIENTE, SE INSTALA PUBLICIDAD COMPLETA, CB QUEDA OPERATIVO. USUARIO SOMOS BANCOLOMBIA ACTIVO"/>
    <s v="ORTEBARRERAGA MARLON STWAR"/>
    <s v="VAZZZ381"/>
    <s v="TIPO IV ESPECIAL"/>
    <s v="TERRESTRE/FLUVIAL"/>
    <s v="ORTEBARRERAGA MARLON STWAR"/>
    <n v="1"/>
    <n v="1"/>
    <n v="1"/>
    <n v="11251.22416"/>
    <n v="126317.12212"/>
    <n v="110808.27512000001"/>
    <n v="248376.6214"/>
  </r>
  <r>
    <s v="NEIVA"/>
    <x v="0"/>
    <x v="0"/>
    <n v="18001"/>
    <s v="TA-25-904092"/>
    <n v="80733"/>
    <s v="APERTURA"/>
    <s v="CB CRECIMIENTO - NUEVO"/>
    <s v="CAQUETA"/>
    <s v="FLORENCIA"/>
    <s v="BARRIO CENTRO FLORENCIA 39"/>
    <s v="REDEBAN"/>
    <s v="FO-25-1305067"/>
    <d v="2025-07-30T00:00:00"/>
    <d v="2025-08-04T00:00:00"/>
    <s v="UNO A UNO"/>
    <s v="UNO A UNO"/>
    <s v="EJECUTADO"/>
    <s v="30-07-2025 SE REALIZA LLAMADA AL CLIENTE, SE HABLA CON  LA LA SRA DAIRA ISABEL TORRES LOZANO, VALIDA DIRECCIÓN OK, CANAL OK, DISPONIBILIDAD TOTAL, LLAMAR EL DÍA LA INSTALACIÓN PARA CONFIRMAR VISITA, AVISO EXTERIOR ALTURA APROX DONDE EL TECNICO LO VEA CONVENIENTE; TOMACORRIENTE CERCANO: SI; TIENE CABINA DE SEGURIDAD: SI 4/08/2025 LA SEÑORA DIARIA ISABEL SE COMUNICA CONMIGO Y ME MANIFESTO QUE EL DÍA DE MAÑANA NO PUEDE ATENDER LA VISITA PARA LA INSTALACIÓN YA QUE POR MOTIVOS PERSONALES DEBE VIAJAR EL DÍA DE HOY EN HORAS DE LA NOCHE A LA CIUDAD DE BOGOTÁ Y REGRESA EL DOMINGO EN LA NOCHE A FLORENCIA, PARA QUE EL DÍA LUNES 04 DE AGOSTO SE LE REALICE LA INSTALACIÓN. 4/08/2025 SE REALIZA INSTALACIÓN DE CORRESPONSAL, SE INSTALAN EQUIPOS CON PRUEBAS EXITOSAS, SE CAPACITA Y SE EVALÚA AL CLIENTE, SE INSTALA PUBLICIDAD COMPLETA, CB QUEDA OPERATIVO. USUARIO SOMOS BANCOLOMBIA ACTIVO"/>
    <s v="BERMUDEZ SANCHEZ JOSE NEYBER"/>
    <s v="VAZZZ382"/>
    <s v="TIPO IV"/>
    <s v="TERRESTRE"/>
    <s v="BERMUDEZ SANCHEZ JOSE NEYBER"/>
    <n v="1"/>
    <n v="1"/>
    <n v="1"/>
    <n v="11251.22416"/>
    <n v="126317.12212"/>
    <n v="110808.27512000001"/>
    <n v="248376.6214"/>
  </r>
  <r>
    <s v="CUCUTA"/>
    <x v="3"/>
    <x v="3"/>
    <n v="54498"/>
    <s v="TA-25-904094"/>
    <n v="80745"/>
    <s v="APERTURA"/>
    <s v="CB CRECIMIENTO - NUEVO"/>
    <s v="NORTE DE SANTANDER"/>
    <s v="OCAÑA"/>
    <s v="BARRIO JUAN 23  OCAÑA"/>
    <s v="REDEBAN"/>
    <s v="FO-25-1305075"/>
    <d v="2025-07-30T00:00:00"/>
    <d v="2025-08-01T00:00:00"/>
    <s v="UNO A UNO"/>
    <s v="UNO A UNO"/>
    <s v="EJECUTADO"/>
    <s v="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
    <s v="GELVEZ MOGOLLON JOSE ELISEO"/>
    <s v="VAZZZ384"/>
    <s v="TIPO IV"/>
    <s v="TERRESTRE"/>
    <s v="GELVEZ MOGOLLON JOSE ELISEO"/>
    <n v="1"/>
    <n v="1"/>
    <n v="1"/>
    <n v="11251.22416"/>
    <n v="126317.12212"/>
    <n v="110808.27512000001"/>
    <n v="248376.6214"/>
  </r>
  <r>
    <s v="CALI"/>
    <x v="1"/>
    <x v="1"/>
    <n v="19137"/>
    <s v="TA-25-904098"/>
    <n v="80723"/>
    <s v="APERTURA"/>
    <s v="CB CRECIMIENTO - NUEVO"/>
    <s v="CAUCA"/>
    <s v="CALDONO"/>
    <s v="BARRIO PESCADOR CALDONO"/>
    <s v="REDEBAN"/>
    <s v="FO-25-1305084"/>
    <d v="2025-07-30T00:00:00"/>
    <d v="2025-08-01T00:00:00"/>
    <s v="UNO A UNO"/>
    <s v="UNO A UNO"/>
    <s v="EJECUTADO"/>
    <s v="30-07-2025 SE REALIZA LLAMADA AL CLIENTE, SE HABLA CON LA SRA LINA VANESSA TROCHEZ BARONA, VALIDA DIRECCIÓN OK, CANAL OK, DISPONIBILIDAD TOTAL, LLAMAR EL DÍA LA INSTALACIÓN PARA CONFIRMAR VISITA, AVISO EXTERIOR ALTURA APROX  3 METROS; TOMACORRIENTE CERCANO: SI; TIENE CABINA DE SEGURIDAD: NO// MODEM A 15 METROS 1/08/2025 SE REALIZA INSTALACIÓN DE CORRESPONSAL, SE INSTALAN EQUIPOS CON PRUEBAS EXITOSAS, SE CAPACITA Y SE EVALÚA AL CLIENTE, SE INSTALA PUBLICIDAD COMPLETA, CB QUEDA OPERATIVO. USUARIO SOMOS BANCOLOMBIA ACTIVO"/>
    <s v="GIMBUEL LASSO LUIS GERMAN"/>
    <s v="VAZZZ386"/>
    <s v="TIPO III"/>
    <s v="TERRESTRE"/>
    <s v="GIMBUEL LASSO LUIS GERMAN"/>
    <n v="1"/>
    <n v="1"/>
    <n v="1"/>
    <n v="11251.22416"/>
    <n v="126317.12212"/>
    <n v="110808.27512000001"/>
    <n v="248376.6214"/>
  </r>
  <r>
    <s v="CARTAGENA"/>
    <x v="4"/>
    <x v="4"/>
    <n v="13442"/>
    <s v="TA-25-904100"/>
    <n v="80740"/>
    <s v="APERTURA"/>
    <s v="CB CRECIMIENTO - NUEVO"/>
    <s v="BOLIVAR"/>
    <s v="MARIA LA BAJA"/>
    <s v="BARRIO VRD NUEVA ESPERANZA MARIA LA BAJA"/>
    <s v="REDEBAN"/>
    <s v="FO-25-1305093"/>
    <d v="2025-07-30T00:00:00"/>
    <d v="2025-08-06T00:00:00"/>
    <s v="UNO A UNO"/>
    <s v="UNO A UNO"/>
    <s v="EJECUTADO"/>
    <s v="30-07-2025 SE REALIZA LLAMADA AL CLIENTE, SE HABLA CON EL SR ROBER OLAVE BERRIO, VALIDA DIRECCIÓN OK, CANAL OK, DISPONIBILIDAD TOTAL, LLAMAR EL DÍA LA INSTALACIÓN PARA CONFIRMAR VISITA, AVISO EXTERIOR ALTURA APROX  DONDE EL TECNICO LO VEA CONVENIENTE; TOMACORRIENTE CERCANO: SI; TIENE CABINA DE SEGURIDAD: SI 01-08 SE VALIDA CON CLIENTE INFORMA QUE MAÑANA  HAY PROGRAMADA UNA PARADA TÉCNICA DEL SERVICIO DE LA LUZ DESDE LAS 7AM  A 4 PM POR LO QUE SE REAGENDA LA VISITA PARA EL DIA LUNES 04-08 CLIENTE INFORMA QUE EN LA VÍA SE ENCUENTRA UN PARO QUE TIENE BLOQUEADA LA CARRETERA Y NO SE SABE A QUE HORAS LO LEVANTEN POR LO QUE SE REAGENDA PARA EL MIÉRCOLES 6/08/2025 SE REALIZA INSTALACIÓN DE CORRESPONSAL, SE INSTALAN EQUIPOS CON PRUEBAS EXITOSAS, SE CAPACITA Y SE EVALÚA AL CLIENTE, SE INSTALA PUBLICIDAD COMPLETA, CB QUEDA OPERATIVO. USUARIO SOMOS BANCOLOMBIA ACTIVO"/>
    <s v="MARTINEZ SALGUEDO ANDRES AUGUSTO"/>
    <s v="VAZZZ388"/>
    <s v="TIPO II"/>
    <s v="TERRESTRE"/>
    <s v="MARTINEZ SALGUEDO ANDRES AUGUSTO"/>
    <n v="1"/>
    <n v="1"/>
    <n v="1"/>
    <n v="11251.22416"/>
    <n v="126317.12212"/>
    <n v="110808.27512000001"/>
    <n v="248376.6214"/>
  </r>
  <r>
    <s v="NEIVA"/>
    <x v="0"/>
    <x v="0"/>
    <n v="41396"/>
    <s v="TA-25-904101"/>
    <n v="80738"/>
    <s v="APERTURA"/>
    <s v="CB CRECIMIENTO - NUEVO"/>
    <s v="HUILA"/>
    <s v="LA PLATA"/>
    <s v="BARRIO LA POLA LA PLATA 5"/>
    <s v="REDEBAN"/>
    <s v="FO-25-1305096"/>
    <d v="2025-07-30T00:00:00"/>
    <d v="2025-08-01T00:00:00"/>
    <s v="UNO A UNO"/>
    <s v="UNO A UNO"/>
    <s v="EJECUTADO"/>
    <s v="30-07-2025 SE REALIZA LLAMADA AL CLIENTE, SE HABLA CON EL SR ADRIAN MAZABEL REYES, VALIDA DIRECCIÓN OK, CANAL OK, DISPONIBILIDAD TOTAL, LLAMAR EL DÍA LA INSTALACIÓN PARA CONFIRMAR VISITA, AVISO EXTERIOR ALTURA APROX  2,50 METROS; TOMACORRIENTE CERCANO: SI; TIENE CABINA DE SEGURIDAD: SI 01-08 SE REALIZA INSTALACIÓN DE CORRESPONSAL, SE INSTALAN EQUIPOS CON PRUEBAS EXITOSAS, SE CAPACITA Y SE EVALÚA AL CLIENTE, SE INSTALA PUBLICIDAD COMPLETA, CB QUEDA OPERATIVO. USUARIO SOMOS BANCOLOMBIA ACTIVO"/>
    <s v="ANDRADE HERNANDEZ JUAN CARLOS"/>
    <s v="VAZZZ389"/>
    <s v="TIPO III"/>
    <s v="TERRESTRE"/>
    <s v="ANDRADE HERNANDEZ JUAN CARLOS"/>
    <n v="1"/>
    <n v="1"/>
    <n v="1"/>
    <n v="11251.22416"/>
    <n v="126317.12212"/>
    <n v="110808.27512000001"/>
    <n v="248376.6214"/>
  </r>
  <r>
    <s v="MEDELLIN"/>
    <x v="2"/>
    <x v="2"/>
    <n v="5001"/>
    <s v="TA-25-904105"/>
    <n v="80761"/>
    <s v="APERTURA"/>
    <s v="CB CRECIMIENTO - NUEVO"/>
    <s v="ANTIOQUIA"/>
    <s v="MEDELLIN"/>
    <s v="BARRIO CAICEDO MEDELLIN 17"/>
    <s v="REDEBAN"/>
    <s v="FO-25-1305113"/>
    <d v="2025-07-30T00:00:00"/>
    <d v="2025-08-01T00:00:00"/>
    <s v="UNO A UNO"/>
    <s v="UNO A UNO"/>
    <s v="EJECUTADO"/>
    <s v="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
    <s v="PAREJA ECHAVARRIA JHON DAVID"/>
    <s v="VAZZZ393"/>
    <s v="TIPO I"/>
    <s v="TERRESTRE"/>
    <s v="PAREJA ECHAVARRIA JHON DAVID"/>
    <n v="1"/>
    <n v="1"/>
    <n v="1"/>
    <n v="11251.22416"/>
    <n v="126317.12212"/>
    <n v="57411.974240000003"/>
    <n v="194980.32052000001"/>
  </r>
  <r>
    <s v="TUNJA"/>
    <x v="3"/>
    <x v="3"/>
    <n v="15759"/>
    <s v="TA-25-904106"/>
    <n v="80755"/>
    <s v="APERTURA"/>
    <s v="CB CRECIMIENTO - NUEVO"/>
    <s v="BOYACA"/>
    <s v="SOGAMOSO"/>
    <s v="BARRIO GUSTAVO JIMENEZ SOGAMOSO 4"/>
    <s v="REDEBAN"/>
    <s v="FO-25-1305118"/>
    <d v="2025-07-30T00:00:00"/>
    <d v="2025-08-01T00:00:00"/>
    <s v="UNO A UNO"/>
    <s v="UNO A UNO"/>
    <s v="EJECUTADO"/>
    <s v="30-07 SE REALIZA LLAMADA AL CLIENTE, SE HABLA CON LA SRA LORENA NATALY MERCHÁN CASTAÑEDA SE VALIDA DIRECCIÓN OK, CANAL OK, DISPONIBILIDAD TOTAL, LLAMAR EL DÍA LA INSTALACIÓN PARA CONFIRMAR VISITA, AVISO EXTERIOR ALTURA APROX 2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
    <s v="SOLER HOYOS CRISTIAN LEONARDO"/>
    <s v="VAZZZ395"/>
    <s v="TIPO II"/>
    <s v="TERRESTRE"/>
    <s v="SOLER HOYOS CRISTIAN LEONARDO"/>
    <n v="1"/>
    <n v="1"/>
    <n v="1"/>
    <n v="11251.22416"/>
    <n v="126317.12212"/>
    <n v="110808.27512000001"/>
    <n v="248376.6214"/>
  </r>
  <r>
    <s v="VILLAVICENCIO"/>
    <x v="0"/>
    <x v="0"/>
    <n v="50110"/>
    <s v="TA-25-904110"/>
    <n v="80719"/>
    <s v="APERTURA"/>
    <s v="CB CRECIMIENTO - NUEVO"/>
    <s v="META"/>
    <s v="BARRANCA DE UPIA"/>
    <s v="BARRIO LIBERTAD I BARRANCA DE UPIA"/>
    <s v="REDEBAN"/>
    <s v="FO-25-1305133"/>
    <d v="2025-07-30T00:00:00"/>
    <d v="2025-08-01T00:00:00"/>
    <s v="UNO A UNO"/>
    <s v="UNO A UNO"/>
    <s v="EJECUTADO"/>
    <s v="30-07 SE REALIZA LLAMADA AL CLIENTE, SE HABLA CON LA SRA YURY MARCELA SIGUA VELANDIA  SE VALIDA DIRECCIÓN OK, CANAL OK, DISPONIBILIDAD TOTAL, LLAMAR EL DÍA LA INSTALACIÓN PARA CONFIRMAR VISITA, AVISO EXTERIOR ALTURA APROX 3.5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
    <s v="PEDREROS CONTRERAS MICHAEL STEVENS"/>
    <s v="VAZZZ398"/>
    <s v="TIPO II"/>
    <s v="TERRESTRE"/>
    <s v="PEDREROS CONTRERAS MICHAEL STEVENS"/>
    <n v="1"/>
    <n v="1"/>
    <n v="1"/>
    <n v="11251.22416"/>
    <n v="126317.12212"/>
    <n v="110808.27512000001"/>
    <n v="248376.6214"/>
  </r>
  <r>
    <s v="MEDELLIN"/>
    <x v="2"/>
    <x v="2"/>
    <n v="5483"/>
    <s v="TA-25-904116"/>
    <n v="80744"/>
    <s v="APERTURA"/>
    <s v="CB CRECIMIENTO - NUEVO"/>
    <s v="ANTIOQUIA"/>
    <s v="NARIÑO"/>
    <s v="BARRIO CORR PUERTO VENUS NARIÑO"/>
    <s v="REDEBAN"/>
    <s v="FO-25-1305143"/>
    <d v="2025-07-30T00:00:00"/>
    <d v="2025-08-01T00:00:00"/>
    <s v="UNO A UNO"/>
    <s v="UNO A UNO"/>
    <s v="EJECUTADO"/>
    <s v="30-07 SE REALIZA LLAMADA AL CLIENTE, SE HABLA CON LA SRA JAVIER CAMILO CADAVID TORO  SE VALIDA DIRECCIÓN OK, CANAL OK, DISPONIBILIDAD TOTAL, LLAMAR EL DÍA LA INSTALACIÓN PARA CONFIRMAR VISITA, AVISO EXTERIOR ALTURA APROX 2 METROS; TOMACORRIENTE CERCANO: SI; TIENE CABINA DE SEGURIDAD: NO 31-07 EL DESPLAZAMIENTO HACIA EL CORREGIMIENTO TOMÓ APROXIMADAMENTE OCHO HORAS, POR LO QUE SE LLEGÓ AL LUGAR SOBRE LAS 5:30 P.M. AL MOMENTO DE LA LLEGADA, EL USUARIO INFORMÓ QUE NO ATENDERÍA LA ACTIVIDAD PROGRAMADA PARA EL DÍA DE HOY, INDICANDO QUE SU DISPONIBILIDAD SERÍA PARA EL DÍA SIGUIENTE. POR LO TANTO, SE REPROGRAMA LA ATENCIÓN DE LA ACTIVIDAD PARA EL DÍA DE MAÑANA, CONFORME A LA INDICACIÓN DEL USUARIO EN SITIO. 1/08/2025 SE REALIZA INSTALACIÓN DE CORRESPONSAL, SE INSTALAN EQUIPOS CON PRUEBAS EXITOSAS, SE CAPACITA Y SE EVALÚA AL CLIENTE, SE INSTALA PUBLICIDAD COMPLETA, CB QUEDA OPERATIVO. USUARIO SOMOS BANCOLOMBIA ACTIVO"/>
    <s v="MARTINEZ TOVAR OSCAR DAVID"/>
    <s v="VAZZZ401"/>
    <s v="TIPO IV"/>
    <s v="TERRESTRE"/>
    <s v="MARTINEZ TOVAR OSCAR DAVID"/>
    <n v="1"/>
    <n v="1"/>
    <n v="1"/>
    <n v="11251.22416"/>
    <n v="126317.12212"/>
    <n v="110808.27512000001"/>
    <n v="248376.6214"/>
  </r>
  <r>
    <s v="NEIVA"/>
    <x v="0"/>
    <x v="0"/>
    <n v="18001"/>
    <s v="TA-25-915445"/>
    <n v="80786"/>
    <s v="APERTURA"/>
    <s v="CB CRECIMIENTO - NUEVO"/>
    <s v="CAQUETA"/>
    <s v="FLORENCIA"/>
    <s v="BARRIO LA LIBERTAD FLORENCIA 2"/>
    <s v="REDEBAN"/>
    <s v="FO-25-1316240"/>
    <d v="2025-08-01T00:00:00"/>
    <d v="2025-08-04T00:00:00"/>
    <s v="UNO A UNO"/>
    <s v="UNO A UNO"/>
    <s v="EJECUTADO"/>
    <s v="01-08-2025 SE REALIZA LLAMADA AL CLIENTE, SE HABLA CON LA SRA MARTHA LILIA MARTINEZ ALDANA SE VALIDA DIRECCIÓN OK, CANAL OK, DISPONIBILIDAD TOTAL, LLAMAR EL DÍA LA INSTALACIÓN PARA CONFIRMAR VISITA, AVISO EXTERIOR ALTURA APROX CLIENTE NO TIENE CONOCIMIENTO DE MEDIDA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BERMUDEZ SANCHEZ JOSE NEYBER"/>
    <s v="F7ZZZ994"/>
    <s v="TIPO IV"/>
    <s v="TERRESTRE"/>
    <s v="BERMUDEZ SANCHEZ JOSE NEYBER"/>
    <n v="1"/>
    <n v="1"/>
    <n v="1"/>
    <n v="11251.22416"/>
    <n v="126317.12212"/>
    <n v="110808.27512000001"/>
    <n v="248376.6214"/>
  </r>
  <r>
    <s v="BARRANQUILLA"/>
    <x v="4"/>
    <x v="4"/>
    <n v="8433"/>
    <s v="TA-25-915446"/>
    <n v="80788"/>
    <s v="APERTURA"/>
    <s v="CB CRECIMIENTO - NUEVO"/>
    <s v="ATLANTICO"/>
    <s v="MALAMBO"/>
    <s v="BARRIO CONCOR MALAMBO 4"/>
    <s v="REDEBAN"/>
    <s v="FO-25-1316244"/>
    <d v="2025-08-01T00:00:00"/>
    <d v="2025-08-04T00:00:00"/>
    <s v="UNO A UNO"/>
    <s v="UNO A UNO"/>
    <s v="EJECUTADO"/>
    <s v="01-08-2025 SE REALIZA LLAMADA AL CLIENTE, SE HABLA CON LA SRA VALERY TORRES RODRÍGUEZ SE VALIDA DIRECCIÓN OK, CANAL OK, DISPONIBILIDAD TOTAL, LLAMAR EL DÍA LA INSTALACIÓN PARA CONFIRMAR VISITA, AVISO EXTERIOR ALTURA APROX 2-3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PORRAS CASTRO DARLON NASCK"/>
    <s v="F7ZZZ995"/>
    <s v="TIPO II"/>
    <s v="TERRESTRE"/>
    <s v="PORRAS CASTRO DARLON NASCK"/>
    <n v="1"/>
    <n v="1"/>
    <n v="1"/>
    <n v="11251.22416"/>
    <n v="126317.12212"/>
    <n v="110808.27512000001"/>
    <n v="248376.6214"/>
  </r>
  <r>
    <s v="CUCUTA"/>
    <x v="3"/>
    <x v="3"/>
    <n v="54001"/>
    <s v="TA-25-915451"/>
    <n v="80783"/>
    <s v="APERTURA"/>
    <s v="CB CRECIMIENTO - NUEVO"/>
    <s v="NORTE DE SANTANDER"/>
    <s v="CUCUTA"/>
    <s v="BARRIO NIÑA CECI CUCUTA 9"/>
    <s v="REDEBAN"/>
    <s v="FO-25-1316254"/>
    <d v="2025-08-01T00:00:00"/>
    <d v="2025-08-04T00:00:00"/>
    <s v="UNO A UNO"/>
    <s v="UNO A UNO"/>
    <s v="EJECUTADO"/>
    <s v="01-08-2025 SE REALIZA LLAMADA AL CLIENTE, SE HABLA CON EL SR HEIDER JOHAN PORTILLO CAÑIZALEZ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DURAN ACOSTA FRANK YONNY"/>
    <s v="F7ZZZ996"/>
    <s v="TIPO I"/>
    <s v="TERRESTRE"/>
    <s v="DURAN ACOSTA FRANK YONNY"/>
    <n v="1"/>
    <n v="1"/>
    <n v="1"/>
    <n v="11251.22416"/>
    <n v="126317.12212"/>
    <n v="57411.974240000003"/>
    <n v="194980.32052000001"/>
  </r>
  <r>
    <s v="CUCUTA"/>
    <x v="3"/>
    <x v="3"/>
    <n v="54498"/>
    <s v="TA-25-915453"/>
    <n v="80794"/>
    <s v="APERTURA"/>
    <s v="CB CRECIMIENTO - NUEVO"/>
    <s v="NORTE DE SANTANDER"/>
    <s v="OCAÑA"/>
    <s v="BARRIO BAMBO OCAÑA"/>
    <s v="REDEBAN"/>
    <s v="FO-25-1316260"/>
    <d v="2025-08-01T00:00:00"/>
    <d v="2025-08-06T00:00:00"/>
    <s v="UNO A UNO"/>
    <s v="UNO A UNO"/>
    <s v="EJECUTADO"/>
    <s v="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5-08 SE CONTACTA TELEFÓNICAMENTE AL CLIENTE, EL SEÑOR MARÍA DEL CARMEN, CONFIRMA DATOS OK, SE LE INFORMA QUE HOY SE INICIA DESPLAZAMIENTO AL MUNICIPIO DE OCAÑA. SE AGENDA VISITA PARA EL DÍA 06/08. /06-08 SE REALIZA INSTALACIÓN DE CORRESPONSAL, SE INSTALAN EQUIPOS CON PRUEBAS EXITOSAS, SE CAPACITA Y SE EVALÚA AL CLIENTE, SE INSTALA PUBLICIDAD COMPLETA, CB QUEDA OPERATIVO. USUARIO SOMOS BANCOLOMBIA ACTIVO"/>
    <s v="PACHECO BUITRAGO JAVIER ALONSO"/>
    <s v="F7ZZZ997"/>
    <s v="TIPO IV"/>
    <s v="TERRESTRE"/>
    <s v="PACHECO BUITRAGO JAVIER ALONSO"/>
    <n v="1"/>
    <n v="1"/>
    <n v="1"/>
    <n v="11251.22416"/>
    <n v="126317.12212"/>
    <n v="110808.27512000001"/>
    <n v="248376.6214"/>
  </r>
  <r>
    <s v="CUCUTA"/>
    <x v="3"/>
    <x v="3"/>
    <n v="54498"/>
    <s v="TA-25-915455"/>
    <n v="80795"/>
    <s v="APERTURA"/>
    <s v="CB CRECIMIENTO - NUEVO"/>
    <s v="NORTE DE SANTANDER"/>
    <s v="OCAÑA"/>
    <s v="BARRIO EL LIBANO OCAÑA 1"/>
    <s v="REDEBAN"/>
    <s v="FO-25-1316266"/>
    <d v="2025-08-01T00:00:00"/>
    <d v="2025-08-06T00:00:00"/>
    <s v="UNO A UNO"/>
    <s v="UNO A UNO"/>
    <s v="EJECUTADO"/>
    <s v="01-08-2025 SE REALIZA LLAMADA AL CLIENTE, SE HABLA CON EL SR BLADIMIR GAONA SE VALIDA DIRECCIÓN OK, CANAL OK, DISPONIBILIDAD TOTAL, LLAMAR EL DÍA LA INSTALACIÓN PARA CONFIRMAR VISITA, AVISO EXTERIOR ALTURA APROX 2 METROS; TOMACORRIENTE CERCANO: SI; TIENE CABINA DE SEGURIDAD: NO // CONTACTO REALIZADO POR LA APP 05-08 SE CONTACTA TELEFÓNICAMENTE AL CLIENTE, EL SEÑOR BLADIMIR GAONA, CONFIRMA DATOS OK, SE LE INFORMA QUE HOY SE INICIA DESPLAZAMIENTO AL MUNICIPIO DE OCAÑA. SE AGENDA VISITA PARA EL DÍA 06/08. 6/08/2025 SE REALIZA INSTALACIÓN DE CORRESPONSAL, SE INSTALAN EQUIPOS CON PRUEBAS EXITOSAS, SE CAPACITA Y SE EVALÚA AL CLIENTE, SE INSTALA PUBLICIDAD COMPLETA, CB QUEDA OPERATIVO. USUARIO SOMOS BANCOLOMBIA ACTIVO"/>
    <s v="PACHECO BUITRAGO JAVIER ALONSO"/>
    <s v="F7ZZZ998"/>
    <s v="TIPO IV"/>
    <s v="TERRESTRE"/>
    <s v="PACHECO BUITRAGO JAVIER ALONSO"/>
    <n v="1"/>
    <n v="1"/>
    <n v="1"/>
    <n v="11251.22416"/>
    <n v="126317.12212"/>
    <n v="110808.27512000001"/>
    <n v="248376.6214"/>
  </r>
  <r>
    <s v="SINCELEJO"/>
    <x v="4"/>
    <x v="4"/>
    <n v="70001"/>
    <s v="TA-25-915456"/>
    <n v="80810"/>
    <s v="APERTURA"/>
    <s v="CB CRECIMIENTO - NUEVO"/>
    <s v="SUCRE"/>
    <s v="SINCELEJO"/>
    <s v="BARRIO EL CABRERO SINCELEJO"/>
    <s v="REDEBAN"/>
    <s v="FO-25-1316271"/>
    <d v="2025-08-01T00:00:00"/>
    <d v="2025-08-04T00:00:00"/>
    <s v="UNO A UNO"/>
    <s v="UNO A UNO"/>
    <s v="EJECUTADO"/>
    <s v="01-08-2025 SE REALIZA LLAMADA AL CLIENTE, SE HABLA CON EL SR FAVIAN LIEVANO ROJAS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SANTOS GUZMAN CHRISTIAN FELIPE"/>
    <s v="F7ZZZ999"/>
    <s v="TIPO I"/>
    <s v="TERRESTRE"/>
    <s v="SANTOS GUZMAN CHRISTIAN FELIPE"/>
    <n v="1"/>
    <n v="1"/>
    <n v="1"/>
    <n v="11251.22416"/>
    <n v="126317.12212"/>
    <n v="57411.974240000003"/>
    <n v="194980.32052000001"/>
  </r>
  <r>
    <s v="MONTERIA"/>
    <x v="4"/>
    <x v="4"/>
    <n v="23001"/>
    <s v="TA-25-915457"/>
    <n v="80792"/>
    <s v="APERTURA"/>
    <s v="CB CRECIMIENTO - NUEVO"/>
    <s v="CORDOBA"/>
    <s v="MONTERIA"/>
    <s v="BARRIO URBINA MONTERIA"/>
    <s v="REDEBAN"/>
    <s v="FO-25-1316273"/>
    <d v="2025-08-01T00:00:00"/>
    <d v="2025-08-04T00:00:00"/>
    <s v="UNO A UNO"/>
    <s v="UNO A UNO"/>
    <s v="EJECUTADO"/>
    <s v="01-08-2025 SE REALIZA LLAMADA AL CLIENTE, SE HABLA CON EL SR FREDY DE JESUS VERGARA URANGO SE VALIDA DIRECCIÓN OK, CANAL OK, DISPONIBILIDAD TOTAL, LLAMAR EL DÍA LA INSTALACIÓN PARA CONFIRMAR VISITA, AVISO EXTERIOR ALTURA APROX 3 METROS; TOMACORRIENTE CERCANO: SI; TIENE CABINA DE SEGURIDAD: NO // CONTACTO REALIZADO POR WHATSAPP 4/08/2025 SE REALIZA INSTALACIÓN DE CORRESPONSAL, SE INSTALAN EQUIPOS CON PRUEBAS EXITOSAS, SE CAPACITA Y SE EVALÚA AL CLIENTE, SE INSTALA PUBLICIDAD COMPLETA, CB QUEDA OPERATIVO. USUARIO SOMOS BANCOLOMBIA ACTIVO"/>
    <s v="GONZALEZ FERRER JESUS ALEXANDER"/>
    <s v="F8ZZZ000"/>
    <s v="TIPO I"/>
    <s v="TERRESTRE"/>
    <s v="GONZALEZ FERRER JESUS ALEXANDER"/>
    <n v="1"/>
    <n v="1"/>
    <n v="1"/>
    <n v="11251.22416"/>
    <n v="126317.12212"/>
    <n v="57411.974240000003"/>
    <n v="194980.32052000001"/>
  </r>
  <r>
    <s v="CUCUTA"/>
    <x v="3"/>
    <x v="3"/>
    <n v="54001"/>
    <s v="TA-25-915458"/>
    <n v="80784"/>
    <s v="APERTURA"/>
    <s v="CB CRECIMIENTO - NUEVO"/>
    <s v="NORTE DE SANTANDER"/>
    <s v="CUCUTA"/>
    <s v="BARRIO CALLEJON CUCUTA 22"/>
    <s v="REDEBAN"/>
    <s v="FO-25-1316279"/>
    <d v="2025-08-01T00:00:00"/>
    <d v="2025-08-04T00:00:00"/>
    <s v="UNO A UNO"/>
    <s v="UNO A UNO"/>
    <s v="EJECUTADO"/>
    <s v="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NARANJO AFANADOR RUBEN JESUS"/>
    <s v="F8ZZZ001"/>
    <s v="TIPO I"/>
    <s v="TERRESTRE"/>
    <s v="NARANJO AFANADOR RUBEN JESUS"/>
    <n v="1"/>
    <n v="1"/>
    <n v="1"/>
    <n v="11251.22416"/>
    <n v="126317.12212"/>
    <n v="57411.974240000003"/>
    <n v="194980.32052000001"/>
  </r>
  <r>
    <s v="CUCUTA"/>
    <x v="3"/>
    <x v="3"/>
    <n v="54498"/>
    <s v="TA-25-915459"/>
    <n v="80796"/>
    <s v="APERTURA"/>
    <s v="CB CRECIMIENTO - NUEVO"/>
    <s v="NORTE DE SANTANDER"/>
    <s v="OCAÑA"/>
    <s v="BARRIO EL CARMEN OCAÑA 1"/>
    <s v="REDEBAN"/>
    <s v="FO-25-1316282"/>
    <d v="2025-08-01T00:00:00"/>
    <d v="2025-08-05T00:00:00"/>
    <s v="UNO A UNO"/>
    <s v="UNO A UNO"/>
    <s v="EJECUTADO"/>
    <s v="01-08-2025 SE REALIZA LLAMADA AL CLIENTE, SE HABLA CON EL SR ANDERSON STEVEN CASTILLA CHOGO SE VALIDA DIRECCIÓN OK, CANAL OK, DISPONIBILIDAD TOTAL, LLAMAR EL DÍA LA INSTALACIÓN PARA CONFIRMAR VISITA, AVISO EXTERIOR ALTURA APROX 2,50 - 3 METROS; TOMACORRIENTE CERCANO: SI; TIENE CABINA DE SEGURIDAD: NO // CONTACTO REALIZADO POR LA APP 05-08 SE REALIZA INSTALACIÓN DE CORRESPONSAL, SE INSTALAN EQUIPOS CON PRUEBAS EXITOSAS, SE CAPACITA Y SE EVALÚA AL CLIENTE, SE INSTALA PUBLICIDAD COMPLETA, CB QUEDA OPERATIVO. USUARIO SOMOS BANCOLOMBIA ACTIVO"/>
    <s v="GONZALEZ ESTUPIÑAN YEISON WALTER ANTONIO"/>
    <s v="F8ZZZ002"/>
    <s v="TIPO IV"/>
    <s v="TERRESTRE"/>
    <s v="GONZALEZ ESTUPIÑAN YEISON WALTER ANTONIO"/>
    <n v="1"/>
    <n v="1"/>
    <n v="1"/>
    <n v="11251.22416"/>
    <n v="126317.12212"/>
    <n v="110808.27512000001"/>
    <n v="248376.6214"/>
  </r>
  <r>
    <s v="VALLEDUPAR"/>
    <x v="4"/>
    <x v="4"/>
    <n v="20011"/>
    <s v="TA-25-915460"/>
    <n v="80766"/>
    <s v="APERTURA"/>
    <s v="CB CRECIMIENTO - NUEVO"/>
    <s v="CESAR"/>
    <s v="AGUACHICA"/>
    <s v="BARRIO LA SABANITA AGUACHICA 1"/>
    <s v="REDEBAN"/>
    <s v="FO-25-1316290"/>
    <d v="2025-08-01T00:00:00"/>
    <d v="2025-08-04T00:00:00"/>
    <s v="UNO A UNO"/>
    <s v="UNO A UNO"/>
    <s v="EJECUTADO"/>
    <s v="01-08-2025 SE REALIZA LLAMADA AL CLIENTE, SE HABLA CON LA SRA YELENA OSORIO SÁNCHEZ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MONTES DIAZ JOHN FRED"/>
    <s v="F8ZZZ003"/>
    <s v="TIPO IV"/>
    <s v="TERRESTRE"/>
    <s v="MONTES DIAZ JOHN FRED"/>
    <n v="1"/>
    <n v="1"/>
    <n v="1"/>
    <n v="11251.22416"/>
    <n v="126317.12212"/>
    <n v="110808.27512000001"/>
    <n v="248376.6214"/>
  </r>
  <r>
    <s v="CARTAGENA"/>
    <x v="4"/>
    <x v="4"/>
    <n v="13001"/>
    <s v="TA-25-915461"/>
    <n v="80780"/>
    <s v="APERTURA"/>
    <s v="CB CRECIMIENTO - NUEVO"/>
    <s v="BOLIVAR"/>
    <s v="CARTAGENA"/>
    <s v="BARRIO AMBERES CARTAGENA DE INDIAS 3"/>
    <s v="REDEBAN"/>
    <s v="FO-25-1316299"/>
    <d v="2025-08-01T00:00:00"/>
    <d v="2025-08-04T00:00:00"/>
    <s v="UNO A UNO"/>
    <s v="UNO A UNO"/>
    <s v="EJECUTADO"/>
    <s v="01-08-2025 SE REALIZA LLAMADA AL CLIENTE, SE HABLA CON LA SRA OLGA MARENA MARTINEZ BENAVIDES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CANEDO HERRERA ALEXANDER"/>
    <s v="F8ZZZ004"/>
    <s v="TIPO I"/>
    <s v="TERRESTRE"/>
    <s v="CANEDO HERRERA ALEXANDER"/>
    <n v="1"/>
    <n v="1"/>
    <n v="1"/>
    <n v="11251.22416"/>
    <n v="126317.12212"/>
    <n v="57411.974240000003"/>
    <n v="194980.32052000001"/>
  </r>
  <r>
    <s v="BUCARAMANGA"/>
    <x v="3"/>
    <x v="3"/>
    <n v="13688"/>
    <s v="TA-25-915463"/>
    <n v="80807"/>
    <s v="APERTURA"/>
    <s v="CB CRECIMIENTO - NUEVO"/>
    <s v="BOLIVAR"/>
    <s v="SANTA ROSA DEL SUR"/>
    <s v="BARRIO SAN MARTIN SANTA ROSA DEL SUR 3"/>
    <s v="REDEBAN"/>
    <s v="FO-25-1316304"/>
    <d v="2025-08-01T00:00:00"/>
    <d v="2025-08-06T00:00:00"/>
    <s v="UNO A UNO"/>
    <s v="UNO A UNO"/>
    <s v="EJECUTADO"/>
    <s v="01-08-2025 SE REALIZA LLAMADA AL CLIENTE, SE HABLA CON LA SRA PAULA SE VALIDA DIRECCIÓN OK, CANAL OK, DISPONIBILIDAD TOTAL, LLAMAR EL DÍA LA INSTALACIÓN PARA CONFIRMAR VISITA, AVISO EXTERIOR ALTURA APROX TIENE ESPACIO SUFICIENTE PARA EL AVISO; TOMACORRIENTE CERCANO: SI; TIENE CABINA DE SEGURIDAD: SI // CONTACTO REALIZADO POR LA APP 6/08/2025 SE REALIZA INSTALACIÓN DE CORRESPONSAL, SE INSTALAN EQUIPOS CON PRUEBAS EXITOSAS, SE CAPACITA Y SE EVALÚA AL CLIENTE, SE INSTALA PUBLICIDAD COMPLETA, CB QUEDA OPERATIVO. USUARIO SOMOS BANCOLOMBIA ACTIVO"/>
    <s v="ORTEBARRERAGA MARLON STWAR"/>
    <s v="F8ZZZ005"/>
    <s v="TIPO IV ESPECIAL"/>
    <s v="TERRESTRE/FLUVIAL"/>
    <s v="ORTEBARRERAGA MARLON STWAR"/>
    <n v="1"/>
    <n v="1"/>
    <n v="1"/>
    <n v="11251.22416"/>
    <n v="126317.12212"/>
    <n v="110808.27512000001"/>
    <n v="248376.6214"/>
  </r>
  <r>
    <s v="CALI"/>
    <x v="1"/>
    <x v="1"/>
    <n v="76001"/>
    <s v="TA-25-915464"/>
    <n v="80777"/>
    <s v="APERTURA"/>
    <s v="CB CRECIMIENTO - NUEVO"/>
    <s v="VALLE DEL CAUCA"/>
    <s v="CALI"/>
    <s v="BARRIO SAN PASCUAL CALI 2"/>
    <s v="REDEBAN"/>
    <s v="FO-25-1316308"/>
    <d v="2025-08-01T00:00:00"/>
    <d v="2025-08-04T00:00:00"/>
    <s v="UNO A UNO"/>
    <s v="UNO A UNO"/>
    <s v="EJECUTADO"/>
    <s v="01-08-2025 SE REALIZA LLAMADA AL CLIENTE, SE HABLA CON LA SRA YULI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PAREDES CASTILLO DIEGO"/>
    <s v="F8ZZZ006"/>
    <s v="TIPO I"/>
    <s v="TERRESTRE"/>
    <s v="PAREDES CASTILLO DIEGO"/>
    <n v="1"/>
    <n v="1"/>
    <n v="1"/>
    <n v="11251.22416"/>
    <n v="126317.12212"/>
    <n v="57411.974240000003"/>
    <n v="194980.32052000001"/>
  </r>
  <r>
    <s v="PASTO"/>
    <x v="1"/>
    <x v="1"/>
    <n v="52786"/>
    <s v="TA-25-915467"/>
    <n v="80812"/>
    <s v="APERTURA"/>
    <s v="CB CRECIMIENTO - NUEVO"/>
    <s v="NARIÑO"/>
    <s v="TAMINANGO"/>
    <s v="BARRIO EL PRADO TAMINANGO 3"/>
    <s v="REDEBAN"/>
    <s v="FO-25-1316317"/>
    <d v="2025-08-01T00:00:00"/>
    <d v="2025-08-04T00:00:00"/>
    <s v="UNO A UNO"/>
    <s v="UNO A UNO"/>
    <s v="EJECUTADO"/>
    <s v="01-08-2025 SE REALIZA LLAMADA AL CLIENTE, SE HABLA CON LA SRA YUDI HERMENCIA VASQUEZ ARTEAG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REMICIO AMADO JOHN HEBER"/>
    <s v="F8ZZZ007"/>
    <s v="TIPO II"/>
    <s v="TERRESTRE"/>
    <s v="REMICIO AMADO JOHN HEBER"/>
    <n v="1"/>
    <n v="1"/>
    <n v="1"/>
    <n v="11251.22416"/>
    <n v="126317.12212"/>
    <n v="110808.27512000001"/>
    <n v="248376.6214"/>
  </r>
  <r>
    <s v="BOGOTA"/>
    <x v="5"/>
    <x v="5"/>
    <n v="11001"/>
    <s v="TA-25-915468"/>
    <n v="80772"/>
    <s v="APERTURA"/>
    <s v="CB CRECIMIENTO - NUEVO"/>
    <s v="CUNDINAMARCA"/>
    <s v="BOGOTA"/>
    <s v="BARRIO LA ISABELLA BOGOTA"/>
    <s v="REDEBAN"/>
    <s v="FO-25-1328346"/>
    <d v="2025-08-01T00:00:00"/>
    <d v="2025-08-05T00:00:00"/>
    <s v="UNO A UNO"/>
    <s v="UNO A UNO"/>
    <s v="EJECUTADO"/>
    <s v="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
    <s v="GALINDO ROJAS LUIS FELIPE"/>
    <s v="F8ZZZ008"/>
    <s v="TIPO I"/>
    <s v="TERRESTRE"/>
    <s v="GALINDO ROJAS LUIS FELIPE"/>
    <n v="1"/>
    <n v="1"/>
    <n v="3"/>
    <n v="11251.22416"/>
    <n v="126317.12212"/>
    <n v="57411.974240000003"/>
    <n v="309804.26899999997"/>
  </r>
  <r>
    <s v="MANIZALES"/>
    <x v="1"/>
    <x v="6"/>
    <n v="17001"/>
    <s v="TA-25-915469"/>
    <n v="80789"/>
    <s v="APERTURA"/>
    <s v="CB CRECIMIENTO - NUEVO"/>
    <s v="CALDAS"/>
    <s v="MANIZALES"/>
    <s v="BARRIO GUAYACANES MANIZALES 1"/>
    <s v="REDEBAN"/>
    <s v="FO-25-1316329"/>
    <d v="2025-08-01T00:00:00"/>
    <d v="2025-08-04T00:00:00"/>
    <s v="UNO A UNO"/>
    <s v="UNO A UNO"/>
    <s v="EJECUTADO"/>
    <s v="01-08-2025 SE REALIZA LLAMADA AL CLIENTE, SE HABLA CON EL SR OSCAR ALONSO CARDENAS SE VALIDA DIRECCIÓN OK, CANAL OK, DISPONIBILIDAD TOTAL, LLAMAR EL DÍA LA INSTALACIÓN PARA CONFIRMAR VISITA, AVISO EXTERIOR ALTURA APROX 2,50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AGUIRRE HENAO RAUL EDUARDO"/>
    <s v="F8ZZZ009"/>
    <s v="TIPO I"/>
    <s v="TERRESTRE"/>
    <s v="AGUIRRE HENAO RAUL EDUARDO"/>
    <n v="1"/>
    <n v="1"/>
    <n v="1"/>
    <n v="11251.22416"/>
    <n v="126317.12212"/>
    <n v="57411.974240000003"/>
    <n v="194980.32052000001"/>
  </r>
  <r>
    <s v="MEDELLIN"/>
    <x v="2"/>
    <x v="2"/>
    <n v="5001"/>
    <s v="TA-25-915470"/>
    <n v="80818"/>
    <s v="APERTURA"/>
    <s v="CB CRECIMIENTO - NUEVO"/>
    <s v="ANTIOQUIA"/>
    <s v="MEDELLIN"/>
    <s v="BARRIO SAN JAVIER LA LOMA MEDELLIN 1"/>
    <s v="REDEBAN"/>
    <s v="FO-25-1316336"/>
    <d v="2025-08-01T00:00:00"/>
    <d v="2025-08-04T00:00:00"/>
    <s v="UNO A UNO"/>
    <s v="UNO A UNO"/>
    <s v="EJECUTADO"/>
    <s v="01-08-2025 SE REALIZA LLAMADA AL CLIENTE, SE HABLA CON LA SRA NORA ELENA LOPEZ ARISMENDY SE VALIDA DIRECCIÓN OK, CANAL OK, DISPONIBILIDAD TOTAL, LLAMAR EL DÍA LA INSTALACIÓN PARA CONFIRMAR VISITA, AVISO EXTERIOR ALTURA APROX TIENE SIFICUENTE ESPACIO PARA CUALQUIER MEDIDA;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CLIENTE PIDO NO INSTALAR BASE YA QUE SE ENCUENTRA EN ADECUACIONES LOCATIVAS "/>
    <s v="BADEL ACUÑA LUIS ALBERTO"/>
    <s v="F8ZZZ010"/>
    <s v="TIPO I"/>
    <s v="TERRESTRE"/>
    <s v="BADEL ACUÑA LUIS ALBERTO"/>
    <n v="1"/>
    <n v="1"/>
    <n v="1"/>
    <n v="11251.22416"/>
    <n v="126317.12212"/>
    <n v="57411.974240000003"/>
    <n v="194980.32052000001"/>
  </r>
  <r>
    <s v="PEREIRA"/>
    <x v="1"/>
    <x v="6"/>
    <n v="76823"/>
    <s v="TA-25-915471"/>
    <n v="80814"/>
    <s v="APERTURA"/>
    <s v="CB CRECIMIENTO - NUEVO"/>
    <s v="VALLE DEL CAUCA"/>
    <s v="TORO"/>
    <s v="BARRIO BULEVAR AVENIDA TORO"/>
    <s v="REDEBAN"/>
    <s v="FO-25-1316342"/>
    <d v="2025-08-01T00:00:00"/>
    <d v="2025-08-05T00:00:00"/>
    <s v="UNO A UNO"/>
    <s v="UNO A UNO"/>
    <s v="EJECUTADO"/>
    <s v="01-08-2025 SE REALIZA LLAMADA AL CLIENTE, SE HABLA CON LA SRA MAIDA LEANDRA FLOREZ VELASQUEZ SE VALIDA DIRECCIÓN OK, CANAL OK, DISPONIBILIDAD TOTAL, LLAMAR EL DÍA LA INSTALACIÓN PARA CONFIRMAR VISITA, AVISO EXTERIOR ALTURA APROX 1,50 METROS; TOMACORRIENTE CERCANO: SI; TIENE CABINA DE SEGURIDAD: SI // CONTACTO REALIZADO POR LA APP 5/08/2025 SE REALIZA INSTALACIÓN DE CORRESPONSAL, SE INSTALAN EQUIPOS CON PRUEBAS EXITOSAS, SE CAPACITA Y SE EVALÚA AL CLIENTE, SE INSTALA PUBLICIDAD COMPLETA, CB QUEDA OPERATIVO. USUARIO SOMOS BANCOLOMBIA ACTIVO"/>
    <s v="FRANCO CAÑAVERAL YAMID RAUL"/>
    <s v="F8ZZZ011"/>
    <s v="TIPO II"/>
    <s v="TERRESTRE"/>
    <s v="FRANCO CAÑAVERAL YAMID RAUL"/>
    <n v="1"/>
    <n v="1"/>
    <n v="1"/>
    <n v="11251.22416"/>
    <n v="126317.12212"/>
    <n v="110808.27512000001"/>
    <n v="248376.6214"/>
  </r>
  <r>
    <s v="MEDELLIN"/>
    <x v="2"/>
    <x v="2"/>
    <n v="5001"/>
    <s v="TA-25-915472"/>
    <n v="80819"/>
    <s v="APERTURA"/>
    <s v="CB CRECIMIENTO - NUEVO"/>
    <s v="ANTIOQUIA"/>
    <s v="MEDELLIN"/>
    <s v="BARRIO CHAGUALO MEDELLIN 4"/>
    <s v="REDEBAN"/>
    <s v="FO-25-1316348"/>
    <d v="2025-08-01T00:00:00"/>
    <d v="2025-08-04T00:00:00"/>
    <s v="UNO A UNO"/>
    <s v="UNO A UNO"/>
    <s v="EJECUTADO"/>
    <s v="01-08-2025 SE REALIZA LLAMADA AL CLIENTE, SE HABLA CON LA SRA YINARY HOLGUIN SERNA SE VALIDA DIRECCIÓN OK, CANAL OK, DISPONIBILIDAD TOTAL, LLAMAR EL DÍA LA INSTALACIÓN PARA CONFIRMAR VISITA, AVISO EXTERIOR ALTURA APROX 2,50 METROS; TOMACORRIENTE CERCANO: SI; TIENE CABINA DE SEGURIDAD: NO // CONTACTO REALIZADO POR LA APP 4/08/2025 SE REALIZA INSTALACIÓN DE CORRESPONSAL, SE INSTALAN EQUIPOS CON PRUEBAS EXITOSAS, SE CAPACITA Y SE EVALÚA AL CLIENTE, SE INSTALA PUBLICIDAD COMPLETA, CB QUEDA OPERATIVO. USUARIO SOMOS BANCOLOMBIA ACTIVO"/>
    <s v="BADEL ACUÑA LUIS ALBERTO"/>
    <s v="F8ZZZ013"/>
    <s v="TIPO I"/>
    <s v="TERRESTRE"/>
    <s v="BADEL ACUÑA LUIS ALBERTO"/>
    <n v="1"/>
    <n v="1"/>
    <n v="1"/>
    <n v="11251.22416"/>
    <n v="126317.12212"/>
    <n v="57411.974240000003"/>
    <n v="194980.32052000001"/>
  </r>
  <r>
    <s v="BOGOTA"/>
    <x v="5"/>
    <x v="5"/>
    <n v="11001"/>
    <s v="TA-25-915473"/>
    <n v="80775"/>
    <s v="APERTURA"/>
    <s v="CB CRECIMIENTO - NUEVO"/>
    <s v="CUNDINAMARCA"/>
    <s v="BOGOTA"/>
    <s v="BARRIO VILLAS DEL DORADO BOGOTA 8"/>
    <s v="REDEBAN"/>
    <s v="FO-25-1316351"/>
    <d v="2025-08-01T00:00:00"/>
    <d v="2025-08-04T00:00:00"/>
    <s v="UNO A UNO"/>
    <s v="UNO A UNO"/>
    <s v="EJECUTADO"/>
    <s v="01-08-2025 SE REALIZA LLAMADA AL CLIENTE, SE HABLA CON LA SRA ADRIANA (ESPOS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MURCIA HERNANDEZ HARVEY IGNACIO"/>
    <s v="F8ZZZ014"/>
    <s v="TIPO I"/>
    <s v="TERRESTRE"/>
    <s v="MURCIA HERNANDEZ HARVEY IGNACIO"/>
    <n v="1"/>
    <n v="1"/>
    <n v="1"/>
    <n v="11251.22416"/>
    <n v="126317.12212"/>
    <n v="57411.974240000003"/>
    <n v="194980.32052000001"/>
  </r>
  <r>
    <s v="CALI"/>
    <x v="1"/>
    <x v="1"/>
    <n v="19845"/>
    <s v="TA-25-915474"/>
    <n v="80817"/>
    <s v="APERTURA"/>
    <s v="CB CRECIMIENTO - NUEVO"/>
    <s v="CAUCA"/>
    <s v="VILLA RICA"/>
    <s v="BARRIO CENTRO VILLA RICA  4"/>
    <s v="REDEBAN"/>
    <s v="FO-25-1316356"/>
    <d v="2025-08-01T00:00:00"/>
    <d v="2025-08-04T00:00:00"/>
    <s v="UNO A UNO"/>
    <s v="UNO A UNO"/>
    <s v="EJECUTADO"/>
    <s v="01-08-2025 SE REALIZA LLAMADA AL CLIENTE, SE HABLA CON LA SRA LENCY DANIELA COLORADO BALANTA SE VALIDA DIRECCIÓN OK, CANAL OK, DISPONIBILIDAD TOTAL, LLAMAR EL DÍA LA INSTALACIÓN PARA CONFIRMAR VISITA, AVISO EXTERIOR ALTURA APROX 3 METROS; TOMACORRIENTE CERCANO: SI; TIENE CABINA DE SEGURIDAD: SI  4/08/2025 SE REALIZA INSTALACIÓN DE CORRESPONSAL, SE INSTALAN EQUIPOS CON PRUEBAS EXITOSAS, SE CAPACITA Y SE EVALÚA AL CLIENTE, SE INSTALA PUBLICIDAD COMPLETA, CB QUEDA OPERATIVO. USUARIO SOMOS BANCOLOMBIA ACTIVO"/>
    <s v="HERRERA MONAR GEOVANNY"/>
    <s v="F8ZZZ015"/>
    <s v="TIPO IV"/>
    <s v="TERRESTRE"/>
    <s v="HERRERA MONAR GEOVANNY"/>
    <n v="1"/>
    <n v="1"/>
    <n v="1"/>
    <n v="11251.22416"/>
    <n v="126317.12212"/>
    <n v="110808.27512000001"/>
    <n v="248376.6214"/>
  </r>
  <r>
    <s v="PASTO"/>
    <x v="1"/>
    <x v="1"/>
    <n v="52835"/>
    <s v="TA-25-915475"/>
    <n v="80803"/>
    <s v="APERTURA"/>
    <s v="CB CRECIMIENTO - NUEVO"/>
    <s v="NARIÑO"/>
    <s v="SAN ANDRES DE TUMACO"/>
    <s v="BARRIO SABALETA SAN ANDRES DE TUMACO"/>
    <s v="REDEBAN"/>
    <s v="FO-25-1316359"/>
    <d v="2025-08-01T00:00:00"/>
    <d v="2025-08-05T00:00:00"/>
    <s v="UNO A UNO"/>
    <s v="UNO A UNO"/>
    <s v="EJECUTADO"/>
    <s v="01-08 SE REALIZA LLAMADA AL CLIENTE, SE HABLA CON LA SRA NATHALY CIELITO SOLARTE BOLAÑOS SE VALIDA DIRECCIÓN OK, CANAL OK, DISPONIBILIDAD TOTAL, LLAMAR EL DÍA LA INSTALACIÓN PARA CONFIRMAR VISITA, AVISO EXTERIOR ALTURA APROX 3 METROS; TOMACORRIENTE CERCANO: SI; TIENE CABINA DE SEGURIDAD: SI - COMUNICACIÓN POR WPP 5/08/2025 SE REALIZA INSTALACIÓN DE CORRESPONSAL, SE INSTALAN EQUIPOS CON PRUEBAS EXITOSAS, SE CAPACITA Y SE EVALÚA AL CLIENTE, SE INSTALA PUBLICIDAD COMPLETA, CB QUEDA OPERATIVO. USUARIO SOMOS BANCOLOMBIA ACTIVO"/>
    <s v="PAZ MARTINEZ RICHARD HUMBERTO"/>
    <s v="F8ZZZ016"/>
    <s v="TIPO IV"/>
    <s v="TERRESTRE"/>
    <s v="PAZ MARTINEZ RICHARD HUMBERTO"/>
    <n v="1"/>
    <n v="1"/>
    <n v="1"/>
    <n v="11251.22416"/>
    <n v="126317.12212"/>
    <n v="110808.27512000001"/>
    <n v="248376.6214"/>
  </r>
  <r>
    <s v="CALI"/>
    <x v="1"/>
    <x v="1"/>
    <n v="76001"/>
    <s v="TA-25-915476"/>
    <n v="80778"/>
    <s v="APERTURA"/>
    <s v="CB CRECIMIENTO - NUEVO"/>
    <s v="VALLE DEL CAUCA"/>
    <s v="CALI"/>
    <s v="BARRIO FELIDIA CALI"/>
    <s v="REDEBAN"/>
    <s v="FO-25-1316363"/>
    <d v="2025-08-01T00:00:00"/>
    <d v="2025-08-04T00:00:00"/>
    <s v="UNO A UNO"/>
    <s v="UNO A UNO"/>
    <s v="EJECUTADO"/>
    <s v="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
    <s v="BOLAÑOS TABORDA JORGE ENRIQUE"/>
    <s v="F8ZZZ017"/>
    <s v="TIPO I"/>
    <s v="TERRESTRE"/>
    <s v="BOLAÑOS TABORDA JORGE ENRIQUE"/>
    <n v="1"/>
    <n v="1"/>
    <n v="1"/>
    <n v="11251.22416"/>
    <n v="126317.12212"/>
    <n v="57411.974240000003"/>
    <n v="194980.32052000001"/>
  </r>
  <r>
    <s v="CALI"/>
    <x v="1"/>
    <x v="1"/>
    <n v="76001"/>
    <s v="TA-25-915477"/>
    <n v="80779"/>
    <s v="APERTURA"/>
    <s v="CB CRECIMIENTO - NUEVO"/>
    <s v="VALLE DEL CAUCA"/>
    <s v="CALI"/>
    <s v="BARRIO TRONCAL CALI 1"/>
    <s v="REDEBAN"/>
    <s v="FO-25-1316366"/>
    <d v="2025-08-01T00:00:00"/>
    <d v="2025-08-04T00:00:00"/>
    <s v="UNO A UNO"/>
    <s v="UNO A UNO"/>
    <s v="EJECUTADO"/>
    <s v="01-08-2025 SE REALIZA LLAMADA AL CLIENTE, SE HABLA CON LA SRA MELISSA ANDREA SAAVEDRA GONZALEZ, SE VALIDA DIRECCIÓN OK, CANAL OK, DISPONIBILIDAD TOTAL, LLAMAR EL DÍA LA INSTALACIÓN PARA CONFIRMAR VISITA, AVISO EXTERIOR ALTURA APROX  2.50 METROS; TOMACORRIENTE CERCANO: SI; TIENE CABINA DE SEGURIDAD: SI  4/08/2025 SE REALIZA INSTALACIÓN DE CORRESPONSAL, SE INSTALAN EQUIPOS CON PRUEBAS EXITOSAS, SE CAPACITA Y SE EVALÚA AL CLIENTE, SE INSTALA PUBLICIDAD COMPLETA, CB QUEDA OPERATIVO. USUARIO SOMOS BANCOLOMBIA ACTIVO"/>
    <s v="TORRES GARCIA JENDRY JOSE"/>
    <s v="F8ZZZ018"/>
    <s v="TIPO I"/>
    <s v="TERRESTRE"/>
    <s v="TORRES GARCIA JENDRY JOSE"/>
    <n v="1"/>
    <n v="1"/>
    <n v="1"/>
    <n v="11251.22416"/>
    <n v="126317.12212"/>
    <n v="57411.974240000003"/>
    <n v="194980.32052000001"/>
  </r>
  <r>
    <s v="BOGOTA"/>
    <x v="5"/>
    <x v="5"/>
    <n v="25035"/>
    <s v="TA-25-915478"/>
    <n v="80768"/>
    <s v="APERTURA"/>
    <s v="CB CRECIMIENTO - NUEVO"/>
    <s v="CUNDINAMARCA"/>
    <s v="ANAPOIMA"/>
    <s v="BARRIO CENTRO ANAPOIMA ANAPOIMA 1"/>
    <s v="REDEBAN"/>
    <s v="FO-25-1316370"/>
    <d v="2025-08-01T00:00:00"/>
    <d v="2025-08-05T00:00:00"/>
    <s v="UNO A UNO"/>
    <s v="UNO A UNO"/>
    <s v="EJECUTADO"/>
    <s v="01-08-2025 SE REALIZA LLAMADA AL CLIENTE, SE HABLA CON EL SR WILLIAM GIOVANNY LOPEZ AVIL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
    <s v="GOMEZ VEGA DAVID SNEYDER"/>
    <s v="F8ZZZ019"/>
    <s v="TIPO II"/>
    <s v="TERRESTRE"/>
    <s v="GOMEZ VEGA DAVID SNEYDER"/>
    <n v="1"/>
    <n v="1"/>
    <n v="1"/>
    <n v="11251.22416"/>
    <n v="126317.12212"/>
    <n v="110808.27512000001"/>
    <n v="248376.6214"/>
  </r>
  <r>
    <s v="MANIZALES"/>
    <x v="1"/>
    <x v="6"/>
    <n v="17001"/>
    <s v="TA-25-915479"/>
    <n v="80791"/>
    <s v="APERTURA"/>
    <s v="CB CRECIMIENTO - NUEVO"/>
    <s v="CALDAS"/>
    <s v="MANIZALES"/>
    <s v="BARRIO CERVANTES MANIZALES 3"/>
    <s v="REDEBAN"/>
    <s v="FO-25-1316376"/>
    <d v="2025-08-01T00:00:00"/>
    <d v="2025-08-05T00:00:00"/>
    <s v="UNO A UNO"/>
    <s v="UNO A UNO"/>
    <s v="EJECUTADO"/>
    <s v="01-08-2025 SE REALIZA LLAMADA AL CLIENTE, SE HABLA CON LA SRA VALENTINA BALLESTEROS GALLEGO,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
    <s v="ARROYAVE CANO MANUEL GUILLERMO"/>
    <s v="F8ZZZ020"/>
    <s v="TIPO I"/>
    <s v="TERRESTRE"/>
    <s v="ARROYAVE CANO MANUEL GUILLERMO"/>
    <n v="1"/>
    <n v="1"/>
    <n v="1"/>
    <n v="11251.22416"/>
    <n v="126317.12212"/>
    <n v="57411.974240000003"/>
    <n v="194980.32052000001"/>
  </r>
  <r>
    <s v="CUCUTA"/>
    <x v="3"/>
    <x v="3"/>
    <n v="54405"/>
    <s v="TA-25-915483"/>
    <n v="80787"/>
    <s v="APERTURA"/>
    <s v="CB CRECIMIENTO - NUEVO"/>
    <s v="NORTE DE SANTANDER"/>
    <s v="LOS PATIOS"/>
    <s v="BARRIO RECTA COROZAL LOS PATIOS"/>
    <s v="REDEBAN"/>
    <s v="FO-25-1316381"/>
    <d v="2025-08-01T00:00:00"/>
    <d v="2025-08-04T00:00:00"/>
    <s v="UNO A UNO"/>
    <s v="UNO A UNO"/>
    <s v="EJECUTADO"/>
    <s v="01-08-2025 SE REALIZA LLAMADA AL CLIENTE, SE HABLA CON LA ESPOSA DEL SR EDILSON DÍAZ CASTRO, SE VALIDA DIRECCIÓN OK, CANAL OK, DISPONIBILIDAD TOTAL, LLAMAR EL DÍA LA INSTALACIÓN PARA CONFIRMAR VISITA, AVISO EXTERIOR ALTURA APROX  DONDE EL TECNICO LO VEA CONVENIENTE; TOMACORRIENTE CERCANO: SI; TIENE CABINA DE SEGURIDAD: NO 04-08 SE REALIZA INSTALACIÓN DE CORRESPONSAL, SE INSTALAN EQUIPOS CON PRUEBAS EXITOSAS, SE CAPACITA Y SE EVALÚA AL CLIENTE, SE INSTALA PUBLICIDAD COMPLETA, CB QUEDA OPERATIVO. USUARIO SOMOS BANCOLOMBIA ACTIVO"/>
    <s v="PACHECO BUITRAGO JAVIER ALONSO"/>
    <s v="F8ZZZ021"/>
    <s v="TIPO I"/>
    <s v="TERRESTRE"/>
    <s v="PACHECO BUITRAGO JAVIER ALONSO"/>
    <n v="1"/>
    <n v="1"/>
    <n v="1"/>
    <n v="11251.22416"/>
    <n v="126317.12212"/>
    <n v="57411.974240000003"/>
    <n v="194980.32052000001"/>
  </r>
  <r>
    <s v="TUNJA"/>
    <x v="3"/>
    <x v="3"/>
    <n v="15001"/>
    <s v="TA-25-915486"/>
    <n v="80815"/>
    <s v="APERTURA"/>
    <s v="CAMBIO DE RAZON SOCIAL"/>
    <s v="BOYACA"/>
    <s v="TUNJA"/>
    <s v="BARRIO MARIA FERNANDA TUNJA 1"/>
    <s v="REDEBAN"/>
    <s v="FO-25-1316385"/>
    <d v="2025-08-01T00:00:00"/>
    <d v="2025-08-04T00:00:00"/>
    <s v="UNO A UNO"/>
    <s v="UNO A UNO"/>
    <s v="EJECUTADO"/>
    <s v="01-08-2025 SE REALIZA LLAMADA AL CLIENTE, SE HABLA CON LA SRA YULY TATIANA GONZÁLEZ ZEA. SE VALIDA DIRECCIÓN OK, CANAL OK, DISPONIBILIDAD TOTAL, LLAMAR EL DÍA LA INSTALACIÓN PARA CONFIRMAR VISITA, AVISO EXTERIOR ALTURA APROX  DONDE EL TECNICO LO VEA CONVENIENTE; TOMACORRIENTE CERCANO: SI; TIENE CABINA DE SEGURIDAD: NO 4/08/2025 SE REALIZA INSTALACIÓN DE CORRESPONSAL, SE INSTALAN EQUIPOS CON PRUEBAS EXITOSAS, SE CAPACITA Y SE EVALÚA AL CLIENTE, SE INSTALA PUBLICIDAD COMPLETA, CB QUEDA OPERATIVO. USUARIO SOMOS BANCOLOMBIA ACTIVO"/>
    <s v="HERRERA GARZON JEYSON STEVENT"/>
    <s v="F8ZZZ022"/>
    <s v="TIPO I"/>
    <s v="TERRESTRE"/>
    <s v="HERRERA GARZON JEYSON STEVENT"/>
    <n v="1"/>
    <n v="1"/>
    <n v="1"/>
    <n v="11251.22416"/>
    <n v="126317.12212"/>
    <n v="57411.974240000003"/>
    <n v="194980.32052000001"/>
  </r>
  <r>
    <s v="NEIVA"/>
    <x v="0"/>
    <x v="0"/>
    <n v="41791"/>
    <s v="TA-25-915489"/>
    <n v="80813"/>
    <s v="APERTURA"/>
    <s v="CB CRECIMIENTO - NUEVO"/>
    <s v="HUILA"/>
    <s v="TARQUI"/>
    <s v="BARRIO LA LOMA - BODEGA TARQUI"/>
    <s v="REDEBAN"/>
    <s v="FO-25-1316391"/>
    <d v="2025-08-01T00:00:00"/>
    <d v="2025-08-04T00:00:00"/>
    <s v="UNO A UNO"/>
    <s v="UNO A UNO"/>
    <s v="EJECUTADO"/>
    <s v="01-08-2025 SE REALIZA LLAMADA AL CLIENTE, SE HABLA CON LA SRA JENNY MARLENY GONZALEZ MURILLO. SE VALIDA DIRECCIÓN OK, CANAL OK, DISPONIBILIDAD TOTAL, LLAMAR EL DÍA LA INSTALACIÓN PARA CONFIRMAR VISITA, AVISO EXTERIOR ALTURA APROX  DONDE EL TECNICO LO VEA CONVENIENTE; TOMACORRIENTE CERCANO: SI; TIENE CABINA DE SEGURIDAD: NO// DISPONIBILIDAD EN HORAS PM 4/08/2025 SE REALIZA INSTALACIÓN DE CORRESPONSAL, SE INSTALAN EQUIPOS CON PRUEBAS EXITOSAS, SE CAPACITA Y SE EVALÚA AL CLIENTE, SE INSTALA PUBLICIDAD COMPLETA, CB QUEDA OPERATIVO. USUARIO SOMOS BANCOLOMBIA ACTIVO"/>
    <s v="ANDRADE HERNANDEZ JUAN CARLOS"/>
    <s v="F8ZZZ023"/>
    <s v="TIPO III"/>
    <s v="TERRESTRE"/>
    <s v="ANDRADE HERNANDEZ JUAN CARLOS"/>
    <n v="1"/>
    <n v="1"/>
    <n v="1"/>
    <n v="11251.22416"/>
    <n v="126317.12212"/>
    <n v="110808.27512000001"/>
    <n v="248376.6214"/>
  </r>
  <r>
    <s v="BUCARAMANGA"/>
    <x v="3"/>
    <x v="3"/>
    <n v="13688"/>
    <s v="TA-25-915493"/>
    <n v="80806"/>
    <s v="APERTURA"/>
    <s v="CB CRECIMIENTO - NUEVO"/>
    <s v="BOLIVAR"/>
    <s v="SANTA ROSA DEL SUR"/>
    <s v="BARRIO SAN MARTIN SANTA ROSA DEL SUR 4"/>
    <s v="REDEBAN"/>
    <s v="FO-25-1316401"/>
    <d v="2025-08-01T00:00:00"/>
    <d v="2025-08-05T00:00:00"/>
    <s v="UNO A UNO"/>
    <s v="UNO A UNO"/>
    <s v="EJECUTADO"/>
    <s v="01-08-2025 SE REALIZA LLAMADA AL CLIENTE, SE HABLA CON  LA MAMA DEL SR JUAN DIEGO MARTINEZ SÁNCHEZ. SE VALIDA DIRECCIÓN OK, CANAL OK, DISPONIBILIDAD TOTAL, LLAMAR EL DÍA LA INSTALACIÓN PARA CONFIRMAR VISITA, AVISO EXTERIOR ALTURA APROX  DONDE EL TECNICO LO VEA CONVENIENTE; TOMACORRIENTE CERCANO: SI; TIENE CABINA DE SEGURIDAD: NO// MODEM A 5 METROS DE DISTANCIA  5/08/2025 SE REALIZA INSTALACIÓN DE CORRESPONSAL, SE INSTALAN EQUIPOS CON PRUEBAS EXITOSAS, SE CAPACITA Y SE EVALÚA AL CLIENTE, SE INSTALA PUBLICIDAD COMPLETA, CB QUEDA OPERATIVO. USUARIO SOMOS BANCOLOMBIA ACTIVO"/>
    <s v="ORTEBARRERAGA MARLON STWAR"/>
    <s v="F8ZZZ024"/>
    <s v="TIPO IV ESPECIAL"/>
    <s v="TERRESTRE/FLUVIAL"/>
    <s v="ORTEBARRERAGA MARLON STWAR"/>
    <n v="1"/>
    <n v="1"/>
    <n v="1"/>
    <n v="11251.22416"/>
    <n v="126317.12212"/>
    <n v="110808.27512000001"/>
    <n v="248376.6214"/>
  </r>
  <r>
    <s v="BOGOTA"/>
    <x v="5"/>
    <x v="5"/>
    <n v="11001"/>
    <s v="TA-25-915494"/>
    <n v="80771"/>
    <s v="APERTURA"/>
    <s v="CB CRECIMIENTO - NUEVO"/>
    <s v="CUNDINAMARCA"/>
    <s v="BOGOTA"/>
    <s v="BARRIO LA IGUALDAD BOGOTA 3"/>
    <s v="REDEBAN"/>
    <s v="FO-25-1316407"/>
    <d v="2025-08-01T00:00:00"/>
    <d v="2025-08-04T00:00:00"/>
    <s v="UNO A UNO"/>
    <s v="UNO A UNO"/>
    <s v="EJECUTADO"/>
    <s v="01-08-2025 SE REALIZA LLAMADA AL CLIENTE, SE HABLA CON  EL ESPOSO DE LA SRA LILIANA VERDUGO AMADO. SE VALIDA DIRECCIÓN OK, CANAL OK, DISPONIBILIDAD TOTAL, LLAMAR EL DÍA LA INSTALACIÓN PARA CONFIRMAR VISITA, AVISO EXTERIOR ALTURA APROX  3 METROS; TOMACORRIENTE CERCANO: SI; TIENE CABINA DE SEGURIDAD: SI 04-08 SE REALIZA INSTALACIÓN DE CORRESPONSAL, SE INSTALAN EQUIPOS CON PRUEBAS EXITOSAS, SE CAPACITA Y SE EVALÚA AL CLIENTE, SE INSTALA PUBLICIDAD COMPLETA, CB QUEDA OPERATIVO. USUARIO SOMOS BANCOLOMBIA ACTIVO"/>
    <s v="GARCIA PASTRANA KEVIN FERNANDO"/>
    <s v="F8ZZZ025"/>
    <s v="TIPO I"/>
    <s v="TERRESTRE"/>
    <s v="GARCIA PASTRANA KEVIN FERNANDO"/>
    <n v="1"/>
    <n v="1"/>
    <n v="1"/>
    <n v="11251.22416"/>
    <n v="126317.12212"/>
    <n v="57411.974240000003"/>
    <n v="194980.32052000001"/>
  </r>
  <r>
    <s v="CALI"/>
    <x v="1"/>
    <x v="1"/>
    <n v="19532"/>
    <s v="TA-25-915495"/>
    <n v="80797"/>
    <s v="APERTURA"/>
    <s v="CB CRECIMIENTO - NUEVO"/>
    <s v="CAUCA"/>
    <s v="PATIA"/>
    <s v="BARRIO LA CENTRAL PATIA 6"/>
    <s v="REDEBAN"/>
    <s v="FO-25-1316417"/>
    <d v="2025-08-01T00:00:00"/>
    <d v="2025-08-05T00:00:00"/>
    <s v="UNO A UNO"/>
    <s v="UNO A UNO"/>
    <s v="EJECUTADO"/>
    <s v="01-08-2025 SE REALIZA LLAMADA AL CLIENTE, SE HABLA CON EL SR JOSE FERNANDO CASTILLO RUANO.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
    <s v="GIMBUEL LASSO LUIS GERMAN"/>
    <s v="F8ZZZ026"/>
    <s v="TIPO IV"/>
    <s v="TERRESTRE"/>
    <s v="GIMBUEL LASSO LUIS GERMAN"/>
    <n v="1"/>
    <n v="1"/>
    <n v="1"/>
    <n v="11251.22416"/>
    <n v="126317.12212"/>
    <n v="110808.27512000001"/>
    <n v="248376.6214"/>
  </r>
  <r>
    <s v="BOGOTA"/>
    <x v="5"/>
    <x v="5"/>
    <n v="25899"/>
    <s v="TA-25-915496"/>
    <n v="80823"/>
    <s v="APERTURA"/>
    <s v="CB CRECIMIENTO - NUEVO"/>
    <s v="CUNDINAMARCA"/>
    <s v="ZIPAQUIRA"/>
    <s v="BARRIO SAN PABLO ZIPAQUIRA 3"/>
    <s v="REDEBAN"/>
    <s v="FO-25-1316424"/>
    <d v="2025-08-01T00:00:00"/>
    <d v="2025-08-05T00:00:00"/>
    <s v="UNO A UNO"/>
    <s v="UNO A UNO"/>
    <s v="EJECUTADO/CANCELADO"/>
    <s v="01-08-2025 SE REALIZA LLAMADA AL CLIENTE, SE HABLA CON EL SR JHONNATAN SAMUEL GONZALEZ MARTINEZ SE VALIDA DIRECCIÓN OK, CANAL OK, DISPONIBILIDAD TOTAL, LLAMAR EL DÍA LA INSTALACIÓN PARA CONFIRMAR VISITA, AVISO EXTERIOR ALTURA APROX  3 METROS; TOMACORRIENTE CERCANO: SI; TIENE CABINA DE SEGURIDAD: SI// MODEM A 6 METROS 5/08/2025 SE REALIZA VISITA PARA EJECUTAR LA IMPLEMENTACIÓN DE CORRESPONSAL BANCARIO PERO AL LLEGAR NO ES POSIBLE REALIZAR YA QUE EL SR JHONATAN SE LE PRESENTÓ UNA CALAMIDAD POR EL CUAL NO LE ES POSIBLE ATENDER SE BRINDA INFORMACIÓN PARA REALIZA LA NUEVA SOLICITUD DE INSTALACIÓN"/>
    <s v="GALEANO SORIANO JUAN DAVID"/>
    <s v="F8ZZZ027"/>
    <s v="TIPO II"/>
    <s v="TERRESTRE"/>
    <s v="GALEANO SORIANO JUAN DAVID"/>
    <n v="0"/>
    <n v="0"/>
    <n v="2"/>
    <n v="11251.22416"/>
    <n v="126317.12212"/>
    <n v="110808.27512000001"/>
    <n v="221616.55024000001"/>
  </r>
  <r>
    <s v="PEREIRA"/>
    <x v="1"/>
    <x v="6"/>
    <n v="63001"/>
    <s v="TA-25-915497"/>
    <n v="80770"/>
    <s v="APERTURA"/>
    <s v="CB CRECIMIENTO - NUEVO"/>
    <s v="QUINDIO"/>
    <s v="ARMENIA"/>
    <s v="BARRIO SAN JOSE ARMENIA 1"/>
    <s v="REDEBAN"/>
    <s v="FO-25-1316427"/>
    <d v="2025-08-01T00:00:00"/>
    <d v="2025-08-04T00:00:00"/>
    <s v="UNO A UNO"/>
    <s v="UNO A UNO"/>
    <s v="EJECUTADO"/>
    <s v="01-08-2025 SE REALIZA LLAMADA AL CLIENTE, SE HABLA CON EL SR  ROBINSON CHAYAN CARVAJAL TABARES, SE VALIDA DIRECCIÓN OK, CANAL OK, DISPONIBILIDAD TOTAL, LLAMAR EL DÍA LA INSTALACIÓN PARA CONFIRMAR VISITA, AVISO EXTERIOR ALTURA APROX  2 METROS; TOMACORRIENTE CERCANO: SI; TIENE CABINA DE SEGURIDAD: NO 4/08/2025 SE REALIZA INSTALACIÓN DE CORRESPONSAL, SE INSTALAN EQUIPOS CON PRUEBAS EXITOSAS, SE CAPACITA Y SE EVALÚA AL CLIENTE, SE INSTALA PUBLICIDAD COMPLETA, CB QUEDA OPERATIVO. USUARIO SOMOS BANCOLOMBIA ACTIVO"/>
    <s v="SANCHEZ SOLORZANO JUAN SEBASTIAN"/>
    <s v="F8ZZZ028"/>
    <s v="TIPO II"/>
    <s v="TERRESTRE"/>
    <s v="SANCHEZ SOLORZANO JUAN SEBASTIAN"/>
    <n v="1"/>
    <n v="1"/>
    <n v="1"/>
    <n v="11251.22416"/>
    <n v="126317.12212"/>
    <n v="110808.27512000001"/>
    <n v="248376.6214"/>
  </r>
  <r>
    <s v="VILLAVICENCIO"/>
    <x v="0"/>
    <x v="0"/>
    <n v="50606"/>
    <s v="TA-25-915498"/>
    <n v="80800"/>
    <s v="APERTURA"/>
    <s v="CAMBIO DE RAZON SOCIAL"/>
    <s v="META"/>
    <s v="RESTREPO"/>
    <s v="BARRIO CENTRO RESTREPO 7"/>
    <s v="REDEBAN"/>
    <s v="FO-25-1316432"/>
    <d v="2025-08-01T00:00:00"/>
    <d v="2025-08-05T00:00:00"/>
    <s v="UNO A UNO"/>
    <s v="UNO A UNO"/>
    <s v="EJECUTADO"/>
    <s v="01-08-2025 SE REALIZA LLAMADA AL CLIENTE, SE HABLA CON LA SRA MARIA CELMIRA BERMUDEZ AMAY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MENOS AVISO YA QUE EL USUARIO LO TENIA INSTALADO, CB QUEDA OPERATIVO. USUARIO SOMOS BANCOLOMBIA ACTIVO"/>
    <s v="ROZO JIMENEZ EDGAR ARMANDO"/>
    <s v="F8ZZZ029"/>
    <s v="TIPO II"/>
    <s v="TERRESTRE"/>
    <s v="ROZO JIMENEZ EDGAR ARMANDO"/>
    <n v="1"/>
    <n v="0"/>
    <n v="0"/>
    <n v="11251.22416"/>
    <n v="126317.12212"/>
    <n v="110808.27512000001"/>
    <n v="11251.22416"/>
  </r>
  <r>
    <s v="BOGOTA"/>
    <x v="5"/>
    <x v="5"/>
    <n v="11001"/>
    <s v="TA-25-915499"/>
    <n v="80773"/>
    <s v="APERTURA"/>
    <s v="CB CRECIMIENTO - NUEVO"/>
    <s v="CUNDINAMARCA"/>
    <s v="BOGOTA"/>
    <s v="BARRIO EL TESORO BOGOTA 5"/>
    <s v="REDEBAN"/>
    <s v="FO-25-1316436"/>
    <d v="2025-08-01T00:00:00"/>
    <d v="2025-08-05T00:00:00"/>
    <s v="UNO A UNO"/>
    <s v="UNO A UNO"/>
    <s v="EJECUTADO"/>
    <s v="01-08-2025 SE REALIZA LLAMADA AL CLIENTE, SE HABLA CON EL SR JUAN MAURICIO PABON MORA,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
    <s v="BUSTOS MORA DIEGO MANUEL"/>
    <s v="F8ZZZ030"/>
    <s v="TIPO I"/>
    <s v="TERRESTRE"/>
    <s v="BUSTOS MORA DIEGO MANUEL"/>
    <n v="1"/>
    <n v="1"/>
    <n v="1"/>
    <n v="11251.22416"/>
    <n v="126317.12212"/>
    <n v="57411.974240000003"/>
    <n v="194980.32052000001"/>
  </r>
  <r>
    <s v="BOGOTA"/>
    <x v="5"/>
    <x v="5"/>
    <n v="11001"/>
    <s v="TA-25-915500"/>
    <n v="80776"/>
    <s v="APERTURA"/>
    <s v="CB CRECIMIENTO - NUEVO"/>
    <s v="CUNDINAMARCA"/>
    <s v="BOGOTA"/>
    <s v="BARRIO TRINIDAD BOGOTA 2"/>
    <s v="REDEBAN"/>
    <s v="FO-25-1316439"/>
    <d v="2025-08-01T00:00:00"/>
    <d v="2025-08-04T00:00:00"/>
    <s v="UNO A UNO"/>
    <s v="UNO A UNO"/>
    <s v="EJECUTADO"/>
    <s v="01-08-2025 SE REALIZA LLAMADA AL CLIENTE, SE HABLA CON LA SRA MARIA ELBI CRUZ LOZANO,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 v="GALINDO ROJAS LUIS FELIPE"/>
    <s v="F8ZZZ031"/>
    <s v="TIPO I"/>
    <s v="TERRESTRE"/>
    <s v="GALINDO ROJAS LUIS FELIPE"/>
    <n v="1"/>
    <n v="1"/>
    <n v="1"/>
    <n v="11251.22416"/>
    <n v="126317.12212"/>
    <n v="57411.974240000003"/>
    <n v="194980.32052000001"/>
  </r>
  <r>
    <s v="PEREIRA"/>
    <x v="1"/>
    <x v="6"/>
    <n v="66001"/>
    <s v="TA-25-915501"/>
    <n v="80798"/>
    <s v="APERTURA"/>
    <s v="CB CRECIMIENTO - NUEVO"/>
    <s v="RISARALDA"/>
    <s v="PEREIRA"/>
    <s v="BARRIO EL JARDIN ETAPA 3 PEREIRA"/>
    <s v="REDEBAN"/>
    <s v="FO-25-1316441"/>
    <d v="2025-08-01T00:00:00"/>
    <d v="2025-08-04T00:00:00"/>
    <s v="UNO A UNO"/>
    <s v="UNO A UNO"/>
    <s v="EJECUTADO"/>
    <s v="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
    <s v="FRANCO CAÑAVERAL YAMID RAUL"/>
    <s v="F8ZZZ033"/>
    <s v="TIPO I"/>
    <s v="TERRESTRE"/>
    <s v="FRANCO CAÑAVERAL YAMID RAUL"/>
    <n v="1"/>
    <n v="1"/>
    <n v="1"/>
    <n v="11251.22416"/>
    <n v="126317.12212"/>
    <n v="57411.974240000003"/>
    <n v="194980.32052000001"/>
  </r>
  <r>
    <s v="SINCELEJO"/>
    <x v="4"/>
    <x v="4"/>
    <n v="70820"/>
    <s v="TA-25-915502"/>
    <n v="80808"/>
    <s v="APERTURA"/>
    <s v="CB CRECIMIENTO - NUEVO"/>
    <s v="SUCRE"/>
    <s v="SANTIAGO DE TOLU"/>
    <s v="BARRIO EL ARROYITO SANTIAGO DE TOLU"/>
    <s v="REDEBAN"/>
    <s v="FO-25-1316445"/>
    <d v="2025-08-01T00:00:00"/>
    <d v="2025-08-05T00:00:00"/>
    <s v="UNO A UNO"/>
    <s v="UNO A UNO"/>
    <s v="EJECUTADO"/>
    <s v="01-08 SE REALIZA LLAMADA AL CLIENTE, SE HABLA CON LA SRA JESSICA JULIETH BETIN VERGARA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
    <s v="SANTOS GUZMAN CHRISTIAN FELIPE"/>
    <s v="F8ZZZ034"/>
    <s v="TIPO II"/>
    <s v="TERRESTRE"/>
    <s v="SANTOS GUZMAN CHRISTIAN FELIPE"/>
    <n v="1"/>
    <n v="1"/>
    <n v="1"/>
    <n v="11251.22416"/>
    <n v="126317.12212"/>
    <n v="110808.27512000001"/>
    <n v="248376.6214"/>
  </r>
  <r>
    <s v="TUNJA"/>
    <x v="3"/>
    <x v="3"/>
    <n v="15238"/>
    <s v="TA-25-915504"/>
    <n v="80785"/>
    <s v="APERTURA"/>
    <s v="CB CRECIMIENTO - NUEVO"/>
    <s v="BOYACA"/>
    <s v="DUITAMA"/>
    <s v="BARRIO VEREDA LA TRINIDAD DUITAMA 2"/>
    <s v="REDEBAN"/>
    <s v="FO-25-1316450"/>
    <d v="2025-08-01T00:00:00"/>
    <d v="2025-08-08T00:00:00"/>
    <s v="UNO A UNO"/>
    <s v="UNO A UNO"/>
    <s v="EJECUTADO"/>
    <s v="01-08-2025 SE REALIZA LLAMADA AL CLIENTE, SE HABLA CON LA SRA MERCEDES FORERO SOLER, SE VALIDA DIRECCIÓN OK, CANAL OK, DISPONIBILIDAD TOTAL, LLAMAR EL DÍA LA INSTALACIÓN PARA CONFIRMAR VISITA, AVISO EXTERIOR ALTURA APROX  2 METROS; TOMACORRIENTE CERCANO: SI; TIENE CABINA DE SEGURIDAD: SI// MODEM A 10 METROS 4/08/2025 SE ESTABLECE COMUNICACIÓN CON LA SEÑORA MERCEDES FORERO SOLER AL NÚMERO DE CONTACTO 3132328620 SE LE INDICA QUE POR TEMAS DE STOCK DE PUBLICIDAD NO ES POSIBLE REALIZAR LA INSTALACIÓN EL DÍA DE HOY POR ORDEN DE LA ENTIDAD ADEMÁS SE PRESENTAN NOVEDADES EN LA ZONA TUNJA PAIPA POR CIERRES VIALES DEBIÓ AL PARO QUE SE ESTA PRESENTANDO EN LA ZONA SE LE INFORMA QUE NOS ESTAREMOS CONTACTANDO NUEVAMENTE PARA CONFIRMAR VISITA CUANDO NOS LLEGUE EL STOCK DE PUBLICIDAD CLIENTE CONFORME 05-08 EN COMUNICACIÓN CON EL CLIENTE SE LE EXPLICA QUE AUN CONTINUA LA NOVEDAD DEL CIERRE VIAL POR EL PARO MINERO EL CUAL TIENE BLOQUEADA LA VÍA PRINCIPAL TUNJA PAIPA SIN ACCESOS A LOS MUNICIPIOS ALEDAÑOS ADEMÁS CONTINUAMOS SIN STOCK DE PUBLICIDAD EL CUAL LA ENTIDAD NO AUTORIZA LA INSTALACIÓN SIN LOS MISMOS CLIENTE CONFORME 08/08/2025 SE REALIZA INSTALACIÓN DE CORRESPONSAL, SE INSTALAN EQUIPOS CON PRUEBAS EXITOSAS, SE CAPACITA Y SE EVALÚA AL CLIENTE, SE INSTALA PUBLICIDAD COMPLETA, CB QUEDA OPERATIVO. USUARIO SOMOS BANCOLOMBIA ACTIVO"/>
    <s v="RODRIGUEZ MURCIA YERSON IVAN"/>
    <s v="F8ZZZ035"/>
    <s v="TIPO II"/>
    <s v="TERRESTRE"/>
    <s v="RODRIGUEZ MURCIA YERSON IVAN"/>
    <n v="1"/>
    <n v="1"/>
    <n v="1"/>
    <n v="11251.22416"/>
    <n v="126317.12212"/>
    <n v="110808.27512000001"/>
    <n v="248376.6214"/>
  </r>
  <r>
    <s v="CARTAGENA"/>
    <x v="4"/>
    <x v="4"/>
    <n v="13001"/>
    <s v="TA-25-915508"/>
    <n v="80781"/>
    <s v="APERTURA"/>
    <s v="CB CRECIMIENTO - NUEVO"/>
    <s v="BOLIVAR"/>
    <s v="CARTAGENA"/>
    <s v="BARRIO VILLA ESTRELLA CARTAGENA 3"/>
    <s v="REDEBAN"/>
    <s v="FO-25-1316456"/>
    <d v="2025-08-01T00:00:00"/>
    <d v="2025-08-04T00:00:00"/>
    <s v="UNO A UNO"/>
    <s v="UNO A UNO"/>
    <s v="EJECUTADO/CANCELADO"/>
    <s v="01-08 SE REALIZA LLAMADA AL CLIENTE, SE HABLA CON LA SRA ALEXANDRA ANGULO ANDRADE  SE VALIDA DIRECCIÓN OK, CANAL OK, DISPONIBILIDAD TOTAL, LLAMAR EL DÍA LA INSTALACIÓN PARA CONFIRMAR VISITA, AVISO EXTERIOR ALTURA APROX 2 METROS; TOMACORRIENTE CERCANO: SI; TIENE CABINA DE SEGURIDAD: NO 4/08/2025 SE ESCALA EL SIGUIENTE CASO, DONDE SE VA INSTALAR EN UN APARTAMENTO DEL SEGUNDO PISO, TORRE 2 DEL CONJUNTO RESIDENCIAL “CONDOMIO IPANEMA”, INDICAN QUE EL AVISO SE PUEDE INSTALAR EN EL PASILLO DEL EDIFICIO, A LA ENTRADA DEL APARTAMENTO. SE EVIDENCIA TAMBIÉN QUE EL COMERCIO ES UNA VIVIENDA CON UNA VITRINA PEQUEÑA CON ACCESORIOS DE CELULARES. / PROCEDEMOS A ESCALAR A ENTIDAD LA SITUACIÓN, YA QUE SE TIENE PREVISTA LA INSTALACIÓN EN UN APARTAMENTO QUE NO CUENTA CON AVISO PUBLICITARIO, LO CUAL PUEDE GENERAR DIFICULTADES EN LA IDENTIFICACIÓN DEL PUNTO. // ENTIDAD SOLICITA CANCELAR LA ACTIVIDAD"/>
    <s v="CANEDO HERRERA ALEXANDER"/>
    <s v="F8ZZZ036"/>
    <s v="TIPO I"/>
    <s v="TERRESTRE"/>
    <s v="CANEDO HERRERA ALEXANDER"/>
    <n v="0"/>
    <n v="0"/>
    <n v="2"/>
    <n v="11251.22416"/>
    <n v="126317.12212"/>
    <n v="57411.974240000003"/>
    <n v="114823.94848000001"/>
  </r>
  <r>
    <s v="NEIVA"/>
    <x v="0"/>
    <x v="0"/>
    <n v="41551"/>
    <s v="TA-25-915513"/>
    <n v="80799"/>
    <s v="APERTURA"/>
    <s v="CB CRECIMIENTO - NUEVO"/>
    <s v="HUILA"/>
    <s v="PITALITO"/>
    <s v="BARRIO PARAISO  PITALITO "/>
    <s v="REDEBAN"/>
    <s v="FO-25-1316460"/>
    <d v="2025-08-01T00:00:00"/>
    <d v="2025-08-05T00:00:00"/>
    <s v="UNO A UNO"/>
    <s v="UNO A UNO"/>
    <s v="EJECUTADO"/>
    <s v="01-08 SE REALIZA LLAMADA AL CLIENTE, SE HABLA CON LA SRA NOHORA VIVIANA MARIN ROSERO  SE VALIDA DIRECCIÓN OK, CANAL OK, DISPONIBILIDAD TOTAL, LLAMAR EL DÍA LA INSTALACIÓN PARA CONFIRMAR VISITA, AVISO EXTERIOR ALTURA APROX 5 METROS; TOMACORRIENTE CERCANO: SI; TIENE CABINA DE SEGURIDAD: NO - EL MODEM ESTA A 7 MT  5/08/2025 SE REALIZA INSTALACIÓN DE CORRESPONSAL, SE INSTALAN EQUIPOS CON PRUEBAS EXITOSAS, SE CAPACITA Y SE EVALÚA AL CLIENTE, SE INSTALA PUBLICIDAD COMPLETA, CB QUEDA OPERATIVO. USUARIO SOMOS BANCOLOMBIA ACTIVO"/>
    <s v="ANDRADE HERNANDEZ JUAN CARLOS"/>
    <s v="F8ZZZ037"/>
    <s v="TIPO III"/>
    <s v="TERRESTRE"/>
    <s v="ANDRADE HERNANDEZ JUAN CARLOS"/>
    <n v="1"/>
    <n v="1"/>
    <n v="1"/>
    <n v="11251.22416"/>
    <n v="126317.12212"/>
    <n v="110808.27512000001"/>
    <n v="248376.6214"/>
  </r>
  <r>
    <s v="APARTADO"/>
    <x v="2"/>
    <x v="2"/>
    <n v="5490"/>
    <s v="TA-25-915515"/>
    <n v="80782"/>
    <s v="APERTURA"/>
    <s v="CB CRECIMIENTO - NUEVO"/>
    <s v="ANTIOQUIA"/>
    <s v="NECOCLI"/>
    <s v="BARRIO CL PRINCIPAL CORREGIMIENTO EL TOTUMO NECOCLI ANTI  NECOCLI"/>
    <s v="REDEBAN"/>
    <s v="FO-25-1316465"/>
    <d v="2025-08-01T00:00:00"/>
    <d v="2025-08-05T00:00:00"/>
    <s v="UNO A UNO"/>
    <s v="UNO A UNO"/>
    <s v="EJECUTADO"/>
    <s v="01-08 SE REALIZA LLAMADA AL CLIENTE, SE HABLA CON LA SR YEISON ALBERTO ACEVEDO CELADA SE VALIDA DIRECCIÓN OK, CANAL OK, DISPONIBILIDAD TOTAL, LLAMAR EL DÍA LA INSTALACIÓN PARA CONFIRMAR VISITA, AVISO EXTERIOR ALTURA APROX 2 METROS; TOMACORRIENTE CERCANO: SI; TIENE CABINA DE SEGURIDAD: SI 05-08 SE REALIZA INSTALACIÓN DE CORRESPONSAL, SE INSTALAN EQUIPOS CON PRUEBAS EXITOSAS, SE CAPACITA Y SE EVALÚA AL CLIENTE, SE INSTALA PUBLICIDAD COMPLETA, CB QUEDA OPERATIVO. USUARIO SOMOS BANCOLOMBIA ACTIVO"/>
    <s v="SALDARRIAGA MIRANDA SANTIAGO"/>
    <s v="F8ZZZ038"/>
    <s v="TIPO II"/>
    <s v="TERRESTRE"/>
    <s v="SALDARRIAGA MIRANDA SANTIAGO"/>
    <n v="1"/>
    <n v="1"/>
    <n v="1"/>
    <n v="11251.22416"/>
    <n v="126317.12212"/>
    <n v="110808.27512000001"/>
    <n v="248376.6214"/>
  </r>
  <r>
    <s v="BOGOTA"/>
    <x v="5"/>
    <x v="5"/>
    <n v="25797"/>
    <s v="TA-25-915519"/>
    <n v="80804"/>
    <s v="APERTURA"/>
    <s v="CB CRECIMIENTO - NUEVO"/>
    <s v="CUNDINAMARCA"/>
    <s v="TENA"/>
    <s v="BARRIO GUASIMAL TENA TENA"/>
    <s v="REDEBAN"/>
    <s v="FO-25-1316472"/>
    <d v="2025-08-01T00:00:00"/>
    <d v="2025-08-05T00:00:00"/>
    <s v="UNO A UNO"/>
    <s v="UNO A UNO"/>
    <s v="EJECUTADO"/>
    <s v="01-08 SE REALIZA LLAMADA AL CLIENTE, SE HABLA CON LA SRA YAMILE PALENCIA CORD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
    <s v="GOMEZ VEGA DAVID SNEYDER"/>
    <s v="F8ZZZ039"/>
    <s v="TIPO II"/>
    <s v="TERRESTRE"/>
    <s v="GOMEZ VEGA DAVID SNEYDER"/>
    <n v="1"/>
    <n v="1"/>
    <n v="1"/>
    <n v="11251.22416"/>
    <n v="126317.12212"/>
    <n v="110808.27512000001"/>
    <n v="248376.6214"/>
  </r>
  <r>
    <s v="MANIZALES"/>
    <x v="1"/>
    <x v="6"/>
    <n v="17013"/>
    <s v="TA-25-915520"/>
    <n v="80767"/>
    <s v="APERTURA"/>
    <s v="CB CRECIMIENTO - NUEVO"/>
    <s v="CALDAS"/>
    <s v="AGUADAS"/>
    <s v="BARRIO OLIVARES SECTOR LA Y  AGUADAS"/>
    <s v="REDEBAN"/>
    <s v="FO-25-1316477"/>
    <d v="2025-08-01T00:00:00"/>
    <d v="2025-08-05T00:00:00"/>
    <s v="UNO A UNO"/>
    <s v="UNO A UNO"/>
    <s v="EJECUTADO"/>
    <s v="01-08 SE REALIZA LLAMADA AL CLIENTE, SE HABLA CON LA SRA MARIA LINDELIA HENAO QUINT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
    <s v="AGUIRRE HENAO RAUL EDUARDO"/>
    <s v="F8ZZZ040"/>
    <s v="TIPO III"/>
    <s v="TERRESTRE"/>
    <s v="AGUIRRE HENAO RAUL EDUARDO"/>
    <n v="1"/>
    <n v="1"/>
    <n v="1"/>
    <n v="11251.22416"/>
    <n v="126317.12212"/>
    <n v="110808.27512000001"/>
    <n v="248376.6214"/>
  </r>
  <r>
    <s v="MANIZALES"/>
    <x v="1"/>
    <x v="6"/>
    <n v="17001"/>
    <s v="TA-25-915522"/>
    <n v="80790"/>
    <s v="APERTURA"/>
    <s v="CB CRECIMIENTO - NUEVO"/>
    <s v="CALDAS"/>
    <s v="MANIZALES"/>
    <s v="BARRIO VINA DEL RIO MANIZALES"/>
    <s v="REDEBAN"/>
    <s v="FO-25-1316479"/>
    <d v="2025-08-01T00:00:00"/>
    <d v="2025-08-05T00:00:00"/>
    <s v="UNO A UNO"/>
    <s v="UNO A UNO"/>
    <s v="EJECUTADO"/>
    <s v="01-08 SE REALIZA LLAMADA AL CLIENTE, SE HABLA CON LA SRA LIDIANA LEGUIZAMON LEGUIZAMO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
    <s v="ARROYAVE CANO MANUEL GUILLERMO"/>
    <s v="F8ZZZ041"/>
    <s v="TIPO I"/>
    <s v="TERRESTRE"/>
    <s v="ARROYAVE CANO MANUEL GUILLERMO"/>
    <n v="1"/>
    <n v="1"/>
    <n v="1"/>
    <n v="11251.22416"/>
    <n v="126317.12212"/>
    <n v="57411.974240000003"/>
    <n v="194980.32052000001"/>
  </r>
  <r>
    <s v="BOGOTA"/>
    <x v="5"/>
    <x v="5"/>
    <n v="25781"/>
    <s v="TA-25-915523"/>
    <n v="80801"/>
    <s v="APERTURA"/>
    <s v="CB CRECIMIENTO - NUEVO"/>
    <s v="CUNDINAMARCA"/>
    <s v="SUTATAUSA"/>
    <s v="BARRIO CENTRO SUTATAUSA CENTRO"/>
    <s v="REDEBAN"/>
    <s v="FO-25-1316485"/>
    <d v="2025-08-01T00:00:00"/>
    <d v="2025-08-05T00:00:00"/>
    <s v="UNO A UNO"/>
    <s v="UNO A UNO"/>
    <s v="EJECUTADO"/>
    <s v="01-08 SE REALIZA LLAMADA AL CLIENTE, SE HABLA CON LA SR YEISON ORLANDO PINZON CASTAÑEDA  SE VALIDA DIRECCIÓN OK, CANAL OK, DISPONIBILIDAD TOTAL, LLAMAR EL DÍA LA INSTALACIÓN PARA CONFIRMAR VISITA, AVISO EXTERIOR ALTURA APROX 2.5 METROS; TOMACORRIENTE CERCANO: SI; TIENE CABINA DE SEGURIDAD: NO 5/08/2025 SE REALIZA INSTALACIÓN DE CORRESPONSAL, SE INSTALAN EQUIPOS CON PRUEBAS EXITOSAS, SE CAPACITA Y SE EVALÚA AL CLIENTE, SE INSTALA PUBLICIDAD COMPLETA, CB QUEDA OPERATIVO. USUARIO SOMOS BANCOLOMBIA ACTIVO"/>
    <s v="MURCIA HERNANDEZ HARVEY IGNACIO"/>
    <s v="F8ZZZ042"/>
    <s v="TIPO II"/>
    <s v="TERRESTRE"/>
    <s v="MURCIA HERNANDEZ HARVEY IGNACIO"/>
    <n v="1"/>
    <n v="1"/>
    <n v="1"/>
    <n v="11251.22416"/>
    <n v="126317.12212"/>
    <n v="110808.27512000001"/>
    <n v="248376.6214"/>
  </r>
  <r>
    <s v="CUCUTA"/>
    <x v="3"/>
    <x v="3"/>
    <n v="54874"/>
    <s v="TA-25-915525"/>
    <n v="80816"/>
    <s v="APERTURA"/>
    <s v="CB CRECIMIENTO - NUEVO"/>
    <s v="NORTE DE SANTANDER"/>
    <s v="VILLA DEL ROSARIO"/>
    <s v="BARRIO LA PARADA VILLA DEL ROSARIO 11"/>
    <s v="REDEBAN"/>
    <s v="FO-25-1316487"/>
    <d v="2025-08-01T00:00:00"/>
    <d v="2025-08-04T00:00:00"/>
    <s v="UNO A UNO"/>
    <s v="UNO A UNO"/>
    <s v="EJECUTADO/CANCELADO"/>
    <s v="01-08 SE REALIZA LLAMADA AL CLIENTE, SE HABLA CON LA SRA LEDYS ANDREA ESCALANTE BERBESI  SE VALIDA DIRECCIÓN OK, CANAL OK, DISPONIBILIDAD TOTAL, LLAMAR EL DÍA LA INSTALACIÓN PARA CONFIRMAR VISITA, AVISO EXTERIOR ALTURA: NO INDICA ALTURA; TOMACORRIENTE CERCANO: SI; TIENE CABINA DE SEGURIDAD: NO 4/08/2025 SE REALIZÓ VISITA AL COMERCIO Y CLIENTE NO ACEPTA LA ACTIVIDAD DE IMPLEMENTACIÓN DE CORRESPONSAL, QUE EN OTRO MOMENTO SE COMUNICARA CON EL BANCO PARA SOLICITARLO EN CASO QUE LO LLEGARA A NECESITAR."/>
    <s v="MORA VEGA JEAMPIER"/>
    <s v="F8ZZZ043"/>
    <s v="TIPO I"/>
    <s v="TERRESTRE"/>
    <s v="MORA VEGA JEAMPIER"/>
    <n v="0"/>
    <n v="0"/>
    <n v="2"/>
    <n v="11251.22416"/>
    <n v="126317.12212"/>
    <n v="57411.974240000003"/>
    <n v="114823.94848000001"/>
  </r>
  <r>
    <s v="MONTERIA"/>
    <x v="4"/>
    <x v="4"/>
    <n v="23417"/>
    <s v="TA-25-915526"/>
    <n v="80822"/>
    <s v="APERTURA"/>
    <s v="CB CRECIMIENTO - NUEVO"/>
    <s v="CORDOBA"/>
    <s v="LORICA"/>
    <s v="BARRIO SAN MIGUEL LORICA"/>
    <s v="REDEBAN"/>
    <s v="FO-25-1316489"/>
    <d v="2025-08-01T00:00:00"/>
    <d v="2025-08-05T00:00:00"/>
    <s v="UNO A UNO"/>
    <s v="UNO A UNO"/>
    <s v="EJECUTADO"/>
    <s v="01-08 SE REALIZA LLAMADA AL CLIENTE, SE HABLA CON LA SR JONATHAN CARRASCAL LLORENTE  SE VALIDA DIRECCIÓN OK, CANAL OK, DISPONIBILIDAD TOTAL, LLAMAR EL DÍA LA INSTALACIÓN PARA CONFIRMAR VISITA, AVISO EXTERIOR ALTURA APROX 3 METROS; TOMACORRIENTE CERCANO: SI; TIENE CABINA DE SEGURIDAD: NO - EL MODEM ESTA A 4 MT  5/08/2025 SE REALIZA INSTALACIÓN DE CORRESPONSAL, SE INSTALAN EQUIPOS CON PRUEBAS EXITOSAS, SE CAPACITA Y SE EVALÚA AL CLIENTE, SE INSTALA PUBLICIDAD COMPLETA, CB QUEDA OPERATIVO. USUARIO SOMOS BANCOLOMBIA ACTIVO"/>
    <s v="GONZALEZ FERRER JESUS ALEXANDER"/>
    <s v="F8ZZZ044"/>
    <s v="TIPO II"/>
    <s v="TERRESTRE"/>
    <s v="GONZALEZ FERRER JESUS ALEXANDER"/>
    <n v="1"/>
    <n v="1"/>
    <n v="1"/>
    <n v="11251.22416"/>
    <n v="126317.12212"/>
    <n v="110808.27512000001"/>
    <n v="248376.6214"/>
  </r>
  <r>
    <s v="MEDELLIN"/>
    <x v="2"/>
    <x v="2"/>
    <n v="5890"/>
    <s v="TA-25-915528"/>
    <n v="80809"/>
    <s v="APERTURA"/>
    <s v="CAMBIO DE RAZON SOCIAL"/>
    <s v="ANTIOQUIA"/>
    <s v="YOLOMBO"/>
    <s v="BARRIO EL CENTRO YOLOMBO"/>
    <s v="REDEBAN"/>
    <s v="FO-25-1316493"/>
    <d v="2025-08-01T00:00:00"/>
    <d v="2025-08-05T00:00:00"/>
    <s v="UNO A UNO"/>
    <s v="UNO A UNO"/>
    <s v="EJECUTADO"/>
    <s v="01-08 SE REALIZA LLAMADA AL CLIENTE, SE HABLA CON LA SR JUAN SEBASTIAN RUIZ VARGAS  SE VALIDA DIRECCIÓN OK, CANAL OK, DISPONIBILIDAD TOTAL, LLAMAR EL DÍA LA INSTALACIÓN PARA CONFIRMAR VISITA. CAMBIO DE RAZONO SOCIAL 22150  (USUARIO INDICA QUE LE HACE FALTA EL FLANGGER Y DISPLAY DE HORARIO, EL AVISO ESTA EN PERFECTO ESTADO. ADICIONAL NO NECESITA CAPACITACIÓN) 6/08/2025 SE REALIZA INSTALACIÓN DE CORRESPONSAL, SE INSTALAN EQUIPOS CON PRUEBAS EXITOSAS, NO  SE CAPACITA, SE INSTALA PUBLICIDAD COMPLETA, CB QUEDA OPERATIVO. USUARIO SOMOS BANCOLOMBIA ACTIVO"/>
    <s v="BADEL ACUÑA LUIS ALBERTO"/>
    <s v="F8ZZZ045 F8ZZZ046"/>
    <s v="TIPO II"/>
    <s v="TERRESTRE"/>
    <s v="BADEL ACUÑA LUIS ALBERTO"/>
    <n v="1"/>
    <n v="1"/>
    <n v="1"/>
    <n v="11251.22416"/>
    <n v="126317.12212"/>
    <n v="110808.27512000001"/>
    <n v="248376.6214"/>
  </r>
  <r>
    <s v="PASTO"/>
    <x v="1"/>
    <x v="1"/>
    <n v="52835"/>
    <s v="TA-25-915529"/>
    <n v="80802"/>
    <s v="APERTURA"/>
    <s v="CB CRECIMIENTO - NUEVO"/>
    <s v="NARIÑO"/>
    <s v="SAN ANDRES DE TUMACO"/>
    <s v="BARRIO VEREDA LA ZABALETA SAN ANDRES DE TUMACO"/>
    <s v="REDEBAN"/>
    <s v="FO-25-1316499"/>
    <d v="2025-08-01T00:00:00"/>
    <d v="2025-08-05T00:00:00"/>
    <s v="UNO A UNO"/>
    <s v="UNO A UNO"/>
    <s v="EJECUTADO"/>
    <s v="01-08 SE REALIZA LLAMADA AL CLIENTE, SE HABLA CON LA SRA NUBIA MAYELY GALEANO SANCHEZ SE VALIDA DIRECCIÓN OK, CANAL OK, DISPONIBILIDAD TOTAL, LLAMAR EL DÍA LA INSTALACIÓN PARA CONFIRMAR VISITA, AVISO EXTERIOR ALTURA APROX 3 METROS; TOMACORRIENTE CERCANO: SI; TIENE CABINA DE SEGURIDAD: SI 6/08/2025 SE REALIZA INSTALACIÓN DE CORRESPONSAL, SE INSTALAN EQUIPOS CON PRUEBAS EXITOSAS, SE CAPACITA Y SE EVALÚA AL CLIENTE, SE INSTALA PUBLICIDAD COMPLETA, CB QUEDA OPERATIVO. USUARIO SOMOS BANCOLOMBIA ACTIVO"/>
    <s v="PAZ MARTINEZ RICHARD HUMBERTO"/>
    <s v="F8ZZZ047"/>
    <s v="TIPO IV"/>
    <s v="TERRESTRE"/>
    <s v="PAZ MARTINEZ RICHARD HUMBERTO"/>
    <n v="1"/>
    <n v="1"/>
    <n v="1"/>
    <n v="11251.22416"/>
    <n v="126317.12212"/>
    <n v="110808.27512000001"/>
    <n v="248376.6214"/>
  </r>
  <r>
    <s v="BOGOTA"/>
    <x v="5"/>
    <x v="5"/>
    <n v="11001"/>
    <s v="TA-25-915535"/>
    <n v="80774"/>
    <s v="APERTURA"/>
    <s v="CB CRECIMIENTO - NUEVO"/>
    <s v="CUNDINAMARCA"/>
    <s v="BOGOTA"/>
    <s v="BARRIO SAN BLAS BOGOTA 6"/>
    <s v="REDEBAN"/>
    <s v="FO-25-1316505"/>
    <d v="2025-08-01T00:00:00"/>
    <d v="2025-08-04T00:00:00"/>
    <s v="UNO A UNO"/>
    <s v="UNO A UNO"/>
    <s v="EJECUTADO"/>
    <s v="01-08 SE REALIZA LLAMADA AL CLIENTE, SE HABLA CON LA SR ALDEMAR SAENZ OSPINA SE VALIDA DIRECCIÓN OK, CANAL OK, DISPONIBILIDAD TOTAL, LLAMAR EL DÍA LA INSTALACIÓN PARA CONFIRMAR VISITA, AVISO EXTERIOR ALTURA APROX 2 METROS; TOMACORRIENTE CERCANO: SI; TIENE CABINA DE SEGURIDAD: SI 04-08 SE REALIZA INSTALACIÓN DE CORRESPONSAL, SE INSTALAN EQUIPOS CON PRUEBAS EXITOSAS, SE CAPACITA Y SE EVALÚA AL CLIENTE, SE INSTALA PUBLICIDAD COMPLETA, CB QUEDA OPERATIVO. USUARIO SOMOS BANCOLOMBIA ACTIVO"/>
    <s v="ROMERO ROJAS BREIDY JHOHAN"/>
    <s v="F8ZZZ048"/>
    <s v="TIPO I"/>
    <s v="TERRESTRE"/>
    <s v="ROMERO ROJAS BREIDY JHOHAN"/>
    <n v="1"/>
    <n v="1"/>
    <n v="1"/>
    <n v="11251.22416"/>
    <n v="126317.12212"/>
    <n v="57411.974240000003"/>
    <n v="194980.32052000001"/>
  </r>
  <r>
    <s v="MEDELLIN"/>
    <x v="2"/>
    <x v="2"/>
    <n v="5361"/>
    <s v="TA-25-915536"/>
    <n v="80769"/>
    <s v="APERTURA"/>
    <s v="CB CRECIMIENTO - NUEVO"/>
    <s v="ANTIOQUIA"/>
    <s v="ITUANGO"/>
    <s v="BARRIO CARRERA RUIZ ITUANGO"/>
    <s v="REDEBAN"/>
    <s v="FO-25-1316508"/>
    <d v="2025-08-01T00:00:00"/>
    <d v="2025-08-06T00:00:00"/>
    <s v="UNO A UNO"/>
    <s v="UNO A UNO"/>
    <s v="EJECUTADO"/>
    <s v="01-08 SE REALIZA LLAMADA AL CLIENTE, SE HABLA CON LA SRA SOR MARIA POSADA GIRALDO SE VALIDA DIRECCIÓN OK, CANAL OK, DISPONIBILIDAD TOTAL, LLAMAR EL DÍA LA INSTALACIÓN PARA CONFIRMAR VISITA, AVISO EXTERIOR ALTURA: NO INDICA ALTURA; TOMACORRIENTE CERCANO: SI; TIENE CABINA DE SEGURIDAD: SI 5/08/2025 SE LLEGA A APERTURA EN HORAS DE LA TARDE POR ACTIVIDADES EN RUTA Y EL MÁS ESTADO DE LA VÍA REPRESA-ITUANGO. COMERCIO TRABAJO HASTA LAS 5:30 SE INICIALIZAR Y SE CAPACITA SOMOS BANCOLOMBIA. SE DEJA PARA SEGUIR IMPLEMENTACIÓN EL DÍA DE MAÑANA A PRIMERA HORA 6/08/2025 SE REALIZA INSTALACIÓN DE CORRESPONSAL, SE INSTALAN EQUIPOS CON PRUEBAS EXITOSAS, SE CAPACITA Y SE EVALÚA AL CLIENTE, SE INSTALA PUBLICIDAD COMPLETA, CB QUEDA OPERATIVO. USUARIO SOMOS BANCOLOMBIA ACTIVO"/>
    <s v="DIAZ ZABALA FRANCIS DUBAN"/>
    <s v="F8ZZZ049"/>
    <s v="TIPO IV"/>
    <s v="TERRESTRE"/>
    <s v="DIAZ ZABALA FRANCIS DUBAN"/>
    <n v="1"/>
    <n v="1"/>
    <n v="1"/>
    <n v="11251.22416"/>
    <n v="126317.12212"/>
    <n v="110808.27512000001"/>
    <n v="248376.6214"/>
  </r>
  <r>
    <s v="SINCELEJO"/>
    <x v="4"/>
    <x v="4"/>
    <n v="70708"/>
    <s v="TA-25-915537"/>
    <n v="80805"/>
    <s v="APERTURA"/>
    <s v="CB CRECIMIENTO - NUEVO"/>
    <s v="SUCRE"/>
    <s v="SAN MARCOS"/>
    <s v="BARRIO SUCRE SAN MARCOS 1"/>
    <s v="REDEBAN"/>
    <s v="FO-25-1316511"/>
    <d v="2025-08-01T00:00:00"/>
    <d v="2025-08-04T00:00:00"/>
    <s v="UNO A UNO"/>
    <s v="UNO A UNO"/>
    <s v="EJECUTADO"/>
    <s v="01-08 SE REALIZA LLAMADA AL CLIENTE, SE HABLA CON LA SR WALTER YAMID GONZALEZ TIRADO  SE VALIDA DIRECCIÓN OK, CANAL OK, DISPONIBILIDAD TOTAL, LLAMAR EL DÍA LA INSTALACIÓN PARA CONFIRMAR VISITA, AVISO EXTERIOR ALTURA APROX 2 METROS; TOMACORRIENTE CERCANO: SI; TIENE CABINA DE SEGURIDAD: NO - COMUNICACIÓN POR WPP  4/08/2025 SE REALIZA INSTALACIÓN DE CORRESPONSAL, SE INSTALAN EQUIPOS CON PRUEBAS EXITOSAS, SE CAPACITA Y SE EVALÚA AL CLIENTE, SE INSTALA PUBLICIDAD COMPLETA, CB QUEDA OPERATIVO. USUARIO SOMOS BANCOLOMBIA ACTIVO"/>
    <s v="CASSIANI PEREZ RAUL RAMIRO"/>
    <s v="F8ZZZ050"/>
    <s v="TIPO III"/>
    <s v="TERRESTRE"/>
    <s v="CASSIANI PEREZ RAUL RAMIRO"/>
    <n v="1"/>
    <n v="1"/>
    <n v="1"/>
    <n v="11251.22416"/>
    <n v="126317.12212"/>
    <n v="110808.27512000001"/>
    <n v="248376.6214"/>
  </r>
  <r>
    <s v="NEIVA"/>
    <x v="0"/>
    <x v="0"/>
    <n v="41001"/>
    <s v="TA-25-915539"/>
    <n v="80793"/>
    <s v="APERTURA"/>
    <s v="CB CRECIMIENTO - NUEVO"/>
    <s v="HUILA"/>
    <s v="NEIVA"/>
    <s v="BARRIO CARACOLI NEIVA"/>
    <s v="REDEBAN"/>
    <s v="FO-25-1316514"/>
    <d v="2025-08-01T00:00:00"/>
    <d v="2025-08-04T00:00:00"/>
    <s v="UNO A UNO"/>
    <s v="UNO A UNO"/>
    <s v="EJECUTADO"/>
    <s v="01-08 SE REALIZA LLAMADA AL CLIENTE, SE HABLA CON LA SRA GLORIA FORERO FORERO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
    <s v="DIAZ VARGAS JONATHAN MIGUEL"/>
    <s v="F8ZZZ051"/>
    <s v="TIPO I"/>
    <s v="TERRESTRE"/>
    <s v="DIAZ VARGAS JONATHAN MIGUEL"/>
    <n v="1"/>
    <n v="1"/>
    <n v="1"/>
    <n v="11251.22416"/>
    <n v="126317.12212"/>
    <n v="57411.974240000003"/>
    <n v="194980.32052000001"/>
  </r>
  <r>
    <s v="IBAGUE"/>
    <x v="0"/>
    <x v="0"/>
    <n v="73001"/>
    <s v="TA-25-915540"/>
    <n v="80821"/>
    <s v="APERTURA"/>
    <s v="CB CRECIMIENTO - NUEVO"/>
    <s v="TOLIMA"/>
    <s v="IBAGUE"/>
    <s v="BARRIO SAN SIMON PARTE BAJA IBAGUE 4"/>
    <s v="REDEBAN"/>
    <s v="FO-25-1316516"/>
    <d v="2025-08-01T00:00:00"/>
    <d v="2025-08-04T00:00:00"/>
    <s v="UNO A UNO"/>
    <s v="UNO A UNO"/>
    <s v="EJECUTADO"/>
    <s v="01-08 SE REALIZA LLAMADA AL CLIENTE, SE HABLA CON LA SRA ERIKA JOHANNA OLIVARES CALDERÓN 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
    <s v="BARRAGAN TAFUR EDWIN ESTEBAN"/>
    <s v="F8ZZZ052"/>
    <s v="TIPO I"/>
    <s v="TERRESTRE"/>
    <s v="BARRAGAN TAFUR EDWIN ESTEBAN"/>
    <n v="1"/>
    <n v="1"/>
    <n v="1"/>
    <n v="11251.22416"/>
    <n v="126317.12212"/>
    <n v="57411.974240000003"/>
    <n v="194980.32052000001"/>
  </r>
  <r>
    <s v="CALI"/>
    <x v="1"/>
    <x v="1"/>
    <n v="76001"/>
    <s v="TA-25-920650"/>
    <n v="80824"/>
    <s v="APERTURA"/>
    <s v="CB CRECIMIENTO ALIANZA - NUEVO"/>
    <s v="VALLE DEL CAUCA"/>
    <s v="CALI"/>
    <s v="OPRAP CENTRO COMERCIAL LA ESTACIÓN"/>
    <s v="REDEBAN"/>
    <s v="FO-25-1327564"/>
    <d v="2025-08-05T00:00:00"/>
    <d v="2025-08-05T00:00:00"/>
    <s v="ROBUSTO"/>
    <s v="OPRAP"/>
    <s v="EJECUTADO"/>
    <s v="04-08 SE REALIZA LLAMADA AL CLIENTE, SE HABLA CON LA SR WILLIAM CABRERA SE VALIDA DIRECCIÓN OK, CANAL OK, DISPONIBILIDAD TOTAL, LLAMAR EL DÍA LA INSTALACIÓN PARA CONFIRMAR VISITA 05-08 SE REALIZA INSTALACIÓN DE CORRESPONSAL, SE INSTALAN EQUIPOS CON PRUEBAS EXITOSAS, NO SE CAPACITA, NO SE INSTALA DISPLAY DE HORARIO, CB QUEDA OPERATIVO"/>
    <s v="MONTERO MUESES GIAN CARLO"/>
    <s v="F9ZZZ221 F9ZZZ222 F9ZZZ223 F9ZZZ224"/>
    <s v="TIPO I"/>
    <s v="TERRESTRE"/>
    <s v="MONTERO MUESES GIAN CARLO"/>
    <n v="1"/>
    <n v="0"/>
    <n v="0"/>
    <n v="11251.22416"/>
    <n v="126317.12212"/>
    <n v="57411.974240000003"/>
    <n v="11251.22416"/>
  </r>
  <r>
    <s v="MEDELLIN"/>
    <x v="2"/>
    <x v="2"/>
    <n v="5001"/>
    <s v="TA-25-930967"/>
    <n v="80856"/>
    <s v="APERTURA"/>
    <s v="CB CRECIMIENTO ALIANZA - NUEVO"/>
    <s v="ANTIOQUIA"/>
    <s v="MEDELLIN"/>
    <s v="PTM MEDELLIN AMALINA MULTISERV"/>
    <s v="REDEBAN"/>
    <s v="FO-25-1338727"/>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PAREJA ECHAVARRIA JHON DAVID"/>
    <s v="FGZZZ992"/>
    <s v="TIPO I"/>
    <s v="TERRESTRE"/>
    <s v="PAREJA ECHAVARRIA JHON DAVID"/>
    <n v="1"/>
    <n v="1"/>
    <n v="1"/>
    <n v="11251.22416"/>
    <n v="126317.12212"/>
    <n v="57411.974240000003"/>
    <n v="194980.32052000001"/>
  </r>
  <r>
    <s v="MEDELLIN"/>
    <x v="2"/>
    <x v="2"/>
    <n v="5001"/>
    <s v="TA-25-930968"/>
    <n v="80857"/>
    <s v="APERTURA"/>
    <s v="CB CRECIMIENTO ALIANZA - NUEVO"/>
    <s v="ANTIOQUIA"/>
    <s v="MEDELLIN"/>
    <s v="PTM MEDELLIN VARIEDADES LA CHI"/>
    <s v="REDEBAN"/>
    <s v="FO-25-133873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MARTINEZ TOVAR OSCAR DAVID"/>
    <s v="FGZZZ993"/>
    <s v="TIPO I"/>
    <s v="TERRESTRE"/>
    <s v="MARTINEZ TOVAR OSCAR DAVID"/>
    <n v="1"/>
    <n v="1"/>
    <n v="1"/>
    <n v="11251.22416"/>
    <n v="126317.12212"/>
    <n v="57411.974240000003"/>
    <n v="194980.32052000001"/>
  </r>
  <r>
    <s v="MEDELLIN"/>
    <x v="2"/>
    <x v="2"/>
    <n v="5001"/>
    <s v="TA-25-930969"/>
    <n v="80858"/>
    <s v="APERTURA"/>
    <s v="CB CRECIMIENTO ALIANZA - NUEVO"/>
    <s v="ANTIOQUIA"/>
    <s v="MEDELLIN"/>
    <s v="PTM MEDELLIN DEPOSITO ELFERRET"/>
    <s v="REDEBAN"/>
    <s v="FO-25-1338743"/>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MARTINEZ TOVAR OSCAR DAVID"/>
    <s v="FGZZZ994"/>
    <s v="TIPO I"/>
    <s v="TERRESTRE"/>
    <s v="MARTINEZ TOVAR OSCAR DAVID"/>
    <n v="1"/>
    <n v="1"/>
    <n v="1"/>
    <n v="11251.22416"/>
    <n v="126317.12212"/>
    <n v="57411.974240000003"/>
    <n v="194980.32052000001"/>
  </r>
  <r>
    <s v="MEDELLIN"/>
    <x v="2"/>
    <x v="2"/>
    <n v="5001"/>
    <s v="TA-25-930972"/>
    <n v="80859"/>
    <s v="APERTURA"/>
    <s v="CB CRECIMIENTO ALIANZA - NUEVO"/>
    <s v="ANTIOQUIA"/>
    <s v="MEDELLIN"/>
    <s v="PTM MEDELLIN DROGUERIA FARMA 2"/>
    <s v="REDEBAN"/>
    <s v="FO-25-1338750"/>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PAREJA ECHAVARRIA JHON DAVID"/>
    <s v="FGZZZ995"/>
    <s v="TIPO I"/>
    <s v="TERRESTRE"/>
    <s v="PAREJA ECHAVARRIA JHON DAVID"/>
    <n v="1"/>
    <n v="1"/>
    <n v="1"/>
    <n v="11251.22416"/>
    <n v="126317.12212"/>
    <n v="57411.974240000003"/>
    <n v="194980.32052000001"/>
  </r>
  <r>
    <s v="MEDELLIN"/>
    <x v="2"/>
    <x v="2"/>
    <n v="5088"/>
    <s v="TA-25-930974"/>
    <n v="80853"/>
    <s v="APERTURA"/>
    <s v="CB CRECIMIENTO ALIANZA - NUEVO"/>
    <s v="ANTIOQUIA"/>
    <s v="BELLO"/>
    <s v="PTM BELLO CRIPTOFUA"/>
    <s v="REDEBAN"/>
    <s v="FO-25-1338756"/>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BADEL ACUÑA LUIS ALBERTO"/>
    <s v="FGZZZ996"/>
    <s v="TIPO I"/>
    <s v="TERRESTRE"/>
    <s v="BADEL ACUÑA LUIS ALBERTO"/>
    <n v="1"/>
    <n v="1"/>
    <n v="1"/>
    <n v="11251.22416"/>
    <n v="126317.12212"/>
    <n v="57411.974240000003"/>
    <n v="194980.32052000001"/>
  </r>
  <r>
    <s v="MEDELLIN"/>
    <x v="2"/>
    <x v="2"/>
    <n v="5088"/>
    <s v="TA-25-930975"/>
    <n v="80854"/>
    <s v="APERTURA"/>
    <s v="CB CRECIMIENTO ALIANZA - NUEVO"/>
    <s v="ANTIOQUIA"/>
    <s v="BELLO"/>
    <s v="PTM BELLO UNIVERSO CONSTRUCTOR"/>
    <s v="REDEBAN"/>
    <s v="FO-25-1338762"/>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BADEL ACUÑA LUIS ALBERTO"/>
    <s v="FGZZZ997"/>
    <s v="TIPO I"/>
    <s v="TERRESTRE"/>
    <s v="BADEL ACUÑA LUIS ALBERTO"/>
    <n v="1"/>
    <n v="1"/>
    <n v="1"/>
    <n v="11251.22416"/>
    <n v="126317.12212"/>
    <n v="57411.974240000003"/>
    <n v="194980.32052000001"/>
  </r>
  <r>
    <s v="MEDELLIN"/>
    <x v="2"/>
    <x v="2"/>
    <n v="5113"/>
    <s v="TA-25-930976"/>
    <n v="80848"/>
    <s v="APERTURA"/>
    <s v="CB CRECIMIENTO ALIANZA - NUEVO"/>
    <s v="ANTIOQUIA"/>
    <s v="BURITICA"/>
    <s v="PTM BURITICA VARIEDADES EL CAR"/>
    <s v="REDEBAN"/>
    <s v="FO-25-1338770"/>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MARTINEZ TOVAR OSCAR DAVID"/>
    <s v="FGZZZ998"/>
    <s v="TIPO IV"/>
    <s v="TERRESTRE"/>
    <s v="MARTINEZ TOVAR OSCAR DAVID"/>
    <n v="1"/>
    <n v="1"/>
    <n v="1"/>
    <n v="11251.22416"/>
    <n v="126317.12212"/>
    <n v="110808.27512000001"/>
    <n v="248376.6214"/>
  </r>
  <r>
    <s v="MEDELLIN"/>
    <x v="2"/>
    <x v="2"/>
    <n v="5120"/>
    <s v="TA-25-930977"/>
    <n v="80849"/>
    <s v="APERTURA"/>
    <s v="CB CRECIMIENTO ALIANZA - NUEVO"/>
    <s v="ANTIOQUIA"/>
    <s v="CACERES"/>
    <s v="PTM CACERES DROGUERIA GALENO Y"/>
    <s v="REDEBAN"/>
    <s v="FO-25-1338778"/>
    <d v="2025-08-06T00:00:00"/>
    <d v="2025-08-12T00:00:00"/>
    <s v="AGREGADOR"/>
    <s v="COMCARD - PTM"/>
    <s v="EJECUTADO"/>
    <s v="06-08 PROGRAMACIÓN REALIZADA POR LA ALIANZA 11-08 ESTÁ ACTIVIDAD NO SE REALIZA EL DÍA DE HOY POR RETRASO EN LA VIA POR PARE Y SIGA POR DESLIZAMIENTO EN LA VIA 12/08/2025 SE REALIZA INSTALACIÓN DE CORRESPONSAL, SE INSTALAN EQUIPOS CON PRUEBAS EXITOSAS, SE CAPACITA Y SE EVALÚA AL CLIENTE, SE INSTALA PUBLICIDAD COMPLETA, CB QUEDA OPERATIVO. USUARIO SOMOS BANCOLOMBIA ACTIVO"/>
    <s v="BADEL ACUÑA LUIS ALBERTO"/>
    <s v="FGZZZ999"/>
    <s v="TIPO IV"/>
    <s v="TERRESTRE"/>
    <s v="BADEL ACUÑA LUIS ALBERTO"/>
    <n v="1"/>
    <n v="1"/>
    <n v="1"/>
    <n v="11251.22416"/>
    <n v="126317.12212"/>
    <n v="110808.27512000001"/>
    <n v="248376.6214"/>
  </r>
  <r>
    <s v="MONTERIA"/>
    <x v="4"/>
    <x v="4"/>
    <n v="5154"/>
    <s v="TA-25-930978"/>
    <n v="80840"/>
    <s v="APERTURA"/>
    <s v="CB CRECIMIENTO ALIANZA - NUEVO"/>
    <s v="ANTIOQUIA"/>
    <s v="CAUCASIA"/>
    <s v="PTM CAUCASIA VARIEDADES LERS"/>
    <s v="REDEBAN"/>
    <s v="FO-25-1338785"/>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CASSIANI PEREZ RAUL RAMIRO"/>
    <s v="FHZZZ000"/>
    <s v="TIPO II"/>
    <s v="TERRESTRE"/>
    <s v="CASSIANI PEREZ RAUL RAMIRO"/>
    <n v="1"/>
    <n v="1"/>
    <n v="1"/>
    <n v="11251.22416"/>
    <n v="126317.12212"/>
    <n v="110808.27512000001"/>
    <n v="248376.6214"/>
  </r>
  <r>
    <s v="MEDELLIN"/>
    <x v="2"/>
    <x v="2"/>
    <n v="5440"/>
    <s v="TA-25-930980"/>
    <n v="80855"/>
    <s v="APERTURA"/>
    <s v="CB CRECIMIENTO ALIANZA - NUEVO"/>
    <s v="ANTIOQUIA"/>
    <s v="MARINILLA"/>
    <s v="PTM MARINILLA PAPELERIA Y VARI"/>
    <s v="REDEBAN"/>
    <s v="FO-25-133879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DIAZ ZABALA FRANCIS DUBAN"/>
    <s v="FHZZZ001"/>
    <s v="TIPO II"/>
    <s v="TERRESTRE"/>
    <s v="DIAZ ZABALA FRANCIS DUBAN"/>
    <n v="1"/>
    <n v="1"/>
    <n v="1"/>
    <n v="11251.22416"/>
    <n v="126317.12212"/>
    <n v="110808.27512000001"/>
    <n v="248376.6214"/>
  </r>
  <r>
    <s v="MEDELLIN"/>
    <x v="2"/>
    <x v="2"/>
    <n v="5642"/>
    <s v="TA-25-930981"/>
    <n v="80842"/>
    <s v="APERTURA"/>
    <s v="CB CRECIMIENTO ALIANZA - NUEVO"/>
    <s v="ANTIOQUIA"/>
    <s v="SALGAR"/>
    <s v="PTM SALGAR NATULIGHT TIENDA NA"/>
    <s v="REDEBAN"/>
    <s v="FO-25-1338801"/>
    <d v="2025-08-06T00:00:00"/>
    <d v="2025-08-11T00:00:00"/>
    <s v="AGREGADOR"/>
    <s v="COMCARD - PTM"/>
    <s v="EJECUTADO/CANCELADO"/>
    <s v="06-08 PROGRAMACIÓN REALIZADA POR LA ALIANZA 11/08/2025 REPORTAMOS NOVEDAD DE INSTALACIÓN.VISITAMOS COMERCIO ENCONTRANDO CERCANÍA CON 2 PUNTOS: PUNTO EXISTENTE 1: 3007029991 BARRIO PARQUE 2 SALGAR. COORDENADAS 5.963714 -75.979253 PUNTO EXISTENTE 2: 3007037617 DISTRICOL CELULARES JU. COORDENADAS 5.963669 -75.979412 COORDENADAS PUNTO A INSTALAR HOY: 5.963799 -75.979332 / ENTIDAD SOLICITA CANCELAR ACTIVIDAD"/>
    <s v="CASTAÑEDA PALACIO CARLOS FELIPE"/>
    <s v="FHZZZ002"/>
    <s v="TIPO II"/>
    <s v="TERRESTRE"/>
    <s v="CASTAÑEDA PALACIO CARLOS FELIPE"/>
    <n v="0"/>
    <n v="0"/>
    <n v="2"/>
    <n v="11251.22416"/>
    <n v="126317.12212"/>
    <n v="110808.27512000001"/>
    <n v="221616.55024000001"/>
  </r>
  <r>
    <s v="APARTADO"/>
    <x v="2"/>
    <x v="2"/>
    <n v="5837"/>
    <s v="TA-25-930983"/>
    <n v="80844"/>
    <s v="APERTURA"/>
    <s v="CB CRECIMIENTO ALIANZA - NUEVO"/>
    <s v="ANTIOQUIA"/>
    <s v="TURBO"/>
    <s v="PTM TURBO MICELANIA Y PAPELERI"/>
    <s v="REDEBAN"/>
    <s v="FO-25-1338808"/>
    <d v="2025-08-06T00:00:00"/>
    <d v="2025-08-12T00:00:00"/>
    <s v="AGREGADOR"/>
    <s v="COMCARD - PTM"/>
    <s v="EJECUTADO"/>
    <s v="06-08 PROGRAMACIÓN REALIZADA POR LA ALIANZA 08-08 SE ESTABLECE COMUNICACIÓN CON LA USUARIO INDICA QUE NO ESTA DISPONIBLE QUE SE REPROGRAMA ACTIVIDAD  12/08/2025 SE REALIZA INSTALACIÓN DE CORRESPONSAL, SE INSTALAN EQUIPOS CON PRUEBAS EXITOSAS, SE CAPACITA Y SE EVALÚA AL CLIENTE, SE INSTALA PUBLICIDAD COMPLETA, CB QUEDA OPERATIVO. USUARIO SOMOS BANCOLOMBIA ACTIVO"/>
    <s v="SALDARRIAGA MIRANDA SANTIAGO"/>
    <s v="FHZZZ003"/>
    <s v="TIPO II"/>
    <s v="TERRESTRE"/>
    <s v="SALDARRIAGA MIRANDA SANTIAGO"/>
    <n v="1"/>
    <n v="1"/>
    <n v="1"/>
    <n v="11251.22416"/>
    <n v="126317.12212"/>
    <n v="110808.27512000001"/>
    <n v="248376.6214"/>
  </r>
  <r>
    <s v="APARTADO"/>
    <x v="2"/>
    <x v="2"/>
    <n v="5837"/>
    <s v="TA-25-930985"/>
    <n v="80845"/>
    <s v="APERTURA"/>
    <s v="CB CRECIMIENTO ALIANZA - NUEVO"/>
    <s v="ANTIOQUIA"/>
    <s v="TURBO"/>
    <s v="PTM TURBO SERVIDOGAS FLOREZ"/>
    <s v="REDEBAN"/>
    <s v="FO-25-133881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SALDARRIAGA MIRANDA SANTIAGO"/>
    <s v="FHZZZ004"/>
    <s v="TIPO II"/>
    <s v="TERRESTRE"/>
    <s v="SALDARRIAGA MIRANDA SANTIAGO"/>
    <n v="1"/>
    <n v="1"/>
    <n v="1"/>
    <n v="11251.22416"/>
    <n v="126317.12212"/>
    <n v="110808.27512000001"/>
    <n v="248376.6214"/>
  </r>
  <r>
    <s v="BARRANQUILLA"/>
    <x v="4"/>
    <x v="4"/>
    <n v="8001"/>
    <s v="TA-25-930986"/>
    <n v="80826"/>
    <s v="APERTURA"/>
    <s v="CB CRECIMIENTO ALIANZA - NUEVO"/>
    <s v="ATLANTICO"/>
    <s v="BARRANQUILLA"/>
    <s v="PTM BARRANQUILLA VARIEDADES Y"/>
    <s v="REDEBAN"/>
    <s v="FO-25-1338823"/>
    <d v="2025-08-06T00:00:00"/>
    <d v="2025-08-11T00:00:00"/>
    <s v="AGREGADOR"/>
    <s v="COMCARD - PTM"/>
    <s v="EJECUTADO"/>
    <s v="06-08 PROGRAMACIÓN REALIZADA POR LA ALIANZA 08-08 POR PROBLEMAS DE ORDEN PÚBLICO EN EL SECTOR, SE REAGENDA VISITA PARA EL DÍA LUNES 11 DE AGOSTO 11/08/2025 SE REALIZA INSTALACIÓN DE CORRESPONSAL, SE INSTALAN EQUIPOS CON PRUEBAS EXITOSAS, SE CAPACITA Y SE EVALÚA AL CLIENTE, SE INSTALA PUBLICIDAD COMPLETA, CB QUEDA OPERATIVO. USUARIO SOMOS BANCOLOMBIA ACTIVO"/>
    <s v="DE AVILA SIADES ALBERTO ENRIQUE"/>
    <s v="FHZZZ005"/>
    <s v="TIPO I"/>
    <s v="TERRESTRE"/>
    <s v="DE AVILA SIADES ALBERTO ENRIQUE"/>
    <n v="1"/>
    <n v="1"/>
    <n v="1"/>
    <n v="11251.22416"/>
    <n v="126317.12212"/>
    <n v="57411.974240000003"/>
    <n v="194980.32052000001"/>
  </r>
  <r>
    <s v="CARTAGENA"/>
    <x v="4"/>
    <x v="4"/>
    <n v="13001"/>
    <s v="TA-25-930991"/>
    <n v="80839"/>
    <s v="APERTURA"/>
    <s v="CB CRECIMIENTO ALIANZA - NUEVO"/>
    <s v="BOLIVAR"/>
    <s v="CARTAGENA"/>
    <s v="PTM CARTAGENA DROGUERIA Y FARM"/>
    <s v="REDEBAN"/>
    <s v="FO-25-1338829"/>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CANEDO HERRERA ALEXANDER"/>
    <s v="FHZZZ006"/>
    <s v="TIPO I"/>
    <s v="TERRESTRE"/>
    <s v="CANEDO HERRERA ALEXANDER"/>
    <n v="1"/>
    <n v="1"/>
    <n v="1"/>
    <n v="11251.22416"/>
    <n v="126317.12212"/>
    <n v="57411.974240000003"/>
    <n v="194980.32052000001"/>
  </r>
  <r>
    <s v="PEREIRA"/>
    <x v="1"/>
    <x v="6"/>
    <n v="63190"/>
    <s v="TA-25-931004"/>
    <n v="80841"/>
    <s v="APERTURA"/>
    <s v="CB CRECIMIENTO ALIANZA - NUEVO"/>
    <s v="QUINDIO"/>
    <s v="CIRCASIA"/>
    <s v="PTM CIRCASIA CREDIPLAN VENTA D"/>
    <s v="REDEBAN"/>
    <s v="FO-25-1338842"/>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SANCHEZ SOLORZANO JUAN SEBASTIAN"/>
    <s v="FHZZZ007"/>
    <s v="TIPO II"/>
    <s v="TERRESTRE"/>
    <s v="SANCHEZ SOLORZANO JUAN SEBASTIAN"/>
    <n v="1"/>
    <n v="1"/>
    <n v="1"/>
    <n v="11251.22416"/>
    <n v="126317.12212"/>
    <n v="110808.27512000001"/>
    <n v="248376.6214"/>
  </r>
  <r>
    <s v="PEREIRA"/>
    <x v="1"/>
    <x v="6"/>
    <n v="66001"/>
    <s v="TA-25-931026"/>
    <n v="80851"/>
    <s v="APERTURA"/>
    <s v="CB CRECIMIENTO ALIANZA - NUEVO"/>
    <s v="RISARALDA"/>
    <s v="PEREIRA"/>
    <s v="PTM PEREIRA YOUR NEW LOOK"/>
    <s v="REDEBAN"/>
    <s v="FO-25-1338850"/>
    <d v="2025-08-06T00:00:00"/>
    <d v="2025-08-11T00:00:00"/>
    <s v="AGREGADOR"/>
    <s v="COMCARD - PTM"/>
    <s v="EJECUTADO"/>
    <s v="06-08 PROGRAMACIÓN REALIZADA POR LA ALIANZA 11-08 SE REALIZA INSTALACIÓN DE CORRESPONSAL, SE INSTALAN EQUIPOS CON PRUEBAS EXITOSAS, SE CAPACITA Y SE EVALÚA AL CLIENTE, SE INSTALA PUBLICIDAD COMPLETA, CB QUEDA OPERATIVO. USUARIO SOMOS BANCOLOMBIA ACTIVO"/>
    <s v="FRANCO CAÑAVERAL YAMID RAUL"/>
    <s v="FHZZZ008"/>
    <s v="TIPO I"/>
    <s v="TERRESTRE"/>
    <s v="FRANCO CAÑAVERAL YAMID RAUL"/>
    <n v="1"/>
    <n v="1"/>
    <n v="1"/>
    <n v="11251.22416"/>
    <n v="126317.12212"/>
    <n v="57411.974240000003"/>
    <n v="194980.32052000001"/>
  </r>
  <r>
    <s v="PEREIRA"/>
    <x v="1"/>
    <x v="6"/>
    <n v="66170"/>
    <s v="TA-25-931034"/>
    <n v="80843"/>
    <s v="APERTURA"/>
    <s v="CB CRECIMIENTO ALIANZA - NUEVO"/>
    <s v="RISARALDA"/>
    <s v="DOSQUEBRADAS"/>
    <s v="PTM DOSQUEBRADAS APOTEOSICA PE"/>
    <s v="REDEBAN"/>
    <s v="FO-25-1338859"/>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FRANCO CAÑAVERAL YAMID RAUL"/>
    <s v="FHZZZ009"/>
    <s v="TIPO I"/>
    <s v="TERRESTRE"/>
    <s v="FRANCO CAÑAVERAL YAMID RAUL"/>
    <n v="1"/>
    <n v="1"/>
    <n v="1"/>
    <n v="11251.22416"/>
    <n v="126317.12212"/>
    <n v="57411.974240000003"/>
    <n v="194980.32052000001"/>
  </r>
  <r>
    <s v="BUCARAMANGA"/>
    <x v="3"/>
    <x v="3"/>
    <n v="68001"/>
    <s v="TA-25-931044"/>
    <n v="80833"/>
    <s v="APERTURA"/>
    <s v="CB CRECIMIENTO ALIANZA - NUEVO"/>
    <s v="SANTANDER"/>
    <s v="BUCARAMANGA"/>
    <s v="PTM BUCARAMANGA TIENDA NINO MA"/>
    <s v="REDEBAN"/>
    <s v="FO-25-1338872"/>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GELVEZ MOGOLLON JOSE ELISEO"/>
    <s v="FHZZZ010"/>
    <s v="TIPO I"/>
    <s v="TERRESTRE"/>
    <s v="GELVEZ MOGOLLON JOSE ELISEO"/>
    <n v="1"/>
    <n v="1"/>
    <n v="1"/>
    <n v="11251.22416"/>
    <n v="126317.12212"/>
    <n v="57411.974240000003"/>
    <n v="194980.32052000001"/>
  </r>
  <r>
    <s v="BUCARAMANGA"/>
    <x v="3"/>
    <x v="3"/>
    <n v="68001"/>
    <s v="TA-25-931065"/>
    <n v="80834"/>
    <s v="APERTURA"/>
    <s v="CB CRECIMIENTO ALIANZA - NUEVO"/>
    <s v="SANTANDER"/>
    <s v="BUCARAMANGA"/>
    <s v="PTM BUCARAMANGA TERRAZEO FRESH"/>
    <s v="REDEBAN"/>
    <s v="FO-25-1338883"/>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GELVEZ MOGOLLON JOSE ELISEO"/>
    <s v="FHZZZ011"/>
    <s v="TIPO I"/>
    <s v="TERRESTRE"/>
    <s v="GELVEZ MOGOLLON JOSE ELISEO"/>
    <n v="1"/>
    <n v="1"/>
    <n v="1"/>
    <n v="11251.22416"/>
    <n v="126317.12212"/>
    <n v="57411.974240000003"/>
    <n v="194980.32052000001"/>
  </r>
  <r>
    <s v="BUCARAMANGA"/>
    <x v="3"/>
    <x v="3"/>
    <n v="68081"/>
    <s v="TA-25-931066"/>
    <n v="80825"/>
    <s v="APERTURA"/>
    <s v="CB CRECIMIENTO ALIANZA - NUEVO"/>
    <s v="SANTANDER"/>
    <s v="BARRANCABERMEJA"/>
    <s v="PTM BARRANCABERMEJA PAPELERIA"/>
    <s v="REDEBAN"/>
    <s v="FO-25-1338890"/>
    <d v="2025-08-06T00:00:00"/>
    <d v="2025-08-11T00:00:00"/>
    <s v="AGREGADOR"/>
    <s v="COMCARD - PTM"/>
    <s v="EJECUTADO"/>
    <s v="06-08 PROGRAMACIÓN REALIZADA POR LA ALIANZA 11-08 SE REALIZA INSTALACIÓN DE CORRESPONSAL, SE INSTALAN EQUIPOS CON PRUEBAS EXITOSAS, SE CAPACITA Y SE EVALÚA AL CLIENTE, SE INSTALA PUBLICIDAD COMPLETA, CB QUEDA OPERATIVO. USUARIO SOMOS BANCOLOMBIA ACTIVO"/>
    <s v="GELVEZ MOGOLLON JOSE ELISEO"/>
    <s v="FHZZZ012"/>
    <s v="TIPO III"/>
    <s v="TERRESTRE"/>
    <s v="GELVEZ MOGOLLON JOSE ELISEO"/>
    <n v="1"/>
    <n v="1"/>
    <n v="1"/>
    <n v="11251.22416"/>
    <n v="126317.12212"/>
    <n v="110808.27512000001"/>
    <n v="248376.6214"/>
  </r>
  <r>
    <s v="BUCARAMANGA"/>
    <x v="3"/>
    <x v="3"/>
    <n v="68307"/>
    <s v="TA-25-931067"/>
    <n v="80846"/>
    <s v="APERTURA"/>
    <s v="CB CRECIMIENTO ALIANZA - NUEVO"/>
    <s v="SANTANDER"/>
    <s v="GIRON"/>
    <s v="PTM GIRON VARIEDADES ANDINAS"/>
    <s v="REDEBAN"/>
    <s v="FO-25-1338899"/>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SANTOS GONZALEZ JOHAN FABIAN"/>
    <s v="FHZZZ013"/>
    <s v="TIPO I"/>
    <s v="TERRESTRE"/>
    <s v="SANTOS GONZALEZ JOHAN FABIAN"/>
    <n v="1"/>
    <n v="1"/>
    <n v="1"/>
    <n v="11251.22416"/>
    <n v="126317.12212"/>
    <n v="57411.974240000003"/>
    <n v="194980.32052000001"/>
  </r>
  <r>
    <s v="BUCARAMANGA"/>
    <x v="3"/>
    <x v="3"/>
    <n v="68307"/>
    <s v="TA-25-931068"/>
    <n v="80847"/>
    <s v="APERTURA"/>
    <s v="CB CRECIMIENTO ALIANZA - NUEVO"/>
    <s v="SANTANDER"/>
    <s v="GIRON"/>
    <s v="PTM GIRON KYOMU DISTRIBUCIONES"/>
    <s v="REDEBAN"/>
    <s v="FO-25-1338907"/>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SANTOS GONZALEZ JOHAN FABIAN"/>
    <s v="FHZZZ014"/>
    <s v="TIPO I"/>
    <s v="TERRESTRE"/>
    <s v="SANTOS GONZALEZ JOHAN FABIAN"/>
    <n v="1"/>
    <n v="1"/>
    <n v="1"/>
    <n v="11251.22416"/>
    <n v="126317.12212"/>
    <n v="57411.974240000003"/>
    <n v="194980.32052000001"/>
  </r>
  <r>
    <s v="BUCARAMANGA"/>
    <x v="3"/>
    <x v="3"/>
    <n v="68547"/>
    <s v="TA-25-931069"/>
    <n v="80852"/>
    <s v="APERTURA"/>
    <s v="CB CRECIMIENTO ALIANZA - NUEVO"/>
    <s v="SANTANDER"/>
    <s v="PIEDECUESTA"/>
    <s v="PTM PIEDECUESTA PLANET SCHOOLL"/>
    <s v="REDEBAN"/>
    <s v="FO-25-1338916"/>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PEÑA DIAZ IVAN YESID"/>
    <s v="FHZZZ015"/>
    <s v="TIPO II"/>
    <s v="TERRESTRE"/>
    <s v="PEÑA DIAZ IVAN YESID"/>
    <n v="1"/>
    <n v="1"/>
    <n v="1"/>
    <n v="11251.22416"/>
    <n v="126317.12212"/>
    <n v="110808.27512000001"/>
    <n v="248376.6214"/>
  </r>
  <r>
    <s v="IBAGUE"/>
    <x v="0"/>
    <x v="0"/>
    <n v="73001"/>
    <s v="TA-25-931070"/>
    <n v="80850"/>
    <s v="APERTURA"/>
    <s v="CB CRECIMIENTO ALIANZA - NUEVO"/>
    <s v="TOLIMA"/>
    <s v="IBAGUE"/>
    <s v="PTM IBAGUE TIENDA DONDE PITA"/>
    <s v="REDEBAN"/>
    <s v="FO-25-1338925"/>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BARRAGAN TAFUR EDWIN ESTEBAN"/>
    <s v="FHZZZ016"/>
    <s v="TIPO I"/>
    <s v="TERRESTRE"/>
    <s v="BARRAGAN TAFUR EDWIN ESTEBAN"/>
    <n v="1"/>
    <n v="1"/>
    <n v="1"/>
    <n v="11251.22416"/>
    <n v="126317.12212"/>
    <n v="57411.974240000003"/>
    <n v="194980.32052000001"/>
  </r>
  <r>
    <s v="CALI"/>
    <x v="1"/>
    <x v="1"/>
    <n v="76001"/>
    <s v="TA-25-931072"/>
    <n v="80835"/>
    <s v="APERTURA"/>
    <s v="CB CRECIMIENTO ALIANZA - NUEVO"/>
    <s v="VALLE DEL CAUCA"/>
    <s v="CALI"/>
    <s v="PTM CALI CELURAIGOZA S.A.S."/>
    <s v="REDEBAN"/>
    <s v="FO-25-1338933"/>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PAREDES CASTILLO DIEGO"/>
    <s v="FHZZZ017"/>
    <s v="TIPO I"/>
    <s v="TERRESTRE"/>
    <s v="PAREDES CASTILLO DIEGO"/>
    <n v="1"/>
    <n v="1"/>
    <n v="1"/>
    <n v="11251.22416"/>
    <n v="126317.12212"/>
    <n v="57411.974240000003"/>
    <n v="194980.32052000001"/>
  </r>
  <r>
    <s v="CALI"/>
    <x v="1"/>
    <x v="1"/>
    <n v="76001"/>
    <s v="TA-25-931084"/>
    <n v="80836"/>
    <s v="APERTURA"/>
    <s v="CB CRECIMIENTO ALIANZA - NUEVO"/>
    <s v="VALLE DEL CAUCA"/>
    <s v="CALI"/>
    <s v="PTM CALI POLLOS COLORADO"/>
    <s v="REDEBAN"/>
    <s v="FO-25-133894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TORRES GARCIA JENDRY JOSE"/>
    <s v="FHZZZ018"/>
    <s v="TIPO I"/>
    <s v="TERRESTRE"/>
    <s v="TORRES GARCIA JENDRY JOSE"/>
    <n v="1"/>
    <n v="1"/>
    <n v="1"/>
    <n v="11251.22416"/>
    <n v="126317.12212"/>
    <n v="57411.974240000003"/>
    <n v="194980.32052000001"/>
  </r>
  <r>
    <s v="CALI"/>
    <x v="1"/>
    <x v="1"/>
    <n v="76001"/>
    <s v="TA-25-931102"/>
    <n v="80837"/>
    <s v="APERTURA"/>
    <s v="CB CRECIMIENTO ALIANZA - NUEVO"/>
    <s v="VALLE DEL CAUCA"/>
    <s v="CALI"/>
    <s v="PTM CALI MULTISERVICIOS DAOR"/>
    <s v="REDEBAN"/>
    <s v="FO-25-133895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BOLAÑOS TABORDA JORGE ENRIQUE"/>
    <s v="FHZZZ019"/>
    <s v="TIPO I"/>
    <s v="TERRESTRE"/>
    <s v="BOLAÑOS TABORDA JORGE ENRIQUE"/>
    <n v="1"/>
    <n v="1"/>
    <n v="1"/>
    <n v="11251.22416"/>
    <n v="126317.12212"/>
    <n v="57411.974240000003"/>
    <n v="194980.32052000001"/>
  </r>
  <r>
    <s v="CALI"/>
    <x v="1"/>
    <x v="1"/>
    <n v="76001"/>
    <s v="TA-25-931115"/>
    <n v="80838"/>
    <s v="APERTURA"/>
    <s v="CB CRECIMIENTO ALIANZA - NUEVO"/>
    <s v="VALLE DEL CAUCA"/>
    <s v="CALI"/>
    <s v="PTM CALI MINIMARKET FULL HOGAR"/>
    <s v="REDEBAN"/>
    <s v="FO-25-133896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HERRERA MONAR GEOVANNY"/>
    <s v="FHZZZ020"/>
    <s v="TIPO I"/>
    <s v="TERRESTRE"/>
    <s v="HERRERA MONAR GEOVANNY"/>
    <n v="1"/>
    <n v="1"/>
    <n v="1"/>
    <n v="11251.22416"/>
    <n v="126317.12212"/>
    <n v="57411.974240000003"/>
    <n v="194980.32052000001"/>
  </r>
  <r>
    <s v="YOPAL"/>
    <x v="0"/>
    <x v="0"/>
    <n v="85001"/>
    <s v="TA-25-931124"/>
    <n v="80860"/>
    <s v="APERTURA"/>
    <s v="CB CRECIMIENTO ALIANZA - NUEVO"/>
    <s v="CASANARE"/>
    <s v="YOPAL"/>
    <s v="PTM YOPAL FULL MOBILE STORE"/>
    <s v="REDEBAN"/>
    <s v="FO-25-133897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BERNAL ELAICA EDGAR ALEXIS"/>
    <s v="FHZZZ021"/>
    <s v="TIPO I"/>
    <s v="TERRESTRE"/>
    <s v="BERNAL ELAICA EDGAR ALEXIS"/>
    <n v="1"/>
    <n v="1"/>
    <n v="1"/>
    <n v="11251.22416"/>
    <n v="126317.12212"/>
    <n v="57411.974240000003"/>
    <n v="194980.32052000001"/>
  </r>
  <r>
    <s v="BOGOTA"/>
    <x v="5"/>
    <x v="5"/>
    <n v="11001"/>
    <s v="TA-25-931137"/>
    <n v="80827"/>
    <s v="APERTURA"/>
    <s v="CB CRECIMIENTO ALIANZA - NUEVO"/>
    <s v="CUNDINAMARCA"/>
    <s v="BOGOTA"/>
    <s v="PTM BOGOTA NISSI PERSONALIZADO"/>
    <s v="REDEBAN"/>
    <s v="FO-25-1338987"/>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ORTIZ MARTINEZ STIVEN"/>
    <s v="FHZZZ022"/>
    <s v="TIPO I"/>
    <s v="TERRESTRE"/>
    <s v="ORTIZ MARTINEZ STIVEN"/>
    <n v="1"/>
    <n v="1"/>
    <n v="1"/>
    <n v="11251.22416"/>
    <n v="126317.12212"/>
    <n v="57411.974240000003"/>
    <n v="194980.32052000001"/>
  </r>
  <r>
    <s v="BOGOTA"/>
    <x v="5"/>
    <x v="5"/>
    <n v="11001"/>
    <s v="TA-25-931152"/>
    <n v="80828"/>
    <s v="APERTURA"/>
    <s v="CB CRECIMIENTO ALIANZA - NUEVO"/>
    <s v="CUNDINAMARCA"/>
    <s v="BOGOTA"/>
    <s v="PTM BOGOTA ZAHARA JEWELRY"/>
    <s v="REDEBAN"/>
    <s v="FO-25-133899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HERNANDEZ NARANJO OSCAR EDUARDO"/>
    <s v="FHZZZ023"/>
    <s v="TIPO I"/>
    <s v="TERRESTRE"/>
    <s v="HERNANDEZ NARANJO OSCAR EDUARDO"/>
    <n v="1"/>
    <n v="1"/>
    <n v="1"/>
    <n v="11251.22416"/>
    <n v="126317.12212"/>
    <n v="57411.974240000003"/>
    <n v="194980.32052000001"/>
  </r>
  <r>
    <s v="BOGOTA"/>
    <x v="5"/>
    <x v="5"/>
    <n v="11001"/>
    <s v="TA-25-931212"/>
    <n v="80829"/>
    <s v="APERTURA"/>
    <s v="CB CRECIMIENTO ALIANZA - NUEVO"/>
    <s v="CUNDINAMARCA"/>
    <s v="BOGOTA"/>
    <s v="PTM BOGOTA ANGEL Y DUCK"/>
    <s v="REDEBAN"/>
    <s v="FO-25-1339282"/>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GALEANO SORIANO JUAN DAVID"/>
    <s v="FHZZZ024"/>
    <s v="TIPO I"/>
    <s v="TERRESTRE"/>
    <s v="GALEANO SORIANO JUAN DAVID"/>
    <n v="1"/>
    <n v="1"/>
    <n v="1"/>
    <n v="11251.22416"/>
    <n v="126317.12212"/>
    <n v="57411.974240000003"/>
    <n v="194980.32052000001"/>
  </r>
  <r>
    <s v="BOGOTA"/>
    <x v="5"/>
    <x v="5"/>
    <n v="11001"/>
    <s v="TA-25-931153"/>
    <n v="80830"/>
    <s v="APERTURA"/>
    <s v="CB CRECIMIENTO ALIANZA - NUEVO"/>
    <s v="CUNDINAMARCA"/>
    <s v="BOGOTA"/>
    <s v="PTM BOGOTA MISCELANEA Y PAPELE"/>
    <s v="REDEBAN"/>
    <s v="FO-25-133900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ROMERO ROJAS BREIDY JHOHAN"/>
    <s v="FHZZZ025"/>
    <s v="TIPO I"/>
    <s v="TERRESTRE"/>
    <s v="ROMERO ROJAS BREIDY JHOHAN"/>
    <n v="1"/>
    <n v="1"/>
    <n v="1"/>
    <n v="11251.22416"/>
    <n v="126317.12212"/>
    <n v="57411.974240000003"/>
    <n v="194980.32052000001"/>
  </r>
  <r>
    <s v="BOGOTA"/>
    <x v="5"/>
    <x v="5"/>
    <n v="11001"/>
    <s v="TA-25-931154"/>
    <n v="80831"/>
    <s v="APERTURA"/>
    <s v="CB CRECIMIENTO ALIANZA - NUEVO"/>
    <s v="CUNDINAMARCA"/>
    <s v="BOGOTA"/>
    <s v="PTM BOGOTA CIGARRERIA Y MINIMA"/>
    <s v="REDEBAN"/>
    <s v="FO-25-1339013"/>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ORTIZ MARTINEZ STIVEN"/>
    <s v="FHZZZ026"/>
    <s v="TIPO I"/>
    <s v="TERRESTRE"/>
    <s v="ORTIZ MARTINEZ STIVEN"/>
    <n v="1"/>
    <n v="1"/>
    <n v="1"/>
    <n v="11251.22416"/>
    <n v="126317.12212"/>
    <n v="57411.974240000003"/>
    <n v="194980.32052000001"/>
  </r>
  <r>
    <s v="BOGOTA"/>
    <x v="5"/>
    <x v="5"/>
    <n v="11001"/>
    <s v="TA-25-931155"/>
    <n v="80832"/>
    <s v="APERTURA"/>
    <s v="CB CRECIMIENTO ALIANZA - NUEVO"/>
    <s v="CUNDINAMARCA"/>
    <s v="BOGOTA"/>
    <s v="PTM BOGOTA CASA DE EVENTOS MAR"/>
    <s v="REDEBAN"/>
    <s v="FO-25-1339020"/>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ORTIZ MARTINEZ STIVEN"/>
    <s v="FHZZZ027"/>
    <s v="TIPO I"/>
    <s v="TERRESTRE"/>
    <s v="ORTIZ MARTINEZ STIVEN"/>
    <n v="1"/>
    <n v="1"/>
    <n v="1"/>
    <n v="11251.22416"/>
    <n v="126317.12212"/>
    <n v="57411.974240000003"/>
    <n v="194980.32052000001"/>
  </r>
  <r>
    <s v="YOPAL"/>
    <x v="0"/>
    <x v="0"/>
    <n v="85230"/>
    <s v="TA-25-929379"/>
    <n v="80903"/>
    <s v="APERTURA"/>
    <s v="CB CRECIMIENTO - NUEVO"/>
    <s v="CASANARE"/>
    <s v="OROCUE"/>
    <s v="BARRIO SAN GREGORIO OROCUE 2"/>
    <s v="REDEBAN"/>
    <s v="FO-25-1337532"/>
    <d v="2025-08-06T00:00:00"/>
    <d v="2025-08-19T00:00:00"/>
    <s v="UNO A UNO"/>
    <s v="UNO A UNO"/>
    <s v="EJECUTADO"/>
    <s v="06-08-2025 SE REALIZA LLAMADA AL CLIENTE, SE HABLA CON LA SRA JESSICA ALEXANDRA LONDOÑO LOPEZ SE VALIDA DIRECCIÓN OK, CANAL OK, DISPONIBILIDAD TOTAL, LLAMAR EL DÍA LA INSTALACIÓN PARA CONFIRMAR VISITA, AVISO EXTERIOR ALTURA APROX 2,20 METROS; TOMACORRIENTE CERCANO: SI; TIENE CABINA DE SEGURIDAD: SI // CONTACTO REALIZADO POR LA APP 19-08 SE REALIZA INSTALACIÓN DE CORRESPONSAL, SE INSTALAN EQUIPOS CON PRUEBAS EXITOSAS, SE CAPACITA Y SE EVALÚA AL CLIENTE, SE INSTALA PUBLICIDAD COMPLETA, CB QUEDA OPERATIVO. USUARIO SOMOS BANCOLOMBIA ACTIVO"/>
    <s v="BERNAL ELAICA EDGAR ALEXIS"/>
    <s v="FGZZZ881"/>
    <s v="TIPO IV ESPECIAL"/>
    <s v="TERRESTRE/FLUVIAL"/>
    <s v="BERNAL ELAICA EDGAR ALEXIS"/>
    <n v="1"/>
    <n v="1"/>
    <n v="1"/>
    <n v="11251.22416"/>
    <n v="126317.12212"/>
    <n v="110808.27512000001"/>
    <n v="248376.6214"/>
  </r>
  <r>
    <s v="BARRANQUILLA"/>
    <x v="4"/>
    <x v="4"/>
    <n v="8560"/>
    <s v="TA-25-929386"/>
    <n v="80910"/>
    <s v="APERTURA"/>
    <s v="CB CRECIMIENTO - NUEVO"/>
    <s v="ATLANTICO"/>
    <s v="PONEDERA"/>
    <s v="BARRIO CENTRO PONEDERA  4"/>
    <s v="REDEBAN"/>
    <s v="FO-25-1337541"/>
    <d v="2025-08-06T00:00:00"/>
    <d v="2025-08-08T00:00:00"/>
    <s v="UNO A UNO"/>
    <s v="UNO A UNO"/>
    <s v="EJECUTADO"/>
    <s v="06-08-2025 SE REALIZA LLAMADA AL CLIENTE, SE HABLA CON EL SR ALEJÓ ALFONSO PERTUZ PINEDAZ SE VALIDA DIRECCIÓN OK, CANAL OK, DISPONIBILIDAD TOTAL, LLAMAR EL DÍA LA INSTALACIÓN PARA CONFIRMAR VISITA, AVISO EXTERIOR ALTURA APROX 2,50 METROS; TOMACORRIENTE CERCANO: SI; TIENE CABINA DE SEGURIDAD: NO// CONTACTO REALIZADO POR LA APP 08-08 SE REALIZA INSTALACIÓN DE CORRESPONSAL, SE INSTALAN EQUIPOS CON PRUEBAS EXITOSAS, SE CAPACITA Y SE EVALÚA AL CLIENTE, SE INSTALA PUBLICIDAD COMPLETA, CB QUEDA OPERATIVO. USUARIO SOMOS BANCOLOMBIA ACTIVO"/>
    <s v="PEÑALOZA GUTIERREZ RAFAEL GUSTAVO"/>
    <s v="FGZZZ882"/>
    <s v="TIPO II"/>
    <s v="TERRESTRE"/>
    <s v="PEÑALOZA GUTIERREZ RAFAEL GUSTAVO"/>
    <n v="1"/>
    <n v="1"/>
    <n v="1"/>
    <n v="11251.22416"/>
    <n v="126317.12212"/>
    <n v="110808.27512000001"/>
    <n v="248376.6214"/>
  </r>
  <r>
    <s v="CUCUTA"/>
    <x v="3"/>
    <x v="3"/>
    <n v="54874"/>
    <s v="TA-25-929387"/>
    <n v="80921"/>
    <s v="APERTURA"/>
    <s v="CB CRECIMIENTO - NUEVO"/>
    <s v="NORTE DE SANTANDER"/>
    <s v="VILLA DEL ROSARIO"/>
    <s v="BARRIO GRANCOLOMBIA VILLA DEL ROSARIO 3"/>
    <s v="REDEBAN"/>
    <s v="FO-25-1337545"/>
    <d v="2025-08-06T00:00:00"/>
    <d v="2025-08-11T00:00:00"/>
    <s v="UNO A UNO"/>
    <s v="UNO A UNO"/>
    <s v="EJECUTADO"/>
    <s v="06-08-2025 SE REALIZA LLAMADA AL CLIENTE, SE HABLA CON EL SR ERNESTO VELASQUEZ CANDELO SE VALIDA DIRECCIÓN OK, CANAL OK, DISPONIBILIDAD TOTAL, LLAMAR EL DÍA LA INSTALACIÓN PARA CONFIRMAR VISITA, AVISO EXTERIOR ALTURA APROX HAY ESPACIO SUFICIENTE; TOMACORRIENTE CERCANO: SI; TIENE CABINA DE SEGURIDAD: NO// CONTACTO REALIZADO POR LA APP // CLIENTE INDICA QUE SI NO SE LOGRA CONTACTO POR LLAMADA HABITUAL POR FAVOR ESCRIBIRLE AL WHATSAPP 11-08 SE REALIZA INSTALACIÓN DE CORRESPONSAL, SE INSTALAN EQUIPOS CON PRUEBAS EXITOSAS, SE CAPACITA Y SE EVALÚA AL CLIENTE, SE INSTALA PUBLICIDAD COMPLETA, CB QUEDA OPERATIVO. USUARIO SOMOS BANCOLOMBIA ACTIVO"/>
    <s v="PACHECO BUITRAGO JAVIER ALONSO"/>
    <s v="FGZZZ883"/>
    <s v="TIPO I"/>
    <s v="TERRESTRE"/>
    <s v="PACHECO BUITRAGO JAVIER ALONSO"/>
    <n v="1"/>
    <n v="1"/>
    <n v="1"/>
    <n v="11251.22416"/>
    <n v="126317.12212"/>
    <n v="57411.974240000003"/>
    <n v="194980.32052000001"/>
  </r>
  <r>
    <s v="NEIVA"/>
    <x v="0"/>
    <x v="0"/>
    <n v="18247"/>
    <s v="TA-25-929389"/>
    <n v="80884"/>
    <s v="APERTURA"/>
    <s v="CB CRECIMIENTO - NUEVO"/>
    <s v="CAQUETA"/>
    <s v="EL DONCELLO"/>
    <s v="BRR EL RECREO EL DONCELLO"/>
    <s v="REDEBAN"/>
    <s v="FO-25-1337553"/>
    <d v="2025-08-06T00:00:00"/>
    <d v="2025-08-11T00:00:00"/>
    <s v="UNO A UNO"/>
    <s v="UNO A UNO"/>
    <s v="EJECUTADO"/>
    <s v="06-08-2025 SE REALIZA LLAMADA AL CLIENTE, SE HABLA CON LA SRA DIANA LORENA JARAMILLO BERMEO SE VALIDA DIRECCIÓN OK, CANAL OK, DISPONIBILIDAD TOTAL, LLAMAR EL DÍA LA INSTALACIÓN PARA CONFIRMAR VISITA, AVISO EXTERIOR ALTURA APROX 1,8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BERMUDEZ SANCHEZ JOSE NEYBER"/>
    <s v="FGZZZ884"/>
    <s v="TIPO IV"/>
    <s v="TERRESTRE"/>
    <s v="BERMUDEZ SANCHEZ JOSE NEYBER"/>
    <n v="1"/>
    <n v="1"/>
    <n v="1"/>
    <n v="11251.22416"/>
    <n v="126317.12212"/>
    <n v="110808.27512000001"/>
    <n v="248376.6214"/>
  </r>
  <r>
    <s v="TUNJA"/>
    <x v="3"/>
    <x v="3"/>
    <n v="15299"/>
    <s v="TA-25-929390"/>
    <n v="80886"/>
    <s v="APERTURA"/>
    <s v="CB CRECIMIENTO - NUEVO"/>
    <s v="BOYACA"/>
    <s v="GARAGOA"/>
    <s v="BARRIO CIUDAD JARDIN GARAGOA 2"/>
    <s v="REDEBAN"/>
    <s v="FO-25-1337562"/>
    <d v="2025-08-06T00:00:00"/>
    <d v="2025-08-12T00:00:00"/>
    <s v="UNO A UNO"/>
    <s v="UNO A UNO"/>
    <s v="EJECUTADO"/>
    <s v="06-08-2025 SE REALIZA LLAMADA AL CLIENTE, SE HABLA CON EL SR JUAN CARLOS BARRETO GAMEZ SE VALIDA DIRECCIÓN OK, CANAL OK, DISPONIBILIDAD TOTAL, LLAMAR EL DÍA LA INSTALACIÓN PARA CONFIRMAR VISITA, AVISO EXTERIOR ALTURA APROX HAY ESPACIO SUFICIENTE; TOMACORRIENTE CERCANO: SI; TIENE CABINA DE SEGURIDAD: SI// CONTACTO REALIZADO POR LA APP 11-08 SE ESTABLECE COMUNICACION CON EL SEÑOR JUAN CARLOS BARRETO GAMEZ AL NUMERO TELEFONICO 3132858576 CON QUIEN SE CONFIRMA VISITA PARA EL DIA DE MAÑANA A LAS 2PM YA QUE POR TEMAS DE TRANSPORTE Y DESLIZAMIENTO EN LA VIA NO ES POSIBLE VISITAR EL DIA DE HOY, CLIENTE CONFORME. 12-08 SE REALIZA INSTALACIÓN DE CORRESPONSAL, SE INSTALAN EQUIPOS CON PRUEBAS EXITOSAS, SE CAPACITA Y SE EVALÚA AL CLIENTE, SE INSTALA PUBLICIDAD COMPLETA, CB QUEDA OPERATIVO. USUARIO SOMOS BANCOLOMBIA ACTIVO"/>
    <s v="SOLER HOYOS CRISTIAN LEONARDO"/>
    <s v="FGZZZ885"/>
    <s v="TIPO III"/>
    <s v="TERRESTRE"/>
    <s v="SOLER HOYOS CRISTIAN LEONARDO"/>
    <n v="1"/>
    <n v="1"/>
    <n v="1"/>
    <n v="11251.22416"/>
    <n v="126317.12212"/>
    <n v="110808.27512000001"/>
    <n v="248376.6214"/>
  </r>
  <r>
    <s v="VILLAVICENCIO"/>
    <x v="0"/>
    <x v="0"/>
    <n v="50006"/>
    <s v="TA-25-929391"/>
    <n v="80861"/>
    <s v="APERTURA"/>
    <s v="CB CRECIMIENTO - NUEVO"/>
    <s v="META"/>
    <s v="ACACIAS"/>
    <s v="BARRIO INDEPENDENCIA ACACIAS 1"/>
    <s v="REDEBAN"/>
    <s v="FO-25-1367708"/>
    <d v="2025-08-06T00:00:00"/>
    <d v="2025-08-15T00:00:00"/>
    <s v="UNO A UNO"/>
    <s v="UNO A UNO"/>
    <s v="EJECUTADO"/>
    <s v="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
    <s v="CASTRILLON URREA LONDIER LEANDRO"/>
    <s v="FGZZZ886"/>
    <s v="TIPO II"/>
    <s v="TERRESTRE"/>
    <s v="CASTRILLON URREA LONDIER LEANDRO"/>
    <n v="1"/>
    <n v="1"/>
    <n v="3"/>
    <n v="11251.22416"/>
    <n v="126317.12212"/>
    <n v="110808.27512000001"/>
    <n v="469993.17164000002"/>
  </r>
  <r>
    <s v="TUNJA"/>
    <x v="3"/>
    <x v="3"/>
    <n v="15507"/>
    <s v="TA-25-929392"/>
    <n v="80904"/>
    <s v="APERTURA"/>
    <s v="CB CRECIMIENTO - NUEVO"/>
    <s v="BOYACA"/>
    <s v="OTANCHE"/>
    <s v="BARRIO CENTRO OTANCHE 4"/>
    <s v="REDEBAN"/>
    <s v="FO-25-1337573"/>
    <d v="2025-08-06T00:00:00"/>
    <d v="2025-08-13T00:00:00"/>
    <s v="UNO A UNO"/>
    <s v="UNO A UNO"/>
    <s v="EJECUTADO"/>
    <s v="06-08-2025 SE REALIZA LLAMADA AL CLIENTE, SE HABLA CON LA SRA LEDNY YURANY VALERO ROGELESZ SE VALIDA DIRECCIÓN OK, CANAL OK, DISPONIBILIDAD TOTAL, LLAMAR EL DÍA LA INSTALACIÓN PARA CONFIRMAR VISITA, AVISO EXTERIOR ALTURA APROX MAX 3 METROS; TOMACORRIENTE CERCANO: SI; TIENE CABINA DE SEGURIDAD: SI // CONTACTO REALIZADO POR WHATSAPP 11-08 POR TEMAS RELACIONADO AL PARO DE MINEROS PRESENTADO EN EL DEPARTAMENTO LA ORDEN SE REPROGRAMA HASTA  NUEVA ORDEN 13/08/2025 SE REALIZA INSTALACIÓN DE CORRESPONSAL, SE INSTALAN EQUIPOS CON PRUEBAS EXITOSAS, NO SE CAPACITA YA QUE EL USUARIO SABE EL MANEJO DEL EQUIPO, SE INSTALA PUBLICIDAD COMPLETA, CB QUEDA OPERATIVO. USUARIO SOMOS BANCOLOMBIA ACTIVO"/>
    <s v="RODRIGUEZ MURCIA YERSON IVAN"/>
    <s v="FGZZZ887"/>
    <s v="TIPO IV"/>
    <s v="TERRESTRE"/>
    <s v="RODRIGUEZ MURCIA YERSON IVAN"/>
    <n v="1"/>
    <n v="1"/>
    <n v="1"/>
    <n v="11251.22416"/>
    <n v="126317.12212"/>
    <n v="110808.27512000001"/>
    <n v="248376.6214"/>
  </r>
  <r>
    <s v="BUCARAMANGA"/>
    <x v="3"/>
    <x v="3"/>
    <n v="68755"/>
    <s v="TA-25-929393"/>
    <n v="80916"/>
    <s v="APERTURA"/>
    <s v="CB CRECIMIENTO - NUEVO"/>
    <s v="SANTANDER"/>
    <s v="SOCORRO"/>
    <s v="BARRIO SOCORRO SOCORRO 2"/>
    <s v="REDEBAN"/>
    <s v="FO-25-1337580"/>
    <d v="2025-08-06T00:00:00"/>
    <d v="2025-08-11T00:00:00"/>
    <s v="UNO A UNO"/>
    <s v="UNO A UNO"/>
    <s v="EJECUTADO"/>
    <s v="06-08-2025 SE REALIZA LLAMADA AL CLIENTE, SE HABLA CON LA SRA ANA ALEJANDRA VILLABONA RUEDA SE VALIDA DIRECCIÓN OK, CANAL OK, DISPONIBILIDAD TOTAL, LLAMAR EL DÍA LA INSTALACIÓN PARA CONFIRMAR VISITA, AVISO EXTERIOR ALTURA APROX NO TIENE CONOCIMIENTO DE MEDIDAS; TOMACORRIENTE CERCANO: SI; TIENE CABINA DE SEGURIDAD: NO // CONTACTO REALIZADO POR LA APP 11-08 SE REALIZA INSTALACIÓN DE CORRESPONSAL, SE INSTALAN EQUIPOS CON PRUEBAS EXITOSAS, SE CAPACITA Y SE EVALÚA AL CLIENTE, SE INSTALA PUBLICIDAD COMPLETA, CB QUEDA OPERATIVO. USUARIO SOMOS BANCOLOMBIA ACTIVO"/>
    <s v="MARTINEZ FLOREZ DONIS ALBERTO"/>
    <s v="FGZZZ888"/>
    <s v="TIPO III"/>
    <s v="TERRESTRE"/>
    <s v="MARTINEZ FLOREZ DONIS ALBERTO"/>
    <n v="1"/>
    <n v="1"/>
    <n v="1"/>
    <n v="11251.22416"/>
    <n v="126317.12212"/>
    <n v="110808.27512000001"/>
    <n v="248376.6214"/>
  </r>
  <r>
    <s v="BUCARAMANGA"/>
    <x v="3"/>
    <x v="3"/>
    <n v="68276"/>
    <s v="TA-25-929394"/>
    <n v="80885"/>
    <s v="APERTURA"/>
    <s v="CB CRECIMIENTO - NUEVO"/>
    <s v="SANTANDER"/>
    <s v="FLORIDABLANCA"/>
    <s v="BARRIO LA ESMERALDA FLORIDABLANCA FLORIDABLANCA"/>
    <s v="REDEBAN"/>
    <s v="FO-25-1337588"/>
    <d v="2025-08-06T00:00:00"/>
    <d v="2025-08-08T00:00:00"/>
    <s v="UNO A UNO"/>
    <s v="UNO A UNO"/>
    <s v="EJECUTADO"/>
    <s v="06-08-2025 SE REALIZA LLAMADA AL CLIENTE, SE HABLA CON LA SRA SILVIA DANIELA ROMERO RUIZ SE VALIDA DIRECCIÓN OK, CANAL OK, DISPONIBILIDAD TOTAL, LLAMAR EL DÍA LA INSTALACIÓN PARA CONFIRMAR VISITA, AVISO EXTERIOR ALTURA APROX 3,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REYES RAMIREZ DIEGO ALEXANDER"/>
    <s v="FGZZZ889"/>
    <s v="TIPO I"/>
    <s v="TERRESTRE"/>
    <s v="REYES RAMIREZ DIEGO ALEXANDER"/>
    <n v="1"/>
    <n v="1"/>
    <n v="1"/>
    <n v="11251.22416"/>
    <n v="126317.12212"/>
    <n v="57411.974240000003"/>
    <n v="194980.32052000001"/>
  </r>
  <r>
    <s v="CUCUTA"/>
    <x v="3"/>
    <x v="3"/>
    <n v="54001"/>
    <s v="TA-25-929395"/>
    <n v="80879"/>
    <s v="APERTURA"/>
    <s v="CB CRECIMIENTO - NUEVO"/>
    <s v="NORTE DE SANTANDER"/>
    <s v="CUCUTA"/>
    <s v="BARRIO SAN LUIS CUCUTA 31"/>
    <s v="REDEBAN"/>
    <s v="FO-25-1337593"/>
    <d v="2025-08-06T00:00:00"/>
    <d v="2025-08-08T00:00:00"/>
    <s v="UNO A UNO"/>
    <s v="UNO A UNO"/>
    <s v="EJECUTADO"/>
    <s v="06-08-2025 SE REALIZA LLAMADA AL CLIENTE, SE HABLA CON LA SRA MYRIAM SUGEY VERGEL VERGEL SE VALIDA DIRECCIÓN OK, CANAL OK, DISPONIBILIDAD TOTAL, LLAMAR EL DÍA LA INSTALACIÓN PARA CONFIRMAR VISITA, AVISO EXTERIOR ALTURA APROX 2,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PACHECO BUITRAGO JAVIER ALONSO"/>
    <s v="FGZZZ890"/>
    <s v="TIPO I"/>
    <s v="TERRESTRE"/>
    <s v="PACHECO BUITRAGO JAVIER ALONSO"/>
    <n v="1"/>
    <n v="1"/>
    <n v="1"/>
    <n v="11251.22416"/>
    <n v="126317.12212"/>
    <n v="57411.974240000003"/>
    <n v="194980.32052000001"/>
  </r>
  <r>
    <s v="IBAGUE"/>
    <x v="0"/>
    <x v="0"/>
    <n v="73001"/>
    <s v="TA-25-929396"/>
    <n v="80887"/>
    <s v="APERTURA"/>
    <s v="CB CRECIMIENTO - NUEVO"/>
    <s v="TOLIMA"/>
    <s v="IBAGUE"/>
    <s v="BARRIO LA GAVIOTA IBAGUE 9"/>
    <s v="REDEBAN"/>
    <s v="FO-25-1337597"/>
    <d v="2025-08-06T00:00:00"/>
    <d v="2025-08-08T00:00:00"/>
    <s v="UNO A UNO"/>
    <s v="UNO A UNO"/>
    <s v="EJECUTADO"/>
    <s v="06-08-2025 SE REALIZA LLAMADA AL CLIENTE, SE HABLA CON LA SRA ANGELICA LEÓN SE VALIDA DIRECCIÓN OK, CANAL OK, DISPONIBILIDAD TOTAL, LLAMAR EL DÍA LA INSTALACIÓN PARA CONFIRMAR VISITA, AVISO EXTERIOR ALTURA APROX 3 METROS; TOMACORRIENTE CERCANO: SI; TIENE CABINA DE SEGURIDAD: SI // CONTACTO REALIZADO POR WHASTAPP 08-08 SE REALIZA INSTALACIÓN DE CORRESPONSAL, SE INSTALAN EQUIPOS CON PRUEBAS EXITOSAS, SE CAPACITA Y SE EVALÚA AL CLIENTE, SE INSTALA PUBLICIDAD COMPLETA, CB QUEDA OPERATIVO. USUARIO SOMOS BANCOLOMBIA ACTIVO"/>
    <s v="GUTIERREZ  CAMILO ANDRES"/>
    <s v="FGZZZ891"/>
    <s v="TIPO I"/>
    <s v="TERRESTRE"/>
    <s v="GUTIERREZ  CAMILO ANDRES"/>
    <n v="1"/>
    <n v="1"/>
    <n v="1"/>
    <n v="11251.22416"/>
    <n v="126317.12212"/>
    <n v="57411.974240000003"/>
    <n v="194980.32052000001"/>
  </r>
  <r>
    <s v="IBAGUE"/>
    <x v="0"/>
    <x v="0"/>
    <n v="73001"/>
    <s v="TA-25-929397"/>
    <n v="80890"/>
    <s v="APERTURA"/>
    <s v="CB CRECIMIENTO - NUEVO"/>
    <s v="TOLIMA"/>
    <s v="IBAGUE"/>
    <s v="BARRIO VERGEL IBAGUE"/>
    <s v="REDEBAN"/>
    <s v="FO-25-1337605"/>
    <d v="2025-08-06T00:00:00"/>
    <d v="2025-08-11T00:00:00"/>
    <s v="UNO A UNO"/>
    <s v="UNO A UNO"/>
    <s v="EJECUTADO"/>
    <s v="06-08-2025 SE REALIZA LLAMADA AL CLIENTE, SE HABLA CON LA SRA ORIANA RIVAS AMEZQUITA SE VALIDA DIRECCIÓN OK, CANAL OK, DISPONIBILIDAD TOTAL, LLAMAR EL DÍA LA INSTALACIÓN PARA CONFIRMAR VISITA, AVISO EXTERIOR ALTURA APROX MAX 3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GUTIERREZ  CAMILO ANDRES"/>
    <s v="FGZZZ892"/>
    <s v="TIPO I"/>
    <s v="TERRESTRE"/>
    <s v="GUTIERREZ  CAMILO ANDRES"/>
    <n v="1"/>
    <n v="1"/>
    <n v="1"/>
    <n v="11251.22416"/>
    <n v="126317.12212"/>
    <n v="57411.974240000003"/>
    <n v="194980.32052000001"/>
  </r>
  <r>
    <s v="YOPAL"/>
    <x v="0"/>
    <x v="0"/>
    <n v="85250"/>
    <s v="TA-25-929399"/>
    <n v="80905"/>
    <s v="APERTURA"/>
    <s v="CB CRECIMIENTO - NUEVO"/>
    <s v="CASANARE"/>
    <s v="PAZ DE ARIPORO"/>
    <s v="BARRIO CENTRO PAZ DE ARIPORO 10"/>
    <s v="REDEBAN"/>
    <s v="FO-25-1337610"/>
    <d v="2025-08-06T00:00:00"/>
    <d v="2025-08-11T00:00:00"/>
    <s v="UNO A UNO"/>
    <s v="UNO A UNO"/>
    <s v="EJECUTADO"/>
    <s v="06-08-2025 SE REALIZA LLAMADA AL CLIENTE, SE HABLA CON LA SRA YEMNY NATALI GONZALEZ CASTILLO SE VALIDA DIRECCIÓN OK, CANAL OK, DISPONIBILIDAD TOTAL, LLAMAR EL DÍA LA INSTALACIÓN PARA CONFIRMAR VISITA, AVISO EXTERIOR ALTURA APROX MAX 2,5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BERNAL ELAICA EDGAR ALEXIS"/>
    <s v="FGZZZ893"/>
    <s v="TIPO II"/>
    <s v="TERRESTRE"/>
    <s v="BERNAL ELAICA EDGAR ALEXIS"/>
    <n v="1"/>
    <n v="1"/>
    <n v="1"/>
    <n v="11251.22416"/>
    <n v="126317.12212"/>
    <n v="110808.27512000001"/>
    <n v="248376.6214"/>
  </r>
  <r>
    <s v="VALLEDUPAR"/>
    <x v="4"/>
    <x v="4"/>
    <n v="20011"/>
    <s v="TA-25-929402"/>
    <n v="80925"/>
    <s v="APERTURA"/>
    <s v="CB CRECIMIENTO - NUEVO"/>
    <s v="CESAR"/>
    <s v="AGUACHICA"/>
    <s v="BARRIO VRD EL JUNCAL AGUACHICA"/>
    <s v="REDEBAN"/>
    <s v="FO-25-1337616"/>
    <d v="2025-08-06T00:00:00"/>
    <d v="2025-08-08T00:00:00"/>
    <s v="UNO A UNO"/>
    <s v="UNO A UNO"/>
    <s v="EJECUTADO"/>
    <s v="06-08-2025 SE REALIZA LLAMADA AL CLIENTE, SE HABLA CON EL SR ALONSO ALZATE GIL SE VALIDA DIRECCIÓN OK, CANAL OK, DISPONIBILIDAD TOTAL, LLAMAR EL DÍA LA INSTALACIÓN PARA CONFIRMAR VISITA, AVISO EXTERIOR ALTURA APROX 1,50 METROS; TOMACORRIENTE CERCANO: SI; TIENE CABINA DE SEGURIDAD: NO // CONTACTO REALIZADO POR LA APP 8/08/2025 SE REALIZA INSTALACIÓN DE CORRESPONSAL, SE INSTALAN EQUIPOS CON PRUEBAS EXITOSAS, SE CAPACITA Y SE EVALÚA AL CLIENTE, SE INSTALA PUBLICIDAD COMPLETA, CB QUEDA OPERATIVO.NOTA: NO ES POSIBLE INGRESAR A USUARIO DE SOMOS BANCOLOMBIA DE CLIENTE YA QUE PRESENTA ERROR DE CORREO EN EL BANCO Y DEBE SER CORREGIDO POR EL BANCO, SE REALIZA CAPACITACIÓN CON USUARIO DE PRUEBA"/>
    <s v="MAESTRE MENGUAL EDGAR ENRIQUE"/>
    <s v="FGZZZ894"/>
    <s v="TIPO IV"/>
    <s v="TERRESTRE"/>
    <s v="MAESTRE MENGUAL EDGAR ENRIQUE"/>
    <n v="1"/>
    <n v="1"/>
    <n v="1"/>
    <n v="11251.22416"/>
    <n v="126317.12212"/>
    <n v="110808.27512000001"/>
    <n v="248376.6214"/>
  </r>
  <r>
    <s v="BUCARAMANGA"/>
    <x v="3"/>
    <x v="3"/>
    <n v="68547"/>
    <s v="TA-25-929404"/>
    <n v="80908"/>
    <s v="APERTURA"/>
    <s v="CB CRECIMIENTO - NUEVO"/>
    <s v="SANTANDER"/>
    <s v="PIEDECUESTA"/>
    <s v="BARRIO CABECERA 2 PIEDECUESTA PIEDECUESTA"/>
    <s v="REDEBAN"/>
    <s v="FO-25-1337624"/>
    <d v="2025-08-06T00:00:00"/>
    <d v="2025-08-08T00:00:00"/>
    <s v="UNO A UNO"/>
    <s v="UNO A UNO"/>
    <s v="EJECUTADO"/>
    <s v="06-08-2025 SE REALIZA LLAMADA AL CLIENTE, SE HABLA CON LA SRA MARIBEL HENAO PASACHOA SE VALIDA DIRECCIÓN OK, CANAL OK, DISPONIBILIDAD TOTAL, LLAMAR EL DÍA LA INSTALACIÓN PARA CONFIRMAR VISITA, AVISO EXTERIOR ALTURA APROX MAX 2 METROS; TOMACORRIENTE CERCANO: SI; TIENE CABINA DE SEGURIDAD: NO // CONTACTO REALIZADO POR LA APP 08-08 SE REALIZA INSTALACIÓN DE CORRESPONSAL, SE INSTALAN EQUIPOS CON PRUEBAS EXITOSAS, SE CAPACITA Y SE EVALÚA AL CLIENTE, SE INSTALA PUBLICIDAD COMPLETA, CB QUEDA OPERATIVO. USUARIO SOMOS BANCOLOMBIA ACTIVO"/>
    <s v="PEÑA DIAZ IVAN YESID"/>
    <s v="FGZZZ895"/>
    <s v="TIPO II"/>
    <s v="TERRESTRE"/>
    <s v="PEÑA DIAZ IVAN YESID"/>
    <n v="1"/>
    <n v="1"/>
    <n v="1"/>
    <n v="11251.22416"/>
    <n v="126317.12212"/>
    <n v="110808.27512000001"/>
    <n v="248376.6214"/>
  </r>
  <r>
    <s v="MONTERIA"/>
    <x v="4"/>
    <x v="4"/>
    <n v="23001"/>
    <s v="TA-25-929405"/>
    <n v="80897"/>
    <s v="APERTURA"/>
    <s v="CB CRECIMIENTO - NUEVO"/>
    <s v="CORDOBA"/>
    <s v="MONTERIA"/>
    <s v="BARRIO CANTA CLARO MONTERIA 4"/>
    <s v="REDEBAN"/>
    <s v="FO-25-1337629"/>
    <d v="2025-08-06T00:00:00"/>
    <d v="2025-08-08T00:00:00"/>
    <s v="UNO A UNO"/>
    <s v="UNO A UNO"/>
    <s v="EJECUTADO"/>
    <s v="06-08-2025 SE REALIZA LLAMADA AL CLIENTE, SE HABLA CON LA SRA ANA MARIA HUMANEZ ESTRADA SE VALIDA DIRECCIÓN OK, CANAL OK, DISPONIBILIDAD TOTAL, LLAMAR EL DÍA LA INSTALACIÓN PARA CONFIRMAR VISITA, AVISO EXTERIOR ALTURA APROX MAX 5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GONZALEZ FERRER JESUS ALEXANDER"/>
    <s v="FGZZZ896"/>
    <s v="TIPO I"/>
    <s v="TERRESTRE"/>
    <s v="GONZALEZ FERRER JESUS ALEXANDER"/>
    <n v="1"/>
    <n v="1"/>
    <n v="1"/>
    <n v="11251.22416"/>
    <n v="126317.12212"/>
    <n v="57411.974240000003"/>
    <n v="194980.32052000001"/>
  </r>
  <r>
    <s v="MONTERIA"/>
    <x v="4"/>
    <x v="4"/>
    <n v="23001"/>
    <s v="TA-25-929407"/>
    <n v="80898"/>
    <s v="APERTURA"/>
    <s v="CB CRECIMIENTO - NUEVO"/>
    <s v="CORDOBA"/>
    <s v="MONTERIA"/>
    <s v="BARRIO CHUCHURUBI MONTERIA 9"/>
    <s v="REDEBAN"/>
    <s v="FO-25-1337634"/>
    <d v="2025-08-06T00:00:00"/>
    <d v="2025-08-08T00:00:00"/>
    <s v="UNO A UNO"/>
    <s v="UNO A UNO"/>
    <s v="EJECUTADO"/>
    <s v="06-08-2025 SE REALIZA LLAMADA AL CLIENTE, SE HABLA CON LA SRA SAUDITH MARCELA ARRIETA CASTELLANOS SE VALIDA DIRECCIÓN OK, CANAL OK, DISPONIBILIDAD TOTAL, LLAMAR EL DÍA LA INSTALACIÓN PARA CONFIRMAR VISITA, AVISO EXTERIOR ALTURA APROX 2,20 METROS; TOMACORRIENTE CERCANO: SI; TIENE CABINA DE SEGURIDAD: SI // CONTACTO REALIZADO POR LA APP // HORARIO DEL COMERCIO 8AM-12 PM Y DE 2 PM-6 PM 08-08 SE REALIZA INSTALACIÓN DE CORRESPONSAL, SE INSTALAN EQUIPOS CON PRUEBAS EXITOSAS, SE CAPACITA Y SE EVALÚA AL CLIENTE, SE INSTALA PUBLICIDAD COMPLETA, CB QUEDA OPERATIVO. USUARIO SOMOS BANCOLOMBIA ACTIVO"/>
    <s v="GONZALEZ FERRER JESUS ALEXANDER"/>
    <s v="FGZZZ897"/>
    <s v="TIPO I"/>
    <s v="TERRESTRE"/>
    <s v="GONZALEZ FERRER JESUS ALEXANDER"/>
    <n v="1"/>
    <n v="1"/>
    <n v="1"/>
    <n v="11251.22416"/>
    <n v="126317.12212"/>
    <n v="57411.974240000003"/>
    <n v="194980.32052000001"/>
  </r>
  <r>
    <s v="MONTERIA"/>
    <x v="4"/>
    <x v="4"/>
    <n v="23001"/>
    <s v="TA-25-929408"/>
    <n v="80899"/>
    <s v="APERTURA"/>
    <s v="CB CRECIMIENTO - NUEVO"/>
    <s v="CORDOBA"/>
    <s v="MONTERIA"/>
    <s v="BARRIO URB LOS ARAUJOS MONTERIA 1"/>
    <s v="REDEBAN"/>
    <s v="FO-25-1337642"/>
    <d v="2025-08-06T00:00:00"/>
    <d v="2025-08-08T00:00:00"/>
    <s v="UNO A UNO"/>
    <s v="UNO A UNO"/>
    <s v="EJECUTADO"/>
    <s v="06-08-2025 SE REALIZA LLAMADA AL CLIENTE, SE HABLA CON EL SR RUBEN ARTURO ALMENTERO KERGUELEN SE VALIDA DIRECCIÓN OK, CANAL OK, DISPONIBILIDAD TOTAL, LLAMAR EL DÍA LA INSTALACIÓN PARA CONFIRMAR VISITA, AVISO EXTERIOR ALTURA APROX 2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
    <s v="GONZALEZ FERRER JESUS ALEXANDER"/>
    <s v="FGZZZ898"/>
    <s v="TIPO I"/>
    <s v="TERRESTRE"/>
    <s v="GONZALEZ FERRER JESUS ALEXANDER"/>
    <n v="1"/>
    <n v="1"/>
    <n v="1"/>
    <n v="11251.22416"/>
    <n v="126317.12212"/>
    <n v="57411.974240000003"/>
    <n v="194980.32052000001"/>
  </r>
  <r>
    <s v="CUCUTA"/>
    <x v="3"/>
    <x v="3"/>
    <n v="54001"/>
    <s v="TA-25-929409"/>
    <n v="80880"/>
    <s v="APERTURA"/>
    <s v="CB CRECIMIENTO - NUEVO"/>
    <s v="NORTE DE SANTANDER"/>
    <s v="CUCUTA"/>
    <s v="BARRIO URB PRADOS DEL ESTE CUCUTA 8"/>
    <s v="REDEBAN"/>
    <s v="FO-25-1337647"/>
    <d v="2025-08-06T00:00:00"/>
    <d v="2025-08-08T00:00:00"/>
    <s v="UNO A UNO"/>
    <s v="UNO A UNO"/>
    <s v="EJECUTADO"/>
    <s v="06-08-2025 SE REALIZA LLAMADA AL CLIENTE, SE HABLA CON EL SR GUSTAVO ADOLFO GARCIA BUENDIA SE VALIDA DIRECCIÓN OK, CANAL OK, DISPONIBILIDAD TOTAL, LLAMAR EL DÍA LA INSTALACIÓN PARA CONFIRMAR VISITA, AVISO EXTERIOR ALTURA APROX 2 METROS; TOMACORRIENTE CERCANO: SI; TIENE CABINA DE SEGURIDAD: NO // CONTACTO REALIZADO POR WHASTAPP 08-08 SE REALIZA INSTALACIÓN DE CORRESPONSAL, SE INSTALAN EQUIPOS CON PRUEBAS EXITOSAS, SE CAPACITA Y SE EVALÚA AL CLIENTE, SE INSTALA PUBLICIDAD COMPLETA, CB QUEDA OPERATIVO. USUARIO SOMOS BANCOLOMBIA ACTIVO"/>
    <s v="DURAN ACOSTA FRANK YONNY"/>
    <s v="FGZZZ899"/>
    <s v="TIPO I"/>
    <s v="TERRESTRE"/>
    <s v="DURAN ACOSTA FRANK YONNY"/>
    <n v="1"/>
    <n v="1"/>
    <n v="1"/>
    <n v="11251.22416"/>
    <n v="126317.12212"/>
    <n v="57411.974240000003"/>
    <n v="194980.32052000001"/>
  </r>
  <r>
    <s v="BUCARAMANGA"/>
    <x v="3"/>
    <x v="3"/>
    <n v="68001"/>
    <s v="TA-25-929410"/>
    <n v="80867"/>
    <s v="APERTURA"/>
    <s v="CB CRECIMIENTO - NUEVO"/>
    <s v="SANTANDER"/>
    <s v="BUCARAMANGA"/>
    <s v="BARRIO KENNEDY BUCARAMANGA 2"/>
    <s v="REDEBAN"/>
    <s v="FO-25-1337654"/>
    <d v="2025-08-06T00:00:00"/>
    <d v="2025-08-08T00:00:00"/>
    <s v="UNO A UNO"/>
    <s v="UNO A UNO"/>
    <s v="EJECUTADO"/>
    <s v="06-08-2025 SE REALIZA LLAMADA AL CLIENTE, SE HABLA CON EL SR ALEXIS FERNEY ADARME AFANADOR SE VALIDA DIRECCIÓN OK, CANAL OK, DISPONIBILIDAD TOTAL, LLAMAR EL DÍA LA INSTALACIÓN PARA CONFIRMAR VISITA, AVISO EXTERIOR ALTURA APROX 2 METROS; TOMACORRIENTE CERCANO: SI (3 METROS); TIENE CABINA DE SEGURIDAD: SI // CONTACTO REALIZADO POR LA APP 8/08/2025 SE REALIZA INSTALACIÓN DE CORRESPONSAL, SE INSTALAN EQUIPOS CON PRUEBAS EXITOSAS, SE CAPACITA Y SE EVALÚA AL CLIENTE, SE INSTALA PUBLICIDAD COMPLETA, CB QUEDA OPERATIVO. USUARIO SOMOS BANCOLOMBIA ACTIVO"/>
    <s v="HERRERA LUQUE SAUL JAVIER"/>
    <s v="FGZZZ900"/>
    <s v="TIPO I"/>
    <s v="TERRESTRE"/>
    <s v="HERRERA LUQUE SAUL JAVIER"/>
    <n v="1"/>
    <n v="1"/>
    <n v="1"/>
    <n v="11251.22416"/>
    <n v="126317.12212"/>
    <n v="57411.974240000003"/>
    <n v="194980.32052000001"/>
  </r>
  <r>
    <s v="VILLAVICENCIO"/>
    <x v="0"/>
    <x v="0"/>
    <n v="50223"/>
    <s v="TA-25-929418"/>
    <n v="80878"/>
    <s v="APERTURA"/>
    <s v="CB CRECIMIENTO - NUEVO"/>
    <s v="META"/>
    <s v="CUBARRAL"/>
    <s v="BARRIO ZONA RURAL CUBARRAL"/>
    <s v="REDEBAN"/>
    <s v="FO-25-1337663"/>
    <d v="2025-08-06T00:00:00"/>
    <d v="2025-08-08T00:00:00"/>
    <s v="UNO A UNO"/>
    <s v="UNO A UNO"/>
    <s v="EJECUTADO"/>
    <s v="06-08-2025 SE REALIZA LLAMADA AL CLIENTE, SE HABLA CON EL SR NELSON ESTEBAN RAMIREZ CHAVES SE VALIDA DIRECCIÓN OK, CANAL OK, DISPONIBILIDAD TOTAL, LLAMAR EL DÍA LA INSTALACIÓN PARA CONFIRMAR VISITA, AVISO EXTERIOR ALTURA APROX 2,60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
    <s v="ROZO JIMENEZ EDGAR ARMANDO"/>
    <s v="FGZZZ901"/>
    <s v="TIPO II"/>
    <s v="TERRESTRE"/>
    <s v="ROZO JIMENEZ EDGAR ARMANDO"/>
    <n v="1"/>
    <n v="1"/>
    <n v="1"/>
    <n v="11251.22416"/>
    <n v="126317.12212"/>
    <n v="110808.27512000001"/>
    <n v="248376.6214"/>
  </r>
  <r>
    <s v="BOGOTA"/>
    <x v="5"/>
    <x v="5"/>
    <n v="25899"/>
    <s v="TA-25-929430"/>
    <n v="80924"/>
    <s v="APERTURA"/>
    <s v="CB CRECIMIENTO - NUEVO"/>
    <s v="CUNDINAMARCA"/>
    <s v="ZIPAQUIRA"/>
    <s v="BARRIO LA CONCEPCION ZIPAQUIRA"/>
    <s v="REDEBAN"/>
    <s v="FO-25-1337678"/>
    <d v="2025-08-06T00:00:00"/>
    <d v="2025-08-11T00:00:00"/>
    <s v="UNO A UNO"/>
    <s v="UNO A UNO"/>
    <s v="EJECUTADO"/>
    <s v="06-08-2025 SE REALIZA LLAMADA AL CLIENTE, SE HABLA CON LA SRA JAZMIN LORENA GALEANO FORERO SE VALIDA DIRECCIÓN OK, CANAL OK, DISPONIBILIDAD TOTAL, LLAMAR EL DÍA LA INSTALACIÓN PARA CONFIRMAR VISITA, AVISO EXTERIOR ALTURA APROX 1,70 METROS; TOMACORRIENTE CERCANO: SI; TIENE CABINA DE SEGURIDAD: SI // CONTACTO REALIZADO POR LA APP 11-08 SE REALIZA INSTALACIÓN DE CORRESPONSAL, SE INSTALAN EQUIPOS CON PRUEBAS EXITOSAS, SE CAPACITA Y SE EVALÚA AL CLIENTE, SE INSTALA PUBLICIDAD COMPLETA, CB QUEDA OPERATIVO. USUARIO SOMOS BANCOLOMBIA ACTIVO"/>
    <s v="LOZADA ROJAS CHRISTIAN ANDRES"/>
    <s v="FGZZZ902"/>
    <s v="TIPO II"/>
    <s v="TERRESTRE"/>
    <s v="LOZADA ROJAS CHRISTIAN ANDRES"/>
    <n v="1"/>
    <n v="1"/>
    <n v="1"/>
    <n v="11251.22416"/>
    <n v="126317.12212"/>
    <n v="110808.27512000001"/>
    <n v="248376.6214"/>
  </r>
  <r>
    <s v="BOGOTA"/>
    <x v="5"/>
    <x v="5"/>
    <n v="25436"/>
    <s v="TA-25-929449"/>
    <n v="80900"/>
    <s v="APERTURA"/>
    <s v="CB CRECIMIENTO - NUEVO"/>
    <s v="CUNDINAMARCA"/>
    <s v="MANTA"/>
    <s v="BARRIO CENTRO MANTA 2"/>
    <s v="REDEBAN"/>
    <s v="FO-25-1337685"/>
    <d v="2025-08-06T00:00:00"/>
    <d v="2025-08-11T00:00:00"/>
    <s v="UNO A UNO"/>
    <s v="UNO A UNO"/>
    <s v="EJECUTADO"/>
    <s v="06-08-2025 SE REALIZA LLAMADA AL CLIENTE, SE HABLA CON EL SR CHRISTIAN CAMILO SANCHEZ ORJUELA, SE VALIDA DIRECCIÓN OK, CANAL OK, DISPONIBILIDAD TOTAL, LLAMAR EL DÍA LA INSTALACIÓN PARA CONFIRMAR VISITA, AVISO EXTERIOR ALTURA APROX 2,50 METROS; TOMACORRIENTE CERCANO: SI; TIENE CABINA DE SEGURIDAD: NO 08-p08 A LA HORA NO SE HA LOGRADO CONTACTAR AL CLIENTE PARA INFORMAR DE LA ATENCIÓN DE LA ACTIVIDAD PARA EL DÍA DE MAÑANA 11-08-2025 11/08/2025 SE REALIZA INSTALACIÓN DE CORRESPONSAL, SE INSTALAN EQUIPOS CON PRUEBAS EXITOSAS, SE CAPACITA Y SE EVALÚA AL CLIENTE, SE INSTALA PUBLICIDAD COMPLETA, CB QUEDA OPERATIVO. USUARIO SOMOS BANCOLOMBIA ACTIVO"/>
    <s v="MURCIA HERNANDEZ HARVEY IGNACIO"/>
    <s v="FGZZZ903"/>
    <s v="TIPO III"/>
    <s v="TERRESTRE"/>
    <s v="MURCIA HERNANDEZ HARVEY IGNACIO"/>
    <n v="1"/>
    <n v="1"/>
    <n v="1"/>
    <n v="11251.22416"/>
    <n v="126317.12212"/>
    <n v="110808.27512000001"/>
    <n v="248376.6214"/>
  </r>
  <r>
    <s v="BOGOTA"/>
    <x v="5"/>
    <x v="5"/>
    <n v="25843"/>
    <s v="TA-25-929451"/>
    <n v="80920"/>
    <s v="APERTURA"/>
    <s v="CB CRECIMIENTO - NUEVO"/>
    <s v="CUNDINAMARCA"/>
    <s v="VILLA DE SAN DIEGO DE UBATE"/>
    <s v="BARRIO VEREDA LA ESPERANZA VILLA DE SAN DIEGO DE UBATE"/>
    <s v="REDEBAN"/>
    <s v="FO-25-1337691"/>
    <d v="2025-08-06T00:00:00"/>
    <d v="2025-08-11T00:00:00"/>
    <s v="UNO A UNO"/>
    <s v="UNO A UNO"/>
    <s v="EJECUTADO"/>
    <s v="06-08-2025 SE REALIZA LLAMADA AL CLIENTE, SE HABLA CON LA SRA LUCILA SANCHEZ RUI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
    <s v="LOZADA ROJAS CHRISTIAN ANDRES"/>
    <s v="FGZZZ904"/>
    <s v="TIPO II"/>
    <s v="TERRESTRE"/>
    <s v="LOZADA ROJAS CHRISTIAN ANDRES"/>
    <n v="1"/>
    <n v="1"/>
    <n v="1"/>
    <n v="11251.22416"/>
    <n v="126317.12212"/>
    <n v="110808.27512000001"/>
    <n v="248376.6214"/>
  </r>
  <r>
    <s v="BUCARAMANGA"/>
    <x v="3"/>
    <x v="3"/>
    <n v="68500"/>
    <s v="TA-25-929453"/>
    <n v="80902"/>
    <s v="APERTURA"/>
    <s v="CB CRECIMIENTO - NUEVO"/>
    <s v="SANTANDER"/>
    <s v="OIBA"/>
    <s v="BARRIO LA VARIABLE OIBA OIBA"/>
    <s v="REDEBAN"/>
    <s v="FO-25-1337696"/>
    <d v="2025-08-06T00:00:00"/>
    <d v="2025-08-12T00:00:00"/>
    <s v="UNO A UNO"/>
    <s v="UNO A UNO"/>
    <s v="EJECUTADO"/>
    <s v="06-08-2025 SE REALIZA LLAMADA AL CLIENTE, SE HABLA CON LA SRA ESMERALDA VALLEJO LOPEZ, SE VALIDA DIRECCIÓN OK, CANAL OK, DISPONIBILIDAD TOTAL, LLAMAR EL DÍA LA INSTALACIÓN PARA CONFIRMAR VISITA, AVISO EXTERIOR ALTURA APROX 2 METROS; TOMACORRIENTE CERCANO: SI; TIENE CABINA DE SEGURIDAD: NOEN COMUNICACIÓN CON LA CLIENTE ESMERALDA VALLEJO AL CELULAR 3174319370, QUE POR MOTIVO DE DESPLAZAMIENTO, NO SE LOGRÓ LLEGAR A LA HORA, SE REPROGRAMA ACTIVIDAD PARA MAÑANA MARTES 12 DE AGOSTO DEL 2025. 12/08/2025 SE REALIZA INSTALACIÓN DE CORRESPONSAL, SE INSTALAN EQUIPOS CON PRUEBAS EXITOSAS, SE CAPACITA Y SE EVALÚA AL CLIENTE, SE INSTALA PUBLICIDAD COMPLETA, CB QUEDA OPERATIVO. USUARIO SOMOS BANCOLOMBIA ACTIVO"/>
    <s v="MARTINEZ FLOREZ DONIS ALBERTO"/>
    <s v="FGZZZ905"/>
    <s v="TIPO III"/>
    <s v="TERRESTRE"/>
    <s v="MARTINEZ FLOREZ DONIS ALBERTO"/>
    <n v="1"/>
    <n v="1"/>
    <n v="1"/>
    <n v="11251.22416"/>
    <n v="126317.12212"/>
    <n v="110808.27512000001"/>
    <n v="248376.6214"/>
  </r>
  <r>
    <s v="CALI"/>
    <x v="1"/>
    <x v="1"/>
    <n v="76001"/>
    <s v="TA-25-929470"/>
    <n v="80871"/>
    <s v="APERTURA"/>
    <s v="CB CRECIMIENTO - NUEVO"/>
    <s v="VALLE DEL CAUCA"/>
    <s v="CALI"/>
    <s v="BARRIO TERRON COLORADO CALI 2"/>
    <s v="REDEBAN"/>
    <s v="FO-25-1337707"/>
    <d v="2025-08-06T00:00:00"/>
    <d v="2025-08-08T00:00:00"/>
    <s v="UNO A UNO"/>
    <s v="UNO A UNO"/>
    <s v="EJECUTADO"/>
    <s v="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
    <s v="BOLAÑOS TABORDA JORGE ENRIQUE"/>
    <s v="FGZZZ906"/>
    <s v="TIPO I"/>
    <s v="TERRESTRE"/>
    <s v="BOLAÑOS TABORDA JORGE ENRIQUE"/>
    <n v="1"/>
    <n v="1"/>
    <n v="1"/>
    <n v="11251.22416"/>
    <n v="126317.12212"/>
    <n v="57411.974240000003"/>
    <n v="194980.32052000001"/>
  </r>
  <r>
    <s v="MEDELLIN"/>
    <x v="2"/>
    <x v="2"/>
    <n v="5686"/>
    <s v="TA-25-929484"/>
    <n v="80883"/>
    <s v="APERTURA"/>
    <s v="CB CRECIMIENTO - NUEVO"/>
    <s v="ANTIOQUIA"/>
    <s v="SANTA ROSA DE OSOS"/>
    <s v="BARRIO VEREDA EL CANEY SANTA ROSA DE OSOS 1"/>
    <s v="REDEBAN"/>
    <s v="FO-25-1337717"/>
    <d v="2025-08-06T00:00:00"/>
    <d v="2025-08-11T00:00:00"/>
    <s v="UNO A UNO"/>
    <s v="UNO A UNO"/>
    <s v="EJECUTADO"/>
    <s v="06-08 SE REALIZA LLAMADA AL CLIENTE, SE HABLA CON LA SR LUIS FELIPE DURANGO ZULUAGA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
    <s v="DIAZ ZABALA FRANCIS DUBAN"/>
    <s v="FGZZZ907"/>
    <s v="TIPO II"/>
    <s v="TERRESTRE"/>
    <s v="DIAZ ZABALA FRANCIS DUBAN"/>
    <n v="1"/>
    <n v="1"/>
    <n v="1"/>
    <n v="11251.22416"/>
    <n v="126317.12212"/>
    <n v="110808.27512000001"/>
    <n v="248376.6214"/>
  </r>
  <r>
    <s v="CALI"/>
    <x v="1"/>
    <x v="1"/>
    <n v="76001"/>
    <s v="TA-25-929495"/>
    <n v="80872"/>
    <s v="APERTURA"/>
    <s v="CB CRECIMIENTO - NUEVO"/>
    <s v="VALLE DEL CAUCA"/>
    <s v="CALI"/>
    <s v="BARRIO  EL INGENIO CALI"/>
    <s v="REDEBAN"/>
    <s v="FO-25-1337724"/>
    <d v="2025-08-06T00:00:00"/>
    <d v="2025-08-08T00:00:00"/>
    <s v="UNO A UNO"/>
    <s v="UNO A UNO"/>
    <s v="EJECUTADO"/>
    <s v="06-08-2025 SE REALIZA LLAMADA AL CLIENTE, SE HABLA CON LA SRA YAMILE MAYORQUIN DICE QUE EL SR RODOLFO BRAND MAMIAN NO SE ENCUENTA,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
    <s v="HERRERA MONAR GEOVANNY"/>
    <s v="FGZZZ908"/>
    <s v="TIPO I"/>
    <s v="TERRESTRE"/>
    <s v="HERRERA MONAR GEOVANNY"/>
    <n v="1"/>
    <n v="1"/>
    <n v="1"/>
    <n v="11251.22416"/>
    <n v="126317.12212"/>
    <n v="57411.974240000003"/>
    <n v="194980.32052000001"/>
  </r>
  <r>
    <s v="TUNJA"/>
    <x v="3"/>
    <x v="3"/>
    <n v="15776"/>
    <s v="TA-25-929577"/>
    <n v="80912"/>
    <s v="APERTURA"/>
    <s v="CB CRECIMIENTO - NUEVO"/>
    <s v="BOYACA"/>
    <s v="SUTAMARCHAN"/>
    <s v="BARRIO CENTRO SUTAMARCHAN 4"/>
    <s v="REDEBAN"/>
    <s v="FO-25-1337775"/>
    <d v="2025-08-06T00:00:00"/>
    <d v="2025-08-12T00:00:00"/>
    <s v="UNO A UNO"/>
    <s v="UNO A UNO"/>
    <s v="EJECUTADO"/>
    <s v="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
    <s v="RODRIGUEZ MURCIA YERSON IVAN"/>
    <s v="FGZZZ909"/>
    <s v="TIPO II"/>
    <s v="TERRESTRE"/>
    <s v="RODRIGUEZ MURCIA YERSON IVAN"/>
    <n v="1"/>
    <n v="1"/>
    <n v="1"/>
    <n v="11251.22416"/>
    <n v="126317.12212"/>
    <n v="110808.27512000001"/>
    <n v="248376.6214"/>
  </r>
  <r>
    <s v="MONTERIA"/>
    <x v="4"/>
    <x v="4"/>
    <n v="5154"/>
    <s v="TA-25-931157"/>
    <n v="80876"/>
    <s v="APERTURA"/>
    <s v="CB CRECIMIENTO - NUEVO"/>
    <s v="ANTIOQUIA"/>
    <s v="CAUCASIA"/>
    <s v="BARRIO ASOVIVIENDA CAUCASIA 2"/>
    <s v="REDEBAN"/>
    <s v="FO-25-1339032"/>
    <d v="2025-08-06T00:00:00"/>
    <d v="2025-08-08T00:00:00"/>
    <s v="UNO A UNO"/>
    <s v="UNO A UNO"/>
    <s v="EJECUTADO"/>
    <s v="06-08-2025 SE REALIZA LLAMADA AL CLIENTE, SE HABLA CON LA SRA MARIA CAMILA CANO CADAVID, SE VALIDA DIRECCIÓN OK, CANAL OK, DISPONIBILIDAD TOTAL, LLAMAR EL DÍA LA INSTALACIÓN PARA CONFIRMAR VISITA, AVISO EXTERIOR ALTURA APROX  1,50 METROS; TOMACORRIENTE CERCANO: SI; TIENE CABINA DE SEGURIDAD: SI 8/08/2025 SE REALIZA INSTALACIÓN DE CORRESPONSAL, SE INSTALAN EQUIPOS CON PRUEBAS EXITOSAS, SE CAPACITA Y SE EVALÚA AL CLIENTE, SE INSTALA PUBLICIDAD COMPLETA, CB QUEDA OPERATIVO. USUARIO SOMOS BANCOLOMBIA ACTIVO"/>
    <s v="CASSIANI PEREZ RAUL RAMIRO"/>
    <s v="FGZZZ910"/>
    <s v="TIPO II"/>
    <s v="TERRESTRE"/>
    <s v="CASSIANI PEREZ RAUL RAMIRO"/>
    <n v="1"/>
    <n v="1"/>
    <n v="1"/>
    <n v="11251.22416"/>
    <n v="126317.12212"/>
    <n v="110808.27512000001"/>
    <n v="248376.6214"/>
  </r>
  <r>
    <s v="NEIVA"/>
    <x v="0"/>
    <x v="0"/>
    <n v="41020"/>
    <s v="TA-25-931158"/>
    <n v="80864"/>
    <s v="APERTURA"/>
    <s v="CB CRECIMIENTO - NUEVO"/>
    <s v="HUILA"/>
    <s v="ALGECIRAS"/>
    <s v="BARRIO CENTRO ALGECIRAS 18"/>
    <s v="REDEBAN"/>
    <s v="FO-25-1339039"/>
    <d v="2025-08-06T00:00:00"/>
    <d v="2025-08-08T00:00:00"/>
    <s v="UNO A UNO"/>
    <s v="UNO A UNO"/>
    <s v="EJECUTADO"/>
    <s v="06-08-2025 SE REALIZA LLAMADA AL CLIENTE, SE HABLA CON LA SRA LEYDI MARITZA CORTAZO QUILINDO,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
    <s v="DEVIA REINOSO JUAN CARLOS"/>
    <s v="FGZZZ911"/>
    <s v="TIPO II"/>
    <s v="TERRESTRE"/>
    <s v="DEVIA REINOSO JUAN CARLOS"/>
    <n v="1"/>
    <n v="1"/>
    <n v="1"/>
    <n v="11251.22416"/>
    <n v="126317.12212"/>
    <n v="110808.27512000001"/>
    <n v="248376.6214"/>
  </r>
  <r>
    <s v="TUNJA"/>
    <x v="3"/>
    <x v="3"/>
    <n v="15367"/>
    <s v="TA-25-931159"/>
    <n v="80894"/>
    <s v="APERTURA"/>
    <s v="CB CRECIMIENTO - NUEVO"/>
    <s v="BOYACA"/>
    <s v="JENESANO"/>
    <s v="BARRIO CENTRO JENESANO 7"/>
    <s v="REDEBAN"/>
    <s v="FO-25-1339047"/>
    <d v="2025-08-06T00:00:00"/>
    <d v="2025-08-11T00:00:00"/>
    <s v="UNO A UNO"/>
    <s v="UNO A UNO"/>
    <s v="EJECUTADO"/>
    <s v="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
    <s v="SOLER HOYOS CRISTIAN LEONARDO"/>
    <s v="FGZZZ912"/>
    <s v="TIPO II"/>
    <s v="TERRESTRE"/>
    <s v="SOLER HOYOS CRISTIAN LEONARDO"/>
    <n v="1"/>
    <n v="1"/>
    <n v="1"/>
    <n v="11251.22416"/>
    <n v="126317.12212"/>
    <n v="110808.27512000001"/>
    <n v="248376.6214"/>
  </r>
  <r>
    <s v="BARRANQUILLA"/>
    <x v="4"/>
    <x v="4"/>
    <n v="8758"/>
    <s v="TA-25-931160"/>
    <n v="80917"/>
    <s v="APERTURA"/>
    <s v="CB CRECIMIENTO - NUEVO"/>
    <s v="ATLANTICO"/>
    <s v="SOLEDAD"/>
    <s v="BARRIO MANANTIALES SOLEDAD"/>
    <s v="REDEBAN"/>
    <s v="FO-25-1339054"/>
    <d v="2025-08-06T00:00:00"/>
    <d v="2025-08-11T00:00:00"/>
    <s v="UNO A UNO"/>
    <s v="UNO A UNO"/>
    <s v="EJECUTADO"/>
    <s v="06-08-2025 SE REALIZA LLAMADA AL CLIENTE, SE HABLA CON LA SRA ISMARI ROJAS GOMEZ, SE VALIDA DIRECCIÓN OK, CANAL OK, DISPONIBILIDAD TOTAL, LLAMAR EL DÍA LA INSTALACIÓN PARA CONFIRMAR VISITA, AVISO EXTERIOR ALTURA APROX  2 METROS; TOMACORRIENTE CERCANO: SI; TIENE CABINA DE SEGURIDAD: NO// TIENE DISPONIBILIDAD EN LAS HORAS DE LA MAÑANA 11/08/2025 SE REALIZA INSTALACIÓN DE CORRESPONSAL, SE INSTALAN EQUIPOS CON PRUEBAS EXITOSAS, SE CAPACITA Y SE EVALÚA AL CLIENTE, SE INSTALA PUBLICIDAD COMPLETA, CB QUEDA OPERATIVO. USUARIO SOMOS BANCOLOMBIA ACTIVO"/>
    <s v="DE AGUAS MUÑOZ DAVID JOSE"/>
    <s v="FGZZZ913"/>
    <s v="TIPO I"/>
    <s v="TERRESTRE"/>
    <s v="DE AGUAS MUÑOZ DAVID JOSE"/>
    <n v="1"/>
    <n v="1"/>
    <n v="1"/>
    <n v="11251.22416"/>
    <n v="126317.12212"/>
    <n v="57411.974240000003"/>
    <n v="194980.32052000001"/>
  </r>
  <r>
    <s v="IBAGUE"/>
    <x v="0"/>
    <x v="0"/>
    <n v="73001"/>
    <s v="TA-25-931161"/>
    <n v="80888"/>
    <s v="APERTURA"/>
    <s v="CB CRECIMIENTO - NUEVO"/>
    <s v="TOLIMA"/>
    <s v="IBAGUE"/>
    <s v="BARRIO GAITAN IBAGUE"/>
    <s v="REDEBAN"/>
    <s v="FO-25-1339064"/>
    <d v="2025-08-06T00:00:00"/>
    <d v="2025-08-11T00:00:00"/>
    <s v="UNO A UNO"/>
    <s v="UNO A UNO"/>
    <s v="EJECUTADO"/>
    <s v="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
    <s v="GUTIERREZ  CAMILO ANDRES"/>
    <s v="FGZZZ914"/>
    <s v="TIPO I"/>
    <s v="TERRESTRE"/>
    <s v="GUTIERREZ  CAMILO ANDRES"/>
    <n v="1"/>
    <n v="1"/>
    <n v="1"/>
    <n v="11251.22416"/>
    <n v="126317.12212"/>
    <n v="57411.974240000003"/>
    <n v="194980.32052000001"/>
  </r>
  <r>
    <s v="CARTAGENA"/>
    <x v="4"/>
    <x v="4"/>
    <n v="13001"/>
    <s v="TA-25-931162"/>
    <n v="80875"/>
    <s v="APERTURA"/>
    <s v="CB CRECIMIENTO - NUEVO"/>
    <s v="BOLIVAR"/>
    <s v="CARTAGENA"/>
    <s v="BRR CIUDAD BICENTENARIO SEC SAN SEBASTIAN CARTAGENA DE INDIAS"/>
    <s v="REDEBAN"/>
    <s v="FO-25-1339072"/>
    <d v="2025-08-06T00:00:00"/>
    <d v="2025-08-13T00:00:00"/>
    <s v="UNO A UNO"/>
    <s v="UNO A UNO"/>
    <s v="EJECUTADO"/>
    <s v="06-08-2025 SE REALIZA LLAMADA AL CLIENTE, SE HABLA CON EL SR OSCAR ENRIQUE BOLAÑO BOHORQUEZ, SE VALIDA DIRECCIÓN OK, CANAL OK, DISPONIBILIDAD TOTAL, LLAMAR EL DÍA LA INSTALACIÓN PARA CONFIRMAR VISITA, AVISO EXTERIOR ALTURA APROX DONDE EL TECNICO LO VEA CONVENIENTE; TOMACORRIENTE CERCANO: SI; TIENE CABINA DE SEGURIDAD: SI 08-08 SE LLAMA AL CLIENTE INFORMA QUE AÚN ESTÁ EN ADECUACIONES EL LOCAL LE FALTA LAS VITRINAS ESTANTES Y QUE LE ESTUQUEN POR TAL MOTIVO SE APLAZA LA APERTURA PARA EL MIÉRCOLES 13 DE AGOSTO QUEDA PENDIENTE 13/08/2025 SE REALIZA INSTALACIÓN DE CORRESPONSAL, SE INSTALAN EQUIPOS CON PRUEBAS EXITOSAS, SE CAPACITA Y SE EVALÚA AL CLIENTE, SE INSTALA PUBLICIDAD COMPLETA, CB QUEDA OPERATIVO. USUARIO SOMOS BANCOLOMBIA ACTIVO"/>
    <s v="CANEDO HERRERA ALEXANDER"/>
    <s v="FGZZZ915"/>
    <s v="TIPO I"/>
    <s v="TERRESTRE"/>
    <s v="CANEDO HERRERA ALEXANDER"/>
    <n v="1"/>
    <n v="1"/>
    <n v="1"/>
    <n v="11251.22416"/>
    <n v="126317.12212"/>
    <n v="57411.974240000003"/>
    <n v="194980.32052000001"/>
  </r>
  <r>
    <s v="IBAGUE"/>
    <x v="0"/>
    <x v="0"/>
    <n v="73001"/>
    <s v="TA-25-931163"/>
    <n v="80889"/>
    <s v="APERTURA"/>
    <s v="CB CRECIMIENTO - NUEVO"/>
    <s v="TOLIMA"/>
    <s v="IBAGUE"/>
    <s v="BARRIO SAN REMO IBAGUE"/>
    <s v="REDEBAN"/>
    <s v="FO-25-1339083"/>
    <d v="2025-08-06T00:00:00"/>
    <d v="2025-08-11T00:00:00"/>
    <s v="UNO A UNO"/>
    <s v="UNO A UNO"/>
    <s v="EJECUTADO"/>
    <s v="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
    <s v="BARRAGAN TAFUR EDWIN ESTEBAN"/>
    <s v="FGZZZ916"/>
    <s v="TIPO I"/>
    <s v="TERRESTRE"/>
    <s v="BARRAGAN TAFUR EDWIN ESTEBAN"/>
    <n v="1"/>
    <n v="1"/>
    <n v="1"/>
    <n v="11251.22416"/>
    <n v="126317.12212"/>
    <n v="57411.974240000003"/>
    <n v="194980.32052000001"/>
  </r>
  <r>
    <s v="BUCARAMANGA"/>
    <x v="3"/>
    <x v="3"/>
    <n v="68547"/>
    <s v="TA-25-931164"/>
    <n v="80909"/>
    <s v="APERTURA"/>
    <s v="CB CRECIMIENTO - NUEVO"/>
    <s v="SANTANDER"/>
    <s v="PIEDECUESTA"/>
    <s v="BARRIO SAN CARLOS PIEDECUESTA 1"/>
    <s v="REDEBAN"/>
    <s v="FO-25-1339090"/>
    <d v="2025-08-06T00:00:00"/>
    <d v="2025-08-11T00:00:00"/>
    <s v="UNO A UNO"/>
    <s v="UNO A UNO"/>
    <s v="EJECUTADO"/>
    <s v="06-08-2025 SE REALIZA LLAMADA AL CLIENTE, SE HABLA CON EL SR OLMER AUGUSTO VALENCIA JAIMES, SE VALIDA DIRECCIÓN OK, CANAL OK, DISPONIBILIDAD TOTAL, LLAMAR EL DÍA LA INSTALACIÓN PARA CONFIRMAR VISITA, AVISO EXTERIOR ALTURA APROX 2 METROS; TOMACORRIENTE CERCANO: SI; TIENE CABINA DE SEGURIDAD: NO// MODEM A 5 METROS  11-08 SE REALIZA INSTALACIÓN DE CORRESPONSAL, SE INSTALAN EQUIPOS CON PRUEBAS EXITOSAS, SE CAPACITA Y SE EVALÚA AL CLIENTE, SE INSTALA PUBLICIDAD COMPLETA, CB QUEDA OPERATIVO. USUARIO SOMOS BANCOLOMBIA ACTIVO"/>
    <s v="PEÑA DIAZ IVAN YESID"/>
    <s v="FGZZZ917"/>
    <s v="TIPO II"/>
    <s v="TERRESTRE"/>
    <s v="PEÑA DIAZ IVAN YESID"/>
    <n v="1"/>
    <n v="1"/>
    <n v="1"/>
    <n v="11251.22416"/>
    <n v="126317.12212"/>
    <n v="110808.27512000001"/>
    <n v="248376.6214"/>
  </r>
  <r>
    <s v="BOGOTA"/>
    <x v="5"/>
    <x v="5"/>
    <n v="11001"/>
    <s v="TA-25-931165"/>
    <n v="80866"/>
    <s v="APERTURA"/>
    <s v="CB CRECIMIENTO - NUEVO"/>
    <s v="CUNDINAMARCA"/>
    <s v="BOGOTA"/>
    <s v="BARRIO BOITA BOGOTA 8"/>
    <s v="REDEBAN"/>
    <s v="FO-25-1339105"/>
    <d v="2025-08-06T00:00:00"/>
    <d v="2025-08-11T00:00:00"/>
    <s v="UNO A UNO"/>
    <s v="UNO A UNO"/>
    <s v="EJECUTADO"/>
    <s v="06-08-2025 SE REALIZA LLAMADA AL CLIENTE, SE HABLA CON EL SR EDGAR ANDREZ OBANDO GUTIERRE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
    <s v="ORTIZ MARTINEZ STIVEN"/>
    <s v="FGZZZ918"/>
    <s v="TIPO I"/>
    <s v="TERRESTRE"/>
    <s v="ORTIZ MARTINEZ STIVEN"/>
    <n v="1"/>
    <n v="1"/>
    <n v="1"/>
    <n v="11251.22416"/>
    <n v="126317.12212"/>
    <n v="57411.974240000003"/>
    <n v="194980.32052000001"/>
  </r>
  <r>
    <s v="CALI"/>
    <x v="1"/>
    <x v="1"/>
    <n v="19455"/>
    <s v="TA-25-931166"/>
    <n v="80895"/>
    <s v="APERTURA"/>
    <s v="CB CRECIMIENTO - NUEVO"/>
    <s v="CAUCA"/>
    <s v="MIRANDA"/>
    <s v="BARRIO CENTRO MIRANDA 3"/>
    <s v="REDEBAN"/>
    <s v="FO-25-1339113"/>
    <d v="2025-08-06T00:00:00"/>
    <d v="2025-08-08T00:00:00"/>
    <s v="UNO A UNO"/>
    <s v="UNO A UNO"/>
    <s v="EJECUTADO"/>
    <s v="06-08-2025 SE REALIZA LLAMADA AL CLIENTE, SE HABLA CON LA SRA EVELYN YULIET MERA QUINTERO, SE VALIDA DIRECCIÓN OK, CANAL OK, DISPONIBILIDAD TOTAL, LLAMAR EL DÍA LA INSTALACIÓN PARA CONFIRMAR VISITA, AVISO EXTERIOR ALTURA APROX DONDE EL TECNICO LO VEA CONVENIENTE; TOMACORRIENTE CERCANO: SI; TIENE CABINA DE SEGURIDAD: NO  8/08/2025 SE REALIZA INSTALACIÓN DE CORRESPONSAL, SE INSTALAN EQUIPOS CON PRUEBAS EXITOSAS, SE CAPACITA Y SE EVALÚA AL CLIENTE, SE INSTALA PUBLICIDAD COMPLETA, CB QUEDA OPERATIVO. USUARIO SOMOS BANCOLOMBIA ACTIVO"/>
    <s v="PAREDES CASTILLO DIEGO"/>
    <s v="FGZZZ919"/>
    <s v="TIPO III"/>
    <s v="TERRESTRE"/>
    <s v="PAREDES CASTILLO DIEGO"/>
    <n v="1"/>
    <n v="1"/>
    <n v="1"/>
    <n v="11251.22416"/>
    <n v="126317.12212"/>
    <n v="110808.27512000001"/>
    <n v="248376.6214"/>
  </r>
  <r>
    <s v="PEREIRA"/>
    <x v="1"/>
    <x v="6"/>
    <n v="76020"/>
    <s v="TA-25-931167"/>
    <n v="80863"/>
    <s v="APERTURA"/>
    <s v="CB CRECIMIENTO - NUEVO"/>
    <s v="VALLE DEL CAUCA"/>
    <s v="ALCALA"/>
    <s v="BARRIO LA PLAZUELA ALCALA"/>
    <s v="REDEBAN"/>
    <s v="FO-25-1339125"/>
    <d v="2025-08-06T00:00:00"/>
    <d v="2025-08-11T00:00:00"/>
    <s v="UNO A UNO"/>
    <s v="UNO A UNO"/>
    <s v="EJECUTADO"/>
    <s v="06-08-2025 SE REALIZA LLAMADA AL CLIENTE, SE HABLA CON LA SRA DIANA MILDRED LINARES ACEVEDO, SE VALIDA DIRECCIÓN OK, CANAL OK, DISPONIBILIDAD TOTAL, LLAMAR EL DÍA LA INSTALACIÓN PARA CONFIRMAR VISITA, AVISO EXTERIOR ALTURA APROX DONDE EL TECNICO LO VEA CONVENIENTE; TOMACORRIENTE CERCANO: SI; TIENE CABINA DE SEGURIDAD: NO 11/08/2025 SE REALIZA INSTALACIÓN DE CORRESPONSAL, SE INSTALAN EQUIPOS CON PRUEBAS EXITOSAS, SE CAPACITA Y SE EVALÚA AL CLIENTE, SE INSTALA PUBLICIDAD COMPLETA, CB QUEDA OPERATIVO. USUARIO SOMOS BANCOLOMBIA ACTIVO"/>
    <s v="ARROYAVE CANO MANUEL GUILLERMO"/>
    <s v="FGZZZ920"/>
    <s v="TIPO II"/>
    <s v="TERRESTRE"/>
    <s v="ARROYAVE CANO MANUEL GUILLERMO"/>
    <n v="1"/>
    <n v="1"/>
    <n v="1"/>
    <n v="11251.22416"/>
    <n v="126317.12212"/>
    <n v="110808.27512000001"/>
    <n v="248376.6214"/>
  </r>
  <r>
    <s v="PASTO"/>
    <x v="1"/>
    <x v="1"/>
    <n v="52110"/>
    <s v="TA-25-931170"/>
    <n v="80869"/>
    <s v="APERTURA"/>
    <s v="CB CRECIMIENTO - NUEVO"/>
    <s v="NARIÑO"/>
    <s v="BUESACO"/>
    <s v="BARRIO LA LOMA BUESACO"/>
    <s v="REDEBAN"/>
    <s v="FO-25-1339133"/>
    <d v="2025-08-06T00:00:00"/>
    <d v="2025-08-08T00:00:00"/>
    <s v="UNO A UNO"/>
    <s v="UNO A UNO"/>
    <s v="EJECUTADO"/>
    <s v="06-08-2025 SE REALIZA LLAMADA AL CLIENTE, SE HABLA CON LA SRA DAYANA CAROLINA VIVEROS MUÑOZ, SE VALIDA DIRECCIÓN OK, CANAL OK, DISPONIBILIDAD TOTAL, LLAMAR EL DÍA LA INSTALACIÓN PARA CONFIRMAR VISITA, AVISO EXTERIOR ALTURA APROX  5 METROS; TOMACORRIENTE CERCANO: SI; TIENE CABINA DE SEGURIDAD: NO 8/08/2025 SE REALIZA INSTALACIÓN DE CORRESPONSAL, SE INSTALAN EQUIPOS CON PRUEBAS EXITOSAS, SE CAPACITA Y SE EVALÚA AL CLIENTE, SE INSTALA PUBLICIDAD COMPLETA, CB QUEDA OPERATIVO. USUARIO SOMOS BANCOLOMBIA ACTIVO"/>
    <s v="PAZ MARTINEZ RICHARD HUMBERTO"/>
    <s v="FGZZZ921"/>
    <s v="TIPO II"/>
    <s v="TERRESTRE"/>
    <s v="PAZ MARTINEZ RICHARD HUMBERTO"/>
    <n v="1"/>
    <n v="1"/>
    <n v="1"/>
    <n v="11251.22416"/>
    <n v="126317.12212"/>
    <n v="110808.27512000001"/>
    <n v="248376.6214"/>
  </r>
  <r>
    <s v="BOGOTA"/>
    <x v="5"/>
    <x v="5"/>
    <n v="25754"/>
    <s v="TA-25-931172"/>
    <n v="80915"/>
    <s v="APERTURA"/>
    <s v="CB CRECIMIENTO - NUEVO"/>
    <s v="CUNDINAMARCA"/>
    <s v="SOACHA"/>
    <s v="BARRIO TREBOL SOACHA SOACHA"/>
    <s v="REDEBAN"/>
    <s v="FO-25-1339140"/>
    <d v="2025-08-06T00:00:00"/>
    <d v="2025-08-08T00:00:00"/>
    <s v="UNO A UNO"/>
    <s v="UNO A UNO"/>
    <s v="EJECUTADO"/>
    <s v="06-08-2025 SE REALIZA LLAMADA AL CLIENTE, SE HABLA CON EL SR HARVEY ARTURO BUSTOS GAITAN, SE VALIDA DIRECCIÓN OK, CANAL OK, DISPONIBILIDAD TOTAL, LLAMAR EL DÍA LA INSTALACIÓN PARA CONFIRMAR VISITA, AVISO EXTERIOR ALTURA APROX  2 METROS; TOMACORRIENTE CERCANO: SI; TIENE CABINA DE SEGURIDAD: SI 8/08/2025 SE REALIZA INSTALACIÓN DE CORRESPONSAL, SE INSTALAN EQUIPOS CON PRUEBAS EXITOSAS, SE CAPACITA Y SE EVALÚA AL CLIENTE, SE INSTALA PUBLICIDAD COMPLETA, CB QUEDA OPERATIVO. USUARIO SOMOS BANCOLOMBIA ACTIVO"/>
    <s v="GALEANO SORIANO JUAN DAVID"/>
    <s v="FGZZZ923"/>
    <s v="TIPO I"/>
    <s v="TERRESTRE"/>
    <s v="GALEANO SORIANO JUAN DAVID"/>
    <n v="1"/>
    <n v="1"/>
    <n v="1"/>
    <n v="11251.22416"/>
    <n v="126317.12212"/>
    <n v="57411.974240000003"/>
    <n v="194980.32052000001"/>
  </r>
  <r>
    <s v="TUNJA"/>
    <x v="3"/>
    <x v="3"/>
    <n v="15001"/>
    <s v="TA-25-931229"/>
    <n v="80918"/>
    <s v="APERTURA"/>
    <s v="CB CRECIMIENTO - NUEVO"/>
    <s v="BOYACA"/>
    <s v="TUNJA"/>
    <s v="BARRIO JORDAN TUNJA 3"/>
    <s v="REDEBAN"/>
    <s v="FO-25-1339297"/>
    <d v="2025-08-06T00:00:00"/>
    <d v="2025-08-11T00:00:00"/>
    <s v="UNO A UNO"/>
    <s v="UNO A UNO"/>
    <s v="EJECUTADO"/>
    <s v="06-08 SE REALIZA LLAMADA AL CLIENTE, SE HABLA CON LA SRA LEIDY CAROLINA REYES PACHECO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
    <s v="GONZALEZ GONZALEZ MARIO ALBERTO"/>
    <s v="FGZZZ924"/>
    <s v="TIPO I"/>
    <s v="TERRESTRE"/>
    <s v="GONZALEZ GONZALEZ MARIO ALBERTO"/>
    <n v="1"/>
    <n v="1"/>
    <n v="1"/>
    <n v="11251.22416"/>
    <n v="126317.12212"/>
    <n v="57411.974240000003"/>
    <n v="194980.32052000001"/>
  </r>
  <r>
    <s v="BUCARAMANGA"/>
    <x v="3"/>
    <x v="3"/>
    <n v="68001"/>
    <s v="TA-25-931173"/>
    <n v="80868"/>
    <s v="APERTURA"/>
    <s v="CB CRECIMIENTO - NUEVO"/>
    <s v="SANTANDER"/>
    <s v="BUCARAMANGA"/>
    <s v="BARRIO TERMINAL DE BUCARAMANGA BUCARAMANGA"/>
    <s v="REDEBAN"/>
    <s v="FO-25-1339148"/>
    <d v="2025-08-06T00:00:00"/>
    <d v="2025-08-08T00:00:00"/>
    <s v="UNO A UNO"/>
    <s v="UNO A UNO"/>
    <s v="EJECUTADO"/>
    <s v="06-08 SE REALIZA LLAMADA AL CLIENTE, SE HABLA CON LA SRA KATERYN ALEJANDRA MOLINA MENDOZA SE VALIDA DIRECCIÓN OK, CANAL OK, DISPONIBILIDAD TOTAL, LLAMAR EL DÍA LA INSTALACIÓN PARA CONFIRMAR VISITA, AVISO EXTERIOR ALTURA APROX 3 METROS; TOMACORRIENTE CERCANO: SI; TIENE CABINA DE SEGURIDAD: SI 8/08/2025 SE REALIZA INSTALACIÓN DE CORRESPONSAL, SE INSTALAN EQUIPOS CON PRUEBAS EXITOSAS, SE CAPACITA Y SE EVALÚA AL CLIENTE, SE INSTALA PUBLICIDAD COMPLETA, CB QUEDA OPERATIVO. USUARIO SOMOS BANCOLOMBIA ACTIVO"/>
    <s v="GONZALEZ ESTUPIÑAN YEISON WALTER ANTONIO"/>
    <s v="FGZZZ925"/>
    <s v="TIPO I"/>
    <s v="TERRESTRE"/>
    <s v="GONZALEZ ESTUPIÑAN YEISON WALTER ANTONIO"/>
    <n v="1"/>
    <n v="1"/>
    <n v="1"/>
    <n v="11251.22416"/>
    <n v="126317.12212"/>
    <n v="57411.974240000003"/>
    <n v="194980.32052000001"/>
  </r>
  <r>
    <s v="MONTERIA"/>
    <x v="4"/>
    <x v="4"/>
    <n v="23464"/>
    <s v="TA-25-931174"/>
    <n v="80896"/>
    <s v="APERTURA"/>
    <s v="CB CRECIMIENTO - NUEVO"/>
    <s v="CORDOBA"/>
    <s v="MOMIL"/>
    <s v="BARRIO SANTA LUCIA MOMIL 1"/>
    <s v="REDEBAN"/>
    <s v="FO-25-1339157"/>
    <d v="2025-08-06T00:00:00"/>
    <d v="2025-08-11T00:00:00"/>
    <s v="UNO A UNO"/>
    <s v="UNO A UNO"/>
    <s v="EJECUTADO"/>
    <s v="06-08 SE REALIZA LLAMADA AL CLIENTE, SE HABLA CON LA SRA ALEJANDRA OSORIO MOLINA SE VALIDA DIRECCIÓN OK, CANAL OK, DISPONIBILIDAD TOTAL, LLAMAR EL DÍA LA INSTALACIÓN PARA CONFIRMAR VISITA, AVISO EXTERIOR ALTURA APROX 3 METROS; TOMACORRIENTE CERCANO: SI; TIENE CABINA DE SEGURIDAD: NO - EL MODEM ESTA A 7 MT  11/08/2025 SE REALIZA INSTALACIÓN DE CORRESPONSAL, SE INSTALAN EQUIPOS CON PRUEBAS EXITOSAS, SE CAPACITA Y SE EVALÚA AL CLIENTE, SE INSTALA PUBLICIDAD COMPLETA, CB QUEDA OPERATIVO. USUARIO SOMOS BANCOLOMBIA ACTIVO"/>
    <s v="CASSIANI PEREZ RAUL RAMIRO"/>
    <s v="FGZZZ926"/>
    <s v="TIPO II"/>
    <s v="TERRESTRE"/>
    <s v="CASSIANI PEREZ RAUL RAMIRO"/>
    <n v="1"/>
    <n v="1"/>
    <n v="1"/>
    <n v="11251.22416"/>
    <n v="126317.12212"/>
    <n v="110808.27512000001"/>
    <n v="248376.6214"/>
  </r>
  <r>
    <s v="NEIVA"/>
    <x v="0"/>
    <x v="0"/>
    <n v="41001"/>
    <s v="TA-25-931176"/>
    <n v="80901"/>
    <s v="APERTURA"/>
    <s v="CB CRECIMIENTO - NUEVO"/>
    <s v="HUILA"/>
    <s v="NEIVA"/>
    <s v="BARRIO SAN VALENTIN NEIVA 2"/>
    <s v="REDEBAN"/>
    <s v="FO-25-1339169"/>
    <d v="2025-08-06T00:00:00"/>
    <d v="2025-08-08T00:00:00"/>
    <s v="UNO A UNO"/>
    <s v="UNO A UNO"/>
    <s v="EJECUTADO"/>
    <s v="06-08 SE REALIZA LLAMADA AL CLIENTE, SE HABLA CON LA SRA MARTHA CECILIA MOSQUERA ESCOBAR SE VALIDA DIRECCIÓN OK, CANAL OK, DISPONIBILIDAD TOTAL, LLAMAR EL DÍA LA INSTALACIÓN PARA CONFIRMAR VISITA, AVISO EXTERIOR ALTURA APROX 2 METROS; TOMACORRIENTE CERCANO: SI; TIENE CABINA DE SEGURIDAD: NO - COMUNICACIÓN POR WPP 08-08 SE REALIZA INSTALACIÓN DE CORRESPONSAL, SE INSTALAN EQUIPOS CON PRUEBAS EXITOSAS, SE CAPACITA Y SE EVALÚA AL CLIENTE, SE INSTALA PUBLICIDAD COMPLETA, CB QUEDA OPERATIVO. USUARIO SOMOS BANCOLOMBIA ACTIVO"/>
    <s v="DIAZ VARGAS JONATHAN MIGUEL"/>
    <s v="FGZZZ927"/>
    <s v="TIPO I"/>
    <s v="TERRESTRE"/>
    <s v="DIAZ VARGAS JONATHAN MIGUEL"/>
    <n v="1"/>
    <n v="1"/>
    <n v="1"/>
    <n v="11251.22416"/>
    <n v="126317.12212"/>
    <n v="57411.974240000003"/>
    <n v="194980.32052000001"/>
  </r>
  <r>
    <s v="YOPAL"/>
    <x v="0"/>
    <x v="0"/>
    <n v="85250"/>
    <s v="TA-25-931177"/>
    <n v="80906"/>
    <s v="APERTURA"/>
    <s v="CB CRECIMIENTO - NUEVO"/>
    <s v="CASANARE"/>
    <s v="PAZ DE ARIPORO"/>
    <s v="BARRIO EL PALMAR PAZ DE ARIPORO 2"/>
    <s v="REDEBAN"/>
    <s v="FO-25-1339174"/>
    <d v="2025-08-06T00:00:00"/>
    <d v="2025-08-11T00:00:00"/>
    <s v="UNO A UNO"/>
    <s v="UNO A UNO"/>
    <s v="EJECUTADO/CANCELADO"/>
    <s v="06-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11/08/2025 SE VISITA COMERCIO, LA SEÑORA DIANA SARAVIA INDICA QUE POR TEMAS DE REMODELACION DEL LOCAL, ESTE ESTARÁ LISTO HASTA LA PROXIMA SEMANA, POR TAL MOTIVO SE ESCALA A COORDINADOR Y SE CANCELA, SE LE INDICA AL USUARIO QUE UNA VEZ ESTE EL LOCAL LISTO LLAME A LA ENTIDAD."/>
    <s v="BERNAL ELAICA EDGAR ALEXIS"/>
    <s v="FGZZZ928"/>
    <s v="TIPO II"/>
    <s v="TERRESTRE"/>
    <s v="BERNAL ELAICA EDGAR ALEXIS"/>
    <n v="0"/>
    <n v="0"/>
    <n v="2"/>
    <n v="11251.22416"/>
    <n v="126317.12212"/>
    <n v="110808.27512000001"/>
    <n v="221616.55024000001"/>
  </r>
  <r>
    <s v="CALI"/>
    <x v="1"/>
    <x v="1"/>
    <n v="19845"/>
    <s v="TA-25-931178"/>
    <n v="80922"/>
    <s v="APERTURA"/>
    <s v="CB CRECIMIENTO - NUEVO"/>
    <s v="CAUCA"/>
    <s v="VILLA RICA"/>
    <s v="BARRIO CENTRO VILLA RICA 5"/>
    <s v="REDEBAN"/>
    <s v="FO-25-1350933"/>
    <d v="2025-08-06T00:00:00"/>
    <d v="2025-08-13T00:00:00"/>
    <s v="UNO A UNO"/>
    <s v="UNO A UNO"/>
    <s v="EJECUTADO"/>
    <s v="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
    <s v="TORRES GARCIA JENDRY JOSE"/>
    <s v="FGZZZ929"/>
    <s v="TIPO IV"/>
    <s v="TERRESTRE"/>
    <s v="TORRES GARCIA JENDRY JOSE"/>
    <n v="1"/>
    <n v="1"/>
    <n v="3"/>
    <n v="11251.22416"/>
    <n v="126317.12212"/>
    <n v="110808.27512000001"/>
    <n v="469993.17164000002"/>
  </r>
  <r>
    <s v="PEREIRA"/>
    <x v="1"/>
    <x v="6"/>
    <n v="66001"/>
    <s v="TA-25-931179"/>
    <n v="80907"/>
    <s v="APERTURA"/>
    <s v="CB CRECIMIENTO - NUEVO"/>
    <s v="RISARALDA"/>
    <s v="PEREIRA"/>
    <s v="BARRIO CENTRO PEREIRA 52"/>
    <s v="REDEBAN"/>
    <s v="FO-25-1339182"/>
    <d v="2025-08-06T00:00:00"/>
    <d v="2025-08-08T00:00:00"/>
    <s v="UNO A UNO"/>
    <s v="UNO A UNO"/>
    <s v="EJECUTADO"/>
    <s v="06-08 SE REALIZA LLAMADA AL CLIENTE, SE HABLA CON LA SRA MARIANA GISETH NAVARRO MUETE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
    <s v="FRANCO CAÑAVERAL YAMID RAUL"/>
    <s v="FGZZZ931"/>
    <s v="TIPO I"/>
    <s v="TERRESTRE"/>
    <s v="FRANCO CAÑAVERAL YAMID RAUL"/>
    <n v="1"/>
    <n v="1"/>
    <n v="1"/>
    <n v="11251.22416"/>
    <n v="126317.12212"/>
    <n v="57411.974240000003"/>
    <n v="194980.32052000001"/>
  </r>
  <r>
    <s v="CARTAGENA"/>
    <x v="4"/>
    <x v="4"/>
    <n v="13657"/>
    <s v="TA-25-931180"/>
    <n v="80914"/>
    <s v="APERTURA"/>
    <s v="CB CRECIMIENTO - NUEVO"/>
    <s v="BOLIVAR"/>
    <s v="SAN JUAN NEPOMUCENO"/>
    <s v="BARRIO LA FRONTERA SAN JUAN NEPOMUCENO"/>
    <s v="REDEBAN"/>
    <s v="FO-25-1339187"/>
    <d v="2025-08-06T00:00:00"/>
    <d v="2025-08-11T00:00:00"/>
    <s v="UNO A UNO"/>
    <s v="UNO A UNO"/>
    <s v="EJECUTADO"/>
    <s v="06-08 SE REALIZA LLAMADA AL CLIENTE, SE HABLA CON LA SR RONALD SAMIR ROMERO CARO  SE VALIDA DIRECCIÓN OK, CANAL OK, DISPONIBILIDAD TOTAL, LLAMAR EL DÍA LA INSTALACIÓN PARA CONFIRMAR VISITA, AVISO EXTERIOR ALTURA APROX 2.20 METROS; TOMACORRIENTE CERCANO: SI; TIENE CABINA DE SEGURIDAD: SI 11/08/2025 SE REALIZA INSTALACIÓN DE CORRESPONSAL, SE INSTALAN EQUIPOS CON PRUEBAS EXITOSAS, SE CAPACITA Y SE EVALÚA AL CLIENTE, SE INSTALA PUBLICIDAD COMPLETA, CB QUEDA OPERATIVO. USUARIO SOMOS BANCOLOMBIA ACTIVO"/>
    <s v="CANEDO HERRERA ALEXANDER"/>
    <s v="FGZZZ932"/>
    <s v="TIPO II"/>
    <s v="TERRESTRE"/>
    <s v="CANEDO HERRERA ALEXANDER"/>
    <n v="1"/>
    <n v="1"/>
    <n v="1"/>
    <n v="11251.22416"/>
    <n v="126317.12212"/>
    <n v="110808.27512000001"/>
    <n v="248376.6214"/>
  </r>
  <r>
    <s v="TUNJA"/>
    <x v="3"/>
    <x v="3"/>
    <n v="15272"/>
    <s v="TA-25-931181"/>
    <n v="80893"/>
    <s v="APERTURA"/>
    <s v="CB CRECIMIENTO - NUEVO"/>
    <s v="BOYACA"/>
    <s v="FIRAVITOBA"/>
    <s v="BARRIO CENTRO FIRAVITOBA 2"/>
    <s v="REDEBAN"/>
    <s v="FO-25-1339192"/>
    <d v="2025-08-06T00:00:00"/>
    <d v="2025-08-12T00:00:00"/>
    <s v="UNO A UNO"/>
    <s v="UNO A UNO"/>
    <s v="EJECUTADO/CANCELADO"/>
    <s v="06-08 SE REALIZA LLAMADA AL CLIENTE, SE HABLA CON LA SR RONALD MANUEL SUAREZ CORREA  SE VALIDA DIRECCIÓN OK, CANAL OK, DISPONIBILIDAD TOTAL, LLAMAR EL DÍA LA INSTALACIÓN PARA CONFIRMAR VISITA, AVISO EXTERIOR ALTURA APROX 2.5 METROS; TOMACORRIENTE CERCANO: SI; TIENE CABINA DE SEGURIDAD: SI  08-08 POR TEMAS RELACIONADOS AL PARO DE MINEROS PRESENTADO EN EL DEPARTAMENTO,    LA ORDEN  SE REPROGRAMA HASTA  NUEVA ORDEN 12/08/2025 SE VISITA DIRECCIÓN COMERCIO , NO SE PROCEDE A EJECUTAR INSTALACIÓN POR DIRECCIÓN ERRADA ,SE VALIDA CÁMARA DE COMERCIO DIRECCIÓN COINCIDE CON LA ORDEN DE TRABAJO PERO SE VÁLIDA QUE LA DIRECCIÓN LE CORRESPONDE A OTRO PREDIO QUE ESTA UBICADO EN LA CASA DE AL LADO DE DONDE SE INSTALARÍA, SE LE INDICA AL CLIENTE QUE DEBE ACTUALIZAR CAMARA DE COMERCIO"/>
    <s v="ALVARADO MORENO CRISTHIAN"/>
    <s v="FGZZZ933"/>
    <s v="TIPO II"/>
    <s v="TERRESTRE"/>
    <s v="ALVARADO MORENO CRISTHIAN"/>
    <n v="0"/>
    <n v="0"/>
    <n v="2"/>
    <n v="11251.22416"/>
    <n v="126317.12212"/>
    <n v="110808.27512000001"/>
    <n v="221616.55024000001"/>
  </r>
  <r>
    <s v="BUCARAMANGA"/>
    <x v="3"/>
    <x v="3"/>
    <n v="68132"/>
    <s v="TA-25-931182"/>
    <n v="80873"/>
    <s v="APERTURA"/>
    <s v="CB CRECIMIENTO - NUEVO"/>
    <s v="SANTANDER"/>
    <s v="CALIFORNIA"/>
    <s v="BARRIO CALIFORNIA CALIFORNIA"/>
    <s v="REDEBAN"/>
    <s v="FO-25-1339197"/>
    <d v="2025-08-06T00:00:00"/>
    <d v="2025-08-12T00:00:00"/>
    <s v="UNO A UNO"/>
    <s v="UNO A UNO"/>
    <s v="EJECUTADO"/>
    <s v="06-08 SE REALIZA LLAMADA AL CLIENTE, SE HABLA CON LA SRA KELLY JOHANNA SANCHEZ BANDERAS  SE VALIDA DIRECCIÓN OK, CANAL OK, DISPONIBILIDAD TOTAL, LLAMAR EL DÍA LA INSTALACIÓN PARA CONFIRMAR VISITA, AVISO EXTERIOR ALTURA APROX 3 METROS; TOMACORRIENTE CERCANO: SI; TIENE CABINA DE SEGURIDAD: NO 11-08 EN COMUNICACIÓN CON LA SEÑORA KELLY AL MOVIL 3103538440,SE CONFIRMA DISPONIBILIDAD DE ATENCIÓN POR PARTE DEL CLIENTE  PARA EL DÍA MARTES 12 DE AGOSTO. 12/08/2025 SE REALIZA INSTALACIÓN DE CORRESPONSAL, SE INSTALAN EQUIPOS CON PRUEBAS EXITOSAS, SE CAPACITA Y SE EVALÚA AL CLIENTE, SE INSTALA PUBLICIDAD COMPLETA, CB QUEDA OPERATIVO. USUARIO SOMOS BANCOLOMBIA ACTIVO"/>
    <s v="SANTOS GONZALEZ JOHAN FABIAN"/>
    <s v="FGZZZ934"/>
    <s v="TIPO III"/>
    <s v="TERRESTRE"/>
    <s v="SANTOS GONZALEZ JOHAN FABIAN"/>
    <n v="1"/>
    <n v="1"/>
    <n v="1"/>
    <n v="11251.22416"/>
    <n v="126317.12212"/>
    <n v="110808.27512000001"/>
    <n v="248376.6214"/>
  </r>
  <r>
    <s v="TUNJA"/>
    <x v="3"/>
    <x v="3"/>
    <n v="15238"/>
    <s v="TA-25-931183"/>
    <n v="80881"/>
    <s v="APERTURA"/>
    <s v="CB CRECIMIENTO - NUEVO"/>
    <s v="BOYACA"/>
    <s v="DUITAMA"/>
    <s v="BARRIO LIBERTADOR DUITAMA 1"/>
    <s v="REDEBAN"/>
    <s v="FO-25-1339202"/>
    <d v="2025-08-06T00:00:00"/>
    <d v="2025-08-08T00:00:00"/>
    <s v="UNO A UNO"/>
    <s v="UNO A UNO"/>
    <s v="EJECUTADO"/>
    <s v="06-08 SE REALIZA LLAMADA AL CLIENTE, SE HABLA CON LA SRA MARIA DEL ROSARIO MONSOCUA VEGA SE VALIDA DIRECCIÓN OK, CANAL OK, DISPONIBILIDAD TOTAL, LLAMAR EL DÍA LA INSTALACIÓN PARA CONFIRMAR VISITA, USUARIO INDICA QUE YA TIENE AVISO; TOMACORRIENTE CERCANO: SI; TIENE CABINA DE SEGURIDAD: SI  08-08 SE REALIZA INSTALACIÓN DE CORRESPONSAL, SE INSTALAN EQUIPOS CON PRUEBAS EXITOSAS, SE CAPACITA Y SE EVALÚA AL CLIENTE, SE INSTALA SOLO AVISO YA QUE EN BODEGA NO HAY FALNGGER YD DISPLAY DE HORARIO, CB QUEDA OPERATIVO. USUARIO SOMOS BANCOLOMBIA ACTIVO"/>
    <s v="SOLER HOYOS CRISTIAN LEONARDO"/>
    <s v="FGZZZ935"/>
    <s v="TIPO II"/>
    <s v="TERRESTRE"/>
    <s v="SOLER HOYOS CRISTIAN LEONARDO"/>
    <n v="1"/>
    <n v="1"/>
    <n v="1"/>
    <n v="11251.22416"/>
    <n v="126317.12212"/>
    <n v="110808.27512000001"/>
    <n v="248376.6214"/>
  </r>
  <r>
    <s v="BUCARAMANGA"/>
    <x v="3"/>
    <x v="3"/>
    <n v="68169"/>
    <s v="TA-25-931184"/>
    <n v="80877"/>
    <s v="APERTURA"/>
    <s v="CB CRECIMIENTO - NUEVO"/>
    <s v="SANTANDER"/>
    <s v="CHARTA"/>
    <s v="BARRIO EL CARMEN CHARTA"/>
    <s v="REDEBAN"/>
    <s v="FO-25-1339209"/>
    <d v="2025-08-06T00:00:00"/>
    <d v="2025-08-11T00:00:00"/>
    <s v="UNO A UNO"/>
    <s v="UNO A UNO"/>
    <s v="EJECUTADO"/>
    <s v="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
    <s v="SANTOS GONZALEZ JOHAN FABIAN"/>
    <s v="FGZZZ936"/>
    <s v="TIPO II"/>
    <s v="TERRESTRE"/>
    <s v="SANTOS GONZALEZ JOHAN FABIAN"/>
    <n v="1"/>
    <n v="1"/>
    <n v="1"/>
    <n v="11251.22416"/>
    <n v="126317.12212"/>
    <n v="110808.27512000001"/>
    <n v="248376.6214"/>
  </r>
  <r>
    <s v="PEREIRA"/>
    <x v="1"/>
    <x v="6"/>
    <n v="66383"/>
    <s v="TA-25-931185"/>
    <n v="80892"/>
    <s v="APERTURA"/>
    <s v="CB CRECIMIENTO - NUEVO"/>
    <s v="RISARALDA"/>
    <s v="LA CELIA"/>
    <s v="BARRIO CENTRO LA CELIA 6"/>
    <s v="REDEBAN"/>
    <s v="FO-25-1339215"/>
    <d v="2025-08-06T00:00:00"/>
    <d v="2025-08-08T00:00:00"/>
    <s v="UNO A UNO"/>
    <s v="UNO A UNO"/>
    <s v="EJECUTADO"/>
    <s v="06-08 SE REALIZA LLAMADA AL CLIENTE, SE HABLA CON LA SR JHONIER ALEXIS OSORIO CORREA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
    <s v="ARROYAVE CANO MANUEL GUILLERMO"/>
    <s v="FGZZZ937"/>
    <s v="TIPO II"/>
    <s v="TERRESTRE"/>
    <s v="ARROYAVE CANO MANUEL GUILLERMO"/>
    <n v="1"/>
    <n v="1"/>
    <n v="1"/>
    <n v="11251.22416"/>
    <n v="126317.12212"/>
    <n v="110808.27512000001"/>
    <n v="248376.6214"/>
  </r>
  <r>
    <s v="YOPAL"/>
    <x v="0"/>
    <x v="0"/>
    <n v="85010"/>
    <s v="TA-25-931186"/>
    <n v="80862"/>
    <s v="APERTURA"/>
    <s v="CB CRECIMIENTO - NUEVO"/>
    <s v="CASANARE"/>
    <s v="AGUAZUL"/>
    <s v="BARRIO LA ESPIGA AGUAZUL"/>
    <s v="REDEBAN"/>
    <s v="FO-25-1339221"/>
    <d v="2025-08-06T00:00:00"/>
    <d v="2025-08-12T00:00:00"/>
    <s v="UNO A UNO"/>
    <s v="UNO A UNO"/>
    <s v="EJECUTADO"/>
    <s v="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
    <s v="BERNAL ELAICA EDGAR ALEXIS"/>
    <s v="FGZZZ940"/>
    <s v="TIPO II"/>
    <s v="TERRESTRE"/>
    <s v="BERNAL ELAICA EDGAR ALEXIS"/>
    <n v="1"/>
    <n v="1"/>
    <n v="1"/>
    <n v="11251.22416"/>
    <n v="126317.12212"/>
    <n v="110808.27512000001"/>
    <n v="248376.6214"/>
  </r>
  <r>
    <s v="TUNJA"/>
    <x v="3"/>
    <x v="3"/>
    <n v="15238"/>
    <s v="TA-25-931187"/>
    <n v="80882"/>
    <s v="APERTURA"/>
    <s v="CB CRECIMIENTO - NUEVO"/>
    <s v="BOYACA"/>
    <s v="DUITAMA"/>
    <s v="BARRIO ALAMOS DUITAMA"/>
    <s v="REDEBAN"/>
    <s v="FO-25-1339227"/>
    <d v="2025-08-06T00:00:00"/>
    <d v="2025-08-14T00:00:00"/>
    <s v="UNO A UNO"/>
    <s v="UNO A UNO"/>
    <s v="EJECUTADO"/>
    <s v="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
    <s v="MARTINEZ FLOREZ DONIS ALBERTO"/>
    <s v="FGZZZ941"/>
    <s v="TIPO II"/>
    <s v="TERRESTRE"/>
    <s v="MARTINEZ FLOREZ DONIS ALBERTO"/>
    <n v="1"/>
    <n v="1"/>
    <n v="1"/>
    <n v="11251.22416"/>
    <n v="126317.12212"/>
    <n v="110808.27512000001"/>
    <n v="248376.6214"/>
  </r>
  <r>
    <s v="TUNJA"/>
    <x v="3"/>
    <x v="3"/>
    <n v="15696"/>
    <s v="TA-25-931191"/>
    <n v="80874"/>
    <s v="APERTURA"/>
    <s v="CB CRECIMIENTO - NUEVO"/>
    <s v="BOYACA"/>
    <s v="SANTA SOFIA"/>
    <s v="BARRIO CENTRO SANTA SOFIA 6"/>
    <s v="REDEBAN"/>
    <s v="FO-25-1339232"/>
    <d v="2025-08-06T00:00:00"/>
    <d v="2025-08-15T00:00:00"/>
    <s v="UNO A UNO"/>
    <s v="UNO A UNO"/>
    <s v="EJECUTADO"/>
    <s v="06-08 SE REALIZA LLAMADA AL CLIENTE, SE HABLA CON LA SRA ANGELICA MARIA LOPEZ GAMBOA SE VALIDA DIRECCIÓN OK, CANAL OK, DISPONIBILIDAD TOTAL, LLAMAR EL DÍA LA INSTALACIÓN PARA CONFIRMAR VISITA, AVISO EXTERIOR ALTURA APROX 2 METROS; TOMACORRIENTE CERCANO: SI; TIENE CABINA DE SEGURIDAD: SI 08-08 POR TEMAS RELACIONADOS AL PARO DE MINEROS PRESENTADO EN EL DEPARTAMENTO SE REPROGRAMA VISITA HASTA  NUEVA ORDEN 15/08/2025 SE REALIZA INSTALACIÓN DE CORRESPONSAL, SE INSTALAN EQUIPOS CON PRUEBAS EXITOSAS, SE CAPACITA Y SE EVALÚA AL CLIENTE, SE INSTALA PUBLICIDAD COMPLETA, CB QUEDA OPERATIVO. USUARIO SOMOS BANCOLOMBIA ACTIVO. SE INSTALA ROUTER"/>
    <s v="GONZALEZ GONZALEZ MARIO ALBERTO"/>
    <s v="FGZZZ942"/>
    <s v="TIPO II"/>
    <s v="TERRESTRE"/>
    <s v="GONZALEZ GONZALEZ MARIO ALBERTO"/>
    <n v="1"/>
    <n v="1"/>
    <n v="1"/>
    <n v="11251.22416"/>
    <n v="126317.12212"/>
    <n v="110808.27512000001"/>
    <n v="248376.6214"/>
  </r>
  <r>
    <s v="MONTERIA"/>
    <x v="4"/>
    <x v="4"/>
    <n v="23580"/>
    <s v="TA-25-931198"/>
    <n v="80911"/>
    <s v="APERTURA"/>
    <s v="CB CRECIMIENTO - NUEVO"/>
    <s v="CORDOBA"/>
    <s v="PUERTO LIBERTADOR"/>
    <s v="BARRIO VIA TRONCAL PUERTO LIBERTADOR"/>
    <s v="REDEBAN"/>
    <s v="FO-25-1339237"/>
    <d v="2025-08-06T00:00:00"/>
    <d v="2025-08-14T00:00:00"/>
    <s v="UNO A UNO"/>
    <s v="UNO A UNO"/>
    <s v="EJECUTADO"/>
    <s v="06-08 SE REALIZA LLAMADA AL CLIENTE, SE HABLA CON LA SRA MARIA CECILIA MERCADO LOPEZSE VALIDA DIRECCIÓN OK, CANAL OK, DISPONIBILIDAD TOTAL, LLAMAR EL DÍA LA INSTALACIÓN PARA CONFIRMAR VISITA, AVISO EXTERIOR ALTURA APROX 2 METROS; TOMACORRIENTE CERCANO: SI; TIENE CABINA DE SEGURIDAD: NO - COMUNICACIÓN POR WPP / EL MODEM ESTA A 5 MT  / EL MODEM NO TIENE PUERTO DISPONIBLES 11-08 EN COMUNICACIÓN CON LA SRA MARIA MARCELA MERCADO, INDICA QUE NO PUEDE ATENDER LA INSTALACIÓN EL DÍA DE HOY DEBIDO A QUE SE ENCUENTRA EN CITA MÉDICA, SOLICITA SE REPROGRAME PARA EL DÍA JUEVES 14-08 14/08/2025 SE REALIZA INSTALACIÓN DE CORRESPONSAL, SE INSTALAN EQUIPOS CON PRUEBAS EXITOSAS, SE CAPACITA Y SE EVALÚA AL CLIENTE, SE INSTALA PUBLICIDAD COMPLETA, CB QUEDA OPERATIVO. USUARIO SOMOS BANCOLOMBIA ACTIVO"/>
    <s v="COGOLLO VERTEL EDER LUIS"/>
    <s v="FGZZZ943"/>
    <s v="TIPO IV"/>
    <s v="TERRESTRE"/>
    <s v="COGOLLO VERTEL EDER LUIS"/>
    <n v="1"/>
    <n v="1"/>
    <n v="1"/>
    <n v="11251.22416"/>
    <n v="126317.12212"/>
    <n v="110808.27512000001"/>
    <n v="248376.6214"/>
  </r>
  <r>
    <s v="BARRANQUILLA"/>
    <x v="4"/>
    <x v="4"/>
    <n v="8001"/>
    <s v="TA-25-931199"/>
    <n v="80865"/>
    <s v="APERTURA"/>
    <s v="CB CRECIMIENTO - NUEVO"/>
    <s v="ATLANTICO"/>
    <s v="BARRANQUILLA"/>
    <s v="BARRIO CIUDAD JARDIN BARRANQUILLA 17"/>
    <s v="REDEBAN"/>
    <s v="FO-25-1339240"/>
    <d v="2025-08-06T00:00:00"/>
    <d v="2025-08-08T00:00:00"/>
    <s v="UNO A UNO"/>
    <s v="UNO A UNO"/>
    <s v="EJECUTADO"/>
    <s v="06-08 SE REALIZA LLAMADA AL CLIENTE, SE HABLA CON LA SR ENRIQUE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
    <s v="DE AVILA SIADES ALBERTO ENRIQUE"/>
    <s v="FGZZZ944"/>
    <s v="TIPO I"/>
    <s v="TERRESTRE"/>
    <s v="DE AVILA SIADES ALBERTO ENRIQUE"/>
    <n v="1"/>
    <n v="1"/>
    <n v="1"/>
    <n v="11251.22416"/>
    <n v="126317.12212"/>
    <n v="57411.974240000003"/>
    <n v="194980.32052000001"/>
  </r>
  <r>
    <s v="BUCARAMANGA"/>
    <x v="3"/>
    <x v="3"/>
    <n v="68895"/>
    <s v="TA-25-931204"/>
    <n v="80820"/>
    <s v="APERTURA"/>
    <s v="CB CRECIMIENTO - OTRAS LISTAS"/>
    <s v="SANTANDER"/>
    <s v="ZAPATOCA"/>
    <s v="BARRIO SANTA BARBARA ZAPATOCA 2"/>
    <s v="REDEBAN"/>
    <s v="FO-25-1339254"/>
    <d v="2025-08-06T00:00:00"/>
    <d v="2025-08-08T00:00:00"/>
    <s v="UNO A UNO"/>
    <s v="UNO A UNO"/>
    <s v="EJECUTADO"/>
    <s v="06-08 SE REALIZA LLAMADA AL CLIENTE, SE HABLA CON LA SRA YOSARY MILENA MANJARRES RODRÍGUEZ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
    <s v="MARIÑO PABON JORGE ENRIQUE"/>
    <s v="FGZZZ947"/>
    <s v="TIPO III"/>
    <s v="TERRESTRE"/>
    <s v="MARIÑO PABON JORGE ENRIQUE"/>
    <n v="1"/>
    <n v="1"/>
    <n v="1"/>
    <n v="11251.22416"/>
    <n v="126317.12212"/>
    <n v="110808.27512000001"/>
    <n v="248376.6214"/>
  </r>
  <r>
    <s v="TUNJA"/>
    <x v="3"/>
    <x v="3"/>
    <n v="15176"/>
    <s v="TA-25-931206"/>
    <n v="80726"/>
    <s v="APERTURA"/>
    <s v="CB CRECIMIENTO - OTRAS LISTAS"/>
    <s v="BOYACA"/>
    <s v="CHIQUINQUIRA"/>
    <s v="BARRIO EL BOSQUE CHIQUINQUIRA 2"/>
    <s v="REDEBAN"/>
    <s v="FO-25-1339258"/>
    <d v="2025-08-06T00:00:00"/>
    <d v="2025-08-12T00:00:00"/>
    <s v="UNO A UNO"/>
    <s v="UNO A UNO"/>
    <s v="EJECUTADO"/>
    <s v="06-08 SE REALIZA LLAMADA AL CLIENTE, SE HABLA CON LA SRA ANDREA KATHERINE FUENTES LETRADO SE VALIDA DIRECCIÓN OK, CANAL OK, DISPONIBILIDAD TOTAL, LLAMAR EL DÍA LA INSTALACIÓN PARA CONFIRMAR VISITA, AVISO EXTERIOR ALTURA: NO INDICAL ALTURA; TOMACORRIENTE CERCANO: SI; TIENE CABINA DE SEGURIDAD: NO 11-08 POR TEMAS RELACIONADO AL PARO DE MINEROS PRESENTADO EN EL DEPARTAMENTO LA ORDEN SE REPROGRAMA HASTA  NUEVA ORDEN 12-08 SE REALIZA INSTALACIÓN DE CORRESPONSAL, SE INSTALAN EQUIPOS CON PRUEBAS EXITOSAS, SE CAPACITA Y SE EVALÚA AL CLIENTE, SE INSTALA PUBLICIDAD COMPLETA, CB QUEDA OPERATIVO. USUARIO SOMOS BANCOLOMBIA ACTIVO"/>
    <s v="RODRIGUEZ MURCIA YERSON IVAN"/>
    <s v="FGZZZ948"/>
    <s v="TIPO III"/>
    <s v="TERRESTRE"/>
    <s v="RODRIGUEZ MURCIA YERSON IVAN"/>
    <n v="1"/>
    <n v="1"/>
    <n v="1"/>
    <n v="11251.22416"/>
    <n v="126317.12212"/>
    <n v="110808.27512000001"/>
    <n v="248376.6214"/>
  </r>
  <r>
    <s v="MANIZALES"/>
    <x v="1"/>
    <x v="6"/>
    <n v="17873"/>
    <s v="TA-25-931207"/>
    <n v="80811"/>
    <s v="APERTURA"/>
    <s v="CB CRECIMIENTO - OTRAS LISTAS"/>
    <s v="CALDAS"/>
    <s v="VILLAMARIA"/>
    <s v="BARRIO LA FLORIDA VILLAMARIA"/>
    <s v="REDEBAN"/>
    <s v="FO-25-1339265"/>
    <d v="2025-08-06T00:00:00"/>
    <d v="2025-08-08T00:00:00"/>
    <s v="UNO A UNO"/>
    <s v="UNO A UNO"/>
    <s v="EJECUTADO"/>
    <s v="06-08 SE REALIZA LLAMADA AL CLIENTE, SE HABLA CON LA SRA JOSE ANTONIO TRUJILLO DE LOS RIOS SE VALIDA DIRECCIÓN OK, CANAL OK, DISPONIBILIDAD TOTAL, LLAMAR EL DÍA LA INSTALACIÓN PARA CONFIRMAR VISITA, AVISO EXTERIOR ALTURA APROX 2 METROS; TOMACORRIENTE CERCANO: SI; TIENE CABINA DE SEGURIDAD: NO - COMUNICACIÓN POR WPP 10/08/2025 SE REALIZA INSTALACIÓN DE CORRESPONSAL, SE INSTALAN EQUIPOS CON PRUEBAS EXITOSAS, SE CAPACITA Y SE EVALÚA AL CLIENTE, SE INSTALA PUBLICIDAD COMPLETA, CB QUEDA OPERATIVO. USUARIO SOMOS BANCOLOMBIA ACTIVO"/>
    <s v="AGUIRRE HENAO RAUL EDUARDO"/>
    <s v="FGZZZ949"/>
    <s v="TIPO I"/>
    <s v="TERRESTRE"/>
    <s v="AGUIRRE HENAO RAUL EDUARDO"/>
    <n v="1"/>
    <n v="1"/>
    <n v="1"/>
    <n v="11251.22416"/>
    <n v="126317.12212"/>
    <n v="57411.974240000003"/>
    <n v="194980.32052000001"/>
  </r>
  <r>
    <s v="CUCUTA"/>
    <x v="3"/>
    <x v="3"/>
    <n v="54001"/>
    <s v="TA-25-951678"/>
    <n v="80943"/>
    <s v="APERTURA"/>
    <s v="CB CRECIMIENTO - NUEVO"/>
    <s v="NORTE DE SANTANDER"/>
    <s v="CUCUTA"/>
    <s v="BARRIO NUEVO HORIZONTE CUCUTA 6"/>
    <s v="REDEBAN"/>
    <s v="FO-25-1359797"/>
    <d v="2025-08-11T00:00:00"/>
    <d v="2025-08-12T00:00:00"/>
    <s v="UNO A UNO"/>
    <s v="UNO A UNO"/>
    <s v="EJECUTADO"/>
    <s v="11-08 SE REALIZA LLAMADA AL CLIENTE, SE HABLA CON LA SRA LUIS RAMÓN CARRASCAL VERGEL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NARANJO AFANADOR RUBEN JESUS"/>
    <s v="FIZZZ271"/>
    <s v="TIPO I"/>
    <s v="TERRESTRE"/>
    <s v="NARANJO AFANADOR RUBEN JESUS"/>
    <n v="1"/>
    <n v="1"/>
    <n v="1"/>
    <n v="11251.22416"/>
    <n v="126317.12212"/>
    <n v="57411.974240000003"/>
    <n v="194980.32052000001"/>
  </r>
  <r>
    <s v="VALLEDUPAR"/>
    <x v="4"/>
    <x v="4"/>
    <n v="20001"/>
    <s v="TA-25-951708"/>
    <n v="80974"/>
    <s v="APERTURA"/>
    <s v="CB CRECIMIENTO - NUEVO"/>
    <s v="CESAR"/>
    <s v="VALLEDUPAR"/>
    <s v="BARRIO CENTRO VALLEDUPAR 32"/>
    <s v="REDEBAN"/>
    <s v="FO-25-1359815"/>
    <d v="2025-08-11T00:00:00"/>
    <d v="2025-08-13T00:00:00"/>
    <s v="UNO A UNO"/>
    <s v="UNO A UNO"/>
    <s v="EJECUTADO"/>
    <s v="11-08-2025 SE REALIZA LLAMADA AL CLIENTE, SE HABLA CON EL SR DANIEL ENRIQUE PRADA GOMEZ SE VALIDA DIRECCIÓN OK, CANAL OK, DISPONIBILIDAD TOTAL, LLAMAR EL DÍA LA INSTALACIÓN PARA CONFIRMAR VISITA, AVISO EXTERIOR ALTURA APROX 2 METROS; TOMACORRIENTE CERCANO: SI; TIENE CABINA DE SEGURIDAD: SI // CONTACTO REALIZADO POR LA APP // CLIENTE INDICA QUE PARA EL DIA DE MAÑANA TIENE CITA MEDICA, SOLICITA VISITAR EL 13/08 13/08/2025 SE REALIZA INSTALACIÓN DE CORRESPONSAL, SE INSTALAN EQUIPOS CON PRUEBAS EXITOSAS, SE CAPACITA Y SE EVALÚA AL CLIENTE, SE INSTALA PUBLICIDAD COMPLETA, CB QUEDA OPERATIVO. USUARIO SOMOS BANCOLOMBIA ACTIVO"/>
    <s v="MAESTRE MENGUAL EDGAR ENRIQUE"/>
    <s v="FIZZZ272"/>
    <s v="TIPO I"/>
    <s v="TERRESTRE"/>
    <s v="MAESTRE MENGUAL EDGAR ENRIQUE"/>
    <n v="1"/>
    <n v="1"/>
    <n v="1"/>
    <n v="11251.22416"/>
    <n v="126317.12212"/>
    <n v="57411.974240000003"/>
    <n v="194980.32052000001"/>
  </r>
  <r>
    <s v="TUNJA"/>
    <x v="3"/>
    <x v="3"/>
    <n v="15723"/>
    <s v="TA-25-951739"/>
    <n v="80975"/>
    <s v="APERTURA"/>
    <s v="CB CRECIMIENTO - NUEVO"/>
    <s v="BOYACA"/>
    <s v="SATIVASUR"/>
    <s v="BARRIO CENTRO SATIVASUR"/>
    <s v="REDEBAN"/>
    <s v="FO-25-1359836"/>
    <d v="2025-08-11T00:00:00"/>
    <d v="2025-08-14T00:00:00"/>
    <s v="UNO A UNO"/>
    <s v="UNO A UNO"/>
    <s v="EJECUTADO"/>
    <s v="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
    <s v="SOLER HOYOS CRISTIAN LEONARDO"/>
    <s v="FIZZZ273"/>
    <s v="TIPO III"/>
    <s v="TERRESTRE"/>
    <s v="SOLER HOYOS CRISTIAN LEONARDO"/>
    <n v="1"/>
    <n v="1"/>
    <n v="1"/>
    <n v="11251.22416"/>
    <n v="126317.12212"/>
    <n v="110808.27512000001"/>
    <n v="248376.6214"/>
  </r>
  <r>
    <s v="TUNJA"/>
    <x v="3"/>
    <x v="3"/>
    <n v="15759"/>
    <s v="TA-25-951767"/>
    <n v="80969"/>
    <s v="APERTURA"/>
    <s v="CB CRECIMIENTO - NUEVO"/>
    <s v="BOYACA"/>
    <s v="SOGAMOSO"/>
    <s v="BARRIO CHAPINERO SOGAMOSO 3"/>
    <s v="REDEBAN"/>
    <s v="FO-25-1359854"/>
    <d v="2025-08-11T00:00:00"/>
    <d v="2025-08-13T00:00:00"/>
    <s v="UNO A UNO"/>
    <s v="UNO A UNO"/>
    <s v="EJECUTADO"/>
    <s v="11-08-2025 SE REALIZA LLAMADA AL CLIENTE, SE HABLA CON LA SRA MARÍA YOLANDA SALAMANCA CRUZ SE VALIDA DIRECCIÓN OK, CANAL OK, DISPONIBILIDAD TOTAL, LLAMAR EL DÍA LA INSTALACIÓN PARA CONFIRMAR VISITA, AVISO EXTERIOR ALTURA APROX CLIENTE NO TIENE CONOCIMIENTO DE MEDIDA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
    <s v="MARTINEZ FLOREZ DONIS ALBERTO"/>
    <s v="FIZZZ274"/>
    <s v="TIPO II"/>
    <s v="TERRESTRE"/>
    <s v="MARTINEZ FLOREZ DONIS ALBERTO"/>
    <n v="1"/>
    <n v="1"/>
    <n v="1"/>
    <n v="11251.22416"/>
    <n v="126317.12212"/>
    <n v="110808.27512000001"/>
    <n v="248376.6214"/>
  </r>
  <r>
    <s v="SINCELEJO"/>
    <x v="4"/>
    <x v="4"/>
    <n v="70001"/>
    <s v="TA-25-951795"/>
    <n v="80966"/>
    <s v="APERTURA"/>
    <s v="CB CRECIMIENTO - NUEVO"/>
    <s v="SUCRE"/>
    <s v="SINCELEJO"/>
    <s v="BARRIO NUEVOS PIONEROS SINCELEJO"/>
    <s v="REDEBAN"/>
    <s v="FO-25-1359873"/>
    <d v="2025-08-11T00:00:00"/>
    <d v="2025-08-13T00:00:00"/>
    <s v="UNO A UNO"/>
    <s v="UNO A UNO"/>
    <s v="EJECUTADO"/>
    <s v="11-08-2025 SE REALIZA LLAMADA AL CLIENTE, SE HABLA CON LA SRA MILENA DEL ROCIO PEREZ MENDEZ SE VALIDA DIRECCIÓN OK, CANAL OK, DISPONIBILIDAD TOTAL, LLAMAR EL DÍA LA INSTALACIÓN PARA CONFIRMAR VISITA, AVISO EXTERIOR ALTURA APROX CLIENTE NO TIENE CONOCIMIENTO DE MEDIDAS; TOMACORRIENTE CERCANO: SI; TIENE CABINA DE SEGURIDAD: SI // CONTACTO REALIZADO POR WHATSAPP 13/08/2025 SE REALIZA INSTALACIÓN DE CORRESPONSAL, SE INSTALAN EQUIPOS CON PRUEBAS EXITOSAS, SE CAPACITA Y SE EVALÚA AL CLIENTE, SE INSTALA PUBLICIDAD COMPLETA, CB QUEDA OPERATIVO. USUARIO SOMOS BANCOLOMBIA ACTIVO"/>
    <s v="SANTOS GUZMAN CHRISTIAN FELIPE"/>
    <s v="FIZZZ275"/>
    <s v="TIPO I"/>
    <s v="TERRESTRE"/>
    <s v="SANTOS GUZMAN CHRISTIAN FELIPE"/>
    <n v="1"/>
    <n v="1"/>
    <n v="1"/>
    <n v="11251.22416"/>
    <n v="126317.12212"/>
    <n v="57411.974240000003"/>
    <n v="194980.32052000001"/>
  </r>
  <r>
    <s v="CUCUTA"/>
    <x v="3"/>
    <x v="3"/>
    <n v="54874"/>
    <s v="TA-25-951828"/>
    <n v="80980"/>
    <s v="APERTURA"/>
    <s v="CB CRECIMIENTO - NUEVO"/>
    <s v="NORTE DE SANTANDER"/>
    <s v="VILLA DEL ROSARIO"/>
    <s v="BARRIO SAN MARTIN VILLA DEL ROSARIO  2"/>
    <s v="REDEBAN"/>
    <s v="FO-25-1359892"/>
    <d v="2025-08-11T00:00:00"/>
    <d v="2025-08-12T00:00:00"/>
    <s v="UNO A UNO"/>
    <s v="UNO A UNO"/>
    <s v="EJECUTADO"/>
    <s v="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2/08/2025 SE REALIZA INSTALACIÓN DE CORRESPONSAL, SE INSTALAN EQUIPOS CON PRUEBAS EXITOSAS, SE CAPACITA Y SE EVALÚA AL CLIENTE, SE INSTALA PUBLICIDAD COMPLETA, CB QUEDA OPERATIVO. USUARIO SOMOS BANCOLOMBIA ACTIVO"/>
    <s v="PACHECO BUITRAGO JAVIER ALONSO"/>
    <s v="FIZZZ276"/>
    <s v="TIPO I"/>
    <s v="TERRESTRE"/>
    <s v="PACHECO BUITRAGO JAVIER ALONSO"/>
    <n v="1"/>
    <n v="1"/>
    <n v="1"/>
    <n v="11251.22416"/>
    <n v="126317.12212"/>
    <n v="57411.974240000003"/>
    <n v="194980.32052000001"/>
  </r>
  <r>
    <s v="BARRANQUILLA"/>
    <x v="4"/>
    <x v="4"/>
    <n v="8141"/>
    <s v="TA-25-951857"/>
    <n v="80938"/>
    <s v="APERTURA"/>
    <s v="CB CRECIMIENTO - NUEVO"/>
    <s v="ATLANTICO"/>
    <s v="CANDELARIA"/>
    <s v="BARRIO CANDELARIA CANDELARIA"/>
    <s v="REDEBAN"/>
    <s v="FO-25-1359911"/>
    <d v="2025-08-11T00:00:00"/>
    <d v="2025-08-12T00:00:00"/>
    <s v="UNO A UNO"/>
    <s v="UNO A UNO"/>
    <s v="EJECUTADO"/>
    <s v="11-08-2025 SE REALIZA LLAMADA AL CLIENTE, SE HABLA CON EL SR ABID ENRIQUE MUÑOZ ARIZA SE VALIDA DIRECCIÓN OK, CANAL OK, DISPONIBILIDAD TOTAL, LLAMAR EL DÍA LA INSTALACIÓN PARA CONFIRMAR VISITA, AVISO EXTERIOR ALTURA APROX 2 METROS; TOMACORRIENTE CERCANO: SI; TIENE CABINA DE SEGURIDAD: SI // CONTACTO REALIZADO POR LA APP 12-08 SE REALIZA INSTALACIÓN DE CORRESPONSAL, SE INSTALAN EQUIPOS CON PRUEBAS EXITOSAS, SE CAPACITA Y SE EVALÚA AL CLIENTE, SE INSTALA PUBLICIDAD COMPLETA, CB QUEDA OPERATIVO. USUARIO SOMOS BANCOLOMBIA ACTIVO"/>
    <s v="DE AVILA SIADES ALBERTO ENRIQUE"/>
    <s v="FIZZZ278"/>
    <s v="TIPO II"/>
    <s v="TERRESTRE"/>
    <s v="DE AVILA SIADES ALBERTO ENRIQUE"/>
    <n v="1"/>
    <n v="1"/>
    <n v="1"/>
    <n v="11251.22416"/>
    <n v="126317.12212"/>
    <n v="110808.27512000001"/>
    <n v="248376.6214"/>
  </r>
  <r>
    <s v="VILLAVICENCIO"/>
    <x v="0"/>
    <x v="0"/>
    <n v="50001"/>
    <s v="TA-25-951899"/>
    <n v="80983"/>
    <s v="APERTURA"/>
    <s v="CB CRECIMIENTO - NUEVO"/>
    <s v="META"/>
    <s v="VILLAVICENCIO"/>
    <s v="BARRIO PORVENIR VILLAVICENCIO 11"/>
    <s v="REDEBAN"/>
    <s v="FO-25-1359933"/>
    <d v="2025-08-11T00:00:00"/>
    <d v="2025-08-13T00:00:00"/>
    <s v="UNO A UNO"/>
    <s v="UNO A UNO"/>
    <s v="EJECUTADO"/>
    <s v="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
    <s v="CASTRILLON URREA LONDIER LEANDRO"/>
    <s v="FIZZZ279"/>
    <s v="TIPO I"/>
    <s v="TERRESTRE"/>
    <s v="CASTRILLON URREA LONDIER LEANDRO"/>
    <n v="1"/>
    <n v="1"/>
    <n v="1"/>
    <n v="11251.22416"/>
    <n v="126317.12212"/>
    <n v="57411.974240000003"/>
    <n v="194980.32052000001"/>
  </r>
  <r>
    <s v="CUCUTA"/>
    <x v="3"/>
    <x v="3"/>
    <n v="54405"/>
    <s v="TA-25-951927"/>
    <n v="80947"/>
    <s v="APERTURA"/>
    <s v="CB CRECIMIENTO - NUEVO"/>
    <s v="NORTE DE SANTANDER"/>
    <s v="LOS PATIOS"/>
    <s v="BARRIO URB LA CAMPIÑA LOS PATIOS  1"/>
    <s v="REDEBAN"/>
    <s v="FO-25-1359954"/>
    <d v="2025-08-11T00:00:00"/>
    <d v="2025-08-12T00:00:00"/>
    <s v="UNO A UNO"/>
    <s v="UNO A UNO"/>
    <s v="EJECUTADO"/>
    <s v="11-08-2025 SE REALIZA LLAMADA AL CLIENTE, SE HABLA CON LA SRA JUDITH MENDOZA BERMUDEZ SE VALIDA DIRECCIÓN OK, CANAL OK, DISPONIBILIDAD TOTAL, LLAMAR EL DÍA LA INSTALACIÓN PARA CONFIRMAR VISITA, AVISO EXTERIOR ALTURA APROX 6 METROS; TOMACORRIENTE CERCANO: SI; TIENE CABINA DE SEGURIDAD: SI // CONTACTO REALIZADO POR LA APP // CLIENTE SOLICITA VISITAR EN HORAS DE LA TARDE MAS ESPECIFICO A LAS 3, YA QUE A ESA HORA ESATRIA ELLA Y LA JOVEN QUE LA AYUDA A ATENDER EL NEGOCIO 12-08 SE REALIZA INSTALACIÓN DE CORRESPONSAL, SE INSTALAN EQUIPOS CON PRUEBAS EXITOSAS, SE CAPACITA Y SE EVALÚA AL CLIENTE, SE INSTALA PUBLICIDAD COMPLETA, CB QUEDA OPERATIVO. USUARIO SOMOS BANCOLOMBIA ACTIVO"/>
    <s v="PACHECO BUITRAGO JAVIER ALONSO"/>
    <s v="FIZZZ280"/>
    <s v="TIPO I"/>
    <s v="TERRESTRE"/>
    <s v="PACHECO BUITRAGO JAVIER ALONSO"/>
    <n v="1"/>
    <n v="1"/>
    <n v="1"/>
    <n v="11251.22416"/>
    <n v="126317.12212"/>
    <n v="57411.974240000003"/>
    <n v="194980.32052000001"/>
  </r>
  <r>
    <s v="SINCELEJO"/>
    <x v="4"/>
    <x v="4"/>
    <n v="70001"/>
    <s v="TA-25-951957"/>
    <n v="80967"/>
    <s v="APERTURA"/>
    <s v="CB CRECIMIENTO - NUEVO"/>
    <s v="SUCRE"/>
    <s v="SINCELEJO"/>
    <s v="BARRIO CENTRO SINCELEJO 26"/>
    <s v="REDEBAN"/>
    <s v="FO-25-1359973"/>
    <d v="2025-08-11T00:00:00"/>
    <d v="2025-08-12T00:00:00"/>
    <s v="UNO A UNO"/>
    <s v="UNO A UNO"/>
    <s v="EJECUTADO"/>
    <s v="11-08-2025 SE REALIZA LLAMADA AL CLIENTE, SE HABLA CON EL SR ROBERTO CARLOS ROMERO CARDOZA SE VALIDA DIRECCIÓN OK, CANAL OK, DISPONIBILIDAD TOTAL, LLAMAR EL DÍA LA INSTALACIÓN PARA CONFIRMAR VISITA, AVISO EXTERIOR ALTURA APROX 1 METROS; TOMACORRIENTE CERCANO: SI; TIENE CABINA DE SEGURIDAD: NO // CONTACTO REALIZADO POR LA APP // CLIENTE COMENTA QUE DE SER POSIBLE VISITAR EN LA MAÑANA 12/08/2025 SE REALIZA INSTALACIÓN DE CORRESPONSAL, SE INSTALAN EQUIPOS CON PRUEBAS EXITOSAS, SE CAPACITA Y SE EVALÚA AL CLIENTE, SE INSTALA PUBLICIDAD COMPLETA, CB QUEDA OPERATIVO. USUARIO SOMOS BANCOLOMBIA ACTIVO"/>
    <s v="SANTOS GUZMAN CHRISTIAN FELIPE"/>
    <s v="FIZZZ281"/>
    <s v="TIPO I"/>
    <s v="TERRESTRE"/>
    <s v="SANTOS GUZMAN CHRISTIAN FELIPE"/>
    <n v="1"/>
    <n v="1"/>
    <n v="1"/>
    <n v="11251.22416"/>
    <n v="126317.12212"/>
    <n v="57411.974240000003"/>
    <n v="194980.32052000001"/>
  </r>
  <r>
    <s v="VILLAVICENCIO"/>
    <x v="0"/>
    <x v="0"/>
    <n v="50001"/>
    <s v="TA-25-951985"/>
    <n v="80982"/>
    <s v="APERTURA"/>
    <s v="CB CRECIMIENTO - NUEVO"/>
    <s v="META"/>
    <s v="VILLAVICENCIO"/>
    <s v="BARRIO EL BRILLANTE VILLAVICENCIO 2"/>
    <s v="REDEBAN"/>
    <s v="FO-25-1359996"/>
    <d v="2025-08-11T00:00:00"/>
    <d v="2025-08-13T00:00:00"/>
    <s v="UNO A UNO"/>
    <s v="UNO A UNO"/>
    <s v="EJECUTADO"/>
    <s v="11-08-2025 SE REALIZA LLAMADA AL CLIENTE, SE HABLA CON EL SR ROLFER JERMEHY PARDO SERNA SE VALIDA DIRECCIÓN OK, CANAL OK, DISPONIBILIDAD TOTAL, LLAMAR EL DÍA LA INSTALACIÓN PARA CONFIRMAR VISITA, AVISO EXTERIOR ALTURA APROX 3,50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
    <s v="CASTRILLON URREA LONDIER LEANDRO"/>
    <s v="FIZZZ282"/>
    <s v="TIPO I"/>
    <s v="TERRESTRE"/>
    <s v="CASTRILLON URREA LONDIER LEANDRO"/>
    <n v="1"/>
    <n v="1"/>
    <n v="1"/>
    <n v="11251.22416"/>
    <n v="126317.12212"/>
    <n v="57411.974240000003"/>
    <n v="194980.32052000001"/>
  </r>
  <r>
    <s v="BOGOTA"/>
    <x v="5"/>
    <x v="5"/>
    <n v="25843"/>
    <s v="TA-25-952015"/>
    <n v="80979"/>
    <s v="APERTURA"/>
    <s v="CB CRECIMIENTO - NUEVO"/>
    <s v="CUNDINAMARCA"/>
    <s v="VILLA DE SAN DIEGO DE UBATE"/>
    <s v="BARRIO NORTE VILLA DE SAN DIEGO DE UBATE 3"/>
    <s v="REDEBAN"/>
    <s v="FO-25-1360015"/>
    <d v="2025-08-11T00:00:00"/>
    <d v="2025-08-12T00:00:00"/>
    <s v="UNO A UNO"/>
    <s v="UNO A UNO"/>
    <s v="EJECUTADO"/>
    <s v="11-08-2025 SE REALIZA LLAMADA AL CLIENTE, SE HABLA CON LA SRA MINELY PAOLA RODRIGUEZ GUZMAN SE VALIDA DIRECCIÓN OK, CANAL OK, DISPONIBILIDAD TOTAL, LLAMAR EL DÍA LA INSTALACIÓN PARA CONFIRMAR VISITA, AVISO EXTERIOR ALTURA APROX 2,50 METROS; TOMACORRIENTE CERCANO: SI; TIENE CABINA DE SEGURIDAD: NO // CONTACTO REALIZADO POR LA APP 12/08/2025 SE REALIZA INSTALACIÓN DE CORRESPONSAL, SE INSTALAN EQUIPOS CON PRUEBAS EXITOSAS, SE CAPACITA Y SE EVALÚA AL CLIENTE, SE INSTALA PUBLICIDAD COMPLETA, CB QUEDA OPERATIVO. USUARIO SOMOS BANCOLOMBIA ACTIVO"/>
    <s v="GOMEZ VEGA DAVID SNEYDER"/>
    <s v="FIZZZ283"/>
    <s v="TIPO II"/>
    <s v="TERRESTRE"/>
    <s v="GOMEZ VEGA DAVID SNEYDER"/>
    <n v="1"/>
    <n v="1"/>
    <n v="1"/>
    <n v="11251.22416"/>
    <n v="126317.12212"/>
    <n v="110808.27512000001"/>
    <n v="248376.6214"/>
  </r>
  <r>
    <s v="MEDELLIN"/>
    <x v="2"/>
    <x v="2"/>
    <n v="5001"/>
    <s v="TA-25-952041"/>
    <n v="80984"/>
    <s v="APERTURA"/>
    <s v="CB CRECIMIENTO - NUEVO"/>
    <s v="ANTIOQUIA"/>
    <s v="MEDELLIN"/>
    <s v="BARRIO ENCISO LLANADITAS MEDELLIN"/>
    <s v="REDEBAN"/>
    <s v="FO-25-1360033"/>
    <d v="2025-08-11T00:00:00"/>
    <d v="2025-08-13T00:00:00"/>
    <s v="UNO A UNO"/>
    <s v="UNO A UNO"/>
    <s v="EJECUTADO"/>
    <s v="11-08-2025 SE REALIZA LLAMADA AL CLIENTE, SE HABLA CON EL SR SEBASTIAN QUINTERO MARTINEZ SE VALIDA DIRECCIÓN OK, CANAL OK, DISPONIBILIDAD TOTAL, LLAMAR EL DÍA LA INSTALACIÓN PARA CONFIRMAR VISITA, AVISO EXTERIOR ALTURA APROX 2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
    <s v="ALVAREZ ARENAS VICTOR HUGO"/>
    <s v="FIZZZ284"/>
    <s v="TIPO I"/>
    <s v="TERRESTRE"/>
    <s v="ALVAREZ ARENAS VICTOR HUGO"/>
    <n v="1"/>
    <n v="1"/>
    <n v="1"/>
    <n v="11251.22416"/>
    <n v="126317.12212"/>
    <n v="57411.974240000003"/>
    <n v="194980.32052000001"/>
  </r>
  <r>
    <s v="PASTO"/>
    <x v="1"/>
    <x v="1"/>
    <n v="52079"/>
    <s v="TA-25-952072"/>
    <n v="80928"/>
    <s v="APERTURA"/>
    <s v="CB CRECIMIENTO - NUEVO"/>
    <s v="NARIÑO"/>
    <s v="BARBACOAS"/>
    <s v="BARRIO CL SAN ANTONIO BARBACOAS"/>
    <s v="REDEBAN"/>
    <s v="FO-25-1360054"/>
    <d v="2025-08-11T00:00:00"/>
    <d v="2025-08-14T00:00:00"/>
    <s v="UNO A UNO"/>
    <s v="UNO A UNO"/>
    <s v="EJECUTADO"/>
    <s v="11-08 SE REALIZA LLAMADA AL CLIENTE, SE HABLA CON LA SR BRAINER ALONSO CUERO QUIÑONES  SE VALIDA DIRECCIÓN OK, CANAL OK, DISPONIBILIDAD TOTAL, LLAMAR EL DÍA LA INSTALACIÓN PARA CONFIRMAR VISITA, AVISO EXTERIOR ALTURA APROX 2 METROS; TOMACORRIENTE CERCANO: SI; TIENE CABINA DE SEGURIDAD: NO 13-08 13-08 ACTUALMENTE SE ENCUENTRAN EL TECNICO EN MAGUI, DE ALLI DEBE CONSIGUIR OTRO TRANSPORTE PARA BARBACOAS EN LANCHA Y BUS. SE REPROGRAMA ACTIVIDAD 14-08 SE REALIZA INSTALACIÓN DE CORRESPONSAL, SE INSTALAN EQUIPOS CON PRUEBAS EXITOSAS, SE CAPACITA Y SE EVALÚA AL CLIENTE, SE INSTALA PUBLICIDAD COMPLETA, CB QUEDA OPERATIVO. USUARIO SOMOS BANCOLOMBIA ACTIVO"/>
    <s v="PAZ MARTINEZ RICHARD HUMBERTO"/>
    <s v="FIZZZ285"/>
    <s v="TIPO IV"/>
    <s v="TERRESTRE"/>
    <s v="PAZ MARTINEZ RICHARD HUMBERTO"/>
    <n v="1"/>
    <n v="1"/>
    <n v="1"/>
    <n v="11251.22416"/>
    <n v="126317.12212"/>
    <n v="110808.27512000001"/>
    <n v="248376.6214"/>
  </r>
  <r>
    <s v="CALI"/>
    <x v="1"/>
    <x v="1"/>
    <n v="76275"/>
    <s v="TA-25-952096"/>
    <n v="80944"/>
    <s v="APERTURA"/>
    <s v="CB CRECIMIENTO - NUEVO"/>
    <s v="VALLE DEL CAUCA"/>
    <s v="FLORIDA"/>
    <s v="BARRIO LA ESPERANZA FLORIDA 1"/>
    <s v="REDEBAN"/>
    <s v="FO-25-1360070"/>
    <d v="2025-08-11T00:00:00"/>
    <d v="2025-08-14T00:00:00"/>
    <s v="UNO A UNO"/>
    <s v="UNO A UNO"/>
    <s v="EJECUTADO"/>
    <s v="11-08 SE REALIZA LLAMADA AL CLIENTE, SE HABLA CON LA SRA KELLY JHOANNA ZUÑIGA ASPRILLA  SE VALIDA DIRECCIÓN OK, CANAL OK, DISPONIBILIDAD TOTAL, LLAMAR EL DÍA LA INSTALACIÓN PARA CONFIRMAR VISITA, AVISO EXTERIOR ALTURA APROX 2 METROS; TOMACORRIENTE CERCANO: SI; TIENE CABINA DE SEGURIDAD: NO - EL MODEM ESTA A 4 MT  13-08 SE COMUNICA CON EL CLIENTE VÍA TELÉFONICA PARA CONFIRMA LA VISTA E INDICA QUE EL DÍA DE HOY NO HAY SERVICIO DE TRANSPORTE PÚBLICO HACIA EL MUNICIPIO DE FLORIDA, SE DESPLAZA HACIA LA TERMINAL DE CALI Y SE CONFIRMA LA INFORMACIÓN. 14/08/2025 SE REALIZA INSTALACIÓN DE CORRESPONSAL, SE INSTALAN EQUIPOS CON PRUEBAS EXITOSAS, SE CAPACITA Y SE EVALÚA AL CLIENTE, SE INSTALA PUBLICIDAD COMPLETA, CB QUEDA OPERATIVO. USUARIO SOMOS BANCOLOMBIA ACTIVO"/>
    <s v="MONTERO MUESES GIAN CARLO"/>
    <s v="FIZZZ286"/>
    <s v="TIPO II"/>
    <s v="TERRESTRE"/>
    <s v="MONTERO MUESES GIAN CARLO"/>
    <n v="1"/>
    <n v="1"/>
    <n v="1"/>
    <n v="11251.22416"/>
    <n v="126317.12212"/>
    <n v="110808.27512000001"/>
    <n v="248376.6214"/>
  </r>
  <r>
    <s v="BOGOTA"/>
    <x v="5"/>
    <x v="5"/>
    <n v="25899"/>
    <s v="TA-25-952124"/>
    <n v="80989"/>
    <s v="APERTURA"/>
    <s v="CB CRECIMIENTO - NUEVO"/>
    <s v="CUNDINAMARCA"/>
    <s v="ZIPAQUIRA"/>
    <s v="BARRIO PASO ANCHO ZIPAQUIRÁ"/>
    <s v="REDEBAN"/>
    <s v="FO-25-1360091"/>
    <d v="2025-08-11T00:00:00"/>
    <d v="2025-08-14T00:00:00"/>
    <s v="UNO A UNO"/>
    <s v="UNO A UNO"/>
    <s v="EJECUTADO"/>
    <s v="11-08 SE REALIZA LLAMADA AL CLIENTE, SE HABLA CON LA SRA YOLI PAOLA CASALLAS MARQUEZ  SE VALIDA DIRECCIÓN OK, CANAL OK, DISPONIBILIDAD TOTAL, LLAMAR EL DÍA LA INSTALACIÓN PARA CONFIRMAR VISITA, AVISO EXTERIOR ALTURA APROX 2 METROS; TOMACORRIENTE CERCANO: SI; TIENE CABINA DE SEGURIDAD: NO // CONTACTO REALIZADO POR LA APP // CLIENTE SOLICITA QUE SE VISITE PARA LA APERTURA EL DIA 14/08 YA QUE EL MIERCOLES NO HABRA NADIE EN EL COMERCIO 14/08/2025 SE REALIZA INSTALACIÓN DE CORRESPONSAL, SE INSTALAN EQUIPOS CON PRUEBAS EXITOSAS, SE CAPACITA Y SE EVALÚA AL CLIENTE, SE INSTALA PUBLICIDAD COMPLETA, CB QUEDA OPERATIVO. USUARIO SOMOS BANCOLOMBIA ACTIVO"/>
    <s v="MURCIA HERNANDEZ HARVEY IGNACIO"/>
    <s v="FIZZZ287"/>
    <s v="TIPO II"/>
    <s v="TERRESTRE"/>
    <s v="MURCIA HERNANDEZ HARVEY IGNACIO"/>
    <n v="1"/>
    <n v="1"/>
    <n v="1"/>
    <n v="11251.22416"/>
    <n v="126317.12212"/>
    <n v="110808.27512000001"/>
    <n v="248376.6214"/>
  </r>
  <r>
    <s v="BOGOTA"/>
    <x v="5"/>
    <x v="5"/>
    <n v="11001"/>
    <s v="TA-25-952153"/>
    <n v="80933"/>
    <s v="APERTURA"/>
    <s v="CAMBIO DE RAZON SOCIAL"/>
    <s v="CUNDINAMARCA"/>
    <s v="BOGOTA"/>
    <s v="BARRIO BOCHICA BOGOTA 3"/>
    <s v="REDEBAN"/>
    <s v="FO-25-1360107"/>
    <d v="2025-08-11T00:00:00"/>
    <d v="2025-08-12T00:00:00"/>
    <s v="UNO A UNO"/>
    <s v="UNO A UNO"/>
    <s v="EJECUTADO"/>
    <s v="11-08 SE REALIZA LLAMADA AL CLIENTE, SE HABLA CON LA SRA LEITH MARCELA BOHORQUEZ GRANADOS SE VALIDA DIRECCIÓN OK, CANAL OK, DISPONIBILIDAD TOTAL, LLAMAR EL DÍA LA INSTALACIÓN PARA CONFIRMAR VISITA, AVISO EXTERIOR ALTURA APROX 2 METROS; TOMACORRIENTE CERCANO: SI; TIENE CABINA DE SEGURIDAD: NO - COMUNIICACIÓN POR WPP 12-08 SE REALIZA INSTALACIÓN DE CORRESPONSAL, SE INSTALAN EQUIPOS CON PRUEBAS EXITOSAS, SE CAPACITA Y SE EVALÚA AL CLIENTE, SE INSTALA PUBLICIDAD COMPLETA, CB QUEDA OPERATIVO. USUARIO SOMOS BANCOLOMBIA ACTIVO"/>
    <s v="MURCIA HERNANDEZ HARVEY IGNACIO"/>
    <s v="FIZZZ288"/>
    <s v="TIPO I"/>
    <s v="TERRESTRE"/>
    <s v="MURCIA HERNANDEZ HARVEY IGNACIO"/>
    <n v="1"/>
    <n v="1"/>
    <n v="1"/>
    <n v="11251.22416"/>
    <n v="126317.12212"/>
    <n v="57411.974240000003"/>
    <n v="194980.32052000001"/>
  </r>
  <r>
    <s v="PASTO"/>
    <x v="1"/>
    <x v="1"/>
    <n v="52621"/>
    <s v="TA-25-952173"/>
    <n v="80963"/>
    <s v="APERTURA"/>
    <s v="CB CRECIMIENTO - NUEVO"/>
    <s v="NARIÑO"/>
    <s v="ROBERTO PAYAN"/>
    <s v="BARRIO LA PRIMAVERA ROBERTO PAYAN 1"/>
    <s v="REDEBAN"/>
    <s v="FO-25-1360123"/>
    <d v="2025-08-11T00:00:00"/>
    <d v="2025-08-12T00:00:00"/>
    <s v="UNO A UNO"/>
    <s v="UNO A UNO"/>
    <s v="EJECUTADO"/>
    <s v="11-08 SE REALIZA LLAMADA AL CLIENTE, SE HABLA CON LA SR YEISON ROMARIO CASANOVA CORTES  SE VALIDA DIRECCIÓN OK, CANAL OK, DISPONIBILIDAD TOTAL, LLAMAR EL DÍA LA INSTALACIÓN PARA CONFIRMAR VISITA, AVISO EXTERIOR ALTURA APROX 6 METROS; TOMACORRIENTE CERCANO: SI; TIENE CABINA DE SEGURIDAD: NO 12-08 SE REALIZA INSTALACIÓN DE CORRESPONSAL, SE INSTALAN EQUIPOS CON PRUEBAS EXITOSAS, SE CAPACITA Y SE EVALÚA AL CLIENTE, SE INSTALA PUBLICIDAD COMPLETA, CB QUEDA OPERATIVO. USUARIO SOMOS BANCOLOMBIA ACTIVO"/>
    <s v="PAZ MARTINEZ RICHARD HUMBERTO"/>
    <s v="FIZZZ289"/>
    <s v="TIPO IV ESPECIAL"/>
    <s v="FLUVIAL"/>
    <s v="PAZ MARTINEZ RICHARD HUMBERTO"/>
    <n v="1"/>
    <n v="1"/>
    <n v="1"/>
    <n v="11251.22416"/>
    <n v="126317.12212"/>
    <n v="110808.27512000001"/>
    <n v="248376.6214"/>
  </r>
  <r>
    <s v="APARTADO"/>
    <x v="2"/>
    <x v="2"/>
    <n v="5665"/>
    <s v="TA-25-952201"/>
    <n v="80961"/>
    <s v="APERTURA"/>
    <s v="CB CRECIMIENTO - NUEVO"/>
    <s v="ANTIOQUIA"/>
    <s v="SAN PEDRO DE URABA"/>
    <s v="BARRO ALFONSO LOPEZ SAN PEDRO DE URABA ANTIOQUIA SAN PEDRO DE URABA"/>
    <s v="REDEBAN"/>
    <s v="FO-25-1360142"/>
    <d v="2025-08-11T00:00:00"/>
    <d v="2025-08-20T00:00:00"/>
    <s v="UNO A UNO"/>
    <s v="UNO A UNO"/>
    <s v="EJECUTADO"/>
    <s v="11-08 SE REALIZA LLAMADA AL CLIENTE, SE HABLA CON LA SR IVAN DARIO MONTALVO VILLEGAS  SE VALIDA DIRECCIÓN OK, CANAL OK, DISPONIBILIDAD TOTAL, LLAMAR EL DÍA LA INSTALACIÓN PARA CONFIRMAR VISITA, AVISO EXTERIOR ALTURA APROX 2 METROS; TOMACORRIENTE CERCANO: SI; TIENE CABINA DE SEGURIDAD: NO - EL MODEM ESTA A 8 MT  13-08 SE HACE LLAMADA PREVIA AL USUARRIO, EL SR IVAN DARIO NOS INFORMA QUE TIENE TODAS LAS ADECUACIONES Y CUENTA CON TIEMPO PARA RECIBIRNOS, PERO NOS INDICA QUE EN LA ZONA DE SAN PEDRO ESTAN SIN INTERNET. DICE QUE A ESTADO LLOVIENDO MUCHO Y QUE POSIBLEMENTE POR ESO ESTAN AFECTADOS CON ESTE SERVICIO, NOS PIDE ENCARECIDAMENTE QUE SI PODEMOS REAGENDAR LA VISITA Y QUE EL NOS INFORMARA APENAS RESTABLESCAN EL INTERNEN EN LA ZONA. 20/08/2025 SE REALIZA INSTALACIÓN DE CORRESPONSAL, SE INSTALAN EQUIPOS CON PRUEBAS EXITOSAS, SE CAPACITA Y SE EVALÚA AL CLIENTE, SE INSTALA PUBLICIDAD COMPLETA, CB QUEDA OPERATIVO. USUARIO SOMOS BANCOLOMBIA ACTIVO. SE INSTALAN 3 MT DE CABLE UTP"/>
    <s v="SALDARRIAGA MIRANDA SANTIAGO"/>
    <s v="FIZZZ290"/>
    <s v="TIPO III"/>
    <s v="TERRESTRE"/>
    <s v="SALDARRIAGA MIRANDA SANTIAGO"/>
    <n v="1"/>
    <n v="1"/>
    <n v="1"/>
    <n v="11251.22416"/>
    <n v="126317.12212"/>
    <n v="110808.27512000001"/>
    <n v="248376.6214"/>
  </r>
  <r>
    <s v="MEDELLIN"/>
    <x v="2"/>
    <x v="2"/>
    <n v="5001"/>
    <s v="TA-25-952233"/>
    <n v="80987"/>
    <s v="APERTURA"/>
    <s v="CB CRECIMIENTO - NUEVO"/>
    <s v="ANTIOQUIA"/>
    <s v="MEDELLIN"/>
    <s v="BARRIO PRADITO MEDELLIN 6"/>
    <s v="REDEBAN"/>
    <s v="FO-25-1360163"/>
    <d v="2025-08-11T00:00:00"/>
    <d v="2025-08-13T00:00:00"/>
    <s v="UNO A UNO"/>
    <s v="UNO A UNO"/>
    <s v="EJECUTADO"/>
    <s v="11-08 SE REALIZA LLAMADA AL CLIENTE, SE HABLA CON LA SR RUDERICO DE JESUS ORTIZ HERNANDE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ALVAREZ ARENAS VICTOR HUGO"/>
    <s v="FIZZZ291"/>
    <s v="TIPO I"/>
    <s v="TERRESTRE"/>
    <s v="ALVAREZ ARENAS VICTOR HUGO"/>
    <n v="1"/>
    <n v="1"/>
    <n v="1"/>
    <n v="11251.22416"/>
    <n v="126317.12212"/>
    <n v="57411.974240000003"/>
    <n v="194980.32052000001"/>
  </r>
  <r>
    <s v="CALI"/>
    <x v="1"/>
    <x v="1"/>
    <n v="19001"/>
    <s v="TA-25-952261"/>
    <n v="80960"/>
    <s v="APERTURA"/>
    <s v="CB CRECIMIENTO - NUEVO"/>
    <s v="CAUCA"/>
    <s v="POPAYAN"/>
    <s v="BARRIO LA MARIA OCCIDENTE POPAYAN 1"/>
    <s v="REDEBAN"/>
    <s v="FO-25-1360187"/>
    <d v="2025-08-11T00:00:00"/>
    <d v="2025-08-13T00:00:00"/>
    <s v="UNO A UNO"/>
    <s v="UNO A UNO"/>
    <s v="EJECUTADO"/>
    <s v="11-08 SE REALIZA LLAMADA AL CLIENTE, SE HABLA CON LA SR YULMER DANILO CORDOBA SAMBONI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GIMBUEL LASSO LUIS GERMAN"/>
    <s v="FIZZZ292"/>
    <s v="TIPO III"/>
    <s v="TERRESTRE"/>
    <s v="GIMBUEL LASSO LUIS GERMAN"/>
    <n v="1"/>
    <n v="1"/>
    <n v="1"/>
    <n v="11251.22416"/>
    <n v="126317.12212"/>
    <n v="110808.27512000001"/>
    <n v="248376.6214"/>
  </r>
  <r>
    <s v="BOGOTA"/>
    <x v="5"/>
    <x v="5"/>
    <n v="25488"/>
    <s v="TA-25-952286"/>
    <n v="80929"/>
    <s v="APERTURA"/>
    <s v="CB CRECIMIENTO - NUEVO"/>
    <s v="CUNDINAMARCA"/>
    <s v="NILO"/>
    <s v="BARRIO TOLEMAIDA NILO 1"/>
    <s v="REDEBAN"/>
    <s v="FO-25-1360203"/>
    <d v="2025-08-11T00:00:00"/>
    <d v="2025-08-12T00:00:00"/>
    <s v="UNO A UNO"/>
    <s v="UNO A UNO"/>
    <s v="EJECUTADO"/>
    <s v="11-08 SE REALIZA LLAMADA AL CLIENTE, SE HABLA CON LA SRA PIEDAD GARCIA RODRIGUEZ SE VALIDA DIRECCIÓN OK, CANAL OK, DISPONIBILIDAD TOTAL, LLAMAR EL DÍA LA INSTALACIÓN PARA CONFIRMAR VISITA, AVISO EXTERIOR ALTURA APROX 2 METROS; TOMACORRIENTE CERCANO: SI; TIENE CABINA DE SEGURIDAD: NO - DEBE ENVIAR NOMBRE COMPLETO Y CEDULA A LA USUARIO PARA AUTORIZAR EL INGRESO - SI NO CONTESTA ESCRIBIR POR WPP 12-08 SE REALIZA INSTALACIÓN DE CORRESPONSAL, SE INSTALAN EQUIPOS CON PRUEBAS EXITOSAS, SE CAPACITA Y SE EVALÚA AL CLIENTE, SE INSTALA PUBLICIDAD COMPLETA, CB QUEDA OPERATIVO. USUARIO SOMOS BANCOLOMBIA ACTIVO"/>
    <s v="GALEANO SORIANO JUAN DAVID"/>
    <s v="FIZZZ293"/>
    <s v="TIPO III"/>
    <s v="TERRESTRE"/>
    <s v="GALEANO SORIANO JUAN DAVID"/>
    <n v="1"/>
    <n v="1"/>
    <n v="1"/>
    <n v="11251.22416"/>
    <n v="126317.12212"/>
    <n v="110808.27512000001"/>
    <n v="248376.6214"/>
  </r>
  <r>
    <s v="MEDELLIN"/>
    <x v="2"/>
    <x v="2"/>
    <n v="5148"/>
    <s v="TA-25-952313"/>
    <n v="80981"/>
    <s v="APERTURA"/>
    <s v="CB CRECIMIENTO - NUEVO"/>
    <s v="ANTIOQUIA"/>
    <s v="EL CARMEN DE VIBORAL"/>
    <s v="BARRIO OSPINA EL CARMEN DE VIBORAL"/>
    <s v="REDEBAN"/>
    <s v="FO-25-1360221"/>
    <d v="2025-08-11T00:00:00"/>
    <d v="2025-08-13T00:00:00"/>
    <s v="UNO A UNO"/>
    <s v="UNO A UNO"/>
    <s v="EJECUTADO"/>
    <s v="11-08 SE REALIZA LLAMADA AL CLIENTE, SE HABLA CON LA SRA NORMA GISELA ZULUAGA GARCIA  SE VALIDA DIRECCIÓN OK, CANAL OK, DISPONIBILIDAD TOTAL, LLAMAR EL DÍA LA INSTALACIÓN PARA CONFIRMAR VISITA, AVISO EXTERIOR ALTURA APROX 2.50 METROS; TOMACORRIENTE CERCANO: SI; TIENE CABINA DE SEGURIDAD: NO - COMUNICACIÓN POR WPP / EL MODEM NO TIENE PUERTOS DISPONIBLE 13/08/2025 SE REALIZA INSTALACIÓN DE CORRESPONSAL, SE INSTALAN EQUIPOS CON PRUEBAS EXITOSAS, SE CAPACITA Y SE EVALÚA AL CLIENTE, SE INSTALA PUBLICIDAD COMPLETA, CB QUEDA OPERATIVO. USUARIO SOMOS BANCOLOMBIA ACTIVO"/>
    <s v="MARTINEZ TOVAR OSCAR DAVID"/>
    <s v="FIZZZ294"/>
    <s v="TIPO II"/>
    <s v="TERRESTRE"/>
    <s v="MARTINEZ TOVAR OSCAR DAVID"/>
    <n v="1"/>
    <n v="1"/>
    <n v="1"/>
    <n v="11251.22416"/>
    <n v="126317.12212"/>
    <n v="110808.27512000001"/>
    <n v="248376.6214"/>
  </r>
  <r>
    <s v="APARTADO"/>
    <x v="2"/>
    <x v="2"/>
    <n v="27077"/>
    <s v="TA-25-952341"/>
    <n v="80971"/>
    <s v="APERTURA"/>
    <s v="CB CRECIMIENTO - NUEVO"/>
    <s v="CHOCO"/>
    <s v="BAJO BAUDO"/>
    <s v="BARRIO PUEBLO NUEVO BAJO BAUDO 1"/>
    <s v="REDEBAN"/>
    <s v="FO-25-1360238"/>
    <d v="2025-08-11T00:00:00"/>
    <d v="2025-08-21T00:00:00"/>
    <s v="UNO A UNO"/>
    <s v="UNO A UNO"/>
    <s v="EJECUTADO"/>
    <s v="11-08 SE REALIZA LLAMADA AL CLIENTE, SE HABLA CON LA SR NARCISO HURTADO TORRES  SE VALIDA DIRECCIÓN OK, CANAL OK, DISPONIBILIDAD TOTAL, LLAMAR EL DÍA LA INSTALACIÓN PARA CONFIRMAR VISITA, AVISO EXTERIOR ALTURA APROX 2 METROS; TOMACORRIENTE CERCANO: SI; TIENE CABINA DE SEGURIDAD: SI  - COMUNICACIÓN POR WPP 21-08 SE REALIZA INSTALACIÓN DE CORRESPONSAL, SE INSTALAN EQUIPOS CON PRUEBAS EXITOSAS, SE CAPACITA Y SE EVALÚA AL CLIENTE, SE INSTALA PUBLICIDAD COMPLETA, CB QUEDA OPERATIVO. USUARIO SOMOS BANCOLOMBIA ACTIVO"/>
    <s v="ROBLEDO DIAZ ANDRES FELIPE"/>
    <s v="FIZZZ295"/>
    <s v="TIPO IV ESPECIAL"/>
    <s v="AEREO"/>
    <s v="ROBLEDO DIAZ ANDRES FELIPE"/>
    <n v="1"/>
    <n v="1"/>
    <n v="1"/>
    <n v="11251.22416"/>
    <n v="126317.12212"/>
    <n v="110808.27512000001"/>
    <n v="248376.6214"/>
  </r>
  <r>
    <s v="MEDELLIN"/>
    <x v="2"/>
    <x v="2"/>
    <n v="5667"/>
    <s v="TA-25-952369"/>
    <n v="80962"/>
    <s v="APERTURA"/>
    <s v="CB CRECIMIENTO - NUEVO"/>
    <s v="ANTIOQUIA"/>
    <s v="SAN RAFAEL"/>
    <s v="BARRIOS SAN RAFAEL SAN RAFAEL"/>
    <s v="REDEBAN"/>
    <s v="FO-25-1360257"/>
    <d v="2025-08-11T00:00:00"/>
    <d v="2025-08-13T00:00:00"/>
    <s v="UNO A UNO"/>
    <s v="UNO A UNO"/>
    <s v="EJECUTADO"/>
    <s v="11-08 SE REALIZA LLAMADA AL CLIENTE, SE HABLA CON LA SRA JEREMIAS CARDONA MONSALVE SE VALIDA DIRECCIÓN OK, CANAL OK, DISPONIBILIDAD TOTAL, LLAMAR EL DÍA LA INSTALACIÓN PARA CONFIRMAR VISITA, AVISO EXTERIOR ALTURA APROX 2.70 METROS; TOMACORRIENTE CERCANO: SI; TIENE CABINA DE SEGURIDAD: SI - COMUNICACION POR WPP / EL MODEM ESTA A 6 MT  13/08/2025 SE REALIZA INSTALACIÓN DE CORRESPONSAL, SE INSTALAN EQUIPOS CON PRUEBAS EXITOSAS, SE CAPACITA Y SE EVALÚA AL CLIENTE, SE INSTALA PUBLICIDAD COMPLETA, CB QUEDA OPERATIVO. USUARIO SOMOS BANCOLOMBIA ACTIVO"/>
    <s v="DIAZ ZABALA FRANCIS DUBAN"/>
    <s v="FIZZZ296"/>
    <s v="TIPO III"/>
    <s v="TERRESTRE"/>
    <s v="DIAZ ZABALA FRANCIS DUBAN"/>
    <n v="1"/>
    <n v="1"/>
    <n v="1"/>
    <n v="11251.22416"/>
    <n v="126317.12212"/>
    <n v="110808.27512000001"/>
    <n v="248376.6214"/>
  </r>
  <r>
    <s v="CALI"/>
    <x v="1"/>
    <x v="1"/>
    <n v="76520"/>
    <s v="TA-25-952397"/>
    <n v="80952"/>
    <s v="APERTURA"/>
    <s v="CB CRECIMIENTO - NUEVO"/>
    <s v="VALLE DEL CAUCA"/>
    <s v="PALMIRA"/>
    <s v="BARRIO ALTAMIRA PALMIRA 3"/>
    <s v="REDEBAN"/>
    <s v="FO-25-1360278"/>
    <d v="2025-08-11T00:00:00"/>
    <d v="2025-08-12T00:00:00"/>
    <s v="UNO A UNO"/>
    <s v="UNO A UNO"/>
    <s v="EJECUTADO"/>
    <s v="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
    <s v="SANCHEZ URREGO ROBINSON DAVID"/>
    <s v="FIZZZ297"/>
    <s v="TIPO I"/>
    <s v="TERRESTRE"/>
    <s v="SANCHEZ URREGO ROBINSON DAVID"/>
    <n v="1"/>
    <n v="1"/>
    <n v="1"/>
    <n v="11251.22416"/>
    <n v="126317.12212"/>
    <n v="57411.974240000003"/>
    <n v="194980.32052000001"/>
  </r>
  <r>
    <s v="MEDELLIN"/>
    <x v="2"/>
    <x v="2"/>
    <n v="5591"/>
    <s v="TA-25-952447"/>
    <n v="80970"/>
    <s v="APERTURA"/>
    <s v="CAMBIO DE RAZON SOCIAL"/>
    <s v="ANTIOQUIA"/>
    <s v="PUERTO TRIUNFO"/>
    <s v="BARRIO DORADAL PUERTO TRIUNFO 4"/>
    <s v="REDEBAN"/>
    <s v="FO-25-1360314"/>
    <d v="2025-08-11T00:00:00"/>
    <d v="2025-08-12T00:00:00"/>
    <s v="UNO A UNO"/>
    <s v="UNO A UNO"/>
    <s v="EJECUTADO"/>
    <s v="11-08 SE REALIZA LLAMADA AL CLIENTE, SE HABLA CON LA SRA DIANA PATRICIA LOPEZ GUZMAN SE VALIDA DIRECCIÓN OK, CANAL OK, DISPONIBILIDAD TOTAL, LLAMAR EL DÍA LA INSTALACIÓN PARA CONFIRMAR VISITA, TIENE TODA LA PUBLICIDAD Y ESTA EN BUEN ESTADO   - CAMBIO DE RAZON SOCIAL 36355 - LLEVAR SOLO DISPLAY  12-08 SE REALIZA INSTALACIÓN DE CORRESPONSAL, SE INSTALAN EQUIPOS CON PRUEBAS EXITOSAS, SE CAPACITA Y SE EVALÚA AL CLIENTE, SE INSTALA SOLO DISPLAY DE HORARIO LA DEMAS PUBLICIDAD ESTABA INSTALADA, CB QUEDA OPERATIVO. USUARIO SOMOS BANCOLOMBIA ACTIVO"/>
    <s v="PAREJA ECHAVARRIA JHON DAVID"/>
    <s v="FIZZZ299"/>
    <s v="TIPO IV"/>
    <s v="TERRESTRE"/>
    <s v="PAREJA ECHAVARRIA JHON DAVID"/>
    <n v="1"/>
    <n v="1"/>
    <n v="1"/>
    <n v="11251.22416"/>
    <n v="126317.12212"/>
    <n v="110808.27512000001"/>
    <n v="248376.6214"/>
  </r>
  <r>
    <s v="CUCUTA"/>
    <x v="3"/>
    <x v="3"/>
    <n v="54001"/>
    <s v="TA-25-952466"/>
    <n v="80942"/>
    <s v="APERTURA"/>
    <s v="CB CRECIMIENTO - NUEVO"/>
    <s v="NORTE DE SANTANDER"/>
    <s v="CUCUTA"/>
    <s v="BARRIO CALLEJON CUCUTA 23"/>
    <s v="REDEBAN"/>
    <s v="FO-25-1360334"/>
    <d v="2025-08-11T00:00:00"/>
    <d v="2025-08-14T00:00:00"/>
    <s v="UNO A UNO"/>
    <s v="UNO A UNO"/>
    <s v="EJECUTADO"/>
    <s v="11-08 SE REALIZA LLAMADA AL CLIENTE, SE HABLA CON LA SR JOSÉ AGUSTÍN CASALLAS RODRÍGUEZ SE VALIDA DIRECCIÓN OK, CANAL OK, DISPONIBILIDAD TOTAL, LLAMAR EL DÍA LA INSTALACIÓN PARA CONFIRMAR VISITA, AVISO EXTERIOR ALTURA APROX 2 METROS; TOMACORRIENTE CERCANO: SI; TIENE CABINA DE SEGURIDAD: SI 12-08 SE REALIZÓ LLAMADA TELEFÓNICA AL NÚMERO 3202698207 INDICA QUE NO ESTA DISPONIBLE POR MOTIVO DE VIAJE PARA RECIBIR LA APERTURA, NOS  ATIENDE EL DÍA JUEVES 14/08/2025. 14-08 SE REALIZA INSTALACIÓN DE CORRESPONSAL, SE INSTALAN EQUIPOS CON PRUEBAS EXITOSAS, SE CAPACITA Y SE EVALÚA AL CLIENTE, SE INSTALA PUBLICIDAD COMPLETA, CB QUEDA OPERATIVO. USUARIO SOMOS BANCOLOMBIA ACTIVO"/>
    <s v="PACHECO BUITRAGO JAVIER ALONSO"/>
    <s v="FIZZZ301"/>
    <s v="TIPO I"/>
    <s v="TERRESTRE"/>
    <s v="PACHECO BUITRAGO JAVIER ALONSO"/>
    <n v="1"/>
    <n v="1"/>
    <n v="1"/>
    <n v="11251.22416"/>
    <n v="126317.12212"/>
    <n v="57411.974240000003"/>
    <n v="194980.32052000001"/>
  </r>
  <r>
    <s v="TUNJA"/>
    <x v="3"/>
    <x v="3"/>
    <n v="15774"/>
    <s v="TA-25-952467"/>
    <n v="80976"/>
    <s v="APERTURA"/>
    <s v="CB CRECIMIENTO - NUEVO"/>
    <s v="BOYACA"/>
    <s v="SUSACON"/>
    <s v="BARRIO VEREDA EL HATO ARBOL SOLO SUSACON"/>
    <s v="REDEBAN"/>
    <s v="FO-25-1360339"/>
    <d v="2025-08-11T00:00:00"/>
    <d v="2025-08-13T00:00:00"/>
    <s v="UNO A UNO"/>
    <s v="UNO A UNO"/>
    <s v="EJECUTADO"/>
    <s v="11-08 SE REALIZA LLAMADA AL CLIENTE, SE HABLA CON LA SR HECTOR JAVIER RAMIREZ WALTEROS  SE VALIDA DIRECCIÓN OK, CANAL OK, DISPONIBILIDAD TOTAL, LLAMAR EL DÍA LA INSTALACIÓN PARA CONFIRMAR VISITA, AVISO EXTERIOR ALTURA: NO INDICA ALTURA; TOMACORRIENTE CERCANO: SI; TIENE CABINA DE SEGURIDAD: NO 13-08 SE REALIZA INSTALACIÓN DE CORRESPONSAL, SE INSTALAN EQUIPOS CON PRUEBAS EXITOSAS, SE CAPACITA Y SE EVALÚA AL CLIENTE, SE INSTALA PUBLICIDAD COMPLETA, CB QUEDA OPERATIVO. USUARIO SOMOS BANCOLOMBIA ACTIVO"/>
    <s v="ALVARADO MORENO CRISTHIAN"/>
    <s v="FIZZZ302"/>
    <s v="TIPO III"/>
    <s v="TERRESTRE"/>
    <s v="ALVARADO MORENO CRISTHIAN"/>
    <n v="1"/>
    <n v="1"/>
    <n v="1"/>
    <n v="11251.22416"/>
    <n v="126317.12212"/>
    <n v="110808.27512000001"/>
    <n v="248376.6214"/>
  </r>
  <r>
    <s v="BOGOTA"/>
    <x v="5"/>
    <x v="5"/>
    <n v="11001"/>
    <s v="TA-25-952468"/>
    <n v="80932"/>
    <s v="APERTURA"/>
    <s v="CB CRECIMIENTO - NUEVO"/>
    <s v="CUNDINAMARCA"/>
    <s v="BOGOTA"/>
    <s v="BARRIO SAN FRANCISCO BOGOTA 16"/>
    <s v="REDEBAN"/>
    <s v="FO-25-1360343"/>
    <d v="2025-08-11T00:00:00"/>
    <d v="2025-08-12T00:00:00"/>
    <s v="UNO A UNO"/>
    <s v="UNO A UNO"/>
    <s v="EJECUTADO"/>
    <s v="11-08 SE REALIZA LLAMADA AL CLIENTE, SE HABLA CON LA SRA BLANCA FULVIA PEÑA PINEDA SE VALIDA DIRECCIÓN OK, CANAL OK, DISPONIBILIDAD TOTAL, LLAMAR EL DÍA LA INSTALACIÓN PARA CONFIRMAR VISITA, AVISO EXTERIOR ALTURA APROX 2 .70 METROS; TOMACORRIENTE CERCANO: SI; TIENE CABINA DE SEGURIDAD: NO - COMUICACIÓN POR WPP 12-08 SE REALIZA INSTALACIÓN DE CORRESPONSAL, SE INSTALAN EQUIPOS CON PRUEBAS EXITOSAS, SE CAPACITA Y SE EVALÚA AL CLIENTE, SE INSTALA PUBLICIDAD COMPLETA, CB QUEDA OPERATIVO. USUARIO SOMOS BANCOLOMBIA ACTIVO"/>
    <s v="ROMERO ROJAS BREIDY JHOHAN"/>
    <s v="FIZZZ304"/>
    <s v="TIPO I"/>
    <s v="TERRESTRE"/>
    <s v="ROMERO ROJAS BREIDY JHOHAN"/>
    <n v="1"/>
    <n v="1"/>
    <n v="1"/>
    <n v="11251.22416"/>
    <n v="126317.12212"/>
    <n v="57411.974240000003"/>
    <n v="194980.32052000001"/>
  </r>
  <r>
    <s v="CALI"/>
    <x v="1"/>
    <x v="1"/>
    <n v="76001"/>
    <s v="TA-25-952469"/>
    <n v="80937"/>
    <s v="APERTURA"/>
    <s v="CB CRECIMIENTO - NUEVO"/>
    <s v="VALLE DEL CAUCA"/>
    <s v="CALI"/>
    <s v="BARRIO UNION DE VIVIENDA POPULAR CALI"/>
    <s v="REDEBAN"/>
    <s v="FO-25-1360347"/>
    <d v="2025-08-11T00:00:00"/>
    <d v="2025-08-13T00:00:00"/>
    <s v="UNO A UNO"/>
    <s v="UNO A UNO"/>
    <s v="EJECUTADO"/>
    <s v="11-08 SE REALIZA LLAMADA AL CLIENTE, SE HABLA CON LA SR OSMAR YESID SUAZA ALMARALES SE VALIDA DIRECCIÓN OK, CANAL OK, DISPONIBILIDAD TOTAL, LLAMAR EL DÍA LA INSTALACIÓN PARA CONFIRMAR VISITA, AVISO EXTERIOR ALTURA: NO INDICA ALTURA ; TOMACORRIENTE CERCANO: SI; TIENE CABINA DE SEGURIDAD: NO 13/08/2025 SE REALIZA INSTALACIÓN DE CORRESPONSAL, SE INSTALAN EQUIPOS CON PRUEBAS EXITOSAS, SE CAPACITA Y SE EVALÚA AL CLIENTE, SE INSTALA PUBLICIDAD COMPLETA, CB QUEDA OPERATIVO. USUARIO SOMOS BANCOLOMBIA ACTIVO"/>
    <s v="CUERO RUIZ JHONNY"/>
    <s v="FIZZZ305"/>
    <s v="TIPO I"/>
    <s v="TERRESTRE"/>
    <s v="CUERO RUIZ JHONNY"/>
    <n v="1"/>
    <n v="1"/>
    <n v="1"/>
    <n v="11251.22416"/>
    <n v="126317.12212"/>
    <n v="57411.974240000003"/>
    <n v="194980.32052000001"/>
  </r>
  <r>
    <s v="TUNJA"/>
    <x v="3"/>
    <x v="3"/>
    <n v="15407"/>
    <s v="TA-25-952470"/>
    <n v="80978"/>
    <s v="APERTURA"/>
    <s v="CB CRECIMIENTO - NUEVO"/>
    <s v="BOYACA"/>
    <s v="VILLA DE LEYVA"/>
    <s v="BARRIO SANTA ANA VILLA DE LEYVA"/>
    <s v="REDEBAN"/>
    <s v="FO-25-1360349"/>
    <d v="2025-08-11T00:00:00"/>
    <d v="2025-08-13T00:00:00"/>
    <s v="UNO A UNO"/>
    <s v="UNO A UNO"/>
    <s v="EJECUTADO"/>
    <s v="11-08 SE REALIZA LLAMADA AL CLIENTE, SE HABLA CON LA SR CARLOS ANDRÉS ROJAS QUINTERO  SE VALIDA DIRECCIÓN OK, CANAL OK, DISPONIBILIDAD TOTAL, LLAMAR EL DÍA LA INSTALACIÓN PARA CONFIRMAR VISITA, AVISO EXTERIOR ALTURA APROX 2 METROS; TOMACORRIENTE CERCANO: SI; TIENE CABINA DE SEGURIDAD: NO - COMUNICACIÓN POR WPP 13/08/2025 SE REALIZA INSTALACIÓN DE CORRESPONSAL, SE INSTALAN EQUIPOS CON PRUEBAS EXITOSAS, SE CAPACITA Y SE EVALÚA AL CLIENTE, SE INSTALA PUBLICIDAD COMPLETA, CB QUEDA OPERATIVO. USUARIO SOMOS BANCOLOMBIA ACTIVO"/>
    <s v="GONZALEZ GONZALEZ MARIO ALBERTO"/>
    <s v="FIZZZ306"/>
    <s v="TIPO II"/>
    <s v="TERRESTRE"/>
    <s v="GONZALEZ GONZALEZ MARIO ALBERTO"/>
    <n v="1"/>
    <n v="1"/>
    <n v="1"/>
    <n v="11251.22416"/>
    <n v="126317.12212"/>
    <n v="110808.27512000001"/>
    <n v="248376.6214"/>
  </r>
  <r>
    <s v="CALI"/>
    <x v="1"/>
    <x v="1"/>
    <n v="76001"/>
    <s v="TA-25-952471"/>
    <n v="80936"/>
    <s v="APERTURA"/>
    <s v="CB CRECIMIENTO - NUEVO"/>
    <s v="VALLE DEL CAUCA"/>
    <s v="CALI"/>
    <s v="BARRIO MELENDEZ CALI 5"/>
    <s v="REDEBAN"/>
    <s v="FO-25-1360351"/>
    <d v="2025-08-11T00:00:00"/>
    <d v="2025-08-12T00:00:00"/>
    <s v="UNO A UNO"/>
    <s v="UNO A UNO"/>
    <s v="EJECUTADO"/>
    <s v="11-08 SE REALIZA LLAMADA AL CLIENTE, SE HABLA CON LA SRA DORIS ALICIA COROZO GRUEZO SE VALIDA DIRECCIÓN OK, CANAL OK, DISPONIBILIDAD TOTAL, LLAMAR EL DÍA LA INSTALACIÓN PARA CONFIRMAR VISITA, AVISO EXTERIOR ALTURA APROX 3 METROS; TOMACORRIENTE CERCANO: SI; TIENE CABINA DE SEGURIDAD: SI 12/08/2025 SE REALIZA INSTALACIÓN DE CORRESPONSAL, SE INSTALAN EQUIPOS CON PRUEBAS EXITOSAS, SE CAPACITA Y SE EVALÚA AL CLIENTE, SE INSTALA PUBLICIDAD COMPLETA, CB QUEDA OPERATIVO. USUARIO SOMOS BANCOLOMBIA ACTIVO"/>
    <s v="MONTERO MUESES GIAN CARLO"/>
    <s v="FIZZZ307"/>
    <s v="TIPO I"/>
    <s v="TERRESTRE"/>
    <s v="MONTERO MUESES GIAN CARLO"/>
    <n v="1"/>
    <n v="1"/>
    <n v="1"/>
    <n v="11251.22416"/>
    <n v="126317.12212"/>
    <n v="57411.974240000003"/>
    <n v="194980.32052000001"/>
  </r>
  <r>
    <s v="TUNJA"/>
    <x v="3"/>
    <x v="3"/>
    <n v="15774"/>
    <s v="TA-25-952472"/>
    <n v="80977"/>
    <s v="APERTURA"/>
    <s v="CAMBIO DE RAZON SOCIAL"/>
    <s v="BOYACA"/>
    <s v="SUSACON"/>
    <s v="BARRIO CENTRO SUSACON 2"/>
    <s v="REDEBAN"/>
    <s v="FO-25-1360353"/>
    <d v="2025-08-11T00:00:00"/>
    <d v="2025-08-13T00:00:00"/>
    <s v="UNO A UNO"/>
    <s v="UNO A UNO"/>
    <s v="EJECUTADO"/>
    <s v="11-08 SE REALIZA LLAMADA AL CLIENTE, SE HABLA CON LA SRA BLANCA YULISA FIGUEREDO LAGOS SE VALIDA DIRECCIÓN OK, CANAL OK, DISPONIBILIDAD TOTAL, LLAMAR EL DÍA LA INSTALACIÓN PARA CONFIRMAR VISITA, AVISO EXTERIOR ALTURA APROX 4 METROS; TOMACORRIENTE CERCANO: SI; TIENE CABINA DE SEGURIDAD: NO13-08 SE REALIZA INSTALACIÓN DE CORRESPONSAL, SE INSTALAN EQUIPOS CON PRUEBAS EXITOSAS, SE CAPACITA Y SE EVALÚA AL CLIENTE, SE INSTALA PUBLICIDAD COMPLETA, CB QUEDA OPERATIVO. USUARIO SOMOS BANCOLOMBIA ACTIVO"/>
    <s v="ALVARADO MORENO CRISTHIAN"/>
    <s v="FIZZZ308"/>
    <s v="TIPO III"/>
    <s v="TERRESTRE"/>
    <s v="ALVARADO MORENO CRISTHIAN"/>
    <n v="1"/>
    <n v="1"/>
    <n v="1"/>
    <n v="11251.22416"/>
    <n v="126317.12212"/>
    <n v="110808.27512000001"/>
    <n v="248376.6214"/>
  </r>
  <r>
    <s v="BOGOTA"/>
    <x v="5"/>
    <x v="5"/>
    <n v="11001"/>
    <s v="TA-25-952475"/>
    <n v="80930"/>
    <s v="APERTURA"/>
    <s v="CB CRECIMIENTO - NUEVO"/>
    <s v="CUNDINAMARCA"/>
    <s v="BOGOTA"/>
    <s v="BARRIO VILLA CLAUDIA BOGOTA 1"/>
    <s v="REDEBAN"/>
    <s v="FO-25-1360358"/>
    <d v="2025-08-11T00:00:00"/>
    <d v="2025-08-12T00:00:00"/>
    <s v="UNO A UNO"/>
    <s v="UNO A UNO"/>
    <s v="EJECUTADO"/>
    <s v="11-08 SE REALIZA LLAMADA AL CLIENTE, SE HABLA CON LA SRA DERLYN LOPEZ HERNANDEZ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
    <s v="LOZADA ROJAS CHRISTIAN ANDRES"/>
    <s v="FIZZZ309"/>
    <s v="TIPO I"/>
    <s v="TERRESTRE"/>
    <s v="LOZADA ROJAS CHRISTIAN ANDRES"/>
    <n v="1"/>
    <n v="1"/>
    <n v="1"/>
    <n v="11251.22416"/>
    <n v="126317.12212"/>
    <n v="57411.974240000003"/>
    <n v="194980.32052000001"/>
  </r>
  <r>
    <s v="MEDELLIN"/>
    <x v="2"/>
    <x v="2"/>
    <n v="5887"/>
    <s v="TA-25-952476"/>
    <n v="80988"/>
    <s v="APERTURA"/>
    <s v="CB CRECIMIENTO - NUEVO"/>
    <s v="ANTIOQUIA"/>
    <s v="YARUMAL"/>
    <s v="BARRIO VARIANTE YARUMAL"/>
    <s v="REDEBAN"/>
    <s v="FO-25-1360360"/>
    <d v="2025-08-11T00:00:00"/>
    <d v="2025-08-13T00:00:00"/>
    <s v="UNO A UNO"/>
    <s v="UNO A UNO"/>
    <s v="EJECUTADO"/>
    <s v="11-08 SE REALIZA LLAMADA AL CLIENTE, SE HABLA CON EL SR ANIBAL DAGOBERTO AMAYA MUÑO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BADEL ACUÑA LUIS ALBERTO"/>
    <s v="FIZZZ310"/>
    <s v="TIPO III"/>
    <s v="TERRESTRE"/>
    <s v="BADEL ACUÑA LUIS ALBERTO"/>
    <n v="1"/>
    <n v="1"/>
    <n v="1"/>
    <n v="11251.22416"/>
    <n v="126317.12212"/>
    <n v="110808.27512000001"/>
    <n v="248376.6214"/>
  </r>
  <r>
    <s v="APARTADO"/>
    <x v="2"/>
    <x v="2"/>
    <n v="5490"/>
    <s v="TA-25-952478"/>
    <n v="80940"/>
    <s v="APERTURA"/>
    <s v="CB CRECIMIENTO - NUEVO"/>
    <s v="ANTIOQUIA"/>
    <s v="NECOCLI"/>
    <s v="BARRIO NECOCLI ANTIOQUIA NECOCLI"/>
    <s v="REDEBAN"/>
    <s v="FO-25-1360365"/>
    <d v="2025-08-11T00:00:00"/>
    <d v="2025-08-12T00:00:00"/>
    <s v="UNO A UNO"/>
    <s v="UNO A UNO"/>
    <s v="EJECUTADO"/>
    <s v="11-08 SE REALIZA LLAMADA AL CLIENTE, SE HABLA CON LA SRA CATERINE CASTRO GUTIERREZ SE VALIDA DIRECCIÓN OK, CANAL OK, DISPONIBILIDAD TOTAL, LLAMAR EL DÍA LA INSTALACIÓN PARA CONFIRMAR VISITA, AVISO EXTERIOR ALTURA APROX 3.04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
    <s v="SALDARRIAGA MIRANDA SANTIAGO"/>
    <s v="FIZZZ311"/>
    <s v="TIPO II"/>
    <s v="TERRESTRE"/>
    <s v="SALDARRIAGA MIRANDA SANTIAGO"/>
    <n v="1"/>
    <n v="1"/>
    <n v="1"/>
    <n v="11251.22416"/>
    <n v="126317.12212"/>
    <n v="110808.27512000001"/>
    <n v="248376.6214"/>
  </r>
  <r>
    <s v="PEREIRA"/>
    <x v="1"/>
    <x v="6"/>
    <n v="66001"/>
    <s v="TA-25-952479"/>
    <n v="80959"/>
    <s v="APERTURA"/>
    <s v="CB CRECIMIENTO - NUEVO"/>
    <s v="RISARALDA"/>
    <s v="PEREIRA"/>
    <s v="BARRIO CENTRO PEREIRA 54"/>
    <s v="REDEBAN"/>
    <s v="FO-25-1360368"/>
    <d v="2025-08-11T00:00:00"/>
    <d v="2025-08-12T00:00:00"/>
    <s v="UNO A UNO"/>
    <s v="UNO A UNO"/>
    <s v="EJECUTADO"/>
    <s v="11-08 SE REALIZA LLAMADA AL CLIENTE, SE HABLA CON LA SRA KELY VIVIANA POSADA URIBE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ARROYAVE CANO MANUEL GUILLERMO"/>
    <s v="FIZZZ312"/>
    <s v="TIPO I"/>
    <s v="TERRESTRE"/>
    <s v="ARROYAVE CANO MANUEL GUILLERMO"/>
    <n v="1"/>
    <n v="1"/>
    <n v="1"/>
    <n v="11251.22416"/>
    <n v="126317.12212"/>
    <n v="57411.974240000003"/>
    <n v="194980.32052000001"/>
  </r>
  <r>
    <s v="PASTO"/>
    <x v="1"/>
    <x v="1"/>
    <n v="52001"/>
    <s v="TA-25-952483"/>
    <n v="80956"/>
    <s v="APERTURA"/>
    <s v="CB CRECIMIENTO - NUEVO"/>
    <s v="NARIÑO"/>
    <s v="PASTO"/>
    <s v="BARRIO CORR DE SANTA BARBARA PASTO"/>
    <s v="REDEBAN"/>
    <s v="FO-25-1360373"/>
    <d v="2025-08-11T00:00:00"/>
    <d v="2025-08-12T00:00:00"/>
    <s v="UNO A UNO"/>
    <s v="UNO A UNO"/>
    <s v="EJECUTADO"/>
    <s v="11-08 SE REALIZA LLAMADA AL CLIENTE, SE HABLA CON LA SR JULIO CESAR LOPEZ DIAZ SE VALIDA DIRECCIÓN OK, CANAL OK, DISPONIBILIDAD TOTAL, LLAMAR EL DÍA LA INSTALACIÓN PARA CONFIRMAR VISITA, AVISO EXTERIOR ALTURA APROX 3 METROS; TOMACORRIENTE CERCANO: SI; TIENE CABINA DE SEGURIDAD: NO 12-08 SE REALIZA INSTALACIÓN DE CORRESPONSAL, SE INSTALAN EQUIPOS CON PRUEBAS EXITOSAS, SE CAPACITA Y SE EVALÚA AL CLIENTE, SE INSTALA PUBLICIDAD COMPLETA, CB QUEDA OPERATIVO. USUARIO SOMOS BANCOLOMBIA ACTIVO"/>
    <s v="GUERRERO RAMIREZ OSCAR DARIO"/>
    <s v="FIZZZ313"/>
    <s v="TIPO I"/>
    <s v="TERRESTRE"/>
    <s v="GUERRERO RAMIREZ OSCAR DARIO"/>
    <n v="1"/>
    <n v="1"/>
    <n v="1"/>
    <n v="11251.22416"/>
    <n v="126317.12212"/>
    <n v="57411.974240000003"/>
    <n v="194980.32052000001"/>
  </r>
  <r>
    <s v="TUNJA"/>
    <x v="3"/>
    <x v="3"/>
    <n v="15001"/>
    <s v="TA-25-952485"/>
    <n v="80972"/>
    <s v="APERTURA"/>
    <s v="CB CRECIMIENTO - NUEVO"/>
    <s v="BOYACA"/>
    <s v="TUNJA"/>
    <s v="BARRIO LOS MUISCAS TUNJA 9"/>
    <s v="REDEBAN"/>
    <s v="FO-25-1360377"/>
    <d v="2025-08-11T00:00:00"/>
    <d v="2025-08-12T00:00:00"/>
    <s v="UNO A UNO"/>
    <s v="UNO A UNO"/>
    <s v="EJECUTADO"/>
    <s v="11-08 SE REALIZA LLAMADA AL CLIENTE, SE HABLA CON LA SRA YULI PAOLA GÓMEZ BARRERA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
    <s v="GONZALEZ GONZALEZ MARIO ALBERTO"/>
    <s v="FIZZZ314"/>
    <s v="TIPO I"/>
    <s v="TERRESTRE"/>
    <s v="GONZALEZ GONZALEZ MARIO ALBERTO"/>
    <n v="1"/>
    <n v="1"/>
    <n v="1"/>
    <n v="11251.22416"/>
    <n v="126317.12212"/>
    <n v="57411.974240000003"/>
    <n v="194980.32052000001"/>
  </r>
  <r>
    <s v="CUCUTA"/>
    <x v="3"/>
    <x v="3"/>
    <n v="54518"/>
    <s v="TA-25-952486"/>
    <n v="80953"/>
    <s v="APERTURA"/>
    <s v="CB CRECIMIENTO - NUEVO"/>
    <s v="NORTE DE SANTANDER"/>
    <s v="PAMPLONA"/>
    <s v="BARRIO LOS CEREZOS PAMPLONA"/>
    <s v="REDEBAN"/>
    <s v="FO-25-1360379"/>
    <d v="2025-08-11T00:00:00"/>
    <d v="2025-08-13T00:00:00"/>
    <s v="UNO A UNO"/>
    <s v="UNO A UNO"/>
    <s v="EJECUTADO"/>
    <s v="11-08 SE REALIZA LLAMADA AL CLIENTE, SE HABLA CON LA SRA MAYRA ALEJANDRA BARAJAS LIZARAZO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MORA VEGA JEAMPIER"/>
    <s v="FIZZZ315"/>
    <s v="TIPO III"/>
    <s v="TERRESTRE"/>
    <s v="MORA VEGA JEAMPIER"/>
    <n v="1"/>
    <n v="1"/>
    <n v="1"/>
    <n v="11251.22416"/>
    <n v="126317.12212"/>
    <n v="110808.27512000001"/>
    <n v="248376.6214"/>
  </r>
  <r>
    <s v="CUCUTA"/>
    <x v="3"/>
    <x v="3"/>
    <n v="54518"/>
    <s v="TA-25-952488"/>
    <n v="80954"/>
    <s v="APERTURA"/>
    <s v="CB CRECIMIENTO - NUEVO"/>
    <s v="NORTE DE SANTANDER"/>
    <s v="PAMPLONA"/>
    <s v="BARRIO SANTO DOMINGO PAMPLONA 2"/>
    <s v="REDEBAN"/>
    <s v="FO-25-1360385"/>
    <d v="2025-08-11T00:00:00"/>
    <d v="2025-08-13T00:00:00"/>
    <s v="UNO A UNO"/>
    <s v="UNO A UNO"/>
    <s v="EJECUTADO"/>
    <s v="11-08 SE REALIZA LLAMADA AL CLIENTE, SE HABLA CON LA SR JAVIER ENRIQUE TORRES GUTIERREZ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MORA VEGA JEAMPIER"/>
    <s v="FIZZZ316"/>
    <s v="TIPO III"/>
    <s v="TERRESTRE"/>
    <s v="MORA VEGA JEAMPIER"/>
    <n v="1"/>
    <n v="1"/>
    <n v="1"/>
    <n v="11251.22416"/>
    <n v="126317.12212"/>
    <n v="110808.27512000001"/>
    <n v="248376.6214"/>
  </r>
  <r>
    <s v="BOGOTA"/>
    <x v="5"/>
    <x v="5"/>
    <n v="11001"/>
    <s v="TA-25-952490"/>
    <n v="80931"/>
    <s v="APERTURA"/>
    <s v="CB CRECIMIENTO - NUEVO"/>
    <s v="CUNDINAMARCA"/>
    <s v="BOGOTA"/>
    <s v="BARRIO LA ESPERANZA BOGOTA 4"/>
    <s v="REDEBAN"/>
    <s v="FO-25-1360389"/>
    <d v="2025-08-11T00:00:00"/>
    <d v="2025-08-12T00:00:00"/>
    <s v="UNO A UNO"/>
    <s v="UNO A UNO"/>
    <s v="EJECUTADO"/>
    <s v="11-08 SE REALIZA LLAMADA AL CLIENTE, SE HABLA CON LA SRA LIGIA ELENA GONZALEZ GONZALEZSE VALIDA DIRECCIÓN OK, CANAL OK, DISPONIBILIDAD TOTAL, LLAMAR EL DÍA LA INSTALACIÓN PARA CONFIRMAR VISITA, AVISO EXTERIOR ALTURA APROX 3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
    <s v="MURCIA HERNANDEZ HARVEY IGNACIO"/>
    <s v="FIZZZ317"/>
    <s v="TIPO I"/>
    <s v="TERRESTRE"/>
    <s v="MURCIA HERNANDEZ HARVEY IGNACIO"/>
    <n v="1"/>
    <n v="1"/>
    <n v="1"/>
    <n v="11251.22416"/>
    <n v="126317.12212"/>
    <n v="57411.974240000003"/>
    <n v="194980.32052000001"/>
  </r>
  <r>
    <s v="CALI"/>
    <x v="1"/>
    <x v="1"/>
    <n v="76130"/>
    <s v="TA-25-952491"/>
    <n v="80939"/>
    <s v="APERTURA"/>
    <s v="CB CRECIMIENTO - NUEVO"/>
    <s v="VALLE DEL CAUCA"/>
    <s v="CANDELARIA"/>
    <s v="BARRIO ARMANDO VASQUEZ CANDELARIA"/>
    <s v="REDEBAN"/>
    <s v="FO-25-1360392"/>
    <d v="2025-08-11T00:00:00"/>
    <d v="2025-08-12T00:00:00"/>
    <s v="UNO A UNO"/>
    <s v="UNO A UNO"/>
    <s v="EJECUTADO"/>
    <s v="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
    <s v="TORRES GARCIA JENDRY JOSE"/>
    <s v="FIZZZ318"/>
    <s v="TIPO II"/>
    <s v="TERRESTRE"/>
    <s v="TORRES GARCIA JENDRY JOSE"/>
    <n v="1"/>
    <n v="1"/>
    <n v="1"/>
    <n v="11251.22416"/>
    <n v="126317.12212"/>
    <n v="110808.27512000001"/>
    <n v="248376.6214"/>
  </r>
  <r>
    <s v="MANIZALES"/>
    <x v="1"/>
    <x v="6"/>
    <n v="17001"/>
    <s v="TA-25-952494"/>
    <n v="80949"/>
    <s v="APERTURA"/>
    <s v="CB CRECIMIENTO - NUEVO"/>
    <s v="CALDAS"/>
    <s v="MANIZALES"/>
    <s v="BARRIO NEVADO MANIZALES 2"/>
    <s v="REDEBAN"/>
    <s v="FO-25-1360397"/>
    <d v="2025-08-11T00:00:00"/>
    <d v="2025-08-12T00:00:00"/>
    <s v="UNO A UNO"/>
    <s v="UNO A UNO"/>
    <s v="EJECUTADO"/>
    <s v="11-08 SE REALIZA LLAMADA AL CLIENTE, SE HABLA CON LA SR ALBEIRO BLANDON RAMIREZ  SE VALIDA DIRECCIÓN OK, CANAL OK, DISPONIBILIDAD TOTAL, LLAMAR EL DÍA LA INSTALACIÓN PARA CONFIRMAR VISITA, AVISO EXTERIOR ALTURA: NO INDICA ALTURA; TOMACORRIENTE CERCANO: SI; TIENE CABINA DE SEGURIDAD: NO 12/08/2025 SE REALIZA INSTALACIÓN DE CORRESPONSAL, SE INSTALAN EQUIPOS CON PRUEBAS EXITOSAS, SE CAPACITA Y SE EVALÚA AL CLIENTE, SE INSTALA PUBLICIDAD COMPLETA, CB QUEDA OPERATIVO. USUARIO SOMOS BANCOLOMBIA ACTIVO"/>
    <s v="AGUIRRE HENAO RAUL EDUARDO"/>
    <s v="FIZZZ319"/>
    <s v="TIPO I"/>
    <s v="TERRESTRE"/>
    <s v="AGUIRRE HENAO RAUL EDUARDO"/>
    <n v="1"/>
    <n v="1"/>
    <n v="1"/>
    <n v="11251.22416"/>
    <n v="126317.12212"/>
    <n v="57411.974240000003"/>
    <n v="194980.32052000001"/>
  </r>
  <r>
    <s v="BOGOTA"/>
    <x v="5"/>
    <x v="5"/>
    <n v="11001"/>
    <s v="TA-25-952495"/>
    <n v="80934"/>
    <s v="APERTURA"/>
    <s v="CB CRECIMIENTO - NUEVO"/>
    <s v="CUNDINAMARCA"/>
    <s v="BOGOTA"/>
    <s v="BARRIO BOSA CARBONEL BOGOTA 1"/>
    <s v="REDEBAN"/>
    <s v="FO-25-1374679"/>
    <d v="2025-08-11T00:00:00"/>
    <d v="2025-08-14T00:00:00"/>
    <s v="UNO A UNO"/>
    <s v="UNO A UNO"/>
    <s v="EJECUTADO"/>
    <s v="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
    <s v="LOZADA ROJAS CHRISTIAN ANDRES"/>
    <s v="FIZZZ320"/>
    <s v="TIPO I"/>
    <s v="TERRESTRE"/>
    <s v="LOZADA ROJAS CHRISTIAN ANDRES"/>
    <n v="1"/>
    <n v="1"/>
    <n v="3"/>
    <n v="11251.22416"/>
    <n v="126317.12212"/>
    <n v="57411.974240000003"/>
    <n v="309804.26899999997"/>
  </r>
  <r>
    <s v="MEDELLIN"/>
    <x v="2"/>
    <x v="2"/>
    <n v="5790"/>
    <s v="TA-25-952496"/>
    <n v="80964"/>
    <s v="APERTURA"/>
    <s v="CB CRECIMIENTO - NUEVO"/>
    <s v="ANTIOQUIA"/>
    <s v="TARAZA"/>
    <s v="BARRIO SAN NICOLAS TARAZA 1"/>
    <s v="REDEBAN"/>
    <s v="FO-25-1360406"/>
    <d v="2025-08-11T00:00:00"/>
    <d v="2025-08-14T00:00:00"/>
    <s v="UNO A UNO"/>
    <s v="UNO A UNO"/>
    <s v="EJECUTADO/CANCELADO"/>
    <s v="10-08 SE REALIZA LLAMADA AL CLIENTE, SE HABLA CON LA SR FERNEY ANTONIO CASTILLO PASTRANA SE VALIDA DIRECCIÓN OK, CANAL OK, DISPONIBILIDAD TOTAL, LLAMAR EL DÍA LA INSTALACIÓN PARA CONFIRMAR VISITA, AVISO EXTERIOR ALTURA APROX 2 METROS; TOMACORRIENTE CERCANO: SI; TIENE CABINA DE SEGURIDAD: NO 12/08/2025 VISITAMOS PUNTO PARA INSTALACIÓN ENCONTRANDO QUE YA HAY OTRO EXISTENTE A MEDIA CUADRA CON CODIGO 3007077869 PTM SAN NICOLAS TARAZA. ESTE PUNTO FUE TRASLADADO HACE UN MES A ESTA NUEVA DIRECCIÓN. USUARIO DE INSTALACIÓN DE HOY COMENTA QUE CUANDO PASÓ LOS PAPELES PARA SOLICITAR EL CORRESPONSAL NO EXISTÍA ESE OTRO CB EN ESTA DIRECCIÓN SINO QUE SE TRASLADÓ COMO COMENTAMOS ANTERIORMENTE. COORDENADAS PUNTO EXISTENTE: 7.584959 -75.400686 COORDENADAS PUNTO NUEVO: 7.584725 -75.400914  14/08/2025 ENTIDAD SOLICITA CANCELAR "/>
    <s v="BADEL ACUÑA LUIS ALBERTO"/>
    <s v="FIZZZ321"/>
    <s v="TIPO IV"/>
    <s v="TERRESTRE"/>
    <s v="BADEL ACUÑA LUIS ALBERTO"/>
    <n v="0"/>
    <n v="0"/>
    <n v="2"/>
    <n v="11251.22416"/>
    <n v="126317.12212"/>
    <n v="110808.27512000001"/>
    <n v="221616.55024000001"/>
  </r>
  <r>
    <s v="CUCUTA"/>
    <x v="3"/>
    <x v="3"/>
    <n v="54001"/>
    <s v="TA-25-952497"/>
    <n v="80941"/>
    <s v="APERTURA"/>
    <s v="CB CRECIMIENTO - NUEVO"/>
    <s v="NORTE DE SANTANDER"/>
    <s v="CUCUTA"/>
    <s v="BARRIO URB NIZA CUCUTA 2"/>
    <s v="REDEBAN"/>
    <s v="FO-25-1360408"/>
    <d v="2025-08-11T00:00:00"/>
    <d v="2025-08-12T00:00:00"/>
    <s v="UNO A UNO"/>
    <s v="UNO A UNO"/>
    <s v="EJECUTADO"/>
    <s v="11-08 SE REALIZA LLAMADA AL CLIENTE, SE HABLA CON LA SRA ANDREA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DURAN ACOSTA FRANK YONNY"/>
    <s v="FIZZZ322"/>
    <s v="TIPO I"/>
    <s v="TERRESTRE"/>
    <s v="DURAN ACOSTA FRANK YONNY"/>
    <n v="1"/>
    <n v="1"/>
    <n v="1"/>
    <n v="11251.22416"/>
    <n v="126317.12212"/>
    <n v="57411.974240000003"/>
    <n v="194980.32052000001"/>
  </r>
  <r>
    <s v="SINCELEJO"/>
    <x v="4"/>
    <x v="4"/>
    <n v="70001"/>
    <s v="TA-25-952498"/>
    <n v="80968"/>
    <s v="APERTURA"/>
    <s v="CB CRECIMIENTO - NUEVO"/>
    <s v="SUCRE"/>
    <s v="SINCELEJO"/>
    <s v="BARRIO VEINTE DE JULIO SINCELEJO"/>
    <s v="REDEBAN"/>
    <s v="FO-25-1360411"/>
    <d v="2025-08-11T00:00:00"/>
    <d v="2025-08-12T00:00:00"/>
    <s v="UNO A UNO"/>
    <s v="UNO A UNO"/>
    <s v="EJECUTADO"/>
    <s v="11-08 SE REALIZA LLAMADA AL CLIENTE, SE HABLA CON LA SR FABIAN TORRES  SE VALIDA DIRECCIÓN OK, CANAL OK, DISPONIBILIDAD TOTAL, LLAMAR EL DÍA LA INSTALACIÓN PARA CONFIRMAR VISITA, AVISO EXTERIOR ALTURA APROX 3 METROS; TOMACORRIENTE CERCANO: SI; TIENE CABINA DE SEGURIDAD: NO - EL MODEM ESTA 7 MT  12-08 SE REALIZA INSTALACIÓN DE CORRESPONSAL, SE INSTALAN EQUIPOS CON PRUEBAS EXITOSAS, SE CAPACITA Y SE EVALÚA AL CLIENTE, SE INSTALA PUBLICIDAD COMPLETA, CB QUEDA OPERATIVO. USUARIO SOMOS BANCOLOMBIA ACTIVO"/>
    <s v="SANTOS GUZMAN CHRISTIAN FELIPE"/>
    <s v="FIZZZ323"/>
    <s v="TIPO I"/>
    <s v="TERRESTRE"/>
    <s v="SANTOS GUZMAN CHRISTIAN FELIPE"/>
    <n v="1"/>
    <n v="1"/>
    <n v="1"/>
    <n v="11251.22416"/>
    <n v="126317.12212"/>
    <n v="57411.974240000003"/>
    <n v="194980.32052000001"/>
  </r>
  <r>
    <s v="PEREIRA"/>
    <x v="1"/>
    <x v="6"/>
    <n v="66001"/>
    <s v="TA-25-952501"/>
    <n v="80958"/>
    <s v="APERTURA"/>
    <s v="CAMBIO DE RAZON SOCIAL"/>
    <s v="RISARALDA"/>
    <s v="PEREIRA"/>
    <s v="BARRIO CENTRO PEREIRA 53"/>
    <s v="REDEBAN"/>
    <s v="FO-25-1360416"/>
    <d v="2025-08-11T00:00:00"/>
    <d v="2025-08-12T00:00:00"/>
    <s v="UNO A UNO"/>
    <s v="UNO A UNO"/>
    <s v="EJECUTADO"/>
    <s v="11-08 SE REALIZA LLAMADA AL CLIENTE, SE HABLA CON LA SRA KELLY JOHANA SANCHEZ DELGADO SE VALIDA DIRECCIÓN OK, CANAL OK, DISPONIBILIDAD TOTAL, LLAMAR EL DÍA LA INSTALACIÓN PARA CONFIRMAR VISITA, AVISO EXTERIOR ALTURA APROX 3 METROS; TOMACORRIENTE CERCANO: SI; TIENE CABINA DE SEGURIDAD: SI  12/08/2025 SE REALIZA INSTALACIÓN DE CORRESPONSAL POR CAMBIO DE RAZON SOCIAL, SE INSTALAN EQUIPOS CON PRUEBAS EXITOSAS, SE CAPACITA Y SE EVALÚA AL CLIENTE, SE INSTALA SOLO FLANGGER LA DEMAS PUBLICIDAD YA ESTABA INSTALADA, CB QUEDA OPERATIVO. USUARIO SOMOS BANCOLOMBIA ACTIVO"/>
    <s v="ARROYAVE CANO MANUEL GUILLERMO"/>
    <s v="FIZZZ324"/>
    <s v="TIPO I"/>
    <s v="TERRESTRE"/>
    <s v="ARROYAVE CANO MANUEL GUILLERMO"/>
    <n v="1"/>
    <n v="1"/>
    <n v="1"/>
    <n v="11251.22416"/>
    <n v="126317.12212"/>
    <n v="57411.974240000003"/>
    <n v="194980.32052000001"/>
  </r>
  <r>
    <s v="MEDELLIN"/>
    <x v="2"/>
    <x v="2"/>
    <n v="5001"/>
    <s v="TA-25-952502"/>
    <n v="80985"/>
    <s v="APERTURA"/>
    <s v="CB CRECIMIENTO - NUEVO"/>
    <s v="ANTIOQUIA"/>
    <s v="MEDELLIN"/>
    <s v="BARRIO CENTRO ORIENTAL CON HUEVO MEDELLIN"/>
    <s v="REDEBAN"/>
    <s v="FO-25-1360419"/>
    <d v="2025-08-11T00:00:00"/>
    <d v="2025-08-12T00:00:00"/>
    <s v="UNO A UNO"/>
    <s v="UNO A UNO"/>
    <s v="EJECUTADO"/>
    <s v="11-08 SE REALIZA LLAMADA AL CLIENTE, SE HABLA CON EL SR FRANCISCO LUIS MONTOYA TAMAYO SE VALIDA DIRECCIÓN OK, CANAL OK, DISPONIBILIDAD TOTAL, LLAMAR EL DÍA LA INSTALACIÓN PARA CONFIRMAR VISITA, AVISO EXTERIOR ALTURA APROX 2 METROS; TOMACORRIENTE CERCANO: SI; TIENE CABINA DE SEGURIDAD: SI 12/08/2025 SE REALIZA INSTALACIÓN DE CORRESPONSAL, SE INSTALAN EQUIPOS CON PRUEBAS EXITOSAS, SE CAPACITA Y SE EVALÚA AL CLIENTE, SE INSTALA PUBLICIDAD COMPLETA, CB QUEDA OPERATIVO. USUARIO SOMOS BANCOLOMBIA ACTIVO"/>
    <s v="MARTINEZ TOVAR OSCAR DAVID"/>
    <s v="FIZZZ325"/>
    <s v="TIPO I"/>
    <s v="TERRESTRE"/>
    <s v="MARTINEZ TOVAR OSCAR DAVID"/>
    <n v="1"/>
    <n v="1"/>
    <n v="1"/>
    <n v="11251.22416"/>
    <n v="126317.12212"/>
    <n v="57411.974240000003"/>
    <n v="194980.32052000001"/>
  </r>
  <r>
    <s v="MEDELLIN"/>
    <x v="2"/>
    <x v="2"/>
    <n v="5001"/>
    <s v="TA-25-952503"/>
    <n v="80986"/>
    <s v="APERTURA"/>
    <s v="CAMBIO DE RAZON SOCIAL"/>
    <s v="ANTIOQUIA"/>
    <s v="MEDELLIN"/>
    <s v="BARRIO BELEN MEDELLIN 18"/>
    <s v="REDEBAN"/>
    <s v="FO-25-1360424"/>
    <d v="2025-08-11T00:00:00"/>
    <d v="2025-08-12T00:00:00"/>
    <s v="UNO A UNO"/>
    <s v="UNO A UNO"/>
    <s v="EJECUTADO"/>
    <s v="11-08 SE REALIZA LLAMADA AL CLIENTE, SE HABLA CON LA SRA  Yuly Builes SE VALIDA DIRECCIÓN OK, CANAL OK, DISPONIBILIDAD TOTAL, LLAMAR EL DÍA LA INSTALACIÓN PARA CONFIRMAR VISITA, AVISO EXTERIOR ALTURA APROX 2.20 METROS; TOMACORRIENTE CERCANO: SI; TIENE CABINA DE SEGURIDAD: NO - COMUNICACIÓN POR WPP 12-08 SE REALIZA INSTALACIÓN DE CORRESPONSAL, SE INSTALAN EQUIPOS CON PRUEBAS EXITOSAS, SE CAPACITA Y SE EVALÚA AL CLIENTE, SE INSTALA SOLO FLANGGER LA DEMAS PUBLICIDAD YA ESTABA INSTALADA, CB QUEDA OPERATIVO. USUARIO SOMOS BANCOLOMBIA ACTIVO"/>
    <s v="MARTINEZ TOVAR OSCAR DAVID"/>
    <s v="FIZZZ326"/>
    <s v="TIPO I"/>
    <s v="TERRESTRE"/>
    <s v="MARTINEZ TOVAR OSCAR DAVID"/>
    <n v="1"/>
    <n v="0"/>
    <n v="2"/>
    <n v="11251.22416"/>
    <n v="126317.12212"/>
    <n v="57411.974240000003"/>
    <n v="126075.17264"/>
  </r>
  <r>
    <s v="PEREIRA"/>
    <x v="1"/>
    <x v="6"/>
    <n v="66440"/>
    <s v="TA-25-952504"/>
    <n v="80950"/>
    <s v="APERTURA"/>
    <s v="CB CRECIMIENTO - NUEVO"/>
    <s v="RISARALDA"/>
    <s v="MARSELLA"/>
    <s v="BARRIO CENTRO MARSELLA 7"/>
    <s v="REDEBAN"/>
    <s v="FO-25-1360428"/>
    <d v="2025-08-11T00:00:00"/>
    <d v="2025-08-12T00:00:00"/>
    <s v="UNO A UNO"/>
    <s v="UNO A UNO"/>
    <s v="EJECUTADO"/>
    <s v="11-08 SE REALIZA LLAMADA AL CLIENTE, SE HABLA CON EL SR CELSO MARTINEZ ORTIZ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FRANCO CAÑAVERAL YAMID RAUL"/>
    <s v="FIZZZ327"/>
    <s v="TIPO II"/>
    <s v="TERRESTRE"/>
    <s v="FRANCO CAÑAVERAL YAMID RAUL"/>
    <n v="1"/>
    <n v="1"/>
    <n v="1"/>
    <n v="11251.22416"/>
    <n v="126317.12212"/>
    <n v="110808.27512000001"/>
    <n v="248376.6214"/>
  </r>
  <r>
    <s v="PEREIRA"/>
    <x v="1"/>
    <x v="6"/>
    <n v="66383"/>
    <s v="TA-25-952505"/>
    <n v="80946"/>
    <s v="APERTURA"/>
    <s v="CB CRECIMIENTO - NUEVO"/>
    <s v="RISARALDA"/>
    <s v="LA CELIA"/>
    <s v="BARRIO CENTRO LA CELIA 7"/>
    <s v="REDEBAN"/>
    <s v="FO-25-1360430"/>
    <d v="2025-08-11T00:00:00"/>
    <d v="2025-08-13T00:00:00"/>
    <s v="UNO A UNO"/>
    <s v="UNO A UNO"/>
    <s v="EJECUTADO"/>
    <s v="11-08 SE REALIZA LLAMADA AL CLIENTE, SE HABLA CON EL SR NESTOR IVAN CASTAÑO SOTO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ARROYAVE CANO MANUEL GUILLERMO"/>
    <s v="FIZZZ328"/>
    <s v="TIPO II"/>
    <s v="TERRESTRE"/>
    <s v="ARROYAVE CANO MANUEL GUILLERMO"/>
    <n v="1"/>
    <n v="1"/>
    <n v="1"/>
    <n v="11251.22416"/>
    <n v="126317.12212"/>
    <n v="110808.27512000001"/>
    <n v="248376.6214"/>
  </r>
  <r>
    <s v="BOGOTA"/>
    <x v="5"/>
    <x v="5"/>
    <n v="11001"/>
    <s v="TA-25-952506"/>
    <n v="80935"/>
    <s v="APERTURA"/>
    <s v="CB CRECIMIENTO - NUEVO"/>
    <s v="CUNDINAMARCA"/>
    <s v="BOGOTA"/>
    <s v="BARRIO MARCO FIDEL SUAREZ BOGOTA 8"/>
    <s v="REDEBAN"/>
    <s v="FO-25-1360435"/>
    <d v="2025-08-11T00:00:00"/>
    <d v="2025-08-12T00:00:00"/>
    <s v="UNO A UNO"/>
    <s v="UNO A UNO"/>
    <s v="EJECUTADO"/>
    <s v="11-08 SE REALIZA LLAMADA AL CLIENTE, SE HABLA CON LA SR WILSON OSWALDO GARZON GARZON SE VALIDA DIRECCIÓN OK, CANAL OK, DISPONIBILIDAD TOTAL, LLAMAR EL DÍA LA INSTALACIÓN PARA CONFIRMAR VISITA, AVISO EXTERIOR ALTURA: NO INDICA ALTURA; TOMACORRIENTE CERCANO: SI; TIENE CABINA DE SEGURIDAD: SI 12/08/2025 SE REALIZA INSTALACIÓN DE CORRESPONSAL, SE INSTALAN EQUIPOS CON PRUEBAS EXITOSAS, SE CAPACITA Y SE EVALÚA AL CLIENTE, SE INSTALA PUBLICIDAD COMPLETA, CB QUEDA OPERATIVO. USUARIO SOMOS BANCOLOMBIA ACTIVO. NOTA: DESPUES DE INSTALADO EL CORRESPOSAL ENTIDAD SOLICITO REALIZAR EL RETIRO NO INDICARON EL MOTIVO"/>
    <s v="ROMERO ROJAS BREIDY JHOHAN"/>
    <s v="FIZZZ329"/>
    <s v="TIPO I"/>
    <s v="TERRESTRE"/>
    <s v="ROMERO ROJAS BREIDY JHOHAN"/>
    <n v="1"/>
    <n v="1"/>
    <n v="1"/>
    <n v="11251.22416"/>
    <n v="126317.12212"/>
    <n v="57411.974240000003"/>
    <n v="194980.32052000001"/>
  </r>
  <r>
    <s v="BUCARAMANGA"/>
    <x v="3"/>
    <x v="3"/>
    <n v="68418"/>
    <s v="TA-25-952507"/>
    <n v="80948"/>
    <s v="APERTURA"/>
    <s v="CB CRECIMIENTO - NUEVO"/>
    <s v="SANTANDER"/>
    <s v="LOS SANTOS"/>
    <s v="BARRIO LOS SANTOS LOS SANTOS 1"/>
    <s v="REDEBAN"/>
    <s v="FO-25-1360440"/>
    <d v="2025-08-11T00:00:00"/>
    <d v="2025-08-12T00:00:00"/>
    <s v="UNO A UNO"/>
    <s v="UNO A UNO"/>
    <s v="EJECUTADO"/>
    <s v="11-08 SE REALIZA LLAMADA AL CLIENTE, SE HABLA CON LA SRA ERICA YURLEY CACERES DELGADO SE VALIDA DIRECCIÓN OK, CANAL OK, DISPONIBILIDAD TOTAL, LLAMAR EL DÍA LA INSTALACIÓN PARA CONFIRMAR VISITA, AVISO EXTERIOR ALTURA APROX 2 METROS; TOMACORRIENTE CERCANO: SI; TIENE CABINA DE SEGURIDAD: NO - COMUNICACIÓN POR WPP12/08/2025 SE REALIZA INSTALACIÓN DE CORRESPONSAL, SE INSTALAN EQUIPOS CON PRUEBAS EXITOSAS, SE CAPACITA Y SE EVALÚA AL CLIENTE, SE INSTALA PUBLICIDAD COMPLETA, CB QUEDA OPERATIVO. USUARIO SOMOS BANCOLOMBIA ACTIVO"/>
    <s v="GONZALEZ ESTUPIÑAN YEISON WALTER ANTONIO"/>
    <s v="FIZZZ330"/>
    <s v="TIPO II"/>
    <s v="TERRESTRE"/>
    <s v="GONZALEZ ESTUPIÑAN YEISON WALTER ANTONIO"/>
    <n v="1"/>
    <n v="1"/>
    <n v="1"/>
    <n v="11251.22416"/>
    <n v="126317.12212"/>
    <n v="110808.27512000001"/>
    <n v="248376.6214"/>
  </r>
  <r>
    <s v="IBAGUE"/>
    <x v="0"/>
    <x v="0"/>
    <n v="73001"/>
    <s v="TA-25-952508"/>
    <n v="80945"/>
    <s v="APERTURA"/>
    <s v="CB CRECIMIENTO - NUEVO"/>
    <s v="TOLIMA"/>
    <s v="IBAGUE"/>
    <s v="BARRIO LA POLA IBAGUE 7"/>
    <s v="REDEBAN"/>
    <s v="FO-25-1360444"/>
    <d v="2025-08-11T00:00:00"/>
    <d v="2025-08-12T00:00:00"/>
    <s v="UNO A UNO"/>
    <s v="UNO A UNO"/>
    <s v="EJECUTADO"/>
    <s v="11-08 SE REALIZA LLAMADA AL CLIENTE, SE HABLA CON LA SRA MARÍA ALEJANDRA CORREA DELGADO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BARRAGAN TAFUR EDWIN ESTEBAN"/>
    <s v="FIZZZ331"/>
    <s v="TIPO I"/>
    <s v="TERRESTRE"/>
    <s v="BARRAGAN TAFUR EDWIN ESTEBAN"/>
    <n v="1"/>
    <n v="1"/>
    <n v="1"/>
    <n v="11251.22416"/>
    <n v="126317.12212"/>
    <n v="57411.974240000003"/>
    <n v="194980.32052000001"/>
  </r>
  <r>
    <s v="VILLAVICENCIO"/>
    <x v="0"/>
    <x v="0"/>
    <n v="50001"/>
    <s v="TA-25-952514"/>
    <n v="80923"/>
    <s v="APERTURA"/>
    <s v="CB CRECIMIENTO - OTRAS LISTAS"/>
    <s v="META"/>
    <s v="VILLAVICENCIO"/>
    <s v="BARRIO ACAPULCO VILLAVICENCIO 2"/>
    <s v="REDEBAN"/>
    <s v="FO-25-1360451"/>
    <d v="2025-08-11T00:00:00"/>
    <d v="2025-08-12T00:00:00"/>
    <s v="UNO A UNO"/>
    <s v="UNO A UNO"/>
    <s v="EJECUTADO"/>
    <s v="11-08 SE REALIZA LLAMADA AL CLIENTE, SE HABLA CON LA SRA YESICA VICTORIA ESPITIA GONZÁLEZ  VERGEL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PEDREROS CONTRERAS MICHAEL STEVENS"/>
    <s v="FIZZZ333"/>
    <s v="TIPO I"/>
    <s v="TERRESTRE"/>
    <s v="PEDREROS CONTRERAS MICHAEL STEVENS"/>
    <n v="1"/>
    <n v="1"/>
    <n v="1"/>
    <n v="11251.22416"/>
    <n v="126317.12212"/>
    <n v="57411.974240000003"/>
    <n v="194980.32052000001"/>
  </r>
  <r>
    <s v="MEDELLIN"/>
    <x v="2"/>
    <x v="2"/>
    <n v="5001"/>
    <s v="TA-25-969495"/>
    <n v="81036"/>
    <s v="APERTURA"/>
    <s v="CB CRECIMIENTO ALIANZA - NUEVO"/>
    <s v="ANTIOQUIA"/>
    <s v="MEDELLIN"/>
    <s v="DISTRICOL PET SHOP MI TAPITO"/>
    <s v="REDEBAN"/>
    <s v="FO-25-1371520"/>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PAREJA ECHAVARRIA JHON DAVID"/>
    <s v="FJZZZ887"/>
    <s v="TIPO I"/>
    <s v="TERRESTRE"/>
    <s v="PAREJA ECHAVARRIA JHON DAVID"/>
    <n v="1"/>
    <n v="1"/>
    <n v="1"/>
    <n v="11251.22416"/>
    <n v="126317.12212"/>
    <n v="57411.974240000003"/>
    <n v="194980.32052000001"/>
  </r>
  <r>
    <s v="MEDELLIN"/>
    <x v="2"/>
    <x v="2"/>
    <n v="5001"/>
    <s v="TA-25-969518"/>
    <n v="81037"/>
    <s v="APERTURA"/>
    <s v="CB CRECIMIENTO ALIANZA - NUEVO"/>
    <s v="ANTIOQUIA"/>
    <s v="MEDELLIN"/>
    <s v="DISTRICOL LA VIÑA JCI"/>
    <s v="REDEBAN"/>
    <s v="FO-25-1371529"/>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PAREJA ECHAVARRIA JHON DAVID"/>
    <s v="FJZZZ888"/>
    <s v="TIPO I"/>
    <s v="TERRESTRE"/>
    <s v="PAREJA ECHAVARRIA JHON DAVID"/>
    <n v="1"/>
    <n v="1"/>
    <n v="1"/>
    <n v="11251.22416"/>
    <n v="126317.12212"/>
    <n v="57411.974240000003"/>
    <n v="194980.32052000001"/>
  </r>
  <r>
    <s v="MEDELLIN"/>
    <x v="2"/>
    <x v="2"/>
    <n v="5001"/>
    <s v="TA-25-969535"/>
    <n v="81038"/>
    <s v="APERTURA"/>
    <s v="CB CRECIMIENTO ALIANZA - NUEVO"/>
    <s v="ANTIOQUIA"/>
    <s v="MEDELLIN"/>
    <s v="DISTRICOL EDEMAT GROUP S.A.S."/>
    <s v="REDEBAN"/>
    <s v="FO-25-1371534"/>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BADEL ACUÑA LUIS ALBERTO"/>
    <s v="FJZZZ889"/>
    <s v="TIPO I"/>
    <s v="TERRESTRE"/>
    <s v="BADEL ACUÑA LUIS ALBERTO"/>
    <n v="1"/>
    <n v="1"/>
    <n v="1"/>
    <n v="11251.22416"/>
    <n v="126317.12212"/>
    <n v="57411.974240000003"/>
    <n v="194980.32052000001"/>
  </r>
  <r>
    <s v="MEDELLIN"/>
    <x v="2"/>
    <x v="2"/>
    <n v="5001"/>
    <s v="TA-25-969537"/>
    <n v="81039"/>
    <s v="APERTURA"/>
    <s v="CB CRECIMIENTO ALIANZA - NUEVO"/>
    <s v="ANTIOQUIA"/>
    <s v="MEDELLIN"/>
    <s v="DISTRICOL CARNES LAS MERCEDES"/>
    <s v="REDEBAN"/>
    <s v="FO-25-137153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BADEL ACUÑA LUIS ALBERTO"/>
    <s v="FJZZZ890"/>
    <s v="TIPO I"/>
    <s v="TERRESTRE"/>
    <s v="BADEL ACUÑA LUIS ALBERTO"/>
    <n v="1"/>
    <n v="1"/>
    <n v="1"/>
    <n v="11251.22416"/>
    <n v="126317.12212"/>
    <n v="57411.974240000003"/>
    <n v="194980.32052000001"/>
  </r>
  <r>
    <s v="MEDELLIN"/>
    <x v="2"/>
    <x v="2"/>
    <n v="5001"/>
    <s v="TA-25-969539"/>
    <n v="81040"/>
    <s v="APERTURA"/>
    <s v="CB CRECIMIENTO ALIANZA - NUEVO"/>
    <s v="ANTIOQUIA"/>
    <s v="MEDELLIN"/>
    <s v="DISTRICOL PC BELEN 76"/>
    <s v="REDEBAN"/>
    <s v="FO-25-137153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BADEL ACUÑA LUIS ALBERTO"/>
    <s v="FJZZZ891"/>
    <s v="TIPO I"/>
    <s v="TERRESTRE"/>
    <s v="BADEL ACUÑA LUIS ALBERTO"/>
    <n v="1"/>
    <n v="1"/>
    <n v="1"/>
    <n v="11251.22416"/>
    <n v="126317.12212"/>
    <n v="57411.974240000003"/>
    <n v="194980.32052000001"/>
  </r>
  <r>
    <s v="MEDELLIN"/>
    <x v="2"/>
    <x v="2"/>
    <n v="5001"/>
    <s v="TA-25-969540"/>
    <n v="81041"/>
    <s v="APERTURA"/>
    <s v="CB CRECIMIENTO ALIANZA - NUEVO"/>
    <s v="ANTIOQUIA"/>
    <s v="MEDELLIN"/>
    <s v="PTM MEDELLIN AUTOSERVICIO LA P"/>
    <s v="REDEBAN"/>
    <s v="FO-25-137154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CASTAÑEDA PALACIO CARLOS FELIPE"/>
    <s v="FJZZZ892"/>
    <s v="TIPO I"/>
    <s v="TERRESTRE"/>
    <s v="CASTAÑEDA PALACIO CARLOS FELIPE"/>
    <n v="1"/>
    <n v="1"/>
    <n v="1"/>
    <n v="11251.22416"/>
    <n v="126317.12212"/>
    <n v="57411.974240000003"/>
    <n v="194980.32052000001"/>
  </r>
  <r>
    <s v="MEDELLIN"/>
    <x v="2"/>
    <x v="2"/>
    <n v="5001"/>
    <s v="TA-25-969541"/>
    <n v="81042"/>
    <s v="APERTURA"/>
    <s v="CB CRECIMIENTO ALIANZA - NUEVO"/>
    <s v="ANTIOQUIA"/>
    <s v="MEDELLIN"/>
    <s v="PTM MEDELLIN AJN TRAVEL"/>
    <s v="REDEBAN"/>
    <s v="FO-25-1371543"/>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BADEL ACUÑA LUIS ALBERTO"/>
    <s v="FJZZZ893"/>
    <s v="TIPO I"/>
    <s v="TERRESTRE"/>
    <s v="BADEL ACUÑA LUIS ALBERTO"/>
    <n v="1"/>
    <n v="1"/>
    <n v="1"/>
    <n v="11251.22416"/>
    <n v="126317.12212"/>
    <n v="57411.974240000003"/>
    <n v="194980.32052000001"/>
  </r>
  <r>
    <s v="MEDELLIN"/>
    <x v="2"/>
    <x v="2"/>
    <n v="5001"/>
    <s v="TA-25-969543"/>
    <n v="81043"/>
    <s v="APERTURA"/>
    <s v="CB CRECIMIENTO ALIANZA - NUEVO"/>
    <s v="ANTIOQUIA"/>
    <s v="MEDELLIN"/>
    <s v="PTM MEDELLIN MISCELANEA LA TAT"/>
    <s v="REDEBAN"/>
    <s v="FO-25-1371545"/>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MARTINEZ TOVAR OSCAR DAVID"/>
    <s v="FJZZZ894"/>
    <s v="TIPO I"/>
    <s v="TERRESTRE"/>
    <s v="MARTINEZ TOVAR OSCAR DAVID"/>
    <n v="1"/>
    <n v="1"/>
    <n v="1"/>
    <n v="11251.22416"/>
    <n v="126317.12212"/>
    <n v="57411.974240000003"/>
    <n v="194980.32052000001"/>
  </r>
  <r>
    <s v="MEDELLIN"/>
    <x v="2"/>
    <x v="2"/>
    <n v="5088"/>
    <s v="TA-25-969547"/>
    <n v="81032"/>
    <s v="APERTURA"/>
    <s v="CB CRECIMIENTO ALIANZA - NUEVO"/>
    <s v="ANTIOQUIA"/>
    <s v="BELLO"/>
    <s v="PTM BELLO MISCELANEA SOLUCION"/>
    <s v="REDEBAN"/>
    <s v="FO-25-1371547"/>
    <d v="2025-08-13T00:00:00"/>
    <d v="2025-08-15T00:00:00"/>
    <s v="AGREGADOR"/>
    <s v="COMCARD - PTM"/>
    <s v="EJECUTADO"/>
    <s v="13-08 PROGRAMACIÓN REALIZADA POR LA ALIANZA 15-08 SE REALIZA INSTALACIÓN DE CORRESPONSAL, SE INSTALAN EQUIPOS CON PRUEBAS EXITOSAS, SE CAPACITA Y SE EVALÚA AL CLIENTE, SE INSTALA PUBLICIDAD COMPLETA, CB QUEDA OPERATIVO. USUARIO SOMOS BANCOLOMBIA ACTIVO"/>
    <s v="MARTINEZ TOVAR OSCAR DAVID"/>
    <s v="FJZZZ895"/>
    <s v="TIPO I"/>
    <s v="TERRESTRE"/>
    <s v="MARTINEZ TOVAR OSCAR DAVID"/>
    <n v="1"/>
    <n v="1"/>
    <n v="1"/>
    <n v="11251.22416"/>
    <n v="126317.12212"/>
    <n v="57411.974240000003"/>
    <n v="194980.32052000001"/>
  </r>
  <r>
    <s v="MEDELLIN"/>
    <x v="2"/>
    <x v="2"/>
    <n v="5129"/>
    <s v="TA-25-969548"/>
    <n v="81006"/>
    <s v="APERTURA"/>
    <s v="CB CRECIMIENTO ALIANZA - NUEVO"/>
    <s v="ANTIOQUIA"/>
    <s v="CALDAS"/>
    <s v="PTM CALDAS BOTANICASALOMON"/>
    <s v="REDEBAN"/>
    <s v="FO-25-1371550"/>
    <d v="2025-08-13T00:00:00"/>
    <d v="2025-08-15T00:00:00"/>
    <s v="AGREGADOR"/>
    <s v="COMCARD - PTM"/>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CASTAÑEDA PALACIO CARLOS FELIPE"/>
    <s v="FJZZZ896"/>
    <s v="TIPO I"/>
    <s v="TERRESTRE"/>
    <s v="CASTAÑEDA PALACIO CARLOS FELIPE"/>
    <n v="1"/>
    <n v="1"/>
    <n v="1"/>
    <n v="11251.22416"/>
    <n v="126317.12212"/>
    <n v="57411.974240000003"/>
    <n v="194980.32052000001"/>
  </r>
  <r>
    <s v="MEDELLIN"/>
    <x v="2"/>
    <x v="2"/>
    <n v="5148"/>
    <s v="TA-25-969549"/>
    <n v="81033"/>
    <s v="APERTURA"/>
    <s v="CB CRECIMIENTO ALIANZA - NUEVO"/>
    <s v="ANTIOQUIA"/>
    <s v="EL CARMEN DE VIBORAL"/>
    <s v="DISTRICOL TIENDA ISABELLA´S"/>
    <s v="REDEBAN"/>
    <s v="FO-25-1371553"/>
    <d v="2025-08-13T00:00:00"/>
    <d v="2025-08-14T00:00:00"/>
    <s v="AGREGADOR"/>
    <s v="DISTRICOL"/>
    <s v="EJECUTADO"/>
    <s v="13-08 PROGRAMACIÓN REALIZADA POR LA ALIANZA 14-08 SE REALIZA INSTALACIÓN DE CORRESPONSAL, SE INSTALAN EQUIPOS CON PRUEBAS EXITOSAS, SE CAPACITA Y SE EVALÚA AL CLIENTE, SE INSTALA PUBLICIDAD COMPLETA, CB QUEDA OPERATIVO. USUARIO SOMOS BANCOLOMBIA ACTIVO"/>
    <s v="MARTINEZ TOVAR OSCAR DAVID"/>
    <s v="FJZZZ897"/>
    <s v="TIPO II"/>
    <s v="TERRESTRE"/>
    <s v="MARTINEZ TOVAR OSCAR DAVID"/>
    <n v="1"/>
    <n v="1"/>
    <n v="1"/>
    <n v="11251.22416"/>
    <n v="126317.12212"/>
    <n v="110808.27512000001"/>
    <n v="248376.6214"/>
  </r>
  <r>
    <s v="MEDELLIN"/>
    <x v="2"/>
    <x v="2"/>
    <n v="5376"/>
    <s v="TA-25-969553"/>
    <n v="81035"/>
    <s v="APERTURA"/>
    <s v="CB CRECIMIENTO ALIANZA - NUEVO"/>
    <s v="ANTIOQUIA"/>
    <s v="LA CEJA"/>
    <s v="DISTRICOL CREDIPLUS M Y M"/>
    <s v="REDEBAN"/>
    <s v="FO-25-1371556"/>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DIAZ ZABALA FRANCIS DUBAN"/>
    <s v="FJZZZ898"/>
    <s v="TIPO II"/>
    <s v="TERRESTRE"/>
    <s v="DIAZ ZABALA FRANCIS DUBAN"/>
    <n v="1"/>
    <n v="1"/>
    <n v="1"/>
    <n v="11251.22416"/>
    <n v="126317.12212"/>
    <n v="110808.27512000001"/>
    <n v="248376.6214"/>
  </r>
  <r>
    <s v="BARRANQUILLA"/>
    <x v="4"/>
    <x v="4"/>
    <n v="8001"/>
    <s v="TA-25-969556"/>
    <n v="80994"/>
    <s v="APERTURA"/>
    <s v="CB CRECIMIENTO ALIANZA - NUEVO"/>
    <s v="ATLANTICO"/>
    <s v="BARRANQUILLA"/>
    <s v="DISTRICOL Q´CHICHA S.A.S."/>
    <s v="REDEBAN"/>
    <s v="FO-25-137155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DE AVILA SIADES ALBERTO ENRIQUE"/>
    <s v="FJZZZ899"/>
    <s v="TIPO I"/>
    <s v="TERRESTRE"/>
    <s v="DE AVILA SIADES ALBERTO ENRIQUE"/>
    <n v="1"/>
    <n v="1"/>
    <n v="1"/>
    <n v="11251.22416"/>
    <n v="126317.12212"/>
    <n v="57411.974240000003"/>
    <n v="194980.32052000001"/>
  </r>
  <r>
    <s v="TUNJA"/>
    <x v="3"/>
    <x v="3"/>
    <n v="15238"/>
    <s v="TA-25-969557"/>
    <n v="81011"/>
    <s v="APERTURA"/>
    <s v="CB CRECIMIENTO ALIANZA - NUEVO"/>
    <s v="BOYACA"/>
    <s v="DUITAMA"/>
    <s v="DISTRICOL FREA HOM"/>
    <s v="REDEBAN"/>
    <s v="FO-25-1371561"/>
    <d v="2025-08-13T00:00:00"/>
    <d v="2025-08-15T00:00:00"/>
    <s v="AGREGADOR"/>
    <s v="DISTRICOL"/>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RODRIGUEZ MURCIA YERSON IVAN"/>
    <s v="FJZZZ900"/>
    <s v="TIPO II"/>
    <s v="TERRESTRE"/>
    <s v="RODRIGUEZ MURCIA YERSON IVAN"/>
    <n v="1"/>
    <n v="1"/>
    <n v="1"/>
    <n v="11251.22416"/>
    <n v="126317.12212"/>
    <n v="110808.27512000001"/>
    <n v="248376.6214"/>
  </r>
  <r>
    <s v="TUNJA"/>
    <x v="3"/>
    <x v="3"/>
    <n v="15238"/>
    <s v="TA-25-969558"/>
    <n v="81012"/>
    <s v="APERTURA"/>
    <s v="CB CRECIMIENTO ALIANZA - NUEVO"/>
    <s v="BOYACA"/>
    <s v="DUITAMA"/>
    <s v="DISTRICOL R&amp;M SEGUROS SERVICIO"/>
    <s v="REDEBAN"/>
    <s v="FO-25-1371563"/>
    <d v="2025-08-13T00:00:00"/>
    <d v="2025-08-15T00:00:00"/>
    <s v="AGREGADOR"/>
    <s v="DISTRICOL"/>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RODRIGUEZ MURCIA YERSON IVAN"/>
    <s v="FJZZZ901"/>
    <s v="TIPO II"/>
    <s v="TERRESTRE"/>
    <s v="RODRIGUEZ MURCIA YERSON IVAN"/>
    <n v="1"/>
    <n v="1"/>
    <n v="1"/>
    <n v="11251.22416"/>
    <n v="126317.12212"/>
    <n v="110808.27512000001"/>
    <n v="248376.6214"/>
  </r>
  <r>
    <s v="TUNJA"/>
    <x v="3"/>
    <x v="3"/>
    <n v="15686"/>
    <s v="TA-25-969559"/>
    <n v="81025"/>
    <s v="APERTURA"/>
    <s v="CB CRECIMIENTO ALIANZA - NUEVO"/>
    <s v="BOYACA"/>
    <s v="SANTANA"/>
    <s v="DISTRICOL KAROLAY PLATINUM"/>
    <s v="REDEBAN"/>
    <s v="FO-25-1371565"/>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HERRERA GARZON JEYSON STEVENT"/>
    <s v="FJZZZ902"/>
    <s v="TIPO III"/>
    <s v="TERRESTRE"/>
    <s v="HERRERA GARZON JEYSON STEVENT"/>
    <n v="1"/>
    <n v="1"/>
    <n v="1"/>
    <n v="11251.22416"/>
    <n v="126317.12212"/>
    <n v="110808.27512000001"/>
    <n v="248376.6214"/>
  </r>
  <r>
    <s v="NEIVA"/>
    <x v="0"/>
    <x v="0"/>
    <n v="18001"/>
    <s v="TA-25-969560"/>
    <n v="81013"/>
    <s v="APERTURA"/>
    <s v="CB CRECIMIENTO ALIANZA - NUEVO"/>
    <s v="CAQUETA"/>
    <s v="FLORENCIA"/>
    <s v="DISTRICOL V&amp;C DE LA AMAZONIA"/>
    <s v="REDEBAN"/>
    <s v="FO-25-1371567"/>
    <d v="2025-08-13T00:00:00"/>
    <d v="2025-08-14T00:00:00"/>
    <s v="AGREGADOR"/>
    <s v="DISTRICOL"/>
    <s v="EJECUTADO/CANCELADO"/>
    <s v="13-08 PROGRAMACIÓN REALIZADA POR LA ALIANZA14/08/2025 SE REALIZA VISITA SOBRE LA CRA Y CALLE PARA LA IMPLEMENTACIÓN DEL CB  81013, PERO LA DIRECCIÓN RELACIONADA EN LISTA DE CHEQUEO NO ESTÁ EN SOBRE LA CRA Y CALLE, TAMPOCO HAY UN COMERCIO CON EL NOMBRE RELACIONADO EN LISTA DE CHEQUEO, SE EVIDENCIA   CR 8A # 5B – 71 QUE ES UN COLEGIÓ Y EN FRENTE DONDE PODRÍA SER CR 8A # 5B – 78, PERO ES UN LOTE ENMONTADO DONDE NO HAY CASAS., SE BUSCO EN TODA LA CALLE Y SON CASAS Y NINGUNA CON ESA NOMENCLATURA. . POR TAL RAZÓN SE CANCELA. ANEXO EVIDENCIAS ENCONTRADAS"/>
    <s v="BERMUDEZ SANCHEZ JOSE NEYBER"/>
    <s v="FJZZZ903"/>
    <s v="TIPO IV"/>
    <s v="TERRESTRE"/>
    <s v="BERMUDEZ SANCHEZ JOSE NEYBER"/>
    <n v="0"/>
    <n v="0"/>
    <n v="2"/>
    <n v="11251.22416"/>
    <n v="126317.12212"/>
    <n v="110808.27512000001"/>
    <n v="221616.55024000001"/>
  </r>
  <r>
    <s v="NEIVA"/>
    <x v="0"/>
    <x v="0"/>
    <n v="18150"/>
    <s v="TA-25-969567"/>
    <n v="81005"/>
    <s v="APERTURA"/>
    <s v="CB CRECIMIENTO ALIANZA - NUEVO"/>
    <s v="CAQUETA"/>
    <s v="CARTAGENA DEL CHAIRA"/>
    <s v="DISTRICOL CROCHET ROSA MONTANA"/>
    <s v="REDEBAN"/>
    <s v="FO-25-1371573"/>
    <d v="2025-08-13T00:00:00"/>
    <d v="2025-08-20T00:00:00"/>
    <s v="AGREGADOR"/>
    <s v="DISTRICOL"/>
    <s v="EJECUTADO"/>
    <s v="13-08 PROGRAMACIÓN REALIZADA POR LA ALIANZA 20/08/2025 SE REALIZA INSTALACIÓN DE CORRESPONSAL, SE INSTALAN EQUIPOS CON PRUEBAS EXITOSAS, SE CAPACITA Y SE EVALÚA AL CLIENTE, SE INSTALA PUBLICIDAD COMPLETA, CB QUEDA OPERATIVO. USUARIO SOMOS BANCOLOMBIA ACTIVO"/>
    <s v="BERMUDEZ SANCHEZ JOSE NEYBER"/>
    <s v="FJZZZ904"/>
    <s v="TIPO IV ESPECIAL"/>
    <s v="TERRESTRE"/>
    <s v="BERMUDEZ SANCHEZ JOSE NEYBER"/>
    <n v="1"/>
    <n v="1"/>
    <n v="1"/>
    <n v="11251.22416"/>
    <n v="126317.12212"/>
    <n v="110808.27512000001"/>
    <n v="248376.6214"/>
  </r>
  <r>
    <s v="NEIVA"/>
    <x v="0"/>
    <x v="0"/>
    <n v="18460"/>
    <s v="TA-25-969568"/>
    <n v="81016"/>
    <s v="APERTURA"/>
    <s v="CB CRECIMIENTO ALIANZA - NUEVO"/>
    <s v="CAQUETA"/>
    <s v="MILAN"/>
    <s v="DISTRICOL MISELANEA FAMILIAR"/>
    <s v="REDEBAN"/>
    <s v="FO-25-1371575"/>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BERMUDEZ SANCHEZ JOSE NEYBER"/>
    <s v="FJZZZ905"/>
    <s v="TIPO IV"/>
    <s v="TERRESTRE"/>
    <s v="BERMUDEZ SANCHEZ JOSE NEYBER"/>
    <n v="1"/>
    <n v="1"/>
    <n v="1"/>
    <n v="11251.22416"/>
    <n v="126317.12212"/>
    <n v="110808.27512000001"/>
    <n v="248376.6214"/>
  </r>
  <r>
    <s v="CALI"/>
    <x v="1"/>
    <x v="1"/>
    <n v="19001"/>
    <s v="TA-25-969569"/>
    <n v="81023"/>
    <s v="APERTURA"/>
    <s v="CB CRECIMIENTO ALIANZA - NUEVO"/>
    <s v="CAUCA"/>
    <s v="POPAYAN"/>
    <s v="PTM POPAYAN COPILIGT"/>
    <s v="REDEBAN"/>
    <s v="FO-25-1371577"/>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GIMBUEL LASSO LUIS GERMAN"/>
    <s v="FJZZZ906"/>
    <s v="TIPO III"/>
    <s v="TERRESTRE"/>
    <s v="GIMBUEL LASSO LUIS GERMAN"/>
    <n v="1"/>
    <n v="1"/>
    <n v="1"/>
    <n v="11251.22416"/>
    <n v="126317.12212"/>
    <n v="110808.27512000001"/>
    <n v="248376.6214"/>
  </r>
  <r>
    <s v="MONTERIA"/>
    <x v="4"/>
    <x v="4"/>
    <n v="23555"/>
    <s v="TA-25-969570"/>
    <n v="81021"/>
    <s v="APERTURA"/>
    <s v="CB CRECIMIENTO ALIANZA - NUEVO"/>
    <s v="CORDOBA"/>
    <s v="PLANETA RICA"/>
    <s v="DISTRICOL ABASTOS PROGRESO G"/>
    <s v="REDEBAN"/>
    <s v="FO-25-1371579"/>
    <d v="2025-08-13T00:00:00"/>
    <d v="2025-08-16T00:00:00"/>
    <s v="AGREGADOR"/>
    <s v="DISTRICOL"/>
    <s v="EJECUTADO"/>
    <s v="13-08 PROGRAMACIÓN REALIZADA POR LA ALIANZA 15-08 SE ESTÁ BLECE COMUNIACION CON EL CLIENTE GERALDINE PÉREZ INDICA QUE POR FUERTES LLUVIAS EN EL CORREGIMIENTO SE INTERRUMPIÓ EL FLUIDO ELÉCTRICO, SOLICITA REPROGRAMAR VISTA PARA EL DÍA SÁBADO 16/08/202516-08 SE REALIZA INSTALACIÓN DE CORRESPONSAL, SE INSTALAN EQUIPOS CON PRUEBAS EXITOSAS, SE CAPACITA Y SE EVALÚA AL CLIENTE, SE INSTALA PUBLICIDAD COMPLETA, CB QUEDA OPERATIVO. USUARIO SOMOS BANCOLOMBIA ACTIVO"/>
    <s v="GONZALEZ FERRER JESUS ALEXANDER"/>
    <s v="FJZZZ907"/>
    <s v="TIPO II"/>
    <s v="TERRESTRE"/>
    <s v="GONZALEZ FERRER JESUS ALEXANDER"/>
    <n v="1"/>
    <n v="1"/>
    <n v="1"/>
    <n v="11251.22416"/>
    <n v="126317.12212"/>
    <n v="110808.27512000001"/>
    <n v="248376.6214"/>
  </r>
  <r>
    <s v="MONTERIA"/>
    <x v="4"/>
    <x v="4"/>
    <n v="23555"/>
    <s v="TA-25-969571"/>
    <n v="81022"/>
    <s v="APERTURA"/>
    <s v="CB CRECIMIENTO ALIANZA - NUEVO"/>
    <s v="CORDOBA"/>
    <s v="PLANETA RICA"/>
    <s v="DISTRICOL LA PATRONA CATERING"/>
    <s v="REDEBAN"/>
    <s v="FO-25-137158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GONZALEZ FERRER JESUS ALEXANDER"/>
    <s v="FJZZZ908"/>
    <s v="TIPO II"/>
    <s v="TERRESTRE"/>
    <s v="GONZALEZ FERRER JESUS ALEXANDER"/>
    <n v="1"/>
    <n v="1"/>
    <n v="1"/>
    <n v="11251.22416"/>
    <n v="126317.12212"/>
    <n v="110808.27512000001"/>
    <n v="248376.6214"/>
  </r>
  <r>
    <s v="APARTADO"/>
    <x v="2"/>
    <x v="2"/>
    <n v="27006"/>
    <s v="TA-25-969572"/>
    <n v="80990"/>
    <s v="APERTURA"/>
    <s v="CB CRECIMIENTO ALIANZA - NUEVO"/>
    <s v="CHOCO"/>
    <s v="ACANDI"/>
    <s v="DISTRICOL DROGUEINTEGRAL"/>
    <s v="REDEBAN"/>
    <s v="FO-25-1371584"/>
    <d v="2025-08-13T00:00:00"/>
    <d v="2025-08-21T00:00:00"/>
    <s v="AGREGADOR"/>
    <s v="DISTRICOL"/>
    <s v="EJECUTADO"/>
    <s v="13-08 PROGRAMACIÓN REALIZADA POR LA ALIANZA 21-08 SE REALIZA INSTALACIÓN DE CORRESPONSAL, SE INSTALAN EQUIPOS CON PRUEBAS EXITOSAS, SE CAPACITA Y SE EVALÚA AL CLIENTE, SE INSTALA PUBLICIDAD COMPLETA, CB QUEDA OPERATIVO. USUARIO SOMOS BANCOLOMBIA ACTIVO"/>
    <s v="SALDARRIAGA MIRANDA SANTIAGO"/>
    <s v="FJZZZ909"/>
    <s v="TIPO IV ESPECIAL"/>
    <s v="AEREO"/>
    <s v="SALDARRIAGA MIRANDA SANTIAGO"/>
    <n v="1"/>
    <n v="1"/>
    <n v="1"/>
    <n v="11251.22416"/>
    <n v="126317.12212"/>
    <n v="110808.27512000001"/>
    <n v="248376.6214"/>
  </r>
  <r>
    <s v="APARTADO"/>
    <x v="2"/>
    <x v="2"/>
    <n v="27615"/>
    <s v="TA-25-969573"/>
    <n v="80997"/>
    <s v="APERTURA"/>
    <s v="CB CRECIMIENTO ALIANZA - NUEVO"/>
    <s v="CHOCO"/>
    <s v="RIOSUCIO"/>
    <s v="DISTRICOL QUÍMICOS LOS 3 REYES"/>
    <s v="REDEBAN"/>
    <s v="FO-25-1371586"/>
    <d v="2025-08-13T00:00:00"/>
    <d v="2025-08-25T00:00:00"/>
    <s v="AGREGADOR"/>
    <s v="DISTRICOL"/>
    <s v="EJECUTADO"/>
    <s v="13-08 PROGRAMACIÓN REALIZADA POR LA ALIANZA 25-08 SE REALIZA INSTALACIÓN DE CORRESPONSAL, SE INSTALAN EQUIPOS CON PRUEBAS EXITOSAS, SE CAPACITA Y SE EVALÚA AL CLIENTE, SE INSTALA PUBLICIDAD COMPLETA, CB QUEDA OPERATIVO. USUARIO SOMOS BANCOLOMBIA ACTIVO"/>
    <s v="SALDARRIAGA MIRANDA SANTIAGO"/>
    <s v="FJZZZ910"/>
    <s v="TIPO IV ESPECIAL"/>
    <s v="TERRESTRE/FLUVIAL"/>
    <s v="SALDARRIAGA MIRANDA SANTIAGO"/>
    <n v="1"/>
    <n v="1"/>
    <n v="1"/>
    <n v="11251.22416"/>
    <n v="126317.12212"/>
    <n v="110808.27512000001"/>
    <n v="248376.6214"/>
  </r>
  <r>
    <s v="NEIVA"/>
    <x v="0"/>
    <x v="0"/>
    <n v="41016"/>
    <s v="TA-25-969574"/>
    <n v="80991"/>
    <s v="APERTURA"/>
    <s v="CB CRECIMIENTO ALIANZA - NUEVO"/>
    <s v="HUILA"/>
    <s v="AIPE"/>
    <s v="DISTRICOL MULTIPRODUCTOS MISCE"/>
    <s v="REDEBAN"/>
    <s v="FO-25-137158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ANDRADE HERNANDEZ JUAN CARLOS"/>
    <s v="FJZZZ911"/>
    <s v="TIPO II"/>
    <s v="TERRESTRE"/>
    <s v="ANDRADE HERNANDEZ JUAN CARLOS"/>
    <n v="1"/>
    <n v="1"/>
    <n v="1"/>
    <n v="11251.22416"/>
    <n v="126317.12212"/>
    <n v="110808.27512000001"/>
    <n v="248376.6214"/>
  </r>
  <r>
    <s v="NEIVA"/>
    <x v="0"/>
    <x v="0"/>
    <n v="41298"/>
    <s v="TA-25-969575"/>
    <n v="81014"/>
    <s v="APERTURA"/>
    <s v="CB CRECIMIENTO ALIANZA - NUEVO"/>
    <s v="HUILA"/>
    <s v="GARZON"/>
    <s v="DISTRICOL FAMILIAR MAX SUPER"/>
    <s v="REDEBAN"/>
    <s v="FO-25-137159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ANDRADE HERNANDEZ JUAN CARLOS"/>
    <s v="FJZZZ912"/>
    <s v="TIPO III"/>
    <s v="TERRESTRE"/>
    <s v="ANDRADE HERNANDEZ JUAN CARLOS"/>
    <n v="1"/>
    <n v="1"/>
    <n v="1"/>
    <n v="11251.22416"/>
    <n v="126317.12212"/>
    <n v="110808.27512000001"/>
    <n v="248376.6214"/>
  </r>
  <r>
    <s v="SANTA MARTA"/>
    <x v="4"/>
    <x v="4"/>
    <n v="44001"/>
    <s v="TA-25-969576"/>
    <n v="81026"/>
    <s v="APERTURA"/>
    <s v="CB CRECIMIENTO ALIANZA - NUEVO"/>
    <s v="LA GUAJIRA"/>
    <s v="RIOHACHA"/>
    <s v="DISTRICOL EKIRAASEDECALLEANCHA"/>
    <s v="REDEBAN"/>
    <s v="FO-25-1371595"/>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PEÑALOZA GUTIERREZ RAFAEL GUSTAVO"/>
    <s v="FJZZZ913"/>
    <s v="TIPO III"/>
    <s v="TERRESTRE"/>
    <s v="PEÑALOZA GUTIERREZ RAFAEL GUSTAVO"/>
    <n v="1"/>
    <n v="1"/>
    <n v="1"/>
    <n v="11251.22416"/>
    <n v="126317.12212"/>
    <n v="110808.27512000001"/>
    <n v="248376.6214"/>
  </r>
  <r>
    <s v="SANTA MARTA"/>
    <x v="4"/>
    <x v="4"/>
    <n v="44001"/>
    <s v="TA-25-969577"/>
    <n v="81027"/>
    <s v="APERTURA"/>
    <s v="CB CRECIMIENTO ALIANZA - NUEVO"/>
    <s v="LA GUAJIRA"/>
    <s v="RIOHACHA"/>
    <s v="DISTRICOL VARIEDAPAPELERIGLEY"/>
    <s v="REDEBAN"/>
    <s v="FO-25-137159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PEÑALOZA GUTIERREZ RAFAEL GUSTAVO"/>
    <s v="FJZZZ914"/>
    <s v="TIPO III"/>
    <s v="TERRESTRE"/>
    <s v="PEÑALOZA GUTIERREZ RAFAEL GUSTAVO"/>
    <n v="1"/>
    <n v="1"/>
    <n v="1"/>
    <n v="11251.22416"/>
    <n v="126317.12212"/>
    <n v="110808.27512000001"/>
    <n v="248376.6214"/>
  </r>
  <r>
    <s v="SANTA MARTA"/>
    <x v="4"/>
    <x v="4"/>
    <n v="44001"/>
    <s v="TA-25-969581"/>
    <n v="81028"/>
    <s v="APERTURA"/>
    <s v="CB CRECIMIENTO ALIANZA - NUEVO"/>
    <s v="LA GUAJIRA"/>
    <s v="RIOHACHA"/>
    <s v="PTM RIOACHA TIENDA DEPORTIVA F"/>
    <s v="REDEBAN"/>
    <s v="FO-25-137160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PEÑALOZA GUTIERREZ RAFAEL GUSTAVO"/>
    <s v="FJZZZ915"/>
    <s v="TIPO III"/>
    <s v="TERRESTRE"/>
    <s v="PEÑALOZA GUTIERREZ RAFAEL GUSTAVO"/>
    <n v="1"/>
    <n v="1"/>
    <n v="1"/>
    <n v="11251.22416"/>
    <n v="126317.12212"/>
    <n v="110808.27512000001"/>
    <n v="248376.6214"/>
  </r>
  <r>
    <s v="SANTA MARTA"/>
    <x v="4"/>
    <x v="4"/>
    <n v="44090"/>
    <s v="TA-25-969582"/>
    <n v="81010"/>
    <s v="APERTURA"/>
    <s v="CB CRECIMIENTO ALIANZA - NUEVO"/>
    <s v="LA GUAJIRA"/>
    <s v="DIBULLA"/>
    <s v="DISTRICOL DROGUERIA ALFARERO 2"/>
    <s v="REDEBAN"/>
    <s v="FO-25-1371604"/>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THOMAS  CAMPO SIGIFREDO SEGUNDO"/>
    <s v="FJZZZ916"/>
    <s v="TIPO III"/>
    <s v="TERRESTRE"/>
    <s v="THOMAS  CAMPO SIGIFREDO SEGUNDO"/>
    <n v="1"/>
    <n v="1"/>
    <n v="1"/>
    <n v="11251.22416"/>
    <n v="126317.12212"/>
    <n v="110808.27512000001"/>
    <n v="248376.6214"/>
  </r>
  <r>
    <s v="SANTA MARTA"/>
    <x v="4"/>
    <x v="4"/>
    <n v="44430"/>
    <s v="TA-25-969586"/>
    <n v="81015"/>
    <s v="APERTURA"/>
    <s v="CB CRECIMIENTO ALIANZA - NUEVO"/>
    <s v="LA GUAJIRA"/>
    <s v="MAICAO"/>
    <s v="DISTRICOL HELADERIADULTENTACIO"/>
    <s v="REDEBAN"/>
    <s v="FO-25-1371609"/>
    <d v="2025-08-13T00:00:00"/>
    <d v="2025-08-15T00:00:00"/>
    <s v="AGREGADOR"/>
    <s v="DISTRICOL"/>
    <s v="EJECUTADO"/>
    <s v="13-08 PROGRAMACIÓN REALIZADA POR LA ALIANZA 15-08 SE REALIZA INSTALACIÓN DE CORRESPONSAL, SE INSTALAN EQUIPOS CON PRUEBAS EXITOSAS, SE CAPACITA Y SE EVALÚA AL CLIENTE, SE INSTALA PUBLICIDAD COMPLETA, CB QUEDA OPERATIVO. USUARIO SOMOS BANCOLOMBIA ACTIVO"/>
    <s v="BENITEZ CARVAJAL ALVARO JAVIER"/>
    <s v="FJZZZ917"/>
    <s v="TIPO IV"/>
    <s v="TERRESTRE"/>
    <s v="BENITEZ CARVAJAL ALVARO JAVIER"/>
    <n v="1"/>
    <n v="1"/>
    <n v="1"/>
    <n v="11251.22416"/>
    <n v="126317.12212"/>
    <n v="110808.27512000001"/>
    <n v="248376.6214"/>
  </r>
  <r>
    <s v="VILLAVICENCIO"/>
    <x v="0"/>
    <x v="0"/>
    <n v="50001"/>
    <s v="TA-25-969588"/>
    <n v="81034"/>
    <s v="APERTURA"/>
    <s v="CB CRECIMIENTO ALIANZA - NUEVO"/>
    <s v="META"/>
    <s v="VILLAVICENCIO"/>
    <s v="DISTRICOL DROGUERI GRAN TREBOL"/>
    <s v="REDEBAN"/>
    <s v="FO-25-1371613"/>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CASTRILLON URREA LONDIER LEANDRO"/>
    <s v="FJZZZ918"/>
    <s v="TIPO I"/>
    <s v="TERRESTRE"/>
    <s v="CASTRILLON URREA LONDIER LEANDRO"/>
    <n v="1"/>
    <n v="1"/>
    <n v="1"/>
    <n v="11251.22416"/>
    <n v="126317.12212"/>
    <n v="57411.974240000003"/>
    <n v="194980.32052000001"/>
  </r>
  <r>
    <s v="PASTO"/>
    <x v="1"/>
    <x v="1"/>
    <n v="52001"/>
    <s v="TA-25-969591"/>
    <n v="81017"/>
    <s v="APERTURA"/>
    <s v="CB CRECIMIENTO ALIANZA - NUEVO"/>
    <s v="NARIÑO"/>
    <s v="PASTO"/>
    <s v="DISTRICOL DROG SUPEREXTRABAR 2"/>
    <s v="REDEBAN"/>
    <s v="FO-25-1371617"/>
    <d v="2025-08-13T00:00:00"/>
    <d v="2025-08-15T00:00:00"/>
    <s v="AGREGADOR"/>
    <s v="DISTRICOL"/>
    <s v="EJECUTADO/CANCELADO"/>
    <s v="13-08 PROGRAMACIÓN REALIZADA POR LA ALIANZA 15/08/2025SE VISITA EL COMERCIO PARA REALIZAR APERTURA PERO NO ES POSIBLE YA QUE EN EL COMERCIO FUNCIONA CORRESPONSAL AVAL POR LO QUE NO SE APERTURA"/>
    <s v="GUERRERO RAMIREZ OSCAR DARIO"/>
    <s v="FJZZZ919"/>
    <s v="TIPO I"/>
    <s v="TERRESTRE"/>
    <s v="GUERRERO RAMIREZ OSCAR DARIO"/>
    <n v="0"/>
    <n v="0"/>
    <n v="2"/>
    <n v="11251.22416"/>
    <n v="126317.12212"/>
    <n v="57411.974240000003"/>
    <n v="114823.94848000001"/>
  </r>
  <r>
    <s v="PASTO"/>
    <x v="1"/>
    <x v="1"/>
    <n v="52001"/>
    <s v="TA-25-969595"/>
    <n v="81018"/>
    <s v="APERTURA"/>
    <s v="CB CRECIMIENTO ALIANZA - NUEVO"/>
    <s v="NARIÑO"/>
    <s v="PASTO"/>
    <s v="DISTRICOL DROG FARMAMEDIC"/>
    <s v="REDEBAN"/>
    <s v="FO-25-1371620"/>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GUERRERO RAMIREZ OSCAR DARIO"/>
    <s v="FJZZZ920"/>
    <s v="TIPO I"/>
    <s v="TERRESTRE"/>
    <s v="GUERRERO RAMIREZ OSCAR DARIO"/>
    <n v="1"/>
    <n v="1"/>
    <n v="1"/>
    <n v="11251.22416"/>
    <n v="126317.12212"/>
    <n v="57411.974240000003"/>
    <n v="194980.32052000001"/>
  </r>
  <r>
    <s v="PASTO"/>
    <x v="1"/>
    <x v="1"/>
    <n v="52110"/>
    <s v="TA-25-969610"/>
    <n v="81000"/>
    <s v="APERTURA"/>
    <s v="CB CRECIMIENTO ALIANZA - NUEVO"/>
    <s v="NARIÑO"/>
    <s v="BUESACO"/>
    <s v="DISTRICOL DROG LA PRESENTACION"/>
    <s v="REDEBAN"/>
    <s v="FO-25-1371622"/>
    <d v="2025-08-13T00:00:00"/>
    <d v="2025-08-14T00:00:00"/>
    <s v="AGREGADOR"/>
    <s v="DISTRICOL"/>
    <s v="EJECUTADO/CANCELADO"/>
    <s v="13-08 PROGRAMACIÓN REALIZADA POR LA ALIANZA 14/08/2025 SE REALIZÓ VISITA AL COMERCIO PERO NO SE REALIZÓ INSTALACIÓN DEL CORRESPONSAL POR DIRECCIÓN ERRADA, EN LISTA DE CHEQUEO APARECE DIRECCIÓN CR 3 # 6 - 11 BRR LA PRESENTACION AL IGUAL QUE EN CAMARA DE COMERCIO, PERO EL COMERCIO ESTA UBICADO EN DIRECCIÓN CRA 2 11-67 POR LO QUE SE VALIDA CON REDEBAN Y SE CANCELA LA APERTURA "/>
    <s v="GUERRERO RAMIREZ OSCAR DARIO"/>
    <s v="FJZZZ921"/>
    <s v="TIPO II"/>
    <s v="TERRESTRE"/>
    <s v="GUERRERO RAMIREZ OSCAR DARIO"/>
    <n v="0"/>
    <n v="0"/>
    <n v="2"/>
    <n v="11251.22416"/>
    <n v="126317.12212"/>
    <n v="110808.27512000001"/>
    <n v="221616.55024000001"/>
  </r>
  <r>
    <s v="CUCUTA"/>
    <x v="3"/>
    <x v="3"/>
    <n v="54001"/>
    <s v="TA-25-969626"/>
    <n v="81007"/>
    <s v="APERTURA"/>
    <s v="CB CRECIMIENTO ALIANZA - NUEVO"/>
    <s v="NORTE DE SANTANDER"/>
    <s v="CUCUTA"/>
    <s v="DISTRICOL MAX PLAX"/>
    <s v="REDEBAN"/>
    <s v="FO-25-1371624"/>
    <d v="2025-08-13T00:00:00"/>
    <d v="2025-08-15T00:00:00"/>
    <s v="AGREGADOR"/>
    <s v="DISTRICOL"/>
    <s v="EJECUTADO"/>
    <s v="13-08 PROGRAMACIÓN REALIZADA POR LA ALIANZA 14/08/2025 SE CONTACTA TELEFÓNICAMENTE AL CLIENTE, EL SEÑOR MANUEL REYES, CONFIRMA DATOS OK, SOLICITA QUE SE REALICE LA VISITA EL DÍA DE MAÑANA 15/08. 15/08/2025 SE REALIZA INSTALACIÓN DE CORRESPONSAL, SE INSTALAN EQUIPOS CON PRUEBAS EXITOSAS, SE CAPACITA Y SE EVALÚA AL CLIENTE, SE INSTALA PUBLICIDAD COMPLETA, CB QUEDA OPERATIVO. USUARIO SOMOS BANCOLOMBIA ACTIVO"/>
    <s v="PACHECO BUITRAGO JAVIER ALONSO"/>
    <s v="FJZZZ922"/>
    <s v="TIPO I"/>
    <s v="TERRESTRE"/>
    <s v="PACHECO BUITRAGO JAVIER ALONSO"/>
    <n v="1"/>
    <n v="1"/>
    <n v="1"/>
    <n v="11251.22416"/>
    <n v="126317.12212"/>
    <n v="57411.974240000003"/>
    <n v="194980.32052000001"/>
  </r>
  <r>
    <s v="CUCUTA"/>
    <x v="3"/>
    <x v="3"/>
    <n v="54001"/>
    <s v="TA-25-969639"/>
    <n v="81008"/>
    <s v="APERTURA"/>
    <s v="CB CRECIMIENTO ALIANZA - NUEVO"/>
    <s v="NORTE DE SANTANDER"/>
    <s v="CUCUTA"/>
    <s v="DISTRICOL ZULYRINCODENTALCLINI"/>
    <s v="REDEBAN"/>
    <s v="FO-25-1371629"/>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DURAN ACOSTA FRANK YONNY"/>
    <s v="FJZZZ923"/>
    <s v="TIPO I"/>
    <s v="TERRESTRE"/>
    <s v="DURAN ACOSTA FRANK YONNY"/>
    <n v="1"/>
    <n v="1"/>
    <n v="1"/>
    <n v="11251.22416"/>
    <n v="126317.12212"/>
    <n v="57411.974240000003"/>
    <n v="194980.32052000001"/>
  </r>
  <r>
    <s v="CUCUTA"/>
    <x v="3"/>
    <x v="3"/>
    <n v="54001"/>
    <s v="TA-25-969648"/>
    <n v="81009"/>
    <s v="APERTURA"/>
    <s v="CB CRECIMIENTO ALIANZA - NUEVO"/>
    <s v="NORTE DE SANTANDER"/>
    <s v="CUCUTA"/>
    <s v="DISTRICOL MULTISERVICIOS ARKAD"/>
    <s v="REDEBAN"/>
    <s v="FO-25-1371631"/>
    <d v="2025-08-13T00:00:00"/>
    <d v="2025-08-14T00:00:00"/>
    <s v="AGREGADOR"/>
    <s v="DISTRICOL"/>
    <s v="EJECUTADO"/>
    <s v="13-08 PROGRAMACIÓN REALIZADA POR LA ALIANZA 14-08 SE REALIZA INSTALACIÓN DE CORRESPONSAL, SE INSTALAN EQUIPOS CON PRUEBAS EXITOSAS, SE CAPACITA Y SE EVALÚA AL CLIENTE, SE INSTALA PUBLICIDAD COMPLETA, CB QUEDA OPERATIVO. USUARIO SOMOS BANCOLOMBIA ACTIVO"/>
    <s v="DURAN ACOSTA FRANK YONNY"/>
    <s v="FJZZZ924"/>
    <s v="TIPO I"/>
    <s v="TERRESTRE"/>
    <s v="DURAN ACOSTA FRANK YONNY"/>
    <n v="1"/>
    <n v="1"/>
    <n v="1"/>
    <n v="11251.22416"/>
    <n v="126317.12212"/>
    <n v="57411.974240000003"/>
    <n v="194980.32052000001"/>
  </r>
  <r>
    <s v="PEREIRA"/>
    <x v="1"/>
    <x v="6"/>
    <n v="63594"/>
    <s v="TA-25-969652"/>
    <n v="81024"/>
    <s v="APERTURA"/>
    <s v="CB CRECIMIENTO ALIANZA - NUEVO"/>
    <s v="QUINDIO"/>
    <s v="QUIMBAYA"/>
    <s v="DISTRICOL TONNY RYP SERVICIOS"/>
    <s v="REDEBAN"/>
    <s v="FO-25-137163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SANCHEZ SOLORZANO JUAN SEBASTIAN"/>
    <s v="FJZZZ925"/>
    <s v="TIPO II"/>
    <s v="TERRESTRE"/>
    <s v="SANCHEZ SOLORZANO JUAN SEBASTIAN"/>
    <n v="1"/>
    <n v="1"/>
    <n v="1"/>
    <n v="11251.22416"/>
    <n v="126317.12212"/>
    <n v="110808.27512000001"/>
    <n v="248376.6214"/>
  </r>
  <r>
    <s v="PEREIRA"/>
    <x v="1"/>
    <x v="6"/>
    <n v="66001"/>
    <s v="TA-25-969654"/>
    <n v="81019"/>
    <s v="APERTURA"/>
    <s v="CB CRECIMIENTO ALIANZA - NUEVO"/>
    <s v="RISARALDA"/>
    <s v="PEREIRA"/>
    <s v="DISTRICOL TECNOMANIA EL GOCHO"/>
    <s v="REDEBAN"/>
    <s v="FO-25-1371640"/>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FRANCO CAÑAVERAL YAMID RAUL"/>
    <s v="FJZZZ926"/>
    <s v="TIPO I"/>
    <s v="TERRESTRE"/>
    <s v="FRANCO CAÑAVERAL YAMID RAUL"/>
    <n v="1"/>
    <n v="1"/>
    <n v="1"/>
    <n v="11251.22416"/>
    <n v="126317.12212"/>
    <n v="57411.974240000003"/>
    <n v="194980.32052000001"/>
  </r>
  <r>
    <s v="PEREIRA"/>
    <x v="1"/>
    <x v="6"/>
    <n v="66045"/>
    <s v="TA-25-969655"/>
    <n v="80992"/>
    <s v="APERTURA"/>
    <s v="CB CRECIMIENTO ALIANZA - NUEVO"/>
    <s v="RISARALDA"/>
    <s v="APIA"/>
    <s v="DISTRICOL SWEET GIRL BY EMILY"/>
    <s v="REDEBAN"/>
    <s v="FO-25-1371643"/>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ARROYAVE CANO MANUEL GUILLERMO"/>
    <s v="FJZZZ927"/>
    <s v="TIPO II"/>
    <s v="TERRESTRE"/>
    <s v="ARROYAVE CANO MANUEL GUILLERMO"/>
    <n v="1"/>
    <n v="1"/>
    <n v="1"/>
    <n v="11251.22416"/>
    <n v="126317.12212"/>
    <n v="110808.27512000001"/>
    <n v="248376.6214"/>
  </r>
  <r>
    <s v="BUCARAMANGA"/>
    <x v="3"/>
    <x v="3"/>
    <n v="68001"/>
    <s v="TA-25-969656"/>
    <n v="80998"/>
    <s v="APERTURA"/>
    <s v="CB CRECIMIENTO ALIANZA - NUEVO"/>
    <s v="SANTANDER"/>
    <s v="BUCARAMANGA"/>
    <s v="PTM BUCARAMANGA DESTELLOS CYC"/>
    <s v="REDEBAN"/>
    <s v="FO-25-1371647"/>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ORTEGA BARRERAGA MARLON STWAR"/>
    <s v="FJZZZ928"/>
    <s v="TIPO I"/>
    <s v="TERRESTRE"/>
    <s v="ORTEGA BARRERAGA MARLON STWAR"/>
    <n v="1"/>
    <n v="1"/>
    <n v="1"/>
    <n v="11251.22416"/>
    <n v="126317.12212"/>
    <n v="57411.974240000003"/>
    <n v="194980.32052000001"/>
  </r>
  <r>
    <s v="BUCARAMANGA"/>
    <x v="3"/>
    <x v="3"/>
    <n v="68001"/>
    <s v="TA-25-969658"/>
    <n v="80999"/>
    <s v="APERTURA"/>
    <s v="CB CRECIMIENTO ALIANZA - NUEVO"/>
    <s v="SANTANDER"/>
    <s v="BUCARAMANGA"/>
    <s v="PTM BUCARAMANGA MINIMARKET EL"/>
    <s v="REDEBAN"/>
    <s v="FO-25-1371649"/>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PEÑA DIAZ IVAN YESID"/>
    <s v="FJZZZ929"/>
    <s v="TIPO I"/>
    <s v="TERRESTRE"/>
    <s v="PEÑA DIAZ IVAN YESID"/>
    <n v="1"/>
    <n v="1"/>
    <n v="1"/>
    <n v="11251.22416"/>
    <n v="126317.12212"/>
    <n v="57411.974240000003"/>
    <n v="194980.32052000001"/>
  </r>
  <r>
    <s v="BUCARAMANGA"/>
    <x v="3"/>
    <x v="3"/>
    <n v="68547"/>
    <s v="TA-25-969660"/>
    <n v="81020"/>
    <s v="APERTURA"/>
    <s v="CB CRECIMIENTO ALIANZA - NUEVO"/>
    <s v="SANTANDER"/>
    <s v="PIEDECUESTA"/>
    <s v="PTM PIEDECUESTA EL RINCÓN DE A"/>
    <s v="REDEBAN"/>
    <s v="FO-25-1371651"/>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MARIÑO PABON JORGE ENRIQUE"/>
    <s v="FJZZZ930"/>
    <s v="TIPO II"/>
    <s v="TERRESTRE"/>
    <s v="MARIÑO PABON JORGE ENRIQUE"/>
    <n v="1"/>
    <n v="1"/>
    <n v="1"/>
    <n v="11251.22416"/>
    <n v="126317.12212"/>
    <n v="110808.27512000001"/>
    <n v="248376.6214"/>
  </r>
  <r>
    <s v="CALI"/>
    <x v="1"/>
    <x v="1"/>
    <n v="76001"/>
    <s v="TA-25-969661"/>
    <n v="81001"/>
    <s v="APERTURA"/>
    <s v="CB CRECIMIENTO ALIANZA - NUEVO"/>
    <s v="VALLE DEL CAUCA"/>
    <s v="CALI"/>
    <s v="DISTRICOL MULTISERVICIOS MATI"/>
    <s v="REDEBAN"/>
    <s v="FO-25-1371653"/>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HERRERA MONAR GEOVANNY"/>
    <s v="FJZZZ931"/>
    <s v="TIPO I"/>
    <s v="TERRESTRE"/>
    <s v="HERRERA MONAR GEOVANNY"/>
    <n v="1"/>
    <n v="1"/>
    <n v="1"/>
    <n v="11251.22416"/>
    <n v="126317.12212"/>
    <n v="57411.974240000003"/>
    <n v="194980.32052000001"/>
  </r>
  <r>
    <s v="CALI"/>
    <x v="1"/>
    <x v="1"/>
    <n v="76001"/>
    <s v="TA-25-969662"/>
    <n v="81002"/>
    <s v="APERTURA"/>
    <s v="CB CRECIMIENTO ALIANZA - NUEVO"/>
    <s v="VALLE DEL CAUCA"/>
    <s v="CALI"/>
    <s v="DISTRICOL VARIEDADES Y PAPELER"/>
    <s v="REDEBAN"/>
    <s v="FO-25-1371657"/>
    <d v="2025-08-13T00:00:00"/>
    <d v="2025-08-14T00:00:00"/>
    <s v="AGREGADOR"/>
    <s v="DISTRICOL"/>
    <s v="EJECUTADO/CANCELADO"/>
    <s v="13-08 PROGRAMACIÓN REALIZADA POR LA ALIANZA 14/08/2025 SE REALIZA VISITA AL PUNTO CB 3007081002 DISTRICOL VARIEDADES Y PAPELERIA, PARA REALIZAR IMPLEMENTACION DEL PUNTO  ,PERO AL LLEGAR AL SITIO SE ENCUENTRA QUE ALLÍ OPERA UN PUNTO EFECTY ACTIVO Y CORRESPONSAL DE OTRO BANCO POR LO CUAL SE PROCEDE A REALIZAR CANCELACIÓN DE DICHA ACTIVIDAD Y SE GENERA EL REPORTE PERTINENTE"/>
    <s v="TORRES GARCIA JENDRY JOSE"/>
    <s v="FJZZZ932"/>
    <s v="TIPO I"/>
    <s v="TERRESTRE"/>
    <s v="TORRES GARCIA JENDRY JOSE"/>
    <n v="0"/>
    <n v="0"/>
    <n v="2"/>
    <n v="11251.22416"/>
    <n v="126317.12212"/>
    <n v="57411.974240000003"/>
    <n v="114823.94848000001"/>
  </r>
  <r>
    <s v="CALI"/>
    <x v="1"/>
    <x v="1"/>
    <n v="76001"/>
    <s v="TA-25-969663"/>
    <n v="81003"/>
    <s v="APERTURA"/>
    <s v="CB CRECIMIENTO ALIANZA - NUEVO"/>
    <s v="VALLE DEL CAUCA"/>
    <s v="CALI"/>
    <s v="PTM CALI VARIEDADES MARIANNE"/>
    <s v="REDEBAN"/>
    <s v="FO-25-137166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MONTERO MUESES GIAN CARLO"/>
    <s v="FJZZZ933"/>
    <s v="TIPO I"/>
    <s v="TERRESTRE"/>
    <s v="MONTERO MUESES GIAN CARLO"/>
    <n v="1"/>
    <n v="1"/>
    <n v="1"/>
    <n v="11251.22416"/>
    <n v="126317.12212"/>
    <n v="57411.974240000003"/>
    <n v="194980.32052000001"/>
  </r>
  <r>
    <s v="CALI"/>
    <x v="1"/>
    <x v="1"/>
    <n v="76130"/>
    <s v="TA-25-969664"/>
    <n v="81004"/>
    <s v="APERTURA"/>
    <s v="CB CRECIMIENTO ALIANZA - NUEVO"/>
    <s v="VALLE DEL CAUCA"/>
    <s v="CANDELARIA"/>
    <s v="PTM CANDELARIA VARIEDADES M&amp;G"/>
    <s v="REDEBAN"/>
    <s v="FO-25-1371663"/>
    <d v="2025-08-13T00:00:00"/>
    <d v="2025-08-14T00:00:00"/>
    <s v="AGREGADOR"/>
    <s v="COMCARD - PTM"/>
    <s v="EJECUTADO"/>
    <s v="13-08 PROGRAMACIÓN REALIZADA POR LA ALIANZA"/>
    <s v="BOLAÑOS TABORDA JORGE ENRIQUE"/>
    <s v="FJZZZ934"/>
    <s v="TIPO II"/>
    <s v="TERRESTRE"/>
    <s v="BOLAÑOS TABORDA JORGE ENRIQUE"/>
    <n v="1"/>
    <n v="1"/>
    <n v="1"/>
    <n v="11251.22416"/>
    <n v="126317.12212"/>
    <n v="110808.27512000001"/>
    <n v="248376.6214"/>
  </r>
  <r>
    <s v="CALI"/>
    <x v="1"/>
    <x v="1"/>
    <n v="76834"/>
    <s v="TA-25-969665"/>
    <n v="81030"/>
    <s v="APERTURA"/>
    <s v="CB CRECIMIENTO ALIANZA - NUEVO"/>
    <s v="VALLE DEL CAUCA"/>
    <s v="TULUA"/>
    <s v="PTM TULIA CHALOZ"/>
    <s v="REDEBAN"/>
    <s v="FO-25-1371666"/>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TORRES GARCIA JENDRY JOSE"/>
    <s v="FJZZZ935"/>
    <s v="TIPO II"/>
    <s v="TERRESTRE"/>
    <s v="TORRES GARCIA JENDRY JOSE"/>
    <n v="1"/>
    <n v="1"/>
    <n v="1"/>
    <n v="11251.22416"/>
    <n v="126317.12212"/>
    <n v="110808.27512000001"/>
    <n v="248376.6214"/>
  </r>
  <r>
    <s v="BUCARAMANGA"/>
    <x v="3"/>
    <x v="3"/>
    <n v="81001"/>
    <s v="TA-25-969669"/>
    <n v="80993"/>
    <s v="APERTURA"/>
    <s v="CB CRECIMIENTO ALIANZA - NUEVO"/>
    <s v="ARAUCA"/>
    <s v="ARAUCA"/>
    <s v="DISTRICOL MEKACAMBIOS"/>
    <s v="REDEBAN"/>
    <s v="FO-25-137167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REYES RAMIREZ DIEGO ALEXANDER"/>
    <s v="FJZZZ936"/>
    <s v="TIPO IV ESPECIAL"/>
    <s v="AEREO"/>
    <s v="REYES RAMIREZ DIEGO ALEXANDER"/>
    <n v="1"/>
    <n v="1"/>
    <n v="1"/>
    <n v="11251.22416"/>
    <n v="126317.12212"/>
    <n v="110808.27512000001"/>
    <n v="248376.6214"/>
  </r>
  <r>
    <s v="YOPAL"/>
    <x v="0"/>
    <x v="0"/>
    <n v="85001"/>
    <s v="TA-25-969670"/>
    <n v="81044"/>
    <s v="APERTURA"/>
    <s v="CB CRECIMIENTO ALIANZA - NUEVO"/>
    <s v="CASANARE"/>
    <s v="YOPAL"/>
    <s v="DISTRICOL COPIDESCUENTOS LA 30"/>
    <s v="REDEBAN"/>
    <s v="FO-25-1371673"/>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BERNAL ELAICA EDGAR ALEXIS"/>
    <s v="FJZZZ937"/>
    <s v="TIPO I"/>
    <s v="TERRESTRE"/>
    <s v="BERNAL ELAICA EDGAR ALEXIS"/>
    <n v="1"/>
    <n v="1"/>
    <n v="1"/>
    <n v="11251.22416"/>
    <n v="126317.12212"/>
    <n v="57411.974240000003"/>
    <n v="194980.32052000001"/>
  </r>
  <r>
    <s v="PASTO"/>
    <x v="1"/>
    <x v="1"/>
    <n v="86749"/>
    <s v="TA-25-969671"/>
    <n v="81029"/>
    <s v="APERTURA"/>
    <s v="CB CRECIMIENTO ALIANZA - NUEVO"/>
    <s v="PUTUMAYO"/>
    <s v="SIBUNDOY"/>
    <s v="DISTRICOL DROG FARSALUD Y VIDA"/>
    <s v="REDEBAN"/>
    <s v="FO-25-137167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CASTILLO HERRERA ALEX RICARDO"/>
    <s v="FJZZZ938"/>
    <s v="TIPO III"/>
    <s v="TERRESTRE"/>
    <s v="CASTILLO HERRERA ALEX RICARDO"/>
    <n v="1"/>
    <n v="1"/>
    <n v="1"/>
    <n v="11251.22416"/>
    <n v="126317.12212"/>
    <n v="110808.27512000001"/>
    <n v="248376.6214"/>
  </r>
  <r>
    <s v="PASTO"/>
    <x v="1"/>
    <x v="1"/>
    <n v="86865"/>
    <s v="TA-25-969673"/>
    <n v="81031"/>
    <s v="APERTURA"/>
    <s v="CB CRECIMIENTO ALIANZA - NUEVO"/>
    <s v="PUTUMAYO"/>
    <s v="VALLE DEL GUAMUEZ"/>
    <s v="DISTRICOL ESTILOS"/>
    <s v="REDEBAN"/>
    <s v="FO-25-1371685"/>
    <d v="2025-08-13T00:00:00"/>
    <d v="2025-08-20T00:00:00"/>
    <s v="AGREGADOR"/>
    <s v="DISTRICOL"/>
    <s v="EJECUTADO"/>
    <s v="13-08 PROGRAMACIÓN REALIZADA POR LA ALIANZA 15-08 SE REALIZA VALIDACIÓN PARA DESPLAZAMIENTO EL DIA DE HOY PERO POR PROBLEMAS EN LA VIA HACIA PUTUMAYO NO SE CONSIGUE TRANSPORTE , SE HABLA CON EL CLIENTE Y SE REALIZARA DESPLAZAMIENTO EL DIA MARTES PARA ATENCIÓN DE APERTURA 20/08/2025 SE REALIZA INSTALACIÓN DE CORRESPONSAL, SE INSTALAN EQUIPOS CON PRUEBAS EXITOSAS, SE CAPACITA Y SE EVALÚA AL CLIENTE, SE INSTALA PUBLICIDAD COMPLETA, CB QUEDA OPERATIVO. USUARIO SOMOS BANCOLOMBIA ACTIVO"/>
    <s v="GUERRERO RAMIREZ OSCAR DARIO"/>
    <s v="FJZZZ939"/>
    <s v="TIPO IV"/>
    <s v="TERRESTRE"/>
    <s v="GUERRERO RAMIREZ OSCAR DARIO"/>
    <n v="1"/>
    <n v="1"/>
    <n v="1"/>
    <n v="11251.22416"/>
    <n v="126317.12212"/>
    <n v="110808.27512000001"/>
    <n v="248376.6214"/>
  </r>
  <r>
    <s v="BOGOTA"/>
    <x v="5"/>
    <x v="5"/>
    <n v="11001"/>
    <s v="TA-25-969680"/>
    <n v="80995"/>
    <s v="APERTURA"/>
    <s v="CB CRECIMIENTO ALIANZA - NUEVO"/>
    <s v="CUNDINAMARCA"/>
    <s v="BOGOTA"/>
    <s v="DISTRICOL CENTRO DE SERVICIOS"/>
    <s v="REDEBAN"/>
    <s v="FO-25-1371687"/>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GALEANO SORIANO JUAN DAVID"/>
    <s v="FJZZZ940"/>
    <s v="TIPO I"/>
    <s v="TERRESTRE"/>
    <s v="GALEANO SORIANO JUAN DAVID"/>
    <n v="1"/>
    <n v="1"/>
    <n v="1"/>
    <n v="11251.22416"/>
    <n v="126317.12212"/>
    <n v="57411.974240000003"/>
    <n v="194980.32052000001"/>
  </r>
  <r>
    <s v="BOGOTA"/>
    <x v="5"/>
    <x v="5"/>
    <n v="11001"/>
    <s v="TA-25-969684"/>
    <n v="80996"/>
    <s v="APERTURA"/>
    <s v="CB CRECIMIENTO ALIANZA - NUEVO"/>
    <s v="CUNDINAMARCA"/>
    <s v="BOGOTA"/>
    <s v="PTM BOGOTA TIENDA EL PATRON BO"/>
    <s v="REDEBAN"/>
    <s v="FO-25-1371689"/>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HERNANDEZ NARANJO OSCAR EDUARDO"/>
    <s v="FJZZZ941"/>
    <s v="TIPO I"/>
    <s v="TERRESTRE"/>
    <s v="HERNANDEZ NARANJO OSCAR EDUARDO"/>
    <n v="1"/>
    <n v="1"/>
    <n v="1"/>
    <n v="11251.22416"/>
    <n v="126317.12212"/>
    <n v="57411.974240000003"/>
    <n v="194980.32052000001"/>
  </r>
  <r>
    <s v="MEDELLIN"/>
    <x v="2"/>
    <x v="2"/>
    <n v="5001"/>
    <s v="TA-25-975408"/>
    <n v="81045"/>
    <s v="APERTURA"/>
    <s v="CB CRECIMIENTO ALIANZA - NUEVO"/>
    <s v="ANTIOQUIA"/>
    <s v="MEDELLIN"/>
    <s v="Alkomprar La Central"/>
    <s v="REDEBAN"/>
    <s v="FO-25-1378009"/>
    <d v="2025-08-15T00:00:00"/>
    <d v="2025-08-15T00:00:00"/>
    <s v="RETAILER"/>
    <s v="ALKOMPRAR"/>
    <s v="EJECUTADO"/>
    <s v="14-08 SE REALIZA LLAMADA AL CLIENTE, SE HABLA CON LA SRA  Natalia Garzon  SE VALIDA DIRECCIÓN OK, CANAL OK, DISPONIBILIDAD TOTAL, LLAMAR EL DÍA LA INSTALACIÓN PARA CONFIRMAR VISITA - COMUNICACIÓN POR WPP 15-08 SE REALIZA INSTALACIÓN DE CORRESPONSAL, SE INSTALAN EQUIPOS CON PRUEBAS EXITOSAS, NO SE CAPACITA, SE INSTALA SOLO DISPLAY DE HORARIO, CB QUEDA OPERATIVO. SE DEJE CB PURO POR PETICIÓN DEL USUARIO"/>
    <s v="PAREJA ECHAVARRIA JHON DAVID"/>
    <s v="SFZZZ197 SFZZZ198 SFZZZ199"/>
    <s v="TIPO I"/>
    <s v="TERRESTRE"/>
    <s v="PAREJA ECHAVARRIA JHON DAVID"/>
    <n v="1"/>
    <n v="0"/>
    <n v="2"/>
    <n v="11251.22416"/>
    <n v="126317.12212"/>
    <n v="57411.974240000003"/>
    <n v="126075.17264"/>
  </r>
  <r>
    <s v="MEDELLIN"/>
    <x v="2"/>
    <x v="2"/>
    <n v="5001"/>
    <s v="TA-25-983250"/>
    <n v="81048"/>
    <s v="APERTURA"/>
    <s v="CB CRECIMIENTO ALIANZA - NUEVO"/>
    <s v="ANTIOQUIA"/>
    <s v="MEDELLIN"/>
    <s v="PTM MEDELLIN TODOENUNO"/>
    <s v="REDEBAN"/>
    <s v="FO-25-1392146"/>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ALVAREZ ARENAS VICTOR HUGO"/>
    <s v="SGZZZ959"/>
    <s v="TIPO I"/>
    <s v="TERRESTRE"/>
    <s v="ALVAREZ ARENAS VICTOR HUGO"/>
    <n v="1"/>
    <n v="1"/>
    <n v="1"/>
    <n v="11251.22416"/>
    <n v="126317.12212"/>
    <n v="57411.974240000003"/>
    <n v="194980.32052000001"/>
  </r>
  <r>
    <s v="BOGOTA"/>
    <x v="5"/>
    <x v="5"/>
    <n v="25754"/>
    <s v="TA-25-983251"/>
    <n v="81047"/>
    <s v="APERTURA"/>
    <s v="CB CRECIMIENTO ALIANZA - NUEVO"/>
    <s v="CUNDINAMARCA"/>
    <s v="SOACHA"/>
    <s v="PTM SOACHA TIENDA DISEAS"/>
    <s v="REDEBAN"/>
    <s v="FO-25-1392149"/>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GOMEZ VEGA DAVID SNEYDER"/>
    <s v="SGZZZ960"/>
    <s v="TIPO I"/>
    <s v="TERRESTRE"/>
    <s v="GOMEZ VEGA DAVID SNEYDER"/>
    <n v="1"/>
    <n v="1"/>
    <n v="1"/>
    <n v="11251.22416"/>
    <n v="126317.12212"/>
    <n v="57411.974240000003"/>
    <n v="194980.32052000001"/>
  </r>
  <r>
    <s v="BUCARAMANGA"/>
    <x v="3"/>
    <x v="3"/>
    <n v="68001"/>
    <s v="TA-25-983254"/>
    <n v="81046"/>
    <s v="APERTURA"/>
    <s v="CB CRECIMIENTO ALIANZA - NUEVO"/>
    <s v="SANTANDER"/>
    <s v="BUCARAMANGA"/>
    <s v="PTM BUCARAMANGA FERREMUEBLES S"/>
    <s v="REDEBAN"/>
    <s v="FO-25-1392155"/>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HERRERA LUQUE SAUL JAVIER"/>
    <s v="SGZZZ961"/>
    <s v="TIPO I"/>
    <s v="TERRESTRE"/>
    <s v="HERRERA LUQUE SAUL JAVIER"/>
    <n v="1"/>
    <n v="1"/>
    <n v="1"/>
    <n v="11251.22416"/>
    <n v="126317.12212"/>
    <n v="57411.974240000003"/>
    <n v="194980.32052000001"/>
  </r>
  <r>
    <s v="MONTERIA"/>
    <x v="4"/>
    <x v="4"/>
    <n v="5154"/>
    <s v="TA-25-982504"/>
    <n v="81066"/>
    <s v="APERTURA"/>
    <s v="CB CRECIMIENTO - NUEVO"/>
    <s v="ANTIOQUIA"/>
    <s v="CAUCASIA"/>
    <s v="BARRIO PUEBLO NUEVO CAUCASIA 4"/>
    <s v="REDEBAN"/>
    <s v="FO-25-1390782"/>
    <d v="2025-08-19T00:00:00"/>
    <d v="2025-08-20T00:00:00"/>
    <s v="UNO A UNO"/>
    <s v="UNO A UNO"/>
    <s v="EJECUTADO"/>
    <s v="16-08 SE REALIZA LLAMADA AL CLIENTE, SE HABLA CON LA SRA YULIETH PAOLA PESTANA REYES DIRECCIÓN OK, CANAL OK, DISPONIBILIDAD TOTAL, LLAMAR EL DÍA LA INSTALACIÓN PARA CONFIRMAR VISITA, AVISO EXTERIOR ALTURA: 2 METROS; TOMACORRIENTE CERCANO: SI; TIENE CABINA DE SEGURIDAD: SI 20/08/2025 SE REALIZA INSTALACIÓN DE CORRESPONSAL, SE INSTALAN EQUIPOS CON PRUEBAS EXITOSAS, SE CAPACITA Y SE EVALÚA AL CLIENTE, SE INSTALA PUBLICIDAD COMPLETA, CB QUEDA OPERATIVO. USUARIO SOMOS BANCOLOMBIA ACTIVO"/>
    <s v="COGOLLO VERTEL EDER LUIS"/>
    <s v="SGZZZ967"/>
    <s v="TIPO II"/>
    <s v="TERRESTRE"/>
    <s v="COGOLLO VERTEL EDER LUIS"/>
    <n v="1"/>
    <n v="1"/>
    <n v="1"/>
    <n v="11251.22416"/>
    <n v="126317.12212"/>
    <n v="110808.27512000001"/>
    <n v="248376.6214"/>
  </r>
  <r>
    <s v="SANTA MARTA"/>
    <x v="4"/>
    <x v="4"/>
    <n v="47245"/>
    <s v="TA-25-982507"/>
    <n v="81073"/>
    <s v="APERTURA"/>
    <s v="CB CRECIMIENTO - NUEVO"/>
    <s v="MAGDALENA"/>
    <s v="EL BANCO"/>
    <s v="BARRIO MANZANARES EL BANCO"/>
    <s v="REDEBAN"/>
    <s v="FO-25-1390784"/>
    <d v="2025-08-19T00:00:00"/>
    <d v="2025-08-21T00:00:00"/>
    <s v="UNO A UNO"/>
    <s v="UNO A UNO"/>
    <s v="EJECUTADO"/>
    <s v="16-08 SE REALIZA LLAMADA AL CLIENTE, SE HABLA CON EL SR JUVEN DEL BARRIO DIRECCIÓN OK, CANAL OK, DISPONIBILIDAD TOTAL, LLAMAR EL DÍA LA INSTALACIÓN PARA CONFIRMAR VISITA, AVISO EXTERIOR ALTURA: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
    <s v="PEÑALOZA GUTIERREZ RAFAEL GUSTAVO"/>
    <s v="SGZZZ968"/>
    <s v="TIPO IV"/>
    <s v="TERRESTRE"/>
    <s v="PEÑALOZA GUTIERREZ RAFAEL GUSTAVO"/>
    <n v="1"/>
    <n v="1"/>
    <n v="1"/>
    <n v="11251.22416"/>
    <n v="126317.12212"/>
    <n v="110808.27512000001"/>
    <n v="248376.6214"/>
  </r>
  <r>
    <s v="CUCUTA"/>
    <x v="3"/>
    <x v="3"/>
    <n v="54001"/>
    <s v="TA-25-982509"/>
    <n v="81070"/>
    <s v="APERTURA"/>
    <s v="CB CRECIMIENTO - NUEVO"/>
    <s v="NORTE DE SANTANDER"/>
    <s v="CUCUTA"/>
    <s v="BARRIO SANTANDER CUCUTA 3"/>
    <s v="REDEBAN"/>
    <s v="FO-25-1390790"/>
    <d v="2025-08-19T00:00:00"/>
    <d v="2025-08-20T00:00:00"/>
    <s v="UNO A UNO"/>
    <s v="UNO A UNO"/>
    <s v="EJECUTADO"/>
    <s v="16-08 SE REALIZA LLAMADA AL CLIENTE, SE HABLA CON LA SRA MARIA CAMILA TORRES SEPULVEDA DIRECCIÓN OK, CANAL OK, DISPONIBILIDAD TOTAL, LLAMAR EL DÍA LA INSTALACIÓN PARA CONFIRMAR VISITA, AVISO EXTERIOR ALTURA: NO INDICA ALTURA; TOMACORRIENTE CERCANO: SI; TIENE CABINA DE SEGURIDAD: SI; INDICA 8 METROS DE CABLE PARA LA CONEXIÓN DATAFONO-MODEM 20-08 SE REALIZA INSTALACIÓN DE CORRESPONSAL, SE INSTALAN EQUIPOS CON PRUEBAS EXITOSAS, SE CAPACITA Y SE EVALÚA AL CLIENTE, SE INSTALA PUBLICIDAD COMPLETA, CB QUEDA OPERATIVO. USUARIO SOMOS BANCOLOMBIA ACTIVO"/>
    <s v="NARANJO AFANADOR RUBEN JESUS"/>
    <s v="SGZZZ969"/>
    <s v="TIPO I"/>
    <s v="TERRESTRE"/>
    <s v="NARANJO AFANADOR RUBEN JESUS"/>
    <n v="1"/>
    <n v="1"/>
    <n v="1"/>
    <n v="11251.22416"/>
    <n v="126317.12212"/>
    <n v="57411.974240000003"/>
    <n v="194980.32052000001"/>
  </r>
  <r>
    <s v="NEIVA"/>
    <x v="0"/>
    <x v="0"/>
    <n v="41001"/>
    <s v="TA-25-982510"/>
    <n v="81086"/>
    <s v="APERTURA"/>
    <s v="CB CRECIMIENTO - NUEVO"/>
    <s v="HUILA"/>
    <s v="NEIVA"/>
    <s v="BARRIO CHICALA NEIVA 1"/>
    <s v="REDEBAN"/>
    <s v="FO-25-1390793"/>
    <d v="2025-08-19T00:00:00"/>
    <d v="2025-08-20T00:00:00"/>
    <s v="UNO A UNO"/>
    <s v="UNO A UNO"/>
    <s v="EJECUTADO"/>
    <s v="16-08 SE REALIZA LLAMADA AL CLIENTE, SE HABLA CON LA SR OSCAR FERNANDO ORTIZ GUERRERO  SE VALIDA DIRECCIÓN OK, CANAL OK, DISPONIBILIDAD TOTAL, LLAMAR EL DÍA LA INSTALACIÓN PARA CONFIRMAR VISITA, AVISO EXTERIOR ALTURA APROX 2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
    <s v="DIAZ VARGAS JONATHAN MIGUEL"/>
    <s v="SGZZZ970"/>
    <s v="TIPO I"/>
    <s v="TERRESTRE"/>
    <s v="DIAZ VARGAS JONATHAN MIGUEL"/>
    <n v="1"/>
    <n v="1"/>
    <n v="1"/>
    <n v="11251.22416"/>
    <n v="126317.12212"/>
    <n v="57411.974240000003"/>
    <n v="194980.32052000001"/>
  </r>
  <r>
    <s v="SINCELEJO"/>
    <x v="4"/>
    <x v="4"/>
    <n v="70001"/>
    <s v="TA-25-982512"/>
    <n v="81100"/>
    <s v="APERTURA"/>
    <s v="CB CRECIMIENTO - NUEVO"/>
    <s v="SUCRE"/>
    <s v="SINCELEJO"/>
    <s v="BARRIO CIUDADELA UNIVERSITARIA SINCELEJO"/>
    <s v="REDEBAN"/>
    <s v="FO-25-1390797"/>
    <d v="2025-08-19T00:00:00"/>
    <d v="2025-08-20T00:00:00"/>
    <s v="UNO A UNO"/>
    <s v="UNO A UNO"/>
    <s v="EJECUTADO"/>
    <s v="16-08 SE REALIZA LLAMADA AL CLIENTE, SE HABLA CON EL SR ALFREDO DE JESUS SALAZAR OVIEDO DIRECCIÓN OK, CANAL OK, DISPONIBILIDAD TOTAL, LLAMAR EL DÍA LA INSTALACIÓN PARA CONFIRMAR VISITA, AVISO EXTERIOR ALTURA: NO INDICA ALTURA; TOMACORRIENTE CERCANO: SI; TIENE CABINA DE SEGURIDAD: SI, REJA20-08 SE REALIZA INSTALACIÓN DE CORRESPONSAL, SE INSTALAN EQUIPOS CON PRUEBAS EXITOSAS, SE CAPACITA Y SE EVALÚA AL CLIENTE, SE INSTALA PUBLICIDAD COMPLETA, CB QUEDA OPERATIVO. USUARIO SOMOS BANCOLOMBIA ACTIVO"/>
    <s v="CACERES HERNANDEZ ANDRES"/>
    <s v="SGZZZ971"/>
    <s v="TIPO I"/>
    <s v="TERRESTRE"/>
    <s v="CACERES HERNANDEZ ANDRES"/>
    <n v="1"/>
    <n v="1"/>
    <n v="1"/>
    <n v="11251.22416"/>
    <n v="126317.12212"/>
    <n v="57411.974240000003"/>
    <n v="194980.32052000001"/>
  </r>
  <r>
    <s v="MONTERIA"/>
    <x v="4"/>
    <x v="4"/>
    <n v="23001"/>
    <s v="TA-25-982513"/>
    <n v="81084"/>
    <s v="APERTURA"/>
    <s v="CB CRECIMIENTO - NUEVO"/>
    <s v="CORDOBA"/>
    <s v="MONTERIA"/>
    <s v="BARRIO 6 DE MARZO MONTERIA 6"/>
    <s v="REDEBAN"/>
    <s v="FO-25-1390800"/>
    <d v="2025-08-19T00:00:00"/>
    <d v="2025-08-20T00:00:00"/>
    <s v="UNO A UNO"/>
    <s v="UNO A UNO"/>
    <s v="EJECUTADO"/>
    <s v="16-08 SE REALIZA LLAMADA AL CLIENTE, SE HABLA CON LA SRA LAURA SOFIA CADENA PESTANA DIRECCIÓN OK, CANAL OK, DISPONIBILIDAD TOTAL, LLAMAR EL DÍA LA INSTALACIÓN PARA CONFIRMAR VISITA, AVISO EXTERIOR ALTURA: APROX 2 METROS ; TOMACORRIENTE CERCANO: SI; TIENE CABINA DE SEGURIDAD: SI 20/08/2025 SE REALIZA INSTALACIÓN DE CORRESPONSAL, SE INSTALAN EQUIPOS CON PRUEBAS EXITOSAS, SE CAPACITA Y SE EVALÚA AL CLIENTE, SE INSTALA PUBLICIDAD COMPLETA, CB QUEDA OPERATIVO. USUARIO SOMOS BANCOLOMBIA ACTIVO"/>
    <s v="CASSIANI PEREZ RAUL RAMIRO"/>
    <s v="SGZZZ972"/>
    <s v="TIPO I"/>
    <s v="TERRESTRE"/>
    <s v="CASSIANI PEREZ RAUL RAMIRO"/>
    <n v="1"/>
    <n v="1"/>
    <n v="1"/>
    <n v="11251.22416"/>
    <n v="126317.12212"/>
    <n v="57411.974240000003"/>
    <n v="194980.32052000001"/>
  </r>
  <r>
    <s v="BUCARAMANGA"/>
    <x v="3"/>
    <x v="3"/>
    <n v="68397"/>
    <s v="TA-25-982514"/>
    <n v="81080"/>
    <s v="APERTURA"/>
    <s v="CB CRECIMIENTO - NUEVO"/>
    <s v="SANTANDER"/>
    <s v="LA PAZ"/>
    <s v="BARRIO CENTRO LA PAZ"/>
    <s v="REDEBAN"/>
    <s v="FO-25-1390812"/>
    <d v="2025-08-19T00:00:00"/>
    <d v="2025-08-21T00:00:00"/>
    <s v="UNO A UNO"/>
    <s v="UNO A UNO"/>
    <s v="EJECUTADO"/>
    <s v="16-08 SE REALIZA LLAMADA AL CLIENTE, SE HABLA CON LA SRA JULIETA BARBOSA CEPEDA  SE VALIDA DIRECCIÓN OK, CANAL OK, DISPONIBILIDAD TOTAL, LLAMAR EL DÍA LA INSTALACIÓN PARA CONFIRMAR VISITA, AVISO EXTERIOR ALTURA APROX 1.50 METROS; TOMACORRIENTE CERCANO: SI; TIENE CABINA DE SEGURIDAD: NO 21-08 SE REALIZA INSTALACIÓN DE CORRESPONSAL, SE INSTALAN EQUIPOS CON PRUEBAS EXITOSAS, SE CAPACITA Y SE EVALÚA AL CLIENTE, SE INSTALA PUBLICIDAD COMPLETA, CB QUEDA OPERATIVO. USUARIO SOMOS BANCOLOMBIA ACTIVO"/>
    <s v="ALVARADO MORENO CRISTHIAN"/>
    <s v="SGZZZ973"/>
    <s v="TIPO IV"/>
    <s v="TERRESTRE"/>
    <s v="ALVARADO MORENO CRISTHIAN"/>
    <n v="1"/>
    <n v="1"/>
    <n v="1"/>
    <n v="11251.22416"/>
    <n v="126317.12212"/>
    <n v="110808.27512000001"/>
    <n v="248376.6214"/>
  </r>
  <r>
    <s v="MANIZALES"/>
    <x v="1"/>
    <x v="6"/>
    <n v="17001"/>
    <s v="TA-25-982515"/>
    <n v="81083"/>
    <s v="APERTURA"/>
    <s v="CB CRECIMIENTO - NUEVO"/>
    <s v="CALDAS"/>
    <s v="MANIZALES"/>
    <s v="BARRIO EL TRIANGULO MANIZALES"/>
    <s v="REDEBAN"/>
    <s v="FO-25-1390818"/>
    <d v="2025-08-19T00:00:00"/>
    <d v="2025-08-20T00:00:00"/>
    <s v="UNO A UNO"/>
    <s v="UNO A UNO"/>
    <s v="EJECUTADO"/>
    <s v="16-08 SE REALIZA LLAMADA AL CLIENTE, SE HABLA CON EL SR CLAUDIA MARCELA HERNANDEZ LOPEZ DIRECCIÓN OK, CANAL OK, DISPONIBILIDAD TOTAL, LLAMAR EL DÍA LA INSTALACIÓN PARA CONFIRMAR VISITA, AVISO EXTERIOR ALTURA: APROX 2,50 METROS; TOMACORRIENTE CERCANO: SI; TIENE CABINA DE SEGURIDAD: NO, // CONTCATO REALIZADO POR LA APP 20/08/2025 SE REALIZA INSTALACIÓN DE CORRESPONSAL, SE INSTALAN EQUIPOS CON PRUEBAS EXITOSAS, SE CAPACITA Y SE EVALÚA AL CLIENTE, SE INSTALA PUBLICIDAD COMPLETA, CB QUEDA OPERATIVO. USUARIO SOMOS BANCOLOMBIA ACTIVO"/>
    <s v="AGUIRRE HENAO RAUL EDUARDO"/>
    <s v="SGZZZ974"/>
    <s v="TIPO I"/>
    <s v="TERRESTRE"/>
    <s v="AGUIRRE HENAO RAUL EDUARDO"/>
    <n v="1"/>
    <n v="1"/>
    <n v="1"/>
    <n v="11251.22416"/>
    <n v="126317.12212"/>
    <n v="57411.974240000003"/>
    <n v="194980.32052000001"/>
  </r>
  <r>
    <s v="BOGOTA"/>
    <x v="5"/>
    <x v="5"/>
    <n v="25290"/>
    <s v="TA-25-982516"/>
    <n v="81077"/>
    <s v="APERTURA"/>
    <s v="CB CRECIMIENTO - NUEVO"/>
    <s v="CUNDINAMARCA"/>
    <s v="FUSAGASUGA"/>
    <s v="BARRIO RECREO FUSAGASUGA"/>
    <s v="REDEBAN"/>
    <s v="FO-25-1390823"/>
    <d v="2025-08-19T00:00:00"/>
    <d v="2025-08-20T00:00:00"/>
    <s v="UNO A UNO"/>
    <s v="UNO A UNO"/>
    <s v="EJECUTADO"/>
    <s v="16-08 SE REALIZA LLAMADA AL CLIENTE, SE HABLA CON EL SR CHAYANNE CAMILO RODRIGUEZ GONZALEZ DIRECCIÓN OK, CANAL OK, DISPONIBILIDAD TOTAL, LLAMAR EL DÍA LA INSTALACIÓN PARA CONFIRMAR VISITA, AVISO EXTERIOR ALTURA: APROX 4 METROS; TOMACORRIENTE CERCANO: SI; TIENE CABINA DE SEGURIDAD: NO, REJA  20/08/2025 SE REALIZA INSTALACIÓN DE CORRESPONSAL, SE INSTALAN EQUIPOS CON PRUEBAS EXITOSAS, SE CAPACITA Y SE EVALÚA AL CLIENTE, SE INSTALA PUBLICIDAD COMPLETA, CB QUEDA OPERATIVO. USUARIO SOMOS BANCOLOMBIA ACTIVO"/>
    <s v="BUSTOS MORA DIEGO MANUEL"/>
    <s v="SGZZZ975"/>
    <s v="TIPO II"/>
    <s v="TERRESTRE"/>
    <s v="BUSTOS MORA DIEGO MANUEL"/>
    <n v="1"/>
    <n v="1"/>
    <n v="1"/>
    <n v="11251.22416"/>
    <n v="126317.12212"/>
    <n v="110808.27512000001"/>
    <n v="248376.6214"/>
  </r>
  <r>
    <s v="MEDELLIN"/>
    <x v="2"/>
    <x v="2"/>
    <n v="5088"/>
    <s v="TA-25-982517"/>
    <n v="81108"/>
    <s v="APERTURA"/>
    <s v="CB CRECIMIENTO - NUEVO"/>
    <s v="ANTIOQUIA"/>
    <s v="BELLO"/>
    <s v="BARRIO CENTRO BELLO 1"/>
    <s v="REDEBAN"/>
    <s v="FO-25-1390829"/>
    <d v="2025-08-19T00:00:00"/>
    <d v="2025-08-20T00:00:00"/>
    <s v="UNO A UNO"/>
    <s v="UNO A UNO"/>
    <s v="EJECUTADO"/>
    <s v="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
    <s v="MARTINEZ TOVAR OSCAR DAVID"/>
    <s v="SGZZZ976"/>
    <s v="TIPO I"/>
    <s v="TERRESTRE"/>
    <s v="MARTINEZ TOVAR OSCAR DAVID"/>
    <n v="1"/>
    <n v="1"/>
    <n v="1"/>
    <n v="11251.22416"/>
    <n v="126317.12212"/>
    <n v="57411.974240000003"/>
    <n v="194980.32052000001"/>
  </r>
  <r>
    <s v="BOGOTA"/>
    <x v="5"/>
    <x v="5"/>
    <n v="25290"/>
    <s v="TA-25-982518"/>
    <n v="81078"/>
    <s v="APERTURA"/>
    <s v="CB CRECIMIENTO - NUEVO"/>
    <s v="CUNDINAMARCA"/>
    <s v="FUSAGASUGA"/>
    <s v="BARRIO CEDRITOS FUSAGASUGA 4"/>
    <s v="REDEBAN"/>
    <s v="FO-25-1390834"/>
    <d v="2025-08-19T00:00:00"/>
    <d v="2025-08-20T00:00:00"/>
    <s v="UNO A UNO"/>
    <s v="UNO A UNO"/>
    <s v="EJECUTADO"/>
    <s v="16-08 SE REALIZA LLAMADA AL CLIENTE, SE HABLA CON EL SR OSCAR EDUARDO RODRIGUEZ LOPEZ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LOZADA ROJAS CHRISTIAN ANDRES"/>
    <s v="SGZZZ977"/>
    <s v="TIPO II"/>
    <s v="TERRESTRE"/>
    <s v="LOZADA ROJAS CHRISTIAN ANDRES"/>
    <n v="1"/>
    <n v="1"/>
    <n v="1"/>
    <n v="11251.22416"/>
    <n v="126317.12212"/>
    <n v="110808.27512000001"/>
    <n v="248376.6214"/>
  </r>
  <r>
    <s v="MEDELLIN"/>
    <x v="2"/>
    <x v="2"/>
    <n v="5038"/>
    <s v="TA-25-982519"/>
    <n v="81074"/>
    <s v="APERTURA"/>
    <s v="CB CRECIMIENTO - NUEVO"/>
    <s v="ANTIOQUIA"/>
    <s v="ANGOSTURA"/>
    <s v="BARRIO CENTRO ANGOSTURA "/>
    <s v="REDEBAN"/>
    <s v="FO-25-1390839"/>
    <d v="2025-08-19T00:00:00"/>
    <d v="2025-08-21T00:00:00"/>
    <s v="UNO A UNO"/>
    <s v="UNO A UNO"/>
    <s v="EJECUTADO"/>
    <s v="16-08 SE REALIZA LLAMADA AL CLIENTE, SE HABLA CON LA SRA NATALIA SANCHEZ URIBE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
    <s v="DIAZ ZABALA FRANCIS DUBAN"/>
    <s v="SGZZZ978"/>
    <s v="TIPO III"/>
    <s v="TERRESTRE"/>
    <s v="DIAZ ZABALA FRANCIS DUBAN"/>
    <n v="1"/>
    <n v="1"/>
    <n v="1"/>
    <n v="11251.22416"/>
    <n v="126317.12212"/>
    <n v="110808.27512000001"/>
    <n v="248376.6214"/>
  </r>
  <r>
    <s v="CALI"/>
    <x v="1"/>
    <x v="1"/>
    <n v="76520"/>
    <s v="TA-25-982520"/>
    <n v="81089"/>
    <s v="APERTURA"/>
    <s v="CB CRECIMIENTO - NUEVO"/>
    <s v="VALLE DEL CAUCA"/>
    <s v="PALMIRA"/>
    <s v="BARRIO MARIA CANO PALMIRA 1"/>
    <s v="REDEBAN"/>
    <s v="FO-25-1390846"/>
    <d v="2025-08-19T00:00:00"/>
    <d v="2025-08-20T00:00:00"/>
    <s v="UNO A UNO"/>
    <s v="UNO A UNO"/>
    <s v="EJECUTADO"/>
    <s v="19-08-2025 SE REALIZA LLAMADA AL CLIENTE, SE HABLA CON EL SR CRISTHIAN CAMILO HERRERA HIDALGO SE VALIDA DIRECCIÓN OK, CANAL OK, DISPONIBILIDAD TOTAL, LLAMAR EL DÍA LA INSTALACIÓN PARA CONFIRMAR VISITA, AVISO EXTERIOR ALTURA APROX CLIENTE NO TIENE CONOCIMIENTO DE MEDIDAS;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
    <s v="BOLAÑOS TABORDA JORGE ENRIQUE"/>
    <s v="SGZZZ979"/>
    <s v="TIPO I"/>
    <s v="TERRESTRE"/>
    <s v="BOLAÑOS TABORDA JORGE ENRIQUE"/>
    <n v="1"/>
    <n v="1"/>
    <n v="1"/>
    <n v="11251.22416"/>
    <n v="126317.12212"/>
    <n v="57411.974240000003"/>
    <n v="194980.32052000001"/>
  </r>
  <r>
    <s v="CALI"/>
    <x v="1"/>
    <x v="1"/>
    <n v="19001"/>
    <s v="TA-25-982522"/>
    <n v="81092"/>
    <s v="APERTURA"/>
    <s v="CB CRECIMIENTO - NUEVO"/>
    <s v="CAUCA"/>
    <s v="POPAYAN"/>
    <s v="BARRIO LA ESMERALDA POPAYAN  8"/>
    <s v="REDEBAN"/>
    <s v="FO-25-1390852"/>
    <d v="2025-08-19T00:00:00"/>
    <d v="2025-08-20T00:00:00"/>
    <s v="UNO A UNO"/>
    <s v="UNO A UNO"/>
    <s v="EJECUTADO"/>
    <s v="19-08-2025 SE REALIZA LLAMADA AL CLIENTE, SE HABLA CON EL SR NESTOR ANDRES CRIOLLO TACUE SE VALIDA DIRECCIÓN OK, CANAL OK, DISPONIBILIDAD TOTAL, LLAMAR EL DÍA LA INSTALACIÓN PARA CONFIRMAR VISITA, AVISO EXTERIOR ALTURA APROX 3 METROS MAX;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
    <s v="GIMBUEL LASSO LUIS GERMAN"/>
    <s v="SGZZZ980"/>
    <s v="TIPO III"/>
    <s v="TERRESTRE"/>
    <s v="GIMBUEL LASSO LUIS GERMAN"/>
    <n v="1"/>
    <n v="1"/>
    <n v="1"/>
    <n v="11251.22416"/>
    <n v="126317.12212"/>
    <n v="110808.27512000001"/>
    <n v="248376.6214"/>
  </r>
  <r>
    <s v="CALI"/>
    <x v="1"/>
    <x v="1"/>
    <n v="76892"/>
    <s v="TA-25-982523"/>
    <n v="81110"/>
    <s v="APERTURA"/>
    <s v="CB CRECIMIENTO - NUEVO"/>
    <s v="VALLE DEL CAUCA"/>
    <s v="YUMBO"/>
    <s v="BARRIO GUABINAS YUMBO YUMBO"/>
    <s v="REDEBAN"/>
    <s v="FO-25-1390857"/>
    <d v="2025-08-19T00:00:00"/>
    <d v="2025-08-21T00:00:00"/>
    <s v="UNO A UNO"/>
    <s v="UNO A UNO"/>
    <s v="EJECUTADO"/>
    <s v="19-08-2025 SE REALIZA LLAMADA AL CLIENTE, SE HABLA CON EL SR DIEGO FRANCISCO TOBAR SANCHEZ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TORRES GARCIA JENDRY JOSE"/>
    <s v="SGZZZ981"/>
    <s v="TIPO I"/>
    <s v="TERRESTRE"/>
    <s v="TORRES GARCIA JENDRY JOSE"/>
    <n v="1"/>
    <n v="1"/>
    <n v="1"/>
    <n v="11251.22416"/>
    <n v="126317.12212"/>
    <n v="57411.974240000003"/>
    <n v="194980.32052000001"/>
  </r>
  <r>
    <s v="MANIZALES"/>
    <x v="1"/>
    <x v="6"/>
    <n v="17777"/>
    <s v="TA-25-982524"/>
    <n v="81104"/>
    <s v="APERTURA"/>
    <s v="CB CRECIMIENTO - NUEVO"/>
    <s v="CALDAS"/>
    <s v="SUPIA"/>
    <s v="BARRIO AVENIDA CARVAJAL SUPIA"/>
    <s v="REDEBAN"/>
    <s v="FO-25-1390862"/>
    <d v="2025-08-19T00:00:00"/>
    <d v="2025-08-21T00:00:00"/>
    <s v="UNO A UNO"/>
    <s v="UNO A UNO"/>
    <s v="EJECUTADO"/>
    <s v="19-08-2025 SE REALIZA LLAMADA AL CLIENTE, SE HABLA CON EL SR RUBEN DARIO FRANCO ESTRAD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FRANCO CAÑAVERAL YAMID RAUL"/>
    <s v="SGZZZ982"/>
    <s v="TIPO II"/>
    <s v="TERRESTRE"/>
    <s v="FRANCO CAÑAVERAL YAMID RAUL"/>
    <n v="1"/>
    <n v="1"/>
    <n v="1"/>
    <n v="11251.22416"/>
    <n v="126317.12212"/>
    <n v="110808.27512000001"/>
    <n v="248376.6214"/>
  </r>
  <r>
    <s v="BOGOTA"/>
    <x v="5"/>
    <x v="5"/>
    <n v="25743"/>
    <s v="TA-25-982525"/>
    <n v="81096"/>
    <s v="APERTURA"/>
    <s v="CB CRECIMIENTO - NUEVO"/>
    <s v="CUNDINAMARCA"/>
    <s v="SILVANIA"/>
    <s v="BARRIO MOLINO ROJO SILVANIA"/>
    <s v="REDEBAN"/>
    <s v="FO-25-1390865"/>
    <d v="2025-08-19T00:00:00"/>
    <d v="2025-08-21T00:00:00"/>
    <s v="UNO A UNO"/>
    <s v="UNO A UNO"/>
    <s v="EJECUTADO"/>
    <s v="16-08 SE REALIZA LLAMADA AL CLIENTE, SE HABLA CON LA SRA LEIDY GOMEZ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
    <s v="GALEANO SORIANO JUAN DAVID"/>
    <s v="SGZZZ983"/>
    <s v="TIPO II"/>
    <s v="TERRESTRE"/>
    <s v="GALEANO SORIANO JUAN DAVID"/>
    <n v="1"/>
    <n v="1"/>
    <n v="1"/>
    <n v="11251.22416"/>
    <n v="126317.12212"/>
    <n v="110808.27512000001"/>
    <n v="248376.6214"/>
  </r>
  <r>
    <s v="BOGOTA"/>
    <x v="5"/>
    <x v="5"/>
    <n v="25175"/>
    <s v="TA-25-982527"/>
    <n v="81067"/>
    <s v="APERTURA"/>
    <s v="CB CRECIMIENTO - NUEVO"/>
    <s v="CUNDINAMARCA"/>
    <s v="CHIA"/>
    <s v="BARRIO NUEVO MILENIO CHIA 1"/>
    <s v="REDEBAN"/>
    <s v="FO-25-1390872"/>
    <d v="2025-08-19T00:00:00"/>
    <d v="2025-08-20T00:00:00"/>
    <s v="UNO A UNO"/>
    <s v="UNO A UNO"/>
    <s v="EJECUTADO"/>
    <s v="19-08-2025 SE REALIZA LLAMADA AL CLIENTE, SE HABLA CON EL SR JOSE ISADIT FORERO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
    <s v="GALEANO SORIANO JUAN DAVID"/>
    <s v="SGZZZ984"/>
    <s v="TIPO II"/>
    <s v="TERRESTRE"/>
    <s v="GALEANO SORIANO JUAN DAVID"/>
    <n v="1"/>
    <n v="1"/>
    <n v="1"/>
    <n v="11251.22416"/>
    <n v="126317.12212"/>
    <n v="110808.27512000001"/>
    <n v="248376.6214"/>
  </r>
  <r>
    <s v="CALI"/>
    <x v="1"/>
    <x v="1"/>
    <n v="76001"/>
    <s v="TA-25-982528"/>
    <n v="81061"/>
    <s v="APERTURA"/>
    <s v="CB CRECIMIENTO - NUEVO"/>
    <s v="VALLE DEL CAUCA"/>
    <s v="CALI"/>
    <s v="BARRIO LA FLORESTA CALI 1"/>
    <s v="REDEBAN"/>
    <s v="FO-25-1390876"/>
    <d v="2025-08-19T00:00:00"/>
    <d v="2025-08-20T00:00:00"/>
    <s v="UNO A UNO"/>
    <s v="UNO A UNO"/>
    <s v="EJECUTADO"/>
    <s v="19-08-2025 SE REALIZA LLAMADA AL CLIENTE, SE HABLA CON LA SRA CLAUDIA PATRICIA HERRAN VANEGAS SE VALIDA DIRECCIÓN OK, CANAL OK, DISPONIBILIDAD TOTAL, LLAMAR EL DÍA LA INSTALACIÓN PARA CONFIRMAR VISITA, AVISO EXTERIOR ALTURA APROX 2 METROS; TOMACORRIENTE CERCANO: SI; TIENE CABINA DE SEGURIDAD: NO // CONTACTO REALIZADO POR LA APP 20-08 SE REALIZA INSTALACIÓN DE CORRESPONSAL, SE INSTALAN EQUIPOS CON PRUEBAS EXITOSAS, SE CAPACITA Y SE EVALÚA AL CLIENTE, SE INSTALA PUBLICIDAD COMPLETA, CB QUEDA OPERATIVO. USUARIO SOMOS BANCOLOMBIA ACTIVO"/>
    <s v="TORRES GARCIA JENDRY JOSE"/>
    <s v="SGZZZ985"/>
    <s v="TIPO I"/>
    <s v="TERRESTRE"/>
    <s v="TORRES GARCIA JENDRY JOSE"/>
    <n v="1"/>
    <n v="1"/>
    <n v="1"/>
    <n v="11251.22416"/>
    <n v="126317.12212"/>
    <n v="57411.974240000003"/>
    <n v="194980.32052000001"/>
  </r>
  <r>
    <s v="MONTERIA"/>
    <x v="4"/>
    <x v="4"/>
    <n v="5495"/>
    <s v="TA-25-982529"/>
    <n v="81087"/>
    <s v="APERTURA"/>
    <s v="CB CRECIMIENTO - NUEVO"/>
    <s v="ANTIOQUIA"/>
    <s v="NECHI"/>
    <s v="BARRIO CENTRO NECHI 3"/>
    <s v="REDEBAN"/>
    <s v="FO-25-1390881"/>
    <d v="2025-08-19T00:00:00"/>
    <d v="2025-08-21T00:00:00"/>
    <s v="UNO A UNO"/>
    <s v="UNO A UNO"/>
    <s v="EJECUTADO"/>
    <s v="16-08 SE REALIZA LLAMADA AL CLIENTE, SE HABLA CON LA SRA DANIELA DAVILA ARIAS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
    <s v="CALDERA SALCEDO CARLOS JULIO"/>
    <s v="SGZZZ986"/>
    <s v="TIPO III"/>
    <s v="TERRESTRE"/>
    <s v="CALDERA SALCEDO CARLOS JULIO"/>
    <n v="1"/>
    <n v="1"/>
    <n v="1"/>
    <n v="11251.22416"/>
    <n v="126317.12212"/>
    <n v="110808.27512000001"/>
    <n v="248376.6214"/>
  </r>
  <r>
    <s v="CALI"/>
    <x v="1"/>
    <x v="1"/>
    <n v="76001"/>
    <s v="TA-25-982530"/>
    <n v="81063"/>
    <s v="APERTURA"/>
    <s v="CB CRECIMIENTO - NUEVO"/>
    <s v="VALLE DEL CAUCA"/>
    <s v="CALI"/>
    <s v="BARRIO LA INDEPENDENCIA CALI 1"/>
    <s v="REDEBAN"/>
    <s v="FO-25-1390884"/>
    <d v="2025-08-19T00:00:00"/>
    <d v="2025-08-21T00:00:00"/>
    <s v="UNO A UNO"/>
    <s v="UNO A UNO"/>
    <s v="EJECUTADO"/>
    <s v="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
    <s v="HERRERA MONAR GEOVANNY"/>
    <s v="SGZZZ987"/>
    <s v="TIPO I"/>
    <s v="TERRESTRE"/>
    <s v="HERRERA MONAR GEOVANNY"/>
    <n v="1"/>
    <n v="1"/>
    <n v="1"/>
    <n v="11251.22416"/>
    <n v="126317.12212"/>
    <n v="57411.974240000003"/>
    <n v="194980.32052000001"/>
  </r>
  <r>
    <s v="BOGOTA"/>
    <x v="5"/>
    <x v="5"/>
    <n v="11001"/>
    <s v="TA-25-982531"/>
    <n v="81053"/>
    <s v="APERTURA"/>
    <s v="CB CRECIMIENTO - NUEVO"/>
    <s v="CUNDINAMARCA"/>
    <s v="BOGOTA"/>
    <s v="BARRIO BOLIVIA BOGOTA 3"/>
    <s v="REDEBAN"/>
    <s v="FO-25-1390888"/>
    <d v="2025-08-19T00:00:00"/>
    <d v="2025-08-20T00:00:00"/>
    <s v="UNO A UNO"/>
    <s v="UNO A UNO"/>
    <s v="EJECUTADO"/>
    <s v="16-08 SE REALIZA LLAMADA AL CLIENTE, SE HABLA CON LA SRA MYRIAN LORENA FERRO DIRECCIÓN OK, CANAL OK, DISPONIBILIDAD TOTAL, LLAMAR EL DÍA LA INSTALACIÓN PARA CONFIRMAR VISITA, AVISO EXTERIOR ALTURA: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MURCIA HERNANDEZ HARVEY IGNACIO"/>
    <s v="SGZZZ988"/>
    <s v="TIPO I"/>
    <s v="TERRESTRE"/>
    <s v="MURCIA HERNANDEZ HARVEY IGNACIO"/>
    <n v="1"/>
    <n v="1"/>
    <n v="1"/>
    <n v="11251.22416"/>
    <n v="126317.12212"/>
    <n v="57411.974240000003"/>
    <n v="194980.32052000001"/>
  </r>
  <r>
    <s v="PASTO"/>
    <x v="1"/>
    <x v="1"/>
    <n v="52683"/>
    <s v="TA-25-982533"/>
    <n v="81098"/>
    <s v="APERTURA"/>
    <s v="CB CRECIMIENTO - NUEVO"/>
    <s v="NARIÑO"/>
    <s v="SANDONA"/>
    <s v="BARRIO EL COMERCIO SANDONA"/>
    <s v="REDEBAN"/>
    <s v="FO-25-1390894"/>
    <d v="2025-08-19T00:00:00"/>
    <d v="2025-08-20T00:00:00"/>
    <s v="UNO A UNO"/>
    <s v="UNO A UNO"/>
    <s v="EJECUTADO"/>
    <s v="19-08-2025 SE REALIZA LLAMADA AL CLIENTE, SE HABLA CON LA SRA NHORA DEL CARMEN ARCOS ARCOS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
    <s v="PAZ MARTINEZ RICHARD HUMBERTO"/>
    <s v="SGZZZ989"/>
    <s v="TIPO II"/>
    <s v="TERRESTRE"/>
    <s v="PAZ MARTINEZ RICHARD HUMBERTO"/>
    <n v="1"/>
    <n v="1"/>
    <n v="1"/>
    <n v="11251.22416"/>
    <n v="126317.12212"/>
    <n v="110808.27512000001"/>
    <n v="248376.6214"/>
  </r>
  <r>
    <s v="BOGOTA"/>
    <x v="5"/>
    <x v="5"/>
    <n v="11001"/>
    <s v="TA-25-982534"/>
    <n v="81054"/>
    <s v="APERTURA"/>
    <s v="CB CRECIMIENTO - NUEVO"/>
    <s v="CUNDINAMARCA"/>
    <s v="BOGOTA"/>
    <s v="BARRIO CANDELARIA LA NUEVA BOGOTA 10"/>
    <s v="REDEBAN"/>
    <s v="FO-25-1390897"/>
    <d v="2025-08-19T00:00:00"/>
    <d v="2025-08-21T00:00:00"/>
    <s v="UNO A UNO"/>
    <s v="UNO A UNO"/>
    <s v="EJECUTADO"/>
    <s v="19-08-2025 SE REALIZA LLAMADA AL CLIENTE, SE HABLA CON EL ESPOSO DE LA SRA LILIA LEONOR RODRIGUEZ CUERVO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BUSTOS MORA DIEGO MANUEL"/>
    <s v="SGZZZ990"/>
    <s v="TIPO I"/>
    <s v="TERRESTRE"/>
    <s v="BUSTOS MORA DIEGO MANUEL"/>
    <n v="1"/>
    <n v="1"/>
    <n v="1"/>
    <n v="11251.22416"/>
    <n v="126317.12212"/>
    <n v="57411.974240000003"/>
    <n v="194980.32052000001"/>
  </r>
  <r>
    <s v="CALI"/>
    <x v="1"/>
    <x v="1"/>
    <n v="76834"/>
    <s v="TA-25-982535"/>
    <n v="81106"/>
    <s v="APERTURA"/>
    <s v="CB CRECIMIENTO - NUEVO"/>
    <s v="VALLE DEL CAUCA"/>
    <s v="TULUA"/>
    <s v="BARRIO EL HORIZONTE TULUA"/>
    <s v="REDEBAN"/>
    <s v="FO-25-1390901"/>
    <d v="2025-08-19T00:00:00"/>
    <d v="2025-08-21T00:00:00"/>
    <s v="UNO A UNO"/>
    <s v="UNO A UNO"/>
    <s v="EJECUTADO"/>
    <s v="19-08-2025 SE REALIZA LLAMADA AL CLIENTE, SE HABLA CON LA SRA LUZ STELLA RAMIREZ TABARES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MONTERO MUESES GIAN CARLO"/>
    <s v="SGZZZ991"/>
    <s v="TIPO II"/>
    <s v="TERRESTRE"/>
    <s v="MONTERO MUESES GIAN CARLO"/>
    <n v="1"/>
    <n v="1"/>
    <n v="1"/>
    <n v="11251.22416"/>
    <n v="126317.12212"/>
    <n v="110808.27512000001"/>
    <n v="248376.6214"/>
  </r>
  <r>
    <s v="MONTERIA"/>
    <x v="4"/>
    <x v="4"/>
    <n v="23807"/>
    <s v="TA-25-982536"/>
    <n v="81105"/>
    <s v="APERTURA"/>
    <s v="CB CRECIMIENTO - NUEVO"/>
    <s v="CORDOBA"/>
    <s v="TIERRALTA"/>
    <s v="BARRIO 9 DE AGOSTO TIERRALTA"/>
    <s v="REDEBAN"/>
    <s v="FO-25-1390904"/>
    <d v="2025-08-19T00:00:00"/>
    <d v="2025-08-21T00:00:00"/>
    <s v="UNO A UNO"/>
    <s v="UNO A UNO"/>
    <s v="EJECUTADO"/>
    <s v="19-08-2025 SE REALIZA LLAMADA AL CLIENTE, SE HABLA CON EL ESPOSO DE LA SRA ENA ROCIO RODRIGUEZ GASPAR SE VALIDA DIRECCIÓN OK, CANAL OK, DISPONIBILIDAD TOTAL, LLAMAR EL DÍA LA INSTALACIÓN PARA CONFIRMAR VISITA, AVISO EXTERIOR ALTURA APROX 3,50 METROS; TOMACORRIENTE CERCANO: SI; TIENE CABINA DE SEGURIDAD: SI // CONTACTO REALIZADO POR LA APP 21/08/2025 SE REALIZA INSTALACIÓN DE CORRESPONSAL, SE INSTALAN EQUIPOS CON PRUEBAS EXITOSAS, SE CAPACITA Y SE EVALÚA AL CLIENTE, SE INSTALA PUBLICIDAD COMPLETA, CB QUEDA OPERATIVO. USUARIO SOMOS BANCOLOMBIA ACTIVO"/>
    <s v="GONZALEZ FERRER JESUS ALEXANDER"/>
    <s v="SGZZZ992"/>
    <s v="TIPO III"/>
    <s v="TERRESTRE"/>
    <s v="GONZALEZ FERRER JESUS ALEXANDER"/>
    <n v="1"/>
    <n v="1"/>
    <n v="1"/>
    <n v="11251.22416"/>
    <n v="126317.12212"/>
    <n v="110808.27512000001"/>
    <n v="248376.6214"/>
  </r>
  <r>
    <s v="TUNJA"/>
    <x v="3"/>
    <x v="3"/>
    <n v="15097"/>
    <s v="TA-25-982538"/>
    <n v="81050"/>
    <s v="APERTURA"/>
    <s v="CB CRECIMIENTO - NUEVO"/>
    <s v="BOYACA"/>
    <s v="BOAVITA"/>
    <s v="BARRIO CENTRO BOAVITA 6"/>
    <s v="REDEBAN"/>
    <s v="FO-25-1390908"/>
    <d v="2025-08-19T00:00:00"/>
    <d v="2025-08-21T00:00:00"/>
    <s v="UNO A UNO"/>
    <s v="UNO A UNO"/>
    <s v="EJECUTADO"/>
    <s v="16-08 SE REALIZA LLAMADA AL CLIENTE, SE HABLA CON LA SRA LAURA YULIETH DUARTE CUADROS DIRECCIÓN OK, CANAL OK, DISPONIBILIDAD TOTAL, LLAMAR EL DÍA LA INSTALACIÓN PARA CONFIRMAR VISITA, AVISO EXTERIOR ALTURA: 2 METROS APROX; TOMACORRIENTE CERCANO: SI; TIENE CABINA DE SEGURIDAD: SI 20-08 POR DEMORA DE BUS INTERMUNICIPAL EN DESPLAZAMIENTO HACIA SITIO SE COMUNICA CON CLIENTE AL NÚMERO TELEFÓNICO 3112111435 LA SEÑORA LAURA YULIETH DUARTE CONFIRMA VISITA PARA EL DIA DE MAÑANA 21/8/2025 DESPUES DE LAS 9 A.M 21/08/2025 SE REALIZA INSTALACIÓN DE CORRESPONSAL, SE INSTALAN EQUIPOS CON PRUEBAS EXITOSAS, SE CAPACITA Y SE EVALÚA AL CLIENTE, SE INSTALA PUBLICIDAD COMPLETA, CB QUEDA OPERATIVO. USUARIO SOMOS BANCOLOMBIA ACTIVO"/>
    <s v="GONZALEZ GONZALEZ MARIO ALBERTO"/>
    <s v="SGZZZ993"/>
    <s v="TIPO IV"/>
    <s v="TERRESTRE"/>
    <s v="GONZALEZ GONZALEZ MARIO ALBERTO"/>
    <n v="1"/>
    <n v="1"/>
    <n v="1"/>
    <n v="11251.22416"/>
    <n v="126317.12212"/>
    <n v="110808.27512000001"/>
    <n v="248376.6214"/>
  </r>
  <r>
    <s v="BUCARAMANGA"/>
    <x v="3"/>
    <x v="3"/>
    <n v="68547"/>
    <s v="TA-25-982539"/>
    <n v="81091"/>
    <s v="APERTURA"/>
    <s v="CB CRECIMIENTO - NUEVO"/>
    <s v="SANTANDER"/>
    <s v="PIEDECUESTA"/>
    <s v="BARRIO PIEDECUESTA PIEDECUESTA 3"/>
    <s v="REDEBAN"/>
    <s v="FO-25-1390913"/>
    <d v="2025-08-19T00:00:00"/>
    <d v="2025-08-21T00:00:00"/>
    <s v="UNO A UNO"/>
    <s v="UNO A UNO"/>
    <s v="EJECUTADO"/>
    <s v="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
    <s v="GELVEZ MOGOLLON JOSE ELISEO"/>
    <s v="SGZZZ994"/>
    <s v="TIPO II"/>
    <s v="TERRESTRE"/>
    <s v="GELVEZ MOGOLLON JOSE ELISEO"/>
    <n v="1"/>
    <n v="1"/>
    <n v="1"/>
    <n v="11251.22416"/>
    <n v="126317.12212"/>
    <n v="110808.27512000001"/>
    <n v="248376.6214"/>
  </r>
  <r>
    <s v="VILLAVICENCIO"/>
    <x v="0"/>
    <x v="0"/>
    <n v="50568"/>
    <s v="TA-25-982541"/>
    <n v="81095"/>
    <s v="APERTURA"/>
    <s v="CB CRECIMIENTO - NUEVO"/>
    <s v="META"/>
    <s v="PUERTO GAITAN"/>
    <s v="BARRIO PERLAS DEL NANACACIAS PUERTO GAITAN"/>
    <s v="REDEBAN"/>
    <s v="FO-25-1390916"/>
    <d v="2025-08-19T00:00:00"/>
    <d v="2025-08-20T00:00:00"/>
    <s v="UNO A UNO"/>
    <s v="UNO A UNO"/>
    <s v="EJECUTADO"/>
    <s v="16-08 SE REALIZA LLAMADA AL CLIENTE, SE HABLA CON LA SRA JENNY ALEXANDRA RUIZ CRISTANCHODIRECCIÓN OK, CANAL OK, DISPONIBILIDAD TOTAL, LLAMAR EL DÍA LA INSTALACIÓN PARA CONFIRMAR VISITA, AVISO EXTERIOR ALTURA: 2 METROS APROX; TOMACORRIENTE CERCANO: SI; TIENE CABINA DE SEGURIDAD: SI 20-08 SE REALIZA INSTALACIÓN DE CORRESPONSAL, SE INSTALAN EQUIPOS CON PRUEBAS EXITOSAS, SE CAPACITA Y SE EVALÚA AL CLIENTE, SE INSTALA PUBLICIDAD COMPLETA, CB QUEDA OPERATIVO. USUARIO SOMOS BANCOLOMBIA ACTIVO"/>
    <s v="ROZO JIMENEZ EDGAR ARMANDO"/>
    <s v="SGZZZ995"/>
    <s v="TIPO III"/>
    <s v="TERRESTRE"/>
    <s v="ROZO JIMENEZ EDGAR ARMANDO"/>
    <n v="1"/>
    <n v="1"/>
    <n v="1"/>
    <n v="11251.22416"/>
    <n v="126317.12212"/>
    <n v="110808.27512000001"/>
    <n v="248376.6214"/>
  </r>
  <r>
    <s v="VALLEDUPAR"/>
    <x v="4"/>
    <x v="4"/>
    <n v="20570"/>
    <s v="TA-25-982542"/>
    <n v="81094"/>
    <s v="APERTURA"/>
    <s v="CB CRECIMIENTO - NUEVO"/>
    <s v="CESAR"/>
    <s v="PUEBLO BELLO"/>
    <s v="BARRIO LA CEIBA PUEBLO BELLO"/>
    <s v="REDEBAN"/>
    <s v="FO-25-1390919"/>
    <d v="2025-08-19T00:00:00"/>
    <d v="2025-08-20T00:00:00"/>
    <s v="UNO A UNO"/>
    <s v="UNO A UNO"/>
    <s v="EJECUTADO"/>
    <s v="16-08 SE REALIZA LLAMADA AL CLIENTE, SE HABLA CON EL SR DAIMIR JOSE GUERRERO SANTIAGO  DIRECCIÓN OK, CANAL OK, DISPONIBILIDAD TOTAL, LLAMAR EL DÍA LA INSTALACIÓN PARA CONFIRMAR VISITA, AVISO EXTERIOR ALTURA: APROX 3 METROS; TOMACORRIENTE CERCANO: SI; TIENE CABINA DE SEGURIDAD: NO 20/08/2025 SE REALIZA INSTALACIÓN DE CORRESPONSAL, SE INSTALAN EQUIPOS CON PRUEBAS EXITOSAS, SE CAPACITA Y SE EVALÚA AL CLIENTE, SE INSTALA PUBLICIDAD COMPLETA, CB QUEDA OPERATIVO. USUARIO SOMOS BANCOLOMBIA ACTIVO"/>
    <s v="MAESTRE MENGUAL EDGAR ENRIQUE"/>
    <s v="SGZZZ996"/>
    <s v="TIPO III"/>
    <s v="TERRESTRE"/>
    <s v="MAESTRE MENGUAL EDGAR ENRIQUE"/>
    <n v="1"/>
    <n v="1"/>
    <n v="1"/>
    <n v="11251.22416"/>
    <n v="126317.12212"/>
    <n v="110808.27512000001"/>
    <n v="248376.6214"/>
  </r>
  <r>
    <s v="CALI"/>
    <x v="1"/>
    <x v="1"/>
    <n v="76001"/>
    <s v="TA-25-982543"/>
    <n v="81064"/>
    <s v="APERTURA"/>
    <s v="CB CRECIMIENTO - NUEVO"/>
    <s v="VALLE DEL CAUCA"/>
    <s v="CALI"/>
    <s v="BARRIO VILLA SAN MARCOS  CALI"/>
    <s v="REDEBAN"/>
    <s v="FO-25-1390924"/>
    <d v="2025-08-19T00:00:00"/>
    <d v="2025-08-20T00:00:00"/>
    <s v="UNO A UNO"/>
    <s v="UNO A UNO"/>
    <s v="EJECUTADO"/>
    <s v="19-08-2025 SE REALIZA LLAMADA AL CLIENTE, SE HABLA CON EL SR DEYBY ALEXANDER VALDERRAMA MIRANDA SE VALIDA DIRECCIÓN OK, CANAL OK, DISPONIBILIDAD TOTAL, LLAMAR EL DÍA LA INSTALACIÓN PARA CONFIRMAR VISITA, AVISO EXTERIOR ALTURA APROX 2,50-3 METROS; TOMACORRIENTE CERCANO: SI; TIENE CABINA DE SEGURIDAD: SI // CONTACTO REALIZADO POR LA APP 20/08/2025 SE REALIZA INSTALACIÓN DE CORRESPONSAL, SE INSTALAN EQUIPOS CON PRUEBAS EXITOSAS, SE CAPACITA Y SE EVALÚA AL CLIENTE, SE INSTALA PUBLICIDAD COMPLETA, CB QUEDA OPERATIVO. USUARIO SOMOS BANCOLOMBIA ACTIVO"/>
    <s v="PAREDES CASTILLO DIEGO"/>
    <s v="SGZZZ997"/>
    <s v="TIPO I"/>
    <s v="TERRESTRE"/>
    <s v="PAREDES CASTILLO DIEGO"/>
    <n v="1"/>
    <n v="1"/>
    <n v="1"/>
    <n v="11251.22416"/>
    <n v="126317.12212"/>
    <n v="57411.974240000003"/>
    <n v="194980.32052000001"/>
  </r>
  <r>
    <s v="MANIZALES"/>
    <x v="1"/>
    <x v="6"/>
    <n v="17524"/>
    <s v="TA-25-982544"/>
    <n v="81103"/>
    <s v="APERTURA"/>
    <s v="CAMBIO DE RAZON SOCIAL"/>
    <s v="CALDAS"/>
    <s v="PALESTINA"/>
    <s v="BARRIO ARAUCA PALESTINA 2"/>
    <s v="REDEBAN"/>
    <s v="FO-25-1390928"/>
    <d v="2025-08-19T00:00:00"/>
    <d v="2025-08-21T00:00:00"/>
    <s v="UNO A UNO"/>
    <s v="UNO A UNO"/>
    <s v="EJECUTADO"/>
    <s v="19-08-2025 SE REALIZA LLAMADA AL CLIENTE, SE HABLA CON EL ESPOSO DE LA SRA ANGELA MARIA OSPINA ZULUAG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AGUIRRE HENAO RAUL EDUARDO"/>
    <s v="SGZZZ998"/>
    <s v="TIPO II"/>
    <s v="TERRESTRE"/>
    <s v="AGUIRRE HENAO RAUL EDUARDO"/>
    <n v="1"/>
    <n v="1"/>
    <n v="1"/>
    <n v="11251.22416"/>
    <n v="126317.12212"/>
    <n v="110808.27512000001"/>
    <n v="248376.6214"/>
  </r>
  <r>
    <s v="CALI"/>
    <x v="1"/>
    <x v="1"/>
    <n v="76113"/>
    <s v="TA-25-982545"/>
    <n v="81057"/>
    <s v="APERTURA"/>
    <s v="CB CRECIMIENTO - NUEVO"/>
    <s v="VALLE DEL CAUCA"/>
    <s v="BUGALAGRANDE"/>
    <s v="BARRIO LOS MARMOLES BUGALAGRANDE"/>
    <s v="REDEBAN"/>
    <s v="FO-25-1390932"/>
    <d v="2025-08-19T00:00:00"/>
    <d v="2025-08-21T00:00:00"/>
    <s v="UNO A UNO"/>
    <s v="UNO A UNO"/>
    <s v="EJECUTADO"/>
    <s v="19-08 SE REALIZA LLAMADA AL CLIENTE, SE HABLA CON EL SR EDGAR CRUZ VELEZ  SE VALIDA DIRECCIÓN OK, CANAL OK, DISPONIBILIDAD TOTAL, LLAMAR EL DÍA LA INSTALACIÓN PARA CONFIRMAR VISITA, AVISO EXTERIOR ALTURA APROX 3 METROS; TOMACORRIENTE CERCANO: SI; TIENE CABINA DE SEGURIDAD: NO 21/08/2025 SE REALIZA INSTALACIÓN DE CORRESPONSAL, SE INSTALAN EQUIPOS CON PRUEBAS EXITOSAS, SE CAPACITA Y SE EVALÚA AL CLIENTE, SE INSTALA PUBLICIDAD COMPLETA, CB QUEDA OPERATIVO. USUARIO SOMOS BANCOLOMBIA ACTIVO"/>
    <s v="PAREDES CASTILLO DIEGO"/>
    <s v="SGZZZ999"/>
    <s v="TIPO II"/>
    <s v="TERRESTRE"/>
    <s v="PAREDES CASTILLO DIEGO"/>
    <n v="1"/>
    <n v="1"/>
    <n v="1"/>
    <n v="11251.22416"/>
    <n v="126317.12212"/>
    <n v="110808.27512000001"/>
    <n v="248376.6214"/>
  </r>
  <r>
    <s v="BUCARAMANGA"/>
    <x v="3"/>
    <x v="3"/>
    <n v="68276"/>
    <s v="TA-25-982600"/>
    <n v="81075"/>
    <s v="APERTURA"/>
    <s v="CB CRECIMIENTO - NUEVO"/>
    <s v="SANTANDER"/>
    <s v="FLORIDABLANCA"/>
    <s v="BARRIO LA CUMBRE FLORIDABLANCA  12"/>
    <s v="REDEBAN"/>
    <s v="FO-25-1391123"/>
    <d v="2025-08-19T00:00:00"/>
    <d v="2025-08-20T00:00:00"/>
    <s v="UNO A UNO"/>
    <s v="UNO A UNO"/>
    <s v="EJECUTADO"/>
    <s v="16-08 SE REALIZA LLAMADA AL CLIENTE, SE HABLA CON EL SR RICARDO LEON RANGEL  DIRECCIÓN OK, CANAL OK, DISPONIBILIDAD TOTAL, LLAMAR EL DÍA LA INSTALACIÓN PARA CONFIRMAR VISITA, AVISO EXTERIOR ALTURA: APROX 5 METROS; TOMACORRIENTE CERCANO: SI; TIENE CABINA DE SEGURIDAD: NO 20/08/2025 SE REALIZA INSTALACIÓN DE CORRESPONSAL, SE INSTALAN EQUIPOS CON PRUEBAS EXITOSAS, SE CAPACITA Y SE EVALÚA AL CLIENTE, SE INSTALA PUBLICIDAD COMPLETA, CB QUEDA OPERATIVO. USUARIO SOMOS BANCOLOMBIA ACTIVO"/>
    <s v="GELVEZ MOGOLLON JOSE ELISEO"/>
    <s v="SHZZZ001"/>
    <s v="TIPO I"/>
    <s v="TERRESTRE"/>
    <s v="GELVEZ MOGOLLON JOSE ELISEO"/>
    <n v="1"/>
    <n v="1"/>
    <n v="1"/>
    <n v="11251.22416"/>
    <n v="126317.12212"/>
    <n v="57411.974240000003"/>
    <n v="194980.32052000001"/>
  </r>
  <r>
    <s v="BOGOTA"/>
    <x v="5"/>
    <x v="5"/>
    <n v="25286"/>
    <s v="TA-25-982548"/>
    <n v="81076"/>
    <s v="APERTURA"/>
    <s v="CAMBIO DE RAZON SOCIAL"/>
    <s v="CUNDINAMARCA"/>
    <s v="FUNZA"/>
    <s v="BARRIO PADRE FUNZA FUNZA"/>
    <s v="REDEBAN"/>
    <s v="FO-25-1400516"/>
    <d v="2025-08-19T00:00:00"/>
    <d v="2025-08-25T00:00:00"/>
    <s v="UNO A UNO"/>
    <s v="UNO A UNO"/>
    <s v="EJECUTADO"/>
    <s v="19-08 SE REALIZA LLAMADA AL CLIENTE, SE HABLA CON LA SRA DELFINA VARGAS IBAÑEZ SE VALIDA DIRECCIÓN OK, CANAL OK, DISPONIBILIDAD TOTAL, LLAMAR EL DÍA LA INSTALACIÓN AL NÚMERO 3152100085 PARA CONFIRMAR VISITA, AVISO EXTERIOR NO INDICA ALTURA; TOMACORRIENTE CERCANO: SI; TIENE CABINA DE SEGURIDAD: NO 20-08 SE VISITA COMERCIO YA QUE NO HUBO CONTACTO PREVIO CON EL CLIENTE POR VÍA TELEFÓNICA, EN EL SITIO NOS BRINDAN UN NÚMERO TELEFÓNICO 3152100085 DONDE NOS COMUNICAMOS CON LA SRA DELFINA VARGAS QUIEN INFORMA QUE LA PERSONA ENCARGADA PARA LA INSTALACIÓN NO SE ENCUENTRA YA SE FUE DE VIAJE Y VUELVEN HASTA EL DÍA VIERNES EN LA NOCHE POR LO QUE PIDE SEA REAGENDADA LA INSTALACIÓN PARA EL DÍA LUNES 25 DE AGOSTO, SE LE INDICA AL COORDINADOR QUIEN AUTORIZA EL REAGENDAMIENTO, INSTALACIÓN FALLIDA REPROGRAMADA. 25-08 SE REALIZA INSTALACIÓN DE CORRESPONSAL, SE INSTALAN EQUIPOS CON PRUEBAS EXITOSAS, SE CAPACITA Y SE EVALÚA AL CLIENTE, SE INSTALA PUBLICIDAD COMPLETA, CB QUEDA OPERATIVO. USUARIO SOMOS BANCOLOMBIA ACTIVO"/>
    <s v="ROMERO ROJAS BREIDY JHOHAN"/>
    <s v="SHZZZ002"/>
    <s v="TIPO II"/>
    <s v="TERRESTRE"/>
    <s v="ROMERO ROJAS BREIDY JHOHAN"/>
    <n v="1"/>
    <n v="1"/>
    <n v="1"/>
    <n v="11251.22416"/>
    <n v="126317.12212"/>
    <n v="110808.27512000001"/>
    <n v="248376.6214"/>
  </r>
  <r>
    <s v="BOGOTA"/>
    <x v="5"/>
    <x v="5"/>
    <n v="11001"/>
    <s v="TA-25-982550"/>
    <n v="81055"/>
    <s v="APERTURA"/>
    <s v="CB CRECIMIENTO - NUEVO"/>
    <s v="CUNDINAMARCA"/>
    <s v="BOGOTA"/>
    <s v="BARRIO KENNEDY SAN CARLOS BOGOTA"/>
    <s v="REDEBAN"/>
    <s v="FO-25-1390950"/>
    <d v="2025-08-19T00:00:00"/>
    <d v="2025-08-20T00:00:00"/>
    <s v="UNO A UNO"/>
    <s v="UNO A UNO"/>
    <s v="EJECUTADO"/>
    <s v="16-08 SE REALIZA LLAMADA AL CLIENTE, SE HABLA CON EL SR ROBERT BARRERA HERRER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SOTO LONDOÑO FREDY ALEXANDER"/>
    <s v="SHZZZ003"/>
    <s v="TIPO I"/>
    <s v="TERRESTRE"/>
    <s v="SOTO LONDOÑO FREDY ALEXANDER"/>
    <n v="1"/>
    <n v="1"/>
    <n v="1"/>
    <n v="11251.22416"/>
    <n v="126317.12212"/>
    <n v="57411.974240000003"/>
    <n v="194980.32052000001"/>
  </r>
  <r>
    <s v="MEDELLIN"/>
    <x v="2"/>
    <x v="2"/>
    <n v="5789"/>
    <s v="TA-25-982551"/>
    <n v="81097"/>
    <s v="APERTURA"/>
    <s v="CB CRECIMIENTO - NUEVO"/>
    <s v="ANTIOQUIA"/>
    <s v="TAMESIS"/>
    <s v="BARRIO TAMESIS TAMESIS 4"/>
    <s v="REDEBAN"/>
    <s v="FO-25-1390956"/>
    <d v="2025-08-19T00:00:00"/>
    <d v="2025-08-21T00:00:00"/>
    <s v="UNO A UNO"/>
    <s v="UNO A UNO"/>
    <s v="EJECUTADO"/>
    <s v="16-08 SE REALIZA LLAMADA AL CLIENTE, SE HABLA CON EL SR WILMAR ALEJANDRO BEDOYA GALLEGO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
    <s v="QUINTERO SANCHEZ JUAN SEBASTIAN"/>
    <s v="SHZZZ004"/>
    <s v="TIPO III"/>
    <s v="TERRESTRE"/>
    <s v="QUINTERO SANCHEZ JUAN SEBASTIAN"/>
    <n v="1"/>
    <n v="1"/>
    <n v="1"/>
    <n v="11251.22416"/>
    <n v="126317.12212"/>
    <n v="110808.27512000001"/>
    <n v="248376.6214"/>
  </r>
  <r>
    <s v="PEREIRA"/>
    <x v="1"/>
    <x v="6"/>
    <n v="63001"/>
    <s v="TA-25-982552"/>
    <n v="81051"/>
    <s v="APERTURA"/>
    <s v="CB CRECIMIENTO - NUEVO"/>
    <s v="QUINDIO"/>
    <s v="ARMENIA"/>
    <s v="BARRIO GIBRALTAR ARMENIA"/>
    <s v="REDEBAN"/>
    <s v="FO-25-1390963"/>
    <d v="2025-08-19T00:00:00"/>
    <d v="2025-08-20T00:00:00"/>
    <s v="UNO A UNO"/>
    <s v="UNO A UNO"/>
    <s v="EJECUTADO"/>
    <s v="19-08 SE REALIZA LLAMADA AL CLIENTE, SE HABLA CON LA SRA LUZ ANGELA ANGULO NEGRETEA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SANCHEZ SOLORZANO JUAN SEBASTIAN"/>
    <s v="SHZZZ005"/>
    <s v="TIPO II"/>
    <s v="TERRESTRE"/>
    <s v="SANCHEZ SOLORZANO JUAN SEBASTIAN"/>
    <n v="1"/>
    <n v="1"/>
    <n v="1"/>
    <n v="11251.22416"/>
    <n v="126317.12212"/>
    <n v="110808.27512000001"/>
    <n v="248376.6214"/>
  </r>
  <r>
    <s v="MEDELLIN"/>
    <x v="2"/>
    <x v="2"/>
    <n v="5088"/>
    <s v="TA-25-982553"/>
    <n v="81107"/>
    <s v="APERTURA"/>
    <s v="CB CRECIMIENTO - NUEVO"/>
    <s v="ANTIOQUIA"/>
    <s v="BELLO"/>
    <s v="BARRIO EL PINAR BELLO 3"/>
    <s v="REDEBAN"/>
    <s v="FO-25-1390968"/>
    <d v="2025-08-19T00:00:00"/>
    <d v="2025-08-20T00:00:00"/>
    <s v="UNO A UNO"/>
    <s v="UNO A UNO"/>
    <s v="EJECUTADO"/>
    <s v="16-08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7 MT  / COMUNICACIÓN POR WPP 20/08/2025 SE REALIZA INSTALACIÓN DE CORRESPONSAL, SE INSTALAN EQUIPOS CON PRUEBAS EXITOSAS, SE CAPACITA Y SE EVALÚA AL CLIENTE, SE INSTALA PUBLICIDAD COMPLETA, CB QUEDA OPERATIVO. USUARIO SOMOS BANCOLOMBIA ACTIVO"/>
    <s v="MARTINEZ TOVAR OSCAR DAVID"/>
    <s v="SHZZZ006"/>
    <s v="TIPO I"/>
    <s v="TERRESTRE"/>
    <s v="MARTINEZ TOVAR OSCAR DAVID"/>
    <n v="1"/>
    <n v="1"/>
    <n v="1"/>
    <n v="11251.22416"/>
    <n v="126317.12212"/>
    <n v="57411.974240000003"/>
    <n v="194980.32052000001"/>
  </r>
  <r>
    <s v="MONTERIA"/>
    <x v="4"/>
    <x v="4"/>
    <n v="5250"/>
    <s v="TA-25-982554"/>
    <n v="81072"/>
    <s v="APERTURA"/>
    <s v="CB CRECIMIENTO - NUEVO"/>
    <s v="ANTIOQUIA"/>
    <s v="EL BAGRE"/>
    <s v="BARRIO BIJAO EL BAGRE 5"/>
    <s v="REDEBAN"/>
    <s v="FO-25-1390972"/>
    <d v="2025-08-19T00:00:00"/>
    <d v="2025-08-21T00:00:00"/>
    <s v="UNO A UNO"/>
    <s v="UNO A UNO"/>
    <s v="EJECUTADO"/>
    <s v="16-08 SE REALIZA LLAMADA AL CLIENTE, SE HABLA CON EL SR CRITIAN  SE VALIDA DIRECCIÓN OK, CANAL OK, DISPONIBILIDAD TOTAL, LLAMAR EL DÍA LA INSTALACIÓN PARA CONFIRMAR VISITA, AVISO EXTERIOR ALTURA: NO INDICA ALTURA; TOMACORRIENTE CERCANO: SI; TIENE CABINA DE SEGURIDAD: NO 21/08/2025 SE REALIZA INSTALACIÓN DE CORRESPONSAL, SE INSTALAN EQUIPOS CON PRUEBAS EXITOSAS, SE CAPACITA Y SE EVALÚA AL CLIENTE, SE INSTALA PUBLICIDAD COMPLETA, CB QUEDA OPERATIVO. USUARIO SOMOS BANCOLOMBIA ACTIVO"/>
    <s v="COGOLLO VERTEL EDER LUIS"/>
    <s v="SHZZZ007"/>
    <s v="TIPO IV"/>
    <s v="TERRESTRE"/>
    <s v="COGOLLO VERTEL EDER LUIS"/>
    <n v="1"/>
    <n v="1"/>
    <n v="1"/>
    <n v="11251.22416"/>
    <n v="126317.12212"/>
    <n v="110808.27512000001"/>
    <n v="248376.6214"/>
  </r>
  <r>
    <s v="VILLAVICENCIO"/>
    <x v="0"/>
    <x v="0"/>
    <n v="50006"/>
    <s v="TA-25-982556"/>
    <n v="81049"/>
    <s v="APERTURA"/>
    <s v="CB CRECIMIENTO - NUEVO"/>
    <s v="META"/>
    <s v="ACACIAS"/>
    <s v="BARRIO MANCERA ACACIAS 6"/>
    <s v="REDEBAN"/>
    <s v="FO-25-1390978"/>
    <d v="2025-08-19T00:00:00"/>
    <d v="2025-08-21T00:00:00"/>
    <s v="UNO A UNO"/>
    <s v="UNO A UNO"/>
    <s v="EJECUTADO"/>
    <s v="16-08 SE REALIZA LLAMADA AL CLIENTE, SE HABLA CON LA SR BREYNER EDUARDO RODRIGUEZ USECHE  SE VALIDA DIRECCIÓN OK, CANAL OK, DISPONIBILIDAD TOTAL, LLAMAR EL DÍA LA INSTALACIÓN PARA CONFIRMAR VISITA, AVISO EXTERIOR ALTURA APROX 2.5 METROS; TOMACORRIENTE CERCANO: SI; TIENE CABINA DE SEGURIDAD: NO - COMUNICACIÓ POR WPP 21/08/2025 SE REALIZA INSTALACIÓN DE CORRESPONSAL, SE INSTALAN EQUIPOS CON PRUEBAS EXITOSAS, SE CAPACITA Y SE EVALÚA AL CLIENTE, SE INSTALA PUBLICIDAD COMPLETA, CB QUEDA OPERATIVO. USUARIO SOMOS BANCOLOMBIA ACTIVO"/>
    <s v="PEDREROS CONTRERAS MICHAEL STEVENS"/>
    <s v="SHZZZ008"/>
    <s v="TIPO II"/>
    <s v="TERRESTRE"/>
    <s v="PEDREROS CONTRERAS MICHAEL STEVENS"/>
    <n v="1"/>
    <n v="1"/>
    <n v="1"/>
    <n v="11251.22416"/>
    <n v="126317.12212"/>
    <n v="110808.27512000001"/>
    <n v="248376.6214"/>
  </r>
  <r>
    <s v="CUCUTA"/>
    <x v="3"/>
    <x v="3"/>
    <n v="54001"/>
    <s v="TA-25-982557"/>
    <n v="81069"/>
    <s v="APERTURA"/>
    <s v="CB CRECIMIENTO - NUEVO"/>
    <s v="NORTE DE SANTANDER"/>
    <s v="CUCUTA"/>
    <s v="BARRIO SAN LUIS CUCUTA  32"/>
    <s v="REDEBAN"/>
    <s v="FO-25-1390985"/>
    <d v="2025-08-19T00:00:00"/>
    <d v="2025-08-20T00:00:00"/>
    <s v="UNO A UNO"/>
    <s v="UNO A UNO"/>
    <s v="EJECUTADO"/>
    <s v="16-08 SE REALIZA LLAMADA AL CLIENTE, SE HABLA CON LA SR JEAN CARLOS BAYONA CONTRERAS SE VALIDA DIRECCIÓN OK, CANAL OK, DISPONIBILIDAD TOTAL, LLAMAR EL DÍA LA INSTALACIÓN PARA CONFIRMAR VISITA, AVISO EXTERIOR ALTURA APROX 2 METROS; TOMACORRIENTE CERCANO: SI; TIENE CABINA DE SEGURIDAD: SI - EL MODEM ESTA A 4 MT 20-08 SE REALIZA INSTALACIÓN DE CORRESPONSAL, SE INSTALAN EQUIPOS CON PRUEBAS EXITOSAS, SE CAPACITA Y SE EVALÚA AL CLIENTE, SE INSTALA PUBLICIDAD COMPLETA, CB QUEDA OPERATIVO. USUARIO SOMOS BANCOLOMBIA ACTIVO"/>
    <s v="MORA VEGA JEAMPIER"/>
    <s v="SHZZZ009"/>
    <s v="TIPO I"/>
    <s v="TERRESTRE"/>
    <s v="MORA VEGA JEAMPIER"/>
    <n v="1"/>
    <n v="1"/>
    <n v="1"/>
    <n v="11251.22416"/>
    <n v="126317.12212"/>
    <n v="57411.974240000003"/>
    <n v="194980.32052000001"/>
  </r>
  <r>
    <s v="MONTERIA"/>
    <x v="4"/>
    <x v="4"/>
    <n v="5154"/>
    <s v="TA-25-982559"/>
    <n v="81065"/>
    <s v="APERTURA"/>
    <s v="CB CRECIMIENTO - NUEVO"/>
    <s v="ANTIOQUIA"/>
    <s v="CAUCASIA"/>
    <s v="BARRIO VRD VILLA DEL SOCORRO CAUCASIA"/>
    <s v="REDEBAN"/>
    <s v="FO-25-1390990"/>
    <d v="2025-08-19T00:00:00"/>
    <d v="2025-08-20T00:00:00"/>
    <s v="UNO A UNO"/>
    <s v="UNO A UNO"/>
    <s v="EJECUTADO"/>
    <s v="16-08 SE REALIZA LLAMADA AL CLIENTE, SE HABLA CON LA SR JORGE LUIS BALLESTEROS MARTINEZ SE VALIDA DIRECCIÓN OK, CANAL OK, DISPONIBILIDAD TOTAL, LLAMAR EL DÍA LA INSTALACIÓN PARA CONFIRMAR VISITA, AVISO EXTERIOR ALTURA APROX 4 METROS;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
    <s v="CALDERA SALCEDO CARLOS JULIO"/>
    <s v="SHZZZ010"/>
    <s v="TIPO II"/>
    <s v="TERRESTRE"/>
    <s v="CALDERA SALCEDO CARLOS JULIO"/>
    <n v="1"/>
    <n v="1"/>
    <n v="1"/>
    <n v="11251.22416"/>
    <n v="126317.12212"/>
    <n v="110808.27512000001"/>
    <n v="248376.6214"/>
  </r>
  <r>
    <s v="TUNJA"/>
    <x v="3"/>
    <x v="3"/>
    <n v="15759"/>
    <s v="TA-25-982561"/>
    <n v="81102"/>
    <s v="APERTURA"/>
    <s v="CB CRECIMIENTO - NUEVO"/>
    <s v="BOYACA"/>
    <s v="SOGAMOSO"/>
    <s v="BARRIO SUGAMUXI SOGAMOSO"/>
    <s v="REDEBAN"/>
    <s v="FO-25-1390993"/>
    <d v="2025-08-19T00:00:00"/>
    <d v="2025-08-20T00:00:00"/>
    <s v="UNO A UNO"/>
    <s v="UNO A UNO"/>
    <s v="EJECUTADO"/>
    <s v="16-08 SE REALIZA LLAMADA AL CLIENTE, SE HABLA CON LA SR JUAN SEBASTIAN SALAMANCA RAMOS SE VALIDA DIRECCIÓN OK, CANAL OK, DISPONIBILIDAD TOTAL, LLAMAR EL DÍA LA INSTALACIÓN PARA CONFIRMAR VISITA, AVISO EXTERIOR ALTURA APROX 2.50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
    <s v="RODRIGUEZ MURCIA YERSON IVAN"/>
    <s v="SHZZZ011"/>
    <s v="TIPO II"/>
    <s v="TERRESTRE"/>
    <s v="RODRIGUEZ MURCIA YERSON IVAN"/>
    <n v="1"/>
    <n v="1"/>
    <n v="1"/>
    <n v="11251.22416"/>
    <n v="126317.12212"/>
    <n v="110808.27512000001"/>
    <n v="248376.6214"/>
  </r>
  <r>
    <s v="PEREIRA"/>
    <x v="1"/>
    <x v="6"/>
    <n v="63001"/>
    <s v="TA-25-982562"/>
    <n v="81052"/>
    <s v="APERTURA"/>
    <s v="CB CRECIMIENTO - NUEVO"/>
    <s v="QUINDIO"/>
    <s v="ARMENIA"/>
    <s v="BARRIO BAMBUSA ARMENIA"/>
    <s v="REDEBAN"/>
    <s v="FO-25-1390995"/>
    <d v="2025-08-19T00:00:00"/>
    <d v="2025-08-20T00:00:00"/>
    <s v="UNO A UNO"/>
    <s v="UNO A UNO"/>
    <s v="EJECUTADO"/>
    <s v="19-08 SE REALIZA LLAMADA AL CLIENTE, SE HABLA CON EL SR FABIO DE JESUS TUSARMA  SE VALIDA DIRECCIÓN OK, CANAL OK, DISPONIBILIDAD TOTAL, LLAMAR EL DÍA LA INSTALACIÓN PARA CONFIRMAR VISITA, AVISO EXTERIOR NO INDICA ALTURA; TOMACORRIENTE CERCANO: SI; TIENE CABINA DE SEGURIDAD: SI; MODEM NO CUENTA CON PUERTOS DISPONIBLES 20-08 SE REALIZA INSTALACIÓN DE CORRESPONSAL, SE INSTALAN EQUIPOS CON PRUEBAS EXITOSAS, SE CAPACITA Y SE EVALÚA AL CLIENTE, SE INSTALA PUBLICIDAD COMPLETA, CB QUEDA OPERATIVO. USUARIO SOMOS BANCOLOMBIA ACTIVO"/>
    <s v="SANCHEZ SOLORZANO JUAN SEBASTIAN"/>
    <s v="SHZZZ012"/>
    <s v="TIPO II"/>
    <s v="TERRESTRE"/>
    <s v="SANCHEZ SOLORZANO JUAN SEBASTIAN"/>
    <n v="1"/>
    <n v="1"/>
    <n v="1"/>
    <n v="11251.22416"/>
    <n v="126317.12212"/>
    <n v="110808.27512000001"/>
    <n v="248376.6214"/>
  </r>
  <r>
    <s v="MANIZALES"/>
    <x v="1"/>
    <x v="6"/>
    <n v="17001"/>
    <s v="TA-25-982564"/>
    <n v="81082"/>
    <s v="APERTURA"/>
    <s v="CB CRECIMIENTO - NUEVO"/>
    <s v="CALDAS"/>
    <s v="MANIZALES"/>
    <s v="BARRIO VILLA PILAR MANIZALES 1"/>
    <s v="REDEBAN"/>
    <s v="FO-25-1391003"/>
    <d v="2025-08-19T00:00:00"/>
    <d v="2025-08-20T00:00:00"/>
    <s v="UNO A UNO"/>
    <s v="UNO A UNO"/>
    <s v="EJECUTADO"/>
    <s v="19-08 SE REALIZA LLAMADA AL CLIENTE, SE HABLA CON LA SRA CENEIDA ROJAS GONZALEZ SE VALIDA DIRECCIÓN OK, CANAL OK, DISPONIBILIDAD TOTAL, LLAMAR EL DÍA LA INSTALACIÓN PARA CONFIRMAR VISITA, AVISO EXTERIOR NO INDICA ALTURA; TOMACORRIENTE CERCANO: SI; TIENE CABINA DE SEGURIDAD: NO 20-08 SE REALIZA INSTALACIÓN DE CORRESPONSAL, SE INSTALAN EQUIPOS CON PRUEBAS EXITOSAS, SE CAPACITA Y SE EVALÚA AL CLIENTE, SE INSTALA PUBLICIDAD COMPLETA, CB QUEDA OPERATIVO. USUARIO SOMOS BANCOLOMBIA ACTIVO"/>
    <s v="AGUIRRE HENAO RAUL EDUARDO"/>
    <s v="SHZZZ014"/>
    <s v="TIPO I"/>
    <s v="TERRESTRE"/>
    <s v="AGUIRRE HENAO RAUL EDUARDO"/>
    <n v="1"/>
    <n v="1"/>
    <n v="1"/>
    <n v="11251.22416"/>
    <n v="126317.12212"/>
    <n v="57411.974240000003"/>
    <n v="194980.32052000001"/>
  </r>
  <r>
    <s v="MONTERIA"/>
    <x v="4"/>
    <x v="4"/>
    <n v="23001"/>
    <s v="TA-25-982569"/>
    <n v="81085"/>
    <s v="APERTURA"/>
    <s v="CB CRECIMIENTO - NUEVO"/>
    <s v="CORDOBA"/>
    <s v="MONTERIA"/>
    <s v="BARRIO CGT SANTA ISABEL MONTERIA"/>
    <s v="REDEBAN"/>
    <s v="FO-25-1391010"/>
    <d v="2025-08-19T00:00:00"/>
    <d v="2025-08-21T00:00:00"/>
    <s v="UNO A UNO"/>
    <s v="UNO A UNO"/>
    <s v="EJECUTADO"/>
    <s v="16-08 SE REALIZA LLAMADA AL CLIENTE, SE HABLA CON LA SR FIDEL ANTONIO CARVAJAL VILLADIEGO  SE VALIDA DIRECCIÓN OK, CANAL OK, DISPONIBILIDAD TOTAL, LLAMAR EL DÍA LA INSTALACIÓN PARA CONFIRMAR VISITA, AVISO EXTERIOR ALTURA APROX 2 METROS; TOMACORRIENTE CERCANO: SI; TIENE CABINA DE SEGURIDAD: SI  21/08/2025 SE REALIZA INSTALACIÓN DE CORRESPONSAL, SE INSTALAN EQUIPOS CON PRUEBAS EXITOSAS, SE CAPACITA Y SE EVALÚA AL CLIENTE, SE INSTALA PUBLICIDAD COMPLETA, CB QUEDA OPERATIVO. USUARIO SOMOS BANCOLOMBIA ACTIVO"/>
    <s v="CASSIANI PEREZ RAUL RAMIRO"/>
    <s v="SHZZZ015"/>
    <s v="TIPO I"/>
    <s v="TERRESTRE"/>
    <s v="CASSIANI PEREZ RAUL RAMIRO"/>
    <n v="1"/>
    <n v="1"/>
    <n v="1"/>
    <n v="11251.22416"/>
    <n v="126317.12212"/>
    <n v="57411.974240000003"/>
    <n v="194980.32052000001"/>
  </r>
  <r>
    <s v="BOGOTA"/>
    <x v="5"/>
    <x v="5"/>
    <n v="25126"/>
    <s v="TA-25-982574"/>
    <n v="81058"/>
    <s v="APERTURA"/>
    <s v="CB CRECIMIENTO - NUEVO"/>
    <s v="CUNDINAMARCA"/>
    <s v="CAJICA"/>
    <s v="BARRIO EL PRADO CAJICA 1"/>
    <s v="REDEBAN"/>
    <s v="FO-25-1391017"/>
    <d v="2025-08-19T00:00:00"/>
    <d v="2025-08-21T00:00:00"/>
    <s v="UNO A UNO"/>
    <s v="UNO A UNO"/>
    <s v="EJECUTADO"/>
    <s v="16-08 SE REALIZA LLAMADA AL CLIENTE, SE HABLA CON LA SRA MARBY YESENIA RODRIGUEZ MURCI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
    <s v="VEGA MANRIQUE JONATAN MAURICIO"/>
    <s v="SHZZZ016"/>
    <s v="TIPO II"/>
    <s v="TERRESTRE"/>
    <s v="VEGA MANRIQUE JONATAN MAURICIO"/>
    <n v="1"/>
    <n v="1"/>
    <n v="1"/>
    <n v="11251.22416"/>
    <n v="126317.12212"/>
    <n v="110808.27512000001"/>
    <n v="248376.6214"/>
  </r>
  <r>
    <s v="BOGOTA"/>
    <x v="5"/>
    <x v="5"/>
    <n v="25754"/>
    <s v="TA-25-982575"/>
    <n v="81101"/>
    <s v="APERTURA"/>
    <s v="CB CRECIMIENTO - NUEVO"/>
    <s v="CUNDINAMARCA"/>
    <s v="SOACHA"/>
    <s v="BARRIO CIUDADELA SUCRE SOACHA 2"/>
    <s v="REDEBAN"/>
    <s v="FO-25-1391021"/>
    <d v="2025-08-19T00:00:00"/>
    <d v="2025-08-20T00:00:00"/>
    <s v="UNO A UNO"/>
    <s v="UNO A UNO"/>
    <s v="EJECUTADO"/>
    <s v="16-08 SE REALIZA LLAMADA AL CLIENTE, SE HABLA CON LA SRA YUDITH SIRLEY SANCHEZ MORENO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
    <s v="ORTIZ MARTINEZ STIVEN"/>
    <s v="SHZZZ017"/>
    <s v="TIPO I"/>
    <s v="TERRESTRE"/>
    <s v="ORTIZ MARTINEZ STIVEN"/>
    <n v="1"/>
    <n v="1"/>
    <n v="1"/>
    <n v="11251.22416"/>
    <n v="126317.12212"/>
    <n v="57411.974240000003"/>
    <n v="194980.32052000001"/>
  </r>
  <r>
    <s v="MEDELLIN"/>
    <x v="2"/>
    <x v="2"/>
    <n v="5001"/>
    <s v="TA-25-982576"/>
    <n v="81109"/>
    <s v="APERTURA"/>
    <s v="CB CRECIMIENTO - NUEVO"/>
    <s v="ANTIOQUIA"/>
    <s v="MEDELLIN"/>
    <s v="BARRIO ROBLEDO VILLA FLORA MEDELLIN 5"/>
    <s v="REDEBAN"/>
    <s v="FO-25-1391024"/>
    <d v="2025-08-19T00:00:00"/>
    <d v="2025-08-20T00:00:00"/>
    <s v="UNO A UNO"/>
    <s v="UNO A UNO"/>
    <s v="EJECUTADO"/>
    <s v="16-08 SE REALIZA LLAMADA AL CLIENTE, SE HABLA CON LA SRA YOMER NELLY OSSA GOM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
    <s v="ALVAREZ ARENAS VICTOR HUGO"/>
    <s v="SHZZZ018"/>
    <s v="TIPO I"/>
    <s v="TERRESTRE"/>
    <s v="ALVAREZ ARENAS VICTOR HUGO"/>
    <n v="1"/>
    <n v="1"/>
    <n v="1"/>
    <n v="11251.22416"/>
    <n v="126317.12212"/>
    <n v="57411.974240000003"/>
    <n v="194980.32052000001"/>
  </r>
  <r>
    <s v="MONTERIA"/>
    <x v="4"/>
    <x v="4"/>
    <n v="5495"/>
    <s v="TA-25-982577"/>
    <n v="81088"/>
    <s v="APERTURA"/>
    <s v="CB CRECIMIENTO - NUEVO"/>
    <s v="ANTIOQUIA"/>
    <s v="NECHI"/>
    <s v="BARRIO 20 DE ENERO NECHI"/>
    <s v="REDEBAN"/>
    <s v="FO-25-1391028"/>
    <d v="2025-08-19T00:00:00"/>
    <d v="2025-08-21T00:00:00"/>
    <s v="UNO A UNO"/>
    <s v="UNO A UNO"/>
    <s v="EJECUTADO"/>
    <s v="16-08 SE REALIZA LLAMADA AL CLIENTE, SE HABLA CON LA SR DIANIS ESTER MONROY RIVER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
    <s v="CALDERA SALCEDO CARLOS JULIO"/>
    <s v="SHZZZ019"/>
    <s v="TIPO III"/>
    <s v="TERRESTRE"/>
    <s v="CALDERA SALCEDO CARLOS JULIO"/>
    <n v="1"/>
    <n v="1"/>
    <n v="1"/>
    <n v="11251.22416"/>
    <n v="126317.12212"/>
    <n v="110808.27512000001"/>
    <n v="248376.6214"/>
  </r>
  <r>
    <s v="BUCARAMANGA"/>
    <x v="3"/>
    <x v="3"/>
    <n v="68001"/>
    <s v="TA-25-982578"/>
    <n v="81056"/>
    <s v="APERTURA"/>
    <s v="CB CRECIMIENTO - NUEVO"/>
    <s v="SANTANDER"/>
    <s v="BUCARAMANGA"/>
    <s v="BARRIO EL PRADO BUCARAMANGA 5"/>
    <s v="REDEBAN"/>
    <s v="FO-25-1391034"/>
    <d v="2025-08-19T00:00:00"/>
    <d v="2025-08-20T00:00:00"/>
    <s v="UNO A UNO"/>
    <s v="UNO A UNO"/>
    <s v="EJECUTADO"/>
    <s v="16-08 SE REALIZA LLAMADA AL CLIENTE, SE HABLA CON LA SRA HEIDY KAMILA FLOREZ ARGUELLO SE VALIDA DIRECCIÓN OK, CANAL OK, DISPONIBILIDAD TOTAL, LLAMAR EL DÍA LA INSTALACIÓN PARA CONFIRMAR VISITA, AVISO EXTERIOR ALTURA APROX 1.80 METROS; TOMACORRIENTE CERCANO: SI; TIENE CABINA DE SEGURIDAD: NO 20/08/2025 SE REALIZA INSTALACIÓN DE CORRESPONSAL, SE INSTALAN EQUIPOS CON PRUEBAS EXITOSAS, SE CAPACITA Y SE EVALÚA AL CLIENTE, SE INSTALA PUBLICIDAD COMPLETA, CB QUEDA OPERATIVO. USUARIO SOMOS BANCOLOMBIA ACTIVO"/>
    <s v="HERRERA LUQUE SAUL JAVIER"/>
    <s v="SHZZZ020"/>
    <s v="TIPO I"/>
    <s v="TERRESTRE"/>
    <s v="HERRERA LUQUE SAUL JAVIER"/>
    <n v="1"/>
    <n v="1"/>
    <n v="1"/>
    <n v="11251.22416"/>
    <n v="126317.12212"/>
    <n v="57411.974240000003"/>
    <n v="194980.32052000001"/>
  </r>
  <r>
    <s v="BUCARAMANGA"/>
    <x v="3"/>
    <x v="3"/>
    <n v="68895"/>
    <s v="TA-25-982580"/>
    <n v="81111"/>
    <s v="APERTURA"/>
    <s v="CB CRECIMIENTO - NUEVO"/>
    <s v="SANTANDER"/>
    <s v="ZAPATOCA"/>
    <s v="BARRIO ZAPATOCA ZAPATOCA"/>
    <s v="REDEBAN"/>
    <s v="FO-25-1391039"/>
    <d v="2025-08-19T00:00:00"/>
    <d v="2025-08-20T00:00:00"/>
    <s v="UNO A UNO"/>
    <s v="UNO A UNO"/>
    <s v="EJECUTADO"/>
    <s v="16-08 SE REALIZA LLAMADA AL CLIENTE, SE HABLA CON LA SR NELSON HELI GÓMEZ GÓMEZ  SE VALIDA DIRECCIÓN OK, CANAL OK, DISPONIBILIDAD TOTAL, LLAMAR EL DÍA LA INSTALACIÓN PARA CONFIRMAR VISITA, AVISO EXTERIOR ALTURA APROX 2.5 METROS; TOMACORRIENTE CERCANO: SI; TIENE CABINA DE SEGURIDAD: NO - EL MODEM ESTA A 4 MT  20/08/2025 SE REALIZA INSTALACIÓN DE CORRESPONSAL, SE INSTALAN EQUIPOS CON PRUEBAS EXITOSAS, SE CAPACITA Y SE EVALÚA AL CLIENTE, SE INSTALA PUBLICIDAD COMPLETA, CB QUEDA OPERATIVO. USUARIO SOMOS BANCOLOMBIA ACTIVO"/>
    <s v="MARIÑO PABON JORGE ENRIQUE"/>
    <s v="SHZZZ021"/>
    <s v="TIPO III"/>
    <s v="TERRESTRE"/>
    <s v="MARIÑO PABON JORGE ENRIQUE"/>
    <n v="1"/>
    <n v="1"/>
    <n v="1"/>
    <n v="11251.22416"/>
    <n v="126317.12212"/>
    <n v="110808.27512000001"/>
    <n v="248376.6214"/>
  </r>
  <r>
    <s v="MONTERIA"/>
    <x v="4"/>
    <x v="4"/>
    <n v="23417"/>
    <s v="TA-25-982581"/>
    <n v="81081"/>
    <s v="APERTURA"/>
    <s v="CB CRECIMIENTO - NUEVO"/>
    <s v="CORDOBA"/>
    <s v="LORICA"/>
    <s v="BARRIO NAVIDAD LORICA"/>
    <s v="REDEBAN"/>
    <s v="FO-25-1391044"/>
    <d v="2025-08-19T00:00:00"/>
    <d v="2025-08-20T00:00:00"/>
    <s v="UNO A UNO"/>
    <s v="UNO A UNO"/>
    <s v="EJECUTADO"/>
    <s v="16-08 SE REALIZA LLAMADA AL CLIENTE, SE HABLA CON LA SRA PAOLA HERRERA SUAREZ SE VALIDA DIRECCIÓN OK, CANAL OK, DISPONIBILIDAD TOTAL, LLAMAR EL DÍA LA INSTALACIÓN PARA CONFIRMAR VISITA, AVISO EXTERIOR ALTURA:NO INDICA ALTURA; TOMACORRIENTE CERCANO: SI; TIENE CABINA DE SEGURIDAD: NO 20-08 SE REALIZA INSTALACIÓN DE CORRESPONSAL, SE INSTALAN EQUIPOS CON PRUEBAS EXITOSAS, SE CAPACITA Y SE EVALÚA AL CLIENTE, SE INSTALA PUBLICIDAD COMPLETA, CB QUEDA OPERATIVO. USUARIO SOMOS BANCOLOMBIA ACTIVO"/>
    <s v="GONZALEZ FERRER JESUS ALEXANDER"/>
    <s v="SHZZZ022"/>
    <s v="TIPO II"/>
    <s v="TERRESTRE"/>
    <s v="GONZALEZ FERRER JESUS ALEXANDER"/>
    <n v="1"/>
    <n v="1"/>
    <n v="1"/>
    <n v="11251.22416"/>
    <n v="126317.12212"/>
    <n v="110808.27512000001"/>
    <n v="248376.6214"/>
  </r>
  <r>
    <s v="CUCUTA"/>
    <x v="3"/>
    <x v="3"/>
    <n v="54001"/>
    <s v="TA-25-982582"/>
    <n v="81071"/>
    <s v="APERTURA"/>
    <s v="CB CRECIMIENTO - NUEVO"/>
    <s v="NORTE DE SANTANDER"/>
    <s v="CUCUTA"/>
    <s v="BARRIO TRIGAL DEL NORTE CUCUTA 10"/>
    <s v="REDEBAN"/>
    <s v="FO-25-1391048"/>
    <d v="2025-08-19T00:00:00"/>
    <d v="2025-08-20T00:00:00"/>
    <s v="UNO A UNO"/>
    <s v="UNO A UNO"/>
    <s v="EJECUTADO"/>
    <s v="16-08 SE REALIZA LLAMADA AL CLIENTE, SE HABLA CON LA SRA BRAYAM ORLANDO MURCIA ARDILA SE VALID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DURAN ACOSTA FRANK YONNY"/>
    <s v="SHZZZ023"/>
    <s v="TIPO I"/>
    <s v="TERRESTRE"/>
    <s v="DURAN ACOSTA FRANK YONNY"/>
    <n v="1"/>
    <n v="1"/>
    <n v="1"/>
    <n v="11251.22416"/>
    <n v="126317.12212"/>
    <n v="57411.974240000003"/>
    <n v="194980.32052000001"/>
  </r>
  <r>
    <s v="CALI"/>
    <x v="1"/>
    <x v="1"/>
    <n v="76364"/>
    <s v="TA-25-982585"/>
    <n v="81079"/>
    <s v="APERTURA"/>
    <s v="CB CRECIMIENTO - NUEVO"/>
    <s v="VALLE DEL CAUCA"/>
    <s v="JAMUNDI"/>
    <s v="BARRIO BELLO HORIZONTE JAMUNDI"/>
    <s v="REDEBAN"/>
    <s v="FO-25-1391057"/>
    <d v="2025-08-19T00:00:00"/>
    <d v="2025-08-20T00:00:00"/>
    <s v="UNO A UNO"/>
    <s v="UNO A UNO"/>
    <s v="EJECUTADO"/>
    <s v="19-08 SE REALIZA LLAMADA AL CLIENTE, SE HABLA CON EL SR DIEGO ANDRES ARIAS GOMEZ SE VALIDA DIRECCIÓN OK, CANAL OK, DISPONIBILIDAD TOTAL, LLAMAR EL DÍA LA INSTALACIÓN PARA CONFIRMAR VISITA, AVISO EXTERIOR NO INDICA ALTURA; TOMACORRIENTE CERCANO: SI; TIENE CABINA DE SEGURIDAD: SI 20-08 SE REALIZA INSTALACIÓN DE CORRESPONSAL, SE INSTALAN EQUIPOS CON PRUEBAS EXITOSAS, SE CAPACITA Y SE EVALÚA AL CLIENTE, SE INSTALA PUBLICIDAD COMPLETA, CB QUEDA OPERATIVO. USUARIO SOMOS BANCOLOMBIA ACTIV"/>
    <s v="MONTERO MUESES GIAN CARLO"/>
    <s v="SHZZZ024"/>
    <s v="TIPO II"/>
    <s v="TERRESTRE"/>
    <s v="MONTERO MUESES GIAN CARLO"/>
    <n v="1"/>
    <n v="1"/>
    <n v="1"/>
    <n v="11251.22416"/>
    <n v="126317.12212"/>
    <n v="110808.27512000001"/>
    <n v="248376.6214"/>
  </r>
  <r>
    <s v="CALI"/>
    <x v="1"/>
    <x v="1"/>
    <n v="19001"/>
    <s v="TA-25-982587"/>
    <n v="81093"/>
    <s v="APERTURA"/>
    <s v="CB CRECIMIENTO - NUEVO"/>
    <s v="CAUCA"/>
    <s v="POPAYAN"/>
    <s v="BARRIO PANDIGUANDO POPAYAN 2"/>
    <s v="REDEBAN"/>
    <s v="FO-25-1391061"/>
    <d v="2025-08-19T00:00:00"/>
    <d v="2025-08-20T00:00:00"/>
    <s v="UNO A UNO"/>
    <s v="UNO A UNO"/>
    <s v="EJECUTADO"/>
    <s v="19-08 SE REALIZA LLAMADA AL CLIENTE, SE HABLA CON EL SR LUIS ESTEBAN MIRANDA GRACIANO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GIMBUEL LASSO LUIS GERMAN"/>
    <s v="SHZZZ025"/>
    <s v="TIPO III"/>
    <s v="TERRESTRE"/>
    <s v="GIMBUEL LASSO LUIS GERMAN"/>
    <n v="1"/>
    <n v="1"/>
    <n v="1"/>
    <n v="11251.22416"/>
    <n v="126317.12212"/>
    <n v="110808.27512000001"/>
    <n v="248376.6214"/>
  </r>
  <r>
    <s v="CALI"/>
    <x v="1"/>
    <x v="1"/>
    <n v="76001"/>
    <s v="TA-25-982588"/>
    <n v="81062"/>
    <s v="APERTURA"/>
    <s v="CB CRECIMIENTO - NUEVO"/>
    <s v="VALLE DEL CAUCA"/>
    <s v="CALI"/>
    <s v="BARRIO LOURDES CALI"/>
    <s v="REDEBAN"/>
    <s v="FO-25-1391066"/>
    <d v="2025-08-19T00:00:00"/>
    <d v="2025-08-20T00:00:00"/>
    <s v="UNO A UNO"/>
    <s v="UNO A UNO"/>
    <s v="EJECUTADO"/>
    <s v="19-08 SE REALIZA LLAMADA AL CLIENTE, SE HABLA CON LA SR SAUL ZULUAGA LOPEZ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
    <s v="HERRERA MONAR GEOVANNY"/>
    <s v="SHZZZ026"/>
    <s v="TIPO I"/>
    <s v="TERRESTRE"/>
    <s v="HERRERA MONAR GEOVANNY"/>
    <n v="1"/>
    <n v="1"/>
    <n v="1"/>
    <n v="11251.22416"/>
    <n v="126317.12212"/>
    <n v="57411.974240000003"/>
    <n v="194980.32052000001"/>
  </r>
  <r>
    <s v="PEREIRA"/>
    <x v="1"/>
    <x v="6"/>
    <n v="63130"/>
    <s v="TA-25-982589"/>
    <n v="81059"/>
    <s v="APERTURA"/>
    <s v="CB CRECIMIENTO - NUEVO"/>
    <s v="QUINDIO"/>
    <s v="CALARCA"/>
    <s v="BARRIO LAS PALOMAS CALARCA 1"/>
    <s v="REDEBAN"/>
    <s v="FO-25-1391068"/>
    <d v="2025-08-19T00:00:00"/>
    <d v="2025-08-21T00:00:00"/>
    <s v="UNO A UNO"/>
    <s v="UNO A UNO"/>
    <s v="EJECUTADO"/>
    <s v="19-08 SE REALIZA LLAMADA AL CLIENTE, SE HABLA CON EL SR JORGE JONAN LOPEZ GIL SE VALIDA DIRECCIÓN OK, CANAL OK, DISPONIBILIDAD TOTAL, LLAMAR EL DÍA LA INSTALACIÓN PARA CONFIRMAR VISITA, AVISO EXTERIOR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
    <s v="SANCHEZ SOLORZANO JUAN SEBASTIAN"/>
    <s v="SHZZZ027"/>
    <s v="TIPO II"/>
    <s v="TERRESTRE"/>
    <s v="SANCHEZ SOLORZANO JUAN SEBASTIAN"/>
    <n v="1"/>
    <n v="1"/>
    <n v="1"/>
    <n v="11251.22416"/>
    <n v="126317.12212"/>
    <n v="110808.27512000001"/>
    <n v="248376.6214"/>
  </r>
  <r>
    <s v="BOGOTA"/>
    <x v="5"/>
    <x v="5"/>
    <n v="25740"/>
    <s v="TA-25-982590"/>
    <n v="81099"/>
    <s v="APERTURA"/>
    <s v="CB CRECIMIENTO - NUEVO"/>
    <s v="CUNDINAMARCA"/>
    <s v="SIBATE"/>
    <s v="BARRIO PROGRESO SIBATE 1"/>
    <s v="REDEBAN"/>
    <s v="FO-25-1391073"/>
    <d v="2025-08-19T00:00:00"/>
    <d v="2025-08-21T00:00:00"/>
    <s v="UNO A UNO"/>
    <s v="UNO A UNO"/>
    <s v="EJECUTADO"/>
    <s v="16-08 SE REALIZA LLAMADA AL CLIENTE, SE HABLA CON LA SRA SANDRA MILENA GARCIA ALVAREZ  SE VALIDA DIRECCIÓN OK, CANAL OK, DISPONIBILIDAD TOTAL, LLAMAR EL DÍA LA INSTALACIÓN PARA CONFIRMAR VISITA, AVISO EXTERIOR ALTURA: NO INDICA ALTURA ; TOMACORRIENTE CERCANO: SI; TIENE CABINA DE SEGURIDAD: NO 21/08/2025 SE REALIZA INSTALACIÓN DE CORRESPONSAL, SE INSTALAN EQUIPOS CON PRUEBAS EXITOSAS, SE CAPACITA Y SE EVALÚA AL CLIENTE, SE INSTALA PUBLICIDAD COMPLETA, CB QUEDA OPERATIVO. USUARIO SOMOS BANCOLOMBIA ACTIVO"/>
    <s v="GALEANO SORIANO JUAN DAVID"/>
    <s v="SHZZZ028"/>
    <s v="TIPO II"/>
    <s v="TERRESTRE"/>
    <s v="GALEANO SORIANO JUAN DAVID"/>
    <n v="1"/>
    <n v="1"/>
    <n v="1"/>
    <n v="11251.22416"/>
    <n v="126317.12212"/>
    <n v="110808.27512000001"/>
    <n v="248376.6214"/>
  </r>
  <r>
    <s v="MEDELLIN"/>
    <x v="2"/>
    <x v="2"/>
    <n v="5579"/>
    <s v="TA-25-982591"/>
    <n v="81068"/>
    <s v="APERTURA"/>
    <s v="CB CRECIMIENTO - NUEVO"/>
    <s v="ANTIOQUIA"/>
    <s v="PUERTO BERRIO"/>
    <s v="BARRIO CENTRO PUERTO BERRIO 9"/>
    <s v="REDEBAN"/>
    <s v="FO-25-1391078"/>
    <d v="2025-08-19T00:00:00"/>
    <d v="2025-08-21T00:00:00"/>
    <s v="UNO A UNO"/>
    <s v="UNO A UNO"/>
    <s v="EJECUTADO"/>
    <s v="16-08 SE REALIZA LLAMADA AL CLIENTE, SE HABLA CON LA SR WILLIAM DE JESUS GARCIA AGUDELO SE VALIDA DIRECCIÓN OK, CANAL OK, DISPONIBILIDAD TOTAL, LLAMAR EL DÍA LA INSTALACIÓN PARA CONFIRMAR VISITA, AVISO EXTERIOR ALTURA APROX 2 METROS; TOMACORRIENTE CERCANO: SI; TIENE CABINA DE SEGURIDAD: NO 21-08 SE REALIZA INSTALACIÓN DE CORRESPONSAL, SE INSTALAN EQUIPOS CON PRUEBAS EXITOSAS, SE CAPACITA Y SE EVALÚA AL CLIENTE, SE INSTALA PUBLICIDAD COMPLETA, CB QUEDA OPERATIVO. USUARIO SOMOS BANCOLOMBIA ACTIVO"/>
    <s v="BARRIENTOS HERNANDEZ CRISTIAN HORACIO"/>
    <s v="SHZZZ029"/>
    <s v="TIPO III"/>
    <s v="TERRESTRE"/>
    <s v="BARRIENTOS HERNANDEZ CRISTIAN HORACIO"/>
    <n v="1"/>
    <n v="1"/>
    <n v="1"/>
    <n v="11251.22416"/>
    <n v="126317.12212"/>
    <n v="110808.27512000001"/>
    <n v="248376.6214"/>
  </r>
  <r>
    <s v="BOGOTA"/>
    <x v="5"/>
    <x v="5"/>
    <n v="25473"/>
    <s v="TA-25-982592"/>
    <n v="80951"/>
    <s v="APERTURA"/>
    <s v="CB CRECIMIENTO - OTRAS LISTAS"/>
    <s v="CUNDINAMARCA"/>
    <s v="MOSQUERA"/>
    <s v="BARRIO CENTRO MOSQUERA MOSQUERA"/>
    <s v="REDEBAN"/>
    <s v="FO-25-1391081"/>
    <d v="2025-08-19T00:00:00"/>
    <d v="2025-08-20T00:00:00"/>
    <s v="UNO A UNO"/>
    <s v="UNO A UNO"/>
    <s v="EJECUTADO"/>
    <s v="16-08 SE REALIZA LLAMADA AL CLIENTE, SE HABLA CON LA SRA YEIMY KATHERINE VARGAS BAUTISTA  SE VALIDA DIRECCIÓN OK, CANAL OK, DISPONIBILIDAD TOTAL, LLAMAR EL DÍA LA INSTALACIÓN PARA CONFIRMAR VISITA, AVISO EXTERIOR ALTURA: NO INDICA ALTURA;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
    <s v="VEGA MANRIQUE JONATAN MAURICIO"/>
    <s v="SHZZZ030"/>
    <s v="TIPO I"/>
    <s v="TERRESTRE"/>
    <s v="VEGA MANRIQUE JONATAN MAURICIO"/>
    <n v="1"/>
    <n v="1"/>
    <n v="1"/>
    <n v="11251.22416"/>
    <n v="126317.12212"/>
    <n v="57411.974240000003"/>
    <n v="194980.32052000001"/>
  </r>
  <r>
    <s v="CARTAGENA"/>
    <x v="4"/>
    <x v="4"/>
    <n v="13654"/>
    <s v="TA-25-982593"/>
    <n v="80965"/>
    <s v="APERTURA"/>
    <s v="CB CRECIMIENTO - OTRAS LISTAS"/>
    <s v="BOLIVAR"/>
    <s v="SAN JACINTO"/>
    <s v="BARRIO CENTRO SAN JACINTO 3"/>
    <s v="REDEBAN"/>
    <s v="FO-25-1391088"/>
    <d v="2025-08-19T00:00:00"/>
    <d v="2025-08-20T00:00:00"/>
    <s v="UNO A UNO"/>
    <s v="UNO A UNO"/>
    <s v="EJECUTADO"/>
    <s v="16-08 SE REALIZA LLAMADA AL CLIENTE, SE HABLA CON LA SRA DAYANA SALAZAR JIMEN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
    <s v="MARTINEZ SALGUEDO ANDRES AUGUSTO"/>
    <s v="SHZZZ031"/>
    <s v="TIPO III"/>
    <s v="TERRESTRE"/>
    <s v="MARTINEZ SALGUEDO ANDRES AUGUSTO"/>
    <n v="1"/>
    <n v="1"/>
    <n v="1"/>
    <n v="11251.22416"/>
    <n v="126317.12212"/>
    <n v="110808.27512000001"/>
    <n v="248376.6214"/>
  </r>
  <r>
    <s v="APARTADO"/>
    <x v="2"/>
    <x v="2"/>
    <n v="27413"/>
    <s v="TA-25-982594"/>
    <n v="80973"/>
    <s v="APERTURA"/>
    <s v="CB CRECIMIENTO - OTRAS LISTAS"/>
    <s v="CHOCO"/>
    <s v="LLORO"/>
    <s v="BARRIO NUEVO LLORO LLORO"/>
    <s v="REDEBAN"/>
    <s v="FO-25-1391091"/>
    <d v="2025-08-19T00:00:00"/>
    <d v="2025-08-27T00:00:00"/>
    <s v="UNO A UNO"/>
    <s v="UNO A UNO"/>
    <s v="EJECUTADO"/>
    <s v="16-08 SE REALIZA LLAMADA AL CLIENTE, SE HABLA CON LA SRA YENSY LONDOÑO L SE VALIDA DIRECCIÓN OK, CANAL OK, DISPONIBILIDAD TOTAL, LLAMAR EL DÍA LA INSTALACIÓN PARA CONFIRMAR VISITA, AVISO EXTERIOR ALTURA APROX 2 METROS; TOMACORRIENTE CERCANO: SI; TIENE CABINA DE SEGURIDAD: NO 27/08/2025 SE REALIZA INSTALACIÓN DE CORRESPONSAL, SE INSTALAN EQUIPOS CON PRUEBAS EXITOSAS, SE CAPACITA Y SE EVALÚA AL CLIENTE, SE INSTALA PUBLICIDAD COMPLETA, CB QUEDA OPERATIVO. USUARIO SOMOS BANCOLOMBIA ACTIVO"/>
    <s v="ROBLEDO DIAZ ANDRES FELIPE"/>
    <s v="SHZZZ032"/>
    <s v="TIPO IV"/>
    <s v="TERRESTRE"/>
    <s v="ROBLEDO DIAZ ANDRES FELIPE"/>
    <n v="1"/>
    <n v="1"/>
    <n v="1"/>
    <n v="11251.22416"/>
    <n v="126317.12212"/>
    <n v="110808.27512000001"/>
    <n v="248376.6214"/>
  </r>
  <r>
    <s v="APARTADO"/>
    <x v="2"/>
    <x v="2"/>
    <n v="5490"/>
    <s v="TA-25-992996"/>
    <n v="81113"/>
    <s v="APERTURA"/>
    <s v="CB CRECIMIENTO ALIANZA - NUEVO"/>
    <s v="ANTIOQUIA"/>
    <s v="NECOCLI"/>
    <s v="DISTRICOL VARIEDADES GUACAMAYA"/>
    <s v="REDEBAN"/>
    <s v="FO-25-1404415"/>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GONZALEZ FERRER JESUS ALEXANDER"/>
    <s v="SIZZZ933"/>
    <s v="TIPO II"/>
    <s v="TERRESTRE"/>
    <s v="GONZALEZ FERRER JESUS ALEXANDER"/>
    <n v="1"/>
    <n v="1"/>
    <n v="1"/>
    <n v="11251.22416"/>
    <n v="126317.12212"/>
    <n v="110808.27512000001"/>
    <n v="248376.6214"/>
  </r>
  <r>
    <s v="MEDELLIN"/>
    <x v="2"/>
    <x v="2"/>
    <n v="5790"/>
    <s v="TA-25-992998"/>
    <n v="81116"/>
    <s v="APERTURA"/>
    <s v="CB CRECIMIENTO ALIANZA - NUEVO"/>
    <s v="ANTIOQUIA"/>
    <s v="TARAZA"/>
    <s v="DISTRICOL CENTRO COMERCIAL"/>
    <s v="REDEBAN"/>
    <s v="FO-25-1404421"/>
    <d v="2025-08-21T00:00:00"/>
    <d v="2025-08-26T00:00:00"/>
    <s v="AGREGADOR"/>
    <s v="DISTRICOL"/>
    <s v="EJECUTADO/CANCELADO"/>
    <s v="21-08 PROGRAMACIÓN REALIZADA POR LA ALIANZA 25-08 POR TEMAS DE TRANSPORTE Y ORDEN PÚBLICO EN LA VÍA NO SE LOGRA VISITAR HOY SE VISITA EL DÍA DE MAÑANA 26/08/2025 VISITAMOS PUNTO Y E ENCUENTRA QUE NO HAY AVISO COMERCIAL EN SITIO, ES UN LOCAL DENTRO DEL CENTRO COMERCIAL PERO NO HAY AVISO CON NOMBRE COMERCIAL. ADICIONALMENTE RESPECTO A LA DIRECCIÓN: COMERCIO INFORMA QUE NO TIENEN RECIBO DE SERVICIOS PÚBLICOS, Y EN CÁMARA DE COMERCIO NO REGISTRA LA DIRECCIÓN QUE TENEMOS EN LISTA DE CHEQUEO, ENTONCES NO TENEMOS COMO CONFIRMAR INFORMACIÓN DE COMERCIO. COORDENADAS SI NOS DAN EN DIRECCIÓN CORRECTA. COMERCIO SI ESTÁ DENTRO DE UN CENTRO COMERCIAL, PERO NO TENEMOS COMO CORROBORAR EL NOMBRE NI DIRECCIÓN. 26/08/2025 TENIENDO EN CUENTA LAS NOVEDADES ENCONTRADAS POR FAVOR CANCELAR LA IMPLEMENTACIÓN AL PUNTO, LO ESTARÉ INFORMANDO AL ALIADO."/>
    <s v="PAREJA ECHAVARRIA JHON DAVID"/>
    <s v="SIZZZ934"/>
    <s v="TIPO IV"/>
    <s v="TERRESTRE"/>
    <s v="PAREJA ECHAVARRIA JHON DAVID"/>
    <n v="0"/>
    <n v="0"/>
    <n v="2"/>
    <n v="11251.22416"/>
    <n v="126317.12212"/>
    <n v="110808.27512000001"/>
    <n v="221616.55024000001"/>
  </r>
  <r>
    <s v="MEDELLIN"/>
    <x v="2"/>
    <x v="2"/>
    <n v="5887"/>
    <s v="TA-25-992999"/>
    <n v="81119"/>
    <s v="APERTURA"/>
    <s v="CB CRECIMIENTO ALIANZA - NUEVO"/>
    <s v="ANTIOQUIA"/>
    <s v="YARUMAL"/>
    <s v="DISTRICOL PAPELERIA DETALLES A"/>
    <s v="REDEBAN"/>
    <s v="FO-25-1404425"/>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PAREJA ECHAVARRIA JHON DAVID"/>
    <s v="SIZZZ935"/>
    <s v="TIPO III"/>
    <s v="TERRESTRE"/>
    <s v="PAREJA ECHAVARRIA JHON DAVID"/>
    <n v="1"/>
    <n v="1"/>
    <n v="1"/>
    <n v="11251.22416"/>
    <n v="126317.12212"/>
    <n v="110808.27512000001"/>
    <n v="248376.6214"/>
  </r>
  <r>
    <s v="MANIZALES"/>
    <x v="1"/>
    <x v="6"/>
    <n v="17873"/>
    <s v="TA-25-993008"/>
    <n v="81117"/>
    <s v="APERTURA"/>
    <s v="CB CRECIMIENTO ALIANZA - NUEVO"/>
    <s v="CALDAS"/>
    <s v="VILLAMARIA"/>
    <s v="DISTRICOL CITYPHONE CLUB"/>
    <s v="REDEBAN"/>
    <s v="FO-25-1404427"/>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AGUIRRE HENAO RAUL EDUARDO"/>
    <s v="SIZZZ936"/>
    <s v="TIPO I"/>
    <s v="TERRESTRE"/>
    <s v="AGUIRRE HENAO RAUL EDUARDO"/>
    <n v="1"/>
    <n v="1"/>
    <n v="1"/>
    <n v="11251.22416"/>
    <n v="126317.12212"/>
    <n v="57411.974240000003"/>
    <n v="194980.32052000001"/>
  </r>
  <r>
    <s v="SANTA MARTA"/>
    <x v="4"/>
    <x v="4"/>
    <n v="44430"/>
    <s v="TA-25-993009"/>
    <n v="81114"/>
    <s v="APERTURA"/>
    <s v="CB CRECIMIENTO ALIANZA - NUEVO"/>
    <s v="LA GUAJIRA"/>
    <s v="MAICAO"/>
    <s v="DISTRICOL SAANTINA S.A.S"/>
    <s v="REDEBAN"/>
    <s v="FO-25-1404429"/>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THOMAS  CAMPO SIGIFREDO SEGUNDO"/>
    <s v="SIZZZ937"/>
    <s v="TIPO IV"/>
    <s v="TERRESTRE"/>
    <s v="THOMAS  CAMPO SIGIFREDO SEGUNDO"/>
    <n v="1"/>
    <n v="1"/>
    <n v="1"/>
    <n v="11251.22416"/>
    <n v="126317.12212"/>
    <n v="110808.27512000001"/>
    <n v="248376.6214"/>
  </r>
  <r>
    <s v="PASTO"/>
    <x v="1"/>
    <x v="1"/>
    <n v="52001"/>
    <s v="TA-25-993010"/>
    <n v="81115"/>
    <s v="APERTURA"/>
    <s v="CB CRECIMIENTO ALIANZA - NUEVO"/>
    <s v="NARIÑO"/>
    <s v="PASTO"/>
    <s v="DISTRICOL CONECTADOS 123"/>
    <s v="REDEBAN"/>
    <s v="FO-25-1404432"/>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CASTILLO HERRERA ALEX RICARDO"/>
    <s v="SIZZZ938"/>
    <s v="TIPO I"/>
    <s v="TERRESTRE"/>
    <s v="CASTILLO HERRERA ALEX RICARDO"/>
    <n v="1"/>
    <n v="1"/>
    <n v="1"/>
    <n v="11251.22416"/>
    <n v="126317.12212"/>
    <n v="57411.974240000003"/>
    <n v="194980.32052000001"/>
  </r>
  <r>
    <s v="TUNJA"/>
    <x v="3"/>
    <x v="3"/>
    <n v="68077"/>
    <s v="TA-25-993019"/>
    <n v="81112"/>
    <s v="APERTURA"/>
    <s v="CB CRECIMIENTO ALIANZA - NUEVO"/>
    <s v="SANTANDER"/>
    <s v="BARBOSA"/>
    <s v="DISTRICOL MOTO EXPRESS"/>
    <s v="REDEBAN"/>
    <s v="FO-25-1404437"/>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RODRIGUEZ MURCIA YERSON IVAN"/>
    <s v="SIZZZ939"/>
    <s v="TIPO II"/>
    <s v="TERRESTRE"/>
    <s v="RODRIGUEZ MURCIA YERSON IVAN"/>
    <n v="1"/>
    <n v="1"/>
    <n v="1"/>
    <n v="11251.22416"/>
    <n v="126317.12212"/>
    <n v="110808.27512000001"/>
    <n v="248376.6214"/>
  </r>
  <r>
    <s v="CARTAGENA"/>
    <x v="4"/>
    <x v="4"/>
    <n v="13442"/>
    <s v="TA-25-992097"/>
    <n v="81146"/>
    <s v="APERTURA"/>
    <s v="CB CRECIMIENTO - NUEVO"/>
    <s v="BOLIVAR"/>
    <s v="MARIA LA BAJA"/>
    <s v="BARRIO ARROYO ABAJO MARÍA LA BAJA"/>
    <s v="REDEBAN"/>
    <s v="FO-25-1402155"/>
    <d v="2025-08-21T00:00:00"/>
    <d v="2025-08-22T00:00:00"/>
    <s v="UNO A UNO"/>
    <s v="UNO A UNO"/>
    <s v="EJECUTADO"/>
    <s v="21-08-2025 SE REALIZA LLAMADA AL CLIENTE, SE HABLA CON LA SRA IDALY HERNANDEZ VASQUEZ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MARTINEZ SALGUEDO ANDRES AUGUSTO"/>
    <s v="SIZZZ880"/>
    <s v="TIPO II"/>
    <s v="TERRESTRE"/>
    <s v="MARTINEZ SALGUEDO ANDRES AUGUSTO"/>
    <n v="1"/>
    <n v="1"/>
    <n v="1"/>
    <n v="11251.22416"/>
    <n v="126317.12212"/>
    <n v="110808.27512000001"/>
    <n v="248376.6214"/>
  </r>
  <r>
    <s v="PASTO"/>
    <x v="1"/>
    <x v="1"/>
    <n v="52520"/>
    <s v="TA-25-992098"/>
    <n v="81135"/>
    <s v="APERTURA"/>
    <s v="CB CRECIMIENTO - NUEVO"/>
    <s v="NARIÑO"/>
    <s v="FRANCISCO PIZARRO"/>
    <s v="BARRIO AV LOS ESTUDIANTES FRANCISCO PIZARRO"/>
    <s v="REDEBAN"/>
    <s v="FO-25-1402160"/>
    <d v="2025-08-21T00:00:00"/>
    <d v="2025-08-26T00:00:00"/>
    <s v="UNO A UNO"/>
    <s v="UNO A UNO"/>
    <s v="EJECUTADO"/>
    <s v="21-08-2025 SE REALIZA LLAMADA AL CLIENTE, SE HABLA CON EL SR JESUS FABRICIO YEPEZ SEVILLANO SE VALIDA DIRECCIÓN OK, CANAL OK, DISPONIBILIDAD TOTAL, LLAMAR EL DÍA LA INSTALACIÓN PARA CONFIRMAR VISITA, AVISO EXTERIOR ALTURA APROX 2,20 METROS; TOMACORRIENTE CERCANO: SI; TIENE CABINA DE SEGURIDAD: SI // CONTACTO REALIZADO POR LA APP 26/08/2025 SE REALIZA INSTALACIÓN DE CORRESPONSAL, SE INSTALAN EQUIPOS CON PRUEBAS EXITOSAS, SE CAPACITA Y SE EVALÚA AL CLIENTE, SE INSTALA PUBLICIDAD COMPLETA, CB QUEDA OPERATIVO. USUARIO SOMOS BANCOLOMBIA ACTIVO. EL COMERCIO NO CUENTA CON AVISO COMERCIAL DEBIDO A QUE ESTABAN ADECUANDO EL LUGAR PARA LA INSTALACIÓN Y DEBIDO A QUE ESTA FUE ADELANTADA NO ALCANZARON A TENER EL AVISO PUESTO, LA NOVEDAD FUE ESCALADA Y APROBADA"/>
    <s v="PAZ MARTINEZ RICHARD HUMBERTO"/>
    <s v="SIZZZ881"/>
    <s v="TIPO IV ESPECIAL"/>
    <s v="FLUVIAL"/>
    <s v="PAZ MARTINEZ RICHARD HUMBERTO"/>
    <n v="1"/>
    <n v="1"/>
    <n v="1"/>
    <n v="11251.22416"/>
    <n v="126317.12212"/>
    <n v="110808.27512000001"/>
    <n v="248376.6214"/>
  </r>
  <r>
    <s v="MEDELLIN"/>
    <x v="2"/>
    <x v="2"/>
    <n v="5086"/>
    <s v="TA-25-992099"/>
    <n v="81138"/>
    <s v="APERTURA"/>
    <s v="CB CRECIMIENTO - NUEVO"/>
    <s v="ANTIOQUIA"/>
    <s v="BELMIRA"/>
    <s v="BARRIO BELMIRA BELMIRA"/>
    <s v="REDEBAN"/>
    <s v="FO-25-1402165"/>
    <d v="2025-08-21T00:00:00"/>
    <d v="2025-08-25T00:00:00"/>
    <s v="UNO A UNO"/>
    <s v="UNO A UNO"/>
    <s v="EJECUTADO"/>
    <s v="21-08-2025 SE REALIZA LLAMADA AL CLIENTE, SE HABLA CON LA SRA LINA ALEJANDRA LONDOÑO ZAPATA SE VALIDA DIRECCIÓN OK, CANAL OK, DISPONIBILIDAD TOTAL, LLAMAR EL DÍA LA INSTALACIÓN PARA CONFIRMAR VISITA, AVISO EXTERIOR ALTURA APROX 1,50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 v="QUINTERO SANCHEZ JUAN SEBASTIAN"/>
    <s v="SIZZZ882"/>
    <s v="TIPO II"/>
    <s v="TERRESTRE"/>
    <s v="QUINTERO SANCHEZ JUAN SEBASTIAN"/>
    <n v="1"/>
    <n v="1"/>
    <n v="1"/>
    <n v="11251.22416"/>
    <n v="126317.12212"/>
    <n v="110808.27512000001"/>
    <n v="248376.6214"/>
  </r>
  <r>
    <s v="CARTAGENA"/>
    <x v="4"/>
    <x v="4"/>
    <n v="13001"/>
    <s v="TA-25-992101"/>
    <n v="81125"/>
    <s v="APERTURA"/>
    <s v="CB CRECIMIENTO - NUEVO"/>
    <s v="BOLIVAR"/>
    <s v="CARTAGENA"/>
    <s v="BARRIO BICENTENARIO CARTAGENA DE INDIAS 5"/>
    <s v="REDEBAN"/>
    <s v="FO-25-1402167"/>
    <d v="2025-08-21T00:00:00"/>
    <d v="2025-08-25T00:00:00"/>
    <s v="UNO A UNO"/>
    <s v="UNO A UNO"/>
    <s v="EJECUTADO"/>
    <s v="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
    <s v="CANEDO HERRERA ALEXANDER"/>
    <s v="SIZZZ883"/>
    <s v="TIPO I"/>
    <s v="TERRESTRE"/>
    <s v="CANEDO HERRERA ALEXANDER"/>
    <n v="1"/>
    <n v="1"/>
    <n v="1"/>
    <n v="11251.22416"/>
    <n v="126317.12212"/>
    <n v="57411.974240000003"/>
    <n v="194980.32052000001"/>
  </r>
  <r>
    <s v="MEDELLIN"/>
    <x v="2"/>
    <x v="2"/>
    <n v="5697"/>
    <s v="TA-25-992105"/>
    <n v="81160"/>
    <s v="APERTURA"/>
    <s v="CB CRECIMIENTO - NUEVO"/>
    <s v="ANTIOQUIA"/>
    <s v="EL SANTUARIO"/>
    <s v="BARRIO BUENOS AIRES EL SANTUARIO"/>
    <s v="REDEBAN"/>
    <s v="FO-25-1402175"/>
    <d v="2025-08-21T00:00:00"/>
    <d v="2025-08-25T00:00:00"/>
    <s v="UNO A UNO"/>
    <s v="UNO A UNO"/>
    <s v="EJECUTADO"/>
    <s v="21-08-2025 SE REALIZA LLAMADA AL CLIENTE, SE HABLA CON EL SR FABIO NELSON GIRALDO OROZCO SE VALIDA DIRECCIÓN OK, CANAL OK, DISPONIBILIDAD TOTAL, LLAMAR EL DÍA LA INSTALACIÓN PARA CONFIRMAR VISITA, AVISO EXTERIOR ALTURA APROX 2 METROS; TOMACORRIENTE CERCANO: SI; TIENE CABINA DE SEGURIDAD: NO // CONTACTO REALIZADO POR LA APP 25/08/2025 SE REALIZA INSTALACIÓN DE CORRESPONSAL, SE INSTALAN EQUIPOS CON PRUEBAS EXITOSAS, SE CAPACITA Y SE EVALÚA AL CLIENTE, SE INSTALA PUBLICIDAD COMPLETA, CB QUEDA OPERATIVO. USUARIO SOMOS BANCOLOMBIA ACTIVO"/>
    <s v="ZAPATA LOPEZ EDWARD ASDRUBAL"/>
    <s v="SIZZZ884"/>
    <s v="TIPO II"/>
    <s v="TERRESTRE"/>
    <s v="ZAPATA LOPEZ EDWARD ASDRUBAL"/>
    <n v="1"/>
    <n v="1"/>
    <n v="1"/>
    <n v="11251.22416"/>
    <n v="126317.12212"/>
    <n v="110808.27512000001"/>
    <n v="248376.6214"/>
  </r>
  <r>
    <s v="MANIZALES"/>
    <x v="1"/>
    <x v="6"/>
    <n v="17001"/>
    <s v="TA-25-992108"/>
    <n v="81142"/>
    <s v="APERTURA"/>
    <s v="CB CRECIMIENTO - NUEVO"/>
    <s v="CALDAS"/>
    <s v="MANIZALES"/>
    <s v="BARRIO CARIBE MANIZALES 1"/>
    <s v="REDEBAN"/>
    <s v="FO-25-1402185"/>
    <d v="2025-08-21T00:00:00"/>
    <d v="2025-08-22T00:00:00"/>
    <s v="UNO A UNO"/>
    <s v="UNO A UNO"/>
    <s v="EJECUTADO"/>
    <s v="21-08-2025 SE REALIZA LLAMADA AL CLIENTE, SE HABLA CON LA SRA LUISA FERNANDA MARTINEZ RUA SE VALIDA DIRECCIÓN OK, CANAL OK, DISPONIBILIDAD TOTAL, LLAMAR EL DÍA LA INSTALACIÓN PARA CONFIRMAR VISITA, AVISO EXTERIOR ALTURA APROX 3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
    <s v="AGUIRRE HENAO RAUL EDUARDO"/>
    <s v="SIZZZ885"/>
    <s v="TIPO I"/>
    <s v="TERRESTRE"/>
    <s v="AGUIRRE HENAO RAUL EDUARDO"/>
    <n v="1"/>
    <n v="1"/>
    <n v="1"/>
    <n v="11251.22416"/>
    <n v="126317.12212"/>
    <n v="57411.974240000003"/>
    <n v="194980.32052000001"/>
  </r>
  <r>
    <s v="BOGOTA"/>
    <x v="5"/>
    <x v="5"/>
    <n v="25053"/>
    <s v="TA-25-992109"/>
    <n v="81137"/>
    <s v="APERTURA"/>
    <s v="CB CRECIMIENTO - NUEVO"/>
    <s v="CUNDINAMARCA"/>
    <s v="ARBELAEZ"/>
    <s v="BARRIO CENTRO ARBELAEZ 1"/>
    <s v="REDEBAN"/>
    <s v="FO-25-1402191"/>
    <d v="2025-08-21T00:00:00"/>
    <d v="2025-08-25T00:00:00"/>
    <s v="UNO A UNO"/>
    <s v="UNO A UNO"/>
    <s v="EJECUTADO"/>
    <s v="21-08-2025 SE REALIZA LLAMADA AL CLIENTE, SE HABLA CON EL SR CESAR AGUSTO NOVOA AGUDELO SE VALIDA DIRECCIÓN OK, CANAL OK, DISPONIBILIDAD TOTAL, LLAMAR EL DÍA LA INSTALACIÓN PARA CONFIRMAR VISITA, AVISO EXTERIOR ALTURA APROX 2 METROS; TOMACORRIENTE CERCANO: SI; TIENE CABINA DE SEGURIDAD: SI (CLIENTE SOLICITA PINPAD) // CONTACTO REALIZADO POR LA APP 25/08/2025 SE REALIZA INSTALACIÓN DE CORRESPONSAL, SE INSTALAN EQUIPOS CON PRUEBAS EXITOSAS, SE CAPACITA Y SE EVALÚA AL CLIENTE, SE INSTALA PUBLICIDAD COMPLETA, CB QUEDA OPERATIVO. USUARIO SOMOS BANCOLOMBIA ACTIVO"/>
    <s v="ORTIZ MARTINEZ STIVEN"/>
    <s v="SIZZZ886"/>
    <s v="TIPO II"/>
    <s v="TERRESTRE"/>
    <s v="ORTIZ MARTINEZ STIVEN"/>
    <n v="1"/>
    <n v="1"/>
    <n v="1"/>
    <n v="11251.22416"/>
    <n v="126317.12212"/>
    <n v="110808.27512000001"/>
    <n v="248376.6214"/>
  </r>
  <r>
    <s v="MANIZALES"/>
    <x v="1"/>
    <x v="6"/>
    <n v="17174"/>
    <s v="TA-25-992111"/>
    <n v="81128"/>
    <s v="APERTURA"/>
    <s v="CAMBIO DE RAZON SOCIAL"/>
    <s v="CALDAS"/>
    <s v="CHINCHINA"/>
    <s v="BARRIO CENTRO CHINCHINA 13"/>
    <s v="REDEBAN"/>
    <s v="FO-25-1402195"/>
    <d v="2025-08-21T00:00:00"/>
    <d v="2025-08-22T00:00:00"/>
    <s v="UNO A UNO"/>
    <s v="UNO A UNO"/>
    <s v="EJECUTADO"/>
    <s v="21-08-2025 SE REALIZA LLAMADA AL CLIENTE, SE HABLA CON EL SR ANTONIO JOSE TORO TORO SE VALIDA DIRECCIÓN OK, CANAL OK, DISPONIBILIDAD TOTAL, LLAMAR EL DÍA LA INSTALACIÓN PARA CONFIRMAR VISITA, AVISO EXTERIOR ALTURA APROX 2 METROS; TOMACORRIENTE CERCANO: SI; TIENE CABINA DE SEGURIDAD: SI (CLIENTE SOLICITA PINPAD) // CONTACTO REALIZADO POR LA APP 22/08/2025 SE REALIZA INSTALACIÓN DE CORRESPONSAL, SE INSTALAN EQUIPOS CON PRUEBAS EXITOSAS, SE CAPACITA Y SE EVALÚA AL CLIENTE, SE INSTALA PUBLICIDAD COMPLETA MENOS AVISO POR CAMBIO DE RAZON SOCIAL, CB QUEDA OPERATIVO. USUARIO SOMOS BANCOLOMBIA ACTIVO"/>
    <s v="ARROYAVE CANO MANUEL GUILLERMO"/>
    <s v="SIZZZ887"/>
    <s v="TIPO II"/>
    <s v="TERRESTRE"/>
    <s v="ARROYAVE CANO MANUEL GUILLERMO"/>
    <n v="1"/>
    <n v="0"/>
    <n v="0"/>
    <n v="11251.22416"/>
    <n v="126317.12212"/>
    <n v="110808.27512000001"/>
    <n v="11251.22416"/>
  </r>
  <r>
    <s v="VILLAVICENCIO"/>
    <x v="0"/>
    <x v="0"/>
    <n v="50223"/>
    <s v="TA-25-992113"/>
    <n v="81132"/>
    <s v="APERTURA"/>
    <s v="CB CRECIMIENTO - NUEVO"/>
    <s v="META"/>
    <s v="CUBARRAL"/>
    <s v="BARRIO CENTRO CUBARRAL  8"/>
    <s v="REDEBAN"/>
    <s v="FO-25-1402202"/>
    <d v="2025-08-21T00:00:00"/>
    <d v="2025-08-25T00:00:00"/>
    <s v="UNO A UNO"/>
    <s v="UNO A UNO"/>
    <s v="EJECUTADO"/>
    <s v="21-08-2025 SE REALIZA LLAMADA AL CLIENTE, SE HABLA CON LA SRA MAIRA BERNARDA RODRIGUEZ CARDONA SE VALIDA DIRECCIÓN OK, CANAL OK, DISPONIBILIDAD TOTAL, LLAMAR EL DÍA LA INSTALACIÓN PARA CONFIRMAR VISITA, AVISO EXTERIOR ALTURA APROX 2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
    <s v="ROZO JIMENEZ EDGAR ARMANDO"/>
    <s v="SIZZZ888"/>
    <s v="TIPO II"/>
    <s v="TERRESTRE"/>
    <s v="ROZO JIMENEZ EDGAR ARMANDO"/>
    <n v="1"/>
    <n v="1"/>
    <n v="1"/>
    <n v="11251.22416"/>
    <n v="126317.12212"/>
    <n v="110808.27512000001"/>
    <n v="248376.6214"/>
  </r>
  <r>
    <s v="MANIZALES"/>
    <x v="1"/>
    <x v="6"/>
    <n v="17001"/>
    <s v="TA-25-992114"/>
    <n v="81144"/>
    <s v="APERTURA"/>
    <s v="CB CRECIMIENTO - NUEVO"/>
    <s v="CALDAS"/>
    <s v="MANIZALES"/>
    <s v="BARRIO CENTRO MANIZALES 27"/>
    <s v="REDEBAN"/>
    <s v="FO-25-1402209"/>
    <d v="2025-08-21T00:00:00"/>
    <d v="2025-08-25T00:00:00"/>
    <s v="UNO A UNO"/>
    <s v="UNO A UNO"/>
    <s v="EJECUTADO"/>
    <s v="21-08-2025 SE REALIZA LLAMADA AL CLIENTE, SE HABLA CON LA SRA LEYDI VIVIANA PULGARIN SE VALIDA DIRECCIÓN OK, CANAL OK, DISPONIBILIDAD TOTAL, LLAMAR EL DÍA LA INSTALACIÓN PARA CONFIRMAR VISITA, AVISO EXTERIOR ALTURA APROX 3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
    <s v="FRANCO CAÑAVERAL YAMID RAUL"/>
    <s v="SIZZZ889"/>
    <s v="TIPO I"/>
    <s v="TERRESTRE"/>
    <s v="FRANCO CAÑAVERAL YAMID RAUL"/>
    <n v="1"/>
    <n v="1"/>
    <n v="1"/>
    <n v="11251.22416"/>
    <n v="126317.12212"/>
    <n v="57411.974240000003"/>
    <n v="194980.32052000001"/>
  </r>
  <r>
    <s v="CALI"/>
    <x v="1"/>
    <x v="1"/>
    <n v="19573"/>
    <s v="TA-25-992115"/>
    <n v="81153"/>
    <s v="APERTURA"/>
    <s v="CB CRECIMIENTO - NUEVO"/>
    <s v="CAUCA"/>
    <s v="PUERTO TEJADA"/>
    <s v="BARRIO CENTRO PUERTO TEJADA 12"/>
    <s v="REDEBAN"/>
    <s v="FO-25-1402214"/>
    <d v="2025-08-21T00:00:00"/>
    <d v="2025-08-22T00:00:00"/>
    <s v="UNO A UNO"/>
    <s v="UNO A UNO"/>
    <s v="EJECUTADO"/>
    <s v="21-08-2025 SE REALIZA LLAMADA AL CLIENTE, SE HABLA CON LA SRA OLGA MERCEDES REYES RIASCOS SE VALIDA DIRECCIÓN OK, CANAL OK, DISPONIBILIDAD TOTAL, LLAMAR EL DÍA LA INSTALACIÓN PARA CONFIRMAR VISITA, AVISO EXTERIOR ALTURA APROX 2,50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PAREDES CASTILLO DIEGO"/>
    <s v="SIZZZ890"/>
    <s v="TIPO II"/>
    <s v="TERRESTRE"/>
    <s v="PAREDES CASTILLO DIEGO"/>
    <n v="1"/>
    <n v="1"/>
    <n v="1"/>
    <n v="11251.22416"/>
    <n v="126317.12212"/>
    <n v="110808.27512000001"/>
    <n v="248376.6214"/>
  </r>
  <r>
    <s v="BOGOTA"/>
    <x v="5"/>
    <x v="5"/>
    <n v="25899"/>
    <s v="TA-25-992116"/>
    <n v="81163"/>
    <s v="APERTURA"/>
    <s v="CB CRECIMIENTO - NUEVO"/>
    <s v="CUNDINAMARCA"/>
    <s v="ZIPAQUIRA"/>
    <s v="BARRIO CENTRO ZIPQUIRA"/>
    <s v="REDEBAN"/>
    <s v="FO-25-1402219"/>
    <d v="2025-08-21T00:00:00"/>
    <d v="2025-08-22T00:00:00"/>
    <s v="UNO A UNO"/>
    <s v="UNO A UNO"/>
    <s v="EJECUTADO"/>
    <s v="21-08-2025 SE REALIZA LLAMADA AL CLIENTE, SE HABLA CON LA SRA NANCY MERCEDES GUERRERO ALVAREZ SE VALIDA DIRECCIÓN OK, CANAL OK, DISPONIBILIDAD TOTAL, LLAMAR EL DÍA LA INSTALACIÓN PARA CONFIRMAR VISITA, AVISO EXTERIOR ALTURA APROX 2,50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
    <s v="LOZADA ROJAS CHRISTIAN ANDRES"/>
    <s v="SIZZZ892"/>
    <s v="TIPO II"/>
    <s v="TERRESTRE"/>
    <s v="LOZADA ROJAS CHRISTIAN ANDRES"/>
    <n v="1"/>
    <n v="1"/>
    <n v="1"/>
    <n v="11251.22416"/>
    <n v="126317.12212"/>
    <n v="110808.27512000001"/>
    <n v="248376.6214"/>
  </r>
  <r>
    <s v="MONTERIA"/>
    <x v="4"/>
    <x v="4"/>
    <n v="23580"/>
    <s v="TA-25-992117"/>
    <n v="81152"/>
    <s v="APERTURA"/>
    <s v="CB CRECIMIENTO - NUEVO"/>
    <s v="CORDOBA"/>
    <s v="PUERTO LIBERTADOR"/>
    <s v="BARRIO CGT SAN JUAN DE ASIS PUERTO LIBERTADOR"/>
    <s v="REDEBAN"/>
    <s v="FO-25-1402224"/>
    <d v="2025-08-21T00:00:00"/>
    <d v="2025-08-27T00:00:00"/>
    <s v="UNO A UNO"/>
    <s v="UNO A UNO"/>
    <s v="EJECUTADO"/>
    <s v="21-08-2025 SE REALIZA LLAMADA AL CLIENTE, SE HABLA CON EL SR SANTIAGO ENRIQUE TEJADA ATENCIO SE VALIDA DIRECCIÓN OK, CANAL OK, DISPONIBILIDAD TOTAL, LLAMAR EL DÍA LA INSTALACIÓN PARA CONFIRMAR VISITA, AVISO EXTERIOR ALTURA APROX 3 METROS; TOMACORRIENTE CERCANO: SI; TIENE CABINA DE SEGURIDAD: NO // CONTACTO REALIZADO POR LA APP 25-08 SE REALIZA GESTIÓN TELEFÓNICA CON EL SÑ SANTIAGO TEJADA, MANIFESTADO NO ENCONTRARSE EN EL ESTABLECIMIENTO POR MOTIVO DE VIAJE PIDE QUE SE REPROGRAME LA VISITA PARA EL DÍA MIÉRCOLES 27/08/25 27/08/2025 SE ESCALA CASO DE APERTURA CB 81152, DONDE SE EVIDENCIA QUE EN LA FACHADA DEL COMERCIO NO CUENTA CON AVISO PUBLICITARIO CON EL NOMBRE DEL COMERCIO. CABE ANOTAR QUE LA DIRECCION EN EL CORREGIMIENTO SI COINCIDE CON CÁMARA DE COMERCIO Y SERVICIOS PÚBLICOS, LO MISMO QUE EL OBJETIVO COMERCIAL, TAMBIEN COINCIDE CON LOS PRODUCTOS EXHIBIDOS // ENTIDAD APRUEBA INSTALACIÓN - 27-08 SE REALIZA INSTALACIÓN DE CORRESPONSAL, SE INSTALAN EQUIPOS CON PRUEBAS EXITOSAS, SE CAPACITA Y SE EVALÚA AL CLIENTE, SE INSTALA PUBLICIDAD COMPLETA, CB QUEDA OPERATIVO. USUARIO SOMOS BANCOLOMBIA ACTIVO"/>
    <s v="ARRAZOLA HERNANDEZ NICOLAS AUGUSTO"/>
    <s v="SIZZZ893"/>
    <s v="TIPO IV"/>
    <s v="TERRESTRE"/>
    <s v="ARRAZOLA HERNANDEZ NICOLAS AUGUSTO"/>
    <n v="1"/>
    <n v="1"/>
    <n v="1"/>
    <n v="11251.22416"/>
    <n v="126317.12212"/>
    <n v="110808.27512000001"/>
    <n v="248376.6214"/>
  </r>
  <r>
    <s v="BOGOTA"/>
    <x v="5"/>
    <x v="5"/>
    <n v="25175"/>
    <s v="TA-25-992118"/>
    <n v="81127"/>
    <s v="APERTURA"/>
    <s v="CB CRECIMIENTO - NUEVO"/>
    <s v="CUNDINAMARCA"/>
    <s v="CHIA"/>
    <s v="BARRIO CHILAGOS  CHIA 1"/>
    <s v="REDEBAN"/>
    <s v="FO-25-1402228"/>
    <d v="2025-08-21T00:00:00"/>
    <d v="2025-08-22T00:00:00"/>
    <s v="UNO A UNO"/>
    <s v="UNO A UNO"/>
    <s v="EJECUTADO"/>
    <s v="21-08-2025 SE REALIZA LLAMADA AL CLIENTE, SE HABLA CON LA SRA LEIDY YAMILE URUEÑA MEDINA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LOZADA ROJAS CHRISTIAN ANDRES"/>
    <s v="SIZZZ894"/>
    <s v="TIPO II"/>
    <s v="TERRESTRE"/>
    <s v="LOZADA ROJAS CHRISTIAN ANDRES"/>
    <n v="1"/>
    <n v="1"/>
    <n v="1"/>
    <n v="11251.22416"/>
    <n v="126317.12212"/>
    <n v="110808.27512000001"/>
    <n v="248376.6214"/>
  </r>
  <r>
    <s v="CARTAGENA"/>
    <x v="4"/>
    <x v="4"/>
    <n v="13052"/>
    <s v="TA-25-992119"/>
    <n v="81120"/>
    <s v="APERTURA"/>
    <s v="CB CRECIMIENTO - NUEVO"/>
    <s v="BOLIVAR"/>
    <s v="ARJONA"/>
    <s v="BARRIO CL JUNCAL SEC EL PONDO ARJONA"/>
    <s v="REDEBAN"/>
    <s v="FO-25-1402232"/>
    <d v="2025-08-21T00:00:00"/>
    <d v="2025-08-25T00:00:00"/>
    <s v="UNO A UNO"/>
    <s v="UNO A UNO"/>
    <s v="EJECUTADO"/>
    <s v="21-08-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2-08 SE VALIDA CON EL CLIENTE INFORMA QUE EL DIA DE MAÑANA NO ABRA SERVICIO DE LUZ EN EL PUEBLO HASTA LAS 5PM POR LO QUE SE REPROGRAMA LA VISITA PARA EL DIA LUNES 25/08/2025 SE REALIZA INSTALACIÓN DE CORRESPONSAL, SE INSTALAN EQUIPOS CON PRUEBAS EXITOSAS, SE CAPACITA Y SE EVALÚA AL CLIENTE, SE INSTALA PUBLICIDAD COMPLETA, CB QUEDA OPERATIVO. USUARIO SOMOS BANCOLOMBIA ACTIVO"/>
    <s v="MARTINEZ SALGUEDO ANDRES AUGUSTO"/>
    <s v="SIZZZ895"/>
    <s v="TIPO II"/>
    <s v="TERRESTRE"/>
    <s v="MARTINEZ SALGUEDO ANDRES AUGUSTO"/>
    <n v="1"/>
    <n v="1"/>
    <n v="1"/>
    <n v="11251.22416"/>
    <n v="126317.12212"/>
    <n v="110808.27512000001"/>
    <n v="248376.6214"/>
  </r>
  <r>
    <s v="CARTAGENA"/>
    <x v="4"/>
    <x v="4"/>
    <n v="13001"/>
    <s v="TA-25-992120"/>
    <n v="81126"/>
    <s v="APERTURA"/>
    <s v="CAMBIO DE RAZON SOCIAL"/>
    <s v="BOLIVAR"/>
    <s v="CARTAGENA"/>
    <s v="BARRIO COLOMBIATON CARTAGENA DE INDIAS"/>
    <s v="REDEBAN"/>
    <s v="FO-25-1402240"/>
    <d v="2025-08-21T00:00:00"/>
    <d v="2025-08-22T00:00:00"/>
    <s v="UNO A UNO"/>
    <s v="UNO A UNO"/>
    <s v="EJECUTADO"/>
    <s v="21-08 SE REALIZA LA LLAMADA AL CLIENTE, SE HABLA CON LA SRA DARYS DEL CARMEN MEZA PALOMINO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
    <s v="CANEDO HERRERA ALEXANDER"/>
    <s v="SIZZZ896"/>
    <s v="TIPO I"/>
    <s v="TERRESTRE"/>
    <s v="CANEDO HERRERA ALEXANDER"/>
    <n v="1"/>
    <n v="1"/>
    <n v="1"/>
    <n v="11251.22416"/>
    <n v="126317.12212"/>
    <n v="57411.974240000003"/>
    <n v="194980.32052000001"/>
  </r>
  <r>
    <s v="BUCARAMANGA"/>
    <x v="3"/>
    <x v="3"/>
    <n v="68276"/>
    <s v="TA-25-992133"/>
    <n v="81134"/>
    <s v="APERTURA"/>
    <s v="CB CRECIMIENTO - NUEVO"/>
    <s v="SANTANDER"/>
    <s v="FLORIDABLANCA"/>
    <s v="BARRIO EL CARMEN FLORIDABLANCA 5"/>
    <s v="REDEBAN"/>
    <s v="FO-25-1402245"/>
    <d v="2025-08-21T00:00:00"/>
    <d v="2025-08-22T00:00:00"/>
    <s v="UNO A UNO"/>
    <s v="UNO A UNO"/>
    <s v="EJECUTADO"/>
    <s v="21-08 SE REALIZA LA LLAMADA AL CLIENTE, SE HABLA CON EL SR JAMES FERNANDO AGUIRRE HERNÁNDEZ SE VALIDA DIRECCIÓN OK, CANAL OK, DISPONIBILIDAD TOTAL, LLAMAR EL DIA DE LA INSTALACIÓN PARA CONFIRMAR VISITA, AVISO EXTERIOR ALTURA APROX 2 METROS; TOMACORRIENTE CERCANO: SI; TIENE CABINA DE SEGURIDAD; SI 22-08 SE REALIZA INSTALACIÓN DE CORRESPONSAL, SE INSTALAN EQUIPOS CON PRUEBAS EXITOSAS, SE CAPACITA Y SE EVALÚA AL CLIENTE, SE INSTALA PUBLICIDAD COMPLETA, CB QUEDA OPERATIVO. USUARIO SOMOS BANCOLOMBIA ACTIVO"/>
    <s v="MARTINEZ FLOREZ DONIS ALBERTO"/>
    <s v="SIZZZ897"/>
    <s v="TIPO I"/>
    <s v="TERRESTRE"/>
    <s v="MARTINEZ FLOREZ DONIS ALBERTO"/>
    <n v="1"/>
    <n v="1"/>
    <n v="1"/>
    <n v="11251.22416"/>
    <n v="126317.12212"/>
    <n v="57411.974240000003"/>
    <n v="194980.32052000001"/>
  </r>
  <r>
    <s v="BUCARAMANGA"/>
    <x v="3"/>
    <x v="3"/>
    <n v="20710"/>
    <s v="TA-25-992134"/>
    <n v="81155"/>
    <s v="APERTURA"/>
    <s v="CB CRECIMIENTO - NUEVO"/>
    <s v="CESAR"/>
    <s v="SAN ALBERTO"/>
    <s v="BARRIO EL CENTRO SAN ALBERTO "/>
    <s v="REDEBAN"/>
    <s v="FO-25-1402250"/>
    <d v="2025-08-21T00:00:00"/>
    <d v="2025-08-22T00:00:00"/>
    <s v="UNO A UNO"/>
    <s v="UNO A UNO"/>
    <s v="EJECUTADO"/>
    <s v="21-08 SE REALIZA LA LLAMADA AL CLIENTE, SE HABLA CON LA SRA MARIA MERCEDES HERNANDEZ HERRERA  SE VALIDA DIRECCIÓN OK, CANAL OK, DISPONIBILIDAD TOTAL, LLAMAR EL DIA DE LA INSTALACIÓN PARA CONFIRMAR VISITA, AVISO EXTERIOR ALTURA APROX 1,5 METROS; TOMACORRIENTE CERCANO: SI; TIENE CABINA DE SEGURIDAD; SI 22-08 SE REALIZA INSTALACIÓN DE CORRESPONSAL, SE INSTALAN EQUIPOS CON PRUEBAS EXITOSAS, SE CAPACITA Y SE EVALÚA AL CLIENTE, SE INSTALA PUBLICIDAD COMPLETA, CB QUEDA OPERATIVO. USUARIO SOMOS BANCOLOMBIA ACTIVO"/>
    <s v="HERRERA LUQUE SAUL JAVIER"/>
    <s v="SIZZZ898"/>
    <s v="TIPO III"/>
    <s v="TERRESTRE"/>
    <s v="HERRERA LUQUE SAUL JAVIER"/>
    <n v="1"/>
    <n v="1"/>
    <n v="1"/>
    <n v="11251.22416"/>
    <n v="126317.12212"/>
    <n v="110808.27512000001"/>
    <n v="248376.6214"/>
  </r>
  <r>
    <s v="PEREIRA"/>
    <x v="1"/>
    <x v="6"/>
    <n v="66318"/>
    <s v="TA-25-992135"/>
    <n v="81139"/>
    <s v="APERTURA"/>
    <s v="CB CRECIMIENTO - NUEVO"/>
    <s v="RISARALDA"/>
    <s v="GUATICA"/>
    <s v="BARRIO EL JARDIN GUATICA"/>
    <s v="REDEBAN"/>
    <s v="FO-25-1420655"/>
    <d v="2025-08-21T00:00:00"/>
    <d v="2025-08-29T00:00:00"/>
    <s v="UNO A UNO"/>
    <s v="UNO A UNO"/>
    <s v="EJECUTADO"/>
    <s v="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
    <s v="ARROYAVE CANO MANUEL GUILLERMO"/>
    <s v="SIZZZ899"/>
    <s v="TIPO II"/>
    <s v="TERRESTRE"/>
    <s v="ARROYAVE CANO MANUEL GUILLERMO"/>
    <n v="1"/>
    <n v="1"/>
    <n v="3"/>
    <n v="11251.22416"/>
    <n v="126317.12212"/>
    <n v="110808.27512000001"/>
    <n v="469993.17164000002"/>
  </r>
  <r>
    <s v="BOGOTA"/>
    <x v="5"/>
    <x v="5"/>
    <n v="25326"/>
    <s v="TA-25-992137"/>
    <n v="81158"/>
    <s v="APERTURA"/>
    <s v="CB CRECIMIENTO - NUEVO"/>
    <s v="CUNDINAMARCA"/>
    <s v="GUATAVITA"/>
    <s v="BARRIO GUATAVITA GUATAVITA"/>
    <s v="REDEBAN"/>
    <s v="FO-25-1402272"/>
    <d v="2025-08-21T00:00:00"/>
    <d v="2025-08-25T00:00:00"/>
    <s v="UNO A UNO"/>
    <s v="UNO A UNO"/>
    <s v="EJECUTADO"/>
    <s v="21-08 SE REALIZA LA LLAMADA AL CLIENTE, SE HABLA CON EL SR NICOLAS ADONIAS VELASQUEZ OBANDO SE VALIDA DIRECCIÓN OK, CANAL OK, DISPONIBILIDAD TOTAL, LLAMAR EL DIA DE LA INSTALACIÓN PARA CONFIRMAR VISITA, AVISO EXTERIOR NO INDICA ALTURA, EL USUARIO REFIERE QUE L ALCALDIA DE GUATAVITA NO ESTÁ PERMITIENDO AVISOS EXTERIORES QUE NO SEAN EN MADERA O HIERRO FORJADO; TOMACORRIENTE CERCANO: SI; TIENE CABINA DE SEGURIDAD; SI 25/08/2025 SE REALIZA INSTALACIÓN DE CORRESPONSAL, SE INSTALAN EQUIPOS CON PRUEBAS EXITOSAS, SE CAPACITA Y SE EVALÚA AL CLIENTE, SE INSTALA PUBLICIDAD COMPLETA, CB QUEDA OPERATIVO. USUARIO SOMOS BANCOLOMBIA ACTIVO"/>
    <s v="HERNANDEZ NARANJO OSCAR EDUARDO"/>
    <s v="SIZZZ901"/>
    <s v="TIPO II"/>
    <s v="TERRESTRE"/>
    <s v="HERNANDEZ NARANJO OSCAR EDUARDO"/>
    <n v="1"/>
    <n v="1"/>
    <n v="1"/>
    <n v="11251.22416"/>
    <n v="126317.12212"/>
    <n v="110808.27512000001"/>
    <n v="248376.6214"/>
  </r>
  <r>
    <s v="BOGOTA"/>
    <x v="5"/>
    <x v="5"/>
    <n v="25286"/>
    <s v="TA-25-992141"/>
    <n v="81136"/>
    <s v="APERTURA"/>
    <s v="CB CRECIMIENTO - NUEVO"/>
    <s v="CUNDINAMARCA"/>
    <s v="FUNZA"/>
    <s v="BARRIO HATO 1 FUNZA"/>
    <s v="REDEBAN"/>
    <s v="FO-25-1402280"/>
    <d v="2025-08-21T00:00:00"/>
    <d v="2025-08-22T00:00:00"/>
    <s v="UNO A UNO"/>
    <s v="UNO A UNO"/>
    <s v="EJECUTADO"/>
    <s v="21-08 SE REALIZA LA LLAMADA AL CLIENTE, SE HABLA CON LA SRA  ADRIANA MARIA MURILLO TORRES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
    <s v="GOMEZ VEGA DAVID SNEYDER"/>
    <s v="SIZZZ902"/>
    <s v="TIPO II"/>
    <s v="TERRESTRE"/>
    <s v="GOMEZ VEGA DAVID SNEYDER"/>
    <n v="1"/>
    <n v="1"/>
    <n v="1"/>
    <n v="11251.22416"/>
    <n v="126317.12212"/>
    <n v="110808.27512000001"/>
    <n v="248376.6214"/>
  </r>
  <r>
    <s v="MANIZALES"/>
    <x v="1"/>
    <x v="6"/>
    <n v="17001"/>
    <s v="TA-25-992142"/>
    <n v="81143"/>
    <s v="APERTURA"/>
    <s v="CB CRECIMIENTO - NUEVO"/>
    <s v="CALDAS"/>
    <s v="MANIZALES"/>
    <s v="BARRIO LA CUMBRE MANIZALES 1"/>
    <s v="REDEBAN"/>
    <s v="FO-25-1402285"/>
    <d v="2025-08-21T00:00:00"/>
    <d v="2025-08-25T00:00:00"/>
    <s v="UNO A UNO"/>
    <s v="UNO A UNO"/>
    <s v="EJECUTADO"/>
    <s v="21-08 SE REALIZA LA LLAMADA AL CLIENTE, SE HABLA CON LA SRA YERALDIN GIRALDO VELEZ SE VALIDA DIRECCIÓN OK, CANAL OK, DISPONIBILIDAD TOTAL, LLAMAR EL DIA DE LA INSTALACIÓN PARA CONFIRMAR VISITA, AVISO EXTERIOR NO INDICA ALTURA; TOMACORRIENTE CERCANO: SI; TIENE CABINA DE SEGURIDAD; POR EL MOMENTO NO 25/08/2025 SE REALIZA INSTALACIÓN DE CORRESPONSAL, SE INSTALAN EQUIPOS CON PRUEBAS EXITOSAS, SE CAPACITA Y SE EVALÚA AL CLIENTE, SE INSTALA PUBLICIDAD COMPLETA, CB QUEDA OPERATIVO. USUARIO SOMOS BANCOLOMBIA ACTIVO"/>
    <s v="AGUIRRE HENAO RAUL EDUARDO"/>
    <s v="SIZZZ903"/>
    <s v="TIPO I"/>
    <s v="TERRESTRE"/>
    <s v="AGUIRRE HENAO RAUL EDUARDO"/>
    <n v="1"/>
    <n v="1"/>
    <n v="1"/>
    <n v="11251.22416"/>
    <n v="126317.12212"/>
    <n v="57411.974240000003"/>
    <n v="194980.32052000001"/>
  </r>
  <r>
    <s v="CALI"/>
    <x v="1"/>
    <x v="1"/>
    <n v="19001"/>
    <s v="TA-25-992143"/>
    <n v="81150"/>
    <s v="APERTURA"/>
    <s v="CB CRECIMIENTO - NUEVO"/>
    <s v="CAUCA"/>
    <s v="POPAYAN"/>
    <s v="BARRIO LA MARIA OCCIDENTE POPAYAN 3"/>
    <s v="REDEBAN"/>
    <s v="FO-25-1402293"/>
    <d v="2025-08-21T00:00:00"/>
    <d v="2025-08-25T00:00:00"/>
    <s v="UNO A UNO"/>
    <s v="UNO A UNO"/>
    <s v="EJECUTADO"/>
    <s v="21-08 SE REALIZA LA LLAMADA AL CLIENTE, SE HABLA CON EL SR JHON FREDY REALPE PEREZ SE VALIDA DIRECCIÓN OK, CANAL OK, DISPONIBILIDAD TOTAL, LLAMAR EL DIA DE LA INSTALACIÓN PARA CONFIRMAR VISITA, AVISO EXTERIOR 2 METROS APROX; TOMACORRIENTE CERCANO: SI; TIENE CABINA DE SEGURIDAD; SI 25/08/2025 SE REALIZA INSTALACIÓN DE CORRESPONSAL, SE INSTALAN EQUIPOS CON PRUEBAS EXITOSAS, SE CAPACITA Y SE EVALÚA AL CLIENTE, SE INSTALA PUBLICIDAD COMPLETA, CB QUEDA OPERATIVO. USUARIO SOMOS BANCOLOMBIA ACTIVO"/>
    <s v="GIMBUEL LASSO LUIS GERMAN"/>
    <s v="SIZZZ904"/>
    <s v="TIPO III"/>
    <s v="TERRESTRE"/>
    <s v="GIMBUEL LASSO LUIS GERMAN"/>
    <n v="1"/>
    <n v="1"/>
    <n v="1"/>
    <n v="11251.22416"/>
    <n v="126317.12212"/>
    <n v="110808.27512000001"/>
    <n v="248376.6214"/>
  </r>
  <r>
    <s v="BOGOTA"/>
    <x v="5"/>
    <x v="5"/>
    <n v="25386"/>
    <s v="TA-25-992144"/>
    <n v="81141"/>
    <s v="APERTURA"/>
    <s v="CB CRECIMIENTO - NUEVO"/>
    <s v="CUNDINAMARCA"/>
    <s v="LA MESA"/>
    <s v="BARRIO LA MESA LA MESA 7"/>
    <s v="REDEBAN"/>
    <s v="FO-25-1402302"/>
    <d v="2025-08-21T00:00:00"/>
    <d v="2025-08-22T00:00:00"/>
    <s v="UNO A UNO"/>
    <s v="UNO A UNO"/>
    <s v="EJECUTADO"/>
    <s v="21-08 SE REALIZA LA LLAMADA AL CLIENTE, SE HABLA CON LA SRA  YURI MAGALI RIVERA ROSADO SE VALIDA DIRECCIÓN OK, CANAL OK, DISPONIBILIDAD TOTAL, LLAMAR EL DIA DE LA INSTALACIÓN PARA CONFIRMAR VISITA, AVISO EXTERIOR 2 METROS APROX; TOMACORRIENTE CERCANO: SI; TIENE CABINA DE SEGURIDAD; SI 22/08/2025 SE REALIZA INSTALACIÓN DE CORRESPONSAL, SE INSTALAN EQUIPOS CON PRUEBAS EXITOSAS, SE CAPACITA Y SE EVALÚA AL CLIENTE, SE INSTALA PUBLICIDAD COMPLETA, CB QUEDA OPERATIVO. USUARIO SOMOS BANCOLOMBIA ACTIVO"/>
    <s v="GALEANO SORIANO JUAN DAVID"/>
    <s v="SIZZZ905"/>
    <s v="TIPO II"/>
    <s v="TERRESTRE"/>
    <s v="GALEANO SORIANO JUAN DAVID"/>
    <n v="1"/>
    <n v="1"/>
    <n v="1"/>
    <n v="11251.22416"/>
    <n v="126317.12212"/>
    <n v="110808.27512000001"/>
    <n v="248376.6214"/>
  </r>
  <r>
    <s v="APARTADO"/>
    <x v="2"/>
    <x v="2"/>
    <n v="5147"/>
    <s v="TA-25-992145"/>
    <n v="81130"/>
    <s v="APERTURA"/>
    <s v="CB CRECIMIENTO - NUEVO"/>
    <s v="ANTIOQUIA"/>
    <s v="CAREPA"/>
    <s v="BARRIO LA PRADERA CAREPA ANTIOQUIA  CAREPA"/>
    <s v="REDEBAN"/>
    <s v="FO-25-1402309"/>
    <d v="2025-08-21T00:00:00"/>
    <d v="2025-08-22T00:00:00"/>
    <s v="UNO A UNO"/>
    <s v="UNO A UNO"/>
    <s v="EJECUTADO"/>
    <s v="21-08 SE REALIZA LA LLAMADA AL CLIENTE, SE HABLA CON EL SR  FABIO NELSON LOPEZ MUÑOZ SE VALIDA DIRECCIÓN OK, CANAL OK, DISPONIBILIDAD TOTAL, LLAMAR EL DIA DE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MARTINEZ TOVAR OSCAR DAVID"/>
    <s v="SIZZZ906"/>
    <s v="TIPO I"/>
    <s v="TERRESTRE"/>
    <s v="MARTINEZ TOVAR OSCAR DAVID"/>
    <n v="1"/>
    <n v="1"/>
    <n v="1"/>
    <n v="11251.22416"/>
    <n v="126317.12212"/>
    <n v="57411.974240000003"/>
    <n v="194980.32052000001"/>
  </r>
  <r>
    <s v="APARTADO"/>
    <x v="2"/>
    <x v="2"/>
    <n v="5045"/>
    <s v="TA-25-992147"/>
    <n v="81129"/>
    <s v="APERTURA"/>
    <s v="CAMBIO DE RAZON SOCIAL"/>
    <s v="ANTIOQUIA"/>
    <s v="APARTADO"/>
    <s v="BARRIO LAURELES APARTADO ANTIOQUIA APARTADO"/>
    <s v="REDEBAN"/>
    <s v="FO-25-1402319"/>
    <d v="2025-08-21T00:00:00"/>
    <d v="2025-08-22T00:00:00"/>
    <s v="UNO A UNO"/>
    <s v="UNO A UNO"/>
    <s v="EJECUTADO"/>
    <s v="21-08 SE REALIZA LA LLAMADA AL CLIENTE, SE HABLA CON EL SR  WIDELMAN CARDENAS SE VALIDA DIRECCIÓN OK, CANAL OK, DISPONIBILIDAD TOTAL, LLAMAR EL DIA DE LA INSTALACIÓN PARA CONFIRMAR VISITA, AVISO EXTERIOR 2,5 METROS APROX; TOMACORRIENTE CERCANO: SI; TIENE CABINA DE SEGURIDAD; NO 22-08 SE REALIZA INSTALACIÓN DE CORRESPONSAL, SE INSTALAN EQUIPOS CON PRUEBAS EXITOSAS, SE CAPACITA Y SE EVALÚA AL CLIENTE, SE INSTALA PUBLICIDAD COMPLETA, CB QUEDA OPERATIVO. USUARIO SOMOS BANCOLOMBIA ACTIVO"/>
    <s v="SALDARRIAGA MIRANDA SANTIAGO"/>
    <s v="SIZZZ908"/>
    <s v="TIPO I"/>
    <s v="TERRESTRE"/>
    <s v="SALDARRIAGA MIRANDA SANTIAGO"/>
    <n v="1"/>
    <n v="1"/>
    <n v="1"/>
    <n v="11251.22416"/>
    <n v="126317.12212"/>
    <n v="57411.974240000003"/>
    <n v="194980.32052000001"/>
  </r>
  <r>
    <s v="CALI"/>
    <x v="1"/>
    <x v="1"/>
    <n v="19001"/>
    <s v="TA-25-992148"/>
    <n v="81151"/>
    <s v="APERTURA"/>
    <s v="CB CRECIMIENTO - NUEVO"/>
    <s v="CAUCA"/>
    <s v="POPAYAN"/>
    <s v="BARRIO LOMAS DE GRANADA POPAYAN 8"/>
    <s v="REDEBAN"/>
    <s v="FO-25-1402322"/>
    <d v="2025-08-21T00:00:00"/>
    <d v="2025-08-25T00:00:00"/>
    <s v="UNO A UNO"/>
    <s v="UNO A UNO"/>
    <s v="EJECUTADO"/>
    <s v="21-08 SE REALIZA LA LLAMADA AL CLIENTE, SE HABLA CON LA SRA JOHANA CATERINE HOYOS BASTIDA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
    <s v="GIMBUEL LASSO LUIS GERMAN"/>
    <s v="SIZZZ909"/>
    <s v="TIPO III"/>
    <s v="TERRESTRE"/>
    <s v="GIMBUEL LASSO LUIS GERMAN"/>
    <n v="1"/>
    <n v="1"/>
    <n v="1"/>
    <n v="11251.22416"/>
    <n v="126317.12212"/>
    <n v="110808.27512000001"/>
    <n v="248376.6214"/>
  </r>
  <r>
    <s v="MANIZALES"/>
    <x v="1"/>
    <x v="6"/>
    <n v="17001"/>
    <s v="TA-25-992149"/>
    <n v="81145"/>
    <s v="APERTURA"/>
    <s v="CB CRECIMIENTO - NUEVO"/>
    <s v="CALDAS"/>
    <s v="MANIZALES"/>
    <s v="BARRIO LOS CAMBULOS MANEIZALES"/>
    <s v="REDEBAN"/>
    <s v="FO-25-1402324"/>
    <d v="2025-08-21T00:00:00"/>
    <d v="2025-08-25T00:00:00"/>
    <s v="UNO A UNO"/>
    <s v="UNO A UNO"/>
    <s v="EJECUTADO"/>
    <s v="21-08 SE REALIZA LA LLAMADA AL CLIENTE, SE HABLA CON EL SR  ALEJANDRO SALAZAR CORTE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
    <s v="FRANCO CAÑAVERAL YAMID RAUL"/>
    <s v="SIZZZ910"/>
    <s v="TIPO I"/>
    <s v="TERRESTRE"/>
    <s v="FRANCO CAÑAVERAL YAMID RAUL"/>
    <n v="1"/>
    <n v="1"/>
    <n v="1"/>
    <n v="11251.22416"/>
    <n v="126317.12212"/>
    <n v="57411.974240000003"/>
    <n v="194980.32052000001"/>
  </r>
  <r>
    <s v="PASTO"/>
    <x v="1"/>
    <x v="1"/>
    <n v="52356"/>
    <s v="TA-25-992151"/>
    <n v="81140"/>
    <s v="APERTURA"/>
    <s v="CB CRECIMIENTO - NUEVO"/>
    <s v="NARIÑO"/>
    <s v="IPIALES"/>
    <s v="BARRIO OBRERO IPIALES 6"/>
    <s v="REDEBAN"/>
    <s v="FO-25-1402328"/>
    <d v="2025-08-21T00:00:00"/>
    <d v="2025-08-22T00:00:00"/>
    <s v="UNO A UNO"/>
    <s v="UNO A UNO"/>
    <s v="EJECUTADO"/>
    <s v="21-08 SE REALIZA LA LLAMADA AL CLIENTE, SE HABLA CON EL SR EDWIN DARIO LEYTON CHACON  SE VALIDA DIRECCIÓN OK, CANAL OK, DISPONIBILIDAD TOTAL, LLAMAR EL DIA DE LA INSTALACIÓN PARA CONFIRMAR VISITA, AVISO EXTERIOR 2METROS APROX; TOMACORRIENTE CERCANO: SI; TIENE CABINA DE SEGURIDAD; SI 22/08/2025 SE REALIZA INSTALACIÓN DE CORRESPONSAL, SE INSTALAN EQUIPOS CON PRUEBAS EXITOSAS, SE CAPACITA Y SE EVALÚA AL CLIENTE, SE INSTALA PUBLICIDAD COMPLETA, CB QUEDA OPERATIVO. USUARIO SOMOS BANCOLOMBIA ACTIVO"/>
    <s v="PAZ MARTINEZ RICHARD HUMBERTO"/>
    <s v="SIZZZ911"/>
    <s v="TIPO II"/>
    <s v="TERRESTRE"/>
    <s v="PAZ MARTINEZ RICHARD HUMBERTO"/>
    <n v="1"/>
    <n v="1"/>
    <n v="1"/>
    <n v="11251.22416"/>
    <n v="126317.12212"/>
    <n v="110808.27512000001"/>
    <n v="248376.6214"/>
  </r>
  <r>
    <s v="CALI"/>
    <x v="1"/>
    <x v="1"/>
    <n v="19698"/>
    <s v="TA-25-992155"/>
    <n v="81157"/>
    <s v="APERTURA"/>
    <s v="CB CRECIMIENTO - NUEVO"/>
    <s v="CAUCA"/>
    <s v="SANTANDER DE QUILICHAO"/>
    <s v="BARRIO PANAMERICANO SANTANDER DE QUILICHAO  3"/>
    <s v="REDEBAN"/>
    <s v="FO-25-1402332"/>
    <d v="2025-08-21T00:00:00"/>
    <d v="2025-08-22T00:00:00"/>
    <s v="UNO A UNO"/>
    <s v="UNO A UNO"/>
    <s v="EJECUTADO"/>
    <s v="21-08 SE REALIZA LLAMADA AL CLIENTE, SE HABLA CON LA  SRA EVELIN PEÑA DAZA SE VALIDA DIRECCIÓN OK, CANAL OK, DISPONIBILIDAD TOTAL, LLAMAR EL DÍA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BOLAÑOS TABORDA JORGE ENRIQUE"/>
    <s v="SIZZZ912"/>
    <s v="TIPO II"/>
    <s v="TERRESTRE"/>
    <s v="BOLAÑOS TABORDA JORGE ENRIQUE"/>
    <n v="1"/>
    <n v="1"/>
    <n v="1"/>
    <n v="11251.22416"/>
    <n v="126317.12212"/>
    <n v="110808.27512000001"/>
    <n v="248376.6214"/>
  </r>
  <r>
    <s v="MEDELLIN"/>
    <x v="2"/>
    <x v="2"/>
    <n v="5789"/>
    <s v="TA-25-992160"/>
    <n v="81156"/>
    <s v="APERTURA"/>
    <s v="CAMBIO DE RAZON SOCIAL"/>
    <s v="ANTIOQUIA"/>
    <s v="TAMESIS"/>
    <s v="BARRIO PARQUE TAMESIS   2"/>
    <s v="REDEBAN"/>
    <s v="FO-25-1402338"/>
    <d v="2025-08-21T00:00:00"/>
    <d v="2025-08-22T00:00:00"/>
    <s v="UNO A UNO"/>
    <s v="UNO A UNO"/>
    <s v="EJECUTADO"/>
    <s v="21-08 SE REALIZA LLAMADA AL CLIENTE, SE HABLA CON LA SRA MARIA CAMILA  SE VALIDA DIRECCIÓN OK, CANAL OK, DISPONIBILIDAD TOTAL, LLAMAR EL DÍA LA INSTALACIÓN PARA CONFIRMAR VISITA, AVISO EXTERIOR ALTURA APROX 3 METROS; TOMACORRIENTE CERCANO: SI; TIENE CABINA DE SEGURIDAD: SI 22/08/2025 SE REALIZA INSTALACIÓN DE CORRESPONSAL, SE INSTALAN EQUIPOS CON PRUEBAS EXITOSAS, SE CAPACITA Y SE EVALÚA AL CLIENTE, SE INSTALA PUBLICIDAD COMPLETA, CB QUEDA OPERATIVO. USUARIO SOMOS BANCOLOMBIA ACTIVO"/>
    <s v="QUINTERO SANCHEZ JUAN SEBASTIAN"/>
    <s v="SIZZZ913"/>
    <s v="TIPO III"/>
    <s v="TERRESTRE"/>
    <s v="QUINTERO SANCHEZ JUAN SEBASTIAN"/>
    <n v="1"/>
    <n v="1"/>
    <n v="1"/>
    <n v="11251.22416"/>
    <n v="126317.12212"/>
    <n v="110808.27512000001"/>
    <n v="248376.6214"/>
  </r>
  <r>
    <s v="BOGOTA"/>
    <x v="5"/>
    <x v="5"/>
    <n v="11001"/>
    <s v="TA-25-992166"/>
    <n v="81121"/>
    <s v="APERTURA"/>
    <s v="CB CRECIMIENTO - NUEVO"/>
    <s v="CUNDINAMARCA"/>
    <s v="BOGOTA"/>
    <s v="BARRIO PATIO BONITO II SECTOR BOGOTA"/>
    <s v="REDEBAN"/>
    <s v="FO-25-1402343"/>
    <d v="2025-08-21T00:00:00"/>
    <d v="2025-08-22T00:00:00"/>
    <s v="UNO A UNO"/>
    <s v="UNO A UNO"/>
    <s v="EJECUTADO"/>
    <s v="21-08 SE REALIZA LLAMADA AL CLIENTE, SE HABLA CON LA SRA MARIA CRISTINA BARRERO TORO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
    <s v="HERNANDEZ NARANJO OSCAR EDUARDO"/>
    <s v="SIZZZ914"/>
    <s v="TIPO I"/>
    <s v="TERRESTRE"/>
    <s v="HERNANDEZ NARANJO OSCAR EDUARDO"/>
    <n v="1"/>
    <n v="1"/>
    <n v="1"/>
    <n v="11251.22416"/>
    <n v="126317.12212"/>
    <n v="57411.974240000003"/>
    <n v="194980.32052000001"/>
  </r>
  <r>
    <s v="BOGOTA"/>
    <x v="5"/>
    <x v="5"/>
    <n v="11001"/>
    <s v="TA-25-992176"/>
    <n v="81122"/>
    <s v="APERTURA"/>
    <s v="CB CRECIMIENTO - NUEVO"/>
    <s v="CUNDINAMARCA"/>
    <s v="BOGOTA"/>
    <s v="BARRIO POLO BOGOTA 2"/>
    <s v="REDEBAN"/>
    <s v="FO-25-1402386"/>
    <d v="2025-08-21T00:00:00"/>
    <d v="2025-08-25T00:00:00"/>
    <s v="UNO A UNO"/>
    <s v="UNO A UNO"/>
    <s v="EJECUTADO"/>
    <s v="21-08 SE REALIZA LLAMADA AL CLIENTE, SE HABLA CON LA SR FERNANDO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
    <s v="GOMEZ VEGA DAVID SNEYDER"/>
    <s v="SIZZZ916"/>
    <s v="TIPO I"/>
    <s v="TERRESTRE"/>
    <s v="GOMEZ VEGA DAVID SNEYDER"/>
    <n v="1"/>
    <n v="1"/>
    <n v="1"/>
    <n v="11251.22416"/>
    <n v="126317.12212"/>
    <n v="57411.974240000003"/>
    <n v="194980.32052000001"/>
  </r>
  <r>
    <s v="MEDELLIN"/>
    <x v="2"/>
    <x v="2"/>
    <n v="5001"/>
    <s v="TA-25-992179"/>
    <n v="81162"/>
    <s v="APERTURA"/>
    <s v="CB CRECIMIENTO - NUEVO"/>
    <s v="ANTIOQUIA"/>
    <s v="MEDELLIN"/>
    <s v="BARRIO ROBLEDO MEDELLIN 29"/>
    <s v="REDEBAN"/>
    <s v="FO-25-1402405"/>
    <d v="2025-08-21T00:00:00"/>
    <d v="2025-08-25T00:00:00"/>
    <s v="UNO A UNO"/>
    <s v="UNO A UNO"/>
    <s v="EJECUTADO"/>
    <s v="21-08 SE REALIZA LLAMADA AL CLIENTE, SE HABLA CON LA SRA ANA MARIA URIBE UPEGUI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
    <s v="BADEL ACUÑA LUIS ALBERTO"/>
    <s v="SIZZZ917"/>
    <s v="TIPO I"/>
    <s v="TERRESTRE"/>
    <s v="BADEL ACUÑA LUIS ALBERTO"/>
    <n v="1"/>
    <n v="1"/>
    <n v="1"/>
    <n v="11251.22416"/>
    <n v="126317.12212"/>
    <n v="57411.974240000003"/>
    <n v="194980.32052000001"/>
  </r>
  <r>
    <s v="MEDELLIN"/>
    <x v="2"/>
    <x v="2"/>
    <n v="27361"/>
    <s v="TA-25-992180"/>
    <n v="81147"/>
    <s v="APERTURA"/>
    <s v="CB CRECIMIENTO - NUEVO"/>
    <s v="CHOCO"/>
    <s v="ISTMINA"/>
    <s v="BARRIO SANTA GENOVEVA FRENTE AL RESTAURANTE LA CASONA ISTMINA"/>
    <s v="REDEBAN"/>
    <s v="FO-25-1402425"/>
    <d v="2025-08-21T00:00:00"/>
    <d v="2025-08-29T00:00:00"/>
    <s v="UNO A UNO"/>
    <s v="UNO A UNO"/>
    <s v="EJECUTADO"/>
    <s v="21-08 SE REALIZA LLAMADA AL CLIENTE, SE HABLA CON LA SR YEISON DAVID TORRES SE VALIDA DIRECCIÓN OK, CANAL OK, DISPONIBILIDAD TOTAL, LLAMAR EL DÍA LA INSTALACIÓN PARA CONFIRMAR VISITA, AVISO EXTERIOR ALTURA: NO INDICA ALTURA; TOMACORRIENTE CERCANO: SI; TIENE CABINA DE SEGURIDAD: NO 29-08 SE REALIZA INSTALACIÓN DE CORRESPONSAL, SE INSTALAN EQUIPOS CON PRUEBAS EXITOSAS, SE CAPACITA Y SE EVALÚA AL CLIENTE, SE INSTALA PUBLICIDAD COMPLETA, CB QUEDA OPERATIVO. USUARIO SOMOS BANCOLOMBIA ACTIVO"/>
    <s v="ROBLEDO DIAZ ANDRES FELIPE"/>
    <s v="SIZZZ918"/>
    <s v="TIPO IV ESPECIAL"/>
    <s v="AEREO"/>
    <s v="ROBLEDO DIAZ ANDRES FELIPE"/>
    <n v="1"/>
    <n v="1"/>
    <n v="1"/>
    <n v="11251.22416"/>
    <n v="126317.12212"/>
    <n v="110808.27512000001"/>
    <n v="248376.6214"/>
  </r>
  <r>
    <s v="MEDELLIN"/>
    <x v="2"/>
    <x v="2"/>
    <n v="5237"/>
    <s v="TA-25-992181"/>
    <n v="81131"/>
    <s v="APERTURA"/>
    <s v="CB CRECIMIENTO - NUEVO"/>
    <s v="ANTIOQUIA"/>
    <s v="DON MATIAS"/>
    <s v="BARRIO SECTOR TRONCAL NORTE DONMATIAS"/>
    <s v="REDEBAN"/>
    <s v="FO-25-1402447"/>
    <d v="2025-08-21T00:00:00"/>
    <d v="2025-08-22T00:00:00"/>
    <s v="UNO A UNO"/>
    <s v="UNO A UNO"/>
    <s v="EJECUTADO/CANCELADO"/>
    <s v="21-08 SE REALIZA LLAMADA AL CLIENTE, SE HABLA CON LA SR JUAN CARLOS  SE VALIDA DIRECCIÓN OK, CANAL OK, DISPONIBILIDAD TOTAL, LLAMAR EL DÍA LA INSTALACIÓN PARA CONFIRMAR VISITA, AVISO EXTERIOR ALTURA APROX 4 METROS; TOMACORRIENTE CERCANO: SI; TIENE CABINA DE SEGURIDAD: SI  - EL MODEM ESTA 10 MT  22/08/2025 SE CANCELA VISITA YA QUE USUARIO ESTÁ CON DUDAS SOBRE SI PROCEDER CON INSTALACIÓN O NO YA QUE LA SOLUCITUD LA RADICO EL HIJO, PERO ESTÁ TODO A NOMBRE DE EL, ENTONCES SOLICITA SUSPENDER MIENTRAS DEFINEN SI SE INSTALA O NO."/>
    <s v="DIAZ ZABALA FRANCIS DUBAN"/>
    <s v="SIZZZ919"/>
    <s v="TIPO II"/>
    <s v="TERRESTRE"/>
    <s v="DIAZ ZABALA FRANCIS DUBAN"/>
    <n v="0"/>
    <n v="0"/>
    <n v="2"/>
    <n v="11251.22416"/>
    <n v="126317.12212"/>
    <n v="110808.27512000001"/>
    <n v="221616.55024000001"/>
  </r>
  <r>
    <s v="BOGOTA"/>
    <x v="5"/>
    <x v="5"/>
    <n v="11001"/>
    <s v="TA-25-992183"/>
    <n v="81123"/>
    <s v="APERTURA"/>
    <s v="CB CRECIMIENTO - NUEVO"/>
    <s v="CUNDINAMARCA"/>
    <s v="BOGOTA"/>
    <s v="BARRIO SERRANIAS BOGOTA"/>
    <s v="REDEBAN"/>
    <s v="FO-25-1402466"/>
    <d v="2025-08-21T00:00:00"/>
    <d v="2025-08-25T00:00:00"/>
    <s v="UNO A UNO"/>
    <s v="UNO A UNO"/>
    <s v="EJECUTADO"/>
    <s v="21-08 SE REALIZA LLAMADA AL CLIENTE, SE HABLA CON LA SRA PAOLA ANDREA CALDERON SANCHEZ SE VALIDA DIRECCIÓN OK, CANAL OK, DISPONIBILIDAD TOTAL, LLAMAR EL DÍA LA INSTALACIÓN PARA CONFIRMAR VISITA, AVISO EXTERIOR ALTURA APROX 2 METROS; TOMACORRIENTE CERCANO: SI; TIENE CABINA DE SEGURIDAD: SI 25/08/2025 SE REALIZA INSTALACIÓN DE CORRESPONSAL, SE INSTALAN EQUIPOS CON PRUEBAS EXITOSAS, SE CAPACITA Y SE EVALÚA AL CLIENTE, SE INSTALA PUBLICIDAD COMPLETA, CB QUEDA OPERATIVO. USUARIO SOMOS BANCOLOMBIA ACTIVO"/>
    <s v="BUSTOS MORA DIEGO MANUEL"/>
    <s v="SIZZZ920"/>
    <s v="TIPO I"/>
    <s v="TERRESTRE"/>
    <s v="BUSTOS MORA DIEGO MANUEL"/>
    <n v="1"/>
    <n v="1"/>
    <n v="1"/>
    <n v="11251.22416"/>
    <n v="126317.12212"/>
    <n v="57411.974240000003"/>
    <n v="194980.32052000001"/>
  </r>
  <r>
    <s v="VILLAVICENCIO"/>
    <x v="0"/>
    <x v="0"/>
    <n v="50001"/>
    <s v="TA-25-992185"/>
    <n v="81161"/>
    <s v="APERTURA"/>
    <s v="CB CRECIMIENTO - NUEVO"/>
    <s v="META"/>
    <s v="VILLAVICENCIO"/>
    <s v="BARRIO SEXTA ETAPA ESPERANZA VILLAVICENCIO"/>
    <s v="REDEBAN"/>
    <s v="FO-25-1402484"/>
    <d v="2025-08-21T00:00:00"/>
    <d v="2025-08-22T00:00:00"/>
    <s v="UNO A UNO"/>
    <s v="UNO A UNO"/>
    <s v="EJECUTADO"/>
    <s v="21-08 SE REALIZA LLAMADA AL CLIENTE, SE HABLA CON LA SR FABIAN ANDRES BAQUERO LEAL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
    <s v="ROZO JIMENEZ EDGAR ARMANDO"/>
    <s v="SIZZZ921"/>
    <s v="TIPO I"/>
    <s v="TERRESTRE"/>
    <s v="ROZO JIMENEZ EDGAR ARMANDO"/>
    <n v="1"/>
    <n v="1"/>
    <n v="1"/>
    <n v="11251.22416"/>
    <n v="126317.12212"/>
    <n v="57411.974240000003"/>
    <n v="194980.32052000001"/>
  </r>
  <r>
    <s v="CALI"/>
    <x v="1"/>
    <x v="1"/>
    <n v="76001"/>
    <s v="TA-25-992191"/>
    <n v="81124"/>
    <s v="APERTURA"/>
    <s v="CB CRECIMIENTO - NUEVO"/>
    <s v="VALLE DEL CAUCA"/>
    <s v="CALI"/>
    <s v="BARRIO TERRON COLORADO CALI 3"/>
    <s v="REDEBAN"/>
    <s v="FO-25-1402502"/>
    <d v="2025-08-21T00:00:00"/>
    <d v="2025-08-22T00:00:00"/>
    <s v="UNO A UNO"/>
    <s v="UNO A UNO"/>
    <s v="EJECUTADO"/>
    <s v="21-08 SE REALIZA LLAMADA AL CLIENTE, SE HABLA CON LA SRA DIANA MARCELA MEDINA BARRAGAN  SE VALIDA DIRECCIÓN OK, CANAL OK, DISPONIBILIDAD TOTAL, LLAMAR EL DÍA LA INSTALACIÓN PARA CONFIRMAR VISITA, AVISO EXTERIOR ALTURA: NO INDICA ALTURA; TOMACORRIENTE CERCANO: SI; TIENE CABINA DE SEGURIDAD: SI 22/08/2025 SE REALIZA INSTALACIÓN DE CORRESPONSAL, SE INSTALAN EQUIPOS CON PRUEBAS EXITOSAS, SE CAPACITA Y SE EVALÚA AL CLIENTE, SE INSTALA PUBLICIDAD COMPLETA, CB QUEDA OPERATIVO. USUARIO SOMOS BANCOLOMBIA ACTIVO"/>
    <s v="MONTERO MUESES GIAN CARLO"/>
    <s v="SIZZZ922"/>
    <s v="TIPO I"/>
    <s v="TERRESTRE"/>
    <s v="MONTERO MUESES GIAN CARLO"/>
    <n v="1"/>
    <n v="1"/>
    <n v="1"/>
    <n v="11251.22416"/>
    <n v="126317.12212"/>
    <n v="57411.974240000003"/>
    <n v="194980.32052000001"/>
  </r>
  <r>
    <s v="PEREIRA"/>
    <x v="1"/>
    <x v="6"/>
    <n v="66001"/>
    <s v="TA-25-992195"/>
    <n v="81149"/>
    <s v="APERTURA"/>
    <s v="CB CRECIMIENTO - NUEVO"/>
    <s v="RISARALDA"/>
    <s v="PEREIRA"/>
    <s v="BARRIO VILLAVICENCIO PAREIRA"/>
    <s v="REDEBAN"/>
    <s v="FO-25-1402525"/>
    <d v="2025-08-21T00:00:00"/>
    <d v="2025-08-22T00:00:00"/>
    <s v="UNO A UNO"/>
    <s v="UNO A UNO"/>
    <s v="EJECUTADO"/>
    <s v="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
    <s v="FRANCO CAÑAVERAL YAMID RAUL"/>
    <s v="SIZZZ923"/>
    <s v="TIPO I"/>
    <s v="TERRESTRE"/>
    <s v="FRANCO CAÑAVERAL YAMID RAUL"/>
    <n v="1"/>
    <n v="1"/>
    <n v="1"/>
    <n v="11251.22416"/>
    <n v="126317.12212"/>
    <n v="57411.974240000003"/>
    <n v="194980.32052000001"/>
  </r>
  <r>
    <s v="MONTERIA"/>
    <x v="4"/>
    <x v="4"/>
    <n v="23672"/>
    <s v="TA-25-992196"/>
    <n v="80913"/>
    <s v="APERTURA"/>
    <s v="CB CRECIMIENTO - OTRAS LISTAS"/>
    <s v="CORDOBA"/>
    <s v="SAN ANTERO"/>
    <s v="BARRIO CGT EL PORVENIR SAN ANTERO"/>
    <s v="REDEBAN"/>
    <s v="FO-25-1402543"/>
    <d v="2025-08-21T00:00:00"/>
    <d v="2025-08-25T00:00:00"/>
    <s v="UNO A UNO"/>
    <s v="UNO A UNO"/>
    <s v="EJECUTADO"/>
    <s v="21-08 SE REALIZA LLAMADA AL CLIENTE, SE HABLA CON EL SR WILMER JOSE NAVARRO RUIZ SE VALIDA DIRECCIÓN OK, CANAL OK, DISPONIBILIDAD TOTAL, LLAMAR EL DÍA LA INSTALACIÓN PARA CONFIRMAR VISITA, AVISO EXTERIOR ALTURA APROX 1.5 METROS; TOMACORRIENTE CERCANO: SI; TIENE CABINA DE SEGURIDAD: NO 25/08/2025 SE REALIZA INSTALACIÓN DE CORRESPONSAL, SE INSTALAN EQUIPOS CON PRUEBAS EXITOSAS, SE CAPACITA Y SE EVALÚA AL CLIENTE, SE INSTALA PUBLICIDAD COMPLETA, CB QUEDA OPERATIVO. USUARIO SOMOS BANCOLOMBIA ACTIVO"/>
    <s v="CASSIANI PEREZ RAUL RAMIRO"/>
    <s v="SIZZZ924"/>
    <s v="TIPO II"/>
    <s v="TERRESTRE"/>
    <s v="CASSIANI PEREZ RAUL RAMIRO"/>
    <n v="1"/>
    <n v="1"/>
    <n v="1"/>
    <n v="11251.22416"/>
    <n v="126317.12212"/>
    <n v="110808.27512000001"/>
    <n v="248376.6214"/>
  </r>
  <r>
    <s v="YOPAL"/>
    <x v="0"/>
    <x v="0"/>
    <n v="85250"/>
    <s v="TA-25-992197"/>
    <n v="80906"/>
    <s v="APERTURA"/>
    <s v="CB CRECIMIENTO - OTRAS LISTAS"/>
    <s v="CASANARE"/>
    <s v="PAZ DE ARIPORO"/>
    <s v="BARRIO EL PALMAR PAZ DE ARIPORO 2"/>
    <s v="REDEBAN"/>
    <s v="FO-25-1402562"/>
    <d v="2025-08-21T00:00:00"/>
    <d v="2025-08-22T00:00:00"/>
    <s v="UNO A UNO"/>
    <s v="UNO A UNO"/>
    <s v="EJECUTADO"/>
    <s v="21-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BERNAL ELAICA EDGAR ALEXIS"/>
    <s v="SIZZZ925"/>
    <s v="TIPO II"/>
    <s v="TERRESTRE"/>
    <s v="BERNAL ELAICA EDGAR ALEXIS"/>
    <n v="1"/>
    <n v="1"/>
    <n v="1"/>
    <n v="11251.22416"/>
    <n v="126317.12212"/>
    <n v="110808.27512000001"/>
    <n v="248376.6214"/>
  </r>
  <r>
    <s v="NEIVA"/>
    <x v="0"/>
    <x v="0"/>
    <n v="41001"/>
    <s v="TA-25-1005055"/>
    <n v="81170"/>
    <s v="APERTURA"/>
    <s v="CB CRECIMIENTO - NUEVO"/>
    <s v="HUILA"/>
    <s v="NEIVA"/>
    <s v="BARRIO LOS CAMBULOS NEIVA 1"/>
    <s v="REDEBAN"/>
    <s v="FO-25-1418960"/>
    <d v="2025-08-25T00:00:00"/>
    <d v="2025-08-26T00:00:00"/>
    <s v="UNO A UNO"/>
    <s v="UNO A UNO"/>
    <s v="EJECUTADO"/>
    <s v="25-08 SE REALIZA LLAMADA AL CLIENTE, SE HABLA CON LA SRA ANGELA YANIVE OSPINA SALIN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DEVIA REINOSO JUAN CARLOS"/>
    <s v="VBZZZ271"/>
    <s v="TIPO I"/>
    <s v="TERRESTRE"/>
    <s v="DEVIA REINOSO JUAN CARLOS"/>
    <n v="1"/>
    <n v="1"/>
    <n v="1"/>
    <n v="11251.22416"/>
    <n v="126317.12212"/>
    <n v="57411.974240000003"/>
    <n v="194980.32052000001"/>
  </r>
  <r>
    <s v="BUCARAMANGA"/>
    <x v="3"/>
    <x v="3"/>
    <n v="68276"/>
    <s v="TA-25-1005057"/>
    <n v="81168"/>
    <s v="APERTURA"/>
    <s v="CB CRECIMIENTO - NUEVO"/>
    <s v="SANTANDER"/>
    <s v="FLORIDABLANCA"/>
    <s v="BARRIO BELLAVISTA FLORIDABLANCA FLORIDABLACA"/>
    <s v="REDEBAN"/>
    <s v="FO-25-1418968"/>
    <d v="2025-08-25T00:00:00"/>
    <d v="2025-08-26T00:00:00"/>
    <s v="UNO A UNO"/>
    <s v="UNO A UNO"/>
    <s v="EJECUTADO"/>
    <s v="25-08 SE REALIZA LLAMADA AL CLIENTE, SE HABLA CON LA SRA MARIA AZUCENA ARDILA SE VALIDA DIRECCIÓN OK, CANAL OK, DISPONIBILIDAD TOTAL, LLAMAR EL DÍA DELA INSTALACIÓN PARA CONFIRMAR VISITA, AVISO EXTERIOR 2 METROS APROX; TOMACORRIENTE CERCANO: SI; TIENE CABINA DE SEGURIDAD: SI 26/08/2025 SE REALIZA INSTALACIÓN DE CORRESPONSAL, SE INSTALAN EQUIPOS CON PRUEBAS EXITOSAS, SE CAPACITA Y SE EVALÚA AL CLIENTE, SE INSTALA PUBLICIDAD COMPLETA, CB QUEDA OPERATIVO. USUARIO SOMOS BANCOLOMBIA ACTIVO"/>
    <s v="MARTINEZ FLOREZ DONIS ALBERTO"/>
    <s v="VBZZZ272"/>
    <s v="TIPO I"/>
    <s v="TERRESTRE"/>
    <s v="MARTINEZ FLOREZ DONIS ALBERTO"/>
    <n v="1"/>
    <n v="1"/>
    <n v="1"/>
    <n v="11251.22416"/>
    <n v="126317.12212"/>
    <n v="57411.974240000003"/>
    <n v="194980.32052000001"/>
  </r>
  <r>
    <s v="VALLEDUPAR"/>
    <x v="4"/>
    <x v="4"/>
    <n v="20001"/>
    <s v="TA-25-1005058"/>
    <n v="81179"/>
    <s v="APERTURA"/>
    <s v="CB CRECIMIENTO - NUEVO"/>
    <s v="CESAR"/>
    <s v="VALLEDUPAR"/>
    <s v="BARRIO DOCE DE OCTUBRE VALLEDUPAR 5"/>
    <s v="REDEBAN"/>
    <s v="FO-25-1418974"/>
    <d v="2025-08-25T00:00:00"/>
    <d v="2025-08-26T00:00:00"/>
    <s v="UNO A UNO"/>
    <s v="UNO A UNO"/>
    <s v="EJECUTADO"/>
    <s v="25-08 SE REALIZA LLAMADA AL CLIENTE, SE HABLA CON EL SR RAUL PEYES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
    <s v="MAESTRE MENGUAL EDGAR ENRIQUE"/>
    <s v="VBZZZ273"/>
    <s v="TIPO I"/>
    <s v="TERRESTRE"/>
    <s v="MAESTRE MENGUAL EDGAR ENRIQUE"/>
    <n v="1"/>
    <n v="1"/>
    <n v="1"/>
    <n v="11251.22416"/>
    <n v="126317.12212"/>
    <n v="57411.974240000003"/>
    <n v="194980.32052000001"/>
  </r>
  <r>
    <s v="TUNJA"/>
    <x v="3"/>
    <x v="3"/>
    <n v="15837"/>
    <s v="TA-25-1005059"/>
    <n v="81175"/>
    <s v="APERTURA"/>
    <s v="CB CRECIMIENTO - NUEVO"/>
    <s v="BOYACA"/>
    <s v="TUTA"/>
    <s v="BARRIO VEREDA RIO DE PIEDRAS TUTA"/>
    <s v="REDEBAN"/>
    <s v="FO-25-1418980"/>
    <d v="2025-08-25T00:00:00"/>
    <d v="2025-08-26T00:00:00"/>
    <s v="UNO A UNO"/>
    <s v="UNO A UNO"/>
    <s v="EJECUTADO"/>
    <s v="25-08 SE REALIZA LLAMADA AL CLIENTE, SE HABLA CON LA SRA SANDRA LILIANA CUEST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GONZALEZ GONZALEZ MARIO ALBERTO"/>
    <s v="VBZZZ274"/>
    <s v="TIPO II"/>
    <s v="TERRESTRE"/>
    <s v="GONZALEZ GONZALEZ MARIO ALBERTO"/>
    <n v="1"/>
    <n v="1"/>
    <n v="1"/>
    <n v="11251.22416"/>
    <n v="126317.12212"/>
    <n v="110808.27512000001"/>
    <n v="248376.6214"/>
  </r>
  <r>
    <s v="VALLEDUPAR"/>
    <x v="4"/>
    <x v="4"/>
    <n v="20750"/>
    <s v="TA-25-1005061"/>
    <n v="81174"/>
    <s v="APERTURA"/>
    <s v="CB CRECIMIENTO - NUEVO"/>
    <s v="CESAR"/>
    <s v="SAN DIEGO"/>
    <s v="BARRIO MUNICH SAN DIEGO"/>
    <s v="REDEBAN"/>
    <s v="FO-25-1418984"/>
    <d v="2025-08-25T00:00:00"/>
    <d v="2025-08-27T00:00:00"/>
    <s v="UNO A UNO"/>
    <s v="UNO A UNO"/>
    <s v="EJECUTADO"/>
    <s v="25-08 SE REALIZA LLAMADA AL CLIENTE, SE HABLA CON LA SRA CARMEN EMILIA RUEDA FUENTES  SE VALIDA DIRECCIÓN OK, CANAL OK, DISPONIBILIDAD TOTAL, LLAMAR EL DÍA DE LA INSTALACIÓN PARA CONFIRMAR VISITA AL NÚMERO 3116264418,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
    <s v="MONTES DIAZ JOHN FRED"/>
    <s v="VBZZZ275"/>
    <s v="TIPO II"/>
    <s v="TERRESTRE"/>
    <s v="MONTES DIAZ JOHN FRED"/>
    <n v="1"/>
    <n v="1"/>
    <n v="1"/>
    <n v="11251.22416"/>
    <n v="126317.12212"/>
    <n v="110808.27512000001"/>
    <n v="248376.6214"/>
  </r>
  <r>
    <s v="BUCARAMANGA"/>
    <x v="3"/>
    <x v="3"/>
    <n v="68547"/>
    <s v="TA-25-1005062"/>
    <n v="81172"/>
    <s v="APERTURA"/>
    <s v="CB CRECIMIENTO - NUEVO"/>
    <s v="SANTANDER"/>
    <s v="PIEDECUESTA"/>
    <s v="BARRIO VILLANUEVA PIEDECUESTA 1"/>
    <s v="REDEBAN"/>
    <s v="FO-25-1418990"/>
    <d v="2025-08-25T00:00:00"/>
    <d v="2025-08-26T00:00:00"/>
    <s v="UNO A UNO"/>
    <s v="UNO A UNO"/>
    <s v="EJECUTADO"/>
    <s v="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
    <s v="ORTEBARRERAGA MARLON STWAR"/>
    <s v="VBZZZ276"/>
    <s v="TIPO II"/>
    <s v="TERRESTRE"/>
    <s v="ORTEBARRERAGA MARLON STWAR"/>
    <n v="1"/>
    <n v="1"/>
    <n v="1"/>
    <n v="11251.22416"/>
    <n v="126317.12212"/>
    <n v="110808.27512000001"/>
    <n v="248376.6214"/>
  </r>
  <r>
    <s v="SINCELEJO"/>
    <x v="4"/>
    <x v="4"/>
    <n v="70124"/>
    <s v="TA-25-1005063"/>
    <n v="81165"/>
    <s v="APERTURA"/>
    <s v="CB CRECIMIENTO - NUEVO"/>
    <s v="SUCRE"/>
    <s v="CAIMITO"/>
    <s v="BARRIO LAS GUADUAS CAIMITO"/>
    <s v="REDEBAN"/>
    <s v="FO-25-1418996"/>
    <d v="2025-08-25T00:00:00"/>
    <d v="2025-08-26T00:00:00"/>
    <s v="UNO A UNO"/>
    <s v="UNO A UNO"/>
    <s v="EJECUTADO"/>
    <s v="25-08 SE REALIZA LLAMADA AL CLIENTE, SE HABLA CON LA SRA SANDRA MILENA UPARELA VILORIA SE VALIDA DIRECCIÓN OK, CANAL OK, DISPONIBILIDAD TOTAL, LLAMAR EL DÍA DE LA INSTALACIÓN PARA CONFIRMAR VISITA, AVISO EXTERIOR APROX 3 METROS; MODEM NO CUENTA CON PUERTOS DISPONILES; TOMACORRIENTE CERCANO: SI; TIENE CABINA DE SEGURIDAD: NO 26/08/2025 SE REALIZA INSTALACIÓN DE CORRESPONSAL, SE INSTALAN EQUIPOS CON PRUEBAS EXITOSAS, SE CAPACITA Y SE EVALÚA AL CLIENTE, SE INSTALA PUBLICIDAD COMPLETA, CB QUEDA OPERATIVO. USUARIO SOMOS BANCOLOMBIA ACTIVO"/>
    <s v="CACERES HERNANDEZ ANDRES"/>
    <s v="VBZZZ277"/>
    <s v="TIPO IV"/>
    <s v="TERRESTRE"/>
    <s v="CACERES HERNANDEZ ANDRES"/>
    <n v="1"/>
    <n v="1"/>
    <n v="1"/>
    <n v="11251.22416"/>
    <n v="126317.12212"/>
    <n v="110808.27512000001"/>
    <n v="248376.6214"/>
  </r>
  <r>
    <s v="SANTA MARTA"/>
    <x v="4"/>
    <x v="4"/>
    <n v="47798"/>
    <s v="TA-25-1005065"/>
    <n v="81177"/>
    <s v="APERTURA"/>
    <s v="CB CRECIMIENTO - NUEVO"/>
    <s v="MAGDALENA"/>
    <s v="TENERIFE"/>
    <s v="BARRIO CENTRO TENERIFE 2"/>
    <s v="REDEBAN"/>
    <s v="FO-25-1419002"/>
    <d v="2025-08-25T00:00:00"/>
    <d v="2025-08-26T00:00:00"/>
    <s v="UNO A UNO"/>
    <s v="UNO A UNO"/>
    <s v="EJECUTADO"/>
    <s v="25-08 SE REALIZA LLAMADA AL CLIENTE, SE HABLA CON EL SR  JHON MARIO GIRALDO OSPINA SE VALIDA DIRECCIÓN OK; CANAL OK, DISPONIBILIDAD TOTAL, LLAMAR EL DÍA DE 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BENITEZ CARVAJAL ALVARO JAVIER"/>
    <s v="VBZZZ278"/>
    <s v="TIPO IV"/>
    <s v="TERRESTRE"/>
    <s v="BENITEZ CARVAJAL ALVARO JAVIER"/>
    <n v="1"/>
    <n v="1"/>
    <n v="1"/>
    <n v="11251.22416"/>
    <n v="126317.12212"/>
    <n v="110808.27512000001"/>
    <n v="248376.6214"/>
  </r>
  <r>
    <s v="VILLAVICENCIO"/>
    <x v="0"/>
    <x v="0"/>
    <n v="50270"/>
    <s v="TA-25-1005066"/>
    <n v="81167"/>
    <s v="APERTURA"/>
    <s v="CB CRECIMIENTO - NUEVO"/>
    <s v="META"/>
    <s v="EL DORADO"/>
    <s v="BARRIO CENTRO EL DORADO 2"/>
    <s v="REDEBAN"/>
    <s v="FO-25-1419007"/>
    <d v="2025-08-25T00:00:00"/>
    <d v="2025-08-26T00:00:00"/>
    <s v="UNO A UNO"/>
    <s v="UNO A UNO"/>
    <s v="EJECUTADO"/>
    <s v="25-08 SE REALIZA LLAMADA AL CLIENTE, SE HABLA CON EL SR ANDRES MARTINEZ SE VALIDA DIRECCIÓN OK; CANAL OK, DISPONIBILIDAD TOTAL, LLAMAR EL DÍA DE LA INSTALACIÓN PARA CONFIRMAR VISITA, AVISO EXTERIOR APROX 2 METROS; TOMACORRIENTE CERCANO: SI; TIENE CABINA DE SEGURIDAD: SI 26/08/2025 SE REALIZA INSTALACIÓN DE CORRESPONSAL, SE INSTALAN EQUIPOS CON PRUEBAS EXITOSAS, SE CAPACITA Y SE EVALÚA AL CLIENTE, SE INSTALA PUBLICIDAD COMPLETA, CB QUEDA OPERATIVO. USUARIO SOMOS BANCOLOMBIA ACTIVO"/>
    <s v="PEDREROS CONTRERAS MICHAEL STEVENS"/>
    <s v="VBZZZ279"/>
    <s v="TIPO II"/>
    <s v="TERRESTRE"/>
    <s v="PEDREROS CONTRERAS MICHAEL STEVENS"/>
    <n v="1"/>
    <n v="1"/>
    <n v="1"/>
    <n v="11251.22416"/>
    <n v="126317.12212"/>
    <n v="110808.27512000001"/>
    <n v="248376.6214"/>
  </r>
  <r>
    <s v="MONTERIA"/>
    <x v="4"/>
    <x v="4"/>
    <n v="23090"/>
    <s v="TA-25-1005067"/>
    <n v="81166"/>
    <s v="APERTURA"/>
    <s v="CB CRECIMIENTO - NUEVO"/>
    <s v="CORDOBA"/>
    <s v="CANALETE"/>
    <s v="BARRIO EL CENTRO CANALETE"/>
    <s v="REDEBAN"/>
    <s v="FO-25-1419012"/>
    <d v="2025-08-25T00:00:00"/>
    <d v="2025-08-27T00:00:00"/>
    <s v="UNO A UNO"/>
    <s v="UNO A UNO"/>
    <s v="EJECUTADO"/>
    <s v="25-08 SE REALIZA LLAMADA AL CLIENTE, SE HABLA CON LA SRA EDELMA MARIA MONTALVO MADERA SE VALIDA DIRECCIÓN OK, CANAL OK, DISPONIBILIDAD TOTAL, LLAMAR EL DÍA DE LA INSTALACIÓN PARA CONFIRMAR VISITA, AVISO EXTERIOR APROX 2 METROS; TOMACORRIENTE CERCANO: SI; TIENE CABINA DE SEGURIDAD: SI 27/08/2025 SE REALIZA INSTALACIÓN DE CORRESPONSAL, SE INSTALAN EQUIPOS CON PRUEBAS EXITOSAS, SE CAPACITA Y SE EVALÚA AL CLIENTE, SE INSTALA PUBLICIDAD COMPLETA, CB QUEDA OPERATIVO. USUARIO SOMOS BANCOLOMBIA ACTIVO. NOTA: LAS PRUEBAS DE RECAUDO Y TRANSFERENCIA NO SE REALIZARON PORQUE EL CLIENTE NO TIENE OTRA CUENTA Y NO HAY FACTURAS PARA HACER RECAUDOS."/>
    <s v="CALDERA SALCEDO CARLOS JULIO"/>
    <s v="VBZZZ280"/>
    <s v="TIPO II"/>
    <s v="TERRESTRE"/>
    <s v="CALDERA SALCEDO CARLOS JULIO"/>
    <n v="1"/>
    <n v="1"/>
    <n v="1"/>
    <n v="11251.22416"/>
    <n v="126317.12212"/>
    <n v="110808.27512000001"/>
    <n v="248376.6214"/>
  </r>
  <r>
    <s v="TUNJA"/>
    <x v="3"/>
    <x v="3"/>
    <n v="15276"/>
    <s v="TA-25-1005071"/>
    <n v="81178"/>
    <s v="APERTURA"/>
    <s v="CB CRECIMIENTO - NUEVO"/>
    <s v="BOYACA"/>
    <s v="FLORESTA"/>
    <s v="BARRIO CENTRO FLORESTA"/>
    <s v="REDEBAN"/>
    <s v="FO-25-1419021"/>
    <d v="2025-08-25T00:00:00"/>
    <d v="2025-08-27T00:00:00"/>
    <s v="UNO A UNO"/>
    <s v="UNO A UNO"/>
    <s v="EJECUTADO"/>
    <s v="25-08 SE REALIZA LLAMADA AL CLIENTE, SE HABLA CON EL SR GUSTAVO ANTONIO VARGAS RINC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
    <s v="ALVARADO MORENO CRISTHIAN"/>
    <s v="VBZZZ281"/>
    <s v="TIPO II"/>
    <s v="TERRESTRE"/>
    <s v="ALVARADO MORENO CRISTHIAN"/>
    <n v="1"/>
    <n v="1"/>
    <n v="1"/>
    <n v="11251.22416"/>
    <n v="126317.12212"/>
    <n v="110808.27512000001"/>
    <n v="248376.6214"/>
  </r>
  <r>
    <s v="SINCELEJO"/>
    <x v="4"/>
    <x v="4"/>
    <n v="70708"/>
    <s v="TA-25-1005073"/>
    <n v="81176"/>
    <s v="APERTURA"/>
    <s v="CB CRECIMIENTO - NUEVO"/>
    <s v="SUCRE"/>
    <s v="SAN MARCOS"/>
    <s v="BARRIO SAN JOSE SAN MARCOS 2"/>
    <s v="REDEBAN"/>
    <s v="FO-25-1419026"/>
    <d v="2025-08-25T00:00:00"/>
    <d v="2025-08-26T00:00:00"/>
    <s v="UNO A UNO"/>
    <s v="UNO A UNO"/>
    <s v="EJECUTADO"/>
    <s v="25-08 SE REALIZA LLAMADA AL CLIENTE, SE HABLA CON EL SR LUIS EDUARDO VERGARA HERRERA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
    <s v="SANTOS GUZMAN CHRISTIAN FELIPE"/>
    <s v="VBZZZ282"/>
    <s v="TIPO III"/>
    <s v="TERRESTRE"/>
    <s v="SANTOS GUZMAN CHRISTIAN FELIPE"/>
    <n v="1"/>
    <n v="1"/>
    <n v="1"/>
    <n v="11251.22416"/>
    <n v="126317.12212"/>
    <n v="110808.27512000001"/>
    <n v="248376.6214"/>
  </r>
  <r>
    <s v="VILLAVICENCIO"/>
    <x v="0"/>
    <x v="0"/>
    <n v="50287"/>
    <s v="TA-25-1005074"/>
    <n v="81169"/>
    <s v="APERTURA"/>
    <s v="CB CRECIMIENTO - NUEVO"/>
    <s v="META"/>
    <s v="FUENTE DE ORO"/>
    <s v="BARRIO CENTRO FUENTE 7 DE ORO"/>
    <s v="REDEBAN"/>
    <s v="FO-25-1419031"/>
    <d v="2025-08-25T00:00:00"/>
    <d v="2025-08-27T00:00:00"/>
    <s v="UNO A UNO"/>
    <s v="UNO A UNO"/>
    <s v="EJECUTADO"/>
    <s v="25-08 SE REALIZA LLAMADA AL CLIENTE, SE HABLA CON LA SRA SANDRA PATRICIA MARTINEZ GARCIA SE VALIDA DIRECCIÓN OK, CANAL OK, DISPONIBILIDAD TOTAL, LLAMAR EL DÍA DE LA INSTALACIÓN PARA CONFIRMAR VISITA, AVISO EXTERIOR APROX 1,5 METROS; TOMACORRIENTE CERCANO: SI; TIENE CABINA DE SEGURIDAD: SI 27/08/2025 SE REALIZA INSTALACIÓN DE CORRESPONSAL, SE INSTALAN EQUIPOS CON PRUEBAS EXITOSAS, SE CAPACITA Y SE EVALÚA AL CLIENTE, SE INSTALA PUBLICIDAD COMPLETA, CB QUEDA OPERATIVO. USUARIO SOMOS BANCOLOMBIA ACTIVO"/>
    <s v="CASTRILLON URREA LONDIER LEANDRO"/>
    <s v="VBZZZ283"/>
    <s v="TIPO III"/>
    <s v="TERRESTRE"/>
    <s v="CASTRILLON URREA LONDIER LEANDRO"/>
    <n v="1"/>
    <n v="1"/>
    <n v="1"/>
    <n v="11251.22416"/>
    <n v="126317.12212"/>
    <n v="110808.27512000001"/>
    <n v="248376.6214"/>
  </r>
  <r>
    <s v="VILLAVICENCIO"/>
    <x v="0"/>
    <x v="0"/>
    <n v="50577"/>
    <s v="TA-25-1005075"/>
    <n v="81173"/>
    <s v="APERTURA"/>
    <s v="CB CRECIMIENTO - NUEVO"/>
    <s v="META"/>
    <s v="PUERTO LLERAS"/>
    <s v="BARRIO CENTRO PUERTO 7 LLERAS"/>
    <s v="REDEBAN"/>
    <s v="FO-25-1419036"/>
    <d v="2025-08-25T00:00:00"/>
    <d v="2025-08-27T00:00:00"/>
    <s v="UNO A UNO"/>
    <s v="UNO A UNO"/>
    <s v="EJECUTADO"/>
    <s v="25-08 SE REALIZA LLAMADA AL CLIENTE, SE HABLA CON LA SRA HASBLEIDY YULENNY SOTO PULIDO SE VALIDA DIRECCIÓN OK, CANAL OK, DISPONIBILIDAD TOTAL, LLAMAR EL DÍA DE LA INSTALACIÓN PARA CONFIRMAR VISITA,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
    <s v="CASTRILLON URREA LONDIER LEANDRO"/>
    <s v="VBZZZ284"/>
    <s v="TIPO III"/>
    <s v="TERRESTRE"/>
    <s v="CASTRILLON URREA LONDIER LEANDRO"/>
    <n v="1"/>
    <n v="1"/>
    <n v="1"/>
    <n v="11251.22416"/>
    <n v="126317.12212"/>
    <n v="110808.27512000001"/>
    <n v="248376.6214"/>
  </r>
  <r>
    <s v="TUNJA"/>
    <x v="3"/>
    <x v="3"/>
    <n v="15516"/>
    <s v="TA-25-1005078"/>
    <n v="81171"/>
    <s v="APERTURA"/>
    <s v="CB CRECIMIENTO - NUEVO"/>
    <s v="BOYACA"/>
    <s v="PAIPA"/>
    <s v="BARRIO CENTRO PAIPA 19"/>
    <s v="REDEBAN"/>
    <s v="FO-25-1419041"/>
    <d v="2025-08-25T00:00:00"/>
    <d v="2025-08-27T00:00:00"/>
    <s v="UNO A UNO"/>
    <s v="UNO A UNO"/>
    <s v="EJECUTADO"/>
    <s v="25-08 SE REALIZA LLAMADA AL CLIENTE, SE HABLA CON EL SR LUIS FERNANDO GRANADOS CORREDOR SE VALIDA DIRECCIÓN OK, CANAL OK, DISPONIBILIDAD TOTAL, LLAMAR EL DÍA DE LA INSTALACIÓN PARA CONFIRMAR VISITA, AVISO EXTERIOR 2 METROS APROX; TOMACORRIENTE CERCANO: SI; TIENE CABINA DE SEGURIDAD: SI 26-08 SE LOGRA COMUNICACION CON EL SEÑOR LUIS FERNANDO GRANADOS AL NUMERO TELEFONICO 3134561677 QUIEN NOS INFORMA QUE EL DIA DE HOY AMANECIO SIN SERVICIO DE INTERNET YA QUE HAY UNA FALLA GENERAL EN LA CIUDAD, CLIENTE MANIFIESTA QUE SE COMUNICARA EN EL TRANSCURSO DEL DIA PARA CONFIRMAR LA VISITA, CLIENTE MANIFIESTA QUE NECESITA 7 METROS DE CABLE UTP Y EL AVISO SE DEBE COLOCAR A 3 METROS DE ALTURA. 27/08/2025 SE REALIZA INSTALACIÓN DE CORRESPONSAL, SE INSTALAN EQUIPOS CON PRUEBAS EXITOSAS, SE CAPACITA Y SE EVALÚA AL CLIENTE, SE INSTALA PUBLICIDAD COMPLETA, CB QUEDA OPERATIVO. USUARIO SOMOS BANCOLOMBIA ACTIVO"/>
    <s v="SOLER HOYOS CRISTIAN LEONARDO"/>
    <s v="VBZZZ285"/>
    <s v="TIPO II"/>
    <s v="TERRESTRE"/>
    <s v="SOLER HOYOS CRISTIAN LEONARDO"/>
    <n v="1"/>
    <n v="1"/>
    <n v="1"/>
    <n v="11251.22416"/>
    <n v="126317.12212"/>
    <n v="110808.27512000001"/>
    <n v="248376.6214"/>
  </r>
  <r>
    <s v="CALI"/>
    <x v="1"/>
    <x v="1"/>
    <n v="76001"/>
    <s v="TA-25-1005079"/>
    <n v="81060"/>
    <s v="APERTURA"/>
    <s v="CB CRECIMIENTO - OTRAS LISTAS"/>
    <s v="VALLE DEL CAUCA"/>
    <s v="CALI"/>
    <s v="BARRIO SANTA ISABEL CALI 3"/>
    <s v="REDEBAN"/>
    <s v="FO-25-1419047"/>
    <d v="2025-08-25T00:00:00"/>
    <d v="2025-08-26T00:00:00"/>
    <s v="UNO A UNO"/>
    <s v="UNO A UNO"/>
    <s v="EJECUTADO"/>
    <s v="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
    <s v="MONTERO MUESES GIAN CARLO"/>
    <s v="VBZZZ286"/>
    <s v="TIPO I"/>
    <s v="TERRESTRE"/>
    <s v="MONTERO MUESES GIAN CARLO"/>
    <n v="1"/>
    <n v="1"/>
    <n v="1"/>
    <n v="11251.22416"/>
    <n v="126317.12212"/>
    <n v="57411.974240000003"/>
    <n v="194980.32052000001"/>
  </r>
  <r>
    <s v="CALI"/>
    <x v="1"/>
    <x v="1"/>
    <n v="76520"/>
    <s v="TA-25-1005081"/>
    <n v="81090"/>
    <s v="APERTURA"/>
    <s v="CB CRECIMIENTO - OTRAS LISTAS"/>
    <s v="VALLE DEL CAUCA"/>
    <s v="PALMIRA"/>
    <s v="BARRIO POPULAR MODELO PALMIRA"/>
    <s v="REDEBAN"/>
    <s v="FO-25-1419050"/>
    <d v="2025-08-25T00:00:00"/>
    <d v="2025-08-26T00:00:00"/>
    <s v="UNO A UNO"/>
    <s v="UNO A UNO"/>
    <s v="EJECUTADO"/>
    <s v="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
    <s v="BOLAÑOS TABORDA JORGE ENRIQUE"/>
    <s v="VBZZZ287"/>
    <s v="TIPO I"/>
    <s v="TERRESTRE"/>
    <s v="BOLAÑOS TABORDA JORGE ENRIQUE"/>
    <n v="1"/>
    <n v="1"/>
    <n v="1"/>
    <n v="11251.22416"/>
    <n v="126317.12212"/>
    <n v="57411.974240000003"/>
    <n v="194980.32052000001"/>
  </r>
  <r>
    <s v="CUCUTA"/>
    <x v="3"/>
    <x v="3"/>
    <n v="54313"/>
    <s v="TA-25-1033965"/>
    <n v="81205"/>
    <s v="APERTURA"/>
    <s v="CB CRECIMIENTO - NUEVO"/>
    <s v="NORTE DE SANTANDER"/>
    <s v="GRAMALOTE"/>
    <s v="BARRIO GRAMALOTE GRAMALOTE"/>
    <s v="REDEBAN"/>
    <s v="FO-25-1432951"/>
    <d v="2025-08-27T00:00:00"/>
    <d v="2025-08-29T00:00:00"/>
    <s v="UNO A UNO"/>
    <s v="UNO A UNO"/>
    <s v="EJECUTADO"/>
    <s v="27-08-2025 SE REALIZA LLAMADA AL CLIENTE, SE HABLA CON LA SRA BELKIS XIOMARA MEZA TORRES SE VALIDA DIRECCIÓN OK, CANAL OK, DISPONIBILIDAD TOTAL, LLAMAR EL DÍA LA INSTALACIÓN PARA CONFIRMAR VISITA, AVISO EXTERIOR ALTURA APROX 3 METROS; TOMACORRIENTE CERCANO: SI; TIENE CABINA DE SEGURIDAD: SI // CONTACTO REALIZADO POR LA APP 28-08 SE COMUNICA CON LA CLIENTE BELKIS XIOMARA AL #3044403270, NOS COMUNICA QUE EL DIA DE HOY NO PUEDE ATENDER LA VISITA YA QUE EN EL PUEBLO NO HAY LUZ, Y LLEGA HASTA DESPUES DE LAS 6 PM, SE PROGRAMA VISITA PARA EL DIA DE MAÑANA 29/08 29/08/2025 SE REALIZA INSTALACIÓN DE CORRESPONSAL, SE INSTALAN EQUIPOS CON PRUEBAS EXITOSAS, SE CAPACITA Y SE EVALÚA AL CLIENTE, SE INSTALA PUBLICIDAD COMPLETA, CB QUEDA OPERATIVO. USUARIO SOMOS BANCOLOMBIA ACTIVO"/>
    <s v="NARANJO AFANADOR RUBEN JESUS"/>
    <s v="FKZZZ630"/>
    <s v="TIPO II"/>
    <s v="TERRESTRE"/>
    <s v="NARANJO AFANADOR RUBEN JESUS"/>
    <n v="1"/>
    <n v="1"/>
    <n v="1"/>
    <n v="11251.22416"/>
    <n v="126317.12212"/>
    <n v="110808.27512000001"/>
    <n v="248376.6214"/>
  </r>
  <r>
    <s v="SANTA MARTA"/>
    <x v="4"/>
    <x v="4"/>
    <n v="47030"/>
    <s v="TA-25-1033968"/>
    <n v="81182"/>
    <s v="APERTURA"/>
    <s v="CB CRECIMIENTO - NUEVO"/>
    <s v="MAGDALENA"/>
    <s v="ALGARROBO"/>
    <s v="BARRIO CENTRO ALGARROBO 1"/>
    <s v="REDEBAN"/>
    <s v="FO-25-1432956"/>
    <d v="2025-08-27T00:00:00"/>
    <d v="2025-08-28T00:00:00"/>
    <s v="UNO A UNO"/>
    <s v="UNO A UNO"/>
    <s v="EJECUTADO"/>
    <s v="26-08 SE REALIZA LLAMADA AL CLIENTE, SE HABLA CON EL SR  MIGUEL ANGEL VILLEGAS YEPES SE VALIDA DIRECCIÓN OK, CANAL OK, DISPONIBILIDAD TOTAL, LLAMAR EL DÍA DE LA INSTALACIÓN PARA CONFIRMAR VISITA, AVISO EXTERIOR 2,5 METROS APROX; TOMACORRIENTE CERCANO: SI; TIENE CABINA DE SEGURIDAD: NO 28/08/2025 SE REALIZA INSTALACIÓN DE CORRESPONSAL, SE INSTALAN EQUIPOS CON PRUEBAS EXITOSAS, SE CAPACITA Y SE EVALÚA AL CLIENTE, SE INSTALA PUBLICIDAD COMPLETA, CB QUEDA OPERATIVO. USUARIO SOMOS BANCOLOMBIA ACTIVO"/>
    <s v="THOMAS  CAMPO SIGIFREDO SEGUNDO"/>
    <s v="FKZZZ631"/>
    <s v="TIPO IV"/>
    <s v="TERRESTRE"/>
    <s v="THOMAS  CAMPO SIGIFREDO SEGUNDO"/>
    <n v="1"/>
    <n v="1"/>
    <n v="1"/>
    <n v="11251.22416"/>
    <n v="126317.12212"/>
    <n v="110808.27512000001"/>
    <n v="248376.6214"/>
  </r>
  <r>
    <s v="NEIVA"/>
    <x v="0"/>
    <x v="0"/>
    <n v="41298"/>
    <s v="TA-25-1033971"/>
    <n v="81204"/>
    <s v="APERTURA"/>
    <s v="CB CRECIMIENTO - NUEVO"/>
    <s v="HUILA"/>
    <s v="GARZON"/>
    <s v="BARRIO GUADUALES GARZON"/>
    <s v="REDEBAN"/>
    <s v="FO-25-1432962"/>
    <d v="2025-08-27T00:00:00"/>
    <d v="2025-08-28T00:00:00"/>
    <s v="UNO A UNO"/>
    <s v="UNO A UNO"/>
    <s v="EJECUTADO"/>
    <s v="27-08-2025 SE REALIZA LLAMADA AL CLIENTE, SE HABLA CON LA SRA LINA MARCELA LOPEZ CUELLAR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 v="ANDRADE HERNANDEZ JUAN CARLOS"/>
    <s v="FKZZZ632"/>
    <s v="TIPO III"/>
    <s v="TERRESTRE"/>
    <s v="ANDRADE HERNANDEZ JUAN CARLOS"/>
    <n v="1"/>
    <n v="1"/>
    <n v="1"/>
    <n v="11251.22416"/>
    <n v="126317.12212"/>
    <n v="110808.27512000001"/>
    <n v="248376.6214"/>
  </r>
  <r>
    <s v="IBAGUE"/>
    <x v="0"/>
    <x v="0"/>
    <n v="73319"/>
    <s v="TA-25-1033972"/>
    <n v="81206"/>
    <s v="APERTURA"/>
    <s v="CB CRECIMIENTO - NUEVO"/>
    <s v="TOLIMA"/>
    <s v="GUAMO"/>
    <s v="BARRIO SANTA ANA GUAMO 2"/>
    <s v="REDEBAN"/>
    <s v="FO-25-1432965"/>
    <d v="2025-08-27T00:00:00"/>
    <d v="2025-08-28T00:00:00"/>
    <s v="UNO A UNO"/>
    <s v="UNO A UNO"/>
    <s v="EJECUTADO"/>
    <s v="27-08-2025 SE REALIZA LLAMADA AL CLIENTE, SE HABLA CON EL SR EDGAR ANDRES HIMBOL QUIÑONES SE VALIDA DIRECCIÓN OK, CANAL OK, DISPONIBILIDAD TOTAL, LLAMAR EL DÍA LA INSTALACIÓN PARA CONFIRMAR VISITA, AVISO EXTERIOR ALTURA APROX 2,50 METROS; TOMACORRIENTE CERCANO: SI; TIENE CABINA DE SEGURIDAD: SI // CONTACTO REALIZADO POR LA APP 28/08/2025 SE REALIZA INSTALACIÓN DE CORRESPONSAL, SE INSTALAN EQUIPOS CON PRUEBAS EXITOSAS, SE CAPACITA Y SE EVALÚA AL CLIENTE, SE INSTALA PUBLICIDAD COMPLETA, CB QUEDA OPERATIVO. USUARIO SOMOS BANCOLOMBIA ACTIVO"/>
    <s v="GUTIERREZ  CAMILO ANDRES"/>
    <s v="FKZZZ633"/>
    <s v="TIPO II"/>
    <s v="TERRESTRE"/>
    <s v="GUTIERREZ  CAMILO ANDRES"/>
    <n v="1"/>
    <n v="1"/>
    <n v="1"/>
    <n v="11251.22416"/>
    <n v="126317.12212"/>
    <n v="110808.27512000001"/>
    <n v="248376.6214"/>
  </r>
  <r>
    <s v="TUNJA"/>
    <x v="3"/>
    <x v="3"/>
    <n v="68271"/>
    <s v="TA-25-1033973"/>
    <n v="81202"/>
    <s v="APERTURA"/>
    <s v="CB CRECIMIENTO - NUEVO"/>
    <s v="SANTANDER"/>
    <s v="FLORIAN"/>
    <s v="BARRIO CENTRO FLORIAN 1"/>
    <s v="REDEBAN"/>
    <s v="FO-25-1432972"/>
    <d v="2025-08-27T00:00:00"/>
    <d v="2025-08-29T00:00:00"/>
    <s v="UNO A UNO"/>
    <s v="UNO A UNO"/>
    <s v="EJECUTADO"/>
    <s v="27-08-2025 SE REALIZA LLAMADA AL CLIENTE, SE HABLA CON EL SR CARLOS ALBERTO DIAZ MELO SE VALIDA DIRECCIÓN OK, CANAL OK, DISPONIBILIDAD TOTAL, LLAMAR EL DÍA LA INSTALACIÓN PARA CONFIRMAR VISITA, AVISO EXTERIOR ALTURA APROX 2,50 METROS; TOMACORRIENTE CERCANO: SI; TIENE CABINA DE SEGURIDAD: SI // CONTACTO REALIZADO POR LA APP 29/08/2025 SE REALIZA INSTALACIÓN DE CORRESPONSAL, SE INSTALAN EQUIPOS CON PRUEBAS EXITOSAS, SE CAPACITA Y SE EVALÚA AL CLIENTE, SE INSTALA PUBLICIDAD COMPLETA, CB QUEDA OPERATIVO. USUARIO SOMOS BANCOLOMBIA ACTIVO"/>
    <s v="SOLER HOYOS CRISTIAN LEONARDO"/>
    <s v="FKZZZ634"/>
    <s v="TIPO IV"/>
    <s v="TERRESTRE"/>
    <s v="SOLER HOYOS CRISTIAN LEONARDO"/>
    <n v="1"/>
    <n v="1"/>
    <n v="1"/>
    <n v="11251.22416"/>
    <n v="126317.12212"/>
    <n v="110808.27512000001"/>
    <n v="248376.6214"/>
  </r>
  <r>
    <s v="BOGOTA"/>
    <x v="5"/>
    <x v="5"/>
    <n v="25200"/>
    <s v="TA-25-1033975"/>
    <n v="81207"/>
    <s v="APERTURA"/>
    <s v="CB CRECIMIENTO - NUEVO"/>
    <s v="CUNDINAMARCA"/>
    <s v="COGUA"/>
    <s v="BARRIO CENTRO COGUA 9"/>
    <s v="REDEBAN"/>
    <s v="FO-25-1432985"/>
    <d v="2025-08-27T00:00:00"/>
    <d v="2025-08-28T00:00:00"/>
    <s v="UNO A UNO"/>
    <s v="UNO A UNO"/>
    <s v="EJECUTADO"/>
    <s v="27-08-2025 SE REALIZA LLAMADA AL CLIENTE, SE HABLA CON LA SRA DIANA NATALY CASAS MENDIETA SE VALIDA DIRECCIÓN OK, CANAL OK, DISPONIBILIDAD TOTAL, LLAMAR EL DÍA LA INSTALACIÓN PARA CONFIRMAR VISITA, AVISO EXTERIOR ALTURA APROX 4 METROS; TOMACORRIENTE CERCANO: SI; TIENE CABINA DE SEGURIDAD: SI // CONTACTO REALIZADO POR LA APP 28-08 SE REALIZA INSTALACIÓN DE CORRESPONSAL, SE INSTALAN EQUIPOS CON PRUEBAS EXITOSAS, SE CAPACITA Y SE EVALÚA AL CLIENTE, SE INSTALA PUBLICIDAD COMPLETA, CB QUEDA OPERATIVO. USUARIO SOMOS BANCOLOMBIA ACTIVO"/>
    <s v="MURCIA HERNANDEZ HARVEY IGNACIO"/>
    <s v="FKZZZ636"/>
    <s v="TIPO II"/>
    <s v="TERRESTRE"/>
    <s v="MURCIA HERNANDEZ HARVEY IGNACIO"/>
    <n v="1"/>
    <n v="1"/>
    <n v="1"/>
    <n v="11251.22416"/>
    <n v="126317.12212"/>
    <n v="110808.27512000001"/>
    <n v="248376.6214"/>
  </r>
  <r>
    <s v="BOGOTA"/>
    <x v="5"/>
    <x v="5"/>
    <n v="25430"/>
    <s v="TA-25-1033976"/>
    <n v="81210"/>
    <s v="APERTURA"/>
    <s v="CB CRECIMIENTO - NUEVO"/>
    <s v="CUNDINAMARCA"/>
    <s v="MADRID"/>
    <s v="BARRIO SAN JOSE MADRID MADRID"/>
    <s v="REDEBAN"/>
    <s v="FO-25-1432992"/>
    <d v="2025-08-27T00:00:00"/>
    <d v="2025-08-28T00:00:00"/>
    <s v="UNO A UNO"/>
    <s v="UNO A UNO"/>
    <s v="EJECUTADO"/>
    <s v="27-08-2025 SE REALIZA LLAMADA AL CLIENTE, SE HABLA CON EL SR IVAN DARIO GOMEZ SANDOVAL SE VALIDA DIRECCIÓN OK, CANAL OK, DISPONIBILIDAD TOTAL, LLAMAR EL DÍA LA INSTALACIÓN PARA CONFIRMAR VISITA, AVISO EXTERIOR ALTURA APROX 2 METROS; TOMACORRIENTE CERCANO: SI; TIENE CABINA DE SEGURIDAD: NO // CONTACTO REALIZADO POR LA APP 28/08/2025 ESTANDO EN SITIO PARA REALIZAR APERTURA REDEBAN 3007081210 BARRIO SAN JOSE MADRID MADRID, EL COMERCIO TIENE NOMBRE EN UN PENDON, ADJUNTO CÁMARA DE COMERCIO + REGISTRO FOTOGRÁFICO. / POR FAVOR INSTALAR LA VINCULACIÓN YA QUE SE EVIDENCIA QUE EL COMERCIO TIENE EL AVISO CON EL NOMBRE DEL ESTABLECIMIENTO.  28/08/2025 SE REALIZA INSTALACIÓN DE CORRESPONSAL, SE INSTALAN EQUIPOS CON PRUEBAS EXITOSAS, SE CAPACITA Y SE EVALÚA AL CLIENTE, SE INSTALA PUBLICIDAD COMPLETA, CB QUEDA OPERATIVO. USUARIO SOMOS BANCOLOMBIA ACTIVO. NO SE PUEDE REALIZAR CONSULTA DE SALGO NO SE CUÁNTA CON TARJETA NI RECAUDO SIN FACTURAS PARA PAGAR"/>
    <s v="GOMEZ VEGA DAVID SNEYDER"/>
    <s v="FKZZZ637"/>
    <s v="TIPO II"/>
    <s v="TERRESTRE"/>
    <s v="GOMEZ VEGA DAVID SNEYDER"/>
    <n v="1"/>
    <n v="1"/>
    <n v="1"/>
    <n v="11251.22416"/>
    <n v="126317.12212"/>
    <n v="110808.27512000001"/>
    <n v="248376.6214"/>
  </r>
  <r>
    <s v="BOGOTA"/>
    <x v="5"/>
    <x v="5"/>
    <n v="11001"/>
    <s v="TA-25-1033977"/>
    <n v="81187"/>
    <s v="APERTURA"/>
    <s v="CAMBIO DE RAZON SOCIAL"/>
    <s v="CUNDINAMARCA"/>
    <s v="BOGOTA"/>
    <s v="BARRIO LA ESMERALDA BOGOTA 7"/>
    <s v="REDEBAN"/>
    <s v="FO-25-1432997"/>
    <d v="2025-08-27T00:00:00"/>
    <d v="2025-08-29T00:00:00"/>
    <s v="UNO A UNO"/>
    <s v="UNO A UNO"/>
    <s v="EJECUTADO"/>
    <s v="27-08-2025 SE REALIZA LLAMADA AL CLIENTE, SE HABLA CON EL SR CAMILO EDUARDO PINZON CASTILLO SE VALIDA DIRECCIÓN OK, CANAL OK, DISPONIBILIDAD TOTAL, LLAMAR EL DÍA LA INSTALACIÓN PARA CONFIRMAR VISITA, AVISO EXTERIOR ALTURA APROX 2 METROS; TOMACORRIENTE CERCANO: SI; TIENE CABINA DE SEGURIDAD: NO // CONTACTO REALIZADO POR LA APP 29/08/2025 SE REALIZA INSTALACIÓN DE CORRESPONSAL, SE INSTALAN EQUIPOS CON PRUEBAS EXITOSAS, SE CAPACITA Y SE EVALÚA AL CLIENTE, SE INSTALA PUBLICIDAD COMPLETA, CB QUEDA OPERATIVO. USUARIO SOMOS BANCOLOMBIA ACTIVO"/>
    <s v="LOZADA ROJAS CHRISTIAN ANDRES"/>
    <s v="FKZZZ638"/>
    <s v="TIPO I"/>
    <s v="TERRESTRE"/>
    <s v="LOZADA ROJAS CHRISTIAN ANDRES"/>
    <n v="1"/>
    <n v="1"/>
    <n v="1"/>
    <n v="11251.22416"/>
    <n v="126317.12212"/>
    <n v="57411.974240000003"/>
    <n v="194980.32052000001"/>
  </r>
  <r>
    <s v="BOGOTA"/>
    <x v="5"/>
    <x v="5"/>
    <n v="25290"/>
    <s v="TA-25-1033978"/>
    <n v="81203"/>
    <s v="APERTURA"/>
    <s v="CB CRECIMIENTO - NUEVO"/>
    <s v="CUNDINAMARCA"/>
    <s v="FUSAGASUGA"/>
    <s v="BARRIO VILLA LADY FUSAGASUGA"/>
    <s v="REDEBAN"/>
    <s v="FO-25-1433002"/>
    <d v="2025-08-27T00:00:00"/>
    <d v="2025-08-29T00:00:00"/>
    <s v="UNO A UNO"/>
    <s v="UNO A UNO"/>
    <s v="EJECUTADO"/>
    <s v="27-08-2025 SE REALIZA LLAMADA AL CLIENTE, SE HABLA CON LA SRA SOFIA LALINDE SARMIENTO SE VALIDA DIRECCIÓN OK, CANAL OK, DISPONIBILIDAD TOTAL, LLAMAR EL DÍA LA INSTALACIÓN PARA CONFIRMAR VISITA, AVISO EXTERIOR ALTURA APROX 2 METROS; TOMACORRIENTE CERCANO: SI; TIENE CABINA DE SEGURIDAD: SI // CONTACTO REALIZADO POR LA APP 28-09 ESTABLECERMOS COMUNICACION TELÉFONICA CON LA CLIENTE SOFÍA LALINDE 3176035897 SE LE INDICA QUE SE LE VISITARÁ. EL DÍA DE MAÑANA YA QUE HAY PROBLEMAS EN LA VÍA DEVIDO  AL ROPTURA DE UN TUBO DE GAS NATURAL Y NO HAY PASO SE LE INDICA AL COORDINADOR WILLIAM ROZO QUIEN AUTORIZA 29/08/2025 SE REALIZA INSTALACIÓN DE CORRESPONSAL, SE INSTALAN EQUIPOS CON PRUEBAS EXITOSAS, SE CAPACITA Y SE EVALÚA AL CLIENTE, SE INSTALA PUBLICIDAD COMPLETA, CB QUEDA OPERATIVO. USUARIO SOMOS BANCOLOMBIA ACTIVO"/>
    <s v="HERNANDEZ NARANJO OSCAR EDUARDO"/>
    <s v="FKZZZ639"/>
    <s v="TIPO II"/>
    <s v="TERRESTRE"/>
    <s v="HERNANDEZ NARANJO OSCAR EDUARDO"/>
    <n v="1"/>
    <n v="1"/>
    <n v="1"/>
    <n v="11251.22416"/>
    <n v="126317.12212"/>
    <n v="110808.27512000001"/>
    <n v="248376.6214"/>
  </r>
  <r>
    <s v="MANIZALES"/>
    <x v="1"/>
    <x v="6"/>
    <n v="17616"/>
    <s v="TA-25-1033982"/>
    <n v="81240"/>
    <s v="APERTURA"/>
    <s v="CB CRECIMIENTO - NUEVO"/>
    <s v="CALDAS"/>
    <s v="RISARALDA"/>
    <s v="BARRIO CENTRO RISARALDA 2"/>
    <s v="REDEBAN"/>
    <s v="FO-25-1433008"/>
    <d v="2025-08-27T00:00:00"/>
    <d v="2025-08-28T00:00:00"/>
    <s v="UNO A UNO"/>
    <s v="UNO A UNO"/>
    <s v="EJECUTADO"/>
    <s v="27-08-2025 SE REALIZA LLAMADA AL CLIENTE, SE HABLA CON LA SRA LEIDY YOHANNA SANCHEZ BETANCUR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CAPACITA Y SE EVALÚA AL CLIENTE, SE INSTALA PUBLICIDAD COMPLETA, CB QUEDA OPERATIVO. USUARIO SOMOS BANCOLOMBIA ACTIVO. SE HACEN PRUEBA DE CONSULTA DE SALDO SOLAMENTE YA QUE USUARIO NO CUENTA CON LAS HERRAMIENTAS PARA REALIZAR LAS DEMAS PRUEBAS(RETIRO,RECAUDO, TRANSFERENCIA) SERVICIO OK"/>
    <s v="AGUIRRE HENAO RAUL EDUARDO"/>
    <s v="FKZZZ640"/>
    <s v="TIPO II"/>
    <s v="TERRESTRE"/>
    <s v="AGUIRRE HENAO RAUL EDUARDO"/>
    <n v="1"/>
    <n v="1"/>
    <n v="1"/>
    <n v="11251.22416"/>
    <n v="126317.12212"/>
    <n v="110808.27512000001"/>
    <n v="248376.6214"/>
  </r>
  <r>
    <s v="TUNJA"/>
    <x v="3"/>
    <x v="3"/>
    <n v="15835"/>
    <s v="TA-25-1033983"/>
    <n v="81250"/>
    <s v="APERTURA"/>
    <s v="CB CRECIMIENTO - NUEVO"/>
    <s v="BOYACA"/>
    <s v="TURMEQUE"/>
    <s v="BARRIO LA PLAZA CENTRO TURMEQUE"/>
    <s v="REDEBAN"/>
    <s v="FO-25-1433014"/>
    <d v="2025-08-27T00:00:00"/>
    <d v="2025-08-28T00:00:00"/>
    <s v="UNO A UNO"/>
    <s v="UNO A UNO"/>
    <s v="EJECUTADO"/>
    <s v="27-08-2025 SE REALIZA LLAMADA AL CLIENTE, SE HABLA CON LA SRA FLORINDA LARA GUATAQUIRA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E INSTALA ROUTER E0682019513003931"/>
    <s v="GONZALEZ GONZALEZ MARIO ALBERTO"/>
    <s v="FKZZZ641"/>
    <s v="TIPO II"/>
    <s v="TERRESTRE"/>
    <s v="GONZALEZ GONZALEZ MARIO ALBERTO"/>
    <n v="1"/>
    <n v="1"/>
    <n v="1"/>
    <n v="11251.22416"/>
    <n v="126317.12212"/>
    <n v="110808.27512000001"/>
    <n v="248376.6214"/>
  </r>
  <r>
    <s v="PASTO"/>
    <x v="1"/>
    <x v="1"/>
    <n v="52256"/>
    <s v="TA-25-1033984"/>
    <n v="81200"/>
    <s v="APERTURA"/>
    <s v="CB CRECIMIENTO - NUEVO"/>
    <s v="NARIÑO"/>
    <s v="EL ROSARIO"/>
    <s v="BARRIO SAGRADO CORAZON DE JESUS EL ROSARIO"/>
    <s v="REDEBAN"/>
    <s v="FO-25-1433021"/>
    <d v="2025-08-27T00:00:00"/>
    <d v="2025-08-29T00:00:00"/>
    <s v="UNO A UNO"/>
    <s v="UNO A UNO"/>
    <s v="EJECUTADO"/>
    <s v="27-08 SE REALIZA LLAMADA AL CLIENTE, SE HABLA CON LA SRA YULIANA ÑAÑEZ POPAYAN SE VALIDA DIRECCIÓN OK, CANAL OK, DISPONIBILIDAD TOTAL, LLAMAR EL DÍA LA INSTALACIÓN PARA CONFIRMAR VISITA, AVISO EXTERIOR ALTURA: 2,60 ; TOMACORRIENTE CERCANO: SI; TIENE CABINA DE SEGURIDAD: NO - COMUNICACIÓN POR WPP / EL MODEM ESTA A 4 MT  29/08/2025 SE REALIZA INSTALACIÓN DE CORRESPONSAL, SE INSTALAN EQUIPOS CON PRUEBAS EXITOSAS, SE CAPACITA Y SE EVALÚA AL CLIENTE, SE INSTALA PUBLICIDAD COMPLETA, CB QUEDA OPERATIVO. USUARIO SOMOS BANCOLOMBIA ACTIVO"/>
    <s v="CASTILLO HERRERA ALEX RICARDO"/>
    <s v="FKZZZ642"/>
    <s v="TIPO II"/>
    <s v="TERRESTRE"/>
    <s v="CASTILLO HERRERA ALEX RICARDO"/>
    <n v="1"/>
    <n v="1"/>
    <n v="1"/>
    <n v="11251.22416"/>
    <n v="126317.12212"/>
    <n v="110808.27512000001"/>
    <n v="248376.6214"/>
  </r>
  <r>
    <s v="BOGOTA"/>
    <x v="5"/>
    <x v="5"/>
    <n v="25279"/>
    <s v="TA-25-1033986"/>
    <n v="81209"/>
    <s v="APERTURA"/>
    <s v="CB CRECIMIENTO - NUEVO"/>
    <s v="CUNDINAMARCA"/>
    <s v="FOMEQUE"/>
    <s v="BARRIO CENTRO FOMEQUE FOMEQUE"/>
    <s v="REDEBAN"/>
    <s v="FO-25-1433033"/>
    <d v="2025-08-27T00:00:00"/>
    <d v="2025-08-28T00:00:00"/>
    <s v="UNO A UNO"/>
    <s v="UNO A UNO"/>
    <s v="EJECUTADO"/>
    <s v="27-08-2025 SE REALIZA LLAMADA AL CLIENTE, SE HABLA CON EL SR ISAURO SABALA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HACE SOLO UNA CONSULTA DE SALDO Y SE VA EN INTERNET, SE CAPACITA Y SE EVALÚA AL CLIENTE, SE INSTALA PUBLICIDAD COMPLETA, CB QUEDA OPERATIVO. USUARIO SOMOS BANCOLOMBIA ACTIVO. INTERNET DEL CLIENTE CON FALLAS SE INDICA PEDIR SERVICIO TÉCNICO PARA VALIDAR SE HACE SOLO UNA CONSULTA DE SALDO Y SE VA EL INTERNET"/>
    <s v="BUSTOS MORA DIEGO MANUEL"/>
    <s v="FKZZZ644"/>
    <s v="TIPO II"/>
    <s v="TERRESTRE"/>
    <s v="BUSTOS MORA DIEGO MANUEL"/>
    <n v="1"/>
    <n v="1"/>
    <n v="1"/>
    <n v="11251.22416"/>
    <n v="126317.12212"/>
    <n v="110808.27512000001"/>
    <n v="248376.6214"/>
  </r>
  <r>
    <s v="PEREIRA"/>
    <x v="1"/>
    <x v="6"/>
    <n v="76100"/>
    <s v="TA-25-1033988"/>
    <n v="81192"/>
    <s v="APERTURA"/>
    <s v="CB CRECIMIENTO - NUEVO"/>
    <s v="VALLE DEL CAUCA"/>
    <s v="BOLIVAR"/>
    <s v="BARRIO NARANJAL BOLIVAR 1"/>
    <s v="REDEBAN"/>
    <s v="FO-25-1433043"/>
    <d v="2025-08-27T00:00:00"/>
    <d v="2025-08-29T00:00:00"/>
    <s v="UNO A UNO"/>
    <s v="UNO A UNO"/>
    <s v="EJECUTADO"/>
    <s v="27-08-2025 SE REALIZA LLAMADA AL CLIENTE, SE HABLA CON LA SRA JENNY JOHANA AGUDELO TORRES  SE VALIDA DIRECCIÓN OK, CANAL OK, DISPONIBILIDAD TOTAL, LLAMAR EL DÍA LA INSTALACIÓN PARA CONFIRMAR VISITA, AVISO EXTERIOR ALTURA APROX 1,5 METROS; TOMACORRIENTE CERCANO: SI; TIENE CABINA DE SEGURIDAD: SI  29/08/2025 EN LA VISITA REALIZADA POR EL TECNICO EN EL SITIO SE EVIDENCIA QUE EN EL PUNTO NO CUENTA CON AVISO DEL NOMBRE DEL COMERCIO, NI NOMENCLATURA EN LA FACHADA.  / ENTIDAD APRUEBA INSTALACIÓN 29/08/2025 SE REALIZA INSTALACIÓN DE CORRESPONSAL, SE INSTALAN EQUIPOS CON PRUEBAS EXITOSAS, SE CAPACITA Y SE EVALÚA AL CLIENTE, SE INSTALA PUBLICIDAD COMPLETA, CB QUEDA OPERATIVO. USUARIO SOMOS BANCOLOMBIA ACTIVO"/>
    <s v="PAREDES CASTILLO DIEGO"/>
    <s v="FKZZZ647"/>
    <s v="TIPO II"/>
    <s v="TERRESTRE"/>
    <s v="PAREDES CASTILLO DIEGO"/>
    <n v="1"/>
    <n v="1"/>
    <n v="1"/>
    <n v="11251.22416"/>
    <n v="126317.12212"/>
    <n v="110808.27512000001"/>
    <n v="248376.6214"/>
  </r>
  <r>
    <s v="MEDELLIN"/>
    <x v="2"/>
    <x v="2"/>
    <n v="5212"/>
    <s v="TA-25-1033989"/>
    <n v="81199"/>
    <s v="APERTURA"/>
    <s v="CAMBIO DE RAZON SOCIAL"/>
    <s v="ANTIOQUIA"/>
    <s v="COPACABANA"/>
    <s v="BARRIO VRD ZARZAL LA LUZ COPACABANA"/>
    <s v="REDEBAN"/>
    <s v="FO-25-1433048"/>
    <d v="2025-08-27T00:00:00"/>
    <d v="2025-08-29T00:00:00"/>
    <s v="UNO A UNO"/>
    <s v="UNO A UNO"/>
    <s v="EJECUTADO"/>
    <s v="27-08-2025 SE REALIZA LLAMADA AL CLIENTE, SE HABLA CON LA SRA ZULY YULIANA CASTAÑO PUERTA SE VALIDA DIRECCIÓN OK, CANAL OK, DISPONIBILIDAD TOTAL, LLAMAR EL DÍA LA INSTALACIÓN PARA CONFIRMAR VISITA, AVISO EXTERIOR ALTURA APROX 2,5 METROS; TOMACORRIENTE CERCANO: SI; TIENE CABINA DE SEGURIDAD: SI  29/08/2025 SE REALIZA INSTALACIÓN DE CORRESPONSAL, SE INSTALAN EQUIPOS CON PRUEBAS EXITOSAS, SE CAPACITA Y SE EVALÚA AL CLIENTE, SE INSTALA PUBLICIDAD COMPLETA, CB QUEDA OPERATIVO. USUARIO SOMOS BANCOLOMBIA ACTIVO"/>
    <s v="QUINTERO SANCHEZ JUAN SEBASTIAN"/>
    <s v="FKZZZ648"/>
    <s v="TIPO I"/>
    <s v="TERRESTRE"/>
    <s v="QUINTERO SANCHEZ JUAN SEBASTIAN"/>
    <n v="1"/>
    <n v="1"/>
    <n v="1"/>
    <n v="11251.22416"/>
    <n v="126317.12212"/>
    <n v="57411.974240000003"/>
    <n v="194980.32052000001"/>
  </r>
  <r>
    <s v="PEREIRA"/>
    <x v="1"/>
    <x v="6"/>
    <n v="63001"/>
    <s v="TA-25-1033992"/>
    <n v="81184"/>
    <s v="APERTURA"/>
    <s v="CB CRECIMIENTO - NUEVO"/>
    <s v="QUINDIO"/>
    <s v="ARMENIA"/>
    <s v="BARRIO ESMERALDA ARMENIA"/>
    <s v="REDEBAN"/>
    <s v="FO-25-1433065"/>
    <d v="2025-08-27T00:00:00"/>
    <d v="2025-08-28T00:00:00"/>
    <s v="UNO A UNO"/>
    <s v="UNO A UNO"/>
    <s v="EJECUTADO"/>
    <s v="27-08-2025 SE REALIZA LLAMADA AL CLIENTE, SE HABLA CON EL SR JAUMBER DUNOT GUTIERREZ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
    <s v="SANCHEZ SOLORZANO JUAN SEBASTIAN"/>
    <s v="FKZZZ650"/>
    <s v="TIPO II"/>
    <s v="TERRESTRE"/>
    <s v="SANCHEZ SOLORZANO JUAN SEBASTIAN"/>
    <n v="1"/>
    <n v="1"/>
    <n v="1"/>
    <n v="11251.22416"/>
    <n v="126317.12212"/>
    <n v="110808.27512000001"/>
    <n v="248376.6214"/>
  </r>
  <r>
    <s v="CALI"/>
    <x v="1"/>
    <x v="1"/>
    <n v="76520"/>
    <s v="TA-25-1033993"/>
    <n v="81213"/>
    <s v="APERTURA"/>
    <s v="CB CRECIMIENTO - NUEVO"/>
    <s v="VALLE DEL CAUCA"/>
    <s v="PALMIRA"/>
    <s v="BARRIO EL BOSQUE PALMIRA 1"/>
    <s v="REDEBAN"/>
    <s v="FO-25-1433073"/>
    <d v="2025-08-27T00:00:00"/>
    <d v="2025-08-28T00:00:00"/>
    <s v="UNO A UNO"/>
    <s v="UNO A UNO"/>
    <s v="EJECUTADO"/>
    <s v="27-08-2025 SE REALIZA LLAMADA AL CLIENTE, SE HABLA CON LA SRA BERTHA LIGIA PANTOJA ERAZO SE VALIDA DIRECCIÓN OK, CANAL OK, DISPONIBILIDAD TOTAL, LLAMAR EL DÍA LA INSTALACIÓN PARA CONFIRMAR VISITA, AVISO EXTERIOR ALTURA NO INDICA ALTURA; TOMACORRIENTE CERCANO: SI; TIENE CABINA DE SEGURIDAD: SI  28/08/2025 SE REALIZA INSTALACIÓN DE CORRESPONSAL, SE INSTALAN EQUIPOS CON PRUEBAS EXITOSAS, SE CAPACITA Y SE EVALÚA AL CLIENTE, SE INSTALA PUBLICIDAD COMPLETA, CB QUEDA OPERATIVO. USUARIO SOMOS BANCOLOMBIA ACTIVO"/>
    <s v="TORRES GARCIA JENDRY JOSE"/>
    <s v="FKZZZ651"/>
    <s v="TIPO I"/>
    <s v="TERRESTRE"/>
    <s v="TORRES GARCIA JENDRY JOSE"/>
    <n v="1"/>
    <n v="1"/>
    <n v="1"/>
    <n v="11251.22416"/>
    <n v="126317.12212"/>
    <n v="57411.974240000003"/>
    <n v="194980.32052000001"/>
  </r>
  <r>
    <s v="CALI"/>
    <x v="1"/>
    <x v="1"/>
    <n v="76001"/>
    <s v="TA-25-1033994"/>
    <n v="81193"/>
    <s v="APERTURA"/>
    <s v="CB CRECIMIENTO - NUEVO"/>
    <s v="VALLE DEL CAUCA"/>
    <s v="CALI"/>
    <s v="BARRIO ULPIANO LLOREDA CALI 1"/>
    <s v="REDEBAN"/>
    <s v="FO-25-1433077"/>
    <d v="2025-08-27T00:00:00"/>
    <d v="2025-08-28T00:00:00"/>
    <s v="UNO A UNO"/>
    <s v="UNO A UNO"/>
    <s v="EJECUTADO"/>
    <s v="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
    <s v="BOLAÑOS TABORDA JORGE ENRIQUE"/>
    <s v="FKZZZ652"/>
    <s v="TIPO I"/>
    <s v="TERRESTRE"/>
    <s v="BOLAÑOS TABORDA JORGE ENRIQUE"/>
    <n v="1"/>
    <n v="1"/>
    <n v="1"/>
    <n v="11251.22416"/>
    <n v="126317.12212"/>
    <n v="57411.974240000003"/>
    <n v="194980.32052000001"/>
  </r>
  <r>
    <s v="BOGOTA"/>
    <x v="5"/>
    <x v="5"/>
    <n v="11001"/>
    <s v="TA-25-1033995"/>
    <n v="81190"/>
    <s v="APERTURA"/>
    <s v="CB CRECIMIENTO - NUEVO"/>
    <s v="CUNDINAMARCA"/>
    <s v="BOGOTA"/>
    <s v="BARRIO CAÑAVERALEJO BOGOTA 1"/>
    <s v="REDEBAN"/>
    <s v="FO-25-1433086"/>
    <d v="2025-08-27T00:00:00"/>
    <d v="2025-08-28T00:00:00"/>
    <s v="UNO A UNO"/>
    <s v="UNO A UNO"/>
    <s v="EJECUTADO"/>
    <s v="27-08-2025 SE REALIZA LLAMADA AL CLIENTE, SE HABLA CON LA SRA NUBIA YANETH ARENAS NARANJO SE VALIDA DIRECCIÓN OK, CANAL OK, DISPONIBILIDAD TOTAL, LLAMAR EL DÍA LA INSTALACIÓN PARA CONFIRMAR VISITA, AVISO EXTERIOR ALTURA APROX 3 METROS; TOMACORRIENTE CERCANO: SI; TIENE CABINA DE SEGURIDAD: SI  28/08/2025 SE REALIZA INSTALACIÓN DE CORRESPONSAL, SE INSTALAN EQUIPOS CON PRUEBAS EXITOSAS, SE CAPACITA Y SE EVALÚA AL CLIENTE, SE INSTALA PUBLICIDAD COMPLETA, CB QUEDA OPERATIVO. USUARIO SOMOS BANCOLOMBIA ACTIVO"/>
    <s v="HERNANDEZ NARANJO OSCAR EDUARDO"/>
    <s v="FKZZZ653"/>
    <s v="TIPO I"/>
    <s v="TERRESTRE"/>
    <s v="HERNANDEZ NARANJO OSCAR EDUARDO"/>
    <n v="1"/>
    <n v="1"/>
    <n v="1"/>
    <n v="11251.22416"/>
    <n v="126317.12212"/>
    <n v="57411.974240000003"/>
    <n v="194980.32052000001"/>
  </r>
  <r>
    <s v="BOGOTA"/>
    <x v="5"/>
    <x v="5"/>
    <n v="11001"/>
    <s v="TA-25-1033996"/>
    <n v="81191"/>
    <s v="APERTURA"/>
    <s v="CB CRECIMIENTO - NUEVO"/>
    <s v="CUNDINAMARCA"/>
    <s v="BOGOTA"/>
    <s v="BARRIO BILBAO BOGOTA 7"/>
    <s v="REDEBAN"/>
    <s v="FO-25-1433090"/>
    <d v="2025-08-27T00:00:00"/>
    <d v="2025-08-28T00:00:00"/>
    <s v="UNO A UNO"/>
    <s v="UNO A UNO"/>
    <s v="EJECUTADO"/>
    <s v="27-08-2025 SE REALIZA LLAMADA AL CLIENTE, SE HABLA CON EL SR HECTOR GONZALO CORTES PACHON SE VALIDA DIRECCIÓN OK, CANAL OK, DISPONIBILIDAD TOTAL, LLAMAR EL DÍA LA INSTALACIÓN PARA CONFIRMAR VISITA, AVISO EXTERIOR ALTURA APROX 3 METROS; TOMACORRIENTE CERCANO: SI; TIENE CABINA DE SEGURIDAD: SI  28/08/2025 ESTANDO EN SITIO PARA REALIZAR APERTURA REDEBAN 3007081191  BARRIO BILBAO BOGOTA, EL COMERCIO NO TIENE NOMBRE EN LA FACAHA, ADJUNTO CÁMARA DE COMERCIO + REGISTRO FOTOGRÁFICO. / REPUESTA DE LA RED: POR FAVOR REALICEMOS LA VINCULACIÓN Y DEJEMOS LA NOVEDAD EN EL INFORME.  28/08/2025 SE REALIZA INSTALACIÓN DE CORRESPONSAL, SE INSTALAN EQUIPOS, SE CAPACITA Y SE EVALÚA AL CLIENTE, SE INSTALA PUBLICIDAD COMPLETA, CB QUEDA OPERATIVO. USUARIO SOMOS BANCOLOMBIA ACTIVO. NO SE PUEDE REALIZAR PRUEBA DE RECAUDO PUES NO TIENEN NINGÚN RECIBO PARA PAGAR Y TAMPOCO LA DE LA TRANSFERENCIA POR QUE NO HAY NÚMERO DE OTRA CUENTA A LA CUAL ENVIAR LA TRASFERENCIA"/>
    <s v="VEGA MANRIQUE JONATAN MAURICIO"/>
    <s v="FKZZZ654"/>
    <s v="TIPO I"/>
    <s v="TERRESTRE"/>
    <s v="VEGA MANRIQUE JONATAN MAURICIO"/>
    <n v="1"/>
    <n v="1"/>
    <n v="1"/>
    <n v="11251.22416"/>
    <n v="126317.12212"/>
    <n v="57411.974240000003"/>
    <n v="194980.32052000001"/>
  </r>
  <r>
    <s v="NEIVA"/>
    <x v="0"/>
    <x v="0"/>
    <n v="18001"/>
    <s v="TA-25-1033997"/>
    <n v="81201"/>
    <s v="APERTURA"/>
    <s v="CB CRECIMIENTO - NUEVO"/>
    <s v="CAQUETA"/>
    <s v="FLORENCIA"/>
    <s v="BARRIO PORVENIR FLORENCIA"/>
    <s v="REDEBAN"/>
    <s v="FO-25-1433097"/>
    <d v="2025-08-27T00:00:00"/>
    <d v="2025-08-28T00:00:00"/>
    <s v="UNO A UNO"/>
    <s v="UNO A UNO"/>
    <s v="EJECUTADO"/>
    <s v="27-08-2025 SE REALIZA LLAMADA AL CLIENTE, SE HABLA CON EL SR YEFERSON BUSTOS ASCENCIO SE VALIDA DIRECCIÓN OK, CANAL OK, DISPONIBILIDAD TOTAL, LLAMAR EL DÍA LA INSTALACIÓN PARA CONFIRMAR VISITA, AVISO EXTERIOR ALTURA APROX 2 METROS; TOMACORRIENTE CERCANO: SI; TIENE CABINA DE SEGURIDAD: SI  28/08/2025 SE REALIZA INSTALACIÓN DE CORRESPONSAL, SE INSTALAN EQUIPOS CON PRUEBAS EXITOSAS, SE CAPACITA Y SE EVALÚA AL CLIENTE, SE INSTALA PUBLICIDAD COMPLETA, CB QUEDA OPERATIVO. USUARIO SOMOS BANCOLOMBIA ACTIVO"/>
    <s v="DEVIA REINOSO JUAN CARLOS"/>
    <s v="FKZZZ655"/>
    <s v="TIPO IV"/>
    <s v="TERRESTRE"/>
    <s v="DEVIA REINOSO JUAN CARLOS"/>
    <n v="1"/>
    <n v="1"/>
    <n v="1"/>
    <n v="11251.22416"/>
    <n v="126317.12212"/>
    <n v="110808.27512000001"/>
    <n v="248376.6214"/>
  </r>
  <r>
    <s v="BARRANQUILLA"/>
    <x v="4"/>
    <x v="4"/>
    <n v="8638"/>
    <s v="TA-25-1033998"/>
    <n v="81245"/>
    <s v="APERTURA"/>
    <s v="CB CRECIMIENTO - NUEVO"/>
    <s v="ATLANTICO"/>
    <s v="SABANALARGA"/>
    <s v="BARRIO CENTRO SABANALARGA 24"/>
    <s v="REDEBAN"/>
    <s v="FO-25-1433101"/>
    <d v="2025-08-27T00:00:00"/>
    <d v="2025-08-28T00:00:00"/>
    <s v="UNO A UNO"/>
    <s v="UNO A UNO"/>
    <s v="EJECUTADO"/>
    <s v="26-08 SE REALIZA LLAMADA AL CLIENTE, SE HABLA CON EL SR  FRANCISCO DAVID BERDUGO CASTAÑEDA  SE VALIDA DIRECCIÓN OK, CANAL OK, DISPONIBILIDAD TOTAL, LLAMAR EL DÍA DE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s v="DE AGUAS MUÑOZ DAVID JOSE"/>
    <s v="FKZZZ656"/>
    <s v="TIPO II"/>
    <s v="TERRESTRE"/>
    <s v="DE AGUAS MUÑOZ DAVID JOSE"/>
    <n v="1"/>
    <n v="1"/>
    <n v="1"/>
    <n v="11251.22416"/>
    <n v="126317.12212"/>
    <n v="110808.27512000001"/>
    <n v="248376.6214"/>
  </r>
  <r>
    <s v="BUCARAMANGA"/>
    <x v="3"/>
    <x v="3"/>
    <n v="68679"/>
    <s v="TA-25-1034001"/>
    <n v="81248"/>
    <s v="APERTURA"/>
    <s v="CB CRECIMIENTO - NUEVO"/>
    <s v="SANTANDER"/>
    <s v="SAN GIL"/>
    <s v="BARRIO SAN GIL SAN GIL 1"/>
    <s v="REDEBAN"/>
    <s v="FO-25-1433107"/>
    <d v="2025-08-27T00:00:00"/>
    <d v="2025-08-28T00:00:00"/>
    <s v="UNO A UNO"/>
    <s v="UNO A UNO"/>
    <s v="EJECUTADO"/>
    <s v="27-08-2025 SE REALIZA LLAMADA AL CLIENTE, SE HABLA CON LA SRA ELIANA ANDREA DIAZ ROMERO SE VALIDA DIRECCIÓN OK, CANAL OK, DISPONIBILIDAD TOTAL, LLAMAR EL DÍA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TRANFERENCIA SE REALIZA PERO CLIENTE NO TIENE OTRA CUENTA PARA TRASFERIR , SALDO"/>
    <s v="HERRERA LUQUE SAUL JAVIER"/>
    <s v="FKZZZ657"/>
    <s v="TIPO II"/>
    <s v="TERRESTRE"/>
    <s v="HERRERA LUQUE SAUL JAVIER"/>
    <n v="1"/>
    <n v="1"/>
    <n v="1"/>
    <n v="11251.22416"/>
    <n v="126317.12212"/>
    <n v="110808.27512000001"/>
    <n v="248376.6214"/>
  </r>
  <r>
    <s v="CALI"/>
    <x v="1"/>
    <x v="1"/>
    <n v="76001"/>
    <s v="TA-25-1034002"/>
    <n v="81196"/>
    <s v="APERTURA"/>
    <s v="CB CRECIMIENTO - NUEVO"/>
    <s v="VALLE DEL CAUCA"/>
    <s v="CALI"/>
    <s v="BARRIO FLORALIA CALI 11"/>
    <s v="REDEBAN"/>
    <s v="FO-25-1433110"/>
    <d v="2025-08-27T00:00:00"/>
    <d v="2025-08-28T00:00:00"/>
    <s v="UNO A UNO"/>
    <s v="UNO A UNO"/>
    <s v="EJECUTADO"/>
    <s v="27-08-2025 SE REALIZA LLAMADA AL CLIENTE, SE HABLA CON EL SR CRISTIAN AGUDELO GUERRERO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
    <s v="HERRERA MONAR GEOVANNY"/>
    <s v="FKZZZ658"/>
    <s v="TIPO I"/>
    <s v="TERRESTRE"/>
    <s v="HERRERA MONAR GEOVANNY"/>
    <n v="1"/>
    <n v="1"/>
    <n v="1"/>
    <n v="11251.22416"/>
    <n v="126317.12212"/>
    <n v="57411.974240000003"/>
    <n v="194980.32052000001"/>
  </r>
  <r>
    <s v="MANIZALES"/>
    <x v="1"/>
    <x v="6"/>
    <n v="17174"/>
    <s v="TA-25-1034003"/>
    <n v="81198"/>
    <s v="APERTURA"/>
    <s v="CB CRECIMIENTO - NUEVO"/>
    <s v="CALDAS"/>
    <s v="CHINCHINA"/>
    <s v="BARRIO CENTRO CHINCHINA 14"/>
    <s v="REDEBAN"/>
    <s v="FO-25-1433115"/>
    <d v="2025-08-27T00:00:00"/>
    <d v="2025-08-28T00:00:00"/>
    <s v="UNO A UNO"/>
    <s v="UNO A UNO"/>
    <s v="EJECUTADO"/>
    <s v="27-08-2025 SE REALIZA LLAMADA AL CLIENTE, SE HABLA CON LA SRA  YAMILETH SALAZAR SE VALIDA DIRECCIÓN OK, CANAL OK, DISPONIBILIDAD TOTAL, LLAMAR EL DÍA LA INSTALACIÓN PARA CONFIRMAR VISITA, AVISO EXTERIOR 2,5 METROS APROX ; TOMACORRIENTE CERCANO: SI; TIENE CABINA DE SEGURIDAD: SI 28/08/2025 SE REALIZA INSTALACIÓN DE CORRESPONSAL, SE INSTALAN EQUIPOS CON PRUEBAS EXITOSAS, SE CAPACITA Y SE EVALÚA AL CLIENTE, SE INSTALA PUBLICIDAD COMPLETA, CB QUEDA OPERATIVO. USUARIO SOMOS BANCOLOMBIA ACTIVO"/>
    <s v="FRANCO CAÑAVERAL YAMID RAUL"/>
    <s v="FKZZZ659"/>
    <s v="TIPO II"/>
    <s v="TERRESTRE"/>
    <s v="FRANCO CAÑAVERAL YAMID RAUL"/>
    <n v="1"/>
    <n v="1"/>
    <n v="1"/>
    <n v="11251.22416"/>
    <n v="126317.12212"/>
    <n v="110808.27512000001"/>
    <n v="248376.6214"/>
  </r>
  <r>
    <s v="CALI"/>
    <x v="1"/>
    <x v="1"/>
    <n v="76001"/>
    <s v="TA-25-1034005"/>
    <n v="81197"/>
    <s v="APERTURA"/>
    <s v="CB CRECIMIENTO - NUEVO"/>
    <s v="VALLE DEL CAUCA"/>
    <s v="CALI"/>
    <s v="BARRIO LOS NARANJOS 1 CALI"/>
    <s v="REDEBAN"/>
    <s v="FO-25-1433122"/>
    <d v="2025-08-27T00:00:00"/>
    <d v="2025-08-28T00:00:00"/>
    <s v="UNO A UNO"/>
    <s v="UNO A UNO"/>
    <s v="EJECUTADO"/>
    <s v="27-08-2025 SE REALIZA LLAMADA AL CLIENTE, SE HABLA CON LA SRA  INGRY LILIAN CORNELIO ESCOBAR SE VALIDA DIRECCIÓN OK, CANAL OK, DISPONIBILIDAD TOTAL, LLAMAR EL DÍA LA INSTALACIÓN PARA CONFIRMAR VISITA, AVISO EXTERIOR NO INDICA ALTURA  ; TOMACORRIENTE CERCANO: SI; TIENE CABINA DE SEGURIDAD: SI 28/08/2025 SE REALIZA INSTALACIÓN DE CORRESPONSAL, SE INSTALAN EQUIPOS CON PRUEBAS EXITOSAS, SE CAPACITA Y SE EVALÚA AL CLIENTE, SE INSTALA PUBLICIDAD COMPLETA, CB QUEDA OPERATIVO. USUARIO SOMOS BANCOLOMBIA ACTIVO. DEMÁS PRUEBAS SE SIMULAN YA QUE CLIENTE NO DISPONE DE MÁS HERRAMIENTAS"/>
    <s v="BOLAÑOS TABORDA JORGE ENRIQUE"/>
    <s v="FKZZZ660"/>
    <s v="TIPO I"/>
    <s v="TERRESTRE"/>
    <s v="BOLAÑOS TABORDA JORGE ENRIQUE"/>
    <n v="1"/>
    <n v="1"/>
    <n v="1"/>
    <n v="11251.22416"/>
    <n v="126317.12212"/>
    <n v="57411.974240000003"/>
    <n v="194980.32052000001"/>
  </r>
  <r>
    <s v="BOGOTA"/>
    <x v="5"/>
    <x v="5"/>
    <n v="25035"/>
    <s v="TA-25-1034007"/>
    <n v="81183"/>
    <s v="APERTURA"/>
    <s v="CB CRECIMIENTO - NUEVO"/>
    <s v="CUNDINAMARCA"/>
    <s v="ANAPOIMA"/>
    <s v="BARRIO ANAPOIMA ANAPOIMA 2"/>
    <s v="REDEBAN"/>
    <s v="FO-25-1433126"/>
    <d v="2025-08-27T00:00:00"/>
    <d v="2025-08-29T00:00:00"/>
    <s v="UNO A UNO"/>
    <s v="UNO A UNO"/>
    <s v="EJECUTADO"/>
    <s v="27-08-2025 SE REALIZA LLAMADA AL CLIENTE, SE HABLA CON EL SR  ALFONSO GUEVARA MARTINEZ SE VALIDA DIRECCIÓN OK, CANAL OK, DISPONIBILIDAD TOTAL, LLAMAR EL DÍA LA INSTALACIÓN PARA CONFIRMAR VISITA, AVISO EXTERIOR ALTURA APROX 2,5 METROS; TOMACORRIENTE CERCANO: SI; TIENE CABINA DE SEGURIDAD: NO  29/08/2025 SE REALIZA INSTALACIÓN DE CORRESPONSAL, SE INSTALAN EQUIPOS CON PRUEBAS EXITOSAS, SE CAPACITA Y SE EVALÚA AL CLIENTE, SE INSTALA PUBLICIDAD COMPLETA, CB QUEDA OPERATIVO. USUARIO SOMOS BANCOLOMBIA ACTIVO"/>
    <s v="GOMEZ VEGA DAVID SNEYDER"/>
    <s v="FKZZZ661"/>
    <s v="TIPO II"/>
    <s v="TERRESTRE"/>
    <s v="GOMEZ VEGA DAVID SNEYDER"/>
    <n v="1"/>
    <n v="1"/>
    <n v="1"/>
    <n v="11251.22416"/>
    <n v="126317.12212"/>
    <n v="110808.27512000001"/>
    <n v="248376.6214"/>
  </r>
  <r>
    <s v="VALLEDUPAR"/>
    <x v="4"/>
    <x v="4"/>
    <n v="20045"/>
    <s v="TA-25-1034013"/>
    <n v="81186"/>
    <s v="APERTURA"/>
    <s v="CB CRECIMIENTO - NUEVO"/>
    <s v="CESAR"/>
    <s v="BECERRIL"/>
    <s v="BARRIO CENTRO BECERRIL 8"/>
    <s v="REDEBAN"/>
    <s v="FO-25-1433137"/>
    <d v="2025-08-27T00:00:00"/>
    <d v="2025-08-28T00:00:00"/>
    <s v="UNO A UNO"/>
    <s v="UNO A UNO"/>
    <s v="EJECUTADO"/>
    <s v="26-08 SE REALIZA LLAMADA AL CLIENTE, SE HABLA CON LA SRA  YOLIMA VERA BARRIOS SE VALIDA DIRECCIÓN OK, CANAL OK, DISPONIBILIDAD TOTAL, LLAMAR EL DÍA DE LA INSTALACIÓN PARA CONFIRMAR VISITA, AVISO EXTERIOR 3 METROS APROX; TOMACORRIENTE CERCANO: SI; TIENE CABINA DE SEGURIDAD: SI 28/08/2025 SE REALIZA INSTALACIÓN DE CORRESPONSAL, SE INSTALAN EQUIPOS CON PRUEBAS EXITOSAS, SE CAPACITA Y SE EVALÚA AL CLIENTE, SE INSTALA PUBLICIDAD COMPLETA, CB QUEDA OPERATIVO. USUARIO SOMOS BANCOLOMBIA ACTIVO"/>
    <s v="MONTES DIAZ JOHN FRED"/>
    <s v="FKZZZ663"/>
    <s v="TIPO II"/>
    <s v="TERRESTRE"/>
    <s v="MONTES DIAZ JOHN FRED"/>
    <n v="1"/>
    <n v="1"/>
    <n v="1"/>
    <n v="11251.22416"/>
    <n v="126317.12212"/>
    <n v="110808.27512000001"/>
    <n v="248376.6214"/>
  </r>
  <r>
    <s v="VILLAVICENCIO"/>
    <x v="0"/>
    <x v="0"/>
    <n v="50680"/>
    <s v="TA-25-1034015"/>
    <n v="81246"/>
    <s v="APERTURA"/>
    <s v="CB CRECIMIENTO - NUEVO"/>
    <s v="META"/>
    <s v="SAN CARLOS DE GUAROA"/>
    <s v="BARRIO CENTRO SAN CARLOS DE GUAROA 8"/>
    <s v="REDEBAN"/>
    <s v="FO-25-1433143"/>
    <d v="2025-08-27T00:00:00"/>
    <d v="2025-08-29T00:00:00"/>
    <s v="UNO A UNO"/>
    <s v="UNO A UNO"/>
    <s v="EJECUTADO"/>
    <s v="27-08 SE REALIZA LLAMADA AL CLIENTE, SE HABLA CON LA SRA LAURA NATALY CALDERON RODRIGUEZ  SE VALIDA DIRECCIÓN OK, CANAL OK, DISPONIBILIDAD TOTAL, LLAMAR EL DÍA LA INSTALACIÓN PARA CONFIRMAR VISITA, AVISO EXTERIOR ALTURA APROX 2 METROS; TOMACORRIENTE CERCANO: SI; TIENE CABINA DE SEGURIDAD: NO 29/08/2025 SE REALIZA INSTALACIÓN DE CORRESPONSAL, SE INSTALAN EQUIPOS CON PRUEBAS EXITOSAS, SE CAPACITA Y SE EVALÚA AL CLIENTE, SE INSTALA PUBLICIDAD COMPLETA, CB QUEDA OPERATIVO. USUARIO SOMOS BANCOLOMBIA ACTIVO"/>
    <s v="CASTRILLON URREA LONDIER LEANDRO"/>
    <s v="FKZZZ664"/>
    <s v="TIPO II"/>
    <s v="TERRESTRE"/>
    <s v="CASTRILLON URREA LONDIER LEANDRO"/>
    <n v="1"/>
    <n v="1"/>
    <n v="1"/>
    <n v="11251.22416"/>
    <n v="126317.12212"/>
    <n v="110808.27512000001"/>
    <n v="248376.6214"/>
  </r>
  <r>
    <s v="CALI"/>
    <x v="1"/>
    <x v="1"/>
    <n v="76001"/>
    <s v="TA-25-1034019"/>
    <n v="81194"/>
    <s v="APERTURA"/>
    <s v="CAMBIO DE RAZON SOCIAL"/>
    <s v="VALLE DEL CAUCA"/>
    <s v="CALI"/>
    <s v="BARRIO LA RIVERA CALI 6"/>
    <s v="REDEBAN"/>
    <s v="FO-25-1433158"/>
    <d v="2025-08-27T00:00:00"/>
    <d v="2025-08-28T00:00:00"/>
    <s v="UNO A UNO"/>
    <s v="UNO A UNO"/>
    <s v="EJECUTADO"/>
    <s v="27-08 SE REALIZA LLAMADA AL CLIENTE, SE HABLA CON LA SRA JENNY VIVIANA RUIZ CORTES  SE VALIDA DIRECCIÓN OK, CANAL OK, DISPONIBILIDAD TOTAL, LLAMAR EL DÍA LA INSTALACIÓN PARA CONFIRMAR VISITA, AVISO EXTERIOR ALTURA APROX 2 METROS; TOMACORRIENTE CERCANO: SI; TIENE CABINA DE SEGURIDAD: SI 28-09 SE REALIZA INSTALACIÓN DE CORRESPONSAL, SE INSTALAN EQUIPOS CON PRUEBAS EXITOSAS, NO SE CAPACITA YA QUE EL USUARIO SABE EL MANEJO POR CAMBIO DE RAZON SOCIAL, SE INSTALA PUBLICIDAD COMPLETA, CB QUEDA OPERATIVO. USUARIO SOMOS BANCOLOMBIA ACTIVO"/>
    <s v="HERRERA MONAR GEOVANNY"/>
    <s v="FKZZZ666"/>
    <s v="TIPO I"/>
    <s v="TERRESTRE"/>
    <s v="HERRERA MONAR GEOVANNY"/>
    <n v="1"/>
    <n v="1"/>
    <n v="1"/>
    <n v="11251.22416"/>
    <n v="126317.12212"/>
    <n v="57411.974240000003"/>
    <n v="194980.32052000001"/>
  </r>
  <r>
    <s v="BOGOTA"/>
    <x v="5"/>
    <x v="5"/>
    <n v="11001"/>
    <s v="TA-25-1034020"/>
    <n v="81188"/>
    <s v="APERTURA"/>
    <s v="CB CRECIMIENTO - NUEVO"/>
    <s v="CUNDINAMARCA"/>
    <s v="BOGOTA"/>
    <s v="BARRIO BARRANCAS BOGOTA 13"/>
    <s v="REDEBAN"/>
    <s v="FO-25-1433163"/>
    <d v="2025-08-27T00:00:00"/>
    <d v="2025-08-28T00:00:00"/>
    <s v="UNO A UNO"/>
    <s v="UNO A UNO"/>
    <s v="EJECUTADO"/>
    <s v="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
    <s v="ORTIZ MARTINEZ STIVEN"/>
    <s v="FKZZZ667"/>
    <s v="TIPO I"/>
    <s v="TERRESTRE"/>
    <s v="ORTIZ MARTINEZ STIVEN"/>
    <n v="1"/>
    <n v="1"/>
    <n v="1"/>
    <n v="11251.22416"/>
    <n v="126317.12212"/>
    <n v="57411.974240000003"/>
    <n v="194980.32052000001"/>
  </r>
  <r>
    <s v="PEREIRA"/>
    <x v="1"/>
    <x v="6"/>
    <n v="66001"/>
    <s v="TA-25-1034021"/>
    <n v="81243"/>
    <s v="APERTURA"/>
    <s v="CB CRECIMIENTO - NUEVO"/>
    <s v="RISARALDA"/>
    <s v="PEREIRA"/>
    <s v="BARRIO PUEBLITO PAISA CUBA PEREIRA"/>
    <s v="REDEBAN"/>
    <s v="FO-25-1433171"/>
    <d v="2025-08-27T00:00:00"/>
    <d v="2025-08-28T00:00:00"/>
    <s v="UNO A UNO"/>
    <s v="UNO A UNO"/>
    <s v="EJECUTADO"/>
    <s v="27-08 SE REALIZA LLAMADA AL CLIENTE, SE HABLA CON LA SRA MAYILESLY ARANGO ROMERO  SE VALIDA DIRECCIÓN OK, CANAL OK, DISPONIBILIDAD TOTAL, LLAMAR EL DÍA LA INSTALACIÓN PARA CONFIRMAR VISITA, AVISO EXTERIOR ALTURA: NO INDICA ALTURA; TOMACORRIENTE CERCANO: SI; TIENE CABINA DE SEGURIDAD: NO 28/08/2025 SE REALIZA INSTALACIÓN DE CORRESPONSAL, SE INSTALAN EQUIPOS CON PRUEBAS EXITOSAS, SE CAPACITA Y SE EVALÚA AL CLIENTE, SE INSTALA PUBLICIDAD COMPLETA, CB QUEDA OPERATIVO. USUARIO SOMOS BANCOLOMBIA ACTIVO. SOLO REALIZAMOS PRUEBA DE CONSULTA DE SALDO YA QUE EL CLIENTE NO TIENE LA TARJETA PARA REALIZAR PRUEBAS DE TRANSFERENCIA, DEPOSITO, RETIRO, Y RECAUDO"/>
    <s v="ARROYAVE CANO MANUEL GUILLERMO"/>
    <s v="FKZZZ668"/>
    <s v="TIPO I"/>
    <s v="TERRESTRE"/>
    <s v="ARROYAVE CANO MANUEL GUILLERMO"/>
    <n v="1"/>
    <n v="1"/>
    <n v="1"/>
    <n v="11251.22416"/>
    <n v="126317.12212"/>
    <n v="57411.974240000003"/>
    <n v="194980.32052000001"/>
  </r>
  <r>
    <s v="VILLAVICENCIO"/>
    <x v="0"/>
    <x v="0"/>
    <n v="50006"/>
    <s v="TA-25-1034023"/>
    <n v="81180"/>
    <s v="APERTURA"/>
    <s v="CB CRECIMIENTO - NUEVO"/>
    <s v="META"/>
    <s v="ACACIAS"/>
    <s v="BARRIO BRISAS DEL PLAYON ACACIAS"/>
    <s v="REDEBAN"/>
    <s v="FO-25-1433185"/>
    <d v="2025-08-27T00:00:00"/>
    <d v="2025-08-28T00:00:00"/>
    <s v="UNO A UNO"/>
    <s v="UNO A UNO"/>
    <s v="EJECUTADO"/>
    <s v="27-08 SE REALIZA LLAMADA AL CLIENTE, SE HABLA CON LA SRA LUZ YENNY MARTÍNEZ LEON SE VALIDA DIRECCIÓN OK, CANAL OK, DISPONIBILIDAD TOTAL, LLAMAR EL DÍA LA INSTALACIÓN PARA CONFIRMAR VISITA, AVISO EXTERIOR ALTURA: NO INDICA ALTURA; TOMACORRIENTE CERCANO: NO; TIENE CABINA DE SEGURIDAD: SI - EL MODEM ESTA A 4 MT  28/08/2025 SE REALIZA INSTALACIÓN DE CORRESPONSAL, SE INSTALAN EQUIPOS CON PRUEBAS EXITOSAS, SE CAPACITA Y SE EVALÚA AL CLIENTE, SE INSTALA PUBLICIDAD COMPLETA, CB QUEDA OPERATIVO. USUARIO SOMOS BANCOLOMBIA ACTIVO"/>
    <s v="ROZO JIMENEZ EDGAR ARMANDO"/>
    <s v="FKZZZ670"/>
    <s v="TIPO II"/>
    <s v="TERRESTRE"/>
    <s v="ROZO JIMENEZ EDGAR ARMANDO"/>
    <n v="1"/>
    <n v="1"/>
    <n v="1"/>
    <n v="11251.22416"/>
    <n v="126317.12212"/>
    <n v="110808.27512000001"/>
    <n v="248376.6214"/>
  </r>
  <r>
    <s v="NEIVA"/>
    <x v="0"/>
    <x v="0"/>
    <n v="41016"/>
    <s v="TA-25-1034024"/>
    <n v="81181"/>
    <s v="APERTURA"/>
    <s v="CB CRECIMIENTO - NUEVO"/>
    <s v="HUILA"/>
    <s v="AIPE"/>
    <s v="BARRIO LAS MARIAS AIPE"/>
    <s v="REDEBAN"/>
    <s v="FO-25-1433192"/>
    <d v="2025-08-27T00:00:00"/>
    <d v="2025-08-28T00:00:00"/>
    <s v="UNO A UNO"/>
    <s v="UNO A UNO"/>
    <s v="EJECUTADO"/>
    <s v="27-08 SE REALIZA LLAMADA AL CLIENTE, SE HABLA CON LA SRA CHELSEA PERDOMO GARCIA  SE VALIDA DIRECCIÓN OK, CANAL OK, DISPONIBILIDAD TOTAL, LLAMAR EL DÍA LA INSTALACIÓN PARA CONFIRMAR VISITA, AVISO EXTERIOR ALTURA: NO INDICA ALTURA; TOMACORRIENTE CERCANO: SI; TIENE CABINA DE SEGURIDAD: NO 28-08 SE REALIZA INSTALACIÓN DE CORRESPONSAL, SE INSTALAN EQUIPOS CON PRUEBAS EXITOSAS, SE CAPACITA Y SE EVALÚA AL CLIENTE, SE INSTALA PUBLICIDAD COMPLETA, CB QUEDA OPERATIVO. USUARIO SOMOS BANCOLOMBIA ACTIVO"/>
    <s v="DIAZ VARGAS JONATHAN MIGUEL"/>
    <s v="FKZZZ671"/>
    <s v="TIPO II"/>
    <s v="TERRESTRE"/>
    <s v="DIAZ VARGAS JONATHAN MIGUEL"/>
    <n v="1"/>
    <n v="1"/>
    <n v="1"/>
    <n v="11251.22416"/>
    <n v="126317.12212"/>
    <n v="110808.27512000001"/>
    <n v="248376.6214"/>
  </r>
  <r>
    <s v="CALI"/>
    <x v="1"/>
    <x v="1"/>
    <n v="76606"/>
    <s v="TA-25-1034028"/>
    <n v="81244"/>
    <s v="APERTURA"/>
    <s v="CB CRECIMIENTO - NUEVO"/>
    <s v="VALLE DEL CAUCA"/>
    <s v="RESTREPO"/>
    <s v="BARRIO CENTRO RESTREPO 8"/>
    <s v="REDEBAN"/>
    <s v="FO-25-1433218"/>
    <d v="2025-08-27T00:00:00"/>
    <d v="2025-08-29T00:00:00"/>
    <s v="UNO A UNO"/>
    <s v="UNO A UNO"/>
    <s v="EJECUTADO"/>
    <s v="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
    <s v="MONTERO MUESES GIAN CARLO"/>
    <s v="FKZZZ674"/>
    <s v="TIPO II"/>
    <s v="TERRESTRE"/>
    <s v="MONTERO MUESES GIAN CARLO"/>
    <n v="1"/>
    <n v="1"/>
    <n v="1"/>
    <n v="11251.22416"/>
    <n v="126317.12212"/>
    <n v="110808.27512000001"/>
    <n v="248376.6214"/>
  </r>
  <r>
    <s v="MANIZALES"/>
    <x v="1"/>
    <x v="6"/>
    <n v="17001"/>
    <s v="TA-25-1034029"/>
    <n v="81211"/>
    <s v="APERTURA"/>
    <s v="CB CRECIMIENTO - NUEVO"/>
    <s v="CALDAS"/>
    <s v="MANIZALES"/>
    <s v="BARRIO SAENS MANIZALES"/>
    <s v="REDEBAN"/>
    <s v="FO-25-1433222"/>
    <d v="2025-08-27T00:00:00"/>
    <d v="2025-08-29T00:00:00"/>
    <s v="UNO A UNO"/>
    <s v="UNO A UNO"/>
    <s v="EJECUTADO/CANCELADO"/>
    <s v="27-08 SE REALIZA LLAMADA AL CLIENTE, SE HABLA CON LA SRA ESTELA RAMIREZ JARAMILLO, SE VALIDA DIRECCIÓN OK, CANAL OK, DISPONIBILIDAD TOTAL, LLAMAR EL DÍA LA INSTALACIÓN PARA CONFIRMAR VISITA, AVISO EXTERIOR ALTURA APROX 4 METROS; TOMACORRIENTE CERCANO: SI; TIENE CABINA DE SEGURIDAD: SI - EL MODEM ESTA A 4 MT  28-09 EN COMUNICACIÓN CON EL USUARIO INDICA QUE HOY NO PUEDE RECIBIR LA ACTIVIDAD POR QUE SALIO DE URG, PIDE QUE SE VISITE EL DIA DE MAÑANA  29/08/2025 SE REALIZA VISITA USUARIO NO CUENTA CON INTERNET EN EL COMERCIO E INDICA SOLICITUD DE REAGENDAR LA VISITA PARA CUANDO YA TENGA LAS CONEXIONES DE INTERNET, SE LE INDICA QUE DEBE DE REAGENDARLA CON EL ASESOR, SE CANCELA POR NO CONEXIÓNES A MODEM"/>
    <s v="AGUIRRE HENAO RAUL EDUARDO"/>
    <s v="FKZZZ675"/>
    <s v="TIPO I"/>
    <s v="TERRESTRE"/>
    <s v="AGUIRRE HENAO RAUL EDUARDO"/>
    <n v="0"/>
    <n v="0"/>
    <n v="2"/>
    <n v="11251.22416"/>
    <n v="126317.12212"/>
    <n v="57411.974240000003"/>
    <n v="114823.94848000001"/>
  </r>
  <r>
    <s v="MEDELLIN"/>
    <x v="2"/>
    <x v="2"/>
    <n v="5380"/>
    <s v="TA-25-1031265"/>
    <n v="81253"/>
    <s v="APERTURA"/>
    <s v="CB CRECIMIENTO - NUEVO"/>
    <s v="ANTIOQUIA"/>
    <s v="LA ESTRELLA"/>
    <s v="BARRIO BAVARIA LA ESTRELLA 1"/>
    <s v="REDEBAN"/>
    <s v="FO-25-1429791"/>
    <d v="2025-08-27T00:00:00"/>
    <d v="2025-08-27T00:00:00"/>
    <s v="UNO A UNO"/>
    <s v="UNO A UNO"/>
    <s v="EJECUTADO"/>
    <s v="26-08 SE REALIZA LLAMADA AL CLIENTE, SE HABLA CON LA SRA  DALILA DEL SOCORRO MONDRAG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
    <s v="ALVAREZ ARENAS VICTOR HUGO"/>
    <s v="FKZZZ676"/>
    <s v="TIPO I"/>
    <s v="TERRESTRE"/>
    <s v="ALVAREZ ARENAS VICTOR HUGO"/>
    <n v="1"/>
    <n v="1"/>
    <n v="1"/>
    <n v="11251.22416"/>
    <n v="126317.12212"/>
    <n v="57411.974240000003"/>
    <n v="194980.32052000001"/>
  </r>
  <r>
    <s v="BOGOTA"/>
    <x v="5"/>
    <x v="5"/>
    <n v="11001"/>
    <s v="TA-25-1034030"/>
    <n v="81189"/>
    <s v="APERTURA"/>
    <s v="CB CRECIMIENTO - NUEVO"/>
    <s v="CUNDINAMARCA"/>
    <s v="BOGOTA"/>
    <s v="BARRIO ALFONSO LOPEZ 6 BOGOTA"/>
    <s v="REDEBAN"/>
    <s v="FO-25-1433226"/>
    <d v="2025-08-27T00:00:00"/>
    <d v="2025-08-29T00:00:00"/>
    <s v="UNO A UNO"/>
    <s v="UNO A UNO"/>
    <s v="EJECUTADO"/>
    <s v="27-08 SE REALIZA LLAMADA AL CLIENTE, SE HABLA CON EL SR JOSE ESTEFANS TRIANA TRIANA  SE VALIDA DIRECCIÓN OK, CANAL OK, DISPONIBILIDAD TOTAL, LLAMAR EL DÍA LA INSTALACIÓN PARA CONFIRMAR VISITA, AVISO EXTERIOR ALTURA APROX 2.70 METROS; TOMACORRIENTE CERCANO: SI; TIENE CABINA DE SEGURIDAD: NO - COMUNICACIÓN POR WPP 28-09 EN CONTACTO CON EL COMERCIO JOSE ESTEFANS TRIANA TRIANA / TELEFONO DE CONTACTO: 3058720953, CONFIRMA RECIBIR INSTALACIÓN EL DÍA DE MAÑANA 29-08-205 29/08/2025 SE REALIZA INSTALACIÓN DE CORRESPONSAL, SE INSTALAN EQUIPOS CON PRUEBAS EXITOSAS, SE CAPACITA Y SE EVALÚA AL CLIENTE, SE INSTALA PUBLICIDAD COMPLETA, CB QUEDA OPERATIVO. USUARIO SOMOS BANCOLOMBIA ACTIVO"/>
    <s v="ROMERO ROJAS BREIDY JHOHAN"/>
    <s v="FKZZZ677"/>
    <s v="TIPO I"/>
    <s v="TERRESTRE"/>
    <s v="ROMERO ROJAS BREIDY JHOHAN"/>
    <n v="1"/>
    <n v="1"/>
    <n v="1"/>
    <n v="11251.22416"/>
    <n v="126317.12212"/>
    <n v="57411.974240000003"/>
    <n v="194980.32052000001"/>
  </r>
  <r>
    <s v="CALI"/>
    <x v="1"/>
    <x v="1"/>
    <n v="76834"/>
    <s v="TA-25-1034031"/>
    <n v="81159"/>
    <s v="APERTURA"/>
    <s v="CB CRECIMIENTO - OTRAS LISTAS"/>
    <s v="VALLE DEL CAUCA"/>
    <s v="TULUA"/>
    <s v="BARRIO CENTRO TULUA 28"/>
    <s v="REDEBAN"/>
    <s v="FO-25-1433234"/>
    <d v="2025-08-27T00:00:00"/>
    <d v="2025-08-29T00:00:00"/>
    <s v="UNO A UNO"/>
    <s v="UNO A UNO"/>
    <s v="EJECUTADO"/>
    <s v="27-08 SE REALIZA LLAMADA AL CLIENTE, SE HABLA CON LA SR DAVID FELIPE TORO MAZUERA SE VALIDA DIRECCIÓN OK, CANAL OK, DISPONIBILIDAD TOTAL, LLAMAR EL DÍA LA INSTALACIÓN PARA CONFIRMAR VISITA, AVISO EXTERIOR ALTURA APROX 2.5 METROS; TOMACORRIENTE CERCANO: SI; TIENE CABINA DE SEGURIDAD: NO 29-08 SE REALIZA INSTALACIÓN DE CORRESPONSAL, SE INSTALAN EQUIPOS CON PRUEBAS EXITOSAS, SE CAPACITA Y SE EVALÚA AL CLIENTE, SE INSTALA PUBLICIDAD COMPLETA, CB QUEDA OPERATIVO. USUARIO SOMOS BANCOLOMBIA ACTIVO"/>
    <s v="BOLAÑOS TABORDA JORGE ENRIQUE"/>
    <s v="FKZZZ678"/>
    <s v="TIPO II"/>
    <s v="TERRESTRE"/>
    <s v="BOLAÑOS TABORDA JORGE ENRIQUE"/>
    <n v="1"/>
    <n v="1"/>
    <n v="1"/>
    <n v="11251.22416"/>
    <n v="126317.12212"/>
    <n v="110808.27512000001"/>
    <n v="248376.6214"/>
  </r>
  <r>
    <s v="MEDELLIN"/>
    <x v="2"/>
    <x v="2"/>
    <n v="5001"/>
    <s v="TA-25-1034454"/>
    <n v="81238"/>
    <s v="APERTURA"/>
    <s v="CB CRECIMIENTO ALIANZA - NUEVO"/>
    <s v="ANTIOQUIA"/>
    <s v="MEDELLIN"/>
    <s v="DISTRICOL FRUVER PAGUE MENOS"/>
    <s v="REDEBAN"/>
    <s v="FO-25-1433870"/>
    <d v="2025-08-27T00:00:00"/>
    <d v="2025-08-29T00:00:00"/>
    <s v="AGREGADOR"/>
    <s v="DISTRICOL"/>
    <s v="EJECUTADO"/>
    <s v="27-08 PROGRAMACIÓN REALIZADA POR LA ALIANZA 29/08/2025 SE REALIZA INSTALACIÓN DE CORRESPONSAL, SE INSTALAN EQUIPOS CON PRUEBAS EXITOSAS, SE CAPACITA Y SE EVALÚA AL CLIENTE, SE INSTALA PUBLICIDAD COMPLETA, CB QUEDA OPERATIVO. USUARIO SOMOS BANCOLOMBIA ACTIVO"/>
    <s v="PAREJA ECHAVARRIA JHON DAVID"/>
    <s v="FKZZZ681"/>
    <s v="TIPO I"/>
    <s v="TERRESTRE"/>
    <s v="PAREJA ECHAVARRIA JHON DAVID"/>
    <n v="1"/>
    <n v="1"/>
    <n v="1"/>
    <n v="11251.22416"/>
    <n v="126317.12212"/>
    <n v="57411.974240000003"/>
    <n v="194980.32052000001"/>
  </r>
  <r>
    <s v="MEDELLIN"/>
    <x v="2"/>
    <x v="2"/>
    <n v="5088"/>
    <s v="TA-25-1034455"/>
    <n v="81234"/>
    <s v="APERTURA"/>
    <s v="CB CRECIMIENTO ALIANZA - NUEVO"/>
    <s v="ANTIOQUIA"/>
    <s v="BELLO"/>
    <s v="DISTRICOL SUPERMERCADO PORVENI"/>
    <s v="REDEBAN"/>
    <s v="FO-25-1433873"/>
    <d v="2025-08-27T00:00:00"/>
    <d v="2025-08-29T00:00:00"/>
    <s v="AGREGADOR"/>
    <s v="DISTRICOL"/>
    <s v="EJECUTADO"/>
    <s v="27-08 PROGRAMACIÓN REALIZADA POR LA ALIANZA 29/08/2025 SE REALIZA INSTALACIÓN DE CORRESPONSAL, SE INSTALAN EQUIPOS CON PRUEBAS EXITOSAS, SE CAPACITA Y SE EVALÚA AL CLIENTE, SE INSTALA PUBLICIDAD COMPLETA, CB QUEDA OPERATIVO. USUARIO SOMOS BANCOLOMBIA ACTIVO"/>
    <s v="QUINTERO SANCHEZ JUAN SEBASTIAN"/>
    <s v="FKZZZ682"/>
    <s v="TIPO I"/>
    <s v="TERRESTRE"/>
    <s v="QUINTERO SANCHEZ JUAN SEBASTIAN"/>
    <n v="1"/>
    <n v="1"/>
    <n v="1"/>
    <n v="11251.22416"/>
    <n v="126317.12212"/>
    <n v="57411.974240000003"/>
    <n v="194980.32052000001"/>
  </r>
  <r>
    <s v="MEDELLIN"/>
    <x v="2"/>
    <x v="2"/>
    <n v="5264"/>
    <s v="TA-25-1034456"/>
    <n v="81221"/>
    <s v="APERTURA"/>
    <s v="CB CRECIMIENTO ALIANZA - NUEVO"/>
    <s v="ANTIOQUIA"/>
    <s v="ENTRERRIOS"/>
    <s v="DISTRICOL AMERICA STORE"/>
    <s v="REDEBAN"/>
    <s v="FO-25-1433878"/>
    <d v="2025-08-27T00:00:00"/>
    <d v="2025-08-28T00:00:00"/>
    <s v="AGREGADOR"/>
    <s v="DISTRICOL"/>
    <s v="EJECUTADO/CANCELADO"/>
    <s v="27-08 PROGRAMACIÓN REALIZADA POR LA ALIANZA 28/08/2025 EN PUNTO NO HAY AVISO. USUARIO INFORMA QUE ESTÁ EN ADECUACIÓN EL COMERCIO YA QUE ES NUEVO, EL TÉCNICO SI EVIDENCIA QUE ESTÁN MONTÁNDOLO APENAS. USUARIO INFORMA QUE EL AVISO DE COMERCIO LO MONTAN EL DÍA DE MAÑANA Y YA ESTÁ EN COMERCIO, ADJUNTO FOTO. DIRECCIÓN DE LISTA DE CHEQUEO COINCIDE CON CÁMARA DE COMERCIO. 28/08/2025 POR FAVOR PROCEDER CON LA CANCELACIÓN DE LA IMPLEMENTACIÓN CORRESPONDIENTE, SEGÚN LA RESPUESTA DE LA ENTIDAD."/>
    <s v="BADEL ACUÑA LUIS ALBERTO"/>
    <s v="FKZZZ683"/>
    <s v="TIPO II"/>
    <s v="TERRESTRE"/>
    <s v="BADEL ACUÑA LUIS ALBERTO"/>
    <n v="0"/>
    <n v="0"/>
    <n v="2"/>
    <n v="11251.22416"/>
    <n v="126317.12212"/>
    <n v="110808.27512000001"/>
    <n v="221616.55024000001"/>
  </r>
  <r>
    <s v="MEDELLIN"/>
    <x v="2"/>
    <x v="2"/>
    <n v="5361"/>
    <s v="TA-25-1034457"/>
    <n v="81215"/>
    <s v="APERTURA"/>
    <s v="CB CRECIMIENTO ALIANZA - NUEVO"/>
    <s v="ANTIOQUIA"/>
    <s v="ITUANGO"/>
    <s v="DISTRICOL PEQUEÑOS ENCANTOS"/>
    <s v="REDEBAN"/>
    <s v="FO-25-1433881"/>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O"/>
    <s v="MARTINEZ TOVAR OSCAR DAVID"/>
    <s v="FKZZZ684"/>
    <s v="TIPO IV"/>
    <s v="TERRESTRE"/>
    <s v="MARTINEZ TOVAR OSCAR DAVID"/>
    <n v="1"/>
    <n v="1"/>
    <n v="1"/>
    <n v="11251.22416"/>
    <n v="126317.12212"/>
    <n v="110808.27512000001"/>
    <n v="248376.6214"/>
  </r>
  <r>
    <s v="MEDELLIN"/>
    <x v="2"/>
    <x v="2"/>
    <n v="5858"/>
    <s v="TA-25-1034458"/>
    <n v="81231"/>
    <s v="APERTURA"/>
    <s v="CB CRECIMIENTO ALIANZA - NUEVO"/>
    <s v="ANTIOQUIA"/>
    <s v="VEGACHI"/>
    <s v="DISTRICOL CELUMOVIL VEGACHI"/>
    <s v="REDEBAN"/>
    <s v="FO-25-1433884"/>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s v="DIAZ ZABALA FRANCIS DUBAN"/>
    <s v="FKZZZ685"/>
    <s v="TIPO III"/>
    <s v="TERRESTRE"/>
    <s v="DIAZ ZABALA FRANCIS DUBAN"/>
    <n v="1"/>
    <n v="1"/>
    <n v="1"/>
    <n v="11251.22416"/>
    <n v="126317.12212"/>
    <n v="110808.27512000001"/>
    <n v="248376.6214"/>
  </r>
  <r>
    <s v="TUNJA"/>
    <x v="3"/>
    <x v="3"/>
    <n v="15238"/>
    <s v="TA-25-1034459"/>
    <n v="81223"/>
    <s v="APERTURA"/>
    <s v="CB CRECIMIENTO ALIANZA - NUEVO"/>
    <s v="BOYACA"/>
    <s v="DUITAMA"/>
    <s v="DISTRICOL MAGIC PAPELERIA CREA"/>
    <s v="REDEBAN"/>
    <s v="FO-25-1433887"/>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s v="RODRIGUEZ MURCIA YERSON IVAN"/>
    <s v="FKZZZ686"/>
    <s v="TIPO II"/>
    <s v="TERRESTRE"/>
    <s v="RODRIGUEZ MURCIA YERSON IVAN"/>
    <n v="1"/>
    <n v="1"/>
    <n v="1"/>
    <n v="11251.22416"/>
    <n v="126317.12212"/>
    <n v="110808.27512000001"/>
    <n v="248376.6214"/>
  </r>
  <r>
    <s v="NEIVA"/>
    <x v="0"/>
    <x v="0"/>
    <n v="18256"/>
    <s v="TA-25-1034460"/>
    <n v="81224"/>
    <s v="APERTURA"/>
    <s v="CB CRECIMIENTO ALIANZA - NUEVO"/>
    <s v="CAQUETA"/>
    <s v="EL PAUJIL"/>
    <s v="DISTRICOL TIENDA CHAUX"/>
    <s v="REDEBAN"/>
    <s v="FO-25-1433892"/>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
    <s v="DEVIA REINOSO JUAN CARLOS"/>
    <s v="FKZZZ687"/>
    <s v="TIPO IV"/>
    <s v="TERRESTRE"/>
    <s v="DEVIA REINOSO JUAN CARLOS"/>
    <n v="1"/>
    <n v="1"/>
    <n v="1"/>
    <n v="11251.22416"/>
    <n v="126317.12212"/>
    <n v="110808.27512000001"/>
    <n v="248376.6214"/>
  </r>
  <r>
    <s v="PASTO"/>
    <x v="1"/>
    <x v="1"/>
    <n v="52356"/>
    <s v="TA-25-1034462"/>
    <n v="81226"/>
    <s v="APERTURA"/>
    <s v="CB CRECIMIENTO ALIANZA - NUEVO"/>
    <s v="NARIÑO"/>
    <s v="IPIALES"/>
    <s v="DISTRICOL EL LANCERO B MILITAR"/>
    <s v="REDEBAN"/>
    <s v="FO-25-1433899"/>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 SÉ TIENE CUENTA DE AHORROS PARA REALIZAR TRANSFERENCIA EXITOSA. QUEDA OPERATIVO."/>
    <s v="CASTILLO HERRERA ALEX RICARDO"/>
    <s v="FKZZZ689"/>
    <s v="TIPO II"/>
    <s v="TERRESTRE"/>
    <s v="CASTILLO HERRERA ALEX RICARDO"/>
    <n v="1"/>
    <n v="1"/>
    <n v="1"/>
    <n v="11251.22416"/>
    <n v="126317.12212"/>
    <n v="110808.27512000001"/>
    <n v="248376.6214"/>
  </r>
  <r>
    <s v="PASTO"/>
    <x v="1"/>
    <x v="1"/>
    <n v="52399"/>
    <s v="TA-25-1034463"/>
    <n v="81227"/>
    <s v="APERTURA"/>
    <s v="CB CRECIMIENTO ALIANZA - NUEVO"/>
    <s v="NARIÑO"/>
    <s v="LA UNION"/>
    <s v="DISTRICOL PAP Y MISC DELPARQUE"/>
    <s v="REDEBAN"/>
    <s v="FO-25-1433905"/>
    <d v="2025-08-27T00:00:00"/>
    <d v="2025-08-29T00:00:00"/>
    <s v="AGREGADOR"/>
    <s v="DISTRICOL"/>
    <s v="EJECUTADO/CANCELADO"/>
    <s v="27-08 PROGRAMACIÓN REALIZADA POR LA ALIANZA 29/08/2025 SE REALIZA VISITA PARA INSTALACIÓN DE CB PERO AL LLEGAR SE ENCUENTRA QUE NO CUENTAN CON AVISO COMERCIAL Y LA DIRECCIÓN DEL LUGAR NO COINCIDE CON LA QUE NOS ENTREGAN EN EL CORREO DE LA APERTURA POR LO CUAL SE ESCALA A EDISON SAMBONI DE REDEBAN EL CUAL INDICA QUE NO SE PUEDE REALIZAR LA APERTURA POR DIRECCIÓN ERRADA POR LO CUAL NO SE PUEDE REALIZAR LA APERTURA"/>
    <s v="PAZ MARTINEZ RICHARD HUMBERTO"/>
    <s v="FKZZZ690"/>
    <s v="TIPO III"/>
    <s v="TERRESTRE"/>
    <s v="PAZ MARTINEZ RICHARD HUMBERTO"/>
    <n v="0"/>
    <n v="0"/>
    <n v="2"/>
    <n v="11251.22416"/>
    <n v="126317.12212"/>
    <n v="110808.27512000001"/>
    <n v="221616.55024000001"/>
  </r>
  <r>
    <s v="PASTO"/>
    <x v="1"/>
    <x v="1"/>
    <n v="52838"/>
    <s v="TA-25-1034464"/>
    <n v="81233"/>
    <s v="APERTURA"/>
    <s v="CB CRECIMIENTO ALIANZA - NUEVO"/>
    <s v="NARIÑO"/>
    <s v="TUQUERRES"/>
    <s v="DISTRICOL DROG SANA SANA"/>
    <s v="REDEBAN"/>
    <s v="FO-25-1433910"/>
    <d v="2025-08-27T00:00:00"/>
    <d v="2025-08-28T00:00:00"/>
    <s v="AGREGADOR"/>
    <s v="DISTRICOL"/>
    <s v="EJECUTADO"/>
    <s v="27-08 PROGRAMACIÓN REALIZADA POR LA ALIANZA28/08/2025 SE REALIZA INSTALACIÓN DE CORRESPONSAL, SE INSTALAN EQUIPOS CON PRUEBAS EXITOSAS, SE CAPACITA Y SE EVALÚA AL CLIENTE, SE INSTALA PUBLICIDAD COMPLETA, CB QUEDA OPERATIVO. USUARIO SOMOS BANCOLOMBIA ACTIVO"/>
    <s v="GUERRERO RAMIREZ OSCAR DARIO"/>
    <s v="FKZZZ691"/>
    <s v="TIPO II"/>
    <s v="TERRESTRE"/>
    <s v="GUERRERO RAMIREZ OSCAR DARIO"/>
    <n v="1"/>
    <n v="1"/>
    <n v="1"/>
    <n v="11251.22416"/>
    <n v="126317.12212"/>
    <n v="110808.27512000001"/>
    <n v="248376.6214"/>
  </r>
  <r>
    <s v="PEREIRA"/>
    <x v="1"/>
    <x v="6"/>
    <n v="76400"/>
    <s v="TA-25-1034469"/>
    <n v="81228"/>
    <s v="APERTURA"/>
    <s v="CB CRECIMIENTO ALIANZA - NUEVO"/>
    <s v="VALLE DEL CAUCA"/>
    <s v="LA UNION"/>
    <s v="DISTRICOL COSITAS Y VAINAS"/>
    <s v="REDEBAN"/>
    <s v="FO-25-1433917"/>
    <d v="2025-08-27T00:00:00"/>
    <d v="2025-08-28T00:00:00"/>
    <s v="AGREGADOR"/>
    <s v="DISTRICOL"/>
    <s v="EJECUTADO"/>
    <s v="27-08 PROGRAMACIÓN REALIZADA POR LA ALIANZA28/08/2025 SE REALIZA INSTALACIÓN DE CORRESPONSAL, SE INSTALAN EQUIPOS CON PRUEBAS EXITOSAS, SE CAPACITA Y SE EVALÚA AL CLIENTE, SE INSTALA PUBLICIDAD COMPLETA, CB QUEDA OPERATIVO. USUARIO SOMOS BANCOLOMBIA ACTIVO"/>
    <s v="PAREDES CASTILLO DIEGO"/>
    <s v="FKZZZ692"/>
    <s v="TIPO II"/>
    <s v="TERRESTRE"/>
    <s v="PAREDES CASTILLO DIEGO"/>
    <n v="1"/>
    <n v="1"/>
    <n v="1"/>
    <n v="11251.22416"/>
    <n v="126317.12212"/>
    <n v="110808.27512000001"/>
    <n v="248376.6214"/>
  </r>
  <r>
    <s v="YOPAL"/>
    <x v="0"/>
    <x v="0"/>
    <n v="85001"/>
    <s v="TA-25-1034474"/>
    <n v="81239"/>
    <s v="APERTURA"/>
    <s v="CB CRECIMIENTO ALIANZA - NUEVO"/>
    <s v="CASANARE"/>
    <s v="YOPAL"/>
    <s v="DISTRICOL PAPELERIA LA MONA 2"/>
    <s v="REDEBAN"/>
    <s v="FO-25-1433923"/>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TA: NO SE REGISTRA TRANSFERENCIA, NO SE CUENTA CON MAS CUENTAS"/>
    <s v="BERNAL ELAICA EDGAR ALEXIS"/>
    <s v="FKZZZ693"/>
    <s v="TIPO I"/>
    <s v="TERRESTRE"/>
    <s v="BERNAL ELAICA EDGAR ALEXIS"/>
    <n v="1"/>
    <n v="1"/>
    <n v="1"/>
    <n v="11251.22416"/>
    <n v="126317.12212"/>
    <n v="57411.974240000003"/>
    <n v="194980.32052000001"/>
  </r>
  <r>
    <s v="YOPAL"/>
    <x v="0"/>
    <x v="0"/>
    <n v="85010"/>
    <s v="TA-25-1034475"/>
    <n v="81214"/>
    <s v="APERTURA"/>
    <s v="CB CRECIMIENTO ALIANZA - NUEVO"/>
    <s v="CASANARE"/>
    <s v="AGUAZUL"/>
    <s v="DISTRICOL SUPERDROGAS LA 17"/>
    <s v="REDEBAN"/>
    <s v="FO-25-1433927"/>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 SE REALIZA PRUEBA DE TRANSFERENCIA, NO SE CUENTA CON CUENTA PARA REALIZAR LA OPERACION "/>
    <s v="BERNAL ELAICA EDGAR ALEXIS"/>
    <s v="FKZZZ694"/>
    <s v="TIPO II"/>
    <s v="TERRESTRE"/>
    <s v="BERNAL ELAICA EDGAR ALEXIS"/>
    <n v="1"/>
    <n v="1"/>
    <n v="1"/>
    <n v="11251.22416"/>
    <n v="126317.12212"/>
    <n v="110808.27512000001"/>
    <n v="248376.6214"/>
  </r>
  <r>
    <s v="MEDELLIN"/>
    <x v="2"/>
    <x v="2"/>
    <n v="5031"/>
    <s v="TA-25-1034477"/>
    <n v="81225"/>
    <s v="APERTURA"/>
    <s v="CB CRECIMIENTO ALIANZA - NUEVO"/>
    <s v="ANTIOQUIA"/>
    <s v="AMALFI"/>
    <s v="DISTRICOL TIENDA A MAR"/>
    <s v="REDEBAN"/>
    <s v="FO-25-1433936"/>
    <d v="2025-08-27T00:00:00"/>
    <d v="2025-08-28T00:00:00"/>
    <s v="AGREGADOR"/>
    <s v="DISTRICOL"/>
    <s v="EJECUTADO/CANCELADO"/>
    <s v="27-08 PROGRAMACIÓN REALIZADA POR LA ALIANZA 28/08/2025 VISITAMOS PUNTO ENCONTRANDO OTRO CB EN EL LOCAL CONTIGUO. CODIGO EXISTENTE 71566 BARRIO EL CAMELLON AMALFI. ADICIONALMENTE HAY UNA NOVEDAD CON LA DIRECCIÓN. COMERCIO ESTÁ UBICADO EN CALLE 20 PERO CON CARRERA 17."/>
    <s v="QUINTERO SANCHEZ JUAN SEBASTIAN"/>
    <s v="FKZZZ696"/>
    <s v="TIPO IV"/>
    <s v="TERRESTRE"/>
    <s v="QUINTERO SANCHEZ JUAN SEBASTIAN"/>
    <n v="0"/>
    <n v="0"/>
    <n v="2"/>
    <n v="11251.22416"/>
    <n v="126317.12212"/>
    <n v="110808.27512000001"/>
    <n v="221616.55024000001"/>
  </r>
  <r>
    <s v="APARTADO"/>
    <x v="2"/>
    <x v="2"/>
    <n v="5045"/>
    <s v="TA-25-1034479"/>
    <n v="81220"/>
    <s v="APERTURA"/>
    <s v="CB CRECIMIENTO ALIANZA - NUEVO"/>
    <s v="ANTIOQUIA"/>
    <s v="APARTADO"/>
    <s v="DISTRICOL MISCELANEA YAJANDRE"/>
    <s v="REDEBAN"/>
    <s v="FO-25-1433944"/>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O"/>
    <s v="SALDARRIAGA MIRANDA SANTIAGO"/>
    <s v="FKZZZ697"/>
    <s v="TIPO I"/>
    <s v="TERRESTRE"/>
    <s v="SALDARRIAGA MIRANDA SANTIAGO"/>
    <n v="1"/>
    <n v="1"/>
    <n v="1"/>
    <n v="11251.22416"/>
    <n v="126317.12212"/>
    <n v="57411.974240000003"/>
    <n v="194980.32052000001"/>
  </r>
  <r>
    <m/>
    <x v="6"/>
    <x v="7"/>
    <m/>
    <m/>
    <m/>
    <m/>
    <m/>
    <m/>
    <m/>
    <m/>
    <m/>
    <m/>
    <m/>
    <m/>
    <m/>
    <m/>
    <m/>
    <m/>
    <m/>
    <m/>
    <m/>
    <m/>
    <m/>
    <m/>
    <m/>
    <m/>
    <m/>
    <m/>
    <m/>
    <n v="108572846.54027949"/>
  </r>
  <r>
    <m/>
    <x v="6"/>
    <x v="7"/>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IBAGUE"/>
    <x v="0"/>
    <x v="0"/>
    <n v="73001"/>
    <n v="2527924"/>
    <n v="70007"/>
    <s v="ORDEN DE CAMBIO"/>
    <s v="TOLIMA"/>
    <s v="IBAGUE"/>
    <s v="BARRIO URBANIZACION VILLA MARI"/>
    <s v="REDEBAN"/>
    <s v="FO-25-1307996"/>
    <d v="2025-07-30T13:55:00"/>
    <d v="2025-08-01T10:54:00"/>
    <m/>
    <s v="PUBLICIDAD"/>
    <s v="AVISO EXTERIOR"/>
    <s v="CB UNO A UNO"/>
    <s v="CB UNO A UNO"/>
    <s v="EJECUTADO_EXITOSO"/>
    <s v="EJECUTADO EXITOSO"/>
    <s v="SE COMUNICA CB SR(A) DAHIANA PARA SOLICITAR QUE EL AVISO EXTERIOR SE LE CAYÓ, AGRADECE LE COLABOREN INSTALANDO DE NUEVO, GRACIAS_x000a_0_x000a_01/08/2025 SE REALIZA INSTALACIÓN DE AVISO EXTERIOR POR SOLICITUD DEL CLIENTE. CERRAR"/>
    <s v="VISITA_TÉCNICA"/>
    <n v="0"/>
    <s v="TIPO I"/>
    <s v="=BUSCARV('PUBLICIDAD OC'!D2;'TIPOLOGIA'!A:F;1;0)"/>
    <s v="BARRAGAN TAFUR EDWIN ESTEBAN"/>
    <n v="1"/>
    <n v="0"/>
    <n v="96001.196280000004"/>
    <n v="57411.974240000003"/>
    <n v="96001.196280000004"/>
  </r>
  <r>
    <s v="PEREIRA"/>
    <x v="1"/>
    <x v="1"/>
    <n v="66170"/>
    <n v="2531480"/>
    <n v="78371"/>
    <s v="ORDEN DE CAMBIO"/>
    <s v="RISARALDA"/>
    <s v="PEREIRA"/>
    <s v="DISTRICOL RAPITIENDA EL GOCHO"/>
    <s v="REDEBAN"/>
    <s v="FO-25-1311324"/>
    <d v="2025-07-31T09:18:00"/>
    <d v="2025-08-01T10:58:00"/>
    <m/>
    <s v="PUBLICIDAD"/>
    <s v="AVISO EXTERIOR"/>
    <s v="AGREGADOR"/>
    <s v="DISTRICOL"/>
    <s v="EJECUTADO_EXITOSO"/>
    <s v="EJECUTADO EXITOSO"/>
    <s v="SE COMUNICA CB SR(A) ONYLIARDYS LINDIOLA PARA SOLICITAR AVISO EXTERIOR POR DAÑO TOTAL GRACIAS_x000a_0_x000a_01/08/2025 VISITAMOS COMERCIO REALIZAMOS INSTALACIÓN DE AVISO EXTERIOR YA QUE EL QUE TENIA SE LE DAÑO.  CERRAR"/>
    <s v="VISITA_TÉCNICA"/>
    <n v="0"/>
    <s v="TIPO I"/>
    <s v="=BUSCARV('PUBLICIDAD OC'!D2;'TIPOLOGIA'!A:F;1;0)"/>
    <s v="ARROYAVE CANO MANUEL GUILLERMO"/>
    <n v="1"/>
    <n v="0"/>
    <n v="96001.196280000004"/>
    <n v="57411.974240000003"/>
    <n v="96001.196280000004"/>
  </r>
  <r>
    <s v="PEREIRA"/>
    <x v="1"/>
    <x v="1"/>
    <n v="66170"/>
    <n v="2533194"/>
    <n v="66059"/>
    <s v="ORDEN DE CAMBIO"/>
    <s v="RISARALDA"/>
    <s v="DOSQUEBRADAS"/>
    <s v="DISTRICOL INVERSIONES GRUPO GM"/>
    <s v="REDEBAN"/>
    <s v="FO-25-1313567"/>
    <d v="2025-07-31T11:33:00"/>
    <d v="2025-08-01T11:01:00"/>
    <m/>
    <s v="PUBLICIDAD"/>
    <s v="AVISO EXTERIOR"/>
    <s v="AGREGADOR"/>
    <s v="DISTRICOL"/>
    <s v="EJECUTADO_EXITOSO"/>
    <s v="EJECUTADO EXITOSO"/>
    <s v="SE COMUNICA CB SR(A) GILSON ANTONIO MATIUZZI PARA SOLICITAR AVISO EXTERIOR POR DAÑO TOTAL, CB INDICA MANEJA DOS AVISOS EXTERIORES GRACIAS_x000a_0_x000a_01/08/2025 VISITAMOS COMERCIO REALIZAMOS INSTALACIÓN DE AVISO EXTERIOR YA QUE EL QUE TENIS SE DAÑO.  CERRAR"/>
    <s v="VISITA_TÉCNICA"/>
    <n v="0"/>
    <s v="TIPO I"/>
    <s v="=BUSCARV('PUBLICIDAD OC'!D2;'TIPOLOGIA'!A:F;1;0)"/>
    <s v="ARROYAVE CANO MANUEL GUILLERMO"/>
    <n v="1"/>
    <n v="0"/>
    <n v="96001.196280000004"/>
    <n v="57411.974240000003"/>
    <n v="96001.196280000004"/>
  </r>
  <r>
    <s v="BOGOTA"/>
    <x v="2"/>
    <x v="2"/>
    <n v="11001"/>
    <n v="2533789"/>
    <n v="17568"/>
    <s v="ORDEN DE CAMBIO"/>
    <s v="CUNDINAMARCA"/>
    <s v="BOGOTA"/>
    <s v="BARRIO LA SOLEDAD II BOGOTA"/>
    <s v="REDEBAN"/>
    <s v="FO-25-1313557"/>
    <d v="2025-07-31T13:27:00"/>
    <d v="2025-08-02T07:41:00"/>
    <m/>
    <s v="PUBLICIDAD"/>
    <s v="AVISO EXTERIOR"/>
    <s v="CB UNO A UNO"/>
    <s v="CB UNO A UNO"/>
    <s v="EJECUTADO_EXITOSO"/>
    <s v="EJECUTADO EXITOSO"/>
    <s v="SE COMUNICA CB SR(A) ESPERANZA PARA SOLICITAR ,AVISO EXTERIOR DEBIDO A QUE LE ROBARON EL QUE TENIA, POR FAVOR COLABORARLE, GRACIAS_x000a_0_x000a_01/08/2025 SE REALIZA INSTALACIÓN DE AVISO DE ACUERDO A INDICACIONES DEL CLIENTE. CERRAR"/>
    <s v="VISITA_TÉCNICA"/>
    <n v="0"/>
    <s v="TIPO I"/>
    <s v="=BUSCARV('PUBLICIDAD OC'!D2;'TIPOLOGIA'!A:F;1;0)"/>
    <s v="LOZADA ROJAS CHRISTIAN ANDRES"/>
    <n v="1"/>
    <n v="0"/>
    <n v="96001.196280000004"/>
    <n v="57411.974240000003"/>
    <n v="96001.196280000004"/>
  </r>
  <r>
    <s v="BOGOTA"/>
    <x v="2"/>
    <x v="2"/>
    <n v="11001"/>
    <n v="2530593"/>
    <n v="73393"/>
    <s v="ORDEN DE CAMBIO"/>
    <s v="CUNDINAMARCA"/>
    <s v="BOGOTA"/>
    <s v="PTM BOGOTA  SAN JOSE PHARMA"/>
    <s v="REDEBAN"/>
    <s v="FO-25-1309883"/>
    <d v="2025-07-31T08:09:00"/>
    <d v="2025-08-02T07:53:00"/>
    <m/>
    <s v="PUBLICIDAD"/>
    <s v="AVISO EXTERIOR"/>
    <s v="AGREGADOR"/>
    <s v="COMCARD - PTM"/>
    <s v="EJECUTADO_EXITOSO"/>
    <s v="EJECUTADO EXITOSO"/>
    <s v="SE COMUNICA CB SR(A) JUAN PARA SOLICITAR AVISO EXTERIOR POR QUE SE LO ROBARON , GRACIAS_x000a_0_x000a_01/08/2025 SE REALIZA INSTALACIÓN DE AVISO EXTERIOR SIN MARCO AUTORIZADO POR REDEBAN CERRAR"/>
    <s v="VISITA_TÉCNICA"/>
    <n v="0"/>
    <s v="TIPO I"/>
    <s v="=BUSCARV('PUBLICIDAD OC'!D2;'TIPOLOGIA'!A:F;1;0)"/>
    <s v="MURCIA HERNANDEZ HARVEY IGNACIO"/>
    <n v="1"/>
    <n v="0"/>
    <n v="96001.196280000004"/>
    <n v="57411.974240000003"/>
    <n v="96001.196280000004"/>
  </r>
  <r>
    <s v="CALI"/>
    <x v="1"/>
    <x v="3"/>
    <n v="76001"/>
    <n v="2529204"/>
    <n v="66101"/>
    <s v="ORDEN DE CAMBIO"/>
    <s v="VALLE DEL CAUCA"/>
    <s v="CALI"/>
    <s v="BARRIO PANCE CALI 3"/>
    <s v="REDEBAN"/>
    <s v="FO-25-1307991"/>
    <d v="2025-07-30T15:58:00"/>
    <d v="2025-08-02T07:57:00"/>
    <m/>
    <s v="PUBLICIDAD"/>
    <s v="AVISO EXTERIOR"/>
    <s v="CB UNO A UNO"/>
    <s v="CB UNO A UNO"/>
    <s v="EJECUTADO_EXITOSO"/>
    <s v="EJECUTADO EXITOSO"/>
    <s v=" SE COMUNICA CB SR(A) ANDRES PARA SOLICITAR 02 AVISOS EXTERIORES POR ROBO. LOCAL ESQUINERO RADICADO DE TPC 13825950_x000a_0_x000a_01/08/2025 SE VISITA CORRESPONSAL Y SE REALIZA INSTALACIÓN DE AVISO SIN MARCO SOBRE SUPERFICIE DE VIDRIO A SOLICITUD DEL CLIENTE.  CERRAR"/>
    <s v="VISITA_TÉCNICA"/>
    <n v="0"/>
    <s v="TIPO I"/>
    <s v="=BUSCARV('PUBLICIDAD OC'!D2;'TIPOLOGIA'!A:F;1;0)"/>
    <s v="BOLAÑOS TABORDA JORGE ENRIQUE"/>
    <n v="1"/>
    <n v="0"/>
    <n v="96001.196280000004"/>
    <n v="57411.974240000003"/>
    <n v="96001.196280000004"/>
  </r>
  <r>
    <s v="BOGOTA"/>
    <x v="2"/>
    <x v="2"/>
    <n v="25473"/>
    <n v="2516155"/>
    <n v="69890"/>
    <s v="ORDEN DE CAMBIO"/>
    <s v="CUNDINAMARCA"/>
    <s v="MOSQUERA"/>
    <s v="BARRIO CENTRO MOSQUERA  3"/>
    <s v="REDEBAN"/>
    <s v="FO-25-1297545"/>
    <d v="2025-07-28T16:39:00"/>
    <d v="2025-08-02T12:15:00"/>
    <m/>
    <s v="PUBLICIDAD"/>
    <s v="AVISO EXTERIOR"/>
    <s v="CB UNO A UNO"/>
    <s v="CB UNO A UNO"/>
    <s v="EJECUTADO_CANCELADO"/>
    <s v="PETICIÓN USUARIO"/>
    <s v="SE COMUNICA CB SR WILLIAM PARA SOLICITAR EL AVISO EXTERIOR YA QUE SE LE ROMPIO, GRACIAS RADICADO DE TPC 13814805_x000a_0_x000a_02/08/2025 DURANTE LA VISITA TECNICA PARA REALIZA INSTALACIÓN DE AVISO EXTERIOR COMERCIO SE ENCUENTRA CERRADO SE LLAMA AL CELULAR 3134074094 EN EL CUAL NOS RESPONDE EL SR DANIEL VARGAS Y NOS INDICA QUE SE ENCUENTRA CERCA DEL COMERCIO Y LAS PERSONAS ENCARGADA DEL MISMO NO LE CONTESTAN PARA RECIBIR LA VISITA SE BRINDA INFORMACIÓN SE PROCEDE AL CIERRE DE LA ACTIVIDAD SE REALIZA DEVOLUCIÓN DE PUBLICIDAD NO UTILIZADA A BODEGA  CERRAR"/>
    <s v="VISITA_TÉCNICA"/>
    <n v="0"/>
    <s v="TIPO I"/>
    <s v="=BUSCARV('PUBLICIDAD OC'!D2;'TIPOLOGIA'!A:F;1;0)"/>
    <s v="GALEANO SORIANO JUAN DAVID"/>
    <n v="1"/>
    <n v="0"/>
    <n v="96001.196280000004"/>
    <n v="57411.974240000003"/>
    <n v="96001.196280000004"/>
  </r>
  <r>
    <s v="MONTERIA"/>
    <x v="3"/>
    <x v="4"/>
    <n v="23001"/>
    <n v="2537355"/>
    <n v="62262"/>
    <s v="ORDEN DE CAMBIO"/>
    <s v="CORDOBA"/>
    <s v="MONTERIA"/>
    <s v="BARRIO FURATENA MONTERIA 2"/>
    <s v="REDEBAN"/>
    <s v="FO-25-1316191"/>
    <d v="2025-08-01T08:38:00"/>
    <d v="2025-08-02T12:23:00"/>
    <m/>
    <s v="PUBLICIDAD"/>
    <s v="AVISO EXTERIOR"/>
    <s v="CB UNO A UNO"/>
    <s v="CB UNO A UNO"/>
    <s v="EJECUTADO_EXITOSO"/>
    <s v="EJECUTADO EXITOSO"/>
    <s v="SE COMUNICA CB SR(A) KARINA PARA SOLICITAR EL AVISO EXTERIOR YA QUE SE LO ROBARON . GRACIAS_x000a_0_x000a_02/08/2025 SE INSTALA PUBLICIDAD AVISO EXTERNO YA QUE NO SE ENCONTRÓ EN SITIO. CERRAR"/>
    <s v="VISITA_TÉCNICA"/>
    <n v="0"/>
    <s v="TIPO I"/>
    <s v="=BUSCARV('PUBLICIDAD OC'!D2;'TIPOLOGIA'!A:F;1;0)"/>
    <s v="COGOLLO VERTEL EDER LUIS"/>
    <n v="1"/>
    <n v="0"/>
    <n v="96001.196280000004"/>
    <n v="57411.974240000003"/>
    <n v="96001.196280000004"/>
  </r>
  <r>
    <s v="BOGOTA"/>
    <x v="2"/>
    <x v="2"/>
    <n v="25430"/>
    <n v="2533849"/>
    <n v="75668"/>
    <s v="ORDEN DE CAMBIO"/>
    <s v="CUNDINAMARCA"/>
    <s v="MADRID"/>
    <s v="BARRIO SAN PABLO MADRID"/>
    <s v="REDEBAN"/>
    <s v="FO-25-1313562"/>
    <d v="2025-07-31T12:53:00"/>
    <d v="2025-08-02T15:02:00"/>
    <m/>
    <s v="PUBLICIDAD"/>
    <s v="AVISO EXTERIOR"/>
    <s v="CB UNO A UNO"/>
    <s v="CB UNO A UNO"/>
    <s v="EJECUTADO_EXITOSO"/>
    <s v="EJECUTADO EXITOSO"/>
    <s v="SE COMUNICA CB SR SANTIAGO PARA SOLICITAR EL AVISO EXTERIOR YA QUE SE LO ROBARON, ESPERO LE PUEDAN COLABORAR, GRACIAS._x000a_0_x000a_02/08/2025 DURANTE LA VISITA TECNICA SE REALIZA INSTALACIÓN DE AVISO EXTERIOR CON CHAZOS A LA PARED EN LUGAR INDICADO POR COMERCIO A CONFORMIDAD DE CORRESPONSAL NO SE MANIPULA EQUIPOS  SIN NOVEDAD EN INSTALACIÓN CERRAR"/>
    <s v="VISITA_TÉCNICA"/>
    <n v="0"/>
    <s v="TIPO II"/>
    <s v="=BUSCARV('PUBLICIDAD OC'!D2;'TIPOLOGIA'!A:F;1;0)"/>
    <s v="GALEANO SORIANO JUAN DAVID"/>
    <n v="1"/>
    <n v="0"/>
    <n v="232858.60096000001"/>
    <n v="110808.27512000001"/>
    <n v="232858.60096000001"/>
  </r>
  <r>
    <s v="NEIVA"/>
    <x v="0"/>
    <x v="0"/>
    <n v="41551"/>
    <n v="2529645"/>
    <n v="53702"/>
    <s v="ORDEN DE CAMBIO"/>
    <s v="HUILA"/>
    <s v="PITALITO"/>
    <s v="BARRIO SUCRE PITALITO 3"/>
    <s v="REDEBAN"/>
    <s v="FO-25-1309894"/>
    <d v="2025-07-30T16:40:00"/>
    <d v="2025-08-02T15:05:00"/>
    <m/>
    <s v="PUBLICIDAD"/>
    <s v="AVISO EXTERIOR"/>
    <s v="CB UNO A UNO"/>
    <s v="CB UNO A UNO"/>
    <s v="EJECUTADO_EXITOSO"/>
    <s v="EJECUTADO EXITOSO"/>
    <s v=" SE COMUNICA CB SR(A)DIANA PARA SOLICITAR AVISO EXTERIOR PORQUE EN DÍAS ANTERIORES LO TUMBARON Y LO PARTIERON POR FAVOR Y , GRACIAS RADICADO DE TPC 13834164_x000a_0_x000a_02/08/2025 SE REALIZA VISITA AL PUNTO, SE IMPLEMENTA CON EXITO AVISO EXTERIOR M CERRAR"/>
    <s v="VISITA_TÉCNICA"/>
    <n v="0"/>
    <s v="TIPO III"/>
    <s v="=BUSCARV('PUBLICIDAD OC'!D2;'TIPOLOGIA'!A:F;1;0)"/>
    <s v="DEVIA REINOSO JUAN CARLOS"/>
    <n v="1"/>
    <n v="0"/>
    <n v="344774.56896"/>
    <n v="110808.27512000001"/>
    <n v="344774.56896"/>
  </r>
  <r>
    <s v="PEREIRA"/>
    <x v="1"/>
    <x v="1"/>
    <n v="66001"/>
    <n v="2540530"/>
    <n v="55044"/>
    <s v="ORDEN DE CAMBIO"/>
    <s v="RISARALDA"/>
    <s v="PEREIRA"/>
    <s v="BARRIO CENTRO PEREIRA 31"/>
    <s v="REDEBAN"/>
    <s v="FO-25-1318916"/>
    <d v="2025-08-01T13:48:00"/>
    <d v="2025-08-04T10:17:00"/>
    <m/>
    <s v="PUBLICIDAD"/>
    <s v="AVISO EXTERIOR"/>
    <s v="CB UNO A UNO"/>
    <s v="CB UNO A UNO"/>
    <s v="EJECUTADO_EXITOSO"/>
    <s v="EJECUTADO EXITOSO"/>
    <s v=" SE COMUNICA SR(A)MÓNICA; SOLICITA AVISO YA QUE SE LO ROBARON EL DIA 30 DE JULIO EN HORAS DE LA NOCHE_x000a_0_x000a_04/08/2025 VISITAMOS COMERCIO REALIZAMOS INSTALACIÓN DE AVISO EXTERIOR YA QUE SE LE ROBARON EL QUE TENIA.  CERRAR"/>
    <s v="VISITA_TÉCNICA"/>
    <n v="0"/>
    <s v="TIPO I"/>
    <s v="=BUSCARV('PUBLICIDAD OC'!D2;'TIPOLOGIA'!A:F;1;0)"/>
    <s v="ARROYAVE CANO MANUEL GUILLERMO"/>
    <n v="1"/>
    <n v="0"/>
    <n v="96001.196280000004"/>
    <n v="57411.974240000003"/>
    <n v="96001.196280000004"/>
  </r>
  <r>
    <s v="IBAGUE"/>
    <x v="0"/>
    <x v="0"/>
    <n v="73001"/>
    <n v="2541245"/>
    <n v="77457"/>
    <s v="ORDEN DE CAMBIO"/>
    <s v="TOLIMA"/>
    <s v="IBAGUE"/>
    <s v="BARRIO URB MONTECARLO IBAGUE"/>
    <s v="REDEBAN"/>
    <s v="FO-25-1318915"/>
    <d v="2025-08-01T15:17:00"/>
    <d v="2025-08-04T12:42:00"/>
    <m/>
    <s v="PUBLICIDAD"/>
    <s v="AVISO EXTERIOR"/>
    <s v="CB UNO A UNO"/>
    <s v="CB UNO A UNO"/>
    <s v="EJECUTADO_EXITOSO"/>
    <s v="EJECUTADO EXITOSO"/>
    <s v=" SE COMUNICA CB SR(A) MABEL PARA SOLICITAR LE VAYAN A COLOCAR AVISO EXTERIROR SE LE CAYO LO TIENEEN PERFECTO ESTADO , GRACIAS RADICADO DE TPC 13850518_x000a_0_x000a_04/08/2025 INSTALACIÓN DE AVISO EXTERIOR, YA QUE EL QUE TIENE ESTÁ RAYADO CUANDO SE  CAYO  CERRAR"/>
    <s v="VISITA_TÉCNICA"/>
    <n v="0"/>
    <s v="TIPO I"/>
    <s v="=BUSCARV('PUBLICIDAD OC'!D2;'TIPOLOGIA'!A:F;1;0)"/>
    <s v="GUTIERREZ  CAMILO ANDRES"/>
    <n v="1"/>
    <n v="0"/>
    <n v="96001.196280000004"/>
    <n v="57411.974240000003"/>
    <n v="96001.196280000004"/>
  </r>
  <r>
    <s v="MEDELLIN"/>
    <x v="4"/>
    <x v="5"/>
    <n v="5579"/>
    <n v="2542463"/>
    <n v="73705"/>
    <s v="ORDEN DE CAMBIO"/>
    <s v="ANTIOQUIA"/>
    <s v="PUERTO BERRIO"/>
    <s v="BARRIO CENTRO PUERTO BERRIO 7"/>
    <s v="REDEBAN"/>
    <s v="FO-25-1318910"/>
    <d v="2025-08-01T17:43:00"/>
    <d v="2025-08-04T12:49:00"/>
    <m/>
    <s v="PUBLICIDAD"/>
    <s v="AVISO EXTERIOR"/>
    <s v="CB UNO A UNO"/>
    <s v="CB UNO A UNO"/>
    <s v="EJECUTADO_EXITOSO"/>
    <s v="EJECUTADO EXITOSO"/>
    <s v="SE COMUNICA CB SR(A) MANUELA, PARA SOLICITAR EL AVISO EXTERIOR PRINCIPAL EL QUE TENIA PASO UN VENTARRÓN, LO TUMBO Y SE LE PARTIÓ , GRACIAS RADICADO DE TPC 13851871_x000a_0_x000a_04/08/2025 SE REALIZA INSTALACIÓN DEL AVISO EXTERIOR EXITOSAMENTE OK,  YA QUE EL ANTERIOR SE ENCUENTRA DETERIORADO OK,  CERRAR"/>
    <s v="VISITA_TÉCNICA"/>
    <n v="0"/>
    <s v="TIPO III"/>
    <s v="=BUSCARV('PUBLICIDAD OC'!D2;'TIPOLOGIA'!A:F;1;0)"/>
    <s v="MARTINEZ TOVAR OSCAR DAVID"/>
    <n v="1"/>
    <n v="0"/>
    <n v="344774.56896"/>
    <n v="110808.27512000001"/>
    <n v="344774.56896"/>
  </r>
  <r>
    <s v="MEDELLIN"/>
    <x v="4"/>
    <x v="5"/>
    <n v="5579"/>
    <n v="2516588"/>
    <n v="49763"/>
    <s v="ORDEN DE CAMBIO"/>
    <s v="ANTIOQUIA"/>
    <s v="PUERTO BERRIO"/>
    <s v="BARRIO PUERTO BERRIO PUERTO BE"/>
    <s v="REDEBAN"/>
    <s v="FO-25-1297539"/>
    <d v="2025-07-28T17:36:00"/>
    <d v="2025-08-04T13:58:00"/>
    <m/>
    <s v="PUBLICIDAD"/>
    <s v="AVISO EXTERIOR"/>
    <s v="CB UNO A UNO"/>
    <s v="CB UNO A UNO"/>
    <s v="EJECUTADO_EXITOSO"/>
    <s v="EJECUTADO EXITOSO"/>
    <s v="SE COMUNICA CB SR(A) ANDRES PARA SOLICITAR AVISO EXTERIOR POR DAÑO, GRACIAS RADICADO DE TPC 13815258_x000a_0_x000a_04/08/2025 SE REALIZA INSTALACIÓN DEL AVISO EXTERIOR EXITOSAMENTE OK,  EL ANTERIOR SE ENCONTRABA DETERIORADO OK CERRAR"/>
    <s v="VISITA_TÉCNICA"/>
    <n v="0"/>
    <s v="TIPO III"/>
    <s v="=BUSCARV('PUBLICIDAD OC'!D2;'TIPOLOGIA'!A:F;1;0)"/>
    <s v="MARTINEZ TOVAR OSCAR DAVID"/>
    <n v="1"/>
    <n v="0"/>
    <n v="344774.56896"/>
    <n v="110808.27512000001"/>
    <n v="344774.56896"/>
  </r>
  <r>
    <s v="MEDELLIN"/>
    <x v="4"/>
    <x v="5"/>
    <n v="5579"/>
    <n v="2527233"/>
    <n v="46941"/>
    <s v="ORDEN DE CAMBIO"/>
    <s v="ANTIOQUIA"/>
    <s v="PUERTO BERRIO"/>
    <s v="BARRIO EL CARMELO PUERTO BERRI"/>
    <s v="REDEBAN"/>
    <s v="FO-25-1308002"/>
    <d v="2025-07-30T11:51:00"/>
    <d v="2025-08-04T14:06:00"/>
    <m/>
    <s v="PUBLICIDAD"/>
    <s v="AVISO EXTERIOR"/>
    <s v="CB UNO A UNO"/>
    <s v="CB UNO A UNO"/>
    <s v="EJECUTADO_EXITOSO"/>
    <s v="EJECUTADO EXITOSO"/>
    <s v=" SE COMUNICA CB SR(A) YECENIA PARA SOLICITAR AVISO EXTERIOR, EL QUE TENIA SE LO CALLO LA LLUVIA Y SE PARTIO, GRACIAS_x000a_0_x000a_04/08/2025 SE REALIZA VISITA AL PUNTO,  SE ENCUENTRA CERRADO,  SE HABLA CON USUARIO INDICA QUE SE ENCUENTRA EN LA CIUDAD DE MEDELLIN EN CITA MEDICA POR LO CUAL EL USUARIO INDICA QUE LA SEÑORA MONICA RODRIGUEZ FIRME LA INSTALACIÓN DEL AVISO EXTERIOR,  NO SE OBTIENE TIRILLA POR TAL MOTIVO OK CERRAR"/>
    <s v="VISITA_TÉCNICA"/>
    <n v="0"/>
    <s v="TIPO III"/>
    <s v="=BUSCARV('PUBLICIDAD OC'!D2;'TIPOLOGIA'!A:F;1;0)"/>
    <s v="MARTINEZ TOVAR OSCAR DAVID"/>
    <n v="1"/>
    <n v="0"/>
    <n v="344774.56896"/>
    <n v="110808.27512000001"/>
    <n v="344774.56896"/>
  </r>
  <r>
    <s v="BOGOTA"/>
    <x v="2"/>
    <x v="2"/>
    <n v="11001"/>
    <n v="2538511"/>
    <n v="79615"/>
    <s v="ORDEN DE CAMBIO"/>
    <s v="CUNDINAMARCA"/>
    <s v="BOGOTA"/>
    <s v="BARRIO SANTA LUCIA BOGOTA 11"/>
    <s v="REDEBAN"/>
    <s v="FO-25-1316183"/>
    <d v="2025-08-01T09:59:00"/>
    <d v="2025-08-04T17:10:00"/>
    <m/>
    <s v="PUBLICIDAD"/>
    <s v="AVISO EXTERIOR"/>
    <s v="CB UNO A UNO"/>
    <s v="CB UNO A UNO"/>
    <s v="EJECUTADO_EXITOSO"/>
    <s v="EJECUTADO EXITOSO"/>
    <s v="SE COMUNICA CB SR(A)DORA NAVARRETE PARA SOLICITAR AVISO EXTERIOR POR QUE SE LO ROBARON , GRACIAS_x000a_0_x000a_04/08/2025 DURANTE LA VISITA TECNICA SE REALIZA INSTALACIÓN DE AVISO EXTERIOR CON CHAZOS A LA PARED EN LUGAR INDICADO POR COMERCIO A CONFORMIDAD DE CORRESPONSAL NO SE MANIPULA EQUIPOS  SIN NOVEDAD EN INSTALACIÓN CERRAR"/>
    <s v="VISITA_TÉCNICA"/>
    <n v="0"/>
    <s v="TIPO I"/>
    <s v="=BUSCARV('PUBLICIDAD OC'!D2;'TIPOLOGIA'!A:F;1;0)"/>
    <s v="GALEANO SORIANO JUAN DAVID"/>
    <n v="1"/>
    <n v="0"/>
    <n v="96001.196280000004"/>
    <n v="57411.974240000003"/>
    <n v="96001.196280000004"/>
  </r>
  <r>
    <s v="IBAGUE"/>
    <x v="0"/>
    <x v="0"/>
    <n v="73001"/>
    <n v="2510860"/>
    <n v="74921"/>
    <s v="ORDEN DE CAMBIO"/>
    <s v="TOLIMA"/>
    <s v="IBAGUE"/>
    <s v="BARRIO CADIZ IBAGUE 2"/>
    <s v="REDEBAN"/>
    <s v="FO-25-1293506"/>
    <d v="2025-07-28T09:23:00"/>
    <d v="2025-08-04T17:33:00"/>
    <m/>
    <s v="PUBLICIDAD"/>
    <s v="AVISO EXTERIOR"/>
    <s v="CB UNO A UNO"/>
    <s v="CB UNO A UNO"/>
    <s v="EJECUTADO_EXITOSO"/>
    <s v="EJECUTADO EXITOSO"/>
    <s v="SE COMUNICA CB SRA FLOR MIRANDA ) PARA SOLICITAR QUE LE COLABOREN COLGANDO EL AVISO EXTERIOR YA QUE SE LE CAYO_x000a_03/08/2025 POR HORARIO DE ATENCIÓN COMERCIO ABRE EL LUNES A PARTIR DE LAS 8AM_x000a_04/08/2025 SE INSTALA AVISO  EXTERIOR  EL CB YA CONTABA CON AVISO EXTERIOR  "/>
    <s v="VISITA_TÉCNICA"/>
    <n v="0"/>
    <s v="TIPO I"/>
    <s v="=BUSCARV('PUBLICIDAD OC'!D2;'TIPOLOGIA'!A:F;1;0)"/>
    <s v="GUTIERREZ  CAMILO ANDRES"/>
    <n v="1"/>
    <n v="0"/>
    <n v="96001.196280000004"/>
    <n v="57411.974240000003"/>
    <n v="96001.196280000004"/>
  </r>
  <r>
    <s v="NEIVA"/>
    <x v="0"/>
    <x v="0"/>
    <n v="41001"/>
    <n v="2543697"/>
    <n v="75076"/>
    <s v="ORDEN DE CAMBIO"/>
    <s v="HUILA"/>
    <s v="NEIVA"/>
    <s v="BARRIO MANZANARES NEIVA 2"/>
    <s v="REDEBAN"/>
    <s v="FO-25-1321599"/>
    <d v="2025-08-04T08:00:00"/>
    <d v="2025-08-05T11:13:00"/>
    <m/>
    <s v="PUBLICIDAD"/>
    <s v="AVISO EXTERIOR"/>
    <s v="CB UNO A UNO"/>
    <s v="CB UNO A UNO"/>
    <s v="EJECUTADO_EXITOSO"/>
    <s v="EJECUTADO EXITOSO"/>
    <s v="LEIDY 75076 SE COMUNICA PARA SOLICITAR AVISO EXTERIOR YA QUE SE CAYÓ Y SE DAÑO. GRACIAS_x000a_0_x000a_04/08/2025 SE REALIZA VISITA AL PUNTO, SE IMPLEMENTA AVISO EXTERIOR SEGÚN PETICIÓN USUARIO . CERRAR"/>
    <s v="VISITA_TÉCNICA"/>
    <n v="0"/>
    <s v="TIPO I"/>
    <s v="=BUSCARV('PUBLICIDAD OC'!D2;'TIPOLOGIA'!A:F;1;0)"/>
    <s v="DEVIA REINOSO JUAN CARLOS"/>
    <n v="1"/>
    <n v="0"/>
    <n v="96001.196280000004"/>
    <n v="57411.974240000003"/>
    <n v="96001.196280000004"/>
  </r>
  <r>
    <s v="SINCELEJO"/>
    <x v="3"/>
    <x v="4"/>
    <n v="70001"/>
    <n v="2526269"/>
    <n v="50683"/>
    <s v="ORDEN DE CAMBIO"/>
    <s v="SUCRE"/>
    <s v="SINCELEJO"/>
    <s v="BARRIO LA CAMPINA SINCELEJO"/>
    <s v="REDEBAN"/>
    <s v="FO-25-1305301"/>
    <d v="2025-07-30T10:45:00"/>
    <d v="2025-08-05T14:21:00"/>
    <m/>
    <s v="PUBLICIDAD"/>
    <s v="AVISO EXTERIOR"/>
    <s v="CB UNO A UNO"/>
    <s v="CB UNO A UNO"/>
    <s v="EJECUTADO_EXITOSO"/>
    <s v="EJECUTADO EXITOSO"/>
    <s v=" SE COMUNICA CB SR(A) LUIS GARCIA SOLICITA EL AVISO EXTERIOR YA QUE SE CAYO Y SE PARTIO, GRACIAS_x000a_0_x000a_05/08/2025 SE VISITA COMERCIO Y SE HACE INSTALACIÓN DE AVISÓ EXTERIOR YA QUE SE CAYÓ Y SE PARTIÓ. CERRAR"/>
    <s v="VISITA_TÉCNICA"/>
    <n v="0"/>
    <s v="TIPO I"/>
    <s v="=BUSCARV('PUBLICIDAD OC'!D2;'TIPOLOGIA'!A:F;1;0)"/>
    <s v="CACERES HERNANDEZ ANDRES"/>
    <n v="1"/>
    <n v="0"/>
    <n v="96001.196280000004"/>
    <n v="57411.974240000003"/>
    <n v="96001.196280000004"/>
  </r>
  <r>
    <s v="BOGOTA"/>
    <x v="2"/>
    <x v="2"/>
    <n v="11001"/>
    <n v="2530001"/>
    <n v="70888"/>
    <s v="ORDEN DE CAMBIO"/>
    <s v="CUNDINAMARCA"/>
    <s v="BOGOTA"/>
    <s v="PTM BOGOTA PAPELERÍA NICOLE"/>
    <s v="REDEBAN"/>
    <s v="FO-25-1309889"/>
    <d v="2025-07-30T17:36:00"/>
    <d v="2025-08-05T15:53:00"/>
    <m/>
    <s v="PUBLICIDAD"/>
    <s v="AVISO EXTERIOR"/>
    <s v="AGREGADOR"/>
    <s v="COMCARD - PTM"/>
    <s v="EJECUTADO_EXITOSO"/>
    <s v="EJECUTADO EXITOSO"/>
    <s v="SE COMUNICA CB SR(A) SR ANDREA, SOLICITA AVISO EXTERIOR , YA QUE SE DESPRENDIÓ Y SE ROMPIÓ, SOLO QUEDO EL MARCO, GRACIAS RADICADO DE TPC 13839575_x000a_0_x000a_05/08/2025 SE VISITA COMERCIO POR INSTALACIÓN DE AVISO EXTERIOR POR DAÑO DEL EXISTENTE SE PROCEDE CON CAMBIO DE AVISO Y DESTRUCCIÓN DEL AVISO EXISTENTE Y SE DEJA CB OPERANDO SIN NOVEDAD  CERRAR"/>
    <s v="VISITA_TÉCNICA"/>
    <n v="0"/>
    <s v="TIPO I"/>
    <s v="=BUSCARV('PUBLICIDAD OC'!D2;'TIPOLOGIA'!A:F;1;0)"/>
    <s v="ROMERO ROJAS BREIDY JHOHAN"/>
    <n v="1"/>
    <n v="0"/>
    <n v="96001.196280000004"/>
    <n v="57411.974240000003"/>
    <n v="96001.196280000004"/>
  </r>
  <r>
    <s v="CUCUTA"/>
    <x v="5"/>
    <x v="6"/>
    <n v="54001"/>
    <n v="2546216"/>
    <n v="74283"/>
    <s v="ORDEN DE CAMBIO"/>
    <s v="NORTE DE SANTANDER"/>
    <s v="CUCUTA"/>
    <s v="BARRIO ATALAYA  I CUCUTA"/>
    <s v="REDEBAN"/>
    <s v="FO-25-1324440"/>
    <d v="2025-08-04T09:00:00"/>
    <d v="2025-08-05T16:10:00"/>
    <m/>
    <s v="PUBLICIDAD"/>
    <s v="AVISO EXTERIOR"/>
    <s v="CB UNO A UNO"/>
    <s v="CB UNO A UNO"/>
    <s v="EJECUTADO_EXITOSO"/>
    <s v="EJECUTADO EXITOSO"/>
    <s v="SE COMUNICA CB SR(A) YESENIA, SOLICITA AVISO EXTERIOR YA QUE EL QUE TENIA EL VIENTO LO TIRO AL PISO Y SE PARTIO EN 2 ACTUALMENTE EL PUNTO NO TIENE PUBLICIDAD SOLICITA UNO_x000a_0_x000a_05/08/2025 SE INSTALA AVISO EXTERIOR OK CERRAR"/>
    <s v="VISITA_TÉCNICA"/>
    <n v="0"/>
    <s v="TIPO I"/>
    <s v="=BUSCARV('PUBLICIDAD OC'!D2;'TIPOLOGIA'!A:F;1;0)"/>
    <s v="DURAN ACOSTA FRANK YONNY"/>
    <n v="1"/>
    <n v="0"/>
    <n v="96001.196280000004"/>
    <n v="57411.974240000003"/>
    <n v="96001.196280000004"/>
  </r>
  <r>
    <s v="IBAGUE"/>
    <x v="0"/>
    <x v="0"/>
    <n v="73001"/>
    <n v="2551593"/>
    <n v="17384"/>
    <s v="ORDEN DE CAMBIO"/>
    <s v="TOLIMA"/>
    <s v="IBAGUE"/>
    <s v="BARRIO URB PIEDRA PINTADA IBAG"/>
    <s v="REDEBAN"/>
    <s v="FO-25-1328458"/>
    <d v="2025-08-04T16:29:00"/>
    <d v="2025-08-05T16:14:00"/>
    <m/>
    <s v="PUBLICIDAD"/>
    <s v="AVISO EXTERIOR"/>
    <s v="CB UNO A UNO"/>
    <s v="CB UNO A UNO"/>
    <s v="EJECUTADO_EXITOSO"/>
    <s v="EJECUTADO EXITOSO"/>
    <s v="SE COMUNICA CB SR(A)JAIRO MENDOZA PARA SOLICITAR EL AVISO EXTERIOR POR ROBO_x000a_0_x000a_05/08/2025 SE REALIZA INSTALACIÓN DE AVISO EXTERIOR POR SOLICITUD DEL CLIENTE. CERRAR"/>
    <s v="VISITA_TÉCNICA"/>
    <n v="0"/>
    <s v="TIPO I"/>
    <s v="=BUSCARV('PUBLICIDAD OC'!D2;'TIPOLOGIA'!A:F;1;0)"/>
    <s v="BARRAGAN TAFUR EDWIN ESTEBAN"/>
    <n v="1"/>
    <n v="0"/>
    <n v="96001.196280000004"/>
    <n v="57411.974240000003"/>
    <n v="96001.196280000004"/>
  </r>
  <r>
    <s v="CUCUTA"/>
    <x v="5"/>
    <x v="6"/>
    <n v="54001"/>
    <n v="2550413"/>
    <n v="80261"/>
    <s v="ORDEN DE CAMBIO"/>
    <s v="NORTE DE SANTANDER"/>
    <s v="CUCUTA"/>
    <s v="BARRIO PARQUES DE BOLIVAR CUCUTA"/>
    <s v="REDEBAN"/>
    <s v="FO-25-1327336"/>
    <d v="2025-08-04T14:46:00"/>
    <d v="2025-08-05T16:17:00"/>
    <m/>
    <s v="PUBLICIDAD"/>
    <s v="AVISO EXTERIOR"/>
    <s v="CB UNO A UNO"/>
    <s v="CB UNO A UNO"/>
    <s v="EJECUTADO_EXITOSO"/>
    <s v="EJECUTADO EXITOSO"/>
    <s v="SE COMUNICA KATTERINE PARA SOLICITAR LE COLABOREN CON EL PAGADO DEL AVISO EXTERIOR PORQUE SE LA CAYÓ_x000a_0_x000a_05/08/2025 SE REALIZÓ VISITA AL COMERCIO Y SE REINSTALA AVISO EXTERIOR CLIENTE DESEA QUE SE INSTALE MÁS ALTO Y EN  DIAGONAL POR MOTIVO QUE LA GENTE SE HA GOLPEADO, NO DESEA QUE SE INSTALA ALFRENTE YA QUE NO SE VE.  CERRAR"/>
    <s v="VISITA_TÉCNICA"/>
    <n v="0"/>
    <s v="TIPO I"/>
    <s v="=BUSCARV('PUBLICIDAD OC'!D2;'TIPOLOGIA'!A:F;1;0)"/>
    <s v="MORA VEGA JEAMPIER"/>
    <n v="1"/>
    <n v="0"/>
    <n v="96001.196280000004"/>
    <n v="57411.974240000003"/>
    <n v="96001.196280000004"/>
  </r>
  <r>
    <s v="MEDELLIN"/>
    <x v="4"/>
    <x v="5"/>
    <n v="5390"/>
    <n v="2530150"/>
    <n v="44859"/>
    <s v="ORDEN DE CAMBIO"/>
    <s v="ANTIOQUIA"/>
    <s v="LA PINTADA"/>
    <s v="PTM LA PINTADA DROGUERIA LA CE"/>
    <s v="REDEBAN"/>
    <s v="FO-25-1309885"/>
    <d v="2025-07-31T08:00:00"/>
    <d v="2025-08-05T16:32:00"/>
    <m/>
    <s v="PUBLICIDAD"/>
    <s v="AVISO EXTERIOR"/>
    <s v="AGREGADOR"/>
    <s v="COMCARD - PTM"/>
    <s v="EJECUTADO_EXITOSO"/>
    <s v="EJECUTADO EXITOSO"/>
    <s v="SE COMUNICA CB SR(A) CRISTIAN DAVID HENAO PARA SOLICITAR AVISO EXTERIOR SE ROMPIO , GRACIAS_x000a_0_x000a_05/08/2025 SE REALIZA INSTALACIÓN DE PUBLICIDAD, AVISO EXTERIOR  CERRAR"/>
    <s v="VISITA_TÉCNICA"/>
    <n v="0"/>
    <s v="TIPO II"/>
    <s v="=BUSCARV('PUBLICIDAD OC'!D2;'TIPOLOGIA'!A:F;1;0)"/>
    <s v="HERNANDEZ CHAVARRIA JUAN CAMILO"/>
    <n v="1"/>
    <n v="0"/>
    <n v="232858.60096000001"/>
    <n v="110808.27512000001"/>
    <n v="232858.60096000001"/>
  </r>
  <r>
    <s v="IBAGUE"/>
    <x v="0"/>
    <x v="0"/>
    <n v="73001"/>
    <n v="2507891"/>
    <n v="80609"/>
    <s v="ORDEN DE CAMBIO"/>
    <s v="TOLIMA"/>
    <s v="IBAGUE"/>
    <s v="BARRIO LA FRANCIA IBAGUE 4"/>
    <s v="REDEBAN"/>
    <s v="FO-25-1289345"/>
    <d v="2025-07-26T11:22:00"/>
    <d v="2025-08-06T08:10:00"/>
    <m/>
    <s v="PUBLICIDAD"/>
    <s v="PUBLICIDAD"/>
    <s v="CB UNO A UNO"/>
    <s v="CB UNO A UNO"/>
    <s v="EJECUTADO_EXITOSO"/>
    <s v="EJECUTADO EXITOSO"/>
    <s v="05/08/2025 / INSTALACIÓN DE AVISO EXTERIOR NUEVO, EL QUE TENÍA SE LO ROBARON "/>
    <s v="VISITA_TÉCNICA"/>
    <n v="0"/>
    <s v="TIPO I"/>
    <s v="=BUSCARV('PUBLICIDAD OC'!D2;'TIPOLOGIA'!A:F;1;0)"/>
    <s v="GUTIERREZ  CAMILO ANDRES"/>
    <n v="1"/>
    <n v="0"/>
    <n v="96001.196280000004"/>
    <n v="57411.974240000003"/>
    <n v="96001.196280000004"/>
  </r>
  <r>
    <s v="BOGOTA"/>
    <x v="2"/>
    <x v="2"/>
    <n v="25126"/>
    <n v="2556933"/>
    <n v="77795"/>
    <s v="ORDEN DE CAMBIO"/>
    <s v="CUNDINAMARCA"/>
    <s v="CAJICA"/>
    <s v="BARRIO VRD RINCON SANTO CAJICA"/>
    <s v="REDEBAN"/>
    <s v="FO-25-1333257"/>
    <d v="2025-08-05T13:35:00"/>
    <d v="2025-08-06T08:14:00"/>
    <m/>
    <s v="PUBLICIDAD"/>
    <s v="PUBLICIDAD"/>
    <s v="CB UNO A UNO"/>
    <s v="CB UNO A UNO"/>
    <s v="EJECUTADO_EXITOSO"/>
    <s v="EJECUTADO EXITOSO"/>
    <s v="05/08/2025 / DURANTE LA VISITA TECNICA SE REALIZA INSTALACIÓN DE AVISO EXTERIOR EN LUGAR INDICADO POR COMERCIO A CONFORMIDAD DE CORRESPONSAL NO SE MANIPULA EQUIPOS  SIN NOVEDAD EN INSTALACIÓN"/>
    <s v="VISITA_TÉCNICA"/>
    <n v="0"/>
    <s v="TIPO II"/>
    <s v="=BUSCARV('PUBLICIDAD OC'!D2;'TIPOLOGIA'!A:F;1;0)"/>
    <s v="GALEANO SORIANO JUAN DAVID"/>
    <n v="1"/>
    <n v="0"/>
    <n v="232858.60096000001"/>
    <n v="110808.27512000001"/>
    <n v="232858.60096000001"/>
  </r>
  <r>
    <s v="VALLEDUPAR"/>
    <x v="3"/>
    <x v="4"/>
    <n v="20001"/>
    <n v="2524605"/>
    <n v="80195"/>
    <s v="ORDEN DE CAMBIO"/>
    <s v="CESAR"/>
    <s v="VALLEDUPAR"/>
    <s v="BARRIO 5 DE NOVIEMBRE VALLEDUPAR 1"/>
    <s v="REDEBAN"/>
    <s v="FO-25-1304288"/>
    <d v="2025-07-30T08:23:00"/>
    <d v="2025-08-06T08:23:00"/>
    <m/>
    <s v="PUBLICIDAD"/>
    <s v="PUBLICIDAD"/>
    <s v="CB UNO A UNO"/>
    <s v="CB UNO A UNO"/>
    <s v="EJECUTADO_EXITOSO"/>
    <s v="EJECUTADO EXITOSO"/>
    <s v="06/08/2025 / BUENOS SE VISITA SE CB Y SE ENCUENTRA NOVEDAD QUE LA PUBLICIDAD ANTERIOR SE HABIA CAÍDO Y ESTABA PARTIDA SE PROCEDE A INSTALAR UN AVISO NUEVO"/>
    <s v="VISITA_TÉCNICA"/>
    <n v="0"/>
    <s v="TIPO I"/>
    <s v="=BUSCARV('PUBLICIDAD OC'!D2;'TIPOLOGIA'!A:F;1;0)"/>
    <s v="BENITEZ CARVAJAL ALVARO JAVIER"/>
    <n v="1"/>
    <n v="0"/>
    <n v="96001.196280000004"/>
    <n v="57411.974240000003"/>
    <n v="96001.196280000004"/>
  </r>
  <r>
    <s v="PEREIRA"/>
    <x v="1"/>
    <x v="1"/>
    <n v="66001"/>
    <n v="2556023"/>
    <n v="53207"/>
    <s v="ORDEN DE CAMBIO"/>
    <s v="RISARALDA"/>
    <s v="PEREIRA"/>
    <s v="BARRIO ALFONSO LOPEZ PEREIRA"/>
    <s v="REDEBAN"/>
    <s v="FO-25-1333267"/>
    <d v="2025-08-05T11:23:00"/>
    <d v="2025-08-06T11:35:00"/>
    <m/>
    <s v="PUBLICIDAD"/>
    <s v="PUBLICIDAD"/>
    <s v="CB UNO A UNO"/>
    <s v="CB UNO A UNO"/>
    <s v="EJECUTADO_EXITOSO"/>
    <s v="EJECUTADO EXITOSO"/>
    <s v="06/08/2025 / SE INSTALA AVISO EXTERIOR."/>
    <s v="VISITA_TÉCNICA"/>
    <n v="0"/>
    <s v="TIPO I"/>
    <s v="=BUSCARV('PUBLICIDAD OC'!D2;'TIPOLOGIA'!A:F;1;0)"/>
    <s v="FRANCO CAÑAVERAL YAMID RAUL"/>
    <n v="1"/>
    <n v="0"/>
    <n v="96001.196280000004"/>
    <n v="57411.974240000003"/>
    <n v="96001.196280000004"/>
  </r>
  <r>
    <s v="PEREIRA"/>
    <x v="1"/>
    <x v="1"/>
    <n v="63001"/>
    <n v="2553235"/>
    <n v="43903"/>
    <s v="ORDEN DE CAMBIO"/>
    <s v="QUINDIO"/>
    <s v="ARMENIA"/>
    <s v="PTM ARMENIA WWW ALFANET"/>
    <s v="REDEBAN"/>
    <s v="FO-25-1329677"/>
    <d v="2025-08-05T08:08:00"/>
    <d v="2025-08-06T11:52:00"/>
    <m/>
    <s v="PUBLICIDAD"/>
    <s v="PUBLICIDAD"/>
    <s v="AGREGADOR"/>
    <s v="COMCARD - PTM"/>
    <s v="EJECUTADO_EXITOSO"/>
    <s v="EJECUTADO EXITOSO"/>
    <s v="06/08/2025 / SE VISITA COMERCIO SE REALIZÓ INSTALACION DE AVISÓ EXTERIOR NUEVO. "/>
    <s v="VISITA_TÉCNICA"/>
    <n v="0"/>
    <s v="TIPO II"/>
    <s v="=BUSCARV('PUBLICIDAD OC'!D2;'TIPOLOGIA'!A:F;1;0)"/>
    <s v="SANCHEZ SOLORZANO JUAN SEBASTIAN"/>
    <n v="1"/>
    <n v="0"/>
    <n v="232858.60096000001"/>
    <n v="110808.27512000001"/>
    <n v="232858.60096000001"/>
  </r>
  <r>
    <s v="PEREIRA"/>
    <x v="1"/>
    <x v="1"/>
    <n v="66001"/>
    <n v="2549869"/>
    <n v="43574"/>
    <s v="ORDEN DE CAMBIO"/>
    <s v="RISARALDA"/>
    <s v="PEREIRA"/>
    <s v="BARRIO CUBA PEREIRA 3"/>
    <s v="REDEBAN"/>
    <s v="FO-25-1327268"/>
    <d v="2025-08-04T14:07:00"/>
    <d v="2025-08-06T13:13:00"/>
    <m/>
    <s v="PUBLICIDAD"/>
    <s v="PUBLICIDAD"/>
    <s v="CB UNO A UNO"/>
    <s v="CB UNO A UNO"/>
    <s v="EJECUTADO_EXITOSO"/>
    <s v="EJECUTADO EXITOSO"/>
    <s v="06/08/2025 / VISITAMOS COMERCIO NO INSTALAMOS AVISO EXTERIOR SOLO LO PEGAMOS BIEN Y AJUSTAMOS LAS BISAGRAS QUÉ TRAE EL MARCO PARA QUE NO SE ABRA Y NO SE SUELTE EL LETRERO. "/>
    <s v="VISITA_TÉCNICA"/>
    <n v="0"/>
    <s v="TIPO I"/>
    <s v="=BUSCARV('PUBLICIDAD OC'!D2;'TIPOLOGIA'!A:F;1;0)"/>
    <s v="ARROYAVE CANO MANUEL GUILLERMO"/>
    <n v="1"/>
    <n v="0"/>
    <n v="96001.196280000004"/>
    <n v="57411.974240000003"/>
    <n v="96001.196280000004"/>
  </r>
  <r>
    <s v="VALLEDUPAR"/>
    <x v="3"/>
    <x v="4"/>
    <n v="20001"/>
    <n v="2528261"/>
    <n v="66078"/>
    <s v="ORDEN DE CAMBIO"/>
    <s v="CESAR"/>
    <s v="VALLEDUPAR"/>
    <s v="BARRIO LAS DELICIAS VALLEDUPAR"/>
    <s v="REDEBAN"/>
    <s v="FO-25-1307993"/>
    <d v="2025-07-30T14:41:00"/>
    <d v="2025-08-06T13:42:00"/>
    <m/>
    <s v="PUBLICIDAD"/>
    <s v="PUBLICIDAD"/>
    <s v="CB UNO A UNO"/>
    <s v="CB UNO A UNO"/>
    <s v="EJECUTADO_EXITOSO"/>
    <s v="EJECUTADO EXITOSO"/>
    <s v="06/08/2025 / BUENAS TARDES SE VISITA CB Y SE EVIDENCIA QUE EL AVISO EXTERIOR NO SE ENCUENTRA. SE PROCEDE A INSTALAR UNO NUEVO "/>
    <s v="VISITA_TÉCNICA"/>
    <n v="0"/>
    <s v="TIPO I"/>
    <s v="=BUSCARV('PUBLICIDAD OC'!D2;'TIPOLOGIA'!A:F;1;0)"/>
    <s v="BENITEZ CARVAJAL ALVARO JAVIER"/>
    <n v="1"/>
    <n v="0"/>
    <n v="96001.196280000004"/>
    <n v="57411.974240000003"/>
    <n v="96001.196280000004"/>
  </r>
  <r>
    <s v="MEDELLIN"/>
    <x v="4"/>
    <x v="5"/>
    <n v="5001"/>
    <n v="2533935"/>
    <n v="53009"/>
    <s v="ORDEN DE CAMBIO"/>
    <s v="ANTIOQUIA"/>
    <s v="MEDELLIN"/>
    <s v="BARRIO CAMPOS VALDES MEDELLIN"/>
    <s v="REDEBAN"/>
    <s v="FO-25-1313555"/>
    <d v="2025-07-31T14:01:00"/>
    <d v="2025-08-08T09:55:00"/>
    <m/>
    <s v="PUBLICIDAD"/>
    <s v="PUBLICIDAD"/>
    <s v="CB UNO A UNO"/>
    <s v="CB UNO A UNO"/>
    <s v="EJECUTADO_EXITOSO"/>
    <s v="EJECUTADO EXITOSO"/>
    <s v="08/08/2025 / SE INSTALA AVISO EXTERIOR "/>
    <s v="VISITA_TÉCNICA"/>
    <n v="0"/>
    <s v="TIPO I"/>
    <s v="=BUSCARV('PUBLICIDAD OC'!D2;'TIPOLOGIA'!A:F;1;0)"/>
    <s v="BADEL ACUÑA LUIS ALBERTO"/>
    <n v="1"/>
    <n v="0"/>
    <n v="96001.196280000004"/>
    <n v="57411.974240000003"/>
    <n v="96001.196280000004"/>
  </r>
  <r>
    <s v="CALI"/>
    <x v="1"/>
    <x v="3"/>
    <n v="76001"/>
    <n v="2565829"/>
    <n v="77340"/>
    <s v="ORDEN DE CAMBIO"/>
    <s v="VALLE DEL CAUCA"/>
    <s v="CALI"/>
    <s v="BARRIO LA PRIMAVERA CALI  1"/>
    <s v="REDEBAN"/>
    <s v="FO-25-1341482"/>
    <d v="2025-08-06T17:09:00"/>
    <d v="2025-08-08T12:27:00"/>
    <m/>
    <s v="PUBLICIDAD"/>
    <s v="PUBLICIDAD"/>
    <s v="CB UNO A UNO"/>
    <s v="CB UNO A UNO"/>
    <s v="EJECUTADO_EXITOSO"/>
    <s v="EJECUTADO EXITOSO"/>
    <s v="08/08/2025 / SE INSTALA AVISO EXTERIOR YA QUE EL DEL CLIENTE FUE HURTADO "/>
    <s v="VISITA_TÉCNICA"/>
    <n v="0"/>
    <s v="TIPO I"/>
    <s v="=BUSCARV('PUBLICIDAD OC'!D2;'TIPOLOGIA'!A:F;1;0)"/>
    <s v="CUERO RUIZ JHONNY"/>
    <n v="1"/>
    <n v="0"/>
    <n v="96001.196280000004"/>
    <n v="57411.974240000003"/>
    <n v="96001.196280000004"/>
  </r>
  <r>
    <s v="VILLAVICENCIO"/>
    <x v="0"/>
    <x v="0"/>
    <n v="50006"/>
    <n v="2564860"/>
    <n v="34949"/>
    <s v="ORDEN DE CAMBIO"/>
    <s v="META"/>
    <s v="ACACIAS"/>
    <s v="BARRIO CENTRO ACACIAS META 7"/>
    <s v="REDEBAN"/>
    <s v="FO-25-1341025"/>
    <d v="2025-08-06T15:37:00"/>
    <d v="2025-08-08T14:37:00"/>
    <m/>
    <s v="PUBLICIDAD"/>
    <s v="PUBLICIDAD"/>
    <s v="UNO A UNO"/>
    <s v="CB UNO A UNO"/>
    <s v="EJECUTADO_EXITOSO"/>
    <s v="EJECUTADO EXITOSO"/>
    <s v="08/08/2025 / SE INSTALA AVISO EXTERIOR OK "/>
    <s v="VISITA_TÉCNICA"/>
    <n v="0"/>
    <s v="TIPO II"/>
    <s v="=BUSCARV('PUBLICIDAD OC'!D2;'TIPOLOGIA'!A:F;1;0)"/>
    <s v="CASTRILLON URREA LONDIER LEANDRO"/>
    <n v="1"/>
    <n v="0"/>
    <n v="232858.60096000001"/>
    <n v="110808.27512000001"/>
    <n v="232858.60096000001"/>
  </r>
  <r>
    <s v="CALI"/>
    <x v="1"/>
    <x v="3"/>
    <n v="76001"/>
    <n v="2571295"/>
    <n v="79753"/>
    <s v="ORDEN DE CAMBIO"/>
    <s v="VALLE DEL CAUCA"/>
    <s v="CALI"/>
    <s v="BARRIO CENTRO CALI 42"/>
    <s v="REDEBAN"/>
    <s v="FO-25-1350763"/>
    <d v="2025-08-08T14:02:00"/>
    <d v="2025-08-09T15:15:00"/>
    <m/>
    <s v="PUBLICIDAD"/>
    <s v="PUBLICIDAD"/>
    <s v="CB UNO A UNO"/>
    <s v="CB UNO A UNO"/>
    <s v="EJECUTADO_EXITOSO"/>
    <s v="EJECUTADO EXITOSO"/>
    <s v="09/08/2025 / SE REALIZA INSTALACIÓN DE AVISO EXTERIOR EN EL CB. / 09/08/2025 SE HABLA CON EL CB HE INDICA QUE AÚN NO HAY NADIE EN WITIO, QUE LLEGAN TIPO 10."/>
    <s v="VISITA_TÉCNICA"/>
    <n v="0"/>
    <s v="TIPO I"/>
    <s v="=BUSCARV('PUBLICIDAD OC'!D2;'TIPOLOGIA'!A:F;1;0)"/>
    <s v="TORRES GARCIA JENDRY JOSE"/>
    <n v="1"/>
    <n v="0"/>
    <n v="96001.196280000004"/>
    <n v="57411.974240000003"/>
    <n v="96001.196280000004"/>
  </r>
  <r>
    <s v="PEREIRA"/>
    <x v="1"/>
    <x v="1"/>
    <n v="76895"/>
    <n v="2568651"/>
    <n v="69635"/>
    <s v="ORDEN DE CAMBIO"/>
    <s v="VALLE DEL CAUCA"/>
    <s v="ZARZAL"/>
    <s v="BARRIO CENTRO ZARZAL 6"/>
    <s v="REDEBAN"/>
    <s v="FO-25-1348180"/>
    <d v="2025-08-08T08:55:00"/>
    <d v="2025-08-09T15:19:00"/>
    <m/>
    <s v="PUBLICIDAD"/>
    <s v="PUBLICIDAD"/>
    <s v="CB UNO A UNO"/>
    <s v="CB UNO A UNO"/>
    <s v="EJECUTADO_EXITOSO"/>
    <s v="EJECUTADO EXITOSO"/>
    <s v="09/08/2025 / SE INSTALA AVISO EXTERIOR."/>
    <s v="VISITA_TÉCNICA"/>
    <n v="0"/>
    <s v="TIPO III"/>
    <s v="=BUSCARV('PUBLICIDAD OC'!D2;'TIPOLOGIA'!A:F;1;0)"/>
    <s v="FRANCO CAÑAVERAL YAMID RAUL"/>
    <n v="1"/>
    <n v="0"/>
    <n v="344774.56896"/>
    <n v="110808.27512000001"/>
    <n v="344774.56896"/>
  </r>
  <r>
    <s v="VILLAVICENCIO"/>
    <x v="0"/>
    <x v="0"/>
    <n v="50001"/>
    <n v="2539002"/>
    <n v="51714"/>
    <s v="ORDEN DE CAMBIO"/>
    <s v="META"/>
    <s v="VILLAVICENCIO"/>
    <s v="BARRIO LA ROSITA 2 VILLAVICENC"/>
    <s v="REDEBAN"/>
    <s v="FO-25-1316181"/>
    <d v="2025-08-01T10:28:00"/>
    <d v="2025-08-11T10:20:00"/>
    <m/>
    <s v="PUBLICIDAD"/>
    <s v="PUBLICIDAD"/>
    <s v="CB UNO A UNO"/>
    <s v="CB UNO A UNO"/>
    <s v="EJECUTADO_EXITOSO"/>
    <s v="EJECUTADO EXITOSO"/>
    <s v="11/08/2025 / SE INSTALA AVISO EXTERIOR OK SIN NOVEDADES "/>
    <s v="VISITA_TÉCNICA"/>
    <n v="0"/>
    <s v="TIPO I"/>
    <s v="=BUSCARV('PUBLICIDAD OC'!D2;'TIPOLOGIA'!A:F;1;0)"/>
    <s v="CASTRILLON URREA LONDIER LEANDRO"/>
    <n v="1"/>
    <n v="0"/>
    <n v="96001.196280000004"/>
    <n v="57411.974240000003"/>
    <n v="96001.196280000004"/>
  </r>
  <r>
    <s v="VILLAVICENCIO"/>
    <x v="0"/>
    <x v="0"/>
    <n v="50001"/>
    <n v="2548062"/>
    <n v="77098"/>
    <s v="ORDEN DE CAMBIO"/>
    <s v="META"/>
    <s v="VILLAVICENCIO"/>
    <s v="BARRIO ANTONIO PINILLA VILLAVICENCIO 1"/>
    <s v="REDEBAN"/>
    <s v="FO-25-1326214"/>
    <d v="2025-08-04T10:55:00"/>
    <d v="2025-08-11T11:00:00"/>
    <m/>
    <s v="PUBLICIDAD"/>
    <s v="PUBLICIDAD"/>
    <s v="UNO A UNO"/>
    <s v="UNO A UNO"/>
    <s v="EJECUTADO_EXITOSO"/>
    <s v="EJECUTADO EXITOSO"/>
    <s v="11/08/2025 / SE INSTALA AVISO EXTERIOR OK SIN NOVEDADES "/>
    <s v="VISITA_TÉCNICA"/>
    <n v="0"/>
    <s v="TIPO I"/>
    <s v="=BUSCARV('PUBLICIDAD OC'!D2;'TIPOLOGIA'!A:F;1;0)"/>
    <s v="CASTRILLON URREA LONDIER LEANDRO"/>
    <n v="1"/>
    <n v="0"/>
    <n v="96001.196280000004"/>
    <n v="57411.974240000003"/>
    <n v="96001.196280000004"/>
  </r>
  <r>
    <s v="MEDELLIN"/>
    <x v="4"/>
    <x v="5"/>
    <n v="5001"/>
    <n v="2554305"/>
    <n v="77881"/>
    <s v="ORDEN DE CAMBIO"/>
    <s v="ANTIOQUIA"/>
    <s v="MEDELLIN"/>
    <s v="PTM MEDELLIN NEGOCIO 360"/>
    <s v="REDEBAN"/>
    <s v="FO-25-1330477"/>
    <d v="2025-08-05T09:19:00"/>
    <d v="2025-08-11T11:59:00"/>
    <m/>
    <s v="PUBLICIDAD"/>
    <s v="PUBLICIDAD"/>
    <s v="AGREGADOR"/>
    <s v="COMCARD - PTM"/>
    <s v="EJECUTADO_EXITOSO"/>
    <s v="EJECUTADO EXITOSO"/>
    <s v="11/08/2025 / SE REALIZA INSTALACIÓN DE AVISO EXTERIOR YA QUE EL ANTERIOR SE DAÑÓ "/>
    <s v="VISITA_TÉCNICA"/>
    <n v="0"/>
    <s v="TIPO I"/>
    <s v="=BUSCARV('PUBLICIDAD OC'!D2;'TIPOLOGIA'!A:F;1;0)"/>
    <s v="ZAPATA LOPEZ EDWARD ASDRUBAL"/>
    <n v="1"/>
    <n v="0"/>
    <n v="96001.196280000004"/>
    <n v="57411.974240000003"/>
    <n v="96001.196280000004"/>
  </r>
  <r>
    <s v="BUCARAMANGA"/>
    <x v="5"/>
    <x v="6"/>
    <n v="81300"/>
    <n v="2532715"/>
    <n v="27281"/>
    <s v="ORDEN DE CAMBIO"/>
    <s v="ARAUCA"/>
    <s v="FORTUL"/>
    <s v="SECTOR FORTUL I   ARAUCA"/>
    <s v="REDEBAN"/>
    <s v="FO-25-1311319"/>
    <d v="2025-07-31T10:49:00"/>
    <d v="2025-08-11T16:04:00"/>
    <m/>
    <s v="PUBLICIDAD"/>
    <s v="PUBLICIDAD"/>
    <s v="CB UNO A UNO"/>
    <s v="CB UNO A UNO"/>
    <s v="EJECUTADO_EXITOSO"/>
    <s v="EJECUTADO EXITOSO"/>
    <s v="11/08/2025 / SE REALIZA INSTALACIÓN DE AVISO EXTERIOR NO SE MANIPULA TERMINAL SERVICIO OPERATIVO  / 06/08/2025 SE ESTABLECE CONTACTO TELEFÓNICO CON EL USUARIO AL NÚMERO ISAAC ROMERO 3134692170 Y SE LE INFORMA QUE NOS ENCONTRAMOS A LA ESPERA DE DISPONIBILIDAD DE VUELOS Y ORDEN PÚBLICO EN LA ZONA PARA PODER REALIZAR EL DESPLAZAMIENTO"/>
    <s v="VISITA_TÉCNICA"/>
    <m/>
    <s v="TIPO IV ESPECIAL"/>
    <s v="=BUSCARV('PUBLICIDAD OC'!D2;'TIPOLOGIA'!A:F;1;0)"/>
    <s v="REYES RAMIREZ DIEGO ALEXANDER"/>
    <n v="1"/>
    <n v="0"/>
    <n v="548633.63271999999"/>
    <n v="110808.27512000001"/>
    <n v="548633.63271999999"/>
  </r>
  <r>
    <s v="VILLAVICENCIO"/>
    <x v="0"/>
    <x v="0"/>
    <n v="50001"/>
    <n v="2532147"/>
    <n v="80077"/>
    <s v="ORDEN DE CAMBIO"/>
    <s v="META"/>
    <s v="VILLAVICENCIO"/>
    <s v="BARRIO POPULAR VILLAVICENCIO 3"/>
    <s v="REDEBAN"/>
    <s v="FO-25-1311320"/>
    <d v="2025-07-31T10:05:00"/>
    <d v="2025-08-11T16:09:00"/>
    <m/>
    <s v="PUBLICIDAD"/>
    <s v="PUBLICIDAD"/>
    <s v="UNO A UNO"/>
    <s v="UNO A UNO"/>
    <s v="EJECUTADO_EXITOSO"/>
    <s v="EJECUTADO EXITOSO"/>
    <s v="11/08/2025 / SE INSTALA AVISO EXTERIOR OK SIN NOVEDADES "/>
    <s v="VISITA_TÉCNICA"/>
    <n v="0"/>
    <s v="TIPO I"/>
    <s v="=BUSCARV('PUBLICIDAD OC'!D2;'TIPOLOGIA'!A:F;1;0)"/>
    <s v="CASTRILLON URREA LONDIER LEANDRO"/>
    <n v="1"/>
    <n v="0"/>
    <n v="96001.196280000004"/>
    <n v="57411.974240000003"/>
    <n v="96001.196280000004"/>
  </r>
  <r>
    <s v="BOGOTA"/>
    <x v="2"/>
    <x v="2"/>
    <n v="25181"/>
    <n v="2548039"/>
    <n v="75359"/>
    <s v="ORDEN DE CAMBIO"/>
    <s v="CUNDINAMARCA"/>
    <s v="CHOACHI"/>
    <s v="BARRIO CENTRO CHOACHI  6"/>
    <s v="REDEBAN"/>
    <s v="FO-25-1326217"/>
    <d v="2025-08-04T10:52:00"/>
    <d v="2025-08-11T16:49:00"/>
    <m/>
    <s v="PUBLICIDAD"/>
    <s v="PUBLICIDAD"/>
    <s v="UNO A UNO"/>
    <s v="UNO A UNO"/>
    <s v="EJECUTADO_EXITOSO"/>
    <s v="EJECUTADO EXITOSO"/>
    <s v="11/08/2025 / SE INSTALA AVISO OK"/>
    <s v="VISITA_TÉCNICA"/>
    <n v="0"/>
    <s v="TIPO II"/>
    <s v="=BUSCARV('PUBLICIDAD OC'!D2;'TIPOLOGIA'!A:F;1;0)"/>
    <s v="INFANTE SIERRA MANUEL FERNANDO"/>
    <n v="1"/>
    <n v="0"/>
    <n v="232858.60096000001"/>
    <n v="110808.27512000001"/>
    <n v="232858.60096000001"/>
  </r>
  <r>
    <s v="CUCUTA"/>
    <x v="5"/>
    <x v="6"/>
    <n v="54001"/>
    <n v="2579101"/>
    <n v="37749"/>
    <s v="ORDEN DE CAMBIO"/>
    <s v="NORTE DE SANTANDER"/>
    <s v="CUCUTA"/>
    <s v="BARRIO BELLAVISTA CUCUTA 1"/>
    <s v="REDEBAN"/>
    <s v="FO-25-1360898"/>
    <d v="2025-08-11T11:35:00"/>
    <d v="2025-08-12T11:14:00"/>
    <m/>
    <s v="PUBLICIDAD"/>
    <s v="PUBLICIDAD"/>
    <s v="CB UNO A UNO"/>
    <s v="CB UNO A UNO"/>
    <s v="EJECUTADO_EXITOSO"/>
    <s v="EJECUTADO EXITOSO"/>
    <s v="12/08/2025 / SE INSTALA AVISO EXTERIOR OK "/>
    <s v="VISITA_TÉCNICA"/>
    <n v="0"/>
    <s v="TIPO I"/>
    <s v="=BUSCARV('PUBLICIDAD OC'!D2;'TIPOLOGIA'!A:F;1;0)"/>
    <s v="DURAN ACOSTA FRANK YONNY"/>
    <n v="1"/>
    <n v="0"/>
    <n v="96001.196280000004"/>
    <n v="57411.974240000003"/>
    <n v="96001.196280000004"/>
  </r>
  <r>
    <s v="IBAGUE"/>
    <x v="0"/>
    <x v="0"/>
    <n v="73001"/>
    <n v="2557762"/>
    <n v="72513"/>
    <s v="ORDEN DE CAMBIO"/>
    <s v="TOLIMA"/>
    <s v="IBAGUE"/>
    <s v="BARRIO ESTACION IBAGUE  1"/>
    <s v="REDEBAN"/>
    <s v="FO-25-1333271"/>
    <d v="2025-08-05T15:13:00"/>
    <d v="2025-08-12T11:30:00"/>
    <m/>
    <s v="PUBLICIDAD"/>
    <s v="PUBLICIDAD"/>
    <s v="CB UNO A UNO"/>
    <s v="CB UNO A UNO"/>
    <s v="EJECUTADO_CANCELADO"/>
    <s v="CB CON EFECTY"/>
    <s v="12/08/2025 / SE LLEGA AL SITIO PARA REALIZAR INSTALACIÓN DE AVISO EXTERIOR, PERO NO ES POSIBLE DEBIDO A QUE EL COMERCIO CUENTA CON EFECTY."/>
    <s v="VISITA_TÉCNICA"/>
    <n v="0"/>
    <s v="TIPO I"/>
    <s v="=BUSCARV('PUBLICIDAD OC'!D2;'TIPOLOGIA'!A:F;1;0)"/>
    <s v="BARRAGAN TAFUR EDWIN ESTEBAN"/>
    <n v="1"/>
    <n v="0"/>
    <n v="96001.196280000004"/>
    <n v="57411.974240000003"/>
    <n v="96001.196280000004"/>
  </r>
  <r>
    <s v="VILLAVICENCIO"/>
    <x v="0"/>
    <x v="0"/>
    <n v="50006"/>
    <n v="2552047"/>
    <n v="80646"/>
    <s v="ORDEN DE CAMBIO"/>
    <s v="META"/>
    <s v="ACACIAS"/>
    <s v="BARRIO EL LAGO ACACIAS"/>
    <s v="REDEBAN"/>
    <s v="FO-25-1329687"/>
    <d v="2025-08-04T16:50:00"/>
    <d v="2025-08-12T11:37:00"/>
    <m/>
    <s v="PUBLICIDAD"/>
    <s v="PUBLICIDAD"/>
    <s v="UNO A UNO"/>
    <s v="UNO A UNO"/>
    <s v="EJECUTADO_EXITOSO"/>
    <s v="EJECUTADO EXITOSO"/>
    <s v="12/08/2025 / SE INSTALA AVISO EXTERIOR OK SIN NOVEDADES "/>
    <s v="VISITA_TÉCNICA"/>
    <n v="0"/>
    <s v="TIPO II"/>
    <s v="=BUSCARV('PUBLICIDAD OC'!D2;'TIPOLOGIA'!A:F;1;0)"/>
    <s v="CASTRILLON URREA LONDIER LEANDRO"/>
    <n v="1"/>
    <n v="0"/>
    <n v="232858.60096000001"/>
    <n v="110808.27512000001"/>
    <n v="232858.60096000001"/>
  </r>
  <r>
    <s v="MEDELLIN"/>
    <x v="4"/>
    <x v="5"/>
    <n v="27245"/>
    <n v="2545753"/>
    <n v="29014"/>
    <s v="ORDEN DE CAMBIO"/>
    <s v="CHOCO"/>
    <s v="EL CARMEN DE ATRATO"/>
    <s v="BARRIO ALTOS DE ATRATO EL CARM"/>
    <s v="REDEBAN"/>
    <s v="FO-25-1324338"/>
    <d v="2025-08-04T08:47:00"/>
    <d v="2025-08-12T16:55:00"/>
    <m/>
    <s v="PUBLICIDAD"/>
    <s v="PUBLICIDAD"/>
    <s v="CB UNO A UNO"/>
    <s v="CB UNO A UNO"/>
    <s v="EJECUTADO_EXITOSO"/>
    <s v="EJECUTADO EXITOSO"/>
    <s v="12/08/2025 / SE INSTALA AVISO EXTERIOR EL ANTERIOR SE CAYÓ Y SE DESTRUYÓ  / 11/08/2025 SE REALIZÓ GESTIÓN TELEFÓNICA SE HABLÓ CON LA SEÑORA MARTA NOS INDICA QUE LA CARRETERA EN EL SECTOR DEL 7 SE ENCUENTRA BLOQUEADA POR DERRUMBE AÚN NO SE SABE DÍA  DE APERTURA"/>
    <s v="VISITA_TÉCNICA"/>
    <n v="0"/>
    <s v="TIPO IV"/>
    <s v="=BUSCARV('PUBLICIDAD OC'!D2;'TIPOLOGIA'!A:F;1;0)"/>
    <s v="CASTAÑEDA PALACIO CARLOS FELIPE"/>
    <n v="1"/>
    <n v="0"/>
    <n v="548633.63271999999"/>
    <n v="110808.27512000001"/>
    <n v="548633.63271999999"/>
  </r>
  <r>
    <s v="SANTA MARTA"/>
    <x v="3"/>
    <x v="4"/>
    <n v="47001"/>
    <n v="2586459"/>
    <n v="61209"/>
    <s v="ORDEN DE CAMBIO"/>
    <s v="MAGDALENA"/>
    <s v="SANTA MARTA"/>
    <s v="BARRIO LA LUCHA SANTA MARTA 1"/>
    <s v="REDEBAN"/>
    <s v="FO-25-1366803"/>
    <d v="2025-08-12T13:25:00"/>
    <d v="2025-08-13T13:32:00"/>
    <m/>
    <s v="PUBLICIDAD"/>
    <s v="PUBLICIDAD"/>
    <s v="CB UNO A UNO"/>
    <s v="CB UNO A UNO"/>
    <s v="EJECUTADO_EXITOSO"/>
    <s v="EJECUTADO EXITOSO"/>
    <s v="12/08/2025 POR FAVOR COMUNICARSE CON CB PARA CONFIRMAR SOLICITUD, UBICACION Y PROGRAMAR VISITA TECNICA | 13/08/2025 SE REALIZA INSTALACIÓN DE AVISO EXTERIOR"/>
    <s v="VISITA_TÉCNICA"/>
    <m/>
    <s v="TIPO I"/>
    <s v="=BUSCARV('PUBLICIDAD OC'!D2;'TIPOLOGIA'!A:F;1;0)"/>
    <s v="THOMAS  CAMPO SIGIFREDO SEGUNDO"/>
    <n v="1"/>
    <n v="0"/>
    <n v="96001.196280000004"/>
    <n v="57411.974240000003"/>
    <n v="96001.196280000004"/>
  </r>
  <r>
    <s v="CUCUTA"/>
    <x v="5"/>
    <x v="6"/>
    <n v="54001"/>
    <n v="2584734"/>
    <n v="54891"/>
    <s v="ORDEN DE CAMBIO"/>
    <s v="NORTE DE SANTANDER"/>
    <s v="CUCUTA"/>
    <s v="BARRIO CALLEJON CUCUTA 9"/>
    <s v="REDEBAN"/>
    <s v="FO-25-1364784"/>
    <d v="2025-08-12T10:14:00"/>
    <d v="2025-08-13T16:20:00"/>
    <m/>
    <s v="PUBLICIDAD"/>
    <s v="PUBLICIDAD"/>
    <s v="CB UNO A UNO"/>
    <s v="CB UNO A UNO"/>
    <s v="EJECUTADO_EXITOSO"/>
    <s v="EJECUTADO EXITOSO"/>
    <s v="12/08/2025 12-08 POR FAVOR COMUNICARSE CON CB PARA CONFIRMAR SOLICITUD, UBICACION Y PROGRAMAR VISITA TECNICA | 13/08/2025 SE VISITA COMERCIO, SE INSTALA AVISO EXTERIOR EXITOSO."/>
    <s v="VISITA_TÉCNICA"/>
    <m/>
    <s v="TIPO I"/>
    <s v="=BUSCARV('PUBLICIDAD OC'!D2;'TIPOLOGIA'!A:F;1;0)"/>
    <s v="NARANJO AFANADOR RUBEN JESUS"/>
    <n v="1"/>
    <n v="0"/>
    <n v="96001.196280000004"/>
    <n v="57411.974240000003"/>
    <n v="96001.196280000004"/>
  </r>
  <r>
    <s v="VILLAVICENCIO"/>
    <x v="0"/>
    <x v="0"/>
    <n v="50001"/>
    <n v="2574163"/>
    <n v="43732"/>
    <s v="ORDEN DE CAMBIO"/>
    <s v="META"/>
    <s v="VILLAVICENCIO"/>
    <s v="BARRIO ESPERANZA VILLAVICENCIO"/>
    <s v="REDEBAN"/>
    <s v="FO-25-1354487"/>
    <d v="2025-08-09T11:46:00"/>
    <d v="2025-08-13T16:28:00"/>
    <m/>
    <s v="PUBLICIDAD"/>
    <s v="PUBLICIDAD"/>
    <s v="CB UNO A UNO"/>
    <s v="CB UNO A UNO"/>
    <s v="EJECUTADO_CANCELADO"/>
    <s v="PETICIÓN BANCOLOMBIA"/>
    <s v="09/08/2025 9-08 SE ESCALA AL COORDINADOR DE ZONA PARA REALIZAR VISITA | 13/08/2025 SE REALIZA VISITA AL PUNTO Y COMERCIO SE ENCUENTRA CERRADO Y SE EVIDENCIA QUE YA CUENTA CON AVISO EXTERIOR"/>
    <s v="VISITA_TÉCNICA"/>
    <m/>
    <s v="TIPO I"/>
    <s v="=BUSCARV('PUBLICIDAD OC'!D2;'TIPOLOGIA'!A:F;1;0)"/>
    <s v="PEDREROS CONTRERAS MICHAEL STEVENS"/>
    <n v="1"/>
    <n v="0"/>
    <n v="96001.196280000004"/>
    <n v="57411.974240000003"/>
    <n v="96001.196280000004"/>
  </r>
  <r>
    <s v="MEDELLIN"/>
    <x v="4"/>
    <x v="5"/>
    <n v="5579"/>
    <n v="2565523"/>
    <n v="49706"/>
    <s v="ORDEN DE CAMBIO"/>
    <s v="ANTIOQUIA"/>
    <s v="PUERTO BERRIO"/>
    <s v="DISTRICOL TELEMAR ACCESORIOS 2"/>
    <s v="REDEBAN"/>
    <s v="FO-25-1341452"/>
    <d v="2025-08-06T16:30:00"/>
    <d v="2025-08-13T16:35:00"/>
    <m/>
    <s v="PUBLICIDAD"/>
    <s v="PUBLICIDAD"/>
    <s v="AGREGADOR"/>
    <s v="DISTRICOL"/>
    <s v="EJECUTADO_EXITOSO"/>
    <s v="EJECUTADO EXITOSO"/>
    <s v="06/08/2025 SE REALIZA CONTACTO TELEFONICO AL 3206980205 CON LA SRA SINDY QUIEN CONFIRMA DATOS HE INDICA QUE EL AVISO QUEDARA INSTALADO A UN POCO MAS DE 2 METROS DE ALTURA SE PROGRAMA VISITA TECNICA | 13/08/2025 INSTALACIÓN DE AVISO EXTERIOR OK"/>
    <s v="VISITA_TÉCNICA"/>
    <m/>
    <s v="TIPO III"/>
    <s v="=BUSCARV('PUBLICIDAD OC'!D2;'TIPOLOGIA'!A:F;1;0)"/>
    <s v="PAREJA ECHAVARRIA JHON DAVID"/>
    <n v="1"/>
    <n v="0"/>
    <n v="344774.56896"/>
    <n v="110808.27512000001"/>
    <n v="344774.56896"/>
  </r>
  <r>
    <s v="BOGOTA"/>
    <x v="2"/>
    <x v="2"/>
    <n v="25430"/>
    <n v="2559376"/>
    <n v="38474"/>
    <s v="ORDEN DE CAMBIO"/>
    <s v="CUNDINAMARCA"/>
    <s v="MADRID"/>
    <s v="BARRIO LOS SAUCES MADRID"/>
    <s v="REDEBAN"/>
    <s v="FO-25-1334436"/>
    <d v="2025-08-06T08:00:00"/>
    <d v="2025-08-13T16:42:00"/>
    <m/>
    <s v="PUBLICIDAD"/>
    <s v="PUBLICIDAD"/>
    <s v="CB UNO A UNO"/>
    <s v="CB UNO A UNO"/>
    <s v="EJECUTADO_CANCELADO"/>
    <s v="PETICIÓN BANCOLOMBIA"/>
    <s v="06/08/2025 POR FAVOR, COMUNICARSE CON USUARIO PARA CONFIRMAR UBICACION, SOLICITUD Y PROGRAMAR VISITA TECNICA | 13/08/2025 DURANTE LA VISITA TECNICA PARA REALIZAR L INSTALACIÓN DE AVISO EXTERIOR NO ES POSIBLE PORQUE COMERCIO YA CUENTA CON AVISO EXTERIOR DE CARA NEGRA EN BUEN ESTADO PERFECTAS CONDICIONES DE DEJA EVIDENCIA FOTOGRÁFICA, ADICIONAL CUENTA CON UN AVISO INSTALADO DE CARA AMARILLA SE DEJA EVIDENCIA FOTOGRÁFICA EL CUAL NO PERMITE EL RETIRO DEL MISMO, COMERCIO INFORMA NO FIRMAR QUEDA MOLESTO POR NO REALIZAR LA INSTALACIÓN DEL AVISO ADIONAL NO SUMINISTRADA DATOS. LA PUBLICIDAD SE RETORNA A BODEGA"/>
    <s v="VISITA_TÉCNICA"/>
    <m/>
    <s v="TIPO II"/>
    <s v="=BUSCARV('PUBLICIDAD OC'!D2;'TIPOLOGIA'!A:F;1;0)"/>
    <s v="GALEANO SORIANO JUAN DAVID"/>
    <n v="1"/>
    <n v="0"/>
    <n v="232858.60096000001"/>
    <n v="110808.27512000001"/>
    <n v="232858.60096000001"/>
  </r>
  <r>
    <s v="IBAGUE"/>
    <x v="0"/>
    <x v="0"/>
    <n v="73001"/>
    <n v="2560310"/>
    <n v="16749"/>
    <s v="ORDEN DE CAMBIO"/>
    <s v="TOLIMA"/>
    <s v="IBAGUE"/>
    <s v="MATERIALES EMO    IBAGUE"/>
    <s v="REDEBAN"/>
    <s v="FO-25-1334889"/>
    <d v="2025-08-06T08:28:00"/>
    <d v="2025-08-14T07:47:00"/>
    <m/>
    <s v="PUBLICIDAD"/>
    <s v="PUBLICIDAD"/>
    <s v="CB UNO A UNO"/>
    <s v="CB UNO A UNO"/>
    <s v="EJECUTADO_EXITOSO"/>
    <s v="EJECUTADO EXITOSO"/>
    <s v="06/08/2025 POR FAVOR, COMUNICARSE CON USUARIO PARA CONFIRMAR UBICACION, SOLICITUD Y PROGRAMAR VISITA TECNICA | 13/08/2025 INSTALACIÓN DE AVISO EXTERIOR. INFORMA QUE LE ROBARON EL ANTERIOR AVISO"/>
    <s v="VISITA_TÉCNICA"/>
    <n v="0"/>
    <s v="TIPO I"/>
    <s v="=BUSCARV('PUBLICIDAD OC'!D2;'TIPOLOGIA'!A:F;1;0)"/>
    <s v="GUTIERREZ  CAMILO ANDRES"/>
    <n v="1"/>
    <n v="0"/>
    <n v="96001.196280000004"/>
    <n v="57411.974240000003"/>
    <n v="96001.196280000004"/>
  </r>
  <r>
    <s v="BUCARAMANGA"/>
    <x v="5"/>
    <x v="6"/>
    <n v="68276"/>
    <n v="2594395"/>
    <n v="62409"/>
    <s v="ORDEN DE CAMBIO"/>
    <s v="SANTANDER"/>
    <s v="FLORIDABLANCA"/>
    <s v="BARRIO LA PAZ FLORIDABLANCA 4"/>
    <s v="REDEBAN"/>
    <s v="FO-25-1373038"/>
    <d v="2025-08-13T16:43:00"/>
    <d v="2025-08-14T15:07:00"/>
    <m/>
    <s v="PUBLICIDAD"/>
    <s v="PUBLICIDAD"/>
    <s v="CB UNO A UNO"/>
    <s v="CB UNO A UNO"/>
    <s v="EJECUTADO_EXITOSO"/>
    <s v="EJECUTADO EXITOSO"/>
    <s v="13/08/2025 POR FAVOR COMUNICARSE CON CB PARA CONFIRMAR SOLICITUD, UBICACION Y PROGRAMAR VISITA TECNICA | 14/08/2025 SE VISITA COMERCIO SE INSTALA AVISO EXTERIOR DONDE CLIENTE INDICA"/>
    <s v="VISITA_TÉCNICA"/>
    <n v="0"/>
    <s v="TIPO I"/>
    <s v="=BUSCARV('PUBLICIDAD OC'!D2;'TIPOLOGIA'!A:F;1;0)"/>
    <s v="GELVEZ MOGOLLON JOSE ELISEO"/>
    <n v="1"/>
    <n v="0"/>
    <n v="96001.196280000004"/>
    <n v="57411.974240000003"/>
    <n v="96001.196280000004"/>
  </r>
  <r>
    <s v="TUNJA"/>
    <x v="5"/>
    <x v="6"/>
    <n v="15238"/>
    <n v="2586687"/>
    <n v="41496"/>
    <s v="ORDEN DE CAMBIO"/>
    <s v="BOYACA"/>
    <s v="DUITAMA"/>
    <s v="BARRIO CENTRO DUITAMA 10"/>
    <s v="REDEBAN"/>
    <s v="FO-25-1367166"/>
    <d v="2025-08-12T14:11:00"/>
    <d v="2025-08-14T15:11:00"/>
    <m/>
    <s v="PUBLICIDAD"/>
    <s v="PUBLICIDAD"/>
    <s v="CB UNO A UNO"/>
    <s v="CB UNO A UNO"/>
    <s v="EJECUTADO_EXITOSO"/>
    <s v="EJECUTADO EXITOSO"/>
    <s v="14/08/2025 SE REALIZA INSTALACIÓN AVISO EXTERIOR 1.50 METROS NUEVO POR RUPTURA CLIENTE CONFORME"/>
    <s v="VISITA_TÉCNICA"/>
    <n v="0"/>
    <s v="TIPO II"/>
    <s v="=BUSCARV('PUBLICIDAD OC'!D2;'TIPOLOGIA'!A:F;1;0)"/>
    <s v="RODRIGUEZ MURCIA YERSON IVAN"/>
    <n v="1"/>
    <n v="0"/>
    <n v="232858.60096000001"/>
    <n v="110808.27512000001"/>
    <n v="232858.60096000001"/>
  </r>
  <r>
    <s v="VILLAVICENCIO"/>
    <x v="0"/>
    <x v="0"/>
    <n v="50001"/>
    <n v="2586832"/>
    <n v="53028"/>
    <s v="ORDEN DE CAMBIO"/>
    <s v="META"/>
    <s v="VILLAVICENCIO"/>
    <s v="BARRIO CENTRO VILLAVICENCIO 13"/>
    <s v="REDEBAN"/>
    <s v="FO-25-1367127"/>
    <d v="2025-08-12T14:09:00"/>
    <d v="2025-08-14T15:13:00"/>
    <m/>
    <s v="PUBLICIDAD"/>
    <s v="PUBLICIDAD"/>
    <s v="CB UNO A UNO"/>
    <s v="CB UNO A UNO"/>
    <s v="EJECUTADO_EXITOSO"/>
    <s v="EJECUTADO EXITOSO"/>
    <s v="12/08/2025 POR FAVOR COMUNICARSE CON CB PARA CONFIRMAR SOLICITUD, UBICACION Y PROGRAMAR VISITA TECNICA | 14/08/2025 SE INSTALA PUBLICIDAD OK SIN NOVEDADES"/>
    <s v="VISITA_TÉCNICA"/>
    <n v="0"/>
    <s v="TIPO I"/>
    <s v="=BUSCARV('PUBLICIDAD OC'!D2;'TIPOLOGIA'!A:F;1;0)"/>
    <s v="CASTRILLON URREA LONDIER LEANDRO"/>
    <n v="1"/>
    <n v="0"/>
    <n v="96001.196280000004"/>
    <n v="57411.974240000003"/>
    <n v="96001.196280000004"/>
  </r>
  <r>
    <s v="VILLAVICENCIO"/>
    <x v="0"/>
    <x v="0"/>
    <n v="50568"/>
    <n v="2535585"/>
    <n v="71332"/>
    <s v="ORDEN DE CAMBIO"/>
    <s v="META"/>
    <s v="PUERTO GAITAN"/>
    <s v="BARRIO VEREDA CRISTALINAS PUER"/>
    <s v="REDEBAN"/>
    <s v="FO-25-1313660"/>
    <d v="2025-07-31T16:42:00"/>
    <d v="2025-08-15T10:36:00"/>
    <m/>
    <s v="PUBLICIDAD"/>
    <s v="PUBLICIDAD"/>
    <s v="CB UNO A UNO"/>
    <s v="CB UNO A UNO"/>
    <s v="EJECUTADO_EXITOSO"/>
    <s v="EJECUTADO EXITOSO"/>
    <s v="31/07/2025 SE INTENTA COMUNICACION CON USUARIO. NO RESPONDE. POR FAVOR, COMUNICARSE CON USUARIO PARA CONFIRMAR UBICACION, SOLICITUD Y PROGRAMAR VISITA TECNICA | 31/07/2025 SE INTENTA COMUNICACION CON USUARIO. NO RESPONDE. POR FAVOR, COMUNICARSE CON USUARIO PARA CONFIRMAR UBICACION, SOLICITUD Y PROGRAMAR VISITA TECNICA | 31/07/2025 SE INTENTA COMUNICACION CON USUARIO. NO RESPONDE. POR FAVOR, COMUNICARSE CON USUARIO PARA CONFIRMAR UBICACION, SOLICITUD Y PROGRAMAR VISITA TECNICA | 15/08/2025 SE REALIZA INSTALACIÓN DE AVISO EXTERIOR POR SOLICITUD DEL COMERCIO"/>
    <s v="VISITA_TÉCNICA"/>
    <n v="0"/>
    <s v="TIPO III"/>
    <s v="=BUSCARV('PUBLICIDAD OC'!D2;'TIPOLOGIA'!A:F;1;0)"/>
    <s v="ROZO JIMENEZ EDGAR ARMANDO"/>
    <n v="1"/>
    <n v="0"/>
    <n v="344774.56896"/>
    <n v="110808.27512000001"/>
    <n v="344774.56896"/>
  </r>
  <r>
    <s v="MANIZALES"/>
    <x v="1"/>
    <x v="1"/>
    <n v="17001"/>
    <n v="2593247"/>
    <n v="55442"/>
    <s v="ORDEN DE CAMBIO"/>
    <s v="CALDAS"/>
    <s v="MANIZALES"/>
    <s v="BARRIO CAROLITA MANIZALES"/>
    <s v="REDEBAN"/>
    <s v="FO-25-1372399"/>
    <d v="2025-08-13T14:36:00"/>
    <d v="2025-08-15T11:10:00"/>
    <m/>
    <s v="PUBLICIDAD"/>
    <s v="PUBLICIDAD"/>
    <s v="CB UNO A UNO"/>
    <s v="CB UNO A UNO"/>
    <s v="EJECUTADO_EXITOSO"/>
    <s v="EJECUTADO EXITOSO"/>
    <s v="13/08/2025 POR FAVOR COMUNICARSE CON CB PARA CONFIRMAR SOLICITUD, UBICACION Y PROGRAMAR VISITA TECNICA | 15/08/2025 SE REALIZA INSTALACIÓN DE AVISO EXTERIOR YA QUE EL ANTERIOR SE CAYO Y SE QUEBRÓ"/>
    <s v="VISITA_TÉCNICA"/>
    <n v="0"/>
    <s v="TIPO I"/>
    <s v="=BUSCARV('PUBLICIDAD OC'!D2;'TIPOLOGIA'!A:F;1;0)"/>
    <s v="AGUIRRE HENAO RAUL EDUARDO"/>
    <n v="1"/>
    <n v="0"/>
    <n v="96001.196280000004"/>
    <n v="57411.974240000003"/>
    <n v="96001.196280000004"/>
  </r>
  <r>
    <s v="MEDELLIN"/>
    <x v="4"/>
    <x v="5"/>
    <n v="5001"/>
    <n v="2579185"/>
    <n v="27657"/>
    <s v="ORDEN DE CAMBIO"/>
    <s v="ANTIOQUIA"/>
    <s v="MEDELLIN"/>
    <s v="DISTRICOL CELUMAX LTE"/>
    <s v="REDEBAN"/>
    <s v="FO-25-1360893"/>
    <d v="2025-08-11T11:58:00"/>
    <d v="2025-08-15T11:15:00"/>
    <m/>
    <s v="PUBLICIDAD"/>
    <s v="PUBLICIDAD"/>
    <s v="AGREGADOR"/>
    <s v="DISTRICOL"/>
    <s v="EJECUTADO_EXITOSO"/>
    <s v="EJECUTADO EXITOSO"/>
    <s v="11/08/2025 POR FAVOR COMUNICARSE CON CB PARA CONFIRMAR SOLICITUD, UBICACION Y PROGRAMAR VISITA TECNICA | 15/08/2025 SE INSTALA AVISO EXTERIOR OK"/>
    <s v="VISITA_TÉCNICA"/>
    <n v="0"/>
    <s v="TIPO I"/>
    <s v="=BUSCARV('PUBLICIDAD OC'!D2;'TIPOLOGIA'!A:F;1;0)"/>
    <s v="QUINTERO SANCHEZ JUAN SEBASTIAN"/>
    <n v="1"/>
    <n v="0"/>
    <n v="96001.196280000004"/>
    <n v="57411.974240000003"/>
    <n v="96001.196280000004"/>
  </r>
  <r>
    <s v="MEDELLIN"/>
    <x v="4"/>
    <x v="5"/>
    <n v="5001"/>
    <n v="2584059"/>
    <n v="33409"/>
    <s v="ORDEN DE CAMBIO"/>
    <s v="ANTIOQUIA"/>
    <s v="MEDELLIN"/>
    <s v="COMCARD MED PELUQUERO PICACHO"/>
    <s v="REDEBAN"/>
    <s v="FO-25-1364318"/>
    <d v="2025-08-12T09:21:00"/>
    <d v="2025-08-15T11:33:00"/>
    <m/>
    <s v="PUBLICIDAD"/>
    <s v="PUBLICIDAD"/>
    <s v="AGREGADOR"/>
    <s v="COMCARD - PTM"/>
    <s v="EJECUTADO_EXITOSO"/>
    <s v="EJECUTADO EXITOSO"/>
    <s v="12/08/2025 12-08 POR FAVOR COMUNICARSE CON CB PARA CONFIRMAR SOLICITUD, UBICACION Y PROGRAMAR VISITA TECNICA | 15/08/2025 SE INSTALA AVISO EXTERIOR OK"/>
    <s v="VISITA_TÉCNICA"/>
    <n v="0"/>
    <s v="TIPO I"/>
    <s v="=BUSCARV('PUBLICIDAD OC'!D2;'TIPOLOGIA'!A:F;1;0)"/>
    <s v="QUINTERO SANCHEZ JUAN SEBASTIAN"/>
    <n v="1"/>
    <n v="0"/>
    <n v="96001.196280000004"/>
    <n v="57411.974240000003"/>
    <n v="96001.196280000004"/>
  </r>
  <r>
    <s v="BOGOTA"/>
    <x v="2"/>
    <x v="2"/>
    <n v="11001"/>
    <n v="2592655"/>
    <n v="76787"/>
    <s v="ORDEN DE CAMBIO"/>
    <s v="CUNDINAMARCA"/>
    <s v="BOGOTA"/>
    <s v="BARRIO MARCO FIDEL SUAREZ BOGOTA 4"/>
    <s v="REDEBAN"/>
    <s v="FO-25-1371503"/>
    <d v="2025-08-13T12:42:00"/>
    <d v="2025-08-15T14:44:00"/>
    <m/>
    <s v="PUBLICIDAD"/>
    <s v="PUBLICIDAD"/>
    <s v="UNO A UNO"/>
    <s v="UNO A UNO"/>
    <s v="EJECUTADO_EXITOSO"/>
    <s v="EJECUTADO EXITOSO"/>
    <s v="13/08/2025 13-08 POR FAVOR COMUNICARSE CON CB PARA CONFIRMAR SOLICITUD, UBICACION Y PROGRAMAR VISITA TECNICA | 15/08/2025 INSTALACIÓN DE AVISO EXTERIOR ROBADO"/>
    <s v="VISITA_TÉCNICA"/>
    <n v="0"/>
    <s v="TIPO I"/>
    <s v="=BUSCARV('PUBLICIDAD OC'!D2;'TIPOLOGIA'!A:F;1;0)"/>
    <s v="GOMEZ VEGA DAVID SNEYDER"/>
    <n v="1"/>
    <n v="0"/>
    <n v="96001.196280000004"/>
    <n v="57411.974240000003"/>
    <n v="96001.196280000004"/>
  </r>
  <r>
    <s v="BOGOTA"/>
    <x v="2"/>
    <x v="2"/>
    <n v="11001"/>
    <n v="2602790"/>
    <n v="47606"/>
    <s v="ORDEN DE CAMBIO"/>
    <s v="CUNDINAMARCA"/>
    <s v="BOGOTA"/>
    <s v="BARRIO BOCHICA CENTRAL BOGOTA"/>
    <s v="REDEBAN"/>
    <s v="FO-25-1380054"/>
    <d v="2025-08-15T10:29:00"/>
    <d v="2025-08-16T12:58:00"/>
    <m/>
    <s v="PUBLICIDAD"/>
    <s v="PUBLICIDAD"/>
    <s v="CB UNO A UNO"/>
    <s v="CB UNO A UNO"/>
    <s v="EJECUTADO_EXITOSO"/>
    <s v="EJECUTADO EXITOSO"/>
    <s v="15/08/2025 POR FAVOR, COMUNICARSE CON USUARIO PARA CONFIRMAR UBICACION, SOLICITUD Y PROGRAMAR VISITA TECNICA | 16/08/2025 INSTALACIÓN DE AVISO EXTERIOR ROBADO"/>
    <s v="VISITA_TÉCNICA"/>
    <n v="0"/>
    <s v="TIPO I"/>
    <s v="=BUSCARV('PUBLICIDAD OC'!D2;'TIPOLOGIA'!A:F;1;0)"/>
    <s v="GOMEZ VEGA DAVID SNEYDER"/>
    <n v="1"/>
    <n v="0"/>
    <n v="96001.196280000004"/>
    <n v="57411.974240000003"/>
    <n v="96001.196280000004"/>
  </r>
  <r>
    <s v="BOGOTA"/>
    <x v="2"/>
    <x v="2"/>
    <n v="11001"/>
    <n v="2602920"/>
    <n v="76878"/>
    <s v="ORDEN DE CAMBIO"/>
    <s v="CUNDINAMARCA"/>
    <s v="BOGOTA"/>
    <s v="BARRIO SUBA RINCON BOGOTA 16"/>
    <s v="REDEBAN"/>
    <s v="FO-25-1380058"/>
    <d v="2025-08-15T10:20:00"/>
    <d v="2025-08-16T13:07:00"/>
    <m/>
    <s v="PUBLICIDAD"/>
    <s v="PUBLICIDAD"/>
    <s v="CB UNO A UNO"/>
    <s v="CB UNO A UNO"/>
    <s v="EJECUTADO_EXITOSO"/>
    <s v="EJECUTADO EXITOSO"/>
    <s v="15/08/2025 POR FAVOR, COMUNICARSE CON USUARIO PARA CONFIRMAR UBICACION, SOLICITUD Y PROGRAMAR VISITA TECNICA | 16/08/2025 SE VISITA COMERCIO, SE INSTALA AVISO EXTERIOR SOLICITADO, NO SE MANIPULAN EQUIPOS."/>
    <s v="VISITA_TÉCNICA"/>
    <n v="0"/>
    <s v="TIPO I"/>
    <s v="=BUSCARV('PUBLICIDAD OC'!D2;'TIPOLOGIA'!A:F;1;0)"/>
    <s v="VEGA MANRIQUE JONATAN MAURICIO"/>
    <n v="1"/>
    <n v="0"/>
    <n v="96001.196280000004"/>
    <n v="57411.974240000003"/>
    <n v="96001.196280000004"/>
  </r>
  <r>
    <s v="CALI"/>
    <x v="1"/>
    <x v="3"/>
    <n v="76001"/>
    <n v="2604136"/>
    <n v="46965"/>
    <s v="ORDEN DE CAMBIO"/>
    <s v="VALLE DEL CAUCA"/>
    <s v="CALI"/>
    <s v="BARRIO OBRERO CALI 4"/>
    <s v="REDEBAN"/>
    <s v="FO-25-1381040"/>
    <d v="2025-08-15T13:06:00"/>
    <d v="2025-08-19T11:43:00"/>
    <m/>
    <s v="PUBLICIDAD"/>
    <s v="PUBLICIDAD"/>
    <s v="UNO A UNO"/>
    <s v="CB UNO A UNO"/>
    <s v="EJECUTADO_EXITOSO"/>
    <s v="EJECUTADO EXITOSO"/>
    <s v="15/08/2025 POR FAVOR, COMUNICARSE CON USUARIO PARA CONFIRMAR UBICACION, SOLICITUD Y PROGRAMAR VISITA TECNICA | 19/08/2025 SE INSTALA AVISO EXTERIOR YA QUE EL DEL CLIENTE ESTABA PARTIDA"/>
    <s v="VISITA_TÉCNICA"/>
    <n v="0"/>
    <s v="TIPO I"/>
    <s v="=BUSCARV('PUBLICIDAD OC'!D2;'TIPOLOGIA'!A:F;1;0)"/>
    <s v="CUERO RUIZ JHONNY"/>
    <n v="1"/>
    <n v="0"/>
    <n v="96001.196280000004"/>
    <n v="57411.974240000003"/>
    <n v="96001.196280000004"/>
  </r>
  <r>
    <s v="MEDELLIN"/>
    <x v="4"/>
    <x v="5"/>
    <n v="5001"/>
    <n v="2593460"/>
    <n v="67519"/>
    <s v="ORDEN DE CAMBIO"/>
    <s v="ANTIOQUIA"/>
    <s v="MEDELLIN"/>
    <s v="BARRIO CASTILLA MEDELLIN 8"/>
    <s v="REDEBAN"/>
    <s v="FO-25-1372793"/>
    <d v="2025-08-13T15:05:00"/>
    <d v="2025-08-19T12:08:00"/>
    <m/>
    <s v="PUBLICIDAD"/>
    <s v="PUBLICIDAD"/>
    <s v="CB UNO A UNO"/>
    <s v="CB UNO A UNO"/>
    <s v="EJECUTADO_EXITOSO"/>
    <s v="EJECUTADO EXITOSO"/>
    <s v="13/08/2025 POR FAVOR COMUNICARSE CON CB PARA CONFIRMAR SOLICITUD, UBICACION Y PROGRAMAR VISITA TECNICA | 19/08/2025 SE REALIZA INSTALACIÓN DEL AVISO EXTERIOR EXITOSAMENTE OK"/>
    <s v="VISITA_TÉCNICA"/>
    <n v="0"/>
    <s v="TIPO I"/>
    <s v="=BUSCARV('PUBLICIDAD OC'!D2;'TIPOLOGIA'!A:F;1;0)"/>
    <s v="MARTINEZ TOVAR OSCAR DAVID"/>
    <n v="1"/>
    <n v="0"/>
    <n v="96001.196280000004"/>
    <n v="57411.974240000003"/>
    <n v="96001.196280000004"/>
  </r>
  <r>
    <s v="MEDELLIN"/>
    <x v="4"/>
    <x v="5"/>
    <n v="5001"/>
    <n v="2606554"/>
    <n v="48794"/>
    <s v="ORDEN DE CAMBIO"/>
    <s v="ANTIOQUIA"/>
    <s v="MEDELLIN"/>
    <s v="PTM MEDELLIN SERVICIO ELECTRIC"/>
    <s v="REDEBAN"/>
    <s v="FO-25-1383949"/>
    <d v="2025-08-16T10:41:00"/>
    <d v="2025-08-19T12:21:00"/>
    <m/>
    <s v="PUBLICIDAD"/>
    <s v="PUBLICIDAD"/>
    <s v="AGREGADOR"/>
    <s v="COMCARD - PTM"/>
    <s v="EJECUTADO_EXITOSO"/>
    <s v="EJECUTADO EXITOSO"/>
    <s v="16/08/2025 POR FAVOR, COMUNICARSE CON USUARIO PARA CONFIRMAR UBICACION, SOLICITUD Y PROGRAMAR VISITA TECNICA | 19/08/2025 SE INSTALA AVISO EXTERIOR"/>
    <s v="VISITA_TÉCNICA"/>
    <n v="0"/>
    <s v="TIPO I"/>
    <s v="=BUSCARV('PUBLICIDAD OC'!D2;'TIPOLOGIA'!A:F;1;0)"/>
    <s v="BADEL ACUÑA LUIS ALBERTO"/>
    <n v="1"/>
    <n v="0"/>
    <n v="96001.196280000004"/>
    <n v="57411.974240000003"/>
    <n v="96001.196280000004"/>
  </r>
  <r>
    <s v="BOGOTA"/>
    <x v="2"/>
    <x v="2"/>
    <n v="11001"/>
    <n v="2608563"/>
    <n v="46879"/>
    <s v="ORDEN DE CAMBIO"/>
    <s v="CUNDINAMARCA"/>
    <s v="BOGOTA"/>
    <s v="BARRIO PASTRANITA BOGOTA 1"/>
    <s v="REDEBAN"/>
    <s v="FO-25-1388004"/>
    <d v="2025-08-18T13:09:00"/>
    <d v="2025-08-19T12:30:00"/>
    <m/>
    <s v="PUBLICIDAD"/>
    <s v="PUBLICIDAD"/>
    <s v="CB UNO A UNO"/>
    <s v="CB UNO A UNO"/>
    <s v="EJECUTADO_EXITOSO"/>
    <s v="EJECUTADO EXITOSO"/>
    <s v="18/08/2025 POR FAVOR, COMUNICARSE CON USUARIO PARA CONFIRMAR UBICACION, SOLICITUD Y PROGRAMAR VISITA TECNICA | 19/08/2025 INSTALACIÓN DE AVISO EXTERIOR OK NO SE MANIPULAN EQUIPOS"/>
    <s v="VISITA_TÉCNICA"/>
    <n v="0"/>
    <s v="TIPO I"/>
    <s v="=BUSCARV('PUBLICIDAD OC'!D2;'TIPOLOGIA'!A:F;1;0)"/>
    <s v="HERNANDEZ NARANJO OSCAR EDUARDO"/>
    <n v="1"/>
    <n v="0"/>
    <n v="96001.196280000004"/>
    <n v="57411.974240000003"/>
    <n v="96001.196280000004"/>
  </r>
  <r>
    <s v="MONTERIA"/>
    <x v="3"/>
    <x v="4"/>
    <n v="23001"/>
    <n v="2602167"/>
    <n v="65136"/>
    <s v="ORDEN DE CAMBIO"/>
    <s v="CORDOBA"/>
    <s v="MONTERIA"/>
    <s v="BARRIO NUEVA ESPERANZA MONTERI"/>
    <s v="REDEBAN"/>
    <s v="FO-25-1379612"/>
    <d v="2025-08-15T09:24:00"/>
    <d v="2025-08-20T08:18:00"/>
    <m/>
    <s v="PUBLICIDAD"/>
    <s v="PUBLICIDAD"/>
    <s v="CB UNO A UNO"/>
    <s v="CB UNO A UNO"/>
    <s v="EJECUTADO_EXITOSO"/>
    <s v="EJECUTADO EXITOSO"/>
    <s v="15/08/2025 POR FAVOR, COMUNICARSE CON USUARIO PARA CONFIRMAR UBICACION, SOLICITUD Y PROGRAMAR VISITA TECNICA | 19/08/2025 SE REALIZA VISITA TÉCNICA PARA INSTALACIÓN DE AVISO EXTERIOR, YA EL AVISO ANTERIOR FUE URTADO, SE INSTALA NUEVO AVISO SIN NOVEDAD"/>
    <s v="VISITA_TÉCNICA"/>
    <n v="0"/>
    <s v="TIPO I"/>
    <s v="=BUSCARV('PUBLICIDAD OC'!D2;'TIPOLOGIA'!A:F;1;0)"/>
    <s v="CASSIANI PEREZ RAUL RAMIRO"/>
    <n v="1"/>
    <n v="0"/>
    <n v="96001.196280000004"/>
    <n v="57411.974240000003"/>
    <n v="96001.196280000004"/>
  </r>
  <r>
    <s v="BUCARAMANGA"/>
    <x v="5"/>
    <x v="6"/>
    <n v="68276"/>
    <n v="2618207"/>
    <n v="72109"/>
    <s v="ORDEN DE CAMBIO"/>
    <s v="SANTANDER"/>
    <s v="FLORIDABLANCA"/>
    <s v="DISTRICOL FOTO ESTUDIO TRUMAN"/>
    <s v="REDEBAN"/>
    <s v="FO-25-1396582"/>
    <d v="2025-08-20T10:44:00"/>
    <d v="2025-08-20T16:17:00"/>
    <m/>
    <s v="PUBLICIDAD"/>
    <s v="PUBLICIDAD"/>
    <s v="AGREGADOR"/>
    <s v="DISTRICOL"/>
    <s v="SOLICITUD_CANCELADA"/>
    <s v="CANCELADO POR LA ENTIDAD"/>
    <s v="20/08/2025 SE REALIZO CONTACTO TELEFÓNICO CON LA SRA NUBIA AL 3017199292 QUIEN NOS INDICA QUE LA CASA LA DIVIDIERON EN 3 LOCALES Y ELLA QUEDO EN EL LOCAL CON NOMENCLATURA 8-48 SIENDO ENTONCES LA DIRECCIÓN CALLE 29 8-48 RESPUESTA DE LA RED: POR FAVOR, PROCEDAMOS CON LA CANCELACIÓN DE LA INSTALACIÓN DEBIDO A QUE LA DIRECCIÓN REGISTRADA ES INCORRECTA. ES NECESARIO INFORMAR AL COMERCIO QUE DEBE ACTUALIZAR LA DIRECCIÓN ANTE LA ENTIDAD. UNA VEZ SE HAYA REALIZADO ESTA ACTUALIZACIÓN, PODRÁ VOLVER A SOLICITAR LA PUBLICIDAD SE LE DA INFORMACION A CLIENTE Y SE CIERRA ORDEN"/>
    <s v="SOPORTE_TELEFÓNICO"/>
    <n v="0"/>
    <s v="TIPO I"/>
    <s v="=BUSCARV('PUBLICIDAD OC'!D2;'TIPOLOGIA'!A:F;1;0)"/>
    <s v="SALAZAR AGUDELO JHONATAN STIVEN"/>
    <n v="0"/>
    <n v="0"/>
    <n v="0"/>
    <n v="0"/>
    <n v="37904.65408"/>
  </r>
  <r>
    <s v="BOGOTA"/>
    <x v="2"/>
    <x v="2"/>
    <n v="25290"/>
    <n v="2603836"/>
    <n v="76196"/>
    <s v="ORDEN DE CAMBIO"/>
    <s v="CUNDINAMARCA"/>
    <s v="FUSAGASUGA"/>
    <s v="BARRIO VERGEL FUSAGASUGA 1"/>
    <s v="REDEBAN"/>
    <s v="FO-25-1380639"/>
    <d v="2025-08-15T11:55:00"/>
    <d v="2025-08-20T16:27:00"/>
    <m/>
    <s v="PUBLICIDAD"/>
    <s v="PUBLICIDAD"/>
    <s v="CB UNO A UNO"/>
    <s v="CB UNO A UNO"/>
    <s v="EJECUTADO_EXITOSO"/>
    <s v="EJECUTADO EXITOSO"/>
    <s v="15/08/2025 POR FAVOR, COMUNICARSE CON USUARIO PARA CONFIRMAR UBICACION, SOLICITUD Y PROGRAMAR VISITA TECNICA | 20/08/2025 SE REALIZA VISITA DE CAMPO DONDE SE INSTALA AVISO EXTERIOR DE ACUERDO A INDICACIONES DEL CLIENTE"/>
    <s v="VISITA_TÉCNICA"/>
    <n v="0"/>
    <s v="TIPO II"/>
    <s v="=BUSCARV('PUBLICIDAD OC'!D2;'TIPOLOGIA'!A:F;1;0)"/>
    <s v="LOZADA ROJAS CHRISTIAN ANDRES"/>
    <n v="1"/>
    <n v="0"/>
    <n v="232858.60096000001"/>
    <n v="110808.27512000001"/>
    <n v="232858.60096000001"/>
  </r>
  <r>
    <s v="APARTADO"/>
    <x v="4"/>
    <x v="5"/>
    <n v="5665"/>
    <n v="2612815"/>
    <n v="36945"/>
    <s v="ORDEN DE CAMBIO"/>
    <s v="ANTIOQUIA"/>
    <s v="SAN PEDRO DE URABA"/>
    <s v="DISTRICOL DISTRIBUCIONES JSOIS"/>
    <s v="REDEBAN"/>
    <s v="FO-25-1392102"/>
    <d v="2025-08-19T12:44:00"/>
    <d v="2025-08-20T16:30:00"/>
    <m/>
    <s v="PUBLICIDAD"/>
    <s v="PUBLICIDAD"/>
    <s v="AGREGADOR"/>
    <s v="DISTRICOL"/>
    <s v="EJECUTADO_EXITOSO"/>
    <s v="EJECUTADO EXITOSO"/>
    <s v="19/08/2025 SE REALIZA CONTACTO TELEFONICO AL 3133474742 CON LA SRA YURANI QUIEN CONFIRMA QUE EL AVISO SE CAYO Y SE PARTIO INDICA ESTA INSTALADO A UNOS 3 METROS DE ALTURA VALIDA DATOS Y SE PROGRAMA VISITA TECNICA | 20/08/2025 SE INSTALA AVISO EXTERIOR"/>
    <s v="VISITA_TÉCNICA"/>
    <n v="0"/>
    <s v="TIPO III"/>
    <s v="=BUSCARV('PUBLICIDAD OC'!D2;'TIPOLOGIA'!A:F;1;0)"/>
    <s v="SALDARRIAGA MIRANDA SANTIAGO"/>
    <n v="1"/>
    <n v="0"/>
    <n v="344774.56896"/>
    <n v="110808.27512000001"/>
    <n v="344774.56896"/>
  </r>
  <r>
    <s v="IBAGUE"/>
    <x v="0"/>
    <x v="0"/>
    <n v="17380"/>
    <n v="2613571"/>
    <n v="47806"/>
    <s v="ORDEN DE CAMBIO"/>
    <s v="CALDAS"/>
    <s v="LA DORADA"/>
    <s v="BARRIO EL CENTRO LA DORADA"/>
    <s v="REDEBAN"/>
    <s v="FO-25-1393632"/>
    <d v="2025-08-19T14:54:00"/>
    <d v="2025-08-21T08:08:00"/>
    <m/>
    <s v="PUBLICIDAD"/>
    <s v="PUBLICIDAD"/>
    <s v="CB UNO A UNO"/>
    <s v="CB UNO A UNO"/>
    <s v="EJECUTADO_EXITOSO"/>
    <s v="EJECUTADO EXITOSO"/>
    <s v="19/08/2025 SE INTENTA CONTACTO TELEFONICO CON EL CB AL 3177341990 EN REPETIDAS OCASIONES SIN RESPUESTA SE PROGRAMA VISITA TECNICA POR FAVOR COMUNICARSE CON CB ANTES DE DESPLAZARSE PARA VALIDAR SOLICITUD Y DATOS | 20/08/2025 INSTALACIÓN DE AVISO EXTERIOR &quot;CLIENTE INFORMA QUE EL ANTERIOR SE LE PARTIÓ&quot;"/>
    <s v="VISITA_TÉCNICA"/>
    <n v="0"/>
    <s v="TIPO III"/>
    <s v="=BUSCARV('PUBLICIDAD OC'!D2;'TIPOLOGIA'!A:F;1;0)"/>
    <s v="GUTIERREZ  CAMILO ANDRES"/>
    <n v="1"/>
    <n v="0"/>
    <n v="344774.56896"/>
    <n v="110808.27512000001"/>
    <n v="344774.56896"/>
  </r>
  <r>
    <s v="CARTAGENA"/>
    <x v="3"/>
    <x v="4"/>
    <n v="13657"/>
    <n v="2592930"/>
    <n v="47080"/>
    <s v="ORDEN DE CAMBIO"/>
    <s v="BOLIVAR"/>
    <s v="SAN JUAN NEPOMUCENO"/>
    <s v="PTM  SAN JUAN NEPOMUCENO  LUBR"/>
    <s v="REDEBAN"/>
    <s v="FO-25-1371928"/>
    <d v="2025-08-13T13:45:00"/>
    <d v="2025-08-21T08:23:00"/>
    <m/>
    <s v="PUBLICIDAD"/>
    <s v="PUBLICIDAD"/>
    <s v="AGREGADOR"/>
    <s v="COMCARD - PTM"/>
    <s v="EJECUTADO_EXITOSO"/>
    <s v="EJECUTADO EXITOSO"/>
    <s v="13/08/2025 POR FAVOR COMUNICARSE CON CB PARA CONFIRMAR SOLICITUD, UBICACION Y PROGRAMAR VISITA TECNICA | 21/08/2025 SE REALIZA INSTALACIÓN DE AVISO EXTERIOR POR DAÑO DEL ANTERIOR QUEDA TODO OK"/>
    <s v="VISITA_TÉCNICA"/>
    <n v="0"/>
    <s v="TIPO II"/>
    <s v="=BUSCARV('PUBLICIDAD OC'!D2;'TIPOLOGIA'!A:F;1;0)"/>
    <s v="MARTINEZ SALGUEDO ANDRES AUGUSTO"/>
    <n v="1"/>
    <n v="0"/>
    <n v="232858.60096000001"/>
    <n v="110808.27512000001"/>
    <n v="232858.60096000001"/>
  </r>
  <r>
    <s v="IBAGUE"/>
    <x v="0"/>
    <x v="0"/>
    <n v="73001"/>
    <n v="2629433"/>
    <n v="80022"/>
    <s v="ORDEN DE CAMBIO"/>
    <s v="TOLIMA"/>
    <s v="IBAGUE"/>
    <s v="BARRIO MACARENA PARTE BAJA IBAGUE"/>
    <s v="REDEBAN"/>
    <s v="FO-25-1407572"/>
    <d v="2025-08-22T08:38:00"/>
    <d v="2025-08-22T11:17:00"/>
    <m/>
    <s v="PUBLICIDAD"/>
    <s v="AVISO EXTERIOR"/>
    <s v="CB UNO A UNO"/>
    <s v="CB UNO A UNO"/>
    <s v="EJECUTADO_EXITOSO"/>
    <s v="EJECUTADO EXITOSO"/>
    <s v="22/08/2025 SE INTENTA CONTACTO TELEFONICO CON EL CB AL 3204162165 SIN RESPUESTA SE ESCALA PARA VISITA TECNICA LLAMAR ANTES DE DESPLAZARSE PARA VALIDAR SOLICITUD Y DATOS | 22/08/2025 SE INSTALA AVISO EXTERIOR PORQUE EL ANTERIOR SE LO ROBARON."/>
    <s v="VISITA_TÉCNICA"/>
    <n v="0"/>
    <s v="TIPO I"/>
    <s v="=BUSCARV('PUBLICIDAD OC'!D2;'TIPOLOGIA'!A:F;1;0)"/>
    <s v="VARGAS HERRERA JHON JAIRO"/>
    <n v="1"/>
    <n v="0"/>
    <n v="96001.196280000004"/>
    <n v="57411.974240000003"/>
    <n v="96001.196280000004"/>
  </r>
  <r>
    <s v="CALI"/>
    <x v="1"/>
    <x v="3"/>
    <n v="76834"/>
    <n v="2624986"/>
    <n v="60012"/>
    <s v="ORDEN DE CAMBIO"/>
    <s v="VALLE DEL CAUCA"/>
    <s v="TULUA"/>
    <s v="PTM TULUA COMERCIALIZADORA DM"/>
    <s v="REDEBAN"/>
    <s v="FO-25-1403875"/>
    <d v="2025-08-21T11:17:00"/>
    <d v="2025-08-22T13:36:00"/>
    <m/>
    <s v="PUBLICIDAD"/>
    <s v="AVISO EXTERIOR"/>
    <s v="AGREGADOR"/>
    <s v="COMCARD - PTM"/>
    <s v="EJECUTADO_EXITOSO"/>
    <s v="EJECUTADO EXITOSO"/>
    <s v="21/08/2025 SE REALIZA CONTACTO TELEFONICO CON LA SRA ELIANA AL 3126325959 INDICA QUE SE ROBARON EL MARCO DEL AVISO Y EN EL ROBO PARTIERON TODO EL AVISO VALIDA DATOS HE INDICA QUE ESTABA APROXIMADAMENTE A 2 METROS SE PROGRAMA VISITA TECNICA | 22/08/2025 SE REALIZA INSTALACIÓN DE AVISO EXTERIOR SIN NOVEDAD."/>
    <s v="VISITA_TÉCNICA"/>
    <n v="0"/>
    <s v="TIPO II"/>
    <s v="=BUSCARV('PUBLICIDAD OC'!D2;'TIPOLOGIA'!A:F;1;0)"/>
    <s v="TORRES GARCIA JENDRY JOSE"/>
    <n v="1"/>
    <n v="0"/>
    <n v="232858.60096000001"/>
    <n v="110808.27512000001"/>
    <n v="232858.60096000001"/>
  </r>
  <r>
    <s v="VILLAVICENCIO"/>
    <x v="0"/>
    <x v="0"/>
    <n v="50001"/>
    <n v="2616603"/>
    <n v="65244"/>
    <s v="ORDEN DE CAMBIO"/>
    <s v="META"/>
    <s v="VILLAVICENCIO"/>
    <s v="BARRIO AY MI LLANURA VILLAVICE"/>
    <s v="REDEBAN"/>
    <s v="FO-25-1394997"/>
    <d v="2025-08-20T08:35:00"/>
    <d v="2025-08-22T15:49:00"/>
    <m/>
    <s v="PUBLICIDAD"/>
    <s v="AVISO EXTERIOR"/>
    <s v="CB UNO A UNO"/>
    <s v="CB UNO A UNO"/>
    <s v="EJECUTADO_EXITOSO"/>
    <s v="EJECUTADO EXITOSO"/>
    <s v="20/08/2025 POR FAVOR, COMUNICARSE CON USUARIO PARA CONFIRMAR UBICACION, SOLICITUD Y PROGRAMAR VISITA TECNICA | 22/08/2025 SE REALIZA INSTALACIÓN DE AVISO EXTERIOR POR SOLICITUD DEL COMERCIO"/>
    <s v="VISITA_TÉCNICA"/>
    <n v="0"/>
    <s v="TIPO I"/>
    <s v="=BUSCARV('PUBLICIDAD OC'!D2;'TIPOLOGIA'!A:F;1;0)"/>
    <s v="ROZO JIMENEZ EDGAR ARMANDO"/>
    <n v="1"/>
    <n v="0"/>
    <n v="96001.196280000004"/>
    <n v="57411.974240000003"/>
    <n v="96001.196280000004"/>
  </r>
  <r>
    <s v="IBAGUE"/>
    <x v="0"/>
    <x v="0"/>
    <n v="73001"/>
    <n v="2630362"/>
    <n v="75098"/>
    <s v="ORDEN DE CAMBIO"/>
    <s v="TOLIMA"/>
    <s v="IBAGUE"/>
    <s v="BARRIO LA CASTELLANA IBAGUE"/>
    <s v="REDEBAN"/>
    <s v="FO-25-1408584"/>
    <d v="2025-08-22T10:02:00"/>
    <d v="2025-08-23T12:14:00"/>
    <m/>
    <s v="PUBLICIDAD"/>
    <s v="AVISO EXTERIOR"/>
    <s v="CB UNO A UNO"/>
    <s v="CB UNO A UNO"/>
    <s v="EJECUTADO_EXITOSO"/>
    <s v="EJECUTADO EXITOSO"/>
    <s v="22/08/2025 SE INTENTA CONTACTO CON EL CB AL 3194615487 SIN RESPUESTA SE ESCALA PARA VISITE TECNICA FAVOR LLAMAR PARA CONFIRMAR SOLICITUD Y DATOS | 23/08/2025 SE REALIZAINSTALACIÓN DE AVISO EXTERIOR EL CLIENTE INFORMA QUE EL ANTERIOR SE LO ROBARON"/>
    <s v="VISITA_TÉCNICA"/>
    <n v="0"/>
    <s v="TIPO I"/>
    <s v="=BUSCARV('PUBLICIDAD OC'!D2;'TIPOLOGIA'!A:F;1;0)"/>
    <s v="GUTIERREZ  CAMILO ANDRES"/>
    <n v="1"/>
    <n v="0"/>
    <n v="96001.196280000004"/>
    <n v="57411.974240000003"/>
    <n v="96001.196280000004"/>
  </r>
  <r>
    <s v="MANIZALES"/>
    <x v="1"/>
    <x v="1"/>
    <n v="17001"/>
    <n v="2626235"/>
    <n v="55715"/>
    <s v="ORDEN DE CAMBIO"/>
    <s v="CALDAS"/>
    <s v="MANIZALES"/>
    <s v="BARRIO CENTRO MANIZALES 15"/>
    <s v="REDEBAN"/>
    <s v="FO-25-1404734"/>
    <d v="2025-08-21T13:38:00"/>
    <d v="2025-08-23T12:18:00"/>
    <m/>
    <s v="PUBLICIDAD"/>
    <s v="AVISO EXTERIOR"/>
    <s v="CB UNO A UNO"/>
    <s v="CB UNO A UNO"/>
    <s v="EJECUTADO_EXITOSO"/>
    <s v="EJECUTADO EXITOSO"/>
    <s v="21/08/2025 POR FAVOR, COMUNICARSE CON USUARIO PARA CONFIRMAR UBICACION, SOLICITUD Y PROGRAMAR VISITA TECNICA | 23/08/2025 SE REALIZA INSTALACIÓN DE AVISO EXTERIOR YA QUE EL ANTERIOR SE LE CAYO Y QUEBRO, NO SE MANIPULAN EQUIPOS"/>
    <s v="VISITA_TÉCNICA"/>
    <n v="0"/>
    <s v="TIPO I"/>
    <s v="=BUSCARV('PUBLICIDAD OC'!D2;'TIPOLOGIA'!A:F;1;0)"/>
    <s v="AGUIRRE HENAO RAUL EDUARDO"/>
    <n v="1"/>
    <n v="0"/>
    <n v="96001.196280000004"/>
    <n v="57411.974240000003"/>
    <n v="96001.196280000004"/>
  </r>
  <r>
    <s v="MEDELLIN"/>
    <x v="4"/>
    <x v="5"/>
    <n v="5266"/>
    <n v="2617165"/>
    <n v="37602"/>
    <s v="ORDEN DE CAMBIO"/>
    <s v="ANTIOQUIA"/>
    <s v="ENVIGADO"/>
    <s v="DISTRICOL EL MINI DE ANNY"/>
    <s v="REDEBAN"/>
    <s v="FO-25-1395721"/>
    <d v="2025-08-20T09:29:00"/>
    <d v="2025-08-23T12:21:00"/>
    <m/>
    <s v="PUBLICIDAD"/>
    <s v="AVISO EXTERIOR"/>
    <s v="AGREGADOR"/>
    <s v="DISTRICOL"/>
    <s v="EJECUTADO_EXITOSO"/>
    <s v="EJECUTADO EXITOSO"/>
    <s v="20/08/2025 SE INTENTA CONTACTO TELEFONICO CON EL CB AL 3147981967 EN REPETIDAS OCASIONES SIN RESPUESTA SE ESCALA PARA VISITA FAVOR LLAMAR PARA CONFIRMAR DATOS Y SOLICITUD ANTES DE DESPLAZARSE | 23/08/2025 SE INSTALA AVISO EXTERIOR"/>
    <s v="VISITA_TÉCNICA"/>
    <n v="0"/>
    <s v="TIPO I"/>
    <s v="=BUSCARV('PUBLICIDAD OC'!D2;'TIPOLOGIA'!A:F;1;0)"/>
    <s v="BADEL ACUÑA LUIS ALBERTO"/>
    <n v="1"/>
    <n v="0"/>
    <n v="96001.196280000004"/>
    <n v="57411.974240000003"/>
    <n v="96001.196280000004"/>
  </r>
  <r>
    <s v="MEDELLIN"/>
    <x v="4"/>
    <x v="5"/>
    <n v="5360"/>
    <n v="2629294"/>
    <n v="43649"/>
    <s v="ORDEN DE CAMBIO"/>
    <s v="ANTIOQUIA"/>
    <s v="ITAGUI"/>
    <s v="BARRIO SANTA MARIA ITAGUI 5"/>
    <s v="REDEBAN"/>
    <s v="FO-25-1407637"/>
    <d v="2025-08-22T08:50:00"/>
    <d v="2025-08-23T12:40:00"/>
    <m/>
    <s v="PUBLICIDAD"/>
    <s v="AVISO EXTERIOR"/>
    <s v="CB UNO A UNO"/>
    <s v="CB UNO A UNO"/>
    <s v="EJECUTADO_EXITOSO"/>
    <s v="EJECUTADO EXITOSO"/>
    <s v="22/08/2025 SE REALIZA CONTACTO TELEFONICO CON EL SR JHON AL 3127769558 INDICA QUE EN LA NOCHE SE LE ROBARON EL AVISO EXTERIOR VALIDA DATOS  HE INDICA QUE ESTABA INSTALADO APROXIMADAMENTE A 2 METROS SE ESCALA PARA VISITA TECNICA | 23/08/2025 SE INSTALA AVISO EXTERIOR"/>
    <s v="VISITA_TÉCNICA"/>
    <n v="0"/>
    <s v="TIPO I"/>
    <s v="=BUSCARV('PUBLICIDAD OC'!D2;'TIPOLOGIA'!A:F;1;0)"/>
    <s v="BADEL ACUÑA LUIS ALBERTO"/>
    <n v="1"/>
    <n v="0"/>
    <n v="96001.196280000004"/>
    <n v="57411.974240000003"/>
    <n v="96001.196280000004"/>
  </r>
  <r>
    <s v="BOGOTA"/>
    <x v="2"/>
    <x v="2"/>
    <n v="11001"/>
    <n v="2611858"/>
    <n v="74971"/>
    <s v="ORDEN DE CAMBIO"/>
    <s v="CUNDINAMARCA"/>
    <s v="BOGOTA"/>
    <s v="BARRIO ALAMOS BOGOTA 10"/>
    <s v="REDEBAN"/>
    <s v="FO-25-1391085"/>
    <d v="2025-08-19T11:13:00"/>
    <d v="2025-08-23T12:43:00"/>
    <m/>
    <s v="PUBLICIDAD"/>
    <s v="AVISO EXTERIOR"/>
    <s v="CB UNO A UNO"/>
    <s v="CB UNO A UNO"/>
    <s v="EJECUTADO_EXITOSO"/>
    <s v="EJECUTADO EXITOSO"/>
    <s v="19/08/2025 SE REALIZA CONTACTO TELEFONICO CON LA SRA JOHANA CANO AL 3202273501 INDICA QUE SE LE REBARON EL AVISO QUE ESTABA A MAS DE 2 METROS DE ALTURA SE VALIDAN DATOS Y SE ESCALA PARA VISITA TECNICA | 23/08/2025 SE REALIZA INSTALACIÓN DE AVISO EXTERIOR SIN MARCO A SOLICITUD DEL REPRESENTANTE DEL COMERCIO."/>
    <s v="VISITA_TÉCNICA"/>
    <n v="0"/>
    <s v="TIPO I"/>
    <s v="=BUSCARV('PUBLICIDAD OC'!D2;'TIPOLOGIA'!A:F;1;0)"/>
    <s v="MURCIA HERNANDEZ HARVEY IGNACIO"/>
    <n v="1"/>
    <n v="0"/>
    <n v="96001.196280000004"/>
    <n v="57411.974240000003"/>
    <n v="96001.196280000004"/>
  </r>
  <r>
    <s v="VILLAVICENCIO"/>
    <x v="0"/>
    <x v="0"/>
    <n v="50001"/>
    <n v="2624601"/>
    <n v="74216"/>
    <s v="ORDEN DE CAMBIO"/>
    <s v="META"/>
    <s v="VILLAVICENCIO"/>
    <s v="BARRIO HACARITAMA VILLAVICENCI"/>
    <s v="REDEBAN"/>
    <s v="FO-25-1403328"/>
    <d v="2025-08-21T10:22:00"/>
    <d v="2025-08-23T12:50:00"/>
    <m/>
    <s v="PUBLICIDAD"/>
    <s v="AVISO EXTERIOR"/>
    <s v="CB UNO A UNO"/>
    <s v="CB UNO A UNO"/>
    <s v="EJECUTADO_EXITOSO"/>
    <s v="EJECUTADO EXITOSO"/>
    <s v="21/08/2025 SE REALIZA CONTACTO TELEFONICO CON LA SRA SRA CARMENZA AL 3222251170 CONFIRMA SOLICITUD YA QUE AVISO SE DAÑO Y VALIDA DATOS SE PROGRAMA VISITA TECNICA | 23/08/2025 SE INSTALA AVISO EXTERIOR"/>
    <s v="VISITA_TÉCNICA"/>
    <n v="0"/>
    <s v="TIPO I"/>
    <s v="=BUSCARV('PUBLICIDAD OC'!D2;'TIPOLOGIA'!A:F;1;0)"/>
    <s v="PEDREROS CONTRERAS MICHAEL STEVENS"/>
    <n v="1"/>
    <n v="0"/>
    <n v="96001.196280000004"/>
    <n v="57411.974240000003"/>
    <n v="96001.196280000004"/>
  </r>
  <r>
    <s v="MEDELLIN"/>
    <x v="4"/>
    <x v="5"/>
    <n v="5079"/>
    <n v="2626806"/>
    <n v="56826"/>
    <s v="ORDEN DE CAMBIO"/>
    <s v="ANTIOQUIA"/>
    <s v="BARBOSA"/>
    <s v="BARRIO BARBOSA BARBOSA 3"/>
    <s v="REDEBAN"/>
    <s v="FO-25-1405472"/>
    <d v="2025-08-21T14:44:00"/>
    <d v="2025-08-23T13:23:00"/>
    <m/>
    <s v="PUBLICIDAD"/>
    <s v="AVISO EXTERIOR"/>
    <s v="CB UNO A UNO"/>
    <s v="CB UNO A UNO"/>
    <s v="EJECUTADO_EXITOSO"/>
    <s v="EJECUTADO EXITOSO"/>
    <s v="21/08/2025 POR FAVOR, COMUNICARSE CON USUARIO PARA CONFIRMAR UBICACION, SOLICITUD Y PROGRAMAR VISITA TECNICA | 23/08/2025 SE INSTALA AVISO EXTERIOR A PETICIÓN DEL USUARIO YA QUE EL QUE TENÍAN ESTABA PARTIDO"/>
    <s v="VISITA_TÉCNICA"/>
    <n v="0"/>
    <s v="TIPO II"/>
    <s v="=BUSCARV('PUBLICIDAD OC'!D2;'TIPOLOGIA'!A:F;1;0)"/>
    <s v="BARRIENTOS HERNANDEZ CRISTIAN HORACIO"/>
    <n v="1"/>
    <n v="0"/>
    <n v="232858.60096000001"/>
    <n v="110808.27512000001"/>
    <n v="232858.60096000001"/>
  </r>
  <r>
    <s v="VILLAVICENCIO"/>
    <x v="0"/>
    <x v="0"/>
    <n v="50001"/>
    <n v="2629892"/>
    <n v="74111"/>
    <s v="ORDEN DE CAMBIO"/>
    <s v="META"/>
    <s v="VILLAVICENCIO"/>
    <s v="BARRIO ESTERO VILLAVICENCIO 15"/>
    <s v="REDEBAN"/>
    <s v="FO-25-1408112"/>
    <d v="2025-08-22T09:38:00"/>
    <d v="2025-08-23T13:32:00"/>
    <m/>
    <s v="PUBLICIDAD"/>
    <s v="AVISO EXTERIOR"/>
    <s v="CB UNO A UNO"/>
    <s v="CB UNO A UNO"/>
    <s v="EJECUTADO_EXITOSO"/>
    <s v="EJECUTADO EXITOSO"/>
    <s v="22/08/2025 SE INTENTA CONTACTO CON EL CB AL 3102652689 SIN RESPUESTA SE ESCALA PARA VISITA FAVOR LLAMAR PARA CONFIRMAR SOLICITUD Y DATOS | 23/08/2025 SE INSTALA AVISO EXTERIOR"/>
    <s v="VISITA_TÉCNICA"/>
    <n v="0"/>
    <s v="TIPO I"/>
    <s v="=BUSCARV('PUBLICIDAD OC'!D2;'TIPOLOGIA'!A:F;1;0)"/>
    <s v="PEDREROS CONTRERAS MICHAEL STEVENS"/>
    <n v="1"/>
    <n v="0"/>
    <n v="96001.196280000004"/>
    <n v="57411.974240000003"/>
    <n v="96001.196280000004"/>
  </r>
  <r>
    <s v="VILLAVICENCIO"/>
    <x v="0"/>
    <x v="0"/>
    <n v="50001"/>
    <n v="2630414"/>
    <n v="50253"/>
    <s v="ORDEN DE CAMBIO"/>
    <s v="META"/>
    <s v="VILLAVICENCIO"/>
    <s v="BARRIO VILLA ORTIZ VILLAVICENC"/>
    <s v="REDEBAN"/>
    <s v="FO-25-1408582"/>
    <d v="2025-08-22T10:16:00"/>
    <d v="2025-08-23T15:20:00"/>
    <m/>
    <s v="PUBLICIDAD"/>
    <s v="AVISO EXTERIOR"/>
    <s v="CB UNO A UNO"/>
    <s v="CB UNO A UNO"/>
    <s v="EJECUTADO_EXITOSO"/>
    <s v="EJECUTADO EXITOSO"/>
    <s v="22/08/2025 SE REALIZA CONTACTO CON LA SRA JULY ANDREA AL 3232802711 INDICA QUE SE LE ROBARON EL AVISO SE VALIDA DATOS Y SE PROGRAMA PARA VISITA TECNICA | 23/08/2025 SE INSTALA AVISO EXTERIOR"/>
    <s v="VISITA_TÉCNICA"/>
    <n v="0"/>
    <s v="TIPO I"/>
    <s v="=BUSCARV('PUBLICIDAD OC'!D2;'TIPOLOGIA'!A:F;1;0)"/>
    <s v="PEDREROS CONTRERAS MICHAEL STEVENS"/>
    <n v="1"/>
    <n v="0"/>
    <n v="96001.196280000004"/>
    <n v="57411.974240000003"/>
    <n v="96001.196280000004"/>
  </r>
  <r>
    <s v="SINCELEJO"/>
    <x v="3"/>
    <x v="4"/>
    <n v="70001"/>
    <n v="2631787"/>
    <n v="75388"/>
    <s v="ORDEN DE CAMBIO"/>
    <s v="SUCRE"/>
    <s v="SINCELEJO"/>
    <s v="BARRIO KENNEDY SINCELEJO"/>
    <s v="REDEBAN"/>
    <s v="FO-25-1410228"/>
    <d v="2025-08-22T13:25:00"/>
    <d v="2025-08-24T13:32:00"/>
    <m/>
    <s v="PUBLICIDAD"/>
    <s v="AVISO EXTERIOR"/>
    <s v="CB UNO A UNO"/>
    <s v="CB UNO A UNO"/>
    <s v="EJECUTADO_EXITOSO"/>
    <s v="EJECUTADO EXITOSO"/>
    <s v="22/08/2025 POR FAVOR, COMUNICARSE CON USUARIO PARA CONFIRMAR UBICACION, SOLICITUD Y PROGRAMAR VISITA TECNICA | 23/08/2025 SE VISITA COMERCIO Y SE HACE INSTALACIÓN DE AVISÓ EXTERIOR YA QUE SE CAYÓ Y SE PARTIÓ."/>
    <s v="VISITA_TÉCNICA"/>
    <n v="0"/>
    <s v="TIPO I"/>
    <s v="=BUSCARV('PUBLICIDAD OC'!D2;'TIPOLOGIA'!A:F;1;0)"/>
    <s v="CACERES HERNANDEZ ANDRES"/>
    <n v="1"/>
    <n v="0"/>
    <n v="96001.196280000004"/>
    <n v="57411.974240000003"/>
    <n v="96001.196280000004"/>
  </r>
  <r>
    <s v="BUCARAMANGA"/>
    <x v="5"/>
    <x v="6"/>
    <n v="68406"/>
    <n v="2634444"/>
    <n v="37246"/>
    <s v="ORDEN DE CAMBIO"/>
    <s v="SANTANDER"/>
    <s v="LEBRIJA"/>
    <s v="PTM LEBRIJA AGUADA"/>
    <s v="REDEBAN"/>
    <s v="FO-25-1413734"/>
    <d v="2025-08-23T10:38:00"/>
    <d v="2025-08-25T15:32:00"/>
    <m/>
    <s v="PUBLICIDAD"/>
    <s v="AVISO EXTERIOR"/>
    <s v="AGREGADOR"/>
    <s v="COMCARD - PTM"/>
    <s v="EJECUTADO_EXITOSO"/>
    <s v="EJECUTADO EXITOSO"/>
    <s v="23/08/2025 POR FAVOR, COMUNICARSE CON USUARIO PARA CONFIRMAR UBICACION, SOLICITUD Y PROGRAMAR VISITA TECNICA | 25/08/2025 SE INSTALA AVISO EXTERIOR"/>
    <s v="VISITA_TÉCNICA"/>
    <n v="0"/>
    <s v="TIPO II"/>
    <s v="=BUSCARV('PUBLICIDAD OC'!D2;'TIPOLOGIA'!A:F;1;0)"/>
    <s v="HERRERA LUQUE SAUL JAVIER"/>
    <n v="1"/>
    <n v="0"/>
    <n v="232858.60096000001"/>
    <n v="110808.27512000001"/>
    <n v="232858.60096000001"/>
  </r>
  <r>
    <s v="MEDELLIN"/>
    <x v="4"/>
    <x v="5"/>
    <n v="5001"/>
    <n v="2630708"/>
    <n v="23781"/>
    <s v="ORDEN DE CAMBIO"/>
    <s v="ANTIOQUIA"/>
    <s v="MEDELLIN"/>
    <s v="BARRIO MANRIQUE GUADALUPE MEDE"/>
    <s v="REDEBAN"/>
    <s v="FO-25-1408861"/>
    <d v="2025-08-22T10:43:00"/>
    <d v="2025-08-25T15:41:00"/>
    <m/>
    <s v="PUBLICIDAD"/>
    <s v="AVISO EXTERIOR"/>
    <s v="CB UNO A UNO"/>
    <s v="CB UNO A UNO"/>
    <s v="EJECUTADO_EXITOSO"/>
    <s v="EJECUTADO EXITOSO"/>
    <s v="22/08/2025 SE INTENTA CONTACTO CON EL CB AL 3147496834  SIN RESPUESTA SE ESCALA PARA VISITA FAVOR LLAMAR Y VALIDAR SOLICITUD Y DATOS ANTES DE DESPLAZARSE | 25/08/2025 SE EJECUTA EXITOSAMENTE LA INSTALACIÓN DEL AVISO EXTERIOR CORRESPONDIENTE AL PUNTO DE ATENCIÓN BANCOLOMBIA. EL PROCESO SE LLEVÓ A CABO CONFORME A LOS LINEAMIENTOS TÉCNICOS ESTABLECIDOS, GARANTIZANDO VISIBILIDAD ÓPTIMA, CORRECTA FIJACIÓN ESTRUCTURAL Y ALINEACIÓN CON LA IDENTIDAD VISUAL DE LA MARCA. EL AVISO QUEDA PLENAMENTE OPERATIVO Y EN CONDICIONES ADECUADAS PARA SU EXPOSICIÓN AL PÚBLICO."/>
    <s v="VISITA_TÉCNICA"/>
    <n v="0"/>
    <s v="TIPO I"/>
    <s v="=BUSCARV('PUBLICIDAD OC'!D2;'TIPOLOGIA'!A:F;1;0)"/>
    <s v="MARTINEZ TOVAR OSCAR DAVID"/>
    <n v="1"/>
    <n v="0"/>
    <n v="96001.196280000004"/>
    <n v="57411.974240000003"/>
    <n v="96001.196280000004"/>
  </r>
  <r>
    <s v="BUCARAMANGA"/>
    <x v="5"/>
    <x v="6"/>
    <n v="81736"/>
    <n v="2621442"/>
    <n v="41254"/>
    <s v="ORDEN DE CAMBIO"/>
    <s v="ARAUCA"/>
    <s v="SARAVENA"/>
    <s v="BARRIO SARAVENA SARAVENA"/>
    <s v="REDEBAN"/>
    <s v="FO-25-1398931"/>
    <d v="2025-08-20T16:19:00"/>
    <d v="2025-08-25T15:57:00"/>
    <m/>
    <s v="PUBLICIDAD"/>
    <s v="AVISO EXTERIOR"/>
    <s v="CB UNO A UNO"/>
    <s v="CB UNO A UNO"/>
    <s v="EJECUTADO_EXITOSO"/>
    <s v="EJECUTADO EXITOSO"/>
    <s v="20/08/2025 SE INTENTA CONTACTO TELEFONICO CON EL CB AL 3134366738 EN REPETIDAS OCASIONES SIN RESPUESTA SE ESCALA PARA VISITA TECNICA POR FAVOR LLAMAR AL CB ANTES DE DESPLAZARSE PARA VALIDAR SOLICITUD Y DATOS | 25/08/2025 SE REALIZA INSTALACIÓN DE AVISO EXTERIOR NO SE MANIPULA TERMINAL"/>
    <s v="VISITA_TÉCNICA"/>
    <n v="0"/>
    <s v="TIPO IV ESPECIAL"/>
    <s v="=BUSCARV('PUBLICIDAD OC'!D2;'TIPOLOGIA'!A:F;1;0)"/>
    <s v="REYES RAMIREZ DIEGO ALEXANDER"/>
    <n v="1"/>
    <n v="0"/>
    <n v="548633.63271999999"/>
    <n v="110808.27512000001"/>
    <n v="548633.63271999999"/>
  </r>
  <r>
    <s v="MONTERIA"/>
    <x v="3"/>
    <x v="4"/>
    <n v="5250"/>
    <n v="2614339"/>
    <n v="37661"/>
    <s v="ORDEN DE CAMBIO"/>
    <s v="ANTIOQUIA"/>
    <s v="EL BAGRE"/>
    <s v="DISTRICOL ASECONTRY"/>
    <s v="REDEBAN"/>
    <s v="FO-25-1393631"/>
    <d v="2025-08-19T15:43:00"/>
    <d v="2025-08-25T16:09:00"/>
    <m/>
    <s v="PUBLICIDAD"/>
    <s v="AVISO EXTERIOR"/>
    <s v="AGREGADOR"/>
    <s v="DISTRICOL"/>
    <s v="EJECUTADO_EXITOSO"/>
    <s v="EJECUTADO EXITOSO"/>
    <s v="19/08/2025 SE REALIZA CONTACTO TELEFONICO AL 3205936250 EVELIN QUIEN CONFIRMA QUE EL AVISO SE DAÑO CONFIRMA DATOS Y QUE EL AVISO QUEDA INSTALADO A APROXIMADAMENTE 2 METROS DE ALTURA SE PROGRAMA VISITA TECNICA | 25/08/2025 SE REALIZÓ INSTALACIÓN DE AVISO EXTERIOR OK."/>
    <s v="VISITA_TÉCNICA"/>
    <n v="0"/>
    <s v="TIPO IV"/>
    <s v="=BUSCARV('PUBLICIDAD OC'!D2;'TIPOLOGIA'!A:F;1;0)"/>
    <s v="CALDERA SALCEDO CARLOS JULIO"/>
    <n v="1"/>
    <n v="0"/>
    <n v="548633.63271999999"/>
    <n v="110808.27512000001"/>
    <n v="548633.63271999999"/>
  </r>
  <r>
    <s v="BUCARAMANGA"/>
    <x v="5"/>
    <x v="6"/>
    <n v="68547"/>
    <n v="2632840"/>
    <n v="40693"/>
    <s v="ORDEN DE CAMBIO"/>
    <s v="SANTANDER"/>
    <s v="PIEDECUESTA"/>
    <s v="PTM PIEDECUESTA CYBER ANDRES"/>
    <s v="REDEBAN"/>
    <s v="FO-25-1411252"/>
    <d v="2025-08-22T15:35:00"/>
    <d v="2025-08-25T16:24:00"/>
    <m/>
    <s v="PUBLICIDAD"/>
    <s v="AVISO EXTERIOR"/>
    <s v="AGREGADOR"/>
    <s v="COMCARD - PTM"/>
    <s v="EJECUTADO_EXITOSO"/>
    <s v="EJECUTADO EXITOSO"/>
    <s v="22/08/2025 POR FAVOR, COMUNICARSE CON USUARIO PARA CONFIRMAR UBICACION, SOLICITUD Y PROGRAMAR VISITA TECNICA | 23/08/2025 SE TRATA DE HACER CONTACTO TELEFÓNICO CON LA SRA ERIKA ADARME AL NUMERO DE CONTACTO 3187733300 NO SE LOGRO COMUNICACIÓN SE LLAMO EN REPETUDAS OCASIONES | 25/08/2025 SE REALIZA INSTALACIÓN DE AVISO EXTERIOR A GUSTO DEL CLIENTE"/>
    <s v="VISITA_TÉCNICA"/>
    <n v="0"/>
    <s v="TIPO II"/>
    <s v="=BUSCARV('PUBLICIDAD OC'!D2;'TIPOLOGIA'!A:F;1;0)"/>
    <s v="GONZALEZ ESTUPIÑAN YEISON WALTER ANTONIO"/>
    <n v="1"/>
    <n v="0"/>
    <n v="232858.60096000001"/>
    <n v="110808.27512000001"/>
    <n v="232858.60096000001"/>
  </r>
  <r>
    <s v="IBAGUE"/>
    <x v="0"/>
    <x v="0"/>
    <n v="73001"/>
    <n v="2636575"/>
    <n v="60705"/>
    <s v="ORDEN DE CAMBIO"/>
    <s v="TOLIMA"/>
    <s v="IBAGUE"/>
    <s v="DISTRICOL CORRESPONSAL LA 27"/>
    <s v="REDEBAN"/>
    <s v="FO-25-1418802"/>
    <d v="2025-08-25T08:44:00"/>
    <d v="2025-08-25T16:26:00"/>
    <m/>
    <s v="PUBLICIDAD"/>
    <s v="AVISO EXTERIOR"/>
    <s v="AGREGADOR"/>
    <s v="DISTRICOL"/>
    <s v="EJECUTADO_EXITOSO"/>
    <s v="EJECUTADO EXITOSO"/>
    <s v="25/08/2025 POR FAVOR, COMUNICARSE CON USUARIO PARA CONFIRMAR UBICACION, SOLICITUD Y PROGRAMAR VISITA TECNICA | 25/08/2025 SE REALIZA INSTALACIÓN DE AVISO EXTERIOR POR HURTO, SE INSTALA DONDE INDICA EL CLIENTE."/>
    <s v="VISITA_TÉCNICA"/>
    <n v="0"/>
    <s v="TIPO I"/>
    <s v="=BUSCARV('PUBLICIDAD OC'!D2;'TIPOLOGIA'!A:F;1;0)"/>
    <s v="BARRAGAN TAFUR EDWIN ESTEBAN"/>
    <n v="1"/>
    <n v="0"/>
    <n v="96001.196280000004"/>
    <n v="57411.974240000003"/>
    <n v="96001.196280000004"/>
  </r>
  <r>
    <s v="BUCARAMANGA"/>
    <x v="5"/>
    <x v="6"/>
    <n v="81300"/>
    <n v="2618760"/>
    <n v="47764"/>
    <s v="ORDEN DE CAMBIO"/>
    <s v="ARAUCA"/>
    <s v="FORTUL"/>
    <s v="BARRIO CENTRO FORTUL 2"/>
    <s v="REDEBAN"/>
    <s v="FO-25-1397125"/>
    <d v="2025-08-20T11:45:00"/>
    <d v="2025-08-26T10:10:00"/>
    <m/>
    <s v="PUBLICIDAD"/>
    <s v="AVISO EXTERIOR"/>
    <s v="CB UNO A UNO"/>
    <s v="CB UNO A UNO"/>
    <s v="EJECUTADO_EXITOSO"/>
    <s v="EJECUTADO EXITOSO"/>
    <s v="26/08/2025 SE REALIZA INSTALACIÓN DE AVISO EXTERIOR NO SE MANIPULA TERMINAL"/>
    <s v="VISITA_TÉCNICA"/>
    <n v="0"/>
    <s v="TIPO IV ESPECIAL"/>
    <s v="=BUSCARV('PUBLICIDAD OC'!D2;'TIPOLOGIA'!A:F;1;0)"/>
    <s v="REYES RAMIREZ DIEGO ALEXANDER"/>
    <n v="1"/>
    <n v="0"/>
    <n v="548633.63271999999"/>
    <n v="110808.27512000001"/>
    <n v="548633.63271999999"/>
  </r>
  <r>
    <s v="CALI"/>
    <x v="1"/>
    <x v="3"/>
    <n v="76001"/>
    <n v="2638811"/>
    <n v="12998"/>
    <s v="ORDEN DE CAMBIO"/>
    <s v="VALLE DEL CAUCA"/>
    <s v="CALI"/>
    <s v="BARRIO CENTRO CALI"/>
    <s v="REDEBAN"/>
    <s v="FO-25-1420326"/>
    <d v="2025-08-25T11:10:00"/>
    <d v="2025-08-26T11:34:00"/>
    <m/>
    <s v="PUBLICIDAD"/>
    <s v="AVISO EXTERIOR"/>
    <s v="CB UNO A UNO"/>
    <s v="CB UNO A UNO"/>
    <s v="EJECUTADO_EXITOSO"/>
    <s v="EJECUTADO EXITOSO"/>
    <s v="25/08/2025 POR FAVOR, COMUNICARSE CON USUARIO PARA CONFIRMAR UBICACION, SOLICITUD Y PROGRAMAR VISITA TECNICA | 26/08/2025 SE REALIZA INSTALACIÓN DE AVISO EXTERIOR SIN NOVEDAD."/>
    <s v="VISITA_TÉCNICA"/>
    <n v="0"/>
    <s v="TIPO I"/>
    <s v="=BUSCARV('PUBLICIDAD OC'!D2;'TIPOLOGIA'!A:F;1;0)"/>
    <s v="TORRES GARCIA JENDRY JOSE"/>
    <n v="1"/>
    <n v="0"/>
    <n v="96001.196280000004"/>
    <n v="57411.974240000003"/>
    <n v="96001.196280000004"/>
  </r>
  <r>
    <s v="CUCUTA"/>
    <x v="5"/>
    <x v="6"/>
    <n v="54239"/>
    <n v="2637922"/>
    <n v="15003"/>
    <s v="ORDEN DE CAMBIO"/>
    <s v="NORTE DE SANTANDER"/>
    <s v="DURANIA"/>
    <s v="BARRIO CENTRO DURANIA CUCUTA"/>
    <s v="REDEBAN"/>
    <s v="FO-25-1420331"/>
    <d v="2025-08-25T10:05:00"/>
    <d v="2025-08-26T11:52:00"/>
    <m/>
    <s v="PUBLICIDAD"/>
    <s v="AVISO EXTERIOR"/>
    <s v="CB UNO A UNO"/>
    <s v="CB UNO A UNO"/>
    <s v="EJECUTADO_EXITOSO"/>
    <s v="EJECUTADO EXITOSO"/>
    <s v="26/08/2025 SE INSTALA AVISO EXTERIOR OK"/>
    <s v="VISITA_TÉCNICA"/>
    <n v="0"/>
    <s v="TIPO II"/>
    <s v="=BUSCARV('PUBLICIDAD OC'!D2;'TIPOLOGIA'!A:F;1;0)"/>
    <s v="DURAN ACOSTA FRANK YONNY"/>
    <n v="1"/>
    <n v="0"/>
    <n v="232858.60096000001"/>
    <n v="110808.27512000001"/>
    <n v="232858.60096000001"/>
  </r>
  <r>
    <s v="BOGOTA"/>
    <x v="2"/>
    <x v="2"/>
    <n v="11001"/>
    <n v="2637829"/>
    <n v="48880"/>
    <s v="ORDEN DE CAMBIO"/>
    <s v="CUNDINAMARCA"/>
    <s v="BOGOTA"/>
    <s v="BARRIO FERIAS BOGOTA 4"/>
    <s v="REDEBAN"/>
    <s v="FO-25-1420332"/>
    <d v="2025-08-25T09:57:00"/>
    <d v="2025-08-26T14:09:00"/>
    <m/>
    <s v="PUBLICIDAD"/>
    <s v="AVISO EXTERIOR"/>
    <s v="CB UNO A UNO"/>
    <s v="CB UNO A UNO"/>
    <s v="EJECUTADO_EXITOSO"/>
    <s v="EJECUTADO EXITOSO"/>
    <s v="26/08/2025 SE ENTREGA AVISO EXTERIOR Y SE REALIZA INSTALACIÓN SIN NOVEDAD"/>
    <s v="VISITA_TÉCNICA"/>
    <n v="0"/>
    <s v="TIPO I"/>
    <s v="=BUSCARV('PUBLICIDAD OC'!D2;'TIPOLOGIA'!A:F;1;0)"/>
    <s v="ORTIZ MARTINEZ STIVEN"/>
    <n v="1"/>
    <n v="0"/>
    <n v="96001.196280000004"/>
    <n v="57411.974240000003"/>
    <n v="96001.196280000004"/>
  </r>
  <r>
    <s v="TUNJA"/>
    <x v="5"/>
    <x v="6"/>
    <n v="15001"/>
    <n v="2644767"/>
    <n v="34559"/>
    <s v="ORDEN DE CAMBIO"/>
    <s v="BOYACA"/>
    <s v="TUNJA"/>
    <s v="BARRIO VILLA BACHUE TUNJA"/>
    <s v="REDEBAN"/>
    <s v="FO-25-1425900"/>
    <d v="2025-08-26T10:11:00"/>
    <d v="2025-08-27T12:53:00"/>
    <m/>
    <s v="PUBLICIDAD"/>
    <s v="AVISO EXTERIOR"/>
    <s v="CB UNO A UNO"/>
    <s v="CB UNO A UNO"/>
    <s v="EJECUTADO_EXITOSO"/>
    <s v="EJECUTADO EXITOSO"/>
    <s v="26/08/2025 POR FAVOR, COMUNICARSE CON USUARIO PARA CONFIRMAR UBICACION, SOLICITUD Y PROGRAMAR VISITA TECNICA | 27/08/2025 SE REALIZA INSTALACIÓN AVISO EXTERIOR"/>
    <s v="VISITA_TÉCNICA"/>
    <n v="0"/>
    <s v="TIPO I"/>
    <s v="=BUSCARV('PUBLICIDAD OC'!D2;'TIPOLOGIA'!A:F;1;0)"/>
    <s v="GONZALEZ GONZALEZ MARIO ALBERTO"/>
    <n v="1"/>
    <n v="0"/>
    <n v="96001.196280000004"/>
    <n v="57411.974240000003"/>
    <n v="96001.196280000004"/>
  </r>
  <r>
    <s v="IBAGUE"/>
    <x v="0"/>
    <x v="0"/>
    <n v="73001"/>
    <n v="2648999"/>
    <n v="41333"/>
    <s v="ORDEN DE CAMBIO"/>
    <s v="TOLIMA"/>
    <s v="IBAGUE"/>
    <s v="BARRIO SALADO IBAGUE 2"/>
    <s v="REDEBAN"/>
    <s v="FO-25-1431568"/>
    <d v="2025-08-27T08:00:00"/>
    <d v="2025-08-27T12:58:00"/>
    <m/>
    <s v="PUBLICIDAD"/>
    <s v="AVISO EXTERIOR"/>
    <s v="CB UNO A UNO"/>
    <s v="CB UNO A UNO"/>
    <s v="EJECUTADO_EXITOSO"/>
    <s v="EJECUTADO EXITOSO"/>
    <s v="27/08/2025 POR FAVOR, COMUNICARSE CON USUARIO PARA CONFIRMAR UBICACION, SOLICITUD Y PROGRAMAR VISITA TECNICA | 27/08/2025 INSTALACIÓN DE AVISO EXTERIOR &quot;EL ANTERIOR SE LO ROBARON&quot;"/>
    <s v="VISITA_TÉCNICA"/>
    <n v="0"/>
    <s v="TIPO I"/>
    <s v="=BUSCARV('PUBLICIDAD OC'!D2;'TIPOLOGIA'!A:F;1;0)"/>
    <s v="GUTIERREZ  CAMILO ANDRES"/>
    <n v="1"/>
    <n v="0"/>
    <n v="96001.196280000004"/>
    <n v="57411.974240000003"/>
    <n v="96001.196280000004"/>
  </r>
  <r>
    <s v="BUCARAMANGA"/>
    <x v="5"/>
    <x v="6"/>
    <n v="68001"/>
    <n v="2648944"/>
    <n v="79878"/>
    <s v="ORDEN DE CAMBIO"/>
    <s v="SANTANDER"/>
    <s v="BUCARAMANGA"/>
    <s v="BARRIO MUTUALIDAD BUCARAMANGA 1"/>
    <s v="REDEBAN"/>
    <s v="FO-25-1431569"/>
    <d v="2025-08-26T17:42:00"/>
    <d v="2025-08-27T14:32:00"/>
    <m/>
    <s v="PUBLICIDAD"/>
    <s v="AVISO EXTERIOR"/>
    <s v="CB UNO A UNO"/>
    <s v="CB UNO A UNO"/>
    <s v="EJECUTADO_EXITOSO"/>
    <s v="EJECUTADO EXITOSO"/>
    <s v="27/08/2025 POR FAVOR, COMUNICARSE CON USUARIO PARA CONFIRMAR UBICACION, SOLICITUD Y PROGRAMAR VISITA TECNICA | 27/08/2025 SE REALIZA VISITA AL COMERCIO SE REUBICA AVISO EXTERIOR DEBIDO A QUE TRATARON DE ROBARLO"/>
    <s v="VISITA_TÉCNICA"/>
    <n v="0"/>
    <s v="TIPO I"/>
    <s v="=BUSCARV('PUBLICIDAD OC'!D2;'TIPOLOGIA'!A:F;1;0)"/>
    <s v="MARIÑO PABON JORGE ENRIQUE"/>
    <n v="1"/>
    <n v="0"/>
    <n v="96001.196280000004"/>
    <n v="57411.974240000003"/>
    <n v="96001.196280000004"/>
  </r>
  <r>
    <s v="BARRANQUILLA"/>
    <x v="3"/>
    <x v="4"/>
    <n v="8758"/>
    <n v="2646276"/>
    <n v="66131"/>
    <s v="ORDEN DE CAMBIO"/>
    <s v="ATLANTICO"/>
    <s v="SOLEDAD"/>
    <s v="BARRIO BRISAS DE SEVILLA SOLED"/>
    <s v="REDEBAN"/>
    <s v="FO-25-1428204"/>
    <d v="2025-08-26T12:03:00"/>
    <d v="2025-08-27T21:28:00"/>
    <m/>
    <s v="PUBLICIDAD"/>
    <s v="AVISO EXTERIOR"/>
    <s v="CB UNO A UNO"/>
    <s v="CB UNO A UNO"/>
    <s v="EJECUTADO_EXITOSO"/>
    <s v="EJECUTADO EXITOSO"/>
    <s v="27/08/2025 SE REALIZA VISITA SE PROCEDE A INSTALAR AVISO EXTERIOR,YA QUE EL QUE TENÍA EL CLIENTE SE CAYÓ Y SE PARTIÓ EN DOS MITADES"/>
    <s v="VISITA_TÉCNICA"/>
    <n v="0"/>
    <s v="TIPO I"/>
    <s v="=BUSCARV('PUBLICIDAD OC'!D2;'TIPOLOGIA'!A:F;1;0)"/>
    <s v="PORRAS CASTRO DARLON NASCK"/>
    <n v="1"/>
    <n v="0"/>
    <n v="96001.196280000004"/>
    <n v="57411.974240000003"/>
    <n v="96001.196280000004"/>
  </r>
  <r>
    <s v="VILLAVICENCIO"/>
    <x v="0"/>
    <x v="0"/>
    <n v="50001"/>
    <n v="2648552"/>
    <n v="43732"/>
    <s v="ORDEN DE CAMBIO"/>
    <s v="META"/>
    <s v="VILLAVICENCIO"/>
    <s v="BARRIO ESPERANZA VILLAVICENCIO"/>
    <s v="REDEBAN"/>
    <s v="FO-25-1430317"/>
    <d v="2025-08-26T16:48:00"/>
    <d v="2025-08-27T21:30:00"/>
    <m/>
    <s v="PUBLICIDAD"/>
    <s v="AVISO EXTERIOR"/>
    <s v="CB UNO A UNO"/>
    <s v="CB UNO A UNO"/>
    <s v="EJECUTADO_CANCELADO"/>
    <s v="DIRECCION ERRADA"/>
    <s v="26/08/2025 POR FAVOR, COMUNICARSE CON USUARIO PARA CONFIRMAR UBICACION, SOLICITUD Y PROGRAMAR VISITA TECNICA | 27/08/2025 SE REALIZA VISITA U COMERCIO NO EXISTE EN DIRECCIÓN ESTABLECIDA"/>
    <s v="VISITA_TÉCNICA"/>
    <n v="0"/>
    <s v="TIPO I"/>
    <s v="=BUSCARV('PUBLICIDAD OC'!D2;'TIPOLOGIA'!A:F;1;0)"/>
    <s v="PEDREROS CONTRERAS MICHAEL STEVENS"/>
    <n v="1"/>
    <n v="0"/>
    <n v="96001.196280000004"/>
    <n v="57411.974240000003"/>
    <n v="96001.196280000004"/>
  </r>
  <r>
    <s v="VILLAVICENCIO"/>
    <x v="0"/>
    <x v="0"/>
    <n v="50001"/>
    <n v="2654245"/>
    <n v="74418"/>
    <s v="ORDEN DE CAMBIO"/>
    <s v="META"/>
    <s v="VILLAVICENCIO"/>
    <s v="BARRIO PRIMAVERA VILLAVICENCIO"/>
    <s v="REDEBAN"/>
    <s v="FO-25-1436379"/>
    <d v="2025-08-27T15:50:00"/>
    <d v="2025-08-28T10:55:00"/>
    <m/>
    <s v="PUBLICIDAD"/>
    <s v="AVISO EXTERIOR"/>
    <s v="CB UNO A UNO"/>
    <s v="CB UNO A UNO"/>
    <s v="EJECUTADO_EXITOSO"/>
    <s v="EJECUTADO EXITOSO"/>
    <s v="27/08/2025 POR FAVOR, COMUNICARSE CON USUARIO PARA CONFIRMAR UBICACION, SOLICITUD Y PROGRAMAR VISITA TECNICA | 28/08/2025 SE REALIZA VISITA A CB PARA INSTALACIÓN DE AVISO EXTERIOR, INSTALADO SIN NOVEDAD TODO OK"/>
    <s v="VISITA_TÉCNICA"/>
    <n v="0"/>
    <s v="TIPO I"/>
    <s v="=BUSCARV('PUBLICIDAD OC'!D2;'TIPOLOGIA'!A:F;1;0)"/>
    <s v="MOLINA CASTRO JAVIER ALBERTO"/>
    <n v="1"/>
    <n v="0"/>
    <n v="96001.196280000004"/>
    <n v="57411.974240000003"/>
    <n v="96001.196280000004"/>
  </r>
  <r>
    <s v="VILLAVICENCIO"/>
    <x v="0"/>
    <x v="0"/>
    <n v="50001"/>
    <n v="2654296"/>
    <n v="77045"/>
    <s v="ORDEN DE CAMBIO"/>
    <s v="META"/>
    <s v="VILLAVICENCIO"/>
    <s v="BARRIO RELIQUIA VILLAVICENCIO"/>
    <s v="REDEBAN"/>
    <s v="FO-25-1436378"/>
    <d v="2025-08-27T16:05:00"/>
    <d v="2025-08-28T12:29:00"/>
    <m/>
    <s v="PUBLICIDAD"/>
    <s v="AVISO EXTERIOR"/>
    <s v="CB UNO A UNO"/>
    <s v="CB UNO A UNO"/>
    <s v="EJECUTADO_EXITOSO"/>
    <s v="EJECUTADO EXITOSO"/>
    <s v="27/08/2025 POR FAVOR, COMUNICARSE CON USUARIO PARA CONFIRMAR UBICACION, SOLICITUD Y PROGRAMAR VISITA TECNICA | 28/08/2025 SE INSTALA AVISO EXTERIOR OK SIN NOVEDAD"/>
    <s v="VISITA_TÉCNICA"/>
    <n v="0"/>
    <s v="TIPO I"/>
    <s v="=BUSCARV('PUBLICIDAD OC'!D2;'TIPOLOGIA'!A:F;1;0)"/>
    <s v="CASTRILLON URREA LONDIER LEANDRO"/>
    <n v="1"/>
    <n v="0"/>
    <n v="96001.196280000004"/>
    <n v="57411.974240000003"/>
    <n v="96001.196280000004"/>
  </r>
  <r>
    <s v="VILLAVICENCIO"/>
    <x v="0"/>
    <x v="0"/>
    <n v="50001"/>
    <n v="2652886"/>
    <n v="76863"/>
    <s v="ORDEN DE CAMBIO"/>
    <s v="META"/>
    <s v="VILLAVICENCIO"/>
    <s v="BARRIO OLIMPICO VILLACENCIO"/>
    <s v="REDEBAN"/>
    <s v="FO-25-1434632"/>
    <d v="2025-08-27T13:22:00"/>
    <d v="2025-08-28T12:32:00"/>
    <m/>
    <s v="PUBLICIDAD"/>
    <s v="AVISO EXTERIOR"/>
    <s v="CB UNO A UNO"/>
    <s v="CB UNO A UNO"/>
    <s v="EJECUTADO_EXITOSO"/>
    <s v="EJECUTADO EXITOSO"/>
    <s v="27/08/2025 POR FAVOR, COMUNICARSE CON USUARIO PARA CONFIRMAR UBICACION, SOLICITUD Y PROGRAMAR VISITA TECNICA | 28/08/2025 SE INSTALA AVISO EXTERIOR OK SIN NOVEDADES"/>
    <s v="VISITA_TÉCNICA"/>
    <n v="0"/>
    <s v="TIPO I"/>
    <s v="=BUSCARV('PUBLICIDAD OC'!D2;'TIPOLOGIA'!A:F;1;0)"/>
    <s v="CASTRILLON URREA LONDIER LEANDRO"/>
    <n v="1"/>
    <n v="0"/>
    <n v="96001.196280000004"/>
    <n v="57411.974240000003"/>
    <n v="96001.196280000004"/>
  </r>
  <r>
    <s v="MEDELLIN"/>
    <x v="4"/>
    <x v="5"/>
    <n v="27361"/>
    <n v="2634336"/>
    <n v="41733"/>
    <s v="ORDEN DE CAMBIO"/>
    <s v="CHOCO"/>
    <s v="ISTMINA"/>
    <s v="BARRIO CUBIS ISTMINA 4"/>
    <s v="REDEBAN"/>
    <s v="FO-25-1413556"/>
    <d v="2025-08-23T09:16:00"/>
    <d v="2025-08-28T12:35:00"/>
    <m/>
    <s v="PUBLICIDAD"/>
    <s v="AVISO EXTERIOR"/>
    <s v="CB UNO A UNO"/>
    <s v="CB UNO A UNO"/>
    <s v="EJECUTADO_EXITOSO"/>
    <s v="EJECUTADO EXITOSO"/>
    <s v="23/08/2025 SE REALIZA CONTACTO CON LA SRA MARINA AL 3204771643 INDICA QUE EL AVISO SE DAÑO VALIDA DATOS SE ESCALA PARA VISITA TECNICA INFORMA QUE EL AVISO ESTA INSTALADO A 1 METRO APROXIMADO DE ALTURA | 28/08/2025 SE REALIZA INSTALACION DE AVISO EXTERIOR, EL PUNTO NO TIENE ESPACIO DISPONIBLE EN FACHADA Y SE PEGA EN DONDE EL CLIENTE NOS INDICA"/>
    <s v="VISITA_TÉCNICA"/>
    <n v="0"/>
    <s v="TIPO IV ESPECIAL"/>
    <s v="=BUSCARV('PUBLICIDAD OC'!D2;'TIPOLOGIA'!A:F;1;0)"/>
    <s v="ROBLEDO DIAZ ANDRES FELIPE"/>
    <n v="1"/>
    <n v="0"/>
    <n v="548633.63271999999"/>
    <n v="110808.27512000001"/>
    <n v="548633.63271999999"/>
  </r>
  <r>
    <s v="VILLAVICENCIO"/>
    <x v="0"/>
    <x v="0"/>
    <n v="50006"/>
    <n v="2655009"/>
    <n v="24607"/>
    <s v="ORDEN DE CAMBIO"/>
    <s v="META"/>
    <s v="ACACIAS"/>
    <s v="BARRIO PALERMO ACACIAS"/>
    <s v="REDEBAN"/>
    <s v="FO-25-1436375"/>
    <d v="2025-08-27T17:22:00"/>
    <d v="2025-08-28T16:29:00"/>
    <m/>
    <s v="PUBLICIDAD"/>
    <s v="AVISO EXTERIOR"/>
    <s v="CB UNO A UNO"/>
    <s v="CB UNO A UNO"/>
    <s v="EJECUTADO_EXITOSO"/>
    <s v="EJECUTADO EXITOSO"/>
    <s v="27/08/2025 POR FAVOR, COMUNICARSE CON USUARIO PARA CONFIRMAR UBICACION, SOLICITUD Y PROGRAMAR VISITA TECNICA | 28/08/2025 SE REALIZA INSTALACIÓN DE AVISO EXTERIOR POR DETERIORO"/>
    <s v="VISITA_TÉCNICA"/>
    <n v="0"/>
    <s v="TIPO II"/>
    <s v="=BUSCARV('PUBLICIDAD OC'!D2;'TIPOLOGIA'!A:F;1;0)"/>
    <s v="ROZO JIMENEZ EDGAR ARMANDO"/>
    <n v="1"/>
    <n v="0"/>
    <n v="232858.60096000001"/>
    <n v="110808.27512000001"/>
    <n v="232858.60096000001"/>
  </r>
  <r>
    <s v="VILLAVICENCIO"/>
    <x v="0"/>
    <x v="0"/>
    <n v="50006"/>
    <n v="2652621"/>
    <n v="70936"/>
    <s v="ORDEN DE CAMBIO"/>
    <s v="META"/>
    <s v="ACACIAS"/>
    <s v="BARRIO CONCAJA ACACIAS"/>
    <s v="REDEBAN"/>
    <s v="FO-25-1434032"/>
    <d v="2025-08-27T11:58:00"/>
    <d v="2025-08-28T16:40:00"/>
    <m/>
    <s v="PUBLICIDAD"/>
    <s v="AVISO EXTERIOR"/>
    <s v="CB UNO A UNO"/>
    <s v="CB UNO A UNO"/>
    <s v="EJECUTADO_CANCELADO"/>
    <s v="PETICIÓN BANCOLOMBIA"/>
    <s v="27/08/2025 POR FAVOR, COMUNICARSE CON USUARIO PARA CONFIRMAR UBICACION, SOLICITUD Y PROGRAMAR VISITA TECNICA | 28/08/2025 SE REALIZA VISITA TECNICA SE EVIDENCIA QUE EL COMERCIO CUENTA CON AVISO POR LO TANTO NO SE INSTALA"/>
    <s v="VISITA_TÉCNICA"/>
    <n v="0"/>
    <s v="TIPO II"/>
    <s v="=BUSCARV('PUBLICIDAD OC'!D2;'TIPOLOGIA'!A:F;1;0)"/>
    <s v="ROZO JIMENEZ EDGAR ARMANDO"/>
    <n v="1"/>
    <n v="0"/>
    <n v="232858.60096000001"/>
    <n v="110808.27512000001"/>
    <n v="232858.60096000001"/>
  </r>
  <r>
    <s v="MEDELLIN"/>
    <x v="4"/>
    <x v="5"/>
    <n v="5001"/>
    <n v="2652222"/>
    <n v="24787"/>
    <s v="ORDEN DE CAMBIO"/>
    <s v="ANTIOQUIA"/>
    <s v="MEDELLIN"/>
    <s v="COMCARD MEDELLIN JUBILEO"/>
    <s v="REDEBAN"/>
    <s v="FO-25-1434033"/>
    <d v="2025-08-27T11:22:00"/>
    <d v="2025-08-28T16:42:00"/>
    <m/>
    <s v="PUBLICIDAD"/>
    <s v="AVISO EXTERIOR"/>
    <s v="AGREGADOR"/>
    <s v="COMCARD - PTM"/>
    <s v="EJECUTADO_EXITOSO"/>
    <s v="EJECUTADO EXITOSO"/>
    <s v="27/08/2025 POR FAVOR, COMUNICARSE CON USUARIO PARA CONFIRMAR UBICACION, SOLICITUD Y PROGRAMAR VISITA TECNICA | 28/08/2025 INSTALACIÓN DE AVISO EXTERIOR OK"/>
    <s v="VISITA_TÉCNICA"/>
    <n v="0"/>
    <s v="TIPO I"/>
    <s v="=BUSCARV('PUBLICIDAD OC'!D2;'TIPOLOGIA'!A:F;1;0)"/>
    <s v="PAREJA ECHAVARRIA JHON DAVID"/>
    <n v="1"/>
    <n v="0"/>
    <n v="96001.196280000004"/>
    <n v="57411.974240000003"/>
    <n v="96001.196280000004"/>
  </r>
  <r>
    <s v="BUCARAMANGA"/>
    <x v="5"/>
    <x v="6"/>
    <n v="68276"/>
    <n v="2652065"/>
    <n v="53348"/>
    <s v="ORDEN DE CAMBIO"/>
    <s v="SANTANDER"/>
    <s v="FLORIDABLANCA"/>
    <s v="DISTRICOL PA EL SANTISIMO"/>
    <s v="REDEBAN"/>
    <s v="FO-25-1436384 | FO-25-1434035"/>
    <d v="2025-08-27T11:17:00"/>
    <d v="2025-08-28T16:46:00"/>
    <m/>
    <s v="PUBLICIDAD"/>
    <s v="AVISO EXTERIOR"/>
    <s v="AGREGADOR"/>
    <s v="DISTRICOL"/>
    <s v="EJECUTADO_EXITOSO"/>
    <s v="EJECUTADO EXITOSO"/>
    <s v="27/08/2025 POR FAVOR, COMUNICARSE CON USUARIO PARA CONFIRMAR UBICACION, SOLICITUD Y PROGRAMAR VISITA TECNICA | 27/08/2025 SE REALIZA LLAMADA TELEFÓNICA Y NO RESPONDE POR LO TANTO SE VISITA COMERCIO, AL LLEGAR SE ENCUENTRA CERRADO SE TOMA EVIDENCIA PERO NO SE ALCANZA A VER EL DAÑO DE EL AVISO QUE SE ENCUENTRA EN SITIO SE TOMA IMÁGENES_x000a_28/08/2025 INSTALACIÓN DE AVISO POR DETERIORO"/>
    <s v="VISITA_TÉCNICA"/>
    <n v="0"/>
    <s v="TIPO I"/>
    <s v="=BUSCARV('PUBLICIDAD OC'!D2;'TIPOLOGIA'!A:F;1;0)"/>
    <s v="PEÑA DIAZ IVAN YESID"/>
    <n v="2"/>
    <n v="3"/>
    <n v="96001.196280000004"/>
    <n v="57411.974240000003"/>
    <n v="364238.31527999998"/>
  </r>
  <r>
    <s v="SINCELEJO"/>
    <x v="3"/>
    <x v="4"/>
    <n v="70713"/>
    <n v="2648208"/>
    <n v="24624"/>
    <s v="ORDEN DE CAMBIO"/>
    <s v="SUCRE"/>
    <s v="SAN ONOFRE"/>
    <s v="DISTRICOL CAMAZUGO"/>
    <s v="REDEBAN"/>
    <s v="FO-25-1430032"/>
    <d v="2025-08-26T16:02:00"/>
    <d v="2025-08-28T16:54:00"/>
    <m/>
    <s v="PUBLICIDAD"/>
    <s v="AVISO EXTERIOR"/>
    <s v="AGREGADOR"/>
    <s v="DISTRICOL"/>
    <s v="EJECUTADO_EXITOSO"/>
    <s v="EJECUTADO EXITOSO"/>
    <s v="26/08/2025 POR FAVOR, COMUNICARSE CON USUARIO PARA CONFIRMAR UBICACION, SOLICITUD Y PROGRAMAR VISITA TECNICA | 28/08/2025 SE VISITA COMERCIO Y SE HACE INSTALACIÓN DE AVISÓ EXTERIOR YA QUE SE CAYÓ Y SE PARTIÓ."/>
    <s v="VISITA_TÉCNICA"/>
    <n v="0"/>
    <s v="TIPO II"/>
    <s v="=BUSCARV('PUBLICIDAD OC'!D2;'TIPOLOGIA'!A:F;1;0)"/>
    <s v="CACERES HERNANDEZ ANDRES"/>
    <n v="1"/>
    <n v="0"/>
    <n v="232858.60096000001"/>
    <n v="110808.27512000001"/>
    <n v="232858.60096000001"/>
  </r>
  <r>
    <s v="MEDELLIN"/>
    <x v="4"/>
    <x v="5"/>
    <n v="5001"/>
    <n v="2640365"/>
    <n v="79587"/>
    <s v="ORDEN DE CAMBIO"/>
    <s v="ANTIOQUIA"/>
    <s v="MEDELLIN"/>
    <s v="BARRIO BUENOS AIRES MEDELLIN 2"/>
    <s v="REDEBAN"/>
    <s v="FO-25-1421663"/>
    <d v="2025-08-25T14:35:00"/>
    <d v="2025-08-28T16:56:00"/>
    <m/>
    <s v="PUBLICIDAD"/>
    <s v="AVISO EXTERIOR"/>
    <s v="CB UNO A UNO"/>
    <s v="CB UNO A UNO"/>
    <s v="EJECUTADO_EXITOSO"/>
    <s v="EJECUTADO EXITOSO"/>
    <s v="25/08/2025 POR FAVOR, COMUNICARSE CON USUARIO PARA CONFIRMAR UBICACION, SOLICITUD Y PROGRAMAR VISITA TECNICA | 28/08/2025 INSTALACIÓN DE AVISO EXTERIOR OK"/>
    <s v="VISITA_TÉCNICA"/>
    <n v="0"/>
    <s v="TIPO I"/>
    <s v="=BUSCARV('PUBLICIDAD OC'!D2;'TIPOLOGIA'!A:F;1;0)"/>
    <s v="PAREJA ECHAVARRIA JHON DAVID"/>
    <n v="1"/>
    <n v="0"/>
    <n v="96001.196280000004"/>
    <n v="57411.974240000003"/>
    <n v="96001.196280000004"/>
  </r>
  <r>
    <s v="MEDELLIN"/>
    <x v="4"/>
    <x v="5"/>
    <n v="5001"/>
    <n v="2636491"/>
    <n v="75950"/>
    <s v="ORDEN DE CAMBIO"/>
    <s v="ANTIOQUIA"/>
    <s v="MEDELLIN"/>
    <s v="BARRIO SANTA TERESITA MEDELLIN"/>
    <s v="REDEBAN"/>
    <s v="FO-25-1418809"/>
    <d v="2025-08-25T08:29:00"/>
    <d v="2025-08-28T16:59:00"/>
    <m/>
    <s v="PUBLICIDAD"/>
    <s v="AVISO EXTERIOR"/>
    <s v="CB UNO A UNO"/>
    <s v="CB UNO A UNO"/>
    <s v="EJECUTADO_EXITOSO"/>
    <s v="EJECUTADO EXITOSO"/>
    <s v="25/08/2025 POR FAVOR, COMUNICARSE CON USUARIO PARA CONFIRMAR UBICACION, SOLICITUD Y PROGRAMAR VISITA TECNICA | 28/08/2025 SE REALIZA INSTALACIÓN DE AVISO EXTERIOR OK"/>
    <s v="VISITA_TÉCNICA"/>
    <n v="0"/>
    <s v="TIPO I"/>
    <s v="=BUSCARV('PUBLICIDAD OC'!D2;'TIPOLOGIA'!A:F;1;0)"/>
    <s v="ZAPATA LOPEZ EDWARD ASDRUBAL"/>
    <n v="1"/>
    <n v="0"/>
    <n v="96001.196280000004"/>
    <n v="57411.974240000003"/>
    <n v="96001.196280000004"/>
  </r>
  <r>
    <s v="BOGOTA"/>
    <x v="2"/>
    <x v="2"/>
    <n v="11001"/>
    <n v="2659867"/>
    <n v="68541"/>
    <s v="ORDEN DE CAMBIO"/>
    <s v="CUNDINAMARCA"/>
    <s v="BOGOTA"/>
    <s v="BOSA ESTACION 3"/>
    <s v="REDEBAN"/>
    <s v="FO-25-1440812"/>
    <d v="2025-08-28T14:50:00"/>
    <d v="2025-08-30T08:43:00"/>
    <m/>
    <s v="PUBLICIDAD"/>
    <s v="AVISO EXTERIOR"/>
    <s v="CB UNO A UNO"/>
    <s v="CB UNO A UNO"/>
    <s v="EJECUTADO_EXITOSO"/>
    <s v="EJECUTADO EXITOSO"/>
    <s v="28/08/2025 POR FAVOR, COMUNICARSE CON USUARIO PARA CONFIRMAR UBICACION, SOLICITUD Y PROGRAMAR VISITA TECNICA | 29/08/2025 INSTALACIÓN DE AVISO EXTERIORES POR VANDALISMO NO SE MANIPULA TERMINAL"/>
    <s v="VISITA_TÉCNICA"/>
    <n v="0"/>
    <s v="TIPO I"/>
    <s v="=BUSCARV('PUBLICIDAD OC'!D2;'TIPOLOGIA'!A:F;1;0)"/>
    <s v="BUSTOS MORA DIEGO MANUEL"/>
    <n v="1"/>
    <n v="0"/>
    <n v="96001.196280000004"/>
    <n v="57411.974240000003"/>
    <n v="96001.196280000004"/>
  </r>
  <r>
    <s v="PASTO"/>
    <x v="1"/>
    <x v="3"/>
    <n v="52001"/>
    <n v="2657364"/>
    <n v="76904"/>
    <s v="ORDEN DE CAMBIO"/>
    <s v="NARIÑO"/>
    <s v="PASTO"/>
    <s v="BARRIO AV PANAMERICANA PASTO 1"/>
    <s v="REDEBAN"/>
    <s v="FO-25-1437960"/>
    <d v="2025-08-28T10:03:00"/>
    <d v="2025-08-30T08:47:00"/>
    <m/>
    <s v="PUBLICIDAD"/>
    <s v="AVISO EXTERIOR"/>
    <s v="CB UNO A UNO"/>
    <s v="CB UNO A UNO"/>
    <s v="EJECUTADO_EXITOSO"/>
    <s v="EJECUTADO EXITOSO"/>
    <s v="28/08/2025 POR FAVOR, COMUNICARSE CON USUARIO PARA CONFIRMAR UBICACION, SOLICITUD Y PROGRAMAR VISITA TECNICA | 29/08/2025 SE REALIZÓ LA INSTALACIÓN DE AVISO EXTERNO POR DAÑO SE AJUSTA PARA EVITAR NUEVAMENTE LA NOVEDAD NO SE MANIPULA CB CLIENTE INFORMA QUE SE ENCUENTRA OPERATIVO"/>
    <s v="VISITA_TÉCNICA"/>
    <n v="0"/>
    <s v="TIPO I"/>
    <s v="=BUSCARV('PUBLICIDAD OC'!D2;'TIPOLOGIA'!A:F;1;0)"/>
    <s v="REMICIO AMADO JOHN HEBER"/>
    <n v="1"/>
    <n v="0"/>
    <n v="96001.196280000004"/>
    <n v="57411.974240000003"/>
    <n v="96001.196280000004"/>
  </r>
  <r>
    <s v="IBAGUE"/>
    <x v="0"/>
    <x v="0"/>
    <n v="73001"/>
    <n v="2655452"/>
    <n v="53220"/>
    <s v="ORDEN DE CAMBIO"/>
    <s v="TOLIMA"/>
    <s v="IBAGUE"/>
    <s v="BARRIO LOS CIRUELOS IBAGUE"/>
    <s v="REDEBAN"/>
    <s v="FO-25-1436638"/>
    <d v="2025-08-28T08:00:00"/>
    <d v="2025-08-30T09:05:00"/>
    <m/>
    <s v="PUBLICIDAD"/>
    <s v="AVISO EXTERIOR"/>
    <s v="CB UNO A UNO"/>
    <s v="CB UNO A UNO"/>
    <s v="EJECUTADO_EXITOSO"/>
    <s v="EJECUTADO EXITOSO"/>
    <s v="29/08/2025 SE INSTALA AVISO EXTERIOR POR ROBO"/>
    <s v="VISITA_TÉCNICA"/>
    <n v="0"/>
    <s v="TIPO I"/>
    <s v="=BUSCARV('PUBLICIDAD OC'!D2;'TIPOLOGIA'!A:F;1;0)"/>
    <s v="VARGAS HERRERA JHON JAIRO"/>
    <n v="1"/>
    <n v="0"/>
    <n v="96001.196280000004"/>
    <n v="57411.974240000003"/>
    <n v="96001.196280000004"/>
  </r>
  <r>
    <s v="TUNJA"/>
    <x v="5"/>
    <x v="6"/>
    <n v="15001"/>
    <n v="2654966"/>
    <n v="77601"/>
    <s v="ORDEN DE CAMBIO"/>
    <s v="BOYACA"/>
    <s v="TUNJA"/>
    <s v="BARRIO LA FUENTE TUNJA 3"/>
    <s v="REDEBAN"/>
    <s v="FO-25-1436374"/>
    <d v="2025-08-27T17:37:00"/>
    <d v="2025-08-30T09:09:00"/>
    <m/>
    <s v="PUBLICIDAD"/>
    <s v="AVISO EXTERIOR"/>
    <s v="CB UNO A UNO"/>
    <s v="CB UNO A UNO"/>
    <s v="EJECUTADO_EXITOSO"/>
    <s v="EJECUTADO EXITOSO"/>
    <s v="27/08/2025 POR FAVOR, COMUNICARSE CON USUARIO PARA CONFIRMAR UBICACION, SOLICITUD Y PROGRAMAR VISITA TECNICA | 29/08/2025 INSTALACIÓN DE AVISO EXTERIOR EXITOSO POR DAÑO DEL OTRO AVISO EL VIENTO LO AVÍA TUMBADO, SE DEJA BIEN ASEGURADO"/>
    <s v="VISITA_TÉCNICA"/>
    <n v="0"/>
    <s v="TIPO I"/>
    <s v="=BUSCARV('PUBLICIDAD OC'!D2;'TIPOLOGIA'!A:F;1;0)"/>
    <s v="HERRERA GARZON JEYSON STEVENT"/>
    <n v="1"/>
    <n v="0"/>
    <n v="96001.196280000004"/>
    <n v="57411.974240000003"/>
    <n v="96001.196280000004"/>
  </r>
  <r>
    <s v="VALLEDUPAR"/>
    <x v="3"/>
    <x v="4"/>
    <n v="20787"/>
    <n v="2646475"/>
    <n v="65372"/>
    <s v="ORDEN DE CAMBIO"/>
    <s v="CESAR"/>
    <s v="TAMALAMEQUE"/>
    <s v="BARRIO PALMIRA TAMALAMEQUE"/>
    <s v="REDEBAN"/>
    <s v="FO-25-1428193"/>
    <d v="2025-08-26T13:21:00"/>
    <d v="2025-08-30T09:32:00"/>
    <m/>
    <s v="PUBLICIDAD"/>
    <s v="AVISO EXTERIOR"/>
    <s v="CB UNO A UNO"/>
    <s v="CB UNO A UNO"/>
    <s v="EJECUTADO_EXITOSO"/>
    <s v="EJECUTADO EXITOSO"/>
    <s v="26/08/2025 POR FAVOR, COMUNICARSE CON USUARIO PARA CONFIRMAR UBICACION, SOLICITUD Y PROGRAMAR VISITA TECNICA | 29/08/2025 SE LLEGA A SITIO Y SE EVIDENCIA QUE EL AVISO EXTERIOR SE PARTIO , SE PROCEDE A INSTALAR UN NUEVO AVISO"/>
    <s v="VISITA_TÉCNICA"/>
    <n v="0"/>
    <s v="TIPO IV"/>
    <s v="=BUSCARV('PUBLICIDAD OC'!D2;'TIPOLOGIA'!A:F;1;0)"/>
    <s v="MONTES DIAZ JOHN FRED"/>
    <n v="1"/>
    <n v="0"/>
    <n v="548633.63271999999"/>
    <n v="110808.27512000001"/>
    <n v="548633.63271999999"/>
  </r>
  <r>
    <s v="IBAGUE"/>
    <x v="0"/>
    <x v="0"/>
    <n v="73001"/>
    <n v="2660757"/>
    <n v="50633"/>
    <s v="ORDEN DE CAMBIO"/>
    <s v="TOLIMA"/>
    <s v="IBAGUE"/>
    <s v="BARRIO CADIZ IBAGUE"/>
    <s v="REDEBAN"/>
    <s v="FO-25-1441061"/>
    <d v="2025-08-28T16:36:00"/>
    <d v="2025-08-30T14:15:00"/>
    <m/>
    <s v="PUBLICIDAD"/>
    <s v="AVISO EXTERIOR"/>
    <s v="CB UNO A UNO"/>
    <s v="CB UNO A UNO"/>
    <s v="EJECUTADO_CANCELADO"/>
    <s v="PETICIÓN USUARIO"/>
    <s v="28/08/2025 POR FAVOR, COMUNICARSE CON USUARIO PARA CONFIRMAR UBICACION, SOLICITUD Y PROGRAMAR VISITA TECNICA | 30/08/2025 SE LLEGA AL SITIO PARA REALIZAR INSTALACIÓN DE AVISO, PERO NO ES POSIBLE COMERCIO SE ENCUENTRA CERRADO."/>
    <s v="VISITA_TÉCNICA"/>
    <n v="0"/>
    <s v="TIPO I"/>
    <s v="=BUSCARV('PUBLICIDAD OC'!D2;'TIPOLOGIA'!A:F;1;0)"/>
    <s v="BARRAGAN TAFUR EDWIN ESTEBAN"/>
    <n v="1"/>
    <n v="0"/>
    <n v="96001.196280000004"/>
    <n v="57411.974240000003"/>
    <n v="96001.196280000004"/>
  </r>
  <r>
    <s v="MEDELLIN"/>
    <x v="4"/>
    <x v="5"/>
    <n v="5088"/>
    <n v="2653746"/>
    <n v="75823"/>
    <s v="ORDEN DE CAMBIO"/>
    <s v="ANTIOQUIA"/>
    <s v="BELLO"/>
    <s v="PTM BELLO TIENDA LOS DUQUE"/>
    <s v="REDEBAN"/>
    <s v="FO-25-1436380"/>
    <d v="2025-08-27T14:58:00"/>
    <d v="2025-08-30T14:32:00"/>
    <m/>
    <s v="PUBLICIDAD"/>
    <s v="AVISO EXTERIOR"/>
    <s v="AGREGADOR"/>
    <s v="COMCARD - PTM"/>
    <s v="EJECUTADO_EXITOSO"/>
    <s v="EJECUTADO EXITOSO"/>
    <s v="27/08/2025 POR FAVOR, COMUNICARSE CON USUARIO PARA CONFIRMAR UBICACION, SOLICITUD Y PROGRAMAR VISITA TECNICA | 30/08/2025 SE REALIZA LA INSTALACIÓN DEL NUEVO AVISO EXTERIOR EN EL PUNTO DEL CORRESPONSAL BANCOLOMBIA, REEMPLAZANDO EL ANTERIOR QUE FUE DESPRENDIDO POR LA BRISA Y PRESENTABA SIGNOS EVIDENTES DE DETERIORO. EL NUEVO AVISO QUEDA FIJADO CONFORME A LAS INDICACIONES DEL CLIENTE, ASEGURANDO VISIBILIDAD ÓPTIMA DESDE EL EXTERIOR Y UNA PRESENTACIÓN ACORDE CON LA IMAGEN"/>
    <s v="VISITA_TÉCNICA"/>
    <n v="0"/>
    <s v="TIPO I"/>
    <s v="=BUSCARV('PUBLICIDAD OC'!D2;'TIPOLOGIA'!A:F;1;0)"/>
    <s v="MARTINEZ TOVAR OSCAR DAVID"/>
    <n v="1"/>
    <n v="0"/>
    <n v="96001.196280000004"/>
    <n v="57411.974240000003"/>
    <n v="96001.196280000004"/>
  </r>
  <r>
    <s v="MANIZALES"/>
    <x v="1"/>
    <x v="1"/>
    <n v="17001"/>
    <n v="2650409"/>
    <n v="45650"/>
    <s v="ORDEN DE CAMBIO"/>
    <s v="CALDAS"/>
    <s v="MANIZALES"/>
    <s v="BARRIO SAN CAYETANO MANIZALES"/>
    <s v="REDEBAN"/>
    <s v="FO-25-1432412"/>
    <d v="2025-08-27T09:06:00"/>
    <d v="2025-08-30T14:37:00"/>
    <m/>
    <s v="PUBLICIDAD"/>
    <s v="AVISO EXTERIOR"/>
    <s v="CB UNO A UNO"/>
    <s v="CB UNO A UNO"/>
    <s v="EJECUTADO_EXITOSO"/>
    <s v="EJECUTADO EXITOSO"/>
    <s v="27/08/2025 POR FAVOR, COMUNICARSE CON USUARIO PARA CONFIRMAR UBICACION, SOLICITUD Y PROGRAMAR VISITA TECNICA | 30/08/2025 SE REALIZA INSTALACIÓN DE AVISO EXTERIOR YA QUE EL ANTERIOR SE LO ROBARON"/>
    <s v="VISITA_TÉCNICA"/>
    <n v="0"/>
    <s v="TIPO I"/>
    <s v="=BUSCARV('PUBLICIDAD OC'!D2;'TIPOLOGIA'!A:F;1;0)"/>
    <s v="AGUIRRE HENAO RAUL EDUARDO"/>
    <n v="1"/>
    <n v="0"/>
    <n v="96001.196280000004"/>
    <n v="57411.974240000003"/>
    <n v="96001.196280000004"/>
  </r>
  <r>
    <m/>
    <x v="6"/>
    <x v="7"/>
    <m/>
    <m/>
    <m/>
    <m/>
    <m/>
    <m/>
    <m/>
    <m/>
    <m/>
    <m/>
    <m/>
    <m/>
    <m/>
    <m/>
    <m/>
    <m/>
    <m/>
    <m/>
    <m/>
    <m/>
    <m/>
    <m/>
    <m/>
    <m/>
    <m/>
    <m/>
    <m/>
    <m/>
    <n v="19641961.032240011"/>
  </r>
  <r>
    <m/>
    <x v="6"/>
    <x v="7"/>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n v="9658187.5031999964"/>
  </r>
  <r>
    <x v="1"/>
    <n v="17381956.806760013"/>
  </r>
  <r>
    <x v="2"/>
    <n v="15332962.34152001"/>
  </r>
  <r>
    <x v="3"/>
    <n v="17382510.653200012"/>
  </r>
  <r>
    <x v="4"/>
    <n v="13765642.277080007"/>
  </r>
  <r>
    <x v="5"/>
    <n v="20874862.194799989"/>
  </r>
  <r>
    <x v="6"/>
    <n v="14176724.763720008"/>
  </r>
  <r>
    <x v="7"/>
    <m/>
  </r>
  <r>
    <x v="7"/>
    <m/>
  </r>
  <r>
    <x v="7"/>
    <m/>
  </r>
  <r>
    <x v="7"/>
    <m/>
  </r>
  <r>
    <x v="7"/>
    <m/>
  </r>
  <r>
    <x v="7"/>
    <m/>
  </r>
  <r>
    <x v="7"/>
    <m/>
  </r>
  <r>
    <x v="7"/>
    <m/>
  </r>
  <r>
    <x v="7"/>
    <m/>
  </r>
  <r>
    <x v="7"/>
    <m/>
  </r>
  <r>
    <x v="8"/>
    <s v="VALOR"/>
  </r>
  <r>
    <x v="0"/>
    <n v="1345642.7401600003"/>
  </r>
  <r>
    <x v="1"/>
    <n v="808865.77864000015"/>
  </r>
  <r>
    <x v="2"/>
    <n v="2330994.0375999999"/>
  </r>
  <r>
    <x v="3"/>
    <n v="4534872.8637999976"/>
  </r>
  <r>
    <x v="4"/>
    <n v="4557790.4102799976"/>
  </r>
  <r>
    <x v="5"/>
    <n v="3747487.841599999"/>
  </r>
  <r>
    <x v="6"/>
    <n v="2316307.3601599997"/>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168E2-4694-49EB-95D6-4044B62ABC22}" name="TablaDinámica2" cacheId="4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1:D29" firstHeaderRow="0" firstDataRow="1" firstDataCol="2"/>
  <pivotFields count="32">
    <pivotField compact="0" outline="0" showAll="0"/>
    <pivotField axis="axisRow" compact="0" outline="0" showAll="0" defaultSubtotal="0">
      <items count="7">
        <item x="1"/>
        <item x="3"/>
        <item x="4"/>
        <item x="0"/>
        <item x="5"/>
        <item x="2"/>
        <item h="1" x="6"/>
      </items>
    </pivotField>
    <pivotField axis="axisRow" compact="0" outline="0" showAll="0">
      <items count="9">
        <item x="4"/>
        <item x="1"/>
        <item x="3"/>
        <item x="2"/>
        <item x="5"/>
        <item x="0"/>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1" showDataAs="percentOfTotal" baseField="0" baseItem="0" numFmtId="10"/>
    <dataField name="$"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DDF13A-6D14-469A-A564-0F005D611B10}" name="TablaDinámica1" cacheId="4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1">
    <pivotField compact="0" outline="0" showAll="0"/>
    <pivotField axis="axisRow" compact="0" outline="0" showAll="0" defaultSubtotal="0">
      <items count="7">
        <item x="1"/>
        <item x="4"/>
        <item x="2"/>
        <item x="0"/>
        <item x="3"/>
        <item x="5"/>
        <item h="1" x="6"/>
      </items>
    </pivotField>
    <pivotField axis="axisRow" compact="0" outline="0" showAll="0">
      <items count="9">
        <item x="4"/>
        <item x="6"/>
        <item x="1"/>
        <item x="5"/>
        <item x="2"/>
        <item x="0"/>
        <item x="3"/>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BB9C7-9F3B-4D87-A3CD-383A33F4A86E}" name="TablaDinámica3" cacheId="4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0">
        <item h="1" x="8"/>
        <item x="6"/>
        <item x="2"/>
        <item x="0"/>
        <item x="3"/>
        <item x="4"/>
        <item x="5"/>
        <item x="1"/>
        <item h="1" x="7"/>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9"/>
  </dataFields>
  <formats count="2">
    <format dxfId="13">
      <pivotArea outline="0" fieldPosition="0">
        <references count="1">
          <reference field="0" count="0" selected="0"/>
        </references>
      </pivotArea>
    </format>
    <format dxfId="12">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workbookViewId="0">
      <selection activeCell="E18" sqref="E18"/>
    </sheetView>
  </sheetViews>
  <sheetFormatPr baseColWidth="10" defaultColWidth="11.42578125" defaultRowHeight="15"/>
  <cols>
    <col min="1" max="1" width="11.42578125" customWidth="1"/>
    <col min="3" max="3" width="20.140625" customWidth="1"/>
    <col min="4" max="4" width="24.42578125" customWidth="1"/>
    <col min="5" max="5" width="19.42578125" customWidth="1"/>
    <col min="7" max="8" width="13.42578125" customWidth="1"/>
    <col min="9" max="9" width="3.28515625" customWidth="1"/>
    <col min="10" max="10" width="25" customWidth="1"/>
    <col min="11" max="11" width="41.28515625" customWidth="1"/>
    <col min="12" max="14" width="15.42578125" customWidth="1"/>
    <col min="15" max="15" width="11.7109375" bestFit="1" customWidth="1"/>
    <col min="16" max="16" width="18.7109375" customWidth="1"/>
  </cols>
  <sheetData>
    <row r="1" spans="1:14">
      <c r="A1" s="95" t="str">
        <f>CONCATENATE("TOTAL GENERAL MES ",A3)</f>
        <v>TOTAL GENERAL MES AGOSTO DE 2025</v>
      </c>
      <c r="B1" s="95"/>
      <c r="C1" s="95"/>
      <c r="D1" s="95"/>
      <c r="E1" s="95"/>
      <c r="F1" s="95"/>
      <c r="G1" s="95"/>
      <c r="H1" s="95"/>
      <c r="J1" s="96" t="s">
        <v>0</v>
      </c>
      <c r="K1" s="97"/>
      <c r="L1" s="97"/>
      <c r="M1" s="97"/>
      <c r="N1" s="98"/>
    </row>
    <row r="2" spans="1:14" ht="42">
      <c r="A2" s="16" t="s">
        <v>1</v>
      </c>
      <c r="B2" s="16" t="s">
        <v>2</v>
      </c>
      <c r="C2" s="16" t="s">
        <v>3</v>
      </c>
      <c r="D2" s="16" t="s">
        <v>4</v>
      </c>
      <c r="E2" s="16" t="s">
        <v>5</v>
      </c>
      <c r="F2" s="16" t="s">
        <v>6</v>
      </c>
      <c r="G2" s="16" t="s">
        <v>7</v>
      </c>
      <c r="H2" s="16" t="s">
        <v>8</v>
      </c>
      <c r="J2" s="28" t="s">
        <v>9</v>
      </c>
      <c r="K2" s="28" t="s">
        <v>10</v>
      </c>
      <c r="L2" s="28" t="s">
        <v>11</v>
      </c>
      <c r="M2" s="28" t="s">
        <v>12</v>
      </c>
      <c r="N2" s="56" t="s">
        <v>11</v>
      </c>
    </row>
    <row r="3" spans="1:14" ht="31.5">
      <c r="A3" s="15" t="s">
        <v>13</v>
      </c>
      <c r="B3" s="4" t="s">
        <v>14</v>
      </c>
      <c r="C3" s="4" t="s">
        <v>15</v>
      </c>
      <c r="D3" s="4" t="s">
        <v>16</v>
      </c>
      <c r="E3" s="4" t="s">
        <v>17</v>
      </c>
      <c r="F3" s="5">
        <f>COUNTA('PUBLICIDAD APERTURAS'!A:A)-1</f>
        <v>485</v>
      </c>
      <c r="G3" s="6">
        <f>'PUBLICIDAD APERTURAS'!AE487</f>
        <v>108572846.54027949</v>
      </c>
      <c r="H3" s="6">
        <f>G3*1.19</f>
        <v>129201687.38293259</v>
      </c>
      <c r="I3" s="3"/>
      <c r="J3" s="57" t="s">
        <v>18</v>
      </c>
      <c r="K3" s="57" t="s">
        <v>19</v>
      </c>
      <c r="L3" s="64">
        <v>300000</v>
      </c>
      <c r="M3" s="27">
        <f t="shared" ref="M3:M13" si="0">L3*0.12</f>
        <v>36000</v>
      </c>
      <c r="N3" s="27">
        <f t="shared" ref="N3:N13" si="1">L3+M3</f>
        <v>336000</v>
      </c>
    </row>
    <row r="4" spans="1:14" ht="31.5">
      <c r="A4" s="15" t="str">
        <f>A3</f>
        <v>AGOSTO DE 2025</v>
      </c>
      <c r="B4" s="4" t="s">
        <v>14</v>
      </c>
      <c r="C4" s="4" t="s">
        <v>15</v>
      </c>
      <c r="D4" s="4" t="s">
        <v>20</v>
      </c>
      <c r="E4" s="4" t="s">
        <v>17</v>
      </c>
      <c r="F4" s="5">
        <f>COUNTA('PUBLICIDAD OC'!A:A)-1</f>
        <v>119</v>
      </c>
      <c r="G4" s="6">
        <f>'PUBLICIDAD OC'!AF121</f>
        <v>19641961.032240011</v>
      </c>
      <c r="H4" s="6">
        <f>G4*1.19</f>
        <v>23373933.628365614</v>
      </c>
      <c r="I4" s="2"/>
      <c r="J4" s="57" t="s">
        <v>21</v>
      </c>
      <c r="K4" s="57" t="s">
        <v>22</v>
      </c>
      <c r="L4" s="64">
        <v>300000</v>
      </c>
      <c r="M4" s="27">
        <f t="shared" si="0"/>
        <v>36000</v>
      </c>
      <c r="N4" s="27">
        <f t="shared" si="1"/>
        <v>336000</v>
      </c>
    </row>
    <row r="5" spans="1:14" ht="21" customHeight="1">
      <c r="A5" s="15" t="str">
        <f>A4</f>
        <v>AGOSTO DE 2025</v>
      </c>
      <c r="B5" s="4" t="s">
        <v>14</v>
      </c>
      <c r="C5" s="4" t="s">
        <v>15</v>
      </c>
      <c r="D5" s="4" t="s">
        <v>23</v>
      </c>
      <c r="E5" s="4" t="s">
        <v>17</v>
      </c>
      <c r="F5" s="5">
        <v>11</v>
      </c>
      <c r="G5" s="6">
        <f>N15</f>
        <v>5631584</v>
      </c>
      <c r="H5" s="6">
        <f>G5*1.19</f>
        <v>6701584.96</v>
      </c>
      <c r="I5" s="2"/>
      <c r="J5" s="57" t="s">
        <v>24</v>
      </c>
      <c r="K5" s="57" t="s">
        <v>22</v>
      </c>
      <c r="L5" s="64">
        <v>300000</v>
      </c>
      <c r="M5" s="27">
        <f t="shared" si="0"/>
        <v>36000</v>
      </c>
      <c r="N5" s="27">
        <f t="shared" si="1"/>
        <v>336000</v>
      </c>
    </row>
    <row r="6" spans="1:14">
      <c r="A6" s="94" t="s">
        <v>25</v>
      </c>
      <c r="B6" s="94"/>
      <c r="C6" s="94"/>
      <c r="D6" s="94"/>
      <c r="E6" s="94"/>
      <c r="F6" s="16">
        <f>SUM(F3:F5)</f>
        <v>615</v>
      </c>
      <c r="G6" s="17">
        <f>SUM(G3:G5)</f>
        <v>133846391.57251951</v>
      </c>
      <c r="H6" s="17">
        <f>SUM(H3:H5)</f>
        <v>159277205.97129822</v>
      </c>
      <c r="J6" s="57" t="s">
        <v>26</v>
      </c>
      <c r="K6" s="57" t="s">
        <v>27</v>
      </c>
      <c r="L6" s="64">
        <v>300000</v>
      </c>
      <c r="M6" s="27">
        <f t="shared" si="0"/>
        <v>36000</v>
      </c>
      <c r="N6" s="27">
        <f t="shared" si="1"/>
        <v>336000</v>
      </c>
    </row>
    <row r="7" spans="1:14">
      <c r="G7" s="3"/>
      <c r="J7" s="57" t="s">
        <v>28</v>
      </c>
      <c r="K7" s="57" t="s">
        <v>29</v>
      </c>
      <c r="L7" s="64">
        <v>300000</v>
      </c>
      <c r="M7" s="27">
        <f t="shared" si="0"/>
        <v>36000</v>
      </c>
      <c r="N7" s="27">
        <f t="shared" si="1"/>
        <v>336000</v>
      </c>
    </row>
    <row r="8" spans="1:14">
      <c r="G8" s="3"/>
      <c r="J8" s="57" t="s">
        <v>30</v>
      </c>
      <c r="K8" s="57" t="s">
        <v>31</v>
      </c>
      <c r="L8" s="64">
        <v>300000</v>
      </c>
      <c r="M8" s="27">
        <f t="shared" si="0"/>
        <v>36000</v>
      </c>
      <c r="N8" s="27">
        <f t="shared" si="1"/>
        <v>336000</v>
      </c>
    </row>
    <row r="9" spans="1:14">
      <c r="G9" s="3"/>
      <c r="J9" s="57" t="s">
        <v>32</v>
      </c>
      <c r="K9" s="57" t="s">
        <v>33</v>
      </c>
      <c r="L9" s="64">
        <v>300000</v>
      </c>
      <c r="M9" s="27">
        <f t="shared" si="0"/>
        <v>36000</v>
      </c>
      <c r="N9" s="27">
        <f t="shared" si="1"/>
        <v>336000</v>
      </c>
    </row>
    <row r="10" spans="1:14">
      <c r="G10" s="3"/>
      <c r="J10" s="57" t="s">
        <v>34</v>
      </c>
      <c r="K10" s="57" t="s">
        <v>35</v>
      </c>
      <c r="L10" s="64">
        <v>300000</v>
      </c>
      <c r="M10" s="27">
        <f t="shared" si="0"/>
        <v>36000</v>
      </c>
      <c r="N10" s="27">
        <f t="shared" si="1"/>
        <v>336000</v>
      </c>
    </row>
    <row r="11" spans="1:14">
      <c r="G11" s="3"/>
      <c r="J11" s="57" t="s">
        <v>36</v>
      </c>
      <c r="K11" s="57" t="s">
        <v>37</v>
      </c>
      <c r="L11" s="64">
        <v>767850</v>
      </c>
      <c r="M11" s="27">
        <f t="shared" si="0"/>
        <v>92142</v>
      </c>
      <c r="N11" s="27">
        <f t="shared" si="1"/>
        <v>859992</v>
      </c>
    </row>
    <row r="12" spans="1:14">
      <c r="G12" s="3"/>
      <c r="J12" s="57" t="s">
        <v>38</v>
      </c>
      <c r="K12" s="57" t="s">
        <v>39</v>
      </c>
      <c r="L12" s="64">
        <v>760000</v>
      </c>
      <c r="M12" s="27">
        <f t="shared" ref="M12" si="2">L12*0.12</f>
        <v>91200</v>
      </c>
      <c r="N12" s="27">
        <f t="shared" ref="N12" si="3">L12+M12</f>
        <v>851200</v>
      </c>
    </row>
    <row r="13" spans="1:14">
      <c r="G13" s="3"/>
      <c r="J13" s="57" t="s">
        <v>40</v>
      </c>
      <c r="K13" s="57" t="s">
        <v>41</v>
      </c>
      <c r="L13" s="64">
        <f>297200*2</f>
        <v>594400</v>
      </c>
      <c r="M13" s="27">
        <f t="shared" si="0"/>
        <v>71328</v>
      </c>
      <c r="N13" s="27">
        <f t="shared" si="1"/>
        <v>665728</v>
      </c>
    </row>
    <row r="14" spans="1:14">
      <c r="G14" s="3"/>
      <c r="J14" s="92" t="s">
        <v>42</v>
      </c>
      <c r="K14" s="93" t="s">
        <v>43</v>
      </c>
      <c r="L14" s="64">
        <v>505950</v>
      </c>
      <c r="M14" s="27">
        <f t="shared" ref="M14" si="4">L14*0.12</f>
        <v>60714</v>
      </c>
      <c r="N14" s="27">
        <f t="shared" ref="N14" si="5">L14+M14</f>
        <v>566664</v>
      </c>
    </row>
    <row r="15" spans="1:14">
      <c r="G15" s="3"/>
      <c r="J15" s="50" t="s">
        <v>11</v>
      </c>
      <c r="K15" s="29"/>
      <c r="L15" s="30">
        <f>SUM(L3:L14)</f>
        <v>5028200</v>
      </c>
      <c r="M15" s="30">
        <f t="shared" ref="M15:N15" si="6">SUM(M3:M14)</f>
        <v>603384</v>
      </c>
      <c r="N15" s="30">
        <f t="shared" si="6"/>
        <v>5631584</v>
      </c>
    </row>
    <row r="16" spans="1:14">
      <c r="G16" s="3"/>
    </row>
    <row r="17" spans="7:8">
      <c r="G17" s="52"/>
      <c r="H17" s="52"/>
    </row>
    <row r="18" spans="7:8">
      <c r="G18" s="52"/>
      <c r="H18" s="52"/>
    </row>
    <row r="19" spans="7:8">
      <c r="G19" s="52"/>
      <c r="H19" s="52"/>
    </row>
    <row r="20" spans="7:8">
      <c r="G20" s="52"/>
      <c r="H20" s="52"/>
    </row>
    <row r="21" spans="7:8">
      <c r="G21" s="52"/>
      <c r="H21" s="52"/>
    </row>
    <row r="22" spans="7:8">
      <c r="G22" s="52"/>
      <c r="H22" s="52"/>
    </row>
    <row r="23" spans="7:8">
      <c r="G23" s="52"/>
      <c r="H23" s="52"/>
    </row>
    <row r="24" spans="7:8">
      <c r="G24" s="52"/>
      <c r="H24" s="52"/>
    </row>
    <row r="25" spans="7:8">
      <c r="G25" s="52"/>
      <c r="H25" s="52"/>
    </row>
    <row r="26" spans="7:8">
      <c r="G26" s="52"/>
      <c r="H26" s="52"/>
    </row>
    <row r="27" spans="7:8">
      <c r="G27" s="52"/>
      <c r="H27" s="52"/>
    </row>
  </sheetData>
  <mergeCells count="3">
    <mergeCell ref="A6:E6"/>
    <mergeCell ref="A1:H1"/>
    <mergeCell ref="J1:N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zoomScale="120" zoomScaleNormal="120" workbookViewId="0">
      <selection activeCell="D4" sqref="D4"/>
    </sheetView>
  </sheetViews>
  <sheetFormatPr baseColWidth="10" defaultColWidth="11.42578125" defaultRowHeight="13.5"/>
  <cols>
    <col min="1" max="1" width="17.5703125" style="7" bestFit="1" customWidth="1"/>
    <col min="2" max="2" width="16.5703125" style="7" customWidth="1"/>
    <col min="3" max="3" width="15.140625" style="7" customWidth="1"/>
    <col min="4" max="4" width="20.140625" style="7" customWidth="1"/>
    <col min="5" max="5" width="14.140625" style="7" customWidth="1"/>
    <col min="6" max="6" width="2" style="7" customWidth="1"/>
    <col min="7" max="7" width="12.7109375" style="7" bestFit="1" customWidth="1"/>
    <col min="8" max="11" width="11.42578125" style="7"/>
    <col min="12" max="12" width="15" style="7" bestFit="1" customWidth="1"/>
    <col min="13" max="16384" width="11.42578125" style="1"/>
  </cols>
  <sheetData>
    <row r="1" spans="1:14" ht="21">
      <c r="A1" s="99" t="s">
        <v>44</v>
      </c>
      <c r="B1" s="100"/>
      <c r="C1" s="100"/>
      <c r="D1" s="100"/>
      <c r="E1" s="101"/>
      <c r="G1" s="99" t="s">
        <v>44</v>
      </c>
      <c r="H1" s="100"/>
      <c r="I1" s="100"/>
      <c r="J1" s="100"/>
      <c r="K1" s="100"/>
      <c r="L1" s="101"/>
      <c r="N1" s="16" t="s">
        <v>45</v>
      </c>
    </row>
    <row r="2" spans="1:14" ht="31.5">
      <c r="A2" s="18" t="s">
        <v>46</v>
      </c>
      <c r="B2" s="16" t="s">
        <v>47</v>
      </c>
      <c r="C2" s="16" t="s">
        <v>48</v>
      </c>
      <c r="D2" s="16" t="s">
        <v>49</v>
      </c>
      <c r="E2" s="18" t="s">
        <v>50</v>
      </c>
      <c r="G2" s="102" t="s">
        <v>51</v>
      </c>
      <c r="H2" s="103"/>
      <c r="I2" s="103"/>
      <c r="J2" s="103"/>
      <c r="K2" s="103"/>
      <c r="L2" s="104"/>
      <c r="N2" s="39">
        <v>5.1999999999999998E-2</v>
      </c>
    </row>
    <row r="3" spans="1:14" ht="31.5">
      <c r="A3" s="8" t="s">
        <v>52</v>
      </c>
      <c r="B3" s="40">
        <f>10695.08*(1+$N$2)</f>
        <v>11251.22416</v>
      </c>
      <c r="C3" s="41">
        <f>120073.31*(1+$N$2)</f>
        <v>126317.12212</v>
      </c>
      <c r="D3" s="41">
        <f>54574.12*(1+$N$2)</f>
        <v>57411.974240000003</v>
      </c>
      <c r="E3" s="42">
        <f>185342.51*(1+$N$2)</f>
        <v>194980.32052000001</v>
      </c>
      <c r="G3" s="14" t="s">
        <v>53</v>
      </c>
      <c r="H3" s="14" t="s">
        <v>54</v>
      </c>
      <c r="I3" s="14" t="s">
        <v>55</v>
      </c>
      <c r="J3" s="14" t="s">
        <v>56</v>
      </c>
      <c r="K3" s="14" t="s">
        <v>57</v>
      </c>
      <c r="L3" s="14" t="s">
        <v>58</v>
      </c>
    </row>
    <row r="4" spans="1:14">
      <c r="A4" s="8" t="s">
        <v>59</v>
      </c>
      <c r="B4" s="40">
        <f>10695.08*(1+$N$2)</f>
        <v>11251.22416</v>
      </c>
      <c r="C4" s="41">
        <f>120073.31*(1+$N$2)</f>
        <v>126317.12212</v>
      </c>
      <c r="D4" s="41">
        <f>105331.06*(1+$N$2)</f>
        <v>110808.27512000001</v>
      </c>
      <c r="E4" s="42">
        <f>236099.45*(1+$N$2)</f>
        <v>248376.62140000003</v>
      </c>
      <c r="G4" s="9" t="s">
        <v>60</v>
      </c>
      <c r="H4" s="9" t="s">
        <v>61</v>
      </c>
      <c r="I4" s="43">
        <f>91255.89*(1+$N$2)</f>
        <v>96001.196280000004</v>
      </c>
      <c r="J4" s="43">
        <f>54574.12*(1+$N$2)</f>
        <v>57411.974240000003</v>
      </c>
      <c r="K4" s="43">
        <f>53547.34*(1+$N$2)</f>
        <v>56331.801679999997</v>
      </c>
      <c r="L4" s="43">
        <f>36031.04*(1+$N$2)</f>
        <v>37904.65408</v>
      </c>
    </row>
    <row r="5" spans="1:14">
      <c r="G5" s="9" t="s">
        <v>62</v>
      </c>
      <c r="H5" s="9" t="s">
        <v>63</v>
      </c>
      <c r="I5" s="43">
        <f>221348.48*(1+$N$2)</f>
        <v>232858.60096000001</v>
      </c>
      <c r="J5" s="43">
        <f>105331.06*(1+$N$2)</f>
        <v>110808.27512000001</v>
      </c>
      <c r="K5" s="43">
        <f>53547.34*(1+$N$2)</f>
        <v>56331.801679999997</v>
      </c>
      <c r="L5" s="43">
        <f>36031.04*(1+$N$2)</f>
        <v>37904.65408</v>
      </c>
    </row>
    <row r="6" spans="1:14">
      <c r="G6" s="9" t="s">
        <v>64</v>
      </c>
      <c r="H6" s="9" t="s">
        <v>65</v>
      </c>
      <c r="I6" s="43">
        <f>327732.48*(1+$N$2)</f>
        <v>344774.56896</v>
      </c>
      <c r="J6" s="43">
        <f>105331.06*(1+$N$2)</f>
        <v>110808.27512000001</v>
      </c>
      <c r="K6" s="43">
        <f>53547.34*(1+$N$2)</f>
        <v>56331.801679999997</v>
      </c>
      <c r="L6" s="43">
        <f>36031.04*(1+$N$2)</f>
        <v>37904.65408</v>
      </c>
    </row>
    <row r="7" spans="1:14">
      <c r="B7" s="11"/>
      <c r="C7" s="11"/>
      <c r="D7" s="11"/>
      <c r="E7" s="11"/>
      <c r="G7" s="9" t="s">
        <v>66</v>
      </c>
      <c r="H7" s="9" t="s">
        <v>67</v>
      </c>
      <c r="I7" s="43">
        <f>521514.86*(1+$N$2)</f>
        <v>548633.63271999999</v>
      </c>
      <c r="J7" s="43">
        <f>105331.06*(1+$N$2)</f>
        <v>110808.27512000001</v>
      </c>
      <c r="K7" s="43">
        <f>53547.34*(1+$N$2)</f>
        <v>56331.801679999997</v>
      </c>
      <c r="L7" s="43">
        <f>36031.04*(1+$N$2)</f>
        <v>37904.65408</v>
      </c>
    </row>
    <row r="8" spans="1:14">
      <c r="D8" s="11"/>
      <c r="E8" s="11"/>
      <c r="G8" s="10" t="s">
        <v>68</v>
      </c>
      <c r="H8" s="10" t="s">
        <v>69</v>
      </c>
      <c r="I8" s="43">
        <f>521514.86*(1+$N$2)</f>
        <v>548633.63271999999</v>
      </c>
      <c r="J8" s="43">
        <f>105331.06*(1+$N$2)</f>
        <v>110808.27512000001</v>
      </c>
      <c r="K8" s="43">
        <f>53547.34*(1+$N$2)</f>
        <v>56331.801679999997</v>
      </c>
      <c r="L8" s="43">
        <f>36031.04*(1+$N$2)</f>
        <v>37904.65408</v>
      </c>
    </row>
    <row r="9" spans="1:14">
      <c r="G9" s="105" t="s">
        <v>70</v>
      </c>
      <c r="H9" s="105"/>
      <c r="I9" s="105"/>
      <c r="J9" s="105"/>
      <c r="K9" s="105"/>
      <c r="L9" s="105"/>
    </row>
    <row r="10" spans="1:14">
      <c r="B10" s="11"/>
      <c r="C10" s="11"/>
      <c r="D10" s="11"/>
      <c r="E10" s="11"/>
      <c r="G10" s="105"/>
      <c r="H10" s="105"/>
      <c r="I10" s="105"/>
      <c r="J10" s="105"/>
      <c r="K10" s="105"/>
      <c r="L10" s="105"/>
    </row>
    <row r="11" spans="1:14">
      <c r="B11" s="11"/>
      <c r="C11" s="11"/>
      <c r="D11" s="11"/>
      <c r="E11" s="11"/>
    </row>
    <row r="12" spans="1:14">
      <c r="I12" s="11"/>
      <c r="J12" s="11"/>
      <c r="K12" s="11"/>
      <c r="L12" s="11"/>
    </row>
    <row r="13" spans="1:14">
      <c r="I13" s="11"/>
      <c r="J13" s="11"/>
      <c r="K13" s="11"/>
      <c r="L13" s="11"/>
    </row>
    <row r="14" spans="1:14">
      <c r="I14" s="11"/>
      <c r="J14" s="11"/>
      <c r="K14" s="11"/>
      <c r="L14" s="11"/>
    </row>
    <row r="15" spans="1:14">
      <c r="I15" s="11"/>
      <c r="J15" s="11"/>
      <c r="K15" s="11"/>
      <c r="L15" s="11"/>
    </row>
    <row r="16" spans="1:14">
      <c r="C16" s="11"/>
      <c r="G16" s="11"/>
      <c r="I16" s="11"/>
      <c r="J16" s="11"/>
      <c r="K16" s="11"/>
      <c r="L16" s="11"/>
    </row>
    <row r="17" spans="7:12">
      <c r="G17" s="11"/>
      <c r="I17" s="11"/>
      <c r="J17" s="11"/>
      <c r="K17" s="11"/>
      <c r="L17" s="11"/>
    </row>
    <row r="18" spans="7:12">
      <c r="G18" s="11"/>
    </row>
    <row r="19" spans="7:12">
      <c r="G19" s="11"/>
    </row>
    <row r="20" spans="7:12">
      <c r="G20" s="11"/>
    </row>
    <row r="21" spans="7:12">
      <c r="G21" s="11"/>
    </row>
  </sheetData>
  <mergeCells count="4">
    <mergeCell ref="G1:L1"/>
    <mergeCell ref="G2:L2"/>
    <mergeCell ref="A1:E1"/>
    <mergeCell ref="G9:L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D8B3-3A24-4DFF-BD0E-CC9FC6F9EF35}">
  <dimension ref="A2:L29"/>
  <sheetViews>
    <sheetView workbookViewId="0">
      <selection activeCell="K9" sqref="K9"/>
    </sheetView>
  </sheetViews>
  <sheetFormatPr baseColWidth="10" defaultColWidth="8.85546875" defaultRowHeight="15"/>
  <cols>
    <col min="1" max="1" width="34.5703125" bestFit="1" customWidth="1"/>
    <col min="2" max="2" width="32.5703125" bestFit="1" customWidth="1"/>
    <col min="3" max="3" width="8.7109375" bestFit="1" customWidth="1"/>
    <col min="4" max="4" width="12.5703125" bestFit="1" customWidth="1"/>
    <col min="5" max="5" width="19.42578125" customWidth="1"/>
    <col min="6" max="6" width="12.7109375" customWidth="1"/>
    <col min="10" max="10" width="31.140625" bestFit="1" customWidth="1"/>
    <col min="11" max="11" width="15.5703125" bestFit="1" customWidth="1"/>
    <col min="12" max="12" width="16.7109375" bestFit="1" customWidth="1"/>
  </cols>
  <sheetData>
    <row r="2" spans="1:12">
      <c r="A2" s="38" t="s">
        <v>71</v>
      </c>
      <c r="J2" s="35" t="s">
        <v>72</v>
      </c>
      <c r="K2" t="s">
        <v>73</v>
      </c>
      <c r="L2" t="s">
        <v>74</v>
      </c>
    </row>
    <row r="3" spans="1:12">
      <c r="A3" s="35" t="s">
        <v>75</v>
      </c>
      <c r="B3" s="35" t="s">
        <v>76</v>
      </c>
      <c r="C3" t="s">
        <v>77</v>
      </c>
      <c r="D3" t="s">
        <v>78</v>
      </c>
      <c r="E3" t="s">
        <v>72</v>
      </c>
      <c r="F3" t="s">
        <v>79</v>
      </c>
      <c r="J3" t="s">
        <v>80</v>
      </c>
      <c r="K3" s="3">
        <v>16493032.123880006</v>
      </c>
      <c r="L3" s="51">
        <v>0.12863593867308443</v>
      </c>
    </row>
    <row r="4" spans="1:12">
      <c r="A4" t="s">
        <v>81</v>
      </c>
      <c r="B4" t="s">
        <v>82</v>
      </c>
      <c r="C4" s="36">
        <v>8.895582837663607E-2</v>
      </c>
      <c r="D4">
        <v>9658187.5031999964</v>
      </c>
      <c r="E4" t="str">
        <f>VLOOKUP(B4,'CENTRO DE COSTOS'!B:C,2,0)</f>
        <v>Redeban Eje Cafetero (Pereira)</v>
      </c>
      <c r="F4" s="37">
        <f>D4</f>
        <v>9658187.5031999964</v>
      </c>
      <c r="J4" t="s">
        <v>83</v>
      </c>
      <c r="K4" s="3">
        <v>17663956.379120011</v>
      </c>
      <c r="L4" s="51">
        <v>0.13776845836725246</v>
      </c>
    </row>
    <row r="5" spans="1:12">
      <c r="B5" t="s">
        <v>84</v>
      </c>
      <c r="C5" s="36">
        <v>0.16009487971111988</v>
      </c>
      <c r="D5">
        <v>17381956.806760013</v>
      </c>
      <c r="E5" t="str">
        <f>VLOOKUP(B5,'CENTRO DE COSTOS'!B:C,2,0)</f>
        <v>Redeban Suroccidente (Cali)</v>
      </c>
      <c r="F5" s="37">
        <f t="shared" ref="F5:F10" si="0">D5</f>
        <v>17381956.806760013</v>
      </c>
      <c r="J5" t="s">
        <v>85</v>
      </c>
      <c r="K5" s="3">
        <v>11003830.243359996</v>
      </c>
      <c r="L5" s="51">
        <v>8.582339631197497E-2</v>
      </c>
    </row>
    <row r="6" spans="1:12">
      <c r="A6" t="s">
        <v>86</v>
      </c>
      <c r="B6" t="s">
        <v>87</v>
      </c>
      <c r="C6" s="36">
        <v>0.14122280874188509</v>
      </c>
      <c r="D6">
        <v>15332962.34152001</v>
      </c>
      <c r="E6" t="str">
        <f>VLOOKUP(B6,'CENTRO DE COSTOS'!B:C,2,0)</f>
        <v>Redeban Costa (Barranqullla)</v>
      </c>
      <c r="F6" s="37">
        <f t="shared" si="0"/>
        <v>15332962.34152001</v>
      </c>
      <c r="J6" t="s">
        <v>88</v>
      </c>
      <c r="K6" s="3">
        <v>21917383.517000008</v>
      </c>
      <c r="L6" s="51">
        <v>0.17094268541957011</v>
      </c>
    </row>
    <row r="7" spans="1:12">
      <c r="A7" t="s">
        <v>89</v>
      </c>
      <c r="B7" t="s">
        <v>90</v>
      </c>
      <c r="C7" s="36">
        <v>0.16009998086170815</v>
      </c>
      <c r="D7">
        <v>17382510.653200012</v>
      </c>
      <c r="E7" t="str">
        <f>VLOOKUP(B7,'CENTRO DE COSTOS'!B:C,2,0)</f>
        <v>Redeban Noroccidente (Medellín)</v>
      </c>
      <c r="F7" s="37">
        <f t="shared" si="0"/>
        <v>17382510.653200012</v>
      </c>
      <c r="J7" t="s">
        <v>91</v>
      </c>
      <c r="K7" s="3">
        <v>18323432.687360004</v>
      </c>
      <c r="L7" s="51">
        <v>0.14291198524005133</v>
      </c>
    </row>
    <row r="8" spans="1:12">
      <c r="A8" t="s">
        <v>92</v>
      </c>
      <c r="B8" t="s">
        <v>93</v>
      </c>
      <c r="C8" s="36">
        <v>0.12678715457619522</v>
      </c>
      <c r="D8">
        <v>13765642.277080007</v>
      </c>
      <c r="E8" t="str">
        <f>VLOOKUP(B8,'CENTRO DE COSTOS'!B:C,2,0)</f>
        <v>Redeban Oriente (Otros)</v>
      </c>
      <c r="F8" s="37">
        <f t="shared" si="0"/>
        <v>13765642.277080007</v>
      </c>
      <c r="J8" t="s">
        <v>94</v>
      </c>
      <c r="K8" s="3">
        <v>24622350.03639999</v>
      </c>
      <c r="L8" s="51">
        <v>0.1920398314560762</v>
      </c>
    </row>
    <row r="9" spans="1:12">
      <c r="A9" t="s">
        <v>95</v>
      </c>
      <c r="B9" t="s">
        <v>96</v>
      </c>
      <c r="C9" s="36">
        <v>0.19226595654425904</v>
      </c>
      <c r="D9">
        <v>20874862.194799989</v>
      </c>
      <c r="E9" t="str">
        <f>VLOOKUP(B9,'CENTRO DE COSTOS'!B:C,2,0)</f>
        <v>Redeban Santander</v>
      </c>
      <c r="F9" s="37">
        <f t="shared" si="0"/>
        <v>20874862.194799989</v>
      </c>
      <c r="J9" t="s">
        <v>97</v>
      </c>
      <c r="K9" s="3">
        <v>18190822.585400015</v>
      </c>
      <c r="L9" s="51">
        <v>0.1418777045319905</v>
      </c>
    </row>
    <row r="10" spans="1:12">
      <c r="A10" t="s">
        <v>98</v>
      </c>
      <c r="B10" t="s">
        <v>99</v>
      </c>
      <c r="C10" s="36">
        <v>0.13057339118819644</v>
      </c>
      <c r="D10">
        <v>14176724.763720008</v>
      </c>
      <c r="E10" t="str">
        <f>VLOOKUP(B10,'CENTRO DE COSTOS'!B:C,2,0)</f>
        <v>Redeban Centro ( Bogotá)</v>
      </c>
      <c r="F10" s="37">
        <f t="shared" si="0"/>
        <v>14176724.763720008</v>
      </c>
      <c r="J10" t="s">
        <v>100</v>
      </c>
      <c r="K10">
        <v>128214807.57252003</v>
      </c>
      <c r="L10" s="51">
        <v>1</v>
      </c>
    </row>
    <row r="11" spans="1:12">
      <c r="A11" t="s">
        <v>100</v>
      </c>
      <c r="C11" s="36">
        <v>1</v>
      </c>
      <c r="D11">
        <v>108572846.54028004</v>
      </c>
    </row>
    <row r="21" spans="1:6">
      <c r="A21" s="35" t="s">
        <v>75</v>
      </c>
      <c r="B21" s="35" t="s">
        <v>76</v>
      </c>
      <c r="C21" t="s">
        <v>77</v>
      </c>
      <c r="D21" t="s">
        <v>78</v>
      </c>
      <c r="E21" t="s">
        <v>72</v>
      </c>
      <c r="F21" t="s">
        <v>79</v>
      </c>
    </row>
    <row r="22" spans="1:6">
      <c r="A22" t="s">
        <v>81</v>
      </c>
      <c r="B22" t="s">
        <v>82</v>
      </c>
      <c r="C22" s="36">
        <v>6.8508573963225169E-2</v>
      </c>
      <c r="D22">
        <v>1345642.7401600003</v>
      </c>
      <c r="E22" t="str">
        <f>VLOOKUP(B22,'CENTRO DE COSTOS'!B:C,2,0)</f>
        <v>Redeban Eje Cafetero (Pereira)</v>
      </c>
      <c r="F22" s="37">
        <f>D22</f>
        <v>1345642.7401600003</v>
      </c>
    </row>
    <row r="23" spans="1:6">
      <c r="B23" t="s">
        <v>84</v>
      </c>
      <c r="C23" s="36">
        <v>4.118050011973555E-2</v>
      </c>
      <c r="D23">
        <v>808865.77864000015</v>
      </c>
      <c r="E23" t="str">
        <f>VLOOKUP(B23,'CENTRO DE COSTOS'!B:C,2,0)</f>
        <v>Redeban Suroccidente (Cali)</v>
      </c>
      <c r="F23" s="37">
        <f t="shared" ref="F23:F28" si="1">D23</f>
        <v>808865.77864000015</v>
      </c>
    </row>
    <row r="24" spans="1:6">
      <c r="A24" t="s">
        <v>86</v>
      </c>
      <c r="B24" t="s">
        <v>87</v>
      </c>
      <c r="C24" s="36">
        <v>0.11867420130678114</v>
      </c>
      <c r="D24">
        <v>2330994.0375999999</v>
      </c>
      <c r="E24" t="str">
        <f>VLOOKUP(B24,'CENTRO DE COSTOS'!B:C,2,0)</f>
        <v>Redeban Costa (Barranqullla)</v>
      </c>
      <c r="F24" s="37">
        <f t="shared" si="1"/>
        <v>2330994.0375999999</v>
      </c>
    </row>
    <row r="25" spans="1:6">
      <c r="A25" t="s">
        <v>89</v>
      </c>
      <c r="B25" t="s">
        <v>90</v>
      </c>
      <c r="C25" s="36">
        <v>0.23087678752424623</v>
      </c>
      <c r="D25">
        <v>4534872.8637999976</v>
      </c>
      <c r="E25" t="str">
        <f>VLOOKUP(B25,'CENTRO DE COSTOS'!B:C,2,0)</f>
        <v>Redeban Noroccidente (Medellín)</v>
      </c>
      <c r="F25" s="37">
        <f t="shared" si="1"/>
        <v>4534872.8637999976</v>
      </c>
    </row>
    <row r="26" spans="1:6">
      <c r="A26" t="s">
        <v>92</v>
      </c>
      <c r="B26" t="s">
        <v>93</v>
      </c>
      <c r="C26" s="36">
        <v>0.23204355220942116</v>
      </c>
      <c r="D26">
        <v>4557790.4102799976</v>
      </c>
      <c r="E26" t="str">
        <f>VLOOKUP(B26,'CENTRO DE COSTOS'!B:C,2,0)</f>
        <v>Redeban Oriente (Otros)</v>
      </c>
      <c r="F26" s="37">
        <f t="shared" si="1"/>
        <v>4557790.4102799976</v>
      </c>
    </row>
    <row r="27" spans="1:6">
      <c r="A27" t="s">
        <v>95</v>
      </c>
      <c r="B27" t="s">
        <v>96</v>
      </c>
      <c r="C27" s="36">
        <v>0.19078990307785121</v>
      </c>
      <c r="D27">
        <v>3747487.841599999</v>
      </c>
      <c r="E27" t="str">
        <f>VLOOKUP(B27,'CENTRO DE COSTOS'!B:C,2,0)</f>
        <v>Redeban Santander</v>
      </c>
      <c r="F27" s="37">
        <f t="shared" si="1"/>
        <v>3747487.841599999</v>
      </c>
    </row>
    <row r="28" spans="1:6">
      <c r="A28" t="s">
        <v>98</v>
      </c>
      <c r="B28" t="s">
        <v>99</v>
      </c>
      <c r="C28" s="36">
        <v>0.11792648179873946</v>
      </c>
      <c r="D28">
        <v>2316307.3601599997</v>
      </c>
      <c r="E28" t="str">
        <f>VLOOKUP(B28,'CENTRO DE COSTOS'!B:C,2,0)</f>
        <v>Redeban Centro ( Bogotá)</v>
      </c>
      <c r="F28" s="37">
        <f t="shared" si="1"/>
        <v>2316307.3601599997</v>
      </c>
    </row>
    <row r="29" spans="1:6">
      <c r="A29" t="s">
        <v>100</v>
      </c>
      <c r="C29" s="36">
        <v>1</v>
      </c>
      <c r="D29">
        <v>19641961.032239996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E487"/>
  <sheetViews>
    <sheetView workbookViewId="0">
      <pane ySplit="1" topLeftCell="A464" activePane="bottomLeft" state="frozen"/>
      <selection activeCell="J1" sqref="J1"/>
      <selection pane="bottomLeft" activeCell="AA469" sqref="AA469"/>
    </sheetView>
  </sheetViews>
  <sheetFormatPr baseColWidth="10" defaultColWidth="11.42578125" defaultRowHeight="12.75" customHeight="1"/>
  <cols>
    <col min="1" max="1" width="12.7109375" style="58" bestFit="1" customWidth="1"/>
    <col min="2" max="2" width="27.7109375" style="58" customWidth="1"/>
    <col min="3" max="3" width="11.42578125" style="58"/>
    <col min="4" max="4" width="11.42578125" style="59"/>
    <col min="5" max="5" width="14.140625" style="59" customWidth="1"/>
    <col min="6" max="6" width="11.42578125" style="58"/>
    <col min="7" max="12" width="14.140625" style="58" customWidth="1"/>
    <col min="13" max="14" width="14.85546875" style="59" customWidth="1"/>
    <col min="15" max="15" width="11.42578125" style="59"/>
    <col min="16" max="24" width="14.140625" style="58" customWidth="1"/>
    <col min="25" max="27" width="11.42578125" style="58"/>
    <col min="28" max="28" width="14.5703125" style="58" bestFit="1" customWidth="1"/>
    <col min="29" max="29" width="14.85546875" style="58" bestFit="1" customWidth="1"/>
    <col min="30" max="30" width="15.7109375" style="58" bestFit="1" customWidth="1"/>
    <col min="31" max="31" width="15.42578125" style="58" customWidth="1"/>
    <col min="32" max="16384" width="11.42578125" style="58"/>
  </cols>
  <sheetData>
    <row r="1" spans="1:31" s="80" customFormat="1" ht="63" customHeight="1">
      <c r="A1" s="68" t="s">
        <v>101</v>
      </c>
      <c r="B1" s="68" t="s">
        <v>75</v>
      </c>
      <c r="C1" s="68" t="s">
        <v>76</v>
      </c>
      <c r="D1" s="68" t="s">
        <v>102</v>
      </c>
      <c r="E1" s="68" t="s">
        <v>103</v>
      </c>
      <c r="F1" s="68" t="s">
        <v>104</v>
      </c>
      <c r="G1" s="44" t="s">
        <v>105</v>
      </c>
      <c r="H1" s="44" t="s">
        <v>106</v>
      </c>
      <c r="I1" s="68" t="s">
        <v>107</v>
      </c>
      <c r="J1" s="68" t="s">
        <v>108</v>
      </c>
      <c r="K1" s="68" t="s">
        <v>109</v>
      </c>
      <c r="L1" s="68" t="s">
        <v>110</v>
      </c>
      <c r="M1" s="68" t="s">
        <v>111</v>
      </c>
      <c r="N1" s="65" t="s">
        <v>112</v>
      </c>
      <c r="O1" s="65" t="s">
        <v>113</v>
      </c>
      <c r="P1" s="66" t="s">
        <v>114</v>
      </c>
      <c r="Q1" s="66" t="s">
        <v>115</v>
      </c>
      <c r="R1" s="48" t="s">
        <v>116</v>
      </c>
      <c r="S1" s="48" t="s">
        <v>117</v>
      </c>
      <c r="T1" s="68" t="s">
        <v>118</v>
      </c>
      <c r="U1" s="48" t="s">
        <v>119</v>
      </c>
      <c r="V1" s="47" t="s">
        <v>120</v>
      </c>
      <c r="W1" s="47" t="s">
        <v>121</v>
      </c>
      <c r="X1" s="48" t="s">
        <v>122</v>
      </c>
      <c r="Y1" s="47" t="s">
        <v>123</v>
      </c>
      <c r="Z1" s="67" t="s">
        <v>124</v>
      </c>
      <c r="AA1" s="67" t="s">
        <v>125</v>
      </c>
      <c r="AB1" s="67" t="s">
        <v>126</v>
      </c>
      <c r="AC1" s="67" t="s">
        <v>127</v>
      </c>
      <c r="AD1" s="67" t="s">
        <v>128</v>
      </c>
      <c r="AE1" s="67" t="s">
        <v>129</v>
      </c>
    </row>
    <row r="2" spans="1:31" s="46" customFormat="1">
      <c r="A2" s="69" t="s">
        <v>130</v>
      </c>
      <c r="B2" s="45" t="str">
        <f>VLOOKUP(A2,'CENTRO DE COSTOS'!A:D,4,FALSE)</f>
        <v>KEVIN ALEXIS CORZO BUSTOS</v>
      </c>
      <c r="C2" s="45" t="str">
        <f>VLOOKUP(A2,'CENTRO DE COSTOS'!A:D,2,FALSE)</f>
        <v>0004-0007</v>
      </c>
      <c r="D2" s="69">
        <v>18001</v>
      </c>
      <c r="E2" s="70" t="s">
        <v>131</v>
      </c>
      <c r="F2" s="71">
        <v>80665</v>
      </c>
      <c r="G2" s="79" t="s">
        <v>132</v>
      </c>
      <c r="H2" s="73" t="s">
        <v>133</v>
      </c>
      <c r="I2" s="71" t="s">
        <v>134</v>
      </c>
      <c r="J2" s="81" t="s">
        <v>135</v>
      </c>
      <c r="K2" s="71" t="s">
        <v>136</v>
      </c>
      <c r="L2" s="75" t="s">
        <v>137</v>
      </c>
      <c r="M2" s="82" t="s">
        <v>138</v>
      </c>
      <c r="N2" s="74">
        <v>45866</v>
      </c>
      <c r="O2" s="76">
        <v>45870</v>
      </c>
      <c r="P2" s="83" t="s">
        <v>139</v>
      </c>
      <c r="Q2" s="84" t="s">
        <v>139</v>
      </c>
      <c r="R2" s="69" t="s">
        <v>140</v>
      </c>
      <c r="S2" s="72" t="s">
        <v>141</v>
      </c>
      <c r="T2" s="79" t="s">
        <v>142</v>
      </c>
      <c r="U2" s="69" t="s">
        <v>143</v>
      </c>
      <c r="V2" s="81" t="s">
        <v>144</v>
      </c>
      <c r="W2" s="76" t="s">
        <v>145</v>
      </c>
      <c r="X2" s="79" t="s">
        <v>142</v>
      </c>
      <c r="Y2" s="69">
        <v>1</v>
      </c>
      <c r="Z2" s="69">
        <v>1</v>
      </c>
      <c r="AA2" s="69">
        <v>1</v>
      </c>
      <c r="AB2" s="49">
        <f>IF(V2="TIPO I",'BASE DE LIQUIDACION 2025'!$B$3,'BASE DE LIQUIDACION 2025'!$B$4)</f>
        <v>11251.22416</v>
      </c>
      <c r="AC2" s="49">
        <f>IF(V2="TIPO I",'BASE DE LIQUIDACION 2025'!$C$3,'BASE DE LIQUIDACION 2025'!$C$4)</f>
        <v>126317.12212</v>
      </c>
      <c r="AD2" s="49">
        <f>IF(V2="TIPO I",'BASE DE LIQUIDACION 2025'!$D$3,'BASE DE LIQUIDACION 2025'!$D$4)</f>
        <v>110808.27512000001</v>
      </c>
      <c r="AE2" s="53">
        <f t="shared" ref="AE2" si="0">AB2*Y2+Z2*AC2+AA2*AD2</f>
        <v>248376.6214</v>
      </c>
    </row>
    <row r="3" spans="1:31" s="46" customFormat="1">
      <c r="A3" s="69" t="s">
        <v>130</v>
      </c>
      <c r="B3" s="45" t="str">
        <f>VLOOKUP(A3,'CENTRO DE COSTOS'!A:D,4,FALSE)</f>
        <v>KEVIN ALEXIS CORZO BUSTOS</v>
      </c>
      <c r="C3" s="45" t="str">
        <f>VLOOKUP(A3,'CENTRO DE COSTOS'!A:D,2,FALSE)</f>
        <v>0004-0007</v>
      </c>
      <c r="D3" s="69">
        <v>18001</v>
      </c>
      <c r="E3" s="70" t="s">
        <v>146</v>
      </c>
      <c r="F3" s="71">
        <v>80664</v>
      </c>
      <c r="G3" s="79" t="s">
        <v>132</v>
      </c>
      <c r="H3" s="73" t="s">
        <v>133</v>
      </c>
      <c r="I3" s="71" t="s">
        <v>134</v>
      </c>
      <c r="J3" s="81" t="s">
        <v>135</v>
      </c>
      <c r="K3" s="71" t="s">
        <v>147</v>
      </c>
      <c r="L3" s="75" t="s">
        <v>137</v>
      </c>
      <c r="M3" s="82" t="s">
        <v>148</v>
      </c>
      <c r="N3" s="74">
        <v>45866</v>
      </c>
      <c r="O3" s="76">
        <v>45870</v>
      </c>
      <c r="P3" s="83" t="s">
        <v>139</v>
      </c>
      <c r="Q3" s="84" t="s">
        <v>139</v>
      </c>
      <c r="R3" s="69" t="s">
        <v>140</v>
      </c>
      <c r="S3" s="72" t="s">
        <v>149</v>
      </c>
      <c r="T3" s="79" t="s">
        <v>142</v>
      </c>
      <c r="U3" s="69" t="s">
        <v>150</v>
      </c>
      <c r="V3" s="81" t="s">
        <v>144</v>
      </c>
      <c r="W3" s="76" t="s">
        <v>145</v>
      </c>
      <c r="X3" s="79" t="s">
        <v>142</v>
      </c>
      <c r="Y3" s="69">
        <v>1</v>
      </c>
      <c r="Z3" s="69">
        <v>1</v>
      </c>
      <c r="AA3" s="69">
        <v>1</v>
      </c>
      <c r="AB3" s="49">
        <f>IF(V3="TIPO I",'BASE DE LIQUIDACION 2025'!$B$3,'BASE DE LIQUIDACION 2025'!$B$4)</f>
        <v>11251.22416</v>
      </c>
      <c r="AC3" s="49">
        <f>IF(V3="TIPO I",'BASE DE LIQUIDACION 2025'!$C$3,'BASE DE LIQUIDACION 2025'!$C$4)</f>
        <v>126317.12212</v>
      </c>
      <c r="AD3" s="49">
        <f>IF(V3="TIPO I",'BASE DE LIQUIDACION 2025'!$D$3,'BASE DE LIQUIDACION 2025'!$D$4)</f>
        <v>110808.27512000001</v>
      </c>
      <c r="AE3" s="53">
        <f t="shared" ref="AE3:AE62" si="1">AB3*Y3+Z3*AC3+AA3*AD3</f>
        <v>248376.6214</v>
      </c>
    </row>
    <row r="4" spans="1:31" s="46" customFormat="1">
      <c r="A4" s="69" t="s">
        <v>151</v>
      </c>
      <c r="B4" s="45" t="str">
        <f>VLOOKUP(A4,'CENTRO DE COSTOS'!A:D,4,FALSE)</f>
        <v>DIEGO FERNANDO HENAO CARDONA</v>
      </c>
      <c r="C4" s="45" t="str">
        <f>VLOOKUP(A4,'CENTRO DE COSTOS'!A:D,2,FALSE)</f>
        <v>0004-0003</v>
      </c>
      <c r="D4" s="69">
        <v>52427</v>
      </c>
      <c r="E4" s="70" t="s">
        <v>152</v>
      </c>
      <c r="F4" s="71">
        <v>80676</v>
      </c>
      <c r="G4" s="79" t="s">
        <v>132</v>
      </c>
      <c r="H4" s="73" t="s">
        <v>133</v>
      </c>
      <c r="I4" s="71" t="s">
        <v>153</v>
      </c>
      <c r="J4" s="81" t="s">
        <v>154</v>
      </c>
      <c r="K4" s="71" t="s">
        <v>155</v>
      </c>
      <c r="L4" s="75" t="s">
        <v>137</v>
      </c>
      <c r="M4" s="82" t="s">
        <v>156</v>
      </c>
      <c r="N4" s="74">
        <v>45866</v>
      </c>
      <c r="O4" s="76">
        <v>45883</v>
      </c>
      <c r="P4" s="83" t="s">
        <v>139</v>
      </c>
      <c r="Q4" s="84" t="s">
        <v>139</v>
      </c>
      <c r="R4" s="69" t="s">
        <v>140</v>
      </c>
      <c r="S4" s="72" t="s">
        <v>157</v>
      </c>
      <c r="T4" s="79" t="s">
        <v>158</v>
      </c>
      <c r="U4" s="69" t="s">
        <v>159</v>
      </c>
      <c r="V4" s="81" t="s">
        <v>160</v>
      </c>
      <c r="W4" s="76" t="s">
        <v>161</v>
      </c>
      <c r="X4" s="79" t="s">
        <v>158</v>
      </c>
      <c r="Y4" s="69">
        <v>1</v>
      </c>
      <c r="Z4" s="69">
        <v>1</v>
      </c>
      <c r="AA4" s="69">
        <v>1</v>
      </c>
      <c r="AB4" s="49">
        <f>IF(V4="TIPO I",'BASE DE LIQUIDACION 2025'!$B$3,'BASE DE LIQUIDACION 2025'!$B$4)</f>
        <v>11251.22416</v>
      </c>
      <c r="AC4" s="49">
        <f>IF(V4="TIPO I",'BASE DE LIQUIDACION 2025'!$C$3,'BASE DE LIQUIDACION 2025'!$C$4)</f>
        <v>126317.12212</v>
      </c>
      <c r="AD4" s="49">
        <f>IF(V4="TIPO I",'BASE DE LIQUIDACION 2025'!$D$3,'BASE DE LIQUIDACION 2025'!$D$4)</f>
        <v>110808.27512000001</v>
      </c>
      <c r="AE4" s="53">
        <f t="shared" si="1"/>
        <v>248376.6214</v>
      </c>
    </row>
    <row r="5" spans="1:31" s="46" customFormat="1">
      <c r="A5" s="69" t="s">
        <v>151</v>
      </c>
      <c r="B5" s="45" t="str">
        <f>VLOOKUP(A5,'CENTRO DE COSTOS'!A:D,4,FALSE)</f>
        <v>DIEGO FERNANDO HENAO CARDONA</v>
      </c>
      <c r="C5" s="45" t="str">
        <f>VLOOKUP(A5,'CENTRO DE COSTOS'!A:D,2,FALSE)</f>
        <v>0004-0003</v>
      </c>
      <c r="D5" s="69">
        <v>52427</v>
      </c>
      <c r="E5" s="70" t="s">
        <v>162</v>
      </c>
      <c r="F5" s="71">
        <v>80675</v>
      </c>
      <c r="G5" s="79" t="s">
        <v>132</v>
      </c>
      <c r="H5" s="73" t="s">
        <v>133</v>
      </c>
      <c r="I5" s="71" t="s">
        <v>153</v>
      </c>
      <c r="J5" s="81" t="s">
        <v>154</v>
      </c>
      <c r="K5" s="71" t="s">
        <v>163</v>
      </c>
      <c r="L5" s="75" t="s">
        <v>137</v>
      </c>
      <c r="M5" s="82" t="s">
        <v>164</v>
      </c>
      <c r="N5" s="74">
        <v>45866</v>
      </c>
      <c r="O5" s="76">
        <v>45883</v>
      </c>
      <c r="P5" s="83" t="s">
        <v>139</v>
      </c>
      <c r="Q5" s="84" t="s">
        <v>139</v>
      </c>
      <c r="R5" s="69" t="s">
        <v>140</v>
      </c>
      <c r="S5" s="72" t="s">
        <v>165</v>
      </c>
      <c r="T5" s="79" t="s">
        <v>158</v>
      </c>
      <c r="U5" s="69" t="s">
        <v>166</v>
      </c>
      <c r="V5" s="81" t="s">
        <v>160</v>
      </c>
      <c r="W5" s="76" t="s">
        <v>161</v>
      </c>
      <c r="X5" s="79" t="s">
        <v>158</v>
      </c>
      <c r="Y5" s="69">
        <v>1</v>
      </c>
      <c r="Z5" s="69">
        <v>1</v>
      </c>
      <c r="AA5" s="69">
        <v>1</v>
      </c>
      <c r="AB5" s="49">
        <f>IF(V5="TIPO I",'BASE DE LIQUIDACION 2025'!$B$3,'BASE DE LIQUIDACION 2025'!$B$4)</f>
        <v>11251.22416</v>
      </c>
      <c r="AC5" s="49">
        <f>IF(V5="TIPO I",'BASE DE LIQUIDACION 2025'!$C$3,'BASE DE LIQUIDACION 2025'!$C$4)</f>
        <v>126317.12212</v>
      </c>
      <c r="AD5" s="49">
        <f>IF(V5="TIPO I",'BASE DE LIQUIDACION 2025'!$D$3,'BASE DE LIQUIDACION 2025'!$D$4)</f>
        <v>110808.27512000001</v>
      </c>
      <c r="AE5" s="53">
        <f t="shared" si="1"/>
        <v>248376.6214</v>
      </c>
    </row>
    <row r="6" spans="1:31" s="46" customFormat="1">
      <c r="A6" s="69" t="s">
        <v>167</v>
      </c>
      <c r="B6" s="45" t="str">
        <f>VLOOKUP(A6,'CENTRO DE COSTOS'!A:D,4,FALSE)</f>
        <v>KEVIN ALEXIS CORZO BUSTOS</v>
      </c>
      <c r="C6" s="45" t="str">
        <f>VLOOKUP(A6,'CENTRO DE COSTOS'!A:D,2,FALSE)</f>
        <v>0004-0007</v>
      </c>
      <c r="D6" s="69">
        <v>85001</v>
      </c>
      <c r="E6" s="70" t="s">
        <v>168</v>
      </c>
      <c r="F6" s="71">
        <v>80709</v>
      </c>
      <c r="G6" s="79" t="s">
        <v>132</v>
      </c>
      <c r="H6" s="73" t="s">
        <v>133</v>
      </c>
      <c r="I6" s="71" t="s">
        <v>169</v>
      </c>
      <c r="J6" s="81" t="s">
        <v>167</v>
      </c>
      <c r="K6" s="71" t="s">
        <v>170</v>
      </c>
      <c r="L6" s="75" t="s">
        <v>137</v>
      </c>
      <c r="M6" s="82" t="s">
        <v>171</v>
      </c>
      <c r="N6" s="74">
        <v>45866</v>
      </c>
      <c r="O6" s="76">
        <v>45870</v>
      </c>
      <c r="P6" s="83" t="s">
        <v>139</v>
      </c>
      <c r="Q6" s="84" t="s">
        <v>139</v>
      </c>
      <c r="R6" s="69" t="s">
        <v>140</v>
      </c>
      <c r="S6" s="72" t="s">
        <v>172</v>
      </c>
      <c r="T6" s="79" t="s">
        <v>173</v>
      </c>
      <c r="U6" s="69" t="s">
        <v>174</v>
      </c>
      <c r="V6" s="81" t="s">
        <v>52</v>
      </c>
      <c r="W6" s="76" t="s">
        <v>145</v>
      </c>
      <c r="X6" s="79" t="s">
        <v>173</v>
      </c>
      <c r="Y6" s="69">
        <v>1</v>
      </c>
      <c r="Z6" s="69">
        <v>1</v>
      </c>
      <c r="AA6" s="69">
        <v>1</v>
      </c>
      <c r="AB6" s="49">
        <f>IF(V6="TIPO I",'BASE DE LIQUIDACION 2025'!$B$3,'BASE DE LIQUIDACION 2025'!$B$4)</f>
        <v>11251.22416</v>
      </c>
      <c r="AC6" s="49">
        <f>IF(V6="TIPO I",'BASE DE LIQUIDACION 2025'!$C$3,'BASE DE LIQUIDACION 2025'!$C$4)</f>
        <v>126317.12212</v>
      </c>
      <c r="AD6" s="49">
        <f>IF(V6="TIPO I",'BASE DE LIQUIDACION 2025'!$D$3,'BASE DE LIQUIDACION 2025'!$D$4)</f>
        <v>57411.974240000003</v>
      </c>
      <c r="AE6" s="53">
        <f t="shared" si="1"/>
        <v>194980.32052000001</v>
      </c>
    </row>
    <row r="7" spans="1:31" s="46" customFormat="1">
      <c r="A7" s="69" t="s">
        <v>175</v>
      </c>
      <c r="B7" s="45" t="str">
        <f>VLOOKUP(A7,'CENTRO DE COSTOS'!A:D,4,FALSE)</f>
        <v>JUAN SEBASTIÁN RÍOS CASTRILLÓN</v>
      </c>
      <c r="C7" s="45" t="str">
        <f>VLOOKUP(A7,'CENTRO DE COSTOS'!A:D,2,FALSE)</f>
        <v>0004-0005</v>
      </c>
      <c r="D7" s="69">
        <v>5001</v>
      </c>
      <c r="E7" s="70" t="s">
        <v>176</v>
      </c>
      <c r="F7" s="71">
        <v>80717</v>
      </c>
      <c r="G7" s="79" t="s">
        <v>132</v>
      </c>
      <c r="H7" s="73" t="s">
        <v>177</v>
      </c>
      <c r="I7" s="71" t="s">
        <v>178</v>
      </c>
      <c r="J7" s="81" t="s">
        <v>175</v>
      </c>
      <c r="K7" s="71" t="s">
        <v>179</v>
      </c>
      <c r="L7" s="75" t="s">
        <v>137</v>
      </c>
      <c r="M7" s="82" t="s">
        <v>180</v>
      </c>
      <c r="N7" s="74">
        <v>45868</v>
      </c>
      <c r="O7" s="76">
        <v>45870</v>
      </c>
      <c r="P7" s="83" t="s">
        <v>181</v>
      </c>
      <c r="Q7" s="84" t="s">
        <v>182</v>
      </c>
      <c r="R7" s="69" t="s">
        <v>140</v>
      </c>
      <c r="S7" s="72" t="s">
        <v>183</v>
      </c>
      <c r="T7" s="79" t="s">
        <v>184</v>
      </c>
      <c r="U7" s="69" t="s">
        <v>185</v>
      </c>
      <c r="V7" s="81" t="s">
        <v>52</v>
      </c>
      <c r="W7" s="76" t="s">
        <v>145</v>
      </c>
      <c r="X7" s="79" t="s">
        <v>184</v>
      </c>
      <c r="Y7" s="69">
        <v>1</v>
      </c>
      <c r="Z7" s="69">
        <v>1</v>
      </c>
      <c r="AA7" s="69">
        <v>1</v>
      </c>
      <c r="AB7" s="49">
        <f>IF(V7="TIPO I",'BASE DE LIQUIDACION 2025'!$B$3,'BASE DE LIQUIDACION 2025'!$B$4)</f>
        <v>11251.22416</v>
      </c>
      <c r="AC7" s="49">
        <f>IF(V7="TIPO I",'BASE DE LIQUIDACION 2025'!$C$3,'BASE DE LIQUIDACION 2025'!$C$4)</f>
        <v>126317.12212</v>
      </c>
      <c r="AD7" s="49">
        <f>IF(V7="TIPO I",'BASE DE LIQUIDACION 2025'!$D$3,'BASE DE LIQUIDACION 2025'!$D$4)</f>
        <v>57411.974240000003</v>
      </c>
      <c r="AE7" s="53">
        <f t="shared" si="1"/>
        <v>194980.32052000001</v>
      </c>
    </row>
    <row r="8" spans="1:31" s="46" customFormat="1">
      <c r="A8" s="69" t="s">
        <v>175</v>
      </c>
      <c r="B8" s="45" t="str">
        <f>VLOOKUP(A8,'CENTRO DE COSTOS'!A:D,4,FALSE)</f>
        <v>JUAN SEBASTIÁN RÍOS CASTRILLÓN</v>
      </c>
      <c r="C8" s="45" t="str">
        <f>VLOOKUP(A8,'CENTRO DE COSTOS'!A:D,2,FALSE)</f>
        <v>0004-0005</v>
      </c>
      <c r="D8" s="69">
        <v>5001</v>
      </c>
      <c r="E8" s="70" t="s">
        <v>186</v>
      </c>
      <c r="F8" s="71">
        <v>80718</v>
      </c>
      <c r="G8" s="79" t="s">
        <v>132</v>
      </c>
      <c r="H8" s="73" t="s">
        <v>177</v>
      </c>
      <c r="I8" s="71" t="s">
        <v>178</v>
      </c>
      <c r="J8" s="81" t="s">
        <v>175</v>
      </c>
      <c r="K8" s="71" t="s">
        <v>187</v>
      </c>
      <c r="L8" s="75" t="s">
        <v>137</v>
      </c>
      <c r="M8" s="82" t="s">
        <v>188</v>
      </c>
      <c r="N8" s="74">
        <v>45868</v>
      </c>
      <c r="O8" s="76">
        <v>45870</v>
      </c>
      <c r="P8" s="83" t="s">
        <v>181</v>
      </c>
      <c r="Q8" s="84" t="s">
        <v>182</v>
      </c>
      <c r="R8" s="69" t="s">
        <v>140</v>
      </c>
      <c r="S8" s="72" t="s">
        <v>183</v>
      </c>
      <c r="T8" s="79" t="s">
        <v>189</v>
      </c>
      <c r="U8" s="69" t="s">
        <v>190</v>
      </c>
      <c r="V8" s="81" t="s">
        <v>52</v>
      </c>
      <c r="W8" s="76" t="s">
        <v>145</v>
      </c>
      <c r="X8" s="79" t="s">
        <v>189</v>
      </c>
      <c r="Y8" s="69">
        <v>1</v>
      </c>
      <c r="Z8" s="69">
        <v>1</v>
      </c>
      <c r="AA8" s="69">
        <v>1</v>
      </c>
      <c r="AB8" s="49">
        <f>IF(V8="TIPO I",'BASE DE LIQUIDACION 2025'!$B$3,'BASE DE LIQUIDACION 2025'!$B$4)</f>
        <v>11251.22416</v>
      </c>
      <c r="AC8" s="49">
        <f>IF(V8="TIPO I",'BASE DE LIQUIDACION 2025'!$C$3,'BASE DE LIQUIDACION 2025'!$C$4)</f>
        <v>126317.12212</v>
      </c>
      <c r="AD8" s="49">
        <f>IF(V8="TIPO I",'BASE DE LIQUIDACION 2025'!$D$3,'BASE DE LIQUIDACION 2025'!$D$4)</f>
        <v>57411.974240000003</v>
      </c>
      <c r="AE8" s="53">
        <f t="shared" si="1"/>
        <v>194980.32052000001</v>
      </c>
    </row>
    <row r="9" spans="1:31" s="46" customFormat="1">
      <c r="A9" s="69" t="s">
        <v>175</v>
      </c>
      <c r="B9" s="45" t="str">
        <f>VLOOKUP(A9,'CENTRO DE COSTOS'!A:D,4,FALSE)</f>
        <v>JUAN SEBASTIÁN RÍOS CASTRILLÓN</v>
      </c>
      <c r="C9" s="45" t="str">
        <f>VLOOKUP(A9,'CENTRO DE COSTOS'!A:D,2,FALSE)</f>
        <v>0004-0005</v>
      </c>
      <c r="D9" s="69">
        <v>5088</v>
      </c>
      <c r="E9" s="70" t="s">
        <v>191</v>
      </c>
      <c r="F9" s="71">
        <v>80715</v>
      </c>
      <c r="G9" s="79" t="s">
        <v>132</v>
      </c>
      <c r="H9" s="73" t="s">
        <v>177</v>
      </c>
      <c r="I9" s="71" t="s">
        <v>178</v>
      </c>
      <c r="J9" s="81" t="s">
        <v>192</v>
      </c>
      <c r="K9" s="71" t="s">
        <v>193</v>
      </c>
      <c r="L9" s="75" t="s">
        <v>137</v>
      </c>
      <c r="M9" s="82" t="s">
        <v>194</v>
      </c>
      <c r="N9" s="74">
        <v>45868</v>
      </c>
      <c r="O9" s="76">
        <v>45870</v>
      </c>
      <c r="P9" s="83" t="s">
        <v>181</v>
      </c>
      <c r="Q9" s="84" t="s">
        <v>182</v>
      </c>
      <c r="R9" s="69" t="s">
        <v>140</v>
      </c>
      <c r="S9" s="72" t="s">
        <v>183</v>
      </c>
      <c r="T9" s="79" t="s">
        <v>184</v>
      </c>
      <c r="U9" s="69" t="s">
        <v>195</v>
      </c>
      <c r="V9" s="81" t="s">
        <v>52</v>
      </c>
      <c r="W9" s="76" t="s">
        <v>145</v>
      </c>
      <c r="X9" s="79" t="s">
        <v>184</v>
      </c>
      <c r="Y9" s="69">
        <v>1</v>
      </c>
      <c r="Z9" s="69">
        <v>1</v>
      </c>
      <c r="AA9" s="69">
        <v>1</v>
      </c>
      <c r="AB9" s="49">
        <f>IF(V9="TIPO I",'BASE DE LIQUIDACION 2025'!$B$3,'BASE DE LIQUIDACION 2025'!$B$4)</f>
        <v>11251.22416</v>
      </c>
      <c r="AC9" s="49">
        <f>IF(V9="TIPO I",'BASE DE LIQUIDACION 2025'!$C$3,'BASE DE LIQUIDACION 2025'!$C$4)</f>
        <v>126317.12212</v>
      </c>
      <c r="AD9" s="49">
        <f>IF(V9="TIPO I",'BASE DE LIQUIDACION 2025'!$D$3,'BASE DE LIQUIDACION 2025'!$D$4)</f>
        <v>57411.974240000003</v>
      </c>
      <c r="AE9" s="53">
        <f t="shared" si="1"/>
        <v>194980.32052000001</v>
      </c>
    </row>
    <row r="10" spans="1:31" s="46" customFormat="1">
      <c r="A10" s="69" t="s">
        <v>167</v>
      </c>
      <c r="B10" s="45" t="str">
        <f>VLOOKUP(A10,'CENTRO DE COSTOS'!A:D,4,FALSE)</f>
        <v>KEVIN ALEXIS CORZO BUSTOS</v>
      </c>
      <c r="C10" s="45" t="str">
        <f>VLOOKUP(A10,'CENTRO DE COSTOS'!A:D,2,FALSE)</f>
        <v>0004-0007</v>
      </c>
      <c r="D10" s="69">
        <v>85162</v>
      </c>
      <c r="E10" s="70" t="s">
        <v>196</v>
      </c>
      <c r="F10" s="71">
        <v>80742</v>
      </c>
      <c r="G10" s="79" t="s">
        <v>132</v>
      </c>
      <c r="H10" s="73" t="s">
        <v>133</v>
      </c>
      <c r="I10" s="71" t="s">
        <v>169</v>
      </c>
      <c r="J10" s="81" t="s">
        <v>197</v>
      </c>
      <c r="K10" s="71" t="s">
        <v>198</v>
      </c>
      <c r="L10" s="75" t="s">
        <v>137</v>
      </c>
      <c r="M10" s="82" t="s">
        <v>199</v>
      </c>
      <c r="N10" s="74">
        <v>45868</v>
      </c>
      <c r="O10" s="76">
        <v>45874</v>
      </c>
      <c r="P10" s="83" t="s">
        <v>139</v>
      </c>
      <c r="Q10" s="84" t="s">
        <v>139</v>
      </c>
      <c r="R10" s="69" t="s">
        <v>140</v>
      </c>
      <c r="S10" s="72" t="s">
        <v>200</v>
      </c>
      <c r="T10" s="79" t="s">
        <v>173</v>
      </c>
      <c r="U10" s="69" t="s">
        <v>201</v>
      </c>
      <c r="V10" s="81" t="s">
        <v>202</v>
      </c>
      <c r="W10" s="76" t="s">
        <v>145</v>
      </c>
      <c r="X10" s="79" t="s">
        <v>173</v>
      </c>
      <c r="Y10" s="69">
        <v>1</v>
      </c>
      <c r="Z10" s="69">
        <v>1</v>
      </c>
      <c r="AA10" s="69">
        <v>1</v>
      </c>
      <c r="AB10" s="49">
        <f>IF(V10="TIPO I",'BASE DE LIQUIDACION 2025'!$B$3,'BASE DE LIQUIDACION 2025'!$B$4)</f>
        <v>11251.22416</v>
      </c>
      <c r="AC10" s="49">
        <f>IF(V10="TIPO I",'BASE DE LIQUIDACION 2025'!$C$3,'BASE DE LIQUIDACION 2025'!$C$4)</f>
        <v>126317.12212</v>
      </c>
      <c r="AD10" s="49">
        <f>IF(V10="TIPO I",'BASE DE LIQUIDACION 2025'!$D$3,'BASE DE LIQUIDACION 2025'!$D$4)</f>
        <v>110808.27512000001</v>
      </c>
      <c r="AE10" s="53">
        <f t="shared" si="1"/>
        <v>248376.6214</v>
      </c>
    </row>
    <row r="11" spans="1:31" s="46" customFormat="1">
      <c r="A11" s="69" t="s">
        <v>203</v>
      </c>
      <c r="B11" s="45" t="str">
        <f>VLOOKUP(A11,'CENTRO DE COSTOS'!A:D,4,FALSE)</f>
        <v>MIGUEL JULIÁN HERNÁNDEZ GUARÍN</v>
      </c>
      <c r="C11" s="45" t="str">
        <f>VLOOKUP(A11,'CENTRO DE COSTOS'!A:D,2,FALSE)</f>
        <v>0004-0008</v>
      </c>
      <c r="D11" s="69">
        <v>15464</v>
      </c>
      <c r="E11" s="70" t="s">
        <v>204</v>
      </c>
      <c r="F11" s="71">
        <v>80720</v>
      </c>
      <c r="G11" s="79" t="s">
        <v>132</v>
      </c>
      <c r="H11" s="73" t="s">
        <v>133</v>
      </c>
      <c r="I11" s="71" t="s">
        <v>205</v>
      </c>
      <c r="J11" s="81" t="s">
        <v>206</v>
      </c>
      <c r="K11" s="71" t="s">
        <v>207</v>
      </c>
      <c r="L11" s="75" t="s">
        <v>137</v>
      </c>
      <c r="M11" s="82" t="s">
        <v>208</v>
      </c>
      <c r="N11" s="74">
        <v>45868</v>
      </c>
      <c r="O11" s="76">
        <v>45870</v>
      </c>
      <c r="P11" s="83" t="s">
        <v>139</v>
      </c>
      <c r="Q11" s="84" t="s">
        <v>139</v>
      </c>
      <c r="R11" s="69" t="s">
        <v>140</v>
      </c>
      <c r="S11" s="72" t="s">
        <v>209</v>
      </c>
      <c r="T11" s="79" t="s">
        <v>210</v>
      </c>
      <c r="U11" s="69" t="s">
        <v>211</v>
      </c>
      <c r="V11" s="81" t="s">
        <v>202</v>
      </c>
      <c r="W11" s="76" t="s">
        <v>145</v>
      </c>
      <c r="X11" s="79" t="s">
        <v>210</v>
      </c>
      <c r="Y11" s="69">
        <v>1</v>
      </c>
      <c r="Z11" s="69">
        <v>1</v>
      </c>
      <c r="AA11" s="69">
        <v>1</v>
      </c>
      <c r="AB11" s="49">
        <f>IF(V11="TIPO I",'BASE DE LIQUIDACION 2025'!$B$3,'BASE DE LIQUIDACION 2025'!$B$4)</f>
        <v>11251.22416</v>
      </c>
      <c r="AC11" s="49">
        <f>IF(V11="TIPO I",'BASE DE LIQUIDACION 2025'!$C$3,'BASE DE LIQUIDACION 2025'!$C$4)</f>
        <v>126317.12212</v>
      </c>
      <c r="AD11" s="49">
        <f>IF(V11="TIPO I",'BASE DE LIQUIDACION 2025'!$D$3,'BASE DE LIQUIDACION 2025'!$D$4)</f>
        <v>110808.27512000001</v>
      </c>
      <c r="AE11" s="53">
        <f t="shared" si="1"/>
        <v>248376.6214</v>
      </c>
    </row>
    <row r="12" spans="1:31" s="46" customFormat="1">
      <c r="A12" s="69" t="s">
        <v>130</v>
      </c>
      <c r="B12" s="45" t="str">
        <f>VLOOKUP(A12,'CENTRO DE COSTOS'!A:D,4,FALSE)</f>
        <v>KEVIN ALEXIS CORZO BUSTOS</v>
      </c>
      <c r="C12" s="45" t="str">
        <f>VLOOKUP(A12,'CENTRO DE COSTOS'!A:D,2,FALSE)</f>
        <v>0004-0007</v>
      </c>
      <c r="D12" s="69">
        <v>41306</v>
      </c>
      <c r="E12" s="70" t="s">
        <v>212</v>
      </c>
      <c r="F12" s="71">
        <v>80736</v>
      </c>
      <c r="G12" s="79" t="s">
        <v>132</v>
      </c>
      <c r="H12" s="73" t="s">
        <v>133</v>
      </c>
      <c r="I12" s="71" t="s">
        <v>213</v>
      </c>
      <c r="J12" s="81" t="s">
        <v>214</v>
      </c>
      <c r="K12" s="71" t="s">
        <v>215</v>
      </c>
      <c r="L12" s="75" t="s">
        <v>137</v>
      </c>
      <c r="M12" s="82" t="s">
        <v>216</v>
      </c>
      <c r="N12" s="74">
        <v>45868</v>
      </c>
      <c r="O12" s="76">
        <v>45870</v>
      </c>
      <c r="P12" s="83" t="s">
        <v>139</v>
      </c>
      <c r="Q12" s="84" t="s">
        <v>139</v>
      </c>
      <c r="R12" s="69" t="s">
        <v>140</v>
      </c>
      <c r="S12" s="72" t="s">
        <v>217</v>
      </c>
      <c r="T12" s="79" t="s">
        <v>218</v>
      </c>
      <c r="U12" s="69" t="s">
        <v>219</v>
      </c>
      <c r="V12" s="81" t="s">
        <v>202</v>
      </c>
      <c r="W12" s="76" t="s">
        <v>145</v>
      </c>
      <c r="X12" s="79" t="s">
        <v>218</v>
      </c>
      <c r="Y12" s="69">
        <v>1</v>
      </c>
      <c r="Z12" s="69">
        <v>1</v>
      </c>
      <c r="AA12" s="69">
        <v>1</v>
      </c>
      <c r="AB12" s="49">
        <f>IF(V12="TIPO I",'BASE DE LIQUIDACION 2025'!$B$3,'BASE DE LIQUIDACION 2025'!$B$4)</f>
        <v>11251.22416</v>
      </c>
      <c r="AC12" s="49">
        <f>IF(V12="TIPO I",'BASE DE LIQUIDACION 2025'!$C$3,'BASE DE LIQUIDACION 2025'!$C$4)</f>
        <v>126317.12212</v>
      </c>
      <c r="AD12" s="49">
        <f>IF(V12="TIPO I",'BASE DE LIQUIDACION 2025'!$D$3,'BASE DE LIQUIDACION 2025'!$D$4)</f>
        <v>110808.27512000001</v>
      </c>
      <c r="AE12" s="53">
        <f t="shared" si="1"/>
        <v>248376.6214</v>
      </c>
    </row>
    <row r="13" spans="1:31" s="46" customFormat="1">
      <c r="A13" s="69" t="s">
        <v>220</v>
      </c>
      <c r="B13" s="45" t="str">
        <f>VLOOKUP(A13,'CENTRO DE COSTOS'!A:D,4,FALSE)</f>
        <v>DIEGO FERNANDO HENAO CARDONA</v>
      </c>
      <c r="C13" s="45" t="str">
        <f>VLOOKUP(A13,'CENTRO DE COSTOS'!A:D,2,FALSE)</f>
        <v>0004-0003</v>
      </c>
      <c r="D13" s="69">
        <v>19212</v>
      </c>
      <c r="E13" s="70" t="s">
        <v>221</v>
      </c>
      <c r="F13" s="71">
        <v>80727</v>
      </c>
      <c r="G13" s="79" t="s">
        <v>132</v>
      </c>
      <c r="H13" s="73" t="s">
        <v>222</v>
      </c>
      <c r="I13" s="71" t="s">
        <v>223</v>
      </c>
      <c r="J13" s="81" t="s">
        <v>224</v>
      </c>
      <c r="K13" s="71" t="s">
        <v>225</v>
      </c>
      <c r="L13" s="75" t="s">
        <v>137</v>
      </c>
      <c r="M13" s="82" t="s">
        <v>226</v>
      </c>
      <c r="N13" s="74">
        <v>45868</v>
      </c>
      <c r="O13" s="76">
        <v>45870</v>
      </c>
      <c r="P13" s="83" t="s">
        <v>139</v>
      </c>
      <c r="Q13" s="84" t="s">
        <v>139</v>
      </c>
      <c r="R13" s="69" t="s">
        <v>140</v>
      </c>
      <c r="S13" s="72" t="s">
        <v>227</v>
      </c>
      <c r="T13" s="79" t="s">
        <v>228</v>
      </c>
      <c r="U13" s="69" t="s">
        <v>229</v>
      </c>
      <c r="V13" s="81" t="s">
        <v>230</v>
      </c>
      <c r="W13" s="76" t="s">
        <v>145</v>
      </c>
      <c r="X13" s="79" t="s">
        <v>228</v>
      </c>
      <c r="Y13" s="69">
        <v>1</v>
      </c>
      <c r="Z13" s="69">
        <v>1</v>
      </c>
      <c r="AA13" s="69">
        <v>1</v>
      </c>
      <c r="AB13" s="49">
        <f>IF(V13="TIPO I",'BASE DE LIQUIDACION 2025'!$B$3,'BASE DE LIQUIDACION 2025'!$B$4)</f>
        <v>11251.22416</v>
      </c>
      <c r="AC13" s="49">
        <f>IF(V13="TIPO I",'BASE DE LIQUIDACION 2025'!$C$3,'BASE DE LIQUIDACION 2025'!$C$4)</f>
        <v>126317.12212</v>
      </c>
      <c r="AD13" s="49">
        <f>IF(V13="TIPO I",'BASE DE LIQUIDACION 2025'!$D$3,'BASE DE LIQUIDACION 2025'!$D$4)</f>
        <v>110808.27512000001</v>
      </c>
      <c r="AE13" s="53">
        <f t="shared" si="1"/>
        <v>248376.6214</v>
      </c>
    </row>
    <row r="14" spans="1:31" s="46" customFormat="1">
      <c r="A14" s="69" t="s">
        <v>175</v>
      </c>
      <c r="B14" s="45" t="str">
        <f>VLOOKUP(A14,'CENTRO DE COSTOS'!A:D,4,FALSE)</f>
        <v>JUAN SEBASTIÁN RÍOS CASTRILLÓN</v>
      </c>
      <c r="C14" s="45" t="str">
        <f>VLOOKUP(A14,'CENTRO DE COSTOS'!A:D,2,FALSE)</f>
        <v>0004-0005</v>
      </c>
      <c r="D14" s="69">
        <v>5001</v>
      </c>
      <c r="E14" s="70" t="s">
        <v>231</v>
      </c>
      <c r="F14" s="71">
        <v>80762</v>
      </c>
      <c r="G14" s="79" t="s">
        <v>132</v>
      </c>
      <c r="H14" s="73" t="s">
        <v>133</v>
      </c>
      <c r="I14" s="71" t="s">
        <v>178</v>
      </c>
      <c r="J14" s="81" t="s">
        <v>175</v>
      </c>
      <c r="K14" s="71" t="s">
        <v>232</v>
      </c>
      <c r="L14" s="75" t="s">
        <v>137</v>
      </c>
      <c r="M14" s="82" t="s">
        <v>233</v>
      </c>
      <c r="N14" s="74">
        <v>45868</v>
      </c>
      <c r="O14" s="76">
        <v>45870</v>
      </c>
      <c r="P14" s="83" t="s">
        <v>139</v>
      </c>
      <c r="Q14" s="84" t="s">
        <v>139</v>
      </c>
      <c r="R14" s="69" t="s">
        <v>140</v>
      </c>
      <c r="S14" s="72" t="s">
        <v>234</v>
      </c>
      <c r="T14" s="79" t="s">
        <v>235</v>
      </c>
      <c r="U14" s="69" t="s">
        <v>236</v>
      </c>
      <c r="V14" s="81" t="s">
        <v>52</v>
      </c>
      <c r="W14" s="76" t="s">
        <v>145</v>
      </c>
      <c r="X14" s="79" t="s">
        <v>235</v>
      </c>
      <c r="Y14" s="69">
        <v>1</v>
      </c>
      <c r="Z14" s="69">
        <v>1</v>
      </c>
      <c r="AA14" s="69">
        <v>1</v>
      </c>
      <c r="AB14" s="49">
        <f>IF(V14="TIPO I",'BASE DE LIQUIDACION 2025'!$B$3,'BASE DE LIQUIDACION 2025'!$B$4)</f>
        <v>11251.22416</v>
      </c>
      <c r="AC14" s="49">
        <f>IF(V14="TIPO I",'BASE DE LIQUIDACION 2025'!$C$3,'BASE DE LIQUIDACION 2025'!$C$4)</f>
        <v>126317.12212</v>
      </c>
      <c r="AD14" s="49">
        <f>IF(V14="TIPO I",'BASE DE LIQUIDACION 2025'!$D$3,'BASE DE LIQUIDACION 2025'!$D$4)</f>
        <v>57411.974240000003</v>
      </c>
      <c r="AE14" s="53">
        <f t="shared" si="1"/>
        <v>194980.32052000001</v>
      </c>
    </row>
    <row r="15" spans="1:31" s="46" customFormat="1">
      <c r="A15" s="69" t="s">
        <v>151</v>
      </c>
      <c r="B15" s="45" t="str">
        <f>VLOOKUP(A15,'CENTRO DE COSTOS'!A:D,4,FALSE)</f>
        <v>DIEGO FERNANDO HENAO CARDONA</v>
      </c>
      <c r="C15" s="45" t="str">
        <f>VLOOKUP(A15,'CENTRO DE COSTOS'!A:D,2,FALSE)</f>
        <v>0004-0003</v>
      </c>
      <c r="D15" s="69">
        <v>52621</v>
      </c>
      <c r="E15" s="70" t="s">
        <v>237</v>
      </c>
      <c r="F15" s="71">
        <v>80750</v>
      </c>
      <c r="G15" s="79" t="s">
        <v>132</v>
      </c>
      <c r="H15" s="73" t="s">
        <v>133</v>
      </c>
      <c r="I15" s="71" t="s">
        <v>153</v>
      </c>
      <c r="J15" s="81" t="s">
        <v>238</v>
      </c>
      <c r="K15" s="71" t="s">
        <v>239</v>
      </c>
      <c r="L15" s="75" t="s">
        <v>137</v>
      </c>
      <c r="M15" s="82" t="s">
        <v>240</v>
      </c>
      <c r="N15" s="74">
        <v>45868</v>
      </c>
      <c r="O15" s="76">
        <v>45881</v>
      </c>
      <c r="P15" s="83" t="s">
        <v>139</v>
      </c>
      <c r="Q15" s="84" t="s">
        <v>139</v>
      </c>
      <c r="R15" s="69" t="s">
        <v>140</v>
      </c>
      <c r="S15" s="72" t="s">
        <v>241</v>
      </c>
      <c r="T15" s="79" t="s">
        <v>158</v>
      </c>
      <c r="U15" s="69" t="s">
        <v>242</v>
      </c>
      <c r="V15" s="81" t="s">
        <v>160</v>
      </c>
      <c r="W15" s="76" t="s">
        <v>161</v>
      </c>
      <c r="X15" s="79" t="s">
        <v>158</v>
      </c>
      <c r="Y15" s="69">
        <v>1</v>
      </c>
      <c r="Z15" s="69">
        <v>1</v>
      </c>
      <c r="AA15" s="69">
        <v>1</v>
      </c>
      <c r="AB15" s="49">
        <f>IF(V15="TIPO I",'BASE DE LIQUIDACION 2025'!$B$3,'BASE DE LIQUIDACION 2025'!$B$4)</f>
        <v>11251.22416</v>
      </c>
      <c r="AC15" s="49">
        <f>IF(V15="TIPO I",'BASE DE LIQUIDACION 2025'!$C$3,'BASE DE LIQUIDACION 2025'!$C$4)</f>
        <v>126317.12212</v>
      </c>
      <c r="AD15" s="49">
        <f>IF(V15="TIPO I",'BASE DE LIQUIDACION 2025'!$D$3,'BASE DE LIQUIDACION 2025'!$D$4)</f>
        <v>110808.27512000001</v>
      </c>
      <c r="AE15" s="53">
        <f t="shared" si="1"/>
        <v>248376.6214</v>
      </c>
    </row>
    <row r="16" spans="1:31" s="46" customFormat="1">
      <c r="A16" s="69" t="s">
        <v>151</v>
      </c>
      <c r="B16" s="45" t="str">
        <f>VLOOKUP(A16,'CENTRO DE COSTOS'!A:D,4,FALSE)</f>
        <v>DIEGO FERNANDO HENAO CARDONA</v>
      </c>
      <c r="C16" s="45" t="str">
        <f>VLOOKUP(A16,'CENTRO DE COSTOS'!A:D,2,FALSE)</f>
        <v>0004-0003</v>
      </c>
      <c r="D16" s="69">
        <v>52585</v>
      </c>
      <c r="E16" s="70" t="s">
        <v>243</v>
      </c>
      <c r="F16" s="71">
        <v>80749</v>
      </c>
      <c r="G16" s="79" t="s">
        <v>132</v>
      </c>
      <c r="H16" s="73" t="s">
        <v>133</v>
      </c>
      <c r="I16" s="71" t="s">
        <v>153</v>
      </c>
      <c r="J16" s="81" t="s">
        <v>244</v>
      </c>
      <c r="K16" s="71" t="s">
        <v>245</v>
      </c>
      <c r="L16" s="75" t="s">
        <v>137</v>
      </c>
      <c r="M16" s="82" t="s">
        <v>246</v>
      </c>
      <c r="N16" s="74">
        <v>45868</v>
      </c>
      <c r="O16" s="76">
        <v>45870</v>
      </c>
      <c r="P16" s="83" t="s">
        <v>139</v>
      </c>
      <c r="Q16" s="84" t="s">
        <v>139</v>
      </c>
      <c r="R16" s="69" t="s">
        <v>140</v>
      </c>
      <c r="S16" s="72" t="s">
        <v>247</v>
      </c>
      <c r="T16" s="79" t="s">
        <v>248</v>
      </c>
      <c r="U16" s="69" t="s">
        <v>249</v>
      </c>
      <c r="V16" s="81" t="s">
        <v>202</v>
      </c>
      <c r="W16" s="76" t="s">
        <v>145</v>
      </c>
      <c r="X16" s="79" t="s">
        <v>248</v>
      </c>
      <c r="Y16" s="69">
        <v>1</v>
      </c>
      <c r="Z16" s="69">
        <v>1</v>
      </c>
      <c r="AA16" s="69">
        <v>1</v>
      </c>
      <c r="AB16" s="49">
        <f>IF(V16="TIPO I",'BASE DE LIQUIDACION 2025'!$B$3,'BASE DE LIQUIDACION 2025'!$B$4)</f>
        <v>11251.22416</v>
      </c>
      <c r="AC16" s="49">
        <f>IF(V16="TIPO I",'BASE DE LIQUIDACION 2025'!$C$3,'BASE DE LIQUIDACION 2025'!$C$4)</f>
        <v>126317.12212</v>
      </c>
      <c r="AD16" s="49">
        <f>IF(V16="TIPO I",'BASE DE LIQUIDACION 2025'!$D$3,'BASE DE LIQUIDACION 2025'!$D$4)</f>
        <v>110808.27512000001</v>
      </c>
      <c r="AE16" s="53">
        <f t="shared" si="1"/>
        <v>248376.6214</v>
      </c>
    </row>
    <row r="17" spans="1:31" s="46" customFormat="1">
      <c r="A17" s="69" t="s">
        <v>151</v>
      </c>
      <c r="B17" s="45" t="str">
        <f>VLOOKUP(A17,'CENTRO DE COSTOS'!A:D,4,FALSE)</f>
        <v>DIEGO FERNANDO HENAO CARDONA</v>
      </c>
      <c r="C17" s="45" t="str">
        <f>VLOOKUP(A17,'CENTRO DE COSTOS'!A:D,2,FALSE)</f>
        <v>0004-0003</v>
      </c>
      <c r="D17" s="69">
        <v>52427</v>
      </c>
      <c r="E17" s="70" t="s">
        <v>250</v>
      </c>
      <c r="F17" s="71">
        <v>80739</v>
      </c>
      <c r="G17" s="79" t="s">
        <v>132</v>
      </c>
      <c r="H17" s="73" t="s">
        <v>133</v>
      </c>
      <c r="I17" s="71" t="s">
        <v>153</v>
      </c>
      <c r="J17" s="81" t="s">
        <v>154</v>
      </c>
      <c r="K17" s="71" t="s">
        <v>251</v>
      </c>
      <c r="L17" s="75" t="s">
        <v>137</v>
      </c>
      <c r="M17" s="82" t="s">
        <v>252</v>
      </c>
      <c r="N17" s="74">
        <v>45868</v>
      </c>
      <c r="O17" s="76">
        <v>45882</v>
      </c>
      <c r="P17" s="83" t="s">
        <v>139</v>
      </c>
      <c r="Q17" s="84" t="s">
        <v>139</v>
      </c>
      <c r="R17" s="69" t="s">
        <v>140</v>
      </c>
      <c r="S17" s="72" t="s">
        <v>253</v>
      </c>
      <c r="T17" s="79" t="s">
        <v>158</v>
      </c>
      <c r="U17" s="69" t="s">
        <v>254</v>
      </c>
      <c r="V17" s="81" t="s">
        <v>160</v>
      </c>
      <c r="W17" s="76" t="s">
        <v>161</v>
      </c>
      <c r="X17" s="79" t="s">
        <v>158</v>
      </c>
      <c r="Y17" s="69">
        <v>1</v>
      </c>
      <c r="Z17" s="69">
        <v>1</v>
      </c>
      <c r="AA17" s="69">
        <v>1</v>
      </c>
      <c r="AB17" s="49">
        <f>IF(V17="TIPO I",'BASE DE LIQUIDACION 2025'!$B$3,'BASE DE LIQUIDACION 2025'!$B$4)</f>
        <v>11251.22416</v>
      </c>
      <c r="AC17" s="49">
        <f>IF(V17="TIPO I",'BASE DE LIQUIDACION 2025'!$C$3,'BASE DE LIQUIDACION 2025'!$C$4)</f>
        <v>126317.12212</v>
      </c>
      <c r="AD17" s="49">
        <f>IF(V17="TIPO I",'BASE DE LIQUIDACION 2025'!$D$3,'BASE DE LIQUIDACION 2025'!$D$4)</f>
        <v>110808.27512000001</v>
      </c>
      <c r="AE17" s="53">
        <f t="shared" si="1"/>
        <v>248376.6214</v>
      </c>
    </row>
    <row r="18" spans="1:31" s="46" customFormat="1">
      <c r="A18" s="69" t="s">
        <v>175</v>
      </c>
      <c r="B18" s="45" t="str">
        <f>VLOOKUP(A18,'CENTRO DE COSTOS'!A:D,4,FALSE)</f>
        <v>JUAN SEBASTIÁN RÍOS CASTRILLÓN</v>
      </c>
      <c r="C18" s="45" t="str">
        <f>VLOOKUP(A18,'CENTRO DE COSTOS'!A:D,2,FALSE)</f>
        <v>0004-0005</v>
      </c>
      <c r="D18" s="69">
        <v>5001</v>
      </c>
      <c r="E18" s="70" t="s">
        <v>255</v>
      </c>
      <c r="F18" s="71">
        <v>80763</v>
      </c>
      <c r="G18" s="79" t="s">
        <v>132</v>
      </c>
      <c r="H18" s="73" t="s">
        <v>133</v>
      </c>
      <c r="I18" s="71" t="s">
        <v>178</v>
      </c>
      <c r="J18" s="81" t="s">
        <v>175</v>
      </c>
      <c r="K18" s="71" t="s">
        <v>256</v>
      </c>
      <c r="L18" s="75" t="s">
        <v>137</v>
      </c>
      <c r="M18" s="82" t="s">
        <v>257</v>
      </c>
      <c r="N18" s="74">
        <v>45868</v>
      </c>
      <c r="O18" s="76">
        <v>45870</v>
      </c>
      <c r="P18" s="83" t="s">
        <v>139</v>
      </c>
      <c r="Q18" s="84" t="s">
        <v>139</v>
      </c>
      <c r="R18" s="69" t="s">
        <v>140</v>
      </c>
      <c r="S18" s="72" t="s">
        <v>258</v>
      </c>
      <c r="T18" s="79" t="s">
        <v>235</v>
      </c>
      <c r="U18" s="69" t="s">
        <v>259</v>
      </c>
      <c r="V18" s="81" t="s">
        <v>52</v>
      </c>
      <c r="W18" s="76" t="s">
        <v>145</v>
      </c>
      <c r="X18" s="79" t="s">
        <v>235</v>
      </c>
      <c r="Y18" s="69">
        <v>1</v>
      </c>
      <c r="Z18" s="69">
        <v>1</v>
      </c>
      <c r="AA18" s="69">
        <v>1</v>
      </c>
      <c r="AB18" s="49">
        <f>IF(V18="TIPO I",'BASE DE LIQUIDACION 2025'!$B$3,'BASE DE LIQUIDACION 2025'!$B$4)</f>
        <v>11251.22416</v>
      </c>
      <c r="AC18" s="49">
        <f>IF(V18="TIPO I",'BASE DE LIQUIDACION 2025'!$C$3,'BASE DE LIQUIDACION 2025'!$C$4)</f>
        <v>126317.12212</v>
      </c>
      <c r="AD18" s="49">
        <f>IF(V18="TIPO I",'BASE DE LIQUIDACION 2025'!$D$3,'BASE DE LIQUIDACION 2025'!$D$4)</f>
        <v>57411.974240000003</v>
      </c>
      <c r="AE18" s="53">
        <f t="shared" si="1"/>
        <v>194980.32052000001</v>
      </c>
    </row>
    <row r="19" spans="1:31" s="46" customFormat="1">
      <c r="A19" s="69" t="s">
        <v>260</v>
      </c>
      <c r="B19" s="45" t="str">
        <f>VLOOKUP(A19,'CENTRO DE COSTOS'!A:D,4,FALSE)</f>
        <v>KEVIN ALEXIS CORZO BUSTOS</v>
      </c>
      <c r="C19" s="45" t="str">
        <f>VLOOKUP(A19,'CENTRO DE COSTOS'!A:D,2,FALSE)</f>
        <v>0004-0007</v>
      </c>
      <c r="D19" s="69">
        <v>50313</v>
      </c>
      <c r="E19" s="70" t="s">
        <v>261</v>
      </c>
      <c r="F19" s="71">
        <v>80737</v>
      </c>
      <c r="G19" s="79" t="s">
        <v>132</v>
      </c>
      <c r="H19" s="73" t="s">
        <v>133</v>
      </c>
      <c r="I19" s="71" t="s">
        <v>262</v>
      </c>
      <c r="J19" s="81" t="s">
        <v>263</v>
      </c>
      <c r="K19" s="71" t="s">
        <v>264</v>
      </c>
      <c r="L19" s="75" t="s">
        <v>137</v>
      </c>
      <c r="M19" s="82" t="s">
        <v>265</v>
      </c>
      <c r="N19" s="74">
        <v>45868</v>
      </c>
      <c r="O19" s="76">
        <v>45870</v>
      </c>
      <c r="P19" s="83" t="s">
        <v>139</v>
      </c>
      <c r="Q19" s="84" t="s">
        <v>139</v>
      </c>
      <c r="R19" s="69" t="s">
        <v>140</v>
      </c>
      <c r="S19" s="72" t="s">
        <v>266</v>
      </c>
      <c r="T19" s="79" t="s">
        <v>267</v>
      </c>
      <c r="U19" s="69" t="s">
        <v>268</v>
      </c>
      <c r="V19" s="81" t="s">
        <v>202</v>
      </c>
      <c r="W19" s="76" t="s">
        <v>145</v>
      </c>
      <c r="X19" s="79" t="s">
        <v>267</v>
      </c>
      <c r="Y19" s="69">
        <v>1</v>
      </c>
      <c r="Z19" s="69">
        <v>1</v>
      </c>
      <c r="AA19" s="69">
        <v>1</v>
      </c>
      <c r="AB19" s="49">
        <f>IF(V19="TIPO I",'BASE DE LIQUIDACION 2025'!$B$3,'BASE DE LIQUIDACION 2025'!$B$4)</f>
        <v>11251.22416</v>
      </c>
      <c r="AC19" s="49">
        <f>IF(V19="TIPO I",'BASE DE LIQUIDACION 2025'!$C$3,'BASE DE LIQUIDACION 2025'!$C$4)</f>
        <v>126317.12212</v>
      </c>
      <c r="AD19" s="49">
        <f>IF(V19="TIPO I",'BASE DE LIQUIDACION 2025'!$D$3,'BASE DE LIQUIDACION 2025'!$D$4)</f>
        <v>110808.27512000001</v>
      </c>
      <c r="AE19" s="53">
        <f t="shared" si="1"/>
        <v>248376.6214</v>
      </c>
    </row>
    <row r="20" spans="1:31" s="46" customFormat="1">
      <c r="A20" s="69" t="s">
        <v>269</v>
      </c>
      <c r="B20" s="45" t="str">
        <f>VLOOKUP(A20,'CENTRO DE COSTOS'!A:D,4,FALSE)</f>
        <v>MIGUEL JULIÁN HERNÁNDEZ GUARÍN</v>
      </c>
      <c r="C20" s="45" t="str">
        <f>VLOOKUP(A20,'CENTRO DE COSTOS'!A:D,2,FALSE)</f>
        <v>0004-0008</v>
      </c>
      <c r="D20" s="69">
        <v>13688</v>
      </c>
      <c r="E20" s="70" t="s">
        <v>270</v>
      </c>
      <c r="F20" s="71">
        <v>80753</v>
      </c>
      <c r="G20" s="79" t="s">
        <v>132</v>
      </c>
      <c r="H20" s="73" t="s">
        <v>133</v>
      </c>
      <c r="I20" s="71" t="s">
        <v>271</v>
      </c>
      <c r="J20" s="81" t="s">
        <v>272</v>
      </c>
      <c r="K20" s="71" t="s">
        <v>273</v>
      </c>
      <c r="L20" s="75" t="s">
        <v>137</v>
      </c>
      <c r="M20" s="82" t="s">
        <v>274</v>
      </c>
      <c r="N20" s="74">
        <v>45868</v>
      </c>
      <c r="O20" s="76">
        <v>45874</v>
      </c>
      <c r="P20" s="83" t="s">
        <v>139</v>
      </c>
      <c r="Q20" s="84" t="s">
        <v>139</v>
      </c>
      <c r="R20" s="69" t="s">
        <v>140</v>
      </c>
      <c r="S20" s="72" t="s">
        <v>275</v>
      </c>
      <c r="T20" s="79" t="s">
        <v>276</v>
      </c>
      <c r="U20" s="69" t="s">
        <v>277</v>
      </c>
      <c r="V20" s="81" t="s">
        <v>160</v>
      </c>
      <c r="W20" s="76" t="s">
        <v>278</v>
      </c>
      <c r="X20" s="79" t="s">
        <v>276</v>
      </c>
      <c r="Y20" s="69">
        <v>1</v>
      </c>
      <c r="Z20" s="69">
        <v>1</v>
      </c>
      <c r="AA20" s="69">
        <v>1</v>
      </c>
      <c r="AB20" s="49">
        <f>IF(V20="TIPO I",'BASE DE LIQUIDACION 2025'!$B$3,'BASE DE LIQUIDACION 2025'!$B$4)</f>
        <v>11251.22416</v>
      </c>
      <c r="AC20" s="49">
        <f>IF(V20="TIPO I",'BASE DE LIQUIDACION 2025'!$C$3,'BASE DE LIQUIDACION 2025'!$C$4)</f>
        <v>126317.12212</v>
      </c>
      <c r="AD20" s="49">
        <f>IF(V20="TIPO I",'BASE DE LIQUIDACION 2025'!$D$3,'BASE DE LIQUIDACION 2025'!$D$4)</f>
        <v>110808.27512000001</v>
      </c>
      <c r="AE20" s="53">
        <f t="shared" si="1"/>
        <v>248376.6214</v>
      </c>
    </row>
    <row r="21" spans="1:31" s="46" customFormat="1">
      <c r="A21" s="69" t="s">
        <v>130</v>
      </c>
      <c r="B21" s="45" t="str">
        <f>VLOOKUP(A21,'CENTRO DE COSTOS'!A:D,4,FALSE)</f>
        <v>KEVIN ALEXIS CORZO BUSTOS</v>
      </c>
      <c r="C21" s="45" t="str">
        <f>VLOOKUP(A21,'CENTRO DE COSTOS'!A:D,2,FALSE)</f>
        <v>0004-0007</v>
      </c>
      <c r="D21" s="69">
        <v>18001</v>
      </c>
      <c r="E21" s="70" t="s">
        <v>279</v>
      </c>
      <c r="F21" s="71">
        <v>80733</v>
      </c>
      <c r="G21" s="79" t="s">
        <v>132</v>
      </c>
      <c r="H21" s="73" t="s">
        <v>133</v>
      </c>
      <c r="I21" s="71" t="s">
        <v>134</v>
      </c>
      <c r="J21" s="81" t="s">
        <v>135</v>
      </c>
      <c r="K21" s="71" t="s">
        <v>280</v>
      </c>
      <c r="L21" s="75" t="s">
        <v>137</v>
      </c>
      <c r="M21" s="82" t="s">
        <v>281</v>
      </c>
      <c r="N21" s="74">
        <v>45868</v>
      </c>
      <c r="O21" s="76">
        <v>45873</v>
      </c>
      <c r="P21" s="83" t="s">
        <v>139</v>
      </c>
      <c r="Q21" s="84" t="s">
        <v>139</v>
      </c>
      <c r="R21" s="69" t="s">
        <v>140</v>
      </c>
      <c r="S21" s="72" t="s">
        <v>282</v>
      </c>
      <c r="T21" s="79" t="s">
        <v>283</v>
      </c>
      <c r="U21" s="69" t="s">
        <v>284</v>
      </c>
      <c r="V21" s="81" t="s">
        <v>144</v>
      </c>
      <c r="W21" s="76" t="s">
        <v>145</v>
      </c>
      <c r="X21" s="79" t="s">
        <v>283</v>
      </c>
      <c r="Y21" s="69">
        <v>1</v>
      </c>
      <c r="Z21" s="69">
        <v>1</v>
      </c>
      <c r="AA21" s="69">
        <v>1</v>
      </c>
      <c r="AB21" s="49">
        <f>IF(V21="TIPO I",'BASE DE LIQUIDACION 2025'!$B$3,'BASE DE LIQUIDACION 2025'!$B$4)</f>
        <v>11251.22416</v>
      </c>
      <c r="AC21" s="49">
        <f>IF(V21="TIPO I",'BASE DE LIQUIDACION 2025'!$C$3,'BASE DE LIQUIDACION 2025'!$C$4)</f>
        <v>126317.12212</v>
      </c>
      <c r="AD21" s="49">
        <f>IF(V21="TIPO I",'BASE DE LIQUIDACION 2025'!$D$3,'BASE DE LIQUIDACION 2025'!$D$4)</f>
        <v>110808.27512000001</v>
      </c>
      <c r="AE21" s="53">
        <f t="shared" si="1"/>
        <v>248376.6214</v>
      </c>
    </row>
    <row r="22" spans="1:31" s="46" customFormat="1">
      <c r="A22" s="69" t="s">
        <v>285</v>
      </c>
      <c r="B22" s="45" t="str">
        <f>VLOOKUP(A22,'CENTRO DE COSTOS'!A:D,4,FALSE)</f>
        <v>MIGUEL JULIÁN HERNÁNDEZ GUARÍN</v>
      </c>
      <c r="C22" s="45" t="str">
        <f>VLOOKUP(A22,'CENTRO DE COSTOS'!A:D,2,FALSE)</f>
        <v>0004-0008</v>
      </c>
      <c r="D22" s="69">
        <v>54498</v>
      </c>
      <c r="E22" s="70" t="s">
        <v>286</v>
      </c>
      <c r="F22" s="71">
        <v>80745</v>
      </c>
      <c r="G22" s="79" t="s">
        <v>132</v>
      </c>
      <c r="H22" s="73" t="s">
        <v>133</v>
      </c>
      <c r="I22" s="71" t="s">
        <v>287</v>
      </c>
      <c r="J22" s="81" t="s">
        <v>288</v>
      </c>
      <c r="K22" s="71" t="s">
        <v>289</v>
      </c>
      <c r="L22" s="75" t="s">
        <v>137</v>
      </c>
      <c r="M22" s="82" t="s">
        <v>290</v>
      </c>
      <c r="N22" s="74">
        <v>45868</v>
      </c>
      <c r="O22" s="76">
        <v>45870</v>
      </c>
      <c r="P22" s="83" t="s">
        <v>139</v>
      </c>
      <c r="Q22" s="84" t="s">
        <v>139</v>
      </c>
      <c r="R22" s="69" t="s">
        <v>140</v>
      </c>
      <c r="S22" s="72" t="s">
        <v>291</v>
      </c>
      <c r="T22" s="79" t="s">
        <v>292</v>
      </c>
      <c r="U22" s="69" t="s">
        <v>293</v>
      </c>
      <c r="V22" s="81" t="s">
        <v>144</v>
      </c>
      <c r="W22" s="76" t="s">
        <v>145</v>
      </c>
      <c r="X22" s="79" t="s">
        <v>292</v>
      </c>
      <c r="Y22" s="69">
        <v>1</v>
      </c>
      <c r="Z22" s="69">
        <v>1</v>
      </c>
      <c r="AA22" s="69">
        <v>1</v>
      </c>
      <c r="AB22" s="49">
        <f>IF(V22="TIPO I",'BASE DE LIQUIDACION 2025'!$B$3,'BASE DE LIQUIDACION 2025'!$B$4)</f>
        <v>11251.22416</v>
      </c>
      <c r="AC22" s="49">
        <f>IF(V22="TIPO I",'BASE DE LIQUIDACION 2025'!$C$3,'BASE DE LIQUIDACION 2025'!$C$4)</f>
        <v>126317.12212</v>
      </c>
      <c r="AD22" s="49">
        <f>IF(V22="TIPO I",'BASE DE LIQUIDACION 2025'!$D$3,'BASE DE LIQUIDACION 2025'!$D$4)</f>
        <v>110808.27512000001</v>
      </c>
      <c r="AE22" s="53">
        <f t="shared" si="1"/>
        <v>248376.6214</v>
      </c>
    </row>
    <row r="23" spans="1:31" s="46" customFormat="1">
      <c r="A23" s="69" t="s">
        <v>220</v>
      </c>
      <c r="B23" s="45" t="str">
        <f>VLOOKUP(A23,'CENTRO DE COSTOS'!A:D,4,FALSE)</f>
        <v>DIEGO FERNANDO HENAO CARDONA</v>
      </c>
      <c r="C23" s="45" t="str">
        <f>VLOOKUP(A23,'CENTRO DE COSTOS'!A:D,2,FALSE)</f>
        <v>0004-0003</v>
      </c>
      <c r="D23" s="69">
        <v>19137</v>
      </c>
      <c r="E23" s="70" t="s">
        <v>294</v>
      </c>
      <c r="F23" s="71">
        <v>80723</v>
      </c>
      <c r="G23" s="79" t="s">
        <v>132</v>
      </c>
      <c r="H23" s="73" t="s">
        <v>133</v>
      </c>
      <c r="I23" s="71" t="s">
        <v>223</v>
      </c>
      <c r="J23" s="81" t="s">
        <v>295</v>
      </c>
      <c r="K23" s="71" t="s">
        <v>296</v>
      </c>
      <c r="L23" s="75" t="s">
        <v>137</v>
      </c>
      <c r="M23" s="82" t="s">
        <v>297</v>
      </c>
      <c r="N23" s="74">
        <v>45868</v>
      </c>
      <c r="O23" s="76">
        <v>45870</v>
      </c>
      <c r="P23" s="83" t="s">
        <v>139</v>
      </c>
      <c r="Q23" s="84" t="s">
        <v>139</v>
      </c>
      <c r="R23" s="69" t="s">
        <v>140</v>
      </c>
      <c r="S23" s="72" t="s">
        <v>298</v>
      </c>
      <c r="T23" s="79" t="s">
        <v>299</v>
      </c>
      <c r="U23" s="69" t="s">
        <v>300</v>
      </c>
      <c r="V23" s="81" t="s">
        <v>230</v>
      </c>
      <c r="W23" s="76" t="s">
        <v>145</v>
      </c>
      <c r="X23" s="79" t="s">
        <v>299</v>
      </c>
      <c r="Y23" s="69">
        <v>1</v>
      </c>
      <c r="Z23" s="69">
        <v>1</v>
      </c>
      <c r="AA23" s="69">
        <v>1</v>
      </c>
      <c r="AB23" s="49">
        <f>IF(V23="TIPO I",'BASE DE LIQUIDACION 2025'!$B$3,'BASE DE LIQUIDACION 2025'!$B$4)</f>
        <v>11251.22416</v>
      </c>
      <c r="AC23" s="49">
        <f>IF(V23="TIPO I",'BASE DE LIQUIDACION 2025'!$C$3,'BASE DE LIQUIDACION 2025'!$C$4)</f>
        <v>126317.12212</v>
      </c>
      <c r="AD23" s="49">
        <f>IF(V23="TIPO I",'BASE DE LIQUIDACION 2025'!$D$3,'BASE DE LIQUIDACION 2025'!$D$4)</f>
        <v>110808.27512000001</v>
      </c>
      <c r="AE23" s="53">
        <f t="shared" si="1"/>
        <v>248376.6214</v>
      </c>
    </row>
    <row r="24" spans="1:31" s="46" customFormat="1">
      <c r="A24" s="69" t="s">
        <v>301</v>
      </c>
      <c r="B24" s="45" t="str">
        <f>VLOOKUP(A24,'CENTRO DE COSTOS'!A:D,4,FALSE)</f>
        <v>JOSE MAURICIO HERNANDEZ ROJAS</v>
      </c>
      <c r="C24" s="45" t="str">
        <f>VLOOKUP(A24,'CENTRO DE COSTOS'!A:D,2,FALSE)</f>
        <v>0004-0001</v>
      </c>
      <c r="D24" s="69">
        <v>13442</v>
      </c>
      <c r="E24" s="70" t="s">
        <v>302</v>
      </c>
      <c r="F24" s="71">
        <v>80740</v>
      </c>
      <c r="G24" s="79" t="s">
        <v>132</v>
      </c>
      <c r="H24" s="73" t="s">
        <v>133</v>
      </c>
      <c r="I24" s="71" t="s">
        <v>271</v>
      </c>
      <c r="J24" s="81" t="s">
        <v>303</v>
      </c>
      <c r="K24" s="71" t="s">
        <v>304</v>
      </c>
      <c r="L24" s="75" t="s">
        <v>137</v>
      </c>
      <c r="M24" s="82" t="s">
        <v>305</v>
      </c>
      <c r="N24" s="74">
        <v>45868</v>
      </c>
      <c r="O24" s="76">
        <v>45875</v>
      </c>
      <c r="P24" s="83" t="s">
        <v>139</v>
      </c>
      <c r="Q24" s="84" t="s">
        <v>139</v>
      </c>
      <c r="R24" s="69" t="s">
        <v>140</v>
      </c>
      <c r="S24" s="72" t="s">
        <v>306</v>
      </c>
      <c r="T24" s="79" t="s">
        <v>307</v>
      </c>
      <c r="U24" s="69" t="s">
        <v>308</v>
      </c>
      <c r="V24" s="81" t="s">
        <v>202</v>
      </c>
      <c r="W24" s="76" t="s">
        <v>145</v>
      </c>
      <c r="X24" s="79" t="s">
        <v>307</v>
      </c>
      <c r="Y24" s="69">
        <v>1</v>
      </c>
      <c r="Z24" s="69">
        <v>1</v>
      </c>
      <c r="AA24" s="69">
        <v>1</v>
      </c>
      <c r="AB24" s="49">
        <f>IF(V24="TIPO I",'BASE DE LIQUIDACION 2025'!$B$3,'BASE DE LIQUIDACION 2025'!$B$4)</f>
        <v>11251.22416</v>
      </c>
      <c r="AC24" s="49">
        <f>IF(V24="TIPO I",'BASE DE LIQUIDACION 2025'!$C$3,'BASE DE LIQUIDACION 2025'!$C$4)</f>
        <v>126317.12212</v>
      </c>
      <c r="AD24" s="49">
        <f>IF(V24="TIPO I",'BASE DE LIQUIDACION 2025'!$D$3,'BASE DE LIQUIDACION 2025'!$D$4)</f>
        <v>110808.27512000001</v>
      </c>
      <c r="AE24" s="53">
        <f t="shared" si="1"/>
        <v>248376.6214</v>
      </c>
    </row>
    <row r="25" spans="1:31" s="46" customFormat="1">
      <c r="A25" s="69" t="s">
        <v>130</v>
      </c>
      <c r="B25" s="45" t="str">
        <f>VLOOKUP(A25,'CENTRO DE COSTOS'!A:D,4,FALSE)</f>
        <v>KEVIN ALEXIS CORZO BUSTOS</v>
      </c>
      <c r="C25" s="45" t="str">
        <f>VLOOKUP(A25,'CENTRO DE COSTOS'!A:D,2,FALSE)</f>
        <v>0004-0007</v>
      </c>
      <c r="D25" s="69">
        <v>41396</v>
      </c>
      <c r="E25" s="70" t="s">
        <v>309</v>
      </c>
      <c r="F25" s="71">
        <v>80738</v>
      </c>
      <c r="G25" s="79" t="s">
        <v>132</v>
      </c>
      <c r="H25" s="73" t="s">
        <v>133</v>
      </c>
      <c r="I25" s="71" t="s">
        <v>213</v>
      </c>
      <c r="J25" s="81" t="s">
        <v>310</v>
      </c>
      <c r="K25" s="71" t="s">
        <v>311</v>
      </c>
      <c r="L25" s="75" t="s">
        <v>137</v>
      </c>
      <c r="M25" s="82" t="s">
        <v>312</v>
      </c>
      <c r="N25" s="74">
        <v>45868</v>
      </c>
      <c r="O25" s="76">
        <v>45870</v>
      </c>
      <c r="P25" s="83" t="s">
        <v>139</v>
      </c>
      <c r="Q25" s="84" t="s">
        <v>139</v>
      </c>
      <c r="R25" s="69" t="s">
        <v>140</v>
      </c>
      <c r="S25" s="72" t="s">
        <v>313</v>
      </c>
      <c r="T25" s="79" t="s">
        <v>314</v>
      </c>
      <c r="U25" s="69" t="s">
        <v>315</v>
      </c>
      <c r="V25" s="81" t="s">
        <v>230</v>
      </c>
      <c r="W25" s="76" t="s">
        <v>145</v>
      </c>
      <c r="X25" s="79" t="s">
        <v>314</v>
      </c>
      <c r="Y25" s="69">
        <v>1</v>
      </c>
      <c r="Z25" s="69">
        <v>1</v>
      </c>
      <c r="AA25" s="69">
        <v>1</v>
      </c>
      <c r="AB25" s="49">
        <f>IF(V25="TIPO I",'BASE DE LIQUIDACION 2025'!$B$3,'BASE DE LIQUIDACION 2025'!$B$4)</f>
        <v>11251.22416</v>
      </c>
      <c r="AC25" s="49">
        <f>IF(V25="TIPO I",'BASE DE LIQUIDACION 2025'!$C$3,'BASE DE LIQUIDACION 2025'!$C$4)</f>
        <v>126317.12212</v>
      </c>
      <c r="AD25" s="49">
        <f>IF(V25="TIPO I",'BASE DE LIQUIDACION 2025'!$D$3,'BASE DE LIQUIDACION 2025'!$D$4)</f>
        <v>110808.27512000001</v>
      </c>
      <c r="AE25" s="53">
        <f t="shared" si="1"/>
        <v>248376.6214</v>
      </c>
    </row>
    <row r="26" spans="1:31" s="46" customFormat="1">
      <c r="A26" s="69" t="s">
        <v>175</v>
      </c>
      <c r="B26" s="45" t="str">
        <f>VLOOKUP(A26,'CENTRO DE COSTOS'!A:D,4,FALSE)</f>
        <v>JUAN SEBASTIÁN RÍOS CASTRILLÓN</v>
      </c>
      <c r="C26" s="45" t="str">
        <f>VLOOKUP(A26,'CENTRO DE COSTOS'!A:D,2,FALSE)</f>
        <v>0004-0005</v>
      </c>
      <c r="D26" s="69">
        <v>5001</v>
      </c>
      <c r="E26" s="70" t="s">
        <v>316</v>
      </c>
      <c r="F26" s="71">
        <v>80761</v>
      </c>
      <c r="G26" s="79" t="s">
        <v>132</v>
      </c>
      <c r="H26" s="73" t="s">
        <v>133</v>
      </c>
      <c r="I26" s="71" t="s">
        <v>178</v>
      </c>
      <c r="J26" s="81" t="s">
        <v>175</v>
      </c>
      <c r="K26" s="71" t="s">
        <v>317</v>
      </c>
      <c r="L26" s="75" t="s">
        <v>137</v>
      </c>
      <c r="M26" s="82" t="s">
        <v>318</v>
      </c>
      <c r="N26" s="74">
        <v>45868</v>
      </c>
      <c r="O26" s="76">
        <v>45870</v>
      </c>
      <c r="P26" s="83" t="s">
        <v>139</v>
      </c>
      <c r="Q26" s="84" t="s">
        <v>139</v>
      </c>
      <c r="R26" s="69" t="s">
        <v>140</v>
      </c>
      <c r="S26" s="72" t="s">
        <v>319</v>
      </c>
      <c r="T26" s="79" t="s">
        <v>189</v>
      </c>
      <c r="U26" s="69" t="s">
        <v>320</v>
      </c>
      <c r="V26" s="81" t="s">
        <v>52</v>
      </c>
      <c r="W26" s="76" t="s">
        <v>145</v>
      </c>
      <c r="X26" s="79" t="s">
        <v>189</v>
      </c>
      <c r="Y26" s="69">
        <v>1</v>
      </c>
      <c r="Z26" s="69">
        <v>1</v>
      </c>
      <c r="AA26" s="69">
        <v>1</v>
      </c>
      <c r="AB26" s="49">
        <f>IF(V26="TIPO I",'BASE DE LIQUIDACION 2025'!$B$3,'BASE DE LIQUIDACION 2025'!$B$4)</f>
        <v>11251.22416</v>
      </c>
      <c r="AC26" s="49">
        <f>IF(V26="TIPO I",'BASE DE LIQUIDACION 2025'!$C$3,'BASE DE LIQUIDACION 2025'!$C$4)</f>
        <v>126317.12212</v>
      </c>
      <c r="AD26" s="49">
        <f>IF(V26="TIPO I",'BASE DE LIQUIDACION 2025'!$D$3,'BASE DE LIQUIDACION 2025'!$D$4)</f>
        <v>57411.974240000003</v>
      </c>
      <c r="AE26" s="53">
        <f t="shared" si="1"/>
        <v>194980.32052000001</v>
      </c>
    </row>
    <row r="27" spans="1:31" s="46" customFormat="1">
      <c r="A27" s="69" t="s">
        <v>203</v>
      </c>
      <c r="B27" s="45" t="str">
        <f>VLOOKUP(A27,'CENTRO DE COSTOS'!A:D,4,FALSE)</f>
        <v>MIGUEL JULIÁN HERNÁNDEZ GUARÍN</v>
      </c>
      <c r="C27" s="45" t="str">
        <f>VLOOKUP(A27,'CENTRO DE COSTOS'!A:D,2,FALSE)</f>
        <v>0004-0008</v>
      </c>
      <c r="D27" s="69">
        <v>15759</v>
      </c>
      <c r="E27" s="70" t="s">
        <v>321</v>
      </c>
      <c r="F27" s="71">
        <v>80755</v>
      </c>
      <c r="G27" s="79" t="s">
        <v>132</v>
      </c>
      <c r="H27" s="73" t="s">
        <v>133</v>
      </c>
      <c r="I27" s="71" t="s">
        <v>205</v>
      </c>
      <c r="J27" s="81" t="s">
        <v>322</v>
      </c>
      <c r="K27" s="71" t="s">
        <v>323</v>
      </c>
      <c r="L27" s="75" t="s">
        <v>137</v>
      </c>
      <c r="M27" s="82" t="s">
        <v>324</v>
      </c>
      <c r="N27" s="74">
        <v>45868</v>
      </c>
      <c r="O27" s="76">
        <v>45870</v>
      </c>
      <c r="P27" s="83" t="s">
        <v>139</v>
      </c>
      <c r="Q27" s="84" t="s">
        <v>139</v>
      </c>
      <c r="R27" s="69" t="s">
        <v>140</v>
      </c>
      <c r="S27" s="72" t="s">
        <v>325</v>
      </c>
      <c r="T27" s="79" t="s">
        <v>210</v>
      </c>
      <c r="U27" s="69" t="s">
        <v>326</v>
      </c>
      <c r="V27" s="81" t="s">
        <v>202</v>
      </c>
      <c r="W27" s="76" t="s">
        <v>145</v>
      </c>
      <c r="X27" s="79" t="s">
        <v>210</v>
      </c>
      <c r="Y27" s="69">
        <v>1</v>
      </c>
      <c r="Z27" s="69">
        <v>1</v>
      </c>
      <c r="AA27" s="69">
        <v>1</v>
      </c>
      <c r="AB27" s="49">
        <f>IF(V27="TIPO I",'BASE DE LIQUIDACION 2025'!$B$3,'BASE DE LIQUIDACION 2025'!$B$4)</f>
        <v>11251.22416</v>
      </c>
      <c r="AC27" s="49">
        <f>IF(V27="TIPO I",'BASE DE LIQUIDACION 2025'!$C$3,'BASE DE LIQUIDACION 2025'!$C$4)</f>
        <v>126317.12212</v>
      </c>
      <c r="AD27" s="49">
        <f>IF(V27="TIPO I",'BASE DE LIQUIDACION 2025'!$D$3,'BASE DE LIQUIDACION 2025'!$D$4)</f>
        <v>110808.27512000001</v>
      </c>
      <c r="AE27" s="53">
        <f t="shared" si="1"/>
        <v>248376.6214</v>
      </c>
    </row>
    <row r="28" spans="1:31" s="46" customFormat="1">
      <c r="A28" s="69" t="s">
        <v>260</v>
      </c>
      <c r="B28" s="45" t="str">
        <f>VLOOKUP(A28,'CENTRO DE COSTOS'!A:D,4,FALSE)</f>
        <v>KEVIN ALEXIS CORZO BUSTOS</v>
      </c>
      <c r="C28" s="45" t="str">
        <f>VLOOKUP(A28,'CENTRO DE COSTOS'!A:D,2,FALSE)</f>
        <v>0004-0007</v>
      </c>
      <c r="D28" s="69">
        <v>50110</v>
      </c>
      <c r="E28" s="70" t="s">
        <v>327</v>
      </c>
      <c r="F28" s="71">
        <v>80719</v>
      </c>
      <c r="G28" s="79" t="s">
        <v>132</v>
      </c>
      <c r="H28" s="73" t="s">
        <v>133</v>
      </c>
      <c r="I28" s="71" t="s">
        <v>262</v>
      </c>
      <c r="J28" s="81" t="s">
        <v>328</v>
      </c>
      <c r="K28" s="71" t="s">
        <v>329</v>
      </c>
      <c r="L28" s="75" t="s">
        <v>137</v>
      </c>
      <c r="M28" s="82" t="s">
        <v>330</v>
      </c>
      <c r="N28" s="74">
        <v>45868</v>
      </c>
      <c r="O28" s="76">
        <v>45870</v>
      </c>
      <c r="P28" s="83" t="s">
        <v>139</v>
      </c>
      <c r="Q28" s="84" t="s">
        <v>139</v>
      </c>
      <c r="R28" s="69" t="s">
        <v>140</v>
      </c>
      <c r="S28" s="72" t="s">
        <v>331</v>
      </c>
      <c r="T28" s="79" t="s">
        <v>332</v>
      </c>
      <c r="U28" s="69" t="s">
        <v>333</v>
      </c>
      <c r="V28" s="81" t="s">
        <v>202</v>
      </c>
      <c r="W28" s="76" t="s">
        <v>145</v>
      </c>
      <c r="X28" s="79" t="s">
        <v>332</v>
      </c>
      <c r="Y28" s="69">
        <v>1</v>
      </c>
      <c r="Z28" s="69">
        <v>1</v>
      </c>
      <c r="AA28" s="69">
        <v>1</v>
      </c>
      <c r="AB28" s="49">
        <f>IF(V28="TIPO I",'BASE DE LIQUIDACION 2025'!$B$3,'BASE DE LIQUIDACION 2025'!$B$4)</f>
        <v>11251.22416</v>
      </c>
      <c r="AC28" s="49">
        <f>IF(V28="TIPO I",'BASE DE LIQUIDACION 2025'!$C$3,'BASE DE LIQUIDACION 2025'!$C$4)</f>
        <v>126317.12212</v>
      </c>
      <c r="AD28" s="49">
        <f>IF(V28="TIPO I",'BASE DE LIQUIDACION 2025'!$D$3,'BASE DE LIQUIDACION 2025'!$D$4)</f>
        <v>110808.27512000001</v>
      </c>
      <c r="AE28" s="53">
        <f t="shared" si="1"/>
        <v>248376.6214</v>
      </c>
    </row>
    <row r="29" spans="1:31" s="46" customFormat="1">
      <c r="A29" s="69" t="s">
        <v>175</v>
      </c>
      <c r="B29" s="45" t="str">
        <f>VLOOKUP(A29,'CENTRO DE COSTOS'!A:D,4,FALSE)</f>
        <v>JUAN SEBASTIÁN RÍOS CASTRILLÓN</v>
      </c>
      <c r="C29" s="45" t="str">
        <f>VLOOKUP(A29,'CENTRO DE COSTOS'!A:D,2,FALSE)</f>
        <v>0004-0005</v>
      </c>
      <c r="D29" s="69">
        <v>5483</v>
      </c>
      <c r="E29" s="70" t="s">
        <v>334</v>
      </c>
      <c r="F29" s="71">
        <v>80744</v>
      </c>
      <c r="G29" s="79" t="s">
        <v>132</v>
      </c>
      <c r="H29" s="73" t="s">
        <v>133</v>
      </c>
      <c r="I29" s="71" t="s">
        <v>178</v>
      </c>
      <c r="J29" s="81" t="s">
        <v>153</v>
      </c>
      <c r="K29" s="71" t="s">
        <v>335</v>
      </c>
      <c r="L29" s="75" t="s">
        <v>137</v>
      </c>
      <c r="M29" s="82" t="s">
        <v>336</v>
      </c>
      <c r="N29" s="74">
        <v>45868</v>
      </c>
      <c r="O29" s="76">
        <v>45870</v>
      </c>
      <c r="P29" s="83" t="s">
        <v>139</v>
      </c>
      <c r="Q29" s="84" t="s">
        <v>139</v>
      </c>
      <c r="R29" s="69" t="s">
        <v>140</v>
      </c>
      <c r="S29" s="72" t="s">
        <v>337</v>
      </c>
      <c r="T29" s="79" t="s">
        <v>338</v>
      </c>
      <c r="U29" s="69" t="s">
        <v>339</v>
      </c>
      <c r="V29" s="81" t="s">
        <v>144</v>
      </c>
      <c r="W29" s="76" t="s">
        <v>145</v>
      </c>
      <c r="X29" s="79" t="s">
        <v>338</v>
      </c>
      <c r="Y29" s="69">
        <v>1</v>
      </c>
      <c r="Z29" s="69">
        <v>1</v>
      </c>
      <c r="AA29" s="69">
        <v>1</v>
      </c>
      <c r="AB29" s="49">
        <f>IF(V29="TIPO I",'BASE DE LIQUIDACION 2025'!$B$3,'BASE DE LIQUIDACION 2025'!$B$4)</f>
        <v>11251.22416</v>
      </c>
      <c r="AC29" s="49">
        <f>IF(V29="TIPO I",'BASE DE LIQUIDACION 2025'!$C$3,'BASE DE LIQUIDACION 2025'!$C$4)</f>
        <v>126317.12212</v>
      </c>
      <c r="AD29" s="49">
        <f>IF(V29="TIPO I",'BASE DE LIQUIDACION 2025'!$D$3,'BASE DE LIQUIDACION 2025'!$D$4)</f>
        <v>110808.27512000001</v>
      </c>
      <c r="AE29" s="53">
        <f t="shared" si="1"/>
        <v>248376.6214</v>
      </c>
    </row>
    <row r="30" spans="1:31" s="46" customFormat="1">
      <c r="A30" s="69" t="s">
        <v>130</v>
      </c>
      <c r="B30" s="45" t="str">
        <f>VLOOKUP(A30,'CENTRO DE COSTOS'!A:D,4,FALSE)</f>
        <v>KEVIN ALEXIS CORZO BUSTOS</v>
      </c>
      <c r="C30" s="45" t="str">
        <f>VLOOKUP(A30,'CENTRO DE COSTOS'!A:D,2,FALSE)</f>
        <v>0004-0007</v>
      </c>
      <c r="D30" s="69">
        <v>18001</v>
      </c>
      <c r="E30" s="70" t="s">
        <v>340</v>
      </c>
      <c r="F30" s="71">
        <v>80786</v>
      </c>
      <c r="G30" s="79" t="s">
        <v>132</v>
      </c>
      <c r="H30" s="73" t="s">
        <v>133</v>
      </c>
      <c r="I30" s="71" t="s">
        <v>134</v>
      </c>
      <c r="J30" s="81" t="s">
        <v>135</v>
      </c>
      <c r="K30" s="71" t="s">
        <v>341</v>
      </c>
      <c r="L30" s="75" t="s">
        <v>137</v>
      </c>
      <c r="M30" s="82" t="s">
        <v>342</v>
      </c>
      <c r="N30" s="74">
        <v>45870</v>
      </c>
      <c r="O30" s="76">
        <v>45873</v>
      </c>
      <c r="P30" s="83" t="s">
        <v>139</v>
      </c>
      <c r="Q30" s="84" t="s">
        <v>139</v>
      </c>
      <c r="R30" s="69" t="s">
        <v>140</v>
      </c>
      <c r="S30" s="72" t="s">
        <v>343</v>
      </c>
      <c r="T30" s="79" t="s">
        <v>283</v>
      </c>
      <c r="U30" s="69" t="s">
        <v>344</v>
      </c>
      <c r="V30" s="81" t="s">
        <v>144</v>
      </c>
      <c r="W30" s="76" t="s">
        <v>145</v>
      </c>
      <c r="X30" s="79" t="s">
        <v>283</v>
      </c>
      <c r="Y30" s="69">
        <v>1</v>
      </c>
      <c r="Z30" s="69">
        <v>1</v>
      </c>
      <c r="AA30" s="69">
        <v>1</v>
      </c>
      <c r="AB30" s="49">
        <f>IF(V30="TIPO I",'BASE DE LIQUIDACION 2025'!$B$3,'BASE DE LIQUIDACION 2025'!$B$4)</f>
        <v>11251.22416</v>
      </c>
      <c r="AC30" s="49">
        <f>IF(V30="TIPO I",'BASE DE LIQUIDACION 2025'!$C$3,'BASE DE LIQUIDACION 2025'!$C$4)</f>
        <v>126317.12212</v>
      </c>
      <c r="AD30" s="49">
        <f>IF(V30="TIPO I",'BASE DE LIQUIDACION 2025'!$D$3,'BASE DE LIQUIDACION 2025'!$D$4)</f>
        <v>110808.27512000001</v>
      </c>
      <c r="AE30" s="53">
        <f t="shared" si="1"/>
        <v>248376.6214</v>
      </c>
    </row>
    <row r="31" spans="1:31" s="46" customFormat="1">
      <c r="A31" s="69" t="s">
        <v>345</v>
      </c>
      <c r="B31" s="45" t="str">
        <f>VLOOKUP(A31,'CENTRO DE COSTOS'!A:D,4,FALSE)</f>
        <v>JOSE MAURICIO HERNANDEZ ROJAS</v>
      </c>
      <c r="C31" s="45" t="str">
        <f>VLOOKUP(A31,'CENTRO DE COSTOS'!A:D,2,FALSE)</f>
        <v>0004-0001</v>
      </c>
      <c r="D31" s="69">
        <v>8433</v>
      </c>
      <c r="E31" s="70" t="s">
        <v>346</v>
      </c>
      <c r="F31" s="71">
        <v>80788</v>
      </c>
      <c r="G31" s="79" t="s">
        <v>132</v>
      </c>
      <c r="H31" s="73" t="s">
        <v>133</v>
      </c>
      <c r="I31" s="71" t="s">
        <v>347</v>
      </c>
      <c r="J31" s="81" t="s">
        <v>348</v>
      </c>
      <c r="K31" s="71" t="s">
        <v>349</v>
      </c>
      <c r="L31" s="75" t="s">
        <v>137</v>
      </c>
      <c r="M31" s="82" t="s">
        <v>350</v>
      </c>
      <c r="N31" s="74">
        <v>45870</v>
      </c>
      <c r="O31" s="76">
        <v>45873</v>
      </c>
      <c r="P31" s="83" t="s">
        <v>139</v>
      </c>
      <c r="Q31" s="84" t="s">
        <v>139</v>
      </c>
      <c r="R31" s="69" t="s">
        <v>140</v>
      </c>
      <c r="S31" s="72" t="s">
        <v>351</v>
      </c>
      <c r="T31" s="79" t="s">
        <v>352</v>
      </c>
      <c r="U31" s="69" t="s">
        <v>353</v>
      </c>
      <c r="V31" s="81" t="s">
        <v>202</v>
      </c>
      <c r="W31" s="76" t="s">
        <v>145</v>
      </c>
      <c r="X31" s="79" t="s">
        <v>352</v>
      </c>
      <c r="Y31" s="69">
        <v>1</v>
      </c>
      <c r="Z31" s="69">
        <v>1</v>
      </c>
      <c r="AA31" s="69">
        <v>1</v>
      </c>
      <c r="AB31" s="49">
        <f>IF(V31="TIPO I",'BASE DE LIQUIDACION 2025'!$B$3,'BASE DE LIQUIDACION 2025'!$B$4)</f>
        <v>11251.22416</v>
      </c>
      <c r="AC31" s="49">
        <f>IF(V31="TIPO I",'BASE DE LIQUIDACION 2025'!$C$3,'BASE DE LIQUIDACION 2025'!$C$4)</f>
        <v>126317.12212</v>
      </c>
      <c r="AD31" s="49">
        <f>IF(V31="TIPO I",'BASE DE LIQUIDACION 2025'!$D$3,'BASE DE LIQUIDACION 2025'!$D$4)</f>
        <v>110808.27512000001</v>
      </c>
      <c r="AE31" s="53">
        <f t="shared" si="1"/>
        <v>248376.6214</v>
      </c>
    </row>
    <row r="32" spans="1:31" s="46" customFormat="1">
      <c r="A32" s="69" t="s">
        <v>285</v>
      </c>
      <c r="B32" s="45" t="str">
        <f>VLOOKUP(A32,'CENTRO DE COSTOS'!A:D,4,FALSE)</f>
        <v>MIGUEL JULIÁN HERNÁNDEZ GUARÍN</v>
      </c>
      <c r="C32" s="45" t="str">
        <f>VLOOKUP(A32,'CENTRO DE COSTOS'!A:D,2,FALSE)</f>
        <v>0004-0008</v>
      </c>
      <c r="D32" s="69">
        <v>54001</v>
      </c>
      <c r="E32" s="70" t="s">
        <v>354</v>
      </c>
      <c r="F32" s="71">
        <v>80783</v>
      </c>
      <c r="G32" s="79" t="s">
        <v>132</v>
      </c>
      <c r="H32" s="73" t="s">
        <v>133</v>
      </c>
      <c r="I32" s="71" t="s">
        <v>287</v>
      </c>
      <c r="J32" s="81" t="s">
        <v>285</v>
      </c>
      <c r="K32" s="71" t="s">
        <v>355</v>
      </c>
      <c r="L32" s="75" t="s">
        <v>137</v>
      </c>
      <c r="M32" s="82" t="s">
        <v>356</v>
      </c>
      <c r="N32" s="74">
        <v>45870</v>
      </c>
      <c r="O32" s="76">
        <v>45873</v>
      </c>
      <c r="P32" s="83" t="s">
        <v>139</v>
      </c>
      <c r="Q32" s="84" t="s">
        <v>139</v>
      </c>
      <c r="R32" s="69" t="s">
        <v>140</v>
      </c>
      <c r="S32" s="72" t="s">
        <v>357</v>
      </c>
      <c r="T32" s="79" t="s">
        <v>358</v>
      </c>
      <c r="U32" s="69" t="s">
        <v>359</v>
      </c>
      <c r="V32" s="81" t="s">
        <v>52</v>
      </c>
      <c r="W32" s="76" t="s">
        <v>145</v>
      </c>
      <c r="X32" s="79" t="s">
        <v>358</v>
      </c>
      <c r="Y32" s="69">
        <v>1</v>
      </c>
      <c r="Z32" s="69">
        <v>1</v>
      </c>
      <c r="AA32" s="69">
        <v>1</v>
      </c>
      <c r="AB32" s="49">
        <f>IF(V32="TIPO I",'BASE DE LIQUIDACION 2025'!$B$3,'BASE DE LIQUIDACION 2025'!$B$4)</f>
        <v>11251.22416</v>
      </c>
      <c r="AC32" s="49">
        <f>IF(V32="TIPO I",'BASE DE LIQUIDACION 2025'!$C$3,'BASE DE LIQUIDACION 2025'!$C$4)</f>
        <v>126317.12212</v>
      </c>
      <c r="AD32" s="49">
        <f>IF(V32="TIPO I",'BASE DE LIQUIDACION 2025'!$D$3,'BASE DE LIQUIDACION 2025'!$D$4)</f>
        <v>57411.974240000003</v>
      </c>
      <c r="AE32" s="53">
        <f t="shared" si="1"/>
        <v>194980.32052000001</v>
      </c>
    </row>
    <row r="33" spans="1:31" s="46" customFormat="1">
      <c r="A33" s="69" t="s">
        <v>285</v>
      </c>
      <c r="B33" s="45" t="str">
        <f>VLOOKUP(A33,'CENTRO DE COSTOS'!A:D,4,FALSE)</f>
        <v>MIGUEL JULIÁN HERNÁNDEZ GUARÍN</v>
      </c>
      <c r="C33" s="45" t="str">
        <f>VLOOKUP(A33,'CENTRO DE COSTOS'!A:D,2,FALSE)</f>
        <v>0004-0008</v>
      </c>
      <c r="D33" s="69">
        <v>54498</v>
      </c>
      <c r="E33" s="70" t="s">
        <v>360</v>
      </c>
      <c r="F33" s="71">
        <v>80794</v>
      </c>
      <c r="G33" s="79" t="s">
        <v>132</v>
      </c>
      <c r="H33" s="73" t="s">
        <v>133</v>
      </c>
      <c r="I33" s="71" t="s">
        <v>287</v>
      </c>
      <c r="J33" s="81" t="s">
        <v>288</v>
      </c>
      <c r="K33" s="71" t="s">
        <v>361</v>
      </c>
      <c r="L33" s="75" t="s">
        <v>137</v>
      </c>
      <c r="M33" s="82" t="s">
        <v>362</v>
      </c>
      <c r="N33" s="74">
        <v>45870</v>
      </c>
      <c r="O33" s="76">
        <v>45875</v>
      </c>
      <c r="P33" s="83" t="s">
        <v>139</v>
      </c>
      <c r="Q33" s="84" t="s">
        <v>139</v>
      </c>
      <c r="R33" s="69" t="s">
        <v>140</v>
      </c>
      <c r="S33" s="72" t="s">
        <v>363</v>
      </c>
      <c r="T33" s="79" t="s">
        <v>364</v>
      </c>
      <c r="U33" s="69" t="s">
        <v>365</v>
      </c>
      <c r="V33" s="81" t="s">
        <v>144</v>
      </c>
      <c r="W33" s="76" t="s">
        <v>145</v>
      </c>
      <c r="X33" s="79" t="s">
        <v>364</v>
      </c>
      <c r="Y33" s="69">
        <v>1</v>
      </c>
      <c r="Z33" s="69">
        <v>1</v>
      </c>
      <c r="AA33" s="69">
        <v>1</v>
      </c>
      <c r="AB33" s="49">
        <f>IF(V33="TIPO I",'BASE DE LIQUIDACION 2025'!$B$3,'BASE DE LIQUIDACION 2025'!$B$4)</f>
        <v>11251.22416</v>
      </c>
      <c r="AC33" s="49">
        <f>IF(V33="TIPO I",'BASE DE LIQUIDACION 2025'!$C$3,'BASE DE LIQUIDACION 2025'!$C$4)</f>
        <v>126317.12212</v>
      </c>
      <c r="AD33" s="49">
        <f>IF(V33="TIPO I",'BASE DE LIQUIDACION 2025'!$D$3,'BASE DE LIQUIDACION 2025'!$D$4)</f>
        <v>110808.27512000001</v>
      </c>
      <c r="AE33" s="53">
        <f t="shared" si="1"/>
        <v>248376.6214</v>
      </c>
    </row>
    <row r="34" spans="1:31" s="46" customFormat="1">
      <c r="A34" s="69" t="s">
        <v>285</v>
      </c>
      <c r="B34" s="45" t="str">
        <f>VLOOKUP(A34,'CENTRO DE COSTOS'!A:D,4,FALSE)</f>
        <v>MIGUEL JULIÁN HERNÁNDEZ GUARÍN</v>
      </c>
      <c r="C34" s="45" t="str">
        <f>VLOOKUP(A34,'CENTRO DE COSTOS'!A:D,2,FALSE)</f>
        <v>0004-0008</v>
      </c>
      <c r="D34" s="69">
        <v>54498</v>
      </c>
      <c r="E34" s="70" t="s">
        <v>366</v>
      </c>
      <c r="F34" s="71">
        <v>80795</v>
      </c>
      <c r="G34" s="79" t="s">
        <v>132</v>
      </c>
      <c r="H34" s="73" t="s">
        <v>133</v>
      </c>
      <c r="I34" s="71" t="s">
        <v>287</v>
      </c>
      <c r="J34" s="81" t="s">
        <v>288</v>
      </c>
      <c r="K34" s="71" t="s">
        <v>367</v>
      </c>
      <c r="L34" s="75" t="s">
        <v>137</v>
      </c>
      <c r="M34" s="82" t="s">
        <v>368</v>
      </c>
      <c r="N34" s="74">
        <v>45870</v>
      </c>
      <c r="O34" s="76">
        <v>45875</v>
      </c>
      <c r="P34" s="83" t="s">
        <v>139</v>
      </c>
      <c r="Q34" s="84" t="s">
        <v>139</v>
      </c>
      <c r="R34" s="69" t="s">
        <v>140</v>
      </c>
      <c r="S34" s="72" t="s">
        <v>369</v>
      </c>
      <c r="T34" s="79" t="s">
        <v>364</v>
      </c>
      <c r="U34" s="69" t="s">
        <v>370</v>
      </c>
      <c r="V34" s="81" t="s">
        <v>144</v>
      </c>
      <c r="W34" s="76" t="s">
        <v>145</v>
      </c>
      <c r="X34" s="79" t="s">
        <v>364</v>
      </c>
      <c r="Y34" s="69">
        <v>1</v>
      </c>
      <c r="Z34" s="69">
        <v>1</v>
      </c>
      <c r="AA34" s="69">
        <v>1</v>
      </c>
      <c r="AB34" s="49">
        <f>IF(V34="TIPO I",'BASE DE LIQUIDACION 2025'!$B$3,'BASE DE LIQUIDACION 2025'!$B$4)</f>
        <v>11251.22416</v>
      </c>
      <c r="AC34" s="49">
        <f>IF(V34="TIPO I",'BASE DE LIQUIDACION 2025'!$C$3,'BASE DE LIQUIDACION 2025'!$C$4)</f>
        <v>126317.12212</v>
      </c>
      <c r="AD34" s="49">
        <f>IF(V34="TIPO I",'BASE DE LIQUIDACION 2025'!$D$3,'BASE DE LIQUIDACION 2025'!$D$4)</f>
        <v>110808.27512000001</v>
      </c>
      <c r="AE34" s="53">
        <f t="shared" si="1"/>
        <v>248376.6214</v>
      </c>
    </row>
    <row r="35" spans="1:31" s="46" customFormat="1">
      <c r="A35" s="69" t="s">
        <v>371</v>
      </c>
      <c r="B35" s="45" t="str">
        <f>VLOOKUP(A35,'CENTRO DE COSTOS'!A:D,4,FALSE)</f>
        <v>JOSE MAURICIO HERNANDEZ ROJAS</v>
      </c>
      <c r="C35" s="45" t="str">
        <f>VLOOKUP(A35,'CENTRO DE COSTOS'!A:D,2,FALSE)</f>
        <v>0004-0001</v>
      </c>
      <c r="D35" s="69">
        <v>70001</v>
      </c>
      <c r="E35" s="70" t="s">
        <v>372</v>
      </c>
      <c r="F35" s="71">
        <v>80810</v>
      </c>
      <c r="G35" s="79" t="s">
        <v>132</v>
      </c>
      <c r="H35" s="73" t="s">
        <v>133</v>
      </c>
      <c r="I35" s="71" t="s">
        <v>373</v>
      </c>
      <c r="J35" s="81" t="s">
        <v>371</v>
      </c>
      <c r="K35" s="71" t="s">
        <v>374</v>
      </c>
      <c r="L35" s="75" t="s">
        <v>137</v>
      </c>
      <c r="M35" s="82" t="s">
        <v>375</v>
      </c>
      <c r="N35" s="74">
        <v>45870</v>
      </c>
      <c r="O35" s="76">
        <v>45873</v>
      </c>
      <c r="P35" s="83" t="s">
        <v>139</v>
      </c>
      <c r="Q35" s="84" t="s">
        <v>139</v>
      </c>
      <c r="R35" s="69" t="s">
        <v>140</v>
      </c>
      <c r="S35" s="72" t="s">
        <v>376</v>
      </c>
      <c r="T35" s="79" t="s">
        <v>377</v>
      </c>
      <c r="U35" s="69" t="s">
        <v>378</v>
      </c>
      <c r="V35" s="81" t="s">
        <v>52</v>
      </c>
      <c r="W35" s="76" t="s">
        <v>145</v>
      </c>
      <c r="X35" s="79" t="s">
        <v>377</v>
      </c>
      <c r="Y35" s="69">
        <v>1</v>
      </c>
      <c r="Z35" s="69">
        <v>1</v>
      </c>
      <c r="AA35" s="69">
        <v>1</v>
      </c>
      <c r="AB35" s="49">
        <f>IF(V35="TIPO I",'BASE DE LIQUIDACION 2025'!$B$3,'BASE DE LIQUIDACION 2025'!$B$4)</f>
        <v>11251.22416</v>
      </c>
      <c r="AC35" s="49">
        <f>IF(V35="TIPO I",'BASE DE LIQUIDACION 2025'!$C$3,'BASE DE LIQUIDACION 2025'!$C$4)</f>
        <v>126317.12212</v>
      </c>
      <c r="AD35" s="49">
        <f>IF(V35="TIPO I",'BASE DE LIQUIDACION 2025'!$D$3,'BASE DE LIQUIDACION 2025'!$D$4)</f>
        <v>57411.974240000003</v>
      </c>
      <c r="AE35" s="53">
        <f t="shared" si="1"/>
        <v>194980.32052000001</v>
      </c>
    </row>
    <row r="36" spans="1:31" s="46" customFormat="1">
      <c r="A36" s="69" t="s">
        <v>379</v>
      </c>
      <c r="B36" s="45" t="str">
        <f>VLOOKUP(A36,'CENTRO DE COSTOS'!A:D,4,FALSE)</f>
        <v>JOSE MAURICIO HERNANDEZ ROJAS</v>
      </c>
      <c r="C36" s="45" t="str">
        <f>VLOOKUP(A36,'CENTRO DE COSTOS'!A:D,2,FALSE)</f>
        <v>0004-0001</v>
      </c>
      <c r="D36" s="69">
        <v>23001</v>
      </c>
      <c r="E36" s="70" t="s">
        <v>380</v>
      </c>
      <c r="F36" s="71">
        <v>80792</v>
      </c>
      <c r="G36" s="79" t="s">
        <v>132</v>
      </c>
      <c r="H36" s="73" t="s">
        <v>133</v>
      </c>
      <c r="I36" s="71" t="s">
        <v>381</v>
      </c>
      <c r="J36" s="81" t="s">
        <v>379</v>
      </c>
      <c r="K36" s="71" t="s">
        <v>382</v>
      </c>
      <c r="L36" s="75" t="s">
        <v>137</v>
      </c>
      <c r="M36" s="82" t="s">
        <v>383</v>
      </c>
      <c r="N36" s="74">
        <v>45870</v>
      </c>
      <c r="O36" s="76">
        <v>45873</v>
      </c>
      <c r="P36" s="83" t="s">
        <v>139</v>
      </c>
      <c r="Q36" s="84" t="s">
        <v>139</v>
      </c>
      <c r="R36" s="69" t="s">
        <v>140</v>
      </c>
      <c r="S36" s="72" t="s">
        <v>384</v>
      </c>
      <c r="T36" s="79" t="s">
        <v>385</v>
      </c>
      <c r="U36" s="69" t="s">
        <v>386</v>
      </c>
      <c r="V36" s="81" t="s">
        <v>52</v>
      </c>
      <c r="W36" s="76" t="s">
        <v>145</v>
      </c>
      <c r="X36" s="79" t="s">
        <v>385</v>
      </c>
      <c r="Y36" s="69">
        <v>1</v>
      </c>
      <c r="Z36" s="69">
        <v>1</v>
      </c>
      <c r="AA36" s="69">
        <v>1</v>
      </c>
      <c r="AB36" s="49">
        <f>IF(V36="TIPO I",'BASE DE LIQUIDACION 2025'!$B$3,'BASE DE LIQUIDACION 2025'!$B$4)</f>
        <v>11251.22416</v>
      </c>
      <c r="AC36" s="49">
        <f>IF(V36="TIPO I",'BASE DE LIQUIDACION 2025'!$C$3,'BASE DE LIQUIDACION 2025'!$C$4)</f>
        <v>126317.12212</v>
      </c>
      <c r="AD36" s="49">
        <f>IF(V36="TIPO I",'BASE DE LIQUIDACION 2025'!$D$3,'BASE DE LIQUIDACION 2025'!$D$4)</f>
        <v>57411.974240000003</v>
      </c>
      <c r="AE36" s="53">
        <f t="shared" si="1"/>
        <v>194980.32052000001</v>
      </c>
    </row>
    <row r="37" spans="1:31" s="46" customFormat="1">
      <c r="A37" s="69" t="s">
        <v>285</v>
      </c>
      <c r="B37" s="45" t="str">
        <f>VLOOKUP(A37,'CENTRO DE COSTOS'!A:D,4,FALSE)</f>
        <v>MIGUEL JULIÁN HERNÁNDEZ GUARÍN</v>
      </c>
      <c r="C37" s="45" t="str">
        <f>VLOOKUP(A37,'CENTRO DE COSTOS'!A:D,2,FALSE)</f>
        <v>0004-0008</v>
      </c>
      <c r="D37" s="69">
        <v>54001</v>
      </c>
      <c r="E37" s="70" t="s">
        <v>387</v>
      </c>
      <c r="F37" s="71">
        <v>80784</v>
      </c>
      <c r="G37" s="79" t="s">
        <v>132</v>
      </c>
      <c r="H37" s="73" t="s">
        <v>133</v>
      </c>
      <c r="I37" s="71" t="s">
        <v>287</v>
      </c>
      <c r="J37" s="81" t="s">
        <v>285</v>
      </c>
      <c r="K37" s="71" t="s">
        <v>388</v>
      </c>
      <c r="L37" s="75" t="s">
        <v>137</v>
      </c>
      <c r="M37" s="82" t="s">
        <v>389</v>
      </c>
      <c r="N37" s="74">
        <v>45870</v>
      </c>
      <c r="O37" s="76">
        <v>45873</v>
      </c>
      <c r="P37" s="83" t="s">
        <v>139</v>
      </c>
      <c r="Q37" s="84" t="s">
        <v>139</v>
      </c>
      <c r="R37" s="69" t="s">
        <v>140</v>
      </c>
      <c r="S37" s="72" t="s">
        <v>390</v>
      </c>
      <c r="T37" s="79" t="s">
        <v>391</v>
      </c>
      <c r="U37" s="69" t="s">
        <v>392</v>
      </c>
      <c r="V37" s="81" t="s">
        <v>52</v>
      </c>
      <c r="W37" s="76" t="s">
        <v>145</v>
      </c>
      <c r="X37" s="79" t="s">
        <v>391</v>
      </c>
      <c r="Y37" s="69">
        <v>1</v>
      </c>
      <c r="Z37" s="69">
        <v>1</v>
      </c>
      <c r="AA37" s="69">
        <v>1</v>
      </c>
      <c r="AB37" s="49">
        <f>IF(V37="TIPO I",'BASE DE LIQUIDACION 2025'!$B$3,'BASE DE LIQUIDACION 2025'!$B$4)</f>
        <v>11251.22416</v>
      </c>
      <c r="AC37" s="49">
        <f>IF(V37="TIPO I",'BASE DE LIQUIDACION 2025'!$C$3,'BASE DE LIQUIDACION 2025'!$C$4)</f>
        <v>126317.12212</v>
      </c>
      <c r="AD37" s="49">
        <f>IF(V37="TIPO I",'BASE DE LIQUIDACION 2025'!$D$3,'BASE DE LIQUIDACION 2025'!$D$4)</f>
        <v>57411.974240000003</v>
      </c>
      <c r="AE37" s="53">
        <f t="shared" si="1"/>
        <v>194980.32052000001</v>
      </c>
    </row>
    <row r="38" spans="1:31" s="46" customFormat="1">
      <c r="A38" s="69" t="s">
        <v>285</v>
      </c>
      <c r="B38" s="45" t="str">
        <f>VLOOKUP(A38,'CENTRO DE COSTOS'!A:D,4,FALSE)</f>
        <v>MIGUEL JULIÁN HERNÁNDEZ GUARÍN</v>
      </c>
      <c r="C38" s="45" t="str">
        <f>VLOOKUP(A38,'CENTRO DE COSTOS'!A:D,2,FALSE)</f>
        <v>0004-0008</v>
      </c>
      <c r="D38" s="69">
        <v>54498</v>
      </c>
      <c r="E38" s="70" t="s">
        <v>393</v>
      </c>
      <c r="F38" s="71">
        <v>80796</v>
      </c>
      <c r="G38" s="79" t="s">
        <v>132</v>
      </c>
      <c r="H38" s="73" t="s">
        <v>133</v>
      </c>
      <c r="I38" s="71" t="s">
        <v>287</v>
      </c>
      <c r="J38" s="81" t="s">
        <v>288</v>
      </c>
      <c r="K38" s="71" t="s">
        <v>394</v>
      </c>
      <c r="L38" s="75" t="s">
        <v>137</v>
      </c>
      <c r="M38" s="82" t="s">
        <v>395</v>
      </c>
      <c r="N38" s="74">
        <v>45870</v>
      </c>
      <c r="O38" s="76">
        <v>45874</v>
      </c>
      <c r="P38" s="83" t="s">
        <v>139</v>
      </c>
      <c r="Q38" s="84" t="s">
        <v>139</v>
      </c>
      <c r="R38" s="69" t="s">
        <v>140</v>
      </c>
      <c r="S38" s="72" t="s">
        <v>396</v>
      </c>
      <c r="T38" s="79" t="s">
        <v>397</v>
      </c>
      <c r="U38" s="69" t="s">
        <v>398</v>
      </c>
      <c r="V38" s="81" t="s">
        <v>144</v>
      </c>
      <c r="W38" s="76" t="s">
        <v>145</v>
      </c>
      <c r="X38" s="79" t="s">
        <v>397</v>
      </c>
      <c r="Y38" s="69">
        <v>1</v>
      </c>
      <c r="Z38" s="69">
        <v>1</v>
      </c>
      <c r="AA38" s="69">
        <v>1</v>
      </c>
      <c r="AB38" s="49">
        <f>IF(V38="TIPO I",'BASE DE LIQUIDACION 2025'!$B$3,'BASE DE LIQUIDACION 2025'!$B$4)</f>
        <v>11251.22416</v>
      </c>
      <c r="AC38" s="49">
        <f>IF(V38="TIPO I",'BASE DE LIQUIDACION 2025'!$C$3,'BASE DE LIQUIDACION 2025'!$C$4)</f>
        <v>126317.12212</v>
      </c>
      <c r="AD38" s="49">
        <f>IF(V38="TIPO I",'BASE DE LIQUIDACION 2025'!$D$3,'BASE DE LIQUIDACION 2025'!$D$4)</f>
        <v>110808.27512000001</v>
      </c>
      <c r="AE38" s="53">
        <f t="shared" si="1"/>
        <v>248376.6214</v>
      </c>
    </row>
    <row r="39" spans="1:31" s="46" customFormat="1">
      <c r="A39" s="69" t="s">
        <v>399</v>
      </c>
      <c r="B39" s="45" t="str">
        <f>VLOOKUP(A39,'CENTRO DE COSTOS'!A:D,4,FALSE)</f>
        <v>JOSE MAURICIO HERNANDEZ ROJAS</v>
      </c>
      <c r="C39" s="45" t="str">
        <f>VLOOKUP(A39,'CENTRO DE COSTOS'!A:D,2,FALSE)</f>
        <v>0004-0001</v>
      </c>
      <c r="D39" s="69">
        <v>20011</v>
      </c>
      <c r="E39" s="70" t="s">
        <v>400</v>
      </c>
      <c r="F39" s="71">
        <v>80766</v>
      </c>
      <c r="G39" s="79" t="s">
        <v>132</v>
      </c>
      <c r="H39" s="73" t="s">
        <v>133</v>
      </c>
      <c r="I39" s="71" t="s">
        <v>401</v>
      </c>
      <c r="J39" s="81" t="s">
        <v>402</v>
      </c>
      <c r="K39" s="71" t="s">
        <v>403</v>
      </c>
      <c r="L39" s="75" t="s">
        <v>137</v>
      </c>
      <c r="M39" s="82" t="s">
        <v>404</v>
      </c>
      <c r="N39" s="74">
        <v>45870</v>
      </c>
      <c r="O39" s="76">
        <v>45873</v>
      </c>
      <c r="P39" s="83" t="s">
        <v>139</v>
      </c>
      <c r="Q39" s="84" t="s">
        <v>139</v>
      </c>
      <c r="R39" s="69" t="s">
        <v>140</v>
      </c>
      <c r="S39" s="72" t="s">
        <v>405</v>
      </c>
      <c r="T39" s="79" t="s">
        <v>406</v>
      </c>
      <c r="U39" s="69" t="s">
        <v>407</v>
      </c>
      <c r="V39" s="81" t="s">
        <v>144</v>
      </c>
      <c r="W39" s="76" t="s">
        <v>145</v>
      </c>
      <c r="X39" s="79" t="s">
        <v>406</v>
      </c>
      <c r="Y39" s="69">
        <v>1</v>
      </c>
      <c r="Z39" s="69">
        <v>1</v>
      </c>
      <c r="AA39" s="69">
        <v>1</v>
      </c>
      <c r="AB39" s="49">
        <f>IF(V39="TIPO I",'BASE DE LIQUIDACION 2025'!$B$3,'BASE DE LIQUIDACION 2025'!$B$4)</f>
        <v>11251.22416</v>
      </c>
      <c r="AC39" s="49">
        <f>IF(V39="TIPO I",'BASE DE LIQUIDACION 2025'!$C$3,'BASE DE LIQUIDACION 2025'!$C$4)</f>
        <v>126317.12212</v>
      </c>
      <c r="AD39" s="49">
        <f>IF(V39="TIPO I",'BASE DE LIQUIDACION 2025'!$D$3,'BASE DE LIQUIDACION 2025'!$D$4)</f>
        <v>110808.27512000001</v>
      </c>
      <c r="AE39" s="53">
        <f t="shared" si="1"/>
        <v>248376.6214</v>
      </c>
    </row>
    <row r="40" spans="1:31" s="46" customFormat="1">
      <c r="A40" s="69" t="s">
        <v>301</v>
      </c>
      <c r="B40" s="45" t="str">
        <f>VLOOKUP(A40,'CENTRO DE COSTOS'!A:D,4,FALSE)</f>
        <v>JOSE MAURICIO HERNANDEZ ROJAS</v>
      </c>
      <c r="C40" s="45" t="str">
        <f>VLOOKUP(A40,'CENTRO DE COSTOS'!A:D,2,FALSE)</f>
        <v>0004-0001</v>
      </c>
      <c r="D40" s="69">
        <v>13001</v>
      </c>
      <c r="E40" s="70" t="s">
        <v>408</v>
      </c>
      <c r="F40" s="71">
        <v>80780</v>
      </c>
      <c r="G40" s="79" t="s">
        <v>132</v>
      </c>
      <c r="H40" s="73" t="s">
        <v>133</v>
      </c>
      <c r="I40" s="71" t="s">
        <v>271</v>
      </c>
      <c r="J40" s="81" t="s">
        <v>301</v>
      </c>
      <c r="K40" s="71" t="s">
        <v>409</v>
      </c>
      <c r="L40" s="75" t="s">
        <v>137</v>
      </c>
      <c r="M40" s="82" t="s">
        <v>410</v>
      </c>
      <c r="N40" s="74">
        <v>45870</v>
      </c>
      <c r="O40" s="76">
        <v>45873</v>
      </c>
      <c r="P40" s="83" t="s">
        <v>139</v>
      </c>
      <c r="Q40" s="84" t="s">
        <v>139</v>
      </c>
      <c r="R40" s="69" t="s">
        <v>140</v>
      </c>
      <c r="S40" s="72" t="s">
        <v>411</v>
      </c>
      <c r="T40" s="79" t="s">
        <v>412</v>
      </c>
      <c r="U40" s="69" t="s">
        <v>413</v>
      </c>
      <c r="V40" s="81" t="s">
        <v>52</v>
      </c>
      <c r="W40" s="76" t="s">
        <v>145</v>
      </c>
      <c r="X40" s="79" t="s">
        <v>412</v>
      </c>
      <c r="Y40" s="69">
        <v>1</v>
      </c>
      <c r="Z40" s="69">
        <v>1</v>
      </c>
      <c r="AA40" s="69">
        <v>1</v>
      </c>
      <c r="AB40" s="49">
        <f>IF(V40="TIPO I",'BASE DE LIQUIDACION 2025'!$B$3,'BASE DE LIQUIDACION 2025'!$B$4)</f>
        <v>11251.22416</v>
      </c>
      <c r="AC40" s="49">
        <f>IF(V40="TIPO I",'BASE DE LIQUIDACION 2025'!$C$3,'BASE DE LIQUIDACION 2025'!$C$4)</f>
        <v>126317.12212</v>
      </c>
      <c r="AD40" s="49">
        <f>IF(V40="TIPO I",'BASE DE LIQUIDACION 2025'!$D$3,'BASE DE LIQUIDACION 2025'!$D$4)</f>
        <v>57411.974240000003</v>
      </c>
      <c r="AE40" s="53">
        <f t="shared" si="1"/>
        <v>194980.32052000001</v>
      </c>
    </row>
    <row r="41" spans="1:31" s="46" customFormat="1">
      <c r="A41" s="69" t="s">
        <v>269</v>
      </c>
      <c r="B41" s="45" t="str">
        <f>VLOOKUP(A41,'CENTRO DE COSTOS'!A:D,4,FALSE)</f>
        <v>MIGUEL JULIÁN HERNÁNDEZ GUARÍN</v>
      </c>
      <c r="C41" s="45" t="str">
        <f>VLOOKUP(A41,'CENTRO DE COSTOS'!A:D,2,FALSE)</f>
        <v>0004-0008</v>
      </c>
      <c r="D41" s="69">
        <v>13688</v>
      </c>
      <c r="E41" s="70" t="s">
        <v>414</v>
      </c>
      <c r="F41" s="71">
        <v>80807</v>
      </c>
      <c r="G41" s="79" t="s">
        <v>132</v>
      </c>
      <c r="H41" s="73" t="s">
        <v>133</v>
      </c>
      <c r="I41" s="71" t="s">
        <v>271</v>
      </c>
      <c r="J41" s="81" t="s">
        <v>272</v>
      </c>
      <c r="K41" s="71" t="s">
        <v>415</v>
      </c>
      <c r="L41" s="75" t="s">
        <v>137</v>
      </c>
      <c r="M41" s="82" t="s">
        <v>416</v>
      </c>
      <c r="N41" s="74">
        <v>45870</v>
      </c>
      <c r="O41" s="76">
        <v>45875</v>
      </c>
      <c r="P41" s="83" t="s">
        <v>139</v>
      </c>
      <c r="Q41" s="84" t="s">
        <v>139</v>
      </c>
      <c r="R41" s="69" t="s">
        <v>140</v>
      </c>
      <c r="S41" s="72" t="s">
        <v>417</v>
      </c>
      <c r="T41" s="79" t="s">
        <v>276</v>
      </c>
      <c r="U41" s="69" t="s">
        <v>418</v>
      </c>
      <c r="V41" s="81" t="s">
        <v>160</v>
      </c>
      <c r="W41" s="76" t="s">
        <v>278</v>
      </c>
      <c r="X41" s="79" t="s">
        <v>276</v>
      </c>
      <c r="Y41" s="69">
        <v>1</v>
      </c>
      <c r="Z41" s="69">
        <v>1</v>
      </c>
      <c r="AA41" s="69">
        <v>1</v>
      </c>
      <c r="AB41" s="49">
        <f>IF(V41="TIPO I",'BASE DE LIQUIDACION 2025'!$B$3,'BASE DE LIQUIDACION 2025'!$B$4)</f>
        <v>11251.22416</v>
      </c>
      <c r="AC41" s="49">
        <f>IF(V41="TIPO I",'BASE DE LIQUIDACION 2025'!$C$3,'BASE DE LIQUIDACION 2025'!$C$4)</f>
        <v>126317.12212</v>
      </c>
      <c r="AD41" s="49">
        <f>IF(V41="TIPO I",'BASE DE LIQUIDACION 2025'!$D$3,'BASE DE LIQUIDACION 2025'!$D$4)</f>
        <v>110808.27512000001</v>
      </c>
      <c r="AE41" s="53">
        <f t="shared" si="1"/>
        <v>248376.6214</v>
      </c>
    </row>
    <row r="42" spans="1:31" s="46" customFormat="1">
      <c r="A42" s="69" t="s">
        <v>220</v>
      </c>
      <c r="B42" s="45" t="str">
        <f>VLOOKUP(A42,'CENTRO DE COSTOS'!A:D,4,FALSE)</f>
        <v>DIEGO FERNANDO HENAO CARDONA</v>
      </c>
      <c r="C42" s="45" t="str">
        <f>VLOOKUP(A42,'CENTRO DE COSTOS'!A:D,2,FALSE)</f>
        <v>0004-0003</v>
      </c>
      <c r="D42" s="69">
        <v>76001</v>
      </c>
      <c r="E42" s="70" t="s">
        <v>419</v>
      </c>
      <c r="F42" s="71">
        <v>80777</v>
      </c>
      <c r="G42" s="79" t="s">
        <v>132</v>
      </c>
      <c r="H42" s="73" t="s">
        <v>133</v>
      </c>
      <c r="I42" s="71" t="s">
        <v>420</v>
      </c>
      <c r="J42" s="81" t="s">
        <v>220</v>
      </c>
      <c r="K42" s="71" t="s">
        <v>421</v>
      </c>
      <c r="L42" s="75" t="s">
        <v>137</v>
      </c>
      <c r="M42" s="82" t="s">
        <v>422</v>
      </c>
      <c r="N42" s="74">
        <v>45870</v>
      </c>
      <c r="O42" s="76">
        <v>45873</v>
      </c>
      <c r="P42" s="83" t="s">
        <v>139</v>
      </c>
      <c r="Q42" s="84" t="s">
        <v>139</v>
      </c>
      <c r="R42" s="69" t="s">
        <v>140</v>
      </c>
      <c r="S42" s="72" t="s">
        <v>423</v>
      </c>
      <c r="T42" s="79" t="s">
        <v>228</v>
      </c>
      <c r="U42" s="69" t="s">
        <v>424</v>
      </c>
      <c r="V42" s="81" t="s">
        <v>52</v>
      </c>
      <c r="W42" s="76" t="s">
        <v>145</v>
      </c>
      <c r="X42" s="79" t="s">
        <v>228</v>
      </c>
      <c r="Y42" s="69">
        <v>1</v>
      </c>
      <c r="Z42" s="69">
        <v>1</v>
      </c>
      <c r="AA42" s="69">
        <v>1</v>
      </c>
      <c r="AB42" s="49">
        <f>IF(V42="TIPO I",'BASE DE LIQUIDACION 2025'!$B$3,'BASE DE LIQUIDACION 2025'!$B$4)</f>
        <v>11251.22416</v>
      </c>
      <c r="AC42" s="49">
        <f>IF(V42="TIPO I",'BASE DE LIQUIDACION 2025'!$C$3,'BASE DE LIQUIDACION 2025'!$C$4)</f>
        <v>126317.12212</v>
      </c>
      <c r="AD42" s="49">
        <f>IF(V42="TIPO I",'BASE DE LIQUIDACION 2025'!$D$3,'BASE DE LIQUIDACION 2025'!$D$4)</f>
        <v>57411.974240000003</v>
      </c>
      <c r="AE42" s="53">
        <f t="shared" si="1"/>
        <v>194980.32052000001</v>
      </c>
    </row>
    <row r="43" spans="1:31" s="46" customFormat="1">
      <c r="A43" s="69" t="s">
        <v>151</v>
      </c>
      <c r="B43" s="45" t="str">
        <f>VLOOKUP(A43,'CENTRO DE COSTOS'!A:D,4,FALSE)</f>
        <v>DIEGO FERNANDO HENAO CARDONA</v>
      </c>
      <c r="C43" s="45" t="str">
        <f>VLOOKUP(A43,'CENTRO DE COSTOS'!A:D,2,FALSE)</f>
        <v>0004-0003</v>
      </c>
      <c r="D43" s="69">
        <v>52786</v>
      </c>
      <c r="E43" s="70" t="s">
        <v>425</v>
      </c>
      <c r="F43" s="71">
        <v>80812</v>
      </c>
      <c r="G43" s="79" t="s">
        <v>132</v>
      </c>
      <c r="H43" s="73" t="s">
        <v>133</v>
      </c>
      <c r="I43" s="71" t="s">
        <v>153</v>
      </c>
      <c r="J43" s="81" t="s">
        <v>426</v>
      </c>
      <c r="K43" s="71" t="s">
        <v>427</v>
      </c>
      <c r="L43" s="75" t="s">
        <v>137</v>
      </c>
      <c r="M43" s="82" t="s">
        <v>428</v>
      </c>
      <c r="N43" s="74">
        <v>45870</v>
      </c>
      <c r="O43" s="76">
        <v>45873</v>
      </c>
      <c r="P43" s="83" t="s">
        <v>139</v>
      </c>
      <c r="Q43" s="84" t="s">
        <v>139</v>
      </c>
      <c r="R43" s="69" t="s">
        <v>140</v>
      </c>
      <c r="S43" s="72" t="s">
        <v>429</v>
      </c>
      <c r="T43" s="79" t="s">
        <v>248</v>
      </c>
      <c r="U43" s="69" t="s">
        <v>430</v>
      </c>
      <c r="V43" s="81" t="s">
        <v>202</v>
      </c>
      <c r="W43" s="76" t="s">
        <v>145</v>
      </c>
      <c r="X43" s="79" t="s">
        <v>248</v>
      </c>
      <c r="Y43" s="69">
        <v>1</v>
      </c>
      <c r="Z43" s="69">
        <v>1</v>
      </c>
      <c r="AA43" s="69">
        <v>1</v>
      </c>
      <c r="AB43" s="49">
        <f>IF(V43="TIPO I",'BASE DE LIQUIDACION 2025'!$B$3,'BASE DE LIQUIDACION 2025'!$B$4)</f>
        <v>11251.22416</v>
      </c>
      <c r="AC43" s="49">
        <f>IF(V43="TIPO I",'BASE DE LIQUIDACION 2025'!$C$3,'BASE DE LIQUIDACION 2025'!$C$4)</f>
        <v>126317.12212</v>
      </c>
      <c r="AD43" s="49">
        <f>IF(V43="TIPO I",'BASE DE LIQUIDACION 2025'!$D$3,'BASE DE LIQUIDACION 2025'!$D$4)</f>
        <v>110808.27512000001</v>
      </c>
      <c r="AE43" s="53">
        <f t="shared" si="1"/>
        <v>248376.6214</v>
      </c>
    </row>
    <row r="44" spans="1:31" s="46" customFormat="1">
      <c r="A44" s="69" t="s">
        <v>431</v>
      </c>
      <c r="B44" s="45" t="str">
        <f>VLOOKUP(A44,'CENTRO DE COSTOS'!A:D,4,FALSE)</f>
        <v>WILLIAM ASDRUBAL ROZO ROZO</v>
      </c>
      <c r="C44" s="45" t="str">
        <f>VLOOKUP(A44,'CENTRO DE COSTOS'!A:D,2,FALSE)</f>
        <v>0004-0004</v>
      </c>
      <c r="D44" s="69">
        <v>11001</v>
      </c>
      <c r="E44" s="70" t="s">
        <v>432</v>
      </c>
      <c r="F44" s="71">
        <v>80772</v>
      </c>
      <c r="G44" s="79" t="s">
        <v>132</v>
      </c>
      <c r="H44" s="73" t="s">
        <v>133</v>
      </c>
      <c r="I44" s="71" t="s">
        <v>433</v>
      </c>
      <c r="J44" s="81" t="s">
        <v>431</v>
      </c>
      <c r="K44" s="71" t="s">
        <v>434</v>
      </c>
      <c r="L44" s="75" t="s">
        <v>137</v>
      </c>
      <c r="M44" s="82" t="s">
        <v>435</v>
      </c>
      <c r="N44" s="74">
        <v>45870</v>
      </c>
      <c r="O44" s="76">
        <v>45874</v>
      </c>
      <c r="P44" s="83" t="s">
        <v>139</v>
      </c>
      <c r="Q44" s="84" t="s">
        <v>139</v>
      </c>
      <c r="R44" s="69" t="s">
        <v>140</v>
      </c>
      <c r="S44" s="72" t="s">
        <v>436</v>
      </c>
      <c r="T44" s="79" t="s">
        <v>437</v>
      </c>
      <c r="U44" s="69" t="s">
        <v>438</v>
      </c>
      <c r="V44" s="81" t="s">
        <v>52</v>
      </c>
      <c r="W44" s="76" t="s">
        <v>145</v>
      </c>
      <c r="X44" s="79" t="s">
        <v>437</v>
      </c>
      <c r="Y44" s="69">
        <v>1</v>
      </c>
      <c r="Z44" s="69">
        <v>1</v>
      </c>
      <c r="AA44" s="69">
        <v>3</v>
      </c>
      <c r="AB44" s="49">
        <f>IF(V44="TIPO I",'BASE DE LIQUIDACION 2025'!$B$3,'BASE DE LIQUIDACION 2025'!$B$4)</f>
        <v>11251.22416</v>
      </c>
      <c r="AC44" s="49">
        <f>IF(V44="TIPO I",'BASE DE LIQUIDACION 2025'!$C$3,'BASE DE LIQUIDACION 2025'!$C$4)</f>
        <v>126317.12212</v>
      </c>
      <c r="AD44" s="49">
        <f>IF(V44="TIPO I",'BASE DE LIQUIDACION 2025'!$D$3,'BASE DE LIQUIDACION 2025'!$D$4)</f>
        <v>57411.974240000003</v>
      </c>
      <c r="AE44" s="53">
        <f t="shared" si="1"/>
        <v>309804.26899999997</v>
      </c>
    </row>
    <row r="45" spans="1:31" s="46" customFormat="1">
      <c r="A45" s="69" t="s">
        <v>439</v>
      </c>
      <c r="B45" s="45" t="str">
        <f>VLOOKUP(A45,'CENTRO DE COSTOS'!A:D,4,FALSE)</f>
        <v>DIEGO FERNANDO HENAO CARDONA</v>
      </c>
      <c r="C45" s="45" t="str">
        <f>VLOOKUP(A45,'CENTRO DE COSTOS'!A:D,2,FALSE)</f>
        <v>0004-0002</v>
      </c>
      <c r="D45" s="69">
        <v>17001</v>
      </c>
      <c r="E45" s="70" t="s">
        <v>440</v>
      </c>
      <c r="F45" s="71">
        <v>80789</v>
      </c>
      <c r="G45" s="79" t="s">
        <v>132</v>
      </c>
      <c r="H45" s="73" t="s">
        <v>133</v>
      </c>
      <c r="I45" s="71" t="s">
        <v>441</v>
      </c>
      <c r="J45" s="81" t="s">
        <v>439</v>
      </c>
      <c r="K45" s="71" t="s">
        <v>442</v>
      </c>
      <c r="L45" s="75" t="s">
        <v>137</v>
      </c>
      <c r="M45" s="82" t="s">
        <v>443</v>
      </c>
      <c r="N45" s="74">
        <v>45870</v>
      </c>
      <c r="O45" s="76">
        <v>45873</v>
      </c>
      <c r="P45" s="83" t="s">
        <v>139</v>
      </c>
      <c r="Q45" s="84" t="s">
        <v>139</v>
      </c>
      <c r="R45" s="69" t="s">
        <v>140</v>
      </c>
      <c r="S45" s="72" t="s">
        <v>444</v>
      </c>
      <c r="T45" s="79" t="s">
        <v>445</v>
      </c>
      <c r="U45" s="69" t="s">
        <v>446</v>
      </c>
      <c r="V45" s="81" t="s">
        <v>52</v>
      </c>
      <c r="W45" s="76" t="s">
        <v>145</v>
      </c>
      <c r="X45" s="79" t="s">
        <v>445</v>
      </c>
      <c r="Y45" s="69">
        <v>1</v>
      </c>
      <c r="Z45" s="69">
        <v>1</v>
      </c>
      <c r="AA45" s="69">
        <v>1</v>
      </c>
      <c r="AB45" s="49">
        <f>IF(V45="TIPO I",'BASE DE LIQUIDACION 2025'!$B$3,'BASE DE LIQUIDACION 2025'!$B$4)</f>
        <v>11251.22416</v>
      </c>
      <c r="AC45" s="49">
        <f>IF(V45="TIPO I",'BASE DE LIQUIDACION 2025'!$C$3,'BASE DE LIQUIDACION 2025'!$C$4)</f>
        <v>126317.12212</v>
      </c>
      <c r="AD45" s="49">
        <f>IF(V45="TIPO I",'BASE DE LIQUIDACION 2025'!$D$3,'BASE DE LIQUIDACION 2025'!$D$4)</f>
        <v>57411.974240000003</v>
      </c>
      <c r="AE45" s="53">
        <f t="shared" si="1"/>
        <v>194980.32052000001</v>
      </c>
    </row>
    <row r="46" spans="1:31" s="46" customFormat="1">
      <c r="A46" s="69" t="s">
        <v>175</v>
      </c>
      <c r="B46" s="45" t="str">
        <f>VLOOKUP(A46,'CENTRO DE COSTOS'!A:D,4,FALSE)</f>
        <v>JUAN SEBASTIÁN RÍOS CASTRILLÓN</v>
      </c>
      <c r="C46" s="45" t="str">
        <f>VLOOKUP(A46,'CENTRO DE COSTOS'!A:D,2,FALSE)</f>
        <v>0004-0005</v>
      </c>
      <c r="D46" s="69">
        <v>5001</v>
      </c>
      <c r="E46" s="70" t="s">
        <v>447</v>
      </c>
      <c r="F46" s="71">
        <v>80818</v>
      </c>
      <c r="G46" s="79" t="s">
        <v>132</v>
      </c>
      <c r="H46" s="73" t="s">
        <v>133</v>
      </c>
      <c r="I46" s="71" t="s">
        <v>178</v>
      </c>
      <c r="J46" s="81" t="s">
        <v>175</v>
      </c>
      <c r="K46" s="71" t="s">
        <v>448</v>
      </c>
      <c r="L46" s="75" t="s">
        <v>137</v>
      </c>
      <c r="M46" s="82" t="s">
        <v>449</v>
      </c>
      <c r="N46" s="74">
        <v>45870</v>
      </c>
      <c r="O46" s="76">
        <v>45873</v>
      </c>
      <c r="P46" s="83" t="s">
        <v>139</v>
      </c>
      <c r="Q46" s="84" t="s">
        <v>139</v>
      </c>
      <c r="R46" s="69" t="s">
        <v>140</v>
      </c>
      <c r="S46" s="72" t="s">
        <v>450</v>
      </c>
      <c r="T46" s="79" t="s">
        <v>451</v>
      </c>
      <c r="U46" s="69" t="s">
        <v>452</v>
      </c>
      <c r="V46" s="81" t="s">
        <v>52</v>
      </c>
      <c r="W46" s="76" t="s">
        <v>145</v>
      </c>
      <c r="X46" s="79" t="s">
        <v>451</v>
      </c>
      <c r="Y46" s="69">
        <v>1</v>
      </c>
      <c r="Z46" s="69">
        <v>1</v>
      </c>
      <c r="AA46" s="69">
        <v>1</v>
      </c>
      <c r="AB46" s="49">
        <f>IF(V46="TIPO I",'BASE DE LIQUIDACION 2025'!$B$3,'BASE DE LIQUIDACION 2025'!$B$4)</f>
        <v>11251.22416</v>
      </c>
      <c r="AC46" s="49">
        <f>IF(V46="TIPO I",'BASE DE LIQUIDACION 2025'!$C$3,'BASE DE LIQUIDACION 2025'!$C$4)</f>
        <v>126317.12212</v>
      </c>
      <c r="AD46" s="49">
        <f>IF(V46="TIPO I",'BASE DE LIQUIDACION 2025'!$D$3,'BASE DE LIQUIDACION 2025'!$D$4)</f>
        <v>57411.974240000003</v>
      </c>
      <c r="AE46" s="53">
        <f t="shared" si="1"/>
        <v>194980.32052000001</v>
      </c>
    </row>
    <row r="47" spans="1:31" s="46" customFormat="1">
      <c r="A47" s="69" t="s">
        <v>453</v>
      </c>
      <c r="B47" s="45" t="str">
        <f>VLOOKUP(A47,'CENTRO DE COSTOS'!A:D,4,FALSE)</f>
        <v>DIEGO FERNANDO HENAO CARDONA</v>
      </c>
      <c r="C47" s="45" t="str">
        <f>VLOOKUP(A47,'CENTRO DE COSTOS'!A:D,2,FALSE)</f>
        <v>0004-0002</v>
      </c>
      <c r="D47" s="69">
        <v>76823</v>
      </c>
      <c r="E47" s="70" t="s">
        <v>454</v>
      </c>
      <c r="F47" s="71">
        <v>80814</v>
      </c>
      <c r="G47" s="79" t="s">
        <v>132</v>
      </c>
      <c r="H47" s="73" t="s">
        <v>133</v>
      </c>
      <c r="I47" s="71" t="s">
        <v>420</v>
      </c>
      <c r="J47" s="81" t="s">
        <v>455</v>
      </c>
      <c r="K47" s="71" t="s">
        <v>456</v>
      </c>
      <c r="L47" s="75" t="s">
        <v>137</v>
      </c>
      <c r="M47" s="82" t="s">
        <v>457</v>
      </c>
      <c r="N47" s="74">
        <v>45870</v>
      </c>
      <c r="O47" s="76">
        <v>45874</v>
      </c>
      <c r="P47" s="83" t="s">
        <v>139</v>
      </c>
      <c r="Q47" s="84" t="s">
        <v>139</v>
      </c>
      <c r="R47" s="69" t="s">
        <v>140</v>
      </c>
      <c r="S47" s="72" t="s">
        <v>458</v>
      </c>
      <c r="T47" s="79" t="s">
        <v>459</v>
      </c>
      <c r="U47" s="69" t="s">
        <v>460</v>
      </c>
      <c r="V47" s="81" t="s">
        <v>202</v>
      </c>
      <c r="W47" s="76" t="s">
        <v>145</v>
      </c>
      <c r="X47" s="79" t="s">
        <v>459</v>
      </c>
      <c r="Y47" s="69">
        <v>1</v>
      </c>
      <c r="Z47" s="69">
        <v>1</v>
      </c>
      <c r="AA47" s="69">
        <v>1</v>
      </c>
      <c r="AB47" s="49">
        <f>IF(V47="TIPO I",'BASE DE LIQUIDACION 2025'!$B$3,'BASE DE LIQUIDACION 2025'!$B$4)</f>
        <v>11251.22416</v>
      </c>
      <c r="AC47" s="49">
        <f>IF(V47="TIPO I",'BASE DE LIQUIDACION 2025'!$C$3,'BASE DE LIQUIDACION 2025'!$C$4)</f>
        <v>126317.12212</v>
      </c>
      <c r="AD47" s="49">
        <f>IF(V47="TIPO I",'BASE DE LIQUIDACION 2025'!$D$3,'BASE DE LIQUIDACION 2025'!$D$4)</f>
        <v>110808.27512000001</v>
      </c>
      <c r="AE47" s="53">
        <f t="shared" si="1"/>
        <v>248376.6214</v>
      </c>
    </row>
    <row r="48" spans="1:31" s="46" customFormat="1">
      <c r="A48" s="69" t="s">
        <v>175</v>
      </c>
      <c r="B48" s="45" t="str">
        <f>VLOOKUP(A48,'CENTRO DE COSTOS'!A:D,4,FALSE)</f>
        <v>JUAN SEBASTIÁN RÍOS CASTRILLÓN</v>
      </c>
      <c r="C48" s="45" t="str">
        <f>VLOOKUP(A48,'CENTRO DE COSTOS'!A:D,2,FALSE)</f>
        <v>0004-0005</v>
      </c>
      <c r="D48" s="69">
        <v>5001</v>
      </c>
      <c r="E48" s="70" t="s">
        <v>461</v>
      </c>
      <c r="F48" s="71">
        <v>80819</v>
      </c>
      <c r="G48" s="79" t="s">
        <v>132</v>
      </c>
      <c r="H48" s="73" t="s">
        <v>133</v>
      </c>
      <c r="I48" s="71" t="s">
        <v>178</v>
      </c>
      <c r="J48" s="81" t="s">
        <v>175</v>
      </c>
      <c r="K48" s="71" t="s">
        <v>462</v>
      </c>
      <c r="L48" s="75" t="s">
        <v>137</v>
      </c>
      <c r="M48" s="82" t="s">
        <v>463</v>
      </c>
      <c r="N48" s="74">
        <v>45870</v>
      </c>
      <c r="O48" s="76">
        <v>45873</v>
      </c>
      <c r="P48" s="83" t="s">
        <v>139</v>
      </c>
      <c r="Q48" s="84" t="s">
        <v>139</v>
      </c>
      <c r="R48" s="69" t="s">
        <v>140</v>
      </c>
      <c r="S48" s="72" t="s">
        <v>464</v>
      </c>
      <c r="T48" s="79" t="s">
        <v>451</v>
      </c>
      <c r="U48" s="69" t="s">
        <v>465</v>
      </c>
      <c r="V48" s="81" t="s">
        <v>52</v>
      </c>
      <c r="W48" s="76" t="s">
        <v>145</v>
      </c>
      <c r="X48" s="79" t="s">
        <v>451</v>
      </c>
      <c r="Y48" s="69">
        <v>1</v>
      </c>
      <c r="Z48" s="69">
        <v>1</v>
      </c>
      <c r="AA48" s="69">
        <v>1</v>
      </c>
      <c r="AB48" s="49">
        <f>IF(V48="TIPO I",'BASE DE LIQUIDACION 2025'!$B$3,'BASE DE LIQUIDACION 2025'!$B$4)</f>
        <v>11251.22416</v>
      </c>
      <c r="AC48" s="49">
        <f>IF(V48="TIPO I",'BASE DE LIQUIDACION 2025'!$C$3,'BASE DE LIQUIDACION 2025'!$C$4)</f>
        <v>126317.12212</v>
      </c>
      <c r="AD48" s="49">
        <f>IF(V48="TIPO I",'BASE DE LIQUIDACION 2025'!$D$3,'BASE DE LIQUIDACION 2025'!$D$4)</f>
        <v>57411.974240000003</v>
      </c>
      <c r="AE48" s="53">
        <f t="shared" si="1"/>
        <v>194980.32052000001</v>
      </c>
    </row>
    <row r="49" spans="1:31" s="46" customFormat="1">
      <c r="A49" s="69" t="s">
        <v>431</v>
      </c>
      <c r="B49" s="45" t="str">
        <f>VLOOKUP(A49,'CENTRO DE COSTOS'!A:D,4,FALSE)</f>
        <v>WILLIAM ASDRUBAL ROZO ROZO</v>
      </c>
      <c r="C49" s="45" t="str">
        <f>VLOOKUP(A49,'CENTRO DE COSTOS'!A:D,2,FALSE)</f>
        <v>0004-0004</v>
      </c>
      <c r="D49" s="69">
        <v>11001</v>
      </c>
      <c r="E49" s="70" t="s">
        <v>466</v>
      </c>
      <c r="F49" s="71">
        <v>80775</v>
      </c>
      <c r="G49" s="79" t="s">
        <v>132</v>
      </c>
      <c r="H49" s="73" t="s">
        <v>133</v>
      </c>
      <c r="I49" s="71" t="s">
        <v>433</v>
      </c>
      <c r="J49" s="81" t="s">
        <v>431</v>
      </c>
      <c r="K49" s="71" t="s">
        <v>467</v>
      </c>
      <c r="L49" s="75" t="s">
        <v>137</v>
      </c>
      <c r="M49" s="82" t="s">
        <v>468</v>
      </c>
      <c r="N49" s="74">
        <v>45870</v>
      </c>
      <c r="O49" s="76">
        <v>45873</v>
      </c>
      <c r="P49" s="83" t="s">
        <v>139</v>
      </c>
      <c r="Q49" s="84" t="s">
        <v>139</v>
      </c>
      <c r="R49" s="69" t="s">
        <v>140</v>
      </c>
      <c r="S49" s="72" t="s">
        <v>469</v>
      </c>
      <c r="T49" s="79" t="s">
        <v>470</v>
      </c>
      <c r="U49" s="69" t="s">
        <v>471</v>
      </c>
      <c r="V49" s="81" t="s">
        <v>52</v>
      </c>
      <c r="W49" s="76" t="s">
        <v>145</v>
      </c>
      <c r="X49" s="79" t="s">
        <v>470</v>
      </c>
      <c r="Y49" s="69">
        <v>1</v>
      </c>
      <c r="Z49" s="69">
        <v>1</v>
      </c>
      <c r="AA49" s="69">
        <v>1</v>
      </c>
      <c r="AB49" s="49">
        <f>IF(V49="TIPO I",'BASE DE LIQUIDACION 2025'!$B$3,'BASE DE LIQUIDACION 2025'!$B$4)</f>
        <v>11251.22416</v>
      </c>
      <c r="AC49" s="49">
        <f>IF(V49="TIPO I",'BASE DE LIQUIDACION 2025'!$C$3,'BASE DE LIQUIDACION 2025'!$C$4)</f>
        <v>126317.12212</v>
      </c>
      <c r="AD49" s="49">
        <f>IF(V49="TIPO I",'BASE DE LIQUIDACION 2025'!$D$3,'BASE DE LIQUIDACION 2025'!$D$4)</f>
        <v>57411.974240000003</v>
      </c>
      <c r="AE49" s="53">
        <f t="shared" si="1"/>
        <v>194980.32052000001</v>
      </c>
    </row>
    <row r="50" spans="1:31" s="46" customFormat="1">
      <c r="A50" s="69" t="s">
        <v>220</v>
      </c>
      <c r="B50" s="45" t="str">
        <f>VLOOKUP(A50,'CENTRO DE COSTOS'!A:D,4,FALSE)</f>
        <v>DIEGO FERNANDO HENAO CARDONA</v>
      </c>
      <c r="C50" s="45" t="str">
        <f>VLOOKUP(A50,'CENTRO DE COSTOS'!A:D,2,FALSE)</f>
        <v>0004-0003</v>
      </c>
      <c r="D50" s="69">
        <v>19845</v>
      </c>
      <c r="E50" s="70" t="s">
        <v>472</v>
      </c>
      <c r="F50" s="71">
        <v>80817</v>
      </c>
      <c r="G50" s="79" t="s">
        <v>132</v>
      </c>
      <c r="H50" s="73" t="s">
        <v>133</v>
      </c>
      <c r="I50" s="71" t="s">
        <v>223</v>
      </c>
      <c r="J50" s="81" t="s">
        <v>473</v>
      </c>
      <c r="K50" s="71" t="s">
        <v>474</v>
      </c>
      <c r="L50" s="75" t="s">
        <v>137</v>
      </c>
      <c r="M50" s="82" t="s">
        <v>475</v>
      </c>
      <c r="N50" s="74">
        <v>45870</v>
      </c>
      <c r="O50" s="76">
        <v>45873</v>
      </c>
      <c r="P50" s="83" t="s">
        <v>139</v>
      </c>
      <c r="Q50" s="84" t="s">
        <v>139</v>
      </c>
      <c r="R50" s="69" t="s">
        <v>140</v>
      </c>
      <c r="S50" s="72" t="s">
        <v>476</v>
      </c>
      <c r="T50" s="79" t="s">
        <v>477</v>
      </c>
      <c r="U50" s="69" t="s">
        <v>478</v>
      </c>
      <c r="V50" s="81" t="s">
        <v>144</v>
      </c>
      <c r="W50" s="76" t="s">
        <v>145</v>
      </c>
      <c r="X50" s="79" t="s">
        <v>477</v>
      </c>
      <c r="Y50" s="69">
        <v>1</v>
      </c>
      <c r="Z50" s="69">
        <v>1</v>
      </c>
      <c r="AA50" s="69">
        <v>1</v>
      </c>
      <c r="AB50" s="49">
        <f>IF(V50="TIPO I",'BASE DE LIQUIDACION 2025'!$B$3,'BASE DE LIQUIDACION 2025'!$B$4)</f>
        <v>11251.22416</v>
      </c>
      <c r="AC50" s="49">
        <f>IF(V50="TIPO I",'BASE DE LIQUIDACION 2025'!$C$3,'BASE DE LIQUIDACION 2025'!$C$4)</f>
        <v>126317.12212</v>
      </c>
      <c r="AD50" s="49">
        <f>IF(V50="TIPO I",'BASE DE LIQUIDACION 2025'!$D$3,'BASE DE LIQUIDACION 2025'!$D$4)</f>
        <v>110808.27512000001</v>
      </c>
      <c r="AE50" s="53">
        <f t="shared" si="1"/>
        <v>248376.6214</v>
      </c>
    </row>
    <row r="51" spans="1:31" s="46" customFormat="1">
      <c r="A51" s="69" t="s">
        <v>151</v>
      </c>
      <c r="B51" s="45" t="str">
        <f>VLOOKUP(A51,'CENTRO DE COSTOS'!A:D,4,FALSE)</f>
        <v>DIEGO FERNANDO HENAO CARDONA</v>
      </c>
      <c r="C51" s="45" t="str">
        <f>VLOOKUP(A51,'CENTRO DE COSTOS'!A:D,2,FALSE)</f>
        <v>0004-0003</v>
      </c>
      <c r="D51" s="69">
        <v>52835</v>
      </c>
      <c r="E51" s="70" t="s">
        <v>479</v>
      </c>
      <c r="F51" s="71">
        <v>80803</v>
      </c>
      <c r="G51" s="79" t="s">
        <v>132</v>
      </c>
      <c r="H51" s="73" t="s">
        <v>133</v>
      </c>
      <c r="I51" s="71" t="s">
        <v>153</v>
      </c>
      <c r="J51" s="81" t="s">
        <v>480</v>
      </c>
      <c r="K51" s="71" t="s">
        <v>481</v>
      </c>
      <c r="L51" s="75" t="s">
        <v>137</v>
      </c>
      <c r="M51" s="82" t="s">
        <v>482</v>
      </c>
      <c r="N51" s="74">
        <v>45870</v>
      </c>
      <c r="O51" s="76">
        <v>45874</v>
      </c>
      <c r="P51" s="83" t="s">
        <v>139</v>
      </c>
      <c r="Q51" s="84" t="s">
        <v>139</v>
      </c>
      <c r="R51" s="69" t="s">
        <v>140</v>
      </c>
      <c r="S51" s="72" t="s">
        <v>483</v>
      </c>
      <c r="T51" s="79" t="s">
        <v>158</v>
      </c>
      <c r="U51" s="69" t="s">
        <v>484</v>
      </c>
      <c r="V51" s="81" t="s">
        <v>144</v>
      </c>
      <c r="W51" s="76" t="s">
        <v>145</v>
      </c>
      <c r="X51" s="79" t="s">
        <v>158</v>
      </c>
      <c r="Y51" s="69">
        <v>1</v>
      </c>
      <c r="Z51" s="69">
        <v>1</v>
      </c>
      <c r="AA51" s="69">
        <v>1</v>
      </c>
      <c r="AB51" s="49">
        <f>IF(V51="TIPO I",'BASE DE LIQUIDACION 2025'!$B$3,'BASE DE LIQUIDACION 2025'!$B$4)</f>
        <v>11251.22416</v>
      </c>
      <c r="AC51" s="49">
        <f>IF(V51="TIPO I",'BASE DE LIQUIDACION 2025'!$C$3,'BASE DE LIQUIDACION 2025'!$C$4)</f>
        <v>126317.12212</v>
      </c>
      <c r="AD51" s="49">
        <f>IF(V51="TIPO I",'BASE DE LIQUIDACION 2025'!$D$3,'BASE DE LIQUIDACION 2025'!$D$4)</f>
        <v>110808.27512000001</v>
      </c>
      <c r="AE51" s="53">
        <f t="shared" si="1"/>
        <v>248376.6214</v>
      </c>
    </row>
    <row r="52" spans="1:31" s="46" customFormat="1">
      <c r="A52" s="69" t="s">
        <v>220</v>
      </c>
      <c r="B52" s="45" t="str">
        <f>VLOOKUP(A52,'CENTRO DE COSTOS'!A:D,4,FALSE)</f>
        <v>DIEGO FERNANDO HENAO CARDONA</v>
      </c>
      <c r="C52" s="45" t="str">
        <f>VLOOKUP(A52,'CENTRO DE COSTOS'!A:D,2,FALSE)</f>
        <v>0004-0003</v>
      </c>
      <c r="D52" s="69">
        <v>76001</v>
      </c>
      <c r="E52" s="70" t="s">
        <v>485</v>
      </c>
      <c r="F52" s="71">
        <v>80778</v>
      </c>
      <c r="G52" s="79" t="s">
        <v>132</v>
      </c>
      <c r="H52" s="73" t="s">
        <v>133</v>
      </c>
      <c r="I52" s="71" t="s">
        <v>420</v>
      </c>
      <c r="J52" s="81" t="s">
        <v>220</v>
      </c>
      <c r="K52" s="71" t="s">
        <v>486</v>
      </c>
      <c r="L52" s="75" t="s">
        <v>137</v>
      </c>
      <c r="M52" s="82" t="s">
        <v>487</v>
      </c>
      <c r="N52" s="74">
        <v>45870</v>
      </c>
      <c r="O52" s="76">
        <v>45873</v>
      </c>
      <c r="P52" s="83" t="s">
        <v>139</v>
      </c>
      <c r="Q52" s="84" t="s">
        <v>139</v>
      </c>
      <c r="R52" s="69" t="s">
        <v>140</v>
      </c>
      <c r="S52" s="72" t="s">
        <v>488</v>
      </c>
      <c r="T52" s="79" t="s">
        <v>489</v>
      </c>
      <c r="U52" s="69" t="s">
        <v>490</v>
      </c>
      <c r="V52" s="81" t="s">
        <v>52</v>
      </c>
      <c r="W52" s="76" t="s">
        <v>145</v>
      </c>
      <c r="X52" s="79" t="s">
        <v>489</v>
      </c>
      <c r="Y52" s="69">
        <v>1</v>
      </c>
      <c r="Z52" s="69">
        <v>1</v>
      </c>
      <c r="AA52" s="69">
        <v>1</v>
      </c>
      <c r="AB52" s="49">
        <f>IF(V52="TIPO I",'BASE DE LIQUIDACION 2025'!$B$3,'BASE DE LIQUIDACION 2025'!$B$4)</f>
        <v>11251.22416</v>
      </c>
      <c r="AC52" s="49">
        <f>IF(V52="TIPO I",'BASE DE LIQUIDACION 2025'!$C$3,'BASE DE LIQUIDACION 2025'!$C$4)</f>
        <v>126317.12212</v>
      </c>
      <c r="AD52" s="49">
        <f>IF(V52="TIPO I",'BASE DE LIQUIDACION 2025'!$D$3,'BASE DE LIQUIDACION 2025'!$D$4)</f>
        <v>57411.974240000003</v>
      </c>
      <c r="AE52" s="53">
        <f t="shared" si="1"/>
        <v>194980.32052000001</v>
      </c>
    </row>
    <row r="53" spans="1:31" s="46" customFormat="1">
      <c r="A53" s="69" t="s">
        <v>220</v>
      </c>
      <c r="B53" s="45" t="str">
        <f>VLOOKUP(A53,'CENTRO DE COSTOS'!A:D,4,FALSE)</f>
        <v>DIEGO FERNANDO HENAO CARDONA</v>
      </c>
      <c r="C53" s="45" t="str">
        <f>VLOOKUP(A53,'CENTRO DE COSTOS'!A:D,2,FALSE)</f>
        <v>0004-0003</v>
      </c>
      <c r="D53" s="69">
        <v>76001</v>
      </c>
      <c r="E53" s="70" t="s">
        <v>491</v>
      </c>
      <c r="F53" s="71">
        <v>80779</v>
      </c>
      <c r="G53" s="79" t="s">
        <v>132</v>
      </c>
      <c r="H53" s="73" t="s">
        <v>133</v>
      </c>
      <c r="I53" s="71" t="s">
        <v>420</v>
      </c>
      <c r="J53" s="81" t="s">
        <v>220</v>
      </c>
      <c r="K53" s="71" t="s">
        <v>492</v>
      </c>
      <c r="L53" s="75" t="s">
        <v>137</v>
      </c>
      <c r="M53" s="82" t="s">
        <v>493</v>
      </c>
      <c r="N53" s="74">
        <v>45870</v>
      </c>
      <c r="O53" s="76">
        <v>45873</v>
      </c>
      <c r="P53" s="83" t="s">
        <v>139</v>
      </c>
      <c r="Q53" s="84" t="s">
        <v>139</v>
      </c>
      <c r="R53" s="69" t="s">
        <v>140</v>
      </c>
      <c r="S53" s="72" t="s">
        <v>494</v>
      </c>
      <c r="T53" s="79" t="s">
        <v>495</v>
      </c>
      <c r="U53" s="69" t="s">
        <v>496</v>
      </c>
      <c r="V53" s="81" t="s">
        <v>52</v>
      </c>
      <c r="W53" s="76" t="s">
        <v>145</v>
      </c>
      <c r="X53" s="79" t="s">
        <v>495</v>
      </c>
      <c r="Y53" s="69">
        <v>1</v>
      </c>
      <c r="Z53" s="69">
        <v>1</v>
      </c>
      <c r="AA53" s="69">
        <v>1</v>
      </c>
      <c r="AB53" s="49">
        <f>IF(V53="TIPO I",'BASE DE LIQUIDACION 2025'!$B$3,'BASE DE LIQUIDACION 2025'!$B$4)</f>
        <v>11251.22416</v>
      </c>
      <c r="AC53" s="49">
        <f>IF(V53="TIPO I",'BASE DE LIQUIDACION 2025'!$C$3,'BASE DE LIQUIDACION 2025'!$C$4)</f>
        <v>126317.12212</v>
      </c>
      <c r="AD53" s="49">
        <f>IF(V53="TIPO I",'BASE DE LIQUIDACION 2025'!$D$3,'BASE DE LIQUIDACION 2025'!$D$4)</f>
        <v>57411.974240000003</v>
      </c>
      <c r="AE53" s="53">
        <f t="shared" si="1"/>
        <v>194980.32052000001</v>
      </c>
    </row>
    <row r="54" spans="1:31" s="46" customFormat="1">
      <c r="A54" s="69" t="s">
        <v>431</v>
      </c>
      <c r="B54" s="45" t="str">
        <f>VLOOKUP(A54,'CENTRO DE COSTOS'!A:D,4,FALSE)</f>
        <v>WILLIAM ASDRUBAL ROZO ROZO</v>
      </c>
      <c r="C54" s="45" t="str">
        <f>VLOOKUP(A54,'CENTRO DE COSTOS'!A:D,2,FALSE)</f>
        <v>0004-0004</v>
      </c>
      <c r="D54" s="69">
        <v>25035</v>
      </c>
      <c r="E54" s="70" t="s">
        <v>497</v>
      </c>
      <c r="F54" s="71">
        <v>80768</v>
      </c>
      <c r="G54" s="79" t="s">
        <v>132</v>
      </c>
      <c r="H54" s="73" t="s">
        <v>133</v>
      </c>
      <c r="I54" s="71" t="s">
        <v>433</v>
      </c>
      <c r="J54" s="81" t="s">
        <v>498</v>
      </c>
      <c r="K54" s="71" t="s">
        <v>499</v>
      </c>
      <c r="L54" s="75" t="s">
        <v>137</v>
      </c>
      <c r="M54" s="82" t="s">
        <v>500</v>
      </c>
      <c r="N54" s="74">
        <v>45870</v>
      </c>
      <c r="O54" s="76">
        <v>45874</v>
      </c>
      <c r="P54" s="83" t="s">
        <v>139</v>
      </c>
      <c r="Q54" s="84" t="s">
        <v>139</v>
      </c>
      <c r="R54" s="69" t="s">
        <v>140</v>
      </c>
      <c r="S54" s="72" t="s">
        <v>501</v>
      </c>
      <c r="T54" s="79" t="s">
        <v>502</v>
      </c>
      <c r="U54" s="69" t="s">
        <v>503</v>
      </c>
      <c r="V54" s="81" t="s">
        <v>202</v>
      </c>
      <c r="W54" s="76" t="s">
        <v>145</v>
      </c>
      <c r="X54" s="79" t="s">
        <v>502</v>
      </c>
      <c r="Y54" s="69">
        <v>1</v>
      </c>
      <c r="Z54" s="69">
        <v>1</v>
      </c>
      <c r="AA54" s="69">
        <v>1</v>
      </c>
      <c r="AB54" s="49">
        <f>IF(V54="TIPO I",'BASE DE LIQUIDACION 2025'!$B$3,'BASE DE LIQUIDACION 2025'!$B$4)</f>
        <v>11251.22416</v>
      </c>
      <c r="AC54" s="49">
        <f>IF(V54="TIPO I",'BASE DE LIQUIDACION 2025'!$C$3,'BASE DE LIQUIDACION 2025'!$C$4)</f>
        <v>126317.12212</v>
      </c>
      <c r="AD54" s="49">
        <f>IF(V54="TIPO I",'BASE DE LIQUIDACION 2025'!$D$3,'BASE DE LIQUIDACION 2025'!$D$4)</f>
        <v>110808.27512000001</v>
      </c>
      <c r="AE54" s="53">
        <f t="shared" si="1"/>
        <v>248376.6214</v>
      </c>
    </row>
    <row r="55" spans="1:31" s="46" customFormat="1">
      <c r="A55" s="69" t="s">
        <v>439</v>
      </c>
      <c r="B55" s="45" t="str">
        <f>VLOOKUP(A55,'CENTRO DE COSTOS'!A:D,4,FALSE)</f>
        <v>DIEGO FERNANDO HENAO CARDONA</v>
      </c>
      <c r="C55" s="45" t="str">
        <f>VLOOKUP(A55,'CENTRO DE COSTOS'!A:D,2,FALSE)</f>
        <v>0004-0002</v>
      </c>
      <c r="D55" s="69">
        <v>17001</v>
      </c>
      <c r="E55" s="70" t="s">
        <v>504</v>
      </c>
      <c r="F55" s="71">
        <v>80791</v>
      </c>
      <c r="G55" s="79" t="s">
        <v>132</v>
      </c>
      <c r="H55" s="73" t="s">
        <v>133</v>
      </c>
      <c r="I55" s="71" t="s">
        <v>441</v>
      </c>
      <c r="J55" s="81" t="s">
        <v>439</v>
      </c>
      <c r="K55" s="71" t="s">
        <v>505</v>
      </c>
      <c r="L55" s="75" t="s">
        <v>137</v>
      </c>
      <c r="M55" s="82" t="s">
        <v>506</v>
      </c>
      <c r="N55" s="74">
        <v>45870</v>
      </c>
      <c r="O55" s="76">
        <v>45874</v>
      </c>
      <c r="P55" s="83" t="s">
        <v>139</v>
      </c>
      <c r="Q55" s="84" t="s">
        <v>139</v>
      </c>
      <c r="R55" s="69" t="s">
        <v>140</v>
      </c>
      <c r="S55" s="72" t="s">
        <v>507</v>
      </c>
      <c r="T55" s="79" t="s">
        <v>508</v>
      </c>
      <c r="U55" s="69" t="s">
        <v>509</v>
      </c>
      <c r="V55" s="81" t="s">
        <v>52</v>
      </c>
      <c r="W55" s="76" t="s">
        <v>145</v>
      </c>
      <c r="X55" s="79" t="s">
        <v>508</v>
      </c>
      <c r="Y55" s="69">
        <v>1</v>
      </c>
      <c r="Z55" s="69">
        <v>1</v>
      </c>
      <c r="AA55" s="69">
        <v>1</v>
      </c>
      <c r="AB55" s="49">
        <f>IF(V55="TIPO I",'BASE DE LIQUIDACION 2025'!$B$3,'BASE DE LIQUIDACION 2025'!$B$4)</f>
        <v>11251.22416</v>
      </c>
      <c r="AC55" s="49">
        <f>IF(V55="TIPO I",'BASE DE LIQUIDACION 2025'!$C$3,'BASE DE LIQUIDACION 2025'!$C$4)</f>
        <v>126317.12212</v>
      </c>
      <c r="AD55" s="49">
        <f>IF(V55="TIPO I",'BASE DE LIQUIDACION 2025'!$D$3,'BASE DE LIQUIDACION 2025'!$D$4)</f>
        <v>57411.974240000003</v>
      </c>
      <c r="AE55" s="53">
        <f t="shared" si="1"/>
        <v>194980.32052000001</v>
      </c>
    </row>
    <row r="56" spans="1:31" s="46" customFormat="1">
      <c r="A56" s="69" t="s">
        <v>285</v>
      </c>
      <c r="B56" s="45" t="str">
        <f>VLOOKUP(A56,'CENTRO DE COSTOS'!A:D,4,FALSE)</f>
        <v>MIGUEL JULIÁN HERNÁNDEZ GUARÍN</v>
      </c>
      <c r="C56" s="45" t="str">
        <f>VLOOKUP(A56,'CENTRO DE COSTOS'!A:D,2,FALSE)</f>
        <v>0004-0008</v>
      </c>
      <c r="D56" s="69">
        <v>54405</v>
      </c>
      <c r="E56" s="70" t="s">
        <v>510</v>
      </c>
      <c r="F56" s="71">
        <v>80787</v>
      </c>
      <c r="G56" s="79" t="s">
        <v>132</v>
      </c>
      <c r="H56" s="73" t="s">
        <v>133</v>
      </c>
      <c r="I56" s="71" t="s">
        <v>287</v>
      </c>
      <c r="J56" s="81" t="s">
        <v>511</v>
      </c>
      <c r="K56" s="71" t="s">
        <v>512</v>
      </c>
      <c r="L56" s="75" t="s">
        <v>137</v>
      </c>
      <c r="M56" s="82" t="s">
        <v>513</v>
      </c>
      <c r="N56" s="74">
        <v>45870</v>
      </c>
      <c r="O56" s="76">
        <v>45873</v>
      </c>
      <c r="P56" s="83" t="s">
        <v>139</v>
      </c>
      <c r="Q56" s="84" t="s">
        <v>139</v>
      </c>
      <c r="R56" s="69" t="s">
        <v>140</v>
      </c>
      <c r="S56" s="72" t="s">
        <v>514</v>
      </c>
      <c r="T56" s="79" t="s">
        <v>364</v>
      </c>
      <c r="U56" s="69" t="s">
        <v>515</v>
      </c>
      <c r="V56" s="81" t="s">
        <v>52</v>
      </c>
      <c r="W56" s="76" t="s">
        <v>145</v>
      </c>
      <c r="X56" s="79" t="s">
        <v>364</v>
      </c>
      <c r="Y56" s="69">
        <v>1</v>
      </c>
      <c r="Z56" s="69">
        <v>1</v>
      </c>
      <c r="AA56" s="69">
        <v>1</v>
      </c>
      <c r="AB56" s="49">
        <f>IF(V56="TIPO I",'BASE DE LIQUIDACION 2025'!$B$3,'BASE DE LIQUIDACION 2025'!$B$4)</f>
        <v>11251.22416</v>
      </c>
      <c r="AC56" s="49">
        <f>IF(V56="TIPO I",'BASE DE LIQUIDACION 2025'!$C$3,'BASE DE LIQUIDACION 2025'!$C$4)</f>
        <v>126317.12212</v>
      </c>
      <c r="AD56" s="49">
        <f>IF(V56="TIPO I",'BASE DE LIQUIDACION 2025'!$D$3,'BASE DE LIQUIDACION 2025'!$D$4)</f>
        <v>57411.974240000003</v>
      </c>
      <c r="AE56" s="53">
        <f t="shared" si="1"/>
        <v>194980.32052000001</v>
      </c>
    </row>
    <row r="57" spans="1:31" s="46" customFormat="1">
      <c r="A57" s="69" t="s">
        <v>203</v>
      </c>
      <c r="B57" s="45" t="str">
        <f>VLOOKUP(A57,'CENTRO DE COSTOS'!A:D,4,FALSE)</f>
        <v>MIGUEL JULIÁN HERNÁNDEZ GUARÍN</v>
      </c>
      <c r="C57" s="45" t="str">
        <f>VLOOKUP(A57,'CENTRO DE COSTOS'!A:D,2,FALSE)</f>
        <v>0004-0008</v>
      </c>
      <c r="D57" s="69">
        <v>15001</v>
      </c>
      <c r="E57" s="70" t="s">
        <v>516</v>
      </c>
      <c r="F57" s="71">
        <v>80815</v>
      </c>
      <c r="G57" s="79" t="s">
        <v>132</v>
      </c>
      <c r="H57" s="73" t="s">
        <v>222</v>
      </c>
      <c r="I57" s="71" t="s">
        <v>205</v>
      </c>
      <c r="J57" s="81" t="s">
        <v>203</v>
      </c>
      <c r="K57" s="71" t="s">
        <v>517</v>
      </c>
      <c r="L57" s="75" t="s">
        <v>137</v>
      </c>
      <c r="M57" s="82" t="s">
        <v>518</v>
      </c>
      <c r="N57" s="74">
        <v>45870</v>
      </c>
      <c r="O57" s="76">
        <v>45873</v>
      </c>
      <c r="P57" s="83" t="s">
        <v>139</v>
      </c>
      <c r="Q57" s="84" t="s">
        <v>139</v>
      </c>
      <c r="R57" s="69" t="s">
        <v>140</v>
      </c>
      <c r="S57" s="72" t="s">
        <v>519</v>
      </c>
      <c r="T57" s="79" t="s">
        <v>520</v>
      </c>
      <c r="U57" s="69" t="s">
        <v>521</v>
      </c>
      <c r="V57" s="81" t="s">
        <v>52</v>
      </c>
      <c r="W57" s="76" t="s">
        <v>145</v>
      </c>
      <c r="X57" s="79" t="s">
        <v>520</v>
      </c>
      <c r="Y57" s="69">
        <v>1</v>
      </c>
      <c r="Z57" s="69">
        <v>1</v>
      </c>
      <c r="AA57" s="69">
        <v>1</v>
      </c>
      <c r="AB57" s="49">
        <f>IF(V57="TIPO I",'BASE DE LIQUIDACION 2025'!$B$3,'BASE DE LIQUIDACION 2025'!$B$4)</f>
        <v>11251.22416</v>
      </c>
      <c r="AC57" s="49">
        <f>IF(V57="TIPO I",'BASE DE LIQUIDACION 2025'!$C$3,'BASE DE LIQUIDACION 2025'!$C$4)</f>
        <v>126317.12212</v>
      </c>
      <c r="AD57" s="49">
        <f>IF(V57="TIPO I",'BASE DE LIQUIDACION 2025'!$D$3,'BASE DE LIQUIDACION 2025'!$D$4)</f>
        <v>57411.974240000003</v>
      </c>
      <c r="AE57" s="53">
        <f t="shared" si="1"/>
        <v>194980.32052000001</v>
      </c>
    </row>
    <row r="58" spans="1:31" s="46" customFormat="1">
      <c r="A58" s="69" t="s">
        <v>130</v>
      </c>
      <c r="B58" s="45" t="str">
        <f>VLOOKUP(A58,'CENTRO DE COSTOS'!A:D,4,FALSE)</f>
        <v>KEVIN ALEXIS CORZO BUSTOS</v>
      </c>
      <c r="C58" s="45" t="str">
        <f>VLOOKUP(A58,'CENTRO DE COSTOS'!A:D,2,FALSE)</f>
        <v>0004-0007</v>
      </c>
      <c r="D58" s="69">
        <v>41791</v>
      </c>
      <c r="E58" s="70" t="s">
        <v>522</v>
      </c>
      <c r="F58" s="71">
        <v>80813</v>
      </c>
      <c r="G58" s="79" t="s">
        <v>132</v>
      </c>
      <c r="H58" s="73" t="s">
        <v>133</v>
      </c>
      <c r="I58" s="71" t="s">
        <v>213</v>
      </c>
      <c r="J58" s="81" t="s">
        <v>523</v>
      </c>
      <c r="K58" s="71" t="s">
        <v>524</v>
      </c>
      <c r="L58" s="75" t="s">
        <v>137</v>
      </c>
      <c r="M58" s="82" t="s">
        <v>525</v>
      </c>
      <c r="N58" s="74">
        <v>45870</v>
      </c>
      <c r="O58" s="76">
        <v>45873</v>
      </c>
      <c r="P58" s="83" t="s">
        <v>139</v>
      </c>
      <c r="Q58" s="84" t="s">
        <v>139</v>
      </c>
      <c r="R58" s="69" t="s">
        <v>140</v>
      </c>
      <c r="S58" s="72" t="s">
        <v>526</v>
      </c>
      <c r="T58" s="79" t="s">
        <v>314</v>
      </c>
      <c r="U58" s="69" t="s">
        <v>527</v>
      </c>
      <c r="V58" s="81" t="s">
        <v>230</v>
      </c>
      <c r="W58" s="76" t="s">
        <v>145</v>
      </c>
      <c r="X58" s="79" t="s">
        <v>314</v>
      </c>
      <c r="Y58" s="69">
        <v>1</v>
      </c>
      <c r="Z58" s="69">
        <v>1</v>
      </c>
      <c r="AA58" s="69">
        <v>1</v>
      </c>
      <c r="AB58" s="49">
        <f>IF(V58="TIPO I",'BASE DE LIQUIDACION 2025'!$B$3,'BASE DE LIQUIDACION 2025'!$B$4)</f>
        <v>11251.22416</v>
      </c>
      <c r="AC58" s="49">
        <f>IF(V58="TIPO I",'BASE DE LIQUIDACION 2025'!$C$3,'BASE DE LIQUIDACION 2025'!$C$4)</f>
        <v>126317.12212</v>
      </c>
      <c r="AD58" s="49">
        <f>IF(V58="TIPO I",'BASE DE LIQUIDACION 2025'!$D$3,'BASE DE LIQUIDACION 2025'!$D$4)</f>
        <v>110808.27512000001</v>
      </c>
      <c r="AE58" s="53">
        <f t="shared" si="1"/>
        <v>248376.6214</v>
      </c>
    </row>
    <row r="59" spans="1:31" s="46" customFormat="1">
      <c r="A59" s="69" t="s">
        <v>269</v>
      </c>
      <c r="B59" s="45" t="str">
        <f>VLOOKUP(A59,'CENTRO DE COSTOS'!A:D,4,FALSE)</f>
        <v>MIGUEL JULIÁN HERNÁNDEZ GUARÍN</v>
      </c>
      <c r="C59" s="45" t="str">
        <f>VLOOKUP(A59,'CENTRO DE COSTOS'!A:D,2,FALSE)</f>
        <v>0004-0008</v>
      </c>
      <c r="D59" s="69">
        <v>13688</v>
      </c>
      <c r="E59" s="70" t="s">
        <v>528</v>
      </c>
      <c r="F59" s="71">
        <v>80806</v>
      </c>
      <c r="G59" s="79" t="s">
        <v>132</v>
      </c>
      <c r="H59" s="73" t="s">
        <v>133</v>
      </c>
      <c r="I59" s="71" t="s">
        <v>271</v>
      </c>
      <c r="J59" s="81" t="s">
        <v>272</v>
      </c>
      <c r="K59" s="71" t="s">
        <v>529</v>
      </c>
      <c r="L59" s="75" t="s">
        <v>137</v>
      </c>
      <c r="M59" s="82" t="s">
        <v>530</v>
      </c>
      <c r="N59" s="74">
        <v>45870</v>
      </c>
      <c r="O59" s="76">
        <v>45874</v>
      </c>
      <c r="P59" s="83" t="s">
        <v>139</v>
      </c>
      <c r="Q59" s="84" t="s">
        <v>139</v>
      </c>
      <c r="R59" s="69" t="s">
        <v>140</v>
      </c>
      <c r="S59" s="72" t="s">
        <v>531</v>
      </c>
      <c r="T59" s="79" t="s">
        <v>276</v>
      </c>
      <c r="U59" s="69" t="s">
        <v>532</v>
      </c>
      <c r="V59" s="81" t="s">
        <v>160</v>
      </c>
      <c r="W59" s="76" t="s">
        <v>278</v>
      </c>
      <c r="X59" s="79" t="s">
        <v>276</v>
      </c>
      <c r="Y59" s="69">
        <v>1</v>
      </c>
      <c r="Z59" s="69">
        <v>1</v>
      </c>
      <c r="AA59" s="69">
        <v>1</v>
      </c>
      <c r="AB59" s="49">
        <f>IF(V59="TIPO I",'BASE DE LIQUIDACION 2025'!$B$3,'BASE DE LIQUIDACION 2025'!$B$4)</f>
        <v>11251.22416</v>
      </c>
      <c r="AC59" s="49">
        <f>IF(V59="TIPO I",'BASE DE LIQUIDACION 2025'!$C$3,'BASE DE LIQUIDACION 2025'!$C$4)</f>
        <v>126317.12212</v>
      </c>
      <c r="AD59" s="49">
        <f>IF(V59="TIPO I",'BASE DE LIQUIDACION 2025'!$D$3,'BASE DE LIQUIDACION 2025'!$D$4)</f>
        <v>110808.27512000001</v>
      </c>
      <c r="AE59" s="53">
        <f t="shared" si="1"/>
        <v>248376.6214</v>
      </c>
    </row>
    <row r="60" spans="1:31" s="46" customFormat="1">
      <c r="A60" s="69" t="s">
        <v>431</v>
      </c>
      <c r="B60" s="45" t="str">
        <f>VLOOKUP(A60,'CENTRO DE COSTOS'!A:D,4,FALSE)</f>
        <v>WILLIAM ASDRUBAL ROZO ROZO</v>
      </c>
      <c r="C60" s="45" t="str">
        <f>VLOOKUP(A60,'CENTRO DE COSTOS'!A:D,2,FALSE)</f>
        <v>0004-0004</v>
      </c>
      <c r="D60" s="69">
        <v>11001</v>
      </c>
      <c r="E60" s="70" t="s">
        <v>533</v>
      </c>
      <c r="F60" s="71">
        <v>80771</v>
      </c>
      <c r="G60" s="79" t="s">
        <v>132</v>
      </c>
      <c r="H60" s="73" t="s">
        <v>133</v>
      </c>
      <c r="I60" s="71" t="s">
        <v>433</v>
      </c>
      <c r="J60" s="81" t="s">
        <v>431</v>
      </c>
      <c r="K60" s="71" t="s">
        <v>534</v>
      </c>
      <c r="L60" s="75" t="s">
        <v>137</v>
      </c>
      <c r="M60" s="82" t="s">
        <v>535</v>
      </c>
      <c r="N60" s="74">
        <v>45870</v>
      </c>
      <c r="O60" s="76">
        <v>45873</v>
      </c>
      <c r="P60" s="83" t="s">
        <v>139</v>
      </c>
      <c r="Q60" s="84" t="s">
        <v>139</v>
      </c>
      <c r="R60" s="69" t="s">
        <v>140</v>
      </c>
      <c r="S60" s="72" t="s">
        <v>536</v>
      </c>
      <c r="T60" s="79" t="s">
        <v>537</v>
      </c>
      <c r="U60" s="69" t="s">
        <v>538</v>
      </c>
      <c r="V60" s="81" t="s">
        <v>52</v>
      </c>
      <c r="W60" s="76" t="s">
        <v>145</v>
      </c>
      <c r="X60" s="79" t="s">
        <v>537</v>
      </c>
      <c r="Y60" s="69">
        <v>1</v>
      </c>
      <c r="Z60" s="69">
        <v>1</v>
      </c>
      <c r="AA60" s="69">
        <v>1</v>
      </c>
      <c r="AB60" s="49">
        <f>IF(V60="TIPO I",'BASE DE LIQUIDACION 2025'!$B$3,'BASE DE LIQUIDACION 2025'!$B$4)</f>
        <v>11251.22416</v>
      </c>
      <c r="AC60" s="49">
        <f>IF(V60="TIPO I",'BASE DE LIQUIDACION 2025'!$C$3,'BASE DE LIQUIDACION 2025'!$C$4)</f>
        <v>126317.12212</v>
      </c>
      <c r="AD60" s="49">
        <f>IF(V60="TIPO I",'BASE DE LIQUIDACION 2025'!$D$3,'BASE DE LIQUIDACION 2025'!$D$4)</f>
        <v>57411.974240000003</v>
      </c>
      <c r="AE60" s="53">
        <f t="shared" si="1"/>
        <v>194980.32052000001</v>
      </c>
    </row>
    <row r="61" spans="1:31" s="46" customFormat="1">
      <c r="A61" s="69" t="s">
        <v>220</v>
      </c>
      <c r="B61" s="45" t="str">
        <f>VLOOKUP(A61,'CENTRO DE COSTOS'!A:D,4,FALSE)</f>
        <v>DIEGO FERNANDO HENAO CARDONA</v>
      </c>
      <c r="C61" s="45" t="str">
        <f>VLOOKUP(A61,'CENTRO DE COSTOS'!A:D,2,FALSE)</f>
        <v>0004-0003</v>
      </c>
      <c r="D61" s="69">
        <v>19532</v>
      </c>
      <c r="E61" s="70" t="s">
        <v>539</v>
      </c>
      <c r="F61" s="71">
        <v>80797</v>
      </c>
      <c r="G61" s="79" t="s">
        <v>132</v>
      </c>
      <c r="H61" s="73" t="s">
        <v>133</v>
      </c>
      <c r="I61" s="71" t="s">
        <v>223</v>
      </c>
      <c r="J61" s="81" t="s">
        <v>540</v>
      </c>
      <c r="K61" s="71" t="s">
        <v>541</v>
      </c>
      <c r="L61" s="75" t="s">
        <v>137</v>
      </c>
      <c r="M61" s="82" t="s">
        <v>542</v>
      </c>
      <c r="N61" s="74">
        <v>45870</v>
      </c>
      <c r="O61" s="76">
        <v>45874</v>
      </c>
      <c r="P61" s="83" t="s">
        <v>139</v>
      </c>
      <c r="Q61" s="84" t="s">
        <v>139</v>
      </c>
      <c r="R61" s="69" t="s">
        <v>140</v>
      </c>
      <c r="S61" s="72" t="s">
        <v>543</v>
      </c>
      <c r="T61" s="79" t="s">
        <v>299</v>
      </c>
      <c r="U61" s="69" t="s">
        <v>544</v>
      </c>
      <c r="V61" s="81" t="s">
        <v>144</v>
      </c>
      <c r="W61" s="76" t="s">
        <v>145</v>
      </c>
      <c r="X61" s="79" t="s">
        <v>299</v>
      </c>
      <c r="Y61" s="69">
        <v>1</v>
      </c>
      <c r="Z61" s="69">
        <v>1</v>
      </c>
      <c r="AA61" s="69">
        <v>1</v>
      </c>
      <c r="AB61" s="49">
        <f>IF(V61="TIPO I",'BASE DE LIQUIDACION 2025'!$B$3,'BASE DE LIQUIDACION 2025'!$B$4)</f>
        <v>11251.22416</v>
      </c>
      <c r="AC61" s="49">
        <f>IF(V61="TIPO I",'BASE DE LIQUIDACION 2025'!$C$3,'BASE DE LIQUIDACION 2025'!$C$4)</f>
        <v>126317.12212</v>
      </c>
      <c r="AD61" s="49">
        <f>IF(V61="TIPO I",'BASE DE LIQUIDACION 2025'!$D$3,'BASE DE LIQUIDACION 2025'!$D$4)</f>
        <v>110808.27512000001</v>
      </c>
      <c r="AE61" s="53">
        <f t="shared" si="1"/>
        <v>248376.6214</v>
      </c>
    </row>
    <row r="62" spans="1:31" s="46" customFormat="1">
      <c r="A62" s="69" t="s">
        <v>431</v>
      </c>
      <c r="B62" s="45" t="str">
        <f>VLOOKUP(A62,'CENTRO DE COSTOS'!A:D,4,FALSE)</f>
        <v>WILLIAM ASDRUBAL ROZO ROZO</v>
      </c>
      <c r="C62" s="45" t="str">
        <f>VLOOKUP(A62,'CENTRO DE COSTOS'!A:D,2,FALSE)</f>
        <v>0004-0004</v>
      </c>
      <c r="D62" s="69">
        <v>25899</v>
      </c>
      <c r="E62" s="70" t="s">
        <v>545</v>
      </c>
      <c r="F62" s="71">
        <v>80823</v>
      </c>
      <c r="G62" s="79" t="s">
        <v>132</v>
      </c>
      <c r="H62" s="73" t="s">
        <v>133</v>
      </c>
      <c r="I62" s="71" t="s">
        <v>433</v>
      </c>
      <c r="J62" s="81" t="s">
        <v>546</v>
      </c>
      <c r="K62" s="71" t="s">
        <v>547</v>
      </c>
      <c r="L62" s="75" t="s">
        <v>137</v>
      </c>
      <c r="M62" s="82" t="s">
        <v>548</v>
      </c>
      <c r="N62" s="74">
        <v>45870</v>
      </c>
      <c r="O62" s="76">
        <v>45874</v>
      </c>
      <c r="P62" s="83" t="s">
        <v>139</v>
      </c>
      <c r="Q62" s="84" t="s">
        <v>139</v>
      </c>
      <c r="R62" s="69" t="s">
        <v>549</v>
      </c>
      <c r="S62" s="72" t="s">
        <v>550</v>
      </c>
      <c r="T62" s="79" t="s">
        <v>551</v>
      </c>
      <c r="U62" s="69" t="s">
        <v>552</v>
      </c>
      <c r="V62" s="81" t="s">
        <v>202</v>
      </c>
      <c r="W62" s="76" t="s">
        <v>145</v>
      </c>
      <c r="X62" s="79" t="s">
        <v>551</v>
      </c>
      <c r="Y62" s="69">
        <v>0</v>
      </c>
      <c r="Z62" s="69">
        <v>0</v>
      </c>
      <c r="AA62" s="69">
        <v>2</v>
      </c>
      <c r="AB62" s="49">
        <f>IF(V62="TIPO I",'BASE DE LIQUIDACION 2025'!$B$3,'BASE DE LIQUIDACION 2025'!$B$4)</f>
        <v>11251.22416</v>
      </c>
      <c r="AC62" s="49">
        <f>IF(V62="TIPO I",'BASE DE LIQUIDACION 2025'!$C$3,'BASE DE LIQUIDACION 2025'!$C$4)</f>
        <v>126317.12212</v>
      </c>
      <c r="AD62" s="49">
        <f>IF(V62="TIPO I",'BASE DE LIQUIDACION 2025'!$D$3,'BASE DE LIQUIDACION 2025'!$D$4)</f>
        <v>110808.27512000001</v>
      </c>
      <c r="AE62" s="53">
        <f t="shared" si="1"/>
        <v>221616.55024000001</v>
      </c>
    </row>
    <row r="63" spans="1:31" s="46" customFormat="1">
      <c r="A63" s="69" t="s">
        <v>453</v>
      </c>
      <c r="B63" s="45" t="str">
        <f>VLOOKUP(A63,'CENTRO DE COSTOS'!A:D,4,FALSE)</f>
        <v>DIEGO FERNANDO HENAO CARDONA</v>
      </c>
      <c r="C63" s="45" t="str">
        <f>VLOOKUP(A63,'CENTRO DE COSTOS'!A:D,2,FALSE)</f>
        <v>0004-0002</v>
      </c>
      <c r="D63" s="69">
        <v>63001</v>
      </c>
      <c r="E63" s="70" t="s">
        <v>553</v>
      </c>
      <c r="F63" s="71">
        <v>80770</v>
      </c>
      <c r="G63" s="79" t="s">
        <v>132</v>
      </c>
      <c r="H63" s="73" t="s">
        <v>133</v>
      </c>
      <c r="I63" s="71" t="s">
        <v>554</v>
      </c>
      <c r="J63" s="81" t="s">
        <v>555</v>
      </c>
      <c r="K63" s="71" t="s">
        <v>556</v>
      </c>
      <c r="L63" s="75" t="s">
        <v>137</v>
      </c>
      <c r="M63" s="82" t="s">
        <v>557</v>
      </c>
      <c r="N63" s="74">
        <v>45870</v>
      </c>
      <c r="O63" s="76">
        <v>45873</v>
      </c>
      <c r="P63" s="83" t="s">
        <v>139</v>
      </c>
      <c r="Q63" s="84" t="s">
        <v>139</v>
      </c>
      <c r="R63" s="69" t="s">
        <v>140</v>
      </c>
      <c r="S63" s="72" t="s">
        <v>558</v>
      </c>
      <c r="T63" s="79" t="s">
        <v>559</v>
      </c>
      <c r="U63" s="69" t="s">
        <v>560</v>
      </c>
      <c r="V63" s="81" t="s">
        <v>202</v>
      </c>
      <c r="W63" s="76" t="s">
        <v>145</v>
      </c>
      <c r="X63" s="79" t="s">
        <v>559</v>
      </c>
      <c r="Y63" s="69">
        <v>1</v>
      </c>
      <c r="Z63" s="69">
        <v>1</v>
      </c>
      <c r="AA63" s="69">
        <v>1</v>
      </c>
      <c r="AB63" s="49">
        <f>IF(V63="TIPO I",'BASE DE LIQUIDACION 2025'!$B$3,'BASE DE LIQUIDACION 2025'!$B$4)</f>
        <v>11251.22416</v>
      </c>
      <c r="AC63" s="49">
        <f>IF(V63="TIPO I",'BASE DE LIQUIDACION 2025'!$C$3,'BASE DE LIQUIDACION 2025'!$C$4)</f>
        <v>126317.12212</v>
      </c>
      <c r="AD63" s="49">
        <f>IF(V63="TIPO I",'BASE DE LIQUIDACION 2025'!$D$3,'BASE DE LIQUIDACION 2025'!$D$4)</f>
        <v>110808.27512000001</v>
      </c>
      <c r="AE63" s="53">
        <f t="shared" ref="AE63:AE119" si="2">AB63*Y63+Z63*AC63+AA63*AD63</f>
        <v>248376.6214</v>
      </c>
    </row>
    <row r="64" spans="1:31" s="46" customFormat="1">
      <c r="A64" s="69" t="s">
        <v>260</v>
      </c>
      <c r="B64" s="45" t="str">
        <f>VLOOKUP(A64,'CENTRO DE COSTOS'!A:D,4,FALSE)</f>
        <v>KEVIN ALEXIS CORZO BUSTOS</v>
      </c>
      <c r="C64" s="45" t="str">
        <f>VLOOKUP(A64,'CENTRO DE COSTOS'!A:D,2,FALSE)</f>
        <v>0004-0007</v>
      </c>
      <c r="D64" s="69">
        <v>50606</v>
      </c>
      <c r="E64" s="70" t="s">
        <v>561</v>
      </c>
      <c r="F64" s="71">
        <v>80800</v>
      </c>
      <c r="G64" s="79" t="s">
        <v>132</v>
      </c>
      <c r="H64" s="73" t="s">
        <v>222</v>
      </c>
      <c r="I64" s="71" t="s">
        <v>262</v>
      </c>
      <c r="J64" s="81" t="s">
        <v>562</v>
      </c>
      <c r="K64" s="71" t="s">
        <v>563</v>
      </c>
      <c r="L64" s="75" t="s">
        <v>137</v>
      </c>
      <c r="M64" s="82" t="s">
        <v>564</v>
      </c>
      <c r="N64" s="74">
        <v>45870</v>
      </c>
      <c r="O64" s="76">
        <v>45874</v>
      </c>
      <c r="P64" s="83" t="s">
        <v>139</v>
      </c>
      <c r="Q64" s="84" t="s">
        <v>139</v>
      </c>
      <c r="R64" s="69" t="s">
        <v>140</v>
      </c>
      <c r="S64" s="72" t="s">
        <v>565</v>
      </c>
      <c r="T64" s="79" t="s">
        <v>267</v>
      </c>
      <c r="U64" s="69" t="s">
        <v>566</v>
      </c>
      <c r="V64" s="81" t="s">
        <v>202</v>
      </c>
      <c r="W64" s="76" t="s">
        <v>145</v>
      </c>
      <c r="X64" s="79" t="s">
        <v>267</v>
      </c>
      <c r="Y64" s="69">
        <v>1</v>
      </c>
      <c r="Z64" s="69">
        <v>0</v>
      </c>
      <c r="AA64" s="69">
        <v>0</v>
      </c>
      <c r="AB64" s="49">
        <f>IF(V64="TIPO I",'BASE DE LIQUIDACION 2025'!$B$3,'BASE DE LIQUIDACION 2025'!$B$4)</f>
        <v>11251.22416</v>
      </c>
      <c r="AC64" s="49">
        <f>IF(V64="TIPO I",'BASE DE LIQUIDACION 2025'!$C$3,'BASE DE LIQUIDACION 2025'!$C$4)</f>
        <v>126317.12212</v>
      </c>
      <c r="AD64" s="49">
        <f>IF(V64="TIPO I",'BASE DE LIQUIDACION 2025'!$D$3,'BASE DE LIQUIDACION 2025'!$D$4)</f>
        <v>110808.27512000001</v>
      </c>
      <c r="AE64" s="53">
        <f t="shared" si="2"/>
        <v>11251.22416</v>
      </c>
    </row>
    <row r="65" spans="1:31" s="46" customFormat="1">
      <c r="A65" s="69" t="s">
        <v>431</v>
      </c>
      <c r="B65" s="45" t="str">
        <f>VLOOKUP(A65,'CENTRO DE COSTOS'!A:D,4,FALSE)</f>
        <v>WILLIAM ASDRUBAL ROZO ROZO</v>
      </c>
      <c r="C65" s="45" t="str">
        <f>VLOOKUP(A65,'CENTRO DE COSTOS'!A:D,2,FALSE)</f>
        <v>0004-0004</v>
      </c>
      <c r="D65" s="69">
        <v>11001</v>
      </c>
      <c r="E65" s="70" t="s">
        <v>567</v>
      </c>
      <c r="F65" s="71">
        <v>80773</v>
      </c>
      <c r="G65" s="79" t="s">
        <v>132</v>
      </c>
      <c r="H65" s="73" t="s">
        <v>133</v>
      </c>
      <c r="I65" s="71" t="s">
        <v>433</v>
      </c>
      <c r="J65" s="81" t="s">
        <v>431</v>
      </c>
      <c r="K65" s="71" t="s">
        <v>568</v>
      </c>
      <c r="L65" s="75" t="s">
        <v>137</v>
      </c>
      <c r="M65" s="82" t="s">
        <v>569</v>
      </c>
      <c r="N65" s="74">
        <v>45870</v>
      </c>
      <c r="O65" s="76">
        <v>45874</v>
      </c>
      <c r="P65" s="83" t="s">
        <v>139</v>
      </c>
      <c r="Q65" s="84" t="s">
        <v>139</v>
      </c>
      <c r="R65" s="69" t="s">
        <v>140</v>
      </c>
      <c r="S65" s="72" t="s">
        <v>570</v>
      </c>
      <c r="T65" s="79" t="s">
        <v>571</v>
      </c>
      <c r="U65" s="69" t="s">
        <v>572</v>
      </c>
      <c r="V65" s="81" t="s">
        <v>52</v>
      </c>
      <c r="W65" s="76" t="s">
        <v>145</v>
      </c>
      <c r="X65" s="79" t="s">
        <v>571</v>
      </c>
      <c r="Y65" s="69">
        <v>1</v>
      </c>
      <c r="Z65" s="69">
        <v>1</v>
      </c>
      <c r="AA65" s="69">
        <v>1</v>
      </c>
      <c r="AB65" s="49">
        <f>IF(V65="TIPO I",'BASE DE LIQUIDACION 2025'!$B$3,'BASE DE LIQUIDACION 2025'!$B$4)</f>
        <v>11251.22416</v>
      </c>
      <c r="AC65" s="49">
        <f>IF(V65="TIPO I",'BASE DE LIQUIDACION 2025'!$C$3,'BASE DE LIQUIDACION 2025'!$C$4)</f>
        <v>126317.12212</v>
      </c>
      <c r="AD65" s="49">
        <f>IF(V65="TIPO I",'BASE DE LIQUIDACION 2025'!$D$3,'BASE DE LIQUIDACION 2025'!$D$4)</f>
        <v>57411.974240000003</v>
      </c>
      <c r="AE65" s="53">
        <f t="shared" si="2"/>
        <v>194980.32052000001</v>
      </c>
    </row>
    <row r="66" spans="1:31" s="46" customFormat="1">
      <c r="A66" s="69" t="s">
        <v>431</v>
      </c>
      <c r="B66" s="45" t="str">
        <f>VLOOKUP(A66,'CENTRO DE COSTOS'!A:D,4,FALSE)</f>
        <v>WILLIAM ASDRUBAL ROZO ROZO</v>
      </c>
      <c r="C66" s="45" t="str">
        <f>VLOOKUP(A66,'CENTRO DE COSTOS'!A:D,2,FALSE)</f>
        <v>0004-0004</v>
      </c>
      <c r="D66" s="69">
        <v>11001</v>
      </c>
      <c r="E66" s="70" t="s">
        <v>573</v>
      </c>
      <c r="F66" s="71">
        <v>80776</v>
      </c>
      <c r="G66" s="79" t="s">
        <v>132</v>
      </c>
      <c r="H66" s="73" t="s">
        <v>133</v>
      </c>
      <c r="I66" s="71" t="s">
        <v>433</v>
      </c>
      <c r="J66" s="81" t="s">
        <v>431</v>
      </c>
      <c r="K66" s="71" t="s">
        <v>574</v>
      </c>
      <c r="L66" s="75" t="s">
        <v>137</v>
      </c>
      <c r="M66" s="82" t="s">
        <v>575</v>
      </c>
      <c r="N66" s="74">
        <v>45870</v>
      </c>
      <c r="O66" s="76">
        <v>45873</v>
      </c>
      <c r="P66" s="83" t="s">
        <v>139</v>
      </c>
      <c r="Q66" s="84" t="s">
        <v>139</v>
      </c>
      <c r="R66" s="69" t="s">
        <v>140</v>
      </c>
      <c r="S66" s="72" t="s">
        <v>576</v>
      </c>
      <c r="T66" s="79" t="s">
        <v>437</v>
      </c>
      <c r="U66" s="69" t="s">
        <v>577</v>
      </c>
      <c r="V66" s="81" t="s">
        <v>52</v>
      </c>
      <c r="W66" s="76" t="s">
        <v>145</v>
      </c>
      <c r="X66" s="79" t="s">
        <v>437</v>
      </c>
      <c r="Y66" s="69">
        <v>1</v>
      </c>
      <c r="Z66" s="69">
        <v>1</v>
      </c>
      <c r="AA66" s="69">
        <v>1</v>
      </c>
      <c r="AB66" s="49">
        <f>IF(V66="TIPO I",'BASE DE LIQUIDACION 2025'!$B$3,'BASE DE LIQUIDACION 2025'!$B$4)</f>
        <v>11251.22416</v>
      </c>
      <c r="AC66" s="49">
        <f>IF(V66="TIPO I",'BASE DE LIQUIDACION 2025'!$C$3,'BASE DE LIQUIDACION 2025'!$C$4)</f>
        <v>126317.12212</v>
      </c>
      <c r="AD66" s="49">
        <f>IF(V66="TIPO I",'BASE DE LIQUIDACION 2025'!$D$3,'BASE DE LIQUIDACION 2025'!$D$4)</f>
        <v>57411.974240000003</v>
      </c>
      <c r="AE66" s="53">
        <f t="shared" si="2"/>
        <v>194980.32052000001</v>
      </c>
    </row>
    <row r="67" spans="1:31" s="46" customFormat="1">
      <c r="A67" s="69" t="s">
        <v>453</v>
      </c>
      <c r="B67" s="45" t="str">
        <f>VLOOKUP(A67,'CENTRO DE COSTOS'!A:D,4,FALSE)</f>
        <v>DIEGO FERNANDO HENAO CARDONA</v>
      </c>
      <c r="C67" s="45" t="str">
        <f>VLOOKUP(A67,'CENTRO DE COSTOS'!A:D,2,FALSE)</f>
        <v>0004-0002</v>
      </c>
      <c r="D67" s="69">
        <v>66001</v>
      </c>
      <c r="E67" s="70" t="s">
        <v>578</v>
      </c>
      <c r="F67" s="71">
        <v>80798</v>
      </c>
      <c r="G67" s="79" t="s">
        <v>132</v>
      </c>
      <c r="H67" s="73" t="s">
        <v>133</v>
      </c>
      <c r="I67" s="71" t="s">
        <v>579</v>
      </c>
      <c r="J67" s="81" t="s">
        <v>453</v>
      </c>
      <c r="K67" s="71" t="s">
        <v>580</v>
      </c>
      <c r="L67" s="75" t="s">
        <v>137</v>
      </c>
      <c r="M67" s="82" t="s">
        <v>581</v>
      </c>
      <c r="N67" s="74">
        <v>45870</v>
      </c>
      <c r="O67" s="76">
        <v>45873</v>
      </c>
      <c r="P67" s="83" t="s">
        <v>139</v>
      </c>
      <c r="Q67" s="84" t="s">
        <v>139</v>
      </c>
      <c r="R67" s="69" t="s">
        <v>140</v>
      </c>
      <c r="S67" s="72" t="s">
        <v>582</v>
      </c>
      <c r="T67" s="79" t="s">
        <v>459</v>
      </c>
      <c r="U67" s="69" t="s">
        <v>583</v>
      </c>
      <c r="V67" s="81" t="s">
        <v>52</v>
      </c>
      <c r="W67" s="76" t="s">
        <v>145</v>
      </c>
      <c r="X67" s="79" t="s">
        <v>459</v>
      </c>
      <c r="Y67" s="69">
        <v>1</v>
      </c>
      <c r="Z67" s="69">
        <v>1</v>
      </c>
      <c r="AA67" s="69">
        <v>1</v>
      </c>
      <c r="AB67" s="49">
        <f>IF(V67="TIPO I",'BASE DE LIQUIDACION 2025'!$B$3,'BASE DE LIQUIDACION 2025'!$B$4)</f>
        <v>11251.22416</v>
      </c>
      <c r="AC67" s="49">
        <f>IF(V67="TIPO I",'BASE DE LIQUIDACION 2025'!$C$3,'BASE DE LIQUIDACION 2025'!$C$4)</f>
        <v>126317.12212</v>
      </c>
      <c r="AD67" s="49">
        <f>IF(V67="TIPO I",'BASE DE LIQUIDACION 2025'!$D$3,'BASE DE LIQUIDACION 2025'!$D$4)</f>
        <v>57411.974240000003</v>
      </c>
      <c r="AE67" s="53">
        <f t="shared" si="2"/>
        <v>194980.32052000001</v>
      </c>
    </row>
    <row r="68" spans="1:31" s="46" customFormat="1">
      <c r="A68" s="69" t="s">
        <v>371</v>
      </c>
      <c r="B68" s="45" t="str">
        <f>VLOOKUP(A68,'CENTRO DE COSTOS'!A:D,4,FALSE)</f>
        <v>JOSE MAURICIO HERNANDEZ ROJAS</v>
      </c>
      <c r="C68" s="45" t="str">
        <f>VLOOKUP(A68,'CENTRO DE COSTOS'!A:D,2,FALSE)</f>
        <v>0004-0001</v>
      </c>
      <c r="D68" s="69">
        <v>70820</v>
      </c>
      <c r="E68" s="70" t="s">
        <v>584</v>
      </c>
      <c r="F68" s="71">
        <v>80808</v>
      </c>
      <c r="G68" s="79" t="s">
        <v>132</v>
      </c>
      <c r="H68" s="73" t="s">
        <v>133</v>
      </c>
      <c r="I68" s="71" t="s">
        <v>373</v>
      </c>
      <c r="J68" s="81" t="s">
        <v>585</v>
      </c>
      <c r="K68" s="71" t="s">
        <v>586</v>
      </c>
      <c r="L68" s="75" t="s">
        <v>137</v>
      </c>
      <c r="M68" s="82" t="s">
        <v>587</v>
      </c>
      <c r="N68" s="74">
        <v>45870</v>
      </c>
      <c r="O68" s="76">
        <v>45874</v>
      </c>
      <c r="P68" s="83" t="s">
        <v>139</v>
      </c>
      <c r="Q68" s="84" t="s">
        <v>139</v>
      </c>
      <c r="R68" s="69" t="s">
        <v>140</v>
      </c>
      <c r="S68" s="72" t="s">
        <v>588</v>
      </c>
      <c r="T68" s="79" t="s">
        <v>377</v>
      </c>
      <c r="U68" s="69" t="s">
        <v>589</v>
      </c>
      <c r="V68" s="81" t="s">
        <v>202</v>
      </c>
      <c r="W68" s="76" t="s">
        <v>145</v>
      </c>
      <c r="X68" s="79" t="s">
        <v>377</v>
      </c>
      <c r="Y68" s="69">
        <v>1</v>
      </c>
      <c r="Z68" s="69">
        <v>1</v>
      </c>
      <c r="AA68" s="69">
        <v>1</v>
      </c>
      <c r="AB68" s="49">
        <f>IF(V68="TIPO I",'BASE DE LIQUIDACION 2025'!$B$3,'BASE DE LIQUIDACION 2025'!$B$4)</f>
        <v>11251.22416</v>
      </c>
      <c r="AC68" s="49">
        <f>IF(V68="TIPO I",'BASE DE LIQUIDACION 2025'!$C$3,'BASE DE LIQUIDACION 2025'!$C$4)</f>
        <v>126317.12212</v>
      </c>
      <c r="AD68" s="49">
        <f>IF(V68="TIPO I",'BASE DE LIQUIDACION 2025'!$D$3,'BASE DE LIQUIDACION 2025'!$D$4)</f>
        <v>110808.27512000001</v>
      </c>
      <c r="AE68" s="53">
        <f t="shared" si="2"/>
        <v>248376.6214</v>
      </c>
    </row>
    <row r="69" spans="1:31" s="46" customFormat="1">
      <c r="A69" s="69" t="s">
        <v>203</v>
      </c>
      <c r="B69" s="45" t="str">
        <f>VLOOKUP(A69,'CENTRO DE COSTOS'!A:D,4,FALSE)</f>
        <v>MIGUEL JULIÁN HERNÁNDEZ GUARÍN</v>
      </c>
      <c r="C69" s="45" t="str">
        <f>VLOOKUP(A69,'CENTRO DE COSTOS'!A:D,2,FALSE)</f>
        <v>0004-0008</v>
      </c>
      <c r="D69" s="69">
        <v>15238</v>
      </c>
      <c r="E69" s="70" t="s">
        <v>590</v>
      </c>
      <c r="F69" s="71">
        <v>80785</v>
      </c>
      <c r="G69" s="79" t="s">
        <v>132</v>
      </c>
      <c r="H69" s="73" t="s">
        <v>133</v>
      </c>
      <c r="I69" s="71" t="s">
        <v>205</v>
      </c>
      <c r="J69" s="81" t="s">
        <v>591</v>
      </c>
      <c r="K69" s="71" t="s">
        <v>592</v>
      </c>
      <c r="L69" s="75" t="s">
        <v>137</v>
      </c>
      <c r="M69" s="82" t="s">
        <v>593</v>
      </c>
      <c r="N69" s="74">
        <v>45870</v>
      </c>
      <c r="O69" s="76">
        <v>45877</v>
      </c>
      <c r="P69" s="83" t="s">
        <v>139</v>
      </c>
      <c r="Q69" s="84" t="s">
        <v>139</v>
      </c>
      <c r="R69" s="69" t="s">
        <v>140</v>
      </c>
      <c r="S69" s="72" t="s">
        <v>594</v>
      </c>
      <c r="T69" s="79" t="s">
        <v>595</v>
      </c>
      <c r="U69" s="69" t="s">
        <v>596</v>
      </c>
      <c r="V69" s="81" t="s">
        <v>202</v>
      </c>
      <c r="W69" s="76" t="s">
        <v>145</v>
      </c>
      <c r="X69" s="79" t="s">
        <v>595</v>
      </c>
      <c r="Y69" s="69">
        <v>1</v>
      </c>
      <c r="Z69" s="69">
        <v>1</v>
      </c>
      <c r="AA69" s="69">
        <v>1</v>
      </c>
      <c r="AB69" s="49">
        <f>IF(V69="TIPO I",'BASE DE LIQUIDACION 2025'!$B$3,'BASE DE LIQUIDACION 2025'!$B$4)</f>
        <v>11251.22416</v>
      </c>
      <c r="AC69" s="49">
        <f>IF(V69="TIPO I",'BASE DE LIQUIDACION 2025'!$C$3,'BASE DE LIQUIDACION 2025'!$C$4)</f>
        <v>126317.12212</v>
      </c>
      <c r="AD69" s="49">
        <f>IF(V69="TIPO I",'BASE DE LIQUIDACION 2025'!$D$3,'BASE DE LIQUIDACION 2025'!$D$4)</f>
        <v>110808.27512000001</v>
      </c>
      <c r="AE69" s="53">
        <f t="shared" si="2"/>
        <v>248376.6214</v>
      </c>
    </row>
    <row r="70" spans="1:31" s="46" customFormat="1">
      <c r="A70" s="69" t="s">
        <v>301</v>
      </c>
      <c r="B70" s="45" t="str">
        <f>VLOOKUP(A70,'CENTRO DE COSTOS'!A:D,4,FALSE)</f>
        <v>JOSE MAURICIO HERNANDEZ ROJAS</v>
      </c>
      <c r="C70" s="45" t="str">
        <f>VLOOKUP(A70,'CENTRO DE COSTOS'!A:D,2,FALSE)</f>
        <v>0004-0001</v>
      </c>
      <c r="D70" s="69">
        <v>13001</v>
      </c>
      <c r="E70" s="70" t="s">
        <v>597</v>
      </c>
      <c r="F70" s="71">
        <v>80781</v>
      </c>
      <c r="G70" s="79" t="s">
        <v>132</v>
      </c>
      <c r="H70" s="73" t="s">
        <v>133</v>
      </c>
      <c r="I70" s="71" t="s">
        <v>271</v>
      </c>
      <c r="J70" s="81" t="s">
        <v>301</v>
      </c>
      <c r="K70" s="71" t="s">
        <v>598</v>
      </c>
      <c r="L70" s="75" t="s">
        <v>137</v>
      </c>
      <c r="M70" s="82" t="s">
        <v>599</v>
      </c>
      <c r="N70" s="74">
        <v>45870</v>
      </c>
      <c r="O70" s="76">
        <v>45873</v>
      </c>
      <c r="P70" s="83" t="s">
        <v>139</v>
      </c>
      <c r="Q70" s="84" t="s">
        <v>139</v>
      </c>
      <c r="R70" s="69" t="s">
        <v>549</v>
      </c>
      <c r="S70" s="72" t="s">
        <v>600</v>
      </c>
      <c r="T70" s="79" t="s">
        <v>412</v>
      </c>
      <c r="U70" s="69" t="s">
        <v>601</v>
      </c>
      <c r="V70" s="81" t="s">
        <v>52</v>
      </c>
      <c r="W70" s="76" t="s">
        <v>145</v>
      </c>
      <c r="X70" s="79" t="s">
        <v>412</v>
      </c>
      <c r="Y70" s="69">
        <v>0</v>
      </c>
      <c r="Z70" s="69">
        <v>0</v>
      </c>
      <c r="AA70" s="69">
        <v>2</v>
      </c>
      <c r="AB70" s="49">
        <f>IF(V70="TIPO I",'BASE DE LIQUIDACION 2025'!$B$3,'BASE DE LIQUIDACION 2025'!$B$4)</f>
        <v>11251.22416</v>
      </c>
      <c r="AC70" s="49">
        <f>IF(V70="TIPO I",'BASE DE LIQUIDACION 2025'!$C$3,'BASE DE LIQUIDACION 2025'!$C$4)</f>
        <v>126317.12212</v>
      </c>
      <c r="AD70" s="49">
        <f>IF(V70="TIPO I",'BASE DE LIQUIDACION 2025'!$D$3,'BASE DE LIQUIDACION 2025'!$D$4)</f>
        <v>57411.974240000003</v>
      </c>
      <c r="AE70" s="53">
        <f t="shared" si="2"/>
        <v>114823.94848000001</v>
      </c>
    </row>
    <row r="71" spans="1:31" s="46" customFormat="1">
      <c r="A71" s="69" t="s">
        <v>130</v>
      </c>
      <c r="B71" s="45" t="str">
        <f>VLOOKUP(A71,'CENTRO DE COSTOS'!A:D,4,FALSE)</f>
        <v>KEVIN ALEXIS CORZO BUSTOS</v>
      </c>
      <c r="C71" s="45" t="str">
        <f>VLOOKUP(A71,'CENTRO DE COSTOS'!A:D,2,FALSE)</f>
        <v>0004-0007</v>
      </c>
      <c r="D71" s="69">
        <v>41551</v>
      </c>
      <c r="E71" s="70" t="s">
        <v>602</v>
      </c>
      <c r="F71" s="71">
        <v>80799</v>
      </c>
      <c r="G71" s="79" t="s">
        <v>132</v>
      </c>
      <c r="H71" s="73" t="s">
        <v>133</v>
      </c>
      <c r="I71" s="71" t="s">
        <v>213</v>
      </c>
      <c r="J71" s="81" t="s">
        <v>603</v>
      </c>
      <c r="K71" s="71" t="s">
        <v>604</v>
      </c>
      <c r="L71" s="75" t="s">
        <v>137</v>
      </c>
      <c r="M71" s="82" t="s">
        <v>605</v>
      </c>
      <c r="N71" s="74">
        <v>45870</v>
      </c>
      <c r="O71" s="76">
        <v>45874</v>
      </c>
      <c r="P71" s="83" t="s">
        <v>139</v>
      </c>
      <c r="Q71" s="84" t="s">
        <v>139</v>
      </c>
      <c r="R71" s="69" t="s">
        <v>140</v>
      </c>
      <c r="S71" s="72" t="s">
        <v>606</v>
      </c>
      <c r="T71" s="79" t="s">
        <v>314</v>
      </c>
      <c r="U71" s="69" t="s">
        <v>607</v>
      </c>
      <c r="V71" s="81" t="s">
        <v>230</v>
      </c>
      <c r="W71" s="76" t="s">
        <v>145</v>
      </c>
      <c r="X71" s="79" t="s">
        <v>314</v>
      </c>
      <c r="Y71" s="69">
        <v>1</v>
      </c>
      <c r="Z71" s="69">
        <v>1</v>
      </c>
      <c r="AA71" s="69">
        <v>1</v>
      </c>
      <c r="AB71" s="49">
        <f>IF(V71="TIPO I",'BASE DE LIQUIDACION 2025'!$B$3,'BASE DE LIQUIDACION 2025'!$B$4)</f>
        <v>11251.22416</v>
      </c>
      <c r="AC71" s="49">
        <f>IF(V71="TIPO I",'BASE DE LIQUIDACION 2025'!$C$3,'BASE DE LIQUIDACION 2025'!$C$4)</f>
        <v>126317.12212</v>
      </c>
      <c r="AD71" s="49">
        <f>IF(V71="TIPO I",'BASE DE LIQUIDACION 2025'!$D$3,'BASE DE LIQUIDACION 2025'!$D$4)</f>
        <v>110808.27512000001</v>
      </c>
      <c r="AE71" s="53">
        <f t="shared" si="2"/>
        <v>248376.6214</v>
      </c>
    </row>
    <row r="72" spans="1:31" s="46" customFormat="1">
      <c r="A72" s="69" t="s">
        <v>608</v>
      </c>
      <c r="B72" s="45" t="str">
        <f>VLOOKUP(A72,'CENTRO DE COSTOS'!A:D,4,FALSE)</f>
        <v>JUAN SEBASTIÁN RÍOS CASTRILLÓN</v>
      </c>
      <c r="C72" s="45" t="str">
        <f>VLOOKUP(A72,'CENTRO DE COSTOS'!A:D,2,FALSE)</f>
        <v>0004-0005</v>
      </c>
      <c r="D72" s="69">
        <v>5490</v>
      </c>
      <c r="E72" s="70" t="s">
        <v>609</v>
      </c>
      <c r="F72" s="71">
        <v>80782</v>
      </c>
      <c r="G72" s="79" t="s">
        <v>132</v>
      </c>
      <c r="H72" s="73" t="s">
        <v>133</v>
      </c>
      <c r="I72" s="71" t="s">
        <v>178</v>
      </c>
      <c r="J72" s="81" t="s">
        <v>610</v>
      </c>
      <c r="K72" s="71" t="s">
        <v>611</v>
      </c>
      <c r="L72" s="75" t="s">
        <v>137</v>
      </c>
      <c r="M72" s="82" t="s">
        <v>612</v>
      </c>
      <c r="N72" s="74">
        <v>45870</v>
      </c>
      <c r="O72" s="76">
        <v>45874</v>
      </c>
      <c r="P72" s="83" t="s">
        <v>139</v>
      </c>
      <c r="Q72" s="84" t="s">
        <v>139</v>
      </c>
      <c r="R72" s="69" t="s">
        <v>140</v>
      </c>
      <c r="S72" s="72" t="s">
        <v>613</v>
      </c>
      <c r="T72" s="79" t="s">
        <v>614</v>
      </c>
      <c r="U72" s="69" t="s">
        <v>615</v>
      </c>
      <c r="V72" s="81" t="s">
        <v>202</v>
      </c>
      <c r="W72" s="76" t="s">
        <v>145</v>
      </c>
      <c r="X72" s="79" t="s">
        <v>614</v>
      </c>
      <c r="Y72" s="69">
        <v>1</v>
      </c>
      <c r="Z72" s="69">
        <v>1</v>
      </c>
      <c r="AA72" s="69">
        <v>1</v>
      </c>
      <c r="AB72" s="49">
        <f>IF(V72="TIPO I",'BASE DE LIQUIDACION 2025'!$B$3,'BASE DE LIQUIDACION 2025'!$B$4)</f>
        <v>11251.22416</v>
      </c>
      <c r="AC72" s="49">
        <f>IF(V72="TIPO I",'BASE DE LIQUIDACION 2025'!$C$3,'BASE DE LIQUIDACION 2025'!$C$4)</f>
        <v>126317.12212</v>
      </c>
      <c r="AD72" s="49">
        <f>IF(V72="TIPO I",'BASE DE LIQUIDACION 2025'!$D$3,'BASE DE LIQUIDACION 2025'!$D$4)</f>
        <v>110808.27512000001</v>
      </c>
      <c r="AE72" s="53">
        <f t="shared" si="2"/>
        <v>248376.6214</v>
      </c>
    </row>
    <row r="73" spans="1:31" s="46" customFormat="1">
      <c r="A73" s="69" t="s">
        <v>431</v>
      </c>
      <c r="B73" s="45" t="str">
        <f>VLOOKUP(A73,'CENTRO DE COSTOS'!A:D,4,FALSE)</f>
        <v>WILLIAM ASDRUBAL ROZO ROZO</v>
      </c>
      <c r="C73" s="45" t="str">
        <f>VLOOKUP(A73,'CENTRO DE COSTOS'!A:D,2,FALSE)</f>
        <v>0004-0004</v>
      </c>
      <c r="D73" s="69">
        <v>25797</v>
      </c>
      <c r="E73" s="70" t="s">
        <v>616</v>
      </c>
      <c r="F73" s="71">
        <v>80804</v>
      </c>
      <c r="G73" s="79" t="s">
        <v>132</v>
      </c>
      <c r="H73" s="73" t="s">
        <v>133</v>
      </c>
      <c r="I73" s="71" t="s">
        <v>433</v>
      </c>
      <c r="J73" s="81" t="s">
        <v>617</v>
      </c>
      <c r="K73" s="71" t="s">
        <v>618</v>
      </c>
      <c r="L73" s="75" t="s">
        <v>137</v>
      </c>
      <c r="M73" s="82" t="s">
        <v>619</v>
      </c>
      <c r="N73" s="74">
        <v>45870</v>
      </c>
      <c r="O73" s="76">
        <v>45874</v>
      </c>
      <c r="P73" s="83" t="s">
        <v>139</v>
      </c>
      <c r="Q73" s="84" t="s">
        <v>139</v>
      </c>
      <c r="R73" s="69" t="s">
        <v>140</v>
      </c>
      <c r="S73" s="72" t="s">
        <v>620</v>
      </c>
      <c r="T73" s="79" t="s">
        <v>502</v>
      </c>
      <c r="U73" s="69" t="s">
        <v>621</v>
      </c>
      <c r="V73" s="81" t="s">
        <v>202</v>
      </c>
      <c r="W73" s="76" t="s">
        <v>145</v>
      </c>
      <c r="X73" s="79" t="s">
        <v>502</v>
      </c>
      <c r="Y73" s="69">
        <v>1</v>
      </c>
      <c r="Z73" s="69">
        <v>1</v>
      </c>
      <c r="AA73" s="69">
        <v>1</v>
      </c>
      <c r="AB73" s="49">
        <f>IF(V73="TIPO I",'BASE DE LIQUIDACION 2025'!$B$3,'BASE DE LIQUIDACION 2025'!$B$4)</f>
        <v>11251.22416</v>
      </c>
      <c r="AC73" s="49">
        <f>IF(V73="TIPO I",'BASE DE LIQUIDACION 2025'!$C$3,'BASE DE LIQUIDACION 2025'!$C$4)</f>
        <v>126317.12212</v>
      </c>
      <c r="AD73" s="49">
        <f>IF(V73="TIPO I",'BASE DE LIQUIDACION 2025'!$D$3,'BASE DE LIQUIDACION 2025'!$D$4)</f>
        <v>110808.27512000001</v>
      </c>
      <c r="AE73" s="53">
        <f t="shared" si="2"/>
        <v>248376.6214</v>
      </c>
    </row>
    <row r="74" spans="1:31" s="46" customFormat="1">
      <c r="A74" s="69" t="s">
        <v>439</v>
      </c>
      <c r="B74" s="45" t="str">
        <f>VLOOKUP(A74,'CENTRO DE COSTOS'!A:D,4,FALSE)</f>
        <v>DIEGO FERNANDO HENAO CARDONA</v>
      </c>
      <c r="C74" s="45" t="str">
        <f>VLOOKUP(A74,'CENTRO DE COSTOS'!A:D,2,FALSE)</f>
        <v>0004-0002</v>
      </c>
      <c r="D74" s="69">
        <v>17013</v>
      </c>
      <c r="E74" s="70" t="s">
        <v>622</v>
      </c>
      <c r="F74" s="71">
        <v>80767</v>
      </c>
      <c r="G74" s="79" t="s">
        <v>132</v>
      </c>
      <c r="H74" s="73" t="s">
        <v>133</v>
      </c>
      <c r="I74" s="71" t="s">
        <v>441</v>
      </c>
      <c r="J74" s="81" t="s">
        <v>623</v>
      </c>
      <c r="K74" s="71" t="s">
        <v>624</v>
      </c>
      <c r="L74" s="75" t="s">
        <v>137</v>
      </c>
      <c r="M74" s="82" t="s">
        <v>625</v>
      </c>
      <c r="N74" s="74">
        <v>45870</v>
      </c>
      <c r="O74" s="76">
        <v>45874</v>
      </c>
      <c r="P74" s="83" t="s">
        <v>139</v>
      </c>
      <c r="Q74" s="84" t="s">
        <v>139</v>
      </c>
      <c r="R74" s="69" t="s">
        <v>140</v>
      </c>
      <c r="S74" s="72" t="s">
        <v>626</v>
      </c>
      <c r="T74" s="79" t="s">
        <v>445</v>
      </c>
      <c r="U74" s="69" t="s">
        <v>627</v>
      </c>
      <c r="V74" s="81" t="s">
        <v>230</v>
      </c>
      <c r="W74" s="76" t="s">
        <v>145</v>
      </c>
      <c r="X74" s="79" t="s">
        <v>445</v>
      </c>
      <c r="Y74" s="69">
        <v>1</v>
      </c>
      <c r="Z74" s="69">
        <v>1</v>
      </c>
      <c r="AA74" s="69">
        <v>1</v>
      </c>
      <c r="AB74" s="49">
        <f>IF(V74="TIPO I",'BASE DE LIQUIDACION 2025'!$B$3,'BASE DE LIQUIDACION 2025'!$B$4)</f>
        <v>11251.22416</v>
      </c>
      <c r="AC74" s="49">
        <f>IF(V74="TIPO I",'BASE DE LIQUIDACION 2025'!$C$3,'BASE DE LIQUIDACION 2025'!$C$4)</f>
        <v>126317.12212</v>
      </c>
      <c r="AD74" s="49">
        <f>IF(V74="TIPO I",'BASE DE LIQUIDACION 2025'!$D$3,'BASE DE LIQUIDACION 2025'!$D$4)</f>
        <v>110808.27512000001</v>
      </c>
      <c r="AE74" s="53">
        <f t="shared" si="2"/>
        <v>248376.6214</v>
      </c>
    </row>
    <row r="75" spans="1:31" s="46" customFormat="1">
      <c r="A75" s="69" t="s">
        <v>439</v>
      </c>
      <c r="B75" s="45" t="str">
        <f>VLOOKUP(A75,'CENTRO DE COSTOS'!A:D,4,FALSE)</f>
        <v>DIEGO FERNANDO HENAO CARDONA</v>
      </c>
      <c r="C75" s="45" t="str">
        <f>VLOOKUP(A75,'CENTRO DE COSTOS'!A:D,2,FALSE)</f>
        <v>0004-0002</v>
      </c>
      <c r="D75" s="69">
        <v>17001</v>
      </c>
      <c r="E75" s="70" t="s">
        <v>628</v>
      </c>
      <c r="F75" s="71">
        <v>80790</v>
      </c>
      <c r="G75" s="79" t="s">
        <v>132</v>
      </c>
      <c r="H75" s="73" t="s">
        <v>133</v>
      </c>
      <c r="I75" s="71" t="s">
        <v>441</v>
      </c>
      <c r="J75" s="81" t="s">
        <v>439</v>
      </c>
      <c r="K75" s="71" t="s">
        <v>629</v>
      </c>
      <c r="L75" s="75" t="s">
        <v>137</v>
      </c>
      <c r="M75" s="82" t="s">
        <v>630</v>
      </c>
      <c r="N75" s="74">
        <v>45870</v>
      </c>
      <c r="O75" s="76">
        <v>45874</v>
      </c>
      <c r="P75" s="83" t="s">
        <v>139</v>
      </c>
      <c r="Q75" s="84" t="s">
        <v>139</v>
      </c>
      <c r="R75" s="69" t="s">
        <v>140</v>
      </c>
      <c r="S75" s="72" t="s">
        <v>631</v>
      </c>
      <c r="T75" s="79" t="s">
        <v>508</v>
      </c>
      <c r="U75" s="69" t="s">
        <v>632</v>
      </c>
      <c r="V75" s="81" t="s">
        <v>52</v>
      </c>
      <c r="W75" s="76" t="s">
        <v>145</v>
      </c>
      <c r="X75" s="79" t="s">
        <v>508</v>
      </c>
      <c r="Y75" s="69">
        <v>1</v>
      </c>
      <c r="Z75" s="69">
        <v>1</v>
      </c>
      <c r="AA75" s="69">
        <v>1</v>
      </c>
      <c r="AB75" s="49">
        <f>IF(V75="TIPO I",'BASE DE LIQUIDACION 2025'!$B$3,'BASE DE LIQUIDACION 2025'!$B$4)</f>
        <v>11251.22416</v>
      </c>
      <c r="AC75" s="49">
        <f>IF(V75="TIPO I",'BASE DE LIQUIDACION 2025'!$C$3,'BASE DE LIQUIDACION 2025'!$C$4)</f>
        <v>126317.12212</v>
      </c>
      <c r="AD75" s="49">
        <f>IF(V75="TIPO I",'BASE DE LIQUIDACION 2025'!$D$3,'BASE DE LIQUIDACION 2025'!$D$4)</f>
        <v>57411.974240000003</v>
      </c>
      <c r="AE75" s="53">
        <f t="shared" si="2"/>
        <v>194980.32052000001</v>
      </c>
    </row>
    <row r="76" spans="1:31" s="46" customFormat="1">
      <c r="A76" s="69" t="s">
        <v>431</v>
      </c>
      <c r="B76" s="45" t="str">
        <f>VLOOKUP(A76,'CENTRO DE COSTOS'!A:D,4,FALSE)</f>
        <v>WILLIAM ASDRUBAL ROZO ROZO</v>
      </c>
      <c r="C76" s="45" t="str">
        <f>VLOOKUP(A76,'CENTRO DE COSTOS'!A:D,2,FALSE)</f>
        <v>0004-0004</v>
      </c>
      <c r="D76" s="69">
        <v>25781</v>
      </c>
      <c r="E76" s="70" t="s">
        <v>633</v>
      </c>
      <c r="F76" s="71">
        <v>80801</v>
      </c>
      <c r="G76" s="79" t="s">
        <v>132</v>
      </c>
      <c r="H76" s="73" t="s">
        <v>133</v>
      </c>
      <c r="I76" s="71" t="s">
        <v>433</v>
      </c>
      <c r="J76" s="81" t="s">
        <v>634</v>
      </c>
      <c r="K76" s="71" t="s">
        <v>635</v>
      </c>
      <c r="L76" s="75" t="s">
        <v>137</v>
      </c>
      <c r="M76" s="82" t="s">
        <v>636</v>
      </c>
      <c r="N76" s="74">
        <v>45870</v>
      </c>
      <c r="O76" s="76">
        <v>45874</v>
      </c>
      <c r="P76" s="83" t="s">
        <v>139</v>
      </c>
      <c r="Q76" s="84" t="s">
        <v>139</v>
      </c>
      <c r="R76" s="69" t="s">
        <v>140</v>
      </c>
      <c r="S76" s="72" t="s">
        <v>637</v>
      </c>
      <c r="T76" s="79" t="s">
        <v>470</v>
      </c>
      <c r="U76" s="69" t="s">
        <v>638</v>
      </c>
      <c r="V76" s="81" t="s">
        <v>202</v>
      </c>
      <c r="W76" s="76" t="s">
        <v>145</v>
      </c>
      <c r="X76" s="79" t="s">
        <v>470</v>
      </c>
      <c r="Y76" s="69">
        <v>1</v>
      </c>
      <c r="Z76" s="69">
        <v>1</v>
      </c>
      <c r="AA76" s="69">
        <v>1</v>
      </c>
      <c r="AB76" s="49">
        <f>IF(V76="TIPO I",'BASE DE LIQUIDACION 2025'!$B$3,'BASE DE LIQUIDACION 2025'!$B$4)</f>
        <v>11251.22416</v>
      </c>
      <c r="AC76" s="49">
        <f>IF(V76="TIPO I",'BASE DE LIQUIDACION 2025'!$C$3,'BASE DE LIQUIDACION 2025'!$C$4)</f>
        <v>126317.12212</v>
      </c>
      <c r="AD76" s="49">
        <f>IF(V76="TIPO I",'BASE DE LIQUIDACION 2025'!$D$3,'BASE DE LIQUIDACION 2025'!$D$4)</f>
        <v>110808.27512000001</v>
      </c>
      <c r="AE76" s="53">
        <f t="shared" si="2"/>
        <v>248376.6214</v>
      </c>
    </row>
    <row r="77" spans="1:31" s="46" customFormat="1">
      <c r="A77" s="69" t="s">
        <v>285</v>
      </c>
      <c r="B77" s="45" t="str">
        <f>VLOOKUP(A77,'CENTRO DE COSTOS'!A:D,4,FALSE)</f>
        <v>MIGUEL JULIÁN HERNÁNDEZ GUARÍN</v>
      </c>
      <c r="C77" s="45" t="str">
        <f>VLOOKUP(A77,'CENTRO DE COSTOS'!A:D,2,FALSE)</f>
        <v>0004-0008</v>
      </c>
      <c r="D77" s="69">
        <v>54874</v>
      </c>
      <c r="E77" s="70" t="s">
        <v>639</v>
      </c>
      <c r="F77" s="71">
        <v>80816</v>
      </c>
      <c r="G77" s="79" t="s">
        <v>132</v>
      </c>
      <c r="H77" s="73" t="s">
        <v>133</v>
      </c>
      <c r="I77" s="71" t="s">
        <v>287</v>
      </c>
      <c r="J77" s="81" t="s">
        <v>640</v>
      </c>
      <c r="K77" s="71" t="s">
        <v>641</v>
      </c>
      <c r="L77" s="75" t="s">
        <v>137</v>
      </c>
      <c r="M77" s="82" t="s">
        <v>642</v>
      </c>
      <c r="N77" s="74">
        <v>45870</v>
      </c>
      <c r="O77" s="76">
        <v>45873</v>
      </c>
      <c r="P77" s="83" t="s">
        <v>139</v>
      </c>
      <c r="Q77" s="84" t="s">
        <v>139</v>
      </c>
      <c r="R77" s="69" t="s">
        <v>549</v>
      </c>
      <c r="S77" s="72" t="s">
        <v>643</v>
      </c>
      <c r="T77" s="79" t="s">
        <v>644</v>
      </c>
      <c r="U77" s="69" t="s">
        <v>645</v>
      </c>
      <c r="V77" s="81" t="s">
        <v>52</v>
      </c>
      <c r="W77" s="76" t="s">
        <v>145</v>
      </c>
      <c r="X77" s="79" t="s">
        <v>644</v>
      </c>
      <c r="Y77" s="69">
        <v>0</v>
      </c>
      <c r="Z77" s="69">
        <v>0</v>
      </c>
      <c r="AA77" s="69">
        <v>2</v>
      </c>
      <c r="AB77" s="49">
        <f>IF(V77="TIPO I",'BASE DE LIQUIDACION 2025'!$B$3,'BASE DE LIQUIDACION 2025'!$B$4)</f>
        <v>11251.22416</v>
      </c>
      <c r="AC77" s="49">
        <f>IF(V77="TIPO I",'BASE DE LIQUIDACION 2025'!$C$3,'BASE DE LIQUIDACION 2025'!$C$4)</f>
        <v>126317.12212</v>
      </c>
      <c r="AD77" s="49">
        <f>IF(V77="TIPO I",'BASE DE LIQUIDACION 2025'!$D$3,'BASE DE LIQUIDACION 2025'!$D$4)</f>
        <v>57411.974240000003</v>
      </c>
      <c r="AE77" s="53">
        <f t="shared" si="2"/>
        <v>114823.94848000001</v>
      </c>
    </row>
    <row r="78" spans="1:31" s="46" customFormat="1">
      <c r="A78" s="69" t="s">
        <v>379</v>
      </c>
      <c r="B78" s="45" t="str">
        <f>VLOOKUP(A78,'CENTRO DE COSTOS'!A:D,4,FALSE)</f>
        <v>JOSE MAURICIO HERNANDEZ ROJAS</v>
      </c>
      <c r="C78" s="45" t="str">
        <f>VLOOKUP(A78,'CENTRO DE COSTOS'!A:D,2,FALSE)</f>
        <v>0004-0001</v>
      </c>
      <c r="D78" s="69">
        <v>23417</v>
      </c>
      <c r="E78" s="70" t="s">
        <v>646</v>
      </c>
      <c r="F78" s="71">
        <v>80822</v>
      </c>
      <c r="G78" s="79" t="s">
        <v>132</v>
      </c>
      <c r="H78" s="73" t="s">
        <v>133</v>
      </c>
      <c r="I78" s="71" t="s">
        <v>381</v>
      </c>
      <c r="J78" s="81" t="s">
        <v>647</v>
      </c>
      <c r="K78" s="71" t="s">
        <v>648</v>
      </c>
      <c r="L78" s="75" t="s">
        <v>137</v>
      </c>
      <c r="M78" s="82" t="s">
        <v>649</v>
      </c>
      <c r="N78" s="74">
        <v>45870</v>
      </c>
      <c r="O78" s="76">
        <v>45874</v>
      </c>
      <c r="P78" s="83" t="s">
        <v>139</v>
      </c>
      <c r="Q78" s="84" t="s">
        <v>139</v>
      </c>
      <c r="R78" s="69" t="s">
        <v>140</v>
      </c>
      <c r="S78" s="72" t="s">
        <v>650</v>
      </c>
      <c r="T78" s="79" t="s">
        <v>385</v>
      </c>
      <c r="U78" s="69" t="s">
        <v>651</v>
      </c>
      <c r="V78" s="81" t="s">
        <v>202</v>
      </c>
      <c r="W78" s="76" t="s">
        <v>145</v>
      </c>
      <c r="X78" s="79" t="s">
        <v>385</v>
      </c>
      <c r="Y78" s="69">
        <v>1</v>
      </c>
      <c r="Z78" s="69">
        <v>1</v>
      </c>
      <c r="AA78" s="69">
        <v>1</v>
      </c>
      <c r="AB78" s="49">
        <f>IF(V78="TIPO I",'BASE DE LIQUIDACION 2025'!$B$3,'BASE DE LIQUIDACION 2025'!$B$4)</f>
        <v>11251.22416</v>
      </c>
      <c r="AC78" s="49">
        <f>IF(V78="TIPO I",'BASE DE LIQUIDACION 2025'!$C$3,'BASE DE LIQUIDACION 2025'!$C$4)</f>
        <v>126317.12212</v>
      </c>
      <c r="AD78" s="49">
        <f>IF(V78="TIPO I",'BASE DE LIQUIDACION 2025'!$D$3,'BASE DE LIQUIDACION 2025'!$D$4)</f>
        <v>110808.27512000001</v>
      </c>
      <c r="AE78" s="53">
        <f t="shared" si="2"/>
        <v>248376.6214</v>
      </c>
    </row>
    <row r="79" spans="1:31" s="46" customFormat="1">
      <c r="A79" s="69" t="s">
        <v>175</v>
      </c>
      <c r="B79" s="45" t="str">
        <f>VLOOKUP(A79,'CENTRO DE COSTOS'!A:D,4,FALSE)</f>
        <v>JUAN SEBASTIÁN RÍOS CASTRILLÓN</v>
      </c>
      <c r="C79" s="45" t="str">
        <f>VLOOKUP(A79,'CENTRO DE COSTOS'!A:D,2,FALSE)</f>
        <v>0004-0005</v>
      </c>
      <c r="D79" s="69">
        <v>5890</v>
      </c>
      <c r="E79" s="70" t="s">
        <v>652</v>
      </c>
      <c r="F79" s="71">
        <v>80809</v>
      </c>
      <c r="G79" s="79" t="s">
        <v>132</v>
      </c>
      <c r="H79" s="73" t="s">
        <v>222</v>
      </c>
      <c r="I79" s="71" t="s">
        <v>178</v>
      </c>
      <c r="J79" s="81" t="s">
        <v>653</v>
      </c>
      <c r="K79" s="71" t="s">
        <v>654</v>
      </c>
      <c r="L79" s="75" t="s">
        <v>137</v>
      </c>
      <c r="M79" s="82" t="s">
        <v>655</v>
      </c>
      <c r="N79" s="74">
        <v>45870</v>
      </c>
      <c r="O79" s="76">
        <v>45874</v>
      </c>
      <c r="P79" s="83" t="s">
        <v>139</v>
      </c>
      <c r="Q79" s="84" t="s">
        <v>139</v>
      </c>
      <c r="R79" s="69" t="s">
        <v>140</v>
      </c>
      <c r="S79" s="72" t="s">
        <v>656</v>
      </c>
      <c r="T79" s="79" t="s">
        <v>451</v>
      </c>
      <c r="U79" s="69" t="s">
        <v>657</v>
      </c>
      <c r="V79" s="81" t="s">
        <v>202</v>
      </c>
      <c r="W79" s="76" t="s">
        <v>145</v>
      </c>
      <c r="X79" s="79" t="s">
        <v>451</v>
      </c>
      <c r="Y79" s="69">
        <v>1</v>
      </c>
      <c r="Z79" s="69">
        <v>1</v>
      </c>
      <c r="AA79" s="69">
        <v>1</v>
      </c>
      <c r="AB79" s="49">
        <f>IF(V79="TIPO I",'BASE DE LIQUIDACION 2025'!$B$3,'BASE DE LIQUIDACION 2025'!$B$4)</f>
        <v>11251.22416</v>
      </c>
      <c r="AC79" s="49">
        <f>IF(V79="TIPO I",'BASE DE LIQUIDACION 2025'!$C$3,'BASE DE LIQUIDACION 2025'!$C$4)</f>
        <v>126317.12212</v>
      </c>
      <c r="AD79" s="49">
        <f>IF(V79="TIPO I",'BASE DE LIQUIDACION 2025'!$D$3,'BASE DE LIQUIDACION 2025'!$D$4)</f>
        <v>110808.27512000001</v>
      </c>
      <c r="AE79" s="53">
        <f t="shared" si="2"/>
        <v>248376.6214</v>
      </c>
    </row>
    <row r="80" spans="1:31" s="46" customFormat="1">
      <c r="A80" s="69" t="s">
        <v>151</v>
      </c>
      <c r="B80" s="45" t="str">
        <f>VLOOKUP(A80,'CENTRO DE COSTOS'!A:D,4,FALSE)</f>
        <v>DIEGO FERNANDO HENAO CARDONA</v>
      </c>
      <c r="C80" s="45" t="str">
        <f>VLOOKUP(A80,'CENTRO DE COSTOS'!A:D,2,FALSE)</f>
        <v>0004-0003</v>
      </c>
      <c r="D80" s="69">
        <v>52835</v>
      </c>
      <c r="E80" s="70" t="s">
        <v>658</v>
      </c>
      <c r="F80" s="71">
        <v>80802</v>
      </c>
      <c r="G80" s="79" t="s">
        <v>132</v>
      </c>
      <c r="H80" s="73" t="s">
        <v>133</v>
      </c>
      <c r="I80" s="71" t="s">
        <v>153</v>
      </c>
      <c r="J80" s="81" t="s">
        <v>480</v>
      </c>
      <c r="K80" s="71" t="s">
        <v>659</v>
      </c>
      <c r="L80" s="75" t="s">
        <v>137</v>
      </c>
      <c r="M80" s="82" t="s">
        <v>660</v>
      </c>
      <c r="N80" s="74">
        <v>45870</v>
      </c>
      <c r="O80" s="76">
        <v>45874</v>
      </c>
      <c r="P80" s="83" t="s">
        <v>139</v>
      </c>
      <c r="Q80" s="84" t="s">
        <v>139</v>
      </c>
      <c r="R80" s="69" t="s">
        <v>140</v>
      </c>
      <c r="S80" s="72" t="s">
        <v>661</v>
      </c>
      <c r="T80" s="79" t="s">
        <v>158</v>
      </c>
      <c r="U80" s="69" t="s">
        <v>662</v>
      </c>
      <c r="V80" s="81" t="s">
        <v>144</v>
      </c>
      <c r="W80" s="76" t="s">
        <v>145</v>
      </c>
      <c r="X80" s="79" t="s">
        <v>158</v>
      </c>
      <c r="Y80" s="69">
        <v>1</v>
      </c>
      <c r="Z80" s="69">
        <v>1</v>
      </c>
      <c r="AA80" s="69">
        <v>1</v>
      </c>
      <c r="AB80" s="49">
        <f>IF(V80="TIPO I",'BASE DE LIQUIDACION 2025'!$B$3,'BASE DE LIQUIDACION 2025'!$B$4)</f>
        <v>11251.22416</v>
      </c>
      <c r="AC80" s="49">
        <f>IF(V80="TIPO I",'BASE DE LIQUIDACION 2025'!$C$3,'BASE DE LIQUIDACION 2025'!$C$4)</f>
        <v>126317.12212</v>
      </c>
      <c r="AD80" s="49">
        <f>IF(V80="TIPO I",'BASE DE LIQUIDACION 2025'!$D$3,'BASE DE LIQUIDACION 2025'!$D$4)</f>
        <v>110808.27512000001</v>
      </c>
      <c r="AE80" s="53">
        <f t="shared" si="2"/>
        <v>248376.6214</v>
      </c>
    </row>
    <row r="81" spans="1:31" s="46" customFormat="1">
      <c r="A81" s="69" t="s">
        <v>431</v>
      </c>
      <c r="B81" s="45" t="str">
        <f>VLOOKUP(A81,'CENTRO DE COSTOS'!A:D,4,FALSE)</f>
        <v>WILLIAM ASDRUBAL ROZO ROZO</v>
      </c>
      <c r="C81" s="45" t="str">
        <f>VLOOKUP(A81,'CENTRO DE COSTOS'!A:D,2,FALSE)</f>
        <v>0004-0004</v>
      </c>
      <c r="D81" s="69">
        <v>11001</v>
      </c>
      <c r="E81" s="70" t="s">
        <v>663</v>
      </c>
      <c r="F81" s="71">
        <v>80774</v>
      </c>
      <c r="G81" s="79" t="s">
        <v>132</v>
      </c>
      <c r="H81" s="73" t="s">
        <v>133</v>
      </c>
      <c r="I81" s="71" t="s">
        <v>433</v>
      </c>
      <c r="J81" s="81" t="s">
        <v>431</v>
      </c>
      <c r="K81" s="71" t="s">
        <v>664</v>
      </c>
      <c r="L81" s="75" t="s">
        <v>137</v>
      </c>
      <c r="M81" s="82" t="s">
        <v>665</v>
      </c>
      <c r="N81" s="74">
        <v>45870</v>
      </c>
      <c r="O81" s="76">
        <v>45873</v>
      </c>
      <c r="P81" s="83" t="s">
        <v>139</v>
      </c>
      <c r="Q81" s="84" t="s">
        <v>139</v>
      </c>
      <c r="R81" s="69" t="s">
        <v>140</v>
      </c>
      <c r="S81" s="72" t="s">
        <v>666</v>
      </c>
      <c r="T81" s="79" t="s">
        <v>667</v>
      </c>
      <c r="U81" s="69" t="s">
        <v>668</v>
      </c>
      <c r="V81" s="81" t="s">
        <v>52</v>
      </c>
      <c r="W81" s="76" t="s">
        <v>145</v>
      </c>
      <c r="X81" s="79" t="s">
        <v>667</v>
      </c>
      <c r="Y81" s="69">
        <v>1</v>
      </c>
      <c r="Z81" s="69">
        <v>1</v>
      </c>
      <c r="AA81" s="69">
        <v>1</v>
      </c>
      <c r="AB81" s="49">
        <f>IF(V81="TIPO I",'BASE DE LIQUIDACION 2025'!$B$3,'BASE DE LIQUIDACION 2025'!$B$4)</f>
        <v>11251.22416</v>
      </c>
      <c r="AC81" s="49">
        <f>IF(V81="TIPO I",'BASE DE LIQUIDACION 2025'!$C$3,'BASE DE LIQUIDACION 2025'!$C$4)</f>
        <v>126317.12212</v>
      </c>
      <c r="AD81" s="49">
        <f>IF(V81="TIPO I",'BASE DE LIQUIDACION 2025'!$D$3,'BASE DE LIQUIDACION 2025'!$D$4)</f>
        <v>57411.974240000003</v>
      </c>
      <c r="AE81" s="53">
        <f t="shared" si="2"/>
        <v>194980.32052000001</v>
      </c>
    </row>
    <row r="82" spans="1:31" s="46" customFormat="1">
      <c r="A82" s="69" t="s">
        <v>175</v>
      </c>
      <c r="B82" s="45" t="str">
        <f>VLOOKUP(A82,'CENTRO DE COSTOS'!A:D,4,FALSE)</f>
        <v>JUAN SEBASTIÁN RÍOS CASTRILLÓN</v>
      </c>
      <c r="C82" s="45" t="str">
        <f>VLOOKUP(A82,'CENTRO DE COSTOS'!A:D,2,FALSE)</f>
        <v>0004-0005</v>
      </c>
      <c r="D82" s="69">
        <v>5361</v>
      </c>
      <c r="E82" s="70" t="s">
        <v>669</v>
      </c>
      <c r="F82" s="71">
        <v>80769</v>
      </c>
      <c r="G82" s="79" t="s">
        <v>132</v>
      </c>
      <c r="H82" s="73" t="s">
        <v>133</v>
      </c>
      <c r="I82" s="71" t="s">
        <v>178</v>
      </c>
      <c r="J82" s="81" t="s">
        <v>670</v>
      </c>
      <c r="K82" s="71" t="s">
        <v>671</v>
      </c>
      <c r="L82" s="75" t="s">
        <v>137</v>
      </c>
      <c r="M82" s="82" t="s">
        <v>672</v>
      </c>
      <c r="N82" s="74">
        <v>45870</v>
      </c>
      <c r="O82" s="76">
        <v>45875</v>
      </c>
      <c r="P82" s="83" t="s">
        <v>139</v>
      </c>
      <c r="Q82" s="84" t="s">
        <v>139</v>
      </c>
      <c r="R82" s="69" t="s">
        <v>140</v>
      </c>
      <c r="S82" s="72" t="s">
        <v>673</v>
      </c>
      <c r="T82" s="79" t="s">
        <v>674</v>
      </c>
      <c r="U82" s="69" t="s">
        <v>675</v>
      </c>
      <c r="V82" s="81" t="s">
        <v>144</v>
      </c>
      <c r="W82" s="76" t="s">
        <v>145</v>
      </c>
      <c r="X82" s="79" t="s">
        <v>674</v>
      </c>
      <c r="Y82" s="69">
        <v>1</v>
      </c>
      <c r="Z82" s="69">
        <v>1</v>
      </c>
      <c r="AA82" s="69">
        <v>1</v>
      </c>
      <c r="AB82" s="49">
        <f>IF(V82="TIPO I",'BASE DE LIQUIDACION 2025'!$B$3,'BASE DE LIQUIDACION 2025'!$B$4)</f>
        <v>11251.22416</v>
      </c>
      <c r="AC82" s="49">
        <f>IF(V82="TIPO I",'BASE DE LIQUIDACION 2025'!$C$3,'BASE DE LIQUIDACION 2025'!$C$4)</f>
        <v>126317.12212</v>
      </c>
      <c r="AD82" s="49">
        <f>IF(V82="TIPO I",'BASE DE LIQUIDACION 2025'!$D$3,'BASE DE LIQUIDACION 2025'!$D$4)</f>
        <v>110808.27512000001</v>
      </c>
      <c r="AE82" s="53">
        <f t="shared" si="2"/>
        <v>248376.6214</v>
      </c>
    </row>
    <row r="83" spans="1:31" s="46" customFormat="1">
      <c r="A83" s="69" t="s">
        <v>371</v>
      </c>
      <c r="B83" s="45" t="str">
        <f>VLOOKUP(A83,'CENTRO DE COSTOS'!A:D,4,FALSE)</f>
        <v>JOSE MAURICIO HERNANDEZ ROJAS</v>
      </c>
      <c r="C83" s="45" t="str">
        <f>VLOOKUP(A83,'CENTRO DE COSTOS'!A:D,2,FALSE)</f>
        <v>0004-0001</v>
      </c>
      <c r="D83" s="69">
        <v>70708</v>
      </c>
      <c r="E83" s="70" t="s">
        <v>676</v>
      </c>
      <c r="F83" s="71">
        <v>80805</v>
      </c>
      <c r="G83" s="79" t="s">
        <v>132</v>
      </c>
      <c r="H83" s="73" t="s">
        <v>133</v>
      </c>
      <c r="I83" s="71" t="s">
        <v>373</v>
      </c>
      <c r="J83" s="81" t="s">
        <v>677</v>
      </c>
      <c r="K83" s="71" t="s">
        <v>678</v>
      </c>
      <c r="L83" s="75" t="s">
        <v>137</v>
      </c>
      <c r="M83" s="82" t="s">
        <v>679</v>
      </c>
      <c r="N83" s="74">
        <v>45870</v>
      </c>
      <c r="O83" s="76">
        <v>45873</v>
      </c>
      <c r="P83" s="83" t="s">
        <v>139</v>
      </c>
      <c r="Q83" s="84" t="s">
        <v>139</v>
      </c>
      <c r="R83" s="69" t="s">
        <v>140</v>
      </c>
      <c r="S83" s="72" t="s">
        <v>680</v>
      </c>
      <c r="T83" s="79" t="s">
        <v>681</v>
      </c>
      <c r="U83" s="69" t="s">
        <v>682</v>
      </c>
      <c r="V83" s="81" t="s">
        <v>230</v>
      </c>
      <c r="W83" s="76" t="s">
        <v>145</v>
      </c>
      <c r="X83" s="79" t="s">
        <v>681</v>
      </c>
      <c r="Y83" s="69">
        <v>1</v>
      </c>
      <c r="Z83" s="69">
        <v>1</v>
      </c>
      <c r="AA83" s="69">
        <v>1</v>
      </c>
      <c r="AB83" s="49">
        <f>IF(V83="TIPO I",'BASE DE LIQUIDACION 2025'!$B$3,'BASE DE LIQUIDACION 2025'!$B$4)</f>
        <v>11251.22416</v>
      </c>
      <c r="AC83" s="49">
        <f>IF(V83="TIPO I",'BASE DE LIQUIDACION 2025'!$C$3,'BASE DE LIQUIDACION 2025'!$C$4)</f>
        <v>126317.12212</v>
      </c>
      <c r="AD83" s="49">
        <f>IF(V83="TIPO I",'BASE DE LIQUIDACION 2025'!$D$3,'BASE DE LIQUIDACION 2025'!$D$4)</f>
        <v>110808.27512000001</v>
      </c>
      <c r="AE83" s="53">
        <f t="shared" si="2"/>
        <v>248376.6214</v>
      </c>
    </row>
    <row r="84" spans="1:31" s="46" customFormat="1">
      <c r="A84" s="69" t="s">
        <v>130</v>
      </c>
      <c r="B84" s="45" t="str">
        <f>VLOOKUP(A84,'CENTRO DE COSTOS'!A:D,4,FALSE)</f>
        <v>KEVIN ALEXIS CORZO BUSTOS</v>
      </c>
      <c r="C84" s="45" t="str">
        <f>VLOOKUP(A84,'CENTRO DE COSTOS'!A:D,2,FALSE)</f>
        <v>0004-0007</v>
      </c>
      <c r="D84" s="69">
        <v>41001</v>
      </c>
      <c r="E84" s="70" t="s">
        <v>683</v>
      </c>
      <c r="F84" s="71">
        <v>80793</v>
      </c>
      <c r="G84" s="79" t="s">
        <v>132</v>
      </c>
      <c r="H84" s="73" t="s">
        <v>133</v>
      </c>
      <c r="I84" s="71" t="s">
        <v>213</v>
      </c>
      <c r="J84" s="81" t="s">
        <v>130</v>
      </c>
      <c r="K84" s="71" t="s">
        <v>684</v>
      </c>
      <c r="L84" s="75" t="s">
        <v>137</v>
      </c>
      <c r="M84" s="82" t="s">
        <v>685</v>
      </c>
      <c r="N84" s="74">
        <v>45870</v>
      </c>
      <c r="O84" s="76">
        <v>45873</v>
      </c>
      <c r="P84" s="83" t="s">
        <v>139</v>
      </c>
      <c r="Q84" s="84" t="s">
        <v>139</v>
      </c>
      <c r="R84" s="69" t="s">
        <v>140</v>
      </c>
      <c r="S84" s="72" t="s">
        <v>686</v>
      </c>
      <c r="T84" s="79" t="s">
        <v>218</v>
      </c>
      <c r="U84" s="69" t="s">
        <v>687</v>
      </c>
      <c r="V84" s="81" t="s">
        <v>52</v>
      </c>
      <c r="W84" s="76" t="s">
        <v>145</v>
      </c>
      <c r="X84" s="79" t="s">
        <v>218</v>
      </c>
      <c r="Y84" s="69">
        <v>1</v>
      </c>
      <c r="Z84" s="69">
        <v>1</v>
      </c>
      <c r="AA84" s="69">
        <v>1</v>
      </c>
      <c r="AB84" s="49">
        <f>IF(V84="TIPO I",'BASE DE LIQUIDACION 2025'!$B$3,'BASE DE LIQUIDACION 2025'!$B$4)</f>
        <v>11251.22416</v>
      </c>
      <c r="AC84" s="49">
        <f>IF(V84="TIPO I",'BASE DE LIQUIDACION 2025'!$C$3,'BASE DE LIQUIDACION 2025'!$C$4)</f>
        <v>126317.12212</v>
      </c>
      <c r="AD84" s="49">
        <f>IF(V84="TIPO I",'BASE DE LIQUIDACION 2025'!$D$3,'BASE DE LIQUIDACION 2025'!$D$4)</f>
        <v>57411.974240000003</v>
      </c>
      <c r="AE84" s="53">
        <f t="shared" si="2"/>
        <v>194980.32052000001</v>
      </c>
    </row>
    <row r="85" spans="1:31" s="46" customFormat="1">
      <c r="A85" s="69" t="s">
        <v>688</v>
      </c>
      <c r="B85" s="45" t="str">
        <f>VLOOKUP(A85,'CENTRO DE COSTOS'!A:D,4,FALSE)</f>
        <v>KEVIN ALEXIS CORZO BUSTOS</v>
      </c>
      <c r="C85" s="45" t="str">
        <f>VLOOKUP(A85,'CENTRO DE COSTOS'!A:D,2,FALSE)</f>
        <v>0004-0007</v>
      </c>
      <c r="D85" s="69">
        <v>73001</v>
      </c>
      <c r="E85" s="70" t="s">
        <v>689</v>
      </c>
      <c r="F85" s="71">
        <v>80821</v>
      </c>
      <c r="G85" s="79" t="s">
        <v>132</v>
      </c>
      <c r="H85" s="73" t="s">
        <v>133</v>
      </c>
      <c r="I85" s="71" t="s">
        <v>690</v>
      </c>
      <c r="J85" s="81" t="s">
        <v>688</v>
      </c>
      <c r="K85" s="71" t="s">
        <v>691</v>
      </c>
      <c r="L85" s="75" t="s">
        <v>137</v>
      </c>
      <c r="M85" s="82" t="s">
        <v>692</v>
      </c>
      <c r="N85" s="74">
        <v>45870</v>
      </c>
      <c r="O85" s="76">
        <v>45873</v>
      </c>
      <c r="P85" s="83" t="s">
        <v>139</v>
      </c>
      <c r="Q85" s="84" t="s">
        <v>139</v>
      </c>
      <c r="R85" s="69" t="s">
        <v>140</v>
      </c>
      <c r="S85" s="72" t="s">
        <v>693</v>
      </c>
      <c r="T85" s="79" t="s">
        <v>694</v>
      </c>
      <c r="U85" s="69" t="s">
        <v>695</v>
      </c>
      <c r="V85" s="81" t="s">
        <v>52</v>
      </c>
      <c r="W85" s="76" t="s">
        <v>145</v>
      </c>
      <c r="X85" s="79" t="s">
        <v>694</v>
      </c>
      <c r="Y85" s="69">
        <v>1</v>
      </c>
      <c r="Z85" s="69">
        <v>1</v>
      </c>
      <c r="AA85" s="69">
        <v>1</v>
      </c>
      <c r="AB85" s="49">
        <f>IF(V85="TIPO I",'BASE DE LIQUIDACION 2025'!$B$3,'BASE DE LIQUIDACION 2025'!$B$4)</f>
        <v>11251.22416</v>
      </c>
      <c r="AC85" s="49">
        <f>IF(V85="TIPO I",'BASE DE LIQUIDACION 2025'!$C$3,'BASE DE LIQUIDACION 2025'!$C$4)</f>
        <v>126317.12212</v>
      </c>
      <c r="AD85" s="49">
        <f>IF(V85="TIPO I",'BASE DE LIQUIDACION 2025'!$D$3,'BASE DE LIQUIDACION 2025'!$D$4)</f>
        <v>57411.974240000003</v>
      </c>
      <c r="AE85" s="53">
        <f t="shared" si="2"/>
        <v>194980.32052000001</v>
      </c>
    </row>
    <row r="86" spans="1:31" s="46" customFormat="1">
      <c r="A86" s="69" t="s">
        <v>220</v>
      </c>
      <c r="B86" s="45" t="str">
        <f>VLOOKUP(A86,'CENTRO DE COSTOS'!A:D,4,FALSE)</f>
        <v>DIEGO FERNANDO HENAO CARDONA</v>
      </c>
      <c r="C86" s="45" t="str">
        <f>VLOOKUP(A86,'CENTRO DE COSTOS'!A:D,2,FALSE)</f>
        <v>0004-0003</v>
      </c>
      <c r="D86" s="69">
        <v>76001</v>
      </c>
      <c r="E86" s="70" t="s">
        <v>696</v>
      </c>
      <c r="F86" s="71">
        <v>80824</v>
      </c>
      <c r="G86" s="79" t="s">
        <v>132</v>
      </c>
      <c r="H86" s="73" t="s">
        <v>177</v>
      </c>
      <c r="I86" s="71" t="s">
        <v>420</v>
      </c>
      <c r="J86" s="81" t="s">
        <v>220</v>
      </c>
      <c r="K86" s="71" t="s">
        <v>697</v>
      </c>
      <c r="L86" s="75" t="s">
        <v>137</v>
      </c>
      <c r="M86" s="82" t="s">
        <v>698</v>
      </c>
      <c r="N86" s="74">
        <v>45874</v>
      </c>
      <c r="O86" s="76">
        <v>45874</v>
      </c>
      <c r="P86" s="83" t="s">
        <v>699</v>
      </c>
      <c r="Q86" s="84" t="s">
        <v>700</v>
      </c>
      <c r="R86" s="69" t="s">
        <v>140</v>
      </c>
      <c r="S86" s="72" t="s">
        <v>701</v>
      </c>
      <c r="T86" s="79" t="s">
        <v>702</v>
      </c>
      <c r="U86" s="69" t="s">
        <v>703</v>
      </c>
      <c r="V86" s="81" t="s">
        <v>52</v>
      </c>
      <c r="W86" s="76" t="s">
        <v>145</v>
      </c>
      <c r="X86" s="79" t="s">
        <v>702</v>
      </c>
      <c r="Y86" s="69">
        <v>1</v>
      </c>
      <c r="Z86" s="69">
        <v>0</v>
      </c>
      <c r="AA86" s="69">
        <v>0</v>
      </c>
      <c r="AB86" s="49">
        <f>IF(V86="TIPO I",'BASE DE LIQUIDACION 2025'!$B$3,'BASE DE LIQUIDACION 2025'!$B$4)</f>
        <v>11251.22416</v>
      </c>
      <c r="AC86" s="49">
        <f>IF(V86="TIPO I",'BASE DE LIQUIDACION 2025'!$C$3,'BASE DE LIQUIDACION 2025'!$C$4)</f>
        <v>126317.12212</v>
      </c>
      <c r="AD86" s="49">
        <f>IF(V86="TIPO I",'BASE DE LIQUIDACION 2025'!$D$3,'BASE DE LIQUIDACION 2025'!$D$4)</f>
        <v>57411.974240000003</v>
      </c>
      <c r="AE86" s="53">
        <f t="shared" si="2"/>
        <v>11251.22416</v>
      </c>
    </row>
    <row r="87" spans="1:31" s="46" customFormat="1">
      <c r="A87" s="69" t="s">
        <v>175</v>
      </c>
      <c r="B87" s="45" t="str">
        <f>VLOOKUP(A87,'CENTRO DE COSTOS'!A:D,4,FALSE)</f>
        <v>JUAN SEBASTIÁN RÍOS CASTRILLÓN</v>
      </c>
      <c r="C87" s="45" t="str">
        <f>VLOOKUP(A87,'CENTRO DE COSTOS'!A:D,2,FALSE)</f>
        <v>0004-0005</v>
      </c>
      <c r="D87" s="69">
        <v>5001</v>
      </c>
      <c r="E87" s="70" t="s">
        <v>704</v>
      </c>
      <c r="F87" s="71">
        <v>80856</v>
      </c>
      <c r="G87" s="79" t="s">
        <v>132</v>
      </c>
      <c r="H87" s="73" t="s">
        <v>177</v>
      </c>
      <c r="I87" s="71" t="s">
        <v>178</v>
      </c>
      <c r="J87" s="81" t="s">
        <v>175</v>
      </c>
      <c r="K87" s="71" t="s">
        <v>705</v>
      </c>
      <c r="L87" s="75" t="s">
        <v>137</v>
      </c>
      <c r="M87" s="82" t="s">
        <v>706</v>
      </c>
      <c r="N87" s="74">
        <v>45875</v>
      </c>
      <c r="O87" s="76">
        <v>45880</v>
      </c>
      <c r="P87" s="83" t="s">
        <v>181</v>
      </c>
      <c r="Q87" s="84" t="s">
        <v>707</v>
      </c>
      <c r="R87" s="69" t="s">
        <v>140</v>
      </c>
      <c r="S87" s="72" t="s">
        <v>708</v>
      </c>
      <c r="T87" s="79" t="s">
        <v>189</v>
      </c>
      <c r="U87" s="69" t="s">
        <v>709</v>
      </c>
      <c r="V87" s="81" t="s">
        <v>52</v>
      </c>
      <c r="W87" s="76" t="s">
        <v>145</v>
      </c>
      <c r="X87" s="79" t="s">
        <v>189</v>
      </c>
      <c r="Y87" s="69">
        <v>1</v>
      </c>
      <c r="Z87" s="69">
        <v>1</v>
      </c>
      <c r="AA87" s="69">
        <v>1</v>
      </c>
      <c r="AB87" s="49">
        <f>IF(V87="TIPO I",'BASE DE LIQUIDACION 2025'!$B$3,'BASE DE LIQUIDACION 2025'!$B$4)</f>
        <v>11251.22416</v>
      </c>
      <c r="AC87" s="49">
        <f>IF(V87="TIPO I",'BASE DE LIQUIDACION 2025'!$C$3,'BASE DE LIQUIDACION 2025'!$C$4)</f>
        <v>126317.12212</v>
      </c>
      <c r="AD87" s="49">
        <f>IF(V87="TIPO I",'BASE DE LIQUIDACION 2025'!$D$3,'BASE DE LIQUIDACION 2025'!$D$4)</f>
        <v>57411.974240000003</v>
      </c>
      <c r="AE87" s="53">
        <f t="shared" si="2"/>
        <v>194980.32052000001</v>
      </c>
    </row>
    <row r="88" spans="1:31" s="46" customFormat="1">
      <c r="A88" s="69" t="s">
        <v>175</v>
      </c>
      <c r="B88" s="45" t="str">
        <f>VLOOKUP(A88,'CENTRO DE COSTOS'!A:D,4,FALSE)</f>
        <v>JUAN SEBASTIÁN RÍOS CASTRILLÓN</v>
      </c>
      <c r="C88" s="45" t="str">
        <f>VLOOKUP(A88,'CENTRO DE COSTOS'!A:D,2,FALSE)</f>
        <v>0004-0005</v>
      </c>
      <c r="D88" s="69">
        <v>5001</v>
      </c>
      <c r="E88" s="70" t="s">
        <v>710</v>
      </c>
      <c r="F88" s="71">
        <v>80857</v>
      </c>
      <c r="G88" s="79" t="s">
        <v>132</v>
      </c>
      <c r="H88" s="73" t="s">
        <v>177</v>
      </c>
      <c r="I88" s="71" t="s">
        <v>178</v>
      </c>
      <c r="J88" s="81" t="s">
        <v>175</v>
      </c>
      <c r="K88" s="71" t="s">
        <v>711</v>
      </c>
      <c r="L88" s="75" t="s">
        <v>137</v>
      </c>
      <c r="M88" s="82" t="s">
        <v>712</v>
      </c>
      <c r="N88" s="74">
        <v>45875</v>
      </c>
      <c r="O88" s="76">
        <v>45880</v>
      </c>
      <c r="P88" s="83" t="s">
        <v>181</v>
      </c>
      <c r="Q88" s="84" t="s">
        <v>707</v>
      </c>
      <c r="R88" s="69" t="s">
        <v>140</v>
      </c>
      <c r="S88" s="72" t="s">
        <v>708</v>
      </c>
      <c r="T88" s="79" t="s">
        <v>338</v>
      </c>
      <c r="U88" s="69" t="s">
        <v>713</v>
      </c>
      <c r="V88" s="81" t="s">
        <v>52</v>
      </c>
      <c r="W88" s="76" t="s">
        <v>145</v>
      </c>
      <c r="X88" s="79" t="s">
        <v>338</v>
      </c>
      <c r="Y88" s="69">
        <v>1</v>
      </c>
      <c r="Z88" s="69">
        <v>1</v>
      </c>
      <c r="AA88" s="69">
        <v>1</v>
      </c>
      <c r="AB88" s="49">
        <f>IF(V88="TIPO I",'BASE DE LIQUIDACION 2025'!$B$3,'BASE DE LIQUIDACION 2025'!$B$4)</f>
        <v>11251.22416</v>
      </c>
      <c r="AC88" s="49">
        <f>IF(V88="TIPO I",'BASE DE LIQUIDACION 2025'!$C$3,'BASE DE LIQUIDACION 2025'!$C$4)</f>
        <v>126317.12212</v>
      </c>
      <c r="AD88" s="49">
        <f>IF(V88="TIPO I",'BASE DE LIQUIDACION 2025'!$D$3,'BASE DE LIQUIDACION 2025'!$D$4)</f>
        <v>57411.974240000003</v>
      </c>
      <c r="AE88" s="53">
        <f t="shared" si="2"/>
        <v>194980.32052000001</v>
      </c>
    </row>
    <row r="89" spans="1:31" s="46" customFormat="1">
      <c r="A89" s="69" t="s">
        <v>175</v>
      </c>
      <c r="B89" s="45" t="str">
        <f>VLOOKUP(A89,'CENTRO DE COSTOS'!A:D,4,FALSE)</f>
        <v>JUAN SEBASTIÁN RÍOS CASTRILLÓN</v>
      </c>
      <c r="C89" s="45" t="str">
        <f>VLOOKUP(A89,'CENTRO DE COSTOS'!A:D,2,FALSE)</f>
        <v>0004-0005</v>
      </c>
      <c r="D89" s="69">
        <v>5001</v>
      </c>
      <c r="E89" s="70" t="s">
        <v>714</v>
      </c>
      <c r="F89" s="71">
        <v>80858</v>
      </c>
      <c r="G89" s="79" t="s">
        <v>132</v>
      </c>
      <c r="H89" s="73" t="s">
        <v>177</v>
      </c>
      <c r="I89" s="71" t="s">
        <v>178</v>
      </c>
      <c r="J89" s="81" t="s">
        <v>175</v>
      </c>
      <c r="K89" s="71" t="s">
        <v>715</v>
      </c>
      <c r="L89" s="75" t="s">
        <v>137</v>
      </c>
      <c r="M89" s="82" t="s">
        <v>716</v>
      </c>
      <c r="N89" s="74">
        <v>45875</v>
      </c>
      <c r="O89" s="76">
        <v>45880</v>
      </c>
      <c r="P89" s="83" t="s">
        <v>181</v>
      </c>
      <c r="Q89" s="84" t="s">
        <v>707</v>
      </c>
      <c r="R89" s="69" t="s">
        <v>140</v>
      </c>
      <c r="S89" s="72" t="s">
        <v>708</v>
      </c>
      <c r="T89" s="79" t="s">
        <v>338</v>
      </c>
      <c r="U89" s="69" t="s">
        <v>717</v>
      </c>
      <c r="V89" s="81" t="s">
        <v>52</v>
      </c>
      <c r="W89" s="76" t="s">
        <v>145</v>
      </c>
      <c r="X89" s="79" t="s">
        <v>338</v>
      </c>
      <c r="Y89" s="69">
        <v>1</v>
      </c>
      <c r="Z89" s="69">
        <v>1</v>
      </c>
      <c r="AA89" s="69">
        <v>1</v>
      </c>
      <c r="AB89" s="49">
        <f>IF(V89="TIPO I",'BASE DE LIQUIDACION 2025'!$B$3,'BASE DE LIQUIDACION 2025'!$B$4)</f>
        <v>11251.22416</v>
      </c>
      <c r="AC89" s="49">
        <f>IF(V89="TIPO I",'BASE DE LIQUIDACION 2025'!$C$3,'BASE DE LIQUIDACION 2025'!$C$4)</f>
        <v>126317.12212</v>
      </c>
      <c r="AD89" s="49">
        <f>IF(V89="TIPO I",'BASE DE LIQUIDACION 2025'!$D$3,'BASE DE LIQUIDACION 2025'!$D$4)</f>
        <v>57411.974240000003</v>
      </c>
      <c r="AE89" s="53">
        <f t="shared" si="2"/>
        <v>194980.32052000001</v>
      </c>
    </row>
    <row r="90" spans="1:31" s="46" customFormat="1">
      <c r="A90" s="69" t="s">
        <v>175</v>
      </c>
      <c r="B90" s="45" t="str">
        <f>VLOOKUP(A90,'CENTRO DE COSTOS'!A:D,4,FALSE)</f>
        <v>JUAN SEBASTIÁN RÍOS CASTRILLÓN</v>
      </c>
      <c r="C90" s="45" t="str">
        <f>VLOOKUP(A90,'CENTRO DE COSTOS'!A:D,2,FALSE)</f>
        <v>0004-0005</v>
      </c>
      <c r="D90" s="69">
        <v>5001</v>
      </c>
      <c r="E90" s="70" t="s">
        <v>718</v>
      </c>
      <c r="F90" s="71">
        <v>80859</v>
      </c>
      <c r="G90" s="79" t="s">
        <v>132</v>
      </c>
      <c r="H90" s="73" t="s">
        <v>177</v>
      </c>
      <c r="I90" s="71" t="s">
        <v>178</v>
      </c>
      <c r="J90" s="81" t="s">
        <v>175</v>
      </c>
      <c r="K90" s="71" t="s">
        <v>719</v>
      </c>
      <c r="L90" s="75" t="s">
        <v>137</v>
      </c>
      <c r="M90" s="82" t="s">
        <v>720</v>
      </c>
      <c r="N90" s="74">
        <v>45875</v>
      </c>
      <c r="O90" s="76">
        <v>45880</v>
      </c>
      <c r="P90" s="83" t="s">
        <v>181</v>
      </c>
      <c r="Q90" s="84" t="s">
        <v>707</v>
      </c>
      <c r="R90" s="69" t="s">
        <v>140</v>
      </c>
      <c r="S90" s="72" t="s">
        <v>708</v>
      </c>
      <c r="T90" s="79" t="s">
        <v>189</v>
      </c>
      <c r="U90" s="69" t="s">
        <v>721</v>
      </c>
      <c r="V90" s="81" t="s">
        <v>52</v>
      </c>
      <c r="W90" s="76" t="s">
        <v>145</v>
      </c>
      <c r="X90" s="79" t="s">
        <v>189</v>
      </c>
      <c r="Y90" s="69">
        <v>1</v>
      </c>
      <c r="Z90" s="69">
        <v>1</v>
      </c>
      <c r="AA90" s="69">
        <v>1</v>
      </c>
      <c r="AB90" s="49">
        <f>IF(V90="TIPO I",'BASE DE LIQUIDACION 2025'!$B$3,'BASE DE LIQUIDACION 2025'!$B$4)</f>
        <v>11251.22416</v>
      </c>
      <c r="AC90" s="49">
        <f>IF(V90="TIPO I",'BASE DE LIQUIDACION 2025'!$C$3,'BASE DE LIQUIDACION 2025'!$C$4)</f>
        <v>126317.12212</v>
      </c>
      <c r="AD90" s="49">
        <f>IF(V90="TIPO I",'BASE DE LIQUIDACION 2025'!$D$3,'BASE DE LIQUIDACION 2025'!$D$4)</f>
        <v>57411.974240000003</v>
      </c>
      <c r="AE90" s="53">
        <f t="shared" si="2"/>
        <v>194980.32052000001</v>
      </c>
    </row>
    <row r="91" spans="1:31" s="46" customFormat="1">
      <c r="A91" s="69" t="s">
        <v>175</v>
      </c>
      <c r="B91" s="45" t="str">
        <f>VLOOKUP(A91,'CENTRO DE COSTOS'!A:D,4,FALSE)</f>
        <v>JUAN SEBASTIÁN RÍOS CASTRILLÓN</v>
      </c>
      <c r="C91" s="45" t="str">
        <f>VLOOKUP(A91,'CENTRO DE COSTOS'!A:D,2,FALSE)</f>
        <v>0004-0005</v>
      </c>
      <c r="D91" s="69">
        <v>5088</v>
      </c>
      <c r="E91" s="70" t="s">
        <v>722</v>
      </c>
      <c r="F91" s="71">
        <v>80853</v>
      </c>
      <c r="G91" s="79" t="s">
        <v>132</v>
      </c>
      <c r="H91" s="73" t="s">
        <v>177</v>
      </c>
      <c r="I91" s="71" t="s">
        <v>178</v>
      </c>
      <c r="J91" s="81" t="s">
        <v>192</v>
      </c>
      <c r="K91" s="71" t="s">
        <v>723</v>
      </c>
      <c r="L91" s="75" t="s">
        <v>137</v>
      </c>
      <c r="M91" s="82" t="s">
        <v>724</v>
      </c>
      <c r="N91" s="74">
        <v>45875</v>
      </c>
      <c r="O91" s="76">
        <v>45877</v>
      </c>
      <c r="P91" s="83" t="s">
        <v>181</v>
      </c>
      <c r="Q91" s="84" t="s">
        <v>707</v>
      </c>
      <c r="R91" s="69" t="s">
        <v>140</v>
      </c>
      <c r="S91" s="72" t="s">
        <v>725</v>
      </c>
      <c r="T91" s="79" t="s">
        <v>451</v>
      </c>
      <c r="U91" s="69" t="s">
        <v>726</v>
      </c>
      <c r="V91" s="81" t="s">
        <v>52</v>
      </c>
      <c r="W91" s="76" t="s">
        <v>145</v>
      </c>
      <c r="X91" s="79" t="s">
        <v>451</v>
      </c>
      <c r="Y91" s="69">
        <v>1</v>
      </c>
      <c r="Z91" s="69">
        <v>1</v>
      </c>
      <c r="AA91" s="69">
        <v>1</v>
      </c>
      <c r="AB91" s="49">
        <f>IF(V91="TIPO I",'BASE DE LIQUIDACION 2025'!$B$3,'BASE DE LIQUIDACION 2025'!$B$4)</f>
        <v>11251.22416</v>
      </c>
      <c r="AC91" s="49">
        <f>IF(V91="TIPO I",'BASE DE LIQUIDACION 2025'!$C$3,'BASE DE LIQUIDACION 2025'!$C$4)</f>
        <v>126317.12212</v>
      </c>
      <c r="AD91" s="49">
        <f>IF(V91="TIPO I",'BASE DE LIQUIDACION 2025'!$D$3,'BASE DE LIQUIDACION 2025'!$D$4)</f>
        <v>57411.974240000003</v>
      </c>
      <c r="AE91" s="53">
        <f t="shared" si="2"/>
        <v>194980.32052000001</v>
      </c>
    </row>
    <row r="92" spans="1:31" s="46" customFormat="1">
      <c r="A92" s="69" t="s">
        <v>175</v>
      </c>
      <c r="B92" s="45" t="str">
        <f>VLOOKUP(A92,'CENTRO DE COSTOS'!A:D,4,FALSE)</f>
        <v>JUAN SEBASTIÁN RÍOS CASTRILLÓN</v>
      </c>
      <c r="C92" s="45" t="str">
        <f>VLOOKUP(A92,'CENTRO DE COSTOS'!A:D,2,FALSE)</f>
        <v>0004-0005</v>
      </c>
      <c r="D92" s="69">
        <v>5088</v>
      </c>
      <c r="E92" s="70" t="s">
        <v>727</v>
      </c>
      <c r="F92" s="71">
        <v>80854</v>
      </c>
      <c r="G92" s="79" t="s">
        <v>132</v>
      </c>
      <c r="H92" s="73" t="s">
        <v>177</v>
      </c>
      <c r="I92" s="71" t="s">
        <v>178</v>
      </c>
      <c r="J92" s="81" t="s">
        <v>192</v>
      </c>
      <c r="K92" s="71" t="s">
        <v>728</v>
      </c>
      <c r="L92" s="75" t="s">
        <v>137</v>
      </c>
      <c r="M92" s="82" t="s">
        <v>729</v>
      </c>
      <c r="N92" s="74">
        <v>45875</v>
      </c>
      <c r="O92" s="76">
        <v>45877</v>
      </c>
      <c r="P92" s="83" t="s">
        <v>181</v>
      </c>
      <c r="Q92" s="84" t="s">
        <v>707</v>
      </c>
      <c r="R92" s="69" t="s">
        <v>140</v>
      </c>
      <c r="S92" s="72" t="s">
        <v>725</v>
      </c>
      <c r="T92" s="79" t="s">
        <v>451</v>
      </c>
      <c r="U92" s="69" t="s">
        <v>730</v>
      </c>
      <c r="V92" s="81" t="s">
        <v>52</v>
      </c>
      <c r="W92" s="76" t="s">
        <v>145</v>
      </c>
      <c r="X92" s="79" t="s">
        <v>451</v>
      </c>
      <c r="Y92" s="69">
        <v>1</v>
      </c>
      <c r="Z92" s="69">
        <v>1</v>
      </c>
      <c r="AA92" s="69">
        <v>1</v>
      </c>
      <c r="AB92" s="49">
        <f>IF(V92="TIPO I",'BASE DE LIQUIDACION 2025'!$B$3,'BASE DE LIQUIDACION 2025'!$B$4)</f>
        <v>11251.22416</v>
      </c>
      <c r="AC92" s="49">
        <f>IF(V92="TIPO I",'BASE DE LIQUIDACION 2025'!$C$3,'BASE DE LIQUIDACION 2025'!$C$4)</f>
        <v>126317.12212</v>
      </c>
      <c r="AD92" s="49">
        <f>IF(V92="TIPO I",'BASE DE LIQUIDACION 2025'!$D$3,'BASE DE LIQUIDACION 2025'!$D$4)</f>
        <v>57411.974240000003</v>
      </c>
      <c r="AE92" s="53">
        <f t="shared" si="2"/>
        <v>194980.32052000001</v>
      </c>
    </row>
    <row r="93" spans="1:31" s="46" customFormat="1">
      <c r="A93" s="69" t="s">
        <v>175</v>
      </c>
      <c r="B93" s="45" t="str">
        <f>VLOOKUP(A93,'CENTRO DE COSTOS'!A:D,4,FALSE)</f>
        <v>JUAN SEBASTIÁN RÍOS CASTRILLÓN</v>
      </c>
      <c r="C93" s="45" t="str">
        <f>VLOOKUP(A93,'CENTRO DE COSTOS'!A:D,2,FALSE)</f>
        <v>0004-0005</v>
      </c>
      <c r="D93" s="69">
        <v>5113</v>
      </c>
      <c r="E93" s="70" t="s">
        <v>731</v>
      </c>
      <c r="F93" s="71">
        <v>80848</v>
      </c>
      <c r="G93" s="79" t="s">
        <v>132</v>
      </c>
      <c r="H93" s="73" t="s">
        <v>177</v>
      </c>
      <c r="I93" s="71" t="s">
        <v>178</v>
      </c>
      <c r="J93" s="81" t="s">
        <v>732</v>
      </c>
      <c r="K93" s="71" t="s">
        <v>733</v>
      </c>
      <c r="L93" s="75" t="s">
        <v>137</v>
      </c>
      <c r="M93" s="82" t="s">
        <v>734</v>
      </c>
      <c r="N93" s="74">
        <v>45875</v>
      </c>
      <c r="O93" s="76">
        <v>45877</v>
      </c>
      <c r="P93" s="83" t="s">
        <v>181</v>
      </c>
      <c r="Q93" s="84" t="s">
        <v>707</v>
      </c>
      <c r="R93" s="69" t="s">
        <v>140</v>
      </c>
      <c r="S93" s="72" t="s">
        <v>725</v>
      </c>
      <c r="T93" s="79" t="s">
        <v>338</v>
      </c>
      <c r="U93" s="69" t="s">
        <v>735</v>
      </c>
      <c r="V93" s="81" t="s">
        <v>144</v>
      </c>
      <c r="W93" s="76" t="s">
        <v>145</v>
      </c>
      <c r="X93" s="79" t="s">
        <v>338</v>
      </c>
      <c r="Y93" s="69">
        <v>1</v>
      </c>
      <c r="Z93" s="69">
        <v>1</v>
      </c>
      <c r="AA93" s="69">
        <v>1</v>
      </c>
      <c r="AB93" s="49">
        <f>IF(V93="TIPO I",'BASE DE LIQUIDACION 2025'!$B$3,'BASE DE LIQUIDACION 2025'!$B$4)</f>
        <v>11251.22416</v>
      </c>
      <c r="AC93" s="49">
        <f>IF(V93="TIPO I",'BASE DE LIQUIDACION 2025'!$C$3,'BASE DE LIQUIDACION 2025'!$C$4)</f>
        <v>126317.12212</v>
      </c>
      <c r="AD93" s="49">
        <f>IF(V93="TIPO I",'BASE DE LIQUIDACION 2025'!$D$3,'BASE DE LIQUIDACION 2025'!$D$4)</f>
        <v>110808.27512000001</v>
      </c>
      <c r="AE93" s="53">
        <f t="shared" si="2"/>
        <v>248376.6214</v>
      </c>
    </row>
    <row r="94" spans="1:31" s="46" customFormat="1">
      <c r="A94" s="69" t="s">
        <v>175</v>
      </c>
      <c r="B94" s="45" t="str">
        <f>VLOOKUP(A94,'CENTRO DE COSTOS'!A:D,4,FALSE)</f>
        <v>JUAN SEBASTIÁN RÍOS CASTRILLÓN</v>
      </c>
      <c r="C94" s="45" t="str">
        <f>VLOOKUP(A94,'CENTRO DE COSTOS'!A:D,2,FALSE)</f>
        <v>0004-0005</v>
      </c>
      <c r="D94" s="69">
        <v>5120</v>
      </c>
      <c r="E94" s="70" t="s">
        <v>736</v>
      </c>
      <c r="F94" s="71">
        <v>80849</v>
      </c>
      <c r="G94" s="79" t="s">
        <v>132</v>
      </c>
      <c r="H94" s="73" t="s">
        <v>177</v>
      </c>
      <c r="I94" s="71" t="s">
        <v>178</v>
      </c>
      <c r="J94" s="81" t="s">
        <v>737</v>
      </c>
      <c r="K94" s="71" t="s">
        <v>738</v>
      </c>
      <c r="L94" s="75" t="s">
        <v>137</v>
      </c>
      <c r="M94" s="82" t="s">
        <v>739</v>
      </c>
      <c r="N94" s="74">
        <v>45875</v>
      </c>
      <c r="O94" s="76">
        <v>45881</v>
      </c>
      <c r="P94" s="83" t="s">
        <v>181</v>
      </c>
      <c r="Q94" s="84" t="s">
        <v>707</v>
      </c>
      <c r="R94" s="69" t="s">
        <v>140</v>
      </c>
      <c r="S94" s="72" t="s">
        <v>740</v>
      </c>
      <c r="T94" s="79" t="s">
        <v>451</v>
      </c>
      <c r="U94" s="69" t="s">
        <v>741</v>
      </c>
      <c r="V94" s="81" t="s">
        <v>144</v>
      </c>
      <c r="W94" s="76" t="s">
        <v>145</v>
      </c>
      <c r="X94" s="79" t="s">
        <v>451</v>
      </c>
      <c r="Y94" s="69">
        <v>1</v>
      </c>
      <c r="Z94" s="69">
        <v>1</v>
      </c>
      <c r="AA94" s="69">
        <v>1</v>
      </c>
      <c r="AB94" s="49">
        <f>IF(V94="TIPO I",'BASE DE LIQUIDACION 2025'!$B$3,'BASE DE LIQUIDACION 2025'!$B$4)</f>
        <v>11251.22416</v>
      </c>
      <c r="AC94" s="49">
        <f>IF(V94="TIPO I",'BASE DE LIQUIDACION 2025'!$C$3,'BASE DE LIQUIDACION 2025'!$C$4)</f>
        <v>126317.12212</v>
      </c>
      <c r="AD94" s="49">
        <f>IF(V94="TIPO I",'BASE DE LIQUIDACION 2025'!$D$3,'BASE DE LIQUIDACION 2025'!$D$4)</f>
        <v>110808.27512000001</v>
      </c>
      <c r="AE94" s="53">
        <f t="shared" si="2"/>
        <v>248376.6214</v>
      </c>
    </row>
    <row r="95" spans="1:31" s="46" customFormat="1">
      <c r="A95" s="69" t="s">
        <v>379</v>
      </c>
      <c r="B95" s="45" t="str">
        <f>VLOOKUP(A95,'CENTRO DE COSTOS'!A:D,4,FALSE)</f>
        <v>JOSE MAURICIO HERNANDEZ ROJAS</v>
      </c>
      <c r="C95" s="45" t="str">
        <f>VLOOKUP(A95,'CENTRO DE COSTOS'!A:D,2,FALSE)</f>
        <v>0004-0001</v>
      </c>
      <c r="D95" s="69">
        <v>5154</v>
      </c>
      <c r="E95" s="70" t="s">
        <v>742</v>
      </c>
      <c r="F95" s="71">
        <v>80840</v>
      </c>
      <c r="G95" s="79" t="s">
        <v>132</v>
      </c>
      <c r="H95" s="73" t="s">
        <v>177</v>
      </c>
      <c r="I95" s="71" t="s">
        <v>178</v>
      </c>
      <c r="J95" s="81" t="s">
        <v>743</v>
      </c>
      <c r="K95" s="71" t="s">
        <v>744</v>
      </c>
      <c r="L95" s="75" t="s">
        <v>137</v>
      </c>
      <c r="M95" s="82" t="s">
        <v>745</v>
      </c>
      <c r="N95" s="74">
        <v>45875</v>
      </c>
      <c r="O95" s="76">
        <v>45877</v>
      </c>
      <c r="P95" s="83" t="s">
        <v>181</v>
      </c>
      <c r="Q95" s="84" t="s">
        <v>707</v>
      </c>
      <c r="R95" s="69" t="s">
        <v>140</v>
      </c>
      <c r="S95" s="72" t="s">
        <v>725</v>
      </c>
      <c r="T95" s="79" t="s">
        <v>681</v>
      </c>
      <c r="U95" s="69" t="s">
        <v>746</v>
      </c>
      <c r="V95" s="81" t="s">
        <v>202</v>
      </c>
      <c r="W95" s="76" t="s">
        <v>145</v>
      </c>
      <c r="X95" s="79" t="s">
        <v>681</v>
      </c>
      <c r="Y95" s="69">
        <v>1</v>
      </c>
      <c r="Z95" s="69">
        <v>1</v>
      </c>
      <c r="AA95" s="69">
        <v>1</v>
      </c>
      <c r="AB95" s="49">
        <f>IF(V95="TIPO I",'BASE DE LIQUIDACION 2025'!$B$3,'BASE DE LIQUIDACION 2025'!$B$4)</f>
        <v>11251.22416</v>
      </c>
      <c r="AC95" s="49">
        <f>IF(V95="TIPO I",'BASE DE LIQUIDACION 2025'!$C$3,'BASE DE LIQUIDACION 2025'!$C$4)</f>
        <v>126317.12212</v>
      </c>
      <c r="AD95" s="49">
        <f>IF(V95="TIPO I",'BASE DE LIQUIDACION 2025'!$D$3,'BASE DE LIQUIDACION 2025'!$D$4)</f>
        <v>110808.27512000001</v>
      </c>
      <c r="AE95" s="53">
        <f t="shared" si="2"/>
        <v>248376.6214</v>
      </c>
    </row>
    <row r="96" spans="1:31" s="46" customFormat="1">
      <c r="A96" s="69" t="s">
        <v>175</v>
      </c>
      <c r="B96" s="45" t="str">
        <f>VLOOKUP(A96,'CENTRO DE COSTOS'!A:D,4,FALSE)</f>
        <v>JUAN SEBASTIÁN RÍOS CASTRILLÓN</v>
      </c>
      <c r="C96" s="45" t="str">
        <f>VLOOKUP(A96,'CENTRO DE COSTOS'!A:D,2,FALSE)</f>
        <v>0004-0005</v>
      </c>
      <c r="D96" s="69">
        <v>5440</v>
      </c>
      <c r="E96" s="70" t="s">
        <v>747</v>
      </c>
      <c r="F96" s="71">
        <v>80855</v>
      </c>
      <c r="G96" s="79" t="s">
        <v>132</v>
      </c>
      <c r="H96" s="73" t="s">
        <v>177</v>
      </c>
      <c r="I96" s="71" t="s">
        <v>178</v>
      </c>
      <c r="J96" s="81" t="s">
        <v>748</v>
      </c>
      <c r="K96" s="71" t="s">
        <v>749</v>
      </c>
      <c r="L96" s="75" t="s">
        <v>137</v>
      </c>
      <c r="M96" s="82" t="s">
        <v>750</v>
      </c>
      <c r="N96" s="74">
        <v>45875</v>
      </c>
      <c r="O96" s="76">
        <v>45877</v>
      </c>
      <c r="P96" s="83" t="s">
        <v>181</v>
      </c>
      <c r="Q96" s="84" t="s">
        <v>707</v>
      </c>
      <c r="R96" s="69" t="s">
        <v>140</v>
      </c>
      <c r="S96" s="72" t="s">
        <v>725</v>
      </c>
      <c r="T96" s="79" t="s">
        <v>674</v>
      </c>
      <c r="U96" s="69" t="s">
        <v>751</v>
      </c>
      <c r="V96" s="81" t="s">
        <v>202</v>
      </c>
      <c r="W96" s="76" t="s">
        <v>145</v>
      </c>
      <c r="X96" s="79" t="s">
        <v>674</v>
      </c>
      <c r="Y96" s="69">
        <v>1</v>
      </c>
      <c r="Z96" s="69">
        <v>1</v>
      </c>
      <c r="AA96" s="69">
        <v>1</v>
      </c>
      <c r="AB96" s="49">
        <f>IF(V96="TIPO I",'BASE DE LIQUIDACION 2025'!$B$3,'BASE DE LIQUIDACION 2025'!$B$4)</f>
        <v>11251.22416</v>
      </c>
      <c r="AC96" s="49">
        <f>IF(V96="TIPO I",'BASE DE LIQUIDACION 2025'!$C$3,'BASE DE LIQUIDACION 2025'!$C$4)</f>
        <v>126317.12212</v>
      </c>
      <c r="AD96" s="49">
        <f>IF(V96="TIPO I",'BASE DE LIQUIDACION 2025'!$D$3,'BASE DE LIQUIDACION 2025'!$D$4)</f>
        <v>110808.27512000001</v>
      </c>
      <c r="AE96" s="53">
        <f t="shared" si="2"/>
        <v>248376.6214</v>
      </c>
    </row>
    <row r="97" spans="1:31" s="46" customFormat="1">
      <c r="A97" s="69" t="s">
        <v>175</v>
      </c>
      <c r="B97" s="45" t="str">
        <f>VLOOKUP(A97,'CENTRO DE COSTOS'!A:D,4,FALSE)</f>
        <v>JUAN SEBASTIÁN RÍOS CASTRILLÓN</v>
      </c>
      <c r="C97" s="45" t="str">
        <f>VLOOKUP(A97,'CENTRO DE COSTOS'!A:D,2,FALSE)</f>
        <v>0004-0005</v>
      </c>
      <c r="D97" s="69">
        <v>5642</v>
      </c>
      <c r="E97" s="70" t="s">
        <v>752</v>
      </c>
      <c r="F97" s="71">
        <v>80842</v>
      </c>
      <c r="G97" s="79" t="s">
        <v>132</v>
      </c>
      <c r="H97" s="73" t="s">
        <v>177</v>
      </c>
      <c r="I97" s="71" t="s">
        <v>178</v>
      </c>
      <c r="J97" s="81" t="s">
        <v>753</v>
      </c>
      <c r="K97" s="71" t="s">
        <v>754</v>
      </c>
      <c r="L97" s="75" t="s">
        <v>137</v>
      </c>
      <c r="M97" s="82" t="s">
        <v>755</v>
      </c>
      <c r="N97" s="74">
        <v>45875</v>
      </c>
      <c r="O97" s="76">
        <v>45880</v>
      </c>
      <c r="P97" s="83" t="s">
        <v>181</v>
      </c>
      <c r="Q97" s="84" t="s">
        <v>707</v>
      </c>
      <c r="R97" s="69" t="s">
        <v>549</v>
      </c>
      <c r="S97" s="72" t="s">
        <v>756</v>
      </c>
      <c r="T97" s="79" t="s">
        <v>757</v>
      </c>
      <c r="U97" s="69" t="s">
        <v>758</v>
      </c>
      <c r="V97" s="81" t="s">
        <v>202</v>
      </c>
      <c r="W97" s="76" t="s">
        <v>145</v>
      </c>
      <c r="X97" s="79" t="s">
        <v>757</v>
      </c>
      <c r="Y97" s="69">
        <v>0</v>
      </c>
      <c r="Z97" s="69">
        <v>0</v>
      </c>
      <c r="AA97" s="69">
        <v>2</v>
      </c>
      <c r="AB97" s="49">
        <f>IF(V97="TIPO I",'BASE DE LIQUIDACION 2025'!$B$3,'BASE DE LIQUIDACION 2025'!$B$4)</f>
        <v>11251.22416</v>
      </c>
      <c r="AC97" s="49">
        <f>IF(V97="TIPO I",'BASE DE LIQUIDACION 2025'!$C$3,'BASE DE LIQUIDACION 2025'!$C$4)</f>
        <v>126317.12212</v>
      </c>
      <c r="AD97" s="49">
        <f>IF(V97="TIPO I",'BASE DE LIQUIDACION 2025'!$D$3,'BASE DE LIQUIDACION 2025'!$D$4)</f>
        <v>110808.27512000001</v>
      </c>
      <c r="AE97" s="53">
        <f t="shared" si="2"/>
        <v>221616.55024000001</v>
      </c>
    </row>
    <row r="98" spans="1:31" s="46" customFormat="1">
      <c r="A98" s="69" t="s">
        <v>608</v>
      </c>
      <c r="B98" s="45" t="str">
        <f>VLOOKUP(A98,'CENTRO DE COSTOS'!A:D,4,FALSE)</f>
        <v>JUAN SEBASTIÁN RÍOS CASTRILLÓN</v>
      </c>
      <c r="C98" s="45" t="str">
        <f>VLOOKUP(A98,'CENTRO DE COSTOS'!A:D,2,FALSE)</f>
        <v>0004-0005</v>
      </c>
      <c r="D98" s="69">
        <v>5837</v>
      </c>
      <c r="E98" s="70" t="s">
        <v>759</v>
      </c>
      <c r="F98" s="71">
        <v>80844</v>
      </c>
      <c r="G98" s="79" t="s">
        <v>132</v>
      </c>
      <c r="H98" s="73" t="s">
        <v>177</v>
      </c>
      <c r="I98" s="71" t="s">
        <v>178</v>
      </c>
      <c r="J98" s="81" t="s">
        <v>760</v>
      </c>
      <c r="K98" s="71" t="s">
        <v>761</v>
      </c>
      <c r="L98" s="75" t="s">
        <v>137</v>
      </c>
      <c r="M98" s="82" t="s">
        <v>762</v>
      </c>
      <c r="N98" s="74">
        <v>45875</v>
      </c>
      <c r="O98" s="76">
        <v>45881</v>
      </c>
      <c r="P98" s="83" t="s">
        <v>181</v>
      </c>
      <c r="Q98" s="84" t="s">
        <v>707</v>
      </c>
      <c r="R98" s="69" t="s">
        <v>140</v>
      </c>
      <c r="S98" s="72" t="s">
        <v>763</v>
      </c>
      <c r="T98" s="79" t="s">
        <v>614</v>
      </c>
      <c r="U98" s="69" t="s">
        <v>764</v>
      </c>
      <c r="V98" s="81" t="s">
        <v>202</v>
      </c>
      <c r="W98" s="76" t="s">
        <v>145</v>
      </c>
      <c r="X98" s="79" t="s">
        <v>614</v>
      </c>
      <c r="Y98" s="69">
        <v>1</v>
      </c>
      <c r="Z98" s="69">
        <v>1</v>
      </c>
      <c r="AA98" s="69">
        <v>1</v>
      </c>
      <c r="AB98" s="49">
        <f>IF(V98="TIPO I",'BASE DE LIQUIDACION 2025'!$B$3,'BASE DE LIQUIDACION 2025'!$B$4)</f>
        <v>11251.22416</v>
      </c>
      <c r="AC98" s="49">
        <f>IF(V98="TIPO I",'BASE DE LIQUIDACION 2025'!$C$3,'BASE DE LIQUIDACION 2025'!$C$4)</f>
        <v>126317.12212</v>
      </c>
      <c r="AD98" s="49">
        <f>IF(V98="TIPO I",'BASE DE LIQUIDACION 2025'!$D$3,'BASE DE LIQUIDACION 2025'!$D$4)</f>
        <v>110808.27512000001</v>
      </c>
      <c r="AE98" s="53">
        <f t="shared" si="2"/>
        <v>248376.6214</v>
      </c>
    </row>
    <row r="99" spans="1:31" s="46" customFormat="1">
      <c r="A99" s="69" t="s">
        <v>608</v>
      </c>
      <c r="B99" s="45" t="str">
        <f>VLOOKUP(A99,'CENTRO DE COSTOS'!A:D,4,FALSE)</f>
        <v>JUAN SEBASTIÁN RÍOS CASTRILLÓN</v>
      </c>
      <c r="C99" s="45" t="str">
        <f>VLOOKUP(A99,'CENTRO DE COSTOS'!A:D,2,FALSE)</f>
        <v>0004-0005</v>
      </c>
      <c r="D99" s="69">
        <v>5837</v>
      </c>
      <c r="E99" s="70" t="s">
        <v>765</v>
      </c>
      <c r="F99" s="71">
        <v>80845</v>
      </c>
      <c r="G99" s="79" t="s">
        <v>132</v>
      </c>
      <c r="H99" s="73" t="s">
        <v>177</v>
      </c>
      <c r="I99" s="71" t="s">
        <v>178</v>
      </c>
      <c r="J99" s="81" t="s">
        <v>760</v>
      </c>
      <c r="K99" s="71" t="s">
        <v>766</v>
      </c>
      <c r="L99" s="75" t="s">
        <v>137</v>
      </c>
      <c r="M99" s="82" t="s">
        <v>767</v>
      </c>
      <c r="N99" s="74">
        <v>45875</v>
      </c>
      <c r="O99" s="76">
        <v>45880</v>
      </c>
      <c r="P99" s="83" t="s">
        <v>181</v>
      </c>
      <c r="Q99" s="84" t="s">
        <v>707</v>
      </c>
      <c r="R99" s="69" t="s">
        <v>140</v>
      </c>
      <c r="S99" s="72" t="s">
        <v>708</v>
      </c>
      <c r="T99" s="79" t="s">
        <v>614</v>
      </c>
      <c r="U99" s="69" t="s">
        <v>768</v>
      </c>
      <c r="V99" s="81" t="s">
        <v>202</v>
      </c>
      <c r="W99" s="76" t="s">
        <v>145</v>
      </c>
      <c r="X99" s="79" t="s">
        <v>614</v>
      </c>
      <c r="Y99" s="69">
        <v>1</v>
      </c>
      <c r="Z99" s="69">
        <v>1</v>
      </c>
      <c r="AA99" s="69">
        <v>1</v>
      </c>
      <c r="AB99" s="49">
        <f>IF(V99="TIPO I",'BASE DE LIQUIDACION 2025'!$B$3,'BASE DE LIQUIDACION 2025'!$B$4)</f>
        <v>11251.22416</v>
      </c>
      <c r="AC99" s="49">
        <f>IF(V99="TIPO I",'BASE DE LIQUIDACION 2025'!$C$3,'BASE DE LIQUIDACION 2025'!$C$4)</f>
        <v>126317.12212</v>
      </c>
      <c r="AD99" s="49">
        <f>IF(V99="TIPO I",'BASE DE LIQUIDACION 2025'!$D$3,'BASE DE LIQUIDACION 2025'!$D$4)</f>
        <v>110808.27512000001</v>
      </c>
      <c r="AE99" s="53">
        <f t="shared" si="2"/>
        <v>248376.6214</v>
      </c>
    </row>
    <row r="100" spans="1:31" s="46" customFormat="1">
      <c r="A100" s="69" t="s">
        <v>345</v>
      </c>
      <c r="B100" s="45" t="str">
        <f>VLOOKUP(A100,'CENTRO DE COSTOS'!A:D,4,FALSE)</f>
        <v>JOSE MAURICIO HERNANDEZ ROJAS</v>
      </c>
      <c r="C100" s="45" t="str">
        <f>VLOOKUP(A100,'CENTRO DE COSTOS'!A:D,2,FALSE)</f>
        <v>0004-0001</v>
      </c>
      <c r="D100" s="69">
        <v>8001</v>
      </c>
      <c r="E100" s="70" t="s">
        <v>769</v>
      </c>
      <c r="F100" s="71">
        <v>80826</v>
      </c>
      <c r="G100" s="79" t="s">
        <v>132</v>
      </c>
      <c r="H100" s="73" t="s">
        <v>177</v>
      </c>
      <c r="I100" s="71" t="s">
        <v>347</v>
      </c>
      <c r="J100" s="81" t="s">
        <v>345</v>
      </c>
      <c r="K100" s="71" t="s">
        <v>770</v>
      </c>
      <c r="L100" s="75" t="s">
        <v>137</v>
      </c>
      <c r="M100" s="82" t="s">
        <v>771</v>
      </c>
      <c r="N100" s="74">
        <v>45875</v>
      </c>
      <c r="O100" s="76">
        <v>45880</v>
      </c>
      <c r="P100" s="83" t="s">
        <v>181</v>
      </c>
      <c r="Q100" s="84" t="s">
        <v>707</v>
      </c>
      <c r="R100" s="69" t="s">
        <v>140</v>
      </c>
      <c r="S100" s="72" t="s">
        <v>772</v>
      </c>
      <c r="T100" s="79" t="s">
        <v>773</v>
      </c>
      <c r="U100" s="69" t="s">
        <v>774</v>
      </c>
      <c r="V100" s="81" t="s">
        <v>52</v>
      </c>
      <c r="W100" s="76" t="s">
        <v>145</v>
      </c>
      <c r="X100" s="79" t="s">
        <v>773</v>
      </c>
      <c r="Y100" s="69">
        <v>1</v>
      </c>
      <c r="Z100" s="69">
        <v>1</v>
      </c>
      <c r="AA100" s="69">
        <v>1</v>
      </c>
      <c r="AB100" s="49">
        <f>IF(V100="TIPO I",'BASE DE LIQUIDACION 2025'!$B$3,'BASE DE LIQUIDACION 2025'!$B$4)</f>
        <v>11251.22416</v>
      </c>
      <c r="AC100" s="49">
        <f>IF(V100="TIPO I",'BASE DE LIQUIDACION 2025'!$C$3,'BASE DE LIQUIDACION 2025'!$C$4)</f>
        <v>126317.12212</v>
      </c>
      <c r="AD100" s="49">
        <f>IF(V100="TIPO I",'BASE DE LIQUIDACION 2025'!$D$3,'BASE DE LIQUIDACION 2025'!$D$4)</f>
        <v>57411.974240000003</v>
      </c>
      <c r="AE100" s="53">
        <f t="shared" si="2"/>
        <v>194980.32052000001</v>
      </c>
    </row>
    <row r="101" spans="1:31" s="46" customFormat="1">
      <c r="A101" s="69" t="s">
        <v>301</v>
      </c>
      <c r="B101" s="45" t="str">
        <f>VLOOKUP(A101,'CENTRO DE COSTOS'!A:D,4,FALSE)</f>
        <v>JOSE MAURICIO HERNANDEZ ROJAS</v>
      </c>
      <c r="C101" s="45" t="str">
        <f>VLOOKUP(A101,'CENTRO DE COSTOS'!A:D,2,FALSE)</f>
        <v>0004-0001</v>
      </c>
      <c r="D101" s="69">
        <v>13001</v>
      </c>
      <c r="E101" s="70" t="s">
        <v>775</v>
      </c>
      <c r="F101" s="71">
        <v>80839</v>
      </c>
      <c r="G101" s="79" t="s">
        <v>132</v>
      </c>
      <c r="H101" s="73" t="s">
        <v>177</v>
      </c>
      <c r="I101" s="71" t="s">
        <v>271</v>
      </c>
      <c r="J101" s="81" t="s">
        <v>301</v>
      </c>
      <c r="K101" s="71" t="s">
        <v>776</v>
      </c>
      <c r="L101" s="75" t="s">
        <v>137</v>
      </c>
      <c r="M101" s="82" t="s">
        <v>777</v>
      </c>
      <c r="N101" s="74">
        <v>45875</v>
      </c>
      <c r="O101" s="76">
        <v>45877</v>
      </c>
      <c r="P101" s="83" t="s">
        <v>181</v>
      </c>
      <c r="Q101" s="84" t="s">
        <v>707</v>
      </c>
      <c r="R101" s="69" t="s">
        <v>140</v>
      </c>
      <c r="S101" s="72" t="s">
        <v>725</v>
      </c>
      <c r="T101" s="79" t="s">
        <v>412</v>
      </c>
      <c r="U101" s="69" t="s">
        <v>778</v>
      </c>
      <c r="V101" s="81" t="s">
        <v>52</v>
      </c>
      <c r="W101" s="76" t="s">
        <v>145</v>
      </c>
      <c r="X101" s="79" t="s">
        <v>412</v>
      </c>
      <c r="Y101" s="69">
        <v>1</v>
      </c>
      <c r="Z101" s="69">
        <v>1</v>
      </c>
      <c r="AA101" s="69">
        <v>1</v>
      </c>
      <c r="AB101" s="49">
        <f>IF(V101="TIPO I",'BASE DE LIQUIDACION 2025'!$B$3,'BASE DE LIQUIDACION 2025'!$B$4)</f>
        <v>11251.22416</v>
      </c>
      <c r="AC101" s="49">
        <f>IF(V101="TIPO I",'BASE DE LIQUIDACION 2025'!$C$3,'BASE DE LIQUIDACION 2025'!$C$4)</f>
        <v>126317.12212</v>
      </c>
      <c r="AD101" s="49">
        <f>IF(V101="TIPO I",'BASE DE LIQUIDACION 2025'!$D$3,'BASE DE LIQUIDACION 2025'!$D$4)</f>
        <v>57411.974240000003</v>
      </c>
      <c r="AE101" s="53">
        <f t="shared" si="2"/>
        <v>194980.32052000001</v>
      </c>
    </row>
    <row r="102" spans="1:31" s="46" customFormat="1">
      <c r="A102" s="69" t="s">
        <v>453</v>
      </c>
      <c r="B102" s="45" t="str">
        <f>VLOOKUP(A102,'CENTRO DE COSTOS'!A:D,4,FALSE)</f>
        <v>DIEGO FERNANDO HENAO CARDONA</v>
      </c>
      <c r="C102" s="45" t="str">
        <f>VLOOKUP(A102,'CENTRO DE COSTOS'!A:D,2,FALSE)</f>
        <v>0004-0002</v>
      </c>
      <c r="D102" s="69">
        <v>63190</v>
      </c>
      <c r="E102" s="70" t="s">
        <v>779</v>
      </c>
      <c r="F102" s="71">
        <v>80841</v>
      </c>
      <c r="G102" s="79" t="s">
        <v>132</v>
      </c>
      <c r="H102" s="73" t="s">
        <v>177</v>
      </c>
      <c r="I102" s="71" t="s">
        <v>554</v>
      </c>
      <c r="J102" s="81" t="s">
        <v>780</v>
      </c>
      <c r="K102" s="71" t="s">
        <v>781</v>
      </c>
      <c r="L102" s="75" t="s">
        <v>137</v>
      </c>
      <c r="M102" s="82" t="s">
        <v>782</v>
      </c>
      <c r="N102" s="74">
        <v>45875</v>
      </c>
      <c r="O102" s="76">
        <v>45880</v>
      </c>
      <c r="P102" s="83" t="s">
        <v>181</v>
      </c>
      <c r="Q102" s="84" t="s">
        <v>707</v>
      </c>
      <c r="R102" s="69" t="s">
        <v>140</v>
      </c>
      <c r="S102" s="72" t="s">
        <v>708</v>
      </c>
      <c r="T102" s="79" t="s">
        <v>559</v>
      </c>
      <c r="U102" s="69" t="s">
        <v>783</v>
      </c>
      <c r="V102" s="81" t="s">
        <v>202</v>
      </c>
      <c r="W102" s="76" t="s">
        <v>145</v>
      </c>
      <c r="X102" s="79" t="s">
        <v>559</v>
      </c>
      <c r="Y102" s="69">
        <v>1</v>
      </c>
      <c r="Z102" s="69">
        <v>1</v>
      </c>
      <c r="AA102" s="69">
        <v>1</v>
      </c>
      <c r="AB102" s="49">
        <f>IF(V102="TIPO I",'BASE DE LIQUIDACION 2025'!$B$3,'BASE DE LIQUIDACION 2025'!$B$4)</f>
        <v>11251.22416</v>
      </c>
      <c r="AC102" s="49">
        <f>IF(V102="TIPO I",'BASE DE LIQUIDACION 2025'!$C$3,'BASE DE LIQUIDACION 2025'!$C$4)</f>
        <v>126317.12212</v>
      </c>
      <c r="AD102" s="49">
        <f>IF(V102="TIPO I",'BASE DE LIQUIDACION 2025'!$D$3,'BASE DE LIQUIDACION 2025'!$D$4)</f>
        <v>110808.27512000001</v>
      </c>
      <c r="AE102" s="53">
        <f t="shared" si="2"/>
        <v>248376.6214</v>
      </c>
    </row>
    <row r="103" spans="1:31" s="46" customFormat="1">
      <c r="A103" s="69" t="s">
        <v>453</v>
      </c>
      <c r="B103" s="45" t="str">
        <f>VLOOKUP(A103,'CENTRO DE COSTOS'!A:D,4,FALSE)</f>
        <v>DIEGO FERNANDO HENAO CARDONA</v>
      </c>
      <c r="C103" s="45" t="str">
        <f>VLOOKUP(A103,'CENTRO DE COSTOS'!A:D,2,FALSE)</f>
        <v>0004-0002</v>
      </c>
      <c r="D103" s="69">
        <v>66001</v>
      </c>
      <c r="E103" s="70" t="s">
        <v>784</v>
      </c>
      <c r="F103" s="71">
        <v>80851</v>
      </c>
      <c r="G103" s="79" t="s">
        <v>132</v>
      </c>
      <c r="H103" s="73" t="s">
        <v>177</v>
      </c>
      <c r="I103" s="71" t="s">
        <v>579</v>
      </c>
      <c r="J103" s="81" t="s">
        <v>453</v>
      </c>
      <c r="K103" s="71" t="s">
        <v>785</v>
      </c>
      <c r="L103" s="75" t="s">
        <v>137</v>
      </c>
      <c r="M103" s="82" t="s">
        <v>786</v>
      </c>
      <c r="N103" s="74">
        <v>45875</v>
      </c>
      <c r="O103" s="76">
        <v>45880</v>
      </c>
      <c r="P103" s="83" t="s">
        <v>181</v>
      </c>
      <c r="Q103" s="84" t="s">
        <v>707</v>
      </c>
      <c r="R103" s="69" t="s">
        <v>140</v>
      </c>
      <c r="S103" s="72" t="s">
        <v>787</v>
      </c>
      <c r="T103" s="79" t="s">
        <v>459</v>
      </c>
      <c r="U103" s="69" t="s">
        <v>788</v>
      </c>
      <c r="V103" s="81" t="s">
        <v>52</v>
      </c>
      <c r="W103" s="76" t="s">
        <v>145</v>
      </c>
      <c r="X103" s="79" t="s">
        <v>459</v>
      </c>
      <c r="Y103" s="69">
        <v>1</v>
      </c>
      <c r="Z103" s="69">
        <v>1</v>
      </c>
      <c r="AA103" s="69">
        <v>1</v>
      </c>
      <c r="AB103" s="49">
        <f>IF(V103="TIPO I",'BASE DE LIQUIDACION 2025'!$B$3,'BASE DE LIQUIDACION 2025'!$B$4)</f>
        <v>11251.22416</v>
      </c>
      <c r="AC103" s="49">
        <f>IF(V103="TIPO I",'BASE DE LIQUIDACION 2025'!$C$3,'BASE DE LIQUIDACION 2025'!$C$4)</f>
        <v>126317.12212</v>
      </c>
      <c r="AD103" s="49">
        <f>IF(V103="TIPO I",'BASE DE LIQUIDACION 2025'!$D$3,'BASE DE LIQUIDACION 2025'!$D$4)</f>
        <v>57411.974240000003</v>
      </c>
      <c r="AE103" s="53">
        <f t="shared" si="2"/>
        <v>194980.32052000001</v>
      </c>
    </row>
    <row r="104" spans="1:31" s="46" customFormat="1">
      <c r="A104" s="69" t="s">
        <v>453</v>
      </c>
      <c r="B104" s="45" t="str">
        <f>VLOOKUP(A104,'CENTRO DE COSTOS'!A:D,4,FALSE)</f>
        <v>DIEGO FERNANDO HENAO CARDONA</v>
      </c>
      <c r="C104" s="45" t="str">
        <f>VLOOKUP(A104,'CENTRO DE COSTOS'!A:D,2,FALSE)</f>
        <v>0004-0002</v>
      </c>
      <c r="D104" s="69">
        <v>66170</v>
      </c>
      <c r="E104" s="70" t="s">
        <v>789</v>
      </c>
      <c r="F104" s="71">
        <v>80843</v>
      </c>
      <c r="G104" s="79" t="s">
        <v>132</v>
      </c>
      <c r="H104" s="73" t="s">
        <v>177</v>
      </c>
      <c r="I104" s="71" t="s">
        <v>579</v>
      </c>
      <c r="J104" s="81" t="s">
        <v>790</v>
      </c>
      <c r="K104" s="71" t="s">
        <v>791</v>
      </c>
      <c r="L104" s="75" t="s">
        <v>137</v>
      </c>
      <c r="M104" s="82" t="s">
        <v>792</v>
      </c>
      <c r="N104" s="74">
        <v>45875</v>
      </c>
      <c r="O104" s="76">
        <v>45880</v>
      </c>
      <c r="P104" s="83" t="s">
        <v>181</v>
      </c>
      <c r="Q104" s="84" t="s">
        <v>707</v>
      </c>
      <c r="R104" s="69" t="s">
        <v>140</v>
      </c>
      <c r="S104" s="72" t="s">
        <v>708</v>
      </c>
      <c r="T104" s="79" t="s">
        <v>459</v>
      </c>
      <c r="U104" s="69" t="s">
        <v>793</v>
      </c>
      <c r="V104" s="81" t="s">
        <v>52</v>
      </c>
      <c r="W104" s="76" t="s">
        <v>145</v>
      </c>
      <c r="X104" s="79" t="s">
        <v>459</v>
      </c>
      <c r="Y104" s="69">
        <v>1</v>
      </c>
      <c r="Z104" s="69">
        <v>1</v>
      </c>
      <c r="AA104" s="69">
        <v>1</v>
      </c>
      <c r="AB104" s="49">
        <f>IF(V104="TIPO I",'BASE DE LIQUIDACION 2025'!$B$3,'BASE DE LIQUIDACION 2025'!$B$4)</f>
        <v>11251.22416</v>
      </c>
      <c r="AC104" s="49">
        <f>IF(V104="TIPO I",'BASE DE LIQUIDACION 2025'!$C$3,'BASE DE LIQUIDACION 2025'!$C$4)</f>
        <v>126317.12212</v>
      </c>
      <c r="AD104" s="49">
        <f>IF(V104="TIPO I",'BASE DE LIQUIDACION 2025'!$D$3,'BASE DE LIQUIDACION 2025'!$D$4)</f>
        <v>57411.974240000003</v>
      </c>
      <c r="AE104" s="53">
        <f t="shared" si="2"/>
        <v>194980.32052000001</v>
      </c>
    </row>
    <row r="105" spans="1:31" s="46" customFormat="1">
      <c r="A105" s="69" t="s">
        <v>269</v>
      </c>
      <c r="B105" s="45" t="str">
        <f>VLOOKUP(A105,'CENTRO DE COSTOS'!A:D,4,FALSE)</f>
        <v>MIGUEL JULIÁN HERNÁNDEZ GUARÍN</v>
      </c>
      <c r="C105" s="45" t="str">
        <f>VLOOKUP(A105,'CENTRO DE COSTOS'!A:D,2,FALSE)</f>
        <v>0004-0008</v>
      </c>
      <c r="D105" s="69">
        <v>68001</v>
      </c>
      <c r="E105" s="70" t="s">
        <v>794</v>
      </c>
      <c r="F105" s="71">
        <v>80833</v>
      </c>
      <c r="G105" s="79" t="s">
        <v>132</v>
      </c>
      <c r="H105" s="73" t="s">
        <v>177</v>
      </c>
      <c r="I105" s="71" t="s">
        <v>795</v>
      </c>
      <c r="J105" s="81" t="s">
        <v>269</v>
      </c>
      <c r="K105" s="71" t="s">
        <v>796</v>
      </c>
      <c r="L105" s="75" t="s">
        <v>137</v>
      </c>
      <c r="M105" s="82" t="s">
        <v>797</v>
      </c>
      <c r="N105" s="74">
        <v>45875</v>
      </c>
      <c r="O105" s="76">
        <v>45877</v>
      </c>
      <c r="P105" s="83" t="s">
        <v>181</v>
      </c>
      <c r="Q105" s="84" t="s">
        <v>707</v>
      </c>
      <c r="R105" s="69" t="s">
        <v>140</v>
      </c>
      <c r="S105" s="72" t="s">
        <v>725</v>
      </c>
      <c r="T105" s="79" t="s">
        <v>292</v>
      </c>
      <c r="U105" s="69" t="s">
        <v>798</v>
      </c>
      <c r="V105" s="81" t="s">
        <v>52</v>
      </c>
      <c r="W105" s="76" t="s">
        <v>145</v>
      </c>
      <c r="X105" s="79" t="s">
        <v>292</v>
      </c>
      <c r="Y105" s="69">
        <v>1</v>
      </c>
      <c r="Z105" s="69">
        <v>1</v>
      </c>
      <c r="AA105" s="69">
        <v>1</v>
      </c>
      <c r="AB105" s="49">
        <f>IF(V105="TIPO I",'BASE DE LIQUIDACION 2025'!$B$3,'BASE DE LIQUIDACION 2025'!$B$4)</f>
        <v>11251.22416</v>
      </c>
      <c r="AC105" s="49">
        <f>IF(V105="TIPO I",'BASE DE LIQUIDACION 2025'!$C$3,'BASE DE LIQUIDACION 2025'!$C$4)</f>
        <v>126317.12212</v>
      </c>
      <c r="AD105" s="49">
        <f>IF(V105="TIPO I",'BASE DE LIQUIDACION 2025'!$D$3,'BASE DE LIQUIDACION 2025'!$D$4)</f>
        <v>57411.974240000003</v>
      </c>
      <c r="AE105" s="53">
        <f t="shared" si="2"/>
        <v>194980.32052000001</v>
      </c>
    </row>
    <row r="106" spans="1:31" s="46" customFormat="1">
      <c r="A106" s="69" t="s">
        <v>269</v>
      </c>
      <c r="B106" s="45" t="str">
        <f>VLOOKUP(A106,'CENTRO DE COSTOS'!A:D,4,FALSE)</f>
        <v>MIGUEL JULIÁN HERNÁNDEZ GUARÍN</v>
      </c>
      <c r="C106" s="45" t="str">
        <f>VLOOKUP(A106,'CENTRO DE COSTOS'!A:D,2,FALSE)</f>
        <v>0004-0008</v>
      </c>
      <c r="D106" s="69">
        <v>68001</v>
      </c>
      <c r="E106" s="70" t="s">
        <v>799</v>
      </c>
      <c r="F106" s="71">
        <v>80834</v>
      </c>
      <c r="G106" s="79" t="s">
        <v>132</v>
      </c>
      <c r="H106" s="73" t="s">
        <v>177</v>
      </c>
      <c r="I106" s="71" t="s">
        <v>795</v>
      </c>
      <c r="J106" s="81" t="s">
        <v>269</v>
      </c>
      <c r="K106" s="71" t="s">
        <v>800</v>
      </c>
      <c r="L106" s="75" t="s">
        <v>137</v>
      </c>
      <c r="M106" s="82" t="s">
        <v>801</v>
      </c>
      <c r="N106" s="74">
        <v>45875</v>
      </c>
      <c r="O106" s="76">
        <v>45877</v>
      </c>
      <c r="P106" s="83" t="s">
        <v>181</v>
      </c>
      <c r="Q106" s="84" t="s">
        <v>707</v>
      </c>
      <c r="R106" s="69" t="s">
        <v>140</v>
      </c>
      <c r="S106" s="72" t="s">
        <v>725</v>
      </c>
      <c r="T106" s="79" t="s">
        <v>292</v>
      </c>
      <c r="U106" s="69" t="s">
        <v>802</v>
      </c>
      <c r="V106" s="81" t="s">
        <v>52</v>
      </c>
      <c r="W106" s="76" t="s">
        <v>145</v>
      </c>
      <c r="X106" s="79" t="s">
        <v>292</v>
      </c>
      <c r="Y106" s="69">
        <v>1</v>
      </c>
      <c r="Z106" s="69">
        <v>1</v>
      </c>
      <c r="AA106" s="69">
        <v>1</v>
      </c>
      <c r="AB106" s="49">
        <f>IF(V106="TIPO I",'BASE DE LIQUIDACION 2025'!$B$3,'BASE DE LIQUIDACION 2025'!$B$4)</f>
        <v>11251.22416</v>
      </c>
      <c r="AC106" s="49">
        <f>IF(V106="TIPO I",'BASE DE LIQUIDACION 2025'!$C$3,'BASE DE LIQUIDACION 2025'!$C$4)</f>
        <v>126317.12212</v>
      </c>
      <c r="AD106" s="49">
        <f>IF(V106="TIPO I",'BASE DE LIQUIDACION 2025'!$D$3,'BASE DE LIQUIDACION 2025'!$D$4)</f>
        <v>57411.974240000003</v>
      </c>
      <c r="AE106" s="53">
        <f t="shared" si="2"/>
        <v>194980.32052000001</v>
      </c>
    </row>
    <row r="107" spans="1:31" s="46" customFormat="1">
      <c r="A107" s="69" t="s">
        <v>269</v>
      </c>
      <c r="B107" s="45" t="str">
        <f>VLOOKUP(A107,'CENTRO DE COSTOS'!A:D,4,FALSE)</f>
        <v>MIGUEL JULIÁN HERNÁNDEZ GUARÍN</v>
      </c>
      <c r="C107" s="45" t="str">
        <f>VLOOKUP(A107,'CENTRO DE COSTOS'!A:D,2,FALSE)</f>
        <v>0004-0008</v>
      </c>
      <c r="D107" s="69">
        <v>68081</v>
      </c>
      <c r="E107" s="70" t="s">
        <v>803</v>
      </c>
      <c r="F107" s="71">
        <v>80825</v>
      </c>
      <c r="G107" s="79" t="s">
        <v>132</v>
      </c>
      <c r="H107" s="73" t="s">
        <v>177</v>
      </c>
      <c r="I107" s="71" t="s">
        <v>795</v>
      </c>
      <c r="J107" s="81" t="s">
        <v>804</v>
      </c>
      <c r="K107" s="71" t="s">
        <v>805</v>
      </c>
      <c r="L107" s="75" t="s">
        <v>137</v>
      </c>
      <c r="M107" s="82" t="s">
        <v>806</v>
      </c>
      <c r="N107" s="74">
        <v>45875</v>
      </c>
      <c r="O107" s="76">
        <v>45880</v>
      </c>
      <c r="P107" s="83" t="s">
        <v>181</v>
      </c>
      <c r="Q107" s="84" t="s">
        <v>707</v>
      </c>
      <c r="R107" s="69" t="s">
        <v>140</v>
      </c>
      <c r="S107" s="72" t="s">
        <v>787</v>
      </c>
      <c r="T107" s="79" t="s">
        <v>292</v>
      </c>
      <c r="U107" s="69" t="s">
        <v>807</v>
      </c>
      <c r="V107" s="81" t="s">
        <v>230</v>
      </c>
      <c r="W107" s="76" t="s">
        <v>145</v>
      </c>
      <c r="X107" s="79" t="s">
        <v>292</v>
      </c>
      <c r="Y107" s="69">
        <v>1</v>
      </c>
      <c r="Z107" s="69">
        <v>1</v>
      </c>
      <c r="AA107" s="69">
        <v>1</v>
      </c>
      <c r="AB107" s="49">
        <f>IF(V107="TIPO I",'BASE DE LIQUIDACION 2025'!$B$3,'BASE DE LIQUIDACION 2025'!$B$4)</f>
        <v>11251.22416</v>
      </c>
      <c r="AC107" s="49">
        <f>IF(V107="TIPO I",'BASE DE LIQUIDACION 2025'!$C$3,'BASE DE LIQUIDACION 2025'!$C$4)</f>
        <v>126317.12212</v>
      </c>
      <c r="AD107" s="49">
        <f>IF(V107="TIPO I",'BASE DE LIQUIDACION 2025'!$D$3,'BASE DE LIQUIDACION 2025'!$D$4)</f>
        <v>110808.27512000001</v>
      </c>
      <c r="AE107" s="53">
        <f t="shared" si="2"/>
        <v>248376.6214</v>
      </c>
    </row>
    <row r="108" spans="1:31" s="46" customFormat="1">
      <c r="A108" s="69" t="s">
        <v>269</v>
      </c>
      <c r="B108" s="45" t="str">
        <f>VLOOKUP(A108,'CENTRO DE COSTOS'!A:D,4,FALSE)</f>
        <v>MIGUEL JULIÁN HERNÁNDEZ GUARÍN</v>
      </c>
      <c r="C108" s="45" t="str">
        <f>VLOOKUP(A108,'CENTRO DE COSTOS'!A:D,2,FALSE)</f>
        <v>0004-0008</v>
      </c>
      <c r="D108" s="69">
        <v>68307</v>
      </c>
      <c r="E108" s="70" t="s">
        <v>808</v>
      </c>
      <c r="F108" s="71">
        <v>80846</v>
      </c>
      <c r="G108" s="79" t="s">
        <v>132</v>
      </c>
      <c r="H108" s="73" t="s">
        <v>177</v>
      </c>
      <c r="I108" s="71" t="s">
        <v>795</v>
      </c>
      <c r="J108" s="81" t="s">
        <v>809</v>
      </c>
      <c r="K108" s="71" t="s">
        <v>810</v>
      </c>
      <c r="L108" s="75" t="s">
        <v>137</v>
      </c>
      <c r="M108" s="82" t="s">
        <v>811</v>
      </c>
      <c r="N108" s="74">
        <v>45875</v>
      </c>
      <c r="O108" s="76">
        <v>45877</v>
      </c>
      <c r="P108" s="83" t="s">
        <v>181</v>
      </c>
      <c r="Q108" s="84" t="s">
        <v>707</v>
      </c>
      <c r="R108" s="69" t="s">
        <v>140</v>
      </c>
      <c r="S108" s="72" t="s">
        <v>725</v>
      </c>
      <c r="T108" s="79" t="s">
        <v>812</v>
      </c>
      <c r="U108" s="69" t="s">
        <v>813</v>
      </c>
      <c r="V108" s="81" t="s">
        <v>52</v>
      </c>
      <c r="W108" s="76" t="s">
        <v>145</v>
      </c>
      <c r="X108" s="79" t="s">
        <v>812</v>
      </c>
      <c r="Y108" s="69">
        <v>1</v>
      </c>
      <c r="Z108" s="69">
        <v>1</v>
      </c>
      <c r="AA108" s="69">
        <v>1</v>
      </c>
      <c r="AB108" s="49">
        <f>IF(V108="TIPO I",'BASE DE LIQUIDACION 2025'!$B$3,'BASE DE LIQUIDACION 2025'!$B$4)</f>
        <v>11251.22416</v>
      </c>
      <c r="AC108" s="49">
        <f>IF(V108="TIPO I",'BASE DE LIQUIDACION 2025'!$C$3,'BASE DE LIQUIDACION 2025'!$C$4)</f>
        <v>126317.12212</v>
      </c>
      <c r="AD108" s="49">
        <f>IF(V108="TIPO I",'BASE DE LIQUIDACION 2025'!$D$3,'BASE DE LIQUIDACION 2025'!$D$4)</f>
        <v>57411.974240000003</v>
      </c>
      <c r="AE108" s="53">
        <f t="shared" si="2"/>
        <v>194980.32052000001</v>
      </c>
    </row>
    <row r="109" spans="1:31" s="46" customFormat="1">
      <c r="A109" s="69" t="s">
        <v>269</v>
      </c>
      <c r="B109" s="45" t="str">
        <f>VLOOKUP(A109,'CENTRO DE COSTOS'!A:D,4,FALSE)</f>
        <v>MIGUEL JULIÁN HERNÁNDEZ GUARÍN</v>
      </c>
      <c r="C109" s="45" t="str">
        <f>VLOOKUP(A109,'CENTRO DE COSTOS'!A:D,2,FALSE)</f>
        <v>0004-0008</v>
      </c>
      <c r="D109" s="69">
        <v>68307</v>
      </c>
      <c r="E109" s="70" t="s">
        <v>814</v>
      </c>
      <c r="F109" s="71">
        <v>80847</v>
      </c>
      <c r="G109" s="79" t="s">
        <v>132</v>
      </c>
      <c r="H109" s="73" t="s">
        <v>177</v>
      </c>
      <c r="I109" s="71" t="s">
        <v>795</v>
      </c>
      <c r="J109" s="81" t="s">
        <v>809</v>
      </c>
      <c r="K109" s="71" t="s">
        <v>815</v>
      </c>
      <c r="L109" s="75" t="s">
        <v>137</v>
      </c>
      <c r="M109" s="82" t="s">
        <v>816</v>
      </c>
      <c r="N109" s="74">
        <v>45875</v>
      </c>
      <c r="O109" s="76">
        <v>45877</v>
      </c>
      <c r="P109" s="83" t="s">
        <v>181</v>
      </c>
      <c r="Q109" s="84" t="s">
        <v>707</v>
      </c>
      <c r="R109" s="69" t="s">
        <v>140</v>
      </c>
      <c r="S109" s="72" t="s">
        <v>725</v>
      </c>
      <c r="T109" s="79" t="s">
        <v>812</v>
      </c>
      <c r="U109" s="69" t="s">
        <v>817</v>
      </c>
      <c r="V109" s="81" t="s">
        <v>52</v>
      </c>
      <c r="W109" s="76" t="s">
        <v>145</v>
      </c>
      <c r="X109" s="79" t="s">
        <v>812</v>
      </c>
      <c r="Y109" s="69">
        <v>1</v>
      </c>
      <c r="Z109" s="69">
        <v>1</v>
      </c>
      <c r="AA109" s="69">
        <v>1</v>
      </c>
      <c r="AB109" s="49">
        <f>IF(V109="TIPO I",'BASE DE LIQUIDACION 2025'!$B$3,'BASE DE LIQUIDACION 2025'!$B$4)</f>
        <v>11251.22416</v>
      </c>
      <c r="AC109" s="49">
        <f>IF(V109="TIPO I",'BASE DE LIQUIDACION 2025'!$C$3,'BASE DE LIQUIDACION 2025'!$C$4)</f>
        <v>126317.12212</v>
      </c>
      <c r="AD109" s="49">
        <f>IF(V109="TIPO I",'BASE DE LIQUIDACION 2025'!$D$3,'BASE DE LIQUIDACION 2025'!$D$4)</f>
        <v>57411.974240000003</v>
      </c>
      <c r="AE109" s="53">
        <f t="shared" si="2"/>
        <v>194980.32052000001</v>
      </c>
    </row>
    <row r="110" spans="1:31" s="46" customFormat="1">
      <c r="A110" s="69" t="s">
        <v>269</v>
      </c>
      <c r="B110" s="45" t="str">
        <f>VLOOKUP(A110,'CENTRO DE COSTOS'!A:D,4,FALSE)</f>
        <v>MIGUEL JULIÁN HERNÁNDEZ GUARÍN</v>
      </c>
      <c r="C110" s="45" t="str">
        <f>VLOOKUP(A110,'CENTRO DE COSTOS'!A:D,2,FALSE)</f>
        <v>0004-0008</v>
      </c>
      <c r="D110" s="69">
        <v>68547</v>
      </c>
      <c r="E110" s="70" t="s">
        <v>818</v>
      </c>
      <c r="F110" s="71">
        <v>80852</v>
      </c>
      <c r="G110" s="79" t="s">
        <v>132</v>
      </c>
      <c r="H110" s="73" t="s">
        <v>177</v>
      </c>
      <c r="I110" s="71" t="s">
        <v>795</v>
      </c>
      <c r="J110" s="81" t="s">
        <v>819</v>
      </c>
      <c r="K110" s="71" t="s">
        <v>820</v>
      </c>
      <c r="L110" s="75" t="s">
        <v>137</v>
      </c>
      <c r="M110" s="82" t="s">
        <v>821</v>
      </c>
      <c r="N110" s="74">
        <v>45875</v>
      </c>
      <c r="O110" s="76">
        <v>45877</v>
      </c>
      <c r="P110" s="83" t="s">
        <v>181</v>
      </c>
      <c r="Q110" s="84" t="s">
        <v>707</v>
      </c>
      <c r="R110" s="69" t="s">
        <v>140</v>
      </c>
      <c r="S110" s="72" t="s">
        <v>725</v>
      </c>
      <c r="T110" s="79" t="s">
        <v>822</v>
      </c>
      <c r="U110" s="69" t="s">
        <v>823</v>
      </c>
      <c r="V110" s="81" t="s">
        <v>202</v>
      </c>
      <c r="W110" s="76" t="s">
        <v>145</v>
      </c>
      <c r="X110" s="79" t="s">
        <v>822</v>
      </c>
      <c r="Y110" s="69">
        <v>1</v>
      </c>
      <c r="Z110" s="69">
        <v>1</v>
      </c>
      <c r="AA110" s="69">
        <v>1</v>
      </c>
      <c r="AB110" s="49">
        <f>IF(V110="TIPO I",'BASE DE LIQUIDACION 2025'!$B$3,'BASE DE LIQUIDACION 2025'!$B$4)</f>
        <v>11251.22416</v>
      </c>
      <c r="AC110" s="49">
        <f>IF(V110="TIPO I",'BASE DE LIQUIDACION 2025'!$C$3,'BASE DE LIQUIDACION 2025'!$C$4)</f>
        <v>126317.12212</v>
      </c>
      <c r="AD110" s="49">
        <f>IF(V110="TIPO I",'BASE DE LIQUIDACION 2025'!$D$3,'BASE DE LIQUIDACION 2025'!$D$4)</f>
        <v>110808.27512000001</v>
      </c>
      <c r="AE110" s="53">
        <f t="shared" si="2"/>
        <v>248376.6214</v>
      </c>
    </row>
    <row r="111" spans="1:31" s="46" customFormat="1">
      <c r="A111" s="69" t="s">
        <v>688</v>
      </c>
      <c r="B111" s="45" t="str">
        <f>VLOOKUP(A111,'CENTRO DE COSTOS'!A:D,4,FALSE)</f>
        <v>KEVIN ALEXIS CORZO BUSTOS</v>
      </c>
      <c r="C111" s="45" t="str">
        <f>VLOOKUP(A111,'CENTRO DE COSTOS'!A:D,2,FALSE)</f>
        <v>0004-0007</v>
      </c>
      <c r="D111" s="69">
        <v>73001</v>
      </c>
      <c r="E111" s="70" t="s">
        <v>824</v>
      </c>
      <c r="F111" s="71">
        <v>80850</v>
      </c>
      <c r="G111" s="79" t="s">
        <v>132</v>
      </c>
      <c r="H111" s="73" t="s">
        <v>177</v>
      </c>
      <c r="I111" s="71" t="s">
        <v>690</v>
      </c>
      <c r="J111" s="81" t="s">
        <v>688</v>
      </c>
      <c r="K111" s="71" t="s">
        <v>825</v>
      </c>
      <c r="L111" s="75" t="s">
        <v>137</v>
      </c>
      <c r="M111" s="82" t="s">
        <v>826</v>
      </c>
      <c r="N111" s="74">
        <v>45875</v>
      </c>
      <c r="O111" s="76">
        <v>45877</v>
      </c>
      <c r="P111" s="83" t="s">
        <v>181</v>
      </c>
      <c r="Q111" s="84" t="s">
        <v>707</v>
      </c>
      <c r="R111" s="69" t="s">
        <v>140</v>
      </c>
      <c r="S111" s="72" t="s">
        <v>725</v>
      </c>
      <c r="T111" s="79" t="s">
        <v>694</v>
      </c>
      <c r="U111" s="69" t="s">
        <v>827</v>
      </c>
      <c r="V111" s="81" t="s">
        <v>52</v>
      </c>
      <c r="W111" s="76" t="s">
        <v>145</v>
      </c>
      <c r="X111" s="79" t="s">
        <v>694</v>
      </c>
      <c r="Y111" s="69">
        <v>1</v>
      </c>
      <c r="Z111" s="69">
        <v>1</v>
      </c>
      <c r="AA111" s="69">
        <v>1</v>
      </c>
      <c r="AB111" s="49">
        <f>IF(V111="TIPO I",'BASE DE LIQUIDACION 2025'!$B$3,'BASE DE LIQUIDACION 2025'!$B$4)</f>
        <v>11251.22416</v>
      </c>
      <c r="AC111" s="49">
        <f>IF(V111="TIPO I",'BASE DE LIQUIDACION 2025'!$C$3,'BASE DE LIQUIDACION 2025'!$C$4)</f>
        <v>126317.12212</v>
      </c>
      <c r="AD111" s="49">
        <f>IF(V111="TIPO I",'BASE DE LIQUIDACION 2025'!$D$3,'BASE DE LIQUIDACION 2025'!$D$4)</f>
        <v>57411.974240000003</v>
      </c>
      <c r="AE111" s="53">
        <f t="shared" si="2"/>
        <v>194980.32052000001</v>
      </c>
    </row>
    <row r="112" spans="1:31" s="46" customFormat="1">
      <c r="A112" s="69" t="s">
        <v>220</v>
      </c>
      <c r="B112" s="45" t="str">
        <f>VLOOKUP(A112,'CENTRO DE COSTOS'!A:D,4,FALSE)</f>
        <v>DIEGO FERNANDO HENAO CARDONA</v>
      </c>
      <c r="C112" s="45" t="str">
        <f>VLOOKUP(A112,'CENTRO DE COSTOS'!A:D,2,FALSE)</f>
        <v>0004-0003</v>
      </c>
      <c r="D112" s="69">
        <v>76001</v>
      </c>
      <c r="E112" s="70" t="s">
        <v>828</v>
      </c>
      <c r="F112" s="71">
        <v>80835</v>
      </c>
      <c r="G112" s="79" t="s">
        <v>132</v>
      </c>
      <c r="H112" s="73" t="s">
        <v>177</v>
      </c>
      <c r="I112" s="71" t="s">
        <v>420</v>
      </c>
      <c r="J112" s="81" t="s">
        <v>220</v>
      </c>
      <c r="K112" s="71" t="s">
        <v>829</v>
      </c>
      <c r="L112" s="75" t="s">
        <v>137</v>
      </c>
      <c r="M112" s="82" t="s">
        <v>830</v>
      </c>
      <c r="N112" s="74">
        <v>45875</v>
      </c>
      <c r="O112" s="76">
        <v>45880</v>
      </c>
      <c r="P112" s="83" t="s">
        <v>181</v>
      </c>
      <c r="Q112" s="84" t="s">
        <v>707</v>
      </c>
      <c r="R112" s="69" t="s">
        <v>140</v>
      </c>
      <c r="S112" s="72" t="s">
        <v>708</v>
      </c>
      <c r="T112" s="79" t="s">
        <v>228</v>
      </c>
      <c r="U112" s="69" t="s">
        <v>831</v>
      </c>
      <c r="V112" s="81" t="s">
        <v>52</v>
      </c>
      <c r="W112" s="76" t="s">
        <v>145</v>
      </c>
      <c r="X112" s="79" t="s">
        <v>228</v>
      </c>
      <c r="Y112" s="69">
        <v>1</v>
      </c>
      <c r="Z112" s="69">
        <v>1</v>
      </c>
      <c r="AA112" s="69">
        <v>1</v>
      </c>
      <c r="AB112" s="49">
        <f>IF(V112="TIPO I",'BASE DE LIQUIDACION 2025'!$B$3,'BASE DE LIQUIDACION 2025'!$B$4)</f>
        <v>11251.22416</v>
      </c>
      <c r="AC112" s="49">
        <f>IF(V112="TIPO I",'BASE DE LIQUIDACION 2025'!$C$3,'BASE DE LIQUIDACION 2025'!$C$4)</f>
        <v>126317.12212</v>
      </c>
      <c r="AD112" s="49">
        <f>IF(V112="TIPO I",'BASE DE LIQUIDACION 2025'!$D$3,'BASE DE LIQUIDACION 2025'!$D$4)</f>
        <v>57411.974240000003</v>
      </c>
      <c r="AE112" s="53">
        <f t="shared" si="2"/>
        <v>194980.32052000001</v>
      </c>
    </row>
    <row r="113" spans="1:31" s="46" customFormat="1">
      <c r="A113" s="69" t="s">
        <v>220</v>
      </c>
      <c r="B113" s="45" t="str">
        <f>VLOOKUP(A113,'CENTRO DE COSTOS'!A:D,4,FALSE)</f>
        <v>DIEGO FERNANDO HENAO CARDONA</v>
      </c>
      <c r="C113" s="45" t="str">
        <f>VLOOKUP(A113,'CENTRO DE COSTOS'!A:D,2,FALSE)</f>
        <v>0004-0003</v>
      </c>
      <c r="D113" s="69">
        <v>76001</v>
      </c>
      <c r="E113" s="70" t="s">
        <v>832</v>
      </c>
      <c r="F113" s="71">
        <v>80836</v>
      </c>
      <c r="G113" s="79" t="s">
        <v>132</v>
      </c>
      <c r="H113" s="73" t="s">
        <v>177</v>
      </c>
      <c r="I113" s="71" t="s">
        <v>420</v>
      </c>
      <c r="J113" s="81" t="s">
        <v>220</v>
      </c>
      <c r="K113" s="71" t="s">
        <v>833</v>
      </c>
      <c r="L113" s="75" t="s">
        <v>137</v>
      </c>
      <c r="M113" s="82" t="s">
        <v>834</v>
      </c>
      <c r="N113" s="74">
        <v>45875</v>
      </c>
      <c r="O113" s="76">
        <v>45880</v>
      </c>
      <c r="P113" s="83" t="s">
        <v>181</v>
      </c>
      <c r="Q113" s="84" t="s">
        <v>707</v>
      </c>
      <c r="R113" s="69" t="s">
        <v>140</v>
      </c>
      <c r="S113" s="72" t="s">
        <v>708</v>
      </c>
      <c r="T113" s="79" t="s">
        <v>495</v>
      </c>
      <c r="U113" s="69" t="s">
        <v>835</v>
      </c>
      <c r="V113" s="81" t="s">
        <v>52</v>
      </c>
      <c r="W113" s="76" t="s">
        <v>145</v>
      </c>
      <c r="X113" s="79" t="s">
        <v>495</v>
      </c>
      <c r="Y113" s="69">
        <v>1</v>
      </c>
      <c r="Z113" s="69">
        <v>1</v>
      </c>
      <c r="AA113" s="69">
        <v>1</v>
      </c>
      <c r="AB113" s="49">
        <f>IF(V113="TIPO I",'BASE DE LIQUIDACION 2025'!$B$3,'BASE DE LIQUIDACION 2025'!$B$4)</f>
        <v>11251.22416</v>
      </c>
      <c r="AC113" s="49">
        <f>IF(V113="TIPO I",'BASE DE LIQUIDACION 2025'!$C$3,'BASE DE LIQUIDACION 2025'!$C$4)</f>
        <v>126317.12212</v>
      </c>
      <c r="AD113" s="49">
        <f>IF(V113="TIPO I",'BASE DE LIQUIDACION 2025'!$D$3,'BASE DE LIQUIDACION 2025'!$D$4)</f>
        <v>57411.974240000003</v>
      </c>
      <c r="AE113" s="53">
        <f t="shared" si="2"/>
        <v>194980.32052000001</v>
      </c>
    </row>
    <row r="114" spans="1:31" s="46" customFormat="1">
      <c r="A114" s="69" t="s">
        <v>220</v>
      </c>
      <c r="B114" s="45" t="str">
        <f>VLOOKUP(A114,'CENTRO DE COSTOS'!A:D,4,FALSE)</f>
        <v>DIEGO FERNANDO HENAO CARDONA</v>
      </c>
      <c r="C114" s="45" t="str">
        <f>VLOOKUP(A114,'CENTRO DE COSTOS'!A:D,2,FALSE)</f>
        <v>0004-0003</v>
      </c>
      <c r="D114" s="69">
        <v>76001</v>
      </c>
      <c r="E114" s="70" t="s">
        <v>836</v>
      </c>
      <c r="F114" s="71">
        <v>80837</v>
      </c>
      <c r="G114" s="79" t="s">
        <v>132</v>
      </c>
      <c r="H114" s="73" t="s">
        <v>177</v>
      </c>
      <c r="I114" s="71" t="s">
        <v>420</v>
      </c>
      <c r="J114" s="81" t="s">
        <v>220</v>
      </c>
      <c r="K114" s="71" t="s">
        <v>837</v>
      </c>
      <c r="L114" s="75" t="s">
        <v>137</v>
      </c>
      <c r="M114" s="82" t="s">
        <v>838</v>
      </c>
      <c r="N114" s="74">
        <v>45875</v>
      </c>
      <c r="O114" s="76">
        <v>45880</v>
      </c>
      <c r="P114" s="83" t="s">
        <v>181</v>
      </c>
      <c r="Q114" s="84" t="s">
        <v>707</v>
      </c>
      <c r="R114" s="69" t="s">
        <v>140</v>
      </c>
      <c r="S114" s="72" t="s">
        <v>708</v>
      </c>
      <c r="T114" s="79" t="s">
        <v>489</v>
      </c>
      <c r="U114" s="69" t="s">
        <v>839</v>
      </c>
      <c r="V114" s="81" t="s">
        <v>52</v>
      </c>
      <c r="W114" s="76" t="s">
        <v>145</v>
      </c>
      <c r="X114" s="79" t="s">
        <v>489</v>
      </c>
      <c r="Y114" s="69">
        <v>1</v>
      </c>
      <c r="Z114" s="69">
        <v>1</v>
      </c>
      <c r="AA114" s="69">
        <v>1</v>
      </c>
      <c r="AB114" s="49">
        <f>IF(V114="TIPO I",'BASE DE LIQUIDACION 2025'!$B$3,'BASE DE LIQUIDACION 2025'!$B$4)</f>
        <v>11251.22416</v>
      </c>
      <c r="AC114" s="49">
        <f>IF(V114="TIPO I",'BASE DE LIQUIDACION 2025'!$C$3,'BASE DE LIQUIDACION 2025'!$C$4)</f>
        <v>126317.12212</v>
      </c>
      <c r="AD114" s="49">
        <f>IF(V114="TIPO I",'BASE DE LIQUIDACION 2025'!$D$3,'BASE DE LIQUIDACION 2025'!$D$4)</f>
        <v>57411.974240000003</v>
      </c>
      <c r="AE114" s="53">
        <f t="shared" si="2"/>
        <v>194980.32052000001</v>
      </c>
    </row>
    <row r="115" spans="1:31" s="46" customFormat="1">
      <c r="A115" s="69" t="s">
        <v>220</v>
      </c>
      <c r="B115" s="45" t="str">
        <f>VLOOKUP(A115,'CENTRO DE COSTOS'!A:D,4,FALSE)</f>
        <v>DIEGO FERNANDO HENAO CARDONA</v>
      </c>
      <c r="C115" s="45" t="str">
        <f>VLOOKUP(A115,'CENTRO DE COSTOS'!A:D,2,FALSE)</f>
        <v>0004-0003</v>
      </c>
      <c r="D115" s="69">
        <v>76001</v>
      </c>
      <c r="E115" s="70" t="s">
        <v>840</v>
      </c>
      <c r="F115" s="71">
        <v>80838</v>
      </c>
      <c r="G115" s="79" t="s">
        <v>132</v>
      </c>
      <c r="H115" s="73" t="s">
        <v>177</v>
      </c>
      <c r="I115" s="71" t="s">
        <v>420</v>
      </c>
      <c r="J115" s="81" t="s">
        <v>220</v>
      </c>
      <c r="K115" s="71" t="s">
        <v>841</v>
      </c>
      <c r="L115" s="75" t="s">
        <v>137</v>
      </c>
      <c r="M115" s="82" t="s">
        <v>842</v>
      </c>
      <c r="N115" s="74">
        <v>45875</v>
      </c>
      <c r="O115" s="76">
        <v>45880</v>
      </c>
      <c r="P115" s="83" t="s">
        <v>181</v>
      </c>
      <c r="Q115" s="84" t="s">
        <v>707</v>
      </c>
      <c r="R115" s="69" t="s">
        <v>140</v>
      </c>
      <c r="S115" s="72" t="s">
        <v>708</v>
      </c>
      <c r="T115" s="79" t="s">
        <v>477</v>
      </c>
      <c r="U115" s="69" t="s">
        <v>843</v>
      </c>
      <c r="V115" s="81" t="s">
        <v>52</v>
      </c>
      <c r="W115" s="76" t="s">
        <v>145</v>
      </c>
      <c r="X115" s="79" t="s">
        <v>477</v>
      </c>
      <c r="Y115" s="69">
        <v>1</v>
      </c>
      <c r="Z115" s="69">
        <v>1</v>
      </c>
      <c r="AA115" s="69">
        <v>1</v>
      </c>
      <c r="AB115" s="49">
        <f>IF(V115="TIPO I",'BASE DE LIQUIDACION 2025'!$B$3,'BASE DE LIQUIDACION 2025'!$B$4)</f>
        <v>11251.22416</v>
      </c>
      <c r="AC115" s="49">
        <f>IF(V115="TIPO I",'BASE DE LIQUIDACION 2025'!$C$3,'BASE DE LIQUIDACION 2025'!$C$4)</f>
        <v>126317.12212</v>
      </c>
      <c r="AD115" s="49">
        <f>IF(V115="TIPO I",'BASE DE LIQUIDACION 2025'!$D$3,'BASE DE LIQUIDACION 2025'!$D$4)</f>
        <v>57411.974240000003</v>
      </c>
      <c r="AE115" s="53">
        <f t="shared" si="2"/>
        <v>194980.32052000001</v>
      </c>
    </row>
    <row r="116" spans="1:31" s="46" customFormat="1">
      <c r="A116" s="69" t="s">
        <v>167</v>
      </c>
      <c r="B116" s="45" t="str">
        <f>VLOOKUP(A116,'CENTRO DE COSTOS'!A:D,4,FALSE)</f>
        <v>KEVIN ALEXIS CORZO BUSTOS</v>
      </c>
      <c r="C116" s="45" t="str">
        <f>VLOOKUP(A116,'CENTRO DE COSTOS'!A:D,2,FALSE)</f>
        <v>0004-0007</v>
      </c>
      <c r="D116" s="69">
        <v>85001</v>
      </c>
      <c r="E116" s="70" t="s">
        <v>844</v>
      </c>
      <c r="F116" s="71">
        <v>80860</v>
      </c>
      <c r="G116" s="79" t="s">
        <v>132</v>
      </c>
      <c r="H116" s="73" t="s">
        <v>177</v>
      </c>
      <c r="I116" s="71" t="s">
        <v>169</v>
      </c>
      <c r="J116" s="81" t="s">
        <v>167</v>
      </c>
      <c r="K116" s="71" t="s">
        <v>845</v>
      </c>
      <c r="L116" s="75" t="s">
        <v>137</v>
      </c>
      <c r="M116" s="82" t="s">
        <v>846</v>
      </c>
      <c r="N116" s="74">
        <v>45875</v>
      </c>
      <c r="O116" s="76">
        <v>45877</v>
      </c>
      <c r="P116" s="83" t="s">
        <v>181</v>
      </c>
      <c r="Q116" s="84" t="s">
        <v>707</v>
      </c>
      <c r="R116" s="69" t="s">
        <v>140</v>
      </c>
      <c r="S116" s="72" t="s">
        <v>725</v>
      </c>
      <c r="T116" s="79" t="s">
        <v>173</v>
      </c>
      <c r="U116" s="69" t="s">
        <v>847</v>
      </c>
      <c r="V116" s="81" t="s">
        <v>52</v>
      </c>
      <c r="W116" s="76" t="s">
        <v>145</v>
      </c>
      <c r="X116" s="79" t="s">
        <v>173</v>
      </c>
      <c r="Y116" s="69">
        <v>1</v>
      </c>
      <c r="Z116" s="69">
        <v>1</v>
      </c>
      <c r="AA116" s="69">
        <v>1</v>
      </c>
      <c r="AB116" s="49">
        <f>IF(V116="TIPO I",'BASE DE LIQUIDACION 2025'!$B$3,'BASE DE LIQUIDACION 2025'!$B$4)</f>
        <v>11251.22416</v>
      </c>
      <c r="AC116" s="49">
        <f>IF(V116="TIPO I",'BASE DE LIQUIDACION 2025'!$C$3,'BASE DE LIQUIDACION 2025'!$C$4)</f>
        <v>126317.12212</v>
      </c>
      <c r="AD116" s="49">
        <f>IF(V116="TIPO I",'BASE DE LIQUIDACION 2025'!$D$3,'BASE DE LIQUIDACION 2025'!$D$4)</f>
        <v>57411.974240000003</v>
      </c>
      <c r="AE116" s="53">
        <f t="shared" si="2"/>
        <v>194980.32052000001</v>
      </c>
    </row>
    <row r="117" spans="1:31" s="46" customFormat="1">
      <c r="A117" s="69" t="s">
        <v>431</v>
      </c>
      <c r="B117" s="45" t="str">
        <f>VLOOKUP(A117,'CENTRO DE COSTOS'!A:D,4,FALSE)</f>
        <v>WILLIAM ASDRUBAL ROZO ROZO</v>
      </c>
      <c r="C117" s="45" t="str">
        <f>VLOOKUP(A117,'CENTRO DE COSTOS'!A:D,2,FALSE)</f>
        <v>0004-0004</v>
      </c>
      <c r="D117" s="69">
        <v>11001</v>
      </c>
      <c r="E117" s="70" t="s">
        <v>848</v>
      </c>
      <c r="F117" s="71">
        <v>80827</v>
      </c>
      <c r="G117" s="79" t="s">
        <v>132</v>
      </c>
      <c r="H117" s="73" t="s">
        <v>177</v>
      </c>
      <c r="I117" s="71" t="s">
        <v>433</v>
      </c>
      <c r="J117" s="81" t="s">
        <v>431</v>
      </c>
      <c r="K117" s="71" t="s">
        <v>849</v>
      </c>
      <c r="L117" s="75" t="s">
        <v>137</v>
      </c>
      <c r="M117" s="82" t="s">
        <v>850</v>
      </c>
      <c r="N117" s="74">
        <v>45875</v>
      </c>
      <c r="O117" s="76">
        <v>45877</v>
      </c>
      <c r="P117" s="83" t="s">
        <v>181</v>
      </c>
      <c r="Q117" s="84" t="s">
        <v>707</v>
      </c>
      <c r="R117" s="69" t="s">
        <v>140</v>
      </c>
      <c r="S117" s="72" t="s">
        <v>725</v>
      </c>
      <c r="T117" s="79" t="s">
        <v>851</v>
      </c>
      <c r="U117" s="69" t="s">
        <v>852</v>
      </c>
      <c r="V117" s="81" t="s">
        <v>52</v>
      </c>
      <c r="W117" s="76" t="s">
        <v>145</v>
      </c>
      <c r="X117" s="79" t="s">
        <v>851</v>
      </c>
      <c r="Y117" s="69">
        <v>1</v>
      </c>
      <c r="Z117" s="69">
        <v>1</v>
      </c>
      <c r="AA117" s="69">
        <v>1</v>
      </c>
      <c r="AB117" s="49">
        <f>IF(V117="TIPO I",'BASE DE LIQUIDACION 2025'!$B$3,'BASE DE LIQUIDACION 2025'!$B$4)</f>
        <v>11251.22416</v>
      </c>
      <c r="AC117" s="49">
        <f>IF(V117="TIPO I",'BASE DE LIQUIDACION 2025'!$C$3,'BASE DE LIQUIDACION 2025'!$C$4)</f>
        <v>126317.12212</v>
      </c>
      <c r="AD117" s="49">
        <f>IF(V117="TIPO I",'BASE DE LIQUIDACION 2025'!$D$3,'BASE DE LIQUIDACION 2025'!$D$4)</f>
        <v>57411.974240000003</v>
      </c>
      <c r="AE117" s="53">
        <f t="shared" si="2"/>
        <v>194980.32052000001</v>
      </c>
    </row>
    <row r="118" spans="1:31" s="46" customFormat="1">
      <c r="A118" s="69" t="s">
        <v>431</v>
      </c>
      <c r="B118" s="45" t="str">
        <f>VLOOKUP(A118,'CENTRO DE COSTOS'!A:D,4,FALSE)</f>
        <v>WILLIAM ASDRUBAL ROZO ROZO</v>
      </c>
      <c r="C118" s="45" t="str">
        <f>VLOOKUP(A118,'CENTRO DE COSTOS'!A:D,2,FALSE)</f>
        <v>0004-0004</v>
      </c>
      <c r="D118" s="69">
        <v>11001</v>
      </c>
      <c r="E118" s="70" t="s">
        <v>853</v>
      </c>
      <c r="F118" s="71">
        <v>80828</v>
      </c>
      <c r="G118" s="79" t="s">
        <v>132</v>
      </c>
      <c r="H118" s="73" t="s">
        <v>177</v>
      </c>
      <c r="I118" s="71" t="s">
        <v>433</v>
      </c>
      <c r="J118" s="81" t="s">
        <v>431</v>
      </c>
      <c r="K118" s="71" t="s">
        <v>854</v>
      </c>
      <c r="L118" s="75" t="s">
        <v>137</v>
      </c>
      <c r="M118" s="82" t="s">
        <v>855</v>
      </c>
      <c r="N118" s="74">
        <v>45875</v>
      </c>
      <c r="O118" s="76">
        <v>45880</v>
      </c>
      <c r="P118" s="83" t="s">
        <v>181</v>
      </c>
      <c r="Q118" s="84" t="s">
        <v>707</v>
      </c>
      <c r="R118" s="69" t="s">
        <v>140</v>
      </c>
      <c r="S118" s="72" t="s">
        <v>708</v>
      </c>
      <c r="T118" s="79" t="s">
        <v>856</v>
      </c>
      <c r="U118" s="69" t="s">
        <v>857</v>
      </c>
      <c r="V118" s="81" t="s">
        <v>52</v>
      </c>
      <c r="W118" s="76" t="s">
        <v>145</v>
      </c>
      <c r="X118" s="79" t="s">
        <v>856</v>
      </c>
      <c r="Y118" s="69">
        <v>1</v>
      </c>
      <c r="Z118" s="69">
        <v>1</v>
      </c>
      <c r="AA118" s="69">
        <v>1</v>
      </c>
      <c r="AB118" s="49">
        <f>IF(V118="TIPO I",'BASE DE LIQUIDACION 2025'!$B$3,'BASE DE LIQUIDACION 2025'!$B$4)</f>
        <v>11251.22416</v>
      </c>
      <c r="AC118" s="49">
        <f>IF(V118="TIPO I",'BASE DE LIQUIDACION 2025'!$C$3,'BASE DE LIQUIDACION 2025'!$C$4)</f>
        <v>126317.12212</v>
      </c>
      <c r="AD118" s="49">
        <f>IF(V118="TIPO I",'BASE DE LIQUIDACION 2025'!$D$3,'BASE DE LIQUIDACION 2025'!$D$4)</f>
        <v>57411.974240000003</v>
      </c>
      <c r="AE118" s="53">
        <f t="shared" si="2"/>
        <v>194980.32052000001</v>
      </c>
    </row>
    <row r="119" spans="1:31" s="46" customFormat="1">
      <c r="A119" s="69" t="s">
        <v>431</v>
      </c>
      <c r="B119" s="45" t="str">
        <f>VLOOKUP(A119,'CENTRO DE COSTOS'!A:D,4,FALSE)</f>
        <v>WILLIAM ASDRUBAL ROZO ROZO</v>
      </c>
      <c r="C119" s="45" t="str">
        <f>VLOOKUP(A119,'CENTRO DE COSTOS'!A:D,2,FALSE)</f>
        <v>0004-0004</v>
      </c>
      <c r="D119" s="69">
        <v>11001</v>
      </c>
      <c r="E119" s="70" t="s">
        <v>858</v>
      </c>
      <c r="F119" s="71">
        <v>80829</v>
      </c>
      <c r="G119" s="79" t="s">
        <v>132</v>
      </c>
      <c r="H119" s="73" t="s">
        <v>177</v>
      </c>
      <c r="I119" s="71" t="s">
        <v>433</v>
      </c>
      <c r="J119" s="81" t="s">
        <v>431</v>
      </c>
      <c r="K119" s="71" t="s">
        <v>859</v>
      </c>
      <c r="L119" s="75" t="s">
        <v>137</v>
      </c>
      <c r="M119" s="82" t="s">
        <v>860</v>
      </c>
      <c r="N119" s="74">
        <v>45875</v>
      </c>
      <c r="O119" s="76">
        <v>45880</v>
      </c>
      <c r="P119" s="83" t="s">
        <v>181</v>
      </c>
      <c r="Q119" s="84" t="s">
        <v>707</v>
      </c>
      <c r="R119" s="69" t="s">
        <v>140</v>
      </c>
      <c r="S119" s="72" t="s">
        <v>708</v>
      </c>
      <c r="T119" s="79" t="s">
        <v>551</v>
      </c>
      <c r="U119" s="69" t="s">
        <v>861</v>
      </c>
      <c r="V119" s="81" t="s">
        <v>52</v>
      </c>
      <c r="W119" s="76" t="s">
        <v>145</v>
      </c>
      <c r="X119" s="79" t="s">
        <v>551</v>
      </c>
      <c r="Y119" s="69">
        <v>1</v>
      </c>
      <c r="Z119" s="69">
        <v>1</v>
      </c>
      <c r="AA119" s="69">
        <v>1</v>
      </c>
      <c r="AB119" s="49">
        <f>IF(V119="TIPO I",'BASE DE LIQUIDACION 2025'!$B$3,'BASE DE LIQUIDACION 2025'!$B$4)</f>
        <v>11251.22416</v>
      </c>
      <c r="AC119" s="49">
        <f>IF(V119="TIPO I",'BASE DE LIQUIDACION 2025'!$C$3,'BASE DE LIQUIDACION 2025'!$C$4)</f>
        <v>126317.12212</v>
      </c>
      <c r="AD119" s="49">
        <f>IF(V119="TIPO I",'BASE DE LIQUIDACION 2025'!$D$3,'BASE DE LIQUIDACION 2025'!$D$4)</f>
        <v>57411.974240000003</v>
      </c>
      <c r="AE119" s="53">
        <f t="shared" si="2"/>
        <v>194980.32052000001</v>
      </c>
    </row>
    <row r="120" spans="1:31" s="46" customFormat="1">
      <c r="A120" s="69" t="s">
        <v>431</v>
      </c>
      <c r="B120" s="45" t="str">
        <f>VLOOKUP(A120,'CENTRO DE COSTOS'!A:D,4,FALSE)</f>
        <v>WILLIAM ASDRUBAL ROZO ROZO</v>
      </c>
      <c r="C120" s="45" t="str">
        <f>VLOOKUP(A120,'CENTRO DE COSTOS'!A:D,2,FALSE)</f>
        <v>0004-0004</v>
      </c>
      <c r="D120" s="69">
        <v>11001</v>
      </c>
      <c r="E120" s="70" t="s">
        <v>862</v>
      </c>
      <c r="F120" s="71">
        <v>80830</v>
      </c>
      <c r="G120" s="79" t="s">
        <v>132</v>
      </c>
      <c r="H120" s="73" t="s">
        <v>177</v>
      </c>
      <c r="I120" s="71" t="s">
        <v>433</v>
      </c>
      <c r="J120" s="81" t="s">
        <v>431</v>
      </c>
      <c r="K120" s="71" t="s">
        <v>863</v>
      </c>
      <c r="L120" s="75" t="s">
        <v>137</v>
      </c>
      <c r="M120" s="82" t="s">
        <v>864</v>
      </c>
      <c r="N120" s="74">
        <v>45875</v>
      </c>
      <c r="O120" s="76">
        <v>45877</v>
      </c>
      <c r="P120" s="83" t="s">
        <v>181</v>
      </c>
      <c r="Q120" s="84" t="s">
        <v>707</v>
      </c>
      <c r="R120" s="69" t="s">
        <v>140</v>
      </c>
      <c r="S120" s="72" t="s">
        <v>725</v>
      </c>
      <c r="T120" s="79" t="s">
        <v>667</v>
      </c>
      <c r="U120" s="69" t="s">
        <v>865</v>
      </c>
      <c r="V120" s="81" t="s">
        <v>52</v>
      </c>
      <c r="W120" s="76" t="s">
        <v>145</v>
      </c>
      <c r="X120" s="79" t="s">
        <v>667</v>
      </c>
      <c r="Y120" s="69">
        <v>1</v>
      </c>
      <c r="Z120" s="69">
        <v>1</v>
      </c>
      <c r="AA120" s="69">
        <v>1</v>
      </c>
      <c r="AB120" s="49">
        <f>IF(V120="TIPO I",'BASE DE LIQUIDACION 2025'!$B$3,'BASE DE LIQUIDACION 2025'!$B$4)</f>
        <v>11251.22416</v>
      </c>
      <c r="AC120" s="49">
        <f>IF(V120="TIPO I",'BASE DE LIQUIDACION 2025'!$C$3,'BASE DE LIQUIDACION 2025'!$C$4)</f>
        <v>126317.12212</v>
      </c>
      <c r="AD120" s="49">
        <f>IF(V120="TIPO I",'BASE DE LIQUIDACION 2025'!$D$3,'BASE DE LIQUIDACION 2025'!$D$4)</f>
        <v>57411.974240000003</v>
      </c>
      <c r="AE120" s="53">
        <f t="shared" ref="AE120:AE180" si="3">AB120*Y120+Z120*AC120+AA120*AD120</f>
        <v>194980.32052000001</v>
      </c>
    </row>
    <row r="121" spans="1:31" s="46" customFormat="1">
      <c r="A121" s="69" t="s">
        <v>431</v>
      </c>
      <c r="B121" s="45" t="str">
        <f>VLOOKUP(A121,'CENTRO DE COSTOS'!A:D,4,FALSE)</f>
        <v>WILLIAM ASDRUBAL ROZO ROZO</v>
      </c>
      <c r="C121" s="45" t="str">
        <f>VLOOKUP(A121,'CENTRO DE COSTOS'!A:D,2,FALSE)</f>
        <v>0004-0004</v>
      </c>
      <c r="D121" s="69">
        <v>11001</v>
      </c>
      <c r="E121" s="70" t="s">
        <v>866</v>
      </c>
      <c r="F121" s="71">
        <v>80831</v>
      </c>
      <c r="G121" s="79" t="s">
        <v>132</v>
      </c>
      <c r="H121" s="73" t="s">
        <v>177</v>
      </c>
      <c r="I121" s="71" t="s">
        <v>433</v>
      </c>
      <c r="J121" s="81" t="s">
        <v>431</v>
      </c>
      <c r="K121" s="71" t="s">
        <v>867</v>
      </c>
      <c r="L121" s="75" t="s">
        <v>137</v>
      </c>
      <c r="M121" s="82" t="s">
        <v>868</v>
      </c>
      <c r="N121" s="74">
        <v>45875</v>
      </c>
      <c r="O121" s="76">
        <v>45877</v>
      </c>
      <c r="P121" s="83" t="s">
        <v>181</v>
      </c>
      <c r="Q121" s="84" t="s">
        <v>707</v>
      </c>
      <c r="R121" s="69" t="s">
        <v>140</v>
      </c>
      <c r="S121" s="72" t="s">
        <v>725</v>
      </c>
      <c r="T121" s="79" t="s">
        <v>851</v>
      </c>
      <c r="U121" s="69" t="s">
        <v>869</v>
      </c>
      <c r="V121" s="81" t="s">
        <v>52</v>
      </c>
      <c r="W121" s="76" t="s">
        <v>145</v>
      </c>
      <c r="X121" s="79" t="s">
        <v>851</v>
      </c>
      <c r="Y121" s="69">
        <v>1</v>
      </c>
      <c r="Z121" s="69">
        <v>1</v>
      </c>
      <c r="AA121" s="69">
        <v>1</v>
      </c>
      <c r="AB121" s="49">
        <f>IF(V121="TIPO I",'BASE DE LIQUIDACION 2025'!$B$3,'BASE DE LIQUIDACION 2025'!$B$4)</f>
        <v>11251.22416</v>
      </c>
      <c r="AC121" s="49">
        <f>IF(V121="TIPO I",'BASE DE LIQUIDACION 2025'!$C$3,'BASE DE LIQUIDACION 2025'!$C$4)</f>
        <v>126317.12212</v>
      </c>
      <c r="AD121" s="49">
        <f>IF(V121="TIPO I",'BASE DE LIQUIDACION 2025'!$D$3,'BASE DE LIQUIDACION 2025'!$D$4)</f>
        <v>57411.974240000003</v>
      </c>
      <c r="AE121" s="53">
        <f t="shared" si="3"/>
        <v>194980.32052000001</v>
      </c>
    </row>
    <row r="122" spans="1:31" s="46" customFormat="1">
      <c r="A122" s="69" t="s">
        <v>431</v>
      </c>
      <c r="B122" s="45" t="str">
        <f>VLOOKUP(A122,'CENTRO DE COSTOS'!A:D,4,FALSE)</f>
        <v>WILLIAM ASDRUBAL ROZO ROZO</v>
      </c>
      <c r="C122" s="45" t="str">
        <f>VLOOKUP(A122,'CENTRO DE COSTOS'!A:D,2,FALSE)</f>
        <v>0004-0004</v>
      </c>
      <c r="D122" s="69">
        <v>11001</v>
      </c>
      <c r="E122" s="70" t="s">
        <v>870</v>
      </c>
      <c r="F122" s="71">
        <v>80832</v>
      </c>
      <c r="G122" s="79" t="s">
        <v>132</v>
      </c>
      <c r="H122" s="73" t="s">
        <v>177</v>
      </c>
      <c r="I122" s="71" t="s">
        <v>433</v>
      </c>
      <c r="J122" s="81" t="s">
        <v>431</v>
      </c>
      <c r="K122" s="71" t="s">
        <v>871</v>
      </c>
      <c r="L122" s="75" t="s">
        <v>137</v>
      </c>
      <c r="M122" s="82" t="s">
        <v>872</v>
      </c>
      <c r="N122" s="74">
        <v>45875</v>
      </c>
      <c r="O122" s="76">
        <v>45880</v>
      </c>
      <c r="P122" s="83" t="s">
        <v>181</v>
      </c>
      <c r="Q122" s="84" t="s">
        <v>707</v>
      </c>
      <c r="R122" s="69" t="s">
        <v>140</v>
      </c>
      <c r="S122" s="72" t="s">
        <v>708</v>
      </c>
      <c r="T122" s="79" t="s">
        <v>851</v>
      </c>
      <c r="U122" s="69" t="s">
        <v>873</v>
      </c>
      <c r="V122" s="81" t="s">
        <v>52</v>
      </c>
      <c r="W122" s="76" t="s">
        <v>145</v>
      </c>
      <c r="X122" s="79" t="s">
        <v>851</v>
      </c>
      <c r="Y122" s="69">
        <v>1</v>
      </c>
      <c r="Z122" s="69">
        <v>1</v>
      </c>
      <c r="AA122" s="69">
        <v>1</v>
      </c>
      <c r="AB122" s="49">
        <f>IF(V122="TIPO I",'BASE DE LIQUIDACION 2025'!$B$3,'BASE DE LIQUIDACION 2025'!$B$4)</f>
        <v>11251.22416</v>
      </c>
      <c r="AC122" s="49">
        <f>IF(V122="TIPO I",'BASE DE LIQUIDACION 2025'!$C$3,'BASE DE LIQUIDACION 2025'!$C$4)</f>
        <v>126317.12212</v>
      </c>
      <c r="AD122" s="49">
        <f>IF(V122="TIPO I",'BASE DE LIQUIDACION 2025'!$D$3,'BASE DE LIQUIDACION 2025'!$D$4)</f>
        <v>57411.974240000003</v>
      </c>
      <c r="AE122" s="53">
        <f t="shared" si="3"/>
        <v>194980.32052000001</v>
      </c>
    </row>
    <row r="123" spans="1:31" s="46" customFormat="1">
      <c r="A123" s="69" t="s">
        <v>167</v>
      </c>
      <c r="B123" s="45" t="str">
        <f>VLOOKUP(A123,'CENTRO DE COSTOS'!A:D,4,FALSE)</f>
        <v>KEVIN ALEXIS CORZO BUSTOS</v>
      </c>
      <c r="C123" s="45" t="str">
        <f>VLOOKUP(A123,'CENTRO DE COSTOS'!A:D,2,FALSE)</f>
        <v>0004-0007</v>
      </c>
      <c r="D123" s="69">
        <v>85230</v>
      </c>
      <c r="E123" s="70" t="s">
        <v>874</v>
      </c>
      <c r="F123" s="71">
        <v>80903</v>
      </c>
      <c r="G123" s="79" t="s">
        <v>132</v>
      </c>
      <c r="H123" s="73" t="s">
        <v>133</v>
      </c>
      <c r="I123" s="71" t="s">
        <v>169</v>
      </c>
      <c r="J123" s="81" t="s">
        <v>875</v>
      </c>
      <c r="K123" s="71" t="s">
        <v>876</v>
      </c>
      <c r="L123" s="75" t="s">
        <v>137</v>
      </c>
      <c r="M123" s="82" t="s">
        <v>877</v>
      </c>
      <c r="N123" s="74">
        <v>45875</v>
      </c>
      <c r="O123" s="76">
        <v>45888</v>
      </c>
      <c r="P123" s="83" t="s">
        <v>139</v>
      </c>
      <c r="Q123" s="84" t="s">
        <v>139</v>
      </c>
      <c r="R123" s="69" t="s">
        <v>140</v>
      </c>
      <c r="S123" s="72" t="s">
        <v>878</v>
      </c>
      <c r="T123" s="79" t="s">
        <v>173</v>
      </c>
      <c r="U123" s="69" t="s">
        <v>879</v>
      </c>
      <c r="V123" s="81" t="s">
        <v>160</v>
      </c>
      <c r="W123" s="76" t="s">
        <v>278</v>
      </c>
      <c r="X123" s="79" t="s">
        <v>173</v>
      </c>
      <c r="Y123" s="69">
        <v>1</v>
      </c>
      <c r="Z123" s="69">
        <v>1</v>
      </c>
      <c r="AA123" s="69">
        <v>1</v>
      </c>
      <c r="AB123" s="49">
        <f>IF(V123="TIPO I",'BASE DE LIQUIDACION 2025'!$B$3,'BASE DE LIQUIDACION 2025'!$B$4)</f>
        <v>11251.22416</v>
      </c>
      <c r="AC123" s="49">
        <f>IF(V123="TIPO I",'BASE DE LIQUIDACION 2025'!$C$3,'BASE DE LIQUIDACION 2025'!$C$4)</f>
        <v>126317.12212</v>
      </c>
      <c r="AD123" s="49">
        <f>IF(V123="TIPO I",'BASE DE LIQUIDACION 2025'!$D$3,'BASE DE LIQUIDACION 2025'!$D$4)</f>
        <v>110808.27512000001</v>
      </c>
      <c r="AE123" s="53">
        <f t="shared" si="3"/>
        <v>248376.6214</v>
      </c>
    </row>
    <row r="124" spans="1:31" s="46" customFormat="1">
      <c r="A124" s="69" t="s">
        <v>345</v>
      </c>
      <c r="B124" s="45" t="str">
        <f>VLOOKUP(A124,'CENTRO DE COSTOS'!A:D,4,FALSE)</f>
        <v>JOSE MAURICIO HERNANDEZ ROJAS</v>
      </c>
      <c r="C124" s="45" t="str">
        <f>VLOOKUP(A124,'CENTRO DE COSTOS'!A:D,2,FALSE)</f>
        <v>0004-0001</v>
      </c>
      <c r="D124" s="69">
        <v>8560</v>
      </c>
      <c r="E124" s="70" t="s">
        <v>880</v>
      </c>
      <c r="F124" s="71">
        <v>80910</v>
      </c>
      <c r="G124" s="79" t="s">
        <v>132</v>
      </c>
      <c r="H124" s="73" t="s">
        <v>133</v>
      </c>
      <c r="I124" s="71" t="s">
        <v>347</v>
      </c>
      <c r="J124" s="81" t="s">
        <v>881</v>
      </c>
      <c r="K124" s="71" t="s">
        <v>882</v>
      </c>
      <c r="L124" s="75" t="s">
        <v>137</v>
      </c>
      <c r="M124" s="82" t="s">
        <v>883</v>
      </c>
      <c r="N124" s="74">
        <v>45875</v>
      </c>
      <c r="O124" s="76">
        <v>45877</v>
      </c>
      <c r="P124" s="83" t="s">
        <v>139</v>
      </c>
      <c r="Q124" s="84" t="s">
        <v>139</v>
      </c>
      <c r="R124" s="69" t="s">
        <v>140</v>
      </c>
      <c r="S124" s="72" t="s">
        <v>884</v>
      </c>
      <c r="T124" s="79" t="s">
        <v>885</v>
      </c>
      <c r="U124" s="69" t="s">
        <v>886</v>
      </c>
      <c r="V124" s="81" t="s">
        <v>202</v>
      </c>
      <c r="W124" s="76" t="s">
        <v>145</v>
      </c>
      <c r="X124" s="79" t="s">
        <v>885</v>
      </c>
      <c r="Y124" s="69">
        <v>1</v>
      </c>
      <c r="Z124" s="69">
        <v>1</v>
      </c>
      <c r="AA124" s="69">
        <v>1</v>
      </c>
      <c r="AB124" s="49">
        <f>IF(V124="TIPO I",'BASE DE LIQUIDACION 2025'!$B$3,'BASE DE LIQUIDACION 2025'!$B$4)</f>
        <v>11251.22416</v>
      </c>
      <c r="AC124" s="49">
        <f>IF(V124="TIPO I",'BASE DE LIQUIDACION 2025'!$C$3,'BASE DE LIQUIDACION 2025'!$C$4)</f>
        <v>126317.12212</v>
      </c>
      <c r="AD124" s="49">
        <f>IF(V124="TIPO I",'BASE DE LIQUIDACION 2025'!$D$3,'BASE DE LIQUIDACION 2025'!$D$4)</f>
        <v>110808.27512000001</v>
      </c>
      <c r="AE124" s="53">
        <f t="shared" si="3"/>
        <v>248376.6214</v>
      </c>
    </row>
    <row r="125" spans="1:31" s="46" customFormat="1">
      <c r="A125" s="69" t="s">
        <v>285</v>
      </c>
      <c r="B125" s="45" t="str">
        <f>VLOOKUP(A125,'CENTRO DE COSTOS'!A:D,4,FALSE)</f>
        <v>MIGUEL JULIÁN HERNÁNDEZ GUARÍN</v>
      </c>
      <c r="C125" s="45" t="str">
        <f>VLOOKUP(A125,'CENTRO DE COSTOS'!A:D,2,FALSE)</f>
        <v>0004-0008</v>
      </c>
      <c r="D125" s="69">
        <v>54874</v>
      </c>
      <c r="E125" s="70" t="s">
        <v>887</v>
      </c>
      <c r="F125" s="71">
        <v>80921</v>
      </c>
      <c r="G125" s="79" t="s">
        <v>132</v>
      </c>
      <c r="H125" s="73" t="s">
        <v>133</v>
      </c>
      <c r="I125" s="71" t="s">
        <v>287</v>
      </c>
      <c r="J125" s="81" t="s">
        <v>640</v>
      </c>
      <c r="K125" s="71" t="s">
        <v>888</v>
      </c>
      <c r="L125" s="75" t="s">
        <v>137</v>
      </c>
      <c r="M125" s="82" t="s">
        <v>889</v>
      </c>
      <c r="N125" s="74">
        <v>45875</v>
      </c>
      <c r="O125" s="76">
        <v>45880</v>
      </c>
      <c r="P125" s="83" t="s">
        <v>139</v>
      </c>
      <c r="Q125" s="84" t="s">
        <v>139</v>
      </c>
      <c r="R125" s="69" t="s">
        <v>140</v>
      </c>
      <c r="S125" s="72" t="s">
        <v>890</v>
      </c>
      <c r="T125" s="79" t="s">
        <v>364</v>
      </c>
      <c r="U125" s="69" t="s">
        <v>891</v>
      </c>
      <c r="V125" s="81" t="s">
        <v>52</v>
      </c>
      <c r="W125" s="76" t="s">
        <v>145</v>
      </c>
      <c r="X125" s="79" t="s">
        <v>364</v>
      </c>
      <c r="Y125" s="69">
        <v>1</v>
      </c>
      <c r="Z125" s="69">
        <v>1</v>
      </c>
      <c r="AA125" s="69">
        <v>1</v>
      </c>
      <c r="AB125" s="49">
        <f>IF(V125="TIPO I",'BASE DE LIQUIDACION 2025'!$B$3,'BASE DE LIQUIDACION 2025'!$B$4)</f>
        <v>11251.22416</v>
      </c>
      <c r="AC125" s="49">
        <f>IF(V125="TIPO I",'BASE DE LIQUIDACION 2025'!$C$3,'BASE DE LIQUIDACION 2025'!$C$4)</f>
        <v>126317.12212</v>
      </c>
      <c r="AD125" s="49">
        <f>IF(V125="TIPO I",'BASE DE LIQUIDACION 2025'!$D$3,'BASE DE LIQUIDACION 2025'!$D$4)</f>
        <v>57411.974240000003</v>
      </c>
      <c r="AE125" s="53">
        <f t="shared" si="3"/>
        <v>194980.32052000001</v>
      </c>
    </row>
    <row r="126" spans="1:31" s="46" customFormat="1">
      <c r="A126" s="69" t="s">
        <v>130</v>
      </c>
      <c r="B126" s="45" t="str">
        <f>VLOOKUP(A126,'CENTRO DE COSTOS'!A:D,4,FALSE)</f>
        <v>KEVIN ALEXIS CORZO BUSTOS</v>
      </c>
      <c r="C126" s="45" t="str">
        <f>VLOOKUP(A126,'CENTRO DE COSTOS'!A:D,2,FALSE)</f>
        <v>0004-0007</v>
      </c>
      <c r="D126" s="69">
        <v>18247</v>
      </c>
      <c r="E126" s="70" t="s">
        <v>892</v>
      </c>
      <c r="F126" s="71">
        <v>80884</v>
      </c>
      <c r="G126" s="79" t="s">
        <v>132</v>
      </c>
      <c r="H126" s="73" t="s">
        <v>133</v>
      </c>
      <c r="I126" s="71" t="s">
        <v>134</v>
      </c>
      <c r="J126" s="81" t="s">
        <v>893</v>
      </c>
      <c r="K126" s="71" t="s">
        <v>894</v>
      </c>
      <c r="L126" s="75" t="s">
        <v>137</v>
      </c>
      <c r="M126" s="82" t="s">
        <v>895</v>
      </c>
      <c r="N126" s="74">
        <v>45875</v>
      </c>
      <c r="O126" s="76">
        <v>45880</v>
      </c>
      <c r="P126" s="83" t="s">
        <v>139</v>
      </c>
      <c r="Q126" s="84" t="s">
        <v>139</v>
      </c>
      <c r="R126" s="69" t="s">
        <v>140</v>
      </c>
      <c r="S126" s="72" t="s">
        <v>896</v>
      </c>
      <c r="T126" s="79" t="s">
        <v>283</v>
      </c>
      <c r="U126" s="69" t="s">
        <v>897</v>
      </c>
      <c r="V126" s="81" t="s">
        <v>144</v>
      </c>
      <c r="W126" s="76" t="s">
        <v>145</v>
      </c>
      <c r="X126" s="79" t="s">
        <v>283</v>
      </c>
      <c r="Y126" s="69">
        <v>1</v>
      </c>
      <c r="Z126" s="69">
        <v>1</v>
      </c>
      <c r="AA126" s="69">
        <v>1</v>
      </c>
      <c r="AB126" s="49">
        <f>IF(V126="TIPO I",'BASE DE LIQUIDACION 2025'!$B$3,'BASE DE LIQUIDACION 2025'!$B$4)</f>
        <v>11251.22416</v>
      </c>
      <c r="AC126" s="49">
        <f>IF(V126="TIPO I",'BASE DE LIQUIDACION 2025'!$C$3,'BASE DE LIQUIDACION 2025'!$C$4)</f>
        <v>126317.12212</v>
      </c>
      <c r="AD126" s="49">
        <f>IF(V126="TIPO I",'BASE DE LIQUIDACION 2025'!$D$3,'BASE DE LIQUIDACION 2025'!$D$4)</f>
        <v>110808.27512000001</v>
      </c>
      <c r="AE126" s="53">
        <f t="shared" si="3"/>
        <v>248376.6214</v>
      </c>
    </row>
    <row r="127" spans="1:31" s="46" customFormat="1">
      <c r="A127" s="69" t="s">
        <v>203</v>
      </c>
      <c r="B127" s="45" t="str">
        <f>VLOOKUP(A127,'CENTRO DE COSTOS'!A:D,4,FALSE)</f>
        <v>MIGUEL JULIÁN HERNÁNDEZ GUARÍN</v>
      </c>
      <c r="C127" s="45" t="str">
        <f>VLOOKUP(A127,'CENTRO DE COSTOS'!A:D,2,FALSE)</f>
        <v>0004-0008</v>
      </c>
      <c r="D127" s="69">
        <v>15299</v>
      </c>
      <c r="E127" s="70" t="s">
        <v>898</v>
      </c>
      <c r="F127" s="71">
        <v>80886</v>
      </c>
      <c r="G127" s="79" t="s">
        <v>132</v>
      </c>
      <c r="H127" s="73" t="s">
        <v>133</v>
      </c>
      <c r="I127" s="71" t="s">
        <v>205</v>
      </c>
      <c r="J127" s="81" t="s">
        <v>899</v>
      </c>
      <c r="K127" s="71" t="s">
        <v>900</v>
      </c>
      <c r="L127" s="75" t="s">
        <v>137</v>
      </c>
      <c r="M127" s="82" t="s">
        <v>901</v>
      </c>
      <c r="N127" s="74">
        <v>45875</v>
      </c>
      <c r="O127" s="76">
        <v>45881</v>
      </c>
      <c r="P127" s="83" t="s">
        <v>139</v>
      </c>
      <c r="Q127" s="84" t="s">
        <v>139</v>
      </c>
      <c r="R127" s="69" t="s">
        <v>140</v>
      </c>
      <c r="S127" s="72" t="s">
        <v>902</v>
      </c>
      <c r="T127" s="79" t="s">
        <v>210</v>
      </c>
      <c r="U127" s="69" t="s">
        <v>903</v>
      </c>
      <c r="V127" s="81" t="s">
        <v>230</v>
      </c>
      <c r="W127" s="76" t="s">
        <v>145</v>
      </c>
      <c r="X127" s="79" t="s">
        <v>210</v>
      </c>
      <c r="Y127" s="69">
        <v>1</v>
      </c>
      <c r="Z127" s="69">
        <v>1</v>
      </c>
      <c r="AA127" s="69">
        <v>1</v>
      </c>
      <c r="AB127" s="49">
        <f>IF(V127="TIPO I",'BASE DE LIQUIDACION 2025'!$B$3,'BASE DE LIQUIDACION 2025'!$B$4)</f>
        <v>11251.22416</v>
      </c>
      <c r="AC127" s="49">
        <f>IF(V127="TIPO I",'BASE DE LIQUIDACION 2025'!$C$3,'BASE DE LIQUIDACION 2025'!$C$4)</f>
        <v>126317.12212</v>
      </c>
      <c r="AD127" s="49">
        <f>IF(V127="TIPO I",'BASE DE LIQUIDACION 2025'!$D$3,'BASE DE LIQUIDACION 2025'!$D$4)</f>
        <v>110808.27512000001</v>
      </c>
      <c r="AE127" s="53">
        <f t="shared" si="3"/>
        <v>248376.6214</v>
      </c>
    </row>
    <row r="128" spans="1:31" s="46" customFormat="1">
      <c r="A128" s="69" t="s">
        <v>260</v>
      </c>
      <c r="B128" s="45" t="str">
        <f>VLOOKUP(A128,'CENTRO DE COSTOS'!A:D,4,FALSE)</f>
        <v>KEVIN ALEXIS CORZO BUSTOS</v>
      </c>
      <c r="C128" s="45" t="str">
        <f>VLOOKUP(A128,'CENTRO DE COSTOS'!A:D,2,FALSE)</f>
        <v>0004-0007</v>
      </c>
      <c r="D128" s="69">
        <v>50006</v>
      </c>
      <c r="E128" s="70" t="s">
        <v>904</v>
      </c>
      <c r="F128" s="71">
        <v>80861</v>
      </c>
      <c r="G128" s="79" t="s">
        <v>132</v>
      </c>
      <c r="H128" s="73" t="s">
        <v>133</v>
      </c>
      <c r="I128" s="71" t="s">
        <v>262</v>
      </c>
      <c r="J128" s="81" t="s">
        <v>905</v>
      </c>
      <c r="K128" s="71" t="s">
        <v>906</v>
      </c>
      <c r="L128" s="75" t="s">
        <v>137</v>
      </c>
      <c r="M128" s="82" t="s">
        <v>907</v>
      </c>
      <c r="N128" s="74">
        <v>45875</v>
      </c>
      <c r="O128" s="77">
        <v>45884</v>
      </c>
      <c r="P128" s="83" t="s">
        <v>139</v>
      </c>
      <c r="Q128" s="84" t="s">
        <v>139</v>
      </c>
      <c r="R128" s="69" t="s">
        <v>140</v>
      </c>
      <c r="S128" s="72" t="s">
        <v>908</v>
      </c>
      <c r="T128" s="79" t="s">
        <v>909</v>
      </c>
      <c r="U128" s="69" t="s">
        <v>910</v>
      </c>
      <c r="V128" s="81" t="s">
        <v>202</v>
      </c>
      <c r="W128" s="76" t="s">
        <v>145</v>
      </c>
      <c r="X128" s="79" t="s">
        <v>909</v>
      </c>
      <c r="Y128" s="69">
        <v>1</v>
      </c>
      <c r="Z128" s="69">
        <v>1</v>
      </c>
      <c r="AA128" s="69">
        <v>3</v>
      </c>
      <c r="AB128" s="49">
        <f>IF(V128="TIPO I",'BASE DE LIQUIDACION 2025'!$B$3,'BASE DE LIQUIDACION 2025'!$B$4)</f>
        <v>11251.22416</v>
      </c>
      <c r="AC128" s="49">
        <f>IF(V128="TIPO I",'BASE DE LIQUIDACION 2025'!$C$3,'BASE DE LIQUIDACION 2025'!$C$4)</f>
        <v>126317.12212</v>
      </c>
      <c r="AD128" s="49">
        <f>IF(V128="TIPO I",'BASE DE LIQUIDACION 2025'!$D$3,'BASE DE LIQUIDACION 2025'!$D$4)</f>
        <v>110808.27512000001</v>
      </c>
      <c r="AE128" s="53">
        <f t="shared" si="3"/>
        <v>469993.17164000002</v>
      </c>
    </row>
    <row r="129" spans="1:31" s="46" customFormat="1">
      <c r="A129" s="69" t="s">
        <v>203</v>
      </c>
      <c r="B129" s="45" t="str">
        <f>VLOOKUP(A129,'CENTRO DE COSTOS'!A:D,4,FALSE)</f>
        <v>MIGUEL JULIÁN HERNÁNDEZ GUARÍN</v>
      </c>
      <c r="C129" s="45" t="str">
        <f>VLOOKUP(A129,'CENTRO DE COSTOS'!A:D,2,FALSE)</f>
        <v>0004-0008</v>
      </c>
      <c r="D129" s="69">
        <v>15507</v>
      </c>
      <c r="E129" s="70" t="s">
        <v>911</v>
      </c>
      <c r="F129" s="71">
        <v>80904</v>
      </c>
      <c r="G129" s="79" t="s">
        <v>132</v>
      </c>
      <c r="H129" s="73" t="s">
        <v>133</v>
      </c>
      <c r="I129" s="71" t="s">
        <v>205</v>
      </c>
      <c r="J129" s="81" t="s">
        <v>912</v>
      </c>
      <c r="K129" s="71" t="s">
        <v>913</v>
      </c>
      <c r="L129" s="75" t="s">
        <v>137</v>
      </c>
      <c r="M129" s="82" t="s">
        <v>914</v>
      </c>
      <c r="N129" s="74">
        <v>45875</v>
      </c>
      <c r="O129" s="76">
        <v>45882</v>
      </c>
      <c r="P129" s="83" t="s">
        <v>139</v>
      </c>
      <c r="Q129" s="84" t="s">
        <v>139</v>
      </c>
      <c r="R129" s="69" t="s">
        <v>140</v>
      </c>
      <c r="S129" s="72" t="s">
        <v>915</v>
      </c>
      <c r="T129" s="79" t="s">
        <v>595</v>
      </c>
      <c r="U129" s="69" t="s">
        <v>916</v>
      </c>
      <c r="V129" s="81" t="s">
        <v>144</v>
      </c>
      <c r="W129" s="76" t="s">
        <v>145</v>
      </c>
      <c r="X129" s="79" t="s">
        <v>595</v>
      </c>
      <c r="Y129" s="69">
        <v>1</v>
      </c>
      <c r="Z129" s="69">
        <v>1</v>
      </c>
      <c r="AA129" s="69">
        <v>1</v>
      </c>
      <c r="AB129" s="49">
        <f>IF(V129="TIPO I",'BASE DE LIQUIDACION 2025'!$B$3,'BASE DE LIQUIDACION 2025'!$B$4)</f>
        <v>11251.22416</v>
      </c>
      <c r="AC129" s="49">
        <f>IF(V129="TIPO I",'BASE DE LIQUIDACION 2025'!$C$3,'BASE DE LIQUIDACION 2025'!$C$4)</f>
        <v>126317.12212</v>
      </c>
      <c r="AD129" s="49">
        <f>IF(V129="TIPO I",'BASE DE LIQUIDACION 2025'!$D$3,'BASE DE LIQUIDACION 2025'!$D$4)</f>
        <v>110808.27512000001</v>
      </c>
      <c r="AE129" s="53">
        <f t="shared" si="3"/>
        <v>248376.6214</v>
      </c>
    </row>
    <row r="130" spans="1:31" s="46" customFormat="1">
      <c r="A130" s="69" t="s">
        <v>269</v>
      </c>
      <c r="B130" s="45" t="str">
        <f>VLOOKUP(A130,'CENTRO DE COSTOS'!A:D,4,FALSE)</f>
        <v>MIGUEL JULIÁN HERNÁNDEZ GUARÍN</v>
      </c>
      <c r="C130" s="45" t="str">
        <f>VLOOKUP(A130,'CENTRO DE COSTOS'!A:D,2,FALSE)</f>
        <v>0004-0008</v>
      </c>
      <c r="D130" s="69">
        <v>68755</v>
      </c>
      <c r="E130" s="70" t="s">
        <v>917</v>
      </c>
      <c r="F130" s="71">
        <v>80916</v>
      </c>
      <c r="G130" s="79" t="s">
        <v>132</v>
      </c>
      <c r="H130" s="73" t="s">
        <v>133</v>
      </c>
      <c r="I130" s="71" t="s">
        <v>795</v>
      </c>
      <c r="J130" s="81" t="s">
        <v>918</v>
      </c>
      <c r="K130" s="71" t="s">
        <v>919</v>
      </c>
      <c r="L130" s="75" t="s">
        <v>137</v>
      </c>
      <c r="M130" s="82" t="s">
        <v>920</v>
      </c>
      <c r="N130" s="74">
        <v>45875</v>
      </c>
      <c r="O130" s="76">
        <v>45880</v>
      </c>
      <c r="P130" s="83" t="s">
        <v>139</v>
      </c>
      <c r="Q130" s="84" t="s">
        <v>139</v>
      </c>
      <c r="R130" s="69" t="s">
        <v>140</v>
      </c>
      <c r="S130" s="72" t="s">
        <v>921</v>
      </c>
      <c r="T130" s="79" t="s">
        <v>922</v>
      </c>
      <c r="U130" s="69" t="s">
        <v>923</v>
      </c>
      <c r="V130" s="81" t="s">
        <v>230</v>
      </c>
      <c r="W130" s="76" t="s">
        <v>145</v>
      </c>
      <c r="X130" s="79" t="s">
        <v>922</v>
      </c>
      <c r="Y130" s="69">
        <v>1</v>
      </c>
      <c r="Z130" s="69">
        <v>1</v>
      </c>
      <c r="AA130" s="69">
        <v>1</v>
      </c>
      <c r="AB130" s="49">
        <f>IF(V130="TIPO I",'BASE DE LIQUIDACION 2025'!$B$3,'BASE DE LIQUIDACION 2025'!$B$4)</f>
        <v>11251.22416</v>
      </c>
      <c r="AC130" s="49">
        <f>IF(V130="TIPO I",'BASE DE LIQUIDACION 2025'!$C$3,'BASE DE LIQUIDACION 2025'!$C$4)</f>
        <v>126317.12212</v>
      </c>
      <c r="AD130" s="49">
        <f>IF(V130="TIPO I",'BASE DE LIQUIDACION 2025'!$D$3,'BASE DE LIQUIDACION 2025'!$D$4)</f>
        <v>110808.27512000001</v>
      </c>
      <c r="AE130" s="53">
        <f t="shared" si="3"/>
        <v>248376.6214</v>
      </c>
    </row>
    <row r="131" spans="1:31" s="46" customFormat="1">
      <c r="A131" s="69" t="s">
        <v>269</v>
      </c>
      <c r="B131" s="45" t="str">
        <f>VLOOKUP(A131,'CENTRO DE COSTOS'!A:D,4,FALSE)</f>
        <v>MIGUEL JULIÁN HERNÁNDEZ GUARÍN</v>
      </c>
      <c r="C131" s="45" t="str">
        <f>VLOOKUP(A131,'CENTRO DE COSTOS'!A:D,2,FALSE)</f>
        <v>0004-0008</v>
      </c>
      <c r="D131" s="69">
        <v>68276</v>
      </c>
      <c r="E131" s="70" t="s">
        <v>924</v>
      </c>
      <c r="F131" s="71">
        <v>80885</v>
      </c>
      <c r="G131" s="79" t="s">
        <v>132</v>
      </c>
      <c r="H131" s="73" t="s">
        <v>133</v>
      </c>
      <c r="I131" s="71" t="s">
        <v>795</v>
      </c>
      <c r="J131" s="81" t="s">
        <v>925</v>
      </c>
      <c r="K131" s="71" t="s">
        <v>926</v>
      </c>
      <c r="L131" s="75" t="s">
        <v>137</v>
      </c>
      <c r="M131" s="82" t="s">
        <v>927</v>
      </c>
      <c r="N131" s="74">
        <v>45875</v>
      </c>
      <c r="O131" s="76">
        <v>45877</v>
      </c>
      <c r="P131" s="83" t="s">
        <v>139</v>
      </c>
      <c r="Q131" s="84" t="s">
        <v>139</v>
      </c>
      <c r="R131" s="69" t="s">
        <v>140</v>
      </c>
      <c r="S131" s="72" t="s">
        <v>928</v>
      </c>
      <c r="T131" s="79" t="s">
        <v>929</v>
      </c>
      <c r="U131" s="69" t="s">
        <v>930</v>
      </c>
      <c r="V131" s="81" t="s">
        <v>52</v>
      </c>
      <c r="W131" s="76" t="s">
        <v>145</v>
      </c>
      <c r="X131" s="79" t="s">
        <v>929</v>
      </c>
      <c r="Y131" s="69">
        <v>1</v>
      </c>
      <c r="Z131" s="69">
        <v>1</v>
      </c>
      <c r="AA131" s="69">
        <v>1</v>
      </c>
      <c r="AB131" s="49">
        <f>IF(V131="TIPO I",'BASE DE LIQUIDACION 2025'!$B$3,'BASE DE LIQUIDACION 2025'!$B$4)</f>
        <v>11251.22416</v>
      </c>
      <c r="AC131" s="49">
        <f>IF(V131="TIPO I",'BASE DE LIQUIDACION 2025'!$C$3,'BASE DE LIQUIDACION 2025'!$C$4)</f>
        <v>126317.12212</v>
      </c>
      <c r="AD131" s="49">
        <f>IF(V131="TIPO I",'BASE DE LIQUIDACION 2025'!$D$3,'BASE DE LIQUIDACION 2025'!$D$4)</f>
        <v>57411.974240000003</v>
      </c>
      <c r="AE131" s="53">
        <f t="shared" si="3"/>
        <v>194980.32052000001</v>
      </c>
    </row>
    <row r="132" spans="1:31" s="46" customFormat="1">
      <c r="A132" s="69" t="s">
        <v>285</v>
      </c>
      <c r="B132" s="45" t="str">
        <f>VLOOKUP(A132,'CENTRO DE COSTOS'!A:D,4,FALSE)</f>
        <v>MIGUEL JULIÁN HERNÁNDEZ GUARÍN</v>
      </c>
      <c r="C132" s="45" t="str">
        <f>VLOOKUP(A132,'CENTRO DE COSTOS'!A:D,2,FALSE)</f>
        <v>0004-0008</v>
      </c>
      <c r="D132" s="69">
        <v>54001</v>
      </c>
      <c r="E132" s="70" t="s">
        <v>931</v>
      </c>
      <c r="F132" s="71">
        <v>80879</v>
      </c>
      <c r="G132" s="79" t="s">
        <v>132</v>
      </c>
      <c r="H132" s="73" t="s">
        <v>133</v>
      </c>
      <c r="I132" s="71" t="s">
        <v>287</v>
      </c>
      <c r="J132" s="81" t="s">
        <v>285</v>
      </c>
      <c r="K132" s="71" t="s">
        <v>932</v>
      </c>
      <c r="L132" s="75" t="s">
        <v>137</v>
      </c>
      <c r="M132" s="82" t="s">
        <v>933</v>
      </c>
      <c r="N132" s="74">
        <v>45875</v>
      </c>
      <c r="O132" s="76">
        <v>45877</v>
      </c>
      <c r="P132" s="83" t="s">
        <v>139</v>
      </c>
      <c r="Q132" s="84" t="s">
        <v>139</v>
      </c>
      <c r="R132" s="69" t="s">
        <v>140</v>
      </c>
      <c r="S132" s="72" t="s">
        <v>934</v>
      </c>
      <c r="T132" s="79" t="s">
        <v>364</v>
      </c>
      <c r="U132" s="69" t="s">
        <v>935</v>
      </c>
      <c r="V132" s="81" t="s">
        <v>52</v>
      </c>
      <c r="W132" s="76" t="s">
        <v>145</v>
      </c>
      <c r="X132" s="79" t="s">
        <v>364</v>
      </c>
      <c r="Y132" s="69">
        <v>1</v>
      </c>
      <c r="Z132" s="69">
        <v>1</v>
      </c>
      <c r="AA132" s="69">
        <v>1</v>
      </c>
      <c r="AB132" s="49">
        <f>IF(V132="TIPO I",'BASE DE LIQUIDACION 2025'!$B$3,'BASE DE LIQUIDACION 2025'!$B$4)</f>
        <v>11251.22416</v>
      </c>
      <c r="AC132" s="49">
        <f>IF(V132="TIPO I",'BASE DE LIQUIDACION 2025'!$C$3,'BASE DE LIQUIDACION 2025'!$C$4)</f>
        <v>126317.12212</v>
      </c>
      <c r="AD132" s="49">
        <f>IF(V132="TIPO I",'BASE DE LIQUIDACION 2025'!$D$3,'BASE DE LIQUIDACION 2025'!$D$4)</f>
        <v>57411.974240000003</v>
      </c>
      <c r="AE132" s="53">
        <f t="shared" si="3"/>
        <v>194980.32052000001</v>
      </c>
    </row>
    <row r="133" spans="1:31" s="46" customFormat="1">
      <c r="A133" s="69" t="s">
        <v>688</v>
      </c>
      <c r="B133" s="45" t="str">
        <f>VLOOKUP(A133,'CENTRO DE COSTOS'!A:D,4,FALSE)</f>
        <v>KEVIN ALEXIS CORZO BUSTOS</v>
      </c>
      <c r="C133" s="45" t="str">
        <f>VLOOKUP(A133,'CENTRO DE COSTOS'!A:D,2,FALSE)</f>
        <v>0004-0007</v>
      </c>
      <c r="D133" s="69">
        <v>73001</v>
      </c>
      <c r="E133" s="70" t="s">
        <v>936</v>
      </c>
      <c r="F133" s="71">
        <v>80887</v>
      </c>
      <c r="G133" s="79" t="s">
        <v>132</v>
      </c>
      <c r="H133" s="73" t="s">
        <v>133</v>
      </c>
      <c r="I133" s="71" t="s">
        <v>690</v>
      </c>
      <c r="J133" s="81" t="s">
        <v>688</v>
      </c>
      <c r="K133" s="71" t="s">
        <v>937</v>
      </c>
      <c r="L133" s="75" t="s">
        <v>137</v>
      </c>
      <c r="M133" s="82" t="s">
        <v>938</v>
      </c>
      <c r="N133" s="74">
        <v>45875</v>
      </c>
      <c r="O133" s="76">
        <v>45877</v>
      </c>
      <c r="P133" s="83" t="s">
        <v>139</v>
      </c>
      <c r="Q133" s="84" t="s">
        <v>139</v>
      </c>
      <c r="R133" s="69" t="s">
        <v>140</v>
      </c>
      <c r="S133" s="72" t="s">
        <v>939</v>
      </c>
      <c r="T133" s="79" t="s">
        <v>940</v>
      </c>
      <c r="U133" s="69" t="s">
        <v>941</v>
      </c>
      <c r="V133" s="81" t="s">
        <v>52</v>
      </c>
      <c r="W133" s="76" t="s">
        <v>145</v>
      </c>
      <c r="X133" s="79" t="s">
        <v>940</v>
      </c>
      <c r="Y133" s="69">
        <v>1</v>
      </c>
      <c r="Z133" s="69">
        <v>1</v>
      </c>
      <c r="AA133" s="69">
        <v>1</v>
      </c>
      <c r="AB133" s="49">
        <f>IF(V133="TIPO I",'BASE DE LIQUIDACION 2025'!$B$3,'BASE DE LIQUIDACION 2025'!$B$4)</f>
        <v>11251.22416</v>
      </c>
      <c r="AC133" s="49">
        <f>IF(V133="TIPO I",'BASE DE LIQUIDACION 2025'!$C$3,'BASE DE LIQUIDACION 2025'!$C$4)</f>
        <v>126317.12212</v>
      </c>
      <c r="AD133" s="49">
        <f>IF(V133="TIPO I",'BASE DE LIQUIDACION 2025'!$D$3,'BASE DE LIQUIDACION 2025'!$D$4)</f>
        <v>57411.974240000003</v>
      </c>
      <c r="AE133" s="53">
        <f t="shared" si="3"/>
        <v>194980.32052000001</v>
      </c>
    </row>
    <row r="134" spans="1:31" s="46" customFormat="1">
      <c r="A134" s="69" t="s">
        <v>688</v>
      </c>
      <c r="B134" s="45" t="str">
        <f>VLOOKUP(A134,'CENTRO DE COSTOS'!A:D,4,FALSE)</f>
        <v>KEVIN ALEXIS CORZO BUSTOS</v>
      </c>
      <c r="C134" s="45" t="str">
        <f>VLOOKUP(A134,'CENTRO DE COSTOS'!A:D,2,FALSE)</f>
        <v>0004-0007</v>
      </c>
      <c r="D134" s="69">
        <v>73001</v>
      </c>
      <c r="E134" s="70" t="s">
        <v>942</v>
      </c>
      <c r="F134" s="71">
        <v>80890</v>
      </c>
      <c r="G134" s="79" t="s">
        <v>132</v>
      </c>
      <c r="H134" s="73" t="s">
        <v>133</v>
      </c>
      <c r="I134" s="71" t="s">
        <v>690</v>
      </c>
      <c r="J134" s="81" t="s">
        <v>688</v>
      </c>
      <c r="K134" s="71" t="s">
        <v>943</v>
      </c>
      <c r="L134" s="75" t="s">
        <v>137</v>
      </c>
      <c r="M134" s="82" t="s">
        <v>944</v>
      </c>
      <c r="N134" s="74">
        <v>45875</v>
      </c>
      <c r="O134" s="76">
        <v>45880</v>
      </c>
      <c r="P134" s="83" t="s">
        <v>139</v>
      </c>
      <c r="Q134" s="84" t="s">
        <v>139</v>
      </c>
      <c r="R134" s="69" t="s">
        <v>140</v>
      </c>
      <c r="S134" s="72" t="s">
        <v>945</v>
      </c>
      <c r="T134" s="79" t="s">
        <v>940</v>
      </c>
      <c r="U134" s="69" t="s">
        <v>946</v>
      </c>
      <c r="V134" s="81" t="s">
        <v>52</v>
      </c>
      <c r="W134" s="76" t="s">
        <v>145</v>
      </c>
      <c r="X134" s="79" t="s">
        <v>940</v>
      </c>
      <c r="Y134" s="69">
        <v>1</v>
      </c>
      <c r="Z134" s="69">
        <v>1</v>
      </c>
      <c r="AA134" s="69">
        <v>1</v>
      </c>
      <c r="AB134" s="49">
        <f>IF(V134="TIPO I",'BASE DE LIQUIDACION 2025'!$B$3,'BASE DE LIQUIDACION 2025'!$B$4)</f>
        <v>11251.22416</v>
      </c>
      <c r="AC134" s="49">
        <f>IF(V134="TIPO I",'BASE DE LIQUIDACION 2025'!$C$3,'BASE DE LIQUIDACION 2025'!$C$4)</f>
        <v>126317.12212</v>
      </c>
      <c r="AD134" s="49">
        <f>IF(V134="TIPO I",'BASE DE LIQUIDACION 2025'!$D$3,'BASE DE LIQUIDACION 2025'!$D$4)</f>
        <v>57411.974240000003</v>
      </c>
      <c r="AE134" s="53">
        <f t="shared" si="3"/>
        <v>194980.32052000001</v>
      </c>
    </row>
    <row r="135" spans="1:31" s="46" customFormat="1">
      <c r="A135" s="69" t="s">
        <v>167</v>
      </c>
      <c r="B135" s="45" t="str">
        <f>VLOOKUP(A135,'CENTRO DE COSTOS'!A:D,4,FALSE)</f>
        <v>KEVIN ALEXIS CORZO BUSTOS</v>
      </c>
      <c r="C135" s="45" t="str">
        <f>VLOOKUP(A135,'CENTRO DE COSTOS'!A:D,2,FALSE)</f>
        <v>0004-0007</v>
      </c>
      <c r="D135" s="69">
        <v>85250</v>
      </c>
      <c r="E135" s="70" t="s">
        <v>947</v>
      </c>
      <c r="F135" s="71">
        <v>80905</v>
      </c>
      <c r="G135" s="79" t="s">
        <v>132</v>
      </c>
      <c r="H135" s="73" t="s">
        <v>133</v>
      </c>
      <c r="I135" s="71" t="s">
        <v>169</v>
      </c>
      <c r="J135" s="81" t="s">
        <v>948</v>
      </c>
      <c r="K135" s="71" t="s">
        <v>949</v>
      </c>
      <c r="L135" s="75" t="s">
        <v>137</v>
      </c>
      <c r="M135" s="82" t="s">
        <v>950</v>
      </c>
      <c r="N135" s="74">
        <v>45875</v>
      </c>
      <c r="O135" s="76">
        <v>45880</v>
      </c>
      <c r="P135" s="83" t="s">
        <v>139</v>
      </c>
      <c r="Q135" s="84" t="s">
        <v>139</v>
      </c>
      <c r="R135" s="69" t="s">
        <v>140</v>
      </c>
      <c r="S135" s="72" t="s">
        <v>951</v>
      </c>
      <c r="T135" s="79" t="s">
        <v>173</v>
      </c>
      <c r="U135" s="69" t="s">
        <v>952</v>
      </c>
      <c r="V135" s="81" t="s">
        <v>202</v>
      </c>
      <c r="W135" s="76" t="s">
        <v>145</v>
      </c>
      <c r="X135" s="79" t="s">
        <v>173</v>
      </c>
      <c r="Y135" s="69">
        <v>1</v>
      </c>
      <c r="Z135" s="69">
        <v>1</v>
      </c>
      <c r="AA135" s="69">
        <v>1</v>
      </c>
      <c r="AB135" s="49">
        <f>IF(V135="TIPO I",'BASE DE LIQUIDACION 2025'!$B$3,'BASE DE LIQUIDACION 2025'!$B$4)</f>
        <v>11251.22416</v>
      </c>
      <c r="AC135" s="49">
        <f>IF(V135="TIPO I",'BASE DE LIQUIDACION 2025'!$C$3,'BASE DE LIQUIDACION 2025'!$C$4)</f>
        <v>126317.12212</v>
      </c>
      <c r="AD135" s="49">
        <f>IF(V135="TIPO I",'BASE DE LIQUIDACION 2025'!$D$3,'BASE DE LIQUIDACION 2025'!$D$4)</f>
        <v>110808.27512000001</v>
      </c>
      <c r="AE135" s="53">
        <f t="shared" si="3"/>
        <v>248376.6214</v>
      </c>
    </row>
    <row r="136" spans="1:31" s="46" customFormat="1">
      <c r="A136" s="69" t="s">
        <v>399</v>
      </c>
      <c r="B136" s="45" t="str">
        <f>VLOOKUP(A136,'CENTRO DE COSTOS'!A:D,4,FALSE)</f>
        <v>JOSE MAURICIO HERNANDEZ ROJAS</v>
      </c>
      <c r="C136" s="45" t="str">
        <f>VLOOKUP(A136,'CENTRO DE COSTOS'!A:D,2,FALSE)</f>
        <v>0004-0001</v>
      </c>
      <c r="D136" s="69">
        <v>20011</v>
      </c>
      <c r="E136" s="70" t="s">
        <v>953</v>
      </c>
      <c r="F136" s="71">
        <v>80925</v>
      </c>
      <c r="G136" s="79" t="s">
        <v>132</v>
      </c>
      <c r="H136" s="73" t="s">
        <v>133</v>
      </c>
      <c r="I136" s="71" t="s">
        <v>401</v>
      </c>
      <c r="J136" s="81" t="s">
        <v>402</v>
      </c>
      <c r="K136" s="71" t="s">
        <v>954</v>
      </c>
      <c r="L136" s="75" t="s">
        <v>137</v>
      </c>
      <c r="M136" s="82" t="s">
        <v>955</v>
      </c>
      <c r="N136" s="74">
        <v>45875</v>
      </c>
      <c r="O136" s="76">
        <v>45877</v>
      </c>
      <c r="P136" s="83" t="s">
        <v>139</v>
      </c>
      <c r="Q136" s="84" t="s">
        <v>139</v>
      </c>
      <c r="R136" s="69" t="s">
        <v>140</v>
      </c>
      <c r="S136" s="72" t="s">
        <v>956</v>
      </c>
      <c r="T136" s="79" t="s">
        <v>957</v>
      </c>
      <c r="U136" s="69" t="s">
        <v>958</v>
      </c>
      <c r="V136" s="81" t="s">
        <v>144</v>
      </c>
      <c r="W136" s="76" t="s">
        <v>145</v>
      </c>
      <c r="X136" s="79" t="s">
        <v>957</v>
      </c>
      <c r="Y136" s="69">
        <v>1</v>
      </c>
      <c r="Z136" s="69">
        <v>1</v>
      </c>
      <c r="AA136" s="69">
        <v>1</v>
      </c>
      <c r="AB136" s="49">
        <f>IF(V136="TIPO I",'BASE DE LIQUIDACION 2025'!$B$3,'BASE DE LIQUIDACION 2025'!$B$4)</f>
        <v>11251.22416</v>
      </c>
      <c r="AC136" s="49">
        <f>IF(V136="TIPO I",'BASE DE LIQUIDACION 2025'!$C$3,'BASE DE LIQUIDACION 2025'!$C$4)</f>
        <v>126317.12212</v>
      </c>
      <c r="AD136" s="49">
        <f>IF(V136="TIPO I",'BASE DE LIQUIDACION 2025'!$D$3,'BASE DE LIQUIDACION 2025'!$D$4)</f>
        <v>110808.27512000001</v>
      </c>
      <c r="AE136" s="53">
        <f t="shared" si="3"/>
        <v>248376.6214</v>
      </c>
    </row>
    <row r="137" spans="1:31" s="46" customFormat="1">
      <c r="A137" s="69" t="s">
        <v>269</v>
      </c>
      <c r="B137" s="45" t="str">
        <f>VLOOKUP(A137,'CENTRO DE COSTOS'!A:D,4,FALSE)</f>
        <v>MIGUEL JULIÁN HERNÁNDEZ GUARÍN</v>
      </c>
      <c r="C137" s="45" t="str">
        <f>VLOOKUP(A137,'CENTRO DE COSTOS'!A:D,2,FALSE)</f>
        <v>0004-0008</v>
      </c>
      <c r="D137" s="69">
        <v>68547</v>
      </c>
      <c r="E137" s="70" t="s">
        <v>959</v>
      </c>
      <c r="F137" s="71">
        <v>80908</v>
      </c>
      <c r="G137" s="79" t="s">
        <v>132</v>
      </c>
      <c r="H137" s="73" t="s">
        <v>133</v>
      </c>
      <c r="I137" s="71" t="s">
        <v>795</v>
      </c>
      <c r="J137" s="81" t="s">
        <v>819</v>
      </c>
      <c r="K137" s="71" t="s">
        <v>960</v>
      </c>
      <c r="L137" s="75" t="s">
        <v>137</v>
      </c>
      <c r="M137" s="82" t="s">
        <v>961</v>
      </c>
      <c r="N137" s="74">
        <v>45875</v>
      </c>
      <c r="O137" s="76">
        <v>45877</v>
      </c>
      <c r="P137" s="83" t="s">
        <v>139</v>
      </c>
      <c r="Q137" s="84" t="s">
        <v>139</v>
      </c>
      <c r="R137" s="69" t="s">
        <v>140</v>
      </c>
      <c r="S137" s="72" t="s">
        <v>962</v>
      </c>
      <c r="T137" s="79" t="s">
        <v>822</v>
      </c>
      <c r="U137" s="69" t="s">
        <v>963</v>
      </c>
      <c r="V137" s="81" t="s">
        <v>202</v>
      </c>
      <c r="W137" s="76" t="s">
        <v>145</v>
      </c>
      <c r="X137" s="79" t="s">
        <v>822</v>
      </c>
      <c r="Y137" s="69">
        <v>1</v>
      </c>
      <c r="Z137" s="69">
        <v>1</v>
      </c>
      <c r="AA137" s="69">
        <v>1</v>
      </c>
      <c r="AB137" s="49">
        <f>IF(V137="TIPO I",'BASE DE LIQUIDACION 2025'!$B$3,'BASE DE LIQUIDACION 2025'!$B$4)</f>
        <v>11251.22416</v>
      </c>
      <c r="AC137" s="49">
        <f>IF(V137="TIPO I",'BASE DE LIQUIDACION 2025'!$C$3,'BASE DE LIQUIDACION 2025'!$C$4)</f>
        <v>126317.12212</v>
      </c>
      <c r="AD137" s="49">
        <f>IF(V137="TIPO I",'BASE DE LIQUIDACION 2025'!$D$3,'BASE DE LIQUIDACION 2025'!$D$4)</f>
        <v>110808.27512000001</v>
      </c>
      <c r="AE137" s="53">
        <f t="shared" si="3"/>
        <v>248376.6214</v>
      </c>
    </row>
    <row r="138" spans="1:31" s="46" customFormat="1">
      <c r="A138" s="69" t="s">
        <v>379</v>
      </c>
      <c r="B138" s="45" t="str">
        <f>VLOOKUP(A138,'CENTRO DE COSTOS'!A:D,4,FALSE)</f>
        <v>JOSE MAURICIO HERNANDEZ ROJAS</v>
      </c>
      <c r="C138" s="45" t="str">
        <f>VLOOKUP(A138,'CENTRO DE COSTOS'!A:D,2,FALSE)</f>
        <v>0004-0001</v>
      </c>
      <c r="D138" s="69">
        <v>23001</v>
      </c>
      <c r="E138" s="70" t="s">
        <v>964</v>
      </c>
      <c r="F138" s="71">
        <v>80897</v>
      </c>
      <c r="G138" s="79" t="s">
        <v>132</v>
      </c>
      <c r="H138" s="73" t="s">
        <v>133</v>
      </c>
      <c r="I138" s="71" t="s">
        <v>381</v>
      </c>
      <c r="J138" s="81" t="s">
        <v>379</v>
      </c>
      <c r="K138" s="71" t="s">
        <v>965</v>
      </c>
      <c r="L138" s="75" t="s">
        <v>137</v>
      </c>
      <c r="M138" s="82" t="s">
        <v>966</v>
      </c>
      <c r="N138" s="74">
        <v>45875</v>
      </c>
      <c r="O138" s="76">
        <v>45877</v>
      </c>
      <c r="P138" s="83" t="s">
        <v>139</v>
      </c>
      <c r="Q138" s="84" t="s">
        <v>139</v>
      </c>
      <c r="R138" s="69" t="s">
        <v>140</v>
      </c>
      <c r="S138" s="72" t="s">
        <v>967</v>
      </c>
      <c r="T138" s="79" t="s">
        <v>385</v>
      </c>
      <c r="U138" s="69" t="s">
        <v>968</v>
      </c>
      <c r="V138" s="81" t="s">
        <v>52</v>
      </c>
      <c r="W138" s="76" t="s">
        <v>145</v>
      </c>
      <c r="X138" s="79" t="s">
        <v>385</v>
      </c>
      <c r="Y138" s="69">
        <v>1</v>
      </c>
      <c r="Z138" s="69">
        <v>1</v>
      </c>
      <c r="AA138" s="69">
        <v>1</v>
      </c>
      <c r="AB138" s="49">
        <f>IF(V138="TIPO I",'BASE DE LIQUIDACION 2025'!$B$3,'BASE DE LIQUIDACION 2025'!$B$4)</f>
        <v>11251.22416</v>
      </c>
      <c r="AC138" s="49">
        <f>IF(V138="TIPO I",'BASE DE LIQUIDACION 2025'!$C$3,'BASE DE LIQUIDACION 2025'!$C$4)</f>
        <v>126317.12212</v>
      </c>
      <c r="AD138" s="49">
        <f>IF(V138="TIPO I",'BASE DE LIQUIDACION 2025'!$D$3,'BASE DE LIQUIDACION 2025'!$D$4)</f>
        <v>57411.974240000003</v>
      </c>
      <c r="AE138" s="53">
        <f t="shared" si="3"/>
        <v>194980.32052000001</v>
      </c>
    </row>
    <row r="139" spans="1:31" s="46" customFormat="1">
      <c r="A139" s="69" t="s">
        <v>379</v>
      </c>
      <c r="B139" s="45" t="str">
        <f>VLOOKUP(A139,'CENTRO DE COSTOS'!A:D,4,FALSE)</f>
        <v>JOSE MAURICIO HERNANDEZ ROJAS</v>
      </c>
      <c r="C139" s="45" t="str">
        <f>VLOOKUP(A139,'CENTRO DE COSTOS'!A:D,2,FALSE)</f>
        <v>0004-0001</v>
      </c>
      <c r="D139" s="69">
        <v>23001</v>
      </c>
      <c r="E139" s="70" t="s">
        <v>969</v>
      </c>
      <c r="F139" s="71">
        <v>80898</v>
      </c>
      <c r="G139" s="79" t="s">
        <v>132</v>
      </c>
      <c r="H139" s="73" t="s">
        <v>133</v>
      </c>
      <c r="I139" s="71" t="s">
        <v>381</v>
      </c>
      <c r="J139" s="81" t="s">
        <v>379</v>
      </c>
      <c r="K139" s="71" t="s">
        <v>970</v>
      </c>
      <c r="L139" s="75" t="s">
        <v>137</v>
      </c>
      <c r="M139" s="82" t="s">
        <v>971</v>
      </c>
      <c r="N139" s="74">
        <v>45875</v>
      </c>
      <c r="O139" s="76">
        <v>45877</v>
      </c>
      <c r="P139" s="83" t="s">
        <v>139</v>
      </c>
      <c r="Q139" s="84" t="s">
        <v>139</v>
      </c>
      <c r="R139" s="69" t="s">
        <v>140</v>
      </c>
      <c r="S139" s="72" t="s">
        <v>972</v>
      </c>
      <c r="T139" s="79" t="s">
        <v>385</v>
      </c>
      <c r="U139" s="69" t="s">
        <v>973</v>
      </c>
      <c r="V139" s="81" t="s">
        <v>52</v>
      </c>
      <c r="W139" s="76" t="s">
        <v>145</v>
      </c>
      <c r="X139" s="79" t="s">
        <v>385</v>
      </c>
      <c r="Y139" s="69">
        <v>1</v>
      </c>
      <c r="Z139" s="69">
        <v>1</v>
      </c>
      <c r="AA139" s="69">
        <v>1</v>
      </c>
      <c r="AB139" s="49">
        <f>IF(V139="TIPO I",'BASE DE LIQUIDACION 2025'!$B$3,'BASE DE LIQUIDACION 2025'!$B$4)</f>
        <v>11251.22416</v>
      </c>
      <c r="AC139" s="49">
        <f>IF(V139="TIPO I",'BASE DE LIQUIDACION 2025'!$C$3,'BASE DE LIQUIDACION 2025'!$C$4)</f>
        <v>126317.12212</v>
      </c>
      <c r="AD139" s="49">
        <f>IF(V139="TIPO I",'BASE DE LIQUIDACION 2025'!$D$3,'BASE DE LIQUIDACION 2025'!$D$4)</f>
        <v>57411.974240000003</v>
      </c>
      <c r="AE139" s="53">
        <f t="shared" si="3"/>
        <v>194980.32052000001</v>
      </c>
    </row>
    <row r="140" spans="1:31" s="46" customFormat="1">
      <c r="A140" s="69" t="s">
        <v>379</v>
      </c>
      <c r="B140" s="45" t="str">
        <f>VLOOKUP(A140,'CENTRO DE COSTOS'!A:D,4,FALSE)</f>
        <v>JOSE MAURICIO HERNANDEZ ROJAS</v>
      </c>
      <c r="C140" s="45" t="str">
        <f>VLOOKUP(A140,'CENTRO DE COSTOS'!A:D,2,FALSE)</f>
        <v>0004-0001</v>
      </c>
      <c r="D140" s="69">
        <v>23001</v>
      </c>
      <c r="E140" s="70" t="s">
        <v>974</v>
      </c>
      <c r="F140" s="71">
        <v>80899</v>
      </c>
      <c r="G140" s="79" t="s">
        <v>132</v>
      </c>
      <c r="H140" s="73" t="s">
        <v>133</v>
      </c>
      <c r="I140" s="71" t="s">
        <v>381</v>
      </c>
      <c r="J140" s="81" t="s">
        <v>379</v>
      </c>
      <c r="K140" s="71" t="s">
        <v>975</v>
      </c>
      <c r="L140" s="75" t="s">
        <v>137</v>
      </c>
      <c r="M140" s="82" t="s">
        <v>976</v>
      </c>
      <c r="N140" s="74">
        <v>45875</v>
      </c>
      <c r="O140" s="76">
        <v>45877</v>
      </c>
      <c r="P140" s="83" t="s">
        <v>139</v>
      </c>
      <c r="Q140" s="84" t="s">
        <v>139</v>
      </c>
      <c r="R140" s="69" t="s">
        <v>140</v>
      </c>
      <c r="S140" s="72" t="s">
        <v>977</v>
      </c>
      <c r="T140" s="79" t="s">
        <v>385</v>
      </c>
      <c r="U140" s="69" t="s">
        <v>978</v>
      </c>
      <c r="V140" s="81" t="s">
        <v>52</v>
      </c>
      <c r="W140" s="76" t="s">
        <v>145</v>
      </c>
      <c r="X140" s="79" t="s">
        <v>385</v>
      </c>
      <c r="Y140" s="69">
        <v>1</v>
      </c>
      <c r="Z140" s="69">
        <v>1</v>
      </c>
      <c r="AA140" s="69">
        <v>1</v>
      </c>
      <c r="AB140" s="49">
        <f>IF(V140="TIPO I",'BASE DE LIQUIDACION 2025'!$B$3,'BASE DE LIQUIDACION 2025'!$B$4)</f>
        <v>11251.22416</v>
      </c>
      <c r="AC140" s="49">
        <f>IF(V140="TIPO I",'BASE DE LIQUIDACION 2025'!$C$3,'BASE DE LIQUIDACION 2025'!$C$4)</f>
        <v>126317.12212</v>
      </c>
      <c r="AD140" s="49">
        <f>IF(V140="TIPO I",'BASE DE LIQUIDACION 2025'!$D$3,'BASE DE LIQUIDACION 2025'!$D$4)</f>
        <v>57411.974240000003</v>
      </c>
      <c r="AE140" s="53">
        <f t="shared" si="3"/>
        <v>194980.32052000001</v>
      </c>
    </row>
    <row r="141" spans="1:31" s="46" customFormat="1">
      <c r="A141" s="69" t="s">
        <v>285</v>
      </c>
      <c r="B141" s="45" t="str">
        <f>VLOOKUP(A141,'CENTRO DE COSTOS'!A:D,4,FALSE)</f>
        <v>MIGUEL JULIÁN HERNÁNDEZ GUARÍN</v>
      </c>
      <c r="C141" s="45" t="str">
        <f>VLOOKUP(A141,'CENTRO DE COSTOS'!A:D,2,FALSE)</f>
        <v>0004-0008</v>
      </c>
      <c r="D141" s="69">
        <v>54001</v>
      </c>
      <c r="E141" s="70" t="s">
        <v>979</v>
      </c>
      <c r="F141" s="71">
        <v>80880</v>
      </c>
      <c r="G141" s="79" t="s">
        <v>132</v>
      </c>
      <c r="H141" s="73" t="s">
        <v>133</v>
      </c>
      <c r="I141" s="71" t="s">
        <v>287</v>
      </c>
      <c r="J141" s="81" t="s">
        <v>285</v>
      </c>
      <c r="K141" s="71" t="s">
        <v>980</v>
      </c>
      <c r="L141" s="75" t="s">
        <v>137</v>
      </c>
      <c r="M141" s="82" t="s">
        <v>981</v>
      </c>
      <c r="N141" s="74">
        <v>45875</v>
      </c>
      <c r="O141" s="76">
        <v>45877</v>
      </c>
      <c r="P141" s="83" t="s">
        <v>139</v>
      </c>
      <c r="Q141" s="84" t="s">
        <v>139</v>
      </c>
      <c r="R141" s="69" t="s">
        <v>140</v>
      </c>
      <c r="S141" s="72" t="s">
        <v>982</v>
      </c>
      <c r="T141" s="79" t="s">
        <v>358</v>
      </c>
      <c r="U141" s="69" t="s">
        <v>983</v>
      </c>
      <c r="V141" s="81" t="s">
        <v>52</v>
      </c>
      <c r="W141" s="76" t="s">
        <v>145</v>
      </c>
      <c r="X141" s="79" t="s">
        <v>358</v>
      </c>
      <c r="Y141" s="69">
        <v>1</v>
      </c>
      <c r="Z141" s="69">
        <v>1</v>
      </c>
      <c r="AA141" s="69">
        <v>1</v>
      </c>
      <c r="AB141" s="49">
        <f>IF(V141="TIPO I",'BASE DE LIQUIDACION 2025'!$B$3,'BASE DE LIQUIDACION 2025'!$B$4)</f>
        <v>11251.22416</v>
      </c>
      <c r="AC141" s="49">
        <f>IF(V141="TIPO I",'BASE DE LIQUIDACION 2025'!$C$3,'BASE DE LIQUIDACION 2025'!$C$4)</f>
        <v>126317.12212</v>
      </c>
      <c r="AD141" s="49">
        <f>IF(V141="TIPO I",'BASE DE LIQUIDACION 2025'!$D$3,'BASE DE LIQUIDACION 2025'!$D$4)</f>
        <v>57411.974240000003</v>
      </c>
      <c r="AE141" s="53">
        <f t="shared" si="3"/>
        <v>194980.32052000001</v>
      </c>
    </row>
    <row r="142" spans="1:31" s="46" customFormat="1">
      <c r="A142" s="69" t="s">
        <v>269</v>
      </c>
      <c r="B142" s="45" t="str">
        <f>VLOOKUP(A142,'CENTRO DE COSTOS'!A:D,4,FALSE)</f>
        <v>MIGUEL JULIÁN HERNÁNDEZ GUARÍN</v>
      </c>
      <c r="C142" s="45" t="str">
        <f>VLOOKUP(A142,'CENTRO DE COSTOS'!A:D,2,FALSE)</f>
        <v>0004-0008</v>
      </c>
      <c r="D142" s="69">
        <v>68001</v>
      </c>
      <c r="E142" s="70" t="s">
        <v>984</v>
      </c>
      <c r="F142" s="71">
        <v>80867</v>
      </c>
      <c r="G142" s="79" t="s">
        <v>132</v>
      </c>
      <c r="H142" s="73" t="s">
        <v>133</v>
      </c>
      <c r="I142" s="71" t="s">
        <v>795</v>
      </c>
      <c r="J142" s="81" t="s">
        <v>269</v>
      </c>
      <c r="K142" s="71" t="s">
        <v>985</v>
      </c>
      <c r="L142" s="75" t="s">
        <v>137</v>
      </c>
      <c r="M142" s="82" t="s">
        <v>986</v>
      </c>
      <c r="N142" s="74">
        <v>45875</v>
      </c>
      <c r="O142" s="76">
        <v>45877</v>
      </c>
      <c r="P142" s="83" t="s">
        <v>139</v>
      </c>
      <c r="Q142" s="84" t="s">
        <v>139</v>
      </c>
      <c r="R142" s="69" t="s">
        <v>140</v>
      </c>
      <c r="S142" s="72" t="s">
        <v>987</v>
      </c>
      <c r="T142" s="79" t="s">
        <v>988</v>
      </c>
      <c r="U142" s="69" t="s">
        <v>989</v>
      </c>
      <c r="V142" s="81" t="s">
        <v>52</v>
      </c>
      <c r="W142" s="76" t="s">
        <v>145</v>
      </c>
      <c r="X142" s="79" t="s">
        <v>988</v>
      </c>
      <c r="Y142" s="69">
        <v>1</v>
      </c>
      <c r="Z142" s="69">
        <v>1</v>
      </c>
      <c r="AA142" s="69">
        <v>1</v>
      </c>
      <c r="AB142" s="49">
        <f>IF(V142="TIPO I",'BASE DE LIQUIDACION 2025'!$B$3,'BASE DE LIQUIDACION 2025'!$B$4)</f>
        <v>11251.22416</v>
      </c>
      <c r="AC142" s="49">
        <f>IF(V142="TIPO I",'BASE DE LIQUIDACION 2025'!$C$3,'BASE DE LIQUIDACION 2025'!$C$4)</f>
        <v>126317.12212</v>
      </c>
      <c r="AD142" s="49">
        <f>IF(V142="TIPO I",'BASE DE LIQUIDACION 2025'!$D$3,'BASE DE LIQUIDACION 2025'!$D$4)</f>
        <v>57411.974240000003</v>
      </c>
      <c r="AE142" s="53">
        <f t="shared" si="3"/>
        <v>194980.32052000001</v>
      </c>
    </row>
    <row r="143" spans="1:31" s="46" customFormat="1">
      <c r="A143" s="69" t="s">
        <v>260</v>
      </c>
      <c r="B143" s="45" t="str">
        <f>VLOOKUP(A143,'CENTRO DE COSTOS'!A:D,4,FALSE)</f>
        <v>KEVIN ALEXIS CORZO BUSTOS</v>
      </c>
      <c r="C143" s="45" t="str">
        <f>VLOOKUP(A143,'CENTRO DE COSTOS'!A:D,2,FALSE)</f>
        <v>0004-0007</v>
      </c>
      <c r="D143" s="69">
        <v>50223</v>
      </c>
      <c r="E143" s="70" t="s">
        <v>990</v>
      </c>
      <c r="F143" s="71">
        <v>80878</v>
      </c>
      <c r="G143" s="79" t="s">
        <v>132</v>
      </c>
      <c r="H143" s="73" t="s">
        <v>133</v>
      </c>
      <c r="I143" s="71" t="s">
        <v>262</v>
      </c>
      <c r="J143" s="81" t="s">
        <v>991</v>
      </c>
      <c r="K143" s="71" t="s">
        <v>992</v>
      </c>
      <c r="L143" s="75" t="s">
        <v>137</v>
      </c>
      <c r="M143" s="82" t="s">
        <v>993</v>
      </c>
      <c r="N143" s="74">
        <v>45875</v>
      </c>
      <c r="O143" s="76">
        <v>45877</v>
      </c>
      <c r="P143" s="83" t="s">
        <v>139</v>
      </c>
      <c r="Q143" s="84" t="s">
        <v>139</v>
      </c>
      <c r="R143" s="69" t="s">
        <v>140</v>
      </c>
      <c r="S143" s="72" t="s">
        <v>994</v>
      </c>
      <c r="T143" s="79" t="s">
        <v>267</v>
      </c>
      <c r="U143" s="69" t="s">
        <v>995</v>
      </c>
      <c r="V143" s="81" t="s">
        <v>202</v>
      </c>
      <c r="W143" s="76" t="s">
        <v>145</v>
      </c>
      <c r="X143" s="79" t="s">
        <v>267</v>
      </c>
      <c r="Y143" s="69">
        <v>1</v>
      </c>
      <c r="Z143" s="69">
        <v>1</v>
      </c>
      <c r="AA143" s="69">
        <v>1</v>
      </c>
      <c r="AB143" s="49">
        <f>IF(V143="TIPO I",'BASE DE LIQUIDACION 2025'!$B$3,'BASE DE LIQUIDACION 2025'!$B$4)</f>
        <v>11251.22416</v>
      </c>
      <c r="AC143" s="49">
        <f>IF(V143="TIPO I",'BASE DE LIQUIDACION 2025'!$C$3,'BASE DE LIQUIDACION 2025'!$C$4)</f>
        <v>126317.12212</v>
      </c>
      <c r="AD143" s="49">
        <f>IF(V143="TIPO I",'BASE DE LIQUIDACION 2025'!$D$3,'BASE DE LIQUIDACION 2025'!$D$4)</f>
        <v>110808.27512000001</v>
      </c>
      <c r="AE143" s="53">
        <f t="shared" si="3"/>
        <v>248376.6214</v>
      </c>
    </row>
    <row r="144" spans="1:31" s="46" customFormat="1">
      <c r="A144" s="69" t="s">
        <v>431</v>
      </c>
      <c r="B144" s="45" t="str">
        <f>VLOOKUP(A144,'CENTRO DE COSTOS'!A:D,4,FALSE)</f>
        <v>WILLIAM ASDRUBAL ROZO ROZO</v>
      </c>
      <c r="C144" s="45" t="str">
        <f>VLOOKUP(A144,'CENTRO DE COSTOS'!A:D,2,FALSE)</f>
        <v>0004-0004</v>
      </c>
      <c r="D144" s="69">
        <v>25899</v>
      </c>
      <c r="E144" s="70" t="s">
        <v>996</v>
      </c>
      <c r="F144" s="71">
        <v>80924</v>
      </c>
      <c r="G144" s="79" t="s">
        <v>132</v>
      </c>
      <c r="H144" s="73" t="s">
        <v>133</v>
      </c>
      <c r="I144" s="71" t="s">
        <v>433</v>
      </c>
      <c r="J144" s="81" t="s">
        <v>546</v>
      </c>
      <c r="K144" s="71" t="s">
        <v>997</v>
      </c>
      <c r="L144" s="75" t="s">
        <v>137</v>
      </c>
      <c r="M144" s="82" t="s">
        <v>998</v>
      </c>
      <c r="N144" s="74">
        <v>45875</v>
      </c>
      <c r="O144" s="76">
        <v>45880</v>
      </c>
      <c r="P144" s="83" t="s">
        <v>139</v>
      </c>
      <c r="Q144" s="84" t="s">
        <v>139</v>
      </c>
      <c r="R144" s="69" t="s">
        <v>140</v>
      </c>
      <c r="S144" s="72" t="s">
        <v>999</v>
      </c>
      <c r="T144" s="79" t="s">
        <v>1000</v>
      </c>
      <c r="U144" s="69" t="s">
        <v>1001</v>
      </c>
      <c r="V144" s="81" t="s">
        <v>202</v>
      </c>
      <c r="W144" s="76" t="s">
        <v>145</v>
      </c>
      <c r="X144" s="79" t="s">
        <v>1000</v>
      </c>
      <c r="Y144" s="69">
        <v>1</v>
      </c>
      <c r="Z144" s="69">
        <v>1</v>
      </c>
      <c r="AA144" s="69">
        <v>1</v>
      </c>
      <c r="AB144" s="49">
        <f>IF(V144="TIPO I",'BASE DE LIQUIDACION 2025'!$B$3,'BASE DE LIQUIDACION 2025'!$B$4)</f>
        <v>11251.22416</v>
      </c>
      <c r="AC144" s="49">
        <f>IF(V144="TIPO I",'BASE DE LIQUIDACION 2025'!$C$3,'BASE DE LIQUIDACION 2025'!$C$4)</f>
        <v>126317.12212</v>
      </c>
      <c r="AD144" s="49">
        <f>IF(V144="TIPO I",'BASE DE LIQUIDACION 2025'!$D$3,'BASE DE LIQUIDACION 2025'!$D$4)</f>
        <v>110808.27512000001</v>
      </c>
      <c r="AE144" s="53">
        <f t="shared" si="3"/>
        <v>248376.6214</v>
      </c>
    </row>
    <row r="145" spans="1:31" s="46" customFormat="1">
      <c r="A145" s="69" t="s">
        <v>431</v>
      </c>
      <c r="B145" s="45" t="str">
        <f>VLOOKUP(A145,'CENTRO DE COSTOS'!A:D,4,FALSE)</f>
        <v>WILLIAM ASDRUBAL ROZO ROZO</v>
      </c>
      <c r="C145" s="45" t="str">
        <f>VLOOKUP(A145,'CENTRO DE COSTOS'!A:D,2,FALSE)</f>
        <v>0004-0004</v>
      </c>
      <c r="D145" s="69">
        <v>25436</v>
      </c>
      <c r="E145" s="70" t="s">
        <v>1002</v>
      </c>
      <c r="F145" s="71">
        <v>80900</v>
      </c>
      <c r="G145" s="79" t="s">
        <v>132</v>
      </c>
      <c r="H145" s="73" t="s">
        <v>133</v>
      </c>
      <c r="I145" s="71" t="s">
        <v>433</v>
      </c>
      <c r="J145" s="81" t="s">
        <v>1003</v>
      </c>
      <c r="K145" s="71" t="s">
        <v>1004</v>
      </c>
      <c r="L145" s="75" t="s">
        <v>137</v>
      </c>
      <c r="M145" s="82" t="s">
        <v>1005</v>
      </c>
      <c r="N145" s="74">
        <v>45875</v>
      </c>
      <c r="O145" s="76">
        <v>45880</v>
      </c>
      <c r="P145" s="83" t="s">
        <v>139</v>
      </c>
      <c r="Q145" s="84" t="s">
        <v>139</v>
      </c>
      <c r="R145" s="69" t="s">
        <v>140</v>
      </c>
      <c r="S145" s="72" t="s">
        <v>1006</v>
      </c>
      <c r="T145" s="79" t="s">
        <v>470</v>
      </c>
      <c r="U145" s="69" t="s">
        <v>1007</v>
      </c>
      <c r="V145" s="81" t="s">
        <v>230</v>
      </c>
      <c r="W145" s="76" t="s">
        <v>145</v>
      </c>
      <c r="X145" s="79" t="s">
        <v>470</v>
      </c>
      <c r="Y145" s="69">
        <v>1</v>
      </c>
      <c r="Z145" s="69">
        <v>1</v>
      </c>
      <c r="AA145" s="69">
        <v>1</v>
      </c>
      <c r="AB145" s="49">
        <f>IF(V145="TIPO I",'BASE DE LIQUIDACION 2025'!$B$3,'BASE DE LIQUIDACION 2025'!$B$4)</f>
        <v>11251.22416</v>
      </c>
      <c r="AC145" s="49">
        <f>IF(V145="TIPO I",'BASE DE LIQUIDACION 2025'!$C$3,'BASE DE LIQUIDACION 2025'!$C$4)</f>
        <v>126317.12212</v>
      </c>
      <c r="AD145" s="49">
        <f>IF(V145="TIPO I",'BASE DE LIQUIDACION 2025'!$D$3,'BASE DE LIQUIDACION 2025'!$D$4)</f>
        <v>110808.27512000001</v>
      </c>
      <c r="AE145" s="53">
        <f t="shared" si="3"/>
        <v>248376.6214</v>
      </c>
    </row>
    <row r="146" spans="1:31" s="46" customFormat="1">
      <c r="A146" s="69" t="s">
        <v>431</v>
      </c>
      <c r="B146" s="45" t="str">
        <f>VLOOKUP(A146,'CENTRO DE COSTOS'!A:D,4,FALSE)</f>
        <v>WILLIAM ASDRUBAL ROZO ROZO</v>
      </c>
      <c r="C146" s="45" t="str">
        <f>VLOOKUP(A146,'CENTRO DE COSTOS'!A:D,2,FALSE)</f>
        <v>0004-0004</v>
      </c>
      <c r="D146" s="69">
        <v>25843</v>
      </c>
      <c r="E146" s="70" t="s">
        <v>1008</v>
      </c>
      <c r="F146" s="71">
        <v>80920</v>
      </c>
      <c r="G146" s="79" t="s">
        <v>132</v>
      </c>
      <c r="H146" s="73" t="s">
        <v>133</v>
      </c>
      <c r="I146" s="71" t="s">
        <v>433</v>
      </c>
      <c r="J146" s="81" t="s">
        <v>1009</v>
      </c>
      <c r="K146" s="71" t="s">
        <v>1010</v>
      </c>
      <c r="L146" s="75" t="s">
        <v>137</v>
      </c>
      <c r="M146" s="82" t="s">
        <v>1011</v>
      </c>
      <c r="N146" s="74">
        <v>45875</v>
      </c>
      <c r="O146" s="76">
        <v>45880</v>
      </c>
      <c r="P146" s="83" t="s">
        <v>139</v>
      </c>
      <c r="Q146" s="84" t="s">
        <v>139</v>
      </c>
      <c r="R146" s="69" t="s">
        <v>140</v>
      </c>
      <c r="S146" s="72" t="s">
        <v>1012</v>
      </c>
      <c r="T146" s="79" t="s">
        <v>1000</v>
      </c>
      <c r="U146" s="69" t="s">
        <v>1013</v>
      </c>
      <c r="V146" s="81" t="s">
        <v>202</v>
      </c>
      <c r="W146" s="76" t="s">
        <v>145</v>
      </c>
      <c r="X146" s="79" t="s">
        <v>1000</v>
      </c>
      <c r="Y146" s="69">
        <v>1</v>
      </c>
      <c r="Z146" s="69">
        <v>1</v>
      </c>
      <c r="AA146" s="69">
        <v>1</v>
      </c>
      <c r="AB146" s="49">
        <f>IF(V146="TIPO I",'BASE DE LIQUIDACION 2025'!$B$3,'BASE DE LIQUIDACION 2025'!$B$4)</f>
        <v>11251.22416</v>
      </c>
      <c r="AC146" s="49">
        <f>IF(V146="TIPO I",'BASE DE LIQUIDACION 2025'!$C$3,'BASE DE LIQUIDACION 2025'!$C$4)</f>
        <v>126317.12212</v>
      </c>
      <c r="AD146" s="49">
        <f>IF(V146="TIPO I",'BASE DE LIQUIDACION 2025'!$D$3,'BASE DE LIQUIDACION 2025'!$D$4)</f>
        <v>110808.27512000001</v>
      </c>
      <c r="AE146" s="53">
        <f t="shared" si="3"/>
        <v>248376.6214</v>
      </c>
    </row>
    <row r="147" spans="1:31" s="46" customFormat="1">
      <c r="A147" s="69" t="s">
        <v>269</v>
      </c>
      <c r="B147" s="45" t="str">
        <f>VLOOKUP(A147,'CENTRO DE COSTOS'!A:D,4,FALSE)</f>
        <v>MIGUEL JULIÁN HERNÁNDEZ GUARÍN</v>
      </c>
      <c r="C147" s="45" t="str">
        <f>VLOOKUP(A147,'CENTRO DE COSTOS'!A:D,2,FALSE)</f>
        <v>0004-0008</v>
      </c>
      <c r="D147" s="69">
        <v>68500</v>
      </c>
      <c r="E147" s="70" t="s">
        <v>1014</v>
      </c>
      <c r="F147" s="71">
        <v>80902</v>
      </c>
      <c r="G147" s="79" t="s">
        <v>132</v>
      </c>
      <c r="H147" s="73" t="s">
        <v>133</v>
      </c>
      <c r="I147" s="71" t="s">
        <v>795</v>
      </c>
      <c r="J147" s="81" t="s">
        <v>1015</v>
      </c>
      <c r="K147" s="71" t="s">
        <v>1016</v>
      </c>
      <c r="L147" s="75" t="s">
        <v>137</v>
      </c>
      <c r="M147" s="82" t="s">
        <v>1017</v>
      </c>
      <c r="N147" s="74">
        <v>45875</v>
      </c>
      <c r="O147" s="76">
        <v>45881</v>
      </c>
      <c r="P147" s="83" t="s">
        <v>139</v>
      </c>
      <c r="Q147" s="84" t="s">
        <v>139</v>
      </c>
      <c r="R147" s="69" t="s">
        <v>140</v>
      </c>
      <c r="S147" s="72" t="s">
        <v>1018</v>
      </c>
      <c r="T147" s="79" t="s">
        <v>922</v>
      </c>
      <c r="U147" s="69" t="s">
        <v>1019</v>
      </c>
      <c r="V147" s="81" t="s">
        <v>230</v>
      </c>
      <c r="W147" s="76" t="s">
        <v>145</v>
      </c>
      <c r="X147" s="79" t="s">
        <v>922</v>
      </c>
      <c r="Y147" s="69">
        <v>1</v>
      </c>
      <c r="Z147" s="69">
        <v>1</v>
      </c>
      <c r="AA147" s="69">
        <v>1</v>
      </c>
      <c r="AB147" s="49">
        <f>IF(V147="TIPO I",'BASE DE LIQUIDACION 2025'!$B$3,'BASE DE LIQUIDACION 2025'!$B$4)</f>
        <v>11251.22416</v>
      </c>
      <c r="AC147" s="49">
        <f>IF(V147="TIPO I",'BASE DE LIQUIDACION 2025'!$C$3,'BASE DE LIQUIDACION 2025'!$C$4)</f>
        <v>126317.12212</v>
      </c>
      <c r="AD147" s="49">
        <f>IF(V147="TIPO I",'BASE DE LIQUIDACION 2025'!$D$3,'BASE DE LIQUIDACION 2025'!$D$4)</f>
        <v>110808.27512000001</v>
      </c>
      <c r="AE147" s="53">
        <f t="shared" si="3"/>
        <v>248376.6214</v>
      </c>
    </row>
    <row r="148" spans="1:31" s="46" customFormat="1">
      <c r="A148" s="69" t="s">
        <v>220</v>
      </c>
      <c r="B148" s="45" t="str">
        <f>VLOOKUP(A148,'CENTRO DE COSTOS'!A:D,4,FALSE)</f>
        <v>DIEGO FERNANDO HENAO CARDONA</v>
      </c>
      <c r="C148" s="45" t="str">
        <f>VLOOKUP(A148,'CENTRO DE COSTOS'!A:D,2,FALSE)</f>
        <v>0004-0003</v>
      </c>
      <c r="D148" s="69">
        <v>76001</v>
      </c>
      <c r="E148" s="70" t="s">
        <v>1020</v>
      </c>
      <c r="F148" s="71">
        <v>80871</v>
      </c>
      <c r="G148" s="79" t="s">
        <v>132</v>
      </c>
      <c r="H148" s="73" t="s">
        <v>133</v>
      </c>
      <c r="I148" s="71" t="s">
        <v>420</v>
      </c>
      <c r="J148" s="81" t="s">
        <v>220</v>
      </c>
      <c r="K148" s="71" t="s">
        <v>1021</v>
      </c>
      <c r="L148" s="75" t="s">
        <v>137</v>
      </c>
      <c r="M148" s="82" t="s">
        <v>1022</v>
      </c>
      <c r="N148" s="74">
        <v>45875</v>
      </c>
      <c r="O148" s="76">
        <v>45877</v>
      </c>
      <c r="P148" s="83" t="s">
        <v>139</v>
      </c>
      <c r="Q148" s="84" t="s">
        <v>139</v>
      </c>
      <c r="R148" s="69" t="s">
        <v>140</v>
      </c>
      <c r="S148" s="72" t="s">
        <v>1023</v>
      </c>
      <c r="T148" s="79" t="s">
        <v>489</v>
      </c>
      <c r="U148" s="69" t="s">
        <v>1024</v>
      </c>
      <c r="V148" s="81" t="s">
        <v>52</v>
      </c>
      <c r="W148" s="76" t="s">
        <v>145</v>
      </c>
      <c r="X148" s="79" t="s">
        <v>489</v>
      </c>
      <c r="Y148" s="69">
        <v>1</v>
      </c>
      <c r="Z148" s="69">
        <v>1</v>
      </c>
      <c r="AA148" s="69">
        <v>1</v>
      </c>
      <c r="AB148" s="49">
        <f>IF(V148="TIPO I",'BASE DE LIQUIDACION 2025'!$B$3,'BASE DE LIQUIDACION 2025'!$B$4)</f>
        <v>11251.22416</v>
      </c>
      <c r="AC148" s="49">
        <f>IF(V148="TIPO I",'BASE DE LIQUIDACION 2025'!$C$3,'BASE DE LIQUIDACION 2025'!$C$4)</f>
        <v>126317.12212</v>
      </c>
      <c r="AD148" s="49">
        <f>IF(V148="TIPO I",'BASE DE LIQUIDACION 2025'!$D$3,'BASE DE LIQUIDACION 2025'!$D$4)</f>
        <v>57411.974240000003</v>
      </c>
      <c r="AE148" s="53">
        <f t="shared" si="3"/>
        <v>194980.32052000001</v>
      </c>
    </row>
    <row r="149" spans="1:31" s="46" customFormat="1">
      <c r="A149" s="69" t="s">
        <v>175</v>
      </c>
      <c r="B149" s="45" t="str">
        <f>VLOOKUP(A149,'CENTRO DE COSTOS'!A:D,4,FALSE)</f>
        <v>JUAN SEBASTIÁN RÍOS CASTRILLÓN</v>
      </c>
      <c r="C149" s="45" t="str">
        <f>VLOOKUP(A149,'CENTRO DE COSTOS'!A:D,2,FALSE)</f>
        <v>0004-0005</v>
      </c>
      <c r="D149" s="69">
        <v>5686</v>
      </c>
      <c r="E149" s="70" t="s">
        <v>1025</v>
      </c>
      <c r="F149" s="71">
        <v>80883</v>
      </c>
      <c r="G149" s="79" t="s">
        <v>132</v>
      </c>
      <c r="H149" s="73" t="s">
        <v>133</v>
      </c>
      <c r="I149" s="71" t="s">
        <v>178</v>
      </c>
      <c r="J149" s="81" t="s">
        <v>1026</v>
      </c>
      <c r="K149" s="71" t="s">
        <v>1027</v>
      </c>
      <c r="L149" s="75" t="s">
        <v>137</v>
      </c>
      <c r="M149" s="82" t="s">
        <v>1028</v>
      </c>
      <c r="N149" s="74">
        <v>45875</v>
      </c>
      <c r="O149" s="76">
        <v>45880</v>
      </c>
      <c r="P149" s="83" t="s">
        <v>139</v>
      </c>
      <c r="Q149" s="84" t="s">
        <v>139</v>
      </c>
      <c r="R149" s="69" t="s">
        <v>140</v>
      </c>
      <c r="S149" s="72" t="s">
        <v>1029</v>
      </c>
      <c r="T149" s="79" t="s">
        <v>674</v>
      </c>
      <c r="U149" s="69" t="s">
        <v>1030</v>
      </c>
      <c r="V149" s="81" t="s">
        <v>202</v>
      </c>
      <c r="W149" s="76" t="s">
        <v>145</v>
      </c>
      <c r="X149" s="79" t="s">
        <v>674</v>
      </c>
      <c r="Y149" s="69">
        <v>1</v>
      </c>
      <c r="Z149" s="69">
        <v>1</v>
      </c>
      <c r="AA149" s="69">
        <v>1</v>
      </c>
      <c r="AB149" s="49">
        <f>IF(V149="TIPO I",'BASE DE LIQUIDACION 2025'!$B$3,'BASE DE LIQUIDACION 2025'!$B$4)</f>
        <v>11251.22416</v>
      </c>
      <c r="AC149" s="49">
        <f>IF(V149="TIPO I",'BASE DE LIQUIDACION 2025'!$C$3,'BASE DE LIQUIDACION 2025'!$C$4)</f>
        <v>126317.12212</v>
      </c>
      <c r="AD149" s="49">
        <f>IF(V149="TIPO I",'BASE DE LIQUIDACION 2025'!$D$3,'BASE DE LIQUIDACION 2025'!$D$4)</f>
        <v>110808.27512000001</v>
      </c>
      <c r="AE149" s="53">
        <f t="shared" si="3"/>
        <v>248376.6214</v>
      </c>
    </row>
    <row r="150" spans="1:31" s="46" customFormat="1">
      <c r="A150" s="69" t="s">
        <v>220</v>
      </c>
      <c r="B150" s="45" t="str">
        <f>VLOOKUP(A150,'CENTRO DE COSTOS'!A:D,4,FALSE)</f>
        <v>DIEGO FERNANDO HENAO CARDONA</v>
      </c>
      <c r="C150" s="45" t="str">
        <f>VLOOKUP(A150,'CENTRO DE COSTOS'!A:D,2,FALSE)</f>
        <v>0004-0003</v>
      </c>
      <c r="D150" s="69">
        <v>76001</v>
      </c>
      <c r="E150" s="70" t="s">
        <v>1031</v>
      </c>
      <c r="F150" s="71">
        <v>80872</v>
      </c>
      <c r="G150" s="79" t="s">
        <v>132</v>
      </c>
      <c r="H150" s="73" t="s">
        <v>133</v>
      </c>
      <c r="I150" s="71" t="s">
        <v>420</v>
      </c>
      <c r="J150" s="81" t="s">
        <v>220</v>
      </c>
      <c r="K150" s="71" t="s">
        <v>1032</v>
      </c>
      <c r="L150" s="75" t="s">
        <v>137</v>
      </c>
      <c r="M150" s="82" t="s">
        <v>1033</v>
      </c>
      <c r="N150" s="74">
        <v>45875</v>
      </c>
      <c r="O150" s="76">
        <v>45877</v>
      </c>
      <c r="P150" s="83" t="s">
        <v>139</v>
      </c>
      <c r="Q150" s="84" t="s">
        <v>139</v>
      </c>
      <c r="R150" s="69" t="s">
        <v>140</v>
      </c>
      <c r="S150" s="72" t="s">
        <v>1034</v>
      </c>
      <c r="T150" s="79" t="s">
        <v>477</v>
      </c>
      <c r="U150" s="69" t="s">
        <v>1035</v>
      </c>
      <c r="V150" s="81" t="s">
        <v>52</v>
      </c>
      <c r="W150" s="76" t="s">
        <v>145</v>
      </c>
      <c r="X150" s="79" t="s">
        <v>477</v>
      </c>
      <c r="Y150" s="69">
        <v>1</v>
      </c>
      <c r="Z150" s="69">
        <v>1</v>
      </c>
      <c r="AA150" s="69">
        <v>1</v>
      </c>
      <c r="AB150" s="49">
        <f>IF(V150="TIPO I",'BASE DE LIQUIDACION 2025'!$B$3,'BASE DE LIQUIDACION 2025'!$B$4)</f>
        <v>11251.22416</v>
      </c>
      <c r="AC150" s="49">
        <f>IF(V150="TIPO I",'BASE DE LIQUIDACION 2025'!$C$3,'BASE DE LIQUIDACION 2025'!$C$4)</f>
        <v>126317.12212</v>
      </c>
      <c r="AD150" s="49">
        <f>IF(V150="TIPO I",'BASE DE LIQUIDACION 2025'!$D$3,'BASE DE LIQUIDACION 2025'!$D$4)</f>
        <v>57411.974240000003</v>
      </c>
      <c r="AE150" s="53">
        <f t="shared" si="3"/>
        <v>194980.32052000001</v>
      </c>
    </row>
    <row r="151" spans="1:31" s="46" customFormat="1">
      <c r="A151" s="69" t="s">
        <v>203</v>
      </c>
      <c r="B151" s="45" t="str">
        <f>VLOOKUP(A151,'CENTRO DE COSTOS'!A:D,4,FALSE)</f>
        <v>MIGUEL JULIÁN HERNÁNDEZ GUARÍN</v>
      </c>
      <c r="C151" s="45" t="str">
        <f>VLOOKUP(A151,'CENTRO DE COSTOS'!A:D,2,FALSE)</f>
        <v>0004-0008</v>
      </c>
      <c r="D151" s="69">
        <v>15776</v>
      </c>
      <c r="E151" s="70" t="s">
        <v>1036</v>
      </c>
      <c r="F151" s="71">
        <v>80912</v>
      </c>
      <c r="G151" s="79" t="s">
        <v>132</v>
      </c>
      <c r="H151" s="73" t="s">
        <v>133</v>
      </c>
      <c r="I151" s="71" t="s">
        <v>205</v>
      </c>
      <c r="J151" s="81" t="s">
        <v>1037</v>
      </c>
      <c r="K151" s="71" t="s">
        <v>1038</v>
      </c>
      <c r="L151" s="75" t="s">
        <v>137</v>
      </c>
      <c r="M151" s="82" t="s">
        <v>1039</v>
      </c>
      <c r="N151" s="74">
        <v>45875</v>
      </c>
      <c r="O151" s="76">
        <v>45881</v>
      </c>
      <c r="P151" s="83" t="s">
        <v>139</v>
      </c>
      <c r="Q151" s="84" t="s">
        <v>139</v>
      </c>
      <c r="R151" s="69" t="s">
        <v>140</v>
      </c>
      <c r="S151" s="72" t="s">
        <v>1040</v>
      </c>
      <c r="T151" s="79" t="s">
        <v>595</v>
      </c>
      <c r="U151" s="69" t="s">
        <v>1041</v>
      </c>
      <c r="V151" s="81" t="s">
        <v>202</v>
      </c>
      <c r="W151" s="76" t="s">
        <v>145</v>
      </c>
      <c r="X151" s="79" t="s">
        <v>595</v>
      </c>
      <c r="Y151" s="69">
        <v>1</v>
      </c>
      <c r="Z151" s="69">
        <v>1</v>
      </c>
      <c r="AA151" s="69">
        <v>1</v>
      </c>
      <c r="AB151" s="49">
        <f>IF(V151="TIPO I",'BASE DE LIQUIDACION 2025'!$B$3,'BASE DE LIQUIDACION 2025'!$B$4)</f>
        <v>11251.22416</v>
      </c>
      <c r="AC151" s="49">
        <f>IF(V151="TIPO I",'BASE DE LIQUIDACION 2025'!$C$3,'BASE DE LIQUIDACION 2025'!$C$4)</f>
        <v>126317.12212</v>
      </c>
      <c r="AD151" s="49">
        <f>IF(V151="TIPO I",'BASE DE LIQUIDACION 2025'!$D$3,'BASE DE LIQUIDACION 2025'!$D$4)</f>
        <v>110808.27512000001</v>
      </c>
      <c r="AE151" s="53">
        <f t="shared" si="3"/>
        <v>248376.6214</v>
      </c>
    </row>
    <row r="152" spans="1:31" s="46" customFormat="1">
      <c r="A152" s="69" t="s">
        <v>379</v>
      </c>
      <c r="B152" s="45" t="str">
        <f>VLOOKUP(A152,'CENTRO DE COSTOS'!A:D,4,FALSE)</f>
        <v>JOSE MAURICIO HERNANDEZ ROJAS</v>
      </c>
      <c r="C152" s="45" t="str">
        <f>VLOOKUP(A152,'CENTRO DE COSTOS'!A:D,2,FALSE)</f>
        <v>0004-0001</v>
      </c>
      <c r="D152" s="69">
        <v>5154</v>
      </c>
      <c r="E152" s="70" t="s">
        <v>1042</v>
      </c>
      <c r="F152" s="71">
        <v>80876</v>
      </c>
      <c r="G152" s="79" t="s">
        <v>132</v>
      </c>
      <c r="H152" s="73" t="s">
        <v>133</v>
      </c>
      <c r="I152" s="71" t="s">
        <v>178</v>
      </c>
      <c r="J152" s="81" t="s">
        <v>743</v>
      </c>
      <c r="K152" s="71" t="s">
        <v>1043</v>
      </c>
      <c r="L152" s="75" t="s">
        <v>137</v>
      </c>
      <c r="M152" s="82" t="s">
        <v>1044</v>
      </c>
      <c r="N152" s="74">
        <v>45875</v>
      </c>
      <c r="O152" s="76">
        <v>45877</v>
      </c>
      <c r="P152" s="83" t="s">
        <v>139</v>
      </c>
      <c r="Q152" s="84" t="s">
        <v>139</v>
      </c>
      <c r="R152" s="69" t="s">
        <v>140</v>
      </c>
      <c r="S152" s="72" t="s">
        <v>1045</v>
      </c>
      <c r="T152" s="79" t="s">
        <v>681</v>
      </c>
      <c r="U152" s="69" t="s">
        <v>1046</v>
      </c>
      <c r="V152" s="81" t="s">
        <v>202</v>
      </c>
      <c r="W152" s="76" t="s">
        <v>145</v>
      </c>
      <c r="X152" s="79" t="s">
        <v>681</v>
      </c>
      <c r="Y152" s="69">
        <v>1</v>
      </c>
      <c r="Z152" s="69">
        <v>1</v>
      </c>
      <c r="AA152" s="69">
        <v>1</v>
      </c>
      <c r="AB152" s="49">
        <f>IF(V152="TIPO I",'BASE DE LIQUIDACION 2025'!$B$3,'BASE DE LIQUIDACION 2025'!$B$4)</f>
        <v>11251.22416</v>
      </c>
      <c r="AC152" s="49">
        <f>IF(V152="TIPO I",'BASE DE LIQUIDACION 2025'!$C$3,'BASE DE LIQUIDACION 2025'!$C$4)</f>
        <v>126317.12212</v>
      </c>
      <c r="AD152" s="49">
        <f>IF(V152="TIPO I",'BASE DE LIQUIDACION 2025'!$D$3,'BASE DE LIQUIDACION 2025'!$D$4)</f>
        <v>110808.27512000001</v>
      </c>
      <c r="AE152" s="53">
        <f t="shared" si="3"/>
        <v>248376.6214</v>
      </c>
    </row>
    <row r="153" spans="1:31" s="46" customFormat="1">
      <c r="A153" s="69" t="s">
        <v>130</v>
      </c>
      <c r="B153" s="45" t="str">
        <f>VLOOKUP(A153,'CENTRO DE COSTOS'!A:D,4,FALSE)</f>
        <v>KEVIN ALEXIS CORZO BUSTOS</v>
      </c>
      <c r="C153" s="45" t="str">
        <f>VLOOKUP(A153,'CENTRO DE COSTOS'!A:D,2,FALSE)</f>
        <v>0004-0007</v>
      </c>
      <c r="D153" s="69">
        <v>41020</v>
      </c>
      <c r="E153" s="70" t="s">
        <v>1047</v>
      </c>
      <c r="F153" s="71">
        <v>80864</v>
      </c>
      <c r="G153" s="79" t="s">
        <v>132</v>
      </c>
      <c r="H153" s="73" t="s">
        <v>133</v>
      </c>
      <c r="I153" s="71" t="s">
        <v>213</v>
      </c>
      <c r="J153" s="81" t="s">
        <v>1048</v>
      </c>
      <c r="K153" s="71" t="s">
        <v>1049</v>
      </c>
      <c r="L153" s="75" t="s">
        <v>137</v>
      </c>
      <c r="M153" s="82" t="s">
        <v>1050</v>
      </c>
      <c r="N153" s="74">
        <v>45875</v>
      </c>
      <c r="O153" s="76">
        <v>45877</v>
      </c>
      <c r="P153" s="83" t="s">
        <v>139</v>
      </c>
      <c r="Q153" s="84" t="s">
        <v>139</v>
      </c>
      <c r="R153" s="69" t="s">
        <v>140</v>
      </c>
      <c r="S153" s="72" t="s">
        <v>1051</v>
      </c>
      <c r="T153" s="79" t="s">
        <v>142</v>
      </c>
      <c r="U153" s="69" t="s">
        <v>1052</v>
      </c>
      <c r="V153" s="81" t="s">
        <v>202</v>
      </c>
      <c r="W153" s="76" t="s">
        <v>145</v>
      </c>
      <c r="X153" s="79" t="s">
        <v>142</v>
      </c>
      <c r="Y153" s="69">
        <v>1</v>
      </c>
      <c r="Z153" s="69">
        <v>1</v>
      </c>
      <c r="AA153" s="69">
        <v>1</v>
      </c>
      <c r="AB153" s="49">
        <f>IF(V153="TIPO I",'BASE DE LIQUIDACION 2025'!$B$3,'BASE DE LIQUIDACION 2025'!$B$4)</f>
        <v>11251.22416</v>
      </c>
      <c r="AC153" s="49">
        <f>IF(V153="TIPO I",'BASE DE LIQUIDACION 2025'!$C$3,'BASE DE LIQUIDACION 2025'!$C$4)</f>
        <v>126317.12212</v>
      </c>
      <c r="AD153" s="49">
        <f>IF(V153="TIPO I",'BASE DE LIQUIDACION 2025'!$D$3,'BASE DE LIQUIDACION 2025'!$D$4)</f>
        <v>110808.27512000001</v>
      </c>
      <c r="AE153" s="53">
        <f t="shared" si="3"/>
        <v>248376.6214</v>
      </c>
    </row>
    <row r="154" spans="1:31" s="46" customFormat="1">
      <c r="A154" s="69" t="s">
        <v>203</v>
      </c>
      <c r="B154" s="45" t="str">
        <f>VLOOKUP(A154,'CENTRO DE COSTOS'!A:D,4,FALSE)</f>
        <v>MIGUEL JULIÁN HERNÁNDEZ GUARÍN</v>
      </c>
      <c r="C154" s="45" t="str">
        <f>VLOOKUP(A154,'CENTRO DE COSTOS'!A:D,2,FALSE)</f>
        <v>0004-0008</v>
      </c>
      <c r="D154" s="69">
        <v>15367</v>
      </c>
      <c r="E154" s="70" t="s">
        <v>1053</v>
      </c>
      <c r="F154" s="71">
        <v>80894</v>
      </c>
      <c r="G154" s="79" t="s">
        <v>132</v>
      </c>
      <c r="H154" s="73" t="s">
        <v>133</v>
      </c>
      <c r="I154" s="71" t="s">
        <v>205</v>
      </c>
      <c r="J154" s="81" t="s">
        <v>1054</v>
      </c>
      <c r="K154" s="71" t="s">
        <v>1055</v>
      </c>
      <c r="L154" s="75" t="s">
        <v>137</v>
      </c>
      <c r="M154" s="82" t="s">
        <v>1056</v>
      </c>
      <c r="N154" s="74">
        <v>45875</v>
      </c>
      <c r="O154" s="76">
        <v>45880</v>
      </c>
      <c r="P154" s="83" t="s">
        <v>139</v>
      </c>
      <c r="Q154" s="84" t="s">
        <v>139</v>
      </c>
      <c r="R154" s="69" t="s">
        <v>140</v>
      </c>
      <c r="S154" s="72" t="s">
        <v>1057</v>
      </c>
      <c r="T154" s="79" t="s">
        <v>210</v>
      </c>
      <c r="U154" s="69" t="s">
        <v>1058</v>
      </c>
      <c r="V154" s="81" t="s">
        <v>202</v>
      </c>
      <c r="W154" s="76" t="s">
        <v>145</v>
      </c>
      <c r="X154" s="79" t="s">
        <v>210</v>
      </c>
      <c r="Y154" s="69">
        <v>1</v>
      </c>
      <c r="Z154" s="69">
        <v>1</v>
      </c>
      <c r="AA154" s="69">
        <v>1</v>
      </c>
      <c r="AB154" s="49">
        <f>IF(V154="TIPO I",'BASE DE LIQUIDACION 2025'!$B$3,'BASE DE LIQUIDACION 2025'!$B$4)</f>
        <v>11251.22416</v>
      </c>
      <c r="AC154" s="49">
        <f>IF(V154="TIPO I",'BASE DE LIQUIDACION 2025'!$C$3,'BASE DE LIQUIDACION 2025'!$C$4)</f>
        <v>126317.12212</v>
      </c>
      <c r="AD154" s="49">
        <f>IF(V154="TIPO I",'BASE DE LIQUIDACION 2025'!$D$3,'BASE DE LIQUIDACION 2025'!$D$4)</f>
        <v>110808.27512000001</v>
      </c>
      <c r="AE154" s="53">
        <f t="shared" si="3"/>
        <v>248376.6214</v>
      </c>
    </row>
    <row r="155" spans="1:31" s="46" customFormat="1">
      <c r="A155" s="69" t="s">
        <v>345</v>
      </c>
      <c r="B155" s="45" t="str">
        <f>VLOOKUP(A155,'CENTRO DE COSTOS'!A:D,4,FALSE)</f>
        <v>JOSE MAURICIO HERNANDEZ ROJAS</v>
      </c>
      <c r="C155" s="45" t="str">
        <f>VLOOKUP(A155,'CENTRO DE COSTOS'!A:D,2,FALSE)</f>
        <v>0004-0001</v>
      </c>
      <c r="D155" s="69">
        <v>8758</v>
      </c>
      <c r="E155" s="70" t="s">
        <v>1059</v>
      </c>
      <c r="F155" s="71">
        <v>80917</v>
      </c>
      <c r="G155" s="79" t="s">
        <v>132</v>
      </c>
      <c r="H155" s="73" t="s">
        <v>133</v>
      </c>
      <c r="I155" s="71" t="s">
        <v>347</v>
      </c>
      <c r="J155" s="81" t="s">
        <v>1060</v>
      </c>
      <c r="K155" s="71" t="s">
        <v>1061</v>
      </c>
      <c r="L155" s="75" t="s">
        <v>137</v>
      </c>
      <c r="M155" s="82" t="s">
        <v>1062</v>
      </c>
      <c r="N155" s="74">
        <v>45875</v>
      </c>
      <c r="O155" s="76">
        <v>45880</v>
      </c>
      <c r="P155" s="83" t="s">
        <v>139</v>
      </c>
      <c r="Q155" s="84" t="s">
        <v>139</v>
      </c>
      <c r="R155" s="69" t="s">
        <v>140</v>
      </c>
      <c r="S155" s="72" t="s">
        <v>1063</v>
      </c>
      <c r="T155" s="79" t="s">
        <v>1064</v>
      </c>
      <c r="U155" s="69" t="s">
        <v>1065</v>
      </c>
      <c r="V155" s="81" t="s">
        <v>52</v>
      </c>
      <c r="W155" s="76" t="s">
        <v>145</v>
      </c>
      <c r="X155" s="79" t="s">
        <v>1064</v>
      </c>
      <c r="Y155" s="69">
        <v>1</v>
      </c>
      <c r="Z155" s="69">
        <v>1</v>
      </c>
      <c r="AA155" s="69">
        <v>1</v>
      </c>
      <c r="AB155" s="49">
        <f>IF(V155="TIPO I",'BASE DE LIQUIDACION 2025'!$B$3,'BASE DE LIQUIDACION 2025'!$B$4)</f>
        <v>11251.22416</v>
      </c>
      <c r="AC155" s="49">
        <f>IF(V155="TIPO I",'BASE DE LIQUIDACION 2025'!$C$3,'BASE DE LIQUIDACION 2025'!$C$4)</f>
        <v>126317.12212</v>
      </c>
      <c r="AD155" s="49">
        <f>IF(V155="TIPO I",'BASE DE LIQUIDACION 2025'!$D$3,'BASE DE LIQUIDACION 2025'!$D$4)</f>
        <v>57411.974240000003</v>
      </c>
      <c r="AE155" s="53">
        <f t="shared" si="3"/>
        <v>194980.32052000001</v>
      </c>
    </row>
    <row r="156" spans="1:31" s="46" customFormat="1">
      <c r="A156" s="69" t="s">
        <v>688</v>
      </c>
      <c r="B156" s="45" t="str">
        <f>VLOOKUP(A156,'CENTRO DE COSTOS'!A:D,4,FALSE)</f>
        <v>KEVIN ALEXIS CORZO BUSTOS</v>
      </c>
      <c r="C156" s="45" t="str">
        <f>VLOOKUP(A156,'CENTRO DE COSTOS'!A:D,2,FALSE)</f>
        <v>0004-0007</v>
      </c>
      <c r="D156" s="69">
        <v>73001</v>
      </c>
      <c r="E156" s="70" t="s">
        <v>1066</v>
      </c>
      <c r="F156" s="71">
        <v>80888</v>
      </c>
      <c r="G156" s="79" t="s">
        <v>132</v>
      </c>
      <c r="H156" s="73" t="s">
        <v>133</v>
      </c>
      <c r="I156" s="71" t="s">
        <v>690</v>
      </c>
      <c r="J156" s="81" t="s">
        <v>688</v>
      </c>
      <c r="K156" s="71" t="s">
        <v>1067</v>
      </c>
      <c r="L156" s="75" t="s">
        <v>137</v>
      </c>
      <c r="M156" s="82" t="s">
        <v>1068</v>
      </c>
      <c r="N156" s="74">
        <v>45875</v>
      </c>
      <c r="O156" s="76">
        <v>45880</v>
      </c>
      <c r="P156" s="83" t="s">
        <v>139</v>
      </c>
      <c r="Q156" s="84" t="s">
        <v>139</v>
      </c>
      <c r="R156" s="69" t="s">
        <v>140</v>
      </c>
      <c r="S156" s="72" t="s">
        <v>1069</v>
      </c>
      <c r="T156" s="79" t="s">
        <v>940</v>
      </c>
      <c r="U156" s="69" t="s">
        <v>1070</v>
      </c>
      <c r="V156" s="81" t="s">
        <v>52</v>
      </c>
      <c r="W156" s="76" t="s">
        <v>145</v>
      </c>
      <c r="X156" s="79" t="s">
        <v>940</v>
      </c>
      <c r="Y156" s="69">
        <v>1</v>
      </c>
      <c r="Z156" s="69">
        <v>1</v>
      </c>
      <c r="AA156" s="69">
        <v>1</v>
      </c>
      <c r="AB156" s="49">
        <f>IF(V156="TIPO I",'BASE DE LIQUIDACION 2025'!$B$3,'BASE DE LIQUIDACION 2025'!$B$4)</f>
        <v>11251.22416</v>
      </c>
      <c r="AC156" s="49">
        <f>IF(V156="TIPO I",'BASE DE LIQUIDACION 2025'!$C$3,'BASE DE LIQUIDACION 2025'!$C$4)</f>
        <v>126317.12212</v>
      </c>
      <c r="AD156" s="49">
        <f>IF(V156="TIPO I",'BASE DE LIQUIDACION 2025'!$D$3,'BASE DE LIQUIDACION 2025'!$D$4)</f>
        <v>57411.974240000003</v>
      </c>
      <c r="AE156" s="53">
        <f t="shared" si="3"/>
        <v>194980.32052000001</v>
      </c>
    </row>
    <row r="157" spans="1:31" s="46" customFormat="1">
      <c r="A157" s="69" t="s">
        <v>301</v>
      </c>
      <c r="B157" s="45" t="str">
        <f>VLOOKUP(A157,'CENTRO DE COSTOS'!A:D,4,FALSE)</f>
        <v>JOSE MAURICIO HERNANDEZ ROJAS</v>
      </c>
      <c r="C157" s="45" t="str">
        <f>VLOOKUP(A157,'CENTRO DE COSTOS'!A:D,2,FALSE)</f>
        <v>0004-0001</v>
      </c>
      <c r="D157" s="69">
        <v>13001</v>
      </c>
      <c r="E157" s="70" t="s">
        <v>1071</v>
      </c>
      <c r="F157" s="71">
        <v>80875</v>
      </c>
      <c r="G157" s="79" t="s">
        <v>132</v>
      </c>
      <c r="H157" s="73" t="s">
        <v>133</v>
      </c>
      <c r="I157" s="71" t="s">
        <v>271</v>
      </c>
      <c r="J157" s="81" t="s">
        <v>301</v>
      </c>
      <c r="K157" s="71" t="s">
        <v>1072</v>
      </c>
      <c r="L157" s="75" t="s">
        <v>137</v>
      </c>
      <c r="M157" s="82" t="s">
        <v>1073</v>
      </c>
      <c r="N157" s="74">
        <v>45875</v>
      </c>
      <c r="O157" s="76">
        <v>45882</v>
      </c>
      <c r="P157" s="83" t="s">
        <v>139</v>
      </c>
      <c r="Q157" s="84" t="s">
        <v>139</v>
      </c>
      <c r="R157" s="69" t="s">
        <v>140</v>
      </c>
      <c r="S157" s="72" t="s">
        <v>1074</v>
      </c>
      <c r="T157" s="79" t="s">
        <v>412</v>
      </c>
      <c r="U157" s="69" t="s">
        <v>1075</v>
      </c>
      <c r="V157" s="81" t="s">
        <v>52</v>
      </c>
      <c r="W157" s="76" t="s">
        <v>145</v>
      </c>
      <c r="X157" s="79" t="s">
        <v>412</v>
      </c>
      <c r="Y157" s="69">
        <v>1</v>
      </c>
      <c r="Z157" s="69">
        <v>1</v>
      </c>
      <c r="AA157" s="69">
        <v>1</v>
      </c>
      <c r="AB157" s="49">
        <f>IF(V157="TIPO I",'BASE DE LIQUIDACION 2025'!$B$3,'BASE DE LIQUIDACION 2025'!$B$4)</f>
        <v>11251.22416</v>
      </c>
      <c r="AC157" s="49">
        <f>IF(V157="TIPO I",'BASE DE LIQUIDACION 2025'!$C$3,'BASE DE LIQUIDACION 2025'!$C$4)</f>
        <v>126317.12212</v>
      </c>
      <c r="AD157" s="49">
        <f>IF(V157="TIPO I",'BASE DE LIQUIDACION 2025'!$D$3,'BASE DE LIQUIDACION 2025'!$D$4)</f>
        <v>57411.974240000003</v>
      </c>
      <c r="AE157" s="53">
        <f t="shared" si="3"/>
        <v>194980.32052000001</v>
      </c>
    </row>
    <row r="158" spans="1:31" s="46" customFormat="1">
      <c r="A158" s="69" t="s">
        <v>688</v>
      </c>
      <c r="B158" s="45" t="str">
        <f>VLOOKUP(A158,'CENTRO DE COSTOS'!A:D,4,FALSE)</f>
        <v>KEVIN ALEXIS CORZO BUSTOS</v>
      </c>
      <c r="C158" s="45" t="str">
        <f>VLOOKUP(A158,'CENTRO DE COSTOS'!A:D,2,FALSE)</f>
        <v>0004-0007</v>
      </c>
      <c r="D158" s="69">
        <v>73001</v>
      </c>
      <c r="E158" s="70" t="s">
        <v>1076</v>
      </c>
      <c r="F158" s="71">
        <v>80889</v>
      </c>
      <c r="G158" s="79" t="s">
        <v>132</v>
      </c>
      <c r="H158" s="73" t="s">
        <v>133</v>
      </c>
      <c r="I158" s="71" t="s">
        <v>690</v>
      </c>
      <c r="J158" s="81" t="s">
        <v>688</v>
      </c>
      <c r="K158" s="71" t="s">
        <v>1077</v>
      </c>
      <c r="L158" s="75" t="s">
        <v>137</v>
      </c>
      <c r="M158" s="82" t="s">
        <v>1078</v>
      </c>
      <c r="N158" s="74">
        <v>45875</v>
      </c>
      <c r="O158" s="76">
        <v>45880</v>
      </c>
      <c r="P158" s="83" t="s">
        <v>139</v>
      </c>
      <c r="Q158" s="84" t="s">
        <v>139</v>
      </c>
      <c r="R158" s="69" t="s">
        <v>140</v>
      </c>
      <c r="S158" s="72" t="s">
        <v>1079</v>
      </c>
      <c r="T158" s="79" t="s">
        <v>694</v>
      </c>
      <c r="U158" s="69" t="s">
        <v>1080</v>
      </c>
      <c r="V158" s="81" t="s">
        <v>52</v>
      </c>
      <c r="W158" s="76" t="s">
        <v>145</v>
      </c>
      <c r="X158" s="79" t="s">
        <v>694</v>
      </c>
      <c r="Y158" s="69">
        <v>1</v>
      </c>
      <c r="Z158" s="69">
        <v>1</v>
      </c>
      <c r="AA158" s="69">
        <v>1</v>
      </c>
      <c r="AB158" s="49">
        <f>IF(V158="TIPO I",'BASE DE LIQUIDACION 2025'!$B$3,'BASE DE LIQUIDACION 2025'!$B$4)</f>
        <v>11251.22416</v>
      </c>
      <c r="AC158" s="49">
        <f>IF(V158="TIPO I",'BASE DE LIQUIDACION 2025'!$C$3,'BASE DE LIQUIDACION 2025'!$C$4)</f>
        <v>126317.12212</v>
      </c>
      <c r="AD158" s="49">
        <f>IF(V158="TIPO I",'BASE DE LIQUIDACION 2025'!$D$3,'BASE DE LIQUIDACION 2025'!$D$4)</f>
        <v>57411.974240000003</v>
      </c>
      <c r="AE158" s="53">
        <f t="shared" si="3"/>
        <v>194980.32052000001</v>
      </c>
    </row>
    <row r="159" spans="1:31" s="46" customFormat="1">
      <c r="A159" s="69" t="s">
        <v>269</v>
      </c>
      <c r="B159" s="45" t="str">
        <f>VLOOKUP(A159,'CENTRO DE COSTOS'!A:D,4,FALSE)</f>
        <v>MIGUEL JULIÁN HERNÁNDEZ GUARÍN</v>
      </c>
      <c r="C159" s="45" t="str">
        <f>VLOOKUP(A159,'CENTRO DE COSTOS'!A:D,2,FALSE)</f>
        <v>0004-0008</v>
      </c>
      <c r="D159" s="69">
        <v>68547</v>
      </c>
      <c r="E159" s="70" t="s">
        <v>1081</v>
      </c>
      <c r="F159" s="71">
        <v>80909</v>
      </c>
      <c r="G159" s="79" t="s">
        <v>132</v>
      </c>
      <c r="H159" s="73" t="s">
        <v>133</v>
      </c>
      <c r="I159" s="71" t="s">
        <v>795</v>
      </c>
      <c r="J159" s="81" t="s">
        <v>819</v>
      </c>
      <c r="K159" s="71" t="s">
        <v>1082</v>
      </c>
      <c r="L159" s="75" t="s">
        <v>137</v>
      </c>
      <c r="M159" s="82" t="s">
        <v>1083</v>
      </c>
      <c r="N159" s="74">
        <v>45875</v>
      </c>
      <c r="O159" s="76">
        <v>45880</v>
      </c>
      <c r="P159" s="83" t="s">
        <v>139</v>
      </c>
      <c r="Q159" s="84" t="s">
        <v>139</v>
      </c>
      <c r="R159" s="69" t="s">
        <v>140</v>
      </c>
      <c r="S159" s="72" t="s">
        <v>1084</v>
      </c>
      <c r="T159" s="79" t="s">
        <v>822</v>
      </c>
      <c r="U159" s="69" t="s">
        <v>1085</v>
      </c>
      <c r="V159" s="81" t="s">
        <v>202</v>
      </c>
      <c r="W159" s="76" t="s">
        <v>145</v>
      </c>
      <c r="X159" s="79" t="s">
        <v>822</v>
      </c>
      <c r="Y159" s="69">
        <v>1</v>
      </c>
      <c r="Z159" s="69">
        <v>1</v>
      </c>
      <c r="AA159" s="69">
        <v>1</v>
      </c>
      <c r="AB159" s="49">
        <f>IF(V159="TIPO I",'BASE DE LIQUIDACION 2025'!$B$3,'BASE DE LIQUIDACION 2025'!$B$4)</f>
        <v>11251.22416</v>
      </c>
      <c r="AC159" s="49">
        <f>IF(V159="TIPO I",'BASE DE LIQUIDACION 2025'!$C$3,'BASE DE LIQUIDACION 2025'!$C$4)</f>
        <v>126317.12212</v>
      </c>
      <c r="AD159" s="49">
        <f>IF(V159="TIPO I",'BASE DE LIQUIDACION 2025'!$D$3,'BASE DE LIQUIDACION 2025'!$D$4)</f>
        <v>110808.27512000001</v>
      </c>
      <c r="AE159" s="53">
        <f t="shared" si="3"/>
        <v>248376.6214</v>
      </c>
    </row>
    <row r="160" spans="1:31" s="46" customFormat="1">
      <c r="A160" s="69" t="s">
        <v>431</v>
      </c>
      <c r="B160" s="45" t="str">
        <f>VLOOKUP(A160,'CENTRO DE COSTOS'!A:D,4,FALSE)</f>
        <v>WILLIAM ASDRUBAL ROZO ROZO</v>
      </c>
      <c r="C160" s="45" t="str">
        <f>VLOOKUP(A160,'CENTRO DE COSTOS'!A:D,2,FALSE)</f>
        <v>0004-0004</v>
      </c>
      <c r="D160" s="69">
        <v>11001</v>
      </c>
      <c r="E160" s="70" t="s">
        <v>1086</v>
      </c>
      <c r="F160" s="71">
        <v>80866</v>
      </c>
      <c r="G160" s="79" t="s">
        <v>132</v>
      </c>
      <c r="H160" s="73" t="s">
        <v>133</v>
      </c>
      <c r="I160" s="71" t="s">
        <v>433</v>
      </c>
      <c r="J160" s="81" t="s">
        <v>431</v>
      </c>
      <c r="K160" s="71" t="s">
        <v>1087</v>
      </c>
      <c r="L160" s="75" t="s">
        <v>137</v>
      </c>
      <c r="M160" s="82" t="s">
        <v>1088</v>
      </c>
      <c r="N160" s="74">
        <v>45875</v>
      </c>
      <c r="O160" s="76">
        <v>45880</v>
      </c>
      <c r="P160" s="83" t="s">
        <v>139</v>
      </c>
      <c r="Q160" s="84" t="s">
        <v>139</v>
      </c>
      <c r="R160" s="69" t="s">
        <v>140</v>
      </c>
      <c r="S160" s="72" t="s">
        <v>1089</v>
      </c>
      <c r="T160" s="79" t="s">
        <v>851</v>
      </c>
      <c r="U160" s="69" t="s">
        <v>1090</v>
      </c>
      <c r="V160" s="81" t="s">
        <v>52</v>
      </c>
      <c r="W160" s="76" t="s">
        <v>145</v>
      </c>
      <c r="X160" s="79" t="s">
        <v>851</v>
      </c>
      <c r="Y160" s="69">
        <v>1</v>
      </c>
      <c r="Z160" s="69">
        <v>1</v>
      </c>
      <c r="AA160" s="69">
        <v>1</v>
      </c>
      <c r="AB160" s="49">
        <f>IF(V160="TIPO I",'BASE DE LIQUIDACION 2025'!$B$3,'BASE DE LIQUIDACION 2025'!$B$4)</f>
        <v>11251.22416</v>
      </c>
      <c r="AC160" s="49">
        <f>IF(V160="TIPO I",'BASE DE LIQUIDACION 2025'!$C$3,'BASE DE LIQUIDACION 2025'!$C$4)</f>
        <v>126317.12212</v>
      </c>
      <c r="AD160" s="49">
        <f>IF(V160="TIPO I",'BASE DE LIQUIDACION 2025'!$D$3,'BASE DE LIQUIDACION 2025'!$D$4)</f>
        <v>57411.974240000003</v>
      </c>
      <c r="AE160" s="53">
        <f t="shared" si="3"/>
        <v>194980.32052000001</v>
      </c>
    </row>
    <row r="161" spans="1:31" s="46" customFormat="1">
      <c r="A161" s="69" t="s">
        <v>220</v>
      </c>
      <c r="B161" s="45" t="str">
        <f>VLOOKUP(A161,'CENTRO DE COSTOS'!A:D,4,FALSE)</f>
        <v>DIEGO FERNANDO HENAO CARDONA</v>
      </c>
      <c r="C161" s="45" t="str">
        <f>VLOOKUP(A161,'CENTRO DE COSTOS'!A:D,2,FALSE)</f>
        <v>0004-0003</v>
      </c>
      <c r="D161" s="69">
        <v>19455</v>
      </c>
      <c r="E161" s="70" t="s">
        <v>1091</v>
      </c>
      <c r="F161" s="71">
        <v>80895</v>
      </c>
      <c r="G161" s="79" t="s">
        <v>132</v>
      </c>
      <c r="H161" s="73" t="s">
        <v>133</v>
      </c>
      <c r="I161" s="71" t="s">
        <v>223</v>
      </c>
      <c r="J161" s="81" t="s">
        <v>1092</v>
      </c>
      <c r="K161" s="71" t="s">
        <v>1093</v>
      </c>
      <c r="L161" s="75" t="s">
        <v>137</v>
      </c>
      <c r="M161" s="82" t="s">
        <v>1094</v>
      </c>
      <c r="N161" s="74">
        <v>45875</v>
      </c>
      <c r="O161" s="76">
        <v>45877</v>
      </c>
      <c r="P161" s="83" t="s">
        <v>139</v>
      </c>
      <c r="Q161" s="84" t="s">
        <v>139</v>
      </c>
      <c r="R161" s="69" t="s">
        <v>140</v>
      </c>
      <c r="S161" s="72" t="s">
        <v>1095</v>
      </c>
      <c r="T161" s="79" t="s">
        <v>228</v>
      </c>
      <c r="U161" s="69" t="s">
        <v>1096</v>
      </c>
      <c r="V161" s="81" t="s">
        <v>230</v>
      </c>
      <c r="W161" s="76" t="s">
        <v>145</v>
      </c>
      <c r="X161" s="79" t="s">
        <v>228</v>
      </c>
      <c r="Y161" s="69">
        <v>1</v>
      </c>
      <c r="Z161" s="69">
        <v>1</v>
      </c>
      <c r="AA161" s="69">
        <v>1</v>
      </c>
      <c r="AB161" s="49">
        <f>IF(V161="TIPO I",'BASE DE LIQUIDACION 2025'!$B$3,'BASE DE LIQUIDACION 2025'!$B$4)</f>
        <v>11251.22416</v>
      </c>
      <c r="AC161" s="49">
        <f>IF(V161="TIPO I",'BASE DE LIQUIDACION 2025'!$C$3,'BASE DE LIQUIDACION 2025'!$C$4)</f>
        <v>126317.12212</v>
      </c>
      <c r="AD161" s="49">
        <f>IF(V161="TIPO I",'BASE DE LIQUIDACION 2025'!$D$3,'BASE DE LIQUIDACION 2025'!$D$4)</f>
        <v>110808.27512000001</v>
      </c>
      <c r="AE161" s="53">
        <f t="shared" si="3"/>
        <v>248376.6214</v>
      </c>
    </row>
    <row r="162" spans="1:31" s="46" customFormat="1">
      <c r="A162" s="69" t="s">
        <v>453</v>
      </c>
      <c r="B162" s="45" t="str">
        <f>VLOOKUP(A162,'CENTRO DE COSTOS'!A:D,4,FALSE)</f>
        <v>DIEGO FERNANDO HENAO CARDONA</v>
      </c>
      <c r="C162" s="45" t="str">
        <f>VLOOKUP(A162,'CENTRO DE COSTOS'!A:D,2,FALSE)</f>
        <v>0004-0002</v>
      </c>
      <c r="D162" s="69">
        <v>76020</v>
      </c>
      <c r="E162" s="70" t="s">
        <v>1097</v>
      </c>
      <c r="F162" s="71">
        <v>80863</v>
      </c>
      <c r="G162" s="79" t="s">
        <v>132</v>
      </c>
      <c r="H162" s="73" t="s">
        <v>133</v>
      </c>
      <c r="I162" s="71" t="s">
        <v>420</v>
      </c>
      <c r="J162" s="81" t="s">
        <v>1098</v>
      </c>
      <c r="K162" s="71" t="s">
        <v>1099</v>
      </c>
      <c r="L162" s="75" t="s">
        <v>137</v>
      </c>
      <c r="M162" s="82" t="s">
        <v>1100</v>
      </c>
      <c r="N162" s="74">
        <v>45875</v>
      </c>
      <c r="O162" s="76">
        <v>45880</v>
      </c>
      <c r="P162" s="83" t="s">
        <v>139</v>
      </c>
      <c r="Q162" s="84" t="s">
        <v>139</v>
      </c>
      <c r="R162" s="69" t="s">
        <v>140</v>
      </c>
      <c r="S162" s="72" t="s">
        <v>1101</v>
      </c>
      <c r="T162" s="79" t="s">
        <v>508</v>
      </c>
      <c r="U162" s="69" t="s">
        <v>1102</v>
      </c>
      <c r="V162" s="81" t="s">
        <v>202</v>
      </c>
      <c r="W162" s="76" t="s">
        <v>145</v>
      </c>
      <c r="X162" s="79" t="s">
        <v>508</v>
      </c>
      <c r="Y162" s="69">
        <v>1</v>
      </c>
      <c r="Z162" s="69">
        <v>1</v>
      </c>
      <c r="AA162" s="69">
        <v>1</v>
      </c>
      <c r="AB162" s="49">
        <f>IF(V162="TIPO I",'BASE DE LIQUIDACION 2025'!$B$3,'BASE DE LIQUIDACION 2025'!$B$4)</f>
        <v>11251.22416</v>
      </c>
      <c r="AC162" s="49">
        <f>IF(V162="TIPO I",'BASE DE LIQUIDACION 2025'!$C$3,'BASE DE LIQUIDACION 2025'!$C$4)</f>
        <v>126317.12212</v>
      </c>
      <c r="AD162" s="49">
        <f>IF(V162="TIPO I",'BASE DE LIQUIDACION 2025'!$D$3,'BASE DE LIQUIDACION 2025'!$D$4)</f>
        <v>110808.27512000001</v>
      </c>
      <c r="AE162" s="53">
        <f t="shared" si="3"/>
        <v>248376.6214</v>
      </c>
    </row>
    <row r="163" spans="1:31" s="46" customFormat="1">
      <c r="A163" s="69" t="s">
        <v>151</v>
      </c>
      <c r="B163" s="45" t="str">
        <f>VLOOKUP(A163,'CENTRO DE COSTOS'!A:D,4,FALSE)</f>
        <v>DIEGO FERNANDO HENAO CARDONA</v>
      </c>
      <c r="C163" s="45" t="str">
        <f>VLOOKUP(A163,'CENTRO DE COSTOS'!A:D,2,FALSE)</f>
        <v>0004-0003</v>
      </c>
      <c r="D163" s="69">
        <v>52110</v>
      </c>
      <c r="E163" s="70" t="s">
        <v>1103</v>
      </c>
      <c r="F163" s="71">
        <v>80869</v>
      </c>
      <c r="G163" s="79" t="s">
        <v>132</v>
      </c>
      <c r="H163" s="73" t="s">
        <v>133</v>
      </c>
      <c r="I163" s="71" t="s">
        <v>153</v>
      </c>
      <c r="J163" s="81" t="s">
        <v>1104</v>
      </c>
      <c r="K163" s="71" t="s">
        <v>1105</v>
      </c>
      <c r="L163" s="75" t="s">
        <v>137</v>
      </c>
      <c r="M163" s="82" t="s">
        <v>1106</v>
      </c>
      <c r="N163" s="74">
        <v>45875</v>
      </c>
      <c r="O163" s="76">
        <v>45877</v>
      </c>
      <c r="P163" s="83" t="s">
        <v>139</v>
      </c>
      <c r="Q163" s="84" t="s">
        <v>139</v>
      </c>
      <c r="R163" s="69" t="s">
        <v>140</v>
      </c>
      <c r="S163" s="72" t="s">
        <v>1107</v>
      </c>
      <c r="T163" s="79" t="s">
        <v>158</v>
      </c>
      <c r="U163" s="69" t="s">
        <v>1108</v>
      </c>
      <c r="V163" s="81" t="s">
        <v>202</v>
      </c>
      <c r="W163" s="76" t="s">
        <v>145</v>
      </c>
      <c r="X163" s="79" t="s">
        <v>158</v>
      </c>
      <c r="Y163" s="69">
        <v>1</v>
      </c>
      <c r="Z163" s="69">
        <v>1</v>
      </c>
      <c r="AA163" s="69">
        <v>1</v>
      </c>
      <c r="AB163" s="49">
        <f>IF(V163="TIPO I",'BASE DE LIQUIDACION 2025'!$B$3,'BASE DE LIQUIDACION 2025'!$B$4)</f>
        <v>11251.22416</v>
      </c>
      <c r="AC163" s="49">
        <f>IF(V163="TIPO I",'BASE DE LIQUIDACION 2025'!$C$3,'BASE DE LIQUIDACION 2025'!$C$4)</f>
        <v>126317.12212</v>
      </c>
      <c r="AD163" s="49">
        <f>IF(V163="TIPO I",'BASE DE LIQUIDACION 2025'!$D$3,'BASE DE LIQUIDACION 2025'!$D$4)</f>
        <v>110808.27512000001</v>
      </c>
      <c r="AE163" s="53">
        <f t="shared" si="3"/>
        <v>248376.6214</v>
      </c>
    </row>
    <row r="164" spans="1:31" s="46" customFormat="1">
      <c r="A164" s="69" t="s">
        <v>431</v>
      </c>
      <c r="B164" s="45" t="str">
        <f>VLOOKUP(A164,'CENTRO DE COSTOS'!A:D,4,FALSE)</f>
        <v>WILLIAM ASDRUBAL ROZO ROZO</v>
      </c>
      <c r="C164" s="45" t="str">
        <f>VLOOKUP(A164,'CENTRO DE COSTOS'!A:D,2,FALSE)</f>
        <v>0004-0004</v>
      </c>
      <c r="D164" s="69">
        <v>25754</v>
      </c>
      <c r="E164" s="70" t="s">
        <v>1109</v>
      </c>
      <c r="F164" s="71">
        <v>80915</v>
      </c>
      <c r="G164" s="79" t="s">
        <v>132</v>
      </c>
      <c r="H164" s="73" t="s">
        <v>133</v>
      </c>
      <c r="I164" s="71" t="s">
        <v>433</v>
      </c>
      <c r="J164" s="81" t="s">
        <v>1110</v>
      </c>
      <c r="K164" s="71" t="s">
        <v>1111</v>
      </c>
      <c r="L164" s="75" t="s">
        <v>137</v>
      </c>
      <c r="M164" s="82" t="s">
        <v>1112</v>
      </c>
      <c r="N164" s="74">
        <v>45875</v>
      </c>
      <c r="O164" s="76">
        <v>45877</v>
      </c>
      <c r="P164" s="83" t="s">
        <v>139</v>
      </c>
      <c r="Q164" s="84" t="s">
        <v>139</v>
      </c>
      <c r="R164" s="69" t="s">
        <v>140</v>
      </c>
      <c r="S164" s="72" t="s">
        <v>1113</v>
      </c>
      <c r="T164" s="79" t="s">
        <v>551</v>
      </c>
      <c r="U164" s="69" t="s">
        <v>1114</v>
      </c>
      <c r="V164" s="81" t="s">
        <v>52</v>
      </c>
      <c r="W164" s="76" t="s">
        <v>145</v>
      </c>
      <c r="X164" s="79" t="s">
        <v>551</v>
      </c>
      <c r="Y164" s="69">
        <v>1</v>
      </c>
      <c r="Z164" s="69">
        <v>1</v>
      </c>
      <c r="AA164" s="69">
        <v>1</v>
      </c>
      <c r="AB164" s="49">
        <f>IF(V164="TIPO I",'BASE DE LIQUIDACION 2025'!$B$3,'BASE DE LIQUIDACION 2025'!$B$4)</f>
        <v>11251.22416</v>
      </c>
      <c r="AC164" s="49">
        <f>IF(V164="TIPO I",'BASE DE LIQUIDACION 2025'!$C$3,'BASE DE LIQUIDACION 2025'!$C$4)</f>
        <v>126317.12212</v>
      </c>
      <c r="AD164" s="49">
        <f>IF(V164="TIPO I",'BASE DE LIQUIDACION 2025'!$D$3,'BASE DE LIQUIDACION 2025'!$D$4)</f>
        <v>57411.974240000003</v>
      </c>
      <c r="AE164" s="53">
        <f t="shared" si="3"/>
        <v>194980.32052000001</v>
      </c>
    </row>
    <row r="165" spans="1:31" s="46" customFormat="1">
      <c r="A165" s="69" t="s">
        <v>203</v>
      </c>
      <c r="B165" s="45" t="str">
        <f>VLOOKUP(A165,'CENTRO DE COSTOS'!A:D,4,FALSE)</f>
        <v>MIGUEL JULIÁN HERNÁNDEZ GUARÍN</v>
      </c>
      <c r="C165" s="45" t="str">
        <f>VLOOKUP(A165,'CENTRO DE COSTOS'!A:D,2,FALSE)</f>
        <v>0004-0008</v>
      </c>
      <c r="D165" s="69">
        <v>15001</v>
      </c>
      <c r="E165" s="70" t="s">
        <v>1115</v>
      </c>
      <c r="F165" s="71">
        <v>80918</v>
      </c>
      <c r="G165" s="79" t="s">
        <v>132</v>
      </c>
      <c r="H165" s="73" t="s">
        <v>133</v>
      </c>
      <c r="I165" s="71" t="s">
        <v>205</v>
      </c>
      <c r="J165" s="81" t="s">
        <v>203</v>
      </c>
      <c r="K165" s="71" t="s">
        <v>1116</v>
      </c>
      <c r="L165" s="75" t="s">
        <v>137</v>
      </c>
      <c r="M165" s="82" t="s">
        <v>1117</v>
      </c>
      <c r="N165" s="74">
        <v>45875</v>
      </c>
      <c r="O165" s="76">
        <v>45880</v>
      </c>
      <c r="P165" s="83" t="s">
        <v>139</v>
      </c>
      <c r="Q165" s="84" t="s">
        <v>139</v>
      </c>
      <c r="R165" s="69" t="s">
        <v>140</v>
      </c>
      <c r="S165" s="72" t="s">
        <v>1118</v>
      </c>
      <c r="T165" s="79" t="s">
        <v>1119</v>
      </c>
      <c r="U165" s="69" t="s">
        <v>1120</v>
      </c>
      <c r="V165" s="81" t="s">
        <v>52</v>
      </c>
      <c r="W165" s="76" t="s">
        <v>145</v>
      </c>
      <c r="X165" s="79" t="s">
        <v>1119</v>
      </c>
      <c r="Y165" s="69">
        <v>1</v>
      </c>
      <c r="Z165" s="69">
        <v>1</v>
      </c>
      <c r="AA165" s="69">
        <v>1</v>
      </c>
      <c r="AB165" s="49">
        <f>IF(V165="TIPO I",'BASE DE LIQUIDACION 2025'!$B$3,'BASE DE LIQUIDACION 2025'!$B$4)</f>
        <v>11251.22416</v>
      </c>
      <c r="AC165" s="49">
        <f>IF(V165="TIPO I",'BASE DE LIQUIDACION 2025'!$C$3,'BASE DE LIQUIDACION 2025'!$C$4)</f>
        <v>126317.12212</v>
      </c>
      <c r="AD165" s="49">
        <f>IF(V165="TIPO I",'BASE DE LIQUIDACION 2025'!$D$3,'BASE DE LIQUIDACION 2025'!$D$4)</f>
        <v>57411.974240000003</v>
      </c>
      <c r="AE165" s="53">
        <f t="shared" si="3"/>
        <v>194980.32052000001</v>
      </c>
    </row>
    <row r="166" spans="1:31" s="46" customFormat="1">
      <c r="A166" s="69" t="s">
        <v>269</v>
      </c>
      <c r="B166" s="45" t="str">
        <f>VLOOKUP(A166,'CENTRO DE COSTOS'!A:D,4,FALSE)</f>
        <v>MIGUEL JULIÁN HERNÁNDEZ GUARÍN</v>
      </c>
      <c r="C166" s="45" t="str">
        <f>VLOOKUP(A166,'CENTRO DE COSTOS'!A:D,2,FALSE)</f>
        <v>0004-0008</v>
      </c>
      <c r="D166" s="69">
        <v>68001</v>
      </c>
      <c r="E166" s="70" t="s">
        <v>1121</v>
      </c>
      <c r="F166" s="71">
        <v>80868</v>
      </c>
      <c r="G166" s="79" t="s">
        <v>132</v>
      </c>
      <c r="H166" s="73" t="s">
        <v>133</v>
      </c>
      <c r="I166" s="71" t="s">
        <v>795</v>
      </c>
      <c r="J166" s="81" t="s">
        <v>269</v>
      </c>
      <c r="K166" s="71" t="s">
        <v>1122</v>
      </c>
      <c r="L166" s="75" t="s">
        <v>137</v>
      </c>
      <c r="M166" s="82" t="s">
        <v>1123</v>
      </c>
      <c r="N166" s="74">
        <v>45875</v>
      </c>
      <c r="O166" s="76">
        <v>45877</v>
      </c>
      <c r="P166" s="83" t="s">
        <v>139</v>
      </c>
      <c r="Q166" s="84" t="s">
        <v>139</v>
      </c>
      <c r="R166" s="69" t="s">
        <v>140</v>
      </c>
      <c r="S166" s="72" t="s">
        <v>1124</v>
      </c>
      <c r="T166" s="79" t="s">
        <v>397</v>
      </c>
      <c r="U166" s="69" t="s">
        <v>1125</v>
      </c>
      <c r="V166" s="81" t="s">
        <v>52</v>
      </c>
      <c r="W166" s="76" t="s">
        <v>145</v>
      </c>
      <c r="X166" s="79" t="s">
        <v>397</v>
      </c>
      <c r="Y166" s="69">
        <v>1</v>
      </c>
      <c r="Z166" s="69">
        <v>1</v>
      </c>
      <c r="AA166" s="69">
        <v>1</v>
      </c>
      <c r="AB166" s="49">
        <f>IF(V166="TIPO I",'BASE DE LIQUIDACION 2025'!$B$3,'BASE DE LIQUIDACION 2025'!$B$4)</f>
        <v>11251.22416</v>
      </c>
      <c r="AC166" s="49">
        <f>IF(V166="TIPO I",'BASE DE LIQUIDACION 2025'!$C$3,'BASE DE LIQUIDACION 2025'!$C$4)</f>
        <v>126317.12212</v>
      </c>
      <c r="AD166" s="49">
        <f>IF(V166="TIPO I",'BASE DE LIQUIDACION 2025'!$D$3,'BASE DE LIQUIDACION 2025'!$D$4)</f>
        <v>57411.974240000003</v>
      </c>
      <c r="AE166" s="53">
        <f t="shared" si="3"/>
        <v>194980.32052000001</v>
      </c>
    </row>
    <row r="167" spans="1:31" s="46" customFormat="1">
      <c r="A167" s="69" t="s">
        <v>379</v>
      </c>
      <c r="B167" s="45" t="str">
        <f>VLOOKUP(A167,'CENTRO DE COSTOS'!A:D,4,FALSE)</f>
        <v>JOSE MAURICIO HERNANDEZ ROJAS</v>
      </c>
      <c r="C167" s="45" t="str">
        <f>VLOOKUP(A167,'CENTRO DE COSTOS'!A:D,2,FALSE)</f>
        <v>0004-0001</v>
      </c>
      <c r="D167" s="69">
        <v>23464</v>
      </c>
      <c r="E167" s="70" t="s">
        <v>1126</v>
      </c>
      <c r="F167" s="71">
        <v>80896</v>
      </c>
      <c r="G167" s="79" t="s">
        <v>132</v>
      </c>
      <c r="H167" s="73" t="s">
        <v>133</v>
      </c>
      <c r="I167" s="71" t="s">
        <v>381</v>
      </c>
      <c r="J167" s="81" t="s">
        <v>1127</v>
      </c>
      <c r="K167" s="71" t="s">
        <v>1128</v>
      </c>
      <c r="L167" s="75" t="s">
        <v>137</v>
      </c>
      <c r="M167" s="82" t="s">
        <v>1129</v>
      </c>
      <c r="N167" s="74">
        <v>45875</v>
      </c>
      <c r="O167" s="76">
        <v>45880</v>
      </c>
      <c r="P167" s="83" t="s">
        <v>139</v>
      </c>
      <c r="Q167" s="84" t="s">
        <v>139</v>
      </c>
      <c r="R167" s="69" t="s">
        <v>140</v>
      </c>
      <c r="S167" s="72" t="s">
        <v>1130</v>
      </c>
      <c r="T167" s="79" t="s">
        <v>681</v>
      </c>
      <c r="U167" s="69" t="s">
        <v>1131</v>
      </c>
      <c r="V167" s="81" t="s">
        <v>202</v>
      </c>
      <c r="W167" s="76" t="s">
        <v>145</v>
      </c>
      <c r="X167" s="79" t="s">
        <v>681</v>
      </c>
      <c r="Y167" s="69">
        <v>1</v>
      </c>
      <c r="Z167" s="69">
        <v>1</v>
      </c>
      <c r="AA167" s="69">
        <v>1</v>
      </c>
      <c r="AB167" s="49">
        <f>IF(V167="TIPO I",'BASE DE LIQUIDACION 2025'!$B$3,'BASE DE LIQUIDACION 2025'!$B$4)</f>
        <v>11251.22416</v>
      </c>
      <c r="AC167" s="49">
        <f>IF(V167="TIPO I",'BASE DE LIQUIDACION 2025'!$C$3,'BASE DE LIQUIDACION 2025'!$C$4)</f>
        <v>126317.12212</v>
      </c>
      <c r="AD167" s="49">
        <f>IF(V167="TIPO I",'BASE DE LIQUIDACION 2025'!$D$3,'BASE DE LIQUIDACION 2025'!$D$4)</f>
        <v>110808.27512000001</v>
      </c>
      <c r="AE167" s="53">
        <f t="shared" si="3"/>
        <v>248376.6214</v>
      </c>
    </row>
    <row r="168" spans="1:31" s="46" customFormat="1">
      <c r="A168" s="69" t="s">
        <v>130</v>
      </c>
      <c r="B168" s="45" t="str">
        <f>VLOOKUP(A168,'CENTRO DE COSTOS'!A:D,4,FALSE)</f>
        <v>KEVIN ALEXIS CORZO BUSTOS</v>
      </c>
      <c r="C168" s="45" t="str">
        <f>VLOOKUP(A168,'CENTRO DE COSTOS'!A:D,2,FALSE)</f>
        <v>0004-0007</v>
      </c>
      <c r="D168" s="69">
        <v>41001</v>
      </c>
      <c r="E168" s="70" t="s">
        <v>1132</v>
      </c>
      <c r="F168" s="71">
        <v>80901</v>
      </c>
      <c r="G168" s="79" t="s">
        <v>132</v>
      </c>
      <c r="H168" s="73" t="s">
        <v>133</v>
      </c>
      <c r="I168" s="71" t="s">
        <v>213</v>
      </c>
      <c r="J168" s="81" t="s">
        <v>130</v>
      </c>
      <c r="K168" s="71" t="s">
        <v>1133</v>
      </c>
      <c r="L168" s="75" t="s">
        <v>137</v>
      </c>
      <c r="M168" s="82" t="s">
        <v>1134</v>
      </c>
      <c r="N168" s="74">
        <v>45875</v>
      </c>
      <c r="O168" s="76">
        <v>45877</v>
      </c>
      <c r="P168" s="83" t="s">
        <v>139</v>
      </c>
      <c r="Q168" s="84" t="s">
        <v>139</v>
      </c>
      <c r="R168" s="69" t="s">
        <v>140</v>
      </c>
      <c r="S168" s="72" t="s">
        <v>1135</v>
      </c>
      <c r="T168" s="79" t="s">
        <v>218</v>
      </c>
      <c r="U168" s="69" t="s">
        <v>1136</v>
      </c>
      <c r="V168" s="81" t="s">
        <v>52</v>
      </c>
      <c r="W168" s="76" t="s">
        <v>145</v>
      </c>
      <c r="X168" s="79" t="s">
        <v>218</v>
      </c>
      <c r="Y168" s="69">
        <v>1</v>
      </c>
      <c r="Z168" s="69">
        <v>1</v>
      </c>
      <c r="AA168" s="69">
        <v>1</v>
      </c>
      <c r="AB168" s="49">
        <f>IF(V168="TIPO I",'BASE DE LIQUIDACION 2025'!$B$3,'BASE DE LIQUIDACION 2025'!$B$4)</f>
        <v>11251.22416</v>
      </c>
      <c r="AC168" s="49">
        <f>IF(V168="TIPO I",'BASE DE LIQUIDACION 2025'!$C$3,'BASE DE LIQUIDACION 2025'!$C$4)</f>
        <v>126317.12212</v>
      </c>
      <c r="AD168" s="49">
        <f>IF(V168="TIPO I",'BASE DE LIQUIDACION 2025'!$D$3,'BASE DE LIQUIDACION 2025'!$D$4)</f>
        <v>57411.974240000003</v>
      </c>
      <c r="AE168" s="53">
        <f t="shared" si="3"/>
        <v>194980.32052000001</v>
      </c>
    </row>
    <row r="169" spans="1:31" s="46" customFormat="1">
      <c r="A169" s="69" t="s">
        <v>167</v>
      </c>
      <c r="B169" s="45" t="str">
        <f>VLOOKUP(A169,'CENTRO DE COSTOS'!A:D,4,FALSE)</f>
        <v>KEVIN ALEXIS CORZO BUSTOS</v>
      </c>
      <c r="C169" s="45" t="str">
        <f>VLOOKUP(A169,'CENTRO DE COSTOS'!A:D,2,FALSE)</f>
        <v>0004-0007</v>
      </c>
      <c r="D169" s="69">
        <v>85250</v>
      </c>
      <c r="E169" s="70" t="s">
        <v>1137</v>
      </c>
      <c r="F169" s="71">
        <v>80906</v>
      </c>
      <c r="G169" s="79" t="s">
        <v>132</v>
      </c>
      <c r="H169" s="73" t="s">
        <v>133</v>
      </c>
      <c r="I169" s="71" t="s">
        <v>169</v>
      </c>
      <c r="J169" s="81" t="s">
        <v>948</v>
      </c>
      <c r="K169" s="71" t="s">
        <v>1138</v>
      </c>
      <c r="L169" s="75" t="s">
        <v>137</v>
      </c>
      <c r="M169" s="82" t="s">
        <v>1139</v>
      </c>
      <c r="N169" s="74">
        <v>45875</v>
      </c>
      <c r="O169" s="76">
        <v>45880</v>
      </c>
      <c r="P169" s="83" t="s">
        <v>139</v>
      </c>
      <c r="Q169" s="84" t="s">
        <v>139</v>
      </c>
      <c r="R169" s="69" t="s">
        <v>549</v>
      </c>
      <c r="S169" s="72" t="s">
        <v>1140</v>
      </c>
      <c r="T169" s="79" t="s">
        <v>173</v>
      </c>
      <c r="U169" s="69" t="s">
        <v>1141</v>
      </c>
      <c r="V169" s="81" t="s">
        <v>202</v>
      </c>
      <c r="W169" s="76" t="s">
        <v>145</v>
      </c>
      <c r="X169" s="79" t="s">
        <v>173</v>
      </c>
      <c r="Y169" s="69">
        <v>0</v>
      </c>
      <c r="Z169" s="69">
        <v>0</v>
      </c>
      <c r="AA169" s="69">
        <v>2</v>
      </c>
      <c r="AB169" s="49">
        <f>IF(V169="TIPO I",'BASE DE LIQUIDACION 2025'!$B$3,'BASE DE LIQUIDACION 2025'!$B$4)</f>
        <v>11251.22416</v>
      </c>
      <c r="AC169" s="49">
        <f>IF(V169="TIPO I",'BASE DE LIQUIDACION 2025'!$C$3,'BASE DE LIQUIDACION 2025'!$C$4)</f>
        <v>126317.12212</v>
      </c>
      <c r="AD169" s="49">
        <f>IF(V169="TIPO I",'BASE DE LIQUIDACION 2025'!$D$3,'BASE DE LIQUIDACION 2025'!$D$4)</f>
        <v>110808.27512000001</v>
      </c>
      <c r="AE169" s="53">
        <f t="shared" si="3"/>
        <v>221616.55024000001</v>
      </c>
    </row>
    <row r="170" spans="1:31" s="46" customFormat="1">
      <c r="A170" s="69" t="s">
        <v>220</v>
      </c>
      <c r="B170" s="45" t="str">
        <f>VLOOKUP(A170,'CENTRO DE COSTOS'!A:D,4,FALSE)</f>
        <v>DIEGO FERNANDO HENAO CARDONA</v>
      </c>
      <c r="C170" s="45" t="str">
        <f>VLOOKUP(A170,'CENTRO DE COSTOS'!A:D,2,FALSE)</f>
        <v>0004-0003</v>
      </c>
      <c r="D170" s="69">
        <v>19845</v>
      </c>
      <c r="E170" s="70" t="s">
        <v>1142</v>
      </c>
      <c r="F170" s="71">
        <v>80922</v>
      </c>
      <c r="G170" s="79" t="s">
        <v>132</v>
      </c>
      <c r="H170" s="73" t="s">
        <v>133</v>
      </c>
      <c r="I170" s="71" t="s">
        <v>223</v>
      </c>
      <c r="J170" s="81" t="s">
        <v>473</v>
      </c>
      <c r="K170" s="71" t="s">
        <v>1143</v>
      </c>
      <c r="L170" s="75" t="s">
        <v>137</v>
      </c>
      <c r="M170" s="82" t="s">
        <v>1144</v>
      </c>
      <c r="N170" s="74">
        <v>45875</v>
      </c>
      <c r="O170" s="76">
        <v>45882</v>
      </c>
      <c r="P170" s="83" t="s">
        <v>139</v>
      </c>
      <c r="Q170" s="84" t="s">
        <v>139</v>
      </c>
      <c r="R170" s="69" t="s">
        <v>140</v>
      </c>
      <c r="S170" s="72" t="s">
        <v>1145</v>
      </c>
      <c r="T170" s="79" t="s">
        <v>495</v>
      </c>
      <c r="U170" s="69" t="s">
        <v>1146</v>
      </c>
      <c r="V170" s="81" t="s">
        <v>144</v>
      </c>
      <c r="W170" s="76" t="s">
        <v>145</v>
      </c>
      <c r="X170" s="79" t="s">
        <v>495</v>
      </c>
      <c r="Y170" s="69">
        <v>1</v>
      </c>
      <c r="Z170" s="69">
        <v>1</v>
      </c>
      <c r="AA170" s="69">
        <v>3</v>
      </c>
      <c r="AB170" s="49">
        <f>IF(V170="TIPO I",'BASE DE LIQUIDACION 2025'!$B$3,'BASE DE LIQUIDACION 2025'!$B$4)</f>
        <v>11251.22416</v>
      </c>
      <c r="AC170" s="49">
        <f>IF(V170="TIPO I",'BASE DE LIQUIDACION 2025'!$C$3,'BASE DE LIQUIDACION 2025'!$C$4)</f>
        <v>126317.12212</v>
      </c>
      <c r="AD170" s="49">
        <f>IF(V170="TIPO I",'BASE DE LIQUIDACION 2025'!$D$3,'BASE DE LIQUIDACION 2025'!$D$4)</f>
        <v>110808.27512000001</v>
      </c>
      <c r="AE170" s="53">
        <f t="shared" si="3"/>
        <v>469993.17164000002</v>
      </c>
    </row>
    <row r="171" spans="1:31" s="46" customFormat="1">
      <c r="A171" s="69" t="s">
        <v>453</v>
      </c>
      <c r="B171" s="45" t="str">
        <f>VLOOKUP(A171,'CENTRO DE COSTOS'!A:D,4,FALSE)</f>
        <v>DIEGO FERNANDO HENAO CARDONA</v>
      </c>
      <c r="C171" s="45" t="str">
        <f>VLOOKUP(A171,'CENTRO DE COSTOS'!A:D,2,FALSE)</f>
        <v>0004-0002</v>
      </c>
      <c r="D171" s="69">
        <v>66001</v>
      </c>
      <c r="E171" s="70" t="s">
        <v>1147</v>
      </c>
      <c r="F171" s="71">
        <v>80907</v>
      </c>
      <c r="G171" s="79" t="s">
        <v>132</v>
      </c>
      <c r="H171" s="73" t="s">
        <v>133</v>
      </c>
      <c r="I171" s="71" t="s">
        <v>579</v>
      </c>
      <c r="J171" s="81" t="s">
        <v>453</v>
      </c>
      <c r="K171" s="71" t="s">
        <v>1148</v>
      </c>
      <c r="L171" s="75" t="s">
        <v>137</v>
      </c>
      <c r="M171" s="82" t="s">
        <v>1149</v>
      </c>
      <c r="N171" s="74">
        <v>45875</v>
      </c>
      <c r="O171" s="76">
        <v>45877</v>
      </c>
      <c r="P171" s="83" t="s">
        <v>139</v>
      </c>
      <c r="Q171" s="84" t="s">
        <v>139</v>
      </c>
      <c r="R171" s="69" t="s">
        <v>140</v>
      </c>
      <c r="S171" s="72" t="s">
        <v>1150</v>
      </c>
      <c r="T171" s="79" t="s">
        <v>459</v>
      </c>
      <c r="U171" s="69" t="s">
        <v>1151</v>
      </c>
      <c r="V171" s="81" t="s">
        <v>52</v>
      </c>
      <c r="W171" s="76" t="s">
        <v>145</v>
      </c>
      <c r="X171" s="79" t="s">
        <v>459</v>
      </c>
      <c r="Y171" s="69">
        <v>1</v>
      </c>
      <c r="Z171" s="69">
        <v>1</v>
      </c>
      <c r="AA171" s="69">
        <v>1</v>
      </c>
      <c r="AB171" s="49">
        <f>IF(V171="TIPO I",'BASE DE LIQUIDACION 2025'!$B$3,'BASE DE LIQUIDACION 2025'!$B$4)</f>
        <v>11251.22416</v>
      </c>
      <c r="AC171" s="49">
        <f>IF(V171="TIPO I",'BASE DE LIQUIDACION 2025'!$C$3,'BASE DE LIQUIDACION 2025'!$C$4)</f>
        <v>126317.12212</v>
      </c>
      <c r="AD171" s="49">
        <f>IF(V171="TIPO I",'BASE DE LIQUIDACION 2025'!$D$3,'BASE DE LIQUIDACION 2025'!$D$4)</f>
        <v>57411.974240000003</v>
      </c>
      <c r="AE171" s="53">
        <f t="shared" si="3"/>
        <v>194980.32052000001</v>
      </c>
    </row>
    <row r="172" spans="1:31" s="46" customFormat="1">
      <c r="A172" s="69" t="s">
        <v>301</v>
      </c>
      <c r="B172" s="45" t="str">
        <f>VLOOKUP(A172,'CENTRO DE COSTOS'!A:D,4,FALSE)</f>
        <v>JOSE MAURICIO HERNANDEZ ROJAS</v>
      </c>
      <c r="C172" s="45" t="str">
        <f>VLOOKUP(A172,'CENTRO DE COSTOS'!A:D,2,FALSE)</f>
        <v>0004-0001</v>
      </c>
      <c r="D172" s="69">
        <v>13657</v>
      </c>
      <c r="E172" s="70" t="s">
        <v>1152</v>
      </c>
      <c r="F172" s="71">
        <v>80914</v>
      </c>
      <c r="G172" s="79" t="s">
        <v>132</v>
      </c>
      <c r="H172" s="73" t="s">
        <v>133</v>
      </c>
      <c r="I172" s="71" t="s">
        <v>271</v>
      </c>
      <c r="J172" s="81" t="s">
        <v>1153</v>
      </c>
      <c r="K172" s="71" t="s">
        <v>1154</v>
      </c>
      <c r="L172" s="75" t="s">
        <v>137</v>
      </c>
      <c r="M172" s="82" t="s">
        <v>1155</v>
      </c>
      <c r="N172" s="74">
        <v>45875</v>
      </c>
      <c r="O172" s="76">
        <v>45880</v>
      </c>
      <c r="P172" s="83" t="s">
        <v>139</v>
      </c>
      <c r="Q172" s="84" t="s">
        <v>139</v>
      </c>
      <c r="R172" s="69" t="s">
        <v>140</v>
      </c>
      <c r="S172" s="72" t="s">
        <v>1156</v>
      </c>
      <c r="T172" s="79" t="s">
        <v>412</v>
      </c>
      <c r="U172" s="69" t="s">
        <v>1157</v>
      </c>
      <c r="V172" s="81" t="s">
        <v>202</v>
      </c>
      <c r="W172" s="76" t="s">
        <v>145</v>
      </c>
      <c r="X172" s="79" t="s">
        <v>412</v>
      </c>
      <c r="Y172" s="69">
        <v>1</v>
      </c>
      <c r="Z172" s="69">
        <v>1</v>
      </c>
      <c r="AA172" s="69">
        <v>1</v>
      </c>
      <c r="AB172" s="49">
        <f>IF(V172="TIPO I",'BASE DE LIQUIDACION 2025'!$B$3,'BASE DE LIQUIDACION 2025'!$B$4)</f>
        <v>11251.22416</v>
      </c>
      <c r="AC172" s="49">
        <f>IF(V172="TIPO I",'BASE DE LIQUIDACION 2025'!$C$3,'BASE DE LIQUIDACION 2025'!$C$4)</f>
        <v>126317.12212</v>
      </c>
      <c r="AD172" s="49">
        <f>IF(V172="TIPO I",'BASE DE LIQUIDACION 2025'!$D$3,'BASE DE LIQUIDACION 2025'!$D$4)</f>
        <v>110808.27512000001</v>
      </c>
      <c r="AE172" s="53">
        <f t="shared" si="3"/>
        <v>248376.6214</v>
      </c>
    </row>
    <row r="173" spans="1:31" s="46" customFormat="1">
      <c r="A173" s="69" t="s">
        <v>203</v>
      </c>
      <c r="B173" s="45" t="str">
        <f>VLOOKUP(A173,'CENTRO DE COSTOS'!A:D,4,FALSE)</f>
        <v>MIGUEL JULIÁN HERNÁNDEZ GUARÍN</v>
      </c>
      <c r="C173" s="45" t="str">
        <f>VLOOKUP(A173,'CENTRO DE COSTOS'!A:D,2,FALSE)</f>
        <v>0004-0008</v>
      </c>
      <c r="D173" s="69">
        <v>15272</v>
      </c>
      <c r="E173" s="70" t="s">
        <v>1158</v>
      </c>
      <c r="F173" s="71">
        <v>80893</v>
      </c>
      <c r="G173" s="79" t="s">
        <v>132</v>
      </c>
      <c r="H173" s="73" t="s">
        <v>133</v>
      </c>
      <c r="I173" s="71" t="s">
        <v>205</v>
      </c>
      <c r="J173" s="81" t="s">
        <v>1159</v>
      </c>
      <c r="K173" s="71" t="s">
        <v>1160</v>
      </c>
      <c r="L173" s="75" t="s">
        <v>137</v>
      </c>
      <c r="M173" s="82" t="s">
        <v>1161</v>
      </c>
      <c r="N173" s="74">
        <v>45875</v>
      </c>
      <c r="O173" s="76">
        <v>45881</v>
      </c>
      <c r="P173" s="83" t="s">
        <v>139</v>
      </c>
      <c r="Q173" s="84" t="s">
        <v>139</v>
      </c>
      <c r="R173" s="69" t="s">
        <v>549</v>
      </c>
      <c r="S173" s="72" t="s">
        <v>1162</v>
      </c>
      <c r="T173" s="79" t="s">
        <v>1163</v>
      </c>
      <c r="U173" s="69" t="s">
        <v>1164</v>
      </c>
      <c r="V173" s="81" t="s">
        <v>202</v>
      </c>
      <c r="W173" s="76" t="s">
        <v>145</v>
      </c>
      <c r="X173" s="79" t="s">
        <v>1163</v>
      </c>
      <c r="Y173" s="69">
        <v>0</v>
      </c>
      <c r="Z173" s="69">
        <v>0</v>
      </c>
      <c r="AA173" s="69">
        <v>2</v>
      </c>
      <c r="AB173" s="49">
        <f>IF(V173="TIPO I",'BASE DE LIQUIDACION 2025'!$B$3,'BASE DE LIQUIDACION 2025'!$B$4)</f>
        <v>11251.22416</v>
      </c>
      <c r="AC173" s="49">
        <f>IF(V173="TIPO I",'BASE DE LIQUIDACION 2025'!$C$3,'BASE DE LIQUIDACION 2025'!$C$4)</f>
        <v>126317.12212</v>
      </c>
      <c r="AD173" s="49">
        <f>IF(V173="TIPO I",'BASE DE LIQUIDACION 2025'!$D$3,'BASE DE LIQUIDACION 2025'!$D$4)</f>
        <v>110808.27512000001</v>
      </c>
      <c r="AE173" s="53">
        <f t="shared" si="3"/>
        <v>221616.55024000001</v>
      </c>
    </row>
    <row r="174" spans="1:31" s="46" customFormat="1">
      <c r="A174" s="69" t="s">
        <v>269</v>
      </c>
      <c r="B174" s="45" t="str">
        <f>VLOOKUP(A174,'CENTRO DE COSTOS'!A:D,4,FALSE)</f>
        <v>MIGUEL JULIÁN HERNÁNDEZ GUARÍN</v>
      </c>
      <c r="C174" s="45" t="str">
        <f>VLOOKUP(A174,'CENTRO DE COSTOS'!A:D,2,FALSE)</f>
        <v>0004-0008</v>
      </c>
      <c r="D174" s="69">
        <v>68132</v>
      </c>
      <c r="E174" s="70" t="s">
        <v>1165</v>
      </c>
      <c r="F174" s="71">
        <v>80873</v>
      </c>
      <c r="G174" s="79" t="s">
        <v>132</v>
      </c>
      <c r="H174" s="73" t="s">
        <v>133</v>
      </c>
      <c r="I174" s="71" t="s">
        <v>795</v>
      </c>
      <c r="J174" s="81" t="s">
        <v>1166</v>
      </c>
      <c r="K174" s="71" t="s">
        <v>1167</v>
      </c>
      <c r="L174" s="75" t="s">
        <v>137</v>
      </c>
      <c r="M174" s="82" t="s">
        <v>1168</v>
      </c>
      <c r="N174" s="74">
        <v>45875</v>
      </c>
      <c r="O174" s="76">
        <v>45881</v>
      </c>
      <c r="P174" s="83" t="s">
        <v>139</v>
      </c>
      <c r="Q174" s="84" t="s">
        <v>139</v>
      </c>
      <c r="R174" s="69" t="s">
        <v>140</v>
      </c>
      <c r="S174" s="72" t="s">
        <v>1169</v>
      </c>
      <c r="T174" s="79" t="s">
        <v>812</v>
      </c>
      <c r="U174" s="69" t="s">
        <v>1170</v>
      </c>
      <c r="V174" s="81" t="s">
        <v>230</v>
      </c>
      <c r="W174" s="76" t="s">
        <v>145</v>
      </c>
      <c r="X174" s="79" t="s">
        <v>812</v>
      </c>
      <c r="Y174" s="69">
        <v>1</v>
      </c>
      <c r="Z174" s="69">
        <v>1</v>
      </c>
      <c r="AA174" s="69">
        <v>1</v>
      </c>
      <c r="AB174" s="49">
        <f>IF(V174="TIPO I",'BASE DE LIQUIDACION 2025'!$B$3,'BASE DE LIQUIDACION 2025'!$B$4)</f>
        <v>11251.22416</v>
      </c>
      <c r="AC174" s="49">
        <f>IF(V174="TIPO I",'BASE DE LIQUIDACION 2025'!$C$3,'BASE DE LIQUIDACION 2025'!$C$4)</f>
        <v>126317.12212</v>
      </c>
      <c r="AD174" s="49">
        <f>IF(V174="TIPO I",'BASE DE LIQUIDACION 2025'!$D$3,'BASE DE LIQUIDACION 2025'!$D$4)</f>
        <v>110808.27512000001</v>
      </c>
      <c r="AE174" s="53">
        <f t="shared" si="3"/>
        <v>248376.6214</v>
      </c>
    </row>
    <row r="175" spans="1:31" s="46" customFormat="1">
      <c r="A175" s="69" t="s">
        <v>203</v>
      </c>
      <c r="B175" s="45" t="str">
        <f>VLOOKUP(A175,'CENTRO DE COSTOS'!A:D,4,FALSE)</f>
        <v>MIGUEL JULIÁN HERNÁNDEZ GUARÍN</v>
      </c>
      <c r="C175" s="45" t="str">
        <f>VLOOKUP(A175,'CENTRO DE COSTOS'!A:D,2,FALSE)</f>
        <v>0004-0008</v>
      </c>
      <c r="D175" s="69">
        <v>15238</v>
      </c>
      <c r="E175" s="70" t="s">
        <v>1171</v>
      </c>
      <c r="F175" s="71">
        <v>80881</v>
      </c>
      <c r="G175" s="79" t="s">
        <v>132</v>
      </c>
      <c r="H175" s="73" t="s">
        <v>133</v>
      </c>
      <c r="I175" s="71" t="s">
        <v>205</v>
      </c>
      <c r="J175" s="81" t="s">
        <v>591</v>
      </c>
      <c r="K175" s="71" t="s">
        <v>1172</v>
      </c>
      <c r="L175" s="75" t="s">
        <v>137</v>
      </c>
      <c r="M175" s="82" t="s">
        <v>1173</v>
      </c>
      <c r="N175" s="74">
        <v>45875</v>
      </c>
      <c r="O175" s="76">
        <v>45877</v>
      </c>
      <c r="P175" s="83" t="s">
        <v>139</v>
      </c>
      <c r="Q175" s="84" t="s">
        <v>139</v>
      </c>
      <c r="R175" s="69" t="s">
        <v>140</v>
      </c>
      <c r="S175" s="72" t="s">
        <v>1174</v>
      </c>
      <c r="T175" s="79" t="s">
        <v>210</v>
      </c>
      <c r="U175" s="69" t="s">
        <v>1175</v>
      </c>
      <c r="V175" s="81" t="s">
        <v>202</v>
      </c>
      <c r="W175" s="76" t="s">
        <v>145</v>
      </c>
      <c r="X175" s="79" t="s">
        <v>210</v>
      </c>
      <c r="Y175" s="69">
        <v>1</v>
      </c>
      <c r="Z175" s="69">
        <v>1</v>
      </c>
      <c r="AA175" s="69">
        <v>1</v>
      </c>
      <c r="AB175" s="49">
        <f>IF(V175="TIPO I",'BASE DE LIQUIDACION 2025'!$B$3,'BASE DE LIQUIDACION 2025'!$B$4)</f>
        <v>11251.22416</v>
      </c>
      <c r="AC175" s="49">
        <f>IF(V175="TIPO I",'BASE DE LIQUIDACION 2025'!$C$3,'BASE DE LIQUIDACION 2025'!$C$4)</f>
        <v>126317.12212</v>
      </c>
      <c r="AD175" s="49">
        <f>IF(V175="TIPO I",'BASE DE LIQUIDACION 2025'!$D$3,'BASE DE LIQUIDACION 2025'!$D$4)</f>
        <v>110808.27512000001</v>
      </c>
      <c r="AE175" s="53">
        <f t="shared" si="3"/>
        <v>248376.6214</v>
      </c>
    </row>
    <row r="176" spans="1:31" s="46" customFormat="1">
      <c r="A176" s="69" t="s">
        <v>269</v>
      </c>
      <c r="B176" s="45" t="str">
        <f>VLOOKUP(A176,'CENTRO DE COSTOS'!A:D,4,FALSE)</f>
        <v>MIGUEL JULIÁN HERNÁNDEZ GUARÍN</v>
      </c>
      <c r="C176" s="45" t="str">
        <f>VLOOKUP(A176,'CENTRO DE COSTOS'!A:D,2,FALSE)</f>
        <v>0004-0008</v>
      </c>
      <c r="D176" s="69">
        <v>68169</v>
      </c>
      <c r="E176" s="70" t="s">
        <v>1176</v>
      </c>
      <c r="F176" s="71">
        <v>80877</v>
      </c>
      <c r="G176" s="79" t="s">
        <v>132</v>
      </c>
      <c r="H176" s="73" t="s">
        <v>133</v>
      </c>
      <c r="I176" s="71" t="s">
        <v>795</v>
      </c>
      <c r="J176" s="81" t="s">
        <v>1177</v>
      </c>
      <c r="K176" s="71" t="s">
        <v>1178</v>
      </c>
      <c r="L176" s="75" t="s">
        <v>137</v>
      </c>
      <c r="M176" s="82" t="s">
        <v>1179</v>
      </c>
      <c r="N176" s="74">
        <v>45875</v>
      </c>
      <c r="O176" s="76">
        <v>45880</v>
      </c>
      <c r="P176" s="83" t="s">
        <v>139</v>
      </c>
      <c r="Q176" s="84" t="s">
        <v>139</v>
      </c>
      <c r="R176" s="69" t="s">
        <v>140</v>
      </c>
      <c r="S176" s="72" t="s">
        <v>1180</v>
      </c>
      <c r="T176" s="79" t="s">
        <v>812</v>
      </c>
      <c r="U176" s="69" t="s">
        <v>1181</v>
      </c>
      <c r="V176" s="81" t="s">
        <v>202</v>
      </c>
      <c r="W176" s="76" t="s">
        <v>145</v>
      </c>
      <c r="X176" s="79" t="s">
        <v>812</v>
      </c>
      <c r="Y176" s="69">
        <v>1</v>
      </c>
      <c r="Z176" s="69">
        <v>1</v>
      </c>
      <c r="AA176" s="69">
        <v>1</v>
      </c>
      <c r="AB176" s="49">
        <f>IF(V176="TIPO I",'BASE DE LIQUIDACION 2025'!$B$3,'BASE DE LIQUIDACION 2025'!$B$4)</f>
        <v>11251.22416</v>
      </c>
      <c r="AC176" s="49">
        <f>IF(V176="TIPO I",'BASE DE LIQUIDACION 2025'!$C$3,'BASE DE LIQUIDACION 2025'!$C$4)</f>
        <v>126317.12212</v>
      </c>
      <c r="AD176" s="49">
        <f>IF(V176="TIPO I",'BASE DE LIQUIDACION 2025'!$D$3,'BASE DE LIQUIDACION 2025'!$D$4)</f>
        <v>110808.27512000001</v>
      </c>
      <c r="AE176" s="53">
        <f t="shared" si="3"/>
        <v>248376.6214</v>
      </c>
    </row>
    <row r="177" spans="1:31" s="46" customFormat="1">
      <c r="A177" s="69" t="s">
        <v>453</v>
      </c>
      <c r="B177" s="45" t="str">
        <f>VLOOKUP(A177,'CENTRO DE COSTOS'!A:D,4,FALSE)</f>
        <v>DIEGO FERNANDO HENAO CARDONA</v>
      </c>
      <c r="C177" s="45" t="str">
        <f>VLOOKUP(A177,'CENTRO DE COSTOS'!A:D,2,FALSE)</f>
        <v>0004-0002</v>
      </c>
      <c r="D177" s="69">
        <v>66383</v>
      </c>
      <c r="E177" s="70" t="s">
        <v>1182</v>
      </c>
      <c r="F177" s="71">
        <v>80892</v>
      </c>
      <c r="G177" s="79" t="s">
        <v>132</v>
      </c>
      <c r="H177" s="73" t="s">
        <v>133</v>
      </c>
      <c r="I177" s="71" t="s">
        <v>579</v>
      </c>
      <c r="J177" s="81" t="s">
        <v>1183</v>
      </c>
      <c r="K177" s="71" t="s">
        <v>1184</v>
      </c>
      <c r="L177" s="75" t="s">
        <v>137</v>
      </c>
      <c r="M177" s="82" t="s">
        <v>1185</v>
      </c>
      <c r="N177" s="74">
        <v>45875</v>
      </c>
      <c r="O177" s="76">
        <v>45877</v>
      </c>
      <c r="P177" s="83" t="s">
        <v>139</v>
      </c>
      <c r="Q177" s="84" t="s">
        <v>139</v>
      </c>
      <c r="R177" s="69" t="s">
        <v>140</v>
      </c>
      <c r="S177" s="72" t="s">
        <v>1186</v>
      </c>
      <c r="T177" s="79" t="s">
        <v>508</v>
      </c>
      <c r="U177" s="69" t="s">
        <v>1187</v>
      </c>
      <c r="V177" s="81" t="s">
        <v>202</v>
      </c>
      <c r="W177" s="76" t="s">
        <v>145</v>
      </c>
      <c r="X177" s="79" t="s">
        <v>508</v>
      </c>
      <c r="Y177" s="69">
        <v>1</v>
      </c>
      <c r="Z177" s="69">
        <v>1</v>
      </c>
      <c r="AA177" s="69">
        <v>1</v>
      </c>
      <c r="AB177" s="49">
        <f>IF(V177="TIPO I",'BASE DE LIQUIDACION 2025'!$B$3,'BASE DE LIQUIDACION 2025'!$B$4)</f>
        <v>11251.22416</v>
      </c>
      <c r="AC177" s="49">
        <f>IF(V177="TIPO I",'BASE DE LIQUIDACION 2025'!$C$3,'BASE DE LIQUIDACION 2025'!$C$4)</f>
        <v>126317.12212</v>
      </c>
      <c r="AD177" s="49">
        <f>IF(V177="TIPO I",'BASE DE LIQUIDACION 2025'!$D$3,'BASE DE LIQUIDACION 2025'!$D$4)</f>
        <v>110808.27512000001</v>
      </c>
      <c r="AE177" s="53">
        <f t="shared" si="3"/>
        <v>248376.6214</v>
      </c>
    </row>
    <row r="178" spans="1:31" s="46" customFormat="1">
      <c r="A178" s="69" t="s">
        <v>167</v>
      </c>
      <c r="B178" s="45" t="str">
        <f>VLOOKUP(A178,'CENTRO DE COSTOS'!A:D,4,FALSE)</f>
        <v>KEVIN ALEXIS CORZO BUSTOS</v>
      </c>
      <c r="C178" s="45" t="str">
        <f>VLOOKUP(A178,'CENTRO DE COSTOS'!A:D,2,FALSE)</f>
        <v>0004-0007</v>
      </c>
      <c r="D178" s="69">
        <v>85010</v>
      </c>
      <c r="E178" s="70" t="s">
        <v>1188</v>
      </c>
      <c r="F178" s="71">
        <v>80862</v>
      </c>
      <c r="G178" s="79" t="s">
        <v>132</v>
      </c>
      <c r="H178" s="73" t="s">
        <v>133</v>
      </c>
      <c r="I178" s="71" t="s">
        <v>169</v>
      </c>
      <c r="J178" s="81" t="s">
        <v>1189</v>
      </c>
      <c r="K178" s="71" t="s">
        <v>1190</v>
      </c>
      <c r="L178" s="75" t="s">
        <v>137</v>
      </c>
      <c r="M178" s="82" t="s">
        <v>1191</v>
      </c>
      <c r="N178" s="74">
        <v>45875</v>
      </c>
      <c r="O178" s="76">
        <v>45881</v>
      </c>
      <c r="P178" s="83" t="s">
        <v>139</v>
      </c>
      <c r="Q178" s="84" t="s">
        <v>139</v>
      </c>
      <c r="R178" s="69" t="s">
        <v>140</v>
      </c>
      <c r="S178" s="72" t="s">
        <v>1192</v>
      </c>
      <c r="T178" s="79" t="s">
        <v>173</v>
      </c>
      <c r="U178" s="69" t="s">
        <v>1193</v>
      </c>
      <c r="V178" s="81" t="s">
        <v>202</v>
      </c>
      <c r="W178" s="76" t="s">
        <v>145</v>
      </c>
      <c r="X178" s="79" t="s">
        <v>173</v>
      </c>
      <c r="Y178" s="69">
        <v>1</v>
      </c>
      <c r="Z178" s="69">
        <v>1</v>
      </c>
      <c r="AA178" s="69">
        <v>1</v>
      </c>
      <c r="AB178" s="49">
        <f>IF(V178="TIPO I",'BASE DE LIQUIDACION 2025'!$B$3,'BASE DE LIQUIDACION 2025'!$B$4)</f>
        <v>11251.22416</v>
      </c>
      <c r="AC178" s="49">
        <f>IF(V178="TIPO I",'BASE DE LIQUIDACION 2025'!$C$3,'BASE DE LIQUIDACION 2025'!$C$4)</f>
        <v>126317.12212</v>
      </c>
      <c r="AD178" s="49">
        <f>IF(V178="TIPO I",'BASE DE LIQUIDACION 2025'!$D$3,'BASE DE LIQUIDACION 2025'!$D$4)</f>
        <v>110808.27512000001</v>
      </c>
      <c r="AE178" s="53">
        <f t="shared" si="3"/>
        <v>248376.6214</v>
      </c>
    </row>
    <row r="179" spans="1:31" s="46" customFormat="1">
      <c r="A179" s="69" t="s">
        <v>203</v>
      </c>
      <c r="B179" s="45" t="str">
        <f>VLOOKUP(A179,'CENTRO DE COSTOS'!A:D,4,FALSE)</f>
        <v>MIGUEL JULIÁN HERNÁNDEZ GUARÍN</v>
      </c>
      <c r="C179" s="45" t="str">
        <f>VLOOKUP(A179,'CENTRO DE COSTOS'!A:D,2,FALSE)</f>
        <v>0004-0008</v>
      </c>
      <c r="D179" s="69">
        <v>15238</v>
      </c>
      <c r="E179" s="70" t="s">
        <v>1194</v>
      </c>
      <c r="F179" s="71">
        <v>80882</v>
      </c>
      <c r="G179" s="79" t="s">
        <v>132</v>
      </c>
      <c r="H179" s="73" t="s">
        <v>133</v>
      </c>
      <c r="I179" s="71" t="s">
        <v>205</v>
      </c>
      <c r="J179" s="81" t="s">
        <v>591</v>
      </c>
      <c r="K179" s="71" t="s">
        <v>1195</v>
      </c>
      <c r="L179" s="75" t="s">
        <v>137</v>
      </c>
      <c r="M179" s="82" t="s">
        <v>1196</v>
      </c>
      <c r="N179" s="74">
        <v>45875</v>
      </c>
      <c r="O179" s="76">
        <v>45883</v>
      </c>
      <c r="P179" s="83" t="s">
        <v>139</v>
      </c>
      <c r="Q179" s="84" t="s">
        <v>139</v>
      </c>
      <c r="R179" s="69" t="s">
        <v>140</v>
      </c>
      <c r="S179" s="72" t="s">
        <v>1197</v>
      </c>
      <c r="T179" s="79" t="s">
        <v>922</v>
      </c>
      <c r="U179" s="69" t="s">
        <v>1198</v>
      </c>
      <c r="V179" s="81" t="s">
        <v>202</v>
      </c>
      <c r="W179" s="76" t="s">
        <v>145</v>
      </c>
      <c r="X179" s="79" t="s">
        <v>922</v>
      </c>
      <c r="Y179" s="69">
        <v>1</v>
      </c>
      <c r="Z179" s="69">
        <v>1</v>
      </c>
      <c r="AA179" s="69">
        <v>1</v>
      </c>
      <c r="AB179" s="49">
        <f>IF(V179="TIPO I",'BASE DE LIQUIDACION 2025'!$B$3,'BASE DE LIQUIDACION 2025'!$B$4)</f>
        <v>11251.22416</v>
      </c>
      <c r="AC179" s="49">
        <f>IF(V179="TIPO I",'BASE DE LIQUIDACION 2025'!$C$3,'BASE DE LIQUIDACION 2025'!$C$4)</f>
        <v>126317.12212</v>
      </c>
      <c r="AD179" s="49">
        <f>IF(V179="TIPO I",'BASE DE LIQUIDACION 2025'!$D$3,'BASE DE LIQUIDACION 2025'!$D$4)</f>
        <v>110808.27512000001</v>
      </c>
      <c r="AE179" s="53">
        <f t="shared" si="3"/>
        <v>248376.6214</v>
      </c>
    </row>
    <row r="180" spans="1:31" s="46" customFormat="1">
      <c r="A180" s="69" t="s">
        <v>203</v>
      </c>
      <c r="B180" s="45" t="str">
        <f>VLOOKUP(A180,'CENTRO DE COSTOS'!A:D,4,FALSE)</f>
        <v>MIGUEL JULIÁN HERNÁNDEZ GUARÍN</v>
      </c>
      <c r="C180" s="45" t="str">
        <f>VLOOKUP(A180,'CENTRO DE COSTOS'!A:D,2,FALSE)</f>
        <v>0004-0008</v>
      </c>
      <c r="D180" s="69">
        <v>15696</v>
      </c>
      <c r="E180" s="70" t="s">
        <v>1199</v>
      </c>
      <c r="F180" s="71">
        <v>80874</v>
      </c>
      <c r="G180" s="79" t="s">
        <v>132</v>
      </c>
      <c r="H180" s="73" t="s">
        <v>133</v>
      </c>
      <c r="I180" s="71" t="s">
        <v>205</v>
      </c>
      <c r="J180" s="81" t="s">
        <v>1200</v>
      </c>
      <c r="K180" s="71" t="s">
        <v>1201</v>
      </c>
      <c r="L180" s="75" t="s">
        <v>137</v>
      </c>
      <c r="M180" s="82" t="s">
        <v>1202</v>
      </c>
      <c r="N180" s="74">
        <v>45875</v>
      </c>
      <c r="O180" s="76">
        <v>45884</v>
      </c>
      <c r="P180" s="83" t="s">
        <v>139</v>
      </c>
      <c r="Q180" s="84" t="s">
        <v>139</v>
      </c>
      <c r="R180" s="69" t="s">
        <v>140</v>
      </c>
      <c r="S180" s="72" t="s">
        <v>1203</v>
      </c>
      <c r="T180" s="79" t="s">
        <v>1119</v>
      </c>
      <c r="U180" s="69" t="s">
        <v>1204</v>
      </c>
      <c r="V180" s="81" t="s">
        <v>202</v>
      </c>
      <c r="W180" s="76" t="s">
        <v>145</v>
      </c>
      <c r="X180" s="79" t="s">
        <v>1119</v>
      </c>
      <c r="Y180" s="69">
        <v>1</v>
      </c>
      <c r="Z180" s="69">
        <v>1</v>
      </c>
      <c r="AA180" s="69">
        <v>1</v>
      </c>
      <c r="AB180" s="49">
        <f>IF(V180="TIPO I",'BASE DE LIQUIDACION 2025'!$B$3,'BASE DE LIQUIDACION 2025'!$B$4)</f>
        <v>11251.22416</v>
      </c>
      <c r="AC180" s="49">
        <f>IF(V180="TIPO I",'BASE DE LIQUIDACION 2025'!$C$3,'BASE DE LIQUIDACION 2025'!$C$4)</f>
        <v>126317.12212</v>
      </c>
      <c r="AD180" s="49">
        <f>IF(V180="TIPO I",'BASE DE LIQUIDACION 2025'!$D$3,'BASE DE LIQUIDACION 2025'!$D$4)</f>
        <v>110808.27512000001</v>
      </c>
      <c r="AE180" s="53">
        <f t="shared" si="3"/>
        <v>248376.6214</v>
      </c>
    </row>
    <row r="181" spans="1:31" s="46" customFormat="1">
      <c r="A181" s="69" t="s">
        <v>379</v>
      </c>
      <c r="B181" s="45" t="str">
        <f>VLOOKUP(A181,'CENTRO DE COSTOS'!A:D,4,FALSE)</f>
        <v>JOSE MAURICIO HERNANDEZ ROJAS</v>
      </c>
      <c r="C181" s="45" t="str">
        <f>VLOOKUP(A181,'CENTRO DE COSTOS'!A:D,2,FALSE)</f>
        <v>0004-0001</v>
      </c>
      <c r="D181" s="69">
        <v>23580</v>
      </c>
      <c r="E181" s="70" t="s">
        <v>1205</v>
      </c>
      <c r="F181" s="71">
        <v>80911</v>
      </c>
      <c r="G181" s="79" t="s">
        <v>132</v>
      </c>
      <c r="H181" s="73" t="s">
        <v>133</v>
      </c>
      <c r="I181" s="71" t="s">
        <v>381</v>
      </c>
      <c r="J181" s="81" t="s">
        <v>1206</v>
      </c>
      <c r="K181" s="71" t="s">
        <v>1207</v>
      </c>
      <c r="L181" s="75" t="s">
        <v>137</v>
      </c>
      <c r="M181" s="82" t="s">
        <v>1208</v>
      </c>
      <c r="N181" s="74">
        <v>45875</v>
      </c>
      <c r="O181" s="76">
        <v>45883</v>
      </c>
      <c r="P181" s="83" t="s">
        <v>139</v>
      </c>
      <c r="Q181" s="84" t="s">
        <v>139</v>
      </c>
      <c r="R181" s="69" t="s">
        <v>140</v>
      </c>
      <c r="S181" s="72" t="s">
        <v>1209</v>
      </c>
      <c r="T181" s="79" t="s">
        <v>1210</v>
      </c>
      <c r="U181" s="69" t="s">
        <v>1211</v>
      </c>
      <c r="V181" s="81" t="s">
        <v>144</v>
      </c>
      <c r="W181" s="76" t="s">
        <v>145</v>
      </c>
      <c r="X181" s="79" t="s">
        <v>1210</v>
      </c>
      <c r="Y181" s="69">
        <v>1</v>
      </c>
      <c r="Z181" s="69">
        <v>1</v>
      </c>
      <c r="AA181" s="69">
        <v>1</v>
      </c>
      <c r="AB181" s="49">
        <f>IF(V181="TIPO I",'BASE DE LIQUIDACION 2025'!$B$3,'BASE DE LIQUIDACION 2025'!$B$4)</f>
        <v>11251.22416</v>
      </c>
      <c r="AC181" s="49">
        <f>IF(V181="TIPO I",'BASE DE LIQUIDACION 2025'!$C$3,'BASE DE LIQUIDACION 2025'!$C$4)</f>
        <v>126317.12212</v>
      </c>
      <c r="AD181" s="49">
        <f>IF(V181="TIPO I",'BASE DE LIQUIDACION 2025'!$D$3,'BASE DE LIQUIDACION 2025'!$D$4)</f>
        <v>110808.27512000001</v>
      </c>
      <c r="AE181" s="53">
        <f t="shared" ref="AE181:AE237" si="4">AB181*Y181+Z181*AC181+AA181*AD181</f>
        <v>248376.6214</v>
      </c>
    </row>
    <row r="182" spans="1:31" s="46" customFormat="1">
      <c r="A182" s="69" t="s">
        <v>345</v>
      </c>
      <c r="B182" s="45" t="str">
        <f>VLOOKUP(A182,'CENTRO DE COSTOS'!A:D,4,FALSE)</f>
        <v>JOSE MAURICIO HERNANDEZ ROJAS</v>
      </c>
      <c r="C182" s="45" t="str">
        <f>VLOOKUP(A182,'CENTRO DE COSTOS'!A:D,2,FALSE)</f>
        <v>0004-0001</v>
      </c>
      <c r="D182" s="69">
        <v>8001</v>
      </c>
      <c r="E182" s="70" t="s">
        <v>1212</v>
      </c>
      <c r="F182" s="71">
        <v>80865</v>
      </c>
      <c r="G182" s="79" t="s">
        <v>132</v>
      </c>
      <c r="H182" s="73" t="s">
        <v>133</v>
      </c>
      <c r="I182" s="71" t="s">
        <v>347</v>
      </c>
      <c r="J182" s="81" t="s">
        <v>345</v>
      </c>
      <c r="K182" s="71" t="s">
        <v>1213</v>
      </c>
      <c r="L182" s="75" t="s">
        <v>137</v>
      </c>
      <c r="M182" s="82" t="s">
        <v>1214</v>
      </c>
      <c r="N182" s="74">
        <v>45875</v>
      </c>
      <c r="O182" s="76">
        <v>45877</v>
      </c>
      <c r="P182" s="83" t="s">
        <v>139</v>
      </c>
      <c r="Q182" s="84" t="s">
        <v>139</v>
      </c>
      <c r="R182" s="69" t="s">
        <v>140</v>
      </c>
      <c r="S182" s="72" t="s">
        <v>1215</v>
      </c>
      <c r="T182" s="79" t="s">
        <v>773</v>
      </c>
      <c r="U182" s="69" t="s">
        <v>1216</v>
      </c>
      <c r="V182" s="81" t="s">
        <v>52</v>
      </c>
      <c r="W182" s="76" t="s">
        <v>145</v>
      </c>
      <c r="X182" s="79" t="s">
        <v>773</v>
      </c>
      <c r="Y182" s="69">
        <v>1</v>
      </c>
      <c r="Z182" s="69">
        <v>1</v>
      </c>
      <c r="AA182" s="69">
        <v>1</v>
      </c>
      <c r="AB182" s="49">
        <f>IF(V182="TIPO I",'BASE DE LIQUIDACION 2025'!$B$3,'BASE DE LIQUIDACION 2025'!$B$4)</f>
        <v>11251.22416</v>
      </c>
      <c r="AC182" s="49">
        <f>IF(V182="TIPO I",'BASE DE LIQUIDACION 2025'!$C$3,'BASE DE LIQUIDACION 2025'!$C$4)</f>
        <v>126317.12212</v>
      </c>
      <c r="AD182" s="49">
        <f>IF(V182="TIPO I",'BASE DE LIQUIDACION 2025'!$D$3,'BASE DE LIQUIDACION 2025'!$D$4)</f>
        <v>57411.974240000003</v>
      </c>
      <c r="AE182" s="53">
        <f t="shared" si="4"/>
        <v>194980.32052000001</v>
      </c>
    </row>
    <row r="183" spans="1:31" s="46" customFormat="1">
      <c r="A183" s="69" t="s">
        <v>269</v>
      </c>
      <c r="B183" s="45" t="str">
        <f>VLOOKUP(A183,'CENTRO DE COSTOS'!A:D,4,FALSE)</f>
        <v>MIGUEL JULIÁN HERNÁNDEZ GUARÍN</v>
      </c>
      <c r="C183" s="45" t="str">
        <f>VLOOKUP(A183,'CENTRO DE COSTOS'!A:D,2,FALSE)</f>
        <v>0004-0008</v>
      </c>
      <c r="D183" s="69">
        <v>68895</v>
      </c>
      <c r="E183" s="70" t="s">
        <v>1217</v>
      </c>
      <c r="F183" s="71">
        <v>80820</v>
      </c>
      <c r="G183" s="79" t="s">
        <v>132</v>
      </c>
      <c r="H183" s="73" t="s">
        <v>1218</v>
      </c>
      <c r="I183" s="71" t="s">
        <v>795</v>
      </c>
      <c r="J183" s="81" t="s">
        <v>1219</v>
      </c>
      <c r="K183" s="71" t="s">
        <v>1220</v>
      </c>
      <c r="L183" s="75" t="s">
        <v>137</v>
      </c>
      <c r="M183" s="82" t="s">
        <v>1221</v>
      </c>
      <c r="N183" s="74">
        <v>45875</v>
      </c>
      <c r="O183" s="76">
        <v>45877</v>
      </c>
      <c r="P183" s="83" t="s">
        <v>139</v>
      </c>
      <c r="Q183" s="84" t="s">
        <v>139</v>
      </c>
      <c r="R183" s="69" t="s">
        <v>140</v>
      </c>
      <c r="S183" s="72" t="s">
        <v>1222</v>
      </c>
      <c r="T183" s="79" t="s">
        <v>1223</v>
      </c>
      <c r="U183" s="69" t="s">
        <v>1224</v>
      </c>
      <c r="V183" s="81" t="s">
        <v>230</v>
      </c>
      <c r="W183" s="76" t="s">
        <v>145</v>
      </c>
      <c r="X183" s="79" t="s">
        <v>1223</v>
      </c>
      <c r="Y183" s="69">
        <v>1</v>
      </c>
      <c r="Z183" s="69">
        <v>1</v>
      </c>
      <c r="AA183" s="69">
        <v>1</v>
      </c>
      <c r="AB183" s="49">
        <f>IF(V183="TIPO I",'BASE DE LIQUIDACION 2025'!$B$3,'BASE DE LIQUIDACION 2025'!$B$4)</f>
        <v>11251.22416</v>
      </c>
      <c r="AC183" s="49">
        <f>IF(V183="TIPO I",'BASE DE LIQUIDACION 2025'!$C$3,'BASE DE LIQUIDACION 2025'!$C$4)</f>
        <v>126317.12212</v>
      </c>
      <c r="AD183" s="49">
        <f>IF(V183="TIPO I",'BASE DE LIQUIDACION 2025'!$D$3,'BASE DE LIQUIDACION 2025'!$D$4)</f>
        <v>110808.27512000001</v>
      </c>
      <c r="AE183" s="53">
        <f t="shared" si="4"/>
        <v>248376.6214</v>
      </c>
    </row>
    <row r="184" spans="1:31" s="46" customFormat="1">
      <c r="A184" s="69" t="s">
        <v>203</v>
      </c>
      <c r="B184" s="45" t="str">
        <f>VLOOKUP(A184,'CENTRO DE COSTOS'!A:D,4,FALSE)</f>
        <v>MIGUEL JULIÁN HERNÁNDEZ GUARÍN</v>
      </c>
      <c r="C184" s="45" t="str">
        <f>VLOOKUP(A184,'CENTRO DE COSTOS'!A:D,2,FALSE)</f>
        <v>0004-0008</v>
      </c>
      <c r="D184" s="69">
        <v>15176</v>
      </c>
      <c r="E184" s="70" t="s">
        <v>1225</v>
      </c>
      <c r="F184" s="71">
        <v>80726</v>
      </c>
      <c r="G184" s="79" t="s">
        <v>132</v>
      </c>
      <c r="H184" s="73" t="s">
        <v>1218</v>
      </c>
      <c r="I184" s="71" t="s">
        <v>205</v>
      </c>
      <c r="J184" s="81" t="s">
        <v>1226</v>
      </c>
      <c r="K184" s="71" t="s">
        <v>1227</v>
      </c>
      <c r="L184" s="75" t="s">
        <v>137</v>
      </c>
      <c r="M184" s="82" t="s">
        <v>1228</v>
      </c>
      <c r="N184" s="74">
        <v>45875</v>
      </c>
      <c r="O184" s="76">
        <v>45881</v>
      </c>
      <c r="P184" s="83" t="s">
        <v>139</v>
      </c>
      <c r="Q184" s="84" t="s">
        <v>139</v>
      </c>
      <c r="R184" s="69" t="s">
        <v>140</v>
      </c>
      <c r="S184" s="72" t="s">
        <v>1229</v>
      </c>
      <c r="T184" s="79" t="s">
        <v>595</v>
      </c>
      <c r="U184" s="69" t="s">
        <v>1230</v>
      </c>
      <c r="V184" s="81" t="s">
        <v>230</v>
      </c>
      <c r="W184" s="76" t="s">
        <v>145</v>
      </c>
      <c r="X184" s="79" t="s">
        <v>595</v>
      </c>
      <c r="Y184" s="69">
        <v>1</v>
      </c>
      <c r="Z184" s="69">
        <v>1</v>
      </c>
      <c r="AA184" s="69">
        <v>1</v>
      </c>
      <c r="AB184" s="49">
        <f>IF(V184="TIPO I",'BASE DE LIQUIDACION 2025'!$B$3,'BASE DE LIQUIDACION 2025'!$B$4)</f>
        <v>11251.22416</v>
      </c>
      <c r="AC184" s="49">
        <f>IF(V184="TIPO I",'BASE DE LIQUIDACION 2025'!$C$3,'BASE DE LIQUIDACION 2025'!$C$4)</f>
        <v>126317.12212</v>
      </c>
      <c r="AD184" s="49">
        <f>IF(V184="TIPO I",'BASE DE LIQUIDACION 2025'!$D$3,'BASE DE LIQUIDACION 2025'!$D$4)</f>
        <v>110808.27512000001</v>
      </c>
      <c r="AE184" s="53">
        <f t="shared" si="4"/>
        <v>248376.6214</v>
      </c>
    </row>
    <row r="185" spans="1:31" s="46" customFormat="1">
      <c r="A185" s="69" t="s">
        <v>439</v>
      </c>
      <c r="B185" s="45" t="str">
        <f>VLOOKUP(A185,'CENTRO DE COSTOS'!A:D,4,FALSE)</f>
        <v>DIEGO FERNANDO HENAO CARDONA</v>
      </c>
      <c r="C185" s="45" t="str">
        <f>VLOOKUP(A185,'CENTRO DE COSTOS'!A:D,2,FALSE)</f>
        <v>0004-0002</v>
      </c>
      <c r="D185" s="69">
        <v>17873</v>
      </c>
      <c r="E185" s="70" t="s">
        <v>1231</v>
      </c>
      <c r="F185" s="71">
        <v>80811</v>
      </c>
      <c r="G185" s="79" t="s">
        <v>132</v>
      </c>
      <c r="H185" s="73" t="s">
        <v>1218</v>
      </c>
      <c r="I185" s="71" t="s">
        <v>441</v>
      </c>
      <c r="J185" s="81" t="s">
        <v>1232</v>
      </c>
      <c r="K185" s="71" t="s">
        <v>1233</v>
      </c>
      <c r="L185" s="75" t="s">
        <v>137</v>
      </c>
      <c r="M185" s="82" t="s">
        <v>1234</v>
      </c>
      <c r="N185" s="74">
        <v>45875</v>
      </c>
      <c r="O185" s="76">
        <v>45877</v>
      </c>
      <c r="P185" s="83" t="s">
        <v>139</v>
      </c>
      <c r="Q185" s="84" t="s">
        <v>139</v>
      </c>
      <c r="R185" s="69" t="s">
        <v>140</v>
      </c>
      <c r="S185" s="72" t="s">
        <v>1235</v>
      </c>
      <c r="T185" s="79" t="s">
        <v>445</v>
      </c>
      <c r="U185" s="69" t="s">
        <v>1236</v>
      </c>
      <c r="V185" s="81" t="s">
        <v>52</v>
      </c>
      <c r="W185" s="76" t="s">
        <v>145</v>
      </c>
      <c r="X185" s="79" t="s">
        <v>445</v>
      </c>
      <c r="Y185" s="69">
        <v>1</v>
      </c>
      <c r="Z185" s="69">
        <v>1</v>
      </c>
      <c r="AA185" s="69">
        <v>1</v>
      </c>
      <c r="AB185" s="49">
        <f>IF(V185="TIPO I",'BASE DE LIQUIDACION 2025'!$B$3,'BASE DE LIQUIDACION 2025'!$B$4)</f>
        <v>11251.22416</v>
      </c>
      <c r="AC185" s="49">
        <f>IF(V185="TIPO I",'BASE DE LIQUIDACION 2025'!$C$3,'BASE DE LIQUIDACION 2025'!$C$4)</f>
        <v>126317.12212</v>
      </c>
      <c r="AD185" s="49">
        <f>IF(V185="TIPO I",'BASE DE LIQUIDACION 2025'!$D$3,'BASE DE LIQUIDACION 2025'!$D$4)</f>
        <v>57411.974240000003</v>
      </c>
      <c r="AE185" s="53">
        <f t="shared" si="4"/>
        <v>194980.32052000001</v>
      </c>
    </row>
    <row r="186" spans="1:31" s="46" customFormat="1">
      <c r="A186" s="69" t="s">
        <v>285</v>
      </c>
      <c r="B186" s="45" t="str">
        <f>VLOOKUP(A186,'CENTRO DE COSTOS'!A:D,4,FALSE)</f>
        <v>MIGUEL JULIÁN HERNÁNDEZ GUARÍN</v>
      </c>
      <c r="C186" s="45" t="str">
        <f>VLOOKUP(A186,'CENTRO DE COSTOS'!A:D,2,FALSE)</f>
        <v>0004-0008</v>
      </c>
      <c r="D186" s="69">
        <v>54001</v>
      </c>
      <c r="E186" s="70" t="s">
        <v>1237</v>
      </c>
      <c r="F186" s="71">
        <v>80943</v>
      </c>
      <c r="G186" s="79" t="s">
        <v>132</v>
      </c>
      <c r="H186" s="73" t="s">
        <v>133</v>
      </c>
      <c r="I186" s="71" t="s">
        <v>287</v>
      </c>
      <c r="J186" s="81" t="s">
        <v>285</v>
      </c>
      <c r="K186" s="71" t="s">
        <v>1238</v>
      </c>
      <c r="L186" s="75" t="s">
        <v>137</v>
      </c>
      <c r="M186" s="82" t="s">
        <v>1239</v>
      </c>
      <c r="N186" s="74">
        <v>45880</v>
      </c>
      <c r="O186" s="76">
        <v>45881</v>
      </c>
      <c r="P186" s="83" t="s">
        <v>139</v>
      </c>
      <c r="Q186" s="84" t="s">
        <v>139</v>
      </c>
      <c r="R186" s="69" t="s">
        <v>140</v>
      </c>
      <c r="S186" s="72" t="s">
        <v>1240</v>
      </c>
      <c r="T186" s="79" t="s">
        <v>391</v>
      </c>
      <c r="U186" s="69" t="s">
        <v>1241</v>
      </c>
      <c r="V186" s="81" t="s">
        <v>52</v>
      </c>
      <c r="W186" s="76" t="s">
        <v>145</v>
      </c>
      <c r="X186" s="79" t="s">
        <v>391</v>
      </c>
      <c r="Y186" s="69">
        <v>1</v>
      </c>
      <c r="Z186" s="69">
        <v>1</v>
      </c>
      <c r="AA186" s="69">
        <v>1</v>
      </c>
      <c r="AB186" s="49">
        <f>IF(V186="TIPO I",'BASE DE LIQUIDACION 2025'!$B$3,'BASE DE LIQUIDACION 2025'!$B$4)</f>
        <v>11251.22416</v>
      </c>
      <c r="AC186" s="49">
        <f>IF(V186="TIPO I",'BASE DE LIQUIDACION 2025'!$C$3,'BASE DE LIQUIDACION 2025'!$C$4)</f>
        <v>126317.12212</v>
      </c>
      <c r="AD186" s="49">
        <f>IF(V186="TIPO I",'BASE DE LIQUIDACION 2025'!$D$3,'BASE DE LIQUIDACION 2025'!$D$4)</f>
        <v>57411.974240000003</v>
      </c>
      <c r="AE186" s="53">
        <f t="shared" si="4"/>
        <v>194980.32052000001</v>
      </c>
    </row>
    <row r="187" spans="1:31" s="46" customFormat="1">
      <c r="A187" s="69" t="s">
        <v>399</v>
      </c>
      <c r="B187" s="45" t="str">
        <f>VLOOKUP(A187,'CENTRO DE COSTOS'!A:D,4,FALSE)</f>
        <v>JOSE MAURICIO HERNANDEZ ROJAS</v>
      </c>
      <c r="C187" s="45" t="str">
        <f>VLOOKUP(A187,'CENTRO DE COSTOS'!A:D,2,FALSE)</f>
        <v>0004-0001</v>
      </c>
      <c r="D187" s="69">
        <v>20001</v>
      </c>
      <c r="E187" s="70" t="s">
        <v>1242</v>
      </c>
      <c r="F187" s="71">
        <v>80974</v>
      </c>
      <c r="G187" s="79" t="s">
        <v>132</v>
      </c>
      <c r="H187" s="73" t="s">
        <v>133</v>
      </c>
      <c r="I187" s="71" t="s">
        <v>401</v>
      </c>
      <c r="J187" s="81" t="s">
        <v>399</v>
      </c>
      <c r="K187" s="71" t="s">
        <v>1243</v>
      </c>
      <c r="L187" s="75" t="s">
        <v>137</v>
      </c>
      <c r="M187" s="82" t="s">
        <v>1244</v>
      </c>
      <c r="N187" s="74">
        <v>45880</v>
      </c>
      <c r="O187" s="76">
        <v>45882</v>
      </c>
      <c r="P187" s="83" t="s">
        <v>139</v>
      </c>
      <c r="Q187" s="84" t="s">
        <v>139</v>
      </c>
      <c r="R187" s="69" t="s">
        <v>140</v>
      </c>
      <c r="S187" s="72" t="s">
        <v>1245</v>
      </c>
      <c r="T187" s="79" t="s">
        <v>957</v>
      </c>
      <c r="U187" s="69" t="s">
        <v>1246</v>
      </c>
      <c r="V187" s="81" t="s">
        <v>52</v>
      </c>
      <c r="W187" s="76" t="s">
        <v>145</v>
      </c>
      <c r="X187" s="79" t="s">
        <v>957</v>
      </c>
      <c r="Y187" s="69">
        <v>1</v>
      </c>
      <c r="Z187" s="69">
        <v>1</v>
      </c>
      <c r="AA187" s="69">
        <v>1</v>
      </c>
      <c r="AB187" s="49">
        <f>IF(V187="TIPO I",'BASE DE LIQUIDACION 2025'!$B$3,'BASE DE LIQUIDACION 2025'!$B$4)</f>
        <v>11251.22416</v>
      </c>
      <c r="AC187" s="49">
        <f>IF(V187="TIPO I",'BASE DE LIQUIDACION 2025'!$C$3,'BASE DE LIQUIDACION 2025'!$C$4)</f>
        <v>126317.12212</v>
      </c>
      <c r="AD187" s="49">
        <f>IF(V187="TIPO I",'BASE DE LIQUIDACION 2025'!$D$3,'BASE DE LIQUIDACION 2025'!$D$4)</f>
        <v>57411.974240000003</v>
      </c>
      <c r="AE187" s="53">
        <f t="shared" si="4"/>
        <v>194980.32052000001</v>
      </c>
    </row>
    <row r="188" spans="1:31" s="46" customFormat="1">
      <c r="A188" s="69" t="s">
        <v>203</v>
      </c>
      <c r="B188" s="45" t="str">
        <f>VLOOKUP(A188,'CENTRO DE COSTOS'!A:D,4,FALSE)</f>
        <v>MIGUEL JULIÁN HERNÁNDEZ GUARÍN</v>
      </c>
      <c r="C188" s="45" t="str">
        <f>VLOOKUP(A188,'CENTRO DE COSTOS'!A:D,2,FALSE)</f>
        <v>0004-0008</v>
      </c>
      <c r="D188" s="69">
        <v>15723</v>
      </c>
      <c r="E188" s="70" t="s">
        <v>1247</v>
      </c>
      <c r="F188" s="71">
        <v>80975</v>
      </c>
      <c r="G188" s="79" t="s">
        <v>132</v>
      </c>
      <c r="H188" s="73" t="s">
        <v>133</v>
      </c>
      <c r="I188" s="71" t="s">
        <v>205</v>
      </c>
      <c r="J188" s="81" t="s">
        <v>1248</v>
      </c>
      <c r="K188" s="71" t="s">
        <v>1249</v>
      </c>
      <c r="L188" s="75" t="s">
        <v>137</v>
      </c>
      <c r="M188" s="82" t="s">
        <v>1250</v>
      </c>
      <c r="N188" s="74">
        <v>45880</v>
      </c>
      <c r="O188" s="76">
        <v>45883</v>
      </c>
      <c r="P188" s="83" t="s">
        <v>139</v>
      </c>
      <c r="Q188" s="84" t="s">
        <v>139</v>
      </c>
      <c r="R188" s="69" t="s">
        <v>140</v>
      </c>
      <c r="S188" s="72" t="s">
        <v>1251</v>
      </c>
      <c r="T188" s="79" t="s">
        <v>210</v>
      </c>
      <c r="U188" s="69" t="s">
        <v>1252</v>
      </c>
      <c r="V188" s="81" t="s">
        <v>230</v>
      </c>
      <c r="W188" s="76" t="s">
        <v>145</v>
      </c>
      <c r="X188" s="79" t="s">
        <v>210</v>
      </c>
      <c r="Y188" s="69">
        <v>1</v>
      </c>
      <c r="Z188" s="69">
        <v>1</v>
      </c>
      <c r="AA188" s="69">
        <v>1</v>
      </c>
      <c r="AB188" s="49">
        <f>IF(V188="TIPO I",'BASE DE LIQUIDACION 2025'!$B$3,'BASE DE LIQUIDACION 2025'!$B$4)</f>
        <v>11251.22416</v>
      </c>
      <c r="AC188" s="49">
        <f>IF(V188="TIPO I",'BASE DE LIQUIDACION 2025'!$C$3,'BASE DE LIQUIDACION 2025'!$C$4)</f>
        <v>126317.12212</v>
      </c>
      <c r="AD188" s="49">
        <f>IF(V188="TIPO I",'BASE DE LIQUIDACION 2025'!$D$3,'BASE DE LIQUIDACION 2025'!$D$4)</f>
        <v>110808.27512000001</v>
      </c>
      <c r="AE188" s="53">
        <f t="shared" si="4"/>
        <v>248376.6214</v>
      </c>
    </row>
    <row r="189" spans="1:31" s="46" customFormat="1">
      <c r="A189" s="69" t="s">
        <v>203</v>
      </c>
      <c r="B189" s="45" t="str">
        <f>VLOOKUP(A189,'CENTRO DE COSTOS'!A:D,4,FALSE)</f>
        <v>MIGUEL JULIÁN HERNÁNDEZ GUARÍN</v>
      </c>
      <c r="C189" s="45" t="str">
        <f>VLOOKUP(A189,'CENTRO DE COSTOS'!A:D,2,FALSE)</f>
        <v>0004-0008</v>
      </c>
      <c r="D189" s="69">
        <v>15759</v>
      </c>
      <c r="E189" s="70" t="s">
        <v>1253</v>
      </c>
      <c r="F189" s="71">
        <v>80969</v>
      </c>
      <c r="G189" s="79" t="s">
        <v>132</v>
      </c>
      <c r="H189" s="73" t="s">
        <v>133</v>
      </c>
      <c r="I189" s="71" t="s">
        <v>205</v>
      </c>
      <c r="J189" s="81" t="s">
        <v>322</v>
      </c>
      <c r="K189" s="71" t="s">
        <v>1254</v>
      </c>
      <c r="L189" s="75" t="s">
        <v>137</v>
      </c>
      <c r="M189" s="82" t="s">
        <v>1255</v>
      </c>
      <c r="N189" s="74">
        <v>45880</v>
      </c>
      <c r="O189" s="76">
        <v>45882</v>
      </c>
      <c r="P189" s="83" t="s">
        <v>139</v>
      </c>
      <c r="Q189" s="84" t="s">
        <v>139</v>
      </c>
      <c r="R189" s="69" t="s">
        <v>140</v>
      </c>
      <c r="S189" s="72" t="s">
        <v>1256</v>
      </c>
      <c r="T189" s="79" t="s">
        <v>922</v>
      </c>
      <c r="U189" s="69" t="s">
        <v>1257</v>
      </c>
      <c r="V189" s="81" t="s">
        <v>202</v>
      </c>
      <c r="W189" s="76" t="s">
        <v>145</v>
      </c>
      <c r="X189" s="79" t="s">
        <v>922</v>
      </c>
      <c r="Y189" s="69">
        <v>1</v>
      </c>
      <c r="Z189" s="69">
        <v>1</v>
      </c>
      <c r="AA189" s="69">
        <v>1</v>
      </c>
      <c r="AB189" s="49">
        <f>IF(V189="TIPO I",'BASE DE LIQUIDACION 2025'!$B$3,'BASE DE LIQUIDACION 2025'!$B$4)</f>
        <v>11251.22416</v>
      </c>
      <c r="AC189" s="49">
        <f>IF(V189="TIPO I",'BASE DE LIQUIDACION 2025'!$C$3,'BASE DE LIQUIDACION 2025'!$C$4)</f>
        <v>126317.12212</v>
      </c>
      <c r="AD189" s="49">
        <f>IF(V189="TIPO I",'BASE DE LIQUIDACION 2025'!$D$3,'BASE DE LIQUIDACION 2025'!$D$4)</f>
        <v>110808.27512000001</v>
      </c>
      <c r="AE189" s="53">
        <f t="shared" si="4"/>
        <v>248376.6214</v>
      </c>
    </row>
    <row r="190" spans="1:31" s="46" customFormat="1">
      <c r="A190" s="69" t="s">
        <v>371</v>
      </c>
      <c r="B190" s="45" t="str">
        <f>VLOOKUP(A190,'CENTRO DE COSTOS'!A:D,4,FALSE)</f>
        <v>JOSE MAURICIO HERNANDEZ ROJAS</v>
      </c>
      <c r="C190" s="45" t="str">
        <f>VLOOKUP(A190,'CENTRO DE COSTOS'!A:D,2,FALSE)</f>
        <v>0004-0001</v>
      </c>
      <c r="D190" s="69">
        <v>70001</v>
      </c>
      <c r="E190" s="70" t="s">
        <v>1258</v>
      </c>
      <c r="F190" s="71">
        <v>80966</v>
      </c>
      <c r="G190" s="79" t="s">
        <v>132</v>
      </c>
      <c r="H190" s="73" t="s">
        <v>133</v>
      </c>
      <c r="I190" s="71" t="s">
        <v>373</v>
      </c>
      <c r="J190" s="81" t="s">
        <v>371</v>
      </c>
      <c r="K190" s="71" t="s">
        <v>1259</v>
      </c>
      <c r="L190" s="75" t="s">
        <v>137</v>
      </c>
      <c r="M190" s="82" t="s">
        <v>1260</v>
      </c>
      <c r="N190" s="74">
        <v>45880</v>
      </c>
      <c r="O190" s="76">
        <v>45882</v>
      </c>
      <c r="P190" s="83" t="s">
        <v>139</v>
      </c>
      <c r="Q190" s="84" t="s">
        <v>139</v>
      </c>
      <c r="R190" s="69" t="s">
        <v>140</v>
      </c>
      <c r="S190" s="72" t="s">
        <v>1261</v>
      </c>
      <c r="T190" s="79" t="s">
        <v>377</v>
      </c>
      <c r="U190" s="69" t="s">
        <v>1262</v>
      </c>
      <c r="V190" s="81" t="s">
        <v>52</v>
      </c>
      <c r="W190" s="76" t="s">
        <v>145</v>
      </c>
      <c r="X190" s="79" t="s">
        <v>377</v>
      </c>
      <c r="Y190" s="69">
        <v>1</v>
      </c>
      <c r="Z190" s="69">
        <v>1</v>
      </c>
      <c r="AA190" s="69">
        <v>1</v>
      </c>
      <c r="AB190" s="49">
        <f>IF(V190="TIPO I",'BASE DE LIQUIDACION 2025'!$B$3,'BASE DE LIQUIDACION 2025'!$B$4)</f>
        <v>11251.22416</v>
      </c>
      <c r="AC190" s="49">
        <f>IF(V190="TIPO I",'BASE DE LIQUIDACION 2025'!$C$3,'BASE DE LIQUIDACION 2025'!$C$4)</f>
        <v>126317.12212</v>
      </c>
      <c r="AD190" s="49">
        <f>IF(V190="TIPO I",'BASE DE LIQUIDACION 2025'!$D$3,'BASE DE LIQUIDACION 2025'!$D$4)</f>
        <v>57411.974240000003</v>
      </c>
      <c r="AE190" s="53">
        <f t="shared" si="4"/>
        <v>194980.32052000001</v>
      </c>
    </row>
    <row r="191" spans="1:31" s="46" customFormat="1">
      <c r="A191" s="69" t="s">
        <v>285</v>
      </c>
      <c r="B191" s="45" t="str">
        <f>VLOOKUP(A191,'CENTRO DE COSTOS'!A:D,4,FALSE)</f>
        <v>MIGUEL JULIÁN HERNÁNDEZ GUARÍN</v>
      </c>
      <c r="C191" s="45" t="str">
        <f>VLOOKUP(A191,'CENTRO DE COSTOS'!A:D,2,FALSE)</f>
        <v>0004-0008</v>
      </c>
      <c r="D191" s="69">
        <v>54874</v>
      </c>
      <c r="E191" s="70" t="s">
        <v>1263</v>
      </c>
      <c r="F191" s="71">
        <v>80980</v>
      </c>
      <c r="G191" s="79" t="s">
        <v>132</v>
      </c>
      <c r="H191" s="73" t="s">
        <v>133</v>
      </c>
      <c r="I191" s="71" t="s">
        <v>287</v>
      </c>
      <c r="J191" s="81" t="s">
        <v>640</v>
      </c>
      <c r="K191" s="71" t="s">
        <v>1264</v>
      </c>
      <c r="L191" s="75" t="s">
        <v>137</v>
      </c>
      <c r="M191" s="82" t="s">
        <v>1265</v>
      </c>
      <c r="N191" s="74">
        <v>45880</v>
      </c>
      <c r="O191" s="76">
        <v>45881</v>
      </c>
      <c r="P191" s="83" t="s">
        <v>139</v>
      </c>
      <c r="Q191" s="84" t="s">
        <v>139</v>
      </c>
      <c r="R191" s="69" t="s">
        <v>140</v>
      </c>
      <c r="S191" s="72" t="s">
        <v>1266</v>
      </c>
      <c r="T191" s="79" t="s">
        <v>364</v>
      </c>
      <c r="U191" s="69" t="s">
        <v>1267</v>
      </c>
      <c r="V191" s="81" t="s">
        <v>52</v>
      </c>
      <c r="W191" s="76" t="s">
        <v>145</v>
      </c>
      <c r="X191" s="79" t="s">
        <v>364</v>
      </c>
      <c r="Y191" s="69">
        <v>1</v>
      </c>
      <c r="Z191" s="69">
        <v>1</v>
      </c>
      <c r="AA191" s="69">
        <v>1</v>
      </c>
      <c r="AB191" s="49">
        <f>IF(V191="TIPO I",'BASE DE LIQUIDACION 2025'!$B$3,'BASE DE LIQUIDACION 2025'!$B$4)</f>
        <v>11251.22416</v>
      </c>
      <c r="AC191" s="49">
        <f>IF(V191="TIPO I",'BASE DE LIQUIDACION 2025'!$C$3,'BASE DE LIQUIDACION 2025'!$C$4)</f>
        <v>126317.12212</v>
      </c>
      <c r="AD191" s="49">
        <f>IF(V191="TIPO I",'BASE DE LIQUIDACION 2025'!$D$3,'BASE DE LIQUIDACION 2025'!$D$4)</f>
        <v>57411.974240000003</v>
      </c>
      <c r="AE191" s="53">
        <f t="shared" si="4"/>
        <v>194980.32052000001</v>
      </c>
    </row>
    <row r="192" spans="1:31" s="46" customFormat="1">
      <c r="A192" s="69" t="s">
        <v>345</v>
      </c>
      <c r="B192" s="45" t="str">
        <f>VLOOKUP(A192,'CENTRO DE COSTOS'!A:D,4,FALSE)</f>
        <v>JOSE MAURICIO HERNANDEZ ROJAS</v>
      </c>
      <c r="C192" s="45" t="str">
        <f>VLOOKUP(A192,'CENTRO DE COSTOS'!A:D,2,FALSE)</f>
        <v>0004-0001</v>
      </c>
      <c r="D192" s="69">
        <v>8141</v>
      </c>
      <c r="E192" s="70" t="s">
        <v>1268</v>
      </c>
      <c r="F192" s="71">
        <v>80938</v>
      </c>
      <c r="G192" s="79" t="s">
        <v>132</v>
      </c>
      <c r="H192" s="73" t="s">
        <v>133</v>
      </c>
      <c r="I192" s="71" t="s">
        <v>347</v>
      </c>
      <c r="J192" s="81" t="s">
        <v>1269</v>
      </c>
      <c r="K192" s="71" t="s">
        <v>1270</v>
      </c>
      <c r="L192" s="75" t="s">
        <v>137</v>
      </c>
      <c r="M192" s="82" t="s">
        <v>1271</v>
      </c>
      <c r="N192" s="74">
        <v>45880</v>
      </c>
      <c r="O192" s="76">
        <v>45881</v>
      </c>
      <c r="P192" s="83" t="s">
        <v>139</v>
      </c>
      <c r="Q192" s="84" t="s">
        <v>139</v>
      </c>
      <c r="R192" s="69" t="s">
        <v>140</v>
      </c>
      <c r="S192" s="72" t="s">
        <v>1272</v>
      </c>
      <c r="T192" s="79" t="s">
        <v>773</v>
      </c>
      <c r="U192" s="69" t="s">
        <v>1273</v>
      </c>
      <c r="V192" s="81" t="s">
        <v>202</v>
      </c>
      <c r="W192" s="76" t="s">
        <v>145</v>
      </c>
      <c r="X192" s="79" t="s">
        <v>773</v>
      </c>
      <c r="Y192" s="69">
        <v>1</v>
      </c>
      <c r="Z192" s="69">
        <v>1</v>
      </c>
      <c r="AA192" s="69">
        <v>1</v>
      </c>
      <c r="AB192" s="49">
        <f>IF(V192="TIPO I",'BASE DE LIQUIDACION 2025'!$B$3,'BASE DE LIQUIDACION 2025'!$B$4)</f>
        <v>11251.22416</v>
      </c>
      <c r="AC192" s="49">
        <f>IF(V192="TIPO I",'BASE DE LIQUIDACION 2025'!$C$3,'BASE DE LIQUIDACION 2025'!$C$4)</f>
        <v>126317.12212</v>
      </c>
      <c r="AD192" s="49">
        <f>IF(V192="TIPO I",'BASE DE LIQUIDACION 2025'!$D$3,'BASE DE LIQUIDACION 2025'!$D$4)</f>
        <v>110808.27512000001</v>
      </c>
      <c r="AE192" s="53">
        <f t="shared" si="4"/>
        <v>248376.6214</v>
      </c>
    </row>
    <row r="193" spans="1:31" s="46" customFormat="1">
      <c r="A193" s="69" t="s">
        <v>260</v>
      </c>
      <c r="B193" s="45" t="str">
        <f>VLOOKUP(A193,'CENTRO DE COSTOS'!A:D,4,FALSE)</f>
        <v>KEVIN ALEXIS CORZO BUSTOS</v>
      </c>
      <c r="C193" s="45" t="str">
        <f>VLOOKUP(A193,'CENTRO DE COSTOS'!A:D,2,FALSE)</f>
        <v>0004-0007</v>
      </c>
      <c r="D193" s="69">
        <v>50001</v>
      </c>
      <c r="E193" s="70" t="s">
        <v>1274</v>
      </c>
      <c r="F193" s="71">
        <v>80983</v>
      </c>
      <c r="G193" s="79" t="s">
        <v>132</v>
      </c>
      <c r="H193" s="73" t="s">
        <v>133</v>
      </c>
      <c r="I193" s="71" t="s">
        <v>262</v>
      </c>
      <c r="J193" s="81" t="s">
        <v>260</v>
      </c>
      <c r="K193" s="71" t="s">
        <v>1275</v>
      </c>
      <c r="L193" s="75" t="s">
        <v>137</v>
      </c>
      <c r="M193" s="82" t="s">
        <v>1276</v>
      </c>
      <c r="N193" s="74">
        <v>45880</v>
      </c>
      <c r="O193" s="76">
        <v>45882</v>
      </c>
      <c r="P193" s="83" t="s">
        <v>139</v>
      </c>
      <c r="Q193" s="84" t="s">
        <v>139</v>
      </c>
      <c r="R193" s="69" t="s">
        <v>140</v>
      </c>
      <c r="S193" s="72" t="s">
        <v>1277</v>
      </c>
      <c r="T193" s="79" t="s">
        <v>909</v>
      </c>
      <c r="U193" s="69" t="s">
        <v>1278</v>
      </c>
      <c r="V193" s="81" t="s">
        <v>52</v>
      </c>
      <c r="W193" s="76" t="s">
        <v>145</v>
      </c>
      <c r="X193" s="79" t="s">
        <v>909</v>
      </c>
      <c r="Y193" s="69">
        <v>1</v>
      </c>
      <c r="Z193" s="69">
        <v>1</v>
      </c>
      <c r="AA193" s="69">
        <v>1</v>
      </c>
      <c r="AB193" s="49">
        <f>IF(V193="TIPO I",'BASE DE LIQUIDACION 2025'!$B$3,'BASE DE LIQUIDACION 2025'!$B$4)</f>
        <v>11251.22416</v>
      </c>
      <c r="AC193" s="49">
        <f>IF(V193="TIPO I",'BASE DE LIQUIDACION 2025'!$C$3,'BASE DE LIQUIDACION 2025'!$C$4)</f>
        <v>126317.12212</v>
      </c>
      <c r="AD193" s="49">
        <f>IF(V193="TIPO I",'BASE DE LIQUIDACION 2025'!$D$3,'BASE DE LIQUIDACION 2025'!$D$4)</f>
        <v>57411.974240000003</v>
      </c>
      <c r="AE193" s="53">
        <f t="shared" si="4"/>
        <v>194980.32052000001</v>
      </c>
    </row>
    <row r="194" spans="1:31" s="46" customFormat="1">
      <c r="A194" s="69" t="s">
        <v>285</v>
      </c>
      <c r="B194" s="45" t="str">
        <f>VLOOKUP(A194,'CENTRO DE COSTOS'!A:D,4,FALSE)</f>
        <v>MIGUEL JULIÁN HERNÁNDEZ GUARÍN</v>
      </c>
      <c r="C194" s="45" t="str">
        <f>VLOOKUP(A194,'CENTRO DE COSTOS'!A:D,2,FALSE)</f>
        <v>0004-0008</v>
      </c>
      <c r="D194" s="69">
        <v>54405</v>
      </c>
      <c r="E194" s="70" t="s">
        <v>1279</v>
      </c>
      <c r="F194" s="71">
        <v>80947</v>
      </c>
      <c r="G194" s="79" t="s">
        <v>132</v>
      </c>
      <c r="H194" s="73" t="s">
        <v>133</v>
      </c>
      <c r="I194" s="71" t="s">
        <v>287</v>
      </c>
      <c r="J194" s="81" t="s">
        <v>511</v>
      </c>
      <c r="K194" s="71" t="s">
        <v>1280</v>
      </c>
      <c r="L194" s="75" t="s">
        <v>137</v>
      </c>
      <c r="M194" s="82" t="s">
        <v>1281</v>
      </c>
      <c r="N194" s="74">
        <v>45880</v>
      </c>
      <c r="O194" s="76">
        <v>45881</v>
      </c>
      <c r="P194" s="83" t="s">
        <v>139</v>
      </c>
      <c r="Q194" s="84" t="s">
        <v>139</v>
      </c>
      <c r="R194" s="69" t="s">
        <v>140</v>
      </c>
      <c r="S194" s="72" t="s">
        <v>1282</v>
      </c>
      <c r="T194" s="79" t="s">
        <v>364</v>
      </c>
      <c r="U194" s="69" t="s">
        <v>1283</v>
      </c>
      <c r="V194" s="81" t="s">
        <v>52</v>
      </c>
      <c r="W194" s="76" t="s">
        <v>145</v>
      </c>
      <c r="X194" s="79" t="s">
        <v>364</v>
      </c>
      <c r="Y194" s="69">
        <v>1</v>
      </c>
      <c r="Z194" s="69">
        <v>1</v>
      </c>
      <c r="AA194" s="69">
        <v>1</v>
      </c>
      <c r="AB194" s="49">
        <f>IF(V194="TIPO I",'BASE DE LIQUIDACION 2025'!$B$3,'BASE DE LIQUIDACION 2025'!$B$4)</f>
        <v>11251.22416</v>
      </c>
      <c r="AC194" s="49">
        <f>IF(V194="TIPO I",'BASE DE LIQUIDACION 2025'!$C$3,'BASE DE LIQUIDACION 2025'!$C$4)</f>
        <v>126317.12212</v>
      </c>
      <c r="AD194" s="49">
        <f>IF(V194="TIPO I",'BASE DE LIQUIDACION 2025'!$D$3,'BASE DE LIQUIDACION 2025'!$D$4)</f>
        <v>57411.974240000003</v>
      </c>
      <c r="AE194" s="53">
        <f t="shared" si="4"/>
        <v>194980.32052000001</v>
      </c>
    </row>
    <row r="195" spans="1:31" s="46" customFormat="1">
      <c r="A195" s="69" t="s">
        <v>371</v>
      </c>
      <c r="B195" s="45" t="str">
        <f>VLOOKUP(A195,'CENTRO DE COSTOS'!A:D,4,FALSE)</f>
        <v>JOSE MAURICIO HERNANDEZ ROJAS</v>
      </c>
      <c r="C195" s="45" t="str">
        <f>VLOOKUP(A195,'CENTRO DE COSTOS'!A:D,2,FALSE)</f>
        <v>0004-0001</v>
      </c>
      <c r="D195" s="69">
        <v>70001</v>
      </c>
      <c r="E195" s="70" t="s">
        <v>1284</v>
      </c>
      <c r="F195" s="71">
        <v>80967</v>
      </c>
      <c r="G195" s="79" t="s">
        <v>132</v>
      </c>
      <c r="H195" s="73" t="s">
        <v>133</v>
      </c>
      <c r="I195" s="71" t="s">
        <v>373</v>
      </c>
      <c r="J195" s="81" t="s">
        <v>371</v>
      </c>
      <c r="K195" s="71" t="s">
        <v>1285</v>
      </c>
      <c r="L195" s="75" t="s">
        <v>137</v>
      </c>
      <c r="M195" s="82" t="s">
        <v>1286</v>
      </c>
      <c r="N195" s="74">
        <v>45880</v>
      </c>
      <c r="O195" s="76">
        <v>45881</v>
      </c>
      <c r="P195" s="83" t="s">
        <v>139</v>
      </c>
      <c r="Q195" s="84" t="s">
        <v>139</v>
      </c>
      <c r="R195" s="69" t="s">
        <v>140</v>
      </c>
      <c r="S195" s="72" t="s">
        <v>1287</v>
      </c>
      <c r="T195" s="79" t="s">
        <v>377</v>
      </c>
      <c r="U195" s="69" t="s">
        <v>1288</v>
      </c>
      <c r="V195" s="81" t="s">
        <v>52</v>
      </c>
      <c r="W195" s="76" t="s">
        <v>145</v>
      </c>
      <c r="X195" s="79" t="s">
        <v>377</v>
      </c>
      <c r="Y195" s="69">
        <v>1</v>
      </c>
      <c r="Z195" s="69">
        <v>1</v>
      </c>
      <c r="AA195" s="69">
        <v>1</v>
      </c>
      <c r="AB195" s="49">
        <f>IF(V195="TIPO I",'BASE DE LIQUIDACION 2025'!$B$3,'BASE DE LIQUIDACION 2025'!$B$4)</f>
        <v>11251.22416</v>
      </c>
      <c r="AC195" s="49">
        <f>IF(V195="TIPO I",'BASE DE LIQUIDACION 2025'!$C$3,'BASE DE LIQUIDACION 2025'!$C$4)</f>
        <v>126317.12212</v>
      </c>
      <c r="AD195" s="49">
        <f>IF(V195="TIPO I",'BASE DE LIQUIDACION 2025'!$D$3,'BASE DE LIQUIDACION 2025'!$D$4)</f>
        <v>57411.974240000003</v>
      </c>
      <c r="AE195" s="53">
        <f t="shared" si="4"/>
        <v>194980.32052000001</v>
      </c>
    </row>
    <row r="196" spans="1:31" s="46" customFormat="1">
      <c r="A196" s="69" t="s">
        <v>260</v>
      </c>
      <c r="B196" s="45" t="str">
        <f>VLOOKUP(A196,'CENTRO DE COSTOS'!A:D,4,FALSE)</f>
        <v>KEVIN ALEXIS CORZO BUSTOS</v>
      </c>
      <c r="C196" s="45" t="str">
        <f>VLOOKUP(A196,'CENTRO DE COSTOS'!A:D,2,FALSE)</f>
        <v>0004-0007</v>
      </c>
      <c r="D196" s="69">
        <v>50001</v>
      </c>
      <c r="E196" s="70" t="s">
        <v>1289</v>
      </c>
      <c r="F196" s="71">
        <v>80982</v>
      </c>
      <c r="G196" s="79" t="s">
        <v>132</v>
      </c>
      <c r="H196" s="73" t="s">
        <v>133</v>
      </c>
      <c r="I196" s="71" t="s">
        <v>262</v>
      </c>
      <c r="J196" s="81" t="s">
        <v>260</v>
      </c>
      <c r="K196" s="71" t="s">
        <v>1290</v>
      </c>
      <c r="L196" s="75" t="s">
        <v>137</v>
      </c>
      <c r="M196" s="82" t="s">
        <v>1291</v>
      </c>
      <c r="N196" s="74">
        <v>45880</v>
      </c>
      <c r="O196" s="76">
        <v>45882</v>
      </c>
      <c r="P196" s="83" t="s">
        <v>139</v>
      </c>
      <c r="Q196" s="84" t="s">
        <v>139</v>
      </c>
      <c r="R196" s="69" t="s">
        <v>140</v>
      </c>
      <c r="S196" s="72" t="s">
        <v>1292</v>
      </c>
      <c r="T196" s="79" t="s">
        <v>909</v>
      </c>
      <c r="U196" s="69" t="s">
        <v>1293</v>
      </c>
      <c r="V196" s="81" t="s">
        <v>52</v>
      </c>
      <c r="W196" s="76" t="s">
        <v>145</v>
      </c>
      <c r="X196" s="79" t="s">
        <v>909</v>
      </c>
      <c r="Y196" s="69">
        <v>1</v>
      </c>
      <c r="Z196" s="69">
        <v>1</v>
      </c>
      <c r="AA196" s="69">
        <v>1</v>
      </c>
      <c r="AB196" s="49">
        <f>IF(V196="TIPO I",'BASE DE LIQUIDACION 2025'!$B$3,'BASE DE LIQUIDACION 2025'!$B$4)</f>
        <v>11251.22416</v>
      </c>
      <c r="AC196" s="49">
        <f>IF(V196="TIPO I",'BASE DE LIQUIDACION 2025'!$C$3,'BASE DE LIQUIDACION 2025'!$C$4)</f>
        <v>126317.12212</v>
      </c>
      <c r="AD196" s="49">
        <f>IF(V196="TIPO I",'BASE DE LIQUIDACION 2025'!$D$3,'BASE DE LIQUIDACION 2025'!$D$4)</f>
        <v>57411.974240000003</v>
      </c>
      <c r="AE196" s="53">
        <f t="shared" si="4"/>
        <v>194980.32052000001</v>
      </c>
    </row>
    <row r="197" spans="1:31" s="46" customFormat="1">
      <c r="A197" s="69" t="s">
        <v>431</v>
      </c>
      <c r="B197" s="45" t="str">
        <f>VLOOKUP(A197,'CENTRO DE COSTOS'!A:D,4,FALSE)</f>
        <v>WILLIAM ASDRUBAL ROZO ROZO</v>
      </c>
      <c r="C197" s="45" t="str">
        <f>VLOOKUP(A197,'CENTRO DE COSTOS'!A:D,2,FALSE)</f>
        <v>0004-0004</v>
      </c>
      <c r="D197" s="69">
        <v>25843</v>
      </c>
      <c r="E197" s="70" t="s">
        <v>1294</v>
      </c>
      <c r="F197" s="71">
        <v>80979</v>
      </c>
      <c r="G197" s="79" t="s">
        <v>132</v>
      </c>
      <c r="H197" s="73" t="s">
        <v>133</v>
      </c>
      <c r="I197" s="71" t="s">
        <v>433</v>
      </c>
      <c r="J197" s="81" t="s">
        <v>1009</v>
      </c>
      <c r="K197" s="71" t="s">
        <v>1295</v>
      </c>
      <c r="L197" s="75" t="s">
        <v>137</v>
      </c>
      <c r="M197" s="82" t="s">
        <v>1296</v>
      </c>
      <c r="N197" s="74">
        <v>45880</v>
      </c>
      <c r="O197" s="76">
        <v>45881</v>
      </c>
      <c r="P197" s="83" t="s">
        <v>139</v>
      </c>
      <c r="Q197" s="84" t="s">
        <v>139</v>
      </c>
      <c r="R197" s="69" t="s">
        <v>140</v>
      </c>
      <c r="S197" s="72" t="s">
        <v>1297</v>
      </c>
      <c r="T197" s="79" t="s">
        <v>502</v>
      </c>
      <c r="U197" s="69" t="s">
        <v>1298</v>
      </c>
      <c r="V197" s="81" t="s">
        <v>202</v>
      </c>
      <c r="W197" s="76" t="s">
        <v>145</v>
      </c>
      <c r="X197" s="79" t="s">
        <v>502</v>
      </c>
      <c r="Y197" s="69">
        <v>1</v>
      </c>
      <c r="Z197" s="69">
        <v>1</v>
      </c>
      <c r="AA197" s="69">
        <v>1</v>
      </c>
      <c r="AB197" s="49">
        <f>IF(V197="TIPO I",'BASE DE LIQUIDACION 2025'!$B$3,'BASE DE LIQUIDACION 2025'!$B$4)</f>
        <v>11251.22416</v>
      </c>
      <c r="AC197" s="49">
        <f>IF(V197="TIPO I",'BASE DE LIQUIDACION 2025'!$C$3,'BASE DE LIQUIDACION 2025'!$C$4)</f>
        <v>126317.12212</v>
      </c>
      <c r="AD197" s="49">
        <f>IF(V197="TIPO I",'BASE DE LIQUIDACION 2025'!$D$3,'BASE DE LIQUIDACION 2025'!$D$4)</f>
        <v>110808.27512000001</v>
      </c>
      <c r="AE197" s="53">
        <f t="shared" si="4"/>
        <v>248376.6214</v>
      </c>
    </row>
    <row r="198" spans="1:31" s="46" customFormat="1">
      <c r="A198" s="69" t="s">
        <v>175</v>
      </c>
      <c r="B198" s="45" t="str">
        <f>VLOOKUP(A198,'CENTRO DE COSTOS'!A:D,4,FALSE)</f>
        <v>JUAN SEBASTIÁN RÍOS CASTRILLÓN</v>
      </c>
      <c r="C198" s="45" t="str">
        <f>VLOOKUP(A198,'CENTRO DE COSTOS'!A:D,2,FALSE)</f>
        <v>0004-0005</v>
      </c>
      <c r="D198" s="69">
        <v>5001</v>
      </c>
      <c r="E198" s="70" t="s">
        <v>1299</v>
      </c>
      <c r="F198" s="71">
        <v>80984</v>
      </c>
      <c r="G198" s="79" t="s">
        <v>132</v>
      </c>
      <c r="H198" s="73" t="s">
        <v>133</v>
      </c>
      <c r="I198" s="71" t="s">
        <v>178</v>
      </c>
      <c r="J198" s="81" t="s">
        <v>175</v>
      </c>
      <c r="K198" s="71" t="s">
        <v>1300</v>
      </c>
      <c r="L198" s="75" t="s">
        <v>137</v>
      </c>
      <c r="M198" s="82" t="s">
        <v>1301</v>
      </c>
      <c r="N198" s="74">
        <v>45880</v>
      </c>
      <c r="O198" s="76">
        <v>45882</v>
      </c>
      <c r="P198" s="83" t="s">
        <v>139</v>
      </c>
      <c r="Q198" s="84" t="s">
        <v>139</v>
      </c>
      <c r="R198" s="69" t="s">
        <v>140</v>
      </c>
      <c r="S198" s="72" t="s">
        <v>1302</v>
      </c>
      <c r="T198" s="79" t="s">
        <v>1303</v>
      </c>
      <c r="U198" s="69" t="s">
        <v>1304</v>
      </c>
      <c r="V198" s="81" t="s">
        <v>52</v>
      </c>
      <c r="W198" s="76" t="s">
        <v>145</v>
      </c>
      <c r="X198" s="79" t="s">
        <v>1303</v>
      </c>
      <c r="Y198" s="69">
        <v>1</v>
      </c>
      <c r="Z198" s="69">
        <v>1</v>
      </c>
      <c r="AA198" s="69">
        <v>1</v>
      </c>
      <c r="AB198" s="49">
        <f>IF(V198="TIPO I",'BASE DE LIQUIDACION 2025'!$B$3,'BASE DE LIQUIDACION 2025'!$B$4)</f>
        <v>11251.22416</v>
      </c>
      <c r="AC198" s="49">
        <f>IF(V198="TIPO I",'BASE DE LIQUIDACION 2025'!$C$3,'BASE DE LIQUIDACION 2025'!$C$4)</f>
        <v>126317.12212</v>
      </c>
      <c r="AD198" s="49">
        <f>IF(V198="TIPO I",'BASE DE LIQUIDACION 2025'!$D$3,'BASE DE LIQUIDACION 2025'!$D$4)</f>
        <v>57411.974240000003</v>
      </c>
      <c r="AE198" s="53">
        <f t="shared" si="4"/>
        <v>194980.32052000001</v>
      </c>
    </row>
    <row r="199" spans="1:31" s="46" customFormat="1">
      <c r="A199" s="69" t="s">
        <v>151</v>
      </c>
      <c r="B199" s="45" t="str">
        <f>VLOOKUP(A199,'CENTRO DE COSTOS'!A:D,4,FALSE)</f>
        <v>DIEGO FERNANDO HENAO CARDONA</v>
      </c>
      <c r="C199" s="45" t="str">
        <f>VLOOKUP(A199,'CENTRO DE COSTOS'!A:D,2,FALSE)</f>
        <v>0004-0003</v>
      </c>
      <c r="D199" s="69">
        <v>52079</v>
      </c>
      <c r="E199" s="70" t="s">
        <v>1305</v>
      </c>
      <c r="F199" s="71">
        <v>80928</v>
      </c>
      <c r="G199" s="79" t="s">
        <v>132</v>
      </c>
      <c r="H199" s="73" t="s">
        <v>133</v>
      </c>
      <c r="I199" s="71" t="s">
        <v>153</v>
      </c>
      <c r="J199" s="81" t="s">
        <v>1306</v>
      </c>
      <c r="K199" s="71" t="s">
        <v>1307</v>
      </c>
      <c r="L199" s="75" t="s">
        <v>137</v>
      </c>
      <c r="M199" s="82" t="s">
        <v>1308</v>
      </c>
      <c r="N199" s="74">
        <v>45880</v>
      </c>
      <c r="O199" s="76">
        <v>45883</v>
      </c>
      <c r="P199" s="83" t="s">
        <v>139</v>
      </c>
      <c r="Q199" s="84" t="s">
        <v>139</v>
      </c>
      <c r="R199" s="69" t="s">
        <v>140</v>
      </c>
      <c r="S199" s="72" t="s">
        <v>1309</v>
      </c>
      <c r="T199" s="79" t="s">
        <v>158</v>
      </c>
      <c r="U199" s="69" t="s">
        <v>1310</v>
      </c>
      <c r="V199" s="81" t="s">
        <v>144</v>
      </c>
      <c r="W199" s="76" t="s">
        <v>145</v>
      </c>
      <c r="X199" s="79" t="s">
        <v>158</v>
      </c>
      <c r="Y199" s="69">
        <v>1</v>
      </c>
      <c r="Z199" s="69">
        <v>1</v>
      </c>
      <c r="AA199" s="69">
        <v>1</v>
      </c>
      <c r="AB199" s="49">
        <f>IF(V199="TIPO I",'BASE DE LIQUIDACION 2025'!$B$3,'BASE DE LIQUIDACION 2025'!$B$4)</f>
        <v>11251.22416</v>
      </c>
      <c r="AC199" s="49">
        <f>IF(V199="TIPO I",'BASE DE LIQUIDACION 2025'!$C$3,'BASE DE LIQUIDACION 2025'!$C$4)</f>
        <v>126317.12212</v>
      </c>
      <c r="AD199" s="49">
        <f>IF(V199="TIPO I",'BASE DE LIQUIDACION 2025'!$D$3,'BASE DE LIQUIDACION 2025'!$D$4)</f>
        <v>110808.27512000001</v>
      </c>
      <c r="AE199" s="53">
        <f t="shared" si="4"/>
        <v>248376.6214</v>
      </c>
    </row>
    <row r="200" spans="1:31" s="46" customFormat="1">
      <c r="A200" s="69" t="s">
        <v>220</v>
      </c>
      <c r="B200" s="45" t="str">
        <f>VLOOKUP(A200,'CENTRO DE COSTOS'!A:D,4,FALSE)</f>
        <v>DIEGO FERNANDO HENAO CARDONA</v>
      </c>
      <c r="C200" s="45" t="str">
        <f>VLOOKUP(A200,'CENTRO DE COSTOS'!A:D,2,FALSE)</f>
        <v>0004-0003</v>
      </c>
      <c r="D200" s="69">
        <v>76275</v>
      </c>
      <c r="E200" s="70" t="s">
        <v>1311</v>
      </c>
      <c r="F200" s="71">
        <v>80944</v>
      </c>
      <c r="G200" s="79" t="s">
        <v>132</v>
      </c>
      <c r="H200" s="73" t="s">
        <v>133</v>
      </c>
      <c r="I200" s="71" t="s">
        <v>420</v>
      </c>
      <c r="J200" s="81" t="s">
        <v>1312</v>
      </c>
      <c r="K200" s="71" t="s">
        <v>1313</v>
      </c>
      <c r="L200" s="75" t="s">
        <v>137</v>
      </c>
      <c r="M200" s="82" t="s">
        <v>1314</v>
      </c>
      <c r="N200" s="74">
        <v>45880</v>
      </c>
      <c r="O200" s="76">
        <v>45883</v>
      </c>
      <c r="P200" s="83" t="s">
        <v>139</v>
      </c>
      <c r="Q200" s="84" t="s">
        <v>139</v>
      </c>
      <c r="R200" s="69" t="s">
        <v>140</v>
      </c>
      <c r="S200" s="72" t="s">
        <v>1315</v>
      </c>
      <c r="T200" s="79" t="s">
        <v>702</v>
      </c>
      <c r="U200" s="69" t="s">
        <v>1316</v>
      </c>
      <c r="V200" s="81" t="s">
        <v>202</v>
      </c>
      <c r="W200" s="76" t="s">
        <v>145</v>
      </c>
      <c r="X200" s="79" t="s">
        <v>702</v>
      </c>
      <c r="Y200" s="69">
        <v>1</v>
      </c>
      <c r="Z200" s="69">
        <v>1</v>
      </c>
      <c r="AA200" s="69">
        <v>1</v>
      </c>
      <c r="AB200" s="49">
        <f>IF(V200="TIPO I",'BASE DE LIQUIDACION 2025'!$B$3,'BASE DE LIQUIDACION 2025'!$B$4)</f>
        <v>11251.22416</v>
      </c>
      <c r="AC200" s="49">
        <f>IF(V200="TIPO I",'BASE DE LIQUIDACION 2025'!$C$3,'BASE DE LIQUIDACION 2025'!$C$4)</f>
        <v>126317.12212</v>
      </c>
      <c r="AD200" s="49">
        <f>IF(V200="TIPO I",'BASE DE LIQUIDACION 2025'!$D$3,'BASE DE LIQUIDACION 2025'!$D$4)</f>
        <v>110808.27512000001</v>
      </c>
      <c r="AE200" s="53">
        <f t="shared" si="4"/>
        <v>248376.6214</v>
      </c>
    </row>
    <row r="201" spans="1:31" s="46" customFormat="1">
      <c r="A201" s="69" t="s">
        <v>431</v>
      </c>
      <c r="B201" s="45" t="str">
        <f>VLOOKUP(A201,'CENTRO DE COSTOS'!A:D,4,FALSE)</f>
        <v>WILLIAM ASDRUBAL ROZO ROZO</v>
      </c>
      <c r="C201" s="45" t="str">
        <f>VLOOKUP(A201,'CENTRO DE COSTOS'!A:D,2,FALSE)</f>
        <v>0004-0004</v>
      </c>
      <c r="D201" s="69">
        <v>25899</v>
      </c>
      <c r="E201" s="70" t="s">
        <v>1317</v>
      </c>
      <c r="F201" s="71">
        <v>80989</v>
      </c>
      <c r="G201" s="79" t="s">
        <v>132</v>
      </c>
      <c r="H201" s="73" t="s">
        <v>133</v>
      </c>
      <c r="I201" s="71" t="s">
        <v>433</v>
      </c>
      <c r="J201" s="81" t="s">
        <v>546</v>
      </c>
      <c r="K201" s="71" t="s">
        <v>1318</v>
      </c>
      <c r="L201" s="75" t="s">
        <v>137</v>
      </c>
      <c r="M201" s="82" t="s">
        <v>1319</v>
      </c>
      <c r="N201" s="74">
        <v>45880</v>
      </c>
      <c r="O201" s="76">
        <v>45883</v>
      </c>
      <c r="P201" s="83" t="s">
        <v>139</v>
      </c>
      <c r="Q201" s="84" t="s">
        <v>139</v>
      </c>
      <c r="R201" s="69" t="s">
        <v>140</v>
      </c>
      <c r="S201" s="72" t="s">
        <v>1320</v>
      </c>
      <c r="T201" s="79" t="s">
        <v>470</v>
      </c>
      <c r="U201" s="69" t="s">
        <v>1321</v>
      </c>
      <c r="V201" s="81" t="s">
        <v>202</v>
      </c>
      <c r="W201" s="76" t="s">
        <v>145</v>
      </c>
      <c r="X201" s="79" t="s">
        <v>470</v>
      </c>
      <c r="Y201" s="69">
        <v>1</v>
      </c>
      <c r="Z201" s="69">
        <v>1</v>
      </c>
      <c r="AA201" s="69">
        <v>1</v>
      </c>
      <c r="AB201" s="49">
        <f>IF(V201="TIPO I",'BASE DE LIQUIDACION 2025'!$B$3,'BASE DE LIQUIDACION 2025'!$B$4)</f>
        <v>11251.22416</v>
      </c>
      <c r="AC201" s="49">
        <f>IF(V201="TIPO I",'BASE DE LIQUIDACION 2025'!$C$3,'BASE DE LIQUIDACION 2025'!$C$4)</f>
        <v>126317.12212</v>
      </c>
      <c r="AD201" s="49">
        <f>IF(V201="TIPO I",'BASE DE LIQUIDACION 2025'!$D$3,'BASE DE LIQUIDACION 2025'!$D$4)</f>
        <v>110808.27512000001</v>
      </c>
      <c r="AE201" s="53">
        <f t="shared" si="4"/>
        <v>248376.6214</v>
      </c>
    </row>
    <row r="202" spans="1:31" s="46" customFormat="1">
      <c r="A202" s="69" t="s">
        <v>431</v>
      </c>
      <c r="B202" s="45" t="str">
        <f>VLOOKUP(A202,'CENTRO DE COSTOS'!A:D,4,FALSE)</f>
        <v>WILLIAM ASDRUBAL ROZO ROZO</v>
      </c>
      <c r="C202" s="45" t="str">
        <f>VLOOKUP(A202,'CENTRO DE COSTOS'!A:D,2,FALSE)</f>
        <v>0004-0004</v>
      </c>
      <c r="D202" s="69">
        <v>11001</v>
      </c>
      <c r="E202" s="70" t="s">
        <v>1322</v>
      </c>
      <c r="F202" s="71">
        <v>80933</v>
      </c>
      <c r="G202" s="79" t="s">
        <v>132</v>
      </c>
      <c r="H202" s="73" t="s">
        <v>222</v>
      </c>
      <c r="I202" s="71" t="s">
        <v>433</v>
      </c>
      <c r="J202" s="81" t="s">
        <v>431</v>
      </c>
      <c r="K202" s="71" t="s">
        <v>1323</v>
      </c>
      <c r="L202" s="75" t="s">
        <v>137</v>
      </c>
      <c r="M202" s="82" t="s">
        <v>1324</v>
      </c>
      <c r="N202" s="74">
        <v>45880</v>
      </c>
      <c r="O202" s="76">
        <v>45881</v>
      </c>
      <c r="P202" s="83" t="s">
        <v>139</v>
      </c>
      <c r="Q202" s="84" t="s">
        <v>139</v>
      </c>
      <c r="R202" s="69" t="s">
        <v>140</v>
      </c>
      <c r="S202" s="72" t="s">
        <v>1325</v>
      </c>
      <c r="T202" s="79" t="s">
        <v>470</v>
      </c>
      <c r="U202" s="69" t="s">
        <v>1326</v>
      </c>
      <c r="V202" s="81" t="s">
        <v>52</v>
      </c>
      <c r="W202" s="76" t="s">
        <v>145</v>
      </c>
      <c r="X202" s="79" t="s">
        <v>470</v>
      </c>
      <c r="Y202" s="69">
        <v>1</v>
      </c>
      <c r="Z202" s="69">
        <v>1</v>
      </c>
      <c r="AA202" s="69">
        <v>1</v>
      </c>
      <c r="AB202" s="49">
        <f>IF(V202="TIPO I",'BASE DE LIQUIDACION 2025'!$B$3,'BASE DE LIQUIDACION 2025'!$B$4)</f>
        <v>11251.22416</v>
      </c>
      <c r="AC202" s="49">
        <f>IF(V202="TIPO I",'BASE DE LIQUIDACION 2025'!$C$3,'BASE DE LIQUIDACION 2025'!$C$4)</f>
        <v>126317.12212</v>
      </c>
      <c r="AD202" s="49">
        <f>IF(V202="TIPO I",'BASE DE LIQUIDACION 2025'!$D$3,'BASE DE LIQUIDACION 2025'!$D$4)</f>
        <v>57411.974240000003</v>
      </c>
      <c r="AE202" s="53">
        <f t="shared" si="4"/>
        <v>194980.32052000001</v>
      </c>
    </row>
    <row r="203" spans="1:31" s="46" customFormat="1">
      <c r="A203" s="69" t="s">
        <v>151</v>
      </c>
      <c r="B203" s="45" t="str">
        <f>VLOOKUP(A203,'CENTRO DE COSTOS'!A:D,4,FALSE)</f>
        <v>DIEGO FERNANDO HENAO CARDONA</v>
      </c>
      <c r="C203" s="45" t="str">
        <f>VLOOKUP(A203,'CENTRO DE COSTOS'!A:D,2,FALSE)</f>
        <v>0004-0003</v>
      </c>
      <c r="D203" s="69">
        <v>52621</v>
      </c>
      <c r="E203" s="70" t="s">
        <v>1327</v>
      </c>
      <c r="F203" s="71">
        <v>80963</v>
      </c>
      <c r="G203" s="79" t="s">
        <v>132</v>
      </c>
      <c r="H203" s="73" t="s">
        <v>133</v>
      </c>
      <c r="I203" s="71" t="s">
        <v>153</v>
      </c>
      <c r="J203" s="81" t="s">
        <v>238</v>
      </c>
      <c r="K203" s="71" t="s">
        <v>1328</v>
      </c>
      <c r="L203" s="75" t="s">
        <v>137</v>
      </c>
      <c r="M203" s="82" t="s">
        <v>1329</v>
      </c>
      <c r="N203" s="74">
        <v>45880</v>
      </c>
      <c r="O203" s="76">
        <v>45881</v>
      </c>
      <c r="P203" s="83" t="s">
        <v>139</v>
      </c>
      <c r="Q203" s="84" t="s">
        <v>139</v>
      </c>
      <c r="R203" s="69" t="s">
        <v>140</v>
      </c>
      <c r="S203" s="72" t="s">
        <v>1330</v>
      </c>
      <c r="T203" s="79" t="s">
        <v>158</v>
      </c>
      <c r="U203" s="69" t="s">
        <v>1331</v>
      </c>
      <c r="V203" s="81" t="s">
        <v>160</v>
      </c>
      <c r="W203" s="76" t="s">
        <v>161</v>
      </c>
      <c r="X203" s="79" t="s">
        <v>158</v>
      </c>
      <c r="Y203" s="69">
        <v>1</v>
      </c>
      <c r="Z203" s="69">
        <v>1</v>
      </c>
      <c r="AA203" s="69">
        <v>1</v>
      </c>
      <c r="AB203" s="49">
        <f>IF(V203="TIPO I",'BASE DE LIQUIDACION 2025'!$B$3,'BASE DE LIQUIDACION 2025'!$B$4)</f>
        <v>11251.22416</v>
      </c>
      <c r="AC203" s="49">
        <f>IF(V203="TIPO I",'BASE DE LIQUIDACION 2025'!$C$3,'BASE DE LIQUIDACION 2025'!$C$4)</f>
        <v>126317.12212</v>
      </c>
      <c r="AD203" s="49">
        <f>IF(V203="TIPO I",'BASE DE LIQUIDACION 2025'!$D$3,'BASE DE LIQUIDACION 2025'!$D$4)</f>
        <v>110808.27512000001</v>
      </c>
      <c r="AE203" s="53">
        <f t="shared" si="4"/>
        <v>248376.6214</v>
      </c>
    </row>
    <row r="204" spans="1:31" s="46" customFormat="1">
      <c r="A204" s="69" t="s">
        <v>608</v>
      </c>
      <c r="B204" s="45" t="str">
        <f>VLOOKUP(A204,'CENTRO DE COSTOS'!A:D,4,FALSE)</f>
        <v>JUAN SEBASTIÁN RÍOS CASTRILLÓN</v>
      </c>
      <c r="C204" s="45" t="str">
        <f>VLOOKUP(A204,'CENTRO DE COSTOS'!A:D,2,FALSE)</f>
        <v>0004-0005</v>
      </c>
      <c r="D204" s="69">
        <v>5665</v>
      </c>
      <c r="E204" s="70" t="s">
        <v>1332</v>
      </c>
      <c r="F204" s="71">
        <v>80961</v>
      </c>
      <c r="G204" s="79" t="s">
        <v>132</v>
      </c>
      <c r="H204" s="73" t="s">
        <v>133</v>
      </c>
      <c r="I204" s="71" t="s">
        <v>178</v>
      </c>
      <c r="J204" s="81" t="s">
        <v>1333</v>
      </c>
      <c r="K204" s="71" t="s">
        <v>1334</v>
      </c>
      <c r="L204" s="75" t="s">
        <v>137</v>
      </c>
      <c r="M204" s="82" t="s">
        <v>1335</v>
      </c>
      <c r="N204" s="74">
        <v>45880</v>
      </c>
      <c r="O204" s="76">
        <v>45889</v>
      </c>
      <c r="P204" s="83" t="s">
        <v>139</v>
      </c>
      <c r="Q204" s="84" t="s">
        <v>139</v>
      </c>
      <c r="R204" s="69" t="s">
        <v>140</v>
      </c>
      <c r="S204" s="72" t="s">
        <v>1336</v>
      </c>
      <c r="T204" s="79" t="s">
        <v>614</v>
      </c>
      <c r="U204" s="69" t="s">
        <v>1337</v>
      </c>
      <c r="V204" s="81" t="s">
        <v>230</v>
      </c>
      <c r="W204" s="76" t="s">
        <v>145</v>
      </c>
      <c r="X204" s="79" t="s">
        <v>614</v>
      </c>
      <c r="Y204" s="69">
        <v>1</v>
      </c>
      <c r="Z204" s="69">
        <v>1</v>
      </c>
      <c r="AA204" s="69">
        <v>1</v>
      </c>
      <c r="AB204" s="49">
        <f>IF(V204="TIPO I",'BASE DE LIQUIDACION 2025'!$B$3,'BASE DE LIQUIDACION 2025'!$B$4)</f>
        <v>11251.22416</v>
      </c>
      <c r="AC204" s="49">
        <f>IF(V204="TIPO I",'BASE DE LIQUIDACION 2025'!$C$3,'BASE DE LIQUIDACION 2025'!$C$4)</f>
        <v>126317.12212</v>
      </c>
      <c r="AD204" s="49">
        <f>IF(V204="TIPO I",'BASE DE LIQUIDACION 2025'!$D$3,'BASE DE LIQUIDACION 2025'!$D$4)</f>
        <v>110808.27512000001</v>
      </c>
      <c r="AE204" s="53">
        <f t="shared" si="4"/>
        <v>248376.6214</v>
      </c>
    </row>
    <row r="205" spans="1:31" s="46" customFormat="1">
      <c r="A205" s="69" t="s">
        <v>175</v>
      </c>
      <c r="B205" s="45" t="str">
        <f>VLOOKUP(A205,'CENTRO DE COSTOS'!A:D,4,FALSE)</f>
        <v>JUAN SEBASTIÁN RÍOS CASTRILLÓN</v>
      </c>
      <c r="C205" s="45" t="str">
        <f>VLOOKUP(A205,'CENTRO DE COSTOS'!A:D,2,FALSE)</f>
        <v>0004-0005</v>
      </c>
      <c r="D205" s="69">
        <v>5001</v>
      </c>
      <c r="E205" s="70" t="s">
        <v>1338</v>
      </c>
      <c r="F205" s="71">
        <v>80987</v>
      </c>
      <c r="G205" s="79" t="s">
        <v>132</v>
      </c>
      <c r="H205" s="73" t="s">
        <v>133</v>
      </c>
      <c r="I205" s="71" t="s">
        <v>178</v>
      </c>
      <c r="J205" s="81" t="s">
        <v>175</v>
      </c>
      <c r="K205" s="71" t="s">
        <v>1339</v>
      </c>
      <c r="L205" s="75" t="s">
        <v>137</v>
      </c>
      <c r="M205" s="82" t="s">
        <v>1340</v>
      </c>
      <c r="N205" s="74">
        <v>45880</v>
      </c>
      <c r="O205" s="76">
        <v>45882</v>
      </c>
      <c r="P205" s="83" t="s">
        <v>139</v>
      </c>
      <c r="Q205" s="84" t="s">
        <v>139</v>
      </c>
      <c r="R205" s="69" t="s">
        <v>140</v>
      </c>
      <c r="S205" s="72" t="s">
        <v>1341</v>
      </c>
      <c r="T205" s="79" t="s">
        <v>1303</v>
      </c>
      <c r="U205" s="69" t="s">
        <v>1342</v>
      </c>
      <c r="V205" s="81" t="s">
        <v>52</v>
      </c>
      <c r="W205" s="76" t="s">
        <v>145</v>
      </c>
      <c r="X205" s="79" t="s">
        <v>1303</v>
      </c>
      <c r="Y205" s="69">
        <v>1</v>
      </c>
      <c r="Z205" s="69">
        <v>1</v>
      </c>
      <c r="AA205" s="69">
        <v>1</v>
      </c>
      <c r="AB205" s="49">
        <f>IF(V205="TIPO I",'BASE DE LIQUIDACION 2025'!$B$3,'BASE DE LIQUIDACION 2025'!$B$4)</f>
        <v>11251.22416</v>
      </c>
      <c r="AC205" s="49">
        <f>IF(V205="TIPO I",'BASE DE LIQUIDACION 2025'!$C$3,'BASE DE LIQUIDACION 2025'!$C$4)</f>
        <v>126317.12212</v>
      </c>
      <c r="AD205" s="49">
        <f>IF(V205="TIPO I",'BASE DE LIQUIDACION 2025'!$D$3,'BASE DE LIQUIDACION 2025'!$D$4)</f>
        <v>57411.974240000003</v>
      </c>
      <c r="AE205" s="53">
        <f t="shared" si="4"/>
        <v>194980.32052000001</v>
      </c>
    </row>
    <row r="206" spans="1:31" s="46" customFormat="1">
      <c r="A206" s="69" t="s">
        <v>220</v>
      </c>
      <c r="B206" s="45" t="str">
        <f>VLOOKUP(A206,'CENTRO DE COSTOS'!A:D,4,FALSE)</f>
        <v>DIEGO FERNANDO HENAO CARDONA</v>
      </c>
      <c r="C206" s="45" t="str">
        <f>VLOOKUP(A206,'CENTRO DE COSTOS'!A:D,2,FALSE)</f>
        <v>0004-0003</v>
      </c>
      <c r="D206" s="69">
        <v>19001</v>
      </c>
      <c r="E206" s="70" t="s">
        <v>1343</v>
      </c>
      <c r="F206" s="71">
        <v>80960</v>
      </c>
      <c r="G206" s="79" t="s">
        <v>132</v>
      </c>
      <c r="H206" s="73" t="s">
        <v>133</v>
      </c>
      <c r="I206" s="71" t="s">
        <v>223</v>
      </c>
      <c r="J206" s="81" t="s">
        <v>1344</v>
      </c>
      <c r="K206" s="71" t="s">
        <v>1345</v>
      </c>
      <c r="L206" s="75" t="s">
        <v>137</v>
      </c>
      <c r="M206" s="82" t="s">
        <v>1346</v>
      </c>
      <c r="N206" s="74">
        <v>45880</v>
      </c>
      <c r="O206" s="76">
        <v>45882</v>
      </c>
      <c r="P206" s="83" t="s">
        <v>139</v>
      </c>
      <c r="Q206" s="84" t="s">
        <v>139</v>
      </c>
      <c r="R206" s="69" t="s">
        <v>140</v>
      </c>
      <c r="S206" s="72" t="s">
        <v>1347</v>
      </c>
      <c r="T206" s="79" t="s">
        <v>299</v>
      </c>
      <c r="U206" s="69" t="s">
        <v>1348</v>
      </c>
      <c r="V206" s="81" t="s">
        <v>230</v>
      </c>
      <c r="W206" s="76" t="s">
        <v>145</v>
      </c>
      <c r="X206" s="79" t="s">
        <v>299</v>
      </c>
      <c r="Y206" s="69">
        <v>1</v>
      </c>
      <c r="Z206" s="69">
        <v>1</v>
      </c>
      <c r="AA206" s="69">
        <v>1</v>
      </c>
      <c r="AB206" s="49">
        <f>IF(V206="TIPO I",'BASE DE LIQUIDACION 2025'!$B$3,'BASE DE LIQUIDACION 2025'!$B$4)</f>
        <v>11251.22416</v>
      </c>
      <c r="AC206" s="49">
        <f>IF(V206="TIPO I",'BASE DE LIQUIDACION 2025'!$C$3,'BASE DE LIQUIDACION 2025'!$C$4)</f>
        <v>126317.12212</v>
      </c>
      <c r="AD206" s="49">
        <f>IF(V206="TIPO I",'BASE DE LIQUIDACION 2025'!$D$3,'BASE DE LIQUIDACION 2025'!$D$4)</f>
        <v>110808.27512000001</v>
      </c>
      <c r="AE206" s="53">
        <f t="shared" si="4"/>
        <v>248376.6214</v>
      </c>
    </row>
    <row r="207" spans="1:31" s="46" customFormat="1">
      <c r="A207" s="69" t="s">
        <v>431</v>
      </c>
      <c r="B207" s="45" t="str">
        <f>VLOOKUP(A207,'CENTRO DE COSTOS'!A:D,4,FALSE)</f>
        <v>WILLIAM ASDRUBAL ROZO ROZO</v>
      </c>
      <c r="C207" s="45" t="str">
        <f>VLOOKUP(A207,'CENTRO DE COSTOS'!A:D,2,FALSE)</f>
        <v>0004-0004</v>
      </c>
      <c r="D207" s="69">
        <v>25488</v>
      </c>
      <c r="E207" s="70" t="s">
        <v>1349</v>
      </c>
      <c r="F207" s="71">
        <v>80929</v>
      </c>
      <c r="G207" s="79" t="s">
        <v>132</v>
      </c>
      <c r="H207" s="73" t="s">
        <v>133</v>
      </c>
      <c r="I207" s="71" t="s">
        <v>433</v>
      </c>
      <c r="J207" s="81" t="s">
        <v>1350</v>
      </c>
      <c r="K207" s="71" t="s">
        <v>1351</v>
      </c>
      <c r="L207" s="75" t="s">
        <v>137</v>
      </c>
      <c r="M207" s="82" t="s">
        <v>1352</v>
      </c>
      <c r="N207" s="74">
        <v>45880</v>
      </c>
      <c r="O207" s="76">
        <v>45881</v>
      </c>
      <c r="P207" s="83" t="s">
        <v>139</v>
      </c>
      <c r="Q207" s="84" t="s">
        <v>139</v>
      </c>
      <c r="R207" s="78" t="s">
        <v>140</v>
      </c>
      <c r="S207" s="72" t="s">
        <v>1353</v>
      </c>
      <c r="T207" s="79" t="s">
        <v>551</v>
      </c>
      <c r="U207" s="69" t="s">
        <v>1354</v>
      </c>
      <c r="V207" s="81" t="s">
        <v>230</v>
      </c>
      <c r="W207" s="76" t="s">
        <v>145</v>
      </c>
      <c r="X207" s="79" t="s">
        <v>551</v>
      </c>
      <c r="Y207" s="69">
        <v>1</v>
      </c>
      <c r="Z207" s="69">
        <v>1</v>
      </c>
      <c r="AA207" s="69">
        <v>1</v>
      </c>
      <c r="AB207" s="49">
        <f>IF(V207="TIPO I",'BASE DE LIQUIDACION 2025'!$B$3,'BASE DE LIQUIDACION 2025'!$B$4)</f>
        <v>11251.22416</v>
      </c>
      <c r="AC207" s="49">
        <f>IF(V207="TIPO I",'BASE DE LIQUIDACION 2025'!$C$3,'BASE DE LIQUIDACION 2025'!$C$4)</f>
        <v>126317.12212</v>
      </c>
      <c r="AD207" s="49">
        <f>IF(V207="TIPO I",'BASE DE LIQUIDACION 2025'!$D$3,'BASE DE LIQUIDACION 2025'!$D$4)</f>
        <v>110808.27512000001</v>
      </c>
      <c r="AE207" s="53">
        <f t="shared" si="4"/>
        <v>248376.6214</v>
      </c>
    </row>
    <row r="208" spans="1:31" s="46" customFormat="1">
      <c r="A208" s="69" t="s">
        <v>175</v>
      </c>
      <c r="B208" s="45" t="str">
        <f>VLOOKUP(A208,'CENTRO DE COSTOS'!A:D,4,FALSE)</f>
        <v>JUAN SEBASTIÁN RÍOS CASTRILLÓN</v>
      </c>
      <c r="C208" s="45" t="str">
        <f>VLOOKUP(A208,'CENTRO DE COSTOS'!A:D,2,FALSE)</f>
        <v>0004-0005</v>
      </c>
      <c r="D208" s="69">
        <v>5148</v>
      </c>
      <c r="E208" s="70" t="s">
        <v>1355</v>
      </c>
      <c r="F208" s="71">
        <v>80981</v>
      </c>
      <c r="G208" s="79" t="s">
        <v>132</v>
      </c>
      <c r="H208" s="73" t="s">
        <v>133</v>
      </c>
      <c r="I208" s="71" t="s">
        <v>178</v>
      </c>
      <c r="J208" s="81" t="s">
        <v>1356</v>
      </c>
      <c r="K208" s="71" t="s">
        <v>1357</v>
      </c>
      <c r="L208" s="75" t="s">
        <v>137</v>
      </c>
      <c r="M208" s="82" t="s">
        <v>1358</v>
      </c>
      <c r="N208" s="74">
        <v>45880</v>
      </c>
      <c r="O208" s="76">
        <v>45882</v>
      </c>
      <c r="P208" s="83" t="s">
        <v>139</v>
      </c>
      <c r="Q208" s="84" t="s">
        <v>139</v>
      </c>
      <c r="R208" s="69" t="s">
        <v>140</v>
      </c>
      <c r="S208" s="72" t="s">
        <v>1359</v>
      </c>
      <c r="T208" s="79" t="s">
        <v>338</v>
      </c>
      <c r="U208" s="69" t="s">
        <v>1360</v>
      </c>
      <c r="V208" s="81" t="s">
        <v>202</v>
      </c>
      <c r="W208" s="76" t="s">
        <v>145</v>
      </c>
      <c r="X208" s="79" t="s">
        <v>338</v>
      </c>
      <c r="Y208" s="69">
        <v>1</v>
      </c>
      <c r="Z208" s="69">
        <v>1</v>
      </c>
      <c r="AA208" s="69">
        <v>1</v>
      </c>
      <c r="AB208" s="49">
        <f>IF(V208="TIPO I",'BASE DE LIQUIDACION 2025'!$B$3,'BASE DE LIQUIDACION 2025'!$B$4)</f>
        <v>11251.22416</v>
      </c>
      <c r="AC208" s="49">
        <f>IF(V208="TIPO I",'BASE DE LIQUIDACION 2025'!$C$3,'BASE DE LIQUIDACION 2025'!$C$4)</f>
        <v>126317.12212</v>
      </c>
      <c r="AD208" s="49">
        <f>IF(V208="TIPO I",'BASE DE LIQUIDACION 2025'!$D$3,'BASE DE LIQUIDACION 2025'!$D$4)</f>
        <v>110808.27512000001</v>
      </c>
      <c r="AE208" s="53">
        <f t="shared" si="4"/>
        <v>248376.6214</v>
      </c>
    </row>
    <row r="209" spans="1:31" s="46" customFormat="1">
      <c r="A209" s="69" t="s">
        <v>608</v>
      </c>
      <c r="B209" s="45" t="str">
        <f>VLOOKUP(A209,'CENTRO DE COSTOS'!A:D,4,FALSE)</f>
        <v>JUAN SEBASTIÁN RÍOS CASTRILLÓN</v>
      </c>
      <c r="C209" s="45" t="str">
        <f>VLOOKUP(A209,'CENTRO DE COSTOS'!A:D,2,FALSE)</f>
        <v>0004-0005</v>
      </c>
      <c r="D209" s="69">
        <v>27077</v>
      </c>
      <c r="E209" s="70" t="s">
        <v>1361</v>
      </c>
      <c r="F209" s="71">
        <v>80971</v>
      </c>
      <c r="G209" s="79" t="s">
        <v>132</v>
      </c>
      <c r="H209" s="73" t="s">
        <v>133</v>
      </c>
      <c r="I209" s="71" t="s">
        <v>1362</v>
      </c>
      <c r="J209" s="81" t="s">
        <v>1363</v>
      </c>
      <c r="K209" s="71" t="s">
        <v>1364</v>
      </c>
      <c r="L209" s="75" t="s">
        <v>137</v>
      </c>
      <c r="M209" s="82" t="s">
        <v>1365</v>
      </c>
      <c r="N209" s="74">
        <v>45880</v>
      </c>
      <c r="O209" s="76">
        <v>45890</v>
      </c>
      <c r="P209" s="83" t="s">
        <v>139</v>
      </c>
      <c r="Q209" s="84" t="s">
        <v>139</v>
      </c>
      <c r="R209" s="69" t="s">
        <v>140</v>
      </c>
      <c r="S209" s="72" t="s">
        <v>1366</v>
      </c>
      <c r="T209" s="79" t="s">
        <v>1367</v>
      </c>
      <c r="U209" s="69" t="s">
        <v>1368</v>
      </c>
      <c r="V209" s="81" t="s">
        <v>160</v>
      </c>
      <c r="W209" s="76" t="s">
        <v>1369</v>
      </c>
      <c r="X209" s="79" t="s">
        <v>1367</v>
      </c>
      <c r="Y209" s="69">
        <v>1</v>
      </c>
      <c r="Z209" s="69">
        <v>1</v>
      </c>
      <c r="AA209" s="69">
        <v>1</v>
      </c>
      <c r="AB209" s="49">
        <f>IF(V209="TIPO I",'BASE DE LIQUIDACION 2025'!$B$3,'BASE DE LIQUIDACION 2025'!$B$4)</f>
        <v>11251.22416</v>
      </c>
      <c r="AC209" s="49">
        <f>IF(V209="TIPO I",'BASE DE LIQUIDACION 2025'!$C$3,'BASE DE LIQUIDACION 2025'!$C$4)</f>
        <v>126317.12212</v>
      </c>
      <c r="AD209" s="49">
        <f>IF(V209="TIPO I",'BASE DE LIQUIDACION 2025'!$D$3,'BASE DE LIQUIDACION 2025'!$D$4)</f>
        <v>110808.27512000001</v>
      </c>
      <c r="AE209" s="53">
        <f t="shared" si="4"/>
        <v>248376.6214</v>
      </c>
    </row>
    <row r="210" spans="1:31" s="46" customFormat="1">
      <c r="A210" s="69" t="s">
        <v>175</v>
      </c>
      <c r="B210" s="45" t="str">
        <f>VLOOKUP(A210,'CENTRO DE COSTOS'!A:D,4,FALSE)</f>
        <v>JUAN SEBASTIÁN RÍOS CASTRILLÓN</v>
      </c>
      <c r="C210" s="45" t="str">
        <f>VLOOKUP(A210,'CENTRO DE COSTOS'!A:D,2,FALSE)</f>
        <v>0004-0005</v>
      </c>
      <c r="D210" s="69">
        <v>5667</v>
      </c>
      <c r="E210" s="70" t="s">
        <v>1370</v>
      </c>
      <c r="F210" s="71">
        <v>80962</v>
      </c>
      <c r="G210" s="79" t="s">
        <v>132</v>
      </c>
      <c r="H210" s="73" t="s">
        <v>133</v>
      </c>
      <c r="I210" s="71" t="s">
        <v>178</v>
      </c>
      <c r="J210" s="81" t="s">
        <v>1371</v>
      </c>
      <c r="K210" s="71" t="s">
        <v>1372</v>
      </c>
      <c r="L210" s="75" t="s">
        <v>137</v>
      </c>
      <c r="M210" s="82" t="s">
        <v>1373</v>
      </c>
      <c r="N210" s="74">
        <v>45880</v>
      </c>
      <c r="O210" s="76">
        <v>45882</v>
      </c>
      <c r="P210" s="83" t="s">
        <v>139</v>
      </c>
      <c r="Q210" s="84" t="s">
        <v>139</v>
      </c>
      <c r="R210" s="69" t="s">
        <v>140</v>
      </c>
      <c r="S210" s="72" t="s">
        <v>1374</v>
      </c>
      <c r="T210" s="79" t="s">
        <v>674</v>
      </c>
      <c r="U210" s="69" t="s">
        <v>1375</v>
      </c>
      <c r="V210" s="81" t="s">
        <v>230</v>
      </c>
      <c r="W210" s="76" t="s">
        <v>145</v>
      </c>
      <c r="X210" s="79" t="s">
        <v>674</v>
      </c>
      <c r="Y210" s="69">
        <v>1</v>
      </c>
      <c r="Z210" s="69">
        <v>1</v>
      </c>
      <c r="AA210" s="69">
        <v>1</v>
      </c>
      <c r="AB210" s="49">
        <f>IF(V210="TIPO I",'BASE DE LIQUIDACION 2025'!$B$3,'BASE DE LIQUIDACION 2025'!$B$4)</f>
        <v>11251.22416</v>
      </c>
      <c r="AC210" s="49">
        <f>IF(V210="TIPO I",'BASE DE LIQUIDACION 2025'!$C$3,'BASE DE LIQUIDACION 2025'!$C$4)</f>
        <v>126317.12212</v>
      </c>
      <c r="AD210" s="49">
        <f>IF(V210="TIPO I",'BASE DE LIQUIDACION 2025'!$D$3,'BASE DE LIQUIDACION 2025'!$D$4)</f>
        <v>110808.27512000001</v>
      </c>
      <c r="AE210" s="53">
        <f t="shared" si="4"/>
        <v>248376.6214</v>
      </c>
    </row>
    <row r="211" spans="1:31" s="46" customFormat="1">
      <c r="A211" s="69" t="s">
        <v>220</v>
      </c>
      <c r="B211" s="45" t="str">
        <f>VLOOKUP(A211,'CENTRO DE COSTOS'!A:D,4,FALSE)</f>
        <v>DIEGO FERNANDO HENAO CARDONA</v>
      </c>
      <c r="C211" s="45" t="str">
        <f>VLOOKUP(A211,'CENTRO DE COSTOS'!A:D,2,FALSE)</f>
        <v>0004-0003</v>
      </c>
      <c r="D211" s="69">
        <v>76520</v>
      </c>
      <c r="E211" s="70" t="s">
        <v>1376</v>
      </c>
      <c r="F211" s="71">
        <v>80952</v>
      </c>
      <c r="G211" s="79" t="s">
        <v>132</v>
      </c>
      <c r="H211" s="73" t="s">
        <v>133</v>
      </c>
      <c r="I211" s="71" t="s">
        <v>420</v>
      </c>
      <c r="J211" s="81" t="s">
        <v>1377</v>
      </c>
      <c r="K211" s="71" t="s">
        <v>1378</v>
      </c>
      <c r="L211" s="75" t="s">
        <v>137</v>
      </c>
      <c r="M211" s="82" t="s">
        <v>1379</v>
      </c>
      <c r="N211" s="74">
        <v>45880</v>
      </c>
      <c r="O211" s="76">
        <v>45881</v>
      </c>
      <c r="P211" s="83" t="s">
        <v>139</v>
      </c>
      <c r="Q211" s="84" t="s">
        <v>139</v>
      </c>
      <c r="R211" s="69" t="s">
        <v>140</v>
      </c>
      <c r="S211" s="72" t="s">
        <v>1380</v>
      </c>
      <c r="T211" s="79" t="s">
        <v>1381</v>
      </c>
      <c r="U211" s="69" t="s">
        <v>1382</v>
      </c>
      <c r="V211" s="81" t="s">
        <v>52</v>
      </c>
      <c r="W211" s="76" t="s">
        <v>145</v>
      </c>
      <c r="X211" s="79" t="s">
        <v>1381</v>
      </c>
      <c r="Y211" s="69">
        <v>1</v>
      </c>
      <c r="Z211" s="69">
        <v>1</v>
      </c>
      <c r="AA211" s="69">
        <v>1</v>
      </c>
      <c r="AB211" s="49">
        <f>IF(V211="TIPO I",'BASE DE LIQUIDACION 2025'!$B$3,'BASE DE LIQUIDACION 2025'!$B$4)</f>
        <v>11251.22416</v>
      </c>
      <c r="AC211" s="49">
        <f>IF(V211="TIPO I",'BASE DE LIQUIDACION 2025'!$C$3,'BASE DE LIQUIDACION 2025'!$C$4)</f>
        <v>126317.12212</v>
      </c>
      <c r="AD211" s="49">
        <f>IF(V211="TIPO I",'BASE DE LIQUIDACION 2025'!$D$3,'BASE DE LIQUIDACION 2025'!$D$4)</f>
        <v>57411.974240000003</v>
      </c>
      <c r="AE211" s="53">
        <f t="shared" si="4"/>
        <v>194980.32052000001</v>
      </c>
    </row>
    <row r="212" spans="1:31" s="46" customFormat="1" ht="12.75" customHeight="1">
      <c r="A212" s="69" t="s">
        <v>175</v>
      </c>
      <c r="B212" s="45" t="str">
        <f>VLOOKUP(A212,'CENTRO DE COSTOS'!A:D,4,FALSE)</f>
        <v>JUAN SEBASTIÁN RÍOS CASTRILLÓN</v>
      </c>
      <c r="C212" s="45" t="str">
        <f>VLOOKUP(A212,'CENTRO DE COSTOS'!A:D,2,FALSE)</f>
        <v>0004-0005</v>
      </c>
      <c r="D212" s="69">
        <v>5591</v>
      </c>
      <c r="E212" s="70" t="s">
        <v>1383</v>
      </c>
      <c r="F212" s="71">
        <v>80970</v>
      </c>
      <c r="G212" s="79" t="s">
        <v>132</v>
      </c>
      <c r="H212" s="73" t="s">
        <v>222</v>
      </c>
      <c r="I212" s="71" t="s">
        <v>178</v>
      </c>
      <c r="J212" s="81" t="s">
        <v>1384</v>
      </c>
      <c r="K212" s="71" t="s">
        <v>1385</v>
      </c>
      <c r="L212" s="75" t="s">
        <v>137</v>
      </c>
      <c r="M212" s="82" t="s">
        <v>1386</v>
      </c>
      <c r="N212" s="74">
        <v>45880</v>
      </c>
      <c r="O212" s="76">
        <v>45881</v>
      </c>
      <c r="P212" s="83" t="s">
        <v>139</v>
      </c>
      <c r="Q212" s="84" t="s">
        <v>139</v>
      </c>
      <c r="R212" s="69" t="s">
        <v>140</v>
      </c>
      <c r="S212" s="72" t="s">
        <v>1387</v>
      </c>
      <c r="T212" s="79" t="s">
        <v>189</v>
      </c>
      <c r="U212" s="69" t="s">
        <v>1388</v>
      </c>
      <c r="V212" s="81" t="s">
        <v>144</v>
      </c>
      <c r="W212" s="76" t="s">
        <v>145</v>
      </c>
      <c r="X212" s="79" t="s">
        <v>189</v>
      </c>
      <c r="Y212" s="69">
        <v>1</v>
      </c>
      <c r="Z212" s="69">
        <v>1</v>
      </c>
      <c r="AA212" s="69">
        <v>1</v>
      </c>
      <c r="AB212" s="49">
        <f>IF(V212="TIPO I",'BASE DE LIQUIDACION 2025'!$B$3,'BASE DE LIQUIDACION 2025'!$B$4)</f>
        <v>11251.22416</v>
      </c>
      <c r="AC212" s="49">
        <f>IF(V212="TIPO I",'BASE DE LIQUIDACION 2025'!$C$3,'BASE DE LIQUIDACION 2025'!$C$4)</f>
        <v>126317.12212</v>
      </c>
      <c r="AD212" s="49">
        <f>IF(V212="TIPO I",'BASE DE LIQUIDACION 2025'!$D$3,'BASE DE LIQUIDACION 2025'!$D$4)</f>
        <v>110808.27512000001</v>
      </c>
      <c r="AE212" s="53">
        <f t="shared" si="4"/>
        <v>248376.6214</v>
      </c>
    </row>
    <row r="213" spans="1:31" s="46" customFormat="1" ht="12.75" customHeight="1">
      <c r="A213" s="69" t="s">
        <v>285</v>
      </c>
      <c r="B213" s="45" t="str">
        <f>VLOOKUP(A213,'CENTRO DE COSTOS'!A:D,4,FALSE)</f>
        <v>MIGUEL JULIÁN HERNÁNDEZ GUARÍN</v>
      </c>
      <c r="C213" s="45" t="str">
        <f>VLOOKUP(A213,'CENTRO DE COSTOS'!A:D,2,FALSE)</f>
        <v>0004-0008</v>
      </c>
      <c r="D213" s="69">
        <v>54001</v>
      </c>
      <c r="E213" s="70" t="s">
        <v>1389</v>
      </c>
      <c r="F213" s="71">
        <v>80942</v>
      </c>
      <c r="G213" s="79" t="s">
        <v>132</v>
      </c>
      <c r="H213" s="73" t="s">
        <v>133</v>
      </c>
      <c r="I213" s="71" t="s">
        <v>287</v>
      </c>
      <c r="J213" s="81" t="s">
        <v>285</v>
      </c>
      <c r="K213" s="71" t="s">
        <v>1390</v>
      </c>
      <c r="L213" s="75" t="s">
        <v>137</v>
      </c>
      <c r="M213" s="82" t="s">
        <v>1391</v>
      </c>
      <c r="N213" s="74">
        <v>45880</v>
      </c>
      <c r="O213" s="76">
        <v>45883</v>
      </c>
      <c r="P213" s="83" t="s">
        <v>139</v>
      </c>
      <c r="Q213" s="84" t="s">
        <v>139</v>
      </c>
      <c r="R213" s="69" t="s">
        <v>140</v>
      </c>
      <c r="S213" s="72" t="s">
        <v>1392</v>
      </c>
      <c r="T213" s="79" t="s">
        <v>364</v>
      </c>
      <c r="U213" s="69" t="s">
        <v>1393</v>
      </c>
      <c r="V213" s="81" t="s">
        <v>52</v>
      </c>
      <c r="W213" s="76" t="s">
        <v>145</v>
      </c>
      <c r="X213" s="79" t="s">
        <v>364</v>
      </c>
      <c r="Y213" s="69">
        <v>1</v>
      </c>
      <c r="Z213" s="69">
        <v>1</v>
      </c>
      <c r="AA213" s="69">
        <v>1</v>
      </c>
      <c r="AB213" s="49">
        <f>IF(V213="TIPO I",'BASE DE LIQUIDACION 2025'!$B$3,'BASE DE LIQUIDACION 2025'!$B$4)</f>
        <v>11251.22416</v>
      </c>
      <c r="AC213" s="49">
        <f>IF(V213="TIPO I",'BASE DE LIQUIDACION 2025'!$C$3,'BASE DE LIQUIDACION 2025'!$C$4)</f>
        <v>126317.12212</v>
      </c>
      <c r="AD213" s="49">
        <f>IF(V213="TIPO I",'BASE DE LIQUIDACION 2025'!$D$3,'BASE DE LIQUIDACION 2025'!$D$4)</f>
        <v>57411.974240000003</v>
      </c>
      <c r="AE213" s="53">
        <f t="shared" si="4"/>
        <v>194980.32052000001</v>
      </c>
    </row>
    <row r="214" spans="1:31" s="46" customFormat="1" ht="12.75" customHeight="1">
      <c r="A214" s="69" t="s">
        <v>203</v>
      </c>
      <c r="B214" s="45" t="str">
        <f>VLOOKUP(A214,'CENTRO DE COSTOS'!A:D,4,FALSE)</f>
        <v>MIGUEL JULIÁN HERNÁNDEZ GUARÍN</v>
      </c>
      <c r="C214" s="45" t="str">
        <f>VLOOKUP(A214,'CENTRO DE COSTOS'!A:D,2,FALSE)</f>
        <v>0004-0008</v>
      </c>
      <c r="D214" s="69">
        <v>15774</v>
      </c>
      <c r="E214" s="70" t="s">
        <v>1394</v>
      </c>
      <c r="F214" s="71">
        <v>80976</v>
      </c>
      <c r="G214" s="79" t="s">
        <v>132</v>
      </c>
      <c r="H214" s="73" t="s">
        <v>133</v>
      </c>
      <c r="I214" s="71" t="s">
        <v>205</v>
      </c>
      <c r="J214" s="81" t="s">
        <v>1395</v>
      </c>
      <c r="K214" s="71" t="s">
        <v>1396</v>
      </c>
      <c r="L214" s="75" t="s">
        <v>137</v>
      </c>
      <c r="M214" s="82" t="s">
        <v>1397</v>
      </c>
      <c r="N214" s="74">
        <v>45880</v>
      </c>
      <c r="O214" s="76">
        <v>45882</v>
      </c>
      <c r="P214" s="83" t="s">
        <v>139</v>
      </c>
      <c r="Q214" s="84" t="s">
        <v>139</v>
      </c>
      <c r="R214" s="69" t="s">
        <v>140</v>
      </c>
      <c r="S214" s="72" t="s">
        <v>1398</v>
      </c>
      <c r="T214" s="79" t="s">
        <v>1163</v>
      </c>
      <c r="U214" s="69" t="s">
        <v>1399</v>
      </c>
      <c r="V214" s="81" t="s">
        <v>230</v>
      </c>
      <c r="W214" s="76" t="s">
        <v>145</v>
      </c>
      <c r="X214" s="79" t="s">
        <v>1163</v>
      </c>
      <c r="Y214" s="69">
        <v>1</v>
      </c>
      <c r="Z214" s="69">
        <v>1</v>
      </c>
      <c r="AA214" s="69">
        <v>1</v>
      </c>
      <c r="AB214" s="49">
        <f>IF(V214="TIPO I",'BASE DE LIQUIDACION 2025'!$B$3,'BASE DE LIQUIDACION 2025'!$B$4)</f>
        <v>11251.22416</v>
      </c>
      <c r="AC214" s="49">
        <f>IF(V214="TIPO I",'BASE DE LIQUIDACION 2025'!$C$3,'BASE DE LIQUIDACION 2025'!$C$4)</f>
        <v>126317.12212</v>
      </c>
      <c r="AD214" s="49">
        <f>IF(V214="TIPO I",'BASE DE LIQUIDACION 2025'!$D$3,'BASE DE LIQUIDACION 2025'!$D$4)</f>
        <v>110808.27512000001</v>
      </c>
      <c r="AE214" s="53">
        <f t="shared" si="4"/>
        <v>248376.6214</v>
      </c>
    </row>
    <row r="215" spans="1:31" s="46" customFormat="1" ht="12.75" customHeight="1">
      <c r="A215" s="69" t="s">
        <v>431</v>
      </c>
      <c r="B215" s="45" t="str">
        <f>VLOOKUP(A215,'CENTRO DE COSTOS'!A:D,4,FALSE)</f>
        <v>WILLIAM ASDRUBAL ROZO ROZO</v>
      </c>
      <c r="C215" s="45" t="str">
        <f>VLOOKUP(A215,'CENTRO DE COSTOS'!A:D,2,FALSE)</f>
        <v>0004-0004</v>
      </c>
      <c r="D215" s="69">
        <v>11001</v>
      </c>
      <c r="E215" s="70" t="s">
        <v>1400</v>
      </c>
      <c r="F215" s="71">
        <v>80932</v>
      </c>
      <c r="G215" s="79" t="s">
        <v>132</v>
      </c>
      <c r="H215" s="73" t="s">
        <v>133</v>
      </c>
      <c r="I215" s="71" t="s">
        <v>433</v>
      </c>
      <c r="J215" s="81" t="s">
        <v>431</v>
      </c>
      <c r="K215" s="71" t="s">
        <v>1401</v>
      </c>
      <c r="L215" s="75" t="s">
        <v>137</v>
      </c>
      <c r="M215" s="82" t="s">
        <v>1402</v>
      </c>
      <c r="N215" s="74">
        <v>45880</v>
      </c>
      <c r="O215" s="76">
        <v>45881</v>
      </c>
      <c r="P215" s="83" t="s">
        <v>139</v>
      </c>
      <c r="Q215" s="84" t="s">
        <v>139</v>
      </c>
      <c r="R215" s="69" t="s">
        <v>140</v>
      </c>
      <c r="S215" s="72" t="s">
        <v>1403</v>
      </c>
      <c r="T215" s="79" t="s">
        <v>667</v>
      </c>
      <c r="U215" s="69" t="s">
        <v>1404</v>
      </c>
      <c r="V215" s="81" t="s">
        <v>52</v>
      </c>
      <c r="W215" s="76" t="s">
        <v>145</v>
      </c>
      <c r="X215" s="79" t="s">
        <v>667</v>
      </c>
      <c r="Y215" s="69">
        <v>1</v>
      </c>
      <c r="Z215" s="69">
        <v>1</v>
      </c>
      <c r="AA215" s="69">
        <v>1</v>
      </c>
      <c r="AB215" s="49">
        <f>IF(V215="TIPO I",'BASE DE LIQUIDACION 2025'!$B$3,'BASE DE LIQUIDACION 2025'!$B$4)</f>
        <v>11251.22416</v>
      </c>
      <c r="AC215" s="49">
        <f>IF(V215="TIPO I",'BASE DE LIQUIDACION 2025'!$C$3,'BASE DE LIQUIDACION 2025'!$C$4)</f>
        <v>126317.12212</v>
      </c>
      <c r="AD215" s="49">
        <f>IF(V215="TIPO I",'BASE DE LIQUIDACION 2025'!$D$3,'BASE DE LIQUIDACION 2025'!$D$4)</f>
        <v>57411.974240000003</v>
      </c>
      <c r="AE215" s="53">
        <f t="shared" si="4"/>
        <v>194980.32052000001</v>
      </c>
    </row>
    <row r="216" spans="1:31" s="46" customFormat="1" ht="12.75" customHeight="1">
      <c r="A216" s="69" t="s">
        <v>220</v>
      </c>
      <c r="B216" s="45" t="str">
        <f>VLOOKUP(A216,'CENTRO DE COSTOS'!A:D,4,FALSE)</f>
        <v>DIEGO FERNANDO HENAO CARDONA</v>
      </c>
      <c r="C216" s="45" t="str">
        <f>VLOOKUP(A216,'CENTRO DE COSTOS'!A:D,2,FALSE)</f>
        <v>0004-0003</v>
      </c>
      <c r="D216" s="69">
        <v>76001</v>
      </c>
      <c r="E216" s="70" t="s">
        <v>1405</v>
      </c>
      <c r="F216" s="71">
        <v>80937</v>
      </c>
      <c r="G216" s="79" t="s">
        <v>132</v>
      </c>
      <c r="H216" s="73" t="s">
        <v>133</v>
      </c>
      <c r="I216" s="71" t="s">
        <v>420</v>
      </c>
      <c r="J216" s="81" t="s">
        <v>220</v>
      </c>
      <c r="K216" s="71" t="s">
        <v>1406</v>
      </c>
      <c r="L216" s="75" t="s">
        <v>137</v>
      </c>
      <c r="M216" s="82" t="s">
        <v>1407</v>
      </c>
      <c r="N216" s="74">
        <v>45880</v>
      </c>
      <c r="O216" s="76">
        <v>45882</v>
      </c>
      <c r="P216" s="83" t="s">
        <v>139</v>
      </c>
      <c r="Q216" s="84" t="s">
        <v>139</v>
      </c>
      <c r="R216" s="69" t="s">
        <v>140</v>
      </c>
      <c r="S216" s="72" t="s">
        <v>1408</v>
      </c>
      <c r="T216" s="79" t="s">
        <v>1409</v>
      </c>
      <c r="U216" s="69" t="s">
        <v>1410</v>
      </c>
      <c r="V216" s="81" t="s">
        <v>52</v>
      </c>
      <c r="W216" s="76" t="s">
        <v>145</v>
      </c>
      <c r="X216" s="79" t="s">
        <v>1409</v>
      </c>
      <c r="Y216" s="69">
        <v>1</v>
      </c>
      <c r="Z216" s="69">
        <v>1</v>
      </c>
      <c r="AA216" s="69">
        <v>1</v>
      </c>
      <c r="AB216" s="49">
        <f>IF(V216="TIPO I",'BASE DE LIQUIDACION 2025'!$B$3,'BASE DE LIQUIDACION 2025'!$B$4)</f>
        <v>11251.22416</v>
      </c>
      <c r="AC216" s="49">
        <f>IF(V216="TIPO I",'BASE DE LIQUIDACION 2025'!$C$3,'BASE DE LIQUIDACION 2025'!$C$4)</f>
        <v>126317.12212</v>
      </c>
      <c r="AD216" s="49">
        <f>IF(V216="TIPO I",'BASE DE LIQUIDACION 2025'!$D$3,'BASE DE LIQUIDACION 2025'!$D$4)</f>
        <v>57411.974240000003</v>
      </c>
      <c r="AE216" s="53">
        <f t="shared" si="4"/>
        <v>194980.32052000001</v>
      </c>
    </row>
    <row r="217" spans="1:31" s="46" customFormat="1" ht="12.75" customHeight="1">
      <c r="A217" s="69" t="s">
        <v>203</v>
      </c>
      <c r="B217" s="45" t="str">
        <f>VLOOKUP(A217,'CENTRO DE COSTOS'!A:D,4,FALSE)</f>
        <v>MIGUEL JULIÁN HERNÁNDEZ GUARÍN</v>
      </c>
      <c r="C217" s="45" t="str">
        <f>VLOOKUP(A217,'CENTRO DE COSTOS'!A:D,2,FALSE)</f>
        <v>0004-0008</v>
      </c>
      <c r="D217" s="69">
        <v>15407</v>
      </c>
      <c r="E217" s="70" t="s">
        <v>1411</v>
      </c>
      <c r="F217" s="71">
        <v>80978</v>
      </c>
      <c r="G217" s="79" t="s">
        <v>132</v>
      </c>
      <c r="H217" s="73" t="s">
        <v>133</v>
      </c>
      <c r="I217" s="71" t="s">
        <v>205</v>
      </c>
      <c r="J217" s="81" t="s">
        <v>1412</v>
      </c>
      <c r="K217" s="71" t="s">
        <v>1413</v>
      </c>
      <c r="L217" s="75" t="s">
        <v>137</v>
      </c>
      <c r="M217" s="82" t="s">
        <v>1414</v>
      </c>
      <c r="N217" s="74">
        <v>45880</v>
      </c>
      <c r="O217" s="76">
        <v>45882</v>
      </c>
      <c r="P217" s="83" t="s">
        <v>139</v>
      </c>
      <c r="Q217" s="84" t="s">
        <v>139</v>
      </c>
      <c r="R217" s="69" t="s">
        <v>140</v>
      </c>
      <c r="S217" s="72" t="s">
        <v>1415</v>
      </c>
      <c r="T217" s="79" t="s">
        <v>1119</v>
      </c>
      <c r="U217" s="69" t="s">
        <v>1416</v>
      </c>
      <c r="V217" s="81" t="s">
        <v>202</v>
      </c>
      <c r="W217" s="76" t="s">
        <v>145</v>
      </c>
      <c r="X217" s="79" t="s">
        <v>1119</v>
      </c>
      <c r="Y217" s="69">
        <v>1</v>
      </c>
      <c r="Z217" s="69">
        <v>1</v>
      </c>
      <c r="AA217" s="69">
        <v>1</v>
      </c>
      <c r="AB217" s="49">
        <f>IF(V217="TIPO I",'BASE DE LIQUIDACION 2025'!$B$3,'BASE DE LIQUIDACION 2025'!$B$4)</f>
        <v>11251.22416</v>
      </c>
      <c r="AC217" s="49">
        <f>IF(V217="TIPO I",'BASE DE LIQUIDACION 2025'!$C$3,'BASE DE LIQUIDACION 2025'!$C$4)</f>
        <v>126317.12212</v>
      </c>
      <c r="AD217" s="49">
        <f>IF(V217="TIPO I",'BASE DE LIQUIDACION 2025'!$D$3,'BASE DE LIQUIDACION 2025'!$D$4)</f>
        <v>110808.27512000001</v>
      </c>
      <c r="AE217" s="53">
        <f t="shared" si="4"/>
        <v>248376.6214</v>
      </c>
    </row>
    <row r="218" spans="1:31" s="46" customFormat="1" ht="12.75" customHeight="1">
      <c r="A218" s="69" t="s">
        <v>220</v>
      </c>
      <c r="B218" s="45" t="str">
        <f>VLOOKUP(A218,'CENTRO DE COSTOS'!A:D,4,FALSE)</f>
        <v>DIEGO FERNANDO HENAO CARDONA</v>
      </c>
      <c r="C218" s="45" t="str">
        <f>VLOOKUP(A218,'CENTRO DE COSTOS'!A:D,2,FALSE)</f>
        <v>0004-0003</v>
      </c>
      <c r="D218" s="69">
        <v>76001</v>
      </c>
      <c r="E218" s="70" t="s">
        <v>1417</v>
      </c>
      <c r="F218" s="71">
        <v>80936</v>
      </c>
      <c r="G218" s="79" t="s">
        <v>132</v>
      </c>
      <c r="H218" s="73" t="s">
        <v>133</v>
      </c>
      <c r="I218" s="71" t="s">
        <v>420</v>
      </c>
      <c r="J218" s="81" t="s">
        <v>220</v>
      </c>
      <c r="K218" s="71" t="s">
        <v>1418</v>
      </c>
      <c r="L218" s="75" t="s">
        <v>137</v>
      </c>
      <c r="M218" s="82" t="s">
        <v>1419</v>
      </c>
      <c r="N218" s="74">
        <v>45880</v>
      </c>
      <c r="O218" s="76">
        <v>45881</v>
      </c>
      <c r="P218" s="83" t="s">
        <v>139</v>
      </c>
      <c r="Q218" s="84" t="s">
        <v>139</v>
      </c>
      <c r="R218" s="69" t="s">
        <v>140</v>
      </c>
      <c r="S218" s="72" t="s">
        <v>1420</v>
      </c>
      <c r="T218" s="79" t="s">
        <v>702</v>
      </c>
      <c r="U218" s="69" t="s">
        <v>1421</v>
      </c>
      <c r="V218" s="81" t="s">
        <v>52</v>
      </c>
      <c r="W218" s="76" t="s">
        <v>145</v>
      </c>
      <c r="X218" s="79" t="s">
        <v>702</v>
      </c>
      <c r="Y218" s="69">
        <v>1</v>
      </c>
      <c r="Z218" s="69">
        <v>1</v>
      </c>
      <c r="AA218" s="69">
        <v>1</v>
      </c>
      <c r="AB218" s="49">
        <f>IF(V218="TIPO I",'BASE DE LIQUIDACION 2025'!$B$3,'BASE DE LIQUIDACION 2025'!$B$4)</f>
        <v>11251.22416</v>
      </c>
      <c r="AC218" s="49">
        <f>IF(V218="TIPO I",'BASE DE LIQUIDACION 2025'!$C$3,'BASE DE LIQUIDACION 2025'!$C$4)</f>
        <v>126317.12212</v>
      </c>
      <c r="AD218" s="49">
        <f>IF(V218="TIPO I",'BASE DE LIQUIDACION 2025'!$D$3,'BASE DE LIQUIDACION 2025'!$D$4)</f>
        <v>57411.974240000003</v>
      </c>
      <c r="AE218" s="53">
        <f t="shared" si="4"/>
        <v>194980.32052000001</v>
      </c>
    </row>
    <row r="219" spans="1:31" s="46" customFormat="1" ht="12.75" customHeight="1">
      <c r="A219" s="69" t="s">
        <v>203</v>
      </c>
      <c r="B219" s="45" t="str">
        <f>VLOOKUP(A219,'CENTRO DE COSTOS'!A:D,4,FALSE)</f>
        <v>MIGUEL JULIÁN HERNÁNDEZ GUARÍN</v>
      </c>
      <c r="C219" s="45" t="str">
        <f>VLOOKUP(A219,'CENTRO DE COSTOS'!A:D,2,FALSE)</f>
        <v>0004-0008</v>
      </c>
      <c r="D219" s="69">
        <v>15774</v>
      </c>
      <c r="E219" s="70" t="s">
        <v>1422</v>
      </c>
      <c r="F219" s="71">
        <v>80977</v>
      </c>
      <c r="G219" s="79" t="s">
        <v>132</v>
      </c>
      <c r="H219" s="73" t="s">
        <v>222</v>
      </c>
      <c r="I219" s="71" t="s">
        <v>205</v>
      </c>
      <c r="J219" s="81" t="s">
        <v>1395</v>
      </c>
      <c r="K219" s="71" t="s">
        <v>1423</v>
      </c>
      <c r="L219" s="75" t="s">
        <v>137</v>
      </c>
      <c r="M219" s="82" t="s">
        <v>1424</v>
      </c>
      <c r="N219" s="74">
        <v>45880</v>
      </c>
      <c r="O219" s="76">
        <v>45882</v>
      </c>
      <c r="P219" s="83" t="s">
        <v>139</v>
      </c>
      <c r="Q219" s="84" t="s">
        <v>139</v>
      </c>
      <c r="R219" s="69" t="s">
        <v>140</v>
      </c>
      <c r="S219" s="72" t="s">
        <v>1425</v>
      </c>
      <c r="T219" s="79" t="s">
        <v>1163</v>
      </c>
      <c r="U219" s="69" t="s">
        <v>1426</v>
      </c>
      <c r="V219" s="81" t="s">
        <v>230</v>
      </c>
      <c r="W219" s="76" t="s">
        <v>145</v>
      </c>
      <c r="X219" s="79" t="s">
        <v>1163</v>
      </c>
      <c r="Y219" s="69">
        <v>1</v>
      </c>
      <c r="Z219" s="69">
        <v>1</v>
      </c>
      <c r="AA219" s="69">
        <v>1</v>
      </c>
      <c r="AB219" s="49">
        <f>IF(V219="TIPO I",'BASE DE LIQUIDACION 2025'!$B$3,'BASE DE LIQUIDACION 2025'!$B$4)</f>
        <v>11251.22416</v>
      </c>
      <c r="AC219" s="49">
        <f>IF(V219="TIPO I",'BASE DE LIQUIDACION 2025'!$C$3,'BASE DE LIQUIDACION 2025'!$C$4)</f>
        <v>126317.12212</v>
      </c>
      <c r="AD219" s="49">
        <f>IF(V219="TIPO I",'BASE DE LIQUIDACION 2025'!$D$3,'BASE DE LIQUIDACION 2025'!$D$4)</f>
        <v>110808.27512000001</v>
      </c>
      <c r="AE219" s="53">
        <f t="shared" si="4"/>
        <v>248376.6214</v>
      </c>
    </row>
    <row r="220" spans="1:31" s="46" customFormat="1" ht="12.75" customHeight="1">
      <c r="A220" s="69" t="s">
        <v>431</v>
      </c>
      <c r="B220" s="45" t="str">
        <f>VLOOKUP(A220,'CENTRO DE COSTOS'!A:D,4,FALSE)</f>
        <v>WILLIAM ASDRUBAL ROZO ROZO</v>
      </c>
      <c r="C220" s="45" t="str">
        <f>VLOOKUP(A220,'CENTRO DE COSTOS'!A:D,2,FALSE)</f>
        <v>0004-0004</v>
      </c>
      <c r="D220" s="69">
        <v>11001</v>
      </c>
      <c r="E220" s="70" t="s">
        <v>1427</v>
      </c>
      <c r="F220" s="71">
        <v>80930</v>
      </c>
      <c r="G220" s="79" t="s">
        <v>132</v>
      </c>
      <c r="H220" s="73" t="s">
        <v>133</v>
      </c>
      <c r="I220" s="71" t="s">
        <v>433</v>
      </c>
      <c r="J220" s="81" t="s">
        <v>431</v>
      </c>
      <c r="K220" s="71" t="s">
        <v>1428</v>
      </c>
      <c r="L220" s="75" t="s">
        <v>137</v>
      </c>
      <c r="M220" s="82" t="s">
        <v>1429</v>
      </c>
      <c r="N220" s="74">
        <v>45880</v>
      </c>
      <c r="O220" s="76">
        <v>45881</v>
      </c>
      <c r="P220" s="83" t="s">
        <v>139</v>
      </c>
      <c r="Q220" s="84" t="s">
        <v>139</v>
      </c>
      <c r="R220" s="69" t="s">
        <v>140</v>
      </c>
      <c r="S220" s="72" t="s">
        <v>1430</v>
      </c>
      <c r="T220" s="79" t="s">
        <v>1000</v>
      </c>
      <c r="U220" s="69" t="s">
        <v>1431</v>
      </c>
      <c r="V220" s="81" t="s">
        <v>52</v>
      </c>
      <c r="W220" s="76" t="s">
        <v>145</v>
      </c>
      <c r="X220" s="79" t="s">
        <v>1000</v>
      </c>
      <c r="Y220" s="69">
        <v>1</v>
      </c>
      <c r="Z220" s="69">
        <v>1</v>
      </c>
      <c r="AA220" s="69">
        <v>1</v>
      </c>
      <c r="AB220" s="49">
        <f>IF(V220="TIPO I",'BASE DE LIQUIDACION 2025'!$B$3,'BASE DE LIQUIDACION 2025'!$B$4)</f>
        <v>11251.22416</v>
      </c>
      <c r="AC220" s="49">
        <f>IF(V220="TIPO I",'BASE DE LIQUIDACION 2025'!$C$3,'BASE DE LIQUIDACION 2025'!$C$4)</f>
        <v>126317.12212</v>
      </c>
      <c r="AD220" s="49">
        <f>IF(V220="TIPO I",'BASE DE LIQUIDACION 2025'!$D$3,'BASE DE LIQUIDACION 2025'!$D$4)</f>
        <v>57411.974240000003</v>
      </c>
      <c r="AE220" s="53">
        <f t="shared" si="4"/>
        <v>194980.32052000001</v>
      </c>
    </row>
    <row r="221" spans="1:31" s="46" customFormat="1" ht="12.75" customHeight="1">
      <c r="A221" s="69" t="s">
        <v>175</v>
      </c>
      <c r="B221" s="45" t="str">
        <f>VLOOKUP(A221,'CENTRO DE COSTOS'!A:D,4,FALSE)</f>
        <v>JUAN SEBASTIÁN RÍOS CASTRILLÓN</v>
      </c>
      <c r="C221" s="45" t="str">
        <f>VLOOKUP(A221,'CENTRO DE COSTOS'!A:D,2,FALSE)</f>
        <v>0004-0005</v>
      </c>
      <c r="D221" s="69">
        <v>5887</v>
      </c>
      <c r="E221" s="70" t="s">
        <v>1432</v>
      </c>
      <c r="F221" s="71">
        <v>80988</v>
      </c>
      <c r="G221" s="79" t="s">
        <v>132</v>
      </c>
      <c r="H221" s="73" t="s">
        <v>133</v>
      </c>
      <c r="I221" s="71" t="s">
        <v>178</v>
      </c>
      <c r="J221" s="81" t="s">
        <v>1433</v>
      </c>
      <c r="K221" s="71" t="s">
        <v>1434</v>
      </c>
      <c r="L221" s="75" t="s">
        <v>137</v>
      </c>
      <c r="M221" s="82" t="s">
        <v>1435</v>
      </c>
      <c r="N221" s="74">
        <v>45880</v>
      </c>
      <c r="O221" s="76">
        <v>45882</v>
      </c>
      <c r="P221" s="83" t="s">
        <v>139</v>
      </c>
      <c r="Q221" s="84" t="s">
        <v>139</v>
      </c>
      <c r="R221" s="69" t="s">
        <v>140</v>
      </c>
      <c r="S221" s="72" t="s">
        <v>1436</v>
      </c>
      <c r="T221" s="79" t="s">
        <v>451</v>
      </c>
      <c r="U221" s="69" t="s">
        <v>1437</v>
      </c>
      <c r="V221" s="81" t="s">
        <v>230</v>
      </c>
      <c r="W221" s="76" t="s">
        <v>145</v>
      </c>
      <c r="X221" s="79" t="s">
        <v>451</v>
      </c>
      <c r="Y221" s="69">
        <v>1</v>
      </c>
      <c r="Z221" s="69">
        <v>1</v>
      </c>
      <c r="AA221" s="69">
        <v>1</v>
      </c>
      <c r="AB221" s="49">
        <f>IF(V221="TIPO I",'BASE DE LIQUIDACION 2025'!$B$3,'BASE DE LIQUIDACION 2025'!$B$4)</f>
        <v>11251.22416</v>
      </c>
      <c r="AC221" s="49">
        <f>IF(V221="TIPO I",'BASE DE LIQUIDACION 2025'!$C$3,'BASE DE LIQUIDACION 2025'!$C$4)</f>
        <v>126317.12212</v>
      </c>
      <c r="AD221" s="49">
        <f>IF(V221="TIPO I",'BASE DE LIQUIDACION 2025'!$D$3,'BASE DE LIQUIDACION 2025'!$D$4)</f>
        <v>110808.27512000001</v>
      </c>
      <c r="AE221" s="53">
        <f t="shared" si="4"/>
        <v>248376.6214</v>
      </c>
    </row>
    <row r="222" spans="1:31" s="46" customFormat="1" ht="12.75" customHeight="1">
      <c r="A222" s="69" t="s">
        <v>608</v>
      </c>
      <c r="B222" s="45" t="str">
        <f>VLOOKUP(A222,'CENTRO DE COSTOS'!A:D,4,FALSE)</f>
        <v>JUAN SEBASTIÁN RÍOS CASTRILLÓN</v>
      </c>
      <c r="C222" s="45" t="str">
        <f>VLOOKUP(A222,'CENTRO DE COSTOS'!A:D,2,FALSE)</f>
        <v>0004-0005</v>
      </c>
      <c r="D222" s="69">
        <v>5490</v>
      </c>
      <c r="E222" s="70" t="s">
        <v>1438</v>
      </c>
      <c r="F222" s="71">
        <v>80940</v>
      </c>
      <c r="G222" s="79" t="s">
        <v>132</v>
      </c>
      <c r="H222" s="73" t="s">
        <v>133</v>
      </c>
      <c r="I222" s="71" t="s">
        <v>178</v>
      </c>
      <c r="J222" s="81" t="s">
        <v>610</v>
      </c>
      <c r="K222" s="71" t="s">
        <v>1439</v>
      </c>
      <c r="L222" s="75" t="s">
        <v>137</v>
      </c>
      <c r="M222" s="82" t="s">
        <v>1440</v>
      </c>
      <c r="N222" s="74">
        <v>45880</v>
      </c>
      <c r="O222" s="76">
        <v>45881</v>
      </c>
      <c r="P222" s="83" t="s">
        <v>139</v>
      </c>
      <c r="Q222" s="84" t="s">
        <v>139</v>
      </c>
      <c r="R222" s="69" t="s">
        <v>140</v>
      </c>
      <c r="S222" s="72" t="s">
        <v>1441</v>
      </c>
      <c r="T222" s="79" t="s">
        <v>614</v>
      </c>
      <c r="U222" s="69" t="s">
        <v>1442</v>
      </c>
      <c r="V222" s="81" t="s">
        <v>202</v>
      </c>
      <c r="W222" s="76" t="s">
        <v>145</v>
      </c>
      <c r="X222" s="79" t="s">
        <v>614</v>
      </c>
      <c r="Y222" s="69">
        <v>1</v>
      </c>
      <c r="Z222" s="69">
        <v>1</v>
      </c>
      <c r="AA222" s="69">
        <v>1</v>
      </c>
      <c r="AB222" s="49">
        <f>IF(V222="TIPO I",'BASE DE LIQUIDACION 2025'!$B$3,'BASE DE LIQUIDACION 2025'!$B$4)</f>
        <v>11251.22416</v>
      </c>
      <c r="AC222" s="49">
        <f>IF(V222="TIPO I",'BASE DE LIQUIDACION 2025'!$C$3,'BASE DE LIQUIDACION 2025'!$C$4)</f>
        <v>126317.12212</v>
      </c>
      <c r="AD222" s="49">
        <f>IF(V222="TIPO I",'BASE DE LIQUIDACION 2025'!$D$3,'BASE DE LIQUIDACION 2025'!$D$4)</f>
        <v>110808.27512000001</v>
      </c>
      <c r="AE222" s="53">
        <f t="shared" si="4"/>
        <v>248376.6214</v>
      </c>
    </row>
    <row r="223" spans="1:31" s="46" customFormat="1" ht="12.75" customHeight="1">
      <c r="A223" s="69" t="s">
        <v>453</v>
      </c>
      <c r="B223" s="45" t="str">
        <f>VLOOKUP(A223,'CENTRO DE COSTOS'!A:D,4,FALSE)</f>
        <v>DIEGO FERNANDO HENAO CARDONA</v>
      </c>
      <c r="C223" s="45" t="str">
        <f>VLOOKUP(A223,'CENTRO DE COSTOS'!A:D,2,FALSE)</f>
        <v>0004-0002</v>
      </c>
      <c r="D223" s="69">
        <v>66001</v>
      </c>
      <c r="E223" s="70" t="s">
        <v>1443</v>
      </c>
      <c r="F223" s="71">
        <v>80959</v>
      </c>
      <c r="G223" s="79" t="s">
        <v>132</v>
      </c>
      <c r="H223" s="73" t="s">
        <v>133</v>
      </c>
      <c r="I223" s="71" t="s">
        <v>579</v>
      </c>
      <c r="J223" s="81" t="s">
        <v>453</v>
      </c>
      <c r="K223" s="71" t="s">
        <v>1444</v>
      </c>
      <c r="L223" s="75" t="s">
        <v>137</v>
      </c>
      <c r="M223" s="82" t="s">
        <v>1445</v>
      </c>
      <c r="N223" s="74">
        <v>45880</v>
      </c>
      <c r="O223" s="76">
        <v>45881</v>
      </c>
      <c r="P223" s="83" t="s">
        <v>139</v>
      </c>
      <c r="Q223" s="84" t="s">
        <v>139</v>
      </c>
      <c r="R223" s="69" t="s">
        <v>140</v>
      </c>
      <c r="S223" s="72" t="s">
        <v>1446</v>
      </c>
      <c r="T223" s="79" t="s">
        <v>508</v>
      </c>
      <c r="U223" s="69" t="s">
        <v>1447</v>
      </c>
      <c r="V223" s="81" t="s">
        <v>52</v>
      </c>
      <c r="W223" s="76" t="s">
        <v>145</v>
      </c>
      <c r="X223" s="79" t="s">
        <v>508</v>
      </c>
      <c r="Y223" s="69">
        <v>1</v>
      </c>
      <c r="Z223" s="69">
        <v>1</v>
      </c>
      <c r="AA223" s="69">
        <v>1</v>
      </c>
      <c r="AB223" s="49">
        <f>IF(V223="TIPO I",'BASE DE LIQUIDACION 2025'!$B$3,'BASE DE LIQUIDACION 2025'!$B$4)</f>
        <v>11251.22416</v>
      </c>
      <c r="AC223" s="49">
        <f>IF(V223="TIPO I",'BASE DE LIQUIDACION 2025'!$C$3,'BASE DE LIQUIDACION 2025'!$C$4)</f>
        <v>126317.12212</v>
      </c>
      <c r="AD223" s="49">
        <f>IF(V223="TIPO I",'BASE DE LIQUIDACION 2025'!$D$3,'BASE DE LIQUIDACION 2025'!$D$4)</f>
        <v>57411.974240000003</v>
      </c>
      <c r="AE223" s="53">
        <f t="shared" si="4"/>
        <v>194980.32052000001</v>
      </c>
    </row>
    <row r="224" spans="1:31" s="46" customFormat="1" ht="12.75" customHeight="1">
      <c r="A224" s="69" t="s">
        <v>151</v>
      </c>
      <c r="B224" s="45" t="str">
        <f>VLOOKUP(A224,'CENTRO DE COSTOS'!A:D,4,FALSE)</f>
        <v>DIEGO FERNANDO HENAO CARDONA</v>
      </c>
      <c r="C224" s="45" t="str">
        <f>VLOOKUP(A224,'CENTRO DE COSTOS'!A:D,2,FALSE)</f>
        <v>0004-0003</v>
      </c>
      <c r="D224" s="69">
        <v>52001</v>
      </c>
      <c r="E224" s="70" t="s">
        <v>1448</v>
      </c>
      <c r="F224" s="71">
        <v>80956</v>
      </c>
      <c r="G224" s="79" t="s">
        <v>132</v>
      </c>
      <c r="H224" s="73" t="s">
        <v>133</v>
      </c>
      <c r="I224" s="71" t="s">
        <v>153</v>
      </c>
      <c r="J224" s="81" t="s">
        <v>151</v>
      </c>
      <c r="K224" s="71" t="s">
        <v>1449</v>
      </c>
      <c r="L224" s="75" t="s">
        <v>137</v>
      </c>
      <c r="M224" s="82" t="s">
        <v>1450</v>
      </c>
      <c r="N224" s="74">
        <v>45880</v>
      </c>
      <c r="O224" s="76">
        <v>45881</v>
      </c>
      <c r="P224" s="83" t="s">
        <v>139</v>
      </c>
      <c r="Q224" s="84" t="s">
        <v>139</v>
      </c>
      <c r="R224" s="69" t="s">
        <v>140</v>
      </c>
      <c r="S224" s="72" t="s">
        <v>1451</v>
      </c>
      <c r="T224" s="79" t="s">
        <v>1452</v>
      </c>
      <c r="U224" s="69" t="s">
        <v>1453</v>
      </c>
      <c r="V224" s="81" t="s">
        <v>52</v>
      </c>
      <c r="W224" s="76" t="s">
        <v>145</v>
      </c>
      <c r="X224" s="79" t="s">
        <v>1452</v>
      </c>
      <c r="Y224" s="69">
        <v>1</v>
      </c>
      <c r="Z224" s="69">
        <v>1</v>
      </c>
      <c r="AA224" s="69">
        <v>1</v>
      </c>
      <c r="AB224" s="49">
        <f>IF(V224="TIPO I",'BASE DE LIQUIDACION 2025'!$B$3,'BASE DE LIQUIDACION 2025'!$B$4)</f>
        <v>11251.22416</v>
      </c>
      <c r="AC224" s="49">
        <f>IF(V224="TIPO I",'BASE DE LIQUIDACION 2025'!$C$3,'BASE DE LIQUIDACION 2025'!$C$4)</f>
        <v>126317.12212</v>
      </c>
      <c r="AD224" s="49">
        <f>IF(V224="TIPO I",'BASE DE LIQUIDACION 2025'!$D$3,'BASE DE LIQUIDACION 2025'!$D$4)</f>
        <v>57411.974240000003</v>
      </c>
      <c r="AE224" s="53">
        <f t="shared" si="4"/>
        <v>194980.32052000001</v>
      </c>
    </row>
    <row r="225" spans="1:31" s="46" customFormat="1" ht="12.75" customHeight="1">
      <c r="A225" s="69" t="s">
        <v>203</v>
      </c>
      <c r="B225" s="45" t="str">
        <f>VLOOKUP(A225,'CENTRO DE COSTOS'!A:D,4,FALSE)</f>
        <v>MIGUEL JULIÁN HERNÁNDEZ GUARÍN</v>
      </c>
      <c r="C225" s="45" t="str">
        <f>VLOOKUP(A225,'CENTRO DE COSTOS'!A:D,2,FALSE)</f>
        <v>0004-0008</v>
      </c>
      <c r="D225" s="69">
        <v>15001</v>
      </c>
      <c r="E225" s="70" t="s">
        <v>1454</v>
      </c>
      <c r="F225" s="71">
        <v>80972</v>
      </c>
      <c r="G225" s="79" t="s">
        <v>132</v>
      </c>
      <c r="H225" s="73" t="s">
        <v>133</v>
      </c>
      <c r="I225" s="71" t="s">
        <v>205</v>
      </c>
      <c r="J225" s="81" t="s">
        <v>203</v>
      </c>
      <c r="K225" s="71" t="s">
        <v>1455</v>
      </c>
      <c r="L225" s="75" t="s">
        <v>137</v>
      </c>
      <c r="M225" s="82" t="s">
        <v>1456</v>
      </c>
      <c r="N225" s="74">
        <v>45880</v>
      </c>
      <c r="O225" s="76">
        <v>45881</v>
      </c>
      <c r="P225" s="83" t="s">
        <v>139</v>
      </c>
      <c r="Q225" s="84" t="s">
        <v>139</v>
      </c>
      <c r="R225" s="69" t="s">
        <v>140</v>
      </c>
      <c r="S225" s="72" t="s">
        <v>1457</v>
      </c>
      <c r="T225" s="79" t="s">
        <v>1119</v>
      </c>
      <c r="U225" s="69" t="s">
        <v>1458</v>
      </c>
      <c r="V225" s="81" t="s">
        <v>52</v>
      </c>
      <c r="W225" s="76" t="s">
        <v>145</v>
      </c>
      <c r="X225" s="79" t="s">
        <v>1119</v>
      </c>
      <c r="Y225" s="69">
        <v>1</v>
      </c>
      <c r="Z225" s="69">
        <v>1</v>
      </c>
      <c r="AA225" s="69">
        <v>1</v>
      </c>
      <c r="AB225" s="49">
        <f>IF(V225="TIPO I",'BASE DE LIQUIDACION 2025'!$B$3,'BASE DE LIQUIDACION 2025'!$B$4)</f>
        <v>11251.22416</v>
      </c>
      <c r="AC225" s="49">
        <f>IF(V225="TIPO I",'BASE DE LIQUIDACION 2025'!$C$3,'BASE DE LIQUIDACION 2025'!$C$4)</f>
        <v>126317.12212</v>
      </c>
      <c r="AD225" s="49">
        <f>IF(V225="TIPO I",'BASE DE LIQUIDACION 2025'!$D$3,'BASE DE LIQUIDACION 2025'!$D$4)</f>
        <v>57411.974240000003</v>
      </c>
      <c r="AE225" s="53">
        <f t="shared" si="4"/>
        <v>194980.32052000001</v>
      </c>
    </row>
    <row r="226" spans="1:31" s="46" customFormat="1" ht="12.75" customHeight="1">
      <c r="A226" s="69" t="s">
        <v>285</v>
      </c>
      <c r="B226" s="45" t="str">
        <f>VLOOKUP(A226,'CENTRO DE COSTOS'!A:D,4,FALSE)</f>
        <v>MIGUEL JULIÁN HERNÁNDEZ GUARÍN</v>
      </c>
      <c r="C226" s="45" t="str">
        <f>VLOOKUP(A226,'CENTRO DE COSTOS'!A:D,2,FALSE)</f>
        <v>0004-0008</v>
      </c>
      <c r="D226" s="69">
        <v>54518</v>
      </c>
      <c r="E226" s="70" t="s">
        <v>1459</v>
      </c>
      <c r="F226" s="71">
        <v>80953</v>
      </c>
      <c r="G226" s="79" t="s">
        <v>132</v>
      </c>
      <c r="H226" s="73" t="s">
        <v>133</v>
      </c>
      <c r="I226" s="71" t="s">
        <v>287</v>
      </c>
      <c r="J226" s="81" t="s">
        <v>1460</v>
      </c>
      <c r="K226" s="71" t="s">
        <v>1461</v>
      </c>
      <c r="L226" s="75" t="s">
        <v>137</v>
      </c>
      <c r="M226" s="82" t="s">
        <v>1462</v>
      </c>
      <c r="N226" s="74">
        <v>45880</v>
      </c>
      <c r="O226" s="76">
        <v>45882</v>
      </c>
      <c r="P226" s="83" t="s">
        <v>139</v>
      </c>
      <c r="Q226" s="84" t="s">
        <v>139</v>
      </c>
      <c r="R226" s="69" t="s">
        <v>140</v>
      </c>
      <c r="S226" s="72" t="s">
        <v>1463</v>
      </c>
      <c r="T226" s="79" t="s">
        <v>644</v>
      </c>
      <c r="U226" s="69" t="s">
        <v>1464</v>
      </c>
      <c r="V226" s="81" t="s">
        <v>230</v>
      </c>
      <c r="W226" s="76" t="s">
        <v>145</v>
      </c>
      <c r="X226" s="79" t="s">
        <v>644</v>
      </c>
      <c r="Y226" s="69">
        <v>1</v>
      </c>
      <c r="Z226" s="69">
        <v>1</v>
      </c>
      <c r="AA226" s="69">
        <v>1</v>
      </c>
      <c r="AB226" s="49">
        <f>IF(V226="TIPO I",'BASE DE LIQUIDACION 2025'!$B$3,'BASE DE LIQUIDACION 2025'!$B$4)</f>
        <v>11251.22416</v>
      </c>
      <c r="AC226" s="49">
        <f>IF(V226="TIPO I",'BASE DE LIQUIDACION 2025'!$C$3,'BASE DE LIQUIDACION 2025'!$C$4)</f>
        <v>126317.12212</v>
      </c>
      <c r="AD226" s="49">
        <f>IF(V226="TIPO I",'BASE DE LIQUIDACION 2025'!$D$3,'BASE DE LIQUIDACION 2025'!$D$4)</f>
        <v>110808.27512000001</v>
      </c>
      <c r="AE226" s="53">
        <f t="shared" si="4"/>
        <v>248376.6214</v>
      </c>
    </row>
    <row r="227" spans="1:31" s="46" customFormat="1" ht="12.75" customHeight="1">
      <c r="A227" s="69" t="s">
        <v>285</v>
      </c>
      <c r="B227" s="45" t="str">
        <f>VLOOKUP(A227,'CENTRO DE COSTOS'!A:D,4,FALSE)</f>
        <v>MIGUEL JULIÁN HERNÁNDEZ GUARÍN</v>
      </c>
      <c r="C227" s="45" t="str">
        <f>VLOOKUP(A227,'CENTRO DE COSTOS'!A:D,2,FALSE)</f>
        <v>0004-0008</v>
      </c>
      <c r="D227" s="69">
        <v>54518</v>
      </c>
      <c r="E227" s="70" t="s">
        <v>1465</v>
      </c>
      <c r="F227" s="71">
        <v>80954</v>
      </c>
      <c r="G227" s="79" t="s">
        <v>132</v>
      </c>
      <c r="H227" s="73" t="s">
        <v>133</v>
      </c>
      <c r="I227" s="71" t="s">
        <v>287</v>
      </c>
      <c r="J227" s="81" t="s">
        <v>1460</v>
      </c>
      <c r="K227" s="71" t="s">
        <v>1466</v>
      </c>
      <c r="L227" s="75" t="s">
        <v>137</v>
      </c>
      <c r="M227" s="82" t="s">
        <v>1467</v>
      </c>
      <c r="N227" s="74">
        <v>45880</v>
      </c>
      <c r="O227" s="76">
        <v>45882</v>
      </c>
      <c r="P227" s="83" t="s">
        <v>139</v>
      </c>
      <c r="Q227" s="84" t="s">
        <v>139</v>
      </c>
      <c r="R227" s="69" t="s">
        <v>140</v>
      </c>
      <c r="S227" s="72" t="s">
        <v>1468</v>
      </c>
      <c r="T227" s="79" t="s">
        <v>644</v>
      </c>
      <c r="U227" s="69" t="s">
        <v>1469</v>
      </c>
      <c r="V227" s="81" t="s">
        <v>230</v>
      </c>
      <c r="W227" s="76" t="s">
        <v>145</v>
      </c>
      <c r="X227" s="79" t="s">
        <v>644</v>
      </c>
      <c r="Y227" s="69">
        <v>1</v>
      </c>
      <c r="Z227" s="69">
        <v>1</v>
      </c>
      <c r="AA227" s="69">
        <v>1</v>
      </c>
      <c r="AB227" s="49">
        <f>IF(V227="TIPO I",'BASE DE LIQUIDACION 2025'!$B$3,'BASE DE LIQUIDACION 2025'!$B$4)</f>
        <v>11251.22416</v>
      </c>
      <c r="AC227" s="49">
        <f>IF(V227="TIPO I",'BASE DE LIQUIDACION 2025'!$C$3,'BASE DE LIQUIDACION 2025'!$C$4)</f>
        <v>126317.12212</v>
      </c>
      <c r="AD227" s="49">
        <f>IF(V227="TIPO I",'BASE DE LIQUIDACION 2025'!$D$3,'BASE DE LIQUIDACION 2025'!$D$4)</f>
        <v>110808.27512000001</v>
      </c>
      <c r="AE227" s="53">
        <f t="shared" si="4"/>
        <v>248376.6214</v>
      </c>
    </row>
    <row r="228" spans="1:31" s="46" customFormat="1" ht="12.75" customHeight="1">
      <c r="A228" s="69" t="s">
        <v>431</v>
      </c>
      <c r="B228" s="45" t="str">
        <f>VLOOKUP(A228,'CENTRO DE COSTOS'!A:D,4,FALSE)</f>
        <v>WILLIAM ASDRUBAL ROZO ROZO</v>
      </c>
      <c r="C228" s="45" t="str">
        <f>VLOOKUP(A228,'CENTRO DE COSTOS'!A:D,2,FALSE)</f>
        <v>0004-0004</v>
      </c>
      <c r="D228" s="69">
        <v>11001</v>
      </c>
      <c r="E228" s="70" t="s">
        <v>1470</v>
      </c>
      <c r="F228" s="71">
        <v>80931</v>
      </c>
      <c r="G228" s="79" t="s">
        <v>132</v>
      </c>
      <c r="H228" s="73" t="s">
        <v>133</v>
      </c>
      <c r="I228" s="71" t="s">
        <v>433</v>
      </c>
      <c r="J228" s="81" t="s">
        <v>431</v>
      </c>
      <c r="K228" s="71" t="s">
        <v>1471</v>
      </c>
      <c r="L228" s="75" t="s">
        <v>137</v>
      </c>
      <c r="M228" s="82" t="s">
        <v>1472</v>
      </c>
      <c r="N228" s="74">
        <v>45880</v>
      </c>
      <c r="O228" s="76">
        <v>45881</v>
      </c>
      <c r="P228" s="83" t="s">
        <v>139</v>
      </c>
      <c r="Q228" s="84" t="s">
        <v>139</v>
      </c>
      <c r="R228" s="69" t="s">
        <v>140</v>
      </c>
      <c r="S228" s="72" t="s">
        <v>1473</v>
      </c>
      <c r="T228" s="79" t="s">
        <v>470</v>
      </c>
      <c r="U228" s="69" t="s">
        <v>1474</v>
      </c>
      <c r="V228" s="81" t="s">
        <v>52</v>
      </c>
      <c r="W228" s="76" t="s">
        <v>145</v>
      </c>
      <c r="X228" s="79" t="s">
        <v>470</v>
      </c>
      <c r="Y228" s="69">
        <v>1</v>
      </c>
      <c r="Z228" s="69">
        <v>1</v>
      </c>
      <c r="AA228" s="69">
        <v>1</v>
      </c>
      <c r="AB228" s="49">
        <f>IF(V228="TIPO I",'BASE DE LIQUIDACION 2025'!$B$3,'BASE DE LIQUIDACION 2025'!$B$4)</f>
        <v>11251.22416</v>
      </c>
      <c r="AC228" s="49">
        <f>IF(V228="TIPO I",'BASE DE LIQUIDACION 2025'!$C$3,'BASE DE LIQUIDACION 2025'!$C$4)</f>
        <v>126317.12212</v>
      </c>
      <c r="AD228" s="49">
        <f>IF(V228="TIPO I",'BASE DE LIQUIDACION 2025'!$D$3,'BASE DE LIQUIDACION 2025'!$D$4)</f>
        <v>57411.974240000003</v>
      </c>
      <c r="AE228" s="53">
        <f t="shared" si="4"/>
        <v>194980.32052000001</v>
      </c>
    </row>
    <row r="229" spans="1:31" s="46" customFormat="1" ht="12.75" customHeight="1">
      <c r="A229" s="69" t="s">
        <v>220</v>
      </c>
      <c r="B229" s="45" t="str">
        <f>VLOOKUP(A229,'CENTRO DE COSTOS'!A:D,4,FALSE)</f>
        <v>DIEGO FERNANDO HENAO CARDONA</v>
      </c>
      <c r="C229" s="45" t="str">
        <f>VLOOKUP(A229,'CENTRO DE COSTOS'!A:D,2,FALSE)</f>
        <v>0004-0003</v>
      </c>
      <c r="D229" s="69">
        <v>76130</v>
      </c>
      <c r="E229" s="70" t="s">
        <v>1475</v>
      </c>
      <c r="F229" s="71">
        <v>80939</v>
      </c>
      <c r="G229" s="79" t="s">
        <v>132</v>
      </c>
      <c r="H229" s="73" t="s">
        <v>133</v>
      </c>
      <c r="I229" s="71" t="s">
        <v>420</v>
      </c>
      <c r="J229" s="81" t="s">
        <v>1269</v>
      </c>
      <c r="K229" s="71" t="s">
        <v>1476</v>
      </c>
      <c r="L229" s="75" t="s">
        <v>137</v>
      </c>
      <c r="M229" s="82" t="s">
        <v>1477</v>
      </c>
      <c r="N229" s="74">
        <v>45880</v>
      </c>
      <c r="O229" s="76">
        <v>45881</v>
      </c>
      <c r="P229" s="83" t="s">
        <v>139</v>
      </c>
      <c r="Q229" s="84" t="s">
        <v>139</v>
      </c>
      <c r="R229" s="69" t="s">
        <v>140</v>
      </c>
      <c r="S229" s="72" t="s">
        <v>1478</v>
      </c>
      <c r="T229" s="79" t="s">
        <v>495</v>
      </c>
      <c r="U229" s="69" t="s">
        <v>1479</v>
      </c>
      <c r="V229" s="81" t="s">
        <v>202</v>
      </c>
      <c r="W229" s="76" t="s">
        <v>145</v>
      </c>
      <c r="X229" s="79" t="s">
        <v>495</v>
      </c>
      <c r="Y229" s="69">
        <v>1</v>
      </c>
      <c r="Z229" s="69">
        <v>1</v>
      </c>
      <c r="AA229" s="69">
        <v>1</v>
      </c>
      <c r="AB229" s="49">
        <f>IF(V229="TIPO I",'BASE DE LIQUIDACION 2025'!$B$3,'BASE DE LIQUIDACION 2025'!$B$4)</f>
        <v>11251.22416</v>
      </c>
      <c r="AC229" s="49">
        <f>IF(V229="TIPO I",'BASE DE LIQUIDACION 2025'!$C$3,'BASE DE LIQUIDACION 2025'!$C$4)</f>
        <v>126317.12212</v>
      </c>
      <c r="AD229" s="49">
        <f>IF(V229="TIPO I",'BASE DE LIQUIDACION 2025'!$D$3,'BASE DE LIQUIDACION 2025'!$D$4)</f>
        <v>110808.27512000001</v>
      </c>
      <c r="AE229" s="53">
        <f t="shared" si="4"/>
        <v>248376.6214</v>
      </c>
    </row>
    <row r="230" spans="1:31" s="46" customFormat="1" ht="12.75" customHeight="1">
      <c r="A230" s="69" t="s">
        <v>439</v>
      </c>
      <c r="B230" s="45" t="str">
        <f>VLOOKUP(A230,'CENTRO DE COSTOS'!A:D,4,FALSE)</f>
        <v>DIEGO FERNANDO HENAO CARDONA</v>
      </c>
      <c r="C230" s="45" t="str">
        <f>VLOOKUP(A230,'CENTRO DE COSTOS'!A:D,2,FALSE)</f>
        <v>0004-0002</v>
      </c>
      <c r="D230" s="69">
        <v>17001</v>
      </c>
      <c r="E230" s="70" t="s">
        <v>1480</v>
      </c>
      <c r="F230" s="71">
        <v>80949</v>
      </c>
      <c r="G230" s="79" t="s">
        <v>132</v>
      </c>
      <c r="H230" s="73" t="s">
        <v>133</v>
      </c>
      <c r="I230" s="71" t="s">
        <v>441</v>
      </c>
      <c r="J230" s="81" t="s">
        <v>439</v>
      </c>
      <c r="K230" s="71" t="s">
        <v>1481</v>
      </c>
      <c r="L230" s="75" t="s">
        <v>137</v>
      </c>
      <c r="M230" s="82" t="s">
        <v>1482</v>
      </c>
      <c r="N230" s="74">
        <v>45880</v>
      </c>
      <c r="O230" s="76">
        <v>45881</v>
      </c>
      <c r="P230" s="83" t="s">
        <v>139</v>
      </c>
      <c r="Q230" s="84" t="s">
        <v>139</v>
      </c>
      <c r="R230" s="69" t="s">
        <v>140</v>
      </c>
      <c r="S230" s="72" t="s">
        <v>1483</v>
      </c>
      <c r="T230" s="79" t="s">
        <v>445</v>
      </c>
      <c r="U230" s="69" t="s">
        <v>1484</v>
      </c>
      <c r="V230" s="81" t="s">
        <v>52</v>
      </c>
      <c r="W230" s="76" t="s">
        <v>145</v>
      </c>
      <c r="X230" s="79" t="s">
        <v>445</v>
      </c>
      <c r="Y230" s="69">
        <v>1</v>
      </c>
      <c r="Z230" s="69">
        <v>1</v>
      </c>
      <c r="AA230" s="69">
        <v>1</v>
      </c>
      <c r="AB230" s="49">
        <f>IF(V230="TIPO I",'BASE DE LIQUIDACION 2025'!$B$3,'BASE DE LIQUIDACION 2025'!$B$4)</f>
        <v>11251.22416</v>
      </c>
      <c r="AC230" s="49">
        <f>IF(V230="TIPO I",'BASE DE LIQUIDACION 2025'!$C$3,'BASE DE LIQUIDACION 2025'!$C$4)</f>
        <v>126317.12212</v>
      </c>
      <c r="AD230" s="49">
        <f>IF(V230="TIPO I",'BASE DE LIQUIDACION 2025'!$D$3,'BASE DE LIQUIDACION 2025'!$D$4)</f>
        <v>57411.974240000003</v>
      </c>
      <c r="AE230" s="53">
        <f t="shared" si="4"/>
        <v>194980.32052000001</v>
      </c>
    </row>
    <row r="231" spans="1:31" s="46" customFormat="1" ht="12.75" customHeight="1">
      <c r="A231" s="69" t="s">
        <v>431</v>
      </c>
      <c r="B231" s="45" t="str">
        <f>VLOOKUP(A231,'CENTRO DE COSTOS'!A:D,4,FALSE)</f>
        <v>WILLIAM ASDRUBAL ROZO ROZO</v>
      </c>
      <c r="C231" s="45" t="str">
        <f>VLOOKUP(A231,'CENTRO DE COSTOS'!A:D,2,FALSE)</f>
        <v>0004-0004</v>
      </c>
      <c r="D231" s="69">
        <v>11001</v>
      </c>
      <c r="E231" s="70" t="s">
        <v>1485</v>
      </c>
      <c r="F231" s="71">
        <v>80934</v>
      </c>
      <c r="G231" s="79" t="s">
        <v>132</v>
      </c>
      <c r="H231" s="73" t="s">
        <v>133</v>
      </c>
      <c r="I231" s="71" t="s">
        <v>433</v>
      </c>
      <c r="J231" s="81" t="s">
        <v>431</v>
      </c>
      <c r="K231" s="71" t="s">
        <v>1486</v>
      </c>
      <c r="L231" s="75" t="s">
        <v>137</v>
      </c>
      <c r="M231" s="82" t="s">
        <v>1487</v>
      </c>
      <c r="N231" s="74">
        <v>45880</v>
      </c>
      <c r="O231" s="76">
        <v>45883</v>
      </c>
      <c r="P231" s="83" t="s">
        <v>139</v>
      </c>
      <c r="Q231" s="84" t="s">
        <v>139</v>
      </c>
      <c r="R231" s="69" t="s">
        <v>140</v>
      </c>
      <c r="S231" s="72" t="s">
        <v>1488</v>
      </c>
      <c r="T231" s="79" t="s">
        <v>1000</v>
      </c>
      <c r="U231" s="69" t="s">
        <v>1489</v>
      </c>
      <c r="V231" s="81" t="s">
        <v>52</v>
      </c>
      <c r="W231" s="76" t="s">
        <v>145</v>
      </c>
      <c r="X231" s="79" t="s">
        <v>1000</v>
      </c>
      <c r="Y231" s="69">
        <v>1</v>
      </c>
      <c r="Z231" s="69">
        <v>1</v>
      </c>
      <c r="AA231" s="69">
        <v>3</v>
      </c>
      <c r="AB231" s="49">
        <f>IF(V231="TIPO I",'BASE DE LIQUIDACION 2025'!$B$3,'BASE DE LIQUIDACION 2025'!$B$4)</f>
        <v>11251.22416</v>
      </c>
      <c r="AC231" s="49">
        <f>IF(V231="TIPO I",'BASE DE LIQUIDACION 2025'!$C$3,'BASE DE LIQUIDACION 2025'!$C$4)</f>
        <v>126317.12212</v>
      </c>
      <c r="AD231" s="49">
        <f>IF(V231="TIPO I",'BASE DE LIQUIDACION 2025'!$D$3,'BASE DE LIQUIDACION 2025'!$D$4)</f>
        <v>57411.974240000003</v>
      </c>
      <c r="AE231" s="53">
        <f t="shared" si="4"/>
        <v>309804.26899999997</v>
      </c>
    </row>
    <row r="232" spans="1:31" s="46" customFormat="1" ht="12.75" customHeight="1">
      <c r="A232" s="69" t="s">
        <v>175</v>
      </c>
      <c r="B232" s="45" t="str">
        <f>VLOOKUP(A232,'CENTRO DE COSTOS'!A:D,4,FALSE)</f>
        <v>JUAN SEBASTIÁN RÍOS CASTRILLÓN</v>
      </c>
      <c r="C232" s="45" t="str">
        <f>VLOOKUP(A232,'CENTRO DE COSTOS'!A:D,2,FALSE)</f>
        <v>0004-0005</v>
      </c>
      <c r="D232" s="69">
        <v>5790</v>
      </c>
      <c r="E232" s="70" t="s">
        <v>1490</v>
      </c>
      <c r="F232" s="71">
        <v>80964</v>
      </c>
      <c r="G232" s="79" t="s">
        <v>132</v>
      </c>
      <c r="H232" s="73" t="s">
        <v>133</v>
      </c>
      <c r="I232" s="71" t="s">
        <v>178</v>
      </c>
      <c r="J232" s="81" t="s">
        <v>1491</v>
      </c>
      <c r="K232" s="71" t="s">
        <v>1492</v>
      </c>
      <c r="L232" s="75" t="s">
        <v>137</v>
      </c>
      <c r="M232" s="82" t="s">
        <v>1493</v>
      </c>
      <c r="N232" s="74">
        <v>45880</v>
      </c>
      <c r="O232" s="76">
        <v>45883</v>
      </c>
      <c r="P232" s="83" t="s">
        <v>139</v>
      </c>
      <c r="Q232" s="84" t="s">
        <v>139</v>
      </c>
      <c r="R232" s="69" t="s">
        <v>549</v>
      </c>
      <c r="S232" s="72" t="s">
        <v>1494</v>
      </c>
      <c r="T232" s="79" t="s">
        <v>451</v>
      </c>
      <c r="U232" s="69" t="s">
        <v>1495</v>
      </c>
      <c r="V232" s="81" t="s">
        <v>144</v>
      </c>
      <c r="W232" s="76" t="s">
        <v>145</v>
      </c>
      <c r="X232" s="79" t="s">
        <v>451</v>
      </c>
      <c r="Y232" s="69">
        <v>0</v>
      </c>
      <c r="Z232" s="69">
        <v>0</v>
      </c>
      <c r="AA232" s="69">
        <v>2</v>
      </c>
      <c r="AB232" s="49">
        <f>IF(V232="TIPO I",'BASE DE LIQUIDACION 2025'!$B$3,'BASE DE LIQUIDACION 2025'!$B$4)</f>
        <v>11251.22416</v>
      </c>
      <c r="AC232" s="49">
        <f>IF(V232="TIPO I",'BASE DE LIQUIDACION 2025'!$C$3,'BASE DE LIQUIDACION 2025'!$C$4)</f>
        <v>126317.12212</v>
      </c>
      <c r="AD232" s="49">
        <f>IF(V232="TIPO I",'BASE DE LIQUIDACION 2025'!$D$3,'BASE DE LIQUIDACION 2025'!$D$4)</f>
        <v>110808.27512000001</v>
      </c>
      <c r="AE232" s="53">
        <f t="shared" si="4"/>
        <v>221616.55024000001</v>
      </c>
    </row>
    <row r="233" spans="1:31" s="46" customFormat="1" ht="12.75" customHeight="1">
      <c r="A233" s="69" t="s">
        <v>285</v>
      </c>
      <c r="B233" s="45" t="str">
        <f>VLOOKUP(A233,'CENTRO DE COSTOS'!A:D,4,FALSE)</f>
        <v>MIGUEL JULIÁN HERNÁNDEZ GUARÍN</v>
      </c>
      <c r="C233" s="45" t="str">
        <f>VLOOKUP(A233,'CENTRO DE COSTOS'!A:D,2,FALSE)</f>
        <v>0004-0008</v>
      </c>
      <c r="D233" s="69">
        <v>54001</v>
      </c>
      <c r="E233" s="70" t="s">
        <v>1496</v>
      </c>
      <c r="F233" s="71">
        <v>80941</v>
      </c>
      <c r="G233" s="79" t="s">
        <v>132</v>
      </c>
      <c r="H233" s="73" t="s">
        <v>133</v>
      </c>
      <c r="I233" s="71" t="s">
        <v>287</v>
      </c>
      <c r="J233" s="81" t="s">
        <v>285</v>
      </c>
      <c r="K233" s="71" t="s">
        <v>1497</v>
      </c>
      <c r="L233" s="75" t="s">
        <v>137</v>
      </c>
      <c r="M233" s="82" t="s">
        <v>1498</v>
      </c>
      <c r="N233" s="74">
        <v>45880</v>
      </c>
      <c r="O233" s="76">
        <v>45881</v>
      </c>
      <c r="P233" s="83" t="s">
        <v>139</v>
      </c>
      <c r="Q233" s="84" t="s">
        <v>139</v>
      </c>
      <c r="R233" s="69" t="s">
        <v>140</v>
      </c>
      <c r="S233" s="72" t="s">
        <v>1499</v>
      </c>
      <c r="T233" s="79" t="s">
        <v>358</v>
      </c>
      <c r="U233" s="69" t="s">
        <v>1500</v>
      </c>
      <c r="V233" s="81" t="s">
        <v>52</v>
      </c>
      <c r="W233" s="76" t="s">
        <v>145</v>
      </c>
      <c r="X233" s="79" t="s">
        <v>358</v>
      </c>
      <c r="Y233" s="69">
        <v>1</v>
      </c>
      <c r="Z233" s="69">
        <v>1</v>
      </c>
      <c r="AA233" s="69">
        <v>1</v>
      </c>
      <c r="AB233" s="49">
        <f>IF(V233="TIPO I",'BASE DE LIQUIDACION 2025'!$B$3,'BASE DE LIQUIDACION 2025'!$B$4)</f>
        <v>11251.22416</v>
      </c>
      <c r="AC233" s="49">
        <f>IF(V233="TIPO I",'BASE DE LIQUIDACION 2025'!$C$3,'BASE DE LIQUIDACION 2025'!$C$4)</f>
        <v>126317.12212</v>
      </c>
      <c r="AD233" s="49">
        <f>IF(V233="TIPO I",'BASE DE LIQUIDACION 2025'!$D$3,'BASE DE LIQUIDACION 2025'!$D$4)</f>
        <v>57411.974240000003</v>
      </c>
      <c r="AE233" s="53">
        <f t="shared" si="4"/>
        <v>194980.32052000001</v>
      </c>
    </row>
    <row r="234" spans="1:31" s="46" customFormat="1" ht="12.75" customHeight="1">
      <c r="A234" s="69" t="s">
        <v>371</v>
      </c>
      <c r="B234" s="45" t="str">
        <f>VLOOKUP(A234,'CENTRO DE COSTOS'!A:D,4,FALSE)</f>
        <v>JOSE MAURICIO HERNANDEZ ROJAS</v>
      </c>
      <c r="C234" s="45" t="str">
        <f>VLOOKUP(A234,'CENTRO DE COSTOS'!A:D,2,FALSE)</f>
        <v>0004-0001</v>
      </c>
      <c r="D234" s="69">
        <v>70001</v>
      </c>
      <c r="E234" s="70" t="s">
        <v>1501</v>
      </c>
      <c r="F234" s="71">
        <v>80968</v>
      </c>
      <c r="G234" s="79" t="s">
        <v>132</v>
      </c>
      <c r="H234" s="73" t="s">
        <v>133</v>
      </c>
      <c r="I234" s="71" t="s">
        <v>373</v>
      </c>
      <c r="J234" s="81" t="s">
        <v>371</v>
      </c>
      <c r="K234" s="71" t="s">
        <v>1502</v>
      </c>
      <c r="L234" s="75" t="s">
        <v>137</v>
      </c>
      <c r="M234" s="82" t="s">
        <v>1503</v>
      </c>
      <c r="N234" s="74">
        <v>45880</v>
      </c>
      <c r="O234" s="76">
        <v>45881</v>
      </c>
      <c r="P234" s="83" t="s">
        <v>139</v>
      </c>
      <c r="Q234" s="84" t="s">
        <v>139</v>
      </c>
      <c r="R234" s="69" t="s">
        <v>140</v>
      </c>
      <c r="S234" s="72" t="s">
        <v>1504</v>
      </c>
      <c r="T234" s="79" t="s">
        <v>377</v>
      </c>
      <c r="U234" s="69" t="s">
        <v>1505</v>
      </c>
      <c r="V234" s="81" t="s">
        <v>52</v>
      </c>
      <c r="W234" s="76" t="s">
        <v>145</v>
      </c>
      <c r="X234" s="79" t="s">
        <v>377</v>
      </c>
      <c r="Y234" s="69">
        <v>1</v>
      </c>
      <c r="Z234" s="69">
        <v>1</v>
      </c>
      <c r="AA234" s="69">
        <v>1</v>
      </c>
      <c r="AB234" s="49">
        <f>IF(V234="TIPO I",'BASE DE LIQUIDACION 2025'!$B$3,'BASE DE LIQUIDACION 2025'!$B$4)</f>
        <v>11251.22416</v>
      </c>
      <c r="AC234" s="49">
        <f>IF(V234="TIPO I",'BASE DE LIQUIDACION 2025'!$C$3,'BASE DE LIQUIDACION 2025'!$C$4)</f>
        <v>126317.12212</v>
      </c>
      <c r="AD234" s="49">
        <f>IF(V234="TIPO I",'BASE DE LIQUIDACION 2025'!$D$3,'BASE DE LIQUIDACION 2025'!$D$4)</f>
        <v>57411.974240000003</v>
      </c>
      <c r="AE234" s="53">
        <f t="shared" si="4"/>
        <v>194980.32052000001</v>
      </c>
    </row>
    <row r="235" spans="1:31" s="46" customFormat="1" ht="12.75" customHeight="1">
      <c r="A235" s="69" t="s">
        <v>453</v>
      </c>
      <c r="B235" s="45" t="str">
        <f>VLOOKUP(A235,'CENTRO DE COSTOS'!A:D,4,FALSE)</f>
        <v>DIEGO FERNANDO HENAO CARDONA</v>
      </c>
      <c r="C235" s="45" t="str">
        <f>VLOOKUP(A235,'CENTRO DE COSTOS'!A:D,2,FALSE)</f>
        <v>0004-0002</v>
      </c>
      <c r="D235" s="69">
        <v>66001</v>
      </c>
      <c r="E235" s="70" t="s">
        <v>1506</v>
      </c>
      <c r="F235" s="71">
        <v>80958</v>
      </c>
      <c r="G235" s="79" t="s">
        <v>132</v>
      </c>
      <c r="H235" s="73" t="s">
        <v>222</v>
      </c>
      <c r="I235" s="71" t="s">
        <v>579</v>
      </c>
      <c r="J235" s="81" t="s">
        <v>453</v>
      </c>
      <c r="K235" s="71" t="s">
        <v>1507</v>
      </c>
      <c r="L235" s="75" t="s">
        <v>137</v>
      </c>
      <c r="M235" s="82" t="s">
        <v>1508</v>
      </c>
      <c r="N235" s="74">
        <v>45880</v>
      </c>
      <c r="O235" s="76">
        <v>45881</v>
      </c>
      <c r="P235" s="83" t="s">
        <v>139</v>
      </c>
      <c r="Q235" s="84" t="s">
        <v>139</v>
      </c>
      <c r="R235" s="69" t="s">
        <v>140</v>
      </c>
      <c r="S235" s="72" t="s">
        <v>1509</v>
      </c>
      <c r="T235" s="79" t="s">
        <v>508</v>
      </c>
      <c r="U235" s="69" t="s">
        <v>1510</v>
      </c>
      <c r="V235" s="81" t="s">
        <v>52</v>
      </c>
      <c r="W235" s="76" t="s">
        <v>145</v>
      </c>
      <c r="X235" s="79" t="s">
        <v>508</v>
      </c>
      <c r="Y235" s="69">
        <v>1</v>
      </c>
      <c r="Z235" s="69">
        <v>1</v>
      </c>
      <c r="AA235" s="69">
        <v>1</v>
      </c>
      <c r="AB235" s="49">
        <f>IF(V235="TIPO I",'BASE DE LIQUIDACION 2025'!$B$3,'BASE DE LIQUIDACION 2025'!$B$4)</f>
        <v>11251.22416</v>
      </c>
      <c r="AC235" s="49">
        <f>IF(V235="TIPO I",'BASE DE LIQUIDACION 2025'!$C$3,'BASE DE LIQUIDACION 2025'!$C$4)</f>
        <v>126317.12212</v>
      </c>
      <c r="AD235" s="49">
        <f>IF(V235="TIPO I",'BASE DE LIQUIDACION 2025'!$D$3,'BASE DE LIQUIDACION 2025'!$D$4)</f>
        <v>57411.974240000003</v>
      </c>
      <c r="AE235" s="53">
        <f t="shared" si="4"/>
        <v>194980.32052000001</v>
      </c>
    </row>
    <row r="236" spans="1:31" s="46" customFormat="1" ht="12.75" customHeight="1">
      <c r="A236" s="69" t="s">
        <v>175</v>
      </c>
      <c r="B236" s="45" t="str">
        <f>VLOOKUP(A236,'CENTRO DE COSTOS'!A:D,4,FALSE)</f>
        <v>JUAN SEBASTIÁN RÍOS CASTRILLÓN</v>
      </c>
      <c r="C236" s="45" t="str">
        <f>VLOOKUP(A236,'CENTRO DE COSTOS'!A:D,2,FALSE)</f>
        <v>0004-0005</v>
      </c>
      <c r="D236" s="69">
        <v>5001</v>
      </c>
      <c r="E236" s="70" t="s">
        <v>1511</v>
      </c>
      <c r="F236" s="71">
        <v>80985</v>
      </c>
      <c r="G236" s="79" t="s">
        <v>132</v>
      </c>
      <c r="H236" s="73" t="s">
        <v>133</v>
      </c>
      <c r="I236" s="71" t="s">
        <v>178</v>
      </c>
      <c r="J236" s="81" t="s">
        <v>175</v>
      </c>
      <c r="K236" s="71" t="s">
        <v>1512</v>
      </c>
      <c r="L236" s="75" t="s">
        <v>137</v>
      </c>
      <c r="M236" s="82" t="s">
        <v>1513</v>
      </c>
      <c r="N236" s="74">
        <v>45880</v>
      </c>
      <c r="O236" s="76">
        <v>45881</v>
      </c>
      <c r="P236" s="83" t="s">
        <v>139</v>
      </c>
      <c r="Q236" s="84" t="s">
        <v>139</v>
      </c>
      <c r="R236" s="69" t="s">
        <v>140</v>
      </c>
      <c r="S236" s="72" t="s">
        <v>1514</v>
      </c>
      <c r="T236" s="79" t="s">
        <v>338</v>
      </c>
      <c r="U236" s="69" t="s">
        <v>1515</v>
      </c>
      <c r="V236" s="81" t="s">
        <v>52</v>
      </c>
      <c r="W236" s="76" t="s">
        <v>145</v>
      </c>
      <c r="X236" s="79" t="s">
        <v>338</v>
      </c>
      <c r="Y236" s="69">
        <v>1</v>
      </c>
      <c r="Z236" s="69">
        <v>1</v>
      </c>
      <c r="AA236" s="69">
        <v>1</v>
      </c>
      <c r="AB236" s="49">
        <f>IF(V236="TIPO I",'BASE DE LIQUIDACION 2025'!$B$3,'BASE DE LIQUIDACION 2025'!$B$4)</f>
        <v>11251.22416</v>
      </c>
      <c r="AC236" s="49">
        <f>IF(V236="TIPO I",'BASE DE LIQUIDACION 2025'!$C$3,'BASE DE LIQUIDACION 2025'!$C$4)</f>
        <v>126317.12212</v>
      </c>
      <c r="AD236" s="49">
        <f>IF(V236="TIPO I",'BASE DE LIQUIDACION 2025'!$D$3,'BASE DE LIQUIDACION 2025'!$D$4)</f>
        <v>57411.974240000003</v>
      </c>
      <c r="AE236" s="53">
        <f t="shared" si="4"/>
        <v>194980.32052000001</v>
      </c>
    </row>
    <row r="237" spans="1:31" s="46" customFormat="1" ht="12.75" customHeight="1">
      <c r="A237" s="69" t="s">
        <v>175</v>
      </c>
      <c r="B237" s="45" t="str">
        <f>VLOOKUP(A237,'CENTRO DE COSTOS'!A:D,4,FALSE)</f>
        <v>JUAN SEBASTIÁN RÍOS CASTRILLÓN</v>
      </c>
      <c r="C237" s="45" t="str">
        <f>VLOOKUP(A237,'CENTRO DE COSTOS'!A:D,2,FALSE)</f>
        <v>0004-0005</v>
      </c>
      <c r="D237" s="69">
        <v>5001</v>
      </c>
      <c r="E237" s="70" t="s">
        <v>1516</v>
      </c>
      <c r="F237" s="71">
        <v>80986</v>
      </c>
      <c r="G237" s="79" t="s">
        <v>132</v>
      </c>
      <c r="H237" s="73" t="s">
        <v>222</v>
      </c>
      <c r="I237" s="71" t="s">
        <v>178</v>
      </c>
      <c r="J237" s="81" t="s">
        <v>175</v>
      </c>
      <c r="K237" s="71" t="s">
        <v>1517</v>
      </c>
      <c r="L237" s="75" t="s">
        <v>137</v>
      </c>
      <c r="M237" s="82" t="s">
        <v>1518</v>
      </c>
      <c r="N237" s="74">
        <v>45880</v>
      </c>
      <c r="O237" s="76">
        <v>45881</v>
      </c>
      <c r="P237" s="83" t="s">
        <v>139</v>
      </c>
      <c r="Q237" s="84" t="s">
        <v>139</v>
      </c>
      <c r="R237" s="69" t="s">
        <v>140</v>
      </c>
      <c r="S237" s="72" t="s">
        <v>1519</v>
      </c>
      <c r="T237" s="79" t="s">
        <v>338</v>
      </c>
      <c r="U237" s="69" t="s">
        <v>1520</v>
      </c>
      <c r="V237" s="81" t="s">
        <v>52</v>
      </c>
      <c r="W237" s="76" t="s">
        <v>145</v>
      </c>
      <c r="X237" s="79" t="s">
        <v>338</v>
      </c>
      <c r="Y237" s="69">
        <v>1</v>
      </c>
      <c r="Z237" s="69">
        <v>0</v>
      </c>
      <c r="AA237" s="69">
        <v>2</v>
      </c>
      <c r="AB237" s="49">
        <f>IF(V237="TIPO I",'BASE DE LIQUIDACION 2025'!$B$3,'BASE DE LIQUIDACION 2025'!$B$4)</f>
        <v>11251.22416</v>
      </c>
      <c r="AC237" s="49">
        <f>IF(V237="TIPO I",'BASE DE LIQUIDACION 2025'!$C$3,'BASE DE LIQUIDACION 2025'!$C$4)</f>
        <v>126317.12212</v>
      </c>
      <c r="AD237" s="49">
        <f>IF(V237="TIPO I",'BASE DE LIQUIDACION 2025'!$D$3,'BASE DE LIQUIDACION 2025'!$D$4)</f>
        <v>57411.974240000003</v>
      </c>
      <c r="AE237" s="53">
        <f t="shared" si="4"/>
        <v>126075.17264</v>
      </c>
    </row>
    <row r="238" spans="1:31" s="46" customFormat="1" ht="12.75" customHeight="1">
      <c r="A238" s="69" t="s">
        <v>453</v>
      </c>
      <c r="B238" s="45" t="str">
        <f>VLOOKUP(A238,'CENTRO DE COSTOS'!A:D,4,FALSE)</f>
        <v>DIEGO FERNANDO HENAO CARDONA</v>
      </c>
      <c r="C238" s="45" t="str">
        <f>VLOOKUP(A238,'CENTRO DE COSTOS'!A:D,2,FALSE)</f>
        <v>0004-0002</v>
      </c>
      <c r="D238" s="69">
        <v>66440</v>
      </c>
      <c r="E238" s="70" t="s">
        <v>1521</v>
      </c>
      <c r="F238" s="71">
        <v>80950</v>
      </c>
      <c r="G238" s="79" t="s">
        <v>132</v>
      </c>
      <c r="H238" s="73" t="s">
        <v>133</v>
      </c>
      <c r="I238" s="71" t="s">
        <v>579</v>
      </c>
      <c r="J238" s="81" t="s">
        <v>1522</v>
      </c>
      <c r="K238" s="71" t="s">
        <v>1523</v>
      </c>
      <c r="L238" s="75" t="s">
        <v>137</v>
      </c>
      <c r="M238" s="82" t="s">
        <v>1524</v>
      </c>
      <c r="N238" s="74">
        <v>45880</v>
      </c>
      <c r="O238" s="76">
        <v>45881</v>
      </c>
      <c r="P238" s="83" t="s">
        <v>139</v>
      </c>
      <c r="Q238" s="84" t="s">
        <v>139</v>
      </c>
      <c r="R238" s="69" t="s">
        <v>140</v>
      </c>
      <c r="S238" s="72" t="s">
        <v>1525</v>
      </c>
      <c r="T238" s="79" t="s">
        <v>459</v>
      </c>
      <c r="U238" s="69" t="s">
        <v>1526</v>
      </c>
      <c r="V238" s="81" t="s">
        <v>202</v>
      </c>
      <c r="W238" s="76" t="s">
        <v>145</v>
      </c>
      <c r="X238" s="79" t="s">
        <v>459</v>
      </c>
      <c r="Y238" s="69">
        <v>1</v>
      </c>
      <c r="Z238" s="69">
        <v>1</v>
      </c>
      <c r="AA238" s="69">
        <v>1</v>
      </c>
      <c r="AB238" s="49">
        <f>IF(V238="TIPO I",'BASE DE LIQUIDACION 2025'!$B$3,'BASE DE LIQUIDACION 2025'!$B$4)</f>
        <v>11251.22416</v>
      </c>
      <c r="AC238" s="49">
        <f>IF(V238="TIPO I",'BASE DE LIQUIDACION 2025'!$C$3,'BASE DE LIQUIDACION 2025'!$C$4)</f>
        <v>126317.12212</v>
      </c>
      <c r="AD238" s="49">
        <f>IF(V238="TIPO I",'BASE DE LIQUIDACION 2025'!$D$3,'BASE DE LIQUIDACION 2025'!$D$4)</f>
        <v>110808.27512000001</v>
      </c>
      <c r="AE238" s="53">
        <f t="shared" ref="AE238:AE287" si="5">AB238*Y238+Z238*AC238+AA238*AD238</f>
        <v>248376.6214</v>
      </c>
    </row>
    <row r="239" spans="1:31" s="46" customFormat="1" ht="12.75" customHeight="1">
      <c r="A239" s="69" t="s">
        <v>453</v>
      </c>
      <c r="B239" s="45" t="str">
        <f>VLOOKUP(A239,'CENTRO DE COSTOS'!A:D,4,FALSE)</f>
        <v>DIEGO FERNANDO HENAO CARDONA</v>
      </c>
      <c r="C239" s="45" t="str">
        <f>VLOOKUP(A239,'CENTRO DE COSTOS'!A:D,2,FALSE)</f>
        <v>0004-0002</v>
      </c>
      <c r="D239" s="69">
        <v>66383</v>
      </c>
      <c r="E239" s="70" t="s">
        <v>1527</v>
      </c>
      <c r="F239" s="71">
        <v>80946</v>
      </c>
      <c r="G239" s="79" t="s">
        <v>132</v>
      </c>
      <c r="H239" s="73" t="s">
        <v>133</v>
      </c>
      <c r="I239" s="71" t="s">
        <v>579</v>
      </c>
      <c r="J239" s="81" t="s">
        <v>1183</v>
      </c>
      <c r="K239" s="71" t="s">
        <v>1528</v>
      </c>
      <c r="L239" s="75" t="s">
        <v>137</v>
      </c>
      <c r="M239" s="82" t="s">
        <v>1529</v>
      </c>
      <c r="N239" s="74">
        <v>45880</v>
      </c>
      <c r="O239" s="76">
        <v>45882</v>
      </c>
      <c r="P239" s="83" t="s">
        <v>139</v>
      </c>
      <c r="Q239" s="84" t="s">
        <v>139</v>
      </c>
      <c r="R239" s="69" t="s">
        <v>140</v>
      </c>
      <c r="S239" s="72" t="s">
        <v>1530</v>
      </c>
      <c r="T239" s="79" t="s">
        <v>508</v>
      </c>
      <c r="U239" s="69" t="s">
        <v>1531</v>
      </c>
      <c r="V239" s="81" t="s">
        <v>202</v>
      </c>
      <c r="W239" s="76" t="s">
        <v>145</v>
      </c>
      <c r="X239" s="79" t="s">
        <v>508</v>
      </c>
      <c r="Y239" s="69">
        <v>1</v>
      </c>
      <c r="Z239" s="69">
        <v>1</v>
      </c>
      <c r="AA239" s="69">
        <v>1</v>
      </c>
      <c r="AB239" s="49">
        <f>IF(V239="TIPO I",'BASE DE LIQUIDACION 2025'!$B$3,'BASE DE LIQUIDACION 2025'!$B$4)</f>
        <v>11251.22416</v>
      </c>
      <c r="AC239" s="49">
        <f>IF(V239="TIPO I",'BASE DE LIQUIDACION 2025'!$C$3,'BASE DE LIQUIDACION 2025'!$C$4)</f>
        <v>126317.12212</v>
      </c>
      <c r="AD239" s="49">
        <f>IF(V239="TIPO I",'BASE DE LIQUIDACION 2025'!$D$3,'BASE DE LIQUIDACION 2025'!$D$4)</f>
        <v>110808.27512000001</v>
      </c>
      <c r="AE239" s="53">
        <f t="shared" si="5"/>
        <v>248376.6214</v>
      </c>
    </row>
    <row r="240" spans="1:31" s="46" customFormat="1" ht="12.75" customHeight="1">
      <c r="A240" s="69" t="s">
        <v>431</v>
      </c>
      <c r="B240" s="45" t="str">
        <f>VLOOKUP(A240,'CENTRO DE COSTOS'!A:D,4,FALSE)</f>
        <v>WILLIAM ASDRUBAL ROZO ROZO</v>
      </c>
      <c r="C240" s="45" t="str">
        <f>VLOOKUP(A240,'CENTRO DE COSTOS'!A:D,2,FALSE)</f>
        <v>0004-0004</v>
      </c>
      <c r="D240" s="69">
        <v>11001</v>
      </c>
      <c r="E240" s="70" t="s">
        <v>1532</v>
      </c>
      <c r="F240" s="71">
        <v>80935</v>
      </c>
      <c r="G240" s="79" t="s">
        <v>132</v>
      </c>
      <c r="H240" s="73" t="s">
        <v>133</v>
      </c>
      <c r="I240" s="71" t="s">
        <v>433</v>
      </c>
      <c r="J240" s="81" t="s">
        <v>431</v>
      </c>
      <c r="K240" s="71" t="s">
        <v>1533</v>
      </c>
      <c r="L240" s="75" t="s">
        <v>137</v>
      </c>
      <c r="M240" s="82" t="s">
        <v>1534</v>
      </c>
      <c r="N240" s="74">
        <v>45880</v>
      </c>
      <c r="O240" s="76">
        <v>45881</v>
      </c>
      <c r="P240" s="83" t="s">
        <v>139</v>
      </c>
      <c r="Q240" s="84" t="s">
        <v>139</v>
      </c>
      <c r="R240" s="69" t="s">
        <v>140</v>
      </c>
      <c r="S240" s="72" t="s">
        <v>1535</v>
      </c>
      <c r="T240" s="79" t="s">
        <v>667</v>
      </c>
      <c r="U240" s="69" t="s">
        <v>1536</v>
      </c>
      <c r="V240" s="81" t="s">
        <v>52</v>
      </c>
      <c r="W240" s="76" t="s">
        <v>145</v>
      </c>
      <c r="X240" s="79" t="s">
        <v>667</v>
      </c>
      <c r="Y240" s="69">
        <v>1</v>
      </c>
      <c r="Z240" s="69">
        <v>1</v>
      </c>
      <c r="AA240" s="69">
        <v>1</v>
      </c>
      <c r="AB240" s="49">
        <f>IF(V240="TIPO I",'BASE DE LIQUIDACION 2025'!$B$3,'BASE DE LIQUIDACION 2025'!$B$4)</f>
        <v>11251.22416</v>
      </c>
      <c r="AC240" s="49">
        <f>IF(V240="TIPO I",'BASE DE LIQUIDACION 2025'!$C$3,'BASE DE LIQUIDACION 2025'!$C$4)</f>
        <v>126317.12212</v>
      </c>
      <c r="AD240" s="49">
        <f>IF(V240="TIPO I",'BASE DE LIQUIDACION 2025'!$D$3,'BASE DE LIQUIDACION 2025'!$D$4)</f>
        <v>57411.974240000003</v>
      </c>
      <c r="AE240" s="53">
        <f t="shared" si="5"/>
        <v>194980.32052000001</v>
      </c>
    </row>
    <row r="241" spans="1:31" s="46" customFormat="1" ht="12.75" customHeight="1">
      <c r="A241" s="69" t="s">
        <v>269</v>
      </c>
      <c r="B241" s="45" t="str">
        <f>VLOOKUP(A241,'CENTRO DE COSTOS'!A:D,4,FALSE)</f>
        <v>MIGUEL JULIÁN HERNÁNDEZ GUARÍN</v>
      </c>
      <c r="C241" s="45" t="str">
        <f>VLOOKUP(A241,'CENTRO DE COSTOS'!A:D,2,FALSE)</f>
        <v>0004-0008</v>
      </c>
      <c r="D241" s="69">
        <v>68418</v>
      </c>
      <c r="E241" s="70" t="s">
        <v>1537</v>
      </c>
      <c r="F241" s="71">
        <v>80948</v>
      </c>
      <c r="G241" s="79" t="s">
        <v>132</v>
      </c>
      <c r="H241" s="73" t="s">
        <v>133</v>
      </c>
      <c r="I241" s="71" t="s">
        <v>795</v>
      </c>
      <c r="J241" s="81" t="s">
        <v>1538</v>
      </c>
      <c r="K241" s="71" t="s">
        <v>1539</v>
      </c>
      <c r="L241" s="75" t="s">
        <v>137</v>
      </c>
      <c r="M241" s="82" t="s">
        <v>1540</v>
      </c>
      <c r="N241" s="74">
        <v>45880</v>
      </c>
      <c r="O241" s="76">
        <v>45881</v>
      </c>
      <c r="P241" s="83" t="s">
        <v>139</v>
      </c>
      <c r="Q241" s="84" t="s">
        <v>139</v>
      </c>
      <c r="R241" s="69" t="s">
        <v>140</v>
      </c>
      <c r="S241" s="72" t="s">
        <v>1541</v>
      </c>
      <c r="T241" s="79" t="s">
        <v>397</v>
      </c>
      <c r="U241" s="69" t="s">
        <v>1542</v>
      </c>
      <c r="V241" s="81" t="s">
        <v>202</v>
      </c>
      <c r="W241" s="76" t="s">
        <v>145</v>
      </c>
      <c r="X241" s="79" t="s">
        <v>397</v>
      </c>
      <c r="Y241" s="69">
        <v>1</v>
      </c>
      <c r="Z241" s="69">
        <v>1</v>
      </c>
      <c r="AA241" s="69">
        <v>1</v>
      </c>
      <c r="AB241" s="49">
        <f>IF(V241="TIPO I",'BASE DE LIQUIDACION 2025'!$B$3,'BASE DE LIQUIDACION 2025'!$B$4)</f>
        <v>11251.22416</v>
      </c>
      <c r="AC241" s="49">
        <f>IF(V241="TIPO I",'BASE DE LIQUIDACION 2025'!$C$3,'BASE DE LIQUIDACION 2025'!$C$4)</f>
        <v>126317.12212</v>
      </c>
      <c r="AD241" s="49">
        <f>IF(V241="TIPO I",'BASE DE LIQUIDACION 2025'!$D$3,'BASE DE LIQUIDACION 2025'!$D$4)</f>
        <v>110808.27512000001</v>
      </c>
      <c r="AE241" s="53">
        <f t="shared" si="5"/>
        <v>248376.6214</v>
      </c>
    </row>
    <row r="242" spans="1:31" s="46" customFormat="1" ht="12.75" customHeight="1">
      <c r="A242" s="69" t="s">
        <v>688</v>
      </c>
      <c r="B242" s="45" t="str">
        <f>VLOOKUP(A242,'CENTRO DE COSTOS'!A:D,4,FALSE)</f>
        <v>KEVIN ALEXIS CORZO BUSTOS</v>
      </c>
      <c r="C242" s="45" t="str">
        <f>VLOOKUP(A242,'CENTRO DE COSTOS'!A:D,2,FALSE)</f>
        <v>0004-0007</v>
      </c>
      <c r="D242" s="69">
        <v>73001</v>
      </c>
      <c r="E242" s="70" t="s">
        <v>1543</v>
      </c>
      <c r="F242" s="71">
        <v>80945</v>
      </c>
      <c r="G242" s="79" t="s">
        <v>132</v>
      </c>
      <c r="H242" s="73" t="s">
        <v>133</v>
      </c>
      <c r="I242" s="71" t="s">
        <v>690</v>
      </c>
      <c r="J242" s="81" t="s">
        <v>688</v>
      </c>
      <c r="K242" s="71" t="s">
        <v>1544</v>
      </c>
      <c r="L242" s="75" t="s">
        <v>137</v>
      </c>
      <c r="M242" s="82" t="s">
        <v>1545</v>
      </c>
      <c r="N242" s="74">
        <v>45880</v>
      </c>
      <c r="O242" s="76">
        <v>45881</v>
      </c>
      <c r="P242" s="83" t="s">
        <v>139</v>
      </c>
      <c r="Q242" s="84" t="s">
        <v>139</v>
      </c>
      <c r="R242" s="69" t="s">
        <v>140</v>
      </c>
      <c r="S242" s="72" t="s">
        <v>1546</v>
      </c>
      <c r="T242" s="79" t="s">
        <v>694</v>
      </c>
      <c r="U242" s="69" t="s">
        <v>1547</v>
      </c>
      <c r="V242" s="81" t="s">
        <v>52</v>
      </c>
      <c r="W242" s="76" t="s">
        <v>145</v>
      </c>
      <c r="X242" s="79" t="s">
        <v>694</v>
      </c>
      <c r="Y242" s="69">
        <v>1</v>
      </c>
      <c r="Z242" s="69">
        <v>1</v>
      </c>
      <c r="AA242" s="69">
        <v>1</v>
      </c>
      <c r="AB242" s="49">
        <f>IF(V242="TIPO I",'BASE DE LIQUIDACION 2025'!$B$3,'BASE DE LIQUIDACION 2025'!$B$4)</f>
        <v>11251.22416</v>
      </c>
      <c r="AC242" s="49">
        <f>IF(V242="TIPO I",'BASE DE LIQUIDACION 2025'!$C$3,'BASE DE LIQUIDACION 2025'!$C$4)</f>
        <v>126317.12212</v>
      </c>
      <c r="AD242" s="49">
        <f>IF(V242="TIPO I",'BASE DE LIQUIDACION 2025'!$D$3,'BASE DE LIQUIDACION 2025'!$D$4)</f>
        <v>57411.974240000003</v>
      </c>
      <c r="AE242" s="53">
        <f t="shared" si="5"/>
        <v>194980.32052000001</v>
      </c>
    </row>
    <row r="243" spans="1:31" s="46" customFormat="1" ht="12.75" customHeight="1">
      <c r="A243" s="69" t="s">
        <v>260</v>
      </c>
      <c r="B243" s="45" t="str">
        <f>VLOOKUP(A243,'CENTRO DE COSTOS'!A:D,4,FALSE)</f>
        <v>KEVIN ALEXIS CORZO BUSTOS</v>
      </c>
      <c r="C243" s="45" t="str">
        <f>VLOOKUP(A243,'CENTRO DE COSTOS'!A:D,2,FALSE)</f>
        <v>0004-0007</v>
      </c>
      <c r="D243" s="69">
        <v>50001</v>
      </c>
      <c r="E243" s="70" t="s">
        <v>1548</v>
      </c>
      <c r="F243" s="71">
        <v>80923</v>
      </c>
      <c r="G243" s="79" t="s">
        <v>132</v>
      </c>
      <c r="H243" s="73" t="s">
        <v>1218</v>
      </c>
      <c r="I243" s="71" t="s">
        <v>262</v>
      </c>
      <c r="J243" s="81" t="s">
        <v>260</v>
      </c>
      <c r="K243" s="71" t="s">
        <v>1549</v>
      </c>
      <c r="L243" s="75" t="s">
        <v>137</v>
      </c>
      <c r="M243" s="82" t="s">
        <v>1550</v>
      </c>
      <c r="N243" s="74">
        <v>45880</v>
      </c>
      <c r="O243" s="76">
        <v>45881</v>
      </c>
      <c r="P243" s="83" t="s">
        <v>139</v>
      </c>
      <c r="Q243" s="84" t="s">
        <v>139</v>
      </c>
      <c r="R243" s="69" t="s">
        <v>140</v>
      </c>
      <c r="S243" s="72" t="s">
        <v>1551</v>
      </c>
      <c r="T243" s="79" t="s">
        <v>332</v>
      </c>
      <c r="U243" s="69" t="s">
        <v>1552</v>
      </c>
      <c r="V243" s="81" t="s">
        <v>52</v>
      </c>
      <c r="W243" s="76" t="s">
        <v>145</v>
      </c>
      <c r="X243" s="79" t="s">
        <v>332</v>
      </c>
      <c r="Y243" s="69">
        <v>1</v>
      </c>
      <c r="Z243" s="69">
        <v>1</v>
      </c>
      <c r="AA243" s="69">
        <v>1</v>
      </c>
      <c r="AB243" s="49">
        <f>IF(V243="TIPO I",'BASE DE LIQUIDACION 2025'!$B$3,'BASE DE LIQUIDACION 2025'!$B$4)</f>
        <v>11251.22416</v>
      </c>
      <c r="AC243" s="49">
        <f>IF(V243="TIPO I",'BASE DE LIQUIDACION 2025'!$C$3,'BASE DE LIQUIDACION 2025'!$C$4)</f>
        <v>126317.12212</v>
      </c>
      <c r="AD243" s="49">
        <f>IF(V243="TIPO I",'BASE DE LIQUIDACION 2025'!$D$3,'BASE DE LIQUIDACION 2025'!$D$4)</f>
        <v>57411.974240000003</v>
      </c>
      <c r="AE243" s="53">
        <f t="shared" si="5"/>
        <v>194980.32052000001</v>
      </c>
    </row>
    <row r="244" spans="1:31" s="46" customFormat="1" ht="12.75" customHeight="1">
      <c r="A244" s="69" t="s">
        <v>175</v>
      </c>
      <c r="B244" s="45" t="str">
        <f>VLOOKUP(A244,'CENTRO DE COSTOS'!A:D,4,FALSE)</f>
        <v>JUAN SEBASTIÁN RÍOS CASTRILLÓN</v>
      </c>
      <c r="C244" s="45" t="str">
        <f>VLOOKUP(A244,'CENTRO DE COSTOS'!A:D,2,FALSE)</f>
        <v>0004-0005</v>
      </c>
      <c r="D244" s="69">
        <v>5001</v>
      </c>
      <c r="E244" s="70" t="s">
        <v>1553</v>
      </c>
      <c r="F244" s="71">
        <v>81036</v>
      </c>
      <c r="G244" s="79" t="s">
        <v>132</v>
      </c>
      <c r="H244" s="73" t="s">
        <v>177</v>
      </c>
      <c r="I244" s="71" t="s">
        <v>178</v>
      </c>
      <c r="J244" s="81" t="s">
        <v>175</v>
      </c>
      <c r="K244" s="71" t="s">
        <v>1554</v>
      </c>
      <c r="L244" s="75" t="s">
        <v>137</v>
      </c>
      <c r="M244" s="82" t="s">
        <v>1555</v>
      </c>
      <c r="N244" s="74">
        <v>45882</v>
      </c>
      <c r="O244" s="76">
        <v>45883</v>
      </c>
      <c r="P244" s="83" t="s">
        <v>181</v>
      </c>
      <c r="Q244" s="84" t="s">
        <v>182</v>
      </c>
      <c r="R244" s="69" t="s">
        <v>140</v>
      </c>
      <c r="S244" s="72" t="s">
        <v>1556</v>
      </c>
      <c r="T244" s="79" t="s">
        <v>189</v>
      </c>
      <c r="U244" s="69" t="s">
        <v>1557</v>
      </c>
      <c r="V244" s="81" t="s">
        <v>52</v>
      </c>
      <c r="W244" s="76" t="s">
        <v>145</v>
      </c>
      <c r="X244" s="79" t="s">
        <v>189</v>
      </c>
      <c r="Y244" s="69">
        <v>1</v>
      </c>
      <c r="Z244" s="69">
        <v>1</v>
      </c>
      <c r="AA244" s="69">
        <v>1</v>
      </c>
      <c r="AB244" s="49">
        <f>IF(V244="TIPO I",'BASE DE LIQUIDACION 2025'!$B$3,'BASE DE LIQUIDACION 2025'!$B$4)</f>
        <v>11251.22416</v>
      </c>
      <c r="AC244" s="49">
        <f>IF(V244="TIPO I",'BASE DE LIQUIDACION 2025'!$C$3,'BASE DE LIQUIDACION 2025'!$C$4)</f>
        <v>126317.12212</v>
      </c>
      <c r="AD244" s="49">
        <f>IF(V244="TIPO I",'BASE DE LIQUIDACION 2025'!$D$3,'BASE DE LIQUIDACION 2025'!$D$4)</f>
        <v>57411.974240000003</v>
      </c>
      <c r="AE244" s="53">
        <f t="shared" si="5"/>
        <v>194980.32052000001</v>
      </c>
    </row>
    <row r="245" spans="1:31" s="46" customFormat="1" ht="12.75" customHeight="1">
      <c r="A245" s="69" t="s">
        <v>175</v>
      </c>
      <c r="B245" s="45" t="str">
        <f>VLOOKUP(A245,'CENTRO DE COSTOS'!A:D,4,FALSE)</f>
        <v>JUAN SEBASTIÁN RÍOS CASTRILLÓN</v>
      </c>
      <c r="C245" s="45" t="str">
        <f>VLOOKUP(A245,'CENTRO DE COSTOS'!A:D,2,FALSE)</f>
        <v>0004-0005</v>
      </c>
      <c r="D245" s="69">
        <v>5001</v>
      </c>
      <c r="E245" s="70" t="s">
        <v>1558</v>
      </c>
      <c r="F245" s="71">
        <v>81037</v>
      </c>
      <c r="G245" s="79" t="s">
        <v>132</v>
      </c>
      <c r="H245" s="73" t="s">
        <v>177</v>
      </c>
      <c r="I245" s="71" t="s">
        <v>178</v>
      </c>
      <c r="J245" s="81" t="s">
        <v>175</v>
      </c>
      <c r="K245" s="71" t="s">
        <v>1559</v>
      </c>
      <c r="L245" s="75" t="s">
        <v>137</v>
      </c>
      <c r="M245" s="82" t="s">
        <v>1560</v>
      </c>
      <c r="N245" s="74">
        <v>45882</v>
      </c>
      <c r="O245" s="76">
        <v>45883</v>
      </c>
      <c r="P245" s="83" t="s">
        <v>181</v>
      </c>
      <c r="Q245" s="84" t="s">
        <v>182</v>
      </c>
      <c r="R245" s="69" t="s">
        <v>140</v>
      </c>
      <c r="S245" s="72" t="s">
        <v>1556</v>
      </c>
      <c r="T245" s="79" t="s">
        <v>189</v>
      </c>
      <c r="U245" s="69" t="s">
        <v>1561</v>
      </c>
      <c r="V245" s="81" t="s">
        <v>52</v>
      </c>
      <c r="W245" s="76" t="s">
        <v>145</v>
      </c>
      <c r="X245" s="79" t="s">
        <v>189</v>
      </c>
      <c r="Y245" s="69">
        <v>1</v>
      </c>
      <c r="Z245" s="69">
        <v>1</v>
      </c>
      <c r="AA245" s="69">
        <v>1</v>
      </c>
      <c r="AB245" s="49">
        <f>IF(V245="TIPO I",'BASE DE LIQUIDACION 2025'!$B$3,'BASE DE LIQUIDACION 2025'!$B$4)</f>
        <v>11251.22416</v>
      </c>
      <c r="AC245" s="49">
        <f>IF(V245="TIPO I",'BASE DE LIQUIDACION 2025'!$C$3,'BASE DE LIQUIDACION 2025'!$C$4)</f>
        <v>126317.12212</v>
      </c>
      <c r="AD245" s="49">
        <f>IF(V245="TIPO I",'BASE DE LIQUIDACION 2025'!$D$3,'BASE DE LIQUIDACION 2025'!$D$4)</f>
        <v>57411.974240000003</v>
      </c>
      <c r="AE245" s="53">
        <f t="shared" si="5"/>
        <v>194980.32052000001</v>
      </c>
    </row>
    <row r="246" spans="1:31" s="46" customFormat="1" ht="12.75" customHeight="1">
      <c r="A246" s="69" t="s">
        <v>175</v>
      </c>
      <c r="B246" s="45" t="str">
        <f>VLOOKUP(A246,'CENTRO DE COSTOS'!A:D,4,FALSE)</f>
        <v>JUAN SEBASTIÁN RÍOS CASTRILLÓN</v>
      </c>
      <c r="C246" s="45" t="str">
        <f>VLOOKUP(A246,'CENTRO DE COSTOS'!A:D,2,FALSE)</f>
        <v>0004-0005</v>
      </c>
      <c r="D246" s="69">
        <v>5001</v>
      </c>
      <c r="E246" s="70" t="s">
        <v>1562</v>
      </c>
      <c r="F246" s="71">
        <v>81038</v>
      </c>
      <c r="G246" s="79" t="s">
        <v>132</v>
      </c>
      <c r="H246" s="73" t="s">
        <v>177</v>
      </c>
      <c r="I246" s="71" t="s">
        <v>178</v>
      </c>
      <c r="J246" s="81" t="s">
        <v>175</v>
      </c>
      <c r="K246" s="71" t="s">
        <v>1563</v>
      </c>
      <c r="L246" s="75" t="s">
        <v>137</v>
      </c>
      <c r="M246" s="82" t="s">
        <v>1564</v>
      </c>
      <c r="N246" s="74">
        <v>45882</v>
      </c>
      <c r="O246" s="76">
        <v>45884</v>
      </c>
      <c r="P246" s="83" t="s">
        <v>181</v>
      </c>
      <c r="Q246" s="84" t="s">
        <v>182</v>
      </c>
      <c r="R246" s="69" t="s">
        <v>140</v>
      </c>
      <c r="S246" s="72" t="s">
        <v>1565</v>
      </c>
      <c r="T246" s="79" t="s">
        <v>451</v>
      </c>
      <c r="U246" s="69" t="s">
        <v>1566</v>
      </c>
      <c r="V246" s="81" t="s">
        <v>52</v>
      </c>
      <c r="W246" s="76" t="s">
        <v>145</v>
      </c>
      <c r="X246" s="79" t="s">
        <v>451</v>
      </c>
      <c r="Y246" s="69">
        <v>1</v>
      </c>
      <c r="Z246" s="69">
        <v>1</v>
      </c>
      <c r="AA246" s="69">
        <v>1</v>
      </c>
      <c r="AB246" s="49">
        <f>IF(V246="TIPO I",'BASE DE LIQUIDACION 2025'!$B$3,'BASE DE LIQUIDACION 2025'!$B$4)</f>
        <v>11251.22416</v>
      </c>
      <c r="AC246" s="49">
        <f>IF(V246="TIPO I",'BASE DE LIQUIDACION 2025'!$C$3,'BASE DE LIQUIDACION 2025'!$C$4)</f>
        <v>126317.12212</v>
      </c>
      <c r="AD246" s="49">
        <f>IF(V246="TIPO I",'BASE DE LIQUIDACION 2025'!$D$3,'BASE DE LIQUIDACION 2025'!$D$4)</f>
        <v>57411.974240000003</v>
      </c>
      <c r="AE246" s="53">
        <f t="shared" si="5"/>
        <v>194980.32052000001</v>
      </c>
    </row>
    <row r="247" spans="1:31" s="46" customFormat="1" ht="12.75" customHeight="1">
      <c r="A247" s="69" t="s">
        <v>175</v>
      </c>
      <c r="B247" s="45" t="str">
        <f>VLOOKUP(A247,'CENTRO DE COSTOS'!A:D,4,FALSE)</f>
        <v>JUAN SEBASTIÁN RÍOS CASTRILLÓN</v>
      </c>
      <c r="C247" s="45" t="str">
        <f>VLOOKUP(A247,'CENTRO DE COSTOS'!A:D,2,FALSE)</f>
        <v>0004-0005</v>
      </c>
      <c r="D247" s="69">
        <v>5001</v>
      </c>
      <c r="E247" s="70" t="s">
        <v>1567</v>
      </c>
      <c r="F247" s="71">
        <v>81039</v>
      </c>
      <c r="G247" s="79" t="s">
        <v>132</v>
      </c>
      <c r="H247" s="73" t="s">
        <v>177</v>
      </c>
      <c r="I247" s="71" t="s">
        <v>178</v>
      </c>
      <c r="J247" s="81" t="s">
        <v>175</v>
      </c>
      <c r="K247" s="71" t="s">
        <v>1568</v>
      </c>
      <c r="L247" s="75" t="s">
        <v>137</v>
      </c>
      <c r="M247" s="82" t="s">
        <v>1569</v>
      </c>
      <c r="N247" s="74">
        <v>45882</v>
      </c>
      <c r="O247" s="76">
        <v>45884</v>
      </c>
      <c r="P247" s="83" t="s">
        <v>181</v>
      </c>
      <c r="Q247" s="84" t="s">
        <v>182</v>
      </c>
      <c r="R247" s="69" t="s">
        <v>140</v>
      </c>
      <c r="S247" s="72" t="s">
        <v>1565</v>
      </c>
      <c r="T247" s="79" t="s">
        <v>451</v>
      </c>
      <c r="U247" s="69" t="s">
        <v>1570</v>
      </c>
      <c r="V247" s="81" t="s">
        <v>52</v>
      </c>
      <c r="W247" s="76" t="s">
        <v>145</v>
      </c>
      <c r="X247" s="79" t="s">
        <v>451</v>
      </c>
      <c r="Y247" s="69">
        <v>1</v>
      </c>
      <c r="Z247" s="69">
        <v>1</v>
      </c>
      <c r="AA247" s="69">
        <v>1</v>
      </c>
      <c r="AB247" s="49">
        <f>IF(V247="TIPO I",'BASE DE LIQUIDACION 2025'!$B$3,'BASE DE LIQUIDACION 2025'!$B$4)</f>
        <v>11251.22416</v>
      </c>
      <c r="AC247" s="49">
        <f>IF(V247="TIPO I",'BASE DE LIQUIDACION 2025'!$C$3,'BASE DE LIQUIDACION 2025'!$C$4)</f>
        <v>126317.12212</v>
      </c>
      <c r="AD247" s="49">
        <f>IF(V247="TIPO I",'BASE DE LIQUIDACION 2025'!$D$3,'BASE DE LIQUIDACION 2025'!$D$4)</f>
        <v>57411.974240000003</v>
      </c>
      <c r="AE247" s="53">
        <f t="shared" si="5"/>
        <v>194980.32052000001</v>
      </c>
    </row>
    <row r="248" spans="1:31" s="46" customFormat="1" ht="12.75" customHeight="1">
      <c r="A248" s="69" t="s">
        <v>175</v>
      </c>
      <c r="B248" s="45" t="str">
        <f>VLOOKUP(A248,'CENTRO DE COSTOS'!A:D,4,FALSE)</f>
        <v>JUAN SEBASTIÁN RÍOS CASTRILLÓN</v>
      </c>
      <c r="C248" s="45" t="str">
        <f>VLOOKUP(A248,'CENTRO DE COSTOS'!A:D,2,FALSE)</f>
        <v>0004-0005</v>
      </c>
      <c r="D248" s="69">
        <v>5001</v>
      </c>
      <c r="E248" s="70" t="s">
        <v>1571</v>
      </c>
      <c r="F248" s="71">
        <v>81040</v>
      </c>
      <c r="G248" s="79" t="s">
        <v>132</v>
      </c>
      <c r="H248" s="73" t="s">
        <v>177</v>
      </c>
      <c r="I248" s="71" t="s">
        <v>178</v>
      </c>
      <c r="J248" s="81" t="s">
        <v>175</v>
      </c>
      <c r="K248" s="71" t="s">
        <v>1572</v>
      </c>
      <c r="L248" s="75" t="s">
        <v>137</v>
      </c>
      <c r="M248" s="82" t="s">
        <v>1573</v>
      </c>
      <c r="N248" s="74">
        <v>45882</v>
      </c>
      <c r="O248" s="76">
        <v>45883</v>
      </c>
      <c r="P248" s="83" t="s">
        <v>181</v>
      </c>
      <c r="Q248" s="84" t="s">
        <v>182</v>
      </c>
      <c r="R248" s="69" t="s">
        <v>140</v>
      </c>
      <c r="S248" s="72" t="s">
        <v>1556</v>
      </c>
      <c r="T248" s="79" t="s">
        <v>451</v>
      </c>
      <c r="U248" s="69" t="s">
        <v>1574</v>
      </c>
      <c r="V248" s="81" t="s">
        <v>52</v>
      </c>
      <c r="W248" s="76" t="s">
        <v>145</v>
      </c>
      <c r="X248" s="79" t="s">
        <v>451</v>
      </c>
      <c r="Y248" s="69">
        <v>1</v>
      </c>
      <c r="Z248" s="69">
        <v>1</v>
      </c>
      <c r="AA248" s="69">
        <v>1</v>
      </c>
      <c r="AB248" s="49">
        <f>IF(V248="TIPO I",'BASE DE LIQUIDACION 2025'!$B$3,'BASE DE LIQUIDACION 2025'!$B$4)</f>
        <v>11251.22416</v>
      </c>
      <c r="AC248" s="49">
        <f>IF(V248="TIPO I",'BASE DE LIQUIDACION 2025'!$C$3,'BASE DE LIQUIDACION 2025'!$C$4)</f>
        <v>126317.12212</v>
      </c>
      <c r="AD248" s="49">
        <f>IF(V248="TIPO I",'BASE DE LIQUIDACION 2025'!$D$3,'BASE DE LIQUIDACION 2025'!$D$4)</f>
        <v>57411.974240000003</v>
      </c>
      <c r="AE248" s="53">
        <f t="shared" si="5"/>
        <v>194980.32052000001</v>
      </c>
    </row>
    <row r="249" spans="1:31" s="46" customFormat="1" ht="12.75" customHeight="1">
      <c r="A249" s="69" t="s">
        <v>175</v>
      </c>
      <c r="B249" s="45" t="str">
        <f>VLOOKUP(A249,'CENTRO DE COSTOS'!A:D,4,FALSE)</f>
        <v>JUAN SEBASTIÁN RÍOS CASTRILLÓN</v>
      </c>
      <c r="C249" s="45" t="str">
        <f>VLOOKUP(A249,'CENTRO DE COSTOS'!A:D,2,FALSE)</f>
        <v>0004-0005</v>
      </c>
      <c r="D249" s="69">
        <v>5001</v>
      </c>
      <c r="E249" s="70" t="s">
        <v>1575</v>
      </c>
      <c r="F249" s="71">
        <v>81041</v>
      </c>
      <c r="G249" s="79" t="s">
        <v>132</v>
      </c>
      <c r="H249" s="73" t="s">
        <v>177</v>
      </c>
      <c r="I249" s="71" t="s">
        <v>178</v>
      </c>
      <c r="J249" s="81" t="s">
        <v>175</v>
      </c>
      <c r="K249" s="71" t="s">
        <v>1576</v>
      </c>
      <c r="L249" s="75" t="s">
        <v>137</v>
      </c>
      <c r="M249" s="82" t="s">
        <v>1577</v>
      </c>
      <c r="N249" s="74">
        <v>45882</v>
      </c>
      <c r="O249" s="76">
        <v>45884</v>
      </c>
      <c r="P249" s="83" t="s">
        <v>181</v>
      </c>
      <c r="Q249" s="84" t="s">
        <v>707</v>
      </c>
      <c r="R249" s="69" t="s">
        <v>140</v>
      </c>
      <c r="S249" s="72" t="s">
        <v>1565</v>
      </c>
      <c r="T249" s="79" t="s">
        <v>757</v>
      </c>
      <c r="U249" s="69" t="s">
        <v>1578</v>
      </c>
      <c r="V249" s="81" t="s">
        <v>52</v>
      </c>
      <c r="W249" s="76" t="s">
        <v>145</v>
      </c>
      <c r="X249" s="79" t="s">
        <v>757</v>
      </c>
      <c r="Y249" s="69">
        <v>1</v>
      </c>
      <c r="Z249" s="69">
        <v>1</v>
      </c>
      <c r="AA249" s="69">
        <v>1</v>
      </c>
      <c r="AB249" s="49">
        <f>IF(V249="TIPO I",'BASE DE LIQUIDACION 2025'!$B$3,'BASE DE LIQUIDACION 2025'!$B$4)</f>
        <v>11251.22416</v>
      </c>
      <c r="AC249" s="49">
        <f>IF(V249="TIPO I",'BASE DE LIQUIDACION 2025'!$C$3,'BASE DE LIQUIDACION 2025'!$C$4)</f>
        <v>126317.12212</v>
      </c>
      <c r="AD249" s="49">
        <f>IF(V249="TIPO I",'BASE DE LIQUIDACION 2025'!$D$3,'BASE DE LIQUIDACION 2025'!$D$4)</f>
        <v>57411.974240000003</v>
      </c>
      <c r="AE249" s="53">
        <f t="shared" si="5"/>
        <v>194980.32052000001</v>
      </c>
    </row>
    <row r="250" spans="1:31" s="46" customFormat="1" ht="12.75" customHeight="1">
      <c r="A250" s="69" t="s">
        <v>175</v>
      </c>
      <c r="B250" s="45" t="str">
        <f>VLOOKUP(A250,'CENTRO DE COSTOS'!A:D,4,FALSE)</f>
        <v>JUAN SEBASTIÁN RÍOS CASTRILLÓN</v>
      </c>
      <c r="C250" s="45" t="str">
        <f>VLOOKUP(A250,'CENTRO DE COSTOS'!A:D,2,FALSE)</f>
        <v>0004-0005</v>
      </c>
      <c r="D250" s="69">
        <v>5001</v>
      </c>
      <c r="E250" s="70" t="s">
        <v>1579</v>
      </c>
      <c r="F250" s="71">
        <v>81042</v>
      </c>
      <c r="G250" s="79" t="s">
        <v>132</v>
      </c>
      <c r="H250" s="73" t="s">
        <v>177</v>
      </c>
      <c r="I250" s="71" t="s">
        <v>178</v>
      </c>
      <c r="J250" s="81" t="s">
        <v>175</v>
      </c>
      <c r="K250" s="71" t="s">
        <v>1580</v>
      </c>
      <c r="L250" s="75" t="s">
        <v>137</v>
      </c>
      <c r="M250" s="82" t="s">
        <v>1581</v>
      </c>
      <c r="N250" s="74">
        <v>45882</v>
      </c>
      <c r="O250" s="76">
        <v>45883</v>
      </c>
      <c r="P250" s="83" t="s">
        <v>181</v>
      </c>
      <c r="Q250" s="84" t="s">
        <v>707</v>
      </c>
      <c r="R250" s="69" t="s">
        <v>140</v>
      </c>
      <c r="S250" s="72" t="s">
        <v>1556</v>
      </c>
      <c r="T250" s="79" t="s">
        <v>451</v>
      </c>
      <c r="U250" s="69" t="s">
        <v>1582</v>
      </c>
      <c r="V250" s="81" t="s">
        <v>52</v>
      </c>
      <c r="W250" s="76" t="s">
        <v>145</v>
      </c>
      <c r="X250" s="79" t="s">
        <v>451</v>
      </c>
      <c r="Y250" s="69">
        <v>1</v>
      </c>
      <c r="Z250" s="69">
        <v>1</v>
      </c>
      <c r="AA250" s="69">
        <v>1</v>
      </c>
      <c r="AB250" s="49">
        <f>IF(V250="TIPO I",'BASE DE LIQUIDACION 2025'!$B$3,'BASE DE LIQUIDACION 2025'!$B$4)</f>
        <v>11251.22416</v>
      </c>
      <c r="AC250" s="49">
        <f>IF(V250="TIPO I",'BASE DE LIQUIDACION 2025'!$C$3,'BASE DE LIQUIDACION 2025'!$C$4)</f>
        <v>126317.12212</v>
      </c>
      <c r="AD250" s="49">
        <f>IF(V250="TIPO I",'BASE DE LIQUIDACION 2025'!$D$3,'BASE DE LIQUIDACION 2025'!$D$4)</f>
        <v>57411.974240000003</v>
      </c>
      <c r="AE250" s="53">
        <f t="shared" si="5"/>
        <v>194980.32052000001</v>
      </c>
    </row>
    <row r="251" spans="1:31" s="46" customFormat="1" ht="12.75" customHeight="1">
      <c r="A251" s="69" t="s">
        <v>175</v>
      </c>
      <c r="B251" s="45" t="str">
        <f>VLOOKUP(A251,'CENTRO DE COSTOS'!A:D,4,FALSE)</f>
        <v>JUAN SEBASTIÁN RÍOS CASTRILLÓN</v>
      </c>
      <c r="C251" s="45" t="str">
        <f>VLOOKUP(A251,'CENTRO DE COSTOS'!A:D,2,FALSE)</f>
        <v>0004-0005</v>
      </c>
      <c r="D251" s="69">
        <v>5001</v>
      </c>
      <c r="E251" s="70" t="s">
        <v>1583</v>
      </c>
      <c r="F251" s="71">
        <v>81043</v>
      </c>
      <c r="G251" s="79" t="s">
        <v>132</v>
      </c>
      <c r="H251" s="73" t="s">
        <v>177</v>
      </c>
      <c r="I251" s="71" t="s">
        <v>178</v>
      </c>
      <c r="J251" s="81" t="s">
        <v>175</v>
      </c>
      <c r="K251" s="71" t="s">
        <v>1584</v>
      </c>
      <c r="L251" s="75" t="s">
        <v>137</v>
      </c>
      <c r="M251" s="82" t="s">
        <v>1585</v>
      </c>
      <c r="N251" s="74">
        <v>45882</v>
      </c>
      <c r="O251" s="76">
        <v>45884</v>
      </c>
      <c r="P251" s="83" t="s">
        <v>181</v>
      </c>
      <c r="Q251" s="84" t="s">
        <v>707</v>
      </c>
      <c r="R251" s="69" t="s">
        <v>140</v>
      </c>
      <c r="S251" s="72" t="s">
        <v>1565</v>
      </c>
      <c r="T251" s="79" t="s">
        <v>338</v>
      </c>
      <c r="U251" s="69" t="s">
        <v>1586</v>
      </c>
      <c r="V251" s="81" t="s">
        <v>52</v>
      </c>
      <c r="W251" s="76" t="s">
        <v>145</v>
      </c>
      <c r="X251" s="79" t="s">
        <v>338</v>
      </c>
      <c r="Y251" s="69">
        <v>1</v>
      </c>
      <c r="Z251" s="69">
        <v>1</v>
      </c>
      <c r="AA251" s="69">
        <v>1</v>
      </c>
      <c r="AB251" s="49">
        <f>IF(V251="TIPO I",'BASE DE LIQUIDACION 2025'!$B$3,'BASE DE LIQUIDACION 2025'!$B$4)</f>
        <v>11251.22416</v>
      </c>
      <c r="AC251" s="49">
        <f>IF(V251="TIPO I",'BASE DE LIQUIDACION 2025'!$C$3,'BASE DE LIQUIDACION 2025'!$C$4)</f>
        <v>126317.12212</v>
      </c>
      <c r="AD251" s="49">
        <f>IF(V251="TIPO I",'BASE DE LIQUIDACION 2025'!$D$3,'BASE DE LIQUIDACION 2025'!$D$4)</f>
        <v>57411.974240000003</v>
      </c>
      <c r="AE251" s="53">
        <f t="shared" si="5"/>
        <v>194980.32052000001</v>
      </c>
    </row>
    <row r="252" spans="1:31" s="46" customFormat="1" ht="12.75" customHeight="1">
      <c r="A252" s="69" t="s">
        <v>175</v>
      </c>
      <c r="B252" s="45" t="str">
        <f>VLOOKUP(A252,'CENTRO DE COSTOS'!A:D,4,FALSE)</f>
        <v>JUAN SEBASTIÁN RÍOS CASTRILLÓN</v>
      </c>
      <c r="C252" s="45" t="str">
        <f>VLOOKUP(A252,'CENTRO DE COSTOS'!A:D,2,FALSE)</f>
        <v>0004-0005</v>
      </c>
      <c r="D252" s="69">
        <v>5088</v>
      </c>
      <c r="E252" s="70" t="s">
        <v>1587</v>
      </c>
      <c r="F252" s="71">
        <v>81032</v>
      </c>
      <c r="G252" s="79" t="s">
        <v>132</v>
      </c>
      <c r="H252" s="73" t="s">
        <v>177</v>
      </c>
      <c r="I252" s="71" t="s">
        <v>178</v>
      </c>
      <c r="J252" s="81" t="s">
        <v>192</v>
      </c>
      <c r="K252" s="71" t="s">
        <v>1588</v>
      </c>
      <c r="L252" s="75" t="s">
        <v>137</v>
      </c>
      <c r="M252" s="82" t="s">
        <v>1589</v>
      </c>
      <c r="N252" s="74">
        <v>45882</v>
      </c>
      <c r="O252" s="76">
        <v>45884</v>
      </c>
      <c r="P252" s="83" t="s">
        <v>181</v>
      </c>
      <c r="Q252" s="84" t="s">
        <v>707</v>
      </c>
      <c r="R252" s="69" t="s">
        <v>140</v>
      </c>
      <c r="S252" s="72" t="s">
        <v>1590</v>
      </c>
      <c r="T252" s="79" t="s">
        <v>338</v>
      </c>
      <c r="U252" s="69" t="s">
        <v>1591</v>
      </c>
      <c r="V252" s="81" t="s">
        <v>52</v>
      </c>
      <c r="W252" s="76" t="s">
        <v>145</v>
      </c>
      <c r="X252" s="79" t="s">
        <v>338</v>
      </c>
      <c r="Y252" s="69">
        <v>1</v>
      </c>
      <c r="Z252" s="69">
        <v>1</v>
      </c>
      <c r="AA252" s="69">
        <v>1</v>
      </c>
      <c r="AB252" s="49">
        <f>IF(V252="TIPO I",'BASE DE LIQUIDACION 2025'!$B$3,'BASE DE LIQUIDACION 2025'!$B$4)</f>
        <v>11251.22416</v>
      </c>
      <c r="AC252" s="49">
        <f>IF(V252="TIPO I",'BASE DE LIQUIDACION 2025'!$C$3,'BASE DE LIQUIDACION 2025'!$C$4)</f>
        <v>126317.12212</v>
      </c>
      <c r="AD252" s="49">
        <f>IF(V252="TIPO I",'BASE DE LIQUIDACION 2025'!$D$3,'BASE DE LIQUIDACION 2025'!$D$4)</f>
        <v>57411.974240000003</v>
      </c>
      <c r="AE252" s="53">
        <f t="shared" si="5"/>
        <v>194980.32052000001</v>
      </c>
    </row>
    <row r="253" spans="1:31" s="46" customFormat="1" ht="12.75" customHeight="1">
      <c r="A253" s="69" t="s">
        <v>175</v>
      </c>
      <c r="B253" s="45" t="str">
        <f>VLOOKUP(A253,'CENTRO DE COSTOS'!A:D,4,FALSE)</f>
        <v>JUAN SEBASTIÁN RÍOS CASTRILLÓN</v>
      </c>
      <c r="C253" s="45" t="str">
        <f>VLOOKUP(A253,'CENTRO DE COSTOS'!A:D,2,FALSE)</f>
        <v>0004-0005</v>
      </c>
      <c r="D253" s="69">
        <v>5129</v>
      </c>
      <c r="E253" s="70" t="s">
        <v>1592</v>
      </c>
      <c r="F253" s="71">
        <v>81006</v>
      </c>
      <c r="G253" s="79" t="s">
        <v>132</v>
      </c>
      <c r="H253" s="73" t="s">
        <v>177</v>
      </c>
      <c r="I253" s="71" t="s">
        <v>178</v>
      </c>
      <c r="J253" s="81" t="s">
        <v>441</v>
      </c>
      <c r="K253" s="71" t="s">
        <v>1593</v>
      </c>
      <c r="L253" s="75" t="s">
        <v>137</v>
      </c>
      <c r="M253" s="82" t="s">
        <v>1594</v>
      </c>
      <c r="N253" s="74">
        <v>45882</v>
      </c>
      <c r="O253" s="76">
        <v>45884</v>
      </c>
      <c r="P253" s="83" t="s">
        <v>181</v>
      </c>
      <c r="Q253" s="84" t="s">
        <v>707</v>
      </c>
      <c r="R253" s="69" t="s">
        <v>140</v>
      </c>
      <c r="S253" s="72" t="s">
        <v>1595</v>
      </c>
      <c r="T253" s="79" t="s">
        <v>757</v>
      </c>
      <c r="U253" s="69" t="s">
        <v>1596</v>
      </c>
      <c r="V253" s="81" t="s">
        <v>52</v>
      </c>
      <c r="W253" s="76" t="s">
        <v>145</v>
      </c>
      <c r="X253" s="79" t="s">
        <v>757</v>
      </c>
      <c r="Y253" s="69">
        <v>1</v>
      </c>
      <c r="Z253" s="69">
        <v>1</v>
      </c>
      <c r="AA253" s="69">
        <v>1</v>
      </c>
      <c r="AB253" s="49">
        <f>IF(V253="TIPO I",'BASE DE LIQUIDACION 2025'!$B$3,'BASE DE LIQUIDACION 2025'!$B$4)</f>
        <v>11251.22416</v>
      </c>
      <c r="AC253" s="49">
        <f>IF(V253="TIPO I",'BASE DE LIQUIDACION 2025'!$C$3,'BASE DE LIQUIDACION 2025'!$C$4)</f>
        <v>126317.12212</v>
      </c>
      <c r="AD253" s="49">
        <f>IF(V253="TIPO I",'BASE DE LIQUIDACION 2025'!$D$3,'BASE DE LIQUIDACION 2025'!$D$4)</f>
        <v>57411.974240000003</v>
      </c>
      <c r="AE253" s="53">
        <f t="shared" si="5"/>
        <v>194980.32052000001</v>
      </c>
    </row>
    <row r="254" spans="1:31" s="46" customFormat="1" ht="12.75" customHeight="1">
      <c r="A254" s="69" t="s">
        <v>175</v>
      </c>
      <c r="B254" s="45" t="str">
        <f>VLOOKUP(A254,'CENTRO DE COSTOS'!A:D,4,FALSE)</f>
        <v>JUAN SEBASTIÁN RÍOS CASTRILLÓN</v>
      </c>
      <c r="C254" s="45" t="str">
        <f>VLOOKUP(A254,'CENTRO DE COSTOS'!A:D,2,FALSE)</f>
        <v>0004-0005</v>
      </c>
      <c r="D254" s="69">
        <v>5148</v>
      </c>
      <c r="E254" s="70" t="s">
        <v>1597</v>
      </c>
      <c r="F254" s="71">
        <v>81033</v>
      </c>
      <c r="G254" s="79" t="s">
        <v>132</v>
      </c>
      <c r="H254" s="73" t="s">
        <v>177</v>
      </c>
      <c r="I254" s="71" t="s">
        <v>178</v>
      </c>
      <c r="J254" s="81" t="s">
        <v>1356</v>
      </c>
      <c r="K254" s="71" t="s">
        <v>1598</v>
      </c>
      <c r="L254" s="75" t="s">
        <v>137</v>
      </c>
      <c r="M254" s="82" t="s">
        <v>1599</v>
      </c>
      <c r="N254" s="74">
        <v>45882</v>
      </c>
      <c r="O254" s="76">
        <v>45883</v>
      </c>
      <c r="P254" s="83" t="s">
        <v>181</v>
      </c>
      <c r="Q254" s="84" t="s">
        <v>182</v>
      </c>
      <c r="R254" s="69" t="s">
        <v>140</v>
      </c>
      <c r="S254" s="72" t="s">
        <v>1600</v>
      </c>
      <c r="T254" s="79" t="s">
        <v>338</v>
      </c>
      <c r="U254" s="69" t="s">
        <v>1601</v>
      </c>
      <c r="V254" s="81" t="s">
        <v>202</v>
      </c>
      <c r="W254" s="76" t="s">
        <v>145</v>
      </c>
      <c r="X254" s="79" t="s">
        <v>338</v>
      </c>
      <c r="Y254" s="69">
        <v>1</v>
      </c>
      <c r="Z254" s="69">
        <v>1</v>
      </c>
      <c r="AA254" s="69">
        <v>1</v>
      </c>
      <c r="AB254" s="49">
        <f>IF(V254="TIPO I",'BASE DE LIQUIDACION 2025'!$B$3,'BASE DE LIQUIDACION 2025'!$B$4)</f>
        <v>11251.22416</v>
      </c>
      <c r="AC254" s="49">
        <f>IF(V254="TIPO I",'BASE DE LIQUIDACION 2025'!$C$3,'BASE DE LIQUIDACION 2025'!$C$4)</f>
        <v>126317.12212</v>
      </c>
      <c r="AD254" s="49">
        <f>IF(V254="TIPO I",'BASE DE LIQUIDACION 2025'!$D$3,'BASE DE LIQUIDACION 2025'!$D$4)</f>
        <v>110808.27512000001</v>
      </c>
      <c r="AE254" s="53">
        <f t="shared" si="5"/>
        <v>248376.6214</v>
      </c>
    </row>
    <row r="255" spans="1:31" s="46" customFormat="1" ht="12.75" customHeight="1">
      <c r="A255" s="69" t="s">
        <v>175</v>
      </c>
      <c r="B255" s="45" t="str">
        <f>VLOOKUP(A255,'CENTRO DE COSTOS'!A:D,4,FALSE)</f>
        <v>JUAN SEBASTIÁN RÍOS CASTRILLÓN</v>
      </c>
      <c r="C255" s="45" t="str">
        <f>VLOOKUP(A255,'CENTRO DE COSTOS'!A:D,2,FALSE)</f>
        <v>0004-0005</v>
      </c>
      <c r="D255" s="69">
        <v>5376</v>
      </c>
      <c r="E255" s="70" t="s">
        <v>1602</v>
      </c>
      <c r="F255" s="71">
        <v>81035</v>
      </c>
      <c r="G255" s="79" t="s">
        <v>132</v>
      </c>
      <c r="H255" s="73" t="s">
        <v>177</v>
      </c>
      <c r="I255" s="71" t="s">
        <v>178</v>
      </c>
      <c r="J255" s="81" t="s">
        <v>1603</v>
      </c>
      <c r="K255" s="71" t="s">
        <v>1604</v>
      </c>
      <c r="L255" s="75" t="s">
        <v>137</v>
      </c>
      <c r="M255" s="82" t="s">
        <v>1605</v>
      </c>
      <c r="N255" s="74">
        <v>45882</v>
      </c>
      <c r="O255" s="76">
        <v>45883</v>
      </c>
      <c r="P255" s="83" t="s">
        <v>181</v>
      </c>
      <c r="Q255" s="84" t="s">
        <v>182</v>
      </c>
      <c r="R255" s="69" t="s">
        <v>140</v>
      </c>
      <c r="S255" s="72" t="s">
        <v>1556</v>
      </c>
      <c r="T255" s="79" t="s">
        <v>674</v>
      </c>
      <c r="U255" s="69" t="s">
        <v>1606</v>
      </c>
      <c r="V255" s="81" t="s">
        <v>202</v>
      </c>
      <c r="W255" s="76" t="s">
        <v>145</v>
      </c>
      <c r="X255" s="79" t="s">
        <v>674</v>
      </c>
      <c r="Y255" s="69">
        <v>1</v>
      </c>
      <c r="Z255" s="69">
        <v>1</v>
      </c>
      <c r="AA255" s="69">
        <v>1</v>
      </c>
      <c r="AB255" s="49">
        <f>IF(V255="TIPO I",'BASE DE LIQUIDACION 2025'!$B$3,'BASE DE LIQUIDACION 2025'!$B$4)</f>
        <v>11251.22416</v>
      </c>
      <c r="AC255" s="49">
        <f>IF(V255="TIPO I",'BASE DE LIQUIDACION 2025'!$C$3,'BASE DE LIQUIDACION 2025'!$C$4)</f>
        <v>126317.12212</v>
      </c>
      <c r="AD255" s="49">
        <f>IF(V255="TIPO I",'BASE DE LIQUIDACION 2025'!$D$3,'BASE DE LIQUIDACION 2025'!$D$4)</f>
        <v>110808.27512000001</v>
      </c>
      <c r="AE255" s="53">
        <f t="shared" si="5"/>
        <v>248376.6214</v>
      </c>
    </row>
    <row r="256" spans="1:31" s="46" customFormat="1" ht="12.75" customHeight="1">
      <c r="A256" s="69" t="s">
        <v>345</v>
      </c>
      <c r="B256" s="45" t="str">
        <f>VLOOKUP(A256,'CENTRO DE COSTOS'!A:D,4,FALSE)</f>
        <v>JOSE MAURICIO HERNANDEZ ROJAS</v>
      </c>
      <c r="C256" s="45" t="str">
        <f>VLOOKUP(A256,'CENTRO DE COSTOS'!A:D,2,FALSE)</f>
        <v>0004-0001</v>
      </c>
      <c r="D256" s="69">
        <v>8001</v>
      </c>
      <c r="E256" s="70" t="s">
        <v>1607</v>
      </c>
      <c r="F256" s="71">
        <v>80994</v>
      </c>
      <c r="G256" s="79" t="s">
        <v>132</v>
      </c>
      <c r="H256" s="73" t="s">
        <v>177</v>
      </c>
      <c r="I256" s="71" t="s">
        <v>347</v>
      </c>
      <c r="J256" s="81" t="s">
        <v>345</v>
      </c>
      <c r="K256" s="71" t="s">
        <v>1608</v>
      </c>
      <c r="L256" s="75" t="s">
        <v>137</v>
      </c>
      <c r="M256" s="82" t="s">
        <v>1609</v>
      </c>
      <c r="N256" s="74">
        <v>45882</v>
      </c>
      <c r="O256" s="76">
        <v>45883</v>
      </c>
      <c r="P256" s="83" t="s">
        <v>181</v>
      </c>
      <c r="Q256" s="84" t="s">
        <v>182</v>
      </c>
      <c r="R256" s="69" t="s">
        <v>140</v>
      </c>
      <c r="S256" s="72" t="s">
        <v>1556</v>
      </c>
      <c r="T256" s="79" t="s">
        <v>773</v>
      </c>
      <c r="U256" s="69" t="s">
        <v>1610</v>
      </c>
      <c r="V256" s="81" t="s">
        <v>52</v>
      </c>
      <c r="W256" s="76" t="s">
        <v>145</v>
      </c>
      <c r="X256" s="79" t="s">
        <v>773</v>
      </c>
      <c r="Y256" s="69">
        <v>1</v>
      </c>
      <c r="Z256" s="69">
        <v>1</v>
      </c>
      <c r="AA256" s="69">
        <v>1</v>
      </c>
      <c r="AB256" s="49">
        <f>IF(V256="TIPO I",'BASE DE LIQUIDACION 2025'!$B$3,'BASE DE LIQUIDACION 2025'!$B$4)</f>
        <v>11251.22416</v>
      </c>
      <c r="AC256" s="49">
        <f>IF(V256="TIPO I",'BASE DE LIQUIDACION 2025'!$C$3,'BASE DE LIQUIDACION 2025'!$C$4)</f>
        <v>126317.12212</v>
      </c>
      <c r="AD256" s="49">
        <f>IF(V256="TIPO I",'BASE DE LIQUIDACION 2025'!$D$3,'BASE DE LIQUIDACION 2025'!$D$4)</f>
        <v>57411.974240000003</v>
      </c>
      <c r="AE256" s="53">
        <f t="shared" si="5"/>
        <v>194980.32052000001</v>
      </c>
    </row>
    <row r="257" spans="1:31" s="46" customFormat="1" ht="12.75" customHeight="1">
      <c r="A257" s="69" t="s">
        <v>203</v>
      </c>
      <c r="B257" s="45" t="str">
        <f>VLOOKUP(A257,'CENTRO DE COSTOS'!A:D,4,FALSE)</f>
        <v>MIGUEL JULIÁN HERNÁNDEZ GUARÍN</v>
      </c>
      <c r="C257" s="45" t="str">
        <f>VLOOKUP(A257,'CENTRO DE COSTOS'!A:D,2,FALSE)</f>
        <v>0004-0008</v>
      </c>
      <c r="D257" s="69">
        <v>15238</v>
      </c>
      <c r="E257" s="70" t="s">
        <v>1611</v>
      </c>
      <c r="F257" s="71">
        <v>81011</v>
      </c>
      <c r="G257" s="79" t="s">
        <v>132</v>
      </c>
      <c r="H257" s="73" t="s">
        <v>177</v>
      </c>
      <c r="I257" s="71" t="s">
        <v>205</v>
      </c>
      <c r="J257" s="81" t="s">
        <v>591</v>
      </c>
      <c r="K257" s="71" t="s">
        <v>1612</v>
      </c>
      <c r="L257" s="75" t="s">
        <v>137</v>
      </c>
      <c r="M257" s="82" t="s">
        <v>1613</v>
      </c>
      <c r="N257" s="74">
        <v>45882</v>
      </c>
      <c r="O257" s="76">
        <v>45884</v>
      </c>
      <c r="P257" s="83" t="s">
        <v>181</v>
      </c>
      <c r="Q257" s="84" t="s">
        <v>182</v>
      </c>
      <c r="R257" s="69" t="s">
        <v>140</v>
      </c>
      <c r="S257" s="72" t="s">
        <v>1595</v>
      </c>
      <c r="T257" s="79" t="s">
        <v>595</v>
      </c>
      <c r="U257" s="69" t="s">
        <v>1614</v>
      </c>
      <c r="V257" s="81" t="s">
        <v>202</v>
      </c>
      <c r="W257" s="76" t="s">
        <v>145</v>
      </c>
      <c r="X257" s="79" t="s">
        <v>595</v>
      </c>
      <c r="Y257" s="69">
        <v>1</v>
      </c>
      <c r="Z257" s="69">
        <v>1</v>
      </c>
      <c r="AA257" s="69">
        <v>1</v>
      </c>
      <c r="AB257" s="49">
        <f>IF(V257="TIPO I",'BASE DE LIQUIDACION 2025'!$B$3,'BASE DE LIQUIDACION 2025'!$B$4)</f>
        <v>11251.22416</v>
      </c>
      <c r="AC257" s="49">
        <f>IF(V257="TIPO I",'BASE DE LIQUIDACION 2025'!$C$3,'BASE DE LIQUIDACION 2025'!$C$4)</f>
        <v>126317.12212</v>
      </c>
      <c r="AD257" s="49">
        <f>IF(V257="TIPO I",'BASE DE LIQUIDACION 2025'!$D$3,'BASE DE LIQUIDACION 2025'!$D$4)</f>
        <v>110808.27512000001</v>
      </c>
      <c r="AE257" s="53">
        <f t="shared" si="5"/>
        <v>248376.6214</v>
      </c>
    </row>
    <row r="258" spans="1:31" s="46" customFormat="1" ht="12.75" customHeight="1">
      <c r="A258" s="69" t="s">
        <v>203</v>
      </c>
      <c r="B258" s="45" t="str">
        <f>VLOOKUP(A258,'CENTRO DE COSTOS'!A:D,4,FALSE)</f>
        <v>MIGUEL JULIÁN HERNÁNDEZ GUARÍN</v>
      </c>
      <c r="C258" s="45" t="str">
        <f>VLOOKUP(A258,'CENTRO DE COSTOS'!A:D,2,FALSE)</f>
        <v>0004-0008</v>
      </c>
      <c r="D258" s="69">
        <v>15238</v>
      </c>
      <c r="E258" s="70" t="s">
        <v>1615</v>
      </c>
      <c r="F258" s="71">
        <v>81012</v>
      </c>
      <c r="G258" s="79" t="s">
        <v>132</v>
      </c>
      <c r="H258" s="73" t="s">
        <v>177</v>
      </c>
      <c r="I258" s="71" t="s">
        <v>205</v>
      </c>
      <c r="J258" s="81" t="s">
        <v>591</v>
      </c>
      <c r="K258" s="71" t="s">
        <v>1616</v>
      </c>
      <c r="L258" s="75" t="s">
        <v>137</v>
      </c>
      <c r="M258" s="82" t="s">
        <v>1617</v>
      </c>
      <c r="N258" s="74">
        <v>45882</v>
      </c>
      <c r="O258" s="76">
        <v>45884</v>
      </c>
      <c r="P258" s="83" t="s">
        <v>181</v>
      </c>
      <c r="Q258" s="84" t="s">
        <v>182</v>
      </c>
      <c r="R258" s="69" t="s">
        <v>140</v>
      </c>
      <c r="S258" s="72" t="s">
        <v>1595</v>
      </c>
      <c r="T258" s="79" t="s">
        <v>595</v>
      </c>
      <c r="U258" s="69" t="s">
        <v>1618</v>
      </c>
      <c r="V258" s="81" t="s">
        <v>202</v>
      </c>
      <c r="W258" s="76" t="s">
        <v>145</v>
      </c>
      <c r="X258" s="79" t="s">
        <v>595</v>
      </c>
      <c r="Y258" s="69">
        <v>1</v>
      </c>
      <c r="Z258" s="69">
        <v>1</v>
      </c>
      <c r="AA258" s="69">
        <v>1</v>
      </c>
      <c r="AB258" s="49">
        <f>IF(V258="TIPO I",'BASE DE LIQUIDACION 2025'!$B$3,'BASE DE LIQUIDACION 2025'!$B$4)</f>
        <v>11251.22416</v>
      </c>
      <c r="AC258" s="49">
        <f>IF(V258="TIPO I",'BASE DE LIQUIDACION 2025'!$C$3,'BASE DE LIQUIDACION 2025'!$C$4)</f>
        <v>126317.12212</v>
      </c>
      <c r="AD258" s="49">
        <f>IF(V258="TIPO I",'BASE DE LIQUIDACION 2025'!$D$3,'BASE DE LIQUIDACION 2025'!$D$4)</f>
        <v>110808.27512000001</v>
      </c>
      <c r="AE258" s="53">
        <f t="shared" si="5"/>
        <v>248376.6214</v>
      </c>
    </row>
    <row r="259" spans="1:31" s="46" customFormat="1" ht="12.75" customHeight="1">
      <c r="A259" s="69" t="s">
        <v>203</v>
      </c>
      <c r="B259" s="45" t="str">
        <f>VLOOKUP(A259,'CENTRO DE COSTOS'!A:D,4,FALSE)</f>
        <v>MIGUEL JULIÁN HERNÁNDEZ GUARÍN</v>
      </c>
      <c r="C259" s="45" t="str">
        <f>VLOOKUP(A259,'CENTRO DE COSTOS'!A:D,2,FALSE)</f>
        <v>0004-0008</v>
      </c>
      <c r="D259" s="69">
        <v>15686</v>
      </c>
      <c r="E259" s="70" t="s">
        <v>1619</v>
      </c>
      <c r="F259" s="71">
        <v>81025</v>
      </c>
      <c r="G259" s="79" t="s">
        <v>132</v>
      </c>
      <c r="H259" s="73" t="s">
        <v>177</v>
      </c>
      <c r="I259" s="71" t="s">
        <v>205</v>
      </c>
      <c r="J259" s="81" t="s">
        <v>1620</v>
      </c>
      <c r="K259" s="71" t="s">
        <v>1621</v>
      </c>
      <c r="L259" s="75" t="s">
        <v>137</v>
      </c>
      <c r="M259" s="82" t="s">
        <v>1622</v>
      </c>
      <c r="N259" s="74">
        <v>45882</v>
      </c>
      <c r="O259" s="76">
        <v>45884</v>
      </c>
      <c r="P259" s="83" t="s">
        <v>181</v>
      </c>
      <c r="Q259" s="84" t="s">
        <v>182</v>
      </c>
      <c r="R259" s="69" t="s">
        <v>140</v>
      </c>
      <c r="S259" s="72" t="s">
        <v>1565</v>
      </c>
      <c r="T259" s="79" t="s">
        <v>520</v>
      </c>
      <c r="U259" s="69" t="s">
        <v>1623</v>
      </c>
      <c r="V259" s="81" t="s">
        <v>230</v>
      </c>
      <c r="W259" s="76" t="s">
        <v>145</v>
      </c>
      <c r="X259" s="79" t="s">
        <v>520</v>
      </c>
      <c r="Y259" s="69">
        <v>1</v>
      </c>
      <c r="Z259" s="69">
        <v>1</v>
      </c>
      <c r="AA259" s="69">
        <v>1</v>
      </c>
      <c r="AB259" s="49">
        <f>IF(V259="TIPO I",'BASE DE LIQUIDACION 2025'!$B$3,'BASE DE LIQUIDACION 2025'!$B$4)</f>
        <v>11251.22416</v>
      </c>
      <c r="AC259" s="49">
        <f>IF(V259="TIPO I",'BASE DE LIQUIDACION 2025'!$C$3,'BASE DE LIQUIDACION 2025'!$C$4)</f>
        <v>126317.12212</v>
      </c>
      <c r="AD259" s="49">
        <f>IF(V259="TIPO I",'BASE DE LIQUIDACION 2025'!$D$3,'BASE DE LIQUIDACION 2025'!$D$4)</f>
        <v>110808.27512000001</v>
      </c>
      <c r="AE259" s="53">
        <f t="shared" si="5"/>
        <v>248376.6214</v>
      </c>
    </row>
    <row r="260" spans="1:31" s="46" customFormat="1" ht="12.75" customHeight="1">
      <c r="A260" s="69" t="s">
        <v>130</v>
      </c>
      <c r="B260" s="45" t="str">
        <f>VLOOKUP(A260,'CENTRO DE COSTOS'!A:D,4,FALSE)</f>
        <v>KEVIN ALEXIS CORZO BUSTOS</v>
      </c>
      <c r="C260" s="45" t="str">
        <f>VLOOKUP(A260,'CENTRO DE COSTOS'!A:D,2,FALSE)</f>
        <v>0004-0007</v>
      </c>
      <c r="D260" s="69">
        <v>18001</v>
      </c>
      <c r="E260" s="70" t="s">
        <v>1624</v>
      </c>
      <c r="F260" s="71">
        <v>81013</v>
      </c>
      <c r="G260" s="79" t="s">
        <v>132</v>
      </c>
      <c r="H260" s="73" t="s">
        <v>177</v>
      </c>
      <c r="I260" s="71" t="s">
        <v>134</v>
      </c>
      <c r="J260" s="81" t="s">
        <v>135</v>
      </c>
      <c r="K260" s="71" t="s">
        <v>1625</v>
      </c>
      <c r="L260" s="75" t="s">
        <v>137</v>
      </c>
      <c r="M260" s="82" t="s">
        <v>1626</v>
      </c>
      <c r="N260" s="74">
        <v>45882</v>
      </c>
      <c r="O260" s="76">
        <v>45883</v>
      </c>
      <c r="P260" s="83" t="s">
        <v>181</v>
      </c>
      <c r="Q260" s="84" t="s">
        <v>182</v>
      </c>
      <c r="R260" s="69" t="s">
        <v>549</v>
      </c>
      <c r="S260" s="72" t="s">
        <v>1627</v>
      </c>
      <c r="T260" s="79" t="s">
        <v>283</v>
      </c>
      <c r="U260" s="69" t="s">
        <v>1628</v>
      </c>
      <c r="V260" s="81" t="s">
        <v>144</v>
      </c>
      <c r="W260" s="76" t="s">
        <v>145</v>
      </c>
      <c r="X260" s="79" t="s">
        <v>283</v>
      </c>
      <c r="Y260" s="69">
        <v>0</v>
      </c>
      <c r="Z260" s="69">
        <v>0</v>
      </c>
      <c r="AA260" s="69">
        <v>2</v>
      </c>
      <c r="AB260" s="49">
        <f>IF(V260="TIPO I",'BASE DE LIQUIDACION 2025'!$B$3,'BASE DE LIQUIDACION 2025'!$B$4)</f>
        <v>11251.22416</v>
      </c>
      <c r="AC260" s="49">
        <f>IF(V260="TIPO I",'BASE DE LIQUIDACION 2025'!$C$3,'BASE DE LIQUIDACION 2025'!$C$4)</f>
        <v>126317.12212</v>
      </c>
      <c r="AD260" s="49">
        <f>IF(V260="TIPO I",'BASE DE LIQUIDACION 2025'!$D$3,'BASE DE LIQUIDACION 2025'!$D$4)</f>
        <v>110808.27512000001</v>
      </c>
      <c r="AE260" s="53">
        <f t="shared" si="5"/>
        <v>221616.55024000001</v>
      </c>
    </row>
    <row r="261" spans="1:31" s="46" customFormat="1" ht="12.75" customHeight="1">
      <c r="A261" s="69" t="s">
        <v>130</v>
      </c>
      <c r="B261" s="45" t="str">
        <f>VLOOKUP(A261,'CENTRO DE COSTOS'!A:D,4,FALSE)</f>
        <v>KEVIN ALEXIS CORZO BUSTOS</v>
      </c>
      <c r="C261" s="45" t="str">
        <f>VLOOKUP(A261,'CENTRO DE COSTOS'!A:D,2,FALSE)</f>
        <v>0004-0007</v>
      </c>
      <c r="D261" s="69">
        <v>18150</v>
      </c>
      <c r="E261" s="70" t="s">
        <v>1629</v>
      </c>
      <c r="F261" s="71">
        <v>81005</v>
      </c>
      <c r="G261" s="79" t="s">
        <v>132</v>
      </c>
      <c r="H261" s="73" t="s">
        <v>177</v>
      </c>
      <c r="I261" s="71" t="s">
        <v>134</v>
      </c>
      <c r="J261" s="81" t="s">
        <v>1630</v>
      </c>
      <c r="K261" s="71" t="s">
        <v>1631</v>
      </c>
      <c r="L261" s="75" t="s">
        <v>137</v>
      </c>
      <c r="M261" s="82" t="s">
        <v>1632</v>
      </c>
      <c r="N261" s="74">
        <v>45882</v>
      </c>
      <c r="O261" s="76">
        <v>45889</v>
      </c>
      <c r="P261" s="83" t="s">
        <v>181</v>
      </c>
      <c r="Q261" s="84" t="s">
        <v>182</v>
      </c>
      <c r="R261" s="69" t="s">
        <v>140</v>
      </c>
      <c r="S261" s="72" t="s">
        <v>1633</v>
      </c>
      <c r="T261" s="79" t="s">
        <v>283</v>
      </c>
      <c r="U261" s="69" t="s">
        <v>1634</v>
      </c>
      <c r="V261" s="81" t="s">
        <v>160</v>
      </c>
      <c r="W261" s="76" t="s">
        <v>145</v>
      </c>
      <c r="X261" s="79" t="s">
        <v>283</v>
      </c>
      <c r="Y261" s="69">
        <v>1</v>
      </c>
      <c r="Z261" s="69">
        <v>1</v>
      </c>
      <c r="AA261" s="69">
        <v>1</v>
      </c>
      <c r="AB261" s="49">
        <f>IF(V261="TIPO I",'BASE DE LIQUIDACION 2025'!$B$3,'BASE DE LIQUIDACION 2025'!$B$4)</f>
        <v>11251.22416</v>
      </c>
      <c r="AC261" s="49">
        <f>IF(V261="TIPO I",'BASE DE LIQUIDACION 2025'!$C$3,'BASE DE LIQUIDACION 2025'!$C$4)</f>
        <v>126317.12212</v>
      </c>
      <c r="AD261" s="49">
        <f>IF(V261="TIPO I",'BASE DE LIQUIDACION 2025'!$D$3,'BASE DE LIQUIDACION 2025'!$D$4)</f>
        <v>110808.27512000001</v>
      </c>
      <c r="AE261" s="53">
        <f t="shared" si="5"/>
        <v>248376.6214</v>
      </c>
    </row>
    <row r="262" spans="1:31" s="46" customFormat="1" ht="12.75" customHeight="1">
      <c r="A262" s="69" t="s">
        <v>130</v>
      </c>
      <c r="B262" s="45" t="str">
        <f>VLOOKUP(A262,'CENTRO DE COSTOS'!A:D,4,FALSE)</f>
        <v>KEVIN ALEXIS CORZO BUSTOS</v>
      </c>
      <c r="C262" s="45" t="str">
        <f>VLOOKUP(A262,'CENTRO DE COSTOS'!A:D,2,FALSE)</f>
        <v>0004-0007</v>
      </c>
      <c r="D262" s="69">
        <v>18460</v>
      </c>
      <c r="E262" s="70" t="s">
        <v>1635</v>
      </c>
      <c r="F262" s="71">
        <v>81016</v>
      </c>
      <c r="G262" s="79" t="s">
        <v>132</v>
      </c>
      <c r="H262" s="73" t="s">
        <v>177</v>
      </c>
      <c r="I262" s="71" t="s">
        <v>134</v>
      </c>
      <c r="J262" s="81" t="s">
        <v>1636</v>
      </c>
      <c r="K262" s="71" t="s">
        <v>1637</v>
      </c>
      <c r="L262" s="75" t="s">
        <v>137</v>
      </c>
      <c r="M262" s="82" t="s">
        <v>1638</v>
      </c>
      <c r="N262" s="74">
        <v>45882</v>
      </c>
      <c r="O262" s="76">
        <v>45884</v>
      </c>
      <c r="P262" s="83" t="s">
        <v>181</v>
      </c>
      <c r="Q262" s="84" t="s">
        <v>182</v>
      </c>
      <c r="R262" s="69" t="s">
        <v>140</v>
      </c>
      <c r="S262" s="72" t="s">
        <v>1565</v>
      </c>
      <c r="T262" s="79" t="s">
        <v>283</v>
      </c>
      <c r="U262" s="69" t="s">
        <v>1639</v>
      </c>
      <c r="V262" s="81" t="s">
        <v>144</v>
      </c>
      <c r="W262" s="76" t="s">
        <v>145</v>
      </c>
      <c r="X262" s="79" t="s">
        <v>283</v>
      </c>
      <c r="Y262" s="69">
        <v>1</v>
      </c>
      <c r="Z262" s="69">
        <v>1</v>
      </c>
      <c r="AA262" s="69">
        <v>1</v>
      </c>
      <c r="AB262" s="49">
        <f>IF(V262="TIPO I",'BASE DE LIQUIDACION 2025'!$B$3,'BASE DE LIQUIDACION 2025'!$B$4)</f>
        <v>11251.22416</v>
      </c>
      <c r="AC262" s="49">
        <f>IF(V262="TIPO I",'BASE DE LIQUIDACION 2025'!$C$3,'BASE DE LIQUIDACION 2025'!$C$4)</f>
        <v>126317.12212</v>
      </c>
      <c r="AD262" s="49">
        <f>IF(V262="TIPO I",'BASE DE LIQUIDACION 2025'!$D$3,'BASE DE LIQUIDACION 2025'!$D$4)</f>
        <v>110808.27512000001</v>
      </c>
      <c r="AE262" s="53">
        <f t="shared" si="5"/>
        <v>248376.6214</v>
      </c>
    </row>
    <row r="263" spans="1:31" s="46" customFormat="1" ht="12.75" customHeight="1">
      <c r="A263" s="69" t="s">
        <v>220</v>
      </c>
      <c r="B263" s="45" t="str">
        <f>VLOOKUP(A263,'CENTRO DE COSTOS'!A:D,4,FALSE)</f>
        <v>DIEGO FERNANDO HENAO CARDONA</v>
      </c>
      <c r="C263" s="45" t="str">
        <f>VLOOKUP(A263,'CENTRO DE COSTOS'!A:D,2,FALSE)</f>
        <v>0004-0003</v>
      </c>
      <c r="D263" s="69">
        <v>19001</v>
      </c>
      <c r="E263" s="70" t="s">
        <v>1640</v>
      </c>
      <c r="F263" s="71">
        <v>81023</v>
      </c>
      <c r="G263" s="79" t="s">
        <v>132</v>
      </c>
      <c r="H263" s="73" t="s">
        <v>177</v>
      </c>
      <c r="I263" s="71" t="s">
        <v>223</v>
      </c>
      <c r="J263" s="81" t="s">
        <v>1344</v>
      </c>
      <c r="K263" s="71" t="s">
        <v>1641</v>
      </c>
      <c r="L263" s="75" t="s">
        <v>137</v>
      </c>
      <c r="M263" s="82" t="s">
        <v>1642</v>
      </c>
      <c r="N263" s="74">
        <v>45882</v>
      </c>
      <c r="O263" s="76">
        <v>45883</v>
      </c>
      <c r="P263" s="83" t="s">
        <v>181</v>
      </c>
      <c r="Q263" s="84" t="s">
        <v>707</v>
      </c>
      <c r="R263" s="69" t="s">
        <v>140</v>
      </c>
      <c r="S263" s="72" t="s">
        <v>1556</v>
      </c>
      <c r="T263" s="79" t="s">
        <v>299</v>
      </c>
      <c r="U263" s="69" t="s">
        <v>1643</v>
      </c>
      <c r="V263" s="81" t="s">
        <v>230</v>
      </c>
      <c r="W263" s="76" t="s">
        <v>145</v>
      </c>
      <c r="X263" s="79" t="s">
        <v>299</v>
      </c>
      <c r="Y263" s="69">
        <v>1</v>
      </c>
      <c r="Z263" s="69">
        <v>1</v>
      </c>
      <c r="AA263" s="69">
        <v>1</v>
      </c>
      <c r="AB263" s="49">
        <f>IF(V263="TIPO I",'BASE DE LIQUIDACION 2025'!$B$3,'BASE DE LIQUIDACION 2025'!$B$4)</f>
        <v>11251.22416</v>
      </c>
      <c r="AC263" s="49">
        <f>IF(V263="TIPO I",'BASE DE LIQUIDACION 2025'!$C$3,'BASE DE LIQUIDACION 2025'!$C$4)</f>
        <v>126317.12212</v>
      </c>
      <c r="AD263" s="49">
        <f>IF(V263="TIPO I",'BASE DE LIQUIDACION 2025'!$D$3,'BASE DE LIQUIDACION 2025'!$D$4)</f>
        <v>110808.27512000001</v>
      </c>
      <c r="AE263" s="53">
        <f t="shared" si="5"/>
        <v>248376.6214</v>
      </c>
    </row>
    <row r="264" spans="1:31" s="46" customFormat="1" ht="12.75" customHeight="1">
      <c r="A264" s="69" t="s">
        <v>379</v>
      </c>
      <c r="B264" s="45" t="str">
        <f>VLOOKUP(A264,'CENTRO DE COSTOS'!A:D,4,FALSE)</f>
        <v>JOSE MAURICIO HERNANDEZ ROJAS</v>
      </c>
      <c r="C264" s="45" t="str">
        <f>VLOOKUP(A264,'CENTRO DE COSTOS'!A:D,2,FALSE)</f>
        <v>0004-0001</v>
      </c>
      <c r="D264" s="69">
        <v>23555</v>
      </c>
      <c r="E264" s="70" t="s">
        <v>1644</v>
      </c>
      <c r="F264" s="71">
        <v>81021</v>
      </c>
      <c r="G264" s="79" t="s">
        <v>132</v>
      </c>
      <c r="H264" s="73" t="s">
        <v>177</v>
      </c>
      <c r="I264" s="71" t="s">
        <v>381</v>
      </c>
      <c r="J264" s="81" t="s">
        <v>1645</v>
      </c>
      <c r="K264" s="71" t="s">
        <v>1646</v>
      </c>
      <c r="L264" s="75" t="s">
        <v>137</v>
      </c>
      <c r="M264" s="82" t="s">
        <v>1647</v>
      </c>
      <c r="N264" s="74">
        <v>45882</v>
      </c>
      <c r="O264" s="76">
        <v>45885</v>
      </c>
      <c r="P264" s="83" t="s">
        <v>181</v>
      </c>
      <c r="Q264" s="84" t="s">
        <v>182</v>
      </c>
      <c r="R264" s="69" t="s">
        <v>140</v>
      </c>
      <c r="S264" s="72" t="s">
        <v>1648</v>
      </c>
      <c r="T264" s="79" t="s">
        <v>385</v>
      </c>
      <c r="U264" s="69" t="s">
        <v>1649</v>
      </c>
      <c r="V264" s="81" t="s">
        <v>202</v>
      </c>
      <c r="W264" s="76" t="s">
        <v>145</v>
      </c>
      <c r="X264" s="79" t="s">
        <v>385</v>
      </c>
      <c r="Y264" s="69">
        <v>1</v>
      </c>
      <c r="Z264" s="69">
        <v>1</v>
      </c>
      <c r="AA264" s="69">
        <v>1</v>
      </c>
      <c r="AB264" s="49">
        <f>IF(V264="TIPO I",'BASE DE LIQUIDACION 2025'!$B$3,'BASE DE LIQUIDACION 2025'!$B$4)</f>
        <v>11251.22416</v>
      </c>
      <c r="AC264" s="49">
        <f>IF(V264="TIPO I",'BASE DE LIQUIDACION 2025'!$C$3,'BASE DE LIQUIDACION 2025'!$C$4)</f>
        <v>126317.12212</v>
      </c>
      <c r="AD264" s="49">
        <f>IF(V264="TIPO I",'BASE DE LIQUIDACION 2025'!$D$3,'BASE DE LIQUIDACION 2025'!$D$4)</f>
        <v>110808.27512000001</v>
      </c>
      <c r="AE264" s="53">
        <f t="shared" si="5"/>
        <v>248376.6214</v>
      </c>
    </row>
    <row r="265" spans="1:31" s="46" customFormat="1" ht="12.75" customHeight="1">
      <c r="A265" s="69" t="s">
        <v>379</v>
      </c>
      <c r="B265" s="45" t="str">
        <f>VLOOKUP(A265,'CENTRO DE COSTOS'!A:D,4,FALSE)</f>
        <v>JOSE MAURICIO HERNANDEZ ROJAS</v>
      </c>
      <c r="C265" s="45" t="str">
        <f>VLOOKUP(A265,'CENTRO DE COSTOS'!A:D,2,FALSE)</f>
        <v>0004-0001</v>
      </c>
      <c r="D265" s="69">
        <v>23555</v>
      </c>
      <c r="E265" s="70" t="s">
        <v>1650</v>
      </c>
      <c r="F265" s="71">
        <v>81022</v>
      </c>
      <c r="G265" s="79" t="s">
        <v>132</v>
      </c>
      <c r="H265" s="73" t="s">
        <v>177</v>
      </c>
      <c r="I265" s="71" t="s">
        <v>381</v>
      </c>
      <c r="J265" s="81" t="s">
        <v>1645</v>
      </c>
      <c r="K265" s="71" t="s">
        <v>1651</v>
      </c>
      <c r="L265" s="75" t="s">
        <v>137</v>
      </c>
      <c r="M265" s="82" t="s">
        <v>1652</v>
      </c>
      <c r="N265" s="74">
        <v>45882</v>
      </c>
      <c r="O265" s="76">
        <v>45884</v>
      </c>
      <c r="P265" s="83" t="s">
        <v>181</v>
      </c>
      <c r="Q265" s="84" t="s">
        <v>182</v>
      </c>
      <c r="R265" s="69" t="s">
        <v>140</v>
      </c>
      <c r="S265" s="72" t="s">
        <v>1565</v>
      </c>
      <c r="T265" s="79" t="s">
        <v>385</v>
      </c>
      <c r="U265" s="69" t="s">
        <v>1653</v>
      </c>
      <c r="V265" s="81" t="s">
        <v>202</v>
      </c>
      <c r="W265" s="76" t="s">
        <v>145</v>
      </c>
      <c r="X265" s="79" t="s">
        <v>385</v>
      </c>
      <c r="Y265" s="69">
        <v>1</v>
      </c>
      <c r="Z265" s="69">
        <v>1</v>
      </c>
      <c r="AA265" s="69">
        <v>1</v>
      </c>
      <c r="AB265" s="49">
        <f>IF(V265="TIPO I",'BASE DE LIQUIDACION 2025'!$B$3,'BASE DE LIQUIDACION 2025'!$B$4)</f>
        <v>11251.22416</v>
      </c>
      <c r="AC265" s="49">
        <f>IF(V265="TIPO I",'BASE DE LIQUIDACION 2025'!$C$3,'BASE DE LIQUIDACION 2025'!$C$4)</f>
        <v>126317.12212</v>
      </c>
      <c r="AD265" s="49">
        <f>IF(V265="TIPO I",'BASE DE LIQUIDACION 2025'!$D$3,'BASE DE LIQUIDACION 2025'!$D$4)</f>
        <v>110808.27512000001</v>
      </c>
      <c r="AE265" s="53">
        <f t="shared" si="5"/>
        <v>248376.6214</v>
      </c>
    </row>
    <row r="266" spans="1:31" s="46" customFormat="1" ht="12.75" customHeight="1">
      <c r="A266" s="69" t="s">
        <v>608</v>
      </c>
      <c r="B266" s="45" t="str">
        <f>VLOOKUP(A266,'CENTRO DE COSTOS'!A:D,4,FALSE)</f>
        <v>JUAN SEBASTIÁN RÍOS CASTRILLÓN</v>
      </c>
      <c r="C266" s="45" t="str">
        <f>VLOOKUP(A266,'CENTRO DE COSTOS'!A:D,2,FALSE)</f>
        <v>0004-0005</v>
      </c>
      <c r="D266" s="69">
        <v>27006</v>
      </c>
      <c r="E266" s="70" t="s">
        <v>1654</v>
      </c>
      <c r="F266" s="71">
        <v>80990</v>
      </c>
      <c r="G266" s="79" t="s">
        <v>132</v>
      </c>
      <c r="H266" s="73" t="s">
        <v>177</v>
      </c>
      <c r="I266" s="71" t="s">
        <v>1362</v>
      </c>
      <c r="J266" s="81" t="s">
        <v>1655</v>
      </c>
      <c r="K266" s="71" t="s">
        <v>1656</v>
      </c>
      <c r="L266" s="75" t="s">
        <v>137</v>
      </c>
      <c r="M266" s="82" t="s">
        <v>1657</v>
      </c>
      <c r="N266" s="74">
        <v>45882</v>
      </c>
      <c r="O266" s="76">
        <v>45890</v>
      </c>
      <c r="P266" s="83" t="s">
        <v>181</v>
      </c>
      <c r="Q266" s="84" t="s">
        <v>182</v>
      </c>
      <c r="R266" s="69" t="s">
        <v>140</v>
      </c>
      <c r="S266" s="72" t="s">
        <v>1658</v>
      </c>
      <c r="T266" s="79" t="s">
        <v>614</v>
      </c>
      <c r="U266" s="69" t="s">
        <v>1659</v>
      </c>
      <c r="V266" s="81" t="s">
        <v>160</v>
      </c>
      <c r="W266" s="76" t="s">
        <v>1369</v>
      </c>
      <c r="X266" s="79" t="s">
        <v>614</v>
      </c>
      <c r="Y266" s="69">
        <v>1</v>
      </c>
      <c r="Z266" s="69">
        <v>1</v>
      </c>
      <c r="AA266" s="69">
        <v>1</v>
      </c>
      <c r="AB266" s="49">
        <f>IF(V266="TIPO I",'BASE DE LIQUIDACION 2025'!$B$3,'BASE DE LIQUIDACION 2025'!$B$4)</f>
        <v>11251.22416</v>
      </c>
      <c r="AC266" s="49">
        <f>IF(V266="TIPO I",'BASE DE LIQUIDACION 2025'!$C$3,'BASE DE LIQUIDACION 2025'!$C$4)</f>
        <v>126317.12212</v>
      </c>
      <c r="AD266" s="49">
        <f>IF(V266="TIPO I",'BASE DE LIQUIDACION 2025'!$D$3,'BASE DE LIQUIDACION 2025'!$D$4)</f>
        <v>110808.27512000001</v>
      </c>
      <c r="AE266" s="53">
        <f t="shared" si="5"/>
        <v>248376.6214</v>
      </c>
    </row>
    <row r="267" spans="1:31" s="46" customFormat="1" ht="12.75" customHeight="1">
      <c r="A267" s="69" t="s">
        <v>608</v>
      </c>
      <c r="B267" s="45" t="str">
        <f>VLOOKUP(A267,'CENTRO DE COSTOS'!A:D,4,FALSE)</f>
        <v>JUAN SEBASTIÁN RÍOS CASTRILLÓN</v>
      </c>
      <c r="C267" s="45" t="str">
        <f>VLOOKUP(A267,'CENTRO DE COSTOS'!A:D,2,FALSE)</f>
        <v>0004-0005</v>
      </c>
      <c r="D267" s="69">
        <v>27615</v>
      </c>
      <c r="E267" s="70" t="s">
        <v>1660</v>
      </c>
      <c r="F267" s="71">
        <v>80997</v>
      </c>
      <c r="G267" s="79" t="s">
        <v>132</v>
      </c>
      <c r="H267" s="73" t="s">
        <v>177</v>
      </c>
      <c r="I267" s="71" t="s">
        <v>1362</v>
      </c>
      <c r="J267" s="81" t="s">
        <v>1661</v>
      </c>
      <c r="K267" s="71" t="s">
        <v>1662</v>
      </c>
      <c r="L267" s="75" t="s">
        <v>137</v>
      </c>
      <c r="M267" s="82" t="s">
        <v>1663</v>
      </c>
      <c r="N267" s="74">
        <v>45882</v>
      </c>
      <c r="O267" s="76">
        <v>45894</v>
      </c>
      <c r="P267" s="83" t="s">
        <v>181</v>
      </c>
      <c r="Q267" s="84" t="s">
        <v>182</v>
      </c>
      <c r="R267" s="69" t="s">
        <v>140</v>
      </c>
      <c r="S267" s="72" t="s">
        <v>1664</v>
      </c>
      <c r="T267" s="79" t="s">
        <v>614</v>
      </c>
      <c r="U267" s="69" t="s">
        <v>1665</v>
      </c>
      <c r="V267" s="81" t="s">
        <v>160</v>
      </c>
      <c r="W267" s="76" t="s">
        <v>278</v>
      </c>
      <c r="X267" s="79" t="s">
        <v>614</v>
      </c>
      <c r="Y267" s="69">
        <v>1</v>
      </c>
      <c r="Z267" s="69">
        <v>1</v>
      </c>
      <c r="AA267" s="69">
        <v>1</v>
      </c>
      <c r="AB267" s="49">
        <f>IF(V267="TIPO I",'BASE DE LIQUIDACION 2025'!$B$3,'BASE DE LIQUIDACION 2025'!$B$4)</f>
        <v>11251.22416</v>
      </c>
      <c r="AC267" s="49">
        <f>IF(V267="TIPO I",'BASE DE LIQUIDACION 2025'!$C$3,'BASE DE LIQUIDACION 2025'!$C$4)</f>
        <v>126317.12212</v>
      </c>
      <c r="AD267" s="49">
        <f>IF(V267="TIPO I",'BASE DE LIQUIDACION 2025'!$D$3,'BASE DE LIQUIDACION 2025'!$D$4)</f>
        <v>110808.27512000001</v>
      </c>
      <c r="AE267" s="53">
        <f t="shared" si="5"/>
        <v>248376.6214</v>
      </c>
    </row>
    <row r="268" spans="1:31" s="46" customFormat="1" ht="12.75" customHeight="1">
      <c r="A268" s="69" t="s">
        <v>130</v>
      </c>
      <c r="B268" s="45" t="str">
        <f>VLOOKUP(A268,'CENTRO DE COSTOS'!A:D,4,FALSE)</f>
        <v>KEVIN ALEXIS CORZO BUSTOS</v>
      </c>
      <c r="C268" s="45" t="str">
        <f>VLOOKUP(A268,'CENTRO DE COSTOS'!A:D,2,FALSE)</f>
        <v>0004-0007</v>
      </c>
      <c r="D268" s="69">
        <v>41016</v>
      </c>
      <c r="E268" s="70" t="s">
        <v>1666</v>
      </c>
      <c r="F268" s="71">
        <v>80991</v>
      </c>
      <c r="G268" s="79" t="s">
        <v>132</v>
      </c>
      <c r="H268" s="73" t="s">
        <v>177</v>
      </c>
      <c r="I268" s="71" t="s">
        <v>213</v>
      </c>
      <c r="J268" s="81" t="s">
        <v>1667</v>
      </c>
      <c r="K268" s="71" t="s">
        <v>1668</v>
      </c>
      <c r="L268" s="75" t="s">
        <v>137</v>
      </c>
      <c r="M268" s="82" t="s">
        <v>1669</v>
      </c>
      <c r="N268" s="74">
        <v>45882</v>
      </c>
      <c r="O268" s="76">
        <v>45883</v>
      </c>
      <c r="P268" s="83" t="s">
        <v>181</v>
      </c>
      <c r="Q268" s="84" t="s">
        <v>182</v>
      </c>
      <c r="R268" s="69" t="s">
        <v>140</v>
      </c>
      <c r="S268" s="72" t="s">
        <v>1556</v>
      </c>
      <c r="T268" s="79" t="s">
        <v>314</v>
      </c>
      <c r="U268" s="69" t="s">
        <v>1670</v>
      </c>
      <c r="V268" s="81" t="s">
        <v>202</v>
      </c>
      <c r="W268" s="76" t="s">
        <v>145</v>
      </c>
      <c r="X268" s="79" t="s">
        <v>314</v>
      </c>
      <c r="Y268" s="69">
        <v>1</v>
      </c>
      <c r="Z268" s="69">
        <v>1</v>
      </c>
      <c r="AA268" s="69">
        <v>1</v>
      </c>
      <c r="AB268" s="49">
        <f>IF(V268="TIPO I",'BASE DE LIQUIDACION 2025'!$B$3,'BASE DE LIQUIDACION 2025'!$B$4)</f>
        <v>11251.22416</v>
      </c>
      <c r="AC268" s="49">
        <f>IF(V268="TIPO I",'BASE DE LIQUIDACION 2025'!$C$3,'BASE DE LIQUIDACION 2025'!$C$4)</f>
        <v>126317.12212</v>
      </c>
      <c r="AD268" s="49">
        <f>IF(V268="TIPO I",'BASE DE LIQUIDACION 2025'!$D$3,'BASE DE LIQUIDACION 2025'!$D$4)</f>
        <v>110808.27512000001</v>
      </c>
      <c r="AE268" s="53">
        <f t="shared" si="5"/>
        <v>248376.6214</v>
      </c>
    </row>
    <row r="269" spans="1:31" s="46" customFormat="1" ht="12.75" customHeight="1">
      <c r="A269" s="69" t="s">
        <v>130</v>
      </c>
      <c r="B269" s="45" t="str">
        <f>VLOOKUP(A269,'CENTRO DE COSTOS'!A:D,4,FALSE)</f>
        <v>KEVIN ALEXIS CORZO BUSTOS</v>
      </c>
      <c r="C269" s="45" t="str">
        <f>VLOOKUP(A269,'CENTRO DE COSTOS'!A:D,2,FALSE)</f>
        <v>0004-0007</v>
      </c>
      <c r="D269" s="69">
        <v>41298</v>
      </c>
      <c r="E269" s="70" t="s">
        <v>1671</v>
      </c>
      <c r="F269" s="71">
        <v>81014</v>
      </c>
      <c r="G269" s="79" t="s">
        <v>132</v>
      </c>
      <c r="H269" s="73" t="s">
        <v>177</v>
      </c>
      <c r="I269" s="71" t="s">
        <v>213</v>
      </c>
      <c r="J269" s="81" t="s">
        <v>1672</v>
      </c>
      <c r="K269" s="71" t="s">
        <v>1673</v>
      </c>
      <c r="L269" s="75" t="s">
        <v>137</v>
      </c>
      <c r="M269" s="82" t="s">
        <v>1674</v>
      </c>
      <c r="N269" s="74">
        <v>45882</v>
      </c>
      <c r="O269" s="76">
        <v>45884</v>
      </c>
      <c r="P269" s="83" t="s">
        <v>181</v>
      </c>
      <c r="Q269" s="84" t="s">
        <v>182</v>
      </c>
      <c r="R269" s="69" t="s">
        <v>140</v>
      </c>
      <c r="S269" s="72" t="s">
        <v>1565</v>
      </c>
      <c r="T269" s="79" t="s">
        <v>314</v>
      </c>
      <c r="U269" s="69" t="s">
        <v>1675</v>
      </c>
      <c r="V269" s="81" t="s">
        <v>230</v>
      </c>
      <c r="W269" s="76" t="s">
        <v>145</v>
      </c>
      <c r="X269" s="79" t="s">
        <v>314</v>
      </c>
      <c r="Y269" s="69">
        <v>1</v>
      </c>
      <c r="Z269" s="69">
        <v>1</v>
      </c>
      <c r="AA269" s="69">
        <v>1</v>
      </c>
      <c r="AB269" s="49">
        <f>IF(V269="TIPO I",'BASE DE LIQUIDACION 2025'!$B$3,'BASE DE LIQUIDACION 2025'!$B$4)</f>
        <v>11251.22416</v>
      </c>
      <c r="AC269" s="49">
        <f>IF(V269="TIPO I",'BASE DE LIQUIDACION 2025'!$C$3,'BASE DE LIQUIDACION 2025'!$C$4)</f>
        <v>126317.12212</v>
      </c>
      <c r="AD269" s="49">
        <f>IF(V269="TIPO I",'BASE DE LIQUIDACION 2025'!$D$3,'BASE DE LIQUIDACION 2025'!$D$4)</f>
        <v>110808.27512000001</v>
      </c>
      <c r="AE269" s="53">
        <f t="shared" si="5"/>
        <v>248376.6214</v>
      </c>
    </row>
    <row r="270" spans="1:31" s="46" customFormat="1" ht="12.75" customHeight="1">
      <c r="A270" s="69" t="s">
        <v>1676</v>
      </c>
      <c r="B270" s="45" t="str">
        <f>VLOOKUP(A270,'CENTRO DE COSTOS'!A:D,4,FALSE)</f>
        <v>JOSE MAURICIO HERNANDEZ ROJAS</v>
      </c>
      <c r="C270" s="45" t="str">
        <f>VLOOKUP(A270,'CENTRO DE COSTOS'!A:D,2,FALSE)</f>
        <v>0004-0001</v>
      </c>
      <c r="D270" s="69">
        <v>44001</v>
      </c>
      <c r="E270" s="70" t="s">
        <v>1677</v>
      </c>
      <c r="F270" s="71">
        <v>81026</v>
      </c>
      <c r="G270" s="79" t="s">
        <v>132</v>
      </c>
      <c r="H270" s="73" t="s">
        <v>177</v>
      </c>
      <c r="I270" s="71" t="s">
        <v>1678</v>
      </c>
      <c r="J270" s="81" t="s">
        <v>1679</v>
      </c>
      <c r="K270" s="71" t="s">
        <v>1680</v>
      </c>
      <c r="L270" s="75" t="s">
        <v>137</v>
      </c>
      <c r="M270" s="82" t="s">
        <v>1681</v>
      </c>
      <c r="N270" s="74">
        <v>45882</v>
      </c>
      <c r="O270" s="76">
        <v>45883</v>
      </c>
      <c r="P270" s="83" t="s">
        <v>181</v>
      </c>
      <c r="Q270" s="84" t="s">
        <v>182</v>
      </c>
      <c r="R270" s="69" t="s">
        <v>140</v>
      </c>
      <c r="S270" s="72" t="s">
        <v>1556</v>
      </c>
      <c r="T270" s="79" t="s">
        <v>885</v>
      </c>
      <c r="U270" s="69" t="s">
        <v>1682</v>
      </c>
      <c r="V270" s="81" t="s">
        <v>230</v>
      </c>
      <c r="W270" s="76" t="s">
        <v>145</v>
      </c>
      <c r="X270" s="79" t="s">
        <v>885</v>
      </c>
      <c r="Y270" s="69">
        <v>1</v>
      </c>
      <c r="Z270" s="69">
        <v>1</v>
      </c>
      <c r="AA270" s="69">
        <v>1</v>
      </c>
      <c r="AB270" s="49">
        <f>IF(V270="TIPO I",'BASE DE LIQUIDACION 2025'!$B$3,'BASE DE LIQUIDACION 2025'!$B$4)</f>
        <v>11251.22416</v>
      </c>
      <c r="AC270" s="49">
        <f>IF(V270="TIPO I",'BASE DE LIQUIDACION 2025'!$C$3,'BASE DE LIQUIDACION 2025'!$C$4)</f>
        <v>126317.12212</v>
      </c>
      <c r="AD270" s="49">
        <f>IF(V270="TIPO I",'BASE DE LIQUIDACION 2025'!$D$3,'BASE DE LIQUIDACION 2025'!$D$4)</f>
        <v>110808.27512000001</v>
      </c>
      <c r="AE270" s="53">
        <f t="shared" si="5"/>
        <v>248376.6214</v>
      </c>
    </row>
    <row r="271" spans="1:31" s="46" customFormat="1" ht="12.75" customHeight="1">
      <c r="A271" s="69" t="s">
        <v>1676</v>
      </c>
      <c r="B271" s="45" t="str">
        <f>VLOOKUP(A271,'CENTRO DE COSTOS'!A:D,4,FALSE)</f>
        <v>JOSE MAURICIO HERNANDEZ ROJAS</v>
      </c>
      <c r="C271" s="45" t="str">
        <f>VLOOKUP(A271,'CENTRO DE COSTOS'!A:D,2,FALSE)</f>
        <v>0004-0001</v>
      </c>
      <c r="D271" s="69">
        <v>44001</v>
      </c>
      <c r="E271" s="70" t="s">
        <v>1683</v>
      </c>
      <c r="F271" s="71">
        <v>81027</v>
      </c>
      <c r="G271" s="79" t="s">
        <v>132</v>
      </c>
      <c r="H271" s="73" t="s">
        <v>177</v>
      </c>
      <c r="I271" s="71" t="s">
        <v>1678</v>
      </c>
      <c r="J271" s="81" t="s">
        <v>1679</v>
      </c>
      <c r="K271" s="71" t="s">
        <v>1684</v>
      </c>
      <c r="L271" s="75" t="s">
        <v>137</v>
      </c>
      <c r="M271" s="82" t="s">
        <v>1685</v>
      </c>
      <c r="N271" s="74">
        <v>45882</v>
      </c>
      <c r="O271" s="76">
        <v>45883</v>
      </c>
      <c r="P271" s="83" t="s">
        <v>181</v>
      </c>
      <c r="Q271" s="84" t="s">
        <v>182</v>
      </c>
      <c r="R271" s="69" t="s">
        <v>140</v>
      </c>
      <c r="S271" s="72" t="s">
        <v>1556</v>
      </c>
      <c r="T271" s="79" t="s">
        <v>885</v>
      </c>
      <c r="U271" s="69" t="s">
        <v>1686</v>
      </c>
      <c r="V271" s="81" t="s">
        <v>230</v>
      </c>
      <c r="W271" s="76" t="s">
        <v>145</v>
      </c>
      <c r="X271" s="79" t="s">
        <v>885</v>
      </c>
      <c r="Y271" s="69">
        <v>1</v>
      </c>
      <c r="Z271" s="69">
        <v>1</v>
      </c>
      <c r="AA271" s="69">
        <v>1</v>
      </c>
      <c r="AB271" s="49">
        <f>IF(V271="TIPO I",'BASE DE LIQUIDACION 2025'!$B$3,'BASE DE LIQUIDACION 2025'!$B$4)</f>
        <v>11251.22416</v>
      </c>
      <c r="AC271" s="49">
        <f>IF(V271="TIPO I",'BASE DE LIQUIDACION 2025'!$C$3,'BASE DE LIQUIDACION 2025'!$C$4)</f>
        <v>126317.12212</v>
      </c>
      <c r="AD271" s="49">
        <f>IF(V271="TIPO I",'BASE DE LIQUIDACION 2025'!$D$3,'BASE DE LIQUIDACION 2025'!$D$4)</f>
        <v>110808.27512000001</v>
      </c>
      <c r="AE271" s="53">
        <f t="shared" si="5"/>
        <v>248376.6214</v>
      </c>
    </row>
    <row r="272" spans="1:31" s="46" customFormat="1" ht="12.75" customHeight="1">
      <c r="A272" s="69" t="s">
        <v>1676</v>
      </c>
      <c r="B272" s="45" t="str">
        <f>VLOOKUP(A272,'CENTRO DE COSTOS'!A:D,4,FALSE)</f>
        <v>JOSE MAURICIO HERNANDEZ ROJAS</v>
      </c>
      <c r="C272" s="45" t="str">
        <f>VLOOKUP(A272,'CENTRO DE COSTOS'!A:D,2,FALSE)</f>
        <v>0004-0001</v>
      </c>
      <c r="D272" s="69">
        <v>44001</v>
      </c>
      <c r="E272" s="70" t="s">
        <v>1687</v>
      </c>
      <c r="F272" s="71">
        <v>81028</v>
      </c>
      <c r="G272" s="79" t="s">
        <v>132</v>
      </c>
      <c r="H272" s="73" t="s">
        <v>177</v>
      </c>
      <c r="I272" s="71" t="s">
        <v>1678</v>
      </c>
      <c r="J272" s="81" t="s">
        <v>1679</v>
      </c>
      <c r="K272" s="71" t="s">
        <v>1688</v>
      </c>
      <c r="L272" s="75" t="s">
        <v>137</v>
      </c>
      <c r="M272" s="82" t="s">
        <v>1689</v>
      </c>
      <c r="N272" s="74">
        <v>45882</v>
      </c>
      <c r="O272" s="76">
        <v>45884</v>
      </c>
      <c r="P272" s="83" t="s">
        <v>181</v>
      </c>
      <c r="Q272" s="84" t="s">
        <v>707</v>
      </c>
      <c r="R272" s="69" t="s">
        <v>140</v>
      </c>
      <c r="S272" s="72" t="s">
        <v>1565</v>
      </c>
      <c r="T272" s="79" t="s">
        <v>885</v>
      </c>
      <c r="U272" s="69" t="s">
        <v>1690</v>
      </c>
      <c r="V272" s="81" t="s">
        <v>230</v>
      </c>
      <c r="W272" s="76" t="s">
        <v>145</v>
      </c>
      <c r="X272" s="79" t="s">
        <v>885</v>
      </c>
      <c r="Y272" s="69">
        <v>1</v>
      </c>
      <c r="Z272" s="69">
        <v>1</v>
      </c>
      <c r="AA272" s="69">
        <v>1</v>
      </c>
      <c r="AB272" s="49">
        <f>IF(V272="TIPO I",'BASE DE LIQUIDACION 2025'!$B$3,'BASE DE LIQUIDACION 2025'!$B$4)</f>
        <v>11251.22416</v>
      </c>
      <c r="AC272" s="49">
        <f>IF(V272="TIPO I",'BASE DE LIQUIDACION 2025'!$C$3,'BASE DE LIQUIDACION 2025'!$C$4)</f>
        <v>126317.12212</v>
      </c>
      <c r="AD272" s="49">
        <f>IF(V272="TIPO I",'BASE DE LIQUIDACION 2025'!$D$3,'BASE DE LIQUIDACION 2025'!$D$4)</f>
        <v>110808.27512000001</v>
      </c>
      <c r="AE272" s="53">
        <f t="shared" si="5"/>
        <v>248376.6214</v>
      </c>
    </row>
    <row r="273" spans="1:31" s="46" customFormat="1" ht="12.75" customHeight="1">
      <c r="A273" s="69" t="s">
        <v>1676</v>
      </c>
      <c r="B273" s="45" t="str">
        <f>VLOOKUP(A273,'CENTRO DE COSTOS'!A:D,4,FALSE)</f>
        <v>JOSE MAURICIO HERNANDEZ ROJAS</v>
      </c>
      <c r="C273" s="45" t="str">
        <f>VLOOKUP(A273,'CENTRO DE COSTOS'!A:D,2,FALSE)</f>
        <v>0004-0001</v>
      </c>
      <c r="D273" s="69">
        <v>44090</v>
      </c>
      <c r="E273" s="70" t="s">
        <v>1691</v>
      </c>
      <c r="F273" s="71">
        <v>81010</v>
      </c>
      <c r="G273" s="79" t="s">
        <v>132</v>
      </c>
      <c r="H273" s="73" t="s">
        <v>177</v>
      </c>
      <c r="I273" s="71" t="s">
        <v>1678</v>
      </c>
      <c r="J273" s="81" t="s">
        <v>1692</v>
      </c>
      <c r="K273" s="71" t="s">
        <v>1693</v>
      </c>
      <c r="L273" s="75" t="s">
        <v>137</v>
      </c>
      <c r="M273" s="82" t="s">
        <v>1694</v>
      </c>
      <c r="N273" s="74">
        <v>45882</v>
      </c>
      <c r="O273" s="76">
        <v>45883</v>
      </c>
      <c r="P273" s="83" t="s">
        <v>181</v>
      </c>
      <c r="Q273" s="84" t="s">
        <v>182</v>
      </c>
      <c r="R273" s="69" t="s">
        <v>140</v>
      </c>
      <c r="S273" s="72" t="s">
        <v>1556</v>
      </c>
      <c r="T273" s="79" t="s">
        <v>1695</v>
      </c>
      <c r="U273" s="69" t="s">
        <v>1696</v>
      </c>
      <c r="V273" s="81" t="s">
        <v>230</v>
      </c>
      <c r="W273" s="76" t="s">
        <v>145</v>
      </c>
      <c r="X273" s="79" t="s">
        <v>1695</v>
      </c>
      <c r="Y273" s="69">
        <v>1</v>
      </c>
      <c r="Z273" s="69">
        <v>1</v>
      </c>
      <c r="AA273" s="69">
        <v>1</v>
      </c>
      <c r="AB273" s="49">
        <f>IF(V273="TIPO I",'BASE DE LIQUIDACION 2025'!$B$3,'BASE DE LIQUIDACION 2025'!$B$4)</f>
        <v>11251.22416</v>
      </c>
      <c r="AC273" s="49">
        <f>IF(V273="TIPO I",'BASE DE LIQUIDACION 2025'!$C$3,'BASE DE LIQUIDACION 2025'!$C$4)</f>
        <v>126317.12212</v>
      </c>
      <c r="AD273" s="49">
        <f>IF(V273="TIPO I",'BASE DE LIQUIDACION 2025'!$D$3,'BASE DE LIQUIDACION 2025'!$D$4)</f>
        <v>110808.27512000001</v>
      </c>
      <c r="AE273" s="53">
        <f t="shared" si="5"/>
        <v>248376.6214</v>
      </c>
    </row>
    <row r="274" spans="1:31" s="46" customFormat="1" ht="12.75" customHeight="1">
      <c r="A274" s="69" t="s">
        <v>1676</v>
      </c>
      <c r="B274" s="45" t="str">
        <f>VLOOKUP(A274,'CENTRO DE COSTOS'!A:D,4,FALSE)</f>
        <v>JOSE MAURICIO HERNANDEZ ROJAS</v>
      </c>
      <c r="C274" s="45" t="str">
        <f>VLOOKUP(A274,'CENTRO DE COSTOS'!A:D,2,FALSE)</f>
        <v>0004-0001</v>
      </c>
      <c r="D274" s="69">
        <v>44430</v>
      </c>
      <c r="E274" s="70" t="s">
        <v>1697</v>
      </c>
      <c r="F274" s="71">
        <v>81015</v>
      </c>
      <c r="G274" s="79" t="s">
        <v>132</v>
      </c>
      <c r="H274" s="73" t="s">
        <v>177</v>
      </c>
      <c r="I274" s="71" t="s">
        <v>1678</v>
      </c>
      <c r="J274" s="81" t="s">
        <v>1698</v>
      </c>
      <c r="K274" s="71" t="s">
        <v>1699</v>
      </c>
      <c r="L274" s="75" t="s">
        <v>137</v>
      </c>
      <c r="M274" s="82" t="s">
        <v>1700</v>
      </c>
      <c r="N274" s="74">
        <v>45882</v>
      </c>
      <c r="O274" s="76">
        <v>45884</v>
      </c>
      <c r="P274" s="83" t="s">
        <v>181</v>
      </c>
      <c r="Q274" s="84" t="s">
        <v>182</v>
      </c>
      <c r="R274" s="69" t="s">
        <v>140</v>
      </c>
      <c r="S274" s="72" t="s">
        <v>1590</v>
      </c>
      <c r="T274" s="79" t="s">
        <v>1701</v>
      </c>
      <c r="U274" s="69" t="s">
        <v>1702</v>
      </c>
      <c r="V274" s="81" t="s">
        <v>144</v>
      </c>
      <c r="W274" s="76" t="s">
        <v>145</v>
      </c>
      <c r="X274" s="79" t="s">
        <v>1701</v>
      </c>
      <c r="Y274" s="69">
        <v>1</v>
      </c>
      <c r="Z274" s="69">
        <v>1</v>
      </c>
      <c r="AA274" s="69">
        <v>1</v>
      </c>
      <c r="AB274" s="49">
        <f>IF(V274="TIPO I",'BASE DE LIQUIDACION 2025'!$B$3,'BASE DE LIQUIDACION 2025'!$B$4)</f>
        <v>11251.22416</v>
      </c>
      <c r="AC274" s="49">
        <f>IF(V274="TIPO I",'BASE DE LIQUIDACION 2025'!$C$3,'BASE DE LIQUIDACION 2025'!$C$4)</f>
        <v>126317.12212</v>
      </c>
      <c r="AD274" s="49">
        <f>IF(V274="TIPO I",'BASE DE LIQUIDACION 2025'!$D$3,'BASE DE LIQUIDACION 2025'!$D$4)</f>
        <v>110808.27512000001</v>
      </c>
      <c r="AE274" s="53">
        <f t="shared" si="5"/>
        <v>248376.6214</v>
      </c>
    </row>
    <row r="275" spans="1:31" s="46" customFormat="1" ht="12.75" customHeight="1">
      <c r="A275" s="69" t="s">
        <v>260</v>
      </c>
      <c r="B275" s="45" t="str">
        <f>VLOOKUP(A275,'CENTRO DE COSTOS'!A:D,4,FALSE)</f>
        <v>KEVIN ALEXIS CORZO BUSTOS</v>
      </c>
      <c r="C275" s="45" t="str">
        <f>VLOOKUP(A275,'CENTRO DE COSTOS'!A:D,2,FALSE)</f>
        <v>0004-0007</v>
      </c>
      <c r="D275" s="69">
        <v>50001</v>
      </c>
      <c r="E275" s="70" t="s">
        <v>1703</v>
      </c>
      <c r="F275" s="71">
        <v>81034</v>
      </c>
      <c r="G275" s="79" t="s">
        <v>132</v>
      </c>
      <c r="H275" s="73" t="s">
        <v>177</v>
      </c>
      <c r="I275" s="71" t="s">
        <v>262</v>
      </c>
      <c r="J275" s="81" t="s">
        <v>260</v>
      </c>
      <c r="K275" s="71" t="s">
        <v>1704</v>
      </c>
      <c r="L275" s="75" t="s">
        <v>137</v>
      </c>
      <c r="M275" s="82" t="s">
        <v>1705</v>
      </c>
      <c r="N275" s="74">
        <v>45882</v>
      </c>
      <c r="O275" s="76">
        <v>45883</v>
      </c>
      <c r="P275" s="83" t="s">
        <v>181</v>
      </c>
      <c r="Q275" s="84" t="s">
        <v>182</v>
      </c>
      <c r="R275" s="69" t="s">
        <v>140</v>
      </c>
      <c r="S275" s="72" t="s">
        <v>1556</v>
      </c>
      <c r="T275" s="79" t="s">
        <v>909</v>
      </c>
      <c r="U275" s="69" t="s">
        <v>1706</v>
      </c>
      <c r="V275" s="81" t="s">
        <v>52</v>
      </c>
      <c r="W275" s="76" t="s">
        <v>145</v>
      </c>
      <c r="X275" s="79" t="s">
        <v>909</v>
      </c>
      <c r="Y275" s="69">
        <v>1</v>
      </c>
      <c r="Z275" s="69">
        <v>1</v>
      </c>
      <c r="AA275" s="69">
        <v>1</v>
      </c>
      <c r="AB275" s="49">
        <f>IF(V275="TIPO I",'BASE DE LIQUIDACION 2025'!$B$3,'BASE DE LIQUIDACION 2025'!$B$4)</f>
        <v>11251.22416</v>
      </c>
      <c r="AC275" s="49">
        <f>IF(V275="TIPO I",'BASE DE LIQUIDACION 2025'!$C$3,'BASE DE LIQUIDACION 2025'!$C$4)</f>
        <v>126317.12212</v>
      </c>
      <c r="AD275" s="49">
        <f>IF(V275="TIPO I",'BASE DE LIQUIDACION 2025'!$D$3,'BASE DE LIQUIDACION 2025'!$D$4)</f>
        <v>57411.974240000003</v>
      </c>
      <c r="AE275" s="53">
        <f t="shared" si="5"/>
        <v>194980.32052000001</v>
      </c>
    </row>
    <row r="276" spans="1:31" s="46" customFormat="1" ht="12.75" customHeight="1">
      <c r="A276" s="69" t="s">
        <v>151</v>
      </c>
      <c r="B276" s="45" t="str">
        <f>VLOOKUP(A276,'CENTRO DE COSTOS'!A:D,4,FALSE)</f>
        <v>DIEGO FERNANDO HENAO CARDONA</v>
      </c>
      <c r="C276" s="45" t="str">
        <f>VLOOKUP(A276,'CENTRO DE COSTOS'!A:D,2,FALSE)</f>
        <v>0004-0003</v>
      </c>
      <c r="D276" s="69">
        <v>52001</v>
      </c>
      <c r="E276" s="70" t="s">
        <v>1707</v>
      </c>
      <c r="F276" s="71">
        <v>81017</v>
      </c>
      <c r="G276" s="79" t="s">
        <v>132</v>
      </c>
      <c r="H276" s="73" t="s">
        <v>177</v>
      </c>
      <c r="I276" s="71" t="s">
        <v>153</v>
      </c>
      <c r="J276" s="81" t="s">
        <v>151</v>
      </c>
      <c r="K276" s="71" t="s">
        <v>1708</v>
      </c>
      <c r="L276" s="75" t="s">
        <v>137</v>
      </c>
      <c r="M276" s="82" t="s">
        <v>1709</v>
      </c>
      <c r="N276" s="74">
        <v>45882</v>
      </c>
      <c r="O276" s="76">
        <v>45884</v>
      </c>
      <c r="P276" s="83" t="s">
        <v>181</v>
      </c>
      <c r="Q276" s="84" t="s">
        <v>182</v>
      </c>
      <c r="R276" s="69" t="s">
        <v>549</v>
      </c>
      <c r="S276" s="72" t="s">
        <v>1710</v>
      </c>
      <c r="T276" s="79" t="s">
        <v>1452</v>
      </c>
      <c r="U276" s="69" t="s">
        <v>1711</v>
      </c>
      <c r="V276" s="81" t="s">
        <v>52</v>
      </c>
      <c r="W276" s="76" t="s">
        <v>145</v>
      </c>
      <c r="X276" s="79" t="s">
        <v>1452</v>
      </c>
      <c r="Y276" s="69">
        <v>0</v>
      </c>
      <c r="Z276" s="69">
        <v>0</v>
      </c>
      <c r="AA276" s="69">
        <v>2</v>
      </c>
      <c r="AB276" s="49">
        <f>IF(V276="TIPO I",'BASE DE LIQUIDACION 2025'!$B$3,'BASE DE LIQUIDACION 2025'!$B$4)</f>
        <v>11251.22416</v>
      </c>
      <c r="AC276" s="49">
        <f>IF(V276="TIPO I",'BASE DE LIQUIDACION 2025'!$C$3,'BASE DE LIQUIDACION 2025'!$C$4)</f>
        <v>126317.12212</v>
      </c>
      <c r="AD276" s="49">
        <f>IF(V276="TIPO I",'BASE DE LIQUIDACION 2025'!$D$3,'BASE DE LIQUIDACION 2025'!$D$4)</f>
        <v>57411.974240000003</v>
      </c>
      <c r="AE276" s="53">
        <f t="shared" si="5"/>
        <v>114823.94848000001</v>
      </c>
    </row>
    <row r="277" spans="1:31" s="46" customFormat="1" ht="12.75" customHeight="1">
      <c r="A277" s="69" t="s">
        <v>151</v>
      </c>
      <c r="B277" s="45" t="str">
        <f>VLOOKUP(A277,'CENTRO DE COSTOS'!A:D,4,FALSE)</f>
        <v>DIEGO FERNANDO HENAO CARDONA</v>
      </c>
      <c r="C277" s="45" t="str">
        <f>VLOOKUP(A277,'CENTRO DE COSTOS'!A:D,2,FALSE)</f>
        <v>0004-0003</v>
      </c>
      <c r="D277" s="69">
        <v>52001</v>
      </c>
      <c r="E277" s="70" t="s">
        <v>1712</v>
      </c>
      <c r="F277" s="71">
        <v>81018</v>
      </c>
      <c r="G277" s="79" t="s">
        <v>132</v>
      </c>
      <c r="H277" s="73" t="s">
        <v>177</v>
      </c>
      <c r="I277" s="71" t="s">
        <v>153</v>
      </c>
      <c r="J277" s="81" t="s">
        <v>151</v>
      </c>
      <c r="K277" s="71" t="s">
        <v>1713</v>
      </c>
      <c r="L277" s="75" t="s">
        <v>137</v>
      </c>
      <c r="M277" s="82" t="s">
        <v>1714</v>
      </c>
      <c r="N277" s="74">
        <v>45882</v>
      </c>
      <c r="O277" s="76">
        <v>45884</v>
      </c>
      <c r="P277" s="83" t="s">
        <v>181</v>
      </c>
      <c r="Q277" s="84" t="s">
        <v>182</v>
      </c>
      <c r="R277" s="69" t="s">
        <v>140</v>
      </c>
      <c r="S277" s="72" t="s">
        <v>1565</v>
      </c>
      <c r="T277" s="79" t="s">
        <v>1452</v>
      </c>
      <c r="U277" s="69" t="s">
        <v>1715</v>
      </c>
      <c r="V277" s="81" t="s">
        <v>52</v>
      </c>
      <c r="W277" s="76" t="s">
        <v>145</v>
      </c>
      <c r="X277" s="79" t="s">
        <v>1452</v>
      </c>
      <c r="Y277" s="69">
        <v>1</v>
      </c>
      <c r="Z277" s="69">
        <v>1</v>
      </c>
      <c r="AA277" s="69">
        <v>1</v>
      </c>
      <c r="AB277" s="49">
        <f>IF(V277="TIPO I",'BASE DE LIQUIDACION 2025'!$B$3,'BASE DE LIQUIDACION 2025'!$B$4)</f>
        <v>11251.22416</v>
      </c>
      <c r="AC277" s="49">
        <f>IF(V277="TIPO I",'BASE DE LIQUIDACION 2025'!$C$3,'BASE DE LIQUIDACION 2025'!$C$4)</f>
        <v>126317.12212</v>
      </c>
      <c r="AD277" s="49">
        <f>IF(V277="TIPO I",'BASE DE LIQUIDACION 2025'!$D$3,'BASE DE LIQUIDACION 2025'!$D$4)</f>
        <v>57411.974240000003</v>
      </c>
      <c r="AE277" s="53">
        <f t="shared" si="5"/>
        <v>194980.32052000001</v>
      </c>
    </row>
    <row r="278" spans="1:31" s="46" customFormat="1" ht="12.75" customHeight="1">
      <c r="A278" s="69" t="s">
        <v>151</v>
      </c>
      <c r="B278" s="45" t="str">
        <f>VLOOKUP(A278,'CENTRO DE COSTOS'!A:D,4,FALSE)</f>
        <v>DIEGO FERNANDO HENAO CARDONA</v>
      </c>
      <c r="C278" s="45" t="str">
        <f>VLOOKUP(A278,'CENTRO DE COSTOS'!A:D,2,FALSE)</f>
        <v>0004-0003</v>
      </c>
      <c r="D278" s="69">
        <v>52110</v>
      </c>
      <c r="E278" s="70" t="s">
        <v>1716</v>
      </c>
      <c r="F278" s="71">
        <v>81000</v>
      </c>
      <c r="G278" s="79" t="s">
        <v>132</v>
      </c>
      <c r="H278" s="73" t="s">
        <v>177</v>
      </c>
      <c r="I278" s="71" t="s">
        <v>153</v>
      </c>
      <c r="J278" s="81" t="s">
        <v>1104</v>
      </c>
      <c r="K278" s="71" t="s">
        <v>1717</v>
      </c>
      <c r="L278" s="75" t="s">
        <v>137</v>
      </c>
      <c r="M278" s="82" t="s">
        <v>1718</v>
      </c>
      <c r="N278" s="74">
        <v>45882</v>
      </c>
      <c r="O278" s="76">
        <v>45883</v>
      </c>
      <c r="P278" s="83" t="s">
        <v>181</v>
      </c>
      <c r="Q278" s="84" t="s">
        <v>182</v>
      </c>
      <c r="R278" s="69" t="s">
        <v>549</v>
      </c>
      <c r="S278" s="72" t="s">
        <v>1719</v>
      </c>
      <c r="T278" s="79" t="s">
        <v>1452</v>
      </c>
      <c r="U278" s="69" t="s">
        <v>1720</v>
      </c>
      <c r="V278" s="81" t="s">
        <v>202</v>
      </c>
      <c r="W278" s="76" t="s">
        <v>145</v>
      </c>
      <c r="X278" s="79" t="s">
        <v>1452</v>
      </c>
      <c r="Y278" s="69">
        <v>0</v>
      </c>
      <c r="Z278" s="69">
        <v>0</v>
      </c>
      <c r="AA278" s="69">
        <v>2</v>
      </c>
      <c r="AB278" s="49">
        <f>IF(V278="TIPO I",'BASE DE LIQUIDACION 2025'!$B$3,'BASE DE LIQUIDACION 2025'!$B$4)</f>
        <v>11251.22416</v>
      </c>
      <c r="AC278" s="49">
        <f>IF(V278="TIPO I",'BASE DE LIQUIDACION 2025'!$C$3,'BASE DE LIQUIDACION 2025'!$C$4)</f>
        <v>126317.12212</v>
      </c>
      <c r="AD278" s="49">
        <f>IF(V278="TIPO I",'BASE DE LIQUIDACION 2025'!$D$3,'BASE DE LIQUIDACION 2025'!$D$4)</f>
        <v>110808.27512000001</v>
      </c>
      <c r="AE278" s="53">
        <f t="shared" si="5"/>
        <v>221616.55024000001</v>
      </c>
    </row>
    <row r="279" spans="1:31" s="46" customFormat="1" ht="12.75" customHeight="1">
      <c r="A279" s="69" t="s">
        <v>285</v>
      </c>
      <c r="B279" s="45" t="str">
        <f>VLOOKUP(A279,'CENTRO DE COSTOS'!A:D,4,FALSE)</f>
        <v>MIGUEL JULIÁN HERNÁNDEZ GUARÍN</v>
      </c>
      <c r="C279" s="45" t="str">
        <f>VLOOKUP(A279,'CENTRO DE COSTOS'!A:D,2,FALSE)</f>
        <v>0004-0008</v>
      </c>
      <c r="D279" s="69">
        <v>54001</v>
      </c>
      <c r="E279" s="70" t="s">
        <v>1721</v>
      </c>
      <c r="F279" s="71">
        <v>81007</v>
      </c>
      <c r="G279" s="79" t="s">
        <v>132</v>
      </c>
      <c r="H279" s="73" t="s">
        <v>177</v>
      </c>
      <c r="I279" s="71" t="s">
        <v>287</v>
      </c>
      <c r="J279" s="81" t="s">
        <v>285</v>
      </c>
      <c r="K279" s="71" t="s">
        <v>1722</v>
      </c>
      <c r="L279" s="75" t="s">
        <v>137</v>
      </c>
      <c r="M279" s="82" t="s">
        <v>1723</v>
      </c>
      <c r="N279" s="74">
        <v>45882</v>
      </c>
      <c r="O279" s="76">
        <v>45884</v>
      </c>
      <c r="P279" s="83" t="s">
        <v>181</v>
      </c>
      <c r="Q279" s="84" t="s">
        <v>182</v>
      </c>
      <c r="R279" s="69" t="s">
        <v>140</v>
      </c>
      <c r="S279" s="72" t="s">
        <v>1724</v>
      </c>
      <c r="T279" s="79" t="s">
        <v>364</v>
      </c>
      <c r="U279" s="69" t="s">
        <v>1725</v>
      </c>
      <c r="V279" s="81" t="s">
        <v>52</v>
      </c>
      <c r="W279" s="76" t="s">
        <v>145</v>
      </c>
      <c r="X279" s="79" t="s">
        <v>364</v>
      </c>
      <c r="Y279" s="69">
        <v>1</v>
      </c>
      <c r="Z279" s="69">
        <v>1</v>
      </c>
      <c r="AA279" s="69">
        <v>1</v>
      </c>
      <c r="AB279" s="49">
        <f>IF(V279="TIPO I",'BASE DE LIQUIDACION 2025'!$B$3,'BASE DE LIQUIDACION 2025'!$B$4)</f>
        <v>11251.22416</v>
      </c>
      <c r="AC279" s="49">
        <f>IF(V279="TIPO I",'BASE DE LIQUIDACION 2025'!$C$3,'BASE DE LIQUIDACION 2025'!$C$4)</f>
        <v>126317.12212</v>
      </c>
      <c r="AD279" s="49">
        <f>IF(V279="TIPO I",'BASE DE LIQUIDACION 2025'!$D$3,'BASE DE LIQUIDACION 2025'!$D$4)</f>
        <v>57411.974240000003</v>
      </c>
      <c r="AE279" s="53">
        <f t="shared" si="5"/>
        <v>194980.32052000001</v>
      </c>
    </row>
    <row r="280" spans="1:31" s="46" customFormat="1" ht="12.75" customHeight="1">
      <c r="A280" s="69" t="s">
        <v>285</v>
      </c>
      <c r="B280" s="45" t="str">
        <f>VLOOKUP(A280,'CENTRO DE COSTOS'!A:D,4,FALSE)</f>
        <v>MIGUEL JULIÁN HERNÁNDEZ GUARÍN</v>
      </c>
      <c r="C280" s="45" t="str">
        <f>VLOOKUP(A280,'CENTRO DE COSTOS'!A:D,2,FALSE)</f>
        <v>0004-0008</v>
      </c>
      <c r="D280" s="69">
        <v>54001</v>
      </c>
      <c r="E280" s="70" t="s">
        <v>1726</v>
      </c>
      <c r="F280" s="71">
        <v>81008</v>
      </c>
      <c r="G280" s="79" t="s">
        <v>132</v>
      </c>
      <c r="H280" s="73" t="s">
        <v>177</v>
      </c>
      <c r="I280" s="71" t="s">
        <v>287</v>
      </c>
      <c r="J280" s="81" t="s">
        <v>285</v>
      </c>
      <c r="K280" s="71" t="s">
        <v>1727</v>
      </c>
      <c r="L280" s="75" t="s">
        <v>137</v>
      </c>
      <c r="M280" s="82" t="s">
        <v>1728</v>
      </c>
      <c r="N280" s="74">
        <v>45882</v>
      </c>
      <c r="O280" s="76">
        <v>45883</v>
      </c>
      <c r="P280" s="83" t="s">
        <v>181</v>
      </c>
      <c r="Q280" s="84" t="s">
        <v>182</v>
      </c>
      <c r="R280" s="69" t="s">
        <v>140</v>
      </c>
      <c r="S280" s="72" t="s">
        <v>1556</v>
      </c>
      <c r="T280" s="79" t="s">
        <v>358</v>
      </c>
      <c r="U280" s="69" t="s">
        <v>1729</v>
      </c>
      <c r="V280" s="81" t="s">
        <v>52</v>
      </c>
      <c r="W280" s="76" t="s">
        <v>145</v>
      </c>
      <c r="X280" s="79" t="s">
        <v>358</v>
      </c>
      <c r="Y280" s="69">
        <v>1</v>
      </c>
      <c r="Z280" s="69">
        <v>1</v>
      </c>
      <c r="AA280" s="69">
        <v>1</v>
      </c>
      <c r="AB280" s="49">
        <f>IF(V280="TIPO I",'BASE DE LIQUIDACION 2025'!$B$3,'BASE DE LIQUIDACION 2025'!$B$4)</f>
        <v>11251.22416</v>
      </c>
      <c r="AC280" s="49">
        <f>IF(V280="TIPO I",'BASE DE LIQUIDACION 2025'!$C$3,'BASE DE LIQUIDACION 2025'!$C$4)</f>
        <v>126317.12212</v>
      </c>
      <c r="AD280" s="49">
        <f>IF(V280="TIPO I",'BASE DE LIQUIDACION 2025'!$D$3,'BASE DE LIQUIDACION 2025'!$D$4)</f>
        <v>57411.974240000003</v>
      </c>
      <c r="AE280" s="53">
        <f t="shared" si="5"/>
        <v>194980.32052000001</v>
      </c>
    </row>
    <row r="281" spans="1:31" s="46" customFormat="1" ht="12.75" customHeight="1">
      <c r="A281" s="69" t="s">
        <v>285</v>
      </c>
      <c r="B281" s="45" t="str">
        <f>VLOOKUP(A281,'CENTRO DE COSTOS'!A:D,4,FALSE)</f>
        <v>MIGUEL JULIÁN HERNÁNDEZ GUARÍN</v>
      </c>
      <c r="C281" s="45" t="str">
        <f>VLOOKUP(A281,'CENTRO DE COSTOS'!A:D,2,FALSE)</f>
        <v>0004-0008</v>
      </c>
      <c r="D281" s="69">
        <v>54001</v>
      </c>
      <c r="E281" s="70" t="s">
        <v>1730</v>
      </c>
      <c r="F281" s="71">
        <v>81009</v>
      </c>
      <c r="G281" s="79" t="s">
        <v>132</v>
      </c>
      <c r="H281" s="73" t="s">
        <v>177</v>
      </c>
      <c r="I281" s="71" t="s">
        <v>287</v>
      </c>
      <c r="J281" s="81" t="s">
        <v>285</v>
      </c>
      <c r="K281" s="71" t="s">
        <v>1731</v>
      </c>
      <c r="L281" s="75" t="s">
        <v>137</v>
      </c>
      <c r="M281" s="82" t="s">
        <v>1732</v>
      </c>
      <c r="N281" s="74">
        <v>45882</v>
      </c>
      <c r="O281" s="76">
        <v>45883</v>
      </c>
      <c r="P281" s="83" t="s">
        <v>181</v>
      </c>
      <c r="Q281" s="84" t="s">
        <v>182</v>
      </c>
      <c r="R281" s="69" t="s">
        <v>140</v>
      </c>
      <c r="S281" s="72" t="s">
        <v>1600</v>
      </c>
      <c r="T281" s="79" t="s">
        <v>358</v>
      </c>
      <c r="U281" s="69" t="s">
        <v>1733</v>
      </c>
      <c r="V281" s="81" t="s">
        <v>52</v>
      </c>
      <c r="W281" s="76" t="s">
        <v>145</v>
      </c>
      <c r="X281" s="79" t="s">
        <v>358</v>
      </c>
      <c r="Y281" s="69">
        <v>1</v>
      </c>
      <c r="Z281" s="69">
        <v>1</v>
      </c>
      <c r="AA281" s="69">
        <v>1</v>
      </c>
      <c r="AB281" s="49">
        <f>IF(V281="TIPO I",'BASE DE LIQUIDACION 2025'!$B$3,'BASE DE LIQUIDACION 2025'!$B$4)</f>
        <v>11251.22416</v>
      </c>
      <c r="AC281" s="49">
        <f>IF(V281="TIPO I",'BASE DE LIQUIDACION 2025'!$C$3,'BASE DE LIQUIDACION 2025'!$C$4)</f>
        <v>126317.12212</v>
      </c>
      <c r="AD281" s="49">
        <f>IF(V281="TIPO I",'BASE DE LIQUIDACION 2025'!$D$3,'BASE DE LIQUIDACION 2025'!$D$4)</f>
        <v>57411.974240000003</v>
      </c>
      <c r="AE281" s="53">
        <f t="shared" si="5"/>
        <v>194980.32052000001</v>
      </c>
    </row>
    <row r="282" spans="1:31" s="46" customFormat="1" ht="12.75" customHeight="1">
      <c r="A282" s="69" t="s">
        <v>453</v>
      </c>
      <c r="B282" s="45" t="str">
        <f>VLOOKUP(A282,'CENTRO DE COSTOS'!A:D,4,FALSE)</f>
        <v>DIEGO FERNANDO HENAO CARDONA</v>
      </c>
      <c r="C282" s="45" t="str">
        <f>VLOOKUP(A282,'CENTRO DE COSTOS'!A:D,2,FALSE)</f>
        <v>0004-0002</v>
      </c>
      <c r="D282" s="69">
        <v>63594</v>
      </c>
      <c r="E282" s="70" t="s">
        <v>1734</v>
      </c>
      <c r="F282" s="71">
        <v>81024</v>
      </c>
      <c r="G282" s="79" t="s">
        <v>132</v>
      </c>
      <c r="H282" s="73" t="s">
        <v>177</v>
      </c>
      <c r="I282" s="71" t="s">
        <v>554</v>
      </c>
      <c r="J282" s="81" t="s">
        <v>1735</v>
      </c>
      <c r="K282" s="71" t="s">
        <v>1736</v>
      </c>
      <c r="L282" s="75" t="s">
        <v>137</v>
      </c>
      <c r="M282" s="82" t="s">
        <v>1737</v>
      </c>
      <c r="N282" s="74">
        <v>45882</v>
      </c>
      <c r="O282" s="76">
        <v>45884</v>
      </c>
      <c r="P282" s="83" t="s">
        <v>181</v>
      </c>
      <c r="Q282" s="84" t="s">
        <v>182</v>
      </c>
      <c r="R282" s="69" t="s">
        <v>140</v>
      </c>
      <c r="S282" s="72" t="s">
        <v>1565</v>
      </c>
      <c r="T282" s="79" t="s">
        <v>559</v>
      </c>
      <c r="U282" s="69" t="s">
        <v>1738</v>
      </c>
      <c r="V282" s="81" t="s">
        <v>202</v>
      </c>
      <c r="W282" s="76" t="s">
        <v>145</v>
      </c>
      <c r="X282" s="79" t="s">
        <v>559</v>
      </c>
      <c r="Y282" s="69">
        <v>1</v>
      </c>
      <c r="Z282" s="69">
        <v>1</v>
      </c>
      <c r="AA282" s="69">
        <v>1</v>
      </c>
      <c r="AB282" s="49">
        <f>IF(V282="TIPO I",'BASE DE LIQUIDACION 2025'!$B$3,'BASE DE LIQUIDACION 2025'!$B$4)</f>
        <v>11251.22416</v>
      </c>
      <c r="AC282" s="49">
        <f>IF(V282="TIPO I",'BASE DE LIQUIDACION 2025'!$C$3,'BASE DE LIQUIDACION 2025'!$C$4)</f>
        <v>126317.12212</v>
      </c>
      <c r="AD282" s="49">
        <f>IF(V282="TIPO I",'BASE DE LIQUIDACION 2025'!$D$3,'BASE DE LIQUIDACION 2025'!$D$4)</f>
        <v>110808.27512000001</v>
      </c>
      <c r="AE282" s="53">
        <f t="shared" si="5"/>
        <v>248376.6214</v>
      </c>
    </row>
    <row r="283" spans="1:31" s="46" customFormat="1" ht="12.75" customHeight="1">
      <c r="A283" s="69" t="s">
        <v>453</v>
      </c>
      <c r="B283" s="45" t="str">
        <f>VLOOKUP(A283,'CENTRO DE COSTOS'!A:D,4,FALSE)</f>
        <v>DIEGO FERNANDO HENAO CARDONA</v>
      </c>
      <c r="C283" s="45" t="str">
        <f>VLOOKUP(A283,'CENTRO DE COSTOS'!A:D,2,FALSE)</f>
        <v>0004-0002</v>
      </c>
      <c r="D283" s="69">
        <v>66001</v>
      </c>
      <c r="E283" s="70" t="s">
        <v>1739</v>
      </c>
      <c r="F283" s="71">
        <v>81019</v>
      </c>
      <c r="G283" s="79" t="s">
        <v>132</v>
      </c>
      <c r="H283" s="73" t="s">
        <v>177</v>
      </c>
      <c r="I283" s="71" t="s">
        <v>579</v>
      </c>
      <c r="J283" s="81" t="s">
        <v>453</v>
      </c>
      <c r="K283" s="71" t="s">
        <v>1740</v>
      </c>
      <c r="L283" s="75" t="s">
        <v>137</v>
      </c>
      <c r="M283" s="82" t="s">
        <v>1741</v>
      </c>
      <c r="N283" s="74">
        <v>45882</v>
      </c>
      <c r="O283" s="76">
        <v>45883</v>
      </c>
      <c r="P283" s="83" t="s">
        <v>181</v>
      </c>
      <c r="Q283" s="84" t="s">
        <v>182</v>
      </c>
      <c r="R283" s="69" t="s">
        <v>140</v>
      </c>
      <c r="S283" s="72" t="s">
        <v>1556</v>
      </c>
      <c r="T283" s="79" t="s">
        <v>459</v>
      </c>
      <c r="U283" s="69" t="s">
        <v>1742</v>
      </c>
      <c r="V283" s="81" t="s">
        <v>52</v>
      </c>
      <c r="W283" s="76" t="s">
        <v>145</v>
      </c>
      <c r="X283" s="79" t="s">
        <v>459</v>
      </c>
      <c r="Y283" s="69">
        <v>1</v>
      </c>
      <c r="Z283" s="69">
        <v>1</v>
      </c>
      <c r="AA283" s="69">
        <v>1</v>
      </c>
      <c r="AB283" s="49">
        <f>IF(V283="TIPO I",'BASE DE LIQUIDACION 2025'!$B$3,'BASE DE LIQUIDACION 2025'!$B$4)</f>
        <v>11251.22416</v>
      </c>
      <c r="AC283" s="49">
        <f>IF(V283="TIPO I",'BASE DE LIQUIDACION 2025'!$C$3,'BASE DE LIQUIDACION 2025'!$C$4)</f>
        <v>126317.12212</v>
      </c>
      <c r="AD283" s="49">
        <f>IF(V283="TIPO I",'BASE DE LIQUIDACION 2025'!$D$3,'BASE DE LIQUIDACION 2025'!$D$4)</f>
        <v>57411.974240000003</v>
      </c>
      <c r="AE283" s="53">
        <f t="shared" si="5"/>
        <v>194980.32052000001</v>
      </c>
    </row>
    <row r="284" spans="1:31" s="46" customFormat="1" ht="12.75" customHeight="1">
      <c r="A284" s="69" t="s">
        <v>453</v>
      </c>
      <c r="B284" s="45" t="str">
        <f>VLOOKUP(A284,'CENTRO DE COSTOS'!A:D,4,FALSE)</f>
        <v>DIEGO FERNANDO HENAO CARDONA</v>
      </c>
      <c r="C284" s="45" t="str">
        <f>VLOOKUP(A284,'CENTRO DE COSTOS'!A:D,2,FALSE)</f>
        <v>0004-0002</v>
      </c>
      <c r="D284" s="69">
        <v>66045</v>
      </c>
      <c r="E284" s="70" t="s">
        <v>1743</v>
      </c>
      <c r="F284" s="71">
        <v>80992</v>
      </c>
      <c r="G284" s="79" t="s">
        <v>132</v>
      </c>
      <c r="H284" s="73" t="s">
        <v>177</v>
      </c>
      <c r="I284" s="71" t="s">
        <v>579</v>
      </c>
      <c r="J284" s="81" t="s">
        <v>1744</v>
      </c>
      <c r="K284" s="71" t="s">
        <v>1745</v>
      </c>
      <c r="L284" s="75" t="s">
        <v>137</v>
      </c>
      <c r="M284" s="82" t="s">
        <v>1746</v>
      </c>
      <c r="N284" s="74">
        <v>45882</v>
      </c>
      <c r="O284" s="76">
        <v>45884</v>
      </c>
      <c r="P284" s="83" t="s">
        <v>181</v>
      </c>
      <c r="Q284" s="84" t="s">
        <v>182</v>
      </c>
      <c r="R284" s="69" t="s">
        <v>140</v>
      </c>
      <c r="S284" s="72" t="s">
        <v>1565</v>
      </c>
      <c r="T284" s="79" t="s">
        <v>508</v>
      </c>
      <c r="U284" s="69" t="s">
        <v>1747</v>
      </c>
      <c r="V284" s="81" t="s">
        <v>202</v>
      </c>
      <c r="W284" s="76" t="s">
        <v>145</v>
      </c>
      <c r="X284" s="79" t="s">
        <v>508</v>
      </c>
      <c r="Y284" s="69">
        <v>1</v>
      </c>
      <c r="Z284" s="69">
        <v>1</v>
      </c>
      <c r="AA284" s="69">
        <v>1</v>
      </c>
      <c r="AB284" s="49">
        <f>IF(V284="TIPO I",'BASE DE LIQUIDACION 2025'!$B$3,'BASE DE LIQUIDACION 2025'!$B$4)</f>
        <v>11251.22416</v>
      </c>
      <c r="AC284" s="49">
        <f>IF(V284="TIPO I",'BASE DE LIQUIDACION 2025'!$C$3,'BASE DE LIQUIDACION 2025'!$C$4)</f>
        <v>126317.12212</v>
      </c>
      <c r="AD284" s="49">
        <f>IF(V284="TIPO I",'BASE DE LIQUIDACION 2025'!$D$3,'BASE DE LIQUIDACION 2025'!$D$4)</f>
        <v>110808.27512000001</v>
      </c>
      <c r="AE284" s="53">
        <f t="shared" si="5"/>
        <v>248376.6214</v>
      </c>
    </row>
    <row r="285" spans="1:31" s="46" customFormat="1" ht="12.75" customHeight="1">
      <c r="A285" s="69" t="s">
        <v>269</v>
      </c>
      <c r="B285" s="45" t="str">
        <f>VLOOKUP(A285,'CENTRO DE COSTOS'!A:D,4,FALSE)</f>
        <v>MIGUEL JULIÁN HERNÁNDEZ GUARÍN</v>
      </c>
      <c r="C285" s="45" t="str">
        <f>VLOOKUP(A285,'CENTRO DE COSTOS'!A:D,2,FALSE)</f>
        <v>0004-0008</v>
      </c>
      <c r="D285" s="69">
        <v>68001</v>
      </c>
      <c r="E285" s="70" t="s">
        <v>1748</v>
      </c>
      <c r="F285" s="71">
        <v>80998</v>
      </c>
      <c r="G285" s="79" t="s">
        <v>132</v>
      </c>
      <c r="H285" s="73" t="s">
        <v>177</v>
      </c>
      <c r="I285" s="71" t="s">
        <v>795</v>
      </c>
      <c r="J285" s="81" t="s">
        <v>269</v>
      </c>
      <c r="K285" s="71" t="s">
        <v>1749</v>
      </c>
      <c r="L285" s="75" t="s">
        <v>137</v>
      </c>
      <c r="M285" s="82" t="s">
        <v>1750</v>
      </c>
      <c r="N285" s="74">
        <v>45882</v>
      </c>
      <c r="O285" s="76">
        <v>45883</v>
      </c>
      <c r="P285" s="83" t="s">
        <v>181</v>
      </c>
      <c r="Q285" s="84" t="s">
        <v>707</v>
      </c>
      <c r="R285" s="69" t="s">
        <v>140</v>
      </c>
      <c r="S285" s="72" t="s">
        <v>1556</v>
      </c>
      <c r="T285" s="79" t="s">
        <v>1751</v>
      </c>
      <c r="U285" s="69" t="s">
        <v>1752</v>
      </c>
      <c r="V285" s="81" t="s">
        <v>52</v>
      </c>
      <c r="W285" s="76" t="s">
        <v>145</v>
      </c>
      <c r="X285" s="79" t="s">
        <v>1751</v>
      </c>
      <c r="Y285" s="69">
        <v>1</v>
      </c>
      <c r="Z285" s="69">
        <v>1</v>
      </c>
      <c r="AA285" s="69">
        <v>1</v>
      </c>
      <c r="AB285" s="49">
        <f>IF(V285="TIPO I",'BASE DE LIQUIDACION 2025'!$B$3,'BASE DE LIQUIDACION 2025'!$B$4)</f>
        <v>11251.22416</v>
      </c>
      <c r="AC285" s="49">
        <f>IF(V285="TIPO I",'BASE DE LIQUIDACION 2025'!$C$3,'BASE DE LIQUIDACION 2025'!$C$4)</f>
        <v>126317.12212</v>
      </c>
      <c r="AD285" s="49">
        <f>IF(V285="TIPO I",'BASE DE LIQUIDACION 2025'!$D$3,'BASE DE LIQUIDACION 2025'!$D$4)</f>
        <v>57411.974240000003</v>
      </c>
      <c r="AE285" s="53">
        <f t="shared" si="5"/>
        <v>194980.32052000001</v>
      </c>
    </row>
    <row r="286" spans="1:31" s="46" customFormat="1" ht="12.75" customHeight="1">
      <c r="A286" s="69" t="s">
        <v>269</v>
      </c>
      <c r="B286" s="45" t="str">
        <f>VLOOKUP(A286,'CENTRO DE COSTOS'!A:D,4,FALSE)</f>
        <v>MIGUEL JULIÁN HERNÁNDEZ GUARÍN</v>
      </c>
      <c r="C286" s="45" t="str">
        <f>VLOOKUP(A286,'CENTRO DE COSTOS'!A:D,2,FALSE)</f>
        <v>0004-0008</v>
      </c>
      <c r="D286" s="69">
        <v>68001</v>
      </c>
      <c r="E286" s="70" t="s">
        <v>1753</v>
      </c>
      <c r="F286" s="71">
        <v>80999</v>
      </c>
      <c r="G286" s="79" t="s">
        <v>132</v>
      </c>
      <c r="H286" s="73" t="s">
        <v>177</v>
      </c>
      <c r="I286" s="71" t="s">
        <v>795</v>
      </c>
      <c r="J286" s="81" t="s">
        <v>269</v>
      </c>
      <c r="K286" s="71" t="s">
        <v>1754</v>
      </c>
      <c r="L286" s="75" t="s">
        <v>137</v>
      </c>
      <c r="M286" s="82" t="s">
        <v>1755</v>
      </c>
      <c r="N286" s="74">
        <v>45882</v>
      </c>
      <c r="O286" s="76">
        <v>45883</v>
      </c>
      <c r="P286" s="83" t="s">
        <v>181</v>
      </c>
      <c r="Q286" s="84" t="s">
        <v>707</v>
      </c>
      <c r="R286" s="69" t="s">
        <v>140</v>
      </c>
      <c r="S286" s="72" t="s">
        <v>1556</v>
      </c>
      <c r="T286" s="79" t="s">
        <v>822</v>
      </c>
      <c r="U286" s="69" t="s">
        <v>1756</v>
      </c>
      <c r="V286" s="81" t="s">
        <v>52</v>
      </c>
      <c r="W286" s="76" t="s">
        <v>145</v>
      </c>
      <c r="X286" s="79" t="s">
        <v>822</v>
      </c>
      <c r="Y286" s="69">
        <v>1</v>
      </c>
      <c r="Z286" s="69">
        <v>1</v>
      </c>
      <c r="AA286" s="69">
        <v>1</v>
      </c>
      <c r="AB286" s="49">
        <f>IF(V286="TIPO I",'BASE DE LIQUIDACION 2025'!$B$3,'BASE DE LIQUIDACION 2025'!$B$4)</f>
        <v>11251.22416</v>
      </c>
      <c r="AC286" s="49">
        <f>IF(V286="TIPO I",'BASE DE LIQUIDACION 2025'!$C$3,'BASE DE LIQUIDACION 2025'!$C$4)</f>
        <v>126317.12212</v>
      </c>
      <c r="AD286" s="49">
        <f>IF(V286="TIPO I",'BASE DE LIQUIDACION 2025'!$D$3,'BASE DE LIQUIDACION 2025'!$D$4)</f>
        <v>57411.974240000003</v>
      </c>
      <c r="AE286" s="53">
        <f t="shared" si="5"/>
        <v>194980.32052000001</v>
      </c>
    </row>
    <row r="287" spans="1:31" s="46" customFormat="1" ht="12.75" customHeight="1">
      <c r="A287" s="69" t="s">
        <v>269</v>
      </c>
      <c r="B287" s="45" t="str">
        <f>VLOOKUP(A287,'CENTRO DE COSTOS'!A:D,4,FALSE)</f>
        <v>MIGUEL JULIÁN HERNÁNDEZ GUARÍN</v>
      </c>
      <c r="C287" s="45" t="str">
        <f>VLOOKUP(A287,'CENTRO DE COSTOS'!A:D,2,FALSE)</f>
        <v>0004-0008</v>
      </c>
      <c r="D287" s="69">
        <v>68547</v>
      </c>
      <c r="E287" s="70" t="s">
        <v>1757</v>
      </c>
      <c r="F287" s="71">
        <v>81020</v>
      </c>
      <c r="G287" s="79" t="s">
        <v>132</v>
      </c>
      <c r="H287" s="73" t="s">
        <v>177</v>
      </c>
      <c r="I287" s="71" t="s">
        <v>795</v>
      </c>
      <c r="J287" s="81" t="s">
        <v>819</v>
      </c>
      <c r="K287" s="71" t="s">
        <v>1758</v>
      </c>
      <c r="L287" s="75" t="s">
        <v>137</v>
      </c>
      <c r="M287" s="82" t="s">
        <v>1759</v>
      </c>
      <c r="N287" s="74">
        <v>45882</v>
      </c>
      <c r="O287" s="76">
        <v>45883</v>
      </c>
      <c r="P287" s="83" t="s">
        <v>181</v>
      </c>
      <c r="Q287" s="84" t="s">
        <v>707</v>
      </c>
      <c r="R287" s="69" t="s">
        <v>140</v>
      </c>
      <c r="S287" s="72" t="s">
        <v>1556</v>
      </c>
      <c r="T287" s="79" t="s">
        <v>1223</v>
      </c>
      <c r="U287" s="69" t="s">
        <v>1760</v>
      </c>
      <c r="V287" s="81" t="s">
        <v>202</v>
      </c>
      <c r="W287" s="76" t="s">
        <v>145</v>
      </c>
      <c r="X287" s="79" t="s">
        <v>1223</v>
      </c>
      <c r="Y287" s="69">
        <v>1</v>
      </c>
      <c r="Z287" s="69">
        <v>1</v>
      </c>
      <c r="AA287" s="69">
        <v>1</v>
      </c>
      <c r="AB287" s="49">
        <f>IF(V287="TIPO I",'BASE DE LIQUIDACION 2025'!$B$3,'BASE DE LIQUIDACION 2025'!$B$4)</f>
        <v>11251.22416</v>
      </c>
      <c r="AC287" s="49">
        <f>IF(V287="TIPO I",'BASE DE LIQUIDACION 2025'!$C$3,'BASE DE LIQUIDACION 2025'!$C$4)</f>
        <v>126317.12212</v>
      </c>
      <c r="AD287" s="49">
        <f>IF(V287="TIPO I",'BASE DE LIQUIDACION 2025'!$D$3,'BASE DE LIQUIDACION 2025'!$D$4)</f>
        <v>110808.27512000001</v>
      </c>
      <c r="AE287" s="53">
        <f t="shared" si="5"/>
        <v>248376.6214</v>
      </c>
    </row>
    <row r="288" spans="1:31" s="46" customFormat="1" ht="12.75" customHeight="1">
      <c r="A288" s="69" t="s">
        <v>220</v>
      </c>
      <c r="B288" s="45" t="str">
        <f>VLOOKUP(A288,'CENTRO DE COSTOS'!A:D,4,FALSE)</f>
        <v>DIEGO FERNANDO HENAO CARDONA</v>
      </c>
      <c r="C288" s="45" t="str">
        <f>VLOOKUP(A288,'CENTRO DE COSTOS'!A:D,2,FALSE)</f>
        <v>0004-0003</v>
      </c>
      <c r="D288" s="69">
        <v>76001</v>
      </c>
      <c r="E288" s="70" t="s">
        <v>1761</v>
      </c>
      <c r="F288" s="71">
        <v>81001</v>
      </c>
      <c r="G288" s="79" t="s">
        <v>132</v>
      </c>
      <c r="H288" s="73" t="s">
        <v>177</v>
      </c>
      <c r="I288" s="71" t="s">
        <v>420</v>
      </c>
      <c r="J288" s="81" t="s">
        <v>220</v>
      </c>
      <c r="K288" s="71" t="s">
        <v>1762</v>
      </c>
      <c r="L288" s="75" t="s">
        <v>137</v>
      </c>
      <c r="M288" s="82" t="s">
        <v>1763</v>
      </c>
      <c r="N288" s="74">
        <v>45882</v>
      </c>
      <c r="O288" s="76">
        <v>45883</v>
      </c>
      <c r="P288" s="83" t="s">
        <v>181</v>
      </c>
      <c r="Q288" s="84" t="s">
        <v>182</v>
      </c>
      <c r="R288" s="69" t="s">
        <v>140</v>
      </c>
      <c r="S288" s="72" t="s">
        <v>1556</v>
      </c>
      <c r="T288" s="79" t="s">
        <v>477</v>
      </c>
      <c r="U288" s="69" t="s">
        <v>1764</v>
      </c>
      <c r="V288" s="81" t="s">
        <v>52</v>
      </c>
      <c r="W288" s="76" t="s">
        <v>145</v>
      </c>
      <c r="X288" s="79" t="s">
        <v>477</v>
      </c>
      <c r="Y288" s="69">
        <v>1</v>
      </c>
      <c r="Z288" s="69">
        <v>1</v>
      </c>
      <c r="AA288" s="69">
        <v>1</v>
      </c>
      <c r="AB288" s="49">
        <f>IF(V288="TIPO I",'BASE DE LIQUIDACION 2025'!$B$3,'BASE DE LIQUIDACION 2025'!$B$4)</f>
        <v>11251.22416</v>
      </c>
      <c r="AC288" s="49">
        <f>IF(V288="TIPO I",'BASE DE LIQUIDACION 2025'!$C$3,'BASE DE LIQUIDACION 2025'!$C$4)</f>
        <v>126317.12212</v>
      </c>
      <c r="AD288" s="49">
        <f>IF(V288="TIPO I",'BASE DE LIQUIDACION 2025'!$D$3,'BASE DE LIQUIDACION 2025'!$D$4)</f>
        <v>57411.974240000003</v>
      </c>
      <c r="AE288" s="53">
        <f t="shared" ref="AE288:AE343" si="6">AB288*Y288+Z288*AC288+AA288*AD288</f>
        <v>194980.32052000001</v>
      </c>
    </row>
    <row r="289" spans="1:31" s="46" customFormat="1" ht="12.75" customHeight="1">
      <c r="A289" s="69" t="s">
        <v>220</v>
      </c>
      <c r="B289" s="45" t="str">
        <f>VLOOKUP(A289,'CENTRO DE COSTOS'!A:D,4,FALSE)</f>
        <v>DIEGO FERNANDO HENAO CARDONA</v>
      </c>
      <c r="C289" s="45" t="str">
        <f>VLOOKUP(A289,'CENTRO DE COSTOS'!A:D,2,FALSE)</f>
        <v>0004-0003</v>
      </c>
      <c r="D289" s="69">
        <v>76001</v>
      </c>
      <c r="E289" s="70" t="s">
        <v>1765</v>
      </c>
      <c r="F289" s="71">
        <v>81002</v>
      </c>
      <c r="G289" s="79" t="s">
        <v>132</v>
      </c>
      <c r="H289" s="73" t="s">
        <v>177</v>
      </c>
      <c r="I289" s="71" t="s">
        <v>420</v>
      </c>
      <c r="J289" s="81" t="s">
        <v>220</v>
      </c>
      <c r="K289" s="71" t="s">
        <v>1766</v>
      </c>
      <c r="L289" s="75" t="s">
        <v>137</v>
      </c>
      <c r="M289" s="82" t="s">
        <v>1767</v>
      </c>
      <c r="N289" s="74">
        <v>45882</v>
      </c>
      <c r="O289" s="76">
        <v>45883</v>
      </c>
      <c r="P289" s="83" t="s">
        <v>181</v>
      </c>
      <c r="Q289" s="84" t="s">
        <v>182</v>
      </c>
      <c r="R289" s="69" t="s">
        <v>549</v>
      </c>
      <c r="S289" s="72" t="s">
        <v>1768</v>
      </c>
      <c r="T289" s="79" t="s">
        <v>495</v>
      </c>
      <c r="U289" s="69" t="s">
        <v>1769</v>
      </c>
      <c r="V289" s="81" t="s">
        <v>52</v>
      </c>
      <c r="W289" s="76" t="s">
        <v>145</v>
      </c>
      <c r="X289" s="79" t="s">
        <v>495</v>
      </c>
      <c r="Y289" s="69">
        <v>0</v>
      </c>
      <c r="Z289" s="69">
        <v>0</v>
      </c>
      <c r="AA289" s="69">
        <v>2</v>
      </c>
      <c r="AB289" s="49">
        <f>IF(V289="TIPO I",'BASE DE LIQUIDACION 2025'!$B$3,'BASE DE LIQUIDACION 2025'!$B$4)</f>
        <v>11251.22416</v>
      </c>
      <c r="AC289" s="49">
        <f>IF(V289="TIPO I",'BASE DE LIQUIDACION 2025'!$C$3,'BASE DE LIQUIDACION 2025'!$C$4)</f>
        <v>126317.12212</v>
      </c>
      <c r="AD289" s="49">
        <f>IF(V289="TIPO I",'BASE DE LIQUIDACION 2025'!$D$3,'BASE DE LIQUIDACION 2025'!$D$4)</f>
        <v>57411.974240000003</v>
      </c>
      <c r="AE289" s="53">
        <f t="shared" si="6"/>
        <v>114823.94848000001</v>
      </c>
    </row>
    <row r="290" spans="1:31" s="46" customFormat="1" ht="12.75" customHeight="1">
      <c r="A290" s="69" t="s">
        <v>220</v>
      </c>
      <c r="B290" s="45" t="str">
        <f>VLOOKUP(A290,'CENTRO DE COSTOS'!A:D,4,FALSE)</f>
        <v>DIEGO FERNANDO HENAO CARDONA</v>
      </c>
      <c r="C290" s="45" t="str">
        <f>VLOOKUP(A290,'CENTRO DE COSTOS'!A:D,2,FALSE)</f>
        <v>0004-0003</v>
      </c>
      <c r="D290" s="69">
        <v>76001</v>
      </c>
      <c r="E290" s="70" t="s">
        <v>1770</v>
      </c>
      <c r="F290" s="71">
        <v>81003</v>
      </c>
      <c r="G290" s="79" t="s">
        <v>132</v>
      </c>
      <c r="H290" s="73" t="s">
        <v>177</v>
      </c>
      <c r="I290" s="71" t="s">
        <v>420</v>
      </c>
      <c r="J290" s="81" t="s">
        <v>220</v>
      </c>
      <c r="K290" s="71" t="s">
        <v>1771</v>
      </c>
      <c r="L290" s="75" t="s">
        <v>137</v>
      </c>
      <c r="M290" s="82" t="s">
        <v>1772</v>
      </c>
      <c r="N290" s="74">
        <v>45882</v>
      </c>
      <c r="O290" s="76">
        <v>45884</v>
      </c>
      <c r="P290" s="83" t="s">
        <v>181</v>
      </c>
      <c r="Q290" s="84" t="s">
        <v>707</v>
      </c>
      <c r="R290" s="69" t="s">
        <v>140</v>
      </c>
      <c r="S290" s="72" t="s">
        <v>1565</v>
      </c>
      <c r="T290" s="79" t="s">
        <v>702</v>
      </c>
      <c r="U290" s="69" t="s">
        <v>1773</v>
      </c>
      <c r="V290" s="81" t="s">
        <v>52</v>
      </c>
      <c r="W290" s="76" t="s">
        <v>145</v>
      </c>
      <c r="X290" s="79" t="s">
        <v>702</v>
      </c>
      <c r="Y290" s="69">
        <v>1</v>
      </c>
      <c r="Z290" s="69">
        <v>1</v>
      </c>
      <c r="AA290" s="69">
        <v>1</v>
      </c>
      <c r="AB290" s="49">
        <f>IF(V290="TIPO I",'BASE DE LIQUIDACION 2025'!$B$3,'BASE DE LIQUIDACION 2025'!$B$4)</f>
        <v>11251.22416</v>
      </c>
      <c r="AC290" s="49">
        <f>IF(V290="TIPO I",'BASE DE LIQUIDACION 2025'!$C$3,'BASE DE LIQUIDACION 2025'!$C$4)</f>
        <v>126317.12212</v>
      </c>
      <c r="AD290" s="49">
        <f>IF(V290="TIPO I",'BASE DE LIQUIDACION 2025'!$D$3,'BASE DE LIQUIDACION 2025'!$D$4)</f>
        <v>57411.974240000003</v>
      </c>
      <c r="AE290" s="53">
        <f t="shared" si="6"/>
        <v>194980.32052000001</v>
      </c>
    </row>
    <row r="291" spans="1:31" s="46" customFormat="1" ht="12.75" customHeight="1">
      <c r="A291" s="69" t="s">
        <v>220</v>
      </c>
      <c r="B291" s="45" t="str">
        <f>VLOOKUP(A291,'CENTRO DE COSTOS'!A:D,4,FALSE)</f>
        <v>DIEGO FERNANDO HENAO CARDONA</v>
      </c>
      <c r="C291" s="45" t="str">
        <f>VLOOKUP(A291,'CENTRO DE COSTOS'!A:D,2,FALSE)</f>
        <v>0004-0003</v>
      </c>
      <c r="D291" s="69">
        <v>76130</v>
      </c>
      <c r="E291" s="70" t="s">
        <v>1774</v>
      </c>
      <c r="F291" s="71">
        <v>81004</v>
      </c>
      <c r="G291" s="79" t="s">
        <v>132</v>
      </c>
      <c r="H291" s="73" t="s">
        <v>177</v>
      </c>
      <c r="I291" s="71" t="s">
        <v>420</v>
      </c>
      <c r="J291" s="81" t="s">
        <v>1269</v>
      </c>
      <c r="K291" s="71" t="s">
        <v>1775</v>
      </c>
      <c r="L291" s="75" t="s">
        <v>137</v>
      </c>
      <c r="M291" s="82" t="s">
        <v>1776</v>
      </c>
      <c r="N291" s="74">
        <v>45882</v>
      </c>
      <c r="O291" s="76">
        <v>45883</v>
      </c>
      <c r="P291" s="83" t="s">
        <v>181</v>
      </c>
      <c r="Q291" s="84" t="s">
        <v>707</v>
      </c>
      <c r="R291" s="69" t="s">
        <v>140</v>
      </c>
      <c r="S291" s="72" t="s">
        <v>1777</v>
      </c>
      <c r="T291" s="79" t="s">
        <v>489</v>
      </c>
      <c r="U291" s="69" t="s">
        <v>1778</v>
      </c>
      <c r="V291" s="81" t="s">
        <v>202</v>
      </c>
      <c r="W291" s="76" t="s">
        <v>145</v>
      </c>
      <c r="X291" s="79" t="s">
        <v>489</v>
      </c>
      <c r="Y291" s="69">
        <v>1</v>
      </c>
      <c r="Z291" s="69">
        <v>1</v>
      </c>
      <c r="AA291" s="69">
        <v>1</v>
      </c>
      <c r="AB291" s="49">
        <f>IF(V291="TIPO I",'BASE DE LIQUIDACION 2025'!$B$3,'BASE DE LIQUIDACION 2025'!$B$4)</f>
        <v>11251.22416</v>
      </c>
      <c r="AC291" s="49">
        <f>IF(V291="TIPO I",'BASE DE LIQUIDACION 2025'!$C$3,'BASE DE LIQUIDACION 2025'!$C$4)</f>
        <v>126317.12212</v>
      </c>
      <c r="AD291" s="49">
        <f>IF(V291="TIPO I",'BASE DE LIQUIDACION 2025'!$D$3,'BASE DE LIQUIDACION 2025'!$D$4)</f>
        <v>110808.27512000001</v>
      </c>
      <c r="AE291" s="53">
        <f t="shared" si="6"/>
        <v>248376.6214</v>
      </c>
    </row>
    <row r="292" spans="1:31" s="46" customFormat="1" ht="12.75" customHeight="1">
      <c r="A292" s="69" t="s">
        <v>220</v>
      </c>
      <c r="B292" s="45" t="str">
        <f>VLOOKUP(A292,'CENTRO DE COSTOS'!A:D,4,FALSE)</f>
        <v>DIEGO FERNANDO HENAO CARDONA</v>
      </c>
      <c r="C292" s="45" t="str">
        <f>VLOOKUP(A292,'CENTRO DE COSTOS'!A:D,2,FALSE)</f>
        <v>0004-0003</v>
      </c>
      <c r="D292" s="69">
        <v>76834</v>
      </c>
      <c r="E292" s="70" t="s">
        <v>1779</v>
      </c>
      <c r="F292" s="71">
        <v>81030</v>
      </c>
      <c r="G292" s="79" t="s">
        <v>132</v>
      </c>
      <c r="H292" s="73" t="s">
        <v>177</v>
      </c>
      <c r="I292" s="71" t="s">
        <v>420</v>
      </c>
      <c r="J292" s="81" t="s">
        <v>1780</v>
      </c>
      <c r="K292" s="71" t="s">
        <v>1781</v>
      </c>
      <c r="L292" s="75" t="s">
        <v>137</v>
      </c>
      <c r="M292" s="82" t="s">
        <v>1782</v>
      </c>
      <c r="N292" s="74">
        <v>45882</v>
      </c>
      <c r="O292" s="76">
        <v>45884</v>
      </c>
      <c r="P292" s="83" t="s">
        <v>181</v>
      </c>
      <c r="Q292" s="84" t="s">
        <v>707</v>
      </c>
      <c r="R292" s="69" t="s">
        <v>140</v>
      </c>
      <c r="S292" s="72" t="s">
        <v>1565</v>
      </c>
      <c r="T292" s="79" t="s">
        <v>495</v>
      </c>
      <c r="U292" s="69" t="s">
        <v>1783</v>
      </c>
      <c r="V292" s="81" t="s">
        <v>202</v>
      </c>
      <c r="W292" s="76" t="s">
        <v>145</v>
      </c>
      <c r="X292" s="79" t="s">
        <v>495</v>
      </c>
      <c r="Y292" s="69">
        <v>1</v>
      </c>
      <c r="Z292" s="69">
        <v>1</v>
      </c>
      <c r="AA292" s="69">
        <v>1</v>
      </c>
      <c r="AB292" s="49">
        <f>IF(V292="TIPO I",'BASE DE LIQUIDACION 2025'!$B$3,'BASE DE LIQUIDACION 2025'!$B$4)</f>
        <v>11251.22416</v>
      </c>
      <c r="AC292" s="49">
        <f>IF(V292="TIPO I",'BASE DE LIQUIDACION 2025'!$C$3,'BASE DE LIQUIDACION 2025'!$C$4)</f>
        <v>126317.12212</v>
      </c>
      <c r="AD292" s="49">
        <f>IF(V292="TIPO I",'BASE DE LIQUIDACION 2025'!$D$3,'BASE DE LIQUIDACION 2025'!$D$4)</f>
        <v>110808.27512000001</v>
      </c>
      <c r="AE292" s="53">
        <f t="shared" si="6"/>
        <v>248376.6214</v>
      </c>
    </row>
    <row r="293" spans="1:31" s="46" customFormat="1" ht="12.75" customHeight="1">
      <c r="A293" s="69" t="s">
        <v>269</v>
      </c>
      <c r="B293" s="45" t="str">
        <f>VLOOKUP(A293,'CENTRO DE COSTOS'!A:D,4,FALSE)</f>
        <v>MIGUEL JULIÁN HERNÁNDEZ GUARÍN</v>
      </c>
      <c r="C293" s="45" t="str">
        <f>VLOOKUP(A293,'CENTRO DE COSTOS'!A:D,2,FALSE)</f>
        <v>0004-0008</v>
      </c>
      <c r="D293" s="69">
        <v>81001</v>
      </c>
      <c r="E293" s="70" t="s">
        <v>1784</v>
      </c>
      <c r="F293" s="71">
        <v>80993</v>
      </c>
      <c r="G293" s="79" t="s">
        <v>132</v>
      </c>
      <c r="H293" s="73" t="s">
        <v>177</v>
      </c>
      <c r="I293" s="71" t="s">
        <v>1785</v>
      </c>
      <c r="J293" s="81" t="s">
        <v>1785</v>
      </c>
      <c r="K293" s="71" t="s">
        <v>1786</v>
      </c>
      <c r="L293" s="75" t="s">
        <v>137</v>
      </c>
      <c r="M293" s="82" t="s">
        <v>1787</v>
      </c>
      <c r="N293" s="74">
        <v>45882</v>
      </c>
      <c r="O293" s="76">
        <v>45884</v>
      </c>
      <c r="P293" s="83" t="s">
        <v>181</v>
      </c>
      <c r="Q293" s="84" t="s">
        <v>182</v>
      </c>
      <c r="R293" s="69" t="s">
        <v>140</v>
      </c>
      <c r="S293" s="72" t="s">
        <v>1565</v>
      </c>
      <c r="T293" s="79" t="s">
        <v>929</v>
      </c>
      <c r="U293" s="69" t="s">
        <v>1788</v>
      </c>
      <c r="V293" s="81" t="s">
        <v>160</v>
      </c>
      <c r="W293" s="76" t="s">
        <v>1369</v>
      </c>
      <c r="X293" s="79" t="s">
        <v>929</v>
      </c>
      <c r="Y293" s="69">
        <v>1</v>
      </c>
      <c r="Z293" s="69">
        <v>1</v>
      </c>
      <c r="AA293" s="69">
        <v>1</v>
      </c>
      <c r="AB293" s="49">
        <f>IF(V293="TIPO I",'BASE DE LIQUIDACION 2025'!$B$3,'BASE DE LIQUIDACION 2025'!$B$4)</f>
        <v>11251.22416</v>
      </c>
      <c r="AC293" s="49">
        <f>IF(V293="TIPO I",'BASE DE LIQUIDACION 2025'!$C$3,'BASE DE LIQUIDACION 2025'!$C$4)</f>
        <v>126317.12212</v>
      </c>
      <c r="AD293" s="49">
        <f>IF(V293="TIPO I",'BASE DE LIQUIDACION 2025'!$D$3,'BASE DE LIQUIDACION 2025'!$D$4)</f>
        <v>110808.27512000001</v>
      </c>
      <c r="AE293" s="53">
        <f t="shared" si="6"/>
        <v>248376.6214</v>
      </c>
    </row>
    <row r="294" spans="1:31" s="46" customFormat="1" ht="12.75" customHeight="1">
      <c r="A294" s="69" t="s">
        <v>167</v>
      </c>
      <c r="B294" s="45" t="str">
        <f>VLOOKUP(A294,'CENTRO DE COSTOS'!A:D,4,FALSE)</f>
        <v>KEVIN ALEXIS CORZO BUSTOS</v>
      </c>
      <c r="C294" s="45" t="str">
        <f>VLOOKUP(A294,'CENTRO DE COSTOS'!A:D,2,FALSE)</f>
        <v>0004-0007</v>
      </c>
      <c r="D294" s="69">
        <v>85001</v>
      </c>
      <c r="E294" s="70" t="s">
        <v>1789</v>
      </c>
      <c r="F294" s="71">
        <v>81044</v>
      </c>
      <c r="G294" s="79" t="s">
        <v>132</v>
      </c>
      <c r="H294" s="73" t="s">
        <v>177</v>
      </c>
      <c r="I294" s="71" t="s">
        <v>169</v>
      </c>
      <c r="J294" s="81" t="s">
        <v>167</v>
      </c>
      <c r="K294" s="71" t="s">
        <v>1790</v>
      </c>
      <c r="L294" s="75" t="s">
        <v>137</v>
      </c>
      <c r="M294" s="82" t="s">
        <v>1791</v>
      </c>
      <c r="N294" s="74">
        <v>45882</v>
      </c>
      <c r="O294" s="76">
        <v>45884</v>
      </c>
      <c r="P294" s="83" t="s">
        <v>181</v>
      </c>
      <c r="Q294" s="84" t="s">
        <v>182</v>
      </c>
      <c r="R294" s="69" t="s">
        <v>140</v>
      </c>
      <c r="S294" s="72" t="s">
        <v>1565</v>
      </c>
      <c r="T294" s="79" t="s">
        <v>173</v>
      </c>
      <c r="U294" s="69" t="s">
        <v>1792</v>
      </c>
      <c r="V294" s="81" t="s">
        <v>52</v>
      </c>
      <c r="W294" s="76" t="s">
        <v>145</v>
      </c>
      <c r="X294" s="79" t="s">
        <v>173</v>
      </c>
      <c r="Y294" s="69">
        <v>1</v>
      </c>
      <c r="Z294" s="69">
        <v>1</v>
      </c>
      <c r="AA294" s="69">
        <v>1</v>
      </c>
      <c r="AB294" s="49">
        <f>IF(V294="TIPO I",'BASE DE LIQUIDACION 2025'!$B$3,'BASE DE LIQUIDACION 2025'!$B$4)</f>
        <v>11251.22416</v>
      </c>
      <c r="AC294" s="49">
        <f>IF(V294="TIPO I",'BASE DE LIQUIDACION 2025'!$C$3,'BASE DE LIQUIDACION 2025'!$C$4)</f>
        <v>126317.12212</v>
      </c>
      <c r="AD294" s="49">
        <f>IF(V294="TIPO I",'BASE DE LIQUIDACION 2025'!$D$3,'BASE DE LIQUIDACION 2025'!$D$4)</f>
        <v>57411.974240000003</v>
      </c>
      <c r="AE294" s="53">
        <f t="shared" si="6"/>
        <v>194980.32052000001</v>
      </c>
    </row>
    <row r="295" spans="1:31" s="46" customFormat="1" ht="12.75" customHeight="1">
      <c r="A295" s="69" t="s">
        <v>151</v>
      </c>
      <c r="B295" s="45" t="str">
        <f>VLOOKUP(A295,'CENTRO DE COSTOS'!A:D,4,FALSE)</f>
        <v>DIEGO FERNANDO HENAO CARDONA</v>
      </c>
      <c r="C295" s="45" t="str">
        <f>VLOOKUP(A295,'CENTRO DE COSTOS'!A:D,2,FALSE)</f>
        <v>0004-0003</v>
      </c>
      <c r="D295" s="69">
        <v>86749</v>
      </c>
      <c r="E295" s="70" t="s">
        <v>1793</v>
      </c>
      <c r="F295" s="71">
        <v>81029</v>
      </c>
      <c r="G295" s="79" t="s">
        <v>132</v>
      </c>
      <c r="H295" s="73" t="s">
        <v>177</v>
      </c>
      <c r="I295" s="71" t="s">
        <v>1794</v>
      </c>
      <c r="J295" s="81" t="s">
        <v>1795</v>
      </c>
      <c r="K295" s="71" t="s">
        <v>1796</v>
      </c>
      <c r="L295" s="75" t="s">
        <v>137</v>
      </c>
      <c r="M295" s="82" t="s">
        <v>1797</v>
      </c>
      <c r="N295" s="74">
        <v>45882</v>
      </c>
      <c r="O295" s="76">
        <v>45884</v>
      </c>
      <c r="P295" s="83" t="s">
        <v>181</v>
      </c>
      <c r="Q295" s="84" t="s">
        <v>182</v>
      </c>
      <c r="R295" s="69" t="s">
        <v>140</v>
      </c>
      <c r="S295" s="72" t="s">
        <v>1565</v>
      </c>
      <c r="T295" s="79" t="s">
        <v>1798</v>
      </c>
      <c r="U295" s="69" t="s">
        <v>1799</v>
      </c>
      <c r="V295" s="81" t="s">
        <v>230</v>
      </c>
      <c r="W295" s="76" t="s">
        <v>145</v>
      </c>
      <c r="X295" s="79" t="s">
        <v>1798</v>
      </c>
      <c r="Y295" s="69">
        <v>1</v>
      </c>
      <c r="Z295" s="69">
        <v>1</v>
      </c>
      <c r="AA295" s="69">
        <v>1</v>
      </c>
      <c r="AB295" s="49">
        <f>IF(V295="TIPO I",'BASE DE LIQUIDACION 2025'!$B$3,'BASE DE LIQUIDACION 2025'!$B$4)</f>
        <v>11251.22416</v>
      </c>
      <c r="AC295" s="49">
        <f>IF(V295="TIPO I",'BASE DE LIQUIDACION 2025'!$C$3,'BASE DE LIQUIDACION 2025'!$C$4)</f>
        <v>126317.12212</v>
      </c>
      <c r="AD295" s="49">
        <f>IF(V295="TIPO I",'BASE DE LIQUIDACION 2025'!$D$3,'BASE DE LIQUIDACION 2025'!$D$4)</f>
        <v>110808.27512000001</v>
      </c>
      <c r="AE295" s="53">
        <f t="shared" si="6"/>
        <v>248376.6214</v>
      </c>
    </row>
    <row r="296" spans="1:31" s="46" customFormat="1" ht="12.75" customHeight="1">
      <c r="A296" s="69" t="s">
        <v>151</v>
      </c>
      <c r="B296" s="45" t="str">
        <f>VLOOKUP(A296,'CENTRO DE COSTOS'!A:D,4,FALSE)</f>
        <v>DIEGO FERNANDO HENAO CARDONA</v>
      </c>
      <c r="C296" s="45" t="str">
        <f>VLOOKUP(A296,'CENTRO DE COSTOS'!A:D,2,FALSE)</f>
        <v>0004-0003</v>
      </c>
      <c r="D296" s="69">
        <v>86865</v>
      </c>
      <c r="E296" s="70" t="s">
        <v>1800</v>
      </c>
      <c r="F296" s="71">
        <v>81031</v>
      </c>
      <c r="G296" s="79" t="s">
        <v>132</v>
      </c>
      <c r="H296" s="73" t="s">
        <v>177</v>
      </c>
      <c r="I296" s="71" t="s">
        <v>1794</v>
      </c>
      <c r="J296" s="81" t="s">
        <v>1801</v>
      </c>
      <c r="K296" s="71" t="s">
        <v>1802</v>
      </c>
      <c r="L296" s="75" t="s">
        <v>137</v>
      </c>
      <c r="M296" s="82" t="s">
        <v>1803</v>
      </c>
      <c r="N296" s="74">
        <v>45882</v>
      </c>
      <c r="O296" s="76">
        <v>45889</v>
      </c>
      <c r="P296" s="83" t="s">
        <v>181</v>
      </c>
      <c r="Q296" s="84" t="s">
        <v>182</v>
      </c>
      <c r="R296" s="69" t="s">
        <v>140</v>
      </c>
      <c r="S296" s="72" t="s">
        <v>1804</v>
      </c>
      <c r="T296" s="79" t="s">
        <v>1452</v>
      </c>
      <c r="U296" s="69" t="s">
        <v>1805</v>
      </c>
      <c r="V296" s="81" t="s">
        <v>144</v>
      </c>
      <c r="W296" s="76" t="s">
        <v>145</v>
      </c>
      <c r="X296" s="79" t="s">
        <v>1452</v>
      </c>
      <c r="Y296" s="69">
        <v>1</v>
      </c>
      <c r="Z296" s="69">
        <v>1</v>
      </c>
      <c r="AA296" s="69">
        <v>1</v>
      </c>
      <c r="AB296" s="49">
        <f>IF(V296="TIPO I",'BASE DE LIQUIDACION 2025'!$B$3,'BASE DE LIQUIDACION 2025'!$B$4)</f>
        <v>11251.22416</v>
      </c>
      <c r="AC296" s="49">
        <f>IF(V296="TIPO I",'BASE DE LIQUIDACION 2025'!$C$3,'BASE DE LIQUIDACION 2025'!$C$4)</f>
        <v>126317.12212</v>
      </c>
      <c r="AD296" s="49">
        <f>IF(V296="TIPO I",'BASE DE LIQUIDACION 2025'!$D$3,'BASE DE LIQUIDACION 2025'!$D$4)</f>
        <v>110808.27512000001</v>
      </c>
      <c r="AE296" s="53">
        <f t="shared" si="6"/>
        <v>248376.6214</v>
      </c>
    </row>
    <row r="297" spans="1:31" s="46" customFormat="1" ht="12.75" customHeight="1">
      <c r="A297" s="69" t="s">
        <v>431</v>
      </c>
      <c r="B297" s="45" t="str">
        <f>VLOOKUP(A297,'CENTRO DE COSTOS'!A:D,4,FALSE)</f>
        <v>WILLIAM ASDRUBAL ROZO ROZO</v>
      </c>
      <c r="C297" s="45" t="str">
        <f>VLOOKUP(A297,'CENTRO DE COSTOS'!A:D,2,FALSE)</f>
        <v>0004-0004</v>
      </c>
      <c r="D297" s="69">
        <v>11001</v>
      </c>
      <c r="E297" s="70" t="s">
        <v>1806</v>
      </c>
      <c r="F297" s="71">
        <v>80995</v>
      </c>
      <c r="G297" s="79" t="s">
        <v>132</v>
      </c>
      <c r="H297" s="73" t="s">
        <v>177</v>
      </c>
      <c r="I297" s="71" t="s">
        <v>433</v>
      </c>
      <c r="J297" s="81" t="s">
        <v>431</v>
      </c>
      <c r="K297" s="71" t="s">
        <v>1807</v>
      </c>
      <c r="L297" s="75" t="s">
        <v>137</v>
      </c>
      <c r="M297" s="82" t="s">
        <v>1808</v>
      </c>
      <c r="N297" s="74">
        <v>45882</v>
      </c>
      <c r="O297" s="76">
        <v>45883</v>
      </c>
      <c r="P297" s="83" t="s">
        <v>181</v>
      </c>
      <c r="Q297" s="84" t="s">
        <v>182</v>
      </c>
      <c r="R297" s="69" t="s">
        <v>140</v>
      </c>
      <c r="S297" s="72" t="s">
        <v>1556</v>
      </c>
      <c r="T297" s="79" t="s">
        <v>551</v>
      </c>
      <c r="U297" s="69" t="s">
        <v>1809</v>
      </c>
      <c r="V297" s="81" t="s">
        <v>52</v>
      </c>
      <c r="W297" s="76" t="s">
        <v>145</v>
      </c>
      <c r="X297" s="79" t="s">
        <v>551</v>
      </c>
      <c r="Y297" s="69">
        <v>1</v>
      </c>
      <c r="Z297" s="69">
        <v>1</v>
      </c>
      <c r="AA297" s="69">
        <v>1</v>
      </c>
      <c r="AB297" s="49">
        <f>IF(V297="TIPO I",'BASE DE LIQUIDACION 2025'!$B$3,'BASE DE LIQUIDACION 2025'!$B$4)</f>
        <v>11251.22416</v>
      </c>
      <c r="AC297" s="49">
        <f>IF(V297="TIPO I",'BASE DE LIQUIDACION 2025'!$C$3,'BASE DE LIQUIDACION 2025'!$C$4)</f>
        <v>126317.12212</v>
      </c>
      <c r="AD297" s="49">
        <f>IF(V297="TIPO I",'BASE DE LIQUIDACION 2025'!$D$3,'BASE DE LIQUIDACION 2025'!$D$4)</f>
        <v>57411.974240000003</v>
      </c>
      <c r="AE297" s="53">
        <f t="shared" si="6"/>
        <v>194980.32052000001</v>
      </c>
    </row>
    <row r="298" spans="1:31" s="46" customFormat="1" ht="12.75" customHeight="1">
      <c r="A298" s="69" t="s">
        <v>431</v>
      </c>
      <c r="B298" s="45" t="str">
        <f>VLOOKUP(A298,'CENTRO DE COSTOS'!A:D,4,FALSE)</f>
        <v>WILLIAM ASDRUBAL ROZO ROZO</v>
      </c>
      <c r="C298" s="45" t="str">
        <f>VLOOKUP(A298,'CENTRO DE COSTOS'!A:D,2,FALSE)</f>
        <v>0004-0004</v>
      </c>
      <c r="D298" s="69">
        <v>11001</v>
      </c>
      <c r="E298" s="70" t="s">
        <v>1810</v>
      </c>
      <c r="F298" s="71">
        <v>80996</v>
      </c>
      <c r="G298" s="79" t="s">
        <v>132</v>
      </c>
      <c r="H298" s="73" t="s">
        <v>177</v>
      </c>
      <c r="I298" s="71" t="s">
        <v>433</v>
      </c>
      <c r="J298" s="81" t="s">
        <v>431</v>
      </c>
      <c r="K298" s="71" t="s">
        <v>1811</v>
      </c>
      <c r="L298" s="75" t="s">
        <v>137</v>
      </c>
      <c r="M298" s="82" t="s">
        <v>1812</v>
      </c>
      <c r="N298" s="74">
        <v>45882</v>
      </c>
      <c r="O298" s="76">
        <v>45883</v>
      </c>
      <c r="P298" s="83" t="s">
        <v>181</v>
      </c>
      <c r="Q298" s="84" t="s">
        <v>707</v>
      </c>
      <c r="R298" s="69" t="s">
        <v>140</v>
      </c>
      <c r="S298" s="72" t="s">
        <v>1556</v>
      </c>
      <c r="T298" s="79" t="s">
        <v>856</v>
      </c>
      <c r="U298" s="69" t="s">
        <v>1813</v>
      </c>
      <c r="V298" s="81" t="s">
        <v>52</v>
      </c>
      <c r="W298" s="76" t="s">
        <v>145</v>
      </c>
      <c r="X298" s="79" t="s">
        <v>856</v>
      </c>
      <c r="Y298" s="69">
        <v>1</v>
      </c>
      <c r="Z298" s="69">
        <v>1</v>
      </c>
      <c r="AA298" s="69">
        <v>1</v>
      </c>
      <c r="AB298" s="49">
        <f>IF(V298="TIPO I",'BASE DE LIQUIDACION 2025'!$B$3,'BASE DE LIQUIDACION 2025'!$B$4)</f>
        <v>11251.22416</v>
      </c>
      <c r="AC298" s="49">
        <f>IF(V298="TIPO I",'BASE DE LIQUIDACION 2025'!$C$3,'BASE DE LIQUIDACION 2025'!$C$4)</f>
        <v>126317.12212</v>
      </c>
      <c r="AD298" s="49">
        <f>IF(V298="TIPO I",'BASE DE LIQUIDACION 2025'!$D$3,'BASE DE LIQUIDACION 2025'!$D$4)</f>
        <v>57411.974240000003</v>
      </c>
      <c r="AE298" s="53">
        <f t="shared" si="6"/>
        <v>194980.32052000001</v>
      </c>
    </row>
    <row r="299" spans="1:31" s="46" customFormat="1" ht="12.75" customHeight="1">
      <c r="A299" s="69" t="s">
        <v>175</v>
      </c>
      <c r="B299" s="45" t="str">
        <f>VLOOKUP(A299,'CENTRO DE COSTOS'!A:D,4,FALSE)</f>
        <v>JUAN SEBASTIÁN RÍOS CASTRILLÓN</v>
      </c>
      <c r="C299" s="45" t="str">
        <f>VLOOKUP(A299,'CENTRO DE COSTOS'!A:D,2,FALSE)</f>
        <v>0004-0005</v>
      </c>
      <c r="D299" s="69">
        <v>5001</v>
      </c>
      <c r="E299" s="70" t="s">
        <v>1814</v>
      </c>
      <c r="F299" s="71">
        <v>81045</v>
      </c>
      <c r="G299" s="79" t="s">
        <v>132</v>
      </c>
      <c r="H299" s="73" t="s">
        <v>177</v>
      </c>
      <c r="I299" s="71" t="s">
        <v>178</v>
      </c>
      <c r="J299" s="81" t="s">
        <v>175</v>
      </c>
      <c r="K299" s="71" t="s">
        <v>1815</v>
      </c>
      <c r="L299" s="75" t="s">
        <v>137</v>
      </c>
      <c r="M299" s="82" t="s">
        <v>1816</v>
      </c>
      <c r="N299" s="74">
        <v>45884</v>
      </c>
      <c r="O299" s="76">
        <v>45884</v>
      </c>
      <c r="P299" s="83" t="s">
        <v>1817</v>
      </c>
      <c r="Q299" s="84" t="s">
        <v>1818</v>
      </c>
      <c r="R299" s="69" t="s">
        <v>140</v>
      </c>
      <c r="S299" s="72" t="s">
        <v>1819</v>
      </c>
      <c r="T299" s="79" t="s">
        <v>189</v>
      </c>
      <c r="U299" s="69" t="s">
        <v>1820</v>
      </c>
      <c r="V299" s="81" t="s">
        <v>52</v>
      </c>
      <c r="W299" s="76" t="s">
        <v>145</v>
      </c>
      <c r="X299" s="79" t="s">
        <v>189</v>
      </c>
      <c r="Y299" s="69">
        <v>1</v>
      </c>
      <c r="Z299" s="69">
        <v>0</v>
      </c>
      <c r="AA299" s="69">
        <v>2</v>
      </c>
      <c r="AB299" s="49">
        <f>IF(V299="TIPO I",'BASE DE LIQUIDACION 2025'!$B$3,'BASE DE LIQUIDACION 2025'!$B$4)</f>
        <v>11251.22416</v>
      </c>
      <c r="AC299" s="49">
        <f>IF(V299="TIPO I",'BASE DE LIQUIDACION 2025'!$C$3,'BASE DE LIQUIDACION 2025'!$C$4)</f>
        <v>126317.12212</v>
      </c>
      <c r="AD299" s="49">
        <f>IF(V299="TIPO I",'BASE DE LIQUIDACION 2025'!$D$3,'BASE DE LIQUIDACION 2025'!$D$4)</f>
        <v>57411.974240000003</v>
      </c>
      <c r="AE299" s="53">
        <f t="shared" si="6"/>
        <v>126075.17264</v>
      </c>
    </row>
    <row r="300" spans="1:31" s="46" customFormat="1" ht="12.75" customHeight="1">
      <c r="A300" s="69" t="s">
        <v>175</v>
      </c>
      <c r="B300" s="45" t="str">
        <f>VLOOKUP(A300,'CENTRO DE COSTOS'!A:D,4,FALSE)</f>
        <v>JUAN SEBASTIÁN RÍOS CASTRILLÓN</v>
      </c>
      <c r="C300" s="45" t="str">
        <f>VLOOKUP(A300,'CENTRO DE COSTOS'!A:D,2,FALSE)</f>
        <v>0004-0005</v>
      </c>
      <c r="D300" s="69">
        <v>5001</v>
      </c>
      <c r="E300" s="70" t="s">
        <v>1821</v>
      </c>
      <c r="F300" s="71">
        <v>81048</v>
      </c>
      <c r="G300" s="79" t="s">
        <v>132</v>
      </c>
      <c r="H300" s="73" t="s">
        <v>177</v>
      </c>
      <c r="I300" s="71" t="s">
        <v>178</v>
      </c>
      <c r="J300" s="81" t="s">
        <v>175</v>
      </c>
      <c r="K300" s="71" t="s">
        <v>1822</v>
      </c>
      <c r="L300" s="75" t="s">
        <v>137</v>
      </c>
      <c r="M300" s="82" t="s">
        <v>1823</v>
      </c>
      <c r="N300" s="74">
        <v>45888</v>
      </c>
      <c r="O300" s="76">
        <v>45889</v>
      </c>
      <c r="P300" s="83" t="s">
        <v>181</v>
      </c>
      <c r="Q300" s="84" t="s">
        <v>707</v>
      </c>
      <c r="R300" s="69" t="s">
        <v>140</v>
      </c>
      <c r="S300" s="72" t="s">
        <v>1824</v>
      </c>
      <c r="T300" s="79" t="s">
        <v>1303</v>
      </c>
      <c r="U300" s="69" t="s">
        <v>1825</v>
      </c>
      <c r="V300" s="81" t="s">
        <v>52</v>
      </c>
      <c r="W300" s="76" t="s">
        <v>145</v>
      </c>
      <c r="X300" s="79" t="s">
        <v>1303</v>
      </c>
      <c r="Y300" s="69">
        <v>1</v>
      </c>
      <c r="Z300" s="69">
        <v>1</v>
      </c>
      <c r="AA300" s="69">
        <v>1</v>
      </c>
      <c r="AB300" s="49">
        <f>IF(V300="TIPO I",'BASE DE LIQUIDACION 2025'!$B$3,'BASE DE LIQUIDACION 2025'!$B$4)</f>
        <v>11251.22416</v>
      </c>
      <c r="AC300" s="49">
        <f>IF(V300="TIPO I",'BASE DE LIQUIDACION 2025'!$C$3,'BASE DE LIQUIDACION 2025'!$C$4)</f>
        <v>126317.12212</v>
      </c>
      <c r="AD300" s="49">
        <f>IF(V300="TIPO I",'BASE DE LIQUIDACION 2025'!$D$3,'BASE DE LIQUIDACION 2025'!$D$4)</f>
        <v>57411.974240000003</v>
      </c>
      <c r="AE300" s="53">
        <f t="shared" si="6"/>
        <v>194980.32052000001</v>
      </c>
    </row>
    <row r="301" spans="1:31" s="46" customFormat="1" ht="12.75" customHeight="1">
      <c r="A301" s="69" t="s">
        <v>431</v>
      </c>
      <c r="B301" s="45" t="str">
        <f>VLOOKUP(A301,'CENTRO DE COSTOS'!A:D,4,FALSE)</f>
        <v>WILLIAM ASDRUBAL ROZO ROZO</v>
      </c>
      <c r="C301" s="45" t="str">
        <f>VLOOKUP(A301,'CENTRO DE COSTOS'!A:D,2,FALSE)</f>
        <v>0004-0004</v>
      </c>
      <c r="D301" s="69">
        <v>25754</v>
      </c>
      <c r="E301" s="70" t="s">
        <v>1826</v>
      </c>
      <c r="F301" s="71">
        <v>81047</v>
      </c>
      <c r="G301" s="79" t="s">
        <v>132</v>
      </c>
      <c r="H301" s="73" t="s">
        <v>177</v>
      </c>
      <c r="I301" s="71" t="s">
        <v>433</v>
      </c>
      <c r="J301" s="81" t="s">
        <v>1110</v>
      </c>
      <c r="K301" s="71" t="s">
        <v>1827</v>
      </c>
      <c r="L301" s="75" t="s">
        <v>137</v>
      </c>
      <c r="M301" s="82" t="s">
        <v>1828</v>
      </c>
      <c r="N301" s="74">
        <v>45888</v>
      </c>
      <c r="O301" s="76">
        <v>45889</v>
      </c>
      <c r="P301" s="83" t="s">
        <v>181</v>
      </c>
      <c r="Q301" s="84" t="s">
        <v>707</v>
      </c>
      <c r="R301" s="69" t="s">
        <v>140</v>
      </c>
      <c r="S301" s="72" t="s">
        <v>1824</v>
      </c>
      <c r="T301" s="79" t="s">
        <v>502</v>
      </c>
      <c r="U301" s="69" t="s">
        <v>1829</v>
      </c>
      <c r="V301" s="81" t="s">
        <v>52</v>
      </c>
      <c r="W301" s="76" t="s">
        <v>145</v>
      </c>
      <c r="X301" s="79" t="s">
        <v>502</v>
      </c>
      <c r="Y301" s="69">
        <v>1</v>
      </c>
      <c r="Z301" s="69">
        <v>1</v>
      </c>
      <c r="AA301" s="69">
        <v>1</v>
      </c>
      <c r="AB301" s="49">
        <f>IF(V301="TIPO I",'BASE DE LIQUIDACION 2025'!$B$3,'BASE DE LIQUIDACION 2025'!$B$4)</f>
        <v>11251.22416</v>
      </c>
      <c r="AC301" s="49">
        <f>IF(V301="TIPO I",'BASE DE LIQUIDACION 2025'!$C$3,'BASE DE LIQUIDACION 2025'!$C$4)</f>
        <v>126317.12212</v>
      </c>
      <c r="AD301" s="49">
        <f>IF(V301="TIPO I",'BASE DE LIQUIDACION 2025'!$D$3,'BASE DE LIQUIDACION 2025'!$D$4)</f>
        <v>57411.974240000003</v>
      </c>
      <c r="AE301" s="53">
        <f t="shared" si="6"/>
        <v>194980.32052000001</v>
      </c>
    </row>
    <row r="302" spans="1:31" s="46" customFormat="1" ht="12.75" customHeight="1">
      <c r="A302" s="69" t="s">
        <v>269</v>
      </c>
      <c r="B302" s="45" t="str">
        <f>VLOOKUP(A302,'CENTRO DE COSTOS'!A:D,4,FALSE)</f>
        <v>MIGUEL JULIÁN HERNÁNDEZ GUARÍN</v>
      </c>
      <c r="C302" s="45" t="str">
        <f>VLOOKUP(A302,'CENTRO DE COSTOS'!A:D,2,FALSE)</f>
        <v>0004-0008</v>
      </c>
      <c r="D302" s="69">
        <v>68001</v>
      </c>
      <c r="E302" s="70" t="s">
        <v>1830</v>
      </c>
      <c r="F302" s="71">
        <v>81046</v>
      </c>
      <c r="G302" s="79" t="s">
        <v>132</v>
      </c>
      <c r="H302" s="73" t="s">
        <v>177</v>
      </c>
      <c r="I302" s="71" t="s">
        <v>795</v>
      </c>
      <c r="J302" s="81" t="s">
        <v>269</v>
      </c>
      <c r="K302" s="71" t="s">
        <v>1831</v>
      </c>
      <c r="L302" s="75" t="s">
        <v>137</v>
      </c>
      <c r="M302" s="82" t="s">
        <v>1832</v>
      </c>
      <c r="N302" s="74">
        <v>45888</v>
      </c>
      <c r="O302" s="76">
        <v>45889</v>
      </c>
      <c r="P302" s="83" t="s">
        <v>181</v>
      </c>
      <c r="Q302" s="84" t="s">
        <v>707</v>
      </c>
      <c r="R302" s="69" t="s">
        <v>140</v>
      </c>
      <c r="S302" s="72" t="s">
        <v>1824</v>
      </c>
      <c r="T302" s="79" t="s">
        <v>988</v>
      </c>
      <c r="U302" s="69" t="s">
        <v>1833</v>
      </c>
      <c r="V302" s="81" t="s">
        <v>52</v>
      </c>
      <c r="W302" s="76" t="s">
        <v>145</v>
      </c>
      <c r="X302" s="79" t="s">
        <v>988</v>
      </c>
      <c r="Y302" s="69">
        <v>1</v>
      </c>
      <c r="Z302" s="69">
        <v>1</v>
      </c>
      <c r="AA302" s="69">
        <v>1</v>
      </c>
      <c r="AB302" s="49">
        <f>IF(V302="TIPO I",'BASE DE LIQUIDACION 2025'!$B$3,'BASE DE LIQUIDACION 2025'!$B$4)</f>
        <v>11251.22416</v>
      </c>
      <c r="AC302" s="49">
        <f>IF(V302="TIPO I",'BASE DE LIQUIDACION 2025'!$C$3,'BASE DE LIQUIDACION 2025'!$C$4)</f>
        <v>126317.12212</v>
      </c>
      <c r="AD302" s="49">
        <f>IF(V302="TIPO I",'BASE DE LIQUIDACION 2025'!$D$3,'BASE DE LIQUIDACION 2025'!$D$4)</f>
        <v>57411.974240000003</v>
      </c>
      <c r="AE302" s="53">
        <f t="shared" si="6"/>
        <v>194980.32052000001</v>
      </c>
    </row>
    <row r="303" spans="1:31" s="46" customFormat="1" ht="12.75" customHeight="1">
      <c r="A303" s="69" t="s">
        <v>379</v>
      </c>
      <c r="B303" s="45" t="str">
        <f>VLOOKUP(A303,'CENTRO DE COSTOS'!A:D,4,FALSE)</f>
        <v>JOSE MAURICIO HERNANDEZ ROJAS</v>
      </c>
      <c r="C303" s="45" t="str">
        <f>VLOOKUP(A303,'CENTRO DE COSTOS'!A:D,2,FALSE)</f>
        <v>0004-0001</v>
      </c>
      <c r="D303" s="69">
        <v>5154</v>
      </c>
      <c r="E303" s="70" t="s">
        <v>1834</v>
      </c>
      <c r="F303" s="71">
        <v>81066</v>
      </c>
      <c r="G303" s="79" t="s">
        <v>132</v>
      </c>
      <c r="H303" s="73" t="s">
        <v>133</v>
      </c>
      <c r="I303" s="71" t="s">
        <v>178</v>
      </c>
      <c r="J303" s="81" t="s">
        <v>743</v>
      </c>
      <c r="K303" s="71" t="s">
        <v>1835</v>
      </c>
      <c r="L303" s="75" t="s">
        <v>137</v>
      </c>
      <c r="M303" s="82" t="s">
        <v>1836</v>
      </c>
      <c r="N303" s="74">
        <v>45888</v>
      </c>
      <c r="O303" s="76">
        <v>45889</v>
      </c>
      <c r="P303" s="83" t="s">
        <v>139</v>
      </c>
      <c r="Q303" s="84" t="s">
        <v>139</v>
      </c>
      <c r="R303" s="69" t="s">
        <v>140</v>
      </c>
      <c r="S303" s="72" t="s">
        <v>1837</v>
      </c>
      <c r="T303" s="79" t="s">
        <v>1210</v>
      </c>
      <c r="U303" s="69" t="s">
        <v>1838</v>
      </c>
      <c r="V303" s="81" t="s">
        <v>202</v>
      </c>
      <c r="W303" s="76" t="s">
        <v>145</v>
      </c>
      <c r="X303" s="79" t="s">
        <v>1210</v>
      </c>
      <c r="Y303" s="69">
        <v>1</v>
      </c>
      <c r="Z303" s="69">
        <v>1</v>
      </c>
      <c r="AA303" s="69">
        <v>1</v>
      </c>
      <c r="AB303" s="49">
        <f>IF(V303="TIPO I",'BASE DE LIQUIDACION 2025'!$B$3,'BASE DE LIQUIDACION 2025'!$B$4)</f>
        <v>11251.22416</v>
      </c>
      <c r="AC303" s="49">
        <f>IF(V303="TIPO I",'BASE DE LIQUIDACION 2025'!$C$3,'BASE DE LIQUIDACION 2025'!$C$4)</f>
        <v>126317.12212</v>
      </c>
      <c r="AD303" s="49">
        <f>IF(V303="TIPO I",'BASE DE LIQUIDACION 2025'!$D$3,'BASE DE LIQUIDACION 2025'!$D$4)</f>
        <v>110808.27512000001</v>
      </c>
      <c r="AE303" s="53">
        <f t="shared" si="6"/>
        <v>248376.6214</v>
      </c>
    </row>
    <row r="304" spans="1:31" s="46" customFormat="1" ht="12.75" customHeight="1">
      <c r="A304" s="69" t="s">
        <v>1676</v>
      </c>
      <c r="B304" s="45" t="str">
        <f>VLOOKUP(A304,'CENTRO DE COSTOS'!A:D,4,FALSE)</f>
        <v>JOSE MAURICIO HERNANDEZ ROJAS</v>
      </c>
      <c r="C304" s="45" t="str">
        <f>VLOOKUP(A304,'CENTRO DE COSTOS'!A:D,2,FALSE)</f>
        <v>0004-0001</v>
      </c>
      <c r="D304" s="69">
        <v>47245</v>
      </c>
      <c r="E304" s="70" t="s">
        <v>1839</v>
      </c>
      <c r="F304" s="71">
        <v>81073</v>
      </c>
      <c r="G304" s="79" t="s">
        <v>132</v>
      </c>
      <c r="H304" s="73" t="s">
        <v>133</v>
      </c>
      <c r="I304" s="71" t="s">
        <v>1840</v>
      </c>
      <c r="J304" s="81" t="s">
        <v>1841</v>
      </c>
      <c r="K304" s="71" t="s">
        <v>1842</v>
      </c>
      <c r="L304" s="75" t="s">
        <v>137</v>
      </c>
      <c r="M304" s="82" t="s">
        <v>1843</v>
      </c>
      <c r="N304" s="74">
        <v>45888</v>
      </c>
      <c r="O304" s="76">
        <v>45890</v>
      </c>
      <c r="P304" s="83" t="s">
        <v>139</v>
      </c>
      <c r="Q304" s="84" t="s">
        <v>139</v>
      </c>
      <c r="R304" s="69" t="s">
        <v>140</v>
      </c>
      <c r="S304" s="72" t="s">
        <v>1844</v>
      </c>
      <c r="T304" s="79" t="s">
        <v>885</v>
      </c>
      <c r="U304" s="69" t="s">
        <v>1845</v>
      </c>
      <c r="V304" s="81" t="s">
        <v>144</v>
      </c>
      <c r="W304" s="76" t="s">
        <v>145</v>
      </c>
      <c r="X304" s="79" t="s">
        <v>885</v>
      </c>
      <c r="Y304" s="69">
        <v>1</v>
      </c>
      <c r="Z304" s="69">
        <v>1</v>
      </c>
      <c r="AA304" s="69">
        <v>1</v>
      </c>
      <c r="AB304" s="49">
        <f>IF(V304="TIPO I",'BASE DE LIQUIDACION 2025'!$B$3,'BASE DE LIQUIDACION 2025'!$B$4)</f>
        <v>11251.22416</v>
      </c>
      <c r="AC304" s="49">
        <f>IF(V304="TIPO I",'BASE DE LIQUIDACION 2025'!$C$3,'BASE DE LIQUIDACION 2025'!$C$4)</f>
        <v>126317.12212</v>
      </c>
      <c r="AD304" s="49">
        <f>IF(V304="TIPO I",'BASE DE LIQUIDACION 2025'!$D$3,'BASE DE LIQUIDACION 2025'!$D$4)</f>
        <v>110808.27512000001</v>
      </c>
      <c r="AE304" s="53">
        <f t="shared" si="6"/>
        <v>248376.6214</v>
      </c>
    </row>
    <row r="305" spans="1:31" s="46" customFormat="1" ht="12.75" customHeight="1">
      <c r="A305" s="69" t="s">
        <v>285</v>
      </c>
      <c r="B305" s="45" t="str">
        <f>VLOOKUP(A305,'CENTRO DE COSTOS'!A:D,4,FALSE)</f>
        <v>MIGUEL JULIÁN HERNÁNDEZ GUARÍN</v>
      </c>
      <c r="C305" s="45" t="str">
        <f>VLOOKUP(A305,'CENTRO DE COSTOS'!A:D,2,FALSE)</f>
        <v>0004-0008</v>
      </c>
      <c r="D305" s="69">
        <v>54001</v>
      </c>
      <c r="E305" s="70" t="s">
        <v>1846</v>
      </c>
      <c r="F305" s="71">
        <v>81070</v>
      </c>
      <c r="G305" s="79" t="s">
        <v>132</v>
      </c>
      <c r="H305" s="73" t="s">
        <v>133</v>
      </c>
      <c r="I305" s="71" t="s">
        <v>287</v>
      </c>
      <c r="J305" s="81" t="s">
        <v>285</v>
      </c>
      <c r="K305" s="71" t="s">
        <v>1847</v>
      </c>
      <c r="L305" s="75" t="s">
        <v>137</v>
      </c>
      <c r="M305" s="82" t="s">
        <v>1848</v>
      </c>
      <c r="N305" s="74">
        <v>45888</v>
      </c>
      <c r="O305" s="76">
        <v>45889</v>
      </c>
      <c r="P305" s="83" t="s">
        <v>139</v>
      </c>
      <c r="Q305" s="84" t="s">
        <v>139</v>
      </c>
      <c r="R305" s="69" t="s">
        <v>140</v>
      </c>
      <c r="S305" s="72" t="s">
        <v>1849</v>
      </c>
      <c r="T305" s="79" t="s">
        <v>391</v>
      </c>
      <c r="U305" s="69" t="s">
        <v>1850</v>
      </c>
      <c r="V305" s="81" t="s">
        <v>52</v>
      </c>
      <c r="W305" s="76" t="s">
        <v>145</v>
      </c>
      <c r="X305" s="79" t="s">
        <v>391</v>
      </c>
      <c r="Y305" s="69">
        <v>1</v>
      </c>
      <c r="Z305" s="69">
        <v>1</v>
      </c>
      <c r="AA305" s="69">
        <v>1</v>
      </c>
      <c r="AB305" s="49">
        <f>IF(V305="TIPO I",'BASE DE LIQUIDACION 2025'!$B$3,'BASE DE LIQUIDACION 2025'!$B$4)</f>
        <v>11251.22416</v>
      </c>
      <c r="AC305" s="49">
        <f>IF(V305="TIPO I",'BASE DE LIQUIDACION 2025'!$C$3,'BASE DE LIQUIDACION 2025'!$C$4)</f>
        <v>126317.12212</v>
      </c>
      <c r="AD305" s="49">
        <f>IF(V305="TIPO I",'BASE DE LIQUIDACION 2025'!$D$3,'BASE DE LIQUIDACION 2025'!$D$4)</f>
        <v>57411.974240000003</v>
      </c>
      <c r="AE305" s="53">
        <f t="shared" si="6"/>
        <v>194980.32052000001</v>
      </c>
    </row>
    <row r="306" spans="1:31" s="46" customFormat="1" ht="12.75" customHeight="1">
      <c r="A306" s="69" t="s">
        <v>130</v>
      </c>
      <c r="B306" s="45" t="str">
        <f>VLOOKUP(A306,'CENTRO DE COSTOS'!A:D,4,FALSE)</f>
        <v>KEVIN ALEXIS CORZO BUSTOS</v>
      </c>
      <c r="C306" s="45" t="str">
        <f>VLOOKUP(A306,'CENTRO DE COSTOS'!A:D,2,FALSE)</f>
        <v>0004-0007</v>
      </c>
      <c r="D306" s="69">
        <v>41001</v>
      </c>
      <c r="E306" s="70" t="s">
        <v>1851</v>
      </c>
      <c r="F306" s="71">
        <v>81086</v>
      </c>
      <c r="G306" s="79" t="s">
        <v>132</v>
      </c>
      <c r="H306" s="73" t="s">
        <v>133</v>
      </c>
      <c r="I306" s="71" t="s">
        <v>213</v>
      </c>
      <c r="J306" s="81" t="s">
        <v>130</v>
      </c>
      <c r="K306" s="71" t="s">
        <v>1852</v>
      </c>
      <c r="L306" s="75" t="s">
        <v>137</v>
      </c>
      <c r="M306" s="82" t="s">
        <v>1853</v>
      </c>
      <c r="N306" s="74">
        <v>45888</v>
      </c>
      <c r="O306" s="76">
        <v>45889</v>
      </c>
      <c r="P306" s="83" t="s">
        <v>139</v>
      </c>
      <c r="Q306" s="84" t="s">
        <v>139</v>
      </c>
      <c r="R306" s="69" t="s">
        <v>140</v>
      </c>
      <c r="S306" s="72" t="s">
        <v>1854</v>
      </c>
      <c r="T306" s="79" t="s">
        <v>218</v>
      </c>
      <c r="U306" s="69" t="s">
        <v>1855</v>
      </c>
      <c r="V306" s="81" t="s">
        <v>52</v>
      </c>
      <c r="W306" s="76" t="s">
        <v>145</v>
      </c>
      <c r="X306" s="79" t="s">
        <v>218</v>
      </c>
      <c r="Y306" s="69">
        <v>1</v>
      </c>
      <c r="Z306" s="69">
        <v>1</v>
      </c>
      <c r="AA306" s="69">
        <v>1</v>
      </c>
      <c r="AB306" s="49">
        <f>IF(V306="TIPO I",'BASE DE LIQUIDACION 2025'!$B$3,'BASE DE LIQUIDACION 2025'!$B$4)</f>
        <v>11251.22416</v>
      </c>
      <c r="AC306" s="49">
        <f>IF(V306="TIPO I",'BASE DE LIQUIDACION 2025'!$C$3,'BASE DE LIQUIDACION 2025'!$C$4)</f>
        <v>126317.12212</v>
      </c>
      <c r="AD306" s="49">
        <f>IF(V306="TIPO I",'BASE DE LIQUIDACION 2025'!$D$3,'BASE DE LIQUIDACION 2025'!$D$4)</f>
        <v>57411.974240000003</v>
      </c>
      <c r="AE306" s="53">
        <f t="shared" si="6"/>
        <v>194980.32052000001</v>
      </c>
    </row>
    <row r="307" spans="1:31" s="46" customFormat="1" ht="12.75" customHeight="1">
      <c r="A307" s="69" t="s">
        <v>371</v>
      </c>
      <c r="B307" s="45" t="str">
        <f>VLOOKUP(A307,'CENTRO DE COSTOS'!A:D,4,FALSE)</f>
        <v>JOSE MAURICIO HERNANDEZ ROJAS</v>
      </c>
      <c r="C307" s="45" t="str">
        <f>VLOOKUP(A307,'CENTRO DE COSTOS'!A:D,2,FALSE)</f>
        <v>0004-0001</v>
      </c>
      <c r="D307" s="69">
        <v>70001</v>
      </c>
      <c r="E307" s="70" t="s">
        <v>1856</v>
      </c>
      <c r="F307" s="71">
        <v>81100</v>
      </c>
      <c r="G307" s="79" t="s">
        <v>132</v>
      </c>
      <c r="H307" s="73" t="s">
        <v>133</v>
      </c>
      <c r="I307" s="71" t="s">
        <v>373</v>
      </c>
      <c r="J307" s="81" t="s">
        <v>371</v>
      </c>
      <c r="K307" s="71" t="s">
        <v>1857</v>
      </c>
      <c r="L307" s="75" t="s">
        <v>137</v>
      </c>
      <c r="M307" s="82" t="s">
        <v>1858</v>
      </c>
      <c r="N307" s="74">
        <v>45888</v>
      </c>
      <c r="O307" s="76">
        <v>45889</v>
      </c>
      <c r="P307" s="83" t="s">
        <v>139</v>
      </c>
      <c r="Q307" s="84" t="s">
        <v>139</v>
      </c>
      <c r="R307" s="69" t="s">
        <v>140</v>
      </c>
      <c r="S307" s="72" t="s">
        <v>1859</v>
      </c>
      <c r="T307" s="79" t="s">
        <v>1860</v>
      </c>
      <c r="U307" s="69" t="s">
        <v>1861</v>
      </c>
      <c r="V307" s="81" t="s">
        <v>52</v>
      </c>
      <c r="W307" s="76" t="s">
        <v>145</v>
      </c>
      <c r="X307" s="79" t="s">
        <v>1860</v>
      </c>
      <c r="Y307" s="69">
        <v>1</v>
      </c>
      <c r="Z307" s="69">
        <v>1</v>
      </c>
      <c r="AA307" s="69">
        <v>1</v>
      </c>
      <c r="AB307" s="49">
        <f>IF(V307="TIPO I",'BASE DE LIQUIDACION 2025'!$B$3,'BASE DE LIQUIDACION 2025'!$B$4)</f>
        <v>11251.22416</v>
      </c>
      <c r="AC307" s="49">
        <f>IF(V307="TIPO I",'BASE DE LIQUIDACION 2025'!$C$3,'BASE DE LIQUIDACION 2025'!$C$4)</f>
        <v>126317.12212</v>
      </c>
      <c r="AD307" s="49">
        <f>IF(V307="TIPO I",'BASE DE LIQUIDACION 2025'!$D$3,'BASE DE LIQUIDACION 2025'!$D$4)</f>
        <v>57411.974240000003</v>
      </c>
      <c r="AE307" s="53">
        <f t="shared" si="6"/>
        <v>194980.32052000001</v>
      </c>
    </row>
    <row r="308" spans="1:31" s="46" customFormat="1" ht="12.75" customHeight="1">
      <c r="A308" s="69" t="s">
        <v>379</v>
      </c>
      <c r="B308" s="45" t="str">
        <f>VLOOKUP(A308,'CENTRO DE COSTOS'!A:D,4,FALSE)</f>
        <v>JOSE MAURICIO HERNANDEZ ROJAS</v>
      </c>
      <c r="C308" s="45" t="str">
        <f>VLOOKUP(A308,'CENTRO DE COSTOS'!A:D,2,FALSE)</f>
        <v>0004-0001</v>
      </c>
      <c r="D308" s="69">
        <v>23001</v>
      </c>
      <c r="E308" s="70" t="s">
        <v>1862</v>
      </c>
      <c r="F308" s="71">
        <v>81084</v>
      </c>
      <c r="G308" s="79" t="s">
        <v>132</v>
      </c>
      <c r="H308" s="73" t="s">
        <v>133</v>
      </c>
      <c r="I308" s="71" t="s">
        <v>381</v>
      </c>
      <c r="J308" s="81" t="s">
        <v>379</v>
      </c>
      <c r="K308" s="71" t="s">
        <v>1863</v>
      </c>
      <c r="L308" s="75" t="s">
        <v>137</v>
      </c>
      <c r="M308" s="82" t="s">
        <v>1864</v>
      </c>
      <c r="N308" s="74">
        <v>45888</v>
      </c>
      <c r="O308" s="76">
        <v>45889</v>
      </c>
      <c r="P308" s="83" t="s">
        <v>139</v>
      </c>
      <c r="Q308" s="84" t="s">
        <v>139</v>
      </c>
      <c r="R308" s="69" t="s">
        <v>140</v>
      </c>
      <c r="S308" s="72" t="s">
        <v>1865</v>
      </c>
      <c r="T308" s="79" t="s">
        <v>681</v>
      </c>
      <c r="U308" s="69" t="s">
        <v>1866</v>
      </c>
      <c r="V308" s="81" t="s">
        <v>52</v>
      </c>
      <c r="W308" s="76" t="s">
        <v>145</v>
      </c>
      <c r="X308" s="79" t="s">
        <v>681</v>
      </c>
      <c r="Y308" s="69">
        <v>1</v>
      </c>
      <c r="Z308" s="69">
        <v>1</v>
      </c>
      <c r="AA308" s="69">
        <v>1</v>
      </c>
      <c r="AB308" s="49">
        <f>IF(V308="TIPO I",'BASE DE LIQUIDACION 2025'!$B$3,'BASE DE LIQUIDACION 2025'!$B$4)</f>
        <v>11251.22416</v>
      </c>
      <c r="AC308" s="49">
        <f>IF(V308="TIPO I",'BASE DE LIQUIDACION 2025'!$C$3,'BASE DE LIQUIDACION 2025'!$C$4)</f>
        <v>126317.12212</v>
      </c>
      <c r="AD308" s="49">
        <f>IF(V308="TIPO I",'BASE DE LIQUIDACION 2025'!$D$3,'BASE DE LIQUIDACION 2025'!$D$4)</f>
        <v>57411.974240000003</v>
      </c>
      <c r="AE308" s="53">
        <f t="shared" si="6"/>
        <v>194980.32052000001</v>
      </c>
    </row>
    <row r="309" spans="1:31" s="46" customFormat="1" ht="12.75" customHeight="1">
      <c r="A309" s="69" t="s">
        <v>269</v>
      </c>
      <c r="B309" s="45" t="str">
        <f>VLOOKUP(A309,'CENTRO DE COSTOS'!A:D,4,FALSE)</f>
        <v>MIGUEL JULIÁN HERNÁNDEZ GUARÍN</v>
      </c>
      <c r="C309" s="45" t="str">
        <f>VLOOKUP(A309,'CENTRO DE COSTOS'!A:D,2,FALSE)</f>
        <v>0004-0008</v>
      </c>
      <c r="D309" s="69">
        <v>68397</v>
      </c>
      <c r="E309" s="70" t="s">
        <v>1867</v>
      </c>
      <c r="F309" s="71">
        <v>81080</v>
      </c>
      <c r="G309" s="79" t="s">
        <v>132</v>
      </c>
      <c r="H309" s="73" t="s">
        <v>133</v>
      </c>
      <c r="I309" s="71" t="s">
        <v>795</v>
      </c>
      <c r="J309" s="81" t="s">
        <v>1868</v>
      </c>
      <c r="K309" s="71" t="s">
        <v>1869</v>
      </c>
      <c r="L309" s="75" t="s">
        <v>137</v>
      </c>
      <c r="M309" s="82" t="s">
        <v>1870</v>
      </c>
      <c r="N309" s="74">
        <v>45888</v>
      </c>
      <c r="O309" s="76">
        <v>45890</v>
      </c>
      <c r="P309" s="83" t="s">
        <v>139</v>
      </c>
      <c r="Q309" s="84" t="s">
        <v>139</v>
      </c>
      <c r="R309" s="69" t="s">
        <v>140</v>
      </c>
      <c r="S309" s="72" t="s">
        <v>1871</v>
      </c>
      <c r="T309" s="79" t="s">
        <v>1163</v>
      </c>
      <c r="U309" s="69" t="s">
        <v>1872</v>
      </c>
      <c r="V309" s="81" t="s">
        <v>144</v>
      </c>
      <c r="W309" s="76" t="s">
        <v>145</v>
      </c>
      <c r="X309" s="79" t="s">
        <v>1163</v>
      </c>
      <c r="Y309" s="69">
        <v>1</v>
      </c>
      <c r="Z309" s="69">
        <v>1</v>
      </c>
      <c r="AA309" s="69">
        <v>1</v>
      </c>
      <c r="AB309" s="49">
        <f>IF(V309="TIPO I",'BASE DE LIQUIDACION 2025'!$B$3,'BASE DE LIQUIDACION 2025'!$B$4)</f>
        <v>11251.22416</v>
      </c>
      <c r="AC309" s="49">
        <f>IF(V309="TIPO I",'BASE DE LIQUIDACION 2025'!$C$3,'BASE DE LIQUIDACION 2025'!$C$4)</f>
        <v>126317.12212</v>
      </c>
      <c r="AD309" s="49">
        <f>IF(V309="TIPO I",'BASE DE LIQUIDACION 2025'!$D$3,'BASE DE LIQUIDACION 2025'!$D$4)</f>
        <v>110808.27512000001</v>
      </c>
      <c r="AE309" s="53">
        <f t="shared" si="6"/>
        <v>248376.6214</v>
      </c>
    </row>
    <row r="310" spans="1:31" s="46" customFormat="1" ht="12.75" customHeight="1">
      <c r="A310" s="69" t="s">
        <v>439</v>
      </c>
      <c r="B310" s="45" t="str">
        <f>VLOOKUP(A310,'CENTRO DE COSTOS'!A:D,4,FALSE)</f>
        <v>DIEGO FERNANDO HENAO CARDONA</v>
      </c>
      <c r="C310" s="45" t="str">
        <f>VLOOKUP(A310,'CENTRO DE COSTOS'!A:D,2,FALSE)</f>
        <v>0004-0002</v>
      </c>
      <c r="D310" s="69">
        <v>17001</v>
      </c>
      <c r="E310" s="70" t="s">
        <v>1873</v>
      </c>
      <c r="F310" s="71">
        <v>81083</v>
      </c>
      <c r="G310" s="79" t="s">
        <v>132</v>
      </c>
      <c r="H310" s="73" t="s">
        <v>133</v>
      </c>
      <c r="I310" s="71" t="s">
        <v>441</v>
      </c>
      <c r="J310" s="81" t="s">
        <v>439</v>
      </c>
      <c r="K310" s="71" t="s">
        <v>1874</v>
      </c>
      <c r="L310" s="75" t="s">
        <v>137</v>
      </c>
      <c r="M310" s="82" t="s">
        <v>1875</v>
      </c>
      <c r="N310" s="74">
        <v>45888</v>
      </c>
      <c r="O310" s="76">
        <v>45889</v>
      </c>
      <c r="P310" s="83" t="s">
        <v>139</v>
      </c>
      <c r="Q310" s="84" t="s">
        <v>139</v>
      </c>
      <c r="R310" s="69" t="s">
        <v>140</v>
      </c>
      <c r="S310" s="72" t="s">
        <v>1876</v>
      </c>
      <c r="T310" s="79" t="s">
        <v>445</v>
      </c>
      <c r="U310" s="69" t="s">
        <v>1877</v>
      </c>
      <c r="V310" s="81" t="s">
        <v>52</v>
      </c>
      <c r="W310" s="76" t="s">
        <v>145</v>
      </c>
      <c r="X310" s="79" t="s">
        <v>445</v>
      </c>
      <c r="Y310" s="69">
        <v>1</v>
      </c>
      <c r="Z310" s="69">
        <v>1</v>
      </c>
      <c r="AA310" s="69">
        <v>1</v>
      </c>
      <c r="AB310" s="49">
        <f>IF(V310="TIPO I",'BASE DE LIQUIDACION 2025'!$B$3,'BASE DE LIQUIDACION 2025'!$B$4)</f>
        <v>11251.22416</v>
      </c>
      <c r="AC310" s="49">
        <f>IF(V310="TIPO I",'BASE DE LIQUIDACION 2025'!$C$3,'BASE DE LIQUIDACION 2025'!$C$4)</f>
        <v>126317.12212</v>
      </c>
      <c r="AD310" s="49">
        <f>IF(V310="TIPO I",'BASE DE LIQUIDACION 2025'!$D$3,'BASE DE LIQUIDACION 2025'!$D$4)</f>
        <v>57411.974240000003</v>
      </c>
      <c r="AE310" s="53">
        <f t="shared" si="6"/>
        <v>194980.32052000001</v>
      </c>
    </row>
    <row r="311" spans="1:31" s="46" customFormat="1" ht="12.75" customHeight="1">
      <c r="A311" s="69" t="s">
        <v>431</v>
      </c>
      <c r="B311" s="45" t="str">
        <f>VLOOKUP(A311,'CENTRO DE COSTOS'!A:D,4,FALSE)</f>
        <v>WILLIAM ASDRUBAL ROZO ROZO</v>
      </c>
      <c r="C311" s="45" t="str">
        <f>VLOOKUP(A311,'CENTRO DE COSTOS'!A:D,2,FALSE)</f>
        <v>0004-0004</v>
      </c>
      <c r="D311" s="69">
        <v>25290</v>
      </c>
      <c r="E311" s="70" t="s">
        <v>1878</v>
      </c>
      <c r="F311" s="71">
        <v>81077</v>
      </c>
      <c r="G311" s="79" t="s">
        <v>132</v>
      </c>
      <c r="H311" s="73" t="s">
        <v>133</v>
      </c>
      <c r="I311" s="71" t="s">
        <v>433</v>
      </c>
      <c r="J311" s="81" t="s">
        <v>1879</v>
      </c>
      <c r="K311" s="71" t="s">
        <v>1880</v>
      </c>
      <c r="L311" s="75" t="s">
        <v>137</v>
      </c>
      <c r="M311" s="82" t="s">
        <v>1881</v>
      </c>
      <c r="N311" s="74">
        <v>45888</v>
      </c>
      <c r="O311" s="76">
        <v>45889</v>
      </c>
      <c r="P311" s="83" t="s">
        <v>139</v>
      </c>
      <c r="Q311" s="84" t="s">
        <v>139</v>
      </c>
      <c r="R311" s="69" t="s">
        <v>140</v>
      </c>
      <c r="S311" s="72" t="s">
        <v>1882</v>
      </c>
      <c r="T311" s="79" t="s">
        <v>571</v>
      </c>
      <c r="U311" s="69" t="s">
        <v>1883</v>
      </c>
      <c r="V311" s="81" t="s">
        <v>202</v>
      </c>
      <c r="W311" s="76" t="s">
        <v>145</v>
      </c>
      <c r="X311" s="79" t="s">
        <v>571</v>
      </c>
      <c r="Y311" s="69">
        <v>1</v>
      </c>
      <c r="Z311" s="69">
        <v>1</v>
      </c>
      <c r="AA311" s="69">
        <v>1</v>
      </c>
      <c r="AB311" s="49">
        <f>IF(V311="TIPO I",'BASE DE LIQUIDACION 2025'!$B$3,'BASE DE LIQUIDACION 2025'!$B$4)</f>
        <v>11251.22416</v>
      </c>
      <c r="AC311" s="49">
        <f>IF(V311="TIPO I",'BASE DE LIQUIDACION 2025'!$C$3,'BASE DE LIQUIDACION 2025'!$C$4)</f>
        <v>126317.12212</v>
      </c>
      <c r="AD311" s="49">
        <f>IF(V311="TIPO I",'BASE DE LIQUIDACION 2025'!$D$3,'BASE DE LIQUIDACION 2025'!$D$4)</f>
        <v>110808.27512000001</v>
      </c>
      <c r="AE311" s="53">
        <f t="shared" si="6"/>
        <v>248376.6214</v>
      </c>
    </row>
    <row r="312" spans="1:31" s="46" customFormat="1" ht="12.75" customHeight="1">
      <c r="A312" s="69" t="s">
        <v>175</v>
      </c>
      <c r="B312" s="45" t="str">
        <f>VLOOKUP(A312,'CENTRO DE COSTOS'!A:D,4,FALSE)</f>
        <v>JUAN SEBASTIÁN RÍOS CASTRILLÓN</v>
      </c>
      <c r="C312" s="45" t="str">
        <f>VLOOKUP(A312,'CENTRO DE COSTOS'!A:D,2,FALSE)</f>
        <v>0004-0005</v>
      </c>
      <c r="D312" s="69">
        <v>5088</v>
      </c>
      <c r="E312" s="70" t="s">
        <v>1884</v>
      </c>
      <c r="F312" s="71">
        <v>81108</v>
      </c>
      <c r="G312" s="79" t="s">
        <v>132</v>
      </c>
      <c r="H312" s="73" t="s">
        <v>133</v>
      </c>
      <c r="I312" s="71" t="s">
        <v>178</v>
      </c>
      <c r="J312" s="81" t="s">
        <v>192</v>
      </c>
      <c r="K312" s="71" t="s">
        <v>1885</v>
      </c>
      <c r="L312" s="75" t="s">
        <v>137</v>
      </c>
      <c r="M312" s="82" t="s">
        <v>1886</v>
      </c>
      <c r="N312" s="74">
        <v>45888</v>
      </c>
      <c r="O312" s="76">
        <v>45889</v>
      </c>
      <c r="P312" s="83" t="s">
        <v>139</v>
      </c>
      <c r="Q312" s="84" t="s">
        <v>139</v>
      </c>
      <c r="R312" s="69" t="s">
        <v>140</v>
      </c>
      <c r="S312" s="72" t="s">
        <v>1887</v>
      </c>
      <c r="T312" s="79" t="s">
        <v>338</v>
      </c>
      <c r="U312" s="69" t="s">
        <v>1888</v>
      </c>
      <c r="V312" s="81" t="s">
        <v>52</v>
      </c>
      <c r="W312" s="76" t="s">
        <v>145</v>
      </c>
      <c r="X312" s="79" t="s">
        <v>338</v>
      </c>
      <c r="Y312" s="69">
        <v>1</v>
      </c>
      <c r="Z312" s="69">
        <v>1</v>
      </c>
      <c r="AA312" s="69">
        <v>1</v>
      </c>
      <c r="AB312" s="49">
        <f>IF(V312="TIPO I",'BASE DE LIQUIDACION 2025'!$B$3,'BASE DE LIQUIDACION 2025'!$B$4)</f>
        <v>11251.22416</v>
      </c>
      <c r="AC312" s="49">
        <f>IF(V312="TIPO I",'BASE DE LIQUIDACION 2025'!$C$3,'BASE DE LIQUIDACION 2025'!$C$4)</f>
        <v>126317.12212</v>
      </c>
      <c r="AD312" s="49">
        <f>IF(V312="TIPO I",'BASE DE LIQUIDACION 2025'!$D$3,'BASE DE LIQUIDACION 2025'!$D$4)</f>
        <v>57411.974240000003</v>
      </c>
      <c r="AE312" s="53">
        <f t="shared" si="6"/>
        <v>194980.32052000001</v>
      </c>
    </row>
    <row r="313" spans="1:31" s="46" customFormat="1" ht="12.75" customHeight="1">
      <c r="A313" s="69" t="s">
        <v>431</v>
      </c>
      <c r="B313" s="45" t="str">
        <f>VLOOKUP(A313,'CENTRO DE COSTOS'!A:D,4,FALSE)</f>
        <v>WILLIAM ASDRUBAL ROZO ROZO</v>
      </c>
      <c r="C313" s="45" t="str">
        <f>VLOOKUP(A313,'CENTRO DE COSTOS'!A:D,2,FALSE)</f>
        <v>0004-0004</v>
      </c>
      <c r="D313" s="69">
        <v>25290</v>
      </c>
      <c r="E313" s="70" t="s">
        <v>1889</v>
      </c>
      <c r="F313" s="71">
        <v>81078</v>
      </c>
      <c r="G313" s="79" t="s">
        <v>132</v>
      </c>
      <c r="H313" s="73" t="s">
        <v>133</v>
      </c>
      <c r="I313" s="71" t="s">
        <v>433</v>
      </c>
      <c r="J313" s="81" t="s">
        <v>1879</v>
      </c>
      <c r="K313" s="71" t="s">
        <v>1890</v>
      </c>
      <c r="L313" s="75" t="s">
        <v>137</v>
      </c>
      <c r="M313" s="82" t="s">
        <v>1891</v>
      </c>
      <c r="N313" s="74">
        <v>45888</v>
      </c>
      <c r="O313" s="76">
        <v>45889</v>
      </c>
      <c r="P313" s="83" t="s">
        <v>139</v>
      </c>
      <c r="Q313" s="84" t="s">
        <v>139</v>
      </c>
      <c r="R313" s="69" t="s">
        <v>140</v>
      </c>
      <c r="S313" s="72" t="s">
        <v>1892</v>
      </c>
      <c r="T313" s="79" t="s">
        <v>1000</v>
      </c>
      <c r="U313" s="69" t="s">
        <v>1893</v>
      </c>
      <c r="V313" s="81" t="s">
        <v>202</v>
      </c>
      <c r="W313" s="76" t="s">
        <v>145</v>
      </c>
      <c r="X313" s="79" t="s">
        <v>1000</v>
      </c>
      <c r="Y313" s="69">
        <v>1</v>
      </c>
      <c r="Z313" s="69">
        <v>1</v>
      </c>
      <c r="AA313" s="69">
        <v>1</v>
      </c>
      <c r="AB313" s="49">
        <f>IF(V313="TIPO I",'BASE DE LIQUIDACION 2025'!$B$3,'BASE DE LIQUIDACION 2025'!$B$4)</f>
        <v>11251.22416</v>
      </c>
      <c r="AC313" s="49">
        <f>IF(V313="TIPO I",'BASE DE LIQUIDACION 2025'!$C$3,'BASE DE LIQUIDACION 2025'!$C$4)</f>
        <v>126317.12212</v>
      </c>
      <c r="AD313" s="49">
        <f>IF(V313="TIPO I",'BASE DE LIQUIDACION 2025'!$D$3,'BASE DE LIQUIDACION 2025'!$D$4)</f>
        <v>110808.27512000001</v>
      </c>
      <c r="AE313" s="53">
        <f t="shared" si="6"/>
        <v>248376.6214</v>
      </c>
    </row>
    <row r="314" spans="1:31" s="46" customFormat="1" ht="12.75" customHeight="1">
      <c r="A314" s="69" t="s">
        <v>175</v>
      </c>
      <c r="B314" s="45" t="str">
        <f>VLOOKUP(A314,'CENTRO DE COSTOS'!A:D,4,FALSE)</f>
        <v>JUAN SEBASTIÁN RÍOS CASTRILLÓN</v>
      </c>
      <c r="C314" s="45" t="str">
        <f>VLOOKUP(A314,'CENTRO DE COSTOS'!A:D,2,FALSE)</f>
        <v>0004-0005</v>
      </c>
      <c r="D314" s="69">
        <v>5038</v>
      </c>
      <c r="E314" s="70" t="s">
        <v>1894</v>
      </c>
      <c r="F314" s="71">
        <v>81074</v>
      </c>
      <c r="G314" s="79" t="s">
        <v>132</v>
      </c>
      <c r="H314" s="73" t="s">
        <v>133</v>
      </c>
      <c r="I314" s="71" t="s">
        <v>178</v>
      </c>
      <c r="J314" s="81" t="s">
        <v>1895</v>
      </c>
      <c r="K314" s="71" t="s">
        <v>1896</v>
      </c>
      <c r="L314" s="75" t="s">
        <v>137</v>
      </c>
      <c r="M314" s="82" t="s">
        <v>1897</v>
      </c>
      <c r="N314" s="74">
        <v>45888</v>
      </c>
      <c r="O314" s="76">
        <v>45890</v>
      </c>
      <c r="P314" s="83" t="s">
        <v>139</v>
      </c>
      <c r="Q314" s="84" t="s">
        <v>139</v>
      </c>
      <c r="R314" s="69" t="s">
        <v>140</v>
      </c>
      <c r="S314" s="72" t="s">
        <v>1898</v>
      </c>
      <c r="T314" s="79" t="s">
        <v>674</v>
      </c>
      <c r="U314" s="69" t="s">
        <v>1899</v>
      </c>
      <c r="V314" s="81" t="s">
        <v>230</v>
      </c>
      <c r="W314" s="76" t="s">
        <v>145</v>
      </c>
      <c r="X314" s="79" t="s">
        <v>674</v>
      </c>
      <c r="Y314" s="69">
        <v>1</v>
      </c>
      <c r="Z314" s="69">
        <v>1</v>
      </c>
      <c r="AA314" s="69">
        <v>1</v>
      </c>
      <c r="AB314" s="49">
        <f>IF(V314="TIPO I",'BASE DE LIQUIDACION 2025'!$B$3,'BASE DE LIQUIDACION 2025'!$B$4)</f>
        <v>11251.22416</v>
      </c>
      <c r="AC314" s="49">
        <f>IF(V314="TIPO I",'BASE DE LIQUIDACION 2025'!$C$3,'BASE DE LIQUIDACION 2025'!$C$4)</f>
        <v>126317.12212</v>
      </c>
      <c r="AD314" s="49">
        <f>IF(V314="TIPO I",'BASE DE LIQUIDACION 2025'!$D$3,'BASE DE LIQUIDACION 2025'!$D$4)</f>
        <v>110808.27512000001</v>
      </c>
      <c r="AE314" s="53">
        <f t="shared" si="6"/>
        <v>248376.6214</v>
      </c>
    </row>
    <row r="315" spans="1:31" s="46" customFormat="1" ht="12.75" customHeight="1">
      <c r="A315" s="69" t="s">
        <v>220</v>
      </c>
      <c r="B315" s="45" t="str">
        <f>VLOOKUP(A315,'CENTRO DE COSTOS'!A:D,4,FALSE)</f>
        <v>DIEGO FERNANDO HENAO CARDONA</v>
      </c>
      <c r="C315" s="45" t="str">
        <f>VLOOKUP(A315,'CENTRO DE COSTOS'!A:D,2,FALSE)</f>
        <v>0004-0003</v>
      </c>
      <c r="D315" s="69">
        <v>76520</v>
      </c>
      <c r="E315" s="70" t="s">
        <v>1900</v>
      </c>
      <c r="F315" s="71">
        <v>81089</v>
      </c>
      <c r="G315" s="79" t="s">
        <v>132</v>
      </c>
      <c r="H315" s="73" t="s">
        <v>133</v>
      </c>
      <c r="I315" s="71" t="s">
        <v>420</v>
      </c>
      <c r="J315" s="81" t="s">
        <v>1377</v>
      </c>
      <c r="K315" s="71" t="s">
        <v>1901</v>
      </c>
      <c r="L315" s="75" t="s">
        <v>137</v>
      </c>
      <c r="M315" s="82" t="s">
        <v>1902</v>
      </c>
      <c r="N315" s="74">
        <v>45888</v>
      </c>
      <c r="O315" s="76">
        <v>45889</v>
      </c>
      <c r="P315" s="83" t="s">
        <v>139</v>
      </c>
      <c r="Q315" s="84" t="s">
        <v>139</v>
      </c>
      <c r="R315" s="69" t="s">
        <v>140</v>
      </c>
      <c r="S315" s="72" t="s">
        <v>1903</v>
      </c>
      <c r="T315" s="79" t="s">
        <v>489</v>
      </c>
      <c r="U315" s="69" t="s">
        <v>1904</v>
      </c>
      <c r="V315" s="81" t="s">
        <v>52</v>
      </c>
      <c r="W315" s="76" t="s">
        <v>145</v>
      </c>
      <c r="X315" s="79" t="s">
        <v>489</v>
      </c>
      <c r="Y315" s="69">
        <v>1</v>
      </c>
      <c r="Z315" s="69">
        <v>1</v>
      </c>
      <c r="AA315" s="69">
        <v>1</v>
      </c>
      <c r="AB315" s="49">
        <f>IF(V315="TIPO I",'BASE DE LIQUIDACION 2025'!$B$3,'BASE DE LIQUIDACION 2025'!$B$4)</f>
        <v>11251.22416</v>
      </c>
      <c r="AC315" s="49">
        <f>IF(V315="TIPO I",'BASE DE LIQUIDACION 2025'!$C$3,'BASE DE LIQUIDACION 2025'!$C$4)</f>
        <v>126317.12212</v>
      </c>
      <c r="AD315" s="49">
        <f>IF(V315="TIPO I",'BASE DE LIQUIDACION 2025'!$D$3,'BASE DE LIQUIDACION 2025'!$D$4)</f>
        <v>57411.974240000003</v>
      </c>
      <c r="AE315" s="53">
        <f t="shared" si="6"/>
        <v>194980.32052000001</v>
      </c>
    </row>
    <row r="316" spans="1:31" s="46" customFormat="1" ht="12.75" customHeight="1">
      <c r="A316" s="69" t="s">
        <v>220</v>
      </c>
      <c r="B316" s="45" t="str">
        <f>VLOOKUP(A316,'CENTRO DE COSTOS'!A:D,4,FALSE)</f>
        <v>DIEGO FERNANDO HENAO CARDONA</v>
      </c>
      <c r="C316" s="45" t="str">
        <f>VLOOKUP(A316,'CENTRO DE COSTOS'!A:D,2,FALSE)</f>
        <v>0004-0003</v>
      </c>
      <c r="D316" s="69">
        <v>19001</v>
      </c>
      <c r="E316" s="70" t="s">
        <v>1905</v>
      </c>
      <c r="F316" s="71">
        <v>81092</v>
      </c>
      <c r="G316" s="79" t="s">
        <v>132</v>
      </c>
      <c r="H316" s="73" t="s">
        <v>133</v>
      </c>
      <c r="I316" s="71" t="s">
        <v>223</v>
      </c>
      <c r="J316" s="81" t="s">
        <v>1344</v>
      </c>
      <c r="K316" s="71" t="s">
        <v>1906</v>
      </c>
      <c r="L316" s="75" t="s">
        <v>137</v>
      </c>
      <c r="M316" s="82" t="s">
        <v>1907</v>
      </c>
      <c r="N316" s="74">
        <v>45888</v>
      </c>
      <c r="O316" s="76">
        <v>45889</v>
      </c>
      <c r="P316" s="83" t="s">
        <v>139</v>
      </c>
      <c r="Q316" s="84" t="s">
        <v>139</v>
      </c>
      <c r="R316" s="69" t="s">
        <v>140</v>
      </c>
      <c r="S316" s="72" t="s">
        <v>1908</v>
      </c>
      <c r="T316" s="79" t="s">
        <v>299</v>
      </c>
      <c r="U316" s="69" t="s">
        <v>1909</v>
      </c>
      <c r="V316" s="81" t="s">
        <v>230</v>
      </c>
      <c r="W316" s="76" t="s">
        <v>145</v>
      </c>
      <c r="X316" s="79" t="s">
        <v>299</v>
      </c>
      <c r="Y316" s="69">
        <v>1</v>
      </c>
      <c r="Z316" s="69">
        <v>1</v>
      </c>
      <c r="AA316" s="69">
        <v>1</v>
      </c>
      <c r="AB316" s="49">
        <f>IF(V316="TIPO I",'BASE DE LIQUIDACION 2025'!$B$3,'BASE DE LIQUIDACION 2025'!$B$4)</f>
        <v>11251.22416</v>
      </c>
      <c r="AC316" s="49">
        <f>IF(V316="TIPO I",'BASE DE LIQUIDACION 2025'!$C$3,'BASE DE LIQUIDACION 2025'!$C$4)</f>
        <v>126317.12212</v>
      </c>
      <c r="AD316" s="49">
        <f>IF(V316="TIPO I",'BASE DE LIQUIDACION 2025'!$D$3,'BASE DE LIQUIDACION 2025'!$D$4)</f>
        <v>110808.27512000001</v>
      </c>
      <c r="AE316" s="53">
        <f t="shared" si="6"/>
        <v>248376.6214</v>
      </c>
    </row>
    <row r="317" spans="1:31" s="46" customFormat="1" ht="12.75" customHeight="1">
      <c r="A317" s="69" t="s">
        <v>220</v>
      </c>
      <c r="B317" s="45" t="str">
        <f>VLOOKUP(A317,'CENTRO DE COSTOS'!A:D,4,FALSE)</f>
        <v>DIEGO FERNANDO HENAO CARDONA</v>
      </c>
      <c r="C317" s="45" t="str">
        <f>VLOOKUP(A317,'CENTRO DE COSTOS'!A:D,2,FALSE)</f>
        <v>0004-0003</v>
      </c>
      <c r="D317" s="69">
        <v>76892</v>
      </c>
      <c r="E317" s="70" t="s">
        <v>1910</v>
      </c>
      <c r="F317" s="71">
        <v>81110</v>
      </c>
      <c r="G317" s="79" t="s">
        <v>132</v>
      </c>
      <c r="H317" s="73" t="s">
        <v>133</v>
      </c>
      <c r="I317" s="71" t="s">
        <v>420</v>
      </c>
      <c r="J317" s="81" t="s">
        <v>1911</v>
      </c>
      <c r="K317" s="71" t="s">
        <v>1912</v>
      </c>
      <c r="L317" s="75" t="s">
        <v>137</v>
      </c>
      <c r="M317" s="82" t="s">
        <v>1913</v>
      </c>
      <c r="N317" s="74">
        <v>45888</v>
      </c>
      <c r="O317" s="76">
        <v>45890</v>
      </c>
      <c r="P317" s="83" t="s">
        <v>139</v>
      </c>
      <c r="Q317" s="84" t="s">
        <v>139</v>
      </c>
      <c r="R317" s="69" t="s">
        <v>140</v>
      </c>
      <c r="S317" s="72" t="s">
        <v>1914</v>
      </c>
      <c r="T317" s="79" t="s">
        <v>495</v>
      </c>
      <c r="U317" s="69" t="s">
        <v>1915</v>
      </c>
      <c r="V317" s="81" t="s">
        <v>52</v>
      </c>
      <c r="W317" s="76" t="s">
        <v>145</v>
      </c>
      <c r="X317" s="79" t="s">
        <v>495</v>
      </c>
      <c r="Y317" s="69">
        <v>1</v>
      </c>
      <c r="Z317" s="69">
        <v>1</v>
      </c>
      <c r="AA317" s="69">
        <v>1</v>
      </c>
      <c r="AB317" s="49">
        <f>IF(V317="TIPO I",'BASE DE LIQUIDACION 2025'!$B$3,'BASE DE LIQUIDACION 2025'!$B$4)</f>
        <v>11251.22416</v>
      </c>
      <c r="AC317" s="49">
        <f>IF(V317="TIPO I",'BASE DE LIQUIDACION 2025'!$C$3,'BASE DE LIQUIDACION 2025'!$C$4)</f>
        <v>126317.12212</v>
      </c>
      <c r="AD317" s="49">
        <f>IF(V317="TIPO I",'BASE DE LIQUIDACION 2025'!$D$3,'BASE DE LIQUIDACION 2025'!$D$4)</f>
        <v>57411.974240000003</v>
      </c>
      <c r="AE317" s="53">
        <f t="shared" si="6"/>
        <v>194980.32052000001</v>
      </c>
    </row>
    <row r="318" spans="1:31" s="46" customFormat="1" ht="12.75" customHeight="1">
      <c r="A318" s="69" t="s">
        <v>439</v>
      </c>
      <c r="B318" s="45" t="str">
        <f>VLOOKUP(A318,'CENTRO DE COSTOS'!A:D,4,FALSE)</f>
        <v>DIEGO FERNANDO HENAO CARDONA</v>
      </c>
      <c r="C318" s="45" t="str">
        <f>VLOOKUP(A318,'CENTRO DE COSTOS'!A:D,2,FALSE)</f>
        <v>0004-0002</v>
      </c>
      <c r="D318" s="69">
        <v>17777</v>
      </c>
      <c r="E318" s="70" t="s">
        <v>1916</v>
      </c>
      <c r="F318" s="71">
        <v>81104</v>
      </c>
      <c r="G318" s="79" t="s">
        <v>132</v>
      </c>
      <c r="H318" s="73" t="s">
        <v>133</v>
      </c>
      <c r="I318" s="71" t="s">
        <v>441</v>
      </c>
      <c r="J318" s="81" t="s">
        <v>1917</v>
      </c>
      <c r="K318" s="71" t="s">
        <v>1918</v>
      </c>
      <c r="L318" s="75" t="s">
        <v>137</v>
      </c>
      <c r="M318" s="82" t="s">
        <v>1919</v>
      </c>
      <c r="N318" s="74">
        <v>45888</v>
      </c>
      <c r="O318" s="76">
        <v>45890</v>
      </c>
      <c r="P318" s="83" t="s">
        <v>139</v>
      </c>
      <c r="Q318" s="84" t="s">
        <v>139</v>
      </c>
      <c r="R318" s="69" t="s">
        <v>140</v>
      </c>
      <c r="S318" s="72" t="s">
        <v>1920</v>
      </c>
      <c r="T318" s="79" t="s">
        <v>459</v>
      </c>
      <c r="U318" s="69" t="s">
        <v>1921</v>
      </c>
      <c r="V318" s="81" t="s">
        <v>202</v>
      </c>
      <c r="W318" s="76" t="s">
        <v>145</v>
      </c>
      <c r="X318" s="79" t="s">
        <v>459</v>
      </c>
      <c r="Y318" s="69">
        <v>1</v>
      </c>
      <c r="Z318" s="69">
        <v>1</v>
      </c>
      <c r="AA318" s="69">
        <v>1</v>
      </c>
      <c r="AB318" s="49">
        <f>IF(V318="TIPO I",'BASE DE LIQUIDACION 2025'!$B$3,'BASE DE LIQUIDACION 2025'!$B$4)</f>
        <v>11251.22416</v>
      </c>
      <c r="AC318" s="49">
        <f>IF(V318="TIPO I",'BASE DE LIQUIDACION 2025'!$C$3,'BASE DE LIQUIDACION 2025'!$C$4)</f>
        <v>126317.12212</v>
      </c>
      <c r="AD318" s="49">
        <f>IF(V318="TIPO I",'BASE DE LIQUIDACION 2025'!$D$3,'BASE DE LIQUIDACION 2025'!$D$4)</f>
        <v>110808.27512000001</v>
      </c>
      <c r="AE318" s="53">
        <f t="shared" si="6"/>
        <v>248376.6214</v>
      </c>
    </row>
    <row r="319" spans="1:31" s="46" customFormat="1" ht="12.75" customHeight="1">
      <c r="A319" s="69" t="s">
        <v>431</v>
      </c>
      <c r="B319" s="45" t="str">
        <f>VLOOKUP(A319,'CENTRO DE COSTOS'!A:D,4,FALSE)</f>
        <v>WILLIAM ASDRUBAL ROZO ROZO</v>
      </c>
      <c r="C319" s="45" t="str">
        <f>VLOOKUP(A319,'CENTRO DE COSTOS'!A:D,2,FALSE)</f>
        <v>0004-0004</v>
      </c>
      <c r="D319" s="69">
        <v>25743</v>
      </c>
      <c r="E319" s="70" t="s">
        <v>1922</v>
      </c>
      <c r="F319" s="71">
        <v>81096</v>
      </c>
      <c r="G319" s="79" t="s">
        <v>132</v>
      </c>
      <c r="H319" s="73" t="s">
        <v>133</v>
      </c>
      <c r="I319" s="71" t="s">
        <v>433</v>
      </c>
      <c r="J319" s="81" t="s">
        <v>1923</v>
      </c>
      <c r="K319" s="71" t="s">
        <v>1924</v>
      </c>
      <c r="L319" s="75" t="s">
        <v>137</v>
      </c>
      <c r="M319" s="82" t="s">
        <v>1925</v>
      </c>
      <c r="N319" s="74">
        <v>45888</v>
      </c>
      <c r="O319" s="76">
        <v>45890</v>
      </c>
      <c r="P319" s="83" t="s">
        <v>139</v>
      </c>
      <c r="Q319" s="84" t="s">
        <v>139</v>
      </c>
      <c r="R319" s="69" t="s">
        <v>140</v>
      </c>
      <c r="S319" s="72" t="s">
        <v>1926</v>
      </c>
      <c r="T319" s="79" t="s">
        <v>551</v>
      </c>
      <c r="U319" s="69" t="s">
        <v>1927</v>
      </c>
      <c r="V319" s="81" t="s">
        <v>202</v>
      </c>
      <c r="W319" s="76" t="s">
        <v>145</v>
      </c>
      <c r="X319" s="79" t="s">
        <v>551</v>
      </c>
      <c r="Y319" s="69">
        <v>1</v>
      </c>
      <c r="Z319" s="69">
        <v>1</v>
      </c>
      <c r="AA319" s="69">
        <v>1</v>
      </c>
      <c r="AB319" s="49">
        <f>IF(V319="TIPO I",'BASE DE LIQUIDACION 2025'!$B$3,'BASE DE LIQUIDACION 2025'!$B$4)</f>
        <v>11251.22416</v>
      </c>
      <c r="AC319" s="49">
        <f>IF(V319="TIPO I",'BASE DE LIQUIDACION 2025'!$C$3,'BASE DE LIQUIDACION 2025'!$C$4)</f>
        <v>126317.12212</v>
      </c>
      <c r="AD319" s="49">
        <f>IF(V319="TIPO I",'BASE DE LIQUIDACION 2025'!$D$3,'BASE DE LIQUIDACION 2025'!$D$4)</f>
        <v>110808.27512000001</v>
      </c>
      <c r="AE319" s="53">
        <f t="shared" si="6"/>
        <v>248376.6214</v>
      </c>
    </row>
    <row r="320" spans="1:31" s="46" customFormat="1" ht="12.75" customHeight="1">
      <c r="A320" s="69" t="s">
        <v>431</v>
      </c>
      <c r="B320" s="45" t="str">
        <f>VLOOKUP(A320,'CENTRO DE COSTOS'!A:D,4,FALSE)</f>
        <v>WILLIAM ASDRUBAL ROZO ROZO</v>
      </c>
      <c r="C320" s="45" t="str">
        <f>VLOOKUP(A320,'CENTRO DE COSTOS'!A:D,2,FALSE)</f>
        <v>0004-0004</v>
      </c>
      <c r="D320" s="69">
        <v>25175</v>
      </c>
      <c r="E320" s="70" t="s">
        <v>1928</v>
      </c>
      <c r="F320" s="71">
        <v>81067</v>
      </c>
      <c r="G320" s="79" t="s">
        <v>132</v>
      </c>
      <c r="H320" s="73" t="s">
        <v>133</v>
      </c>
      <c r="I320" s="71" t="s">
        <v>433</v>
      </c>
      <c r="J320" s="81" t="s">
        <v>1929</v>
      </c>
      <c r="K320" s="71" t="s">
        <v>1930</v>
      </c>
      <c r="L320" s="75" t="s">
        <v>137</v>
      </c>
      <c r="M320" s="82" t="s">
        <v>1931</v>
      </c>
      <c r="N320" s="74">
        <v>45888</v>
      </c>
      <c r="O320" s="76">
        <v>45889</v>
      </c>
      <c r="P320" s="83" t="s">
        <v>139</v>
      </c>
      <c r="Q320" s="84" t="s">
        <v>139</v>
      </c>
      <c r="R320" s="69" t="s">
        <v>140</v>
      </c>
      <c r="S320" s="72" t="s">
        <v>1932</v>
      </c>
      <c r="T320" s="79" t="s">
        <v>551</v>
      </c>
      <c r="U320" s="69" t="s">
        <v>1933</v>
      </c>
      <c r="V320" s="81" t="s">
        <v>202</v>
      </c>
      <c r="W320" s="76" t="s">
        <v>145</v>
      </c>
      <c r="X320" s="79" t="s">
        <v>551</v>
      </c>
      <c r="Y320" s="69">
        <v>1</v>
      </c>
      <c r="Z320" s="69">
        <v>1</v>
      </c>
      <c r="AA320" s="69">
        <v>1</v>
      </c>
      <c r="AB320" s="49">
        <f>IF(V320="TIPO I",'BASE DE LIQUIDACION 2025'!$B$3,'BASE DE LIQUIDACION 2025'!$B$4)</f>
        <v>11251.22416</v>
      </c>
      <c r="AC320" s="49">
        <f>IF(V320="TIPO I",'BASE DE LIQUIDACION 2025'!$C$3,'BASE DE LIQUIDACION 2025'!$C$4)</f>
        <v>126317.12212</v>
      </c>
      <c r="AD320" s="49">
        <f>IF(V320="TIPO I",'BASE DE LIQUIDACION 2025'!$D$3,'BASE DE LIQUIDACION 2025'!$D$4)</f>
        <v>110808.27512000001</v>
      </c>
      <c r="AE320" s="53">
        <f t="shared" si="6"/>
        <v>248376.6214</v>
      </c>
    </row>
    <row r="321" spans="1:31" s="46" customFormat="1" ht="12.75" customHeight="1">
      <c r="A321" s="69" t="s">
        <v>220</v>
      </c>
      <c r="B321" s="45" t="str">
        <f>VLOOKUP(A321,'CENTRO DE COSTOS'!A:D,4,FALSE)</f>
        <v>DIEGO FERNANDO HENAO CARDONA</v>
      </c>
      <c r="C321" s="45" t="str">
        <f>VLOOKUP(A321,'CENTRO DE COSTOS'!A:D,2,FALSE)</f>
        <v>0004-0003</v>
      </c>
      <c r="D321" s="69">
        <v>76001</v>
      </c>
      <c r="E321" s="70" t="s">
        <v>1934</v>
      </c>
      <c r="F321" s="71">
        <v>81061</v>
      </c>
      <c r="G321" s="79" t="s">
        <v>132</v>
      </c>
      <c r="H321" s="73" t="s">
        <v>133</v>
      </c>
      <c r="I321" s="71" t="s">
        <v>420</v>
      </c>
      <c r="J321" s="81" t="s">
        <v>220</v>
      </c>
      <c r="K321" s="71" t="s">
        <v>1935</v>
      </c>
      <c r="L321" s="75" t="s">
        <v>137</v>
      </c>
      <c r="M321" s="82" t="s">
        <v>1936</v>
      </c>
      <c r="N321" s="74">
        <v>45888</v>
      </c>
      <c r="O321" s="76">
        <v>45889</v>
      </c>
      <c r="P321" s="83" t="s">
        <v>139</v>
      </c>
      <c r="Q321" s="84" t="s">
        <v>139</v>
      </c>
      <c r="R321" s="69" t="s">
        <v>140</v>
      </c>
      <c r="S321" s="72" t="s">
        <v>1937</v>
      </c>
      <c r="T321" s="79" t="s">
        <v>495</v>
      </c>
      <c r="U321" s="69" t="s">
        <v>1938</v>
      </c>
      <c r="V321" s="81" t="s">
        <v>52</v>
      </c>
      <c r="W321" s="76" t="s">
        <v>145</v>
      </c>
      <c r="X321" s="79" t="s">
        <v>495</v>
      </c>
      <c r="Y321" s="69">
        <v>1</v>
      </c>
      <c r="Z321" s="69">
        <v>1</v>
      </c>
      <c r="AA321" s="69">
        <v>1</v>
      </c>
      <c r="AB321" s="49">
        <f>IF(V321="TIPO I",'BASE DE LIQUIDACION 2025'!$B$3,'BASE DE LIQUIDACION 2025'!$B$4)</f>
        <v>11251.22416</v>
      </c>
      <c r="AC321" s="49">
        <f>IF(V321="TIPO I",'BASE DE LIQUIDACION 2025'!$C$3,'BASE DE LIQUIDACION 2025'!$C$4)</f>
        <v>126317.12212</v>
      </c>
      <c r="AD321" s="49">
        <f>IF(V321="TIPO I",'BASE DE LIQUIDACION 2025'!$D$3,'BASE DE LIQUIDACION 2025'!$D$4)</f>
        <v>57411.974240000003</v>
      </c>
      <c r="AE321" s="53">
        <f t="shared" si="6"/>
        <v>194980.32052000001</v>
      </c>
    </row>
    <row r="322" spans="1:31" s="46" customFormat="1" ht="12.75" customHeight="1">
      <c r="A322" s="69" t="s">
        <v>379</v>
      </c>
      <c r="B322" s="45" t="str">
        <f>VLOOKUP(A322,'CENTRO DE COSTOS'!A:D,4,FALSE)</f>
        <v>JOSE MAURICIO HERNANDEZ ROJAS</v>
      </c>
      <c r="C322" s="45" t="str">
        <f>VLOOKUP(A322,'CENTRO DE COSTOS'!A:D,2,FALSE)</f>
        <v>0004-0001</v>
      </c>
      <c r="D322" s="69">
        <v>5495</v>
      </c>
      <c r="E322" s="70" t="s">
        <v>1939</v>
      </c>
      <c r="F322" s="71">
        <v>81087</v>
      </c>
      <c r="G322" s="79" t="s">
        <v>132</v>
      </c>
      <c r="H322" s="73" t="s">
        <v>133</v>
      </c>
      <c r="I322" s="71" t="s">
        <v>178</v>
      </c>
      <c r="J322" s="81" t="s">
        <v>1940</v>
      </c>
      <c r="K322" s="71" t="s">
        <v>1941</v>
      </c>
      <c r="L322" s="75" t="s">
        <v>137</v>
      </c>
      <c r="M322" s="82" t="s">
        <v>1942</v>
      </c>
      <c r="N322" s="74">
        <v>45888</v>
      </c>
      <c r="O322" s="76">
        <v>45890</v>
      </c>
      <c r="P322" s="83" t="s">
        <v>139</v>
      </c>
      <c r="Q322" s="84" t="s">
        <v>139</v>
      </c>
      <c r="R322" s="69" t="s">
        <v>140</v>
      </c>
      <c r="S322" s="72" t="s">
        <v>1943</v>
      </c>
      <c r="T322" s="79" t="s">
        <v>1944</v>
      </c>
      <c r="U322" s="69" t="s">
        <v>1945</v>
      </c>
      <c r="V322" s="81" t="s">
        <v>230</v>
      </c>
      <c r="W322" s="76" t="s">
        <v>145</v>
      </c>
      <c r="X322" s="79" t="s">
        <v>1944</v>
      </c>
      <c r="Y322" s="69">
        <v>1</v>
      </c>
      <c r="Z322" s="69">
        <v>1</v>
      </c>
      <c r="AA322" s="69">
        <v>1</v>
      </c>
      <c r="AB322" s="49">
        <f>IF(V322="TIPO I",'BASE DE LIQUIDACION 2025'!$B$3,'BASE DE LIQUIDACION 2025'!$B$4)</f>
        <v>11251.22416</v>
      </c>
      <c r="AC322" s="49">
        <f>IF(V322="TIPO I",'BASE DE LIQUIDACION 2025'!$C$3,'BASE DE LIQUIDACION 2025'!$C$4)</f>
        <v>126317.12212</v>
      </c>
      <c r="AD322" s="49">
        <f>IF(V322="TIPO I",'BASE DE LIQUIDACION 2025'!$D$3,'BASE DE LIQUIDACION 2025'!$D$4)</f>
        <v>110808.27512000001</v>
      </c>
      <c r="AE322" s="53">
        <f t="shared" si="6"/>
        <v>248376.6214</v>
      </c>
    </row>
    <row r="323" spans="1:31" s="46" customFormat="1" ht="12.75" customHeight="1">
      <c r="A323" s="69" t="s">
        <v>220</v>
      </c>
      <c r="B323" s="45" t="str">
        <f>VLOOKUP(A323,'CENTRO DE COSTOS'!A:D,4,FALSE)</f>
        <v>DIEGO FERNANDO HENAO CARDONA</v>
      </c>
      <c r="C323" s="45" t="str">
        <f>VLOOKUP(A323,'CENTRO DE COSTOS'!A:D,2,FALSE)</f>
        <v>0004-0003</v>
      </c>
      <c r="D323" s="69">
        <v>76001</v>
      </c>
      <c r="E323" s="70" t="s">
        <v>1946</v>
      </c>
      <c r="F323" s="71">
        <v>81063</v>
      </c>
      <c r="G323" s="79" t="s">
        <v>132</v>
      </c>
      <c r="H323" s="73" t="s">
        <v>133</v>
      </c>
      <c r="I323" s="71" t="s">
        <v>420</v>
      </c>
      <c r="J323" s="81" t="s">
        <v>220</v>
      </c>
      <c r="K323" s="71" t="s">
        <v>1947</v>
      </c>
      <c r="L323" s="75" t="s">
        <v>137</v>
      </c>
      <c r="M323" s="82" t="s">
        <v>1948</v>
      </c>
      <c r="N323" s="74">
        <v>45888</v>
      </c>
      <c r="O323" s="76">
        <v>45890</v>
      </c>
      <c r="P323" s="83" t="s">
        <v>139</v>
      </c>
      <c r="Q323" s="84" t="s">
        <v>139</v>
      </c>
      <c r="R323" s="69" t="s">
        <v>140</v>
      </c>
      <c r="S323" s="72" t="s">
        <v>1949</v>
      </c>
      <c r="T323" s="79" t="s">
        <v>477</v>
      </c>
      <c r="U323" s="69" t="s">
        <v>1950</v>
      </c>
      <c r="V323" s="81" t="s">
        <v>52</v>
      </c>
      <c r="W323" s="76" t="s">
        <v>145</v>
      </c>
      <c r="X323" s="79" t="s">
        <v>477</v>
      </c>
      <c r="Y323" s="69">
        <v>1</v>
      </c>
      <c r="Z323" s="69">
        <v>1</v>
      </c>
      <c r="AA323" s="69">
        <v>1</v>
      </c>
      <c r="AB323" s="49">
        <f>IF(V323="TIPO I",'BASE DE LIQUIDACION 2025'!$B$3,'BASE DE LIQUIDACION 2025'!$B$4)</f>
        <v>11251.22416</v>
      </c>
      <c r="AC323" s="49">
        <f>IF(V323="TIPO I",'BASE DE LIQUIDACION 2025'!$C$3,'BASE DE LIQUIDACION 2025'!$C$4)</f>
        <v>126317.12212</v>
      </c>
      <c r="AD323" s="49">
        <f>IF(V323="TIPO I",'BASE DE LIQUIDACION 2025'!$D$3,'BASE DE LIQUIDACION 2025'!$D$4)</f>
        <v>57411.974240000003</v>
      </c>
      <c r="AE323" s="53">
        <f t="shared" si="6"/>
        <v>194980.32052000001</v>
      </c>
    </row>
    <row r="324" spans="1:31" s="46" customFormat="1" ht="12.75" customHeight="1">
      <c r="A324" s="69" t="s">
        <v>431</v>
      </c>
      <c r="B324" s="45" t="str">
        <f>VLOOKUP(A324,'CENTRO DE COSTOS'!A:D,4,FALSE)</f>
        <v>WILLIAM ASDRUBAL ROZO ROZO</v>
      </c>
      <c r="C324" s="45" t="str">
        <f>VLOOKUP(A324,'CENTRO DE COSTOS'!A:D,2,FALSE)</f>
        <v>0004-0004</v>
      </c>
      <c r="D324" s="69">
        <v>11001</v>
      </c>
      <c r="E324" s="70" t="s">
        <v>1951</v>
      </c>
      <c r="F324" s="71">
        <v>81053</v>
      </c>
      <c r="G324" s="79" t="s">
        <v>132</v>
      </c>
      <c r="H324" s="73" t="s">
        <v>133</v>
      </c>
      <c r="I324" s="71" t="s">
        <v>433</v>
      </c>
      <c r="J324" s="81" t="s">
        <v>431</v>
      </c>
      <c r="K324" s="71" t="s">
        <v>1952</v>
      </c>
      <c r="L324" s="75" t="s">
        <v>137</v>
      </c>
      <c r="M324" s="82" t="s">
        <v>1953</v>
      </c>
      <c r="N324" s="74">
        <v>45888</v>
      </c>
      <c r="O324" s="76">
        <v>45889</v>
      </c>
      <c r="P324" s="83" t="s">
        <v>139</v>
      </c>
      <c r="Q324" s="84" t="s">
        <v>139</v>
      </c>
      <c r="R324" s="69" t="s">
        <v>140</v>
      </c>
      <c r="S324" s="72" t="s">
        <v>1954</v>
      </c>
      <c r="T324" s="79" t="s">
        <v>470</v>
      </c>
      <c r="U324" s="69" t="s">
        <v>1955</v>
      </c>
      <c r="V324" s="81" t="s">
        <v>52</v>
      </c>
      <c r="W324" s="76" t="s">
        <v>145</v>
      </c>
      <c r="X324" s="79" t="s">
        <v>470</v>
      </c>
      <c r="Y324" s="69">
        <v>1</v>
      </c>
      <c r="Z324" s="69">
        <v>1</v>
      </c>
      <c r="AA324" s="69">
        <v>1</v>
      </c>
      <c r="AB324" s="49">
        <f>IF(V324="TIPO I",'BASE DE LIQUIDACION 2025'!$B$3,'BASE DE LIQUIDACION 2025'!$B$4)</f>
        <v>11251.22416</v>
      </c>
      <c r="AC324" s="49">
        <f>IF(V324="TIPO I",'BASE DE LIQUIDACION 2025'!$C$3,'BASE DE LIQUIDACION 2025'!$C$4)</f>
        <v>126317.12212</v>
      </c>
      <c r="AD324" s="49">
        <f>IF(V324="TIPO I",'BASE DE LIQUIDACION 2025'!$D$3,'BASE DE LIQUIDACION 2025'!$D$4)</f>
        <v>57411.974240000003</v>
      </c>
      <c r="AE324" s="53">
        <f t="shared" si="6"/>
        <v>194980.32052000001</v>
      </c>
    </row>
    <row r="325" spans="1:31" s="46" customFormat="1" ht="12.75" customHeight="1">
      <c r="A325" s="69" t="s">
        <v>151</v>
      </c>
      <c r="B325" s="45" t="str">
        <f>VLOOKUP(A325,'CENTRO DE COSTOS'!A:D,4,FALSE)</f>
        <v>DIEGO FERNANDO HENAO CARDONA</v>
      </c>
      <c r="C325" s="45" t="str">
        <f>VLOOKUP(A325,'CENTRO DE COSTOS'!A:D,2,FALSE)</f>
        <v>0004-0003</v>
      </c>
      <c r="D325" s="69">
        <v>52683</v>
      </c>
      <c r="E325" s="70" t="s">
        <v>1956</v>
      </c>
      <c r="F325" s="71">
        <v>81098</v>
      </c>
      <c r="G325" s="79" t="s">
        <v>132</v>
      </c>
      <c r="H325" s="73" t="s">
        <v>133</v>
      </c>
      <c r="I325" s="71" t="s">
        <v>153</v>
      </c>
      <c r="J325" s="81" t="s">
        <v>1957</v>
      </c>
      <c r="K325" s="71" t="s">
        <v>1958</v>
      </c>
      <c r="L325" s="75" t="s">
        <v>137</v>
      </c>
      <c r="M325" s="82" t="s">
        <v>1959</v>
      </c>
      <c r="N325" s="74">
        <v>45888</v>
      </c>
      <c r="O325" s="76">
        <v>45889</v>
      </c>
      <c r="P325" s="83" t="s">
        <v>139</v>
      </c>
      <c r="Q325" s="84" t="s">
        <v>139</v>
      </c>
      <c r="R325" s="69" t="s">
        <v>140</v>
      </c>
      <c r="S325" s="72" t="s">
        <v>1960</v>
      </c>
      <c r="T325" s="79" t="s">
        <v>158</v>
      </c>
      <c r="U325" s="69" t="s">
        <v>1961</v>
      </c>
      <c r="V325" s="81" t="s">
        <v>202</v>
      </c>
      <c r="W325" s="76" t="s">
        <v>145</v>
      </c>
      <c r="X325" s="79" t="s">
        <v>158</v>
      </c>
      <c r="Y325" s="69">
        <v>1</v>
      </c>
      <c r="Z325" s="69">
        <v>1</v>
      </c>
      <c r="AA325" s="69">
        <v>1</v>
      </c>
      <c r="AB325" s="49">
        <f>IF(V325="TIPO I",'BASE DE LIQUIDACION 2025'!$B$3,'BASE DE LIQUIDACION 2025'!$B$4)</f>
        <v>11251.22416</v>
      </c>
      <c r="AC325" s="49">
        <f>IF(V325="TIPO I",'BASE DE LIQUIDACION 2025'!$C$3,'BASE DE LIQUIDACION 2025'!$C$4)</f>
        <v>126317.12212</v>
      </c>
      <c r="AD325" s="49">
        <f>IF(V325="TIPO I",'BASE DE LIQUIDACION 2025'!$D$3,'BASE DE LIQUIDACION 2025'!$D$4)</f>
        <v>110808.27512000001</v>
      </c>
      <c r="AE325" s="53">
        <f t="shared" si="6"/>
        <v>248376.6214</v>
      </c>
    </row>
    <row r="326" spans="1:31" s="46" customFormat="1" ht="12.75" customHeight="1">
      <c r="A326" s="69" t="s">
        <v>431</v>
      </c>
      <c r="B326" s="45" t="str">
        <f>VLOOKUP(A326,'CENTRO DE COSTOS'!A:D,4,FALSE)</f>
        <v>WILLIAM ASDRUBAL ROZO ROZO</v>
      </c>
      <c r="C326" s="45" t="str">
        <f>VLOOKUP(A326,'CENTRO DE COSTOS'!A:D,2,FALSE)</f>
        <v>0004-0004</v>
      </c>
      <c r="D326" s="69">
        <v>11001</v>
      </c>
      <c r="E326" s="70" t="s">
        <v>1962</v>
      </c>
      <c r="F326" s="71">
        <v>81054</v>
      </c>
      <c r="G326" s="79" t="s">
        <v>132</v>
      </c>
      <c r="H326" s="73" t="s">
        <v>133</v>
      </c>
      <c r="I326" s="71" t="s">
        <v>433</v>
      </c>
      <c r="J326" s="81" t="s">
        <v>431</v>
      </c>
      <c r="K326" s="71" t="s">
        <v>1963</v>
      </c>
      <c r="L326" s="75" t="s">
        <v>137</v>
      </c>
      <c r="M326" s="82" t="s">
        <v>1964</v>
      </c>
      <c r="N326" s="74">
        <v>45888</v>
      </c>
      <c r="O326" s="76">
        <v>45890</v>
      </c>
      <c r="P326" s="83" t="s">
        <v>139</v>
      </c>
      <c r="Q326" s="84" t="s">
        <v>139</v>
      </c>
      <c r="R326" s="69" t="s">
        <v>140</v>
      </c>
      <c r="S326" s="72" t="s">
        <v>1965</v>
      </c>
      <c r="T326" s="79" t="s">
        <v>571</v>
      </c>
      <c r="U326" s="69" t="s">
        <v>1966</v>
      </c>
      <c r="V326" s="81" t="s">
        <v>52</v>
      </c>
      <c r="W326" s="76" t="s">
        <v>145</v>
      </c>
      <c r="X326" s="79" t="s">
        <v>571</v>
      </c>
      <c r="Y326" s="69">
        <v>1</v>
      </c>
      <c r="Z326" s="69">
        <v>1</v>
      </c>
      <c r="AA326" s="69">
        <v>1</v>
      </c>
      <c r="AB326" s="49">
        <f>IF(V326="TIPO I",'BASE DE LIQUIDACION 2025'!$B$3,'BASE DE LIQUIDACION 2025'!$B$4)</f>
        <v>11251.22416</v>
      </c>
      <c r="AC326" s="49">
        <f>IF(V326="TIPO I",'BASE DE LIQUIDACION 2025'!$C$3,'BASE DE LIQUIDACION 2025'!$C$4)</f>
        <v>126317.12212</v>
      </c>
      <c r="AD326" s="49">
        <f>IF(V326="TIPO I",'BASE DE LIQUIDACION 2025'!$D$3,'BASE DE LIQUIDACION 2025'!$D$4)</f>
        <v>57411.974240000003</v>
      </c>
      <c r="AE326" s="53">
        <f t="shared" si="6"/>
        <v>194980.32052000001</v>
      </c>
    </row>
    <row r="327" spans="1:31" s="46" customFormat="1" ht="12.75" customHeight="1">
      <c r="A327" s="69" t="s">
        <v>220</v>
      </c>
      <c r="B327" s="45" t="str">
        <f>VLOOKUP(A327,'CENTRO DE COSTOS'!A:D,4,FALSE)</f>
        <v>DIEGO FERNANDO HENAO CARDONA</v>
      </c>
      <c r="C327" s="45" t="str">
        <f>VLOOKUP(A327,'CENTRO DE COSTOS'!A:D,2,FALSE)</f>
        <v>0004-0003</v>
      </c>
      <c r="D327" s="69">
        <v>76834</v>
      </c>
      <c r="E327" s="70" t="s">
        <v>1967</v>
      </c>
      <c r="F327" s="71">
        <v>81106</v>
      </c>
      <c r="G327" s="79" t="s">
        <v>132</v>
      </c>
      <c r="H327" s="73" t="s">
        <v>133</v>
      </c>
      <c r="I327" s="71" t="s">
        <v>420</v>
      </c>
      <c r="J327" s="81" t="s">
        <v>1780</v>
      </c>
      <c r="K327" s="71" t="s">
        <v>1968</v>
      </c>
      <c r="L327" s="75" t="s">
        <v>137</v>
      </c>
      <c r="M327" s="82" t="s">
        <v>1969</v>
      </c>
      <c r="N327" s="74">
        <v>45888</v>
      </c>
      <c r="O327" s="76">
        <v>45890</v>
      </c>
      <c r="P327" s="83" t="s">
        <v>139</v>
      </c>
      <c r="Q327" s="84" t="s">
        <v>139</v>
      </c>
      <c r="R327" s="69" t="s">
        <v>140</v>
      </c>
      <c r="S327" s="72" t="s">
        <v>1970</v>
      </c>
      <c r="T327" s="79" t="s">
        <v>702</v>
      </c>
      <c r="U327" s="69" t="s">
        <v>1971</v>
      </c>
      <c r="V327" s="81" t="s">
        <v>202</v>
      </c>
      <c r="W327" s="76" t="s">
        <v>145</v>
      </c>
      <c r="X327" s="79" t="s">
        <v>702</v>
      </c>
      <c r="Y327" s="69">
        <v>1</v>
      </c>
      <c r="Z327" s="69">
        <v>1</v>
      </c>
      <c r="AA327" s="69">
        <v>1</v>
      </c>
      <c r="AB327" s="49">
        <f>IF(V327="TIPO I",'BASE DE LIQUIDACION 2025'!$B$3,'BASE DE LIQUIDACION 2025'!$B$4)</f>
        <v>11251.22416</v>
      </c>
      <c r="AC327" s="49">
        <f>IF(V327="TIPO I",'BASE DE LIQUIDACION 2025'!$C$3,'BASE DE LIQUIDACION 2025'!$C$4)</f>
        <v>126317.12212</v>
      </c>
      <c r="AD327" s="49">
        <f>IF(V327="TIPO I",'BASE DE LIQUIDACION 2025'!$D$3,'BASE DE LIQUIDACION 2025'!$D$4)</f>
        <v>110808.27512000001</v>
      </c>
      <c r="AE327" s="53">
        <f t="shared" si="6"/>
        <v>248376.6214</v>
      </c>
    </row>
    <row r="328" spans="1:31" s="46" customFormat="1" ht="12.75" customHeight="1">
      <c r="A328" s="69" t="s">
        <v>379</v>
      </c>
      <c r="B328" s="45" t="str">
        <f>VLOOKUP(A328,'CENTRO DE COSTOS'!A:D,4,FALSE)</f>
        <v>JOSE MAURICIO HERNANDEZ ROJAS</v>
      </c>
      <c r="C328" s="45" t="str">
        <f>VLOOKUP(A328,'CENTRO DE COSTOS'!A:D,2,FALSE)</f>
        <v>0004-0001</v>
      </c>
      <c r="D328" s="69">
        <v>23807</v>
      </c>
      <c r="E328" s="70" t="s">
        <v>1972</v>
      </c>
      <c r="F328" s="71">
        <v>81105</v>
      </c>
      <c r="G328" s="79" t="s">
        <v>132</v>
      </c>
      <c r="H328" s="73" t="s">
        <v>133</v>
      </c>
      <c r="I328" s="71" t="s">
        <v>381</v>
      </c>
      <c r="J328" s="81" t="s">
        <v>1973</v>
      </c>
      <c r="K328" s="71" t="s">
        <v>1974</v>
      </c>
      <c r="L328" s="75" t="s">
        <v>137</v>
      </c>
      <c r="M328" s="82" t="s">
        <v>1975</v>
      </c>
      <c r="N328" s="74">
        <v>45888</v>
      </c>
      <c r="O328" s="76">
        <v>45890</v>
      </c>
      <c r="P328" s="83" t="s">
        <v>139</v>
      </c>
      <c r="Q328" s="84" t="s">
        <v>139</v>
      </c>
      <c r="R328" s="69" t="s">
        <v>140</v>
      </c>
      <c r="S328" s="72" t="s">
        <v>1976</v>
      </c>
      <c r="T328" s="79" t="s">
        <v>385</v>
      </c>
      <c r="U328" s="69" t="s">
        <v>1977</v>
      </c>
      <c r="V328" s="81" t="s">
        <v>230</v>
      </c>
      <c r="W328" s="76" t="s">
        <v>145</v>
      </c>
      <c r="X328" s="79" t="s">
        <v>385</v>
      </c>
      <c r="Y328" s="69">
        <v>1</v>
      </c>
      <c r="Z328" s="69">
        <v>1</v>
      </c>
      <c r="AA328" s="69">
        <v>1</v>
      </c>
      <c r="AB328" s="49">
        <f>IF(V328="TIPO I",'BASE DE LIQUIDACION 2025'!$B$3,'BASE DE LIQUIDACION 2025'!$B$4)</f>
        <v>11251.22416</v>
      </c>
      <c r="AC328" s="49">
        <f>IF(V328="TIPO I",'BASE DE LIQUIDACION 2025'!$C$3,'BASE DE LIQUIDACION 2025'!$C$4)</f>
        <v>126317.12212</v>
      </c>
      <c r="AD328" s="49">
        <f>IF(V328="TIPO I",'BASE DE LIQUIDACION 2025'!$D$3,'BASE DE LIQUIDACION 2025'!$D$4)</f>
        <v>110808.27512000001</v>
      </c>
      <c r="AE328" s="53">
        <f t="shared" si="6"/>
        <v>248376.6214</v>
      </c>
    </row>
    <row r="329" spans="1:31" s="46" customFormat="1" ht="12.75" customHeight="1">
      <c r="A329" s="69" t="s">
        <v>203</v>
      </c>
      <c r="B329" s="45" t="str">
        <f>VLOOKUP(A329,'CENTRO DE COSTOS'!A:D,4,FALSE)</f>
        <v>MIGUEL JULIÁN HERNÁNDEZ GUARÍN</v>
      </c>
      <c r="C329" s="45" t="str">
        <f>VLOOKUP(A329,'CENTRO DE COSTOS'!A:D,2,FALSE)</f>
        <v>0004-0008</v>
      </c>
      <c r="D329" s="69">
        <v>15097</v>
      </c>
      <c r="E329" s="70" t="s">
        <v>1978</v>
      </c>
      <c r="F329" s="71">
        <v>81050</v>
      </c>
      <c r="G329" s="79" t="s">
        <v>132</v>
      </c>
      <c r="H329" s="73" t="s">
        <v>133</v>
      </c>
      <c r="I329" s="71" t="s">
        <v>205</v>
      </c>
      <c r="J329" s="81" t="s">
        <v>1979</v>
      </c>
      <c r="K329" s="71" t="s">
        <v>1980</v>
      </c>
      <c r="L329" s="75" t="s">
        <v>137</v>
      </c>
      <c r="M329" s="82" t="s">
        <v>1981</v>
      </c>
      <c r="N329" s="74">
        <v>45888</v>
      </c>
      <c r="O329" s="76">
        <v>45890</v>
      </c>
      <c r="P329" s="83" t="s">
        <v>139</v>
      </c>
      <c r="Q329" s="84" t="s">
        <v>139</v>
      </c>
      <c r="R329" s="69" t="s">
        <v>140</v>
      </c>
      <c r="S329" s="72" t="s">
        <v>1982</v>
      </c>
      <c r="T329" s="79" t="s">
        <v>1119</v>
      </c>
      <c r="U329" s="69" t="s">
        <v>1983</v>
      </c>
      <c r="V329" s="81" t="s">
        <v>144</v>
      </c>
      <c r="W329" s="76" t="s">
        <v>145</v>
      </c>
      <c r="X329" s="79" t="s">
        <v>1119</v>
      </c>
      <c r="Y329" s="69">
        <v>1</v>
      </c>
      <c r="Z329" s="69">
        <v>1</v>
      </c>
      <c r="AA329" s="69">
        <v>1</v>
      </c>
      <c r="AB329" s="49">
        <f>IF(V329="TIPO I",'BASE DE LIQUIDACION 2025'!$B$3,'BASE DE LIQUIDACION 2025'!$B$4)</f>
        <v>11251.22416</v>
      </c>
      <c r="AC329" s="49">
        <f>IF(V329="TIPO I",'BASE DE LIQUIDACION 2025'!$C$3,'BASE DE LIQUIDACION 2025'!$C$4)</f>
        <v>126317.12212</v>
      </c>
      <c r="AD329" s="49">
        <f>IF(V329="TIPO I",'BASE DE LIQUIDACION 2025'!$D$3,'BASE DE LIQUIDACION 2025'!$D$4)</f>
        <v>110808.27512000001</v>
      </c>
      <c r="AE329" s="53">
        <f t="shared" si="6"/>
        <v>248376.6214</v>
      </c>
    </row>
    <row r="330" spans="1:31" s="46" customFormat="1" ht="12.75" customHeight="1">
      <c r="A330" s="69" t="s">
        <v>269</v>
      </c>
      <c r="B330" s="45" t="str">
        <f>VLOOKUP(A330,'CENTRO DE COSTOS'!A:D,4,FALSE)</f>
        <v>MIGUEL JULIÁN HERNÁNDEZ GUARÍN</v>
      </c>
      <c r="C330" s="45" t="str">
        <f>VLOOKUP(A330,'CENTRO DE COSTOS'!A:D,2,FALSE)</f>
        <v>0004-0008</v>
      </c>
      <c r="D330" s="69">
        <v>68547</v>
      </c>
      <c r="E330" s="70" t="s">
        <v>1984</v>
      </c>
      <c r="F330" s="71">
        <v>81091</v>
      </c>
      <c r="G330" s="79" t="s">
        <v>132</v>
      </c>
      <c r="H330" s="73" t="s">
        <v>133</v>
      </c>
      <c r="I330" s="71" t="s">
        <v>795</v>
      </c>
      <c r="J330" s="81" t="s">
        <v>819</v>
      </c>
      <c r="K330" s="71" t="s">
        <v>1985</v>
      </c>
      <c r="L330" s="75" t="s">
        <v>137</v>
      </c>
      <c r="M330" s="82" t="s">
        <v>1986</v>
      </c>
      <c r="N330" s="74">
        <v>45888</v>
      </c>
      <c r="O330" s="76">
        <v>45890</v>
      </c>
      <c r="P330" s="83" t="s">
        <v>139</v>
      </c>
      <c r="Q330" s="84" t="s">
        <v>139</v>
      </c>
      <c r="R330" s="69" t="s">
        <v>140</v>
      </c>
      <c r="S330" s="72" t="s">
        <v>1987</v>
      </c>
      <c r="T330" s="79" t="s">
        <v>292</v>
      </c>
      <c r="U330" s="69" t="s">
        <v>1988</v>
      </c>
      <c r="V330" s="81" t="s">
        <v>202</v>
      </c>
      <c r="W330" s="76" t="s">
        <v>145</v>
      </c>
      <c r="X330" s="79" t="s">
        <v>292</v>
      </c>
      <c r="Y330" s="69">
        <v>1</v>
      </c>
      <c r="Z330" s="69">
        <v>1</v>
      </c>
      <c r="AA330" s="69">
        <v>1</v>
      </c>
      <c r="AB330" s="49">
        <f>IF(V330="TIPO I",'BASE DE LIQUIDACION 2025'!$B$3,'BASE DE LIQUIDACION 2025'!$B$4)</f>
        <v>11251.22416</v>
      </c>
      <c r="AC330" s="49">
        <f>IF(V330="TIPO I",'BASE DE LIQUIDACION 2025'!$C$3,'BASE DE LIQUIDACION 2025'!$C$4)</f>
        <v>126317.12212</v>
      </c>
      <c r="AD330" s="49">
        <f>IF(V330="TIPO I",'BASE DE LIQUIDACION 2025'!$D$3,'BASE DE LIQUIDACION 2025'!$D$4)</f>
        <v>110808.27512000001</v>
      </c>
      <c r="AE330" s="53">
        <f t="shared" si="6"/>
        <v>248376.6214</v>
      </c>
    </row>
    <row r="331" spans="1:31" s="46" customFormat="1" ht="12.75" customHeight="1">
      <c r="A331" s="69" t="s">
        <v>260</v>
      </c>
      <c r="B331" s="45" t="str">
        <f>VLOOKUP(A331,'CENTRO DE COSTOS'!A:D,4,FALSE)</f>
        <v>KEVIN ALEXIS CORZO BUSTOS</v>
      </c>
      <c r="C331" s="45" t="str">
        <f>VLOOKUP(A331,'CENTRO DE COSTOS'!A:D,2,FALSE)</f>
        <v>0004-0007</v>
      </c>
      <c r="D331" s="69">
        <v>50568</v>
      </c>
      <c r="E331" s="70" t="s">
        <v>1989</v>
      </c>
      <c r="F331" s="71">
        <v>81095</v>
      </c>
      <c r="G331" s="79" t="s">
        <v>132</v>
      </c>
      <c r="H331" s="73" t="s">
        <v>133</v>
      </c>
      <c r="I331" s="71" t="s">
        <v>262</v>
      </c>
      <c r="J331" s="81" t="s">
        <v>1990</v>
      </c>
      <c r="K331" s="71" t="s">
        <v>1991</v>
      </c>
      <c r="L331" s="75" t="s">
        <v>137</v>
      </c>
      <c r="M331" s="82" t="s">
        <v>1992</v>
      </c>
      <c r="N331" s="74">
        <v>45888</v>
      </c>
      <c r="O331" s="76">
        <v>45889</v>
      </c>
      <c r="P331" s="83" t="s">
        <v>139</v>
      </c>
      <c r="Q331" s="84" t="s">
        <v>139</v>
      </c>
      <c r="R331" s="69" t="s">
        <v>140</v>
      </c>
      <c r="S331" s="72" t="s">
        <v>1993</v>
      </c>
      <c r="T331" s="79" t="s">
        <v>267</v>
      </c>
      <c r="U331" s="69" t="s">
        <v>1994</v>
      </c>
      <c r="V331" s="81" t="s">
        <v>230</v>
      </c>
      <c r="W331" s="76" t="s">
        <v>145</v>
      </c>
      <c r="X331" s="79" t="s">
        <v>267</v>
      </c>
      <c r="Y331" s="69">
        <v>1</v>
      </c>
      <c r="Z331" s="69">
        <v>1</v>
      </c>
      <c r="AA331" s="69">
        <v>1</v>
      </c>
      <c r="AB331" s="49">
        <f>IF(V331="TIPO I",'BASE DE LIQUIDACION 2025'!$B$3,'BASE DE LIQUIDACION 2025'!$B$4)</f>
        <v>11251.22416</v>
      </c>
      <c r="AC331" s="49">
        <f>IF(V331="TIPO I",'BASE DE LIQUIDACION 2025'!$C$3,'BASE DE LIQUIDACION 2025'!$C$4)</f>
        <v>126317.12212</v>
      </c>
      <c r="AD331" s="49">
        <f>IF(V331="TIPO I",'BASE DE LIQUIDACION 2025'!$D$3,'BASE DE LIQUIDACION 2025'!$D$4)</f>
        <v>110808.27512000001</v>
      </c>
      <c r="AE331" s="53">
        <f t="shared" si="6"/>
        <v>248376.6214</v>
      </c>
    </row>
    <row r="332" spans="1:31" s="46" customFormat="1" ht="12.75" customHeight="1">
      <c r="A332" s="69" t="s">
        <v>399</v>
      </c>
      <c r="B332" s="45" t="str">
        <f>VLOOKUP(A332,'CENTRO DE COSTOS'!A:D,4,FALSE)</f>
        <v>JOSE MAURICIO HERNANDEZ ROJAS</v>
      </c>
      <c r="C332" s="45" t="str">
        <f>VLOOKUP(A332,'CENTRO DE COSTOS'!A:D,2,FALSE)</f>
        <v>0004-0001</v>
      </c>
      <c r="D332" s="69">
        <v>20570</v>
      </c>
      <c r="E332" s="70" t="s">
        <v>1995</v>
      </c>
      <c r="F332" s="71">
        <v>81094</v>
      </c>
      <c r="G332" s="79" t="s">
        <v>132</v>
      </c>
      <c r="H332" s="73" t="s">
        <v>133</v>
      </c>
      <c r="I332" s="71" t="s">
        <v>401</v>
      </c>
      <c r="J332" s="81" t="s">
        <v>1996</v>
      </c>
      <c r="K332" s="71" t="s">
        <v>1997</v>
      </c>
      <c r="L332" s="75" t="s">
        <v>137</v>
      </c>
      <c r="M332" s="82" t="s">
        <v>1998</v>
      </c>
      <c r="N332" s="74">
        <v>45888</v>
      </c>
      <c r="O332" s="76">
        <v>45889</v>
      </c>
      <c r="P332" s="83" t="s">
        <v>139</v>
      </c>
      <c r="Q332" s="84" t="s">
        <v>139</v>
      </c>
      <c r="R332" s="69" t="s">
        <v>140</v>
      </c>
      <c r="S332" s="72" t="s">
        <v>1999</v>
      </c>
      <c r="T332" s="79" t="s">
        <v>957</v>
      </c>
      <c r="U332" s="69" t="s">
        <v>2000</v>
      </c>
      <c r="V332" s="81" t="s">
        <v>230</v>
      </c>
      <c r="W332" s="76" t="s">
        <v>145</v>
      </c>
      <c r="X332" s="79" t="s">
        <v>957</v>
      </c>
      <c r="Y332" s="69">
        <v>1</v>
      </c>
      <c r="Z332" s="69">
        <v>1</v>
      </c>
      <c r="AA332" s="69">
        <v>1</v>
      </c>
      <c r="AB332" s="49">
        <f>IF(V332="TIPO I",'BASE DE LIQUIDACION 2025'!$B$3,'BASE DE LIQUIDACION 2025'!$B$4)</f>
        <v>11251.22416</v>
      </c>
      <c r="AC332" s="49">
        <f>IF(V332="TIPO I",'BASE DE LIQUIDACION 2025'!$C$3,'BASE DE LIQUIDACION 2025'!$C$4)</f>
        <v>126317.12212</v>
      </c>
      <c r="AD332" s="49">
        <f>IF(V332="TIPO I",'BASE DE LIQUIDACION 2025'!$D$3,'BASE DE LIQUIDACION 2025'!$D$4)</f>
        <v>110808.27512000001</v>
      </c>
      <c r="AE332" s="53">
        <f t="shared" si="6"/>
        <v>248376.6214</v>
      </c>
    </row>
    <row r="333" spans="1:31" s="46" customFormat="1" ht="12.75" customHeight="1">
      <c r="A333" s="69" t="s">
        <v>220</v>
      </c>
      <c r="B333" s="45" t="str">
        <f>VLOOKUP(A333,'CENTRO DE COSTOS'!A:D,4,FALSE)</f>
        <v>DIEGO FERNANDO HENAO CARDONA</v>
      </c>
      <c r="C333" s="45" t="str">
        <f>VLOOKUP(A333,'CENTRO DE COSTOS'!A:D,2,FALSE)</f>
        <v>0004-0003</v>
      </c>
      <c r="D333" s="69">
        <v>76001</v>
      </c>
      <c r="E333" s="70" t="s">
        <v>2001</v>
      </c>
      <c r="F333" s="71">
        <v>81064</v>
      </c>
      <c r="G333" s="79" t="s">
        <v>132</v>
      </c>
      <c r="H333" s="73" t="s">
        <v>133</v>
      </c>
      <c r="I333" s="71" t="s">
        <v>420</v>
      </c>
      <c r="J333" s="81" t="s">
        <v>220</v>
      </c>
      <c r="K333" s="71" t="s">
        <v>2002</v>
      </c>
      <c r="L333" s="75" t="s">
        <v>137</v>
      </c>
      <c r="M333" s="82" t="s">
        <v>2003</v>
      </c>
      <c r="N333" s="74">
        <v>45888</v>
      </c>
      <c r="O333" s="76">
        <v>45889</v>
      </c>
      <c r="P333" s="83" t="s">
        <v>139</v>
      </c>
      <c r="Q333" s="84" t="s">
        <v>139</v>
      </c>
      <c r="R333" s="69" t="s">
        <v>140</v>
      </c>
      <c r="S333" s="72" t="s">
        <v>2004</v>
      </c>
      <c r="T333" s="79" t="s">
        <v>228</v>
      </c>
      <c r="U333" s="69" t="s">
        <v>2005</v>
      </c>
      <c r="V333" s="81" t="s">
        <v>52</v>
      </c>
      <c r="W333" s="76" t="s">
        <v>145</v>
      </c>
      <c r="X333" s="79" t="s">
        <v>228</v>
      </c>
      <c r="Y333" s="69">
        <v>1</v>
      </c>
      <c r="Z333" s="69">
        <v>1</v>
      </c>
      <c r="AA333" s="69">
        <v>1</v>
      </c>
      <c r="AB333" s="49">
        <f>IF(V333="TIPO I",'BASE DE LIQUIDACION 2025'!$B$3,'BASE DE LIQUIDACION 2025'!$B$4)</f>
        <v>11251.22416</v>
      </c>
      <c r="AC333" s="49">
        <f>IF(V333="TIPO I",'BASE DE LIQUIDACION 2025'!$C$3,'BASE DE LIQUIDACION 2025'!$C$4)</f>
        <v>126317.12212</v>
      </c>
      <c r="AD333" s="49">
        <f>IF(V333="TIPO I",'BASE DE LIQUIDACION 2025'!$D$3,'BASE DE LIQUIDACION 2025'!$D$4)</f>
        <v>57411.974240000003</v>
      </c>
      <c r="AE333" s="53">
        <f t="shared" si="6"/>
        <v>194980.32052000001</v>
      </c>
    </row>
    <row r="334" spans="1:31" s="46" customFormat="1" ht="12.75" customHeight="1">
      <c r="A334" s="69" t="s">
        <v>439</v>
      </c>
      <c r="B334" s="45" t="str">
        <f>VLOOKUP(A334,'CENTRO DE COSTOS'!A:D,4,FALSE)</f>
        <v>DIEGO FERNANDO HENAO CARDONA</v>
      </c>
      <c r="C334" s="45" t="str">
        <f>VLOOKUP(A334,'CENTRO DE COSTOS'!A:D,2,FALSE)</f>
        <v>0004-0002</v>
      </c>
      <c r="D334" s="69">
        <v>17524</v>
      </c>
      <c r="E334" s="70" t="s">
        <v>2006</v>
      </c>
      <c r="F334" s="71">
        <v>81103</v>
      </c>
      <c r="G334" s="79" t="s">
        <v>132</v>
      </c>
      <c r="H334" s="73" t="s">
        <v>222</v>
      </c>
      <c r="I334" s="71" t="s">
        <v>441</v>
      </c>
      <c r="J334" s="81" t="s">
        <v>2007</v>
      </c>
      <c r="K334" s="71" t="s">
        <v>2008</v>
      </c>
      <c r="L334" s="75" t="s">
        <v>137</v>
      </c>
      <c r="M334" s="82" t="s">
        <v>2009</v>
      </c>
      <c r="N334" s="74">
        <v>45888</v>
      </c>
      <c r="O334" s="76">
        <v>45890</v>
      </c>
      <c r="P334" s="83" t="s">
        <v>139</v>
      </c>
      <c r="Q334" s="84" t="s">
        <v>139</v>
      </c>
      <c r="R334" s="69" t="s">
        <v>140</v>
      </c>
      <c r="S334" s="72" t="s">
        <v>2010</v>
      </c>
      <c r="T334" s="79" t="s">
        <v>445</v>
      </c>
      <c r="U334" s="69" t="s">
        <v>2011</v>
      </c>
      <c r="V334" s="81" t="s">
        <v>202</v>
      </c>
      <c r="W334" s="76" t="s">
        <v>145</v>
      </c>
      <c r="X334" s="79" t="s">
        <v>445</v>
      </c>
      <c r="Y334" s="69">
        <v>1</v>
      </c>
      <c r="Z334" s="69">
        <v>1</v>
      </c>
      <c r="AA334" s="69">
        <v>1</v>
      </c>
      <c r="AB334" s="49">
        <f>IF(V334="TIPO I",'BASE DE LIQUIDACION 2025'!$B$3,'BASE DE LIQUIDACION 2025'!$B$4)</f>
        <v>11251.22416</v>
      </c>
      <c r="AC334" s="49">
        <f>IF(V334="TIPO I",'BASE DE LIQUIDACION 2025'!$C$3,'BASE DE LIQUIDACION 2025'!$C$4)</f>
        <v>126317.12212</v>
      </c>
      <c r="AD334" s="49">
        <f>IF(V334="TIPO I",'BASE DE LIQUIDACION 2025'!$D$3,'BASE DE LIQUIDACION 2025'!$D$4)</f>
        <v>110808.27512000001</v>
      </c>
      <c r="AE334" s="53">
        <f t="shared" si="6"/>
        <v>248376.6214</v>
      </c>
    </row>
    <row r="335" spans="1:31" s="46" customFormat="1" ht="12.75" customHeight="1">
      <c r="A335" s="69" t="s">
        <v>220</v>
      </c>
      <c r="B335" s="45" t="str">
        <f>VLOOKUP(A335,'CENTRO DE COSTOS'!A:D,4,FALSE)</f>
        <v>DIEGO FERNANDO HENAO CARDONA</v>
      </c>
      <c r="C335" s="45" t="str">
        <f>VLOOKUP(A335,'CENTRO DE COSTOS'!A:D,2,FALSE)</f>
        <v>0004-0003</v>
      </c>
      <c r="D335" s="69">
        <v>76113</v>
      </c>
      <c r="E335" s="70" t="s">
        <v>2012</v>
      </c>
      <c r="F335" s="71">
        <v>81057</v>
      </c>
      <c r="G335" s="79" t="s">
        <v>132</v>
      </c>
      <c r="H335" s="73" t="s">
        <v>133</v>
      </c>
      <c r="I335" s="71" t="s">
        <v>420</v>
      </c>
      <c r="J335" s="81" t="s">
        <v>2013</v>
      </c>
      <c r="K335" s="71" t="s">
        <v>2014</v>
      </c>
      <c r="L335" s="75" t="s">
        <v>137</v>
      </c>
      <c r="M335" s="82" t="s">
        <v>2015</v>
      </c>
      <c r="N335" s="74">
        <v>45888</v>
      </c>
      <c r="O335" s="76">
        <v>45890</v>
      </c>
      <c r="P335" s="83" t="s">
        <v>139</v>
      </c>
      <c r="Q335" s="84" t="s">
        <v>139</v>
      </c>
      <c r="R335" s="69" t="s">
        <v>140</v>
      </c>
      <c r="S335" s="72" t="s">
        <v>2016</v>
      </c>
      <c r="T335" s="79" t="s">
        <v>228</v>
      </c>
      <c r="U335" s="69" t="s">
        <v>2017</v>
      </c>
      <c r="V335" s="81" t="s">
        <v>202</v>
      </c>
      <c r="W335" s="76" t="s">
        <v>145</v>
      </c>
      <c r="X335" s="79" t="s">
        <v>228</v>
      </c>
      <c r="Y335" s="69">
        <v>1</v>
      </c>
      <c r="Z335" s="69">
        <v>1</v>
      </c>
      <c r="AA335" s="69">
        <v>1</v>
      </c>
      <c r="AB335" s="49">
        <f>IF(V335="TIPO I",'BASE DE LIQUIDACION 2025'!$B$3,'BASE DE LIQUIDACION 2025'!$B$4)</f>
        <v>11251.22416</v>
      </c>
      <c r="AC335" s="49">
        <f>IF(V335="TIPO I",'BASE DE LIQUIDACION 2025'!$C$3,'BASE DE LIQUIDACION 2025'!$C$4)</f>
        <v>126317.12212</v>
      </c>
      <c r="AD335" s="49">
        <f>IF(V335="TIPO I",'BASE DE LIQUIDACION 2025'!$D$3,'BASE DE LIQUIDACION 2025'!$D$4)</f>
        <v>110808.27512000001</v>
      </c>
      <c r="AE335" s="53">
        <f t="shared" si="6"/>
        <v>248376.6214</v>
      </c>
    </row>
    <row r="336" spans="1:31" s="46" customFormat="1" ht="12.75" customHeight="1">
      <c r="A336" s="69" t="s">
        <v>269</v>
      </c>
      <c r="B336" s="45" t="str">
        <f>VLOOKUP(A336,'CENTRO DE COSTOS'!A:D,4,FALSE)</f>
        <v>MIGUEL JULIÁN HERNÁNDEZ GUARÍN</v>
      </c>
      <c r="C336" s="45" t="str">
        <f>VLOOKUP(A336,'CENTRO DE COSTOS'!A:D,2,FALSE)</f>
        <v>0004-0008</v>
      </c>
      <c r="D336" s="69">
        <v>68276</v>
      </c>
      <c r="E336" s="70" t="s">
        <v>2018</v>
      </c>
      <c r="F336" s="71">
        <v>81075</v>
      </c>
      <c r="G336" s="79" t="s">
        <v>132</v>
      </c>
      <c r="H336" s="73" t="s">
        <v>133</v>
      </c>
      <c r="I336" s="71" t="s">
        <v>795</v>
      </c>
      <c r="J336" s="81" t="s">
        <v>925</v>
      </c>
      <c r="K336" s="71" t="s">
        <v>2019</v>
      </c>
      <c r="L336" s="75" t="s">
        <v>137</v>
      </c>
      <c r="M336" s="82" t="s">
        <v>2020</v>
      </c>
      <c r="N336" s="74">
        <v>45888</v>
      </c>
      <c r="O336" s="76">
        <v>45889</v>
      </c>
      <c r="P336" s="83" t="s">
        <v>139</v>
      </c>
      <c r="Q336" s="84" t="s">
        <v>139</v>
      </c>
      <c r="R336" s="69" t="s">
        <v>140</v>
      </c>
      <c r="S336" s="72" t="s">
        <v>2021</v>
      </c>
      <c r="T336" s="79" t="s">
        <v>292</v>
      </c>
      <c r="U336" s="69" t="s">
        <v>2022</v>
      </c>
      <c r="V336" s="81" t="s">
        <v>52</v>
      </c>
      <c r="W336" s="76" t="s">
        <v>145</v>
      </c>
      <c r="X336" s="79" t="s">
        <v>292</v>
      </c>
      <c r="Y336" s="69">
        <v>1</v>
      </c>
      <c r="Z336" s="69">
        <v>1</v>
      </c>
      <c r="AA336" s="69">
        <v>1</v>
      </c>
      <c r="AB336" s="49">
        <f>IF(V336="TIPO I",'BASE DE LIQUIDACION 2025'!$B$3,'BASE DE LIQUIDACION 2025'!$B$4)</f>
        <v>11251.22416</v>
      </c>
      <c r="AC336" s="49">
        <f>IF(V336="TIPO I",'BASE DE LIQUIDACION 2025'!$C$3,'BASE DE LIQUIDACION 2025'!$C$4)</f>
        <v>126317.12212</v>
      </c>
      <c r="AD336" s="49">
        <f>IF(V336="TIPO I",'BASE DE LIQUIDACION 2025'!$D$3,'BASE DE LIQUIDACION 2025'!$D$4)</f>
        <v>57411.974240000003</v>
      </c>
      <c r="AE336" s="53">
        <f t="shared" si="6"/>
        <v>194980.32052000001</v>
      </c>
    </row>
    <row r="337" spans="1:31" s="46" customFormat="1" ht="12.75" customHeight="1">
      <c r="A337" s="69" t="s">
        <v>431</v>
      </c>
      <c r="B337" s="45" t="str">
        <f>VLOOKUP(A337,'CENTRO DE COSTOS'!A:D,4,FALSE)</f>
        <v>WILLIAM ASDRUBAL ROZO ROZO</v>
      </c>
      <c r="C337" s="45" t="str">
        <f>VLOOKUP(A337,'CENTRO DE COSTOS'!A:D,2,FALSE)</f>
        <v>0004-0004</v>
      </c>
      <c r="D337" s="69">
        <v>25286</v>
      </c>
      <c r="E337" s="70" t="s">
        <v>2023</v>
      </c>
      <c r="F337" s="71">
        <v>81076</v>
      </c>
      <c r="G337" s="79" t="s">
        <v>132</v>
      </c>
      <c r="H337" s="73" t="s">
        <v>222</v>
      </c>
      <c r="I337" s="71" t="s">
        <v>433</v>
      </c>
      <c r="J337" s="81" t="s">
        <v>2024</v>
      </c>
      <c r="K337" s="71" t="s">
        <v>2025</v>
      </c>
      <c r="L337" s="75" t="s">
        <v>137</v>
      </c>
      <c r="M337" s="82" t="s">
        <v>2026</v>
      </c>
      <c r="N337" s="74">
        <v>45888</v>
      </c>
      <c r="O337" s="76">
        <v>45894</v>
      </c>
      <c r="P337" s="83" t="s">
        <v>139</v>
      </c>
      <c r="Q337" s="84" t="s">
        <v>139</v>
      </c>
      <c r="R337" s="69" t="s">
        <v>140</v>
      </c>
      <c r="S337" s="72" t="s">
        <v>2027</v>
      </c>
      <c r="T337" s="79" t="s">
        <v>667</v>
      </c>
      <c r="U337" s="69" t="s">
        <v>2028</v>
      </c>
      <c r="V337" s="81" t="s">
        <v>202</v>
      </c>
      <c r="W337" s="76" t="s">
        <v>145</v>
      </c>
      <c r="X337" s="79" t="s">
        <v>667</v>
      </c>
      <c r="Y337" s="69">
        <v>1</v>
      </c>
      <c r="Z337" s="69">
        <v>1</v>
      </c>
      <c r="AA337" s="69">
        <v>1</v>
      </c>
      <c r="AB337" s="49">
        <f>IF(V337="TIPO I",'BASE DE LIQUIDACION 2025'!$B$3,'BASE DE LIQUIDACION 2025'!$B$4)</f>
        <v>11251.22416</v>
      </c>
      <c r="AC337" s="49">
        <f>IF(V337="TIPO I",'BASE DE LIQUIDACION 2025'!$C$3,'BASE DE LIQUIDACION 2025'!$C$4)</f>
        <v>126317.12212</v>
      </c>
      <c r="AD337" s="49">
        <f>IF(V337="TIPO I",'BASE DE LIQUIDACION 2025'!$D$3,'BASE DE LIQUIDACION 2025'!$D$4)</f>
        <v>110808.27512000001</v>
      </c>
      <c r="AE337" s="53">
        <f t="shared" si="6"/>
        <v>248376.6214</v>
      </c>
    </row>
    <row r="338" spans="1:31" s="46" customFormat="1" ht="12.75" customHeight="1">
      <c r="A338" s="69" t="s">
        <v>431</v>
      </c>
      <c r="B338" s="45" t="str">
        <f>VLOOKUP(A338,'CENTRO DE COSTOS'!A:D,4,FALSE)</f>
        <v>WILLIAM ASDRUBAL ROZO ROZO</v>
      </c>
      <c r="C338" s="45" t="str">
        <f>VLOOKUP(A338,'CENTRO DE COSTOS'!A:D,2,FALSE)</f>
        <v>0004-0004</v>
      </c>
      <c r="D338" s="69">
        <v>11001</v>
      </c>
      <c r="E338" s="70" t="s">
        <v>2029</v>
      </c>
      <c r="F338" s="71">
        <v>81055</v>
      </c>
      <c r="G338" s="79" t="s">
        <v>132</v>
      </c>
      <c r="H338" s="73" t="s">
        <v>133</v>
      </c>
      <c r="I338" s="71" t="s">
        <v>433</v>
      </c>
      <c r="J338" s="81" t="s">
        <v>431</v>
      </c>
      <c r="K338" s="71" t="s">
        <v>2030</v>
      </c>
      <c r="L338" s="75" t="s">
        <v>137</v>
      </c>
      <c r="M338" s="82" t="s">
        <v>2031</v>
      </c>
      <c r="N338" s="74">
        <v>45888</v>
      </c>
      <c r="O338" s="76">
        <v>45889</v>
      </c>
      <c r="P338" s="83" t="s">
        <v>139</v>
      </c>
      <c r="Q338" s="84" t="s">
        <v>139</v>
      </c>
      <c r="R338" s="69" t="s">
        <v>140</v>
      </c>
      <c r="S338" s="72" t="s">
        <v>2032</v>
      </c>
      <c r="T338" s="79" t="s">
        <v>2033</v>
      </c>
      <c r="U338" s="69" t="s">
        <v>2034</v>
      </c>
      <c r="V338" s="81" t="s">
        <v>52</v>
      </c>
      <c r="W338" s="76" t="s">
        <v>145</v>
      </c>
      <c r="X338" s="79" t="s">
        <v>2033</v>
      </c>
      <c r="Y338" s="69">
        <v>1</v>
      </c>
      <c r="Z338" s="69">
        <v>1</v>
      </c>
      <c r="AA338" s="69">
        <v>1</v>
      </c>
      <c r="AB338" s="49">
        <f>IF(V338="TIPO I",'BASE DE LIQUIDACION 2025'!$B$3,'BASE DE LIQUIDACION 2025'!$B$4)</f>
        <v>11251.22416</v>
      </c>
      <c r="AC338" s="49">
        <f>IF(V338="TIPO I",'BASE DE LIQUIDACION 2025'!$C$3,'BASE DE LIQUIDACION 2025'!$C$4)</f>
        <v>126317.12212</v>
      </c>
      <c r="AD338" s="49">
        <f>IF(V338="TIPO I",'BASE DE LIQUIDACION 2025'!$D$3,'BASE DE LIQUIDACION 2025'!$D$4)</f>
        <v>57411.974240000003</v>
      </c>
      <c r="AE338" s="53">
        <f t="shared" si="6"/>
        <v>194980.32052000001</v>
      </c>
    </row>
    <row r="339" spans="1:31" s="46" customFormat="1" ht="12.75" customHeight="1">
      <c r="A339" s="69" t="s">
        <v>175</v>
      </c>
      <c r="B339" s="45" t="str">
        <f>VLOOKUP(A339,'CENTRO DE COSTOS'!A:D,4,FALSE)</f>
        <v>JUAN SEBASTIÁN RÍOS CASTRILLÓN</v>
      </c>
      <c r="C339" s="45" t="str">
        <f>VLOOKUP(A339,'CENTRO DE COSTOS'!A:D,2,FALSE)</f>
        <v>0004-0005</v>
      </c>
      <c r="D339" s="69">
        <v>5789</v>
      </c>
      <c r="E339" s="70" t="s">
        <v>2035</v>
      </c>
      <c r="F339" s="71">
        <v>81097</v>
      </c>
      <c r="G339" s="79" t="s">
        <v>132</v>
      </c>
      <c r="H339" s="73" t="s">
        <v>133</v>
      </c>
      <c r="I339" s="71" t="s">
        <v>178</v>
      </c>
      <c r="J339" s="81" t="s">
        <v>2036</v>
      </c>
      <c r="K339" s="71" t="s">
        <v>2037</v>
      </c>
      <c r="L339" s="75" t="s">
        <v>137</v>
      </c>
      <c r="M339" s="82" t="s">
        <v>2038</v>
      </c>
      <c r="N339" s="74">
        <v>45888</v>
      </c>
      <c r="O339" s="76">
        <v>45890</v>
      </c>
      <c r="P339" s="83" t="s">
        <v>139</v>
      </c>
      <c r="Q339" s="84" t="s">
        <v>139</v>
      </c>
      <c r="R339" s="69" t="s">
        <v>140</v>
      </c>
      <c r="S339" s="72" t="s">
        <v>2039</v>
      </c>
      <c r="T339" s="79" t="s">
        <v>235</v>
      </c>
      <c r="U339" s="69" t="s">
        <v>2040</v>
      </c>
      <c r="V339" s="81" t="s">
        <v>230</v>
      </c>
      <c r="W339" s="76" t="s">
        <v>145</v>
      </c>
      <c r="X339" s="79" t="s">
        <v>235</v>
      </c>
      <c r="Y339" s="69">
        <v>1</v>
      </c>
      <c r="Z339" s="69">
        <v>1</v>
      </c>
      <c r="AA339" s="69">
        <v>1</v>
      </c>
      <c r="AB339" s="49">
        <f>IF(V339="TIPO I",'BASE DE LIQUIDACION 2025'!$B$3,'BASE DE LIQUIDACION 2025'!$B$4)</f>
        <v>11251.22416</v>
      </c>
      <c r="AC339" s="49">
        <f>IF(V339="TIPO I",'BASE DE LIQUIDACION 2025'!$C$3,'BASE DE LIQUIDACION 2025'!$C$4)</f>
        <v>126317.12212</v>
      </c>
      <c r="AD339" s="49">
        <f>IF(V339="TIPO I",'BASE DE LIQUIDACION 2025'!$D$3,'BASE DE LIQUIDACION 2025'!$D$4)</f>
        <v>110808.27512000001</v>
      </c>
      <c r="AE339" s="53">
        <f t="shared" si="6"/>
        <v>248376.6214</v>
      </c>
    </row>
    <row r="340" spans="1:31" s="46" customFormat="1" ht="12.75" customHeight="1">
      <c r="A340" s="69" t="s">
        <v>453</v>
      </c>
      <c r="B340" s="45" t="str">
        <f>VLOOKUP(A340,'CENTRO DE COSTOS'!A:D,4,FALSE)</f>
        <v>DIEGO FERNANDO HENAO CARDONA</v>
      </c>
      <c r="C340" s="45" t="str">
        <f>VLOOKUP(A340,'CENTRO DE COSTOS'!A:D,2,FALSE)</f>
        <v>0004-0002</v>
      </c>
      <c r="D340" s="69">
        <v>63001</v>
      </c>
      <c r="E340" s="70" t="s">
        <v>2041</v>
      </c>
      <c r="F340" s="71">
        <v>81051</v>
      </c>
      <c r="G340" s="79" t="s">
        <v>132</v>
      </c>
      <c r="H340" s="73" t="s">
        <v>133</v>
      </c>
      <c r="I340" s="71" t="s">
        <v>554</v>
      </c>
      <c r="J340" s="81" t="s">
        <v>555</v>
      </c>
      <c r="K340" s="71" t="s">
        <v>2042</v>
      </c>
      <c r="L340" s="75" t="s">
        <v>137</v>
      </c>
      <c r="M340" s="82" t="s">
        <v>2043</v>
      </c>
      <c r="N340" s="74">
        <v>45888</v>
      </c>
      <c r="O340" s="76">
        <v>45889</v>
      </c>
      <c r="P340" s="83" t="s">
        <v>139</v>
      </c>
      <c r="Q340" s="84" t="s">
        <v>139</v>
      </c>
      <c r="R340" s="69" t="s">
        <v>140</v>
      </c>
      <c r="S340" s="72" t="s">
        <v>2044</v>
      </c>
      <c r="T340" s="79" t="s">
        <v>559</v>
      </c>
      <c r="U340" s="69" t="s">
        <v>2045</v>
      </c>
      <c r="V340" s="81" t="s">
        <v>202</v>
      </c>
      <c r="W340" s="76" t="s">
        <v>145</v>
      </c>
      <c r="X340" s="79" t="s">
        <v>559</v>
      </c>
      <c r="Y340" s="69">
        <v>1</v>
      </c>
      <c r="Z340" s="69">
        <v>1</v>
      </c>
      <c r="AA340" s="69">
        <v>1</v>
      </c>
      <c r="AB340" s="49">
        <f>IF(V340="TIPO I",'BASE DE LIQUIDACION 2025'!$B$3,'BASE DE LIQUIDACION 2025'!$B$4)</f>
        <v>11251.22416</v>
      </c>
      <c r="AC340" s="49">
        <f>IF(V340="TIPO I",'BASE DE LIQUIDACION 2025'!$C$3,'BASE DE LIQUIDACION 2025'!$C$4)</f>
        <v>126317.12212</v>
      </c>
      <c r="AD340" s="49">
        <f>IF(V340="TIPO I",'BASE DE LIQUIDACION 2025'!$D$3,'BASE DE LIQUIDACION 2025'!$D$4)</f>
        <v>110808.27512000001</v>
      </c>
      <c r="AE340" s="53">
        <f t="shared" si="6"/>
        <v>248376.6214</v>
      </c>
    </row>
    <row r="341" spans="1:31" s="46" customFormat="1" ht="12.75" customHeight="1">
      <c r="A341" s="69" t="s">
        <v>175</v>
      </c>
      <c r="B341" s="45" t="str">
        <f>VLOOKUP(A341,'CENTRO DE COSTOS'!A:D,4,FALSE)</f>
        <v>JUAN SEBASTIÁN RÍOS CASTRILLÓN</v>
      </c>
      <c r="C341" s="45" t="str">
        <f>VLOOKUP(A341,'CENTRO DE COSTOS'!A:D,2,FALSE)</f>
        <v>0004-0005</v>
      </c>
      <c r="D341" s="69">
        <v>5088</v>
      </c>
      <c r="E341" s="70" t="s">
        <v>2046</v>
      </c>
      <c r="F341" s="71">
        <v>81107</v>
      </c>
      <c r="G341" s="79" t="s">
        <v>132</v>
      </c>
      <c r="H341" s="73" t="s">
        <v>133</v>
      </c>
      <c r="I341" s="71" t="s">
        <v>178</v>
      </c>
      <c r="J341" s="81" t="s">
        <v>192</v>
      </c>
      <c r="K341" s="71" t="s">
        <v>2047</v>
      </c>
      <c r="L341" s="75" t="s">
        <v>137</v>
      </c>
      <c r="M341" s="82" t="s">
        <v>2048</v>
      </c>
      <c r="N341" s="74">
        <v>45888</v>
      </c>
      <c r="O341" s="76">
        <v>45889</v>
      </c>
      <c r="P341" s="83" t="s">
        <v>139</v>
      </c>
      <c r="Q341" s="84" t="s">
        <v>139</v>
      </c>
      <c r="R341" s="69" t="s">
        <v>140</v>
      </c>
      <c r="S341" s="72" t="s">
        <v>2049</v>
      </c>
      <c r="T341" s="79" t="s">
        <v>338</v>
      </c>
      <c r="U341" s="69" t="s">
        <v>2050</v>
      </c>
      <c r="V341" s="81" t="s">
        <v>52</v>
      </c>
      <c r="W341" s="76" t="s">
        <v>145</v>
      </c>
      <c r="X341" s="79" t="s">
        <v>338</v>
      </c>
      <c r="Y341" s="69">
        <v>1</v>
      </c>
      <c r="Z341" s="69">
        <v>1</v>
      </c>
      <c r="AA341" s="69">
        <v>1</v>
      </c>
      <c r="AB341" s="49">
        <f>IF(V341="TIPO I",'BASE DE LIQUIDACION 2025'!$B$3,'BASE DE LIQUIDACION 2025'!$B$4)</f>
        <v>11251.22416</v>
      </c>
      <c r="AC341" s="49">
        <f>IF(V341="TIPO I",'BASE DE LIQUIDACION 2025'!$C$3,'BASE DE LIQUIDACION 2025'!$C$4)</f>
        <v>126317.12212</v>
      </c>
      <c r="AD341" s="49">
        <f>IF(V341="TIPO I",'BASE DE LIQUIDACION 2025'!$D$3,'BASE DE LIQUIDACION 2025'!$D$4)</f>
        <v>57411.974240000003</v>
      </c>
      <c r="AE341" s="53">
        <f t="shared" si="6"/>
        <v>194980.32052000001</v>
      </c>
    </row>
    <row r="342" spans="1:31" s="46" customFormat="1" ht="12.75" customHeight="1">
      <c r="A342" s="69" t="s">
        <v>379</v>
      </c>
      <c r="B342" s="45" t="str">
        <f>VLOOKUP(A342,'CENTRO DE COSTOS'!A:D,4,FALSE)</f>
        <v>JOSE MAURICIO HERNANDEZ ROJAS</v>
      </c>
      <c r="C342" s="45" t="str">
        <f>VLOOKUP(A342,'CENTRO DE COSTOS'!A:D,2,FALSE)</f>
        <v>0004-0001</v>
      </c>
      <c r="D342" s="69">
        <v>5250</v>
      </c>
      <c r="E342" s="70" t="s">
        <v>2051</v>
      </c>
      <c r="F342" s="71">
        <v>81072</v>
      </c>
      <c r="G342" s="79" t="s">
        <v>132</v>
      </c>
      <c r="H342" s="73" t="s">
        <v>133</v>
      </c>
      <c r="I342" s="71" t="s">
        <v>178</v>
      </c>
      <c r="J342" s="81" t="s">
        <v>2052</v>
      </c>
      <c r="K342" s="71" t="s">
        <v>2053</v>
      </c>
      <c r="L342" s="75" t="s">
        <v>137</v>
      </c>
      <c r="M342" s="82" t="s">
        <v>2054</v>
      </c>
      <c r="N342" s="74">
        <v>45888</v>
      </c>
      <c r="O342" s="76">
        <v>45890</v>
      </c>
      <c r="P342" s="83" t="s">
        <v>139</v>
      </c>
      <c r="Q342" s="84" t="s">
        <v>139</v>
      </c>
      <c r="R342" s="69" t="s">
        <v>140</v>
      </c>
      <c r="S342" s="72" t="s">
        <v>2055</v>
      </c>
      <c r="T342" s="79" t="s">
        <v>1210</v>
      </c>
      <c r="U342" s="69" t="s">
        <v>2056</v>
      </c>
      <c r="V342" s="81" t="s">
        <v>144</v>
      </c>
      <c r="W342" s="76" t="s">
        <v>145</v>
      </c>
      <c r="X342" s="79" t="s">
        <v>1210</v>
      </c>
      <c r="Y342" s="69">
        <v>1</v>
      </c>
      <c r="Z342" s="69">
        <v>1</v>
      </c>
      <c r="AA342" s="69">
        <v>1</v>
      </c>
      <c r="AB342" s="49">
        <f>IF(V342="TIPO I",'BASE DE LIQUIDACION 2025'!$B$3,'BASE DE LIQUIDACION 2025'!$B$4)</f>
        <v>11251.22416</v>
      </c>
      <c r="AC342" s="49">
        <f>IF(V342="TIPO I",'BASE DE LIQUIDACION 2025'!$C$3,'BASE DE LIQUIDACION 2025'!$C$4)</f>
        <v>126317.12212</v>
      </c>
      <c r="AD342" s="49">
        <f>IF(V342="TIPO I",'BASE DE LIQUIDACION 2025'!$D$3,'BASE DE LIQUIDACION 2025'!$D$4)</f>
        <v>110808.27512000001</v>
      </c>
      <c r="AE342" s="53">
        <f t="shared" si="6"/>
        <v>248376.6214</v>
      </c>
    </row>
    <row r="343" spans="1:31" s="46" customFormat="1" ht="12.75" customHeight="1">
      <c r="A343" s="69" t="s">
        <v>260</v>
      </c>
      <c r="B343" s="45" t="str">
        <f>VLOOKUP(A343,'CENTRO DE COSTOS'!A:D,4,FALSE)</f>
        <v>KEVIN ALEXIS CORZO BUSTOS</v>
      </c>
      <c r="C343" s="45" t="str">
        <f>VLOOKUP(A343,'CENTRO DE COSTOS'!A:D,2,FALSE)</f>
        <v>0004-0007</v>
      </c>
      <c r="D343" s="69">
        <v>50006</v>
      </c>
      <c r="E343" s="70" t="s">
        <v>2057</v>
      </c>
      <c r="F343" s="71">
        <v>81049</v>
      </c>
      <c r="G343" s="79" t="s">
        <v>132</v>
      </c>
      <c r="H343" s="73" t="s">
        <v>133</v>
      </c>
      <c r="I343" s="71" t="s">
        <v>262</v>
      </c>
      <c r="J343" s="81" t="s">
        <v>905</v>
      </c>
      <c r="K343" s="71" t="s">
        <v>2058</v>
      </c>
      <c r="L343" s="75" t="s">
        <v>137</v>
      </c>
      <c r="M343" s="82" t="s">
        <v>2059</v>
      </c>
      <c r="N343" s="74">
        <v>45888</v>
      </c>
      <c r="O343" s="76">
        <v>45890</v>
      </c>
      <c r="P343" s="83" t="s">
        <v>139</v>
      </c>
      <c r="Q343" s="84" t="s">
        <v>139</v>
      </c>
      <c r="R343" s="69" t="s">
        <v>140</v>
      </c>
      <c r="S343" s="72" t="s">
        <v>2060</v>
      </c>
      <c r="T343" s="79" t="s">
        <v>332</v>
      </c>
      <c r="U343" s="69" t="s">
        <v>2061</v>
      </c>
      <c r="V343" s="81" t="s">
        <v>202</v>
      </c>
      <c r="W343" s="76" t="s">
        <v>145</v>
      </c>
      <c r="X343" s="79" t="s">
        <v>332</v>
      </c>
      <c r="Y343" s="69">
        <v>1</v>
      </c>
      <c r="Z343" s="69">
        <v>1</v>
      </c>
      <c r="AA343" s="69">
        <v>1</v>
      </c>
      <c r="AB343" s="49">
        <f>IF(V343="TIPO I",'BASE DE LIQUIDACION 2025'!$B$3,'BASE DE LIQUIDACION 2025'!$B$4)</f>
        <v>11251.22416</v>
      </c>
      <c r="AC343" s="49">
        <f>IF(V343="TIPO I",'BASE DE LIQUIDACION 2025'!$C$3,'BASE DE LIQUIDACION 2025'!$C$4)</f>
        <v>126317.12212</v>
      </c>
      <c r="AD343" s="49">
        <f>IF(V343="TIPO I",'BASE DE LIQUIDACION 2025'!$D$3,'BASE DE LIQUIDACION 2025'!$D$4)</f>
        <v>110808.27512000001</v>
      </c>
      <c r="AE343" s="53">
        <f t="shared" si="6"/>
        <v>248376.6214</v>
      </c>
    </row>
    <row r="344" spans="1:31" s="46" customFormat="1" ht="12.75" customHeight="1">
      <c r="A344" s="69" t="s">
        <v>285</v>
      </c>
      <c r="B344" s="45" t="str">
        <f>VLOOKUP(A344,'CENTRO DE COSTOS'!A:D,4,FALSE)</f>
        <v>MIGUEL JULIÁN HERNÁNDEZ GUARÍN</v>
      </c>
      <c r="C344" s="45" t="str">
        <f>VLOOKUP(A344,'CENTRO DE COSTOS'!A:D,2,FALSE)</f>
        <v>0004-0008</v>
      </c>
      <c r="D344" s="69">
        <v>54001</v>
      </c>
      <c r="E344" s="70" t="s">
        <v>2062</v>
      </c>
      <c r="F344" s="71">
        <v>81069</v>
      </c>
      <c r="G344" s="79" t="s">
        <v>132</v>
      </c>
      <c r="H344" s="73" t="s">
        <v>133</v>
      </c>
      <c r="I344" s="71" t="s">
        <v>287</v>
      </c>
      <c r="J344" s="81" t="s">
        <v>285</v>
      </c>
      <c r="K344" s="71" t="s">
        <v>2063</v>
      </c>
      <c r="L344" s="75" t="s">
        <v>137</v>
      </c>
      <c r="M344" s="82" t="s">
        <v>2064</v>
      </c>
      <c r="N344" s="74">
        <v>45888</v>
      </c>
      <c r="O344" s="76">
        <v>45889</v>
      </c>
      <c r="P344" s="83" t="s">
        <v>139</v>
      </c>
      <c r="Q344" s="84" t="s">
        <v>139</v>
      </c>
      <c r="R344" s="69" t="s">
        <v>140</v>
      </c>
      <c r="S344" s="72" t="s">
        <v>2065</v>
      </c>
      <c r="T344" s="79" t="s">
        <v>644</v>
      </c>
      <c r="U344" s="69" t="s">
        <v>2066</v>
      </c>
      <c r="V344" s="81" t="s">
        <v>52</v>
      </c>
      <c r="W344" s="76" t="s">
        <v>145</v>
      </c>
      <c r="X344" s="79" t="s">
        <v>644</v>
      </c>
      <c r="Y344" s="69">
        <v>1</v>
      </c>
      <c r="Z344" s="69">
        <v>1</v>
      </c>
      <c r="AA344" s="69">
        <v>1</v>
      </c>
      <c r="AB344" s="49">
        <f>IF(V344="TIPO I",'BASE DE LIQUIDACION 2025'!$B$3,'BASE DE LIQUIDACION 2025'!$B$4)</f>
        <v>11251.22416</v>
      </c>
      <c r="AC344" s="49">
        <f>IF(V344="TIPO I",'BASE DE LIQUIDACION 2025'!$C$3,'BASE DE LIQUIDACION 2025'!$C$4)</f>
        <v>126317.12212</v>
      </c>
      <c r="AD344" s="49">
        <f>IF(V344="TIPO I",'BASE DE LIQUIDACION 2025'!$D$3,'BASE DE LIQUIDACION 2025'!$D$4)</f>
        <v>57411.974240000003</v>
      </c>
      <c r="AE344" s="53">
        <f t="shared" ref="AE344:AE400" si="7">AB344*Y344+Z344*AC344+AA344*AD344</f>
        <v>194980.32052000001</v>
      </c>
    </row>
    <row r="345" spans="1:31" s="46" customFormat="1" ht="12.75" customHeight="1">
      <c r="A345" s="69" t="s">
        <v>379</v>
      </c>
      <c r="B345" s="45" t="str">
        <f>VLOOKUP(A345,'CENTRO DE COSTOS'!A:D,4,FALSE)</f>
        <v>JOSE MAURICIO HERNANDEZ ROJAS</v>
      </c>
      <c r="C345" s="45" t="str">
        <f>VLOOKUP(A345,'CENTRO DE COSTOS'!A:D,2,FALSE)</f>
        <v>0004-0001</v>
      </c>
      <c r="D345" s="69">
        <v>5154</v>
      </c>
      <c r="E345" s="70" t="s">
        <v>2067</v>
      </c>
      <c r="F345" s="71">
        <v>81065</v>
      </c>
      <c r="G345" s="79" t="s">
        <v>132</v>
      </c>
      <c r="H345" s="73" t="s">
        <v>133</v>
      </c>
      <c r="I345" s="71" t="s">
        <v>178</v>
      </c>
      <c r="J345" s="81" t="s">
        <v>743</v>
      </c>
      <c r="K345" s="71" t="s">
        <v>2068</v>
      </c>
      <c r="L345" s="75" t="s">
        <v>137</v>
      </c>
      <c r="M345" s="82" t="s">
        <v>2069</v>
      </c>
      <c r="N345" s="74">
        <v>45888</v>
      </c>
      <c r="O345" s="76">
        <v>45889</v>
      </c>
      <c r="P345" s="83" t="s">
        <v>139</v>
      </c>
      <c r="Q345" s="84" t="s">
        <v>139</v>
      </c>
      <c r="R345" s="69" t="s">
        <v>140</v>
      </c>
      <c r="S345" s="72" t="s">
        <v>2070</v>
      </c>
      <c r="T345" s="79" t="s">
        <v>1944</v>
      </c>
      <c r="U345" s="69" t="s">
        <v>2071</v>
      </c>
      <c r="V345" s="81" t="s">
        <v>202</v>
      </c>
      <c r="W345" s="76" t="s">
        <v>145</v>
      </c>
      <c r="X345" s="79" t="s">
        <v>1944</v>
      </c>
      <c r="Y345" s="69">
        <v>1</v>
      </c>
      <c r="Z345" s="69">
        <v>1</v>
      </c>
      <c r="AA345" s="69">
        <v>1</v>
      </c>
      <c r="AB345" s="49">
        <f>IF(V345="TIPO I",'BASE DE LIQUIDACION 2025'!$B$3,'BASE DE LIQUIDACION 2025'!$B$4)</f>
        <v>11251.22416</v>
      </c>
      <c r="AC345" s="49">
        <f>IF(V345="TIPO I",'BASE DE LIQUIDACION 2025'!$C$3,'BASE DE LIQUIDACION 2025'!$C$4)</f>
        <v>126317.12212</v>
      </c>
      <c r="AD345" s="49">
        <f>IF(V345="TIPO I",'BASE DE LIQUIDACION 2025'!$D$3,'BASE DE LIQUIDACION 2025'!$D$4)</f>
        <v>110808.27512000001</v>
      </c>
      <c r="AE345" s="53">
        <f t="shared" si="7"/>
        <v>248376.6214</v>
      </c>
    </row>
    <row r="346" spans="1:31" s="46" customFormat="1" ht="12.75" customHeight="1">
      <c r="A346" s="69" t="s">
        <v>203</v>
      </c>
      <c r="B346" s="45" t="str">
        <f>VLOOKUP(A346,'CENTRO DE COSTOS'!A:D,4,FALSE)</f>
        <v>MIGUEL JULIÁN HERNÁNDEZ GUARÍN</v>
      </c>
      <c r="C346" s="45" t="str">
        <f>VLOOKUP(A346,'CENTRO DE COSTOS'!A:D,2,FALSE)</f>
        <v>0004-0008</v>
      </c>
      <c r="D346" s="69">
        <v>15759</v>
      </c>
      <c r="E346" s="70" t="s">
        <v>2072</v>
      </c>
      <c r="F346" s="71">
        <v>81102</v>
      </c>
      <c r="G346" s="79" t="s">
        <v>132</v>
      </c>
      <c r="H346" s="73" t="s">
        <v>133</v>
      </c>
      <c r="I346" s="71" t="s">
        <v>205</v>
      </c>
      <c r="J346" s="81" t="s">
        <v>322</v>
      </c>
      <c r="K346" s="71" t="s">
        <v>2073</v>
      </c>
      <c r="L346" s="75" t="s">
        <v>137</v>
      </c>
      <c r="M346" s="82" t="s">
        <v>2074</v>
      </c>
      <c r="N346" s="74">
        <v>45888</v>
      </c>
      <c r="O346" s="76">
        <v>45889</v>
      </c>
      <c r="P346" s="83" t="s">
        <v>139</v>
      </c>
      <c r="Q346" s="84" t="s">
        <v>139</v>
      </c>
      <c r="R346" s="69" t="s">
        <v>140</v>
      </c>
      <c r="S346" s="72" t="s">
        <v>2075</v>
      </c>
      <c r="T346" s="79" t="s">
        <v>595</v>
      </c>
      <c r="U346" s="69" t="s">
        <v>2076</v>
      </c>
      <c r="V346" s="81" t="s">
        <v>202</v>
      </c>
      <c r="W346" s="76" t="s">
        <v>145</v>
      </c>
      <c r="X346" s="79" t="s">
        <v>595</v>
      </c>
      <c r="Y346" s="69">
        <v>1</v>
      </c>
      <c r="Z346" s="69">
        <v>1</v>
      </c>
      <c r="AA346" s="69">
        <v>1</v>
      </c>
      <c r="AB346" s="49">
        <f>IF(V346="TIPO I",'BASE DE LIQUIDACION 2025'!$B$3,'BASE DE LIQUIDACION 2025'!$B$4)</f>
        <v>11251.22416</v>
      </c>
      <c r="AC346" s="49">
        <f>IF(V346="TIPO I",'BASE DE LIQUIDACION 2025'!$C$3,'BASE DE LIQUIDACION 2025'!$C$4)</f>
        <v>126317.12212</v>
      </c>
      <c r="AD346" s="49">
        <f>IF(V346="TIPO I",'BASE DE LIQUIDACION 2025'!$D$3,'BASE DE LIQUIDACION 2025'!$D$4)</f>
        <v>110808.27512000001</v>
      </c>
      <c r="AE346" s="53">
        <f t="shared" si="7"/>
        <v>248376.6214</v>
      </c>
    </row>
    <row r="347" spans="1:31" s="46" customFormat="1" ht="12.75" customHeight="1">
      <c r="A347" s="69" t="s">
        <v>453</v>
      </c>
      <c r="B347" s="45" t="str">
        <f>VLOOKUP(A347,'CENTRO DE COSTOS'!A:D,4,FALSE)</f>
        <v>DIEGO FERNANDO HENAO CARDONA</v>
      </c>
      <c r="C347" s="45" t="str">
        <f>VLOOKUP(A347,'CENTRO DE COSTOS'!A:D,2,FALSE)</f>
        <v>0004-0002</v>
      </c>
      <c r="D347" s="69">
        <v>63001</v>
      </c>
      <c r="E347" s="70" t="s">
        <v>2077</v>
      </c>
      <c r="F347" s="71">
        <v>81052</v>
      </c>
      <c r="G347" s="79" t="s">
        <v>132</v>
      </c>
      <c r="H347" s="73" t="s">
        <v>133</v>
      </c>
      <c r="I347" s="71" t="s">
        <v>554</v>
      </c>
      <c r="J347" s="81" t="s">
        <v>555</v>
      </c>
      <c r="K347" s="71" t="s">
        <v>2078</v>
      </c>
      <c r="L347" s="75" t="s">
        <v>137</v>
      </c>
      <c r="M347" s="82" t="s">
        <v>2079</v>
      </c>
      <c r="N347" s="74">
        <v>45888</v>
      </c>
      <c r="O347" s="76">
        <v>45889</v>
      </c>
      <c r="P347" s="83" t="s">
        <v>139</v>
      </c>
      <c r="Q347" s="84" t="s">
        <v>139</v>
      </c>
      <c r="R347" s="69" t="s">
        <v>140</v>
      </c>
      <c r="S347" s="72" t="s">
        <v>2080</v>
      </c>
      <c r="T347" s="79" t="s">
        <v>559</v>
      </c>
      <c r="U347" s="69" t="s">
        <v>2081</v>
      </c>
      <c r="V347" s="81" t="s">
        <v>202</v>
      </c>
      <c r="W347" s="76" t="s">
        <v>145</v>
      </c>
      <c r="X347" s="79" t="s">
        <v>559</v>
      </c>
      <c r="Y347" s="69">
        <v>1</v>
      </c>
      <c r="Z347" s="69">
        <v>1</v>
      </c>
      <c r="AA347" s="69">
        <v>1</v>
      </c>
      <c r="AB347" s="49">
        <f>IF(V347="TIPO I",'BASE DE LIQUIDACION 2025'!$B$3,'BASE DE LIQUIDACION 2025'!$B$4)</f>
        <v>11251.22416</v>
      </c>
      <c r="AC347" s="49">
        <f>IF(V347="TIPO I",'BASE DE LIQUIDACION 2025'!$C$3,'BASE DE LIQUIDACION 2025'!$C$4)</f>
        <v>126317.12212</v>
      </c>
      <c r="AD347" s="49">
        <f>IF(V347="TIPO I",'BASE DE LIQUIDACION 2025'!$D$3,'BASE DE LIQUIDACION 2025'!$D$4)</f>
        <v>110808.27512000001</v>
      </c>
      <c r="AE347" s="53">
        <f t="shared" si="7"/>
        <v>248376.6214</v>
      </c>
    </row>
    <row r="348" spans="1:31" s="46" customFormat="1" ht="12.75" customHeight="1">
      <c r="A348" s="69" t="s">
        <v>439</v>
      </c>
      <c r="B348" s="45" t="str">
        <f>VLOOKUP(A348,'CENTRO DE COSTOS'!A:D,4,FALSE)</f>
        <v>DIEGO FERNANDO HENAO CARDONA</v>
      </c>
      <c r="C348" s="45" t="str">
        <f>VLOOKUP(A348,'CENTRO DE COSTOS'!A:D,2,FALSE)</f>
        <v>0004-0002</v>
      </c>
      <c r="D348" s="69">
        <v>17001</v>
      </c>
      <c r="E348" s="70" t="s">
        <v>2082</v>
      </c>
      <c r="F348" s="71">
        <v>81082</v>
      </c>
      <c r="G348" s="79" t="s">
        <v>132</v>
      </c>
      <c r="H348" s="73" t="s">
        <v>133</v>
      </c>
      <c r="I348" s="71" t="s">
        <v>441</v>
      </c>
      <c r="J348" s="81" t="s">
        <v>439</v>
      </c>
      <c r="K348" s="71" t="s">
        <v>2083</v>
      </c>
      <c r="L348" s="75" t="s">
        <v>137</v>
      </c>
      <c r="M348" s="82" t="s">
        <v>2084</v>
      </c>
      <c r="N348" s="74">
        <v>45888</v>
      </c>
      <c r="O348" s="76">
        <v>45889</v>
      </c>
      <c r="P348" s="83" t="s">
        <v>139</v>
      </c>
      <c r="Q348" s="84" t="s">
        <v>139</v>
      </c>
      <c r="R348" s="69" t="s">
        <v>140</v>
      </c>
      <c r="S348" s="72" t="s">
        <v>2085</v>
      </c>
      <c r="T348" s="79" t="s">
        <v>445</v>
      </c>
      <c r="U348" s="69" t="s">
        <v>2086</v>
      </c>
      <c r="V348" s="81" t="s">
        <v>52</v>
      </c>
      <c r="W348" s="76" t="s">
        <v>145</v>
      </c>
      <c r="X348" s="79" t="s">
        <v>445</v>
      </c>
      <c r="Y348" s="69">
        <v>1</v>
      </c>
      <c r="Z348" s="69">
        <v>1</v>
      </c>
      <c r="AA348" s="69">
        <v>1</v>
      </c>
      <c r="AB348" s="49">
        <f>IF(V348="TIPO I",'BASE DE LIQUIDACION 2025'!$B$3,'BASE DE LIQUIDACION 2025'!$B$4)</f>
        <v>11251.22416</v>
      </c>
      <c r="AC348" s="49">
        <f>IF(V348="TIPO I",'BASE DE LIQUIDACION 2025'!$C$3,'BASE DE LIQUIDACION 2025'!$C$4)</f>
        <v>126317.12212</v>
      </c>
      <c r="AD348" s="49">
        <f>IF(V348="TIPO I",'BASE DE LIQUIDACION 2025'!$D$3,'BASE DE LIQUIDACION 2025'!$D$4)</f>
        <v>57411.974240000003</v>
      </c>
      <c r="AE348" s="53">
        <f t="shared" si="7"/>
        <v>194980.32052000001</v>
      </c>
    </row>
    <row r="349" spans="1:31" s="46" customFormat="1" ht="12.75" customHeight="1">
      <c r="A349" s="69" t="s">
        <v>379</v>
      </c>
      <c r="B349" s="45" t="str">
        <f>VLOOKUP(A349,'CENTRO DE COSTOS'!A:D,4,FALSE)</f>
        <v>JOSE MAURICIO HERNANDEZ ROJAS</v>
      </c>
      <c r="C349" s="45" t="str">
        <f>VLOOKUP(A349,'CENTRO DE COSTOS'!A:D,2,FALSE)</f>
        <v>0004-0001</v>
      </c>
      <c r="D349" s="69">
        <v>23001</v>
      </c>
      <c r="E349" s="70" t="s">
        <v>2087</v>
      </c>
      <c r="F349" s="71">
        <v>81085</v>
      </c>
      <c r="G349" s="79" t="s">
        <v>132</v>
      </c>
      <c r="H349" s="73" t="s">
        <v>133</v>
      </c>
      <c r="I349" s="71" t="s">
        <v>381</v>
      </c>
      <c r="J349" s="81" t="s">
        <v>379</v>
      </c>
      <c r="K349" s="71" t="s">
        <v>2088</v>
      </c>
      <c r="L349" s="75" t="s">
        <v>137</v>
      </c>
      <c r="M349" s="82" t="s">
        <v>2089</v>
      </c>
      <c r="N349" s="74">
        <v>45888</v>
      </c>
      <c r="O349" s="76">
        <v>45890</v>
      </c>
      <c r="P349" s="83" t="s">
        <v>139</v>
      </c>
      <c r="Q349" s="84" t="s">
        <v>139</v>
      </c>
      <c r="R349" s="69" t="s">
        <v>140</v>
      </c>
      <c r="S349" s="72" t="s">
        <v>2090</v>
      </c>
      <c r="T349" s="79" t="s">
        <v>681</v>
      </c>
      <c r="U349" s="69" t="s">
        <v>2091</v>
      </c>
      <c r="V349" s="81" t="s">
        <v>52</v>
      </c>
      <c r="W349" s="76" t="s">
        <v>145</v>
      </c>
      <c r="X349" s="79" t="s">
        <v>681</v>
      </c>
      <c r="Y349" s="69">
        <v>1</v>
      </c>
      <c r="Z349" s="69">
        <v>1</v>
      </c>
      <c r="AA349" s="69">
        <v>1</v>
      </c>
      <c r="AB349" s="49">
        <f>IF(V349="TIPO I",'BASE DE LIQUIDACION 2025'!$B$3,'BASE DE LIQUIDACION 2025'!$B$4)</f>
        <v>11251.22416</v>
      </c>
      <c r="AC349" s="49">
        <f>IF(V349="TIPO I",'BASE DE LIQUIDACION 2025'!$C$3,'BASE DE LIQUIDACION 2025'!$C$4)</f>
        <v>126317.12212</v>
      </c>
      <c r="AD349" s="49">
        <f>IF(V349="TIPO I",'BASE DE LIQUIDACION 2025'!$D$3,'BASE DE LIQUIDACION 2025'!$D$4)</f>
        <v>57411.974240000003</v>
      </c>
      <c r="AE349" s="53">
        <f t="shared" si="7"/>
        <v>194980.32052000001</v>
      </c>
    </row>
    <row r="350" spans="1:31" s="46" customFormat="1" ht="12.75" customHeight="1">
      <c r="A350" s="69" t="s">
        <v>431</v>
      </c>
      <c r="B350" s="45" t="str">
        <f>VLOOKUP(A350,'CENTRO DE COSTOS'!A:D,4,FALSE)</f>
        <v>WILLIAM ASDRUBAL ROZO ROZO</v>
      </c>
      <c r="C350" s="45" t="str">
        <f>VLOOKUP(A350,'CENTRO DE COSTOS'!A:D,2,FALSE)</f>
        <v>0004-0004</v>
      </c>
      <c r="D350" s="69">
        <v>25126</v>
      </c>
      <c r="E350" s="70" t="s">
        <v>2092</v>
      </c>
      <c r="F350" s="71">
        <v>81058</v>
      </c>
      <c r="G350" s="79" t="s">
        <v>132</v>
      </c>
      <c r="H350" s="73" t="s">
        <v>133</v>
      </c>
      <c r="I350" s="71" t="s">
        <v>433</v>
      </c>
      <c r="J350" s="81" t="s">
        <v>2093</v>
      </c>
      <c r="K350" s="71" t="s">
        <v>2094</v>
      </c>
      <c r="L350" s="75" t="s">
        <v>137</v>
      </c>
      <c r="M350" s="82" t="s">
        <v>2095</v>
      </c>
      <c r="N350" s="74">
        <v>45888</v>
      </c>
      <c r="O350" s="76">
        <v>45890</v>
      </c>
      <c r="P350" s="83" t="s">
        <v>139</v>
      </c>
      <c r="Q350" s="84" t="s">
        <v>139</v>
      </c>
      <c r="R350" s="69" t="s">
        <v>140</v>
      </c>
      <c r="S350" s="72" t="s">
        <v>2096</v>
      </c>
      <c r="T350" s="79" t="s">
        <v>2097</v>
      </c>
      <c r="U350" s="69" t="s">
        <v>2098</v>
      </c>
      <c r="V350" s="81" t="s">
        <v>202</v>
      </c>
      <c r="W350" s="76" t="s">
        <v>145</v>
      </c>
      <c r="X350" s="79" t="s">
        <v>2097</v>
      </c>
      <c r="Y350" s="69">
        <v>1</v>
      </c>
      <c r="Z350" s="69">
        <v>1</v>
      </c>
      <c r="AA350" s="69">
        <v>1</v>
      </c>
      <c r="AB350" s="49">
        <f>IF(V350="TIPO I",'BASE DE LIQUIDACION 2025'!$B$3,'BASE DE LIQUIDACION 2025'!$B$4)</f>
        <v>11251.22416</v>
      </c>
      <c r="AC350" s="49">
        <f>IF(V350="TIPO I",'BASE DE LIQUIDACION 2025'!$C$3,'BASE DE LIQUIDACION 2025'!$C$4)</f>
        <v>126317.12212</v>
      </c>
      <c r="AD350" s="49">
        <f>IF(V350="TIPO I",'BASE DE LIQUIDACION 2025'!$D$3,'BASE DE LIQUIDACION 2025'!$D$4)</f>
        <v>110808.27512000001</v>
      </c>
      <c r="AE350" s="53">
        <f t="shared" si="7"/>
        <v>248376.6214</v>
      </c>
    </row>
    <row r="351" spans="1:31" s="46" customFormat="1" ht="12.75" customHeight="1">
      <c r="A351" s="69" t="s">
        <v>431</v>
      </c>
      <c r="B351" s="45" t="str">
        <f>VLOOKUP(A351,'CENTRO DE COSTOS'!A:D,4,FALSE)</f>
        <v>WILLIAM ASDRUBAL ROZO ROZO</v>
      </c>
      <c r="C351" s="45" t="str">
        <f>VLOOKUP(A351,'CENTRO DE COSTOS'!A:D,2,FALSE)</f>
        <v>0004-0004</v>
      </c>
      <c r="D351" s="69">
        <v>25754</v>
      </c>
      <c r="E351" s="70" t="s">
        <v>2099</v>
      </c>
      <c r="F351" s="71">
        <v>81101</v>
      </c>
      <c r="G351" s="79" t="s">
        <v>132</v>
      </c>
      <c r="H351" s="73" t="s">
        <v>133</v>
      </c>
      <c r="I351" s="71" t="s">
        <v>433</v>
      </c>
      <c r="J351" s="81" t="s">
        <v>1110</v>
      </c>
      <c r="K351" s="71" t="s">
        <v>2100</v>
      </c>
      <c r="L351" s="75" t="s">
        <v>137</v>
      </c>
      <c r="M351" s="82" t="s">
        <v>2101</v>
      </c>
      <c r="N351" s="74">
        <v>45888</v>
      </c>
      <c r="O351" s="76">
        <v>45889</v>
      </c>
      <c r="P351" s="83" t="s">
        <v>139</v>
      </c>
      <c r="Q351" s="84" t="s">
        <v>139</v>
      </c>
      <c r="R351" s="69" t="s">
        <v>140</v>
      </c>
      <c r="S351" s="72" t="s">
        <v>2102</v>
      </c>
      <c r="T351" s="79" t="s">
        <v>851</v>
      </c>
      <c r="U351" s="69" t="s">
        <v>2103</v>
      </c>
      <c r="V351" s="81" t="s">
        <v>52</v>
      </c>
      <c r="W351" s="76" t="s">
        <v>145</v>
      </c>
      <c r="X351" s="79" t="s">
        <v>851</v>
      </c>
      <c r="Y351" s="69">
        <v>1</v>
      </c>
      <c r="Z351" s="69">
        <v>1</v>
      </c>
      <c r="AA351" s="69">
        <v>1</v>
      </c>
      <c r="AB351" s="49">
        <f>IF(V351="TIPO I",'BASE DE LIQUIDACION 2025'!$B$3,'BASE DE LIQUIDACION 2025'!$B$4)</f>
        <v>11251.22416</v>
      </c>
      <c r="AC351" s="49">
        <f>IF(V351="TIPO I",'BASE DE LIQUIDACION 2025'!$C$3,'BASE DE LIQUIDACION 2025'!$C$4)</f>
        <v>126317.12212</v>
      </c>
      <c r="AD351" s="49">
        <f>IF(V351="TIPO I",'BASE DE LIQUIDACION 2025'!$D$3,'BASE DE LIQUIDACION 2025'!$D$4)</f>
        <v>57411.974240000003</v>
      </c>
      <c r="AE351" s="53">
        <f t="shared" si="7"/>
        <v>194980.32052000001</v>
      </c>
    </row>
    <row r="352" spans="1:31" s="46" customFormat="1" ht="12.75" customHeight="1">
      <c r="A352" s="69" t="s">
        <v>175</v>
      </c>
      <c r="B352" s="45" t="str">
        <f>VLOOKUP(A352,'CENTRO DE COSTOS'!A:D,4,FALSE)</f>
        <v>JUAN SEBASTIÁN RÍOS CASTRILLÓN</v>
      </c>
      <c r="C352" s="45" t="str">
        <f>VLOOKUP(A352,'CENTRO DE COSTOS'!A:D,2,FALSE)</f>
        <v>0004-0005</v>
      </c>
      <c r="D352" s="69">
        <v>5001</v>
      </c>
      <c r="E352" s="70" t="s">
        <v>2104</v>
      </c>
      <c r="F352" s="71">
        <v>81109</v>
      </c>
      <c r="G352" s="79" t="s">
        <v>132</v>
      </c>
      <c r="H352" s="73" t="s">
        <v>133</v>
      </c>
      <c r="I352" s="71" t="s">
        <v>178</v>
      </c>
      <c r="J352" s="81" t="s">
        <v>175</v>
      </c>
      <c r="K352" s="71" t="s">
        <v>2105</v>
      </c>
      <c r="L352" s="75" t="s">
        <v>137</v>
      </c>
      <c r="M352" s="82" t="s">
        <v>2106</v>
      </c>
      <c r="N352" s="74">
        <v>45888</v>
      </c>
      <c r="O352" s="76">
        <v>45889</v>
      </c>
      <c r="P352" s="83" t="s">
        <v>139</v>
      </c>
      <c r="Q352" s="84" t="s">
        <v>139</v>
      </c>
      <c r="R352" s="69" t="s">
        <v>140</v>
      </c>
      <c r="S352" s="72" t="s">
        <v>2107</v>
      </c>
      <c r="T352" s="79" t="s">
        <v>1303</v>
      </c>
      <c r="U352" s="69" t="s">
        <v>2108</v>
      </c>
      <c r="V352" s="81" t="s">
        <v>52</v>
      </c>
      <c r="W352" s="76" t="s">
        <v>145</v>
      </c>
      <c r="X352" s="79" t="s">
        <v>1303</v>
      </c>
      <c r="Y352" s="69">
        <v>1</v>
      </c>
      <c r="Z352" s="69">
        <v>1</v>
      </c>
      <c r="AA352" s="69">
        <v>1</v>
      </c>
      <c r="AB352" s="49">
        <f>IF(V352="TIPO I",'BASE DE LIQUIDACION 2025'!$B$3,'BASE DE LIQUIDACION 2025'!$B$4)</f>
        <v>11251.22416</v>
      </c>
      <c r="AC352" s="49">
        <f>IF(V352="TIPO I",'BASE DE LIQUIDACION 2025'!$C$3,'BASE DE LIQUIDACION 2025'!$C$4)</f>
        <v>126317.12212</v>
      </c>
      <c r="AD352" s="49">
        <f>IF(V352="TIPO I",'BASE DE LIQUIDACION 2025'!$D$3,'BASE DE LIQUIDACION 2025'!$D$4)</f>
        <v>57411.974240000003</v>
      </c>
      <c r="AE352" s="53">
        <f t="shared" si="7"/>
        <v>194980.32052000001</v>
      </c>
    </row>
    <row r="353" spans="1:31" s="46" customFormat="1" ht="12.75" customHeight="1">
      <c r="A353" s="69" t="s">
        <v>379</v>
      </c>
      <c r="B353" s="45" t="str">
        <f>VLOOKUP(A353,'CENTRO DE COSTOS'!A:D,4,FALSE)</f>
        <v>JOSE MAURICIO HERNANDEZ ROJAS</v>
      </c>
      <c r="C353" s="45" t="str">
        <f>VLOOKUP(A353,'CENTRO DE COSTOS'!A:D,2,FALSE)</f>
        <v>0004-0001</v>
      </c>
      <c r="D353" s="69">
        <v>5495</v>
      </c>
      <c r="E353" s="70" t="s">
        <v>2109</v>
      </c>
      <c r="F353" s="71">
        <v>81088</v>
      </c>
      <c r="G353" s="79" t="s">
        <v>132</v>
      </c>
      <c r="H353" s="73" t="s">
        <v>133</v>
      </c>
      <c r="I353" s="71" t="s">
        <v>178</v>
      </c>
      <c r="J353" s="81" t="s">
        <v>1940</v>
      </c>
      <c r="K353" s="71" t="s">
        <v>2110</v>
      </c>
      <c r="L353" s="75" t="s">
        <v>137</v>
      </c>
      <c r="M353" s="82" t="s">
        <v>2111</v>
      </c>
      <c r="N353" s="74">
        <v>45888</v>
      </c>
      <c r="O353" s="76">
        <v>45890</v>
      </c>
      <c r="P353" s="83" t="s">
        <v>139</v>
      </c>
      <c r="Q353" s="84" t="s">
        <v>139</v>
      </c>
      <c r="R353" s="69" t="s">
        <v>140</v>
      </c>
      <c r="S353" s="72" t="s">
        <v>2112</v>
      </c>
      <c r="T353" s="79" t="s">
        <v>1944</v>
      </c>
      <c r="U353" s="69" t="s">
        <v>2113</v>
      </c>
      <c r="V353" s="81" t="s">
        <v>230</v>
      </c>
      <c r="W353" s="76" t="s">
        <v>145</v>
      </c>
      <c r="X353" s="79" t="s">
        <v>1944</v>
      </c>
      <c r="Y353" s="69">
        <v>1</v>
      </c>
      <c r="Z353" s="69">
        <v>1</v>
      </c>
      <c r="AA353" s="69">
        <v>1</v>
      </c>
      <c r="AB353" s="49">
        <f>IF(V353="TIPO I",'BASE DE LIQUIDACION 2025'!$B$3,'BASE DE LIQUIDACION 2025'!$B$4)</f>
        <v>11251.22416</v>
      </c>
      <c r="AC353" s="49">
        <f>IF(V353="TIPO I",'BASE DE LIQUIDACION 2025'!$C$3,'BASE DE LIQUIDACION 2025'!$C$4)</f>
        <v>126317.12212</v>
      </c>
      <c r="AD353" s="49">
        <f>IF(V353="TIPO I",'BASE DE LIQUIDACION 2025'!$D$3,'BASE DE LIQUIDACION 2025'!$D$4)</f>
        <v>110808.27512000001</v>
      </c>
      <c r="AE353" s="53">
        <f t="shared" si="7"/>
        <v>248376.6214</v>
      </c>
    </row>
    <row r="354" spans="1:31" s="46" customFormat="1" ht="12.75" customHeight="1">
      <c r="A354" s="69" t="s">
        <v>269</v>
      </c>
      <c r="B354" s="45" t="str">
        <f>VLOOKUP(A354,'CENTRO DE COSTOS'!A:D,4,FALSE)</f>
        <v>MIGUEL JULIÁN HERNÁNDEZ GUARÍN</v>
      </c>
      <c r="C354" s="45" t="str">
        <f>VLOOKUP(A354,'CENTRO DE COSTOS'!A:D,2,FALSE)</f>
        <v>0004-0008</v>
      </c>
      <c r="D354" s="69">
        <v>68001</v>
      </c>
      <c r="E354" s="70" t="s">
        <v>2114</v>
      </c>
      <c r="F354" s="71">
        <v>81056</v>
      </c>
      <c r="G354" s="79" t="s">
        <v>132</v>
      </c>
      <c r="H354" s="73" t="s">
        <v>133</v>
      </c>
      <c r="I354" s="71" t="s">
        <v>795</v>
      </c>
      <c r="J354" s="81" t="s">
        <v>269</v>
      </c>
      <c r="K354" s="71" t="s">
        <v>2115</v>
      </c>
      <c r="L354" s="75" t="s">
        <v>137</v>
      </c>
      <c r="M354" s="82" t="s">
        <v>2116</v>
      </c>
      <c r="N354" s="74">
        <v>45888</v>
      </c>
      <c r="O354" s="76">
        <v>45889</v>
      </c>
      <c r="P354" s="83" t="s">
        <v>139</v>
      </c>
      <c r="Q354" s="84" t="s">
        <v>139</v>
      </c>
      <c r="R354" s="69" t="s">
        <v>140</v>
      </c>
      <c r="S354" s="72" t="s">
        <v>2117</v>
      </c>
      <c r="T354" s="79" t="s">
        <v>988</v>
      </c>
      <c r="U354" s="69" t="s">
        <v>2118</v>
      </c>
      <c r="V354" s="81" t="s">
        <v>52</v>
      </c>
      <c r="W354" s="76" t="s">
        <v>145</v>
      </c>
      <c r="X354" s="79" t="s">
        <v>988</v>
      </c>
      <c r="Y354" s="69">
        <v>1</v>
      </c>
      <c r="Z354" s="69">
        <v>1</v>
      </c>
      <c r="AA354" s="69">
        <v>1</v>
      </c>
      <c r="AB354" s="49">
        <f>IF(V354="TIPO I",'BASE DE LIQUIDACION 2025'!$B$3,'BASE DE LIQUIDACION 2025'!$B$4)</f>
        <v>11251.22416</v>
      </c>
      <c r="AC354" s="49">
        <f>IF(V354="TIPO I",'BASE DE LIQUIDACION 2025'!$C$3,'BASE DE LIQUIDACION 2025'!$C$4)</f>
        <v>126317.12212</v>
      </c>
      <c r="AD354" s="49">
        <f>IF(V354="TIPO I",'BASE DE LIQUIDACION 2025'!$D$3,'BASE DE LIQUIDACION 2025'!$D$4)</f>
        <v>57411.974240000003</v>
      </c>
      <c r="AE354" s="53">
        <f t="shared" si="7"/>
        <v>194980.32052000001</v>
      </c>
    </row>
    <row r="355" spans="1:31" s="46" customFormat="1" ht="12.75" customHeight="1">
      <c r="A355" s="69" t="s">
        <v>269</v>
      </c>
      <c r="B355" s="45" t="str">
        <f>VLOOKUP(A355,'CENTRO DE COSTOS'!A:D,4,FALSE)</f>
        <v>MIGUEL JULIÁN HERNÁNDEZ GUARÍN</v>
      </c>
      <c r="C355" s="45" t="str">
        <f>VLOOKUP(A355,'CENTRO DE COSTOS'!A:D,2,FALSE)</f>
        <v>0004-0008</v>
      </c>
      <c r="D355" s="69">
        <v>68895</v>
      </c>
      <c r="E355" s="70" t="s">
        <v>2119</v>
      </c>
      <c r="F355" s="71">
        <v>81111</v>
      </c>
      <c r="G355" s="79" t="s">
        <v>132</v>
      </c>
      <c r="H355" s="73" t="s">
        <v>133</v>
      </c>
      <c r="I355" s="71" t="s">
        <v>795</v>
      </c>
      <c r="J355" s="81" t="s">
        <v>1219</v>
      </c>
      <c r="K355" s="71" t="s">
        <v>2120</v>
      </c>
      <c r="L355" s="75" t="s">
        <v>137</v>
      </c>
      <c r="M355" s="82" t="s">
        <v>2121</v>
      </c>
      <c r="N355" s="74">
        <v>45888</v>
      </c>
      <c r="O355" s="76">
        <v>45889</v>
      </c>
      <c r="P355" s="83" t="s">
        <v>139</v>
      </c>
      <c r="Q355" s="84" t="s">
        <v>139</v>
      </c>
      <c r="R355" s="69" t="s">
        <v>140</v>
      </c>
      <c r="S355" s="72" t="s">
        <v>2122</v>
      </c>
      <c r="T355" s="79" t="s">
        <v>1223</v>
      </c>
      <c r="U355" s="69" t="s">
        <v>2123</v>
      </c>
      <c r="V355" s="81" t="s">
        <v>230</v>
      </c>
      <c r="W355" s="76" t="s">
        <v>145</v>
      </c>
      <c r="X355" s="79" t="s">
        <v>1223</v>
      </c>
      <c r="Y355" s="69">
        <v>1</v>
      </c>
      <c r="Z355" s="69">
        <v>1</v>
      </c>
      <c r="AA355" s="69">
        <v>1</v>
      </c>
      <c r="AB355" s="49">
        <f>IF(V355="TIPO I",'BASE DE LIQUIDACION 2025'!$B$3,'BASE DE LIQUIDACION 2025'!$B$4)</f>
        <v>11251.22416</v>
      </c>
      <c r="AC355" s="49">
        <f>IF(V355="TIPO I",'BASE DE LIQUIDACION 2025'!$C$3,'BASE DE LIQUIDACION 2025'!$C$4)</f>
        <v>126317.12212</v>
      </c>
      <c r="AD355" s="49">
        <f>IF(V355="TIPO I",'BASE DE LIQUIDACION 2025'!$D$3,'BASE DE LIQUIDACION 2025'!$D$4)</f>
        <v>110808.27512000001</v>
      </c>
      <c r="AE355" s="53">
        <f t="shared" si="7"/>
        <v>248376.6214</v>
      </c>
    </row>
    <row r="356" spans="1:31" s="46" customFormat="1" ht="12.75" customHeight="1">
      <c r="A356" s="69" t="s">
        <v>379</v>
      </c>
      <c r="B356" s="45" t="str">
        <f>VLOOKUP(A356,'CENTRO DE COSTOS'!A:D,4,FALSE)</f>
        <v>JOSE MAURICIO HERNANDEZ ROJAS</v>
      </c>
      <c r="C356" s="45" t="str">
        <f>VLOOKUP(A356,'CENTRO DE COSTOS'!A:D,2,FALSE)</f>
        <v>0004-0001</v>
      </c>
      <c r="D356" s="69">
        <v>23417</v>
      </c>
      <c r="E356" s="70" t="s">
        <v>2124</v>
      </c>
      <c r="F356" s="71">
        <v>81081</v>
      </c>
      <c r="G356" s="79" t="s">
        <v>132</v>
      </c>
      <c r="H356" s="73" t="s">
        <v>133</v>
      </c>
      <c r="I356" s="71" t="s">
        <v>381</v>
      </c>
      <c r="J356" s="81" t="s">
        <v>647</v>
      </c>
      <c r="K356" s="71" t="s">
        <v>2125</v>
      </c>
      <c r="L356" s="75" t="s">
        <v>137</v>
      </c>
      <c r="M356" s="82" t="s">
        <v>2126</v>
      </c>
      <c r="N356" s="74">
        <v>45888</v>
      </c>
      <c r="O356" s="76">
        <v>45889</v>
      </c>
      <c r="P356" s="83" t="s">
        <v>139</v>
      </c>
      <c r="Q356" s="84" t="s">
        <v>139</v>
      </c>
      <c r="R356" s="69" t="s">
        <v>140</v>
      </c>
      <c r="S356" s="72" t="s">
        <v>2127</v>
      </c>
      <c r="T356" s="79" t="s">
        <v>385</v>
      </c>
      <c r="U356" s="69" t="s">
        <v>2128</v>
      </c>
      <c r="V356" s="81" t="s">
        <v>202</v>
      </c>
      <c r="W356" s="76" t="s">
        <v>145</v>
      </c>
      <c r="X356" s="79" t="s">
        <v>385</v>
      </c>
      <c r="Y356" s="69">
        <v>1</v>
      </c>
      <c r="Z356" s="69">
        <v>1</v>
      </c>
      <c r="AA356" s="69">
        <v>1</v>
      </c>
      <c r="AB356" s="49">
        <f>IF(V356="TIPO I",'BASE DE LIQUIDACION 2025'!$B$3,'BASE DE LIQUIDACION 2025'!$B$4)</f>
        <v>11251.22416</v>
      </c>
      <c r="AC356" s="49">
        <f>IF(V356="TIPO I",'BASE DE LIQUIDACION 2025'!$C$3,'BASE DE LIQUIDACION 2025'!$C$4)</f>
        <v>126317.12212</v>
      </c>
      <c r="AD356" s="49">
        <f>IF(V356="TIPO I",'BASE DE LIQUIDACION 2025'!$D$3,'BASE DE LIQUIDACION 2025'!$D$4)</f>
        <v>110808.27512000001</v>
      </c>
      <c r="AE356" s="53">
        <f t="shared" si="7"/>
        <v>248376.6214</v>
      </c>
    </row>
    <row r="357" spans="1:31" s="46" customFormat="1" ht="12.75" customHeight="1">
      <c r="A357" s="69" t="s">
        <v>285</v>
      </c>
      <c r="B357" s="45" t="str">
        <f>VLOOKUP(A357,'CENTRO DE COSTOS'!A:D,4,FALSE)</f>
        <v>MIGUEL JULIÁN HERNÁNDEZ GUARÍN</v>
      </c>
      <c r="C357" s="45" t="str">
        <f>VLOOKUP(A357,'CENTRO DE COSTOS'!A:D,2,FALSE)</f>
        <v>0004-0008</v>
      </c>
      <c r="D357" s="69">
        <v>54001</v>
      </c>
      <c r="E357" s="70" t="s">
        <v>2129</v>
      </c>
      <c r="F357" s="71">
        <v>81071</v>
      </c>
      <c r="G357" s="79" t="s">
        <v>132</v>
      </c>
      <c r="H357" s="73" t="s">
        <v>133</v>
      </c>
      <c r="I357" s="71" t="s">
        <v>287</v>
      </c>
      <c r="J357" s="81" t="s">
        <v>285</v>
      </c>
      <c r="K357" s="71" t="s">
        <v>2130</v>
      </c>
      <c r="L357" s="75" t="s">
        <v>137</v>
      </c>
      <c r="M357" s="82" t="s">
        <v>2131</v>
      </c>
      <c r="N357" s="74">
        <v>45888</v>
      </c>
      <c r="O357" s="76">
        <v>45889</v>
      </c>
      <c r="P357" s="83" t="s">
        <v>139</v>
      </c>
      <c r="Q357" s="84" t="s">
        <v>139</v>
      </c>
      <c r="R357" s="69" t="s">
        <v>140</v>
      </c>
      <c r="S357" s="72" t="s">
        <v>2132</v>
      </c>
      <c r="T357" s="79" t="s">
        <v>358</v>
      </c>
      <c r="U357" s="69" t="s">
        <v>2133</v>
      </c>
      <c r="V357" s="81" t="s">
        <v>52</v>
      </c>
      <c r="W357" s="76" t="s">
        <v>145</v>
      </c>
      <c r="X357" s="79" t="s">
        <v>358</v>
      </c>
      <c r="Y357" s="69">
        <v>1</v>
      </c>
      <c r="Z357" s="69">
        <v>1</v>
      </c>
      <c r="AA357" s="69">
        <v>1</v>
      </c>
      <c r="AB357" s="49">
        <f>IF(V357="TIPO I",'BASE DE LIQUIDACION 2025'!$B$3,'BASE DE LIQUIDACION 2025'!$B$4)</f>
        <v>11251.22416</v>
      </c>
      <c r="AC357" s="49">
        <f>IF(V357="TIPO I",'BASE DE LIQUIDACION 2025'!$C$3,'BASE DE LIQUIDACION 2025'!$C$4)</f>
        <v>126317.12212</v>
      </c>
      <c r="AD357" s="49">
        <f>IF(V357="TIPO I",'BASE DE LIQUIDACION 2025'!$D$3,'BASE DE LIQUIDACION 2025'!$D$4)</f>
        <v>57411.974240000003</v>
      </c>
      <c r="AE357" s="53">
        <f t="shared" si="7"/>
        <v>194980.32052000001</v>
      </c>
    </row>
    <row r="358" spans="1:31" s="46" customFormat="1" ht="12.75" customHeight="1">
      <c r="A358" s="69" t="s">
        <v>220</v>
      </c>
      <c r="B358" s="45" t="str">
        <f>VLOOKUP(A358,'CENTRO DE COSTOS'!A:D,4,FALSE)</f>
        <v>DIEGO FERNANDO HENAO CARDONA</v>
      </c>
      <c r="C358" s="45" t="str">
        <f>VLOOKUP(A358,'CENTRO DE COSTOS'!A:D,2,FALSE)</f>
        <v>0004-0003</v>
      </c>
      <c r="D358" s="69">
        <v>76364</v>
      </c>
      <c r="E358" s="70" t="s">
        <v>2134</v>
      </c>
      <c r="F358" s="71">
        <v>81079</v>
      </c>
      <c r="G358" s="79" t="s">
        <v>132</v>
      </c>
      <c r="H358" s="73" t="s">
        <v>133</v>
      </c>
      <c r="I358" s="71" t="s">
        <v>420</v>
      </c>
      <c r="J358" s="81" t="s">
        <v>2135</v>
      </c>
      <c r="K358" s="71" t="s">
        <v>2136</v>
      </c>
      <c r="L358" s="75" t="s">
        <v>137</v>
      </c>
      <c r="M358" s="82" t="s">
        <v>2137</v>
      </c>
      <c r="N358" s="74">
        <v>45888</v>
      </c>
      <c r="O358" s="76">
        <v>45889</v>
      </c>
      <c r="P358" s="83" t="s">
        <v>139</v>
      </c>
      <c r="Q358" s="84" t="s">
        <v>139</v>
      </c>
      <c r="R358" s="69" t="s">
        <v>140</v>
      </c>
      <c r="S358" s="72" t="s">
        <v>2138</v>
      </c>
      <c r="T358" s="79" t="s">
        <v>702</v>
      </c>
      <c r="U358" s="69" t="s">
        <v>2139</v>
      </c>
      <c r="V358" s="81" t="s">
        <v>202</v>
      </c>
      <c r="W358" s="76" t="s">
        <v>145</v>
      </c>
      <c r="X358" s="79" t="s">
        <v>702</v>
      </c>
      <c r="Y358" s="69">
        <v>1</v>
      </c>
      <c r="Z358" s="69">
        <v>1</v>
      </c>
      <c r="AA358" s="69">
        <v>1</v>
      </c>
      <c r="AB358" s="49">
        <f>IF(V358="TIPO I",'BASE DE LIQUIDACION 2025'!$B$3,'BASE DE LIQUIDACION 2025'!$B$4)</f>
        <v>11251.22416</v>
      </c>
      <c r="AC358" s="49">
        <f>IF(V358="TIPO I",'BASE DE LIQUIDACION 2025'!$C$3,'BASE DE LIQUIDACION 2025'!$C$4)</f>
        <v>126317.12212</v>
      </c>
      <c r="AD358" s="49">
        <f>IF(V358="TIPO I",'BASE DE LIQUIDACION 2025'!$D$3,'BASE DE LIQUIDACION 2025'!$D$4)</f>
        <v>110808.27512000001</v>
      </c>
      <c r="AE358" s="53">
        <f t="shared" si="7"/>
        <v>248376.6214</v>
      </c>
    </row>
    <row r="359" spans="1:31" s="46" customFormat="1" ht="12.75" customHeight="1">
      <c r="A359" s="69" t="s">
        <v>220</v>
      </c>
      <c r="B359" s="45" t="str">
        <f>VLOOKUP(A359,'CENTRO DE COSTOS'!A:D,4,FALSE)</f>
        <v>DIEGO FERNANDO HENAO CARDONA</v>
      </c>
      <c r="C359" s="45" t="str">
        <f>VLOOKUP(A359,'CENTRO DE COSTOS'!A:D,2,FALSE)</f>
        <v>0004-0003</v>
      </c>
      <c r="D359" s="69">
        <v>19001</v>
      </c>
      <c r="E359" s="70" t="s">
        <v>2140</v>
      </c>
      <c r="F359" s="71">
        <v>81093</v>
      </c>
      <c r="G359" s="79" t="s">
        <v>132</v>
      </c>
      <c r="H359" s="73" t="s">
        <v>133</v>
      </c>
      <c r="I359" s="71" t="s">
        <v>223</v>
      </c>
      <c r="J359" s="81" t="s">
        <v>1344</v>
      </c>
      <c r="K359" s="71" t="s">
        <v>2141</v>
      </c>
      <c r="L359" s="75" t="s">
        <v>137</v>
      </c>
      <c r="M359" s="82" t="s">
        <v>2142</v>
      </c>
      <c r="N359" s="74">
        <v>45888</v>
      </c>
      <c r="O359" s="76">
        <v>45889</v>
      </c>
      <c r="P359" s="83" t="s">
        <v>139</v>
      </c>
      <c r="Q359" s="84" t="s">
        <v>139</v>
      </c>
      <c r="R359" s="69" t="s">
        <v>140</v>
      </c>
      <c r="S359" s="72" t="s">
        <v>2143</v>
      </c>
      <c r="T359" s="79" t="s">
        <v>299</v>
      </c>
      <c r="U359" s="69" t="s">
        <v>2144</v>
      </c>
      <c r="V359" s="81" t="s">
        <v>230</v>
      </c>
      <c r="W359" s="76" t="s">
        <v>145</v>
      </c>
      <c r="X359" s="79" t="s">
        <v>299</v>
      </c>
      <c r="Y359" s="69">
        <v>1</v>
      </c>
      <c r="Z359" s="69">
        <v>1</v>
      </c>
      <c r="AA359" s="69">
        <v>1</v>
      </c>
      <c r="AB359" s="49">
        <f>IF(V359="TIPO I",'BASE DE LIQUIDACION 2025'!$B$3,'BASE DE LIQUIDACION 2025'!$B$4)</f>
        <v>11251.22416</v>
      </c>
      <c r="AC359" s="49">
        <f>IF(V359="TIPO I",'BASE DE LIQUIDACION 2025'!$C$3,'BASE DE LIQUIDACION 2025'!$C$4)</f>
        <v>126317.12212</v>
      </c>
      <c r="AD359" s="49">
        <f>IF(V359="TIPO I",'BASE DE LIQUIDACION 2025'!$D$3,'BASE DE LIQUIDACION 2025'!$D$4)</f>
        <v>110808.27512000001</v>
      </c>
      <c r="AE359" s="53">
        <f t="shared" si="7"/>
        <v>248376.6214</v>
      </c>
    </row>
    <row r="360" spans="1:31" s="46" customFormat="1" ht="12.75" customHeight="1">
      <c r="A360" s="69" t="s">
        <v>220</v>
      </c>
      <c r="B360" s="45" t="str">
        <f>VLOOKUP(A360,'CENTRO DE COSTOS'!A:D,4,FALSE)</f>
        <v>DIEGO FERNANDO HENAO CARDONA</v>
      </c>
      <c r="C360" s="45" t="str">
        <f>VLOOKUP(A360,'CENTRO DE COSTOS'!A:D,2,FALSE)</f>
        <v>0004-0003</v>
      </c>
      <c r="D360" s="69">
        <v>76001</v>
      </c>
      <c r="E360" s="70" t="s">
        <v>2145</v>
      </c>
      <c r="F360" s="71">
        <v>81062</v>
      </c>
      <c r="G360" s="79" t="s">
        <v>132</v>
      </c>
      <c r="H360" s="73" t="s">
        <v>133</v>
      </c>
      <c r="I360" s="71" t="s">
        <v>420</v>
      </c>
      <c r="J360" s="81" t="s">
        <v>220</v>
      </c>
      <c r="K360" s="71" t="s">
        <v>2146</v>
      </c>
      <c r="L360" s="75" t="s">
        <v>137</v>
      </c>
      <c r="M360" s="82" t="s">
        <v>2147</v>
      </c>
      <c r="N360" s="74">
        <v>45888</v>
      </c>
      <c r="O360" s="76">
        <v>45889</v>
      </c>
      <c r="P360" s="83" t="s">
        <v>139</v>
      </c>
      <c r="Q360" s="84" t="s">
        <v>139</v>
      </c>
      <c r="R360" s="69" t="s">
        <v>140</v>
      </c>
      <c r="S360" s="72" t="s">
        <v>2148</v>
      </c>
      <c r="T360" s="79" t="s">
        <v>477</v>
      </c>
      <c r="U360" s="69" t="s">
        <v>2149</v>
      </c>
      <c r="V360" s="81" t="s">
        <v>52</v>
      </c>
      <c r="W360" s="76" t="s">
        <v>145</v>
      </c>
      <c r="X360" s="79" t="s">
        <v>477</v>
      </c>
      <c r="Y360" s="69">
        <v>1</v>
      </c>
      <c r="Z360" s="69">
        <v>1</v>
      </c>
      <c r="AA360" s="69">
        <v>1</v>
      </c>
      <c r="AB360" s="49">
        <f>IF(V360="TIPO I",'BASE DE LIQUIDACION 2025'!$B$3,'BASE DE LIQUIDACION 2025'!$B$4)</f>
        <v>11251.22416</v>
      </c>
      <c r="AC360" s="49">
        <f>IF(V360="TIPO I",'BASE DE LIQUIDACION 2025'!$C$3,'BASE DE LIQUIDACION 2025'!$C$4)</f>
        <v>126317.12212</v>
      </c>
      <c r="AD360" s="49">
        <f>IF(V360="TIPO I",'BASE DE LIQUIDACION 2025'!$D$3,'BASE DE LIQUIDACION 2025'!$D$4)</f>
        <v>57411.974240000003</v>
      </c>
      <c r="AE360" s="53">
        <f t="shared" si="7"/>
        <v>194980.32052000001</v>
      </c>
    </row>
    <row r="361" spans="1:31" s="46" customFormat="1" ht="12.75" customHeight="1">
      <c r="A361" s="69" t="s">
        <v>453</v>
      </c>
      <c r="B361" s="45" t="str">
        <f>VLOOKUP(A361,'CENTRO DE COSTOS'!A:D,4,FALSE)</f>
        <v>DIEGO FERNANDO HENAO CARDONA</v>
      </c>
      <c r="C361" s="45" t="str">
        <f>VLOOKUP(A361,'CENTRO DE COSTOS'!A:D,2,FALSE)</f>
        <v>0004-0002</v>
      </c>
      <c r="D361" s="69">
        <v>63130</v>
      </c>
      <c r="E361" s="70" t="s">
        <v>2150</v>
      </c>
      <c r="F361" s="71">
        <v>81059</v>
      </c>
      <c r="G361" s="79" t="s">
        <v>132</v>
      </c>
      <c r="H361" s="73" t="s">
        <v>133</v>
      </c>
      <c r="I361" s="71" t="s">
        <v>554</v>
      </c>
      <c r="J361" s="81" t="s">
        <v>2151</v>
      </c>
      <c r="K361" s="71" t="s">
        <v>2152</v>
      </c>
      <c r="L361" s="75" t="s">
        <v>137</v>
      </c>
      <c r="M361" s="82" t="s">
        <v>2153</v>
      </c>
      <c r="N361" s="74">
        <v>45888</v>
      </c>
      <c r="O361" s="76">
        <v>45890</v>
      </c>
      <c r="P361" s="83" t="s">
        <v>139</v>
      </c>
      <c r="Q361" s="84" t="s">
        <v>139</v>
      </c>
      <c r="R361" s="69" t="s">
        <v>140</v>
      </c>
      <c r="S361" s="72" t="s">
        <v>2154</v>
      </c>
      <c r="T361" s="79" t="s">
        <v>559</v>
      </c>
      <c r="U361" s="69" t="s">
        <v>2155</v>
      </c>
      <c r="V361" s="81" t="s">
        <v>202</v>
      </c>
      <c r="W361" s="76" t="s">
        <v>145</v>
      </c>
      <c r="X361" s="79" t="s">
        <v>559</v>
      </c>
      <c r="Y361" s="69">
        <v>1</v>
      </c>
      <c r="Z361" s="69">
        <v>1</v>
      </c>
      <c r="AA361" s="69">
        <v>1</v>
      </c>
      <c r="AB361" s="49">
        <f>IF(V361="TIPO I",'BASE DE LIQUIDACION 2025'!$B$3,'BASE DE LIQUIDACION 2025'!$B$4)</f>
        <v>11251.22416</v>
      </c>
      <c r="AC361" s="49">
        <f>IF(V361="TIPO I",'BASE DE LIQUIDACION 2025'!$C$3,'BASE DE LIQUIDACION 2025'!$C$4)</f>
        <v>126317.12212</v>
      </c>
      <c r="AD361" s="49">
        <f>IF(V361="TIPO I",'BASE DE LIQUIDACION 2025'!$D$3,'BASE DE LIQUIDACION 2025'!$D$4)</f>
        <v>110808.27512000001</v>
      </c>
      <c r="AE361" s="53">
        <f t="shared" si="7"/>
        <v>248376.6214</v>
      </c>
    </row>
    <row r="362" spans="1:31" s="46" customFormat="1" ht="12.75" customHeight="1">
      <c r="A362" s="69" t="s">
        <v>431</v>
      </c>
      <c r="B362" s="45" t="str">
        <f>VLOOKUP(A362,'CENTRO DE COSTOS'!A:D,4,FALSE)</f>
        <v>WILLIAM ASDRUBAL ROZO ROZO</v>
      </c>
      <c r="C362" s="45" t="str">
        <f>VLOOKUP(A362,'CENTRO DE COSTOS'!A:D,2,FALSE)</f>
        <v>0004-0004</v>
      </c>
      <c r="D362" s="69">
        <v>25740</v>
      </c>
      <c r="E362" s="70" t="s">
        <v>2156</v>
      </c>
      <c r="F362" s="71">
        <v>81099</v>
      </c>
      <c r="G362" s="79" t="s">
        <v>132</v>
      </c>
      <c r="H362" s="73" t="s">
        <v>133</v>
      </c>
      <c r="I362" s="71" t="s">
        <v>433</v>
      </c>
      <c r="J362" s="81" t="s">
        <v>2157</v>
      </c>
      <c r="K362" s="71" t="s">
        <v>2158</v>
      </c>
      <c r="L362" s="75" t="s">
        <v>137</v>
      </c>
      <c r="M362" s="82" t="s">
        <v>2159</v>
      </c>
      <c r="N362" s="74">
        <v>45888</v>
      </c>
      <c r="O362" s="76">
        <v>45890</v>
      </c>
      <c r="P362" s="83" t="s">
        <v>139</v>
      </c>
      <c r="Q362" s="84" t="s">
        <v>139</v>
      </c>
      <c r="R362" s="69" t="s">
        <v>140</v>
      </c>
      <c r="S362" s="72" t="s">
        <v>2160</v>
      </c>
      <c r="T362" s="79" t="s">
        <v>551</v>
      </c>
      <c r="U362" s="69" t="s">
        <v>2161</v>
      </c>
      <c r="V362" s="81" t="s">
        <v>202</v>
      </c>
      <c r="W362" s="76" t="s">
        <v>145</v>
      </c>
      <c r="X362" s="79" t="s">
        <v>551</v>
      </c>
      <c r="Y362" s="69">
        <v>1</v>
      </c>
      <c r="Z362" s="69">
        <v>1</v>
      </c>
      <c r="AA362" s="69">
        <v>1</v>
      </c>
      <c r="AB362" s="49">
        <f>IF(V362="TIPO I",'BASE DE LIQUIDACION 2025'!$B$3,'BASE DE LIQUIDACION 2025'!$B$4)</f>
        <v>11251.22416</v>
      </c>
      <c r="AC362" s="49">
        <f>IF(V362="TIPO I",'BASE DE LIQUIDACION 2025'!$C$3,'BASE DE LIQUIDACION 2025'!$C$4)</f>
        <v>126317.12212</v>
      </c>
      <c r="AD362" s="49">
        <f>IF(V362="TIPO I",'BASE DE LIQUIDACION 2025'!$D$3,'BASE DE LIQUIDACION 2025'!$D$4)</f>
        <v>110808.27512000001</v>
      </c>
      <c r="AE362" s="53">
        <f t="shared" si="7"/>
        <v>248376.6214</v>
      </c>
    </row>
    <row r="363" spans="1:31" s="46" customFormat="1" ht="12.75" customHeight="1">
      <c r="A363" s="69" t="s">
        <v>175</v>
      </c>
      <c r="B363" s="45" t="str">
        <f>VLOOKUP(A363,'CENTRO DE COSTOS'!A:D,4,FALSE)</f>
        <v>JUAN SEBASTIÁN RÍOS CASTRILLÓN</v>
      </c>
      <c r="C363" s="45" t="str">
        <f>VLOOKUP(A363,'CENTRO DE COSTOS'!A:D,2,FALSE)</f>
        <v>0004-0005</v>
      </c>
      <c r="D363" s="69">
        <v>5579</v>
      </c>
      <c r="E363" s="70" t="s">
        <v>2162</v>
      </c>
      <c r="F363" s="71">
        <v>81068</v>
      </c>
      <c r="G363" s="79" t="s">
        <v>132</v>
      </c>
      <c r="H363" s="73" t="s">
        <v>133</v>
      </c>
      <c r="I363" s="71" t="s">
        <v>178</v>
      </c>
      <c r="J363" s="81" t="s">
        <v>2163</v>
      </c>
      <c r="K363" s="71" t="s">
        <v>2164</v>
      </c>
      <c r="L363" s="75" t="s">
        <v>137</v>
      </c>
      <c r="M363" s="82" t="s">
        <v>2165</v>
      </c>
      <c r="N363" s="74">
        <v>45888</v>
      </c>
      <c r="O363" s="76">
        <v>45890</v>
      </c>
      <c r="P363" s="83" t="s">
        <v>139</v>
      </c>
      <c r="Q363" s="84" t="s">
        <v>139</v>
      </c>
      <c r="R363" s="69" t="s">
        <v>140</v>
      </c>
      <c r="S363" s="72" t="s">
        <v>2166</v>
      </c>
      <c r="T363" s="79" t="s">
        <v>184</v>
      </c>
      <c r="U363" s="69" t="s">
        <v>2167</v>
      </c>
      <c r="V363" s="81" t="s">
        <v>230</v>
      </c>
      <c r="W363" s="76" t="s">
        <v>145</v>
      </c>
      <c r="X363" s="79" t="s">
        <v>184</v>
      </c>
      <c r="Y363" s="69">
        <v>1</v>
      </c>
      <c r="Z363" s="69">
        <v>1</v>
      </c>
      <c r="AA363" s="69">
        <v>1</v>
      </c>
      <c r="AB363" s="49">
        <f>IF(V363="TIPO I",'BASE DE LIQUIDACION 2025'!$B$3,'BASE DE LIQUIDACION 2025'!$B$4)</f>
        <v>11251.22416</v>
      </c>
      <c r="AC363" s="49">
        <f>IF(V363="TIPO I",'BASE DE LIQUIDACION 2025'!$C$3,'BASE DE LIQUIDACION 2025'!$C$4)</f>
        <v>126317.12212</v>
      </c>
      <c r="AD363" s="49">
        <f>IF(V363="TIPO I",'BASE DE LIQUIDACION 2025'!$D$3,'BASE DE LIQUIDACION 2025'!$D$4)</f>
        <v>110808.27512000001</v>
      </c>
      <c r="AE363" s="53">
        <f t="shared" si="7"/>
        <v>248376.6214</v>
      </c>
    </row>
    <row r="364" spans="1:31" s="46" customFormat="1" ht="12.75" customHeight="1">
      <c r="A364" s="69" t="s">
        <v>431</v>
      </c>
      <c r="B364" s="45" t="str">
        <f>VLOOKUP(A364,'CENTRO DE COSTOS'!A:D,4,FALSE)</f>
        <v>WILLIAM ASDRUBAL ROZO ROZO</v>
      </c>
      <c r="C364" s="45" t="str">
        <f>VLOOKUP(A364,'CENTRO DE COSTOS'!A:D,2,FALSE)</f>
        <v>0004-0004</v>
      </c>
      <c r="D364" s="69">
        <v>25473</v>
      </c>
      <c r="E364" s="70" t="s">
        <v>2168</v>
      </c>
      <c r="F364" s="71">
        <v>80951</v>
      </c>
      <c r="G364" s="79" t="s">
        <v>132</v>
      </c>
      <c r="H364" s="73" t="s">
        <v>1218</v>
      </c>
      <c r="I364" s="71" t="s">
        <v>433</v>
      </c>
      <c r="J364" s="81" t="s">
        <v>2169</v>
      </c>
      <c r="K364" s="71" t="s">
        <v>2170</v>
      </c>
      <c r="L364" s="75" t="s">
        <v>137</v>
      </c>
      <c r="M364" s="82" t="s">
        <v>2171</v>
      </c>
      <c r="N364" s="74">
        <v>45888</v>
      </c>
      <c r="O364" s="76">
        <v>45889</v>
      </c>
      <c r="P364" s="83" t="s">
        <v>139</v>
      </c>
      <c r="Q364" s="84" t="s">
        <v>139</v>
      </c>
      <c r="R364" s="69" t="s">
        <v>140</v>
      </c>
      <c r="S364" s="72" t="s">
        <v>2172</v>
      </c>
      <c r="T364" s="79" t="s">
        <v>2097</v>
      </c>
      <c r="U364" s="69" t="s">
        <v>2173</v>
      </c>
      <c r="V364" s="81" t="s">
        <v>52</v>
      </c>
      <c r="W364" s="76" t="s">
        <v>145</v>
      </c>
      <c r="X364" s="79" t="s">
        <v>2097</v>
      </c>
      <c r="Y364" s="69">
        <v>1</v>
      </c>
      <c r="Z364" s="69">
        <v>1</v>
      </c>
      <c r="AA364" s="69">
        <v>1</v>
      </c>
      <c r="AB364" s="49">
        <f>IF(V364="TIPO I",'BASE DE LIQUIDACION 2025'!$B$3,'BASE DE LIQUIDACION 2025'!$B$4)</f>
        <v>11251.22416</v>
      </c>
      <c r="AC364" s="49">
        <f>IF(V364="TIPO I",'BASE DE LIQUIDACION 2025'!$C$3,'BASE DE LIQUIDACION 2025'!$C$4)</f>
        <v>126317.12212</v>
      </c>
      <c r="AD364" s="49">
        <f>IF(V364="TIPO I",'BASE DE LIQUIDACION 2025'!$D$3,'BASE DE LIQUIDACION 2025'!$D$4)</f>
        <v>57411.974240000003</v>
      </c>
      <c r="AE364" s="53">
        <f t="shared" si="7"/>
        <v>194980.32052000001</v>
      </c>
    </row>
    <row r="365" spans="1:31" s="46" customFormat="1" ht="12.75" customHeight="1">
      <c r="A365" s="69" t="s">
        <v>301</v>
      </c>
      <c r="B365" s="45" t="str">
        <f>VLOOKUP(A365,'CENTRO DE COSTOS'!A:D,4,FALSE)</f>
        <v>JOSE MAURICIO HERNANDEZ ROJAS</v>
      </c>
      <c r="C365" s="45" t="str">
        <f>VLOOKUP(A365,'CENTRO DE COSTOS'!A:D,2,FALSE)</f>
        <v>0004-0001</v>
      </c>
      <c r="D365" s="69">
        <v>13654</v>
      </c>
      <c r="E365" s="70" t="s">
        <v>2174</v>
      </c>
      <c r="F365" s="71">
        <v>80965</v>
      </c>
      <c r="G365" s="79" t="s">
        <v>132</v>
      </c>
      <c r="H365" s="73" t="s">
        <v>1218</v>
      </c>
      <c r="I365" s="71" t="s">
        <v>271</v>
      </c>
      <c r="J365" s="81" t="s">
        <v>2175</v>
      </c>
      <c r="K365" s="71" t="s">
        <v>2176</v>
      </c>
      <c r="L365" s="75" t="s">
        <v>137</v>
      </c>
      <c r="M365" s="82" t="s">
        <v>2177</v>
      </c>
      <c r="N365" s="74">
        <v>45888</v>
      </c>
      <c r="O365" s="76">
        <v>45889</v>
      </c>
      <c r="P365" s="83" t="s">
        <v>139</v>
      </c>
      <c r="Q365" s="84" t="s">
        <v>139</v>
      </c>
      <c r="R365" s="69" t="s">
        <v>140</v>
      </c>
      <c r="S365" s="72" t="s">
        <v>2178</v>
      </c>
      <c r="T365" s="79" t="s">
        <v>307</v>
      </c>
      <c r="U365" s="69" t="s">
        <v>2179</v>
      </c>
      <c r="V365" s="81" t="s">
        <v>230</v>
      </c>
      <c r="W365" s="76" t="s">
        <v>145</v>
      </c>
      <c r="X365" s="79" t="s">
        <v>307</v>
      </c>
      <c r="Y365" s="69">
        <v>1</v>
      </c>
      <c r="Z365" s="69">
        <v>1</v>
      </c>
      <c r="AA365" s="69">
        <v>1</v>
      </c>
      <c r="AB365" s="49">
        <f>IF(V365="TIPO I",'BASE DE LIQUIDACION 2025'!$B$3,'BASE DE LIQUIDACION 2025'!$B$4)</f>
        <v>11251.22416</v>
      </c>
      <c r="AC365" s="49">
        <f>IF(V365="TIPO I",'BASE DE LIQUIDACION 2025'!$C$3,'BASE DE LIQUIDACION 2025'!$C$4)</f>
        <v>126317.12212</v>
      </c>
      <c r="AD365" s="49">
        <f>IF(V365="TIPO I",'BASE DE LIQUIDACION 2025'!$D$3,'BASE DE LIQUIDACION 2025'!$D$4)</f>
        <v>110808.27512000001</v>
      </c>
      <c r="AE365" s="53">
        <f t="shared" si="7"/>
        <v>248376.6214</v>
      </c>
    </row>
    <row r="366" spans="1:31" s="46" customFormat="1" ht="12.75" customHeight="1">
      <c r="A366" s="69" t="s">
        <v>608</v>
      </c>
      <c r="B366" s="45" t="str">
        <f>VLOOKUP(A366,'CENTRO DE COSTOS'!A:D,4,FALSE)</f>
        <v>JUAN SEBASTIÁN RÍOS CASTRILLÓN</v>
      </c>
      <c r="C366" s="45" t="str">
        <f>VLOOKUP(A366,'CENTRO DE COSTOS'!A:D,2,FALSE)</f>
        <v>0004-0005</v>
      </c>
      <c r="D366" s="69">
        <v>27413</v>
      </c>
      <c r="E366" s="70" t="s">
        <v>2180</v>
      </c>
      <c r="F366" s="71">
        <v>80973</v>
      </c>
      <c r="G366" s="79" t="s">
        <v>132</v>
      </c>
      <c r="H366" s="73" t="s">
        <v>1218</v>
      </c>
      <c r="I366" s="71" t="s">
        <v>1362</v>
      </c>
      <c r="J366" s="81" t="s">
        <v>2181</v>
      </c>
      <c r="K366" s="71" t="s">
        <v>2182</v>
      </c>
      <c r="L366" s="75" t="s">
        <v>137</v>
      </c>
      <c r="M366" s="82" t="s">
        <v>2183</v>
      </c>
      <c r="N366" s="74">
        <v>45888</v>
      </c>
      <c r="O366" s="76">
        <v>45896</v>
      </c>
      <c r="P366" s="83" t="s">
        <v>139</v>
      </c>
      <c r="Q366" s="84" t="s">
        <v>139</v>
      </c>
      <c r="R366" s="69" t="s">
        <v>140</v>
      </c>
      <c r="S366" s="72" t="s">
        <v>2184</v>
      </c>
      <c r="T366" s="79" t="s">
        <v>1367</v>
      </c>
      <c r="U366" s="69" t="s">
        <v>2185</v>
      </c>
      <c r="V366" s="81" t="s">
        <v>144</v>
      </c>
      <c r="W366" s="76" t="s">
        <v>145</v>
      </c>
      <c r="X366" s="79" t="s">
        <v>1367</v>
      </c>
      <c r="Y366" s="69">
        <v>1</v>
      </c>
      <c r="Z366" s="69">
        <v>1</v>
      </c>
      <c r="AA366" s="69">
        <v>1</v>
      </c>
      <c r="AB366" s="49">
        <f>IF(V366="TIPO I",'BASE DE LIQUIDACION 2025'!$B$3,'BASE DE LIQUIDACION 2025'!$B$4)</f>
        <v>11251.22416</v>
      </c>
      <c r="AC366" s="49">
        <f>IF(V366="TIPO I",'BASE DE LIQUIDACION 2025'!$C$3,'BASE DE LIQUIDACION 2025'!$C$4)</f>
        <v>126317.12212</v>
      </c>
      <c r="AD366" s="49">
        <f>IF(V366="TIPO I",'BASE DE LIQUIDACION 2025'!$D$3,'BASE DE LIQUIDACION 2025'!$D$4)</f>
        <v>110808.27512000001</v>
      </c>
      <c r="AE366" s="53">
        <f t="shared" si="7"/>
        <v>248376.6214</v>
      </c>
    </row>
    <row r="367" spans="1:31" s="46" customFormat="1" ht="12.75" customHeight="1">
      <c r="A367" s="69" t="s">
        <v>608</v>
      </c>
      <c r="B367" s="45" t="str">
        <f>VLOOKUP(A367,'CENTRO DE COSTOS'!A:D,4,FALSE)</f>
        <v>JUAN SEBASTIÁN RÍOS CASTRILLÓN</v>
      </c>
      <c r="C367" s="45" t="str">
        <f>VLOOKUP(A367,'CENTRO DE COSTOS'!A:D,2,FALSE)</f>
        <v>0004-0005</v>
      </c>
      <c r="D367" s="69">
        <v>5490</v>
      </c>
      <c r="E367" s="70" t="s">
        <v>2186</v>
      </c>
      <c r="F367" s="71">
        <v>81113</v>
      </c>
      <c r="G367" s="79" t="s">
        <v>132</v>
      </c>
      <c r="H367" s="73" t="s">
        <v>177</v>
      </c>
      <c r="I367" s="71" t="s">
        <v>178</v>
      </c>
      <c r="J367" s="81" t="s">
        <v>610</v>
      </c>
      <c r="K367" s="71" t="s">
        <v>2187</v>
      </c>
      <c r="L367" s="75" t="s">
        <v>137</v>
      </c>
      <c r="M367" s="82" t="s">
        <v>2188</v>
      </c>
      <c r="N367" s="74">
        <v>45890</v>
      </c>
      <c r="O367" s="76">
        <v>45894</v>
      </c>
      <c r="P367" s="83" t="s">
        <v>181</v>
      </c>
      <c r="Q367" s="84" t="s">
        <v>182</v>
      </c>
      <c r="R367" s="69" t="s">
        <v>140</v>
      </c>
      <c r="S367" s="72" t="s">
        <v>2189</v>
      </c>
      <c r="T367" s="79" t="s">
        <v>385</v>
      </c>
      <c r="U367" s="69" t="s">
        <v>2190</v>
      </c>
      <c r="V367" s="81" t="s">
        <v>202</v>
      </c>
      <c r="W367" s="76" t="s">
        <v>145</v>
      </c>
      <c r="X367" s="79" t="s">
        <v>385</v>
      </c>
      <c r="Y367" s="69">
        <v>1</v>
      </c>
      <c r="Z367" s="69">
        <v>1</v>
      </c>
      <c r="AA367" s="69">
        <v>1</v>
      </c>
      <c r="AB367" s="49">
        <f>IF(V367="TIPO I",'BASE DE LIQUIDACION 2025'!$B$3,'BASE DE LIQUIDACION 2025'!$B$4)</f>
        <v>11251.22416</v>
      </c>
      <c r="AC367" s="49">
        <f>IF(V367="TIPO I",'BASE DE LIQUIDACION 2025'!$C$3,'BASE DE LIQUIDACION 2025'!$C$4)</f>
        <v>126317.12212</v>
      </c>
      <c r="AD367" s="49">
        <f>IF(V367="TIPO I",'BASE DE LIQUIDACION 2025'!$D$3,'BASE DE LIQUIDACION 2025'!$D$4)</f>
        <v>110808.27512000001</v>
      </c>
      <c r="AE367" s="53">
        <f t="shared" si="7"/>
        <v>248376.6214</v>
      </c>
    </row>
    <row r="368" spans="1:31" s="46" customFormat="1" ht="12.75" customHeight="1">
      <c r="A368" s="69" t="s">
        <v>175</v>
      </c>
      <c r="B368" s="45" t="str">
        <f>VLOOKUP(A368,'CENTRO DE COSTOS'!A:D,4,FALSE)</f>
        <v>JUAN SEBASTIÁN RÍOS CASTRILLÓN</v>
      </c>
      <c r="C368" s="45" t="str">
        <f>VLOOKUP(A368,'CENTRO DE COSTOS'!A:D,2,FALSE)</f>
        <v>0004-0005</v>
      </c>
      <c r="D368" s="69">
        <v>5790</v>
      </c>
      <c r="E368" s="70" t="s">
        <v>2191</v>
      </c>
      <c r="F368" s="71">
        <v>81116</v>
      </c>
      <c r="G368" s="79" t="s">
        <v>132</v>
      </c>
      <c r="H368" s="73" t="s">
        <v>177</v>
      </c>
      <c r="I368" s="71" t="s">
        <v>178</v>
      </c>
      <c r="J368" s="81" t="s">
        <v>1491</v>
      </c>
      <c r="K368" s="71" t="s">
        <v>2192</v>
      </c>
      <c r="L368" s="75" t="s">
        <v>137</v>
      </c>
      <c r="M368" s="82" t="s">
        <v>2193</v>
      </c>
      <c r="N368" s="74">
        <v>45890</v>
      </c>
      <c r="O368" s="76">
        <v>45895</v>
      </c>
      <c r="P368" s="83" t="s">
        <v>181</v>
      </c>
      <c r="Q368" s="84" t="s">
        <v>182</v>
      </c>
      <c r="R368" s="69" t="s">
        <v>549</v>
      </c>
      <c r="S368" s="72" t="s">
        <v>2194</v>
      </c>
      <c r="T368" s="79" t="s">
        <v>189</v>
      </c>
      <c r="U368" s="69" t="s">
        <v>2195</v>
      </c>
      <c r="V368" s="81" t="s">
        <v>144</v>
      </c>
      <c r="W368" s="76" t="s">
        <v>145</v>
      </c>
      <c r="X368" s="79" t="s">
        <v>189</v>
      </c>
      <c r="Y368" s="69">
        <v>0</v>
      </c>
      <c r="Z368" s="69">
        <v>0</v>
      </c>
      <c r="AA368" s="69">
        <v>2</v>
      </c>
      <c r="AB368" s="49">
        <f>IF(V368="TIPO I",'BASE DE LIQUIDACION 2025'!$B$3,'BASE DE LIQUIDACION 2025'!$B$4)</f>
        <v>11251.22416</v>
      </c>
      <c r="AC368" s="49">
        <f>IF(V368="TIPO I",'BASE DE LIQUIDACION 2025'!$C$3,'BASE DE LIQUIDACION 2025'!$C$4)</f>
        <v>126317.12212</v>
      </c>
      <c r="AD368" s="49">
        <f>IF(V368="TIPO I",'BASE DE LIQUIDACION 2025'!$D$3,'BASE DE LIQUIDACION 2025'!$D$4)</f>
        <v>110808.27512000001</v>
      </c>
      <c r="AE368" s="53">
        <f t="shared" si="7"/>
        <v>221616.55024000001</v>
      </c>
    </row>
    <row r="369" spans="1:31" s="46" customFormat="1" ht="12.75" customHeight="1">
      <c r="A369" s="69" t="s">
        <v>175</v>
      </c>
      <c r="B369" s="45" t="str">
        <f>VLOOKUP(A369,'CENTRO DE COSTOS'!A:D,4,FALSE)</f>
        <v>JUAN SEBASTIÁN RÍOS CASTRILLÓN</v>
      </c>
      <c r="C369" s="45" t="str">
        <f>VLOOKUP(A369,'CENTRO DE COSTOS'!A:D,2,FALSE)</f>
        <v>0004-0005</v>
      </c>
      <c r="D369" s="69">
        <v>5887</v>
      </c>
      <c r="E369" s="70" t="s">
        <v>2196</v>
      </c>
      <c r="F369" s="71">
        <v>81119</v>
      </c>
      <c r="G369" s="79" t="s">
        <v>132</v>
      </c>
      <c r="H369" s="73" t="s">
        <v>177</v>
      </c>
      <c r="I369" s="71" t="s">
        <v>178</v>
      </c>
      <c r="J369" s="81" t="s">
        <v>1433</v>
      </c>
      <c r="K369" s="71" t="s">
        <v>2197</v>
      </c>
      <c r="L369" s="75" t="s">
        <v>137</v>
      </c>
      <c r="M369" s="82" t="s">
        <v>2198</v>
      </c>
      <c r="N369" s="74">
        <v>45890</v>
      </c>
      <c r="O369" s="76">
        <v>45894</v>
      </c>
      <c r="P369" s="83" t="s">
        <v>181</v>
      </c>
      <c r="Q369" s="84" t="s">
        <v>182</v>
      </c>
      <c r="R369" s="69" t="s">
        <v>140</v>
      </c>
      <c r="S369" s="72" t="s">
        <v>2189</v>
      </c>
      <c r="T369" s="79" t="s">
        <v>189</v>
      </c>
      <c r="U369" s="69" t="s">
        <v>2199</v>
      </c>
      <c r="V369" s="81" t="s">
        <v>230</v>
      </c>
      <c r="W369" s="76" t="s">
        <v>145</v>
      </c>
      <c r="X369" s="79" t="s">
        <v>189</v>
      </c>
      <c r="Y369" s="69">
        <v>1</v>
      </c>
      <c r="Z369" s="69">
        <v>1</v>
      </c>
      <c r="AA369" s="69">
        <v>1</v>
      </c>
      <c r="AB369" s="49">
        <f>IF(V369="TIPO I",'BASE DE LIQUIDACION 2025'!$B$3,'BASE DE LIQUIDACION 2025'!$B$4)</f>
        <v>11251.22416</v>
      </c>
      <c r="AC369" s="49">
        <f>IF(V369="TIPO I",'BASE DE LIQUIDACION 2025'!$C$3,'BASE DE LIQUIDACION 2025'!$C$4)</f>
        <v>126317.12212</v>
      </c>
      <c r="AD369" s="49">
        <f>IF(V369="TIPO I",'BASE DE LIQUIDACION 2025'!$D$3,'BASE DE LIQUIDACION 2025'!$D$4)</f>
        <v>110808.27512000001</v>
      </c>
      <c r="AE369" s="53">
        <f t="shared" si="7"/>
        <v>248376.6214</v>
      </c>
    </row>
    <row r="370" spans="1:31" s="46" customFormat="1" ht="12.75" customHeight="1">
      <c r="A370" s="69" t="s">
        <v>439</v>
      </c>
      <c r="B370" s="45" t="str">
        <f>VLOOKUP(A370,'CENTRO DE COSTOS'!A:D,4,FALSE)</f>
        <v>DIEGO FERNANDO HENAO CARDONA</v>
      </c>
      <c r="C370" s="45" t="str">
        <f>VLOOKUP(A370,'CENTRO DE COSTOS'!A:D,2,FALSE)</f>
        <v>0004-0002</v>
      </c>
      <c r="D370" s="69">
        <v>17873</v>
      </c>
      <c r="E370" s="70" t="s">
        <v>2200</v>
      </c>
      <c r="F370" s="71">
        <v>81117</v>
      </c>
      <c r="G370" s="79" t="s">
        <v>132</v>
      </c>
      <c r="H370" s="73" t="s">
        <v>177</v>
      </c>
      <c r="I370" s="71" t="s">
        <v>441</v>
      </c>
      <c r="J370" s="81" t="s">
        <v>1232</v>
      </c>
      <c r="K370" s="71" t="s">
        <v>2201</v>
      </c>
      <c r="L370" s="75" t="s">
        <v>137</v>
      </c>
      <c r="M370" s="82" t="s">
        <v>2202</v>
      </c>
      <c r="N370" s="74">
        <v>45890</v>
      </c>
      <c r="O370" s="76">
        <v>45891</v>
      </c>
      <c r="P370" s="83" t="s">
        <v>181</v>
      </c>
      <c r="Q370" s="84" t="s">
        <v>182</v>
      </c>
      <c r="R370" s="69" t="s">
        <v>140</v>
      </c>
      <c r="S370" s="72" t="s">
        <v>2203</v>
      </c>
      <c r="T370" s="79" t="s">
        <v>445</v>
      </c>
      <c r="U370" s="69" t="s">
        <v>2204</v>
      </c>
      <c r="V370" s="81" t="s">
        <v>52</v>
      </c>
      <c r="W370" s="76" t="s">
        <v>145</v>
      </c>
      <c r="X370" s="79" t="s">
        <v>445</v>
      </c>
      <c r="Y370" s="69">
        <v>1</v>
      </c>
      <c r="Z370" s="69">
        <v>1</v>
      </c>
      <c r="AA370" s="69">
        <v>1</v>
      </c>
      <c r="AB370" s="49">
        <f>IF(V370="TIPO I",'BASE DE LIQUIDACION 2025'!$B$3,'BASE DE LIQUIDACION 2025'!$B$4)</f>
        <v>11251.22416</v>
      </c>
      <c r="AC370" s="49">
        <f>IF(V370="TIPO I",'BASE DE LIQUIDACION 2025'!$C$3,'BASE DE LIQUIDACION 2025'!$C$4)</f>
        <v>126317.12212</v>
      </c>
      <c r="AD370" s="49">
        <f>IF(V370="TIPO I",'BASE DE LIQUIDACION 2025'!$D$3,'BASE DE LIQUIDACION 2025'!$D$4)</f>
        <v>57411.974240000003</v>
      </c>
      <c r="AE370" s="53">
        <f t="shared" si="7"/>
        <v>194980.32052000001</v>
      </c>
    </row>
    <row r="371" spans="1:31" s="46" customFormat="1" ht="12.75" customHeight="1">
      <c r="A371" s="69" t="s">
        <v>1676</v>
      </c>
      <c r="B371" s="45" t="str">
        <f>VLOOKUP(A371,'CENTRO DE COSTOS'!A:D,4,FALSE)</f>
        <v>JOSE MAURICIO HERNANDEZ ROJAS</v>
      </c>
      <c r="C371" s="45" t="str">
        <f>VLOOKUP(A371,'CENTRO DE COSTOS'!A:D,2,FALSE)</f>
        <v>0004-0001</v>
      </c>
      <c r="D371" s="69">
        <v>44430</v>
      </c>
      <c r="E371" s="70" t="s">
        <v>2205</v>
      </c>
      <c r="F371" s="71">
        <v>81114</v>
      </c>
      <c r="G371" s="79" t="s">
        <v>132</v>
      </c>
      <c r="H371" s="73" t="s">
        <v>177</v>
      </c>
      <c r="I371" s="71" t="s">
        <v>1678</v>
      </c>
      <c r="J371" s="81" t="s">
        <v>1698</v>
      </c>
      <c r="K371" s="71" t="s">
        <v>2206</v>
      </c>
      <c r="L371" s="75" t="s">
        <v>137</v>
      </c>
      <c r="M371" s="82" t="s">
        <v>2207</v>
      </c>
      <c r="N371" s="74">
        <v>45890</v>
      </c>
      <c r="O371" s="76">
        <v>45894</v>
      </c>
      <c r="P371" s="83" t="s">
        <v>181</v>
      </c>
      <c r="Q371" s="84" t="s">
        <v>182</v>
      </c>
      <c r="R371" s="69" t="s">
        <v>140</v>
      </c>
      <c r="S371" s="72" t="s">
        <v>2189</v>
      </c>
      <c r="T371" s="79" t="s">
        <v>1695</v>
      </c>
      <c r="U371" s="69" t="s">
        <v>2208</v>
      </c>
      <c r="V371" s="81" t="s">
        <v>144</v>
      </c>
      <c r="W371" s="76" t="s">
        <v>145</v>
      </c>
      <c r="X371" s="79" t="s">
        <v>1695</v>
      </c>
      <c r="Y371" s="69">
        <v>1</v>
      </c>
      <c r="Z371" s="69">
        <v>1</v>
      </c>
      <c r="AA371" s="69">
        <v>1</v>
      </c>
      <c r="AB371" s="49">
        <f>IF(V371="TIPO I",'BASE DE LIQUIDACION 2025'!$B$3,'BASE DE LIQUIDACION 2025'!$B$4)</f>
        <v>11251.22416</v>
      </c>
      <c r="AC371" s="49">
        <f>IF(V371="TIPO I",'BASE DE LIQUIDACION 2025'!$C$3,'BASE DE LIQUIDACION 2025'!$C$4)</f>
        <v>126317.12212</v>
      </c>
      <c r="AD371" s="49">
        <f>IF(V371="TIPO I",'BASE DE LIQUIDACION 2025'!$D$3,'BASE DE LIQUIDACION 2025'!$D$4)</f>
        <v>110808.27512000001</v>
      </c>
      <c r="AE371" s="53">
        <f t="shared" si="7"/>
        <v>248376.6214</v>
      </c>
    </row>
    <row r="372" spans="1:31" s="46" customFormat="1" ht="12.75" customHeight="1">
      <c r="A372" s="69" t="s">
        <v>151</v>
      </c>
      <c r="B372" s="45" t="str">
        <f>VLOOKUP(A372,'CENTRO DE COSTOS'!A:D,4,FALSE)</f>
        <v>DIEGO FERNANDO HENAO CARDONA</v>
      </c>
      <c r="C372" s="45" t="str">
        <f>VLOOKUP(A372,'CENTRO DE COSTOS'!A:D,2,FALSE)</f>
        <v>0004-0003</v>
      </c>
      <c r="D372" s="69">
        <v>52001</v>
      </c>
      <c r="E372" s="70" t="s">
        <v>2209</v>
      </c>
      <c r="F372" s="71">
        <v>81115</v>
      </c>
      <c r="G372" s="79" t="s">
        <v>132</v>
      </c>
      <c r="H372" s="73" t="s">
        <v>177</v>
      </c>
      <c r="I372" s="71" t="s">
        <v>153</v>
      </c>
      <c r="J372" s="81" t="s">
        <v>151</v>
      </c>
      <c r="K372" s="71" t="s">
        <v>2210</v>
      </c>
      <c r="L372" s="75" t="s">
        <v>137</v>
      </c>
      <c r="M372" s="82" t="s">
        <v>2211</v>
      </c>
      <c r="N372" s="74">
        <v>45890</v>
      </c>
      <c r="O372" s="76">
        <v>45891</v>
      </c>
      <c r="P372" s="83" t="s">
        <v>181</v>
      </c>
      <c r="Q372" s="84" t="s">
        <v>182</v>
      </c>
      <c r="R372" s="69" t="s">
        <v>140</v>
      </c>
      <c r="S372" s="72" t="s">
        <v>2203</v>
      </c>
      <c r="T372" s="79" t="s">
        <v>1798</v>
      </c>
      <c r="U372" s="69" t="s">
        <v>2212</v>
      </c>
      <c r="V372" s="81" t="s">
        <v>52</v>
      </c>
      <c r="W372" s="76" t="s">
        <v>145</v>
      </c>
      <c r="X372" s="79" t="s">
        <v>1798</v>
      </c>
      <c r="Y372" s="69">
        <v>1</v>
      </c>
      <c r="Z372" s="69">
        <v>1</v>
      </c>
      <c r="AA372" s="69">
        <v>1</v>
      </c>
      <c r="AB372" s="49">
        <f>IF(V372="TIPO I",'BASE DE LIQUIDACION 2025'!$B$3,'BASE DE LIQUIDACION 2025'!$B$4)</f>
        <v>11251.22416</v>
      </c>
      <c r="AC372" s="49">
        <f>IF(V372="TIPO I",'BASE DE LIQUIDACION 2025'!$C$3,'BASE DE LIQUIDACION 2025'!$C$4)</f>
        <v>126317.12212</v>
      </c>
      <c r="AD372" s="49">
        <f>IF(V372="TIPO I",'BASE DE LIQUIDACION 2025'!$D$3,'BASE DE LIQUIDACION 2025'!$D$4)</f>
        <v>57411.974240000003</v>
      </c>
      <c r="AE372" s="53">
        <f t="shared" si="7"/>
        <v>194980.32052000001</v>
      </c>
    </row>
    <row r="373" spans="1:31" s="46" customFormat="1" ht="12.75" customHeight="1">
      <c r="A373" s="69" t="s">
        <v>203</v>
      </c>
      <c r="B373" s="45" t="str">
        <f>VLOOKUP(A373,'CENTRO DE COSTOS'!A:D,4,FALSE)</f>
        <v>MIGUEL JULIÁN HERNÁNDEZ GUARÍN</v>
      </c>
      <c r="C373" s="45" t="str">
        <f>VLOOKUP(A373,'CENTRO DE COSTOS'!A:D,2,FALSE)</f>
        <v>0004-0008</v>
      </c>
      <c r="D373" s="69">
        <v>68077</v>
      </c>
      <c r="E373" s="70" t="s">
        <v>2213</v>
      </c>
      <c r="F373" s="71">
        <v>81112</v>
      </c>
      <c r="G373" s="79" t="s">
        <v>132</v>
      </c>
      <c r="H373" s="73" t="s">
        <v>177</v>
      </c>
      <c r="I373" s="71" t="s">
        <v>795</v>
      </c>
      <c r="J373" s="81" t="s">
        <v>2214</v>
      </c>
      <c r="K373" s="71" t="s">
        <v>2215</v>
      </c>
      <c r="L373" s="75" t="s">
        <v>137</v>
      </c>
      <c r="M373" s="82" t="s">
        <v>2216</v>
      </c>
      <c r="N373" s="74">
        <v>45890</v>
      </c>
      <c r="O373" s="76">
        <v>45891</v>
      </c>
      <c r="P373" s="83" t="s">
        <v>181</v>
      </c>
      <c r="Q373" s="84" t="s">
        <v>182</v>
      </c>
      <c r="R373" s="69" t="s">
        <v>140</v>
      </c>
      <c r="S373" s="72" t="s">
        <v>2203</v>
      </c>
      <c r="T373" s="79" t="s">
        <v>595</v>
      </c>
      <c r="U373" s="69" t="s">
        <v>2217</v>
      </c>
      <c r="V373" s="81" t="s">
        <v>202</v>
      </c>
      <c r="W373" s="76" t="s">
        <v>145</v>
      </c>
      <c r="X373" s="79" t="s">
        <v>595</v>
      </c>
      <c r="Y373" s="69">
        <v>1</v>
      </c>
      <c r="Z373" s="69">
        <v>1</v>
      </c>
      <c r="AA373" s="69">
        <v>1</v>
      </c>
      <c r="AB373" s="49">
        <f>IF(V373="TIPO I",'BASE DE LIQUIDACION 2025'!$B$3,'BASE DE LIQUIDACION 2025'!$B$4)</f>
        <v>11251.22416</v>
      </c>
      <c r="AC373" s="49">
        <f>IF(V373="TIPO I",'BASE DE LIQUIDACION 2025'!$C$3,'BASE DE LIQUIDACION 2025'!$C$4)</f>
        <v>126317.12212</v>
      </c>
      <c r="AD373" s="49">
        <f>IF(V373="TIPO I",'BASE DE LIQUIDACION 2025'!$D$3,'BASE DE LIQUIDACION 2025'!$D$4)</f>
        <v>110808.27512000001</v>
      </c>
      <c r="AE373" s="53">
        <f t="shared" si="7"/>
        <v>248376.6214</v>
      </c>
    </row>
    <row r="374" spans="1:31" s="46" customFormat="1" ht="12.75" customHeight="1">
      <c r="A374" s="69" t="s">
        <v>301</v>
      </c>
      <c r="B374" s="45" t="str">
        <f>VLOOKUP(A374,'CENTRO DE COSTOS'!A:D,4,FALSE)</f>
        <v>JOSE MAURICIO HERNANDEZ ROJAS</v>
      </c>
      <c r="C374" s="45" t="str">
        <f>VLOOKUP(A374,'CENTRO DE COSTOS'!A:D,2,FALSE)</f>
        <v>0004-0001</v>
      </c>
      <c r="D374" s="69">
        <v>13442</v>
      </c>
      <c r="E374" s="70" t="s">
        <v>2218</v>
      </c>
      <c r="F374" s="71">
        <v>81146</v>
      </c>
      <c r="G374" s="79" t="s">
        <v>132</v>
      </c>
      <c r="H374" s="73" t="s">
        <v>133</v>
      </c>
      <c r="I374" s="71" t="s">
        <v>271</v>
      </c>
      <c r="J374" s="81" t="s">
        <v>303</v>
      </c>
      <c r="K374" s="71" t="s">
        <v>2219</v>
      </c>
      <c r="L374" s="75" t="s">
        <v>137</v>
      </c>
      <c r="M374" s="82" t="s">
        <v>2220</v>
      </c>
      <c r="N374" s="74">
        <v>45890</v>
      </c>
      <c r="O374" s="76">
        <v>45891</v>
      </c>
      <c r="P374" s="83" t="s">
        <v>139</v>
      </c>
      <c r="Q374" s="84" t="s">
        <v>139</v>
      </c>
      <c r="R374" s="69" t="s">
        <v>140</v>
      </c>
      <c r="S374" s="72" t="s">
        <v>2221</v>
      </c>
      <c r="T374" s="79" t="s">
        <v>307</v>
      </c>
      <c r="U374" s="69" t="s">
        <v>2222</v>
      </c>
      <c r="V374" s="81" t="s">
        <v>202</v>
      </c>
      <c r="W374" s="76" t="s">
        <v>145</v>
      </c>
      <c r="X374" s="79" t="s">
        <v>307</v>
      </c>
      <c r="Y374" s="69">
        <v>1</v>
      </c>
      <c r="Z374" s="69">
        <v>1</v>
      </c>
      <c r="AA374" s="69">
        <v>1</v>
      </c>
      <c r="AB374" s="49">
        <f>IF(V374="TIPO I",'BASE DE LIQUIDACION 2025'!$B$3,'BASE DE LIQUIDACION 2025'!$B$4)</f>
        <v>11251.22416</v>
      </c>
      <c r="AC374" s="49">
        <f>IF(V374="TIPO I",'BASE DE LIQUIDACION 2025'!$C$3,'BASE DE LIQUIDACION 2025'!$C$4)</f>
        <v>126317.12212</v>
      </c>
      <c r="AD374" s="49">
        <f>IF(V374="TIPO I",'BASE DE LIQUIDACION 2025'!$D$3,'BASE DE LIQUIDACION 2025'!$D$4)</f>
        <v>110808.27512000001</v>
      </c>
      <c r="AE374" s="53">
        <f t="shared" si="7"/>
        <v>248376.6214</v>
      </c>
    </row>
    <row r="375" spans="1:31" s="46" customFormat="1" ht="12.75" customHeight="1">
      <c r="A375" s="69" t="s">
        <v>151</v>
      </c>
      <c r="B375" s="45" t="str">
        <f>VLOOKUP(A375,'CENTRO DE COSTOS'!A:D,4,FALSE)</f>
        <v>DIEGO FERNANDO HENAO CARDONA</v>
      </c>
      <c r="C375" s="45" t="str">
        <f>VLOOKUP(A375,'CENTRO DE COSTOS'!A:D,2,FALSE)</f>
        <v>0004-0003</v>
      </c>
      <c r="D375" s="69">
        <v>52520</v>
      </c>
      <c r="E375" s="70" t="s">
        <v>2223</v>
      </c>
      <c r="F375" s="71">
        <v>81135</v>
      </c>
      <c r="G375" s="79" t="s">
        <v>132</v>
      </c>
      <c r="H375" s="73" t="s">
        <v>133</v>
      </c>
      <c r="I375" s="71" t="s">
        <v>153</v>
      </c>
      <c r="J375" s="81" t="s">
        <v>2224</v>
      </c>
      <c r="K375" s="71" t="s">
        <v>2225</v>
      </c>
      <c r="L375" s="75" t="s">
        <v>137</v>
      </c>
      <c r="M375" s="82" t="s">
        <v>2226</v>
      </c>
      <c r="N375" s="74">
        <v>45890</v>
      </c>
      <c r="O375" s="76">
        <v>45895</v>
      </c>
      <c r="P375" s="83" t="s">
        <v>139</v>
      </c>
      <c r="Q375" s="84" t="s">
        <v>139</v>
      </c>
      <c r="R375" s="69" t="s">
        <v>140</v>
      </c>
      <c r="S375" s="72" t="s">
        <v>2227</v>
      </c>
      <c r="T375" s="79" t="s">
        <v>158</v>
      </c>
      <c r="U375" s="69" t="s">
        <v>2228</v>
      </c>
      <c r="V375" s="81" t="s">
        <v>160</v>
      </c>
      <c r="W375" s="76" t="s">
        <v>161</v>
      </c>
      <c r="X375" s="79" t="s">
        <v>158</v>
      </c>
      <c r="Y375" s="69">
        <v>1</v>
      </c>
      <c r="Z375" s="69">
        <v>1</v>
      </c>
      <c r="AA375" s="69">
        <v>1</v>
      </c>
      <c r="AB375" s="49">
        <f>IF(V375="TIPO I",'BASE DE LIQUIDACION 2025'!$B$3,'BASE DE LIQUIDACION 2025'!$B$4)</f>
        <v>11251.22416</v>
      </c>
      <c r="AC375" s="49">
        <f>IF(V375="TIPO I",'BASE DE LIQUIDACION 2025'!$C$3,'BASE DE LIQUIDACION 2025'!$C$4)</f>
        <v>126317.12212</v>
      </c>
      <c r="AD375" s="49">
        <f>IF(V375="TIPO I",'BASE DE LIQUIDACION 2025'!$D$3,'BASE DE LIQUIDACION 2025'!$D$4)</f>
        <v>110808.27512000001</v>
      </c>
      <c r="AE375" s="53">
        <f t="shared" si="7"/>
        <v>248376.6214</v>
      </c>
    </row>
    <row r="376" spans="1:31" s="46" customFormat="1" ht="12.75" customHeight="1">
      <c r="A376" s="69" t="s">
        <v>175</v>
      </c>
      <c r="B376" s="45" t="str">
        <f>VLOOKUP(A376,'CENTRO DE COSTOS'!A:D,4,FALSE)</f>
        <v>JUAN SEBASTIÁN RÍOS CASTRILLÓN</v>
      </c>
      <c r="C376" s="45" t="str">
        <f>VLOOKUP(A376,'CENTRO DE COSTOS'!A:D,2,FALSE)</f>
        <v>0004-0005</v>
      </c>
      <c r="D376" s="69">
        <v>5086</v>
      </c>
      <c r="E376" s="70" t="s">
        <v>2229</v>
      </c>
      <c r="F376" s="71">
        <v>81138</v>
      </c>
      <c r="G376" s="79" t="s">
        <v>132</v>
      </c>
      <c r="H376" s="73" t="s">
        <v>133</v>
      </c>
      <c r="I376" s="71" t="s">
        <v>178</v>
      </c>
      <c r="J376" s="81" t="s">
        <v>2230</v>
      </c>
      <c r="K376" s="71" t="s">
        <v>2231</v>
      </c>
      <c r="L376" s="75" t="s">
        <v>137</v>
      </c>
      <c r="M376" s="82" t="s">
        <v>2232</v>
      </c>
      <c r="N376" s="74">
        <v>45890</v>
      </c>
      <c r="O376" s="76">
        <v>45894</v>
      </c>
      <c r="P376" s="83" t="s">
        <v>139</v>
      </c>
      <c r="Q376" s="84" t="s">
        <v>139</v>
      </c>
      <c r="R376" s="69" t="s">
        <v>140</v>
      </c>
      <c r="S376" s="72" t="s">
        <v>2233</v>
      </c>
      <c r="T376" s="79" t="s">
        <v>235</v>
      </c>
      <c r="U376" s="69" t="s">
        <v>2234</v>
      </c>
      <c r="V376" s="81" t="s">
        <v>202</v>
      </c>
      <c r="W376" s="76" t="s">
        <v>145</v>
      </c>
      <c r="X376" s="79" t="s">
        <v>235</v>
      </c>
      <c r="Y376" s="69">
        <v>1</v>
      </c>
      <c r="Z376" s="69">
        <v>1</v>
      </c>
      <c r="AA376" s="69">
        <v>1</v>
      </c>
      <c r="AB376" s="49">
        <f>IF(V376="TIPO I",'BASE DE LIQUIDACION 2025'!$B$3,'BASE DE LIQUIDACION 2025'!$B$4)</f>
        <v>11251.22416</v>
      </c>
      <c r="AC376" s="49">
        <f>IF(V376="TIPO I",'BASE DE LIQUIDACION 2025'!$C$3,'BASE DE LIQUIDACION 2025'!$C$4)</f>
        <v>126317.12212</v>
      </c>
      <c r="AD376" s="49">
        <f>IF(V376="TIPO I",'BASE DE LIQUIDACION 2025'!$D$3,'BASE DE LIQUIDACION 2025'!$D$4)</f>
        <v>110808.27512000001</v>
      </c>
      <c r="AE376" s="53">
        <f t="shared" si="7"/>
        <v>248376.6214</v>
      </c>
    </row>
    <row r="377" spans="1:31" s="46" customFormat="1" ht="12.75" customHeight="1">
      <c r="A377" s="69" t="s">
        <v>301</v>
      </c>
      <c r="B377" s="45" t="str">
        <f>VLOOKUP(A377,'CENTRO DE COSTOS'!A:D,4,FALSE)</f>
        <v>JOSE MAURICIO HERNANDEZ ROJAS</v>
      </c>
      <c r="C377" s="45" t="str">
        <f>VLOOKUP(A377,'CENTRO DE COSTOS'!A:D,2,FALSE)</f>
        <v>0004-0001</v>
      </c>
      <c r="D377" s="69">
        <v>13001</v>
      </c>
      <c r="E377" s="70" t="s">
        <v>2235</v>
      </c>
      <c r="F377" s="71">
        <v>81125</v>
      </c>
      <c r="G377" s="79" t="s">
        <v>132</v>
      </c>
      <c r="H377" s="73" t="s">
        <v>133</v>
      </c>
      <c r="I377" s="71" t="s">
        <v>271</v>
      </c>
      <c r="J377" s="81" t="s">
        <v>301</v>
      </c>
      <c r="K377" s="71" t="s">
        <v>2236</v>
      </c>
      <c r="L377" s="75" t="s">
        <v>137</v>
      </c>
      <c r="M377" s="82" t="s">
        <v>2237</v>
      </c>
      <c r="N377" s="74">
        <v>45890</v>
      </c>
      <c r="O377" s="76">
        <v>45894</v>
      </c>
      <c r="P377" s="83" t="s">
        <v>139</v>
      </c>
      <c r="Q377" s="84" t="s">
        <v>139</v>
      </c>
      <c r="R377" s="69" t="s">
        <v>140</v>
      </c>
      <c r="S377" s="72" t="s">
        <v>2238</v>
      </c>
      <c r="T377" s="79" t="s">
        <v>412</v>
      </c>
      <c r="U377" s="69" t="s">
        <v>2239</v>
      </c>
      <c r="V377" s="81" t="s">
        <v>52</v>
      </c>
      <c r="W377" s="76" t="s">
        <v>145</v>
      </c>
      <c r="X377" s="79" t="s">
        <v>412</v>
      </c>
      <c r="Y377" s="69">
        <v>1</v>
      </c>
      <c r="Z377" s="69">
        <v>1</v>
      </c>
      <c r="AA377" s="69">
        <v>1</v>
      </c>
      <c r="AB377" s="49">
        <f>IF(V377="TIPO I",'BASE DE LIQUIDACION 2025'!$B$3,'BASE DE LIQUIDACION 2025'!$B$4)</f>
        <v>11251.22416</v>
      </c>
      <c r="AC377" s="49">
        <f>IF(V377="TIPO I",'BASE DE LIQUIDACION 2025'!$C$3,'BASE DE LIQUIDACION 2025'!$C$4)</f>
        <v>126317.12212</v>
      </c>
      <c r="AD377" s="49">
        <f>IF(V377="TIPO I",'BASE DE LIQUIDACION 2025'!$D$3,'BASE DE LIQUIDACION 2025'!$D$4)</f>
        <v>57411.974240000003</v>
      </c>
      <c r="AE377" s="53">
        <f t="shared" si="7"/>
        <v>194980.32052000001</v>
      </c>
    </row>
    <row r="378" spans="1:31" s="46" customFormat="1" ht="12.75" customHeight="1">
      <c r="A378" s="69" t="s">
        <v>175</v>
      </c>
      <c r="B378" s="45" t="str">
        <f>VLOOKUP(A378,'CENTRO DE COSTOS'!A:D,4,FALSE)</f>
        <v>JUAN SEBASTIÁN RÍOS CASTRILLÓN</v>
      </c>
      <c r="C378" s="45" t="str">
        <f>VLOOKUP(A378,'CENTRO DE COSTOS'!A:D,2,FALSE)</f>
        <v>0004-0005</v>
      </c>
      <c r="D378" s="69">
        <v>5697</v>
      </c>
      <c r="E378" s="70" t="s">
        <v>2240</v>
      </c>
      <c r="F378" s="71">
        <v>81160</v>
      </c>
      <c r="G378" s="79" t="s">
        <v>132</v>
      </c>
      <c r="H378" s="73" t="s">
        <v>133</v>
      </c>
      <c r="I378" s="71" t="s">
        <v>178</v>
      </c>
      <c r="J378" s="81" t="s">
        <v>2241</v>
      </c>
      <c r="K378" s="71" t="s">
        <v>2242</v>
      </c>
      <c r="L378" s="75" t="s">
        <v>137</v>
      </c>
      <c r="M378" s="82" t="s">
        <v>2243</v>
      </c>
      <c r="N378" s="74">
        <v>45890</v>
      </c>
      <c r="O378" s="76">
        <v>45894</v>
      </c>
      <c r="P378" s="83" t="s">
        <v>139</v>
      </c>
      <c r="Q378" s="84" t="s">
        <v>139</v>
      </c>
      <c r="R378" s="69" t="s">
        <v>140</v>
      </c>
      <c r="S378" s="72" t="s">
        <v>2244</v>
      </c>
      <c r="T378" s="79" t="s">
        <v>2245</v>
      </c>
      <c r="U378" s="69" t="s">
        <v>2246</v>
      </c>
      <c r="V378" s="81" t="s">
        <v>202</v>
      </c>
      <c r="W378" s="76" t="s">
        <v>145</v>
      </c>
      <c r="X378" s="79" t="s">
        <v>2245</v>
      </c>
      <c r="Y378" s="69">
        <v>1</v>
      </c>
      <c r="Z378" s="69">
        <v>1</v>
      </c>
      <c r="AA378" s="69">
        <v>1</v>
      </c>
      <c r="AB378" s="49">
        <f>IF(V378="TIPO I",'BASE DE LIQUIDACION 2025'!$B$3,'BASE DE LIQUIDACION 2025'!$B$4)</f>
        <v>11251.22416</v>
      </c>
      <c r="AC378" s="49">
        <f>IF(V378="TIPO I",'BASE DE LIQUIDACION 2025'!$C$3,'BASE DE LIQUIDACION 2025'!$C$4)</f>
        <v>126317.12212</v>
      </c>
      <c r="AD378" s="49">
        <f>IF(V378="TIPO I",'BASE DE LIQUIDACION 2025'!$D$3,'BASE DE LIQUIDACION 2025'!$D$4)</f>
        <v>110808.27512000001</v>
      </c>
      <c r="AE378" s="53">
        <f t="shared" si="7"/>
        <v>248376.6214</v>
      </c>
    </row>
    <row r="379" spans="1:31" s="46" customFormat="1" ht="12.75" customHeight="1">
      <c r="A379" s="69" t="s">
        <v>439</v>
      </c>
      <c r="B379" s="45" t="str">
        <f>VLOOKUP(A379,'CENTRO DE COSTOS'!A:D,4,FALSE)</f>
        <v>DIEGO FERNANDO HENAO CARDONA</v>
      </c>
      <c r="C379" s="45" t="str">
        <f>VLOOKUP(A379,'CENTRO DE COSTOS'!A:D,2,FALSE)</f>
        <v>0004-0002</v>
      </c>
      <c r="D379" s="69">
        <v>17001</v>
      </c>
      <c r="E379" s="70" t="s">
        <v>2247</v>
      </c>
      <c r="F379" s="71">
        <v>81142</v>
      </c>
      <c r="G379" s="79" t="s">
        <v>132</v>
      </c>
      <c r="H379" s="73" t="s">
        <v>133</v>
      </c>
      <c r="I379" s="71" t="s">
        <v>441</v>
      </c>
      <c r="J379" s="81" t="s">
        <v>439</v>
      </c>
      <c r="K379" s="71" t="s">
        <v>2248</v>
      </c>
      <c r="L379" s="75" t="s">
        <v>137</v>
      </c>
      <c r="M379" s="82" t="s">
        <v>2249</v>
      </c>
      <c r="N379" s="74">
        <v>45890</v>
      </c>
      <c r="O379" s="76">
        <v>45891</v>
      </c>
      <c r="P379" s="83" t="s">
        <v>139</v>
      </c>
      <c r="Q379" s="84" t="s">
        <v>139</v>
      </c>
      <c r="R379" s="69" t="s">
        <v>140</v>
      </c>
      <c r="S379" s="72" t="s">
        <v>2250</v>
      </c>
      <c r="T379" s="79" t="s">
        <v>445</v>
      </c>
      <c r="U379" s="69" t="s">
        <v>2251</v>
      </c>
      <c r="V379" s="81" t="s">
        <v>52</v>
      </c>
      <c r="W379" s="76" t="s">
        <v>145</v>
      </c>
      <c r="X379" s="79" t="s">
        <v>445</v>
      </c>
      <c r="Y379" s="69">
        <v>1</v>
      </c>
      <c r="Z379" s="69">
        <v>1</v>
      </c>
      <c r="AA379" s="69">
        <v>1</v>
      </c>
      <c r="AB379" s="49">
        <f>IF(V379="TIPO I",'BASE DE LIQUIDACION 2025'!$B$3,'BASE DE LIQUIDACION 2025'!$B$4)</f>
        <v>11251.22416</v>
      </c>
      <c r="AC379" s="49">
        <f>IF(V379="TIPO I",'BASE DE LIQUIDACION 2025'!$C$3,'BASE DE LIQUIDACION 2025'!$C$4)</f>
        <v>126317.12212</v>
      </c>
      <c r="AD379" s="49">
        <f>IF(V379="TIPO I",'BASE DE LIQUIDACION 2025'!$D$3,'BASE DE LIQUIDACION 2025'!$D$4)</f>
        <v>57411.974240000003</v>
      </c>
      <c r="AE379" s="53">
        <f t="shared" si="7"/>
        <v>194980.32052000001</v>
      </c>
    </row>
    <row r="380" spans="1:31" s="46" customFormat="1" ht="12.75" customHeight="1">
      <c r="A380" s="69" t="s">
        <v>431</v>
      </c>
      <c r="B380" s="45" t="str">
        <f>VLOOKUP(A380,'CENTRO DE COSTOS'!A:D,4,FALSE)</f>
        <v>WILLIAM ASDRUBAL ROZO ROZO</v>
      </c>
      <c r="C380" s="45" t="str">
        <f>VLOOKUP(A380,'CENTRO DE COSTOS'!A:D,2,FALSE)</f>
        <v>0004-0004</v>
      </c>
      <c r="D380" s="69">
        <v>25053</v>
      </c>
      <c r="E380" s="70" t="s">
        <v>2252</v>
      </c>
      <c r="F380" s="71">
        <v>81137</v>
      </c>
      <c r="G380" s="79" t="s">
        <v>132</v>
      </c>
      <c r="H380" s="73" t="s">
        <v>133</v>
      </c>
      <c r="I380" s="71" t="s">
        <v>433</v>
      </c>
      <c r="J380" s="81" t="s">
        <v>2253</v>
      </c>
      <c r="K380" s="71" t="s">
        <v>2254</v>
      </c>
      <c r="L380" s="75" t="s">
        <v>137</v>
      </c>
      <c r="M380" s="82" t="s">
        <v>2255</v>
      </c>
      <c r="N380" s="74">
        <v>45890</v>
      </c>
      <c r="O380" s="76">
        <v>45894</v>
      </c>
      <c r="P380" s="83" t="s">
        <v>139</v>
      </c>
      <c r="Q380" s="84" t="s">
        <v>139</v>
      </c>
      <c r="R380" s="69" t="s">
        <v>140</v>
      </c>
      <c r="S380" s="72" t="s">
        <v>2256</v>
      </c>
      <c r="T380" s="79" t="s">
        <v>851</v>
      </c>
      <c r="U380" s="69" t="s">
        <v>2257</v>
      </c>
      <c r="V380" s="81" t="s">
        <v>202</v>
      </c>
      <c r="W380" s="76" t="s">
        <v>145</v>
      </c>
      <c r="X380" s="79" t="s">
        <v>851</v>
      </c>
      <c r="Y380" s="69">
        <v>1</v>
      </c>
      <c r="Z380" s="69">
        <v>1</v>
      </c>
      <c r="AA380" s="69">
        <v>1</v>
      </c>
      <c r="AB380" s="49">
        <f>IF(V380="TIPO I",'BASE DE LIQUIDACION 2025'!$B$3,'BASE DE LIQUIDACION 2025'!$B$4)</f>
        <v>11251.22416</v>
      </c>
      <c r="AC380" s="49">
        <f>IF(V380="TIPO I",'BASE DE LIQUIDACION 2025'!$C$3,'BASE DE LIQUIDACION 2025'!$C$4)</f>
        <v>126317.12212</v>
      </c>
      <c r="AD380" s="49">
        <f>IF(V380="TIPO I",'BASE DE LIQUIDACION 2025'!$D$3,'BASE DE LIQUIDACION 2025'!$D$4)</f>
        <v>110808.27512000001</v>
      </c>
      <c r="AE380" s="53">
        <f t="shared" si="7"/>
        <v>248376.6214</v>
      </c>
    </row>
    <row r="381" spans="1:31" s="46" customFormat="1" ht="12.75" customHeight="1">
      <c r="A381" s="69" t="s">
        <v>439</v>
      </c>
      <c r="B381" s="45" t="str">
        <f>VLOOKUP(A381,'CENTRO DE COSTOS'!A:D,4,FALSE)</f>
        <v>DIEGO FERNANDO HENAO CARDONA</v>
      </c>
      <c r="C381" s="45" t="str">
        <f>VLOOKUP(A381,'CENTRO DE COSTOS'!A:D,2,FALSE)</f>
        <v>0004-0002</v>
      </c>
      <c r="D381" s="69">
        <v>17174</v>
      </c>
      <c r="E381" s="70" t="s">
        <v>2258</v>
      </c>
      <c r="F381" s="71">
        <v>81128</v>
      </c>
      <c r="G381" s="79" t="s">
        <v>132</v>
      </c>
      <c r="H381" s="73" t="s">
        <v>222</v>
      </c>
      <c r="I381" s="71" t="s">
        <v>441</v>
      </c>
      <c r="J381" s="81" t="s">
        <v>2259</v>
      </c>
      <c r="K381" s="71" t="s">
        <v>2260</v>
      </c>
      <c r="L381" s="75" t="s">
        <v>137</v>
      </c>
      <c r="M381" s="82" t="s">
        <v>2261</v>
      </c>
      <c r="N381" s="74">
        <v>45890</v>
      </c>
      <c r="O381" s="76">
        <v>45891</v>
      </c>
      <c r="P381" s="83" t="s">
        <v>139</v>
      </c>
      <c r="Q381" s="84" t="s">
        <v>139</v>
      </c>
      <c r="R381" s="69" t="s">
        <v>140</v>
      </c>
      <c r="S381" s="72" t="s">
        <v>2262</v>
      </c>
      <c r="T381" s="79" t="s">
        <v>508</v>
      </c>
      <c r="U381" s="69" t="s">
        <v>2263</v>
      </c>
      <c r="V381" s="81" t="s">
        <v>202</v>
      </c>
      <c r="W381" s="76" t="s">
        <v>145</v>
      </c>
      <c r="X381" s="79" t="s">
        <v>508</v>
      </c>
      <c r="Y381" s="69">
        <v>1</v>
      </c>
      <c r="Z381" s="69">
        <v>0</v>
      </c>
      <c r="AA381" s="69">
        <v>0</v>
      </c>
      <c r="AB381" s="49">
        <f>IF(V381="TIPO I",'BASE DE LIQUIDACION 2025'!$B$3,'BASE DE LIQUIDACION 2025'!$B$4)</f>
        <v>11251.22416</v>
      </c>
      <c r="AC381" s="49">
        <f>IF(V381="TIPO I",'BASE DE LIQUIDACION 2025'!$C$3,'BASE DE LIQUIDACION 2025'!$C$4)</f>
        <v>126317.12212</v>
      </c>
      <c r="AD381" s="49">
        <f>IF(V381="TIPO I",'BASE DE LIQUIDACION 2025'!$D$3,'BASE DE LIQUIDACION 2025'!$D$4)</f>
        <v>110808.27512000001</v>
      </c>
      <c r="AE381" s="53">
        <f t="shared" si="7"/>
        <v>11251.22416</v>
      </c>
    </row>
    <row r="382" spans="1:31" s="46" customFormat="1" ht="12.75" customHeight="1">
      <c r="A382" s="69" t="s">
        <v>260</v>
      </c>
      <c r="B382" s="45" t="str">
        <f>VLOOKUP(A382,'CENTRO DE COSTOS'!A:D,4,FALSE)</f>
        <v>KEVIN ALEXIS CORZO BUSTOS</v>
      </c>
      <c r="C382" s="45" t="str">
        <f>VLOOKUP(A382,'CENTRO DE COSTOS'!A:D,2,FALSE)</f>
        <v>0004-0007</v>
      </c>
      <c r="D382" s="69">
        <v>50223</v>
      </c>
      <c r="E382" s="70" t="s">
        <v>2264</v>
      </c>
      <c r="F382" s="71">
        <v>81132</v>
      </c>
      <c r="G382" s="79" t="s">
        <v>132</v>
      </c>
      <c r="H382" s="73" t="s">
        <v>133</v>
      </c>
      <c r="I382" s="71" t="s">
        <v>262</v>
      </c>
      <c r="J382" s="81" t="s">
        <v>991</v>
      </c>
      <c r="K382" s="71" t="s">
        <v>2265</v>
      </c>
      <c r="L382" s="75" t="s">
        <v>137</v>
      </c>
      <c r="M382" s="82" t="s">
        <v>2266</v>
      </c>
      <c r="N382" s="74">
        <v>45890</v>
      </c>
      <c r="O382" s="76">
        <v>45894</v>
      </c>
      <c r="P382" s="83" t="s">
        <v>139</v>
      </c>
      <c r="Q382" s="84" t="s">
        <v>139</v>
      </c>
      <c r="R382" s="69" t="s">
        <v>140</v>
      </c>
      <c r="S382" s="72" t="s">
        <v>2267</v>
      </c>
      <c r="T382" s="79" t="s">
        <v>267</v>
      </c>
      <c r="U382" s="69" t="s">
        <v>2268</v>
      </c>
      <c r="V382" s="81" t="s">
        <v>202</v>
      </c>
      <c r="W382" s="76" t="s">
        <v>145</v>
      </c>
      <c r="X382" s="79" t="s">
        <v>267</v>
      </c>
      <c r="Y382" s="69">
        <v>1</v>
      </c>
      <c r="Z382" s="69">
        <v>1</v>
      </c>
      <c r="AA382" s="69">
        <v>1</v>
      </c>
      <c r="AB382" s="49">
        <f>IF(V382="TIPO I",'BASE DE LIQUIDACION 2025'!$B$3,'BASE DE LIQUIDACION 2025'!$B$4)</f>
        <v>11251.22416</v>
      </c>
      <c r="AC382" s="49">
        <f>IF(V382="TIPO I",'BASE DE LIQUIDACION 2025'!$C$3,'BASE DE LIQUIDACION 2025'!$C$4)</f>
        <v>126317.12212</v>
      </c>
      <c r="AD382" s="49">
        <f>IF(V382="TIPO I",'BASE DE LIQUIDACION 2025'!$D$3,'BASE DE LIQUIDACION 2025'!$D$4)</f>
        <v>110808.27512000001</v>
      </c>
      <c r="AE382" s="53">
        <f t="shared" si="7"/>
        <v>248376.6214</v>
      </c>
    </row>
    <row r="383" spans="1:31" s="46" customFormat="1" ht="12.75" customHeight="1">
      <c r="A383" s="69" t="s">
        <v>439</v>
      </c>
      <c r="B383" s="45" t="str">
        <f>VLOOKUP(A383,'CENTRO DE COSTOS'!A:D,4,FALSE)</f>
        <v>DIEGO FERNANDO HENAO CARDONA</v>
      </c>
      <c r="C383" s="45" t="str">
        <f>VLOOKUP(A383,'CENTRO DE COSTOS'!A:D,2,FALSE)</f>
        <v>0004-0002</v>
      </c>
      <c r="D383" s="69">
        <v>17001</v>
      </c>
      <c r="E383" s="70" t="s">
        <v>2269</v>
      </c>
      <c r="F383" s="71">
        <v>81144</v>
      </c>
      <c r="G383" s="79" t="s">
        <v>132</v>
      </c>
      <c r="H383" s="73" t="s">
        <v>133</v>
      </c>
      <c r="I383" s="71" t="s">
        <v>441</v>
      </c>
      <c r="J383" s="81" t="s">
        <v>439</v>
      </c>
      <c r="K383" s="71" t="s">
        <v>2270</v>
      </c>
      <c r="L383" s="75" t="s">
        <v>137</v>
      </c>
      <c r="M383" s="82" t="s">
        <v>2271</v>
      </c>
      <c r="N383" s="74">
        <v>45890</v>
      </c>
      <c r="O383" s="76">
        <v>45894</v>
      </c>
      <c r="P383" s="83" t="s">
        <v>139</v>
      </c>
      <c r="Q383" s="84" t="s">
        <v>139</v>
      </c>
      <c r="R383" s="69" t="s">
        <v>140</v>
      </c>
      <c r="S383" s="72" t="s">
        <v>2272</v>
      </c>
      <c r="T383" s="79" t="s">
        <v>459</v>
      </c>
      <c r="U383" s="69" t="s">
        <v>2273</v>
      </c>
      <c r="V383" s="81" t="s">
        <v>52</v>
      </c>
      <c r="W383" s="76" t="s">
        <v>145</v>
      </c>
      <c r="X383" s="79" t="s">
        <v>459</v>
      </c>
      <c r="Y383" s="69">
        <v>1</v>
      </c>
      <c r="Z383" s="69">
        <v>1</v>
      </c>
      <c r="AA383" s="69">
        <v>1</v>
      </c>
      <c r="AB383" s="49">
        <f>IF(V383="TIPO I",'BASE DE LIQUIDACION 2025'!$B$3,'BASE DE LIQUIDACION 2025'!$B$4)</f>
        <v>11251.22416</v>
      </c>
      <c r="AC383" s="49">
        <f>IF(V383="TIPO I",'BASE DE LIQUIDACION 2025'!$C$3,'BASE DE LIQUIDACION 2025'!$C$4)</f>
        <v>126317.12212</v>
      </c>
      <c r="AD383" s="49">
        <f>IF(V383="TIPO I",'BASE DE LIQUIDACION 2025'!$D$3,'BASE DE LIQUIDACION 2025'!$D$4)</f>
        <v>57411.974240000003</v>
      </c>
      <c r="AE383" s="53">
        <f t="shared" si="7"/>
        <v>194980.32052000001</v>
      </c>
    </row>
    <row r="384" spans="1:31" s="46" customFormat="1" ht="12.75" customHeight="1">
      <c r="A384" s="69" t="s">
        <v>220</v>
      </c>
      <c r="B384" s="45" t="str">
        <f>VLOOKUP(A384,'CENTRO DE COSTOS'!A:D,4,FALSE)</f>
        <v>DIEGO FERNANDO HENAO CARDONA</v>
      </c>
      <c r="C384" s="45" t="str">
        <f>VLOOKUP(A384,'CENTRO DE COSTOS'!A:D,2,FALSE)</f>
        <v>0004-0003</v>
      </c>
      <c r="D384" s="69">
        <v>19573</v>
      </c>
      <c r="E384" s="70" t="s">
        <v>2274</v>
      </c>
      <c r="F384" s="71">
        <v>81153</v>
      </c>
      <c r="G384" s="79" t="s">
        <v>132</v>
      </c>
      <c r="H384" s="73" t="s">
        <v>133</v>
      </c>
      <c r="I384" s="71" t="s">
        <v>223</v>
      </c>
      <c r="J384" s="81" t="s">
        <v>2275</v>
      </c>
      <c r="K384" s="71" t="s">
        <v>2276</v>
      </c>
      <c r="L384" s="75" t="s">
        <v>137</v>
      </c>
      <c r="M384" s="82" t="s">
        <v>2277</v>
      </c>
      <c r="N384" s="74">
        <v>45890</v>
      </c>
      <c r="O384" s="76">
        <v>45891</v>
      </c>
      <c r="P384" s="83" t="s">
        <v>139</v>
      </c>
      <c r="Q384" s="84" t="s">
        <v>139</v>
      </c>
      <c r="R384" s="69" t="s">
        <v>140</v>
      </c>
      <c r="S384" s="72" t="s">
        <v>2278</v>
      </c>
      <c r="T384" s="79" t="s">
        <v>228</v>
      </c>
      <c r="U384" s="69" t="s">
        <v>2279</v>
      </c>
      <c r="V384" s="81" t="s">
        <v>202</v>
      </c>
      <c r="W384" s="76" t="s">
        <v>145</v>
      </c>
      <c r="X384" s="79" t="s">
        <v>228</v>
      </c>
      <c r="Y384" s="69">
        <v>1</v>
      </c>
      <c r="Z384" s="69">
        <v>1</v>
      </c>
      <c r="AA384" s="69">
        <v>1</v>
      </c>
      <c r="AB384" s="49">
        <f>IF(V384="TIPO I",'BASE DE LIQUIDACION 2025'!$B$3,'BASE DE LIQUIDACION 2025'!$B$4)</f>
        <v>11251.22416</v>
      </c>
      <c r="AC384" s="49">
        <f>IF(V384="TIPO I",'BASE DE LIQUIDACION 2025'!$C$3,'BASE DE LIQUIDACION 2025'!$C$4)</f>
        <v>126317.12212</v>
      </c>
      <c r="AD384" s="49">
        <f>IF(V384="TIPO I",'BASE DE LIQUIDACION 2025'!$D$3,'BASE DE LIQUIDACION 2025'!$D$4)</f>
        <v>110808.27512000001</v>
      </c>
      <c r="AE384" s="53">
        <f t="shared" si="7"/>
        <v>248376.6214</v>
      </c>
    </row>
    <row r="385" spans="1:31" s="46" customFormat="1" ht="12.75" customHeight="1">
      <c r="A385" s="69" t="s">
        <v>431</v>
      </c>
      <c r="B385" s="45" t="str">
        <f>VLOOKUP(A385,'CENTRO DE COSTOS'!A:D,4,FALSE)</f>
        <v>WILLIAM ASDRUBAL ROZO ROZO</v>
      </c>
      <c r="C385" s="45" t="str">
        <f>VLOOKUP(A385,'CENTRO DE COSTOS'!A:D,2,FALSE)</f>
        <v>0004-0004</v>
      </c>
      <c r="D385" s="69">
        <v>25899</v>
      </c>
      <c r="E385" s="70" t="s">
        <v>2280</v>
      </c>
      <c r="F385" s="71">
        <v>81163</v>
      </c>
      <c r="G385" s="79" t="s">
        <v>132</v>
      </c>
      <c r="H385" s="73" t="s">
        <v>133</v>
      </c>
      <c r="I385" s="71" t="s">
        <v>433</v>
      </c>
      <c r="J385" s="81" t="s">
        <v>546</v>
      </c>
      <c r="K385" s="71" t="s">
        <v>2281</v>
      </c>
      <c r="L385" s="75" t="s">
        <v>137</v>
      </c>
      <c r="M385" s="82" t="s">
        <v>2282</v>
      </c>
      <c r="N385" s="74">
        <v>45890</v>
      </c>
      <c r="O385" s="76">
        <v>45891</v>
      </c>
      <c r="P385" s="83" t="s">
        <v>139</v>
      </c>
      <c r="Q385" s="84" t="s">
        <v>139</v>
      </c>
      <c r="R385" s="69" t="s">
        <v>140</v>
      </c>
      <c r="S385" s="72" t="s">
        <v>2283</v>
      </c>
      <c r="T385" s="79" t="s">
        <v>1000</v>
      </c>
      <c r="U385" s="69" t="s">
        <v>2284</v>
      </c>
      <c r="V385" s="81" t="s">
        <v>202</v>
      </c>
      <c r="W385" s="76" t="s">
        <v>145</v>
      </c>
      <c r="X385" s="79" t="s">
        <v>1000</v>
      </c>
      <c r="Y385" s="69">
        <v>1</v>
      </c>
      <c r="Z385" s="69">
        <v>1</v>
      </c>
      <c r="AA385" s="69">
        <v>1</v>
      </c>
      <c r="AB385" s="49">
        <f>IF(V385="TIPO I",'BASE DE LIQUIDACION 2025'!$B$3,'BASE DE LIQUIDACION 2025'!$B$4)</f>
        <v>11251.22416</v>
      </c>
      <c r="AC385" s="49">
        <f>IF(V385="TIPO I",'BASE DE LIQUIDACION 2025'!$C$3,'BASE DE LIQUIDACION 2025'!$C$4)</f>
        <v>126317.12212</v>
      </c>
      <c r="AD385" s="49">
        <f>IF(V385="TIPO I",'BASE DE LIQUIDACION 2025'!$D$3,'BASE DE LIQUIDACION 2025'!$D$4)</f>
        <v>110808.27512000001</v>
      </c>
      <c r="AE385" s="53">
        <f t="shared" si="7"/>
        <v>248376.6214</v>
      </c>
    </row>
    <row r="386" spans="1:31" s="46" customFormat="1" ht="12.75" customHeight="1">
      <c r="A386" s="69" t="s">
        <v>379</v>
      </c>
      <c r="B386" s="45" t="str">
        <f>VLOOKUP(A386,'CENTRO DE COSTOS'!A:D,4,FALSE)</f>
        <v>JOSE MAURICIO HERNANDEZ ROJAS</v>
      </c>
      <c r="C386" s="45" t="str">
        <f>VLOOKUP(A386,'CENTRO DE COSTOS'!A:D,2,FALSE)</f>
        <v>0004-0001</v>
      </c>
      <c r="D386" s="69">
        <v>23580</v>
      </c>
      <c r="E386" s="70" t="s">
        <v>2285</v>
      </c>
      <c r="F386" s="71">
        <v>81152</v>
      </c>
      <c r="G386" s="79" t="s">
        <v>132</v>
      </c>
      <c r="H386" s="73" t="s">
        <v>133</v>
      </c>
      <c r="I386" s="71" t="s">
        <v>381</v>
      </c>
      <c r="J386" s="81" t="s">
        <v>1206</v>
      </c>
      <c r="K386" s="71" t="s">
        <v>2286</v>
      </c>
      <c r="L386" s="75" t="s">
        <v>137</v>
      </c>
      <c r="M386" s="82" t="s">
        <v>2287</v>
      </c>
      <c r="N386" s="74">
        <v>45890</v>
      </c>
      <c r="O386" s="76">
        <v>45896</v>
      </c>
      <c r="P386" s="83" t="s">
        <v>139</v>
      </c>
      <c r="Q386" s="84" t="s">
        <v>139</v>
      </c>
      <c r="R386" s="69" t="s">
        <v>140</v>
      </c>
      <c r="S386" s="72" t="s">
        <v>2288</v>
      </c>
      <c r="T386" s="79" t="s">
        <v>2289</v>
      </c>
      <c r="U386" s="69" t="s">
        <v>2290</v>
      </c>
      <c r="V386" s="81" t="s">
        <v>144</v>
      </c>
      <c r="W386" s="76" t="s">
        <v>145</v>
      </c>
      <c r="X386" s="79" t="s">
        <v>2289</v>
      </c>
      <c r="Y386" s="69">
        <v>1</v>
      </c>
      <c r="Z386" s="69">
        <v>1</v>
      </c>
      <c r="AA386" s="69">
        <v>1</v>
      </c>
      <c r="AB386" s="49">
        <f>IF(V386="TIPO I",'BASE DE LIQUIDACION 2025'!$B$3,'BASE DE LIQUIDACION 2025'!$B$4)</f>
        <v>11251.22416</v>
      </c>
      <c r="AC386" s="49">
        <f>IF(V386="TIPO I",'BASE DE LIQUIDACION 2025'!$C$3,'BASE DE LIQUIDACION 2025'!$C$4)</f>
        <v>126317.12212</v>
      </c>
      <c r="AD386" s="49">
        <f>IF(V386="TIPO I",'BASE DE LIQUIDACION 2025'!$D$3,'BASE DE LIQUIDACION 2025'!$D$4)</f>
        <v>110808.27512000001</v>
      </c>
      <c r="AE386" s="53">
        <f t="shared" si="7"/>
        <v>248376.6214</v>
      </c>
    </row>
    <row r="387" spans="1:31" s="46" customFormat="1" ht="12.75" customHeight="1">
      <c r="A387" s="69" t="s">
        <v>431</v>
      </c>
      <c r="B387" s="45" t="str">
        <f>VLOOKUP(A387,'CENTRO DE COSTOS'!A:D,4,FALSE)</f>
        <v>WILLIAM ASDRUBAL ROZO ROZO</v>
      </c>
      <c r="C387" s="45" t="str">
        <f>VLOOKUP(A387,'CENTRO DE COSTOS'!A:D,2,FALSE)</f>
        <v>0004-0004</v>
      </c>
      <c r="D387" s="69">
        <v>25175</v>
      </c>
      <c r="E387" s="70" t="s">
        <v>2291</v>
      </c>
      <c r="F387" s="71">
        <v>81127</v>
      </c>
      <c r="G387" s="79" t="s">
        <v>132</v>
      </c>
      <c r="H387" s="73" t="s">
        <v>133</v>
      </c>
      <c r="I387" s="71" t="s">
        <v>433</v>
      </c>
      <c r="J387" s="81" t="s">
        <v>1929</v>
      </c>
      <c r="K387" s="71" t="s">
        <v>2292</v>
      </c>
      <c r="L387" s="75" t="s">
        <v>137</v>
      </c>
      <c r="M387" s="82" t="s">
        <v>2293</v>
      </c>
      <c r="N387" s="74">
        <v>45890</v>
      </c>
      <c r="O387" s="76">
        <v>45891</v>
      </c>
      <c r="P387" s="83" t="s">
        <v>139</v>
      </c>
      <c r="Q387" s="84" t="s">
        <v>139</v>
      </c>
      <c r="R387" s="69" t="s">
        <v>140</v>
      </c>
      <c r="S387" s="72" t="s">
        <v>2294</v>
      </c>
      <c r="T387" s="79" t="s">
        <v>1000</v>
      </c>
      <c r="U387" s="69" t="s">
        <v>2295</v>
      </c>
      <c r="V387" s="81" t="s">
        <v>202</v>
      </c>
      <c r="W387" s="76" t="s">
        <v>145</v>
      </c>
      <c r="X387" s="79" t="s">
        <v>1000</v>
      </c>
      <c r="Y387" s="69">
        <v>1</v>
      </c>
      <c r="Z387" s="69">
        <v>1</v>
      </c>
      <c r="AA387" s="69">
        <v>1</v>
      </c>
      <c r="AB387" s="49">
        <f>IF(V387="TIPO I",'BASE DE LIQUIDACION 2025'!$B$3,'BASE DE LIQUIDACION 2025'!$B$4)</f>
        <v>11251.22416</v>
      </c>
      <c r="AC387" s="49">
        <f>IF(V387="TIPO I",'BASE DE LIQUIDACION 2025'!$C$3,'BASE DE LIQUIDACION 2025'!$C$4)</f>
        <v>126317.12212</v>
      </c>
      <c r="AD387" s="49">
        <f>IF(V387="TIPO I",'BASE DE LIQUIDACION 2025'!$D$3,'BASE DE LIQUIDACION 2025'!$D$4)</f>
        <v>110808.27512000001</v>
      </c>
      <c r="AE387" s="53">
        <f t="shared" si="7"/>
        <v>248376.6214</v>
      </c>
    </row>
    <row r="388" spans="1:31" s="46" customFormat="1" ht="12.75" customHeight="1">
      <c r="A388" s="69" t="s">
        <v>301</v>
      </c>
      <c r="B388" s="45" t="str">
        <f>VLOOKUP(A388,'CENTRO DE COSTOS'!A:D,4,FALSE)</f>
        <v>JOSE MAURICIO HERNANDEZ ROJAS</v>
      </c>
      <c r="C388" s="45" t="str">
        <f>VLOOKUP(A388,'CENTRO DE COSTOS'!A:D,2,FALSE)</f>
        <v>0004-0001</v>
      </c>
      <c r="D388" s="69">
        <v>13052</v>
      </c>
      <c r="E388" s="70" t="s">
        <v>2296</v>
      </c>
      <c r="F388" s="71">
        <v>81120</v>
      </c>
      <c r="G388" s="79" t="s">
        <v>132</v>
      </c>
      <c r="H388" s="73" t="s">
        <v>133</v>
      </c>
      <c r="I388" s="71" t="s">
        <v>271</v>
      </c>
      <c r="J388" s="81" t="s">
        <v>2297</v>
      </c>
      <c r="K388" s="71" t="s">
        <v>2298</v>
      </c>
      <c r="L388" s="75" t="s">
        <v>137</v>
      </c>
      <c r="M388" s="82" t="s">
        <v>2299</v>
      </c>
      <c r="N388" s="74">
        <v>45890</v>
      </c>
      <c r="O388" s="76">
        <v>45894</v>
      </c>
      <c r="P388" s="83" t="s">
        <v>139</v>
      </c>
      <c r="Q388" s="84" t="s">
        <v>139</v>
      </c>
      <c r="R388" s="69" t="s">
        <v>140</v>
      </c>
      <c r="S388" s="72" t="s">
        <v>2300</v>
      </c>
      <c r="T388" s="79" t="s">
        <v>307</v>
      </c>
      <c r="U388" s="69" t="s">
        <v>2301</v>
      </c>
      <c r="V388" s="81" t="s">
        <v>202</v>
      </c>
      <c r="W388" s="76" t="s">
        <v>145</v>
      </c>
      <c r="X388" s="79" t="s">
        <v>307</v>
      </c>
      <c r="Y388" s="69">
        <v>1</v>
      </c>
      <c r="Z388" s="69">
        <v>1</v>
      </c>
      <c r="AA388" s="69">
        <v>1</v>
      </c>
      <c r="AB388" s="49">
        <f>IF(V388="TIPO I",'BASE DE LIQUIDACION 2025'!$B$3,'BASE DE LIQUIDACION 2025'!$B$4)</f>
        <v>11251.22416</v>
      </c>
      <c r="AC388" s="49">
        <f>IF(V388="TIPO I",'BASE DE LIQUIDACION 2025'!$C$3,'BASE DE LIQUIDACION 2025'!$C$4)</f>
        <v>126317.12212</v>
      </c>
      <c r="AD388" s="49">
        <f>IF(V388="TIPO I",'BASE DE LIQUIDACION 2025'!$D$3,'BASE DE LIQUIDACION 2025'!$D$4)</f>
        <v>110808.27512000001</v>
      </c>
      <c r="AE388" s="53">
        <f t="shared" si="7"/>
        <v>248376.6214</v>
      </c>
    </row>
    <row r="389" spans="1:31" s="46" customFormat="1" ht="12.75" customHeight="1">
      <c r="A389" s="69" t="s">
        <v>301</v>
      </c>
      <c r="B389" s="45" t="str">
        <f>VLOOKUP(A389,'CENTRO DE COSTOS'!A:D,4,FALSE)</f>
        <v>JOSE MAURICIO HERNANDEZ ROJAS</v>
      </c>
      <c r="C389" s="45" t="str">
        <f>VLOOKUP(A389,'CENTRO DE COSTOS'!A:D,2,FALSE)</f>
        <v>0004-0001</v>
      </c>
      <c r="D389" s="69">
        <v>13001</v>
      </c>
      <c r="E389" s="70" t="s">
        <v>2302</v>
      </c>
      <c r="F389" s="71">
        <v>81126</v>
      </c>
      <c r="G389" s="79" t="s">
        <v>132</v>
      </c>
      <c r="H389" s="73" t="s">
        <v>222</v>
      </c>
      <c r="I389" s="71" t="s">
        <v>271</v>
      </c>
      <c r="J389" s="81" t="s">
        <v>301</v>
      </c>
      <c r="K389" s="71" t="s">
        <v>2303</v>
      </c>
      <c r="L389" s="75" t="s">
        <v>137</v>
      </c>
      <c r="M389" s="82" t="s">
        <v>2304</v>
      </c>
      <c r="N389" s="74">
        <v>45890</v>
      </c>
      <c r="O389" s="76">
        <v>45891</v>
      </c>
      <c r="P389" s="83" t="s">
        <v>139</v>
      </c>
      <c r="Q389" s="84" t="s">
        <v>139</v>
      </c>
      <c r="R389" s="69" t="s">
        <v>140</v>
      </c>
      <c r="S389" s="72" t="s">
        <v>2305</v>
      </c>
      <c r="T389" s="79" t="s">
        <v>412</v>
      </c>
      <c r="U389" s="69" t="s">
        <v>2306</v>
      </c>
      <c r="V389" s="81" t="s">
        <v>52</v>
      </c>
      <c r="W389" s="76" t="s">
        <v>145</v>
      </c>
      <c r="X389" s="79" t="s">
        <v>412</v>
      </c>
      <c r="Y389" s="69">
        <v>1</v>
      </c>
      <c r="Z389" s="69">
        <v>1</v>
      </c>
      <c r="AA389" s="69">
        <v>1</v>
      </c>
      <c r="AB389" s="49">
        <f>IF(V389="TIPO I",'BASE DE LIQUIDACION 2025'!$B$3,'BASE DE LIQUIDACION 2025'!$B$4)</f>
        <v>11251.22416</v>
      </c>
      <c r="AC389" s="49">
        <f>IF(V389="TIPO I",'BASE DE LIQUIDACION 2025'!$C$3,'BASE DE LIQUIDACION 2025'!$C$4)</f>
        <v>126317.12212</v>
      </c>
      <c r="AD389" s="49">
        <f>IF(V389="TIPO I",'BASE DE LIQUIDACION 2025'!$D$3,'BASE DE LIQUIDACION 2025'!$D$4)</f>
        <v>57411.974240000003</v>
      </c>
      <c r="AE389" s="53">
        <f t="shared" si="7"/>
        <v>194980.32052000001</v>
      </c>
    </row>
    <row r="390" spans="1:31" s="46" customFormat="1" ht="12.75" customHeight="1">
      <c r="A390" s="69" t="s">
        <v>269</v>
      </c>
      <c r="B390" s="45" t="str">
        <f>VLOOKUP(A390,'CENTRO DE COSTOS'!A:D,4,FALSE)</f>
        <v>MIGUEL JULIÁN HERNÁNDEZ GUARÍN</v>
      </c>
      <c r="C390" s="45" t="str">
        <f>VLOOKUP(A390,'CENTRO DE COSTOS'!A:D,2,FALSE)</f>
        <v>0004-0008</v>
      </c>
      <c r="D390" s="69">
        <v>68276</v>
      </c>
      <c r="E390" s="70" t="s">
        <v>2307</v>
      </c>
      <c r="F390" s="71">
        <v>81134</v>
      </c>
      <c r="G390" s="79" t="s">
        <v>132</v>
      </c>
      <c r="H390" s="73" t="s">
        <v>133</v>
      </c>
      <c r="I390" s="71" t="s">
        <v>795</v>
      </c>
      <c r="J390" s="81" t="s">
        <v>925</v>
      </c>
      <c r="K390" s="71" t="s">
        <v>2308</v>
      </c>
      <c r="L390" s="75" t="s">
        <v>137</v>
      </c>
      <c r="M390" s="82" t="s">
        <v>2309</v>
      </c>
      <c r="N390" s="74">
        <v>45890</v>
      </c>
      <c r="O390" s="76">
        <v>45891</v>
      </c>
      <c r="P390" s="83" t="s">
        <v>139</v>
      </c>
      <c r="Q390" s="84" t="s">
        <v>139</v>
      </c>
      <c r="R390" s="69" t="s">
        <v>140</v>
      </c>
      <c r="S390" s="72" t="s">
        <v>2310</v>
      </c>
      <c r="T390" s="79" t="s">
        <v>922</v>
      </c>
      <c r="U390" s="69" t="s">
        <v>2311</v>
      </c>
      <c r="V390" s="81" t="s">
        <v>52</v>
      </c>
      <c r="W390" s="76" t="s">
        <v>145</v>
      </c>
      <c r="X390" s="79" t="s">
        <v>922</v>
      </c>
      <c r="Y390" s="69">
        <v>1</v>
      </c>
      <c r="Z390" s="69">
        <v>1</v>
      </c>
      <c r="AA390" s="69">
        <v>1</v>
      </c>
      <c r="AB390" s="49">
        <f>IF(V390="TIPO I",'BASE DE LIQUIDACION 2025'!$B$3,'BASE DE LIQUIDACION 2025'!$B$4)</f>
        <v>11251.22416</v>
      </c>
      <c r="AC390" s="49">
        <f>IF(V390="TIPO I",'BASE DE LIQUIDACION 2025'!$C$3,'BASE DE LIQUIDACION 2025'!$C$4)</f>
        <v>126317.12212</v>
      </c>
      <c r="AD390" s="49">
        <f>IF(V390="TIPO I",'BASE DE LIQUIDACION 2025'!$D$3,'BASE DE LIQUIDACION 2025'!$D$4)</f>
        <v>57411.974240000003</v>
      </c>
      <c r="AE390" s="53">
        <f t="shared" si="7"/>
        <v>194980.32052000001</v>
      </c>
    </row>
    <row r="391" spans="1:31" s="46" customFormat="1" ht="12.75" customHeight="1">
      <c r="A391" s="69" t="s">
        <v>269</v>
      </c>
      <c r="B391" s="45" t="str">
        <f>VLOOKUP(A391,'CENTRO DE COSTOS'!A:D,4,FALSE)</f>
        <v>MIGUEL JULIÁN HERNÁNDEZ GUARÍN</v>
      </c>
      <c r="C391" s="45" t="str">
        <f>VLOOKUP(A391,'CENTRO DE COSTOS'!A:D,2,FALSE)</f>
        <v>0004-0008</v>
      </c>
      <c r="D391" s="69">
        <v>20710</v>
      </c>
      <c r="E391" s="70" t="s">
        <v>2312</v>
      </c>
      <c r="F391" s="71">
        <v>81155</v>
      </c>
      <c r="G391" s="79" t="s">
        <v>132</v>
      </c>
      <c r="H391" s="73" t="s">
        <v>133</v>
      </c>
      <c r="I391" s="71" t="s">
        <v>401</v>
      </c>
      <c r="J391" s="81" t="s">
        <v>2313</v>
      </c>
      <c r="K391" s="71" t="s">
        <v>2314</v>
      </c>
      <c r="L391" s="75" t="s">
        <v>137</v>
      </c>
      <c r="M391" s="82" t="s">
        <v>2315</v>
      </c>
      <c r="N391" s="74">
        <v>45890</v>
      </c>
      <c r="O391" s="76">
        <v>45891</v>
      </c>
      <c r="P391" s="83" t="s">
        <v>139</v>
      </c>
      <c r="Q391" s="84" t="s">
        <v>139</v>
      </c>
      <c r="R391" s="69" t="s">
        <v>140</v>
      </c>
      <c r="S391" s="72" t="s">
        <v>2316</v>
      </c>
      <c r="T391" s="79" t="s">
        <v>988</v>
      </c>
      <c r="U391" s="69" t="s">
        <v>2317</v>
      </c>
      <c r="V391" s="81" t="s">
        <v>230</v>
      </c>
      <c r="W391" s="76" t="s">
        <v>145</v>
      </c>
      <c r="X391" s="79" t="s">
        <v>988</v>
      </c>
      <c r="Y391" s="69">
        <v>1</v>
      </c>
      <c r="Z391" s="69">
        <v>1</v>
      </c>
      <c r="AA391" s="69">
        <v>1</v>
      </c>
      <c r="AB391" s="49">
        <f>IF(V391="TIPO I",'BASE DE LIQUIDACION 2025'!$B$3,'BASE DE LIQUIDACION 2025'!$B$4)</f>
        <v>11251.22416</v>
      </c>
      <c r="AC391" s="49">
        <f>IF(V391="TIPO I",'BASE DE LIQUIDACION 2025'!$C$3,'BASE DE LIQUIDACION 2025'!$C$4)</f>
        <v>126317.12212</v>
      </c>
      <c r="AD391" s="49">
        <f>IF(V391="TIPO I",'BASE DE LIQUIDACION 2025'!$D$3,'BASE DE LIQUIDACION 2025'!$D$4)</f>
        <v>110808.27512000001</v>
      </c>
      <c r="AE391" s="53">
        <f t="shared" si="7"/>
        <v>248376.6214</v>
      </c>
    </row>
    <row r="392" spans="1:31" s="46" customFormat="1" ht="12.75" customHeight="1">
      <c r="A392" s="69" t="s">
        <v>453</v>
      </c>
      <c r="B392" s="45" t="str">
        <f>VLOOKUP(A392,'CENTRO DE COSTOS'!A:D,4,FALSE)</f>
        <v>DIEGO FERNANDO HENAO CARDONA</v>
      </c>
      <c r="C392" s="45" t="str">
        <f>VLOOKUP(A392,'CENTRO DE COSTOS'!A:D,2,FALSE)</f>
        <v>0004-0002</v>
      </c>
      <c r="D392" s="69">
        <v>66318</v>
      </c>
      <c r="E392" s="70" t="s">
        <v>2318</v>
      </c>
      <c r="F392" s="71">
        <v>81139</v>
      </c>
      <c r="G392" s="79" t="s">
        <v>132</v>
      </c>
      <c r="H392" s="73" t="s">
        <v>133</v>
      </c>
      <c r="I392" s="71" t="s">
        <v>579</v>
      </c>
      <c r="J392" s="81" t="s">
        <v>2319</v>
      </c>
      <c r="K392" s="71" t="s">
        <v>2320</v>
      </c>
      <c r="L392" s="75" t="s">
        <v>137</v>
      </c>
      <c r="M392" s="82" t="s">
        <v>2321</v>
      </c>
      <c r="N392" s="74">
        <v>45890</v>
      </c>
      <c r="O392" s="76">
        <v>45898</v>
      </c>
      <c r="P392" s="83" t="s">
        <v>139</v>
      </c>
      <c r="Q392" s="84" t="s">
        <v>139</v>
      </c>
      <c r="R392" s="69" t="s">
        <v>140</v>
      </c>
      <c r="S392" s="72" t="s">
        <v>2322</v>
      </c>
      <c r="T392" s="79" t="s">
        <v>508</v>
      </c>
      <c r="U392" s="69" t="s">
        <v>2323</v>
      </c>
      <c r="V392" s="81" t="s">
        <v>202</v>
      </c>
      <c r="W392" s="76" t="s">
        <v>145</v>
      </c>
      <c r="X392" s="79" t="s">
        <v>508</v>
      </c>
      <c r="Y392" s="69">
        <v>1</v>
      </c>
      <c r="Z392" s="69">
        <v>1</v>
      </c>
      <c r="AA392" s="69">
        <v>3</v>
      </c>
      <c r="AB392" s="49">
        <f>IF(V392="TIPO I",'BASE DE LIQUIDACION 2025'!$B$3,'BASE DE LIQUIDACION 2025'!$B$4)</f>
        <v>11251.22416</v>
      </c>
      <c r="AC392" s="49">
        <f>IF(V392="TIPO I",'BASE DE LIQUIDACION 2025'!$C$3,'BASE DE LIQUIDACION 2025'!$C$4)</f>
        <v>126317.12212</v>
      </c>
      <c r="AD392" s="49">
        <f>IF(V392="TIPO I",'BASE DE LIQUIDACION 2025'!$D$3,'BASE DE LIQUIDACION 2025'!$D$4)</f>
        <v>110808.27512000001</v>
      </c>
      <c r="AE392" s="53">
        <f t="shared" si="7"/>
        <v>469993.17164000002</v>
      </c>
    </row>
    <row r="393" spans="1:31" s="46" customFormat="1" ht="12.75" customHeight="1">
      <c r="A393" s="69" t="s">
        <v>431</v>
      </c>
      <c r="B393" s="45" t="str">
        <f>VLOOKUP(A393,'CENTRO DE COSTOS'!A:D,4,FALSE)</f>
        <v>WILLIAM ASDRUBAL ROZO ROZO</v>
      </c>
      <c r="C393" s="45" t="str">
        <f>VLOOKUP(A393,'CENTRO DE COSTOS'!A:D,2,FALSE)</f>
        <v>0004-0004</v>
      </c>
      <c r="D393" s="69">
        <v>25326</v>
      </c>
      <c r="E393" s="70" t="s">
        <v>2324</v>
      </c>
      <c r="F393" s="71">
        <v>81158</v>
      </c>
      <c r="G393" s="79" t="s">
        <v>132</v>
      </c>
      <c r="H393" s="73" t="s">
        <v>133</v>
      </c>
      <c r="I393" s="71" t="s">
        <v>433</v>
      </c>
      <c r="J393" s="81" t="s">
        <v>2325</v>
      </c>
      <c r="K393" s="71" t="s">
        <v>2326</v>
      </c>
      <c r="L393" s="75" t="s">
        <v>137</v>
      </c>
      <c r="M393" s="82" t="s">
        <v>2327</v>
      </c>
      <c r="N393" s="74">
        <v>45890</v>
      </c>
      <c r="O393" s="76">
        <v>45894</v>
      </c>
      <c r="P393" s="83" t="s">
        <v>139</v>
      </c>
      <c r="Q393" s="84" t="s">
        <v>139</v>
      </c>
      <c r="R393" s="69" t="s">
        <v>140</v>
      </c>
      <c r="S393" s="72" t="s">
        <v>2328</v>
      </c>
      <c r="T393" s="79" t="s">
        <v>856</v>
      </c>
      <c r="U393" s="69" t="s">
        <v>2329</v>
      </c>
      <c r="V393" s="81" t="s">
        <v>202</v>
      </c>
      <c r="W393" s="76" t="s">
        <v>145</v>
      </c>
      <c r="X393" s="79" t="s">
        <v>856</v>
      </c>
      <c r="Y393" s="69">
        <v>1</v>
      </c>
      <c r="Z393" s="69">
        <v>1</v>
      </c>
      <c r="AA393" s="69">
        <v>1</v>
      </c>
      <c r="AB393" s="49">
        <f>IF(V393="TIPO I",'BASE DE LIQUIDACION 2025'!$B$3,'BASE DE LIQUIDACION 2025'!$B$4)</f>
        <v>11251.22416</v>
      </c>
      <c r="AC393" s="49">
        <f>IF(V393="TIPO I",'BASE DE LIQUIDACION 2025'!$C$3,'BASE DE LIQUIDACION 2025'!$C$4)</f>
        <v>126317.12212</v>
      </c>
      <c r="AD393" s="49">
        <f>IF(V393="TIPO I",'BASE DE LIQUIDACION 2025'!$D$3,'BASE DE LIQUIDACION 2025'!$D$4)</f>
        <v>110808.27512000001</v>
      </c>
      <c r="AE393" s="53">
        <f t="shared" si="7"/>
        <v>248376.6214</v>
      </c>
    </row>
    <row r="394" spans="1:31" s="46" customFormat="1" ht="12.75" customHeight="1">
      <c r="A394" s="69" t="s">
        <v>431</v>
      </c>
      <c r="B394" s="45" t="str">
        <f>VLOOKUP(A394,'CENTRO DE COSTOS'!A:D,4,FALSE)</f>
        <v>WILLIAM ASDRUBAL ROZO ROZO</v>
      </c>
      <c r="C394" s="45" t="str">
        <f>VLOOKUP(A394,'CENTRO DE COSTOS'!A:D,2,FALSE)</f>
        <v>0004-0004</v>
      </c>
      <c r="D394" s="69">
        <v>25286</v>
      </c>
      <c r="E394" s="70" t="s">
        <v>2330</v>
      </c>
      <c r="F394" s="71">
        <v>81136</v>
      </c>
      <c r="G394" s="79" t="s">
        <v>132</v>
      </c>
      <c r="H394" s="73" t="s">
        <v>133</v>
      </c>
      <c r="I394" s="71" t="s">
        <v>433</v>
      </c>
      <c r="J394" s="81" t="s">
        <v>2024</v>
      </c>
      <c r="K394" s="71" t="s">
        <v>2331</v>
      </c>
      <c r="L394" s="75" t="s">
        <v>137</v>
      </c>
      <c r="M394" s="82" t="s">
        <v>2332</v>
      </c>
      <c r="N394" s="74">
        <v>45890</v>
      </c>
      <c r="O394" s="76">
        <v>45891</v>
      </c>
      <c r="P394" s="83" t="s">
        <v>139</v>
      </c>
      <c r="Q394" s="84" t="s">
        <v>139</v>
      </c>
      <c r="R394" s="69" t="s">
        <v>140</v>
      </c>
      <c r="S394" s="72" t="s">
        <v>2333</v>
      </c>
      <c r="T394" s="79" t="s">
        <v>502</v>
      </c>
      <c r="U394" s="69" t="s">
        <v>2334</v>
      </c>
      <c r="V394" s="81" t="s">
        <v>202</v>
      </c>
      <c r="W394" s="76" t="s">
        <v>145</v>
      </c>
      <c r="X394" s="79" t="s">
        <v>502</v>
      </c>
      <c r="Y394" s="69">
        <v>1</v>
      </c>
      <c r="Z394" s="69">
        <v>1</v>
      </c>
      <c r="AA394" s="69">
        <v>1</v>
      </c>
      <c r="AB394" s="49">
        <f>IF(V394="TIPO I",'BASE DE LIQUIDACION 2025'!$B$3,'BASE DE LIQUIDACION 2025'!$B$4)</f>
        <v>11251.22416</v>
      </c>
      <c r="AC394" s="49">
        <f>IF(V394="TIPO I",'BASE DE LIQUIDACION 2025'!$C$3,'BASE DE LIQUIDACION 2025'!$C$4)</f>
        <v>126317.12212</v>
      </c>
      <c r="AD394" s="49">
        <f>IF(V394="TIPO I",'BASE DE LIQUIDACION 2025'!$D$3,'BASE DE LIQUIDACION 2025'!$D$4)</f>
        <v>110808.27512000001</v>
      </c>
      <c r="AE394" s="53">
        <f t="shared" si="7"/>
        <v>248376.6214</v>
      </c>
    </row>
    <row r="395" spans="1:31" s="46" customFormat="1" ht="12.75" customHeight="1">
      <c r="A395" s="69" t="s">
        <v>439</v>
      </c>
      <c r="B395" s="45" t="str">
        <f>VLOOKUP(A395,'CENTRO DE COSTOS'!A:D,4,FALSE)</f>
        <v>DIEGO FERNANDO HENAO CARDONA</v>
      </c>
      <c r="C395" s="45" t="str">
        <f>VLOOKUP(A395,'CENTRO DE COSTOS'!A:D,2,FALSE)</f>
        <v>0004-0002</v>
      </c>
      <c r="D395" s="69">
        <v>17001</v>
      </c>
      <c r="E395" s="70" t="s">
        <v>2335</v>
      </c>
      <c r="F395" s="71">
        <v>81143</v>
      </c>
      <c r="G395" s="79" t="s">
        <v>132</v>
      </c>
      <c r="H395" s="73" t="s">
        <v>133</v>
      </c>
      <c r="I395" s="71" t="s">
        <v>441</v>
      </c>
      <c r="J395" s="81" t="s">
        <v>439</v>
      </c>
      <c r="K395" s="71" t="s">
        <v>2336</v>
      </c>
      <c r="L395" s="75" t="s">
        <v>137</v>
      </c>
      <c r="M395" s="82" t="s">
        <v>2337</v>
      </c>
      <c r="N395" s="74">
        <v>45890</v>
      </c>
      <c r="O395" s="76">
        <v>45894</v>
      </c>
      <c r="P395" s="83" t="s">
        <v>139</v>
      </c>
      <c r="Q395" s="84" t="s">
        <v>139</v>
      </c>
      <c r="R395" s="69" t="s">
        <v>140</v>
      </c>
      <c r="S395" s="72" t="s">
        <v>2338</v>
      </c>
      <c r="T395" s="79" t="s">
        <v>445</v>
      </c>
      <c r="U395" s="69" t="s">
        <v>2339</v>
      </c>
      <c r="V395" s="81" t="s">
        <v>52</v>
      </c>
      <c r="W395" s="76" t="s">
        <v>145</v>
      </c>
      <c r="X395" s="79" t="s">
        <v>445</v>
      </c>
      <c r="Y395" s="69">
        <v>1</v>
      </c>
      <c r="Z395" s="69">
        <v>1</v>
      </c>
      <c r="AA395" s="69">
        <v>1</v>
      </c>
      <c r="AB395" s="49">
        <f>IF(V395="TIPO I",'BASE DE LIQUIDACION 2025'!$B$3,'BASE DE LIQUIDACION 2025'!$B$4)</f>
        <v>11251.22416</v>
      </c>
      <c r="AC395" s="49">
        <f>IF(V395="TIPO I",'BASE DE LIQUIDACION 2025'!$C$3,'BASE DE LIQUIDACION 2025'!$C$4)</f>
        <v>126317.12212</v>
      </c>
      <c r="AD395" s="49">
        <f>IF(V395="TIPO I",'BASE DE LIQUIDACION 2025'!$D$3,'BASE DE LIQUIDACION 2025'!$D$4)</f>
        <v>57411.974240000003</v>
      </c>
      <c r="AE395" s="53">
        <f t="shared" si="7"/>
        <v>194980.32052000001</v>
      </c>
    </row>
    <row r="396" spans="1:31" s="46" customFormat="1" ht="12.75" customHeight="1">
      <c r="A396" s="69" t="s">
        <v>220</v>
      </c>
      <c r="B396" s="45" t="str">
        <f>VLOOKUP(A396,'CENTRO DE COSTOS'!A:D,4,FALSE)</f>
        <v>DIEGO FERNANDO HENAO CARDONA</v>
      </c>
      <c r="C396" s="45" t="str">
        <f>VLOOKUP(A396,'CENTRO DE COSTOS'!A:D,2,FALSE)</f>
        <v>0004-0003</v>
      </c>
      <c r="D396" s="69">
        <v>19001</v>
      </c>
      <c r="E396" s="70" t="s">
        <v>2340</v>
      </c>
      <c r="F396" s="71">
        <v>81150</v>
      </c>
      <c r="G396" s="79" t="s">
        <v>132</v>
      </c>
      <c r="H396" s="73" t="s">
        <v>133</v>
      </c>
      <c r="I396" s="71" t="s">
        <v>223</v>
      </c>
      <c r="J396" s="81" t="s">
        <v>1344</v>
      </c>
      <c r="K396" s="71" t="s">
        <v>2341</v>
      </c>
      <c r="L396" s="75" t="s">
        <v>137</v>
      </c>
      <c r="M396" s="82" t="s">
        <v>2342</v>
      </c>
      <c r="N396" s="74">
        <v>45890</v>
      </c>
      <c r="O396" s="76">
        <v>45894</v>
      </c>
      <c r="P396" s="83" t="s">
        <v>139</v>
      </c>
      <c r="Q396" s="84" t="s">
        <v>139</v>
      </c>
      <c r="R396" s="69" t="s">
        <v>140</v>
      </c>
      <c r="S396" s="72" t="s">
        <v>2343</v>
      </c>
      <c r="T396" s="79" t="s">
        <v>299</v>
      </c>
      <c r="U396" s="69" t="s">
        <v>2344</v>
      </c>
      <c r="V396" s="81" t="s">
        <v>230</v>
      </c>
      <c r="W396" s="76" t="s">
        <v>145</v>
      </c>
      <c r="X396" s="79" t="s">
        <v>299</v>
      </c>
      <c r="Y396" s="69">
        <v>1</v>
      </c>
      <c r="Z396" s="69">
        <v>1</v>
      </c>
      <c r="AA396" s="69">
        <v>1</v>
      </c>
      <c r="AB396" s="49">
        <f>IF(V396="TIPO I",'BASE DE LIQUIDACION 2025'!$B$3,'BASE DE LIQUIDACION 2025'!$B$4)</f>
        <v>11251.22416</v>
      </c>
      <c r="AC396" s="49">
        <f>IF(V396="TIPO I",'BASE DE LIQUIDACION 2025'!$C$3,'BASE DE LIQUIDACION 2025'!$C$4)</f>
        <v>126317.12212</v>
      </c>
      <c r="AD396" s="49">
        <f>IF(V396="TIPO I",'BASE DE LIQUIDACION 2025'!$D$3,'BASE DE LIQUIDACION 2025'!$D$4)</f>
        <v>110808.27512000001</v>
      </c>
      <c r="AE396" s="53">
        <f t="shared" si="7"/>
        <v>248376.6214</v>
      </c>
    </row>
    <row r="397" spans="1:31" s="46" customFormat="1" ht="12.75" customHeight="1">
      <c r="A397" s="69" t="s">
        <v>431</v>
      </c>
      <c r="B397" s="45" t="str">
        <f>VLOOKUP(A397,'CENTRO DE COSTOS'!A:D,4,FALSE)</f>
        <v>WILLIAM ASDRUBAL ROZO ROZO</v>
      </c>
      <c r="C397" s="45" t="str">
        <f>VLOOKUP(A397,'CENTRO DE COSTOS'!A:D,2,FALSE)</f>
        <v>0004-0004</v>
      </c>
      <c r="D397" s="69">
        <v>25386</v>
      </c>
      <c r="E397" s="70" t="s">
        <v>2345</v>
      </c>
      <c r="F397" s="71">
        <v>81141</v>
      </c>
      <c r="G397" s="79" t="s">
        <v>132</v>
      </c>
      <c r="H397" s="73" t="s">
        <v>133</v>
      </c>
      <c r="I397" s="71" t="s">
        <v>433</v>
      </c>
      <c r="J397" s="81" t="s">
        <v>2346</v>
      </c>
      <c r="K397" s="71" t="s">
        <v>2347</v>
      </c>
      <c r="L397" s="75" t="s">
        <v>137</v>
      </c>
      <c r="M397" s="82" t="s">
        <v>2348</v>
      </c>
      <c r="N397" s="74">
        <v>45890</v>
      </c>
      <c r="O397" s="76">
        <v>45891</v>
      </c>
      <c r="P397" s="83" t="s">
        <v>139</v>
      </c>
      <c r="Q397" s="84" t="s">
        <v>139</v>
      </c>
      <c r="R397" s="69" t="s">
        <v>140</v>
      </c>
      <c r="S397" s="72" t="s">
        <v>2349</v>
      </c>
      <c r="T397" s="79" t="s">
        <v>551</v>
      </c>
      <c r="U397" s="69" t="s">
        <v>2350</v>
      </c>
      <c r="V397" s="81" t="s">
        <v>202</v>
      </c>
      <c r="W397" s="76" t="s">
        <v>145</v>
      </c>
      <c r="X397" s="79" t="s">
        <v>551</v>
      </c>
      <c r="Y397" s="69">
        <v>1</v>
      </c>
      <c r="Z397" s="69">
        <v>1</v>
      </c>
      <c r="AA397" s="69">
        <v>1</v>
      </c>
      <c r="AB397" s="49">
        <f>IF(V397="TIPO I",'BASE DE LIQUIDACION 2025'!$B$3,'BASE DE LIQUIDACION 2025'!$B$4)</f>
        <v>11251.22416</v>
      </c>
      <c r="AC397" s="49">
        <f>IF(V397="TIPO I",'BASE DE LIQUIDACION 2025'!$C$3,'BASE DE LIQUIDACION 2025'!$C$4)</f>
        <v>126317.12212</v>
      </c>
      <c r="AD397" s="49">
        <f>IF(V397="TIPO I",'BASE DE LIQUIDACION 2025'!$D$3,'BASE DE LIQUIDACION 2025'!$D$4)</f>
        <v>110808.27512000001</v>
      </c>
      <c r="AE397" s="53">
        <f t="shared" si="7"/>
        <v>248376.6214</v>
      </c>
    </row>
    <row r="398" spans="1:31" s="46" customFormat="1" ht="12.75" customHeight="1">
      <c r="A398" s="69" t="s">
        <v>608</v>
      </c>
      <c r="B398" s="45" t="str">
        <f>VLOOKUP(A398,'CENTRO DE COSTOS'!A:D,4,FALSE)</f>
        <v>JUAN SEBASTIÁN RÍOS CASTRILLÓN</v>
      </c>
      <c r="C398" s="45" t="str">
        <f>VLOOKUP(A398,'CENTRO DE COSTOS'!A:D,2,FALSE)</f>
        <v>0004-0005</v>
      </c>
      <c r="D398" s="69">
        <v>5147</v>
      </c>
      <c r="E398" s="70" t="s">
        <v>2351</v>
      </c>
      <c r="F398" s="71">
        <v>81130</v>
      </c>
      <c r="G398" s="79" t="s">
        <v>132</v>
      </c>
      <c r="H398" s="73" t="s">
        <v>133</v>
      </c>
      <c r="I398" s="71" t="s">
        <v>178</v>
      </c>
      <c r="J398" s="81" t="s">
        <v>2352</v>
      </c>
      <c r="K398" s="71" t="s">
        <v>2353</v>
      </c>
      <c r="L398" s="75" t="s">
        <v>137</v>
      </c>
      <c r="M398" s="82" t="s">
        <v>2354</v>
      </c>
      <c r="N398" s="74">
        <v>45890</v>
      </c>
      <c r="O398" s="76">
        <v>45891</v>
      </c>
      <c r="P398" s="83" t="s">
        <v>139</v>
      </c>
      <c r="Q398" s="84" t="s">
        <v>139</v>
      </c>
      <c r="R398" s="69" t="s">
        <v>140</v>
      </c>
      <c r="S398" s="72" t="s">
        <v>2355</v>
      </c>
      <c r="T398" s="79" t="s">
        <v>338</v>
      </c>
      <c r="U398" s="69" t="s">
        <v>2356</v>
      </c>
      <c r="V398" s="81" t="s">
        <v>52</v>
      </c>
      <c r="W398" s="76" t="s">
        <v>145</v>
      </c>
      <c r="X398" s="79" t="s">
        <v>338</v>
      </c>
      <c r="Y398" s="69">
        <v>1</v>
      </c>
      <c r="Z398" s="69">
        <v>1</v>
      </c>
      <c r="AA398" s="69">
        <v>1</v>
      </c>
      <c r="AB398" s="49">
        <f>IF(V398="TIPO I",'BASE DE LIQUIDACION 2025'!$B$3,'BASE DE LIQUIDACION 2025'!$B$4)</f>
        <v>11251.22416</v>
      </c>
      <c r="AC398" s="49">
        <f>IF(V398="TIPO I",'BASE DE LIQUIDACION 2025'!$C$3,'BASE DE LIQUIDACION 2025'!$C$4)</f>
        <v>126317.12212</v>
      </c>
      <c r="AD398" s="49">
        <f>IF(V398="TIPO I",'BASE DE LIQUIDACION 2025'!$D$3,'BASE DE LIQUIDACION 2025'!$D$4)</f>
        <v>57411.974240000003</v>
      </c>
      <c r="AE398" s="53">
        <f t="shared" si="7"/>
        <v>194980.32052000001</v>
      </c>
    </row>
    <row r="399" spans="1:31" s="46" customFormat="1" ht="12.75" customHeight="1">
      <c r="A399" s="69" t="s">
        <v>608</v>
      </c>
      <c r="B399" s="45" t="str">
        <f>VLOOKUP(A399,'CENTRO DE COSTOS'!A:D,4,FALSE)</f>
        <v>JUAN SEBASTIÁN RÍOS CASTRILLÓN</v>
      </c>
      <c r="C399" s="45" t="str">
        <f>VLOOKUP(A399,'CENTRO DE COSTOS'!A:D,2,FALSE)</f>
        <v>0004-0005</v>
      </c>
      <c r="D399" s="69">
        <v>5045</v>
      </c>
      <c r="E399" s="70" t="s">
        <v>2357</v>
      </c>
      <c r="F399" s="71">
        <v>81129</v>
      </c>
      <c r="G399" s="79" t="s">
        <v>132</v>
      </c>
      <c r="H399" s="73" t="s">
        <v>222</v>
      </c>
      <c r="I399" s="71" t="s">
        <v>178</v>
      </c>
      <c r="J399" s="81" t="s">
        <v>608</v>
      </c>
      <c r="K399" s="71" t="s">
        <v>2358</v>
      </c>
      <c r="L399" s="75" t="s">
        <v>137</v>
      </c>
      <c r="M399" s="82" t="s">
        <v>2359</v>
      </c>
      <c r="N399" s="74">
        <v>45890</v>
      </c>
      <c r="O399" s="76">
        <v>45891</v>
      </c>
      <c r="P399" s="83" t="s">
        <v>139</v>
      </c>
      <c r="Q399" s="84" t="s">
        <v>139</v>
      </c>
      <c r="R399" s="69" t="s">
        <v>140</v>
      </c>
      <c r="S399" s="72" t="s">
        <v>2360</v>
      </c>
      <c r="T399" s="79" t="s">
        <v>614</v>
      </c>
      <c r="U399" s="69" t="s">
        <v>2361</v>
      </c>
      <c r="V399" s="81" t="s">
        <v>52</v>
      </c>
      <c r="W399" s="76" t="s">
        <v>145</v>
      </c>
      <c r="X399" s="79" t="s">
        <v>614</v>
      </c>
      <c r="Y399" s="69">
        <v>1</v>
      </c>
      <c r="Z399" s="69">
        <v>1</v>
      </c>
      <c r="AA399" s="69">
        <v>1</v>
      </c>
      <c r="AB399" s="49">
        <f>IF(V399="TIPO I",'BASE DE LIQUIDACION 2025'!$B$3,'BASE DE LIQUIDACION 2025'!$B$4)</f>
        <v>11251.22416</v>
      </c>
      <c r="AC399" s="49">
        <f>IF(V399="TIPO I",'BASE DE LIQUIDACION 2025'!$C$3,'BASE DE LIQUIDACION 2025'!$C$4)</f>
        <v>126317.12212</v>
      </c>
      <c r="AD399" s="49">
        <f>IF(V399="TIPO I",'BASE DE LIQUIDACION 2025'!$D$3,'BASE DE LIQUIDACION 2025'!$D$4)</f>
        <v>57411.974240000003</v>
      </c>
      <c r="AE399" s="53">
        <f t="shared" si="7"/>
        <v>194980.32052000001</v>
      </c>
    </row>
    <row r="400" spans="1:31" s="46" customFormat="1" ht="12.75" customHeight="1">
      <c r="A400" s="69" t="s">
        <v>220</v>
      </c>
      <c r="B400" s="45" t="str">
        <f>VLOOKUP(A400,'CENTRO DE COSTOS'!A:D,4,FALSE)</f>
        <v>DIEGO FERNANDO HENAO CARDONA</v>
      </c>
      <c r="C400" s="45" t="str">
        <f>VLOOKUP(A400,'CENTRO DE COSTOS'!A:D,2,FALSE)</f>
        <v>0004-0003</v>
      </c>
      <c r="D400" s="69">
        <v>19001</v>
      </c>
      <c r="E400" s="70" t="s">
        <v>2362</v>
      </c>
      <c r="F400" s="71">
        <v>81151</v>
      </c>
      <c r="G400" s="79" t="s">
        <v>132</v>
      </c>
      <c r="H400" s="73" t="s">
        <v>133</v>
      </c>
      <c r="I400" s="71" t="s">
        <v>223</v>
      </c>
      <c r="J400" s="81" t="s">
        <v>1344</v>
      </c>
      <c r="K400" s="71" t="s">
        <v>2363</v>
      </c>
      <c r="L400" s="75" t="s">
        <v>137</v>
      </c>
      <c r="M400" s="82" t="s">
        <v>2364</v>
      </c>
      <c r="N400" s="74">
        <v>45890</v>
      </c>
      <c r="O400" s="76">
        <v>45894</v>
      </c>
      <c r="P400" s="83" t="s">
        <v>139</v>
      </c>
      <c r="Q400" s="84" t="s">
        <v>139</v>
      </c>
      <c r="R400" s="69" t="s">
        <v>140</v>
      </c>
      <c r="S400" s="72" t="s">
        <v>2365</v>
      </c>
      <c r="T400" s="79" t="s">
        <v>299</v>
      </c>
      <c r="U400" s="69" t="s">
        <v>2366</v>
      </c>
      <c r="V400" s="81" t="s">
        <v>230</v>
      </c>
      <c r="W400" s="76" t="s">
        <v>145</v>
      </c>
      <c r="X400" s="79" t="s">
        <v>299</v>
      </c>
      <c r="Y400" s="69">
        <v>1</v>
      </c>
      <c r="Z400" s="69">
        <v>1</v>
      </c>
      <c r="AA400" s="69">
        <v>1</v>
      </c>
      <c r="AB400" s="49">
        <f>IF(V400="TIPO I",'BASE DE LIQUIDACION 2025'!$B$3,'BASE DE LIQUIDACION 2025'!$B$4)</f>
        <v>11251.22416</v>
      </c>
      <c r="AC400" s="49">
        <f>IF(V400="TIPO I",'BASE DE LIQUIDACION 2025'!$C$3,'BASE DE LIQUIDACION 2025'!$C$4)</f>
        <v>126317.12212</v>
      </c>
      <c r="AD400" s="49">
        <f>IF(V400="TIPO I",'BASE DE LIQUIDACION 2025'!$D$3,'BASE DE LIQUIDACION 2025'!$D$4)</f>
        <v>110808.27512000001</v>
      </c>
      <c r="AE400" s="53">
        <f t="shared" si="7"/>
        <v>248376.6214</v>
      </c>
    </row>
    <row r="401" spans="1:31" s="46" customFormat="1" ht="12.75" customHeight="1">
      <c r="A401" s="69" t="s">
        <v>439</v>
      </c>
      <c r="B401" s="45" t="str">
        <f>VLOOKUP(A401,'CENTRO DE COSTOS'!A:D,4,FALSE)</f>
        <v>DIEGO FERNANDO HENAO CARDONA</v>
      </c>
      <c r="C401" s="45" t="str">
        <f>VLOOKUP(A401,'CENTRO DE COSTOS'!A:D,2,FALSE)</f>
        <v>0004-0002</v>
      </c>
      <c r="D401" s="69">
        <v>17001</v>
      </c>
      <c r="E401" s="70" t="s">
        <v>2367</v>
      </c>
      <c r="F401" s="71">
        <v>81145</v>
      </c>
      <c r="G401" s="79" t="s">
        <v>132</v>
      </c>
      <c r="H401" s="73" t="s">
        <v>133</v>
      </c>
      <c r="I401" s="71" t="s">
        <v>441</v>
      </c>
      <c r="J401" s="81" t="s">
        <v>439</v>
      </c>
      <c r="K401" s="71" t="s">
        <v>2368</v>
      </c>
      <c r="L401" s="75" t="s">
        <v>137</v>
      </c>
      <c r="M401" s="82" t="s">
        <v>2369</v>
      </c>
      <c r="N401" s="74">
        <v>45890</v>
      </c>
      <c r="O401" s="76">
        <v>45894</v>
      </c>
      <c r="P401" s="83" t="s">
        <v>139</v>
      </c>
      <c r="Q401" s="84" t="s">
        <v>139</v>
      </c>
      <c r="R401" s="69" t="s">
        <v>140</v>
      </c>
      <c r="S401" s="72" t="s">
        <v>2370</v>
      </c>
      <c r="T401" s="79" t="s">
        <v>459</v>
      </c>
      <c r="U401" s="69" t="s">
        <v>2371</v>
      </c>
      <c r="V401" s="81" t="s">
        <v>52</v>
      </c>
      <c r="W401" s="76" t="s">
        <v>145</v>
      </c>
      <c r="X401" s="79" t="s">
        <v>459</v>
      </c>
      <c r="Y401" s="69">
        <v>1</v>
      </c>
      <c r="Z401" s="69">
        <v>1</v>
      </c>
      <c r="AA401" s="69">
        <v>1</v>
      </c>
      <c r="AB401" s="49">
        <f>IF(V401="TIPO I",'BASE DE LIQUIDACION 2025'!$B$3,'BASE DE LIQUIDACION 2025'!$B$4)</f>
        <v>11251.22416</v>
      </c>
      <c r="AC401" s="49">
        <f>IF(V401="TIPO I",'BASE DE LIQUIDACION 2025'!$C$3,'BASE DE LIQUIDACION 2025'!$C$4)</f>
        <v>126317.12212</v>
      </c>
      <c r="AD401" s="49">
        <f>IF(V401="TIPO I",'BASE DE LIQUIDACION 2025'!$D$3,'BASE DE LIQUIDACION 2025'!$D$4)</f>
        <v>57411.974240000003</v>
      </c>
      <c r="AE401" s="53">
        <f t="shared" ref="AE401:AE456" si="8">AB401*Y401+Z401*AC401+AA401*AD401</f>
        <v>194980.32052000001</v>
      </c>
    </row>
    <row r="402" spans="1:31" s="46" customFormat="1" ht="12.75" customHeight="1">
      <c r="A402" s="69" t="s">
        <v>151</v>
      </c>
      <c r="B402" s="45" t="str">
        <f>VLOOKUP(A402,'CENTRO DE COSTOS'!A:D,4,FALSE)</f>
        <v>DIEGO FERNANDO HENAO CARDONA</v>
      </c>
      <c r="C402" s="45" t="str">
        <f>VLOOKUP(A402,'CENTRO DE COSTOS'!A:D,2,FALSE)</f>
        <v>0004-0003</v>
      </c>
      <c r="D402" s="69">
        <v>52356</v>
      </c>
      <c r="E402" s="70" t="s">
        <v>2372</v>
      </c>
      <c r="F402" s="71">
        <v>81140</v>
      </c>
      <c r="G402" s="79" t="s">
        <v>132</v>
      </c>
      <c r="H402" s="73" t="s">
        <v>133</v>
      </c>
      <c r="I402" s="71" t="s">
        <v>153</v>
      </c>
      <c r="J402" s="81" t="s">
        <v>2373</v>
      </c>
      <c r="K402" s="71" t="s">
        <v>2374</v>
      </c>
      <c r="L402" s="75" t="s">
        <v>137</v>
      </c>
      <c r="M402" s="82" t="s">
        <v>2375</v>
      </c>
      <c r="N402" s="74">
        <v>45890</v>
      </c>
      <c r="O402" s="76">
        <v>45891</v>
      </c>
      <c r="P402" s="83" t="s">
        <v>139</v>
      </c>
      <c r="Q402" s="84" t="s">
        <v>139</v>
      </c>
      <c r="R402" s="69" t="s">
        <v>140</v>
      </c>
      <c r="S402" s="72" t="s">
        <v>2376</v>
      </c>
      <c r="T402" s="79" t="s">
        <v>158</v>
      </c>
      <c r="U402" s="69" t="s">
        <v>2377</v>
      </c>
      <c r="V402" s="81" t="s">
        <v>202</v>
      </c>
      <c r="W402" s="76" t="s">
        <v>145</v>
      </c>
      <c r="X402" s="79" t="s">
        <v>158</v>
      </c>
      <c r="Y402" s="69">
        <v>1</v>
      </c>
      <c r="Z402" s="69">
        <v>1</v>
      </c>
      <c r="AA402" s="69">
        <v>1</v>
      </c>
      <c r="AB402" s="49">
        <f>IF(V402="TIPO I",'BASE DE LIQUIDACION 2025'!$B$3,'BASE DE LIQUIDACION 2025'!$B$4)</f>
        <v>11251.22416</v>
      </c>
      <c r="AC402" s="49">
        <f>IF(V402="TIPO I",'BASE DE LIQUIDACION 2025'!$C$3,'BASE DE LIQUIDACION 2025'!$C$4)</f>
        <v>126317.12212</v>
      </c>
      <c r="AD402" s="49">
        <f>IF(V402="TIPO I",'BASE DE LIQUIDACION 2025'!$D$3,'BASE DE LIQUIDACION 2025'!$D$4)</f>
        <v>110808.27512000001</v>
      </c>
      <c r="AE402" s="53">
        <f t="shared" si="8"/>
        <v>248376.6214</v>
      </c>
    </row>
    <row r="403" spans="1:31" s="46" customFormat="1" ht="12.75" customHeight="1">
      <c r="A403" s="69" t="s">
        <v>220</v>
      </c>
      <c r="B403" s="45" t="str">
        <f>VLOOKUP(A403,'CENTRO DE COSTOS'!A:D,4,FALSE)</f>
        <v>DIEGO FERNANDO HENAO CARDONA</v>
      </c>
      <c r="C403" s="45" t="str">
        <f>VLOOKUP(A403,'CENTRO DE COSTOS'!A:D,2,FALSE)</f>
        <v>0004-0003</v>
      </c>
      <c r="D403" s="69">
        <v>19698</v>
      </c>
      <c r="E403" s="70" t="s">
        <v>2378</v>
      </c>
      <c r="F403" s="71">
        <v>81157</v>
      </c>
      <c r="G403" s="79" t="s">
        <v>132</v>
      </c>
      <c r="H403" s="73" t="s">
        <v>133</v>
      </c>
      <c r="I403" s="71" t="s">
        <v>223</v>
      </c>
      <c r="J403" s="81" t="s">
        <v>2379</v>
      </c>
      <c r="K403" s="71" t="s">
        <v>2380</v>
      </c>
      <c r="L403" s="75" t="s">
        <v>137</v>
      </c>
      <c r="M403" s="82" t="s">
        <v>2381</v>
      </c>
      <c r="N403" s="74">
        <v>45890</v>
      </c>
      <c r="O403" s="76">
        <v>45891</v>
      </c>
      <c r="P403" s="83" t="s">
        <v>139</v>
      </c>
      <c r="Q403" s="84" t="s">
        <v>139</v>
      </c>
      <c r="R403" s="69" t="s">
        <v>140</v>
      </c>
      <c r="S403" s="72" t="s">
        <v>2382</v>
      </c>
      <c r="T403" s="79" t="s">
        <v>489</v>
      </c>
      <c r="U403" s="69" t="s">
        <v>2383</v>
      </c>
      <c r="V403" s="81" t="s">
        <v>202</v>
      </c>
      <c r="W403" s="76" t="s">
        <v>145</v>
      </c>
      <c r="X403" s="79" t="s">
        <v>489</v>
      </c>
      <c r="Y403" s="69">
        <v>1</v>
      </c>
      <c r="Z403" s="69">
        <v>1</v>
      </c>
      <c r="AA403" s="69">
        <v>1</v>
      </c>
      <c r="AB403" s="49">
        <f>IF(V403="TIPO I",'BASE DE LIQUIDACION 2025'!$B$3,'BASE DE LIQUIDACION 2025'!$B$4)</f>
        <v>11251.22416</v>
      </c>
      <c r="AC403" s="49">
        <f>IF(V403="TIPO I",'BASE DE LIQUIDACION 2025'!$C$3,'BASE DE LIQUIDACION 2025'!$C$4)</f>
        <v>126317.12212</v>
      </c>
      <c r="AD403" s="49">
        <f>IF(V403="TIPO I",'BASE DE LIQUIDACION 2025'!$D$3,'BASE DE LIQUIDACION 2025'!$D$4)</f>
        <v>110808.27512000001</v>
      </c>
      <c r="AE403" s="53">
        <f t="shared" si="8"/>
        <v>248376.6214</v>
      </c>
    </row>
    <row r="404" spans="1:31" s="46" customFormat="1" ht="12.75" customHeight="1">
      <c r="A404" s="69" t="s">
        <v>175</v>
      </c>
      <c r="B404" s="45" t="str">
        <f>VLOOKUP(A404,'CENTRO DE COSTOS'!A:D,4,FALSE)</f>
        <v>JUAN SEBASTIÁN RÍOS CASTRILLÓN</v>
      </c>
      <c r="C404" s="45" t="str">
        <f>VLOOKUP(A404,'CENTRO DE COSTOS'!A:D,2,FALSE)</f>
        <v>0004-0005</v>
      </c>
      <c r="D404" s="69">
        <v>5789</v>
      </c>
      <c r="E404" s="70" t="s">
        <v>2384</v>
      </c>
      <c r="F404" s="71">
        <v>81156</v>
      </c>
      <c r="G404" s="79" t="s">
        <v>132</v>
      </c>
      <c r="H404" s="73" t="s">
        <v>222</v>
      </c>
      <c r="I404" s="71" t="s">
        <v>178</v>
      </c>
      <c r="J404" s="81" t="s">
        <v>2036</v>
      </c>
      <c r="K404" s="71" t="s">
        <v>2385</v>
      </c>
      <c r="L404" s="75" t="s">
        <v>137</v>
      </c>
      <c r="M404" s="82" t="s">
        <v>2386</v>
      </c>
      <c r="N404" s="74">
        <v>45890</v>
      </c>
      <c r="O404" s="76">
        <v>45891</v>
      </c>
      <c r="P404" s="83" t="s">
        <v>139</v>
      </c>
      <c r="Q404" s="84" t="s">
        <v>139</v>
      </c>
      <c r="R404" s="69" t="s">
        <v>140</v>
      </c>
      <c r="S404" s="72" t="s">
        <v>2387</v>
      </c>
      <c r="T404" s="79" t="s">
        <v>235</v>
      </c>
      <c r="U404" s="69" t="s">
        <v>2388</v>
      </c>
      <c r="V404" s="81" t="s">
        <v>230</v>
      </c>
      <c r="W404" s="76" t="s">
        <v>145</v>
      </c>
      <c r="X404" s="79" t="s">
        <v>235</v>
      </c>
      <c r="Y404" s="69">
        <v>1</v>
      </c>
      <c r="Z404" s="69">
        <v>1</v>
      </c>
      <c r="AA404" s="69">
        <v>1</v>
      </c>
      <c r="AB404" s="49">
        <f>IF(V404="TIPO I",'BASE DE LIQUIDACION 2025'!$B$3,'BASE DE LIQUIDACION 2025'!$B$4)</f>
        <v>11251.22416</v>
      </c>
      <c r="AC404" s="49">
        <f>IF(V404="TIPO I",'BASE DE LIQUIDACION 2025'!$C$3,'BASE DE LIQUIDACION 2025'!$C$4)</f>
        <v>126317.12212</v>
      </c>
      <c r="AD404" s="49">
        <f>IF(V404="TIPO I",'BASE DE LIQUIDACION 2025'!$D$3,'BASE DE LIQUIDACION 2025'!$D$4)</f>
        <v>110808.27512000001</v>
      </c>
      <c r="AE404" s="53">
        <f t="shared" si="8"/>
        <v>248376.6214</v>
      </c>
    </row>
    <row r="405" spans="1:31" s="46" customFormat="1" ht="12.75" customHeight="1">
      <c r="A405" s="69" t="s">
        <v>431</v>
      </c>
      <c r="B405" s="45" t="str">
        <f>VLOOKUP(A405,'CENTRO DE COSTOS'!A:D,4,FALSE)</f>
        <v>WILLIAM ASDRUBAL ROZO ROZO</v>
      </c>
      <c r="C405" s="45" t="str">
        <f>VLOOKUP(A405,'CENTRO DE COSTOS'!A:D,2,FALSE)</f>
        <v>0004-0004</v>
      </c>
      <c r="D405" s="69">
        <v>11001</v>
      </c>
      <c r="E405" s="70" t="s">
        <v>2389</v>
      </c>
      <c r="F405" s="71">
        <v>81121</v>
      </c>
      <c r="G405" s="79" t="s">
        <v>132</v>
      </c>
      <c r="H405" s="73" t="s">
        <v>133</v>
      </c>
      <c r="I405" s="71" t="s">
        <v>433</v>
      </c>
      <c r="J405" s="81" t="s">
        <v>431</v>
      </c>
      <c r="K405" s="71" t="s">
        <v>2390</v>
      </c>
      <c r="L405" s="75" t="s">
        <v>137</v>
      </c>
      <c r="M405" s="82" t="s">
        <v>2391</v>
      </c>
      <c r="N405" s="74">
        <v>45890</v>
      </c>
      <c r="O405" s="76">
        <v>45891</v>
      </c>
      <c r="P405" s="83" t="s">
        <v>139</v>
      </c>
      <c r="Q405" s="84" t="s">
        <v>139</v>
      </c>
      <c r="R405" s="69" t="s">
        <v>140</v>
      </c>
      <c r="S405" s="72" t="s">
        <v>2392</v>
      </c>
      <c r="T405" s="79" t="s">
        <v>856</v>
      </c>
      <c r="U405" s="69" t="s">
        <v>2393</v>
      </c>
      <c r="V405" s="81" t="s">
        <v>52</v>
      </c>
      <c r="W405" s="76" t="s">
        <v>145</v>
      </c>
      <c r="X405" s="79" t="s">
        <v>856</v>
      </c>
      <c r="Y405" s="69">
        <v>1</v>
      </c>
      <c r="Z405" s="69">
        <v>1</v>
      </c>
      <c r="AA405" s="69">
        <v>1</v>
      </c>
      <c r="AB405" s="49">
        <f>IF(V405="TIPO I",'BASE DE LIQUIDACION 2025'!$B$3,'BASE DE LIQUIDACION 2025'!$B$4)</f>
        <v>11251.22416</v>
      </c>
      <c r="AC405" s="49">
        <f>IF(V405="TIPO I",'BASE DE LIQUIDACION 2025'!$C$3,'BASE DE LIQUIDACION 2025'!$C$4)</f>
        <v>126317.12212</v>
      </c>
      <c r="AD405" s="49">
        <f>IF(V405="TIPO I",'BASE DE LIQUIDACION 2025'!$D$3,'BASE DE LIQUIDACION 2025'!$D$4)</f>
        <v>57411.974240000003</v>
      </c>
      <c r="AE405" s="53">
        <f t="shared" si="8"/>
        <v>194980.32052000001</v>
      </c>
    </row>
    <row r="406" spans="1:31" s="46" customFormat="1" ht="12.75" customHeight="1">
      <c r="A406" s="69" t="s">
        <v>431</v>
      </c>
      <c r="B406" s="45" t="str">
        <f>VLOOKUP(A406,'CENTRO DE COSTOS'!A:D,4,FALSE)</f>
        <v>WILLIAM ASDRUBAL ROZO ROZO</v>
      </c>
      <c r="C406" s="45" t="str">
        <f>VLOOKUP(A406,'CENTRO DE COSTOS'!A:D,2,FALSE)</f>
        <v>0004-0004</v>
      </c>
      <c r="D406" s="69">
        <v>11001</v>
      </c>
      <c r="E406" s="70" t="s">
        <v>2394</v>
      </c>
      <c r="F406" s="71">
        <v>81122</v>
      </c>
      <c r="G406" s="79" t="s">
        <v>132</v>
      </c>
      <c r="H406" s="73" t="s">
        <v>133</v>
      </c>
      <c r="I406" s="71" t="s">
        <v>433</v>
      </c>
      <c r="J406" s="81" t="s">
        <v>431</v>
      </c>
      <c r="K406" s="71" t="s">
        <v>2395</v>
      </c>
      <c r="L406" s="75" t="s">
        <v>137</v>
      </c>
      <c r="M406" s="82" t="s">
        <v>2396</v>
      </c>
      <c r="N406" s="74">
        <v>45890</v>
      </c>
      <c r="O406" s="76">
        <v>45894</v>
      </c>
      <c r="P406" s="83" t="s">
        <v>139</v>
      </c>
      <c r="Q406" s="84" t="s">
        <v>139</v>
      </c>
      <c r="R406" s="69" t="s">
        <v>140</v>
      </c>
      <c r="S406" s="72" t="s">
        <v>2397</v>
      </c>
      <c r="T406" s="79" t="s">
        <v>502</v>
      </c>
      <c r="U406" s="69" t="s">
        <v>2398</v>
      </c>
      <c r="V406" s="81" t="s">
        <v>52</v>
      </c>
      <c r="W406" s="76" t="s">
        <v>145</v>
      </c>
      <c r="X406" s="79" t="s">
        <v>502</v>
      </c>
      <c r="Y406" s="69">
        <v>1</v>
      </c>
      <c r="Z406" s="69">
        <v>1</v>
      </c>
      <c r="AA406" s="69">
        <v>1</v>
      </c>
      <c r="AB406" s="49">
        <f>IF(V406="TIPO I",'BASE DE LIQUIDACION 2025'!$B$3,'BASE DE LIQUIDACION 2025'!$B$4)</f>
        <v>11251.22416</v>
      </c>
      <c r="AC406" s="49">
        <f>IF(V406="TIPO I",'BASE DE LIQUIDACION 2025'!$C$3,'BASE DE LIQUIDACION 2025'!$C$4)</f>
        <v>126317.12212</v>
      </c>
      <c r="AD406" s="49">
        <f>IF(V406="TIPO I",'BASE DE LIQUIDACION 2025'!$D$3,'BASE DE LIQUIDACION 2025'!$D$4)</f>
        <v>57411.974240000003</v>
      </c>
      <c r="AE406" s="53">
        <f t="shared" si="8"/>
        <v>194980.32052000001</v>
      </c>
    </row>
    <row r="407" spans="1:31" s="46" customFormat="1" ht="12.75" customHeight="1">
      <c r="A407" s="69" t="s">
        <v>175</v>
      </c>
      <c r="B407" s="45" t="str">
        <f>VLOOKUP(A407,'CENTRO DE COSTOS'!A:D,4,FALSE)</f>
        <v>JUAN SEBASTIÁN RÍOS CASTRILLÓN</v>
      </c>
      <c r="C407" s="45" t="str">
        <f>VLOOKUP(A407,'CENTRO DE COSTOS'!A:D,2,FALSE)</f>
        <v>0004-0005</v>
      </c>
      <c r="D407" s="69">
        <v>5001</v>
      </c>
      <c r="E407" s="70" t="s">
        <v>2399</v>
      </c>
      <c r="F407" s="71">
        <v>81162</v>
      </c>
      <c r="G407" s="79" t="s">
        <v>132</v>
      </c>
      <c r="H407" s="73" t="s">
        <v>133</v>
      </c>
      <c r="I407" s="71" t="s">
        <v>178</v>
      </c>
      <c r="J407" s="81" t="s">
        <v>175</v>
      </c>
      <c r="K407" s="71" t="s">
        <v>2400</v>
      </c>
      <c r="L407" s="75" t="s">
        <v>137</v>
      </c>
      <c r="M407" s="82" t="s">
        <v>2401</v>
      </c>
      <c r="N407" s="74">
        <v>45890</v>
      </c>
      <c r="O407" s="76">
        <v>45894</v>
      </c>
      <c r="P407" s="83" t="s">
        <v>139</v>
      </c>
      <c r="Q407" s="84" t="s">
        <v>139</v>
      </c>
      <c r="R407" s="69" t="s">
        <v>140</v>
      </c>
      <c r="S407" s="72" t="s">
        <v>2402</v>
      </c>
      <c r="T407" s="79" t="s">
        <v>451</v>
      </c>
      <c r="U407" s="69" t="s">
        <v>2403</v>
      </c>
      <c r="V407" s="81" t="s">
        <v>52</v>
      </c>
      <c r="W407" s="76" t="s">
        <v>145</v>
      </c>
      <c r="X407" s="79" t="s">
        <v>451</v>
      </c>
      <c r="Y407" s="69">
        <v>1</v>
      </c>
      <c r="Z407" s="69">
        <v>1</v>
      </c>
      <c r="AA407" s="69">
        <v>1</v>
      </c>
      <c r="AB407" s="49">
        <f>IF(V407="TIPO I",'BASE DE LIQUIDACION 2025'!$B$3,'BASE DE LIQUIDACION 2025'!$B$4)</f>
        <v>11251.22416</v>
      </c>
      <c r="AC407" s="49">
        <f>IF(V407="TIPO I",'BASE DE LIQUIDACION 2025'!$C$3,'BASE DE LIQUIDACION 2025'!$C$4)</f>
        <v>126317.12212</v>
      </c>
      <c r="AD407" s="49">
        <f>IF(V407="TIPO I",'BASE DE LIQUIDACION 2025'!$D$3,'BASE DE LIQUIDACION 2025'!$D$4)</f>
        <v>57411.974240000003</v>
      </c>
      <c r="AE407" s="53">
        <f t="shared" si="8"/>
        <v>194980.32052000001</v>
      </c>
    </row>
    <row r="408" spans="1:31" s="46" customFormat="1" ht="12.75" customHeight="1">
      <c r="A408" s="69" t="s">
        <v>175</v>
      </c>
      <c r="B408" s="45" t="str">
        <f>VLOOKUP(A408,'CENTRO DE COSTOS'!A:D,4,FALSE)</f>
        <v>JUAN SEBASTIÁN RÍOS CASTRILLÓN</v>
      </c>
      <c r="C408" s="45" t="str">
        <f>VLOOKUP(A408,'CENTRO DE COSTOS'!A:D,2,FALSE)</f>
        <v>0004-0005</v>
      </c>
      <c r="D408" s="69">
        <v>27361</v>
      </c>
      <c r="E408" s="70" t="s">
        <v>2404</v>
      </c>
      <c r="F408" s="71">
        <v>81147</v>
      </c>
      <c r="G408" s="79" t="s">
        <v>132</v>
      </c>
      <c r="H408" s="73" t="s">
        <v>133</v>
      </c>
      <c r="I408" s="71" t="s">
        <v>1362</v>
      </c>
      <c r="J408" s="81" t="s">
        <v>2405</v>
      </c>
      <c r="K408" s="71" t="s">
        <v>2406</v>
      </c>
      <c r="L408" s="75" t="s">
        <v>137</v>
      </c>
      <c r="M408" s="82" t="s">
        <v>2407</v>
      </c>
      <c r="N408" s="74">
        <v>45890</v>
      </c>
      <c r="O408" s="76">
        <v>45898</v>
      </c>
      <c r="P408" s="83" t="s">
        <v>139</v>
      </c>
      <c r="Q408" s="84" t="s">
        <v>139</v>
      </c>
      <c r="R408" s="69" t="s">
        <v>140</v>
      </c>
      <c r="S408" s="72" t="s">
        <v>2408</v>
      </c>
      <c r="T408" s="79" t="s">
        <v>1367</v>
      </c>
      <c r="U408" s="69" t="s">
        <v>2409</v>
      </c>
      <c r="V408" s="81" t="s">
        <v>160</v>
      </c>
      <c r="W408" s="76" t="s">
        <v>1369</v>
      </c>
      <c r="X408" s="79" t="s">
        <v>1367</v>
      </c>
      <c r="Y408" s="69">
        <v>1</v>
      </c>
      <c r="Z408" s="69">
        <v>1</v>
      </c>
      <c r="AA408" s="69">
        <v>1</v>
      </c>
      <c r="AB408" s="49">
        <f>IF(V408="TIPO I",'BASE DE LIQUIDACION 2025'!$B$3,'BASE DE LIQUIDACION 2025'!$B$4)</f>
        <v>11251.22416</v>
      </c>
      <c r="AC408" s="49">
        <f>IF(V408="TIPO I",'BASE DE LIQUIDACION 2025'!$C$3,'BASE DE LIQUIDACION 2025'!$C$4)</f>
        <v>126317.12212</v>
      </c>
      <c r="AD408" s="49">
        <f>IF(V408="TIPO I",'BASE DE LIQUIDACION 2025'!$D$3,'BASE DE LIQUIDACION 2025'!$D$4)</f>
        <v>110808.27512000001</v>
      </c>
      <c r="AE408" s="53">
        <f t="shared" si="8"/>
        <v>248376.6214</v>
      </c>
    </row>
    <row r="409" spans="1:31" s="46" customFormat="1" ht="12.75" customHeight="1">
      <c r="A409" s="69" t="s">
        <v>175</v>
      </c>
      <c r="B409" s="45" t="str">
        <f>VLOOKUP(A409,'CENTRO DE COSTOS'!A:D,4,FALSE)</f>
        <v>JUAN SEBASTIÁN RÍOS CASTRILLÓN</v>
      </c>
      <c r="C409" s="45" t="str">
        <f>VLOOKUP(A409,'CENTRO DE COSTOS'!A:D,2,FALSE)</f>
        <v>0004-0005</v>
      </c>
      <c r="D409" s="69">
        <v>5237</v>
      </c>
      <c r="E409" s="70" t="s">
        <v>2410</v>
      </c>
      <c r="F409" s="71">
        <v>81131</v>
      </c>
      <c r="G409" s="79" t="s">
        <v>132</v>
      </c>
      <c r="H409" s="73" t="s">
        <v>133</v>
      </c>
      <c r="I409" s="71" t="s">
        <v>178</v>
      </c>
      <c r="J409" s="81" t="s">
        <v>2411</v>
      </c>
      <c r="K409" s="71" t="s">
        <v>2412</v>
      </c>
      <c r="L409" s="75" t="s">
        <v>137</v>
      </c>
      <c r="M409" s="82" t="s">
        <v>2413</v>
      </c>
      <c r="N409" s="74">
        <v>45890</v>
      </c>
      <c r="O409" s="76">
        <v>45891</v>
      </c>
      <c r="P409" s="83" t="s">
        <v>139</v>
      </c>
      <c r="Q409" s="84" t="s">
        <v>139</v>
      </c>
      <c r="R409" s="69" t="s">
        <v>549</v>
      </c>
      <c r="S409" s="72" t="s">
        <v>2414</v>
      </c>
      <c r="T409" s="79" t="s">
        <v>674</v>
      </c>
      <c r="U409" s="69" t="s">
        <v>2415</v>
      </c>
      <c r="V409" s="81" t="s">
        <v>202</v>
      </c>
      <c r="W409" s="76" t="s">
        <v>145</v>
      </c>
      <c r="X409" s="79" t="s">
        <v>674</v>
      </c>
      <c r="Y409" s="69">
        <v>0</v>
      </c>
      <c r="Z409" s="69">
        <v>0</v>
      </c>
      <c r="AA409" s="69">
        <v>2</v>
      </c>
      <c r="AB409" s="49">
        <f>IF(V409="TIPO I",'BASE DE LIQUIDACION 2025'!$B$3,'BASE DE LIQUIDACION 2025'!$B$4)</f>
        <v>11251.22416</v>
      </c>
      <c r="AC409" s="49">
        <f>IF(V409="TIPO I",'BASE DE LIQUIDACION 2025'!$C$3,'BASE DE LIQUIDACION 2025'!$C$4)</f>
        <v>126317.12212</v>
      </c>
      <c r="AD409" s="49">
        <f>IF(V409="TIPO I",'BASE DE LIQUIDACION 2025'!$D$3,'BASE DE LIQUIDACION 2025'!$D$4)</f>
        <v>110808.27512000001</v>
      </c>
      <c r="AE409" s="53">
        <f t="shared" si="8"/>
        <v>221616.55024000001</v>
      </c>
    </row>
    <row r="410" spans="1:31" s="46" customFormat="1" ht="12.75" customHeight="1">
      <c r="A410" s="69" t="s">
        <v>431</v>
      </c>
      <c r="B410" s="45" t="str">
        <f>VLOOKUP(A410,'CENTRO DE COSTOS'!A:D,4,FALSE)</f>
        <v>WILLIAM ASDRUBAL ROZO ROZO</v>
      </c>
      <c r="C410" s="45" t="str">
        <f>VLOOKUP(A410,'CENTRO DE COSTOS'!A:D,2,FALSE)</f>
        <v>0004-0004</v>
      </c>
      <c r="D410" s="69">
        <v>11001</v>
      </c>
      <c r="E410" s="70" t="s">
        <v>2416</v>
      </c>
      <c r="F410" s="71">
        <v>81123</v>
      </c>
      <c r="G410" s="79" t="s">
        <v>132</v>
      </c>
      <c r="H410" s="73" t="s">
        <v>133</v>
      </c>
      <c r="I410" s="71" t="s">
        <v>433</v>
      </c>
      <c r="J410" s="81" t="s">
        <v>431</v>
      </c>
      <c r="K410" s="71" t="s">
        <v>2417</v>
      </c>
      <c r="L410" s="75" t="s">
        <v>137</v>
      </c>
      <c r="M410" s="82" t="s">
        <v>2418</v>
      </c>
      <c r="N410" s="74">
        <v>45890</v>
      </c>
      <c r="O410" s="76">
        <v>45894</v>
      </c>
      <c r="P410" s="83" t="s">
        <v>139</v>
      </c>
      <c r="Q410" s="84" t="s">
        <v>139</v>
      </c>
      <c r="R410" s="69" t="s">
        <v>140</v>
      </c>
      <c r="S410" s="72" t="s">
        <v>2419</v>
      </c>
      <c r="T410" s="79" t="s">
        <v>571</v>
      </c>
      <c r="U410" s="69" t="s">
        <v>2420</v>
      </c>
      <c r="V410" s="81" t="s">
        <v>52</v>
      </c>
      <c r="W410" s="76" t="s">
        <v>145</v>
      </c>
      <c r="X410" s="79" t="s">
        <v>571</v>
      </c>
      <c r="Y410" s="69">
        <v>1</v>
      </c>
      <c r="Z410" s="69">
        <v>1</v>
      </c>
      <c r="AA410" s="69">
        <v>1</v>
      </c>
      <c r="AB410" s="49">
        <f>IF(V410="TIPO I",'BASE DE LIQUIDACION 2025'!$B$3,'BASE DE LIQUIDACION 2025'!$B$4)</f>
        <v>11251.22416</v>
      </c>
      <c r="AC410" s="49">
        <f>IF(V410="TIPO I",'BASE DE LIQUIDACION 2025'!$C$3,'BASE DE LIQUIDACION 2025'!$C$4)</f>
        <v>126317.12212</v>
      </c>
      <c r="AD410" s="49">
        <f>IF(V410="TIPO I",'BASE DE LIQUIDACION 2025'!$D$3,'BASE DE LIQUIDACION 2025'!$D$4)</f>
        <v>57411.974240000003</v>
      </c>
      <c r="AE410" s="53">
        <f t="shared" si="8"/>
        <v>194980.32052000001</v>
      </c>
    </row>
    <row r="411" spans="1:31" s="46" customFormat="1" ht="12.75" customHeight="1">
      <c r="A411" s="69" t="s">
        <v>260</v>
      </c>
      <c r="B411" s="45" t="str">
        <f>VLOOKUP(A411,'CENTRO DE COSTOS'!A:D,4,FALSE)</f>
        <v>KEVIN ALEXIS CORZO BUSTOS</v>
      </c>
      <c r="C411" s="45" t="str">
        <f>VLOOKUP(A411,'CENTRO DE COSTOS'!A:D,2,FALSE)</f>
        <v>0004-0007</v>
      </c>
      <c r="D411" s="69">
        <v>50001</v>
      </c>
      <c r="E411" s="70" t="s">
        <v>2421</v>
      </c>
      <c r="F411" s="71">
        <v>81161</v>
      </c>
      <c r="G411" s="79" t="s">
        <v>132</v>
      </c>
      <c r="H411" s="73" t="s">
        <v>133</v>
      </c>
      <c r="I411" s="71" t="s">
        <v>262</v>
      </c>
      <c r="J411" s="81" t="s">
        <v>260</v>
      </c>
      <c r="K411" s="71" t="s">
        <v>2422</v>
      </c>
      <c r="L411" s="75" t="s">
        <v>137</v>
      </c>
      <c r="M411" s="82" t="s">
        <v>2423</v>
      </c>
      <c r="N411" s="74">
        <v>45890</v>
      </c>
      <c r="O411" s="76">
        <v>45891</v>
      </c>
      <c r="P411" s="83" t="s">
        <v>139</v>
      </c>
      <c r="Q411" s="84" t="s">
        <v>139</v>
      </c>
      <c r="R411" s="69" t="s">
        <v>140</v>
      </c>
      <c r="S411" s="72" t="s">
        <v>2424</v>
      </c>
      <c r="T411" s="79" t="s">
        <v>267</v>
      </c>
      <c r="U411" s="69" t="s">
        <v>2425</v>
      </c>
      <c r="V411" s="81" t="s">
        <v>52</v>
      </c>
      <c r="W411" s="76" t="s">
        <v>145</v>
      </c>
      <c r="X411" s="79" t="s">
        <v>267</v>
      </c>
      <c r="Y411" s="69">
        <v>1</v>
      </c>
      <c r="Z411" s="69">
        <v>1</v>
      </c>
      <c r="AA411" s="69">
        <v>1</v>
      </c>
      <c r="AB411" s="49">
        <f>IF(V411="TIPO I",'BASE DE LIQUIDACION 2025'!$B$3,'BASE DE LIQUIDACION 2025'!$B$4)</f>
        <v>11251.22416</v>
      </c>
      <c r="AC411" s="49">
        <f>IF(V411="TIPO I",'BASE DE LIQUIDACION 2025'!$C$3,'BASE DE LIQUIDACION 2025'!$C$4)</f>
        <v>126317.12212</v>
      </c>
      <c r="AD411" s="49">
        <f>IF(V411="TIPO I",'BASE DE LIQUIDACION 2025'!$D$3,'BASE DE LIQUIDACION 2025'!$D$4)</f>
        <v>57411.974240000003</v>
      </c>
      <c r="AE411" s="53">
        <f t="shared" si="8"/>
        <v>194980.32052000001</v>
      </c>
    </row>
    <row r="412" spans="1:31" s="46" customFormat="1" ht="12.75" customHeight="1">
      <c r="A412" s="69" t="s">
        <v>220</v>
      </c>
      <c r="B412" s="45" t="str">
        <f>VLOOKUP(A412,'CENTRO DE COSTOS'!A:D,4,FALSE)</f>
        <v>DIEGO FERNANDO HENAO CARDONA</v>
      </c>
      <c r="C412" s="45" t="str">
        <f>VLOOKUP(A412,'CENTRO DE COSTOS'!A:D,2,FALSE)</f>
        <v>0004-0003</v>
      </c>
      <c r="D412" s="69">
        <v>76001</v>
      </c>
      <c r="E412" s="70" t="s">
        <v>2426</v>
      </c>
      <c r="F412" s="71">
        <v>81124</v>
      </c>
      <c r="G412" s="79" t="s">
        <v>132</v>
      </c>
      <c r="H412" s="73" t="s">
        <v>133</v>
      </c>
      <c r="I412" s="71" t="s">
        <v>420</v>
      </c>
      <c r="J412" s="81" t="s">
        <v>220</v>
      </c>
      <c r="K412" s="71" t="s">
        <v>2427</v>
      </c>
      <c r="L412" s="75" t="s">
        <v>137</v>
      </c>
      <c r="M412" s="82" t="s">
        <v>2428</v>
      </c>
      <c r="N412" s="74">
        <v>45890</v>
      </c>
      <c r="O412" s="76">
        <v>45891</v>
      </c>
      <c r="P412" s="83" t="s">
        <v>139</v>
      </c>
      <c r="Q412" s="84" t="s">
        <v>139</v>
      </c>
      <c r="R412" s="69" t="s">
        <v>140</v>
      </c>
      <c r="S412" s="72" t="s">
        <v>2429</v>
      </c>
      <c r="T412" s="79" t="s">
        <v>702</v>
      </c>
      <c r="U412" s="69" t="s">
        <v>2430</v>
      </c>
      <c r="V412" s="81" t="s">
        <v>52</v>
      </c>
      <c r="W412" s="76" t="s">
        <v>145</v>
      </c>
      <c r="X412" s="79" t="s">
        <v>702</v>
      </c>
      <c r="Y412" s="69">
        <v>1</v>
      </c>
      <c r="Z412" s="69">
        <v>1</v>
      </c>
      <c r="AA412" s="69">
        <v>1</v>
      </c>
      <c r="AB412" s="49">
        <f>IF(V412="TIPO I",'BASE DE LIQUIDACION 2025'!$B$3,'BASE DE LIQUIDACION 2025'!$B$4)</f>
        <v>11251.22416</v>
      </c>
      <c r="AC412" s="49">
        <f>IF(V412="TIPO I",'BASE DE LIQUIDACION 2025'!$C$3,'BASE DE LIQUIDACION 2025'!$C$4)</f>
        <v>126317.12212</v>
      </c>
      <c r="AD412" s="49">
        <f>IF(V412="TIPO I",'BASE DE LIQUIDACION 2025'!$D$3,'BASE DE LIQUIDACION 2025'!$D$4)</f>
        <v>57411.974240000003</v>
      </c>
      <c r="AE412" s="53">
        <f t="shared" si="8"/>
        <v>194980.32052000001</v>
      </c>
    </row>
    <row r="413" spans="1:31" s="46" customFormat="1" ht="12.75" customHeight="1">
      <c r="A413" s="69" t="s">
        <v>453</v>
      </c>
      <c r="B413" s="45" t="str">
        <f>VLOOKUP(A413,'CENTRO DE COSTOS'!A:D,4,FALSE)</f>
        <v>DIEGO FERNANDO HENAO CARDONA</v>
      </c>
      <c r="C413" s="45" t="str">
        <f>VLOOKUP(A413,'CENTRO DE COSTOS'!A:D,2,FALSE)</f>
        <v>0004-0002</v>
      </c>
      <c r="D413" s="69">
        <v>66001</v>
      </c>
      <c r="E413" s="70" t="s">
        <v>2431</v>
      </c>
      <c r="F413" s="71">
        <v>81149</v>
      </c>
      <c r="G413" s="79" t="s">
        <v>132</v>
      </c>
      <c r="H413" s="73" t="s">
        <v>133</v>
      </c>
      <c r="I413" s="71" t="s">
        <v>579</v>
      </c>
      <c r="J413" s="81" t="s">
        <v>453</v>
      </c>
      <c r="K413" s="71" t="s">
        <v>2432</v>
      </c>
      <c r="L413" s="75" t="s">
        <v>137</v>
      </c>
      <c r="M413" s="82" t="s">
        <v>2433</v>
      </c>
      <c r="N413" s="74">
        <v>45890</v>
      </c>
      <c r="O413" s="76">
        <v>45891</v>
      </c>
      <c r="P413" s="83" t="s">
        <v>139</v>
      </c>
      <c r="Q413" s="84" t="s">
        <v>139</v>
      </c>
      <c r="R413" s="69" t="s">
        <v>140</v>
      </c>
      <c r="S413" s="72" t="s">
        <v>2434</v>
      </c>
      <c r="T413" s="79" t="s">
        <v>459</v>
      </c>
      <c r="U413" s="69" t="s">
        <v>2435</v>
      </c>
      <c r="V413" s="81" t="s">
        <v>52</v>
      </c>
      <c r="W413" s="76" t="s">
        <v>145</v>
      </c>
      <c r="X413" s="79" t="s">
        <v>459</v>
      </c>
      <c r="Y413" s="69">
        <v>1</v>
      </c>
      <c r="Z413" s="69">
        <v>1</v>
      </c>
      <c r="AA413" s="69">
        <v>1</v>
      </c>
      <c r="AB413" s="49">
        <f>IF(V413="TIPO I",'BASE DE LIQUIDACION 2025'!$B$3,'BASE DE LIQUIDACION 2025'!$B$4)</f>
        <v>11251.22416</v>
      </c>
      <c r="AC413" s="49">
        <f>IF(V413="TIPO I",'BASE DE LIQUIDACION 2025'!$C$3,'BASE DE LIQUIDACION 2025'!$C$4)</f>
        <v>126317.12212</v>
      </c>
      <c r="AD413" s="49">
        <f>IF(V413="TIPO I",'BASE DE LIQUIDACION 2025'!$D$3,'BASE DE LIQUIDACION 2025'!$D$4)</f>
        <v>57411.974240000003</v>
      </c>
      <c r="AE413" s="53">
        <f t="shared" si="8"/>
        <v>194980.32052000001</v>
      </c>
    </row>
    <row r="414" spans="1:31" s="46" customFormat="1" ht="12.75" customHeight="1">
      <c r="A414" s="69" t="s">
        <v>379</v>
      </c>
      <c r="B414" s="45" t="str">
        <f>VLOOKUP(A414,'CENTRO DE COSTOS'!A:D,4,FALSE)</f>
        <v>JOSE MAURICIO HERNANDEZ ROJAS</v>
      </c>
      <c r="C414" s="45" t="str">
        <f>VLOOKUP(A414,'CENTRO DE COSTOS'!A:D,2,FALSE)</f>
        <v>0004-0001</v>
      </c>
      <c r="D414" s="69">
        <v>23672</v>
      </c>
      <c r="E414" s="70" t="s">
        <v>2436</v>
      </c>
      <c r="F414" s="71">
        <v>80913</v>
      </c>
      <c r="G414" s="79" t="s">
        <v>132</v>
      </c>
      <c r="H414" s="73" t="s">
        <v>1218</v>
      </c>
      <c r="I414" s="71" t="s">
        <v>381</v>
      </c>
      <c r="J414" s="81" t="s">
        <v>2437</v>
      </c>
      <c r="K414" s="71" t="s">
        <v>2438</v>
      </c>
      <c r="L414" s="75" t="s">
        <v>137</v>
      </c>
      <c r="M414" s="82" t="s">
        <v>2439</v>
      </c>
      <c r="N414" s="74">
        <v>45890</v>
      </c>
      <c r="O414" s="76">
        <v>45894</v>
      </c>
      <c r="P414" s="83" t="s">
        <v>139</v>
      </c>
      <c r="Q414" s="84" t="s">
        <v>139</v>
      </c>
      <c r="R414" s="69" t="s">
        <v>140</v>
      </c>
      <c r="S414" s="72" t="s">
        <v>2440</v>
      </c>
      <c r="T414" s="79" t="s">
        <v>681</v>
      </c>
      <c r="U414" s="69" t="s">
        <v>2441</v>
      </c>
      <c r="V414" s="81" t="s">
        <v>202</v>
      </c>
      <c r="W414" s="76" t="s">
        <v>145</v>
      </c>
      <c r="X414" s="79" t="s">
        <v>681</v>
      </c>
      <c r="Y414" s="69">
        <v>1</v>
      </c>
      <c r="Z414" s="69">
        <v>1</v>
      </c>
      <c r="AA414" s="69">
        <v>1</v>
      </c>
      <c r="AB414" s="49">
        <f>IF(V414="TIPO I",'BASE DE LIQUIDACION 2025'!$B$3,'BASE DE LIQUIDACION 2025'!$B$4)</f>
        <v>11251.22416</v>
      </c>
      <c r="AC414" s="49">
        <f>IF(V414="TIPO I",'BASE DE LIQUIDACION 2025'!$C$3,'BASE DE LIQUIDACION 2025'!$C$4)</f>
        <v>126317.12212</v>
      </c>
      <c r="AD414" s="49">
        <f>IF(V414="TIPO I",'BASE DE LIQUIDACION 2025'!$D$3,'BASE DE LIQUIDACION 2025'!$D$4)</f>
        <v>110808.27512000001</v>
      </c>
      <c r="AE414" s="53">
        <f t="shared" si="8"/>
        <v>248376.6214</v>
      </c>
    </row>
    <row r="415" spans="1:31" s="46" customFormat="1" ht="12.75" customHeight="1">
      <c r="A415" s="69" t="s">
        <v>167</v>
      </c>
      <c r="B415" s="45" t="str">
        <f>VLOOKUP(A415,'CENTRO DE COSTOS'!A:D,4,FALSE)</f>
        <v>KEVIN ALEXIS CORZO BUSTOS</v>
      </c>
      <c r="C415" s="45" t="str">
        <f>VLOOKUP(A415,'CENTRO DE COSTOS'!A:D,2,FALSE)</f>
        <v>0004-0007</v>
      </c>
      <c r="D415" s="69">
        <v>85250</v>
      </c>
      <c r="E415" s="70" t="s">
        <v>2442</v>
      </c>
      <c r="F415" s="71">
        <v>80906</v>
      </c>
      <c r="G415" s="79" t="s">
        <v>132</v>
      </c>
      <c r="H415" s="73" t="s">
        <v>1218</v>
      </c>
      <c r="I415" s="71" t="s">
        <v>169</v>
      </c>
      <c r="J415" s="81" t="s">
        <v>948</v>
      </c>
      <c r="K415" s="71" t="s">
        <v>1138</v>
      </c>
      <c r="L415" s="75" t="s">
        <v>137</v>
      </c>
      <c r="M415" s="82" t="s">
        <v>2443</v>
      </c>
      <c r="N415" s="74">
        <v>45890</v>
      </c>
      <c r="O415" s="76">
        <v>45891</v>
      </c>
      <c r="P415" s="83" t="s">
        <v>139</v>
      </c>
      <c r="Q415" s="84" t="s">
        <v>139</v>
      </c>
      <c r="R415" s="69" t="s">
        <v>140</v>
      </c>
      <c r="S415" s="72" t="s">
        <v>2444</v>
      </c>
      <c r="T415" s="79" t="s">
        <v>173</v>
      </c>
      <c r="U415" s="69" t="s">
        <v>2445</v>
      </c>
      <c r="V415" s="81" t="s">
        <v>202</v>
      </c>
      <c r="W415" s="76" t="s">
        <v>145</v>
      </c>
      <c r="X415" s="79" t="s">
        <v>173</v>
      </c>
      <c r="Y415" s="69">
        <v>1</v>
      </c>
      <c r="Z415" s="69">
        <v>1</v>
      </c>
      <c r="AA415" s="69">
        <v>1</v>
      </c>
      <c r="AB415" s="49">
        <f>IF(V415="TIPO I",'BASE DE LIQUIDACION 2025'!$B$3,'BASE DE LIQUIDACION 2025'!$B$4)</f>
        <v>11251.22416</v>
      </c>
      <c r="AC415" s="49">
        <f>IF(V415="TIPO I",'BASE DE LIQUIDACION 2025'!$C$3,'BASE DE LIQUIDACION 2025'!$C$4)</f>
        <v>126317.12212</v>
      </c>
      <c r="AD415" s="49">
        <f>IF(V415="TIPO I",'BASE DE LIQUIDACION 2025'!$D$3,'BASE DE LIQUIDACION 2025'!$D$4)</f>
        <v>110808.27512000001</v>
      </c>
      <c r="AE415" s="53">
        <f t="shared" si="8"/>
        <v>248376.6214</v>
      </c>
    </row>
    <row r="416" spans="1:31" s="46" customFormat="1" ht="12.75" customHeight="1">
      <c r="A416" s="69" t="s">
        <v>130</v>
      </c>
      <c r="B416" s="45" t="str">
        <f>VLOOKUP(A416,'CENTRO DE COSTOS'!A:D,4,FALSE)</f>
        <v>KEVIN ALEXIS CORZO BUSTOS</v>
      </c>
      <c r="C416" s="45" t="str">
        <f>VLOOKUP(A416,'CENTRO DE COSTOS'!A:D,2,FALSE)</f>
        <v>0004-0007</v>
      </c>
      <c r="D416" s="69">
        <v>41001</v>
      </c>
      <c r="E416" s="70" t="s">
        <v>2446</v>
      </c>
      <c r="F416" s="71">
        <v>81170</v>
      </c>
      <c r="G416" s="79" t="s">
        <v>132</v>
      </c>
      <c r="H416" s="73" t="s">
        <v>133</v>
      </c>
      <c r="I416" s="71" t="s">
        <v>213</v>
      </c>
      <c r="J416" s="81" t="s">
        <v>130</v>
      </c>
      <c r="K416" s="71" t="s">
        <v>2447</v>
      </c>
      <c r="L416" s="75" t="s">
        <v>137</v>
      </c>
      <c r="M416" s="82" t="s">
        <v>2448</v>
      </c>
      <c r="N416" s="74">
        <v>45894</v>
      </c>
      <c r="O416" s="76">
        <v>45895</v>
      </c>
      <c r="P416" s="83" t="s">
        <v>139</v>
      </c>
      <c r="Q416" s="84" t="s">
        <v>139</v>
      </c>
      <c r="R416" s="69" t="s">
        <v>140</v>
      </c>
      <c r="S416" s="72" t="s">
        <v>2449</v>
      </c>
      <c r="T416" s="79" t="s">
        <v>142</v>
      </c>
      <c r="U416" s="69" t="s">
        <v>2450</v>
      </c>
      <c r="V416" s="81" t="s">
        <v>52</v>
      </c>
      <c r="W416" s="76" t="s">
        <v>145</v>
      </c>
      <c r="X416" s="79" t="s">
        <v>142</v>
      </c>
      <c r="Y416" s="69">
        <v>1</v>
      </c>
      <c r="Z416" s="69">
        <v>1</v>
      </c>
      <c r="AA416" s="69">
        <v>1</v>
      </c>
      <c r="AB416" s="49">
        <f>IF(V416="TIPO I",'BASE DE LIQUIDACION 2025'!$B$3,'BASE DE LIQUIDACION 2025'!$B$4)</f>
        <v>11251.22416</v>
      </c>
      <c r="AC416" s="49">
        <f>IF(V416="TIPO I",'BASE DE LIQUIDACION 2025'!$C$3,'BASE DE LIQUIDACION 2025'!$C$4)</f>
        <v>126317.12212</v>
      </c>
      <c r="AD416" s="49">
        <f>IF(V416="TIPO I",'BASE DE LIQUIDACION 2025'!$D$3,'BASE DE LIQUIDACION 2025'!$D$4)</f>
        <v>57411.974240000003</v>
      </c>
      <c r="AE416" s="53">
        <f t="shared" si="8"/>
        <v>194980.32052000001</v>
      </c>
    </row>
    <row r="417" spans="1:31" s="46" customFormat="1" ht="12.75" customHeight="1">
      <c r="A417" s="69" t="s">
        <v>269</v>
      </c>
      <c r="B417" s="45" t="str">
        <f>VLOOKUP(A417,'CENTRO DE COSTOS'!A:D,4,FALSE)</f>
        <v>MIGUEL JULIÁN HERNÁNDEZ GUARÍN</v>
      </c>
      <c r="C417" s="45" t="str">
        <f>VLOOKUP(A417,'CENTRO DE COSTOS'!A:D,2,FALSE)</f>
        <v>0004-0008</v>
      </c>
      <c r="D417" s="69">
        <v>68276</v>
      </c>
      <c r="E417" s="70" t="s">
        <v>2451</v>
      </c>
      <c r="F417" s="71">
        <v>81168</v>
      </c>
      <c r="G417" s="79" t="s">
        <v>132</v>
      </c>
      <c r="H417" s="73" t="s">
        <v>133</v>
      </c>
      <c r="I417" s="71" t="s">
        <v>795</v>
      </c>
      <c r="J417" s="81" t="s">
        <v>925</v>
      </c>
      <c r="K417" s="71" t="s">
        <v>2452</v>
      </c>
      <c r="L417" s="75" t="s">
        <v>137</v>
      </c>
      <c r="M417" s="82" t="s">
        <v>2453</v>
      </c>
      <c r="N417" s="74">
        <v>45894</v>
      </c>
      <c r="O417" s="76">
        <v>45895</v>
      </c>
      <c r="P417" s="83" t="s">
        <v>139</v>
      </c>
      <c r="Q417" s="84" t="s">
        <v>139</v>
      </c>
      <c r="R417" s="69" t="s">
        <v>140</v>
      </c>
      <c r="S417" s="72" t="s">
        <v>2454</v>
      </c>
      <c r="T417" s="79" t="s">
        <v>922</v>
      </c>
      <c r="U417" s="69" t="s">
        <v>2455</v>
      </c>
      <c r="V417" s="81" t="s">
        <v>52</v>
      </c>
      <c r="W417" s="76" t="s">
        <v>145</v>
      </c>
      <c r="X417" s="79" t="s">
        <v>922</v>
      </c>
      <c r="Y417" s="69">
        <v>1</v>
      </c>
      <c r="Z417" s="69">
        <v>1</v>
      </c>
      <c r="AA417" s="69">
        <v>1</v>
      </c>
      <c r="AB417" s="49">
        <f>IF(V417="TIPO I",'BASE DE LIQUIDACION 2025'!$B$3,'BASE DE LIQUIDACION 2025'!$B$4)</f>
        <v>11251.22416</v>
      </c>
      <c r="AC417" s="49">
        <f>IF(V417="TIPO I",'BASE DE LIQUIDACION 2025'!$C$3,'BASE DE LIQUIDACION 2025'!$C$4)</f>
        <v>126317.12212</v>
      </c>
      <c r="AD417" s="49">
        <f>IF(V417="TIPO I",'BASE DE LIQUIDACION 2025'!$D$3,'BASE DE LIQUIDACION 2025'!$D$4)</f>
        <v>57411.974240000003</v>
      </c>
      <c r="AE417" s="53">
        <f t="shared" si="8"/>
        <v>194980.32052000001</v>
      </c>
    </row>
    <row r="418" spans="1:31" s="46" customFormat="1" ht="12.75" customHeight="1">
      <c r="A418" s="69" t="s">
        <v>399</v>
      </c>
      <c r="B418" s="45" t="str">
        <f>VLOOKUP(A418,'CENTRO DE COSTOS'!A:D,4,FALSE)</f>
        <v>JOSE MAURICIO HERNANDEZ ROJAS</v>
      </c>
      <c r="C418" s="45" t="str">
        <f>VLOOKUP(A418,'CENTRO DE COSTOS'!A:D,2,FALSE)</f>
        <v>0004-0001</v>
      </c>
      <c r="D418" s="69">
        <v>20001</v>
      </c>
      <c r="E418" s="70" t="s">
        <v>2456</v>
      </c>
      <c r="F418" s="71">
        <v>81179</v>
      </c>
      <c r="G418" s="79" t="s">
        <v>132</v>
      </c>
      <c r="H418" s="73" t="s">
        <v>133</v>
      </c>
      <c r="I418" s="71" t="s">
        <v>401</v>
      </c>
      <c r="J418" s="81" t="s">
        <v>399</v>
      </c>
      <c r="K418" s="71" t="s">
        <v>2457</v>
      </c>
      <c r="L418" s="75" t="s">
        <v>137</v>
      </c>
      <c r="M418" s="82" t="s">
        <v>2458</v>
      </c>
      <c r="N418" s="74">
        <v>45894</v>
      </c>
      <c r="O418" s="76">
        <v>45895</v>
      </c>
      <c r="P418" s="83" t="s">
        <v>139</v>
      </c>
      <c r="Q418" s="84" t="s">
        <v>139</v>
      </c>
      <c r="R418" s="69" t="s">
        <v>140</v>
      </c>
      <c r="S418" s="72" t="s">
        <v>2459</v>
      </c>
      <c r="T418" s="79" t="s">
        <v>957</v>
      </c>
      <c r="U418" s="69" t="s">
        <v>2460</v>
      </c>
      <c r="V418" s="81" t="s">
        <v>52</v>
      </c>
      <c r="W418" s="76" t="s">
        <v>145</v>
      </c>
      <c r="X418" s="79" t="s">
        <v>957</v>
      </c>
      <c r="Y418" s="69">
        <v>1</v>
      </c>
      <c r="Z418" s="69">
        <v>1</v>
      </c>
      <c r="AA418" s="69">
        <v>1</v>
      </c>
      <c r="AB418" s="49">
        <f>IF(V418="TIPO I",'BASE DE LIQUIDACION 2025'!$B$3,'BASE DE LIQUIDACION 2025'!$B$4)</f>
        <v>11251.22416</v>
      </c>
      <c r="AC418" s="49">
        <f>IF(V418="TIPO I",'BASE DE LIQUIDACION 2025'!$C$3,'BASE DE LIQUIDACION 2025'!$C$4)</f>
        <v>126317.12212</v>
      </c>
      <c r="AD418" s="49">
        <f>IF(V418="TIPO I",'BASE DE LIQUIDACION 2025'!$D$3,'BASE DE LIQUIDACION 2025'!$D$4)</f>
        <v>57411.974240000003</v>
      </c>
      <c r="AE418" s="53">
        <f t="shared" si="8"/>
        <v>194980.32052000001</v>
      </c>
    </row>
    <row r="419" spans="1:31" s="46" customFormat="1" ht="12.75" customHeight="1">
      <c r="A419" s="69" t="s">
        <v>203</v>
      </c>
      <c r="B419" s="45" t="str">
        <f>VLOOKUP(A419,'CENTRO DE COSTOS'!A:D,4,FALSE)</f>
        <v>MIGUEL JULIÁN HERNÁNDEZ GUARÍN</v>
      </c>
      <c r="C419" s="45" t="str">
        <f>VLOOKUP(A419,'CENTRO DE COSTOS'!A:D,2,FALSE)</f>
        <v>0004-0008</v>
      </c>
      <c r="D419" s="69">
        <v>15837</v>
      </c>
      <c r="E419" s="70" t="s">
        <v>2461</v>
      </c>
      <c r="F419" s="71">
        <v>81175</v>
      </c>
      <c r="G419" s="79" t="s">
        <v>132</v>
      </c>
      <c r="H419" s="73" t="s">
        <v>133</v>
      </c>
      <c r="I419" s="71" t="s">
        <v>205</v>
      </c>
      <c r="J419" s="81" t="s">
        <v>2462</v>
      </c>
      <c r="K419" s="71" t="s">
        <v>2463</v>
      </c>
      <c r="L419" s="75" t="s">
        <v>137</v>
      </c>
      <c r="M419" s="82" t="s">
        <v>2464</v>
      </c>
      <c r="N419" s="74">
        <v>45894</v>
      </c>
      <c r="O419" s="76">
        <v>45895</v>
      </c>
      <c r="P419" s="83" t="s">
        <v>139</v>
      </c>
      <c r="Q419" s="84" t="s">
        <v>139</v>
      </c>
      <c r="R419" s="69" t="s">
        <v>140</v>
      </c>
      <c r="S419" s="72" t="s">
        <v>2465</v>
      </c>
      <c r="T419" s="79" t="s">
        <v>1119</v>
      </c>
      <c r="U419" s="69" t="s">
        <v>2466</v>
      </c>
      <c r="V419" s="81" t="s">
        <v>202</v>
      </c>
      <c r="W419" s="76" t="s">
        <v>145</v>
      </c>
      <c r="X419" s="79" t="s">
        <v>1119</v>
      </c>
      <c r="Y419" s="69">
        <v>1</v>
      </c>
      <c r="Z419" s="69">
        <v>1</v>
      </c>
      <c r="AA419" s="69">
        <v>1</v>
      </c>
      <c r="AB419" s="49">
        <f>IF(V419="TIPO I",'BASE DE LIQUIDACION 2025'!$B$3,'BASE DE LIQUIDACION 2025'!$B$4)</f>
        <v>11251.22416</v>
      </c>
      <c r="AC419" s="49">
        <f>IF(V419="TIPO I",'BASE DE LIQUIDACION 2025'!$C$3,'BASE DE LIQUIDACION 2025'!$C$4)</f>
        <v>126317.12212</v>
      </c>
      <c r="AD419" s="49">
        <f>IF(V419="TIPO I",'BASE DE LIQUIDACION 2025'!$D$3,'BASE DE LIQUIDACION 2025'!$D$4)</f>
        <v>110808.27512000001</v>
      </c>
      <c r="AE419" s="53">
        <f t="shared" si="8"/>
        <v>248376.6214</v>
      </c>
    </row>
    <row r="420" spans="1:31" s="46" customFormat="1" ht="12.75" customHeight="1">
      <c r="A420" s="69" t="s">
        <v>399</v>
      </c>
      <c r="B420" s="45" t="str">
        <f>VLOOKUP(A420,'CENTRO DE COSTOS'!A:D,4,FALSE)</f>
        <v>JOSE MAURICIO HERNANDEZ ROJAS</v>
      </c>
      <c r="C420" s="45" t="str">
        <f>VLOOKUP(A420,'CENTRO DE COSTOS'!A:D,2,FALSE)</f>
        <v>0004-0001</v>
      </c>
      <c r="D420" s="69">
        <v>20750</v>
      </c>
      <c r="E420" s="70" t="s">
        <v>2467</v>
      </c>
      <c r="F420" s="71">
        <v>81174</v>
      </c>
      <c r="G420" s="79" t="s">
        <v>132</v>
      </c>
      <c r="H420" s="73" t="s">
        <v>133</v>
      </c>
      <c r="I420" s="71" t="s">
        <v>401</v>
      </c>
      <c r="J420" s="81" t="s">
        <v>2468</v>
      </c>
      <c r="K420" s="71" t="s">
        <v>2469</v>
      </c>
      <c r="L420" s="75" t="s">
        <v>137</v>
      </c>
      <c r="M420" s="82" t="s">
        <v>2470</v>
      </c>
      <c r="N420" s="74">
        <v>45894</v>
      </c>
      <c r="O420" s="76">
        <v>45896</v>
      </c>
      <c r="P420" s="83" t="s">
        <v>139</v>
      </c>
      <c r="Q420" s="84" t="s">
        <v>139</v>
      </c>
      <c r="R420" s="69" t="s">
        <v>140</v>
      </c>
      <c r="S420" s="72" t="s">
        <v>2471</v>
      </c>
      <c r="T420" s="79" t="s">
        <v>406</v>
      </c>
      <c r="U420" s="69" t="s">
        <v>2472</v>
      </c>
      <c r="V420" s="81" t="s">
        <v>202</v>
      </c>
      <c r="W420" s="76" t="s">
        <v>145</v>
      </c>
      <c r="X420" s="79" t="s">
        <v>406</v>
      </c>
      <c r="Y420" s="69">
        <v>1</v>
      </c>
      <c r="Z420" s="69">
        <v>1</v>
      </c>
      <c r="AA420" s="69">
        <v>1</v>
      </c>
      <c r="AB420" s="49">
        <f>IF(V420="TIPO I",'BASE DE LIQUIDACION 2025'!$B$3,'BASE DE LIQUIDACION 2025'!$B$4)</f>
        <v>11251.22416</v>
      </c>
      <c r="AC420" s="49">
        <f>IF(V420="TIPO I",'BASE DE LIQUIDACION 2025'!$C$3,'BASE DE LIQUIDACION 2025'!$C$4)</f>
        <v>126317.12212</v>
      </c>
      <c r="AD420" s="49">
        <f>IF(V420="TIPO I",'BASE DE LIQUIDACION 2025'!$D$3,'BASE DE LIQUIDACION 2025'!$D$4)</f>
        <v>110808.27512000001</v>
      </c>
      <c r="AE420" s="53">
        <f t="shared" si="8"/>
        <v>248376.6214</v>
      </c>
    </row>
    <row r="421" spans="1:31" s="46" customFormat="1" ht="12.75" customHeight="1">
      <c r="A421" s="69" t="s">
        <v>269</v>
      </c>
      <c r="B421" s="45" t="str">
        <f>VLOOKUP(A421,'CENTRO DE COSTOS'!A:D,4,FALSE)</f>
        <v>MIGUEL JULIÁN HERNÁNDEZ GUARÍN</v>
      </c>
      <c r="C421" s="45" t="str">
        <f>VLOOKUP(A421,'CENTRO DE COSTOS'!A:D,2,FALSE)</f>
        <v>0004-0008</v>
      </c>
      <c r="D421" s="69">
        <v>68547</v>
      </c>
      <c r="E421" s="70" t="s">
        <v>2473</v>
      </c>
      <c r="F421" s="71">
        <v>81172</v>
      </c>
      <c r="G421" s="79" t="s">
        <v>132</v>
      </c>
      <c r="H421" s="73" t="s">
        <v>133</v>
      </c>
      <c r="I421" s="71" t="s">
        <v>795</v>
      </c>
      <c r="J421" s="81" t="s">
        <v>819</v>
      </c>
      <c r="K421" s="71" t="s">
        <v>2474</v>
      </c>
      <c r="L421" s="75" t="s">
        <v>137</v>
      </c>
      <c r="M421" s="82" t="s">
        <v>2475</v>
      </c>
      <c r="N421" s="74">
        <v>45894</v>
      </c>
      <c r="O421" s="76">
        <v>45895</v>
      </c>
      <c r="P421" s="83" t="s">
        <v>139</v>
      </c>
      <c r="Q421" s="84" t="s">
        <v>139</v>
      </c>
      <c r="R421" s="69" t="s">
        <v>140</v>
      </c>
      <c r="S421" s="72" t="s">
        <v>2476</v>
      </c>
      <c r="T421" s="79" t="s">
        <v>276</v>
      </c>
      <c r="U421" s="69" t="s">
        <v>2477</v>
      </c>
      <c r="V421" s="81" t="s">
        <v>202</v>
      </c>
      <c r="W421" s="76" t="s">
        <v>145</v>
      </c>
      <c r="X421" s="79" t="s">
        <v>276</v>
      </c>
      <c r="Y421" s="69">
        <v>1</v>
      </c>
      <c r="Z421" s="69">
        <v>1</v>
      </c>
      <c r="AA421" s="69">
        <v>1</v>
      </c>
      <c r="AB421" s="49">
        <f>IF(V421="TIPO I",'BASE DE LIQUIDACION 2025'!$B$3,'BASE DE LIQUIDACION 2025'!$B$4)</f>
        <v>11251.22416</v>
      </c>
      <c r="AC421" s="49">
        <f>IF(V421="TIPO I",'BASE DE LIQUIDACION 2025'!$C$3,'BASE DE LIQUIDACION 2025'!$C$4)</f>
        <v>126317.12212</v>
      </c>
      <c r="AD421" s="49">
        <f>IF(V421="TIPO I",'BASE DE LIQUIDACION 2025'!$D$3,'BASE DE LIQUIDACION 2025'!$D$4)</f>
        <v>110808.27512000001</v>
      </c>
      <c r="AE421" s="53">
        <f t="shared" si="8"/>
        <v>248376.6214</v>
      </c>
    </row>
    <row r="422" spans="1:31" s="46" customFormat="1" ht="12.75" customHeight="1">
      <c r="A422" s="69" t="s">
        <v>371</v>
      </c>
      <c r="B422" s="45" t="str">
        <f>VLOOKUP(A422,'CENTRO DE COSTOS'!A:D,4,FALSE)</f>
        <v>JOSE MAURICIO HERNANDEZ ROJAS</v>
      </c>
      <c r="C422" s="45" t="str">
        <f>VLOOKUP(A422,'CENTRO DE COSTOS'!A:D,2,FALSE)</f>
        <v>0004-0001</v>
      </c>
      <c r="D422" s="69">
        <v>70124</v>
      </c>
      <c r="E422" s="70" t="s">
        <v>2478</v>
      </c>
      <c r="F422" s="71">
        <v>81165</v>
      </c>
      <c r="G422" s="79" t="s">
        <v>132</v>
      </c>
      <c r="H422" s="73" t="s">
        <v>133</v>
      </c>
      <c r="I422" s="71" t="s">
        <v>373</v>
      </c>
      <c r="J422" s="81" t="s">
        <v>2479</v>
      </c>
      <c r="K422" s="71" t="s">
        <v>2480</v>
      </c>
      <c r="L422" s="75" t="s">
        <v>137</v>
      </c>
      <c r="M422" s="82" t="s">
        <v>2481</v>
      </c>
      <c r="N422" s="74">
        <v>45894</v>
      </c>
      <c r="O422" s="76">
        <v>45895</v>
      </c>
      <c r="P422" s="83" t="s">
        <v>139</v>
      </c>
      <c r="Q422" s="84" t="s">
        <v>139</v>
      </c>
      <c r="R422" s="69" t="s">
        <v>140</v>
      </c>
      <c r="S422" s="72" t="s">
        <v>2482</v>
      </c>
      <c r="T422" s="79" t="s">
        <v>1860</v>
      </c>
      <c r="U422" s="69" t="s">
        <v>2483</v>
      </c>
      <c r="V422" s="81" t="s">
        <v>144</v>
      </c>
      <c r="W422" s="76" t="s">
        <v>145</v>
      </c>
      <c r="X422" s="79" t="s">
        <v>1860</v>
      </c>
      <c r="Y422" s="69">
        <v>1</v>
      </c>
      <c r="Z422" s="69">
        <v>1</v>
      </c>
      <c r="AA422" s="69">
        <v>1</v>
      </c>
      <c r="AB422" s="49">
        <f>IF(V422="TIPO I",'BASE DE LIQUIDACION 2025'!$B$3,'BASE DE LIQUIDACION 2025'!$B$4)</f>
        <v>11251.22416</v>
      </c>
      <c r="AC422" s="49">
        <f>IF(V422="TIPO I",'BASE DE LIQUIDACION 2025'!$C$3,'BASE DE LIQUIDACION 2025'!$C$4)</f>
        <v>126317.12212</v>
      </c>
      <c r="AD422" s="49">
        <f>IF(V422="TIPO I",'BASE DE LIQUIDACION 2025'!$D$3,'BASE DE LIQUIDACION 2025'!$D$4)</f>
        <v>110808.27512000001</v>
      </c>
      <c r="AE422" s="53">
        <f t="shared" si="8"/>
        <v>248376.6214</v>
      </c>
    </row>
    <row r="423" spans="1:31" s="46" customFormat="1" ht="12.75" customHeight="1">
      <c r="A423" s="69" t="s">
        <v>1676</v>
      </c>
      <c r="B423" s="45" t="str">
        <f>VLOOKUP(A423,'CENTRO DE COSTOS'!A:D,4,FALSE)</f>
        <v>JOSE MAURICIO HERNANDEZ ROJAS</v>
      </c>
      <c r="C423" s="45" t="str">
        <f>VLOOKUP(A423,'CENTRO DE COSTOS'!A:D,2,FALSE)</f>
        <v>0004-0001</v>
      </c>
      <c r="D423" s="69">
        <v>47798</v>
      </c>
      <c r="E423" s="70" t="s">
        <v>2484</v>
      </c>
      <c r="F423" s="71">
        <v>81177</v>
      </c>
      <c r="G423" s="79" t="s">
        <v>132</v>
      </c>
      <c r="H423" s="73" t="s">
        <v>133</v>
      </c>
      <c r="I423" s="71" t="s">
        <v>1840</v>
      </c>
      <c r="J423" s="81" t="s">
        <v>2485</v>
      </c>
      <c r="K423" s="71" t="s">
        <v>2486</v>
      </c>
      <c r="L423" s="75" t="s">
        <v>137</v>
      </c>
      <c r="M423" s="82" t="s">
        <v>2487</v>
      </c>
      <c r="N423" s="74">
        <v>45894</v>
      </c>
      <c r="O423" s="76">
        <v>45895</v>
      </c>
      <c r="P423" s="83" t="s">
        <v>139</v>
      </c>
      <c r="Q423" s="84" t="s">
        <v>139</v>
      </c>
      <c r="R423" s="69" t="s">
        <v>140</v>
      </c>
      <c r="S423" s="72" t="s">
        <v>2488</v>
      </c>
      <c r="T423" s="79" t="s">
        <v>1701</v>
      </c>
      <c r="U423" s="69" t="s">
        <v>2489</v>
      </c>
      <c r="V423" s="81" t="s">
        <v>144</v>
      </c>
      <c r="W423" s="76" t="s">
        <v>145</v>
      </c>
      <c r="X423" s="79" t="s">
        <v>1701</v>
      </c>
      <c r="Y423" s="69">
        <v>1</v>
      </c>
      <c r="Z423" s="69">
        <v>1</v>
      </c>
      <c r="AA423" s="69">
        <v>1</v>
      </c>
      <c r="AB423" s="49">
        <f>IF(V423="TIPO I",'BASE DE LIQUIDACION 2025'!$B$3,'BASE DE LIQUIDACION 2025'!$B$4)</f>
        <v>11251.22416</v>
      </c>
      <c r="AC423" s="49">
        <f>IF(V423="TIPO I",'BASE DE LIQUIDACION 2025'!$C$3,'BASE DE LIQUIDACION 2025'!$C$4)</f>
        <v>126317.12212</v>
      </c>
      <c r="AD423" s="49">
        <f>IF(V423="TIPO I",'BASE DE LIQUIDACION 2025'!$D$3,'BASE DE LIQUIDACION 2025'!$D$4)</f>
        <v>110808.27512000001</v>
      </c>
      <c r="AE423" s="53">
        <f t="shared" si="8"/>
        <v>248376.6214</v>
      </c>
    </row>
    <row r="424" spans="1:31" s="46" customFormat="1" ht="12.75" customHeight="1">
      <c r="A424" s="69" t="s">
        <v>260</v>
      </c>
      <c r="B424" s="45" t="str">
        <f>VLOOKUP(A424,'CENTRO DE COSTOS'!A:D,4,FALSE)</f>
        <v>KEVIN ALEXIS CORZO BUSTOS</v>
      </c>
      <c r="C424" s="45" t="str">
        <f>VLOOKUP(A424,'CENTRO DE COSTOS'!A:D,2,FALSE)</f>
        <v>0004-0007</v>
      </c>
      <c r="D424" s="69">
        <v>50270</v>
      </c>
      <c r="E424" s="70" t="s">
        <v>2490</v>
      </c>
      <c r="F424" s="71">
        <v>81167</v>
      </c>
      <c r="G424" s="79" t="s">
        <v>132</v>
      </c>
      <c r="H424" s="73" t="s">
        <v>133</v>
      </c>
      <c r="I424" s="71" t="s">
        <v>262</v>
      </c>
      <c r="J424" s="81" t="s">
        <v>2491</v>
      </c>
      <c r="K424" s="71" t="s">
        <v>2492</v>
      </c>
      <c r="L424" s="75" t="s">
        <v>137</v>
      </c>
      <c r="M424" s="82" t="s">
        <v>2493</v>
      </c>
      <c r="N424" s="74">
        <v>45894</v>
      </c>
      <c r="O424" s="76">
        <v>45895</v>
      </c>
      <c r="P424" s="83" t="s">
        <v>139</v>
      </c>
      <c r="Q424" s="84" t="s">
        <v>139</v>
      </c>
      <c r="R424" s="69" t="s">
        <v>140</v>
      </c>
      <c r="S424" s="72" t="s">
        <v>2494</v>
      </c>
      <c r="T424" s="79" t="s">
        <v>332</v>
      </c>
      <c r="U424" s="69" t="s">
        <v>2495</v>
      </c>
      <c r="V424" s="81" t="s">
        <v>202</v>
      </c>
      <c r="W424" s="76" t="s">
        <v>145</v>
      </c>
      <c r="X424" s="79" t="s">
        <v>332</v>
      </c>
      <c r="Y424" s="69">
        <v>1</v>
      </c>
      <c r="Z424" s="69">
        <v>1</v>
      </c>
      <c r="AA424" s="69">
        <v>1</v>
      </c>
      <c r="AB424" s="49">
        <f>IF(V424="TIPO I",'BASE DE LIQUIDACION 2025'!$B$3,'BASE DE LIQUIDACION 2025'!$B$4)</f>
        <v>11251.22416</v>
      </c>
      <c r="AC424" s="49">
        <f>IF(V424="TIPO I",'BASE DE LIQUIDACION 2025'!$C$3,'BASE DE LIQUIDACION 2025'!$C$4)</f>
        <v>126317.12212</v>
      </c>
      <c r="AD424" s="49">
        <f>IF(V424="TIPO I",'BASE DE LIQUIDACION 2025'!$D$3,'BASE DE LIQUIDACION 2025'!$D$4)</f>
        <v>110808.27512000001</v>
      </c>
      <c r="AE424" s="53">
        <f t="shared" si="8"/>
        <v>248376.6214</v>
      </c>
    </row>
    <row r="425" spans="1:31" s="46" customFormat="1" ht="12.75" customHeight="1">
      <c r="A425" s="69" t="s">
        <v>379</v>
      </c>
      <c r="B425" s="45" t="str">
        <f>VLOOKUP(A425,'CENTRO DE COSTOS'!A:D,4,FALSE)</f>
        <v>JOSE MAURICIO HERNANDEZ ROJAS</v>
      </c>
      <c r="C425" s="45" t="str">
        <f>VLOOKUP(A425,'CENTRO DE COSTOS'!A:D,2,FALSE)</f>
        <v>0004-0001</v>
      </c>
      <c r="D425" s="69">
        <v>23090</v>
      </c>
      <c r="E425" s="70" t="s">
        <v>2496</v>
      </c>
      <c r="F425" s="71">
        <v>81166</v>
      </c>
      <c r="G425" s="79" t="s">
        <v>132</v>
      </c>
      <c r="H425" s="73" t="s">
        <v>133</v>
      </c>
      <c r="I425" s="71" t="s">
        <v>381</v>
      </c>
      <c r="J425" s="81" t="s">
        <v>2497</v>
      </c>
      <c r="K425" s="71" t="s">
        <v>2498</v>
      </c>
      <c r="L425" s="75" t="s">
        <v>137</v>
      </c>
      <c r="M425" s="82" t="s">
        <v>2499</v>
      </c>
      <c r="N425" s="74">
        <v>45894</v>
      </c>
      <c r="O425" s="76">
        <v>45896</v>
      </c>
      <c r="P425" s="83" t="s">
        <v>139</v>
      </c>
      <c r="Q425" s="84" t="s">
        <v>139</v>
      </c>
      <c r="R425" s="69" t="s">
        <v>140</v>
      </c>
      <c r="S425" s="72" t="s">
        <v>2500</v>
      </c>
      <c r="T425" s="79" t="s">
        <v>1944</v>
      </c>
      <c r="U425" s="69" t="s">
        <v>2501</v>
      </c>
      <c r="V425" s="81" t="s">
        <v>202</v>
      </c>
      <c r="W425" s="76" t="s">
        <v>145</v>
      </c>
      <c r="X425" s="79" t="s">
        <v>1944</v>
      </c>
      <c r="Y425" s="69">
        <v>1</v>
      </c>
      <c r="Z425" s="69">
        <v>1</v>
      </c>
      <c r="AA425" s="69">
        <v>1</v>
      </c>
      <c r="AB425" s="49">
        <f>IF(V425="TIPO I",'BASE DE LIQUIDACION 2025'!$B$3,'BASE DE LIQUIDACION 2025'!$B$4)</f>
        <v>11251.22416</v>
      </c>
      <c r="AC425" s="49">
        <f>IF(V425="TIPO I",'BASE DE LIQUIDACION 2025'!$C$3,'BASE DE LIQUIDACION 2025'!$C$4)</f>
        <v>126317.12212</v>
      </c>
      <c r="AD425" s="49">
        <f>IF(V425="TIPO I",'BASE DE LIQUIDACION 2025'!$D$3,'BASE DE LIQUIDACION 2025'!$D$4)</f>
        <v>110808.27512000001</v>
      </c>
      <c r="AE425" s="53">
        <f t="shared" si="8"/>
        <v>248376.6214</v>
      </c>
    </row>
    <row r="426" spans="1:31" s="46" customFormat="1" ht="12.75" customHeight="1">
      <c r="A426" s="69" t="s">
        <v>203</v>
      </c>
      <c r="B426" s="45" t="str">
        <f>VLOOKUP(A426,'CENTRO DE COSTOS'!A:D,4,FALSE)</f>
        <v>MIGUEL JULIÁN HERNÁNDEZ GUARÍN</v>
      </c>
      <c r="C426" s="45" t="str">
        <f>VLOOKUP(A426,'CENTRO DE COSTOS'!A:D,2,FALSE)</f>
        <v>0004-0008</v>
      </c>
      <c r="D426" s="69">
        <v>15276</v>
      </c>
      <c r="E426" s="70" t="s">
        <v>2502</v>
      </c>
      <c r="F426" s="71">
        <v>81178</v>
      </c>
      <c r="G426" s="79" t="s">
        <v>132</v>
      </c>
      <c r="H426" s="73" t="s">
        <v>133</v>
      </c>
      <c r="I426" s="71" t="s">
        <v>205</v>
      </c>
      <c r="J426" s="81" t="s">
        <v>2503</v>
      </c>
      <c r="K426" s="71" t="s">
        <v>2504</v>
      </c>
      <c r="L426" s="75" t="s">
        <v>137</v>
      </c>
      <c r="M426" s="82" t="s">
        <v>2505</v>
      </c>
      <c r="N426" s="74">
        <v>45894</v>
      </c>
      <c r="O426" s="76">
        <v>45896</v>
      </c>
      <c r="P426" s="83" t="s">
        <v>139</v>
      </c>
      <c r="Q426" s="84" t="s">
        <v>139</v>
      </c>
      <c r="R426" s="69" t="s">
        <v>140</v>
      </c>
      <c r="S426" s="72" t="s">
        <v>2506</v>
      </c>
      <c r="T426" s="79" t="s">
        <v>1163</v>
      </c>
      <c r="U426" s="69" t="s">
        <v>2507</v>
      </c>
      <c r="V426" s="81" t="s">
        <v>202</v>
      </c>
      <c r="W426" s="76" t="s">
        <v>145</v>
      </c>
      <c r="X426" s="79" t="s">
        <v>1163</v>
      </c>
      <c r="Y426" s="69">
        <v>1</v>
      </c>
      <c r="Z426" s="69">
        <v>1</v>
      </c>
      <c r="AA426" s="69">
        <v>1</v>
      </c>
      <c r="AB426" s="49">
        <f>IF(V426="TIPO I",'BASE DE LIQUIDACION 2025'!$B$3,'BASE DE LIQUIDACION 2025'!$B$4)</f>
        <v>11251.22416</v>
      </c>
      <c r="AC426" s="49">
        <f>IF(V426="TIPO I",'BASE DE LIQUIDACION 2025'!$C$3,'BASE DE LIQUIDACION 2025'!$C$4)</f>
        <v>126317.12212</v>
      </c>
      <c r="AD426" s="49">
        <f>IF(V426="TIPO I",'BASE DE LIQUIDACION 2025'!$D$3,'BASE DE LIQUIDACION 2025'!$D$4)</f>
        <v>110808.27512000001</v>
      </c>
      <c r="AE426" s="53">
        <f t="shared" si="8"/>
        <v>248376.6214</v>
      </c>
    </row>
    <row r="427" spans="1:31" s="46" customFormat="1" ht="12.75" customHeight="1">
      <c r="A427" s="69" t="s">
        <v>371</v>
      </c>
      <c r="B427" s="45" t="str">
        <f>VLOOKUP(A427,'CENTRO DE COSTOS'!A:D,4,FALSE)</f>
        <v>JOSE MAURICIO HERNANDEZ ROJAS</v>
      </c>
      <c r="C427" s="45" t="str">
        <f>VLOOKUP(A427,'CENTRO DE COSTOS'!A:D,2,FALSE)</f>
        <v>0004-0001</v>
      </c>
      <c r="D427" s="69">
        <v>70708</v>
      </c>
      <c r="E427" s="70" t="s">
        <v>2508</v>
      </c>
      <c r="F427" s="71">
        <v>81176</v>
      </c>
      <c r="G427" s="79" t="s">
        <v>132</v>
      </c>
      <c r="H427" s="73" t="s">
        <v>133</v>
      </c>
      <c r="I427" s="71" t="s">
        <v>373</v>
      </c>
      <c r="J427" s="81" t="s">
        <v>677</v>
      </c>
      <c r="K427" s="71" t="s">
        <v>2509</v>
      </c>
      <c r="L427" s="75" t="s">
        <v>137</v>
      </c>
      <c r="M427" s="82" t="s">
        <v>2510</v>
      </c>
      <c r="N427" s="74">
        <v>45894</v>
      </c>
      <c r="O427" s="76">
        <v>45895</v>
      </c>
      <c r="P427" s="83" t="s">
        <v>139</v>
      </c>
      <c r="Q427" s="84" t="s">
        <v>139</v>
      </c>
      <c r="R427" s="69" t="s">
        <v>140</v>
      </c>
      <c r="S427" s="72" t="s">
        <v>2511</v>
      </c>
      <c r="T427" s="79" t="s">
        <v>377</v>
      </c>
      <c r="U427" s="69" t="s">
        <v>2512</v>
      </c>
      <c r="V427" s="81" t="s">
        <v>230</v>
      </c>
      <c r="W427" s="76" t="s">
        <v>145</v>
      </c>
      <c r="X427" s="79" t="s">
        <v>377</v>
      </c>
      <c r="Y427" s="69">
        <v>1</v>
      </c>
      <c r="Z427" s="69">
        <v>1</v>
      </c>
      <c r="AA427" s="69">
        <v>1</v>
      </c>
      <c r="AB427" s="49">
        <f>IF(V427="TIPO I",'BASE DE LIQUIDACION 2025'!$B$3,'BASE DE LIQUIDACION 2025'!$B$4)</f>
        <v>11251.22416</v>
      </c>
      <c r="AC427" s="49">
        <f>IF(V427="TIPO I",'BASE DE LIQUIDACION 2025'!$C$3,'BASE DE LIQUIDACION 2025'!$C$4)</f>
        <v>126317.12212</v>
      </c>
      <c r="AD427" s="49">
        <f>IF(V427="TIPO I",'BASE DE LIQUIDACION 2025'!$D$3,'BASE DE LIQUIDACION 2025'!$D$4)</f>
        <v>110808.27512000001</v>
      </c>
      <c r="AE427" s="53">
        <f t="shared" si="8"/>
        <v>248376.6214</v>
      </c>
    </row>
    <row r="428" spans="1:31" s="46" customFormat="1" ht="12.75" customHeight="1">
      <c r="A428" s="69" t="s">
        <v>260</v>
      </c>
      <c r="B428" s="45" t="str">
        <f>VLOOKUP(A428,'CENTRO DE COSTOS'!A:D,4,FALSE)</f>
        <v>KEVIN ALEXIS CORZO BUSTOS</v>
      </c>
      <c r="C428" s="45" t="str">
        <f>VLOOKUP(A428,'CENTRO DE COSTOS'!A:D,2,FALSE)</f>
        <v>0004-0007</v>
      </c>
      <c r="D428" s="69">
        <v>50287</v>
      </c>
      <c r="E428" s="70" t="s">
        <v>2513</v>
      </c>
      <c r="F428" s="71">
        <v>81169</v>
      </c>
      <c r="G428" s="79" t="s">
        <v>132</v>
      </c>
      <c r="H428" s="73" t="s">
        <v>133</v>
      </c>
      <c r="I428" s="71" t="s">
        <v>262</v>
      </c>
      <c r="J428" s="81" t="s">
        <v>2514</v>
      </c>
      <c r="K428" s="71" t="s">
        <v>2515</v>
      </c>
      <c r="L428" s="75" t="s">
        <v>137</v>
      </c>
      <c r="M428" s="82" t="s">
        <v>2516</v>
      </c>
      <c r="N428" s="74">
        <v>45894</v>
      </c>
      <c r="O428" s="76">
        <v>45896</v>
      </c>
      <c r="P428" s="83" t="s">
        <v>139</v>
      </c>
      <c r="Q428" s="84" t="s">
        <v>139</v>
      </c>
      <c r="R428" s="69" t="s">
        <v>140</v>
      </c>
      <c r="S428" s="72" t="s">
        <v>2517</v>
      </c>
      <c r="T428" s="79" t="s">
        <v>909</v>
      </c>
      <c r="U428" s="69" t="s">
        <v>2518</v>
      </c>
      <c r="V428" s="81" t="s">
        <v>230</v>
      </c>
      <c r="W428" s="76" t="s">
        <v>145</v>
      </c>
      <c r="X428" s="79" t="s">
        <v>909</v>
      </c>
      <c r="Y428" s="69">
        <v>1</v>
      </c>
      <c r="Z428" s="69">
        <v>1</v>
      </c>
      <c r="AA428" s="69">
        <v>1</v>
      </c>
      <c r="AB428" s="49">
        <f>IF(V428="TIPO I",'BASE DE LIQUIDACION 2025'!$B$3,'BASE DE LIQUIDACION 2025'!$B$4)</f>
        <v>11251.22416</v>
      </c>
      <c r="AC428" s="49">
        <f>IF(V428="TIPO I",'BASE DE LIQUIDACION 2025'!$C$3,'BASE DE LIQUIDACION 2025'!$C$4)</f>
        <v>126317.12212</v>
      </c>
      <c r="AD428" s="49">
        <f>IF(V428="TIPO I",'BASE DE LIQUIDACION 2025'!$D$3,'BASE DE LIQUIDACION 2025'!$D$4)</f>
        <v>110808.27512000001</v>
      </c>
      <c r="AE428" s="53">
        <f t="shared" si="8"/>
        <v>248376.6214</v>
      </c>
    </row>
    <row r="429" spans="1:31" s="46" customFormat="1" ht="12.75" customHeight="1">
      <c r="A429" s="69" t="s">
        <v>260</v>
      </c>
      <c r="B429" s="45" t="str">
        <f>VLOOKUP(A429,'CENTRO DE COSTOS'!A:D,4,FALSE)</f>
        <v>KEVIN ALEXIS CORZO BUSTOS</v>
      </c>
      <c r="C429" s="45" t="str">
        <f>VLOOKUP(A429,'CENTRO DE COSTOS'!A:D,2,FALSE)</f>
        <v>0004-0007</v>
      </c>
      <c r="D429" s="69">
        <v>50577</v>
      </c>
      <c r="E429" s="70" t="s">
        <v>2519</v>
      </c>
      <c r="F429" s="71">
        <v>81173</v>
      </c>
      <c r="G429" s="79" t="s">
        <v>132</v>
      </c>
      <c r="H429" s="73" t="s">
        <v>133</v>
      </c>
      <c r="I429" s="71" t="s">
        <v>262</v>
      </c>
      <c r="J429" s="81" t="s">
        <v>2520</v>
      </c>
      <c r="K429" s="71" t="s">
        <v>2521</v>
      </c>
      <c r="L429" s="75" t="s">
        <v>137</v>
      </c>
      <c r="M429" s="82" t="s">
        <v>2522</v>
      </c>
      <c r="N429" s="74">
        <v>45894</v>
      </c>
      <c r="O429" s="76">
        <v>45896</v>
      </c>
      <c r="P429" s="83" t="s">
        <v>139</v>
      </c>
      <c r="Q429" s="84" t="s">
        <v>139</v>
      </c>
      <c r="R429" s="69" t="s">
        <v>140</v>
      </c>
      <c r="S429" s="72" t="s">
        <v>2523</v>
      </c>
      <c r="T429" s="79" t="s">
        <v>909</v>
      </c>
      <c r="U429" s="69" t="s">
        <v>2524</v>
      </c>
      <c r="V429" s="81" t="s">
        <v>230</v>
      </c>
      <c r="W429" s="76" t="s">
        <v>145</v>
      </c>
      <c r="X429" s="79" t="s">
        <v>909</v>
      </c>
      <c r="Y429" s="69">
        <v>1</v>
      </c>
      <c r="Z429" s="69">
        <v>1</v>
      </c>
      <c r="AA429" s="69">
        <v>1</v>
      </c>
      <c r="AB429" s="49">
        <f>IF(V429="TIPO I",'BASE DE LIQUIDACION 2025'!$B$3,'BASE DE LIQUIDACION 2025'!$B$4)</f>
        <v>11251.22416</v>
      </c>
      <c r="AC429" s="49">
        <f>IF(V429="TIPO I",'BASE DE LIQUIDACION 2025'!$C$3,'BASE DE LIQUIDACION 2025'!$C$4)</f>
        <v>126317.12212</v>
      </c>
      <c r="AD429" s="49">
        <f>IF(V429="TIPO I",'BASE DE LIQUIDACION 2025'!$D$3,'BASE DE LIQUIDACION 2025'!$D$4)</f>
        <v>110808.27512000001</v>
      </c>
      <c r="AE429" s="53">
        <f t="shared" si="8"/>
        <v>248376.6214</v>
      </c>
    </row>
    <row r="430" spans="1:31" s="46" customFormat="1" ht="12.75" customHeight="1">
      <c r="A430" s="69" t="s">
        <v>203</v>
      </c>
      <c r="B430" s="45" t="str">
        <f>VLOOKUP(A430,'CENTRO DE COSTOS'!A:D,4,FALSE)</f>
        <v>MIGUEL JULIÁN HERNÁNDEZ GUARÍN</v>
      </c>
      <c r="C430" s="45" t="str">
        <f>VLOOKUP(A430,'CENTRO DE COSTOS'!A:D,2,FALSE)</f>
        <v>0004-0008</v>
      </c>
      <c r="D430" s="69">
        <v>15516</v>
      </c>
      <c r="E430" s="70" t="s">
        <v>2525</v>
      </c>
      <c r="F430" s="71">
        <v>81171</v>
      </c>
      <c r="G430" s="79" t="s">
        <v>132</v>
      </c>
      <c r="H430" s="73" t="s">
        <v>133</v>
      </c>
      <c r="I430" s="71" t="s">
        <v>205</v>
      </c>
      <c r="J430" s="81" t="s">
        <v>2526</v>
      </c>
      <c r="K430" s="71" t="s">
        <v>2527</v>
      </c>
      <c r="L430" s="75" t="s">
        <v>137</v>
      </c>
      <c r="M430" s="82" t="s">
        <v>2528</v>
      </c>
      <c r="N430" s="74">
        <v>45894</v>
      </c>
      <c r="O430" s="76">
        <v>45896</v>
      </c>
      <c r="P430" s="83" t="s">
        <v>139</v>
      </c>
      <c r="Q430" s="84" t="s">
        <v>139</v>
      </c>
      <c r="R430" s="69" t="s">
        <v>140</v>
      </c>
      <c r="S430" s="72" t="s">
        <v>2529</v>
      </c>
      <c r="T430" s="79" t="s">
        <v>210</v>
      </c>
      <c r="U430" s="69" t="s">
        <v>2530</v>
      </c>
      <c r="V430" s="81" t="s">
        <v>202</v>
      </c>
      <c r="W430" s="76" t="s">
        <v>145</v>
      </c>
      <c r="X430" s="79" t="s">
        <v>210</v>
      </c>
      <c r="Y430" s="69">
        <v>1</v>
      </c>
      <c r="Z430" s="69">
        <v>1</v>
      </c>
      <c r="AA430" s="69">
        <v>1</v>
      </c>
      <c r="AB430" s="49">
        <f>IF(V430="TIPO I",'BASE DE LIQUIDACION 2025'!$B$3,'BASE DE LIQUIDACION 2025'!$B$4)</f>
        <v>11251.22416</v>
      </c>
      <c r="AC430" s="49">
        <f>IF(V430="TIPO I",'BASE DE LIQUIDACION 2025'!$C$3,'BASE DE LIQUIDACION 2025'!$C$4)</f>
        <v>126317.12212</v>
      </c>
      <c r="AD430" s="49">
        <f>IF(V430="TIPO I",'BASE DE LIQUIDACION 2025'!$D$3,'BASE DE LIQUIDACION 2025'!$D$4)</f>
        <v>110808.27512000001</v>
      </c>
      <c r="AE430" s="53">
        <f t="shared" si="8"/>
        <v>248376.6214</v>
      </c>
    </row>
    <row r="431" spans="1:31" s="46" customFormat="1" ht="12.75" customHeight="1">
      <c r="A431" s="69" t="s">
        <v>220</v>
      </c>
      <c r="B431" s="45" t="str">
        <f>VLOOKUP(A431,'CENTRO DE COSTOS'!A:D,4,FALSE)</f>
        <v>DIEGO FERNANDO HENAO CARDONA</v>
      </c>
      <c r="C431" s="45" t="str">
        <f>VLOOKUP(A431,'CENTRO DE COSTOS'!A:D,2,FALSE)</f>
        <v>0004-0003</v>
      </c>
      <c r="D431" s="69">
        <v>76001</v>
      </c>
      <c r="E431" s="70" t="s">
        <v>2531</v>
      </c>
      <c r="F431" s="71">
        <v>81060</v>
      </c>
      <c r="G431" s="79" t="s">
        <v>132</v>
      </c>
      <c r="H431" s="73" t="s">
        <v>1218</v>
      </c>
      <c r="I431" s="71" t="s">
        <v>420</v>
      </c>
      <c r="J431" s="81" t="s">
        <v>220</v>
      </c>
      <c r="K431" s="71" t="s">
        <v>2532</v>
      </c>
      <c r="L431" s="75" t="s">
        <v>137</v>
      </c>
      <c r="M431" s="82" t="s">
        <v>2533</v>
      </c>
      <c r="N431" s="74">
        <v>45894</v>
      </c>
      <c r="O431" s="76">
        <v>45895</v>
      </c>
      <c r="P431" s="83" t="s">
        <v>139</v>
      </c>
      <c r="Q431" s="84" t="s">
        <v>139</v>
      </c>
      <c r="R431" s="69" t="s">
        <v>140</v>
      </c>
      <c r="S431" s="72" t="s">
        <v>2534</v>
      </c>
      <c r="T431" s="79" t="s">
        <v>702</v>
      </c>
      <c r="U431" s="69" t="s">
        <v>2535</v>
      </c>
      <c r="V431" s="81" t="s">
        <v>52</v>
      </c>
      <c r="W431" s="76" t="s">
        <v>145</v>
      </c>
      <c r="X431" s="79" t="s">
        <v>702</v>
      </c>
      <c r="Y431" s="69">
        <v>1</v>
      </c>
      <c r="Z431" s="69">
        <v>1</v>
      </c>
      <c r="AA431" s="69">
        <v>1</v>
      </c>
      <c r="AB431" s="49">
        <f>IF(V431="TIPO I",'BASE DE LIQUIDACION 2025'!$B$3,'BASE DE LIQUIDACION 2025'!$B$4)</f>
        <v>11251.22416</v>
      </c>
      <c r="AC431" s="49">
        <f>IF(V431="TIPO I",'BASE DE LIQUIDACION 2025'!$C$3,'BASE DE LIQUIDACION 2025'!$C$4)</f>
        <v>126317.12212</v>
      </c>
      <c r="AD431" s="49">
        <f>IF(V431="TIPO I",'BASE DE LIQUIDACION 2025'!$D$3,'BASE DE LIQUIDACION 2025'!$D$4)</f>
        <v>57411.974240000003</v>
      </c>
      <c r="AE431" s="53">
        <f t="shared" si="8"/>
        <v>194980.32052000001</v>
      </c>
    </row>
    <row r="432" spans="1:31" s="46" customFormat="1" ht="12.75" customHeight="1">
      <c r="A432" s="69" t="s">
        <v>220</v>
      </c>
      <c r="B432" s="45" t="str">
        <f>VLOOKUP(A432,'CENTRO DE COSTOS'!A:D,4,FALSE)</f>
        <v>DIEGO FERNANDO HENAO CARDONA</v>
      </c>
      <c r="C432" s="45" t="str">
        <f>VLOOKUP(A432,'CENTRO DE COSTOS'!A:D,2,FALSE)</f>
        <v>0004-0003</v>
      </c>
      <c r="D432" s="69">
        <v>76520</v>
      </c>
      <c r="E432" s="70" t="s">
        <v>2536</v>
      </c>
      <c r="F432" s="71">
        <v>81090</v>
      </c>
      <c r="G432" s="79" t="s">
        <v>132</v>
      </c>
      <c r="H432" s="73" t="s">
        <v>1218</v>
      </c>
      <c r="I432" s="71" t="s">
        <v>420</v>
      </c>
      <c r="J432" s="81" t="s">
        <v>1377</v>
      </c>
      <c r="K432" s="71" t="s">
        <v>2537</v>
      </c>
      <c r="L432" s="75" t="s">
        <v>137</v>
      </c>
      <c r="M432" s="82" t="s">
        <v>2538</v>
      </c>
      <c r="N432" s="74">
        <v>45894</v>
      </c>
      <c r="O432" s="76">
        <v>45895</v>
      </c>
      <c r="P432" s="83" t="s">
        <v>139</v>
      </c>
      <c r="Q432" s="84" t="s">
        <v>139</v>
      </c>
      <c r="R432" s="69" t="s">
        <v>140</v>
      </c>
      <c r="S432" s="72" t="s">
        <v>2539</v>
      </c>
      <c r="T432" s="79" t="s">
        <v>489</v>
      </c>
      <c r="U432" s="69" t="s">
        <v>2540</v>
      </c>
      <c r="V432" s="81" t="s">
        <v>52</v>
      </c>
      <c r="W432" s="76" t="s">
        <v>145</v>
      </c>
      <c r="X432" s="79" t="s">
        <v>489</v>
      </c>
      <c r="Y432" s="69">
        <v>1</v>
      </c>
      <c r="Z432" s="69">
        <v>1</v>
      </c>
      <c r="AA432" s="69">
        <v>1</v>
      </c>
      <c r="AB432" s="49">
        <f>IF(V432="TIPO I",'BASE DE LIQUIDACION 2025'!$B$3,'BASE DE LIQUIDACION 2025'!$B$4)</f>
        <v>11251.22416</v>
      </c>
      <c r="AC432" s="49">
        <f>IF(V432="TIPO I",'BASE DE LIQUIDACION 2025'!$C$3,'BASE DE LIQUIDACION 2025'!$C$4)</f>
        <v>126317.12212</v>
      </c>
      <c r="AD432" s="49">
        <f>IF(V432="TIPO I",'BASE DE LIQUIDACION 2025'!$D$3,'BASE DE LIQUIDACION 2025'!$D$4)</f>
        <v>57411.974240000003</v>
      </c>
      <c r="AE432" s="53">
        <f t="shared" si="8"/>
        <v>194980.32052000001</v>
      </c>
    </row>
    <row r="433" spans="1:31" s="46" customFormat="1" ht="12.75" customHeight="1">
      <c r="A433" s="69" t="s">
        <v>285</v>
      </c>
      <c r="B433" s="45" t="str">
        <f>VLOOKUP(A433,'CENTRO DE COSTOS'!A:D,4,FALSE)</f>
        <v>MIGUEL JULIÁN HERNÁNDEZ GUARÍN</v>
      </c>
      <c r="C433" s="45" t="str">
        <f>VLOOKUP(A433,'CENTRO DE COSTOS'!A:D,2,FALSE)</f>
        <v>0004-0008</v>
      </c>
      <c r="D433" s="69">
        <v>54313</v>
      </c>
      <c r="E433" s="70" t="s">
        <v>2541</v>
      </c>
      <c r="F433" s="71">
        <v>81205</v>
      </c>
      <c r="G433" s="79" t="s">
        <v>132</v>
      </c>
      <c r="H433" s="73" t="s">
        <v>133</v>
      </c>
      <c r="I433" s="71" t="s">
        <v>287</v>
      </c>
      <c r="J433" s="81" t="s">
        <v>2542</v>
      </c>
      <c r="K433" s="71" t="s">
        <v>2543</v>
      </c>
      <c r="L433" s="75" t="s">
        <v>137</v>
      </c>
      <c r="M433" s="82" t="s">
        <v>2544</v>
      </c>
      <c r="N433" s="74">
        <v>45896</v>
      </c>
      <c r="O433" s="76">
        <v>45898</v>
      </c>
      <c r="P433" s="83" t="s">
        <v>139</v>
      </c>
      <c r="Q433" s="84" t="s">
        <v>139</v>
      </c>
      <c r="R433" s="69" t="s">
        <v>140</v>
      </c>
      <c r="S433" s="72" t="s">
        <v>2545</v>
      </c>
      <c r="T433" s="79" t="s">
        <v>391</v>
      </c>
      <c r="U433" s="69" t="s">
        <v>2546</v>
      </c>
      <c r="V433" s="81" t="s">
        <v>202</v>
      </c>
      <c r="W433" s="76" t="s">
        <v>145</v>
      </c>
      <c r="X433" s="79" t="s">
        <v>391</v>
      </c>
      <c r="Y433" s="69">
        <v>1</v>
      </c>
      <c r="Z433" s="69">
        <v>1</v>
      </c>
      <c r="AA433" s="69">
        <v>1</v>
      </c>
      <c r="AB433" s="49">
        <f>IF(V433="TIPO I",'BASE DE LIQUIDACION 2025'!$B$3,'BASE DE LIQUIDACION 2025'!$B$4)</f>
        <v>11251.22416</v>
      </c>
      <c r="AC433" s="49">
        <f>IF(V433="TIPO I",'BASE DE LIQUIDACION 2025'!$C$3,'BASE DE LIQUIDACION 2025'!$C$4)</f>
        <v>126317.12212</v>
      </c>
      <c r="AD433" s="49">
        <f>IF(V433="TIPO I",'BASE DE LIQUIDACION 2025'!$D$3,'BASE DE LIQUIDACION 2025'!$D$4)</f>
        <v>110808.27512000001</v>
      </c>
      <c r="AE433" s="53">
        <f t="shared" si="8"/>
        <v>248376.6214</v>
      </c>
    </row>
    <row r="434" spans="1:31" s="46" customFormat="1" ht="12.75" customHeight="1">
      <c r="A434" s="69" t="s">
        <v>1676</v>
      </c>
      <c r="B434" s="45" t="str">
        <f>VLOOKUP(A434,'CENTRO DE COSTOS'!A:D,4,FALSE)</f>
        <v>JOSE MAURICIO HERNANDEZ ROJAS</v>
      </c>
      <c r="C434" s="45" t="str">
        <f>VLOOKUP(A434,'CENTRO DE COSTOS'!A:D,2,FALSE)</f>
        <v>0004-0001</v>
      </c>
      <c r="D434" s="69">
        <v>47030</v>
      </c>
      <c r="E434" s="70" t="s">
        <v>2547</v>
      </c>
      <c r="F434" s="71">
        <v>81182</v>
      </c>
      <c r="G434" s="79" t="s">
        <v>132</v>
      </c>
      <c r="H434" s="73" t="s">
        <v>133</v>
      </c>
      <c r="I434" s="71" t="s">
        <v>1840</v>
      </c>
      <c r="J434" s="81" t="s">
        <v>2548</v>
      </c>
      <c r="K434" s="71" t="s">
        <v>2549</v>
      </c>
      <c r="L434" s="75" t="s">
        <v>137</v>
      </c>
      <c r="M434" s="82" t="s">
        <v>2550</v>
      </c>
      <c r="N434" s="74">
        <v>45896</v>
      </c>
      <c r="O434" s="76">
        <v>45897</v>
      </c>
      <c r="P434" s="83" t="s">
        <v>139</v>
      </c>
      <c r="Q434" s="84" t="s">
        <v>139</v>
      </c>
      <c r="R434" s="69" t="s">
        <v>140</v>
      </c>
      <c r="S434" s="72" t="s">
        <v>2551</v>
      </c>
      <c r="T434" s="79" t="s">
        <v>1695</v>
      </c>
      <c r="U434" s="69" t="s">
        <v>2552</v>
      </c>
      <c r="V434" s="81" t="s">
        <v>144</v>
      </c>
      <c r="W434" s="76" t="s">
        <v>145</v>
      </c>
      <c r="X434" s="79" t="s">
        <v>1695</v>
      </c>
      <c r="Y434" s="69">
        <v>1</v>
      </c>
      <c r="Z434" s="69">
        <v>1</v>
      </c>
      <c r="AA434" s="69">
        <v>1</v>
      </c>
      <c r="AB434" s="49">
        <f>IF(V434="TIPO I",'BASE DE LIQUIDACION 2025'!$B$3,'BASE DE LIQUIDACION 2025'!$B$4)</f>
        <v>11251.22416</v>
      </c>
      <c r="AC434" s="49">
        <f>IF(V434="TIPO I",'BASE DE LIQUIDACION 2025'!$C$3,'BASE DE LIQUIDACION 2025'!$C$4)</f>
        <v>126317.12212</v>
      </c>
      <c r="AD434" s="49">
        <f>IF(V434="TIPO I",'BASE DE LIQUIDACION 2025'!$D$3,'BASE DE LIQUIDACION 2025'!$D$4)</f>
        <v>110808.27512000001</v>
      </c>
      <c r="AE434" s="53">
        <f t="shared" si="8"/>
        <v>248376.6214</v>
      </c>
    </row>
    <row r="435" spans="1:31" s="46" customFormat="1" ht="12.75" customHeight="1">
      <c r="A435" s="69" t="s">
        <v>130</v>
      </c>
      <c r="B435" s="45" t="str">
        <f>VLOOKUP(A435,'CENTRO DE COSTOS'!A:D,4,FALSE)</f>
        <v>KEVIN ALEXIS CORZO BUSTOS</v>
      </c>
      <c r="C435" s="45" t="str">
        <f>VLOOKUP(A435,'CENTRO DE COSTOS'!A:D,2,FALSE)</f>
        <v>0004-0007</v>
      </c>
      <c r="D435" s="69">
        <v>41298</v>
      </c>
      <c r="E435" s="70" t="s">
        <v>2553</v>
      </c>
      <c r="F435" s="71">
        <v>81204</v>
      </c>
      <c r="G435" s="79" t="s">
        <v>132</v>
      </c>
      <c r="H435" s="73" t="s">
        <v>133</v>
      </c>
      <c r="I435" s="71" t="s">
        <v>213</v>
      </c>
      <c r="J435" s="81" t="s">
        <v>1672</v>
      </c>
      <c r="K435" s="71" t="s">
        <v>2554</v>
      </c>
      <c r="L435" s="75" t="s">
        <v>137</v>
      </c>
      <c r="M435" s="82" t="s">
        <v>2555</v>
      </c>
      <c r="N435" s="74">
        <v>45896</v>
      </c>
      <c r="O435" s="76">
        <v>45897</v>
      </c>
      <c r="P435" s="83" t="s">
        <v>139</v>
      </c>
      <c r="Q435" s="84" t="s">
        <v>139</v>
      </c>
      <c r="R435" s="69" t="s">
        <v>140</v>
      </c>
      <c r="S435" s="72" t="s">
        <v>2556</v>
      </c>
      <c r="T435" s="79" t="s">
        <v>314</v>
      </c>
      <c r="U435" s="69" t="s">
        <v>2557</v>
      </c>
      <c r="V435" s="81" t="s">
        <v>230</v>
      </c>
      <c r="W435" s="76" t="s">
        <v>145</v>
      </c>
      <c r="X435" s="79" t="s">
        <v>314</v>
      </c>
      <c r="Y435" s="69">
        <v>1</v>
      </c>
      <c r="Z435" s="69">
        <v>1</v>
      </c>
      <c r="AA435" s="69">
        <v>1</v>
      </c>
      <c r="AB435" s="49">
        <f>IF(V435="TIPO I",'BASE DE LIQUIDACION 2025'!$B$3,'BASE DE LIQUIDACION 2025'!$B$4)</f>
        <v>11251.22416</v>
      </c>
      <c r="AC435" s="49">
        <f>IF(V435="TIPO I",'BASE DE LIQUIDACION 2025'!$C$3,'BASE DE LIQUIDACION 2025'!$C$4)</f>
        <v>126317.12212</v>
      </c>
      <c r="AD435" s="49">
        <f>IF(V435="TIPO I",'BASE DE LIQUIDACION 2025'!$D$3,'BASE DE LIQUIDACION 2025'!$D$4)</f>
        <v>110808.27512000001</v>
      </c>
      <c r="AE435" s="53">
        <f t="shared" si="8"/>
        <v>248376.6214</v>
      </c>
    </row>
    <row r="436" spans="1:31" s="46" customFormat="1" ht="12.75" customHeight="1">
      <c r="A436" s="69" t="s">
        <v>688</v>
      </c>
      <c r="B436" s="45" t="str">
        <f>VLOOKUP(A436,'CENTRO DE COSTOS'!A:D,4,FALSE)</f>
        <v>KEVIN ALEXIS CORZO BUSTOS</v>
      </c>
      <c r="C436" s="45" t="str">
        <f>VLOOKUP(A436,'CENTRO DE COSTOS'!A:D,2,FALSE)</f>
        <v>0004-0007</v>
      </c>
      <c r="D436" s="69">
        <v>73319</v>
      </c>
      <c r="E436" s="70" t="s">
        <v>2558</v>
      </c>
      <c r="F436" s="71">
        <v>81206</v>
      </c>
      <c r="G436" s="79" t="s">
        <v>132</v>
      </c>
      <c r="H436" s="73" t="s">
        <v>133</v>
      </c>
      <c r="I436" s="71" t="s">
        <v>690</v>
      </c>
      <c r="J436" s="81" t="s">
        <v>2559</v>
      </c>
      <c r="K436" s="71" t="s">
        <v>2560</v>
      </c>
      <c r="L436" s="75" t="s">
        <v>137</v>
      </c>
      <c r="M436" s="82" t="s">
        <v>2561</v>
      </c>
      <c r="N436" s="74">
        <v>45896</v>
      </c>
      <c r="O436" s="76">
        <v>45897</v>
      </c>
      <c r="P436" s="83" t="s">
        <v>139</v>
      </c>
      <c r="Q436" s="84" t="s">
        <v>139</v>
      </c>
      <c r="R436" s="69" t="s">
        <v>140</v>
      </c>
      <c r="S436" s="72" t="s">
        <v>2562</v>
      </c>
      <c r="T436" s="79" t="s">
        <v>940</v>
      </c>
      <c r="U436" s="69" t="s">
        <v>2563</v>
      </c>
      <c r="V436" s="81" t="s">
        <v>202</v>
      </c>
      <c r="W436" s="76" t="s">
        <v>145</v>
      </c>
      <c r="X436" s="79" t="s">
        <v>940</v>
      </c>
      <c r="Y436" s="69">
        <v>1</v>
      </c>
      <c r="Z436" s="69">
        <v>1</v>
      </c>
      <c r="AA436" s="69">
        <v>1</v>
      </c>
      <c r="AB436" s="49">
        <f>IF(V436="TIPO I",'BASE DE LIQUIDACION 2025'!$B$3,'BASE DE LIQUIDACION 2025'!$B$4)</f>
        <v>11251.22416</v>
      </c>
      <c r="AC436" s="49">
        <f>IF(V436="TIPO I",'BASE DE LIQUIDACION 2025'!$C$3,'BASE DE LIQUIDACION 2025'!$C$4)</f>
        <v>126317.12212</v>
      </c>
      <c r="AD436" s="49">
        <f>IF(V436="TIPO I",'BASE DE LIQUIDACION 2025'!$D$3,'BASE DE LIQUIDACION 2025'!$D$4)</f>
        <v>110808.27512000001</v>
      </c>
      <c r="AE436" s="53">
        <f t="shared" si="8"/>
        <v>248376.6214</v>
      </c>
    </row>
    <row r="437" spans="1:31" s="46" customFormat="1" ht="12.75" customHeight="1">
      <c r="A437" s="69" t="s">
        <v>203</v>
      </c>
      <c r="B437" s="45" t="str">
        <f>VLOOKUP(A437,'CENTRO DE COSTOS'!A:D,4,FALSE)</f>
        <v>MIGUEL JULIÁN HERNÁNDEZ GUARÍN</v>
      </c>
      <c r="C437" s="45" t="str">
        <f>VLOOKUP(A437,'CENTRO DE COSTOS'!A:D,2,FALSE)</f>
        <v>0004-0008</v>
      </c>
      <c r="D437" s="69">
        <v>68271</v>
      </c>
      <c r="E437" s="70" t="s">
        <v>2564</v>
      </c>
      <c r="F437" s="71">
        <v>81202</v>
      </c>
      <c r="G437" s="79" t="s">
        <v>132</v>
      </c>
      <c r="H437" s="73" t="s">
        <v>133</v>
      </c>
      <c r="I437" s="71" t="s">
        <v>795</v>
      </c>
      <c r="J437" s="81" t="s">
        <v>2565</v>
      </c>
      <c r="K437" s="71" t="s">
        <v>2566</v>
      </c>
      <c r="L437" s="75" t="s">
        <v>137</v>
      </c>
      <c r="M437" s="82" t="s">
        <v>2567</v>
      </c>
      <c r="N437" s="74">
        <v>45896</v>
      </c>
      <c r="O437" s="76">
        <v>45898</v>
      </c>
      <c r="P437" s="83" t="s">
        <v>139</v>
      </c>
      <c r="Q437" s="84" t="s">
        <v>139</v>
      </c>
      <c r="R437" s="69" t="s">
        <v>140</v>
      </c>
      <c r="S437" s="72" t="s">
        <v>2568</v>
      </c>
      <c r="T437" s="79" t="s">
        <v>210</v>
      </c>
      <c r="U437" s="69" t="s">
        <v>2569</v>
      </c>
      <c r="V437" s="81" t="s">
        <v>144</v>
      </c>
      <c r="W437" s="76" t="s">
        <v>145</v>
      </c>
      <c r="X437" s="79" t="s">
        <v>210</v>
      </c>
      <c r="Y437" s="69">
        <v>1</v>
      </c>
      <c r="Z437" s="69">
        <v>1</v>
      </c>
      <c r="AA437" s="69">
        <v>1</v>
      </c>
      <c r="AB437" s="49">
        <f>IF(V437="TIPO I",'BASE DE LIQUIDACION 2025'!$B$3,'BASE DE LIQUIDACION 2025'!$B$4)</f>
        <v>11251.22416</v>
      </c>
      <c r="AC437" s="49">
        <f>IF(V437="TIPO I",'BASE DE LIQUIDACION 2025'!$C$3,'BASE DE LIQUIDACION 2025'!$C$4)</f>
        <v>126317.12212</v>
      </c>
      <c r="AD437" s="49">
        <f>IF(V437="TIPO I",'BASE DE LIQUIDACION 2025'!$D$3,'BASE DE LIQUIDACION 2025'!$D$4)</f>
        <v>110808.27512000001</v>
      </c>
      <c r="AE437" s="53">
        <f t="shared" si="8"/>
        <v>248376.6214</v>
      </c>
    </row>
    <row r="438" spans="1:31" s="46" customFormat="1" ht="12.75" customHeight="1">
      <c r="A438" s="69" t="s">
        <v>431</v>
      </c>
      <c r="B438" s="45" t="str">
        <f>VLOOKUP(A438,'CENTRO DE COSTOS'!A:D,4,FALSE)</f>
        <v>WILLIAM ASDRUBAL ROZO ROZO</v>
      </c>
      <c r="C438" s="45" t="str">
        <f>VLOOKUP(A438,'CENTRO DE COSTOS'!A:D,2,FALSE)</f>
        <v>0004-0004</v>
      </c>
      <c r="D438" s="69">
        <v>25200</v>
      </c>
      <c r="E438" s="70" t="s">
        <v>2570</v>
      </c>
      <c r="F438" s="71">
        <v>81207</v>
      </c>
      <c r="G438" s="79" t="s">
        <v>132</v>
      </c>
      <c r="H438" s="73" t="s">
        <v>133</v>
      </c>
      <c r="I438" s="71" t="s">
        <v>433</v>
      </c>
      <c r="J438" s="81" t="s">
        <v>2571</v>
      </c>
      <c r="K438" s="71" t="s">
        <v>2572</v>
      </c>
      <c r="L438" s="75" t="s">
        <v>137</v>
      </c>
      <c r="M438" s="82" t="s">
        <v>2573</v>
      </c>
      <c r="N438" s="74">
        <v>45896</v>
      </c>
      <c r="O438" s="76">
        <v>45897</v>
      </c>
      <c r="P438" s="83" t="s">
        <v>139</v>
      </c>
      <c r="Q438" s="84" t="s">
        <v>139</v>
      </c>
      <c r="R438" s="69" t="s">
        <v>140</v>
      </c>
      <c r="S438" s="72" t="s">
        <v>2574</v>
      </c>
      <c r="T438" s="79" t="s">
        <v>470</v>
      </c>
      <c r="U438" s="69" t="s">
        <v>2575</v>
      </c>
      <c r="V438" s="81" t="s">
        <v>202</v>
      </c>
      <c r="W438" s="76" t="s">
        <v>145</v>
      </c>
      <c r="X438" s="79" t="s">
        <v>470</v>
      </c>
      <c r="Y438" s="69">
        <v>1</v>
      </c>
      <c r="Z438" s="69">
        <v>1</v>
      </c>
      <c r="AA438" s="69">
        <v>1</v>
      </c>
      <c r="AB438" s="49">
        <f>IF(V438="TIPO I",'BASE DE LIQUIDACION 2025'!$B$3,'BASE DE LIQUIDACION 2025'!$B$4)</f>
        <v>11251.22416</v>
      </c>
      <c r="AC438" s="49">
        <f>IF(V438="TIPO I",'BASE DE LIQUIDACION 2025'!$C$3,'BASE DE LIQUIDACION 2025'!$C$4)</f>
        <v>126317.12212</v>
      </c>
      <c r="AD438" s="49">
        <f>IF(V438="TIPO I",'BASE DE LIQUIDACION 2025'!$D$3,'BASE DE LIQUIDACION 2025'!$D$4)</f>
        <v>110808.27512000001</v>
      </c>
      <c r="AE438" s="53">
        <f t="shared" si="8"/>
        <v>248376.6214</v>
      </c>
    </row>
    <row r="439" spans="1:31" s="46" customFormat="1" ht="12.75" customHeight="1">
      <c r="A439" s="69" t="s">
        <v>431</v>
      </c>
      <c r="B439" s="45" t="str">
        <f>VLOOKUP(A439,'CENTRO DE COSTOS'!A:D,4,FALSE)</f>
        <v>WILLIAM ASDRUBAL ROZO ROZO</v>
      </c>
      <c r="C439" s="45" t="str">
        <f>VLOOKUP(A439,'CENTRO DE COSTOS'!A:D,2,FALSE)</f>
        <v>0004-0004</v>
      </c>
      <c r="D439" s="69">
        <v>25430</v>
      </c>
      <c r="E439" s="70" t="s">
        <v>2576</v>
      </c>
      <c r="F439" s="71">
        <v>81210</v>
      </c>
      <c r="G439" s="79" t="s">
        <v>132</v>
      </c>
      <c r="H439" s="73" t="s">
        <v>133</v>
      </c>
      <c r="I439" s="71" t="s">
        <v>433</v>
      </c>
      <c r="J439" s="81" t="s">
        <v>2577</v>
      </c>
      <c r="K439" s="71" t="s">
        <v>2578</v>
      </c>
      <c r="L439" s="75" t="s">
        <v>137</v>
      </c>
      <c r="M439" s="82" t="s">
        <v>2579</v>
      </c>
      <c r="N439" s="74">
        <v>45896</v>
      </c>
      <c r="O439" s="76">
        <v>45897</v>
      </c>
      <c r="P439" s="83" t="s">
        <v>139</v>
      </c>
      <c r="Q439" s="84" t="s">
        <v>139</v>
      </c>
      <c r="R439" s="69" t="s">
        <v>140</v>
      </c>
      <c r="S439" s="72" t="s">
        <v>2580</v>
      </c>
      <c r="T439" s="79" t="s">
        <v>502</v>
      </c>
      <c r="U439" s="69" t="s">
        <v>2581</v>
      </c>
      <c r="V439" s="81" t="s">
        <v>202</v>
      </c>
      <c r="W439" s="76" t="s">
        <v>145</v>
      </c>
      <c r="X439" s="79" t="s">
        <v>502</v>
      </c>
      <c r="Y439" s="69">
        <v>1</v>
      </c>
      <c r="Z439" s="69">
        <v>1</v>
      </c>
      <c r="AA439" s="69">
        <v>1</v>
      </c>
      <c r="AB439" s="49">
        <f>IF(V439="TIPO I",'BASE DE LIQUIDACION 2025'!$B$3,'BASE DE LIQUIDACION 2025'!$B$4)</f>
        <v>11251.22416</v>
      </c>
      <c r="AC439" s="49">
        <f>IF(V439="TIPO I",'BASE DE LIQUIDACION 2025'!$C$3,'BASE DE LIQUIDACION 2025'!$C$4)</f>
        <v>126317.12212</v>
      </c>
      <c r="AD439" s="49">
        <f>IF(V439="TIPO I",'BASE DE LIQUIDACION 2025'!$D$3,'BASE DE LIQUIDACION 2025'!$D$4)</f>
        <v>110808.27512000001</v>
      </c>
      <c r="AE439" s="53">
        <f t="shared" si="8"/>
        <v>248376.6214</v>
      </c>
    </row>
    <row r="440" spans="1:31" s="46" customFormat="1" ht="12.75" customHeight="1">
      <c r="A440" s="69" t="s">
        <v>431</v>
      </c>
      <c r="B440" s="45" t="str">
        <f>VLOOKUP(A440,'CENTRO DE COSTOS'!A:D,4,FALSE)</f>
        <v>WILLIAM ASDRUBAL ROZO ROZO</v>
      </c>
      <c r="C440" s="45" t="str">
        <f>VLOOKUP(A440,'CENTRO DE COSTOS'!A:D,2,FALSE)</f>
        <v>0004-0004</v>
      </c>
      <c r="D440" s="69">
        <v>11001</v>
      </c>
      <c r="E440" s="70" t="s">
        <v>2582</v>
      </c>
      <c r="F440" s="71">
        <v>81187</v>
      </c>
      <c r="G440" s="79" t="s">
        <v>132</v>
      </c>
      <c r="H440" s="73" t="s">
        <v>222</v>
      </c>
      <c r="I440" s="71" t="s">
        <v>433</v>
      </c>
      <c r="J440" s="81" t="s">
        <v>431</v>
      </c>
      <c r="K440" s="71" t="s">
        <v>2583</v>
      </c>
      <c r="L440" s="75" t="s">
        <v>137</v>
      </c>
      <c r="M440" s="82" t="s">
        <v>2584</v>
      </c>
      <c r="N440" s="74">
        <v>45896</v>
      </c>
      <c r="O440" s="76">
        <v>45898</v>
      </c>
      <c r="P440" s="83" t="s">
        <v>139</v>
      </c>
      <c r="Q440" s="84" t="s">
        <v>139</v>
      </c>
      <c r="R440" s="69" t="s">
        <v>140</v>
      </c>
      <c r="S440" s="72" t="s">
        <v>2585</v>
      </c>
      <c r="T440" s="79" t="s">
        <v>1000</v>
      </c>
      <c r="U440" s="69" t="s">
        <v>2586</v>
      </c>
      <c r="V440" s="81" t="s">
        <v>52</v>
      </c>
      <c r="W440" s="76" t="s">
        <v>145</v>
      </c>
      <c r="X440" s="79" t="s">
        <v>1000</v>
      </c>
      <c r="Y440" s="69">
        <v>1</v>
      </c>
      <c r="Z440" s="69">
        <v>1</v>
      </c>
      <c r="AA440" s="69">
        <v>1</v>
      </c>
      <c r="AB440" s="49">
        <f>IF(V440="TIPO I",'BASE DE LIQUIDACION 2025'!$B$3,'BASE DE LIQUIDACION 2025'!$B$4)</f>
        <v>11251.22416</v>
      </c>
      <c r="AC440" s="49">
        <f>IF(V440="TIPO I",'BASE DE LIQUIDACION 2025'!$C$3,'BASE DE LIQUIDACION 2025'!$C$4)</f>
        <v>126317.12212</v>
      </c>
      <c r="AD440" s="49">
        <f>IF(V440="TIPO I",'BASE DE LIQUIDACION 2025'!$D$3,'BASE DE LIQUIDACION 2025'!$D$4)</f>
        <v>57411.974240000003</v>
      </c>
      <c r="AE440" s="53">
        <f t="shared" si="8"/>
        <v>194980.32052000001</v>
      </c>
    </row>
    <row r="441" spans="1:31" s="46" customFormat="1" ht="12.75" customHeight="1">
      <c r="A441" s="69" t="s">
        <v>431</v>
      </c>
      <c r="B441" s="45" t="str">
        <f>VLOOKUP(A441,'CENTRO DE COSTOS'!A:D,4,FALSE)</f>
        <v>WILLIAM ASDRUBAL ROZO ROZO</v>
      </c>
      <c r="C441" s="45" t="str">
        <f>VLOOKUP(A441,'CENTRO DE COSTOS'!A:D,2,FALSE)</f>
        <v>0004-0004</v>
      </c>
      <c r="D441" s="69">
        <v>25290</v>
      </c>
      <c r="E441" s="70" t="s">
        <v>2587</v>
      </c>
      <c r="F441" s="71">
        <v>81203</v>
      </c>
      <c r="G441" s="79" t="s">
        <v>132</v>
      </c>
      <c r="H441" s="73" t="s">
        <v>133</v>
      </c>
      <c r="I441" s="71" t="s">
        <v>433</v>
      </c>
      <c r="J441" s="81" t="s">
        <v>1879</v>
      </c>
      <c r="K441" s="71" t="s">
        <v>2588</v>
      </c>
      <c r="L441" s="75" t="s">
        <v>137</v>
      </c>
      <c r="M441" s="82" t="s">
        <v>2589</v>
      </c>
      <c r="N441" s="74">
        <v>45896</v>
      </c>
      <c r="O441" s="76">
        <v>45898</v>
      </c>
      <c r="P441" s="83" t="s">
        <v>139</v>
      </c>
      <c r="Q441" s="84" t="s">
        <v>139</v>
      </c>
      <c r="R441" s="69" t="s">
        <v>140</v>
      </c>
      <c r="S441" s="72" t="s">
        <v>2590</v>
      </c>
      <c r="T441" s="79" t="s">
        <v>856</v>
      </c>
      <c r="U441" s="69" t="s">
        <v>2591</v>
      </c>
      <c r="V441" s="81" t="s">
        <v>202</v>
      </c>
      <c r="W441" s="76" t="s">
        <v>145</v>
      </c>
      <c r="X441" s="79" t="s">
        <v>856</v>
      </c>
      <c r="Y441" s="69">
        <v>1</v>
      </c>
      <c r="Z441" s="69">
        <v>1</v>
      </c>
      <c r="AA441" s="69">
        <v>1</v>
      </c>
      <c r="AB441" s="49">
        <f>IF(V441="TIPO I",'BASE DE LIQUIDACION 2025'!$B$3,'BASE DE LIQUIDACION 2025'!$B$4)</f>
        <v>11251.22416</v>
      </c>
      <c r="AC441" s="49">
        <f>IF(V441="TIPO I",'BASE DE LIQUIDACION 2025'!$C$3,'BASE DE LIQUIDACION 2025'!$C$4)</f>
        <v>126317.12212</v>
      </c>
      <c r="AD441" s="49">
        <f>IF(V441="TIPO I",'BASE DE LIQUIDACION 2025'!$D$3,'BASE DE LIQUIDACION 2025'!$D$4)</f>
        <v>110808.27512000001</v>
      </c>
      <c r="AE441" s="53">
        <f t="shared" si="8"/>
        <v>248376.6214</v>
      </c>
    </row>
    <row r="442" spans="1:31" s="46" customFormat="1" ht="12.75" customHeight="1">
      <c r="A442" s="69" t="s">
        <v>439</v>
      </c>
      <c r="B442" s="45" t="str">
        <f>VLOOKUP(A442,'CENTRO DE COSTOS'!A:D,4,FALSE)</f>
        <v>DIEGO FERNANDO HENAO CARDONA</v>
      </c>
      <c r="C442" s="45" t="str">
        <f>VLOOKUP(A442,'CENTRO DE COSTOS'!A:D,2,FALSE)</f>
        <v>0004-0002</v>
      </c>
      <c r="D442" s="69">
        <v>17616</v>
      </c>
      <c r="E442" s="70" t="s">
        <v>2592</v>
      </c>
      <c r="F442" s="71">
        <v>81240</v>
      </c>
      <c r="G442" s="79" t="s">
        <v>132</v>
      </c>
      <c r="H442" s="73" t="s">
        <v>133</v>
      </c>
      <c r="I442" s="71" t="s">
        <v>441</v>
      </c>
      <c r="J442" s="81" t="s">
        <v>579</v>
      </c>
      <c r="K442" s="71" t="s">
        <v>2593</v>
      </c>
      <c r="L442" s="75" t="s">
        <v>137</v>
      </c>
      <c r="M442" s="82" t="s">
        <v>2594</v>
      </c>
      <c r="N442" s="74">
        <v>45896</v>
      </c>
      <c r="O442" s="76">
        <v>45897</v>
      </c>
      <c r="P442" s="83" t="s">
        <v>139</v>
      </c>
      <c r="Q442" s="84" t="s">
        <v>139</v>
      </c>
      <c r="R442" s="69" t="s">
        <v>140</v>
      </c>
      <c r="S442" s="72" t="s">
        <v>2595</v>
      </c>
      <c r="T442" s="79" t="s">
        <v>445</v>
      </c>
      <c r="U442" s="69" t="s">
        <v>2596</v>
      </c>
      <c r="V442" s="81" t="s">
        <v>202</v>
      </c>
      <c r="W442" s="76" t="s">
        <v>145</v>
      </c>
      <c r="X442" s="79" t="s">
        <v>445</v>
      </c>
      <c r="Y442" s="69">
        <v>1</v>
      </c>
      <c r="Z442" s="69">
        <v>1</v>
      </c>
      <c r="AA442" s="69">
        <v>1</v>
      </c>
      <c r="AB442" s="49">
        <f>IF(V442="TIPO I",'BASE DE LIQUIDACION 2025'!$B$3,'BASE DE LIQUIDACION 2025'!$B$4)</f>
        <v>11251.22416</v>
      </c>
      <c r="AC442" s="49">
        <f>IF(V442="TIPO I",'BASE DE LIQUIDACION 2025'!$C$3,'BASE DE LIQUIDACION 2025'!$C$4)</f>
        <v>126317.12212</v>
      </c>
      <c r="AD442" s="49">
        <f>IF(V442="TIPO I",'BASE DE LIQUIDACION 2025'!$D$3,'BASE DE LIQUIDACION 2025'!$D$4)</f>
        <v>110808.27512000001</v>
      </c>
      <c r="AE442" s="53">
        <f t="shared" si="8"/>
        <v>248376.6214</v>
      </c>
    </row>
    <row r="443" spans="1:31" s="46" customFormat="1" ht="12.75" customHeight="1">
      <c r="A443" s="69" t="s">
        <v>203</v>
      </c>
      <c r="B443" s="45" t="str">
        <f>VLOOKUP(A443,'CENTRO DE COSTOS'!A:D,4,FALSE)</f>
        <v>MIGUEL JULIÁN HERNÁNDEZ GUARÍN</v>
      </c>
      <c r="C443" s="45" t="str">
        <f>VLOOKUP(A443,'CENTRO DE COSTOS'!A:D,2,FALSE)</f>
        <v>0004-0008</v>
      </c>
      <c r="D443" s="69">
        <v>15835</v>
      </c>
      <c r="E443" s="70" t="s">
        <v>2597</v>
      </c>
      <c r="F443" s="71">
        <v>81250</v>
      </c>
      <c r="G443" s="79" t="s">
        <v>132</v>
      </c>
      <c r="H443" s="73" t="s">
        <v>133</v>
      </c>
      <c r="I443" s="71" t="s">
        <v>205</v>
      </c>
      <c r="J443" s="81" t="s">
        <v>2598</v>
      </c>
      <c r="K443" s="71" t="s">
        <v>2599</v>
      </c>
      <c r="L443" s="75" t="s">
        <v>137</v>
      </c>
      <c r="M443" s="82" t="s">
        <v>2600</v>
      </c>
      <c r="N443" s="74">
        <v>45896</v>
      </c>
      <c r="O443" s="76">
        <v>45897</v>
      </c>
      <c r="P443" s="83" t="s">
        <v>139</v>
      </c>
      <c r="Q443" s="84" t="s">
        <v>139</v>
      </c>
      <c r="R443" s="69" t="s">
        <v>140</v>
      </c>
      <c r="S443" s="72" t="s">
        <v>2601</v>
      </c>
      <c r="T443" s="79" t="s">
        <v>1119</v>
      </c>
      <c r="U443" s="69" t="s">
        <v>2602</v>
      </c>
      <c r="V443" s="81" t="s">
        <v>202</v>
      </c>
      <c r="W443" s="76" t="s">
        <v>145</v>
      </c>
      <c r="X443" s="79" t="s">
        <v>1119</v>
      </c>
      <c r="Y443" s="69">
        <v>1</v>
      </c>
      <c r="Z443" s="69">
        <v>1</v>
      </c>
      <c r="AA443" s="69">
        <v>1</v>
      </c>
      <c r="AB443" s="49">
        <f>IF(V443="TIPO I",'BASE DE LIQUIDACION 2025'!$B$3,'BASE DE LIQUIDACION 2025'!$B$4)</f>
        <v>11251.22416</v>
      </c>
      <c r="AC443" s="49">
        <f>IF(V443="TIPO I",'BASE DE LIQUIDACION 2025'!$C$3,'BASE DE LIQUIDACION 2025'!$C$4)</f>
        <v>126317.12212</v>
      </c>
      <c r="AD443" s="49">
        <f>IF(V443="TIPO I",'BASE DE LIQUIDACION 2025'!$D$3,'BASE DE LIQUIDACION 2025'!$D$4)</f>
        <v>110808.27512000001</v>
      </c>
      <c r="AE443" s="53">
        <f t="shared" si="8"/>
        <v>248376.6214</v>
      </c>
    </row>
    <row r="444" spans="1:31" s="46" customFormat="1" ht="12.75" customHeight="1">
      <c r="A444" s="69" t="s">
        <v>151</v>
      </c>
      <c r="B444" s="45" t="str">
        <f>VLOOKUP(A444,'CENTRO DE COSTOS'!A:D,4,FALSE)</f>
        <v>DIEGO FERNANDO HENAO CARDONA</v>
      </c>
      <c r="C444" s="45" t="str">
        <f>VLOOKUP(A444,'CENTRO DE COSTOS'!A:D,2,FALSE)</f>
        <v>0004-0003</v>
      </c>
      <c r="D444" s="69">
        <v>52256</v>
      </c>
      <c r="E444" s="70" t="s">
        <v>2603</v>
      </c>
      <c r="F444" s="71">
        <v>81200</v>
      </c>
      <c r="G444" s="79" t="s">
        <v>132</v>
      </c>
      <c r="H444" s="73" t="s">
        <v>133</v>
      </c>
      <c r="I444" s="71" t="s">
        <v>153</v>
      </c>
      <c r="J444" s="81" t="s">
        <v>2604</v>
      </c>
      <c r="K444" s="71" t="s">
        <v>2605</v>
      </c>
      <c r="L444" s="75" t="s">
        <v>137</v>
      </c>
      <c r="M444" s="82" t="s">
        <v>2606</v>
      </c>
      <c r="N444" s="74">
        <v>45896</v>
      </c>
      <c r="O444" s="76">
        <v>45898</v>
      </c>
      <c r="P444" s="83" t="s">
        <v>139</v>
      </c>
      <c r="Q444" s="84" t="s">
        <v>139</v>
      </c>
      <c r="R444" s="69" t="s">
        <v>140</v>
      </c>
      <c r="S444" s="72" t="s">
        <v>2607</v>
      </c>
      <c r="T444" s="79" t="s">
        <v>1798</v>
      </c>
      <c r="U444" s="69" t="s">
        <v>2608</v>
      </c>
      <c r="V444" s="81" t="s">
        <v>202</v>
      </c>
      <c r="W444" s="76" t="s">
        <v>145</v>
      </c>
      <c r="X444" s="79" t="s">
        <v>1798</v>
      </c>
      <c r="Y444" s="69">
        <v>1</v>
      </c>
      <c r="Z444" s="69">
        <v>1</v>
      </c>
      <c r="AA444" s="69">
        <v>1</v>
      </c>
      <c r="AB444" s="49">
        <f>IF(V444="TIPO I",'BASE DE LIQUIDACION 2025'!$B$3,'BASE DE LIQUIDACION 2025'!$B$4)</f>
        <v>11251.22416</v>
      </c>
      <c r="AC444" s="49">
        <f>IF(V444="TIPO I",'BASE DE LIQUIDACION 2025'!$C$3,'BASE DE LIQUIDACION 2025'!$C$4)</f>
        <v>126317.12212</v>
      </c>
      <c r="AD444" s="49">
        <f>IF(V444="TIPO I",'BASE DE LIQUIDACION 2025'!$D$3,'BASE DE LIQUIDACION 2025'!$D$4)</f>
        <v>110808.27512000001</v>
      </c>
      <c r="AE444" s="53">
        <f t="shared" si="8"/>
        <v>248376.6214</v>
      </c>
    </row>
    <row r="445" spans="1:31" s="46" customFormat="1" ht="12.75" customHeight="1">
      <c r="A445" s="69" t="s">
        <v>431</v>
      </c>
      <c r="B445" s="45" t="str">
        <f>VLOOKUP(A445,'CENTRO DE COSTOS'!A:D,4,FALSE)</f>
        <v>WILLIAM ASDRUBAL ROZO ROZO</v>
      </c>
      <c r="C445" s="45" t="str">
        <f>VLOOKUP(A445,'CENTRO DE COSTOS'!A:D,2,FALSE)</f>
        <v>0004-0004</v>
      </c>
      <c r="D445" s="69">
        <v>25279</v>
      </c>
      <c r="E445" s="70" t="s">
        <v>2609</v>
      </c>
      <c r="F445" s="71">
        <v>81209</v>
      </c>
      <c r="G445" s="79" t="s">
        <v>132</v>
      </c>
      <c r="H445" s="73" t="s">
        <v>133</v>
      </c>
      <c r="I445" s="71" t="s">
        <v>433</v>
      </c>
      <c r="J445" s="81" t="s">
        <v>2610</v>
      </c>
      <c r="K445" s="71" t="s">
        <v>2611</v>
      </c>
      <c r="L445" s="75" t="s">
        <v>137</v>
      </c>
      <c r="M445" s="82" t="s">
        <v>2612</v>
      </c>
      <c r="N445" s="74">
        <v>45896</v>
      </c>
      <c r="O445" s="76">
        <v>45897</v>
      </c>
      <c r="P445" s="83" t="s">
        <v>139</v>
      </c>
      <c r="Q445" s="84" t="s">
        <v>139</v>
      </c>
      <c r="R445" s="69" t="s">
        <v>140</v>
      </c>
      <c r="S445" s="72" t="s">
        <v>2613</v>
      </c>
      <c r="T445" s="79" t="s">
        <v>571</v>
      </c>
      <c r="U445" s="69" t="s">
        <v>2614</v>
      </c>
      <c r="V445" s="81" t="s">
        <v>202</v>
      </c>
      <c r="W445" s="76" t="s">
        <v>145</v>
      </c>
      <c r="X445" s="79" t="s">
        <v>571</v>
      </c>
      <c r="Y445" s="69">
        <v>1</v>
      </c>
      <c r="Z445" s="69">
        <v>1</v>
      </c>
      <c r="AA445" s="69">
        <v>1</v>
      </c>
      <c r="AB445" s="49">
        <f>IF(V445="TIPO I",'BASE DE LIQUIDACION 2025'!$B$3,'BASE DE LIQUIDACION 2025'!$B$4)</f>
        <v>11251.22416</v>
      </c>
      <c r="AC445" s="49">
        <f>IF(V445="TIPO I",'BASE DE LIQUIDACION 2025'!$C$3,'BASE DE LIQUIDACION 2025'!$C$4)</f>
        <v>126317.12212</v>
      </c>
      <c r="AD445" s="49">
        <f>IF(V445="TIPO I",'BASE DE LIQUIDACION 2025'!$D$3,'BASE DE LIQUIDACION 2025'!$D$4)</f>
        <v>110808.27512000001</v>
      </c>
      <c r="AE445" s="53">
        <f t="shared" si="8"/>
        <v>248376.6214</v>
      </c>
    </row>
    <row r="446" spans="1:31" s="46" customFormat="1" ht="12.75" customHeight="1">
      <c r="A446" s="69" t="s">
        <v>453</v>
      </c>
      <c r="B446" s="45" t="str">
        <f>VLOOKUP(A446,'CENTRO DE COSTOS'!A:D,4,FALSE)</f>
        <v>DIEGO FERNANDO HENAO CARDONA</v>
      </c>
      <c r="C446" s="45" t="str">
        <f>VLOOKUP(A446,'CENTRO DE COSTOS'!A:D,2,FALSE)</f>
        <v>0004-0002</v>
      </c>
      <c r="D446" s="69">
        <v>76100</v>
      </c>
      <c r="E446" s="70" t="s">
        <v>2615</v>
      </c>
      <c r="F446" s="71">
        <v>81192</v>
      </c>
      <c r="G446" s="79" t="s">
        <v>132</v>
      </c>
      <c r="H446" s="73" t="s">
        <v>133</v>
      </c>
      <c r="I446" s="71" t="s">
        <v>420</v>
      </c>
      <c r="J446" s="81" t="s">
        <v>271</v>
      </c>
      <c r="K446" s="71" t="s">
        <v>2616</v>
      </c>
      <c r="L446" s="75" t="s">
        <v>137</v>
      </c>
      <c r="M446" s="82" t="s">
        <v>2617</v>
      </c>
      <c r="N446" s="74">
        <v>45896</v>
      </c>
      <c r="O446" s="76">
        <v>45898</v>
      </c>
      <c r="P446" s="83" t="s">
        <v>139</v>
      </c>
      <c r="Q446" s="84" t="s">
        <v>139</v>
      </c>
      <c r="R446" s="69" t="s">
        <v>140</v>
      </c>
      <c r="S446" s="72" t="s">
        <v>2618</v>
      </c>
      <c r="T446" s="79" t="s">
        <v>228</v>
      </c>
      <c r="U446" s="69" t="s">
        <v>2619</v>
      </c>
      <c r="V446" s="81" t="s">
        <v>202</v>
      </c>
      <c r="W446" s="76" t="s">
        <v>145</v>
      </c>
      <c r="X446" s="79" t="s">
        <v>228</v>
      </c>
      <c r="Y446" s="69">
        <v>1</v>
      </c>
      <c r="Z446" s="69">
        <v>1</v>
      </c>
      <c r="AA446" s="69">
        <v>1</v>
      </c>
      <c r="AB446" s="49">
        <f>IF(V446="TIPO I",'BASE DE LIQUIDACION 2025'!$B$3,'BASE DE LIQUIDACION 2025'!$B$4)</f>
        <v>11251.22416</v>
      </c>
      <c r="AC446" s="49">
        <f>IF(V446="TIPO I",'BASE DE LIQUIDACION 2025'!$C$3,'BASE DE LIQUIDACION 2025'!$C$4)</f>
        <v>126317.12212</v>
      </c>
      <c r="AD446" s="49">
        <f>IF(V446="TIPO I",'BASE DE LIQUIDACION 2025'!$D$3,'BASE DE LIQUIDACION 2025'!$D$4)</f>
        <v>110808.27512000001</v>
      </c>
      <c r="AE446" s="53">
        <f t="shared" si="8"/>
        <v>248376.6214</v>
      </c>
    </row>
    <row r="447" spans="1:31" s="46" customFormat="1" ht="12.75" customHeight="1">
      <c r="A447" s="69" t="s">
        <v>175</v>
      </c>
      <c r="B447" s="45" t="str">
        <f>VLOOKUP(A447,'CENTRO DE COSTOS'!A:D,4,FALSE)</f>
        <v>JUAN SEBASTIÁN RÍOS CASTRILLÓN</v>
      </c>
      <c r="C447" s="45" t="str">
        <f>VLOOKUP(A447,'CENTRO DE COSTOS'!A:D,2,FALSE)</f>
        <v>0004-0005</v>
      </c>
      <c r="D447" s="69">
        <v>5212</v>
      </c>
      <c r="E447" s="70" t="s">
        <v>2620</v>
      </c>
      <c r="F447" s="71">
        <v>81199</v>
      </c>
      <c r="G447" s="79" t="s">
        <v>132</v>
      </c>
      <c r="H447" s="73" t="s">
        <v>222</v>
      </c>
      <c r="I447" s="71" t="s">
        <v>178</v>
      </c>
      <c r="J447" s="81" t="s">
        <v>2621</v>
      </c>
      <c r="K447" s="71" t="s">
        <v>2622</v>
      </c>
      <c r="L447" s="75" t="s">
        <v>137</v>
      </c>
      <c r="M447" s="82" t="s">
        <v>2623</v>
      </c>
      <c r="N447" s="74">
        <v>45896</v>
      </c>
      <c r="O447" s="76">
        <v>45898</v>
      </c>
      <c r="P447" s="83" t="s">
        <v>139</v>
      </c>
      <c r="Q447" s="84" t="s">
        <v>139</v>
      </c>
      <c r="R447" s="69" t="s">
        <v>140</v>
      </c>
      <c r="S447" s="72" t="s">
        <v>2624</v>
      </c>
      <c r="T447" s="79" t="s">
        <v>235</v>
      </c>
      <c r="U447" s="69" t="s">
        <v>2625</v>
      </c>
      <c r="V447" s="81" t="s">
        <v>52</v>
      </c>
      <c r="W447" s="76" t="s">
        <v>145</v>
      </c>
      <c r="X447" s="79" t="s">
        <v>235</v>
      </c>
      <c r="Y447" s="69">
        <v>1</v>
      </c>
      <c r="Z447" s="69">
        <v>1</v>
      </c>
      <c r="AA447" s="69">
        <v>1</v>
      </c>
      <c r="AB447" s="49">
        <f>IF(V447="TIPO I",'BASE DE LIQUIDACION 2025'!$B$3,'BASE DE LIQUIDACION 2025'!$B$4)</f>
        <v>11251.22416</v>
      </c>
      <c r="AC447" s="49">
        <f>IF(V447="TIPO I",'BASE DE LIQUIDACION 2025'!$C$3,'BASE DE LIQUIDACION 2025'!$C$4)</f>
        <v>126317.12212</v>
      </c>
      <c r="AD447" s="49">
        <f>IF(V447="TIPO I",'BASE DE LIQUIDACION 2025'!$D$3,'BASE DE LIQUIDACION 2025'!$D$4)</f>
        <v>57411.974240000003</v>
      </c>
      <c r="AE447" s="53">
        <f t="shared" si="8"/>
        <v>194980.32052000001</v>
      </c>
    </row>
    <row r="448" spans="1:31" s="46" customFormat="1" ht="12.75" customHeight="1">
      <c r="A448" s="69" t="s">
        <v>453</v>
      </c>
      <c r="B448" s="45" t="str">
        <f>VLOOKUP(A448,'CENTRO DE COSTOS'!A:D,4,FALSE)</f>
        <v>DIEGO FERNANDO HENAO CARDONA</v>
      </c>
      <c r="C448" s="45" t="str">
        <f>VLOOKUP(A448,'CENTRO DE COSTOS'!A:D,2,FALSE)</f>
        <v>0004-0002</v>
      </c>
      <c r="D448" s="69">
        <v>63001</v>
      </c>
      <c r="E448" s="70" t="s">
        <v>2626</v>
      </c>
      <c r="F448" s="71">
        <v>81184</v>
      </c>
      <c r="G448" s="79" t="s">
        <v>132</v>
      </c>
      <c r="H448" s="73" t="s">
        <v>133</v>
      </c>
      <c r="I448" s="71" t="s">
        <v>554</v>
      </c>
      <c r="J448" s="81" t="s">
        <v>555</v>
      </c>
      <c r="K448" s="71" t="s">
        <v>2627</v>
      </c>
      <c r="L448" s="75" t="s">
        <v>137</v>
      </c>
      <c r="M448" s="82" t="s">
        <v>2628</v>
      </c>
      <c r="N448" s="74">
        <v>45896</v>
      </c>
      <c r="O448" s="76">
        <v>45897</v>
      </c>
      <c r="P448" s="83" t="s">
        <v>139</v>
      </c>
      <c r="Q448" s="84" t="s">
        <v>139</v>
      </c>
      <c r="R448" s="69" t="s">
        <v>140</v>
      </c>
      <c r="S448" s="72" t="s">
        <v>2629</v>
      </c>
      <c r="T448" s="79" t="s">
        <v>559</v>
      </c>
      <c r="U448" s="69" t="s">
        <v>2630</v>
      </c>
      <c r="V448" s="81" t="s">
        <v>202</v>
      </c>
      <c r="W448" s="76" t="s">
        <v>145</v>
      </c>
      <c r="X448" s="79" t="s">
        <v>559</v>
      </c>
      <c r="Y448" s="69">
        <v>1</v>
      </c>
      <c r="Z448" s="69">
        <v>1</v>
      </c>
      <c r="AA448" s="69">
        <v>1</v>
      </c>
      <c r="AB448" s="49">
        <f>IF(V448="TIPO I",'BASE DE LIQUIDACION 2025'!$B$3,'BASE DE LIQUIDACION 2025'!$B$4)</f>
        <v>11251.22416</v>
      </c>
      <c r="AC448" s="49">
        <f>IF(V448="TIPO I",'BASE DE LIQUIDACION 2025'!$C$3,'BASE DE LIQUIDACION 2025'!$C$4)</f>
        <v>126317.12212</v>
      </c>
      <c r="AD448" s="49">
        <f>IF(V448="TIPO I",'BASE DE LIQUIDACION 2025'!$D$3,'BASE DE LIQUIDACION 2025'!$D$4)</f>
        <v>110808.27512000001</v>
      </c>
      <c r="AE448" s="53">
        <f t="shared" si="8"/>
        <v>248376.6214</v>
      </c>
    </row>
    <row r="449" spans="1:31" s="46" customFormat="1" ht="12.75" customHeight="1">
      <c r="A449" s="69" t="s">
        <v>220</v>
      </c>
      <c r="B449" s="45" t="str">
        <f>VLOOKUP(A449,'CENTRO DE COSTOS'!A:D,4,FALSE)</f>
        <v>DIEGO FERNANDO HENAO CARDONA</v>
      </c>
      <c r="C449" s="45" t="str">
        <f>VLOOKUP(A449,'CENTRO DE COSTOS'!A:D,2,FALSE)</f>
        <v>0004-0003</v>
      </c>
      <c r="D449" s="69">
        <v>76520</v>
      </c>
      <c r="E449" s="70" t="s">
        <v>2631</v>
      </c>
      <c r="F449" s="71">
        <v>81213</v>
      </c>
      <c r="G449" s="79" t="s">
        <v>132</v>
      </c>
      <c r="H449" s="73" t="s">
        <v>133</v>
      </c>
      <c r="I449" s="71" t="s">
        <v>420</v>
      </c>
      <c r="J449" s="81" t="s">
        <v>1377</v>
      </c>
      <c r="K449" s="71" t="s">
        <v>2632</v>
      </c>
      <c r="L449" s="75" t="s">
        <v>137</v>
      </c>
      <c r="M449" s="82" t="s">
        <v>2633</v>
      </c>
      <c r="N449" s="74">
        <v>45896</v>
      </c>
      <c r="O449" s="76">
        <v>45897</v>
      </c>
      <c r="P449" s="83" t="s">
        <v>139</v>
      </c>
      <c r="Q449" s="84" t="s">
        <v>139</v>
      </c>
      <c r="R449" s="69" t="s">
        <v>140</v>
      </c>
      <c r="S449" s="72" t="s">
        <v>2634</v>
      </c>
      <c r="T449" s="79" t="s">
        <v>495</v>
      </c>
      <c r="U449" s="69" t="s">
        <v>2635</v>
      </c>
      <c r="V449" s="81" t="s">
        <v>52</v>
      </c>
      <c r="W449" s="76" t="s">
        <v>145</v>
      </c>
      <c r="X449" s="79" t="s">
        <v>495</v>
      </c>
      <c r="Y449" s="69">
        <v>1</v>
      </c>
      <c r="Z449" s="69">
        <v>1</v>
      </c>
      <c r="AA449" s="69">
        <v>1</v>
      </c>
      <c r="AB449" s="49">
        <f>IF(V449="TIPO I",'BASE DE LIQUIDACION 2025'!$B$3,'BASE DE LIQUIDACION 2025'!$B$4)</f>
        <v>11251.22416</v>
      </c>
      <c r="AC449" s="49">
        <f>IF(V449="TIPO I",'BASE DE LIQUIDACION 2025'!$C$3,'BASE DE LIQUIDACION 2025'!$C$4)</f>
        <v>126317.12212</v>
      </c>
      <c r="AD449" s="49">
        <f>IF(V449="TIPO I",'BASE DE LIQUIDACION 2025'!$D$3,'BASE DE LIQUIDACION 2025'!$D$4)</f>
        <v>57411.974240000003</v>
      </c>
      <c r="AE449" s="53">
        <f t="shared" si="8"/>
        <v>194980.32052000001</v>
      </c>
    </row>
    <row r="450" spans="1:31" s="46" customFormat="1" ht="12.75" customHeight="1">
      <c r="A450" s="69" t="s">
        <v>220</v>
      </c>
      <c r="B450" s="45" t="str">
        <f>VLOOKUP(A450,'CENTRO DE COSTOS'!A:D,4,FALSE)</f>
        <v>DIEGO FERNANDO HENAO CARDONA</v>
      </c>
      <c r="C450" s="45" t="str">
        <f>VLOOKUP(A450,'CENTRO DE COSTOS'!A:D,2,FALSE)</f>
        <v>0004-0003</v>
      </c>
      <c r="D450" s="69">
        <v>76001</v>
      </c>
      <c r="E450" s="70" t="s">
        <v>2636</v>
      </c>
      <c r="F450" s="71">
        <v>81193</v>
      </c>
      <c r="G450" s="79" t="s">
        <v>132</v>
      </c>
      <c r="H450" s="73" t="s">
        <v>133</v>
      </c>
      <c r="I450" s="71" t="s">
        <v>420</v>
      </c>
      <c r="J450" s="81" t="s">
        <v>220</v>
      </c>
      <c r="K450" s="71" t="s">
        <v>2637</v>
      </c>
      <c r="L450" s="75" t="s">
        <v>137</v>
      </c>
      <c r="M450" s="82" t="s">
        <v>2638</v>
      </c>
      <c r="N450" s="74">
        <v>45896</v>
      </c>
      <c r="O450" s="76">
        <v>45897</v>
      </c>
      <c r="P450" s="83" t="s">
        <v>139</v>
      </c>
      <c r="Q450" s="84" t="s">
        <v>139</v>
      </c>
      <c r="R450" s="69" t="s">
        <v>140</v>
      </c>
      <c r="S450" s="72" t="s">
        <v>2639</v>
      </c>
      <c r="T450" s="79" t="s">
        <v>489</v>
      </c>
      <c r="U450" s="69" t="s">
        <v>2640</v>
      </c>
      <c r="V450" s="81" t="s">
        <v>52</v>
      </c>
      <c r="W450" s="76" t="s">
        <v>145</v>
      </c>
      <c r="X450" s="79" t="s">
        <v>489</v>
      </c>
      <c r="Y450" s="69">
        <v>1</v>
      </c>
      <c r="Z450" s="69">
        <v>1</v>
      </c>
      <c r="AA450" s="69">
        <v>1</v>
      </c>
      <c r="AB450" s="49">
        <f>IF(V450="TIPO I",'BASE DE LIQUIDACION 2025'!$B$3,'BASE DE LIQUIDACION 2025'!$B$4)</f>
        <v>11251.22416</v>
      </c>
      <c r="AC450" s="49">
        <f>IF(V450="TIPO I",'BASE DE LIQUIDACION 2025'!$C$3,'BASE DE LIQUIDACION 2025'!$C$4)</f>
        <v>126317.12212</v>
      </c>
      <c r="AD450" s="49">
        <f>IF(V450="TIPO I",'BASE DE LIQUIDACION 2025'!$D$3,'BASE DE LIQUIDACION 2025'!$D$4)</f>
        <v>57411.974240000003</v>
      </c>
      <c r="AE450" s="53">
        <f t="shared" si="8"/>
        <v>194980.32052000001</v>
      </c>
    </row>
    <row r="451" spans="1:31" s="46" customFormat="1" ht="12.75" customHeight="1">
      <c r="A451" s="69" t="s">
        <v>431</v>
      </c>
      <c r="B451" s="45" t="str">
        <f>VLOOKUP(A451,'CENTRO DE COSTOS'!A:D,4,FALSE)</f>
        <v>WILLIAM ASDRUBAL ROZO ROZO</v>
      </c>
      <c r="C451" s="45" t="str">
        <f>VLOOKUP(A451,'CENTRO DE COSTOS'!A:D,2,FALSE)</f>
        <v>0004-0004</v>
      </c>
      <c r="D451" s="69">
        <v>11001</v>
      </c>
      <c r="E451" s="70" t="s">
        <v>2641</v>
      </c>
      <c r="F451" s="71">
        <v>81190</v>
      </c>
      <c r="G451" s="79" t="s">
        <v>132</v>
      </c>
      <c r="H451" s="73" t="s">
        <v>133</v>
      </c>
      <c r="I451" s="71" t="s">
        <v>433</v>
      </c>
      <c r="J451" s="81" t="s">
        <v>431</v>
      </c>
      <c r="K451" s="71" t="s">
        <v>2642</v>
      </c>
      <c r="L451" s="75" t="s">
        <v>137</v>
      </c>
      <c r="M451" s="82" t="s">
        <v>2643</v>
      </c>
      <c r="N451" s="74">
        <v>45896</v>
      </c>
      <c r="O451" s="76">
        <v>45897</v>
      </c>
      <c r="P451" s="83" t="s">
        <v>139</v>
      </c>
      <c r="Q451" s="84" t="s">
        <v>139</v>
      </c>
      <c r="R451" s="69" t="s">
        <v>140</v>
      </c>
      <c r="S451" s="72" t="s">
        <v>2644</v>
      </c>
      <c r="T451" s="79" t="s">
        <v>856</v>
      </c>
      <c r="U451" s="69" t="s">
        <v>2645</v>
      </c>
      <c r="V451" s="81" t="s">
        <v>52</v>
      </c>
      <c r="W451" s="76" t="s">
        <v>145</v>
      </c>
      <c r="X451" s="79" t="s">
        <v>856</v>
      </c>
      <c r="Y451" s="69">
        <v>1</v>
      </c>
      <c r="Z451" s="69">
        <v>1</v>
      </c>
      <c r="AA451" s="69">
        <v>1</v>
      </c>
      <c r="AB451" s="49">
        <f>IF(V451="TIPO I",'BASE DE LIQUIDACION 2025'!$B$3,'BASE DE LIQUIDACION 2025'!$B$4)</f>
        <v>11251.22416</v>
      </c>
      <c r="AC451" s="49">
        <f>IF(V451="TIPO I",'BASE DE LIQUIDACION 2025'!$C$3,'BASE DE LIQUIDACION 2025'!$C$4)</f>
        <v>126317.12212</v>
      </c>
      <c r="AD451" s="49">
        <f>IF(V451="TIPO I",'BASE DE LIQUIDACION 2025'!$D$3,'BASE DE LIQUIDACION 2025'!$D$4)</f>
        <v>57411.974240000003</v>
      </c>
      <c r="AE451" s="53">
        <f t="shared" si="8"/>
        <v>194980.32052000001</v>
      </c>
    </row>
    <row r="452" spans="1:31" s="46" customFormat="1" ht="12.75" customHeight="1">
      <c r="A452" s="69" t="s">
        <v>431</v>
      </c>
      <c r="B452" s="45" t="str">
        <f>VLOOKUP(A452,'CENTRO DE COSTOS'!A:D,4,FALSE)</f>
        <v>WILLIAM ASDRUBAL ROZO ROZO</v>
      </c>
      <c r="C452" s="45" t="str">
        <f>VLOOKUP(A452,'CENTRO DE COSTOS'!A:D,2,FALSE)</f>
        <v>0004-0004</v>
      </c>
      <c r="D452" s="69">
        <v>11001</v>
      </c>
      <c r="E452" s="70" t="s">
        <v>2646</v>
      </c>
      <c r="F452" s="71">
        <v>81191</v>
      </c>
      <c r="G452" s="79" t="s">
        <v>132</v>
      </c>
      <c r="H452" s="73" t="s">
        <v>133</v>
      </c>
      <c r="I452" s="71" t="s">
        <v>433</v>
      </c>
      <c r="J452" s="81" t="s">
        <v>431</v>
      </c>
      <c r="K452" s="71" t="s">
        <v>2647</v>
      </c>
      <c r="L452" s="75" t="s">
        <v>137</v>
      </c>
      <c r="M452" s="82" t="s">
        <v>2648</v>
      </c>
      <c r="N452" s="74">
        <v>45896</v>
      </c>
      <c r="O452" s="76">
        <v>45897</v>
      </c>
      <c r="P452" s="83" t="s">
        <v>139</v>
      </c>
      <c r="Q452" s="84" t="s">
        <v>139</v>
      </c>
      <c r="R452" s="69" t="s">
        <v>140</v>
      </c>
      <c r="S452" s="72" t="s">
        <v>2649</v>
      </c>
      <c r="T452" s="79" t="s">
        <v>2097</v>
      </c>
      <c r="U452" s="69" t="s">
        <v>2650</v>
      </c>
      <c r="V452" s="81" t="s">
        <v>52</v>
      </c>
      <c r="W452" s="76" t="s">
        <v>145</v>
      </c>
      <c r="X452" s="79" t="s">
        <v>2097</v>
      </c>
      <c r="Y452" s="69">
        <v>1</v>
      </c>
      <c r="Z452" s="69">
        <v>1</v>
      </c>
      <c r="AA452" s="69">
        <v>1</v>
      </c>
      <c r="AB452" s="49">
        <f>IF(V452="TIPO I",'BASE DE LIQUIDACION 2025'!$B$3,'BASE DE LIQUIDACION 2025'!$B$4)</f>
        <v>11251.22416</v>
      </c>
      <c r="AC452" s="49">
        <f>IF(V452="TIPO I",'BASE DE LIQUIDACION 2025'!$C$3,'BASE DE LIQUIDACION 2025'!$C$4)</f>
        <v>126317.12212</v>
      </c>
      <c r="AD452" s="49">
        <f>IF(V452="TIPO I",'BASE DE LIQUIDACION 2025'!$D$3,'BASE DE LIQUIDACION 2025'!$D$4)</f>
        <v>57411.974240000003</v>
      </c>
      <c r="AE452" s="53">
        <f t="shared" si="8"/>
        <v>194980.32052000001</v>
      </c>
    </row>
    <row r="453" spans="1:31" s="46" customFormat="1" ht="12.75" customHeight="1">
      <c r="A453" s="69" t="s">
        <v>130</v>
      </c>
      <c r="B453" s="45" t="str">
        <f>VLOOKUP(A453,'CENTRO DE COSTOS'!A:D,4,FALSE)</f>
        <v>KEVIN ALEXIS CORZO BUSTOS</v>
      </c>
      <c r="C453" s="45" t="str">
        <f>VLOOKUP(A453,'CENTRO DE COSTOS'!A:D,2,FALSE)</f>
        <v>0004-0007</v>
      </c>
      <c r="D453" s="69">
        <v>18001</v>
      </c>
      <c r="E453" s="70" t="s">
        <v>2651</v>
      </c>
      <c r="F453" s="71">
        <v>81201</v>
      </c>
      <c r="G453" s="79" t="s">
        <v>132</v>
      </c>
      <c r="H453" s="73" t="s">
        <v>133</v>
      </c>
      <c r="I453" s="71" t="s">
        <v>134</v>
      </c>
      <c r="J453" s="81" t="s">
        <v>135</v>
      </c>
      <c r="K453" s="71" t="s">
        <v>2652</v>
      </c>
      <c r="L453" s="75" t="s">
        <v>137</v>
      </c>
      <c r="M453" s="82" t="s">
        <v>2653</v>
      </c>
      <c r="N453" s="74">
        <v>45896</v>
      </c>
      <c r="O453" s="76">
        <v>45897</v>
      </c>
      <c r="P453" s="83" t="s">
        <v>139</v>
      </c>
      <c r="Q453" s="84" t="s">
        <v>139</v>
      </c>
      <c r="R453" s="69" t="s">
        <v>140</v>
      </c>
      <c r="S453" s="72" t="s">
        <v>2654</v>
      </c>
      <c r="T453" s="79" t="s">
        <v>142</v>
      </c>
      <c r="U453" s="69" t="s">
        <v>2655</v>
      </c>
      <c r="V453" s="81" t="s">
        <v>144</v>
      </c>
      <c r="W453" s="76" t="s">
        <v>145</v>
      </c>
      <c r="X453" s="79" t="s">
        <v>142</v>
      </c>
      <c r="Y453" s="69">
        <v>1</v>
      </c>
      <c r="Z453" s="69">
        <v>1</v>
      </c>
      <c r="AA453" s="69">
        <v>1</v>
      </c>
      <c r="AB453" s="49">
        <f>IF(V453="TIPO I",'BASE DE LIQUIDACION 2025'!$B$3,'BASE DE LIQUIDACION 2025'!$B$4)</f>
        <v>11251.22416</v>
      </c>
      <c r="AC453" s="49">
        <f>IF(V453="TIPO I",'BASE DE LIQUIDACION 2025'!$C$3,'BASE DE LIQUIDACION 2025'!$C$4)</f>
        <v>126317.12212</v>
      </c>
      <c r="AD453" s="49">
        <f>IF(V453="TIPO I",'BASE DE LIQUIDACION 2025'!$D$3,'BASE DE LIQUIDACION 2025'!$D$4)</f>
        <v>110808.27512000001</v>
      </c>
      <c r="AE453" s="53">
        <f t="shared" si="8"/>
        <v>248376.6214</v>
      </c>
    </row>
    <row r="454" spans="1:31" s="46" customFormat="1" ht="12.75" customHeight="1">
      <c r="A454" s="69" t="s">
        <v>345</v>
      </c>
      <c r="B454" s="45" t="str">
        <f>VLOOKUP(A454,'CENTRO DE COSTOS'!A:D,4,FALSE)</f>
        <v>JOSE MAURICIO HERNANDEZ ROJAS</v>
      </c>
      <c r="C454" s="45" t="str">
        <f>VLOOKUP(A454,'CENTRO DE COSTOS'!A:D,2,FALSE)</f>
        <v>0004-0001</v>
      </c>
      <c r="D454" s="69">
        <v>8638</v>
      </c>
      <c r="E454" s="70" t="s">
        <v>2656</v>
      </c>
      <c r="F454" s="71">
        <v>81245</v>
      </c>
      <c r="G454" s="79" t="s">
        <v>132</v>
      </c>
      <c r="H454" s="73" t="s">
        <v>133</v>
      </c>
      <c r="I454" s="71" t="s">
        <v>347</v>
      </c>
      <c r="J454" s="81" t="s">
        <v>2657</v>
      </c>
      <c r="K454" s="71" t="s">
        <v>2658</v>
      </c>
      <c r="L454" s="75" t="s">
        <v>137</v>
      </c>
      <c r="M454" s="82" t="s">
        <v>2659</v>
      </c>
      <c r="N454" s="74">
        <v>45896</v>
      </c>
      <c r="O454" s="76">
        <v>45897</v>
      </c>
      <c r="P454" s="83" t="s">
        <v>139</v>
      </c>
      <c r="Q454" s="84" t="s">
        <v>139</v>
      </c>
      <c r="R454" s="69" t="s">
        <v>140</v>
      </c>
      <c r="S454" s="72" t="s">
        <v>2660</v>
      </c>
      <c r="T454" s="79" t="s">
        <v>1064</v>
      </c>
      <c r="U454" s="69" t="s">
        <v>2661</v>
      </c>
      <c r="V454" s="81" t="s">
        <v>202</v>
      </c>
      <c r="W454" s="76" t="s">
        <v>145</v>
      </c>
      <c r="X454" s="79" t="s">
        <v>1064</v>
      </c>
      <c r="Y454" s="69">
        <v>1</v>
      </c>
      <c r="Z454" s="69">
        <v>1</v>
      </c>
      <c r="AA454" s="69">
        <v>1</v>
      </c>
      <c r="AB454" s="49">
        <f>IF(V454="TIPO I",'BASE DE LIQUIDACION 2025'!$B$3,'BASE DE LIQUIDACION 2025'!$B$4)</f>
        <v>11251.22416</v>
      </c>
      <c r="AC454" s="49">
        <f>IF(V454="TIPO I",'BASE DE LIQUIDACION 2025'!$C$3,'BASE DE LIQUIDACION 2025'!$C$4)</f>
        <v>126317.12212</v>
      </c>
      <c r="AD454" s="49">
        <f>IF(V454="TIPO I",'BASE DE LIQUIDACION 2025'!$D$3,'BASE DE LIQUIDACION 2025'!$D$4)</f>
        <v>110808.27512000001</v>
      </c>
      <c r="AE454" s="53">
        <f t="shared" si="8"/>
        <v>248376.6214</v>
      </c>
    </row>
    <row r="455" spans="1:31" s="46" customFormat="1" ht="12.75" customHeight="1">
      <c r="A455" s="69" t="s">
        <v>269</v>
      </c>
      <c r="B455" s="45" t="str">
        <f>VLOOKUP(A455,'CENTRO DE COSTOS'!A:D,4,FALSE)</f>
        <v>MIGUEL JULIÁN HERNÁNDEZ GUARÍN</v>
      </c>
      <c r="C455" s="45" t="str">
        <f>VLOOKUP(A455,'CENTRO DE COSTOS'!A:D,2,FALSE)</f>
        <v>0004-0008</v>
      </c>
      <c r="D455" s="69">
        <v>68679</v>
      </c>
      <c r="E455" s="70" t="s">
        <v>2662</v>
      </c>
      <c r="F455" s="71">
        <v>81248</v>
      </c>
      <c r="G455" s="79" t="s">
        <v>132</v>
      </c>
      <c r="H455" s="73" t="s">
        <v>133</v>
      </c>
      <c r="I455" s="71" t="s">
        <v>795</v>
      </c>
      <c r="J455" s="81" t="s">
        <v>2663</v>
      </c>
      <c r="K455" s="71" t="s">
        <v>2664</v>
      </c>
      <c r="L455" s="75" t="s">
        <v>137</v>
      </c>
      <c r="M455" s="82" t="s">
        <v>2665</v>
      </c>
      <c r="N455" s="74">
        <v>45896</v>
      </c>
      <c r="O455" s="76">
        <v>45897</v>
      </c>
      <c r="P455" s="83" t="s">
        <v>139</v>
      </c>
      <c r="Q455" s="84" t="s">
        <v>139</v>
      </c>
      <c r="R455" s="69" t="s">
        <v>140</v>
      </c>
      <c r="S455" s="72" t="s">
        <v>2666</v>
      </c>
      <c r="T455" s="79" t="s">
        <v>988</v>
      </c>
      <c r="U455" s="69" t="s">
        <v>2667</v>
      </c>
      <c r="V455" s="81" t="s">
        <v>202</v>
      </c>
      <c r="W455" s="76" t="s">
        <v>145</v>
      </c>
      <c r="X455" s="79" t="s">
        <v>988</v>
      </c>
      <c r="Y455" s="69">
        <v>1</v>
      </c>
      <c r="Z455" s="69">
        <v>1</v>
      </c>
      <c r="AA455" s="69">
        <v>1</v>
      </c>
      <c r="AB455" s="49">
        <f>IF(V455="TIPO I",'BASE DE LIQUIDACION 2025'!$B$3,'BASE DE LIQUIDACION 2025'!$B$4)</f>
        <v>11251.22416</v>
      </c>
      <c r="AC455" s="49">
        <f>IF(V455="TIPO I",'BASE DE LIQUIDACION 2025'!$C$3,'BASE DE LIQUIDACION 2025'!$C$4)</f>
        <v>126317.12212</v>
      </c>
      <c r="AD455" s="49">
        <f>IF(V455="TIPO I",'BASE DE LIQUIDACION 2025'!$D$3,'BASE DE LIQUIDACION 2025'!$D$4)</f>
        <v>110808.27512000001</v>
      </c>
      <c r="AE455" s="53">
        <f t="shared" si="8"/>
        <v>248376.6214</v>
      </c>
    </row>
    <row r="456" spans="1:31" s="46" customFormat="1" ht="12.75" customHeight="1">
      <c r="A456" s="69" t="s">
        <v>220</v>
      </c>
      <c r="B456" s="45" t="str">
        <f>VLOOKUP(A456,'CENTRO DE COSTOS'!A:D,4,FALSE)</f>
        <v>DIEGO FERNANDO HENAO CARDONA</v>
      </c>
      <c r="C456" s="45" t="str">
        <f>VLOOKUP(A456,'CENTRO DE COSTOS'!A:D,2,FALSE)</f>
        <v>0004-0003</v>
      </c>
      <c r="D456" s="69">
        <v>76001</v>
      </c>
      <c r="E456" s="70" t="s">
        <v>2668</v>
      </c>
      <c r="F456" s="71">
        <v>81196</v>
      </c>
      <c r="G456" s="79" t="s">
        <v>132</v>
      </c>
      <c r="H456" s="73" t="s">
        <v>133</v>
      </c>
      <c r="I456" s="71" t="s">
        <v>420</v>
      </c>
      <c r="J456" s="81" t="s">
        <v>220</v>
      </c>
      <c r="K456" s="71" t="s">
        <v>2669</v>
      </c>
      <c r="L456" s="75" t="s">
        <v>137</v>
      </c>
      <c r="M456" s="82" t="s">
        <v>2670</v>
      </c>
      <c r="N456" s="74">
        <v>45896</v>
      </c>
      <c r="O456" s="76">
        <v>45897</v>
      </c>
      <c r="P456" s="83" t="s">
        <v>139</v>
      </c>
      <c r="Q456" s="84" t="s">
        <v>139</v>
      </c>
      <c r="R456" s="69" t="s">
        <v>140</v>
      </c>
      <c r="S456" s="72" t="s">
        <v>2671</v>
      </c>
      <c r="T456" s="79" t="s">
        <v>477</v>
      </c>
      <c r="U456" s="69" t="s">
        <v>2672</v>
      </c>
      <c r="V456" s="81" t="s">
        <v>52</v>
      </c>
      <c r="W456" s="76" t="s">
        <v>145</v>
      </c>
      <c r="X456" s="79" t="s">
        <v>477</v>
      </c>
      <c r="Y456" s="69">
        <v>1</v>
      </c>
      <c r="Z456" s="69">
        <v>1</v>
      </c>
      <c r="AA456" s="69">
        <v>1</v>
      </c>
      <c r="AB456" s="49">
        <f>IF(V456="TIPO I",'BASE DE LIQUIDACION 2025'!$B$3,'BASE DE LIQUIDACION 2025'!$B$4)</f>
        <v>11251.22416</v>
      </c>
      <c r="AC456" s="49">
        <f>IF(V456="TIPO I",'BASE DE LIQUIDACION 2025'!$C$3,'BASE DE LIQUIDACION 2025'!$C$4)</f>
        <v>126317.12212</v>
      </c>
      <c r="AD456" s="49">
        <f>IF(V456="TIPO I",'BASE DE LIQUIDACION 2025'!$D$3,'BASE DE LIQUIDACION 2025'!$D$4)</f>
        <v>57411.974240000003</v>
      </c>
      <c r="AE456" s="53">
        <f t="shared" si="8"/>
        <v>194980.32052000001</v>
      </c>
    </row>
    <row r="457" spans="1:31" s="46" customFormat="1" ht="12.75" customHeight="1">
      <c r="A457" s="69" t="s">
        <v>439</v>
      </c>
      <c r="B457" s="45" t="str">
        <f>VLOOKUP(A457,'CENTRO DE COSTOS'!A:D,4,FALSE)</f>
        <v>DIEGO FERNANDO HENAO CARDONA</v>
      </c>
      <c r="C457" s="45" t="str">
        <f>VLOOKUP(A457,'CENTRO DE COSTOS'!A:D,2,FALSE)</f>
        <v>0004-0002</v>
      </c>
      <c r="D457" s="69">
        <v>17174</v>
      </c>
      <c r="E457" s="70" t="s">
        <v>2673</v>
      </c>
      <c r="F457" s="71">
        <v>81198</v>
      </c>
      <c r="G457" s="79" t="s">
        <v>132</v>
      </c>
      <c r="H457" s="73" t="s">
        <v>133</v>
      </c>
      <c r="I457" s="71" t="s">
        <v>441</v>
      </c>
      <c r="J457" s="81" t="s">
        <v>2259</v>
      </c>
      <c r="K457" s="71" t="s">
        <v>2674</v>
      </c>
      <c r="L457" s="75" t="s">
        <v>137</v>
      </c>
      <c r="M457" s="82" t="s">
        <v>2675</v>
      </c>
      <c r="N457" s="74">
        <v>45896</v>
      </c>
      <c r="O457" s="76">
        <v>45897</v>
      </c>
      <c r="P457" s="83" t="s">
        <v>139</v>
      </c>
      <c r="Q457" s="84" t="s">
        <v>139</v>
      </c>
      <c r="R457" s="69" t="s">
        <v>140</v>
      </c>
      <c r="S457" s="72" t="s">
        <v>2676</v>
      </c>
      <c r="T457" s="79" t="s">
        <v>459</v>
      </c>
      <c r="U457" s="69" t="s">
        <v>2677</v>
      </c>
      <c r="V457" s="81" t="s">
        <v>202</v>
      </c>
      <c r="W457" s="76" t="s">
        <v>145</v>
      </c>
      <c r="X457" s="79" t="s">
        <v>459</v>
      </c>
      <c r="Y457" s="69">
        <v>1</v>
      </c>
      <c r="Z457" s="69">
        <v>1</v>
      </c>
      <c r="AA457" s="69">
        <v>1</v>
      </c>
      <c r="AB457" s="49">
        <f>IF(V457="TIPO I",'BASE DE LIQUIDACION 2025'!$B$3,'BASE DE LIQUIDACION 2025'!$B$4)</f>
        <v>11251.22416</v>
      </c>
      <c r="AC457" s="49">
        <f>IF(V457="TIPO I",'BASE DE LIQUIDACION 2025'!$C$3,'BASE DE LIQUIDACION 2025'!$C$4)</f>
        <v>126317.12212</v>
      </c>
      <c r="AD457" s="49">
        <f>IF(V457="TIPO I",'BASE DE LIQUIDACION 2025'!$D$3,'BASE DE LIQUIDACION 2025'!$D$4)</f>
        <v>110808.27512000001</v>
      </c>
      <c r="AE457" s="49">
        <f t="shared" ref="AE457:AE458" si="9">AB457*Y457+Z457*AC457+AA457*AD457</f>
        <v>248376.6214</v>
      </c>
    </row>
    <row r="458" spans="1:31" s="46" customFormat="1" ht="12.75" customHeight="1">
      <c r="A458" s="69" t="s">
        <v>220</v>
      </c>
      <c r="B458" s="45" t="str">
        <f>VLOOKUP(A458,'CENTRO DE COSTOS'!A:D,4,FALSE)</f>
        <v>DIEGO FERNANDO HENAO CARDONA</v>
      </c>
      <c r="C458" s="45" t="str">
        <f>VLOOKUP(A458,'CENTRO DE COSTOS'!A:D,2,FALSE)</f>
        <v>0004-0003</v>
      </c>
      <c r="D458" s="69">
        <v>76001</v>
      </c>
      <c r="E458" s="70" t="s">
        <v>2678</v>
      </c>
      <c r="F458" s="71">
        <v>81197</v>
      </c>
      <c r="G458" s="79" t="s">
        <v>132</v>
      </c>
      <c r="H458" s="73" t="s">
        <v>133</v>
      </c>
      <c r="I458" s="71" t="s">
        <v>420</v>
      </c>
      <c r="J458" s="81" t="s">
        <v>220</v>
      </c>
      <c r="K458" s="71" t="s">
        <v>2679</v>
      </c>
      <c r="L458" s="75" t="s">
        <v>137</v>
      </c>
      <c r="M458" s="82" t="s">
        <v>2680</v>
      </c>
      <c r="N458" s="74">
        <v>45896</v>
      </c>
      <c r="O458" s="76">
        <v>45897</v>
      </c>
      <c r="P458" s="83" t="s">
        <v>139</v>
      </c>
      <c r="Q458" s="84" t="s">
        <v>139</v>
      </c>
      <c r="R458" s="69" t="s">
        <v>140</v>
      </c>
      <c r="S458" s="72" t="s">
        <v>2681</v>
      </c>
      <c r="T458" s="79" t="s">
        <v>489</v>
      </c>
      <c r="U458" s="69" t="s">
        <v>2682</v>
      </c>
      <c r="V458" s="81" t="s">
        <v>52</v>
      </c>
      <c r="W458" s="76" t="s">
        <v>145</v>
      </c>
      <c r="X458" s="79" t="s">
        <v>489</v>
      </c>
      <c r="Y458" s="69">
        <v>1</v>
      </c>
      <c r="Z458" s="69">
        <v>1</v>
      </c>
      <c r="AA458" s="69">
        <v>1</v>
      </c>
      <c r="AB458" s="49">
        <f>IF(V458="TIPO I",'BASE DE LIQUIDACION 2025'!$B$3,'BASE DE LIQUIDACION 2025'!$B$4)</f>
        <v>11251.22416</v>
      </c>
      <c r="AC458" s="49">
        <f>IF(V458="TIPO I",'BASE DE LIQUIDACION 2025'!$C$3,'BASE DE LIQUIDACION 2025'!$C$4)</f>
        <v>126317.12212</v>
      </c>
      <c r="AD458" s="49">
        <f>IF(V458="TIPO I",'BASE DE LIQUIDACION 2025'!$D$3,'BASE DE LIQUIDACION 2025'!$D$4)</f>
        <v>57411.974240000003</v>
      </c>
      <c r="AE458" s="49">
        <f t="shared" si="9"/>
        <v>194980.32052000001</v>
      </c>
    </row>
    <row r="459" spans="1:31" s="46" customFormat="1" ht="12.75" customHeight="1">
      <c r="A459" s="69" t="s">
        <v>431</v>
      </c>
      <c r="B459" s="45" t="str">
        <f>VLOOKUP(A459,'CENTRO DE COSTOS'!A:D,4,FALSE)</f>
        <v>WILLIAM ASDRUBAL ROZO ROZO</v>
      </c>
      <c r="C459" s="45" t="str">
        <f>VLOOKUP(A459,'CENTRO DE COSTOS'!A:D,2,FALSE)</f>
        <v>0004-0004</v>
      </c>
      <c r="D459" s="69">
        <v>25035</v>
      </c>
      <c r="E459" s="70" t="s">
        <v>2683</v>
      </c>
      <c r="F459" s="71">
        <v>81183</v>
      </c>
      <c r="G459" s="79" t="s">
        <v>132</v>
      </c>
      <c r="H459" s="73" t="s">
        <v>133</v>
      </c>
      <c r="I459" s="71" t="s">
        <v>433</v>
      </c>
      <c r="J459" s="81" t="s">
        <v>498</v>
      </c>
      <c r="K459" s="71" t="s">
        <v>2684</v>
      </c>
      <c r="L459" s="75" t="s">
        <v>137</v>
      </c>
      <c r="M459" s="82" t="s">
        <v>2685</v>
      </c>
      <c r="N459" s="74">
        <v>45896</v>
      </c>
      <c r="O459" s="76">
        <v>45898</v>
      </c>
      <c r="P459" s="83" t="s">
        <v>139</v>
      </c>
      <c r="Q459" s="84" t="s">
        <v>139</v>
      </c>
      <c r="R459" s="69" t="s">
        <v>140</v>
      </c>
      <c r="S459" s="72" t="s">
        <v>2686</v>
      </c>
      <c r="T459" s="79" t="s">
        <v>502</v>
      </c>
      <c r="U459" s="69" t="s">
        <v>2687</v>
      </c>
      <c r="V459" s="81" t="s">
        <v>202</v>
      </c>
      <c r="W459" s="76" t="s">
        <v>145</v>
      </c>
      <c r="X459" s="79" t="s">
        <v>502</v>
      </c>
      <c r="Y459" s="69">
        <v>1</v>
      </c>
      <c r="Z459" s="69">
        <v>1</v>
      </c>
      <c r="AA459" s="69">
        <v>1</v>
      </c>
      <c r="AB459" s="49">
        <f>IF(V459="TIPO I",'BASE DE LIQUIDACION 2025'!$B$3,'BASE DE LIQUIDACION 2025'!$B$4)</f>
        <v>11251.22416</v>
      </c>
      <c r="AC459" s="49">
        <f>IF(V459="TIPO I",'BASE DE LIQUIDACION 2025'!$C$3,'BASE DE LIQUIDACION 2025'!$C$4)</f>
        <v>126317.12212</v>
      </c>
      <c r="AD459" s="49">
        <f>IF(V459="TIPO I",'BASE DE LIQUIDACION 2025'!$D$3,'BASE DE LIQUIDACION 2025'!$D$4)</f>
        <v>110808.27512000001</v>
      </c>
      <c r="AE459" s="49">
        <f t="shared" ref="AE459:AE486" si="10">AB459*Y459+Z459*AC459+AA459*AD459</f>
        <v>248376.6214</v>
      </c>
    </row>
    <row r="460" spans="1:31" s="46" customFormat="1" ht="12.75" customHeight="1">
      <c r="A460" s="69" t="s">
        <v>399</v>
      </c>
      <c r="B460" s="45" t="str">
        <f>VLOOKUP(A460,'CENTRO DE COSTOS'!A:D,4,FALSE)</f>
        <v>JOSE MAURICIO HERNANDEZ ROJAS</v>
      </c>
      <c r="C460" s="45" t="str">
        <f>VLOOKUP(A460,'CENTRO DE COSTOS'!A:D,2,FALSE)</f>
        <v>0004-0001</v>
      </c>
      <c r="D460" s="69">
        <v>20045</v>
      </c>
      <c r="E460" s="70" t="s">
        <v>2688</v>
      </c>
      <c r="F460" s="71">
        <v>81186</v>
      </c>
      <c r="G460" s="79" t="s">
        <v>132</v>
      </c>
      <c r="H460" s="73" t="s">
        <v>133</v>
      </c>
      <c r="I460" s="71" t="s">
        <v>401</v>
      </c>
      <c r="J460" s="81" t="s">
        <v>2689</v>
      </c>
      <c r="K460" s="71" t="s">
        <v>2690</v>
      </c>
      <c r="L460" s="75" t="s">
        <v>137</v>
      </c>
      <c r="M460" s="82" t="s">
        <v>2691</v>
      </c>
      <c r="N460" s="74">
        <v>45896</v>
      </c>
      <c r="O460" s="76">
        <v>45897</v>
      </c>
      <c r="P460" s="83" t="s">
        <v>139</v>
      </c>
      <c r="Q460" s="84" t="s">
        <v>139</v>
      </c>
      <c r="R460" s="69" t="s">
        <v>140</v>
      </c>
      <c r="S460" s="72" t="s">
        <v>2692</v>
      </c>
      <c r="T460" s="79" t="s">
        <v>406</v>
      </c>
      <c r="U460" s="69" t="s">
        <v>2693</v>
      </c>
      <c r="V460" s="81" t="s">
        <v>202</v>
      </c>
      <c r="W460" s="76" t="s">
        <v>145</v>
      </c>
      <c r="X460" s="79" t="s">
        <v>406</v>
      </c>
      <c r="Y460" s="69">
        <v>1</v>
      </c>
      <c r="Z460" s="69">
        <v>1</v>
      </c>
      <c r="AA460" s="69">
        <v>1</v>
      </c>
      <c r="AB460" s="49">
        <f>IF(V460="TIPO I",'BASE DE LIQUIDACION 2025'!$B$3,'BASE DE LIQUIDACION 2025'!$B$4)</f>
        <v>11251.22416</v>
      </c>
      <c r="AC460" s="49">
        <f>IF(V460="TIPO I",'BASE DE LIQUIDACION 2025'!$C$3,'BASE DE LIQUIDACION 2025'!$C$4)</f>
        <v>126317.12212</v>
      </c>
      <c r="AD460" s="49">
        <f>IF(V460="TIPO I",'BASE DE LIQUIDACION 2025'!$D$3,'BASE DE LIQUIDACION 2025'!$D$4)</f>
        <v>110808.27512000001</v>
      </c>
      <c r="AE460" s="49">
        <f t="shared" si="10"/>
        <v>248376.6214</v>
      </c>
    </row>
    <row r="461" spans="1:31" s="46" customFormat="1" ht="12.75" customHeight="1">
      <c r="A461" s="69" t="s">
        <v>260</v>
      </c>
      <c r="B461" s="45" t="str">
        <f>VLOOKUP(A461,'CENTRO DE COSTOS'!A:D,4,FALSE)</f>
        <v>KEVIN ALEXIS CORZO BUSTOS</v>
      </c>
      <c r="C461" s="45" t="str">
        <f>VLOOKUP(A461,'CENTRO DE COSTOS'!A:D,2,FALSE)</f>
        <v>0004-0007</v>
      </c>
      <c r="D461" s="69">
        <v>50680</v>
      </c>
      <c r="E461" s="70" t="s">
        <v>2694</v>
      </c>
      <c r="F461" s="71">
        <v>81246</v>
      </c>
      <c r="G461" s="79" t="s">
        <v>132</v>
      </c>
      <c r="H461" s="73" t="s">
        <v>133</v>
      </c>
      <c r="I461" s="71" t="s">
        <v>262</v>
      </c>
      <c r="J461" s="81" t="s">
        <v>2695</v>
      </c>
      <c r="K461" s="71" t="s">
        <v>2696</v>
      </c>
      <c r="L461" s="75" t="s">
        <v>137</v>
      </c>
      <c r="M461" s="82" t="s">
        <v>2697</v>
      </c>
      <c r="N461" s="74">
        <v>45896</v>
      </c>
      <c r="O461" s="76">
        <v>45898</v>
      </c>
      <c r="P461" s="83" t="s">
        <v>139</v>
      </c>
      <c r="Q461" s="84" t="s">
        <v>139</v>
      </c>
      <c r="R461" s="69" t="s">
        <v>140</v>
      </c>
      <c r="S461" s="72" t="s">
        <v>2698</v>
      </c>
      <c r="T461" s="79" t="s">
        <v>909</v>
      </c>
      <c r="U461" s="69" t="s">
        <v>2699</v>
      </c>
      <c r="V461" s="81" t="s">
        <v>202</v>
      </c>
      <c r="W461" s="76" t="s">
        <v>145</v>
      </c>
      <c r="X461" s="79" t="s">
        <v>909</v>
      </c>
      <c r="Y461" s="69">
        <v>1</v>
      </c>
      <c r="Z461" s="69">
        <v>1</v>
      </c>
      <c r="AA461" s="69">
        <v>1</v>
      </c>
      <c r="AB461" s="49">
        <f>IF(V461="TIPO I",'BASE DE LIQUIDACION 2025'!$B$3,'BASE DE LIQUIDACION 2025'!$B$4)</f>
        <v>11251.22416</v>
      </c>
      <c r="AC461" s="49">
        <f>IF(V461="TIPO I",'BASE DE LIQUIDACION 2025'!$C$3,'BASE DE LIQUIDACION 2025'!$C$4)</f>
        <v>126317.12212</v>
      </c>
      <c r="AD461" s="49">
        <f>IF(V461="TIPO I",'BASE DE LIQUIDACION 2025'!$D$3,'BASE DE LIQUIDACION 2025'!$D$4)</f>
        <v>110808.27512000001</v>
      </c>
      <c r="AE461" s="49">
        <f t="shared" si="10"/>
        <v>248376.6214</v>
      </c>
    </row>
    <row r="462" spans="1:31" s="46" customFormat="1" ht="12.75" customHeight="1">
      <c r="A462" s="69" t="s">
        <v>220</v>
      </c>
      <c r="B462" s="45" t="str">
        <f>VLOOKUP(A462,'CENTRO DE COSTOS'!A:D,4,FALSE)</f>
        <v>DIEGO FERNANDO HENAO CARDONA</v>
      </c>
      <c r="C462" s="45" t="str">
        <f>VLOOKUP(A462,'CENTRO DE COSTOS'!A:D,2,FALSE)</f>
        <v>0004-0003</v>
      </c>
      <c r="D462" s="69">
        <v>76001</v>
      </c>
      <c r="E462" s="70" t="s">
        <v>2700</v>
      </c>
      <c r="F462" s="71">
        <v>81194</v>
      </c>
      <c r="G462" s="79" t="s">
        <v>132</v>
      </c>
      <c r="H462" s="73" t="s">
        <v>222</v>
      </c>
      <c r="I462" s="71" t="s">
        <v>420</v>
      </c>
      <c r="J462" s="81" t="s">
        <v>220</v>
      </c>
      <c r="K462" s="71" t="s">
        <v>2701</v>
      </c>
      <c r="L462" s="75" t="s">
        <v>137</v>
      </c>
      <c r="M462" s="82" t="s">
        <v>2702</v>
      </c>
      <c r="N462" s="74">
        <v>45896</v>
      </c>
      <c r="O462" s="76">
        <v>45897</v>
      </c>
      <c r="P462" s="83" t="s">
        <v>139</v>
      </c>
      <c r="Q462" s="84" t="s">
        <v>139</v>
      </c>
      <c r="R462" s="69" t="s">
        <v>140</v>
      </c>
      <c r="S462" s="72" t="s">
        <v>2703</v>
      </c>
      <c r="T462" s="79" t="s">
        <v>477</v>
      </c>
      <c r="U462" s="69" t="s">
        <v>2704</v>
      </c>
      <c r="V462" s="81" t="s">
        <v>52</v>
      </c>
      <c r="W462" s="76" t="s">
        <v>145</v>
      </c>
      <c r="X462" s="79" t="s">
        <v>477</v>
      </c>
      <c r="Y462" s="69">
        <v>1</v>
      </c>
      <c r="Z462" s="69">
        <v>1</v>
      </c>
      <c r="AA462" s="69">
        <v>1</v>
      </c>
      <c r="AB462" s="49">
        <f>IF(V462="TIPO I",'BASE DE LIQUIDACION 2025'!$B$3,'BASE DE LIQUIDACION 2025'!$B$4)</f>
        <v>11251.22416</v>
      </c>
      <c r="AC462" s="49">
        <f>IF(V462="TIPO I",'BASE DE LIQUIDACION 2025'!$C$3,'BASE DE LIQUIDACION 2025'!$C$4)</f>
        <v>126317.12212</v>
      </c>
      <c r="AD462" s="49">
        <f>IF(V462="TIPO I",'BASE DE LIQUIDACION 2025'!$D$3,'BASE DE LIQUIDACION 2025'!$D$4)</f>
        <v>57411.974240000003</v>
      </c>
      <c r="AE462" s="49">
        <f t="shared" si="10"/>
        <v>194980.32052000001</v>
      </c>
    </row>
    <row r="463" spans="1:31" s="46" customFormat="1" ht="12.75" customHeight="1">
      <c r="A463" s="69" t="s">
        <v>431</v>
      </c>
      <c r="B463" s="45" t="str">
        <f>VLOOKUP(A463,'CENTRO DE COSTOS'!A:D,4,FALSE)</f>
        <v>WILLIAM ASDRUBAL ROZO ROZO</v>
      </c>
      <c r="C463" s="45" t="str">
        <f>VLOOKUP(A463,'CENTRO DE COSTOS'!A:D,2,FALSE)</f>
        <v>0004-0004</v>
      </c>
      <c r="D463" s="69">
        <v>11001</v>
      </c>
      <c r="E463" s="70" t="s">
        <v>2705</v>
      </c>
      <c r="F463" s="71">
        <v>81188</v>
      </c>
      <c r="G463" s="79" t="s">
        <v>132</v>
      </c>
      <c r="H463" s="73" t="s">
        <v>133</v>
      </c>
      <c r="I463" s="71" t="s">
        <v>433</v>
      </c>
      <c r="J463" s="81" t="s">
        <v>431</v>
      </c>
      <c r="K463" s="71" t="s">
        <v>2706</v>
      </c>
      <c r="L463" s="75" t="s">
        <v>137</v>
      </c>
      <c r="M463" s="82" t="s">
        <v>2707</v>
      </c>
      <c r="N463" s="74">
        <v>45896</v>
      </c>
      <c r="O463" s="76">
        <v>45897</v>
      </c>
      <c r="P463" s="83" t="s">
        <v>139</v>
      </c>
      <c r="Q463" s="84" t="s">
        <v>139</v>
      </c>
      <c r="R463" s="69" t="s">
        <v>140</v>
      </c>
      <c r="S463" s="72" t="s">
        <v>2708</v>
      </c>
      <c r="T463" s="79" t="s">
        <v>851</v>
      </c>
      <c r="U463" s="69" t="s">
        <v>2709</v>
      </c>
      <c r="V463" s="81" t="s">
        <v>52</v>
      </c>
      <c r="W463" s="76" t="s">
        <v>145</v>
      </c>
      <c r="X463" s="79" t="s">
        <v>851</v>
      </c>
      <c r="Y463" s="69">
        <v>1</v>
      </c>
      <c r="Z463" s="69">
        <v>1</v>
      </c>
      <c r="AA463" s="69">
        <v>1</v>
      </c>
      <c r="AB463" s="49">
        <f>IF(V463="TIPO I",'BASE DE LIQUIDACION 2025'!$B$3,'BASE DE LIQUIDACION 2025'!$B$4)</f>
        <v>11251.22416</v>
      </c>
      <c r="AC463" s="49">
        <f>IF(V463="TIPO I",'BASE DE LIQUIDACION 2025'!$C$3,'BASE DE LIQUIDACION 2025'!$C$4)</f>
        <v>126317.12212</v>
      </c>
      <c r="AD463" s="49">
        <f>IF(V463="TIPO I",'BASE DE LIQUIDACION 2025'!$D$3,'BASE DE LIQUIDACION 2025'!$D$4)</f>
        <v>57411.974240000003</v>
      </c>
      <c r="AE463" s="49">
        <f t="shared" si="10"/>
        <v>194980.32052000001</v>
      </c>
    </row>
    <row r="464" spans="1:31" s="46" customFormat="1" ht="12.75" customHeight="1">
      <c r="A464" s="69" t="s">
        <v>453</v>
      </c>
      <c r="B464" s="45" t="str">
        <f>VLOOKUP(A464,'CENTRO DE COSTOS'!A:D,4,FALSE)</f>
        <v>DIEGO FERNANDO HENAO CARDONA</v>
      </c>
      <c r="C464" s="45" t="str">
        <f>VLOOKUP(A464,'CENTRO DE COSTOS'!A:D,2,FALSE)</f>
        <v>0004-0002</v>
      </c>
      <c r="D464" s="69">
        <v>66001</v>
      </c>
      <c r="E464" s="70" t="s">
        <v>2710</v>
      </c>
      <c r="F464" s="71">
        <v>81243</v>
      </c>
      <c r="G464" s="79" t="s">
        <v>132</v>
      </c>
      <c r="H464" s="73" t="s">
        <v>133</v>
      </c>
      <c r="I464" s="71" t="s">
        <v>579</v>
      </c>
      <c r="J464" s="81" t="s">
        <v>453</v>
      </c>
      <c r="K464" s="71" t="s">
        <v>2711</v>
      </c>
      <c r="L464" s="75" t="s">
        <v>137</v>
      </c>
      <c r="M464" s="82" t="s">
        <v>2712</v>
      </c>
      <c r="N464" s="74">
        <v>45896</v>
      </c>
      <c r="O464" s="76">
        <v>45897</v>
      </c>
      <c r="P464" s="83" t="s">
        <v>139</v>
      </c>
      <c r="Q464" s="84" t="s">
        <v>139</v>
      </c>
      <c r="R464" s="69" t="s">
        <v>140</v>
      </c>
      <c r="S464" s="72" t="s">
        <v>2713</v>
      </c>
      <c r="T464" s="79" t="s">
        <v>508</v>
      </c>
      <c r="U464" s="69" t="s">
        <v>2714</v>
      </c>
      <c r="V464" s="81" t="s">
        <v>52</v>
      </c>
      <c r="W464" s="76" t="s">
        <v>145</v>
      </c>
      <c r="X464" s="79" t="s">
        <v>508</v>
      </c>
      <c r="Y464" s="69">
        <v>1</v>
      </c>
      <c r="Z464" s="69">
        <v>1</v>
      </c>
      <c r="AA464" s="69">
        <v>1</v>
      </c>
      <c r="AB464" s="49">
        <f>IF(V464="TIPO I",'BASE DE LIQUIDACION 2025'!$B$3,'BASE DE LIQUIDACION 2025'!$B$4)</f>
        <v>11251.22416</v>
      </c>
      <c r="AC464" s="49">
        <f>IF(V464="TIPO I",'BASE DE LIQUIDACION 2025'!$C$3,'BASE DE LIQUIDACION 2025'!$C$4)</f>
        <v>126317.12212</v>
      </c>
      <c r="AD464" s="49">
        <f>IF(V464="TIPO I",'BASE DE LIQUIDACION 2025'!$D$3,'BASE DE LIQUIDACION 2025'!$D$4)</f>
        <v>57411.974240000003</v>
      </c>
      <c r="AE464" s="49">
        <f t="shared" si="10"/>
        <v>194980.32052000001</v>
      </c>
    </row>
    <row r="465" spans="1:31" s="46" customFormat="1" ht="12.75" customHeight="1">
      <c r="A465" s="69" t="s">
        <v>260</v>
      </c>
      <c r="B465" s="45" t="str">
        <f>VLOOKUP(A465,'CENTRO DE COSTOS'!A:D,4,FALSE)</f>
        <v>KEVIN ALEXIS CORZO BUSTOS</v>
      </c>
      <c r="C465" s="45" t="str">
        <f>VLOOKUP(A465,'CENTRO DE COSTOS'!A:D,2,FALSE)</f>
        <v>0004-0007</v>
      </c>
      <c r="D465" s="69">
        <v>50006</v>
      </c>
      <c r="E465" s="70" t="s">
        <v>2715</v>
      </c>
      <c r="F465" s="71">
        <v>81180</v>
      </c>
      <c r="G465" s="79" t="s">
        <v>132</v>
      </c>
      <c r="H465" s="73" t="s">
        <v>133</v>
      </c>
      <c r="I465" s="71" t="s">
        <v>262</v>
      </c>
      <c r="J465" s="81" t="s">
        <v>905</v>
      </c>
      <c r="K465" s="71" t="s">
        <v>2716</v>
      </c>
      <c r="L465" s="75" t="s">
        <v>137</v>
      </c>
      <c r="M465" s="82" t="s">
        <v>2717</v>
      </c>
      <c r="N465" s="74">
        <v>45896</v>
      </c>
      <c r="O465" s="76">
        <v>45897</v>
      </c>
      <c r="P465" s="83" t="s">
        <v>139</v>
      </c>
      <c r="Q465" s="84" t="s">
        <v>139</v>
      </c>
      <c r="R465" s="69" t="s">
        <v>140</v>
      </c>
      <c r="S465" s="72" t="s">
        <v>2718</v>
      </c>
      <c r="T465" s="79" t="s">
        <v>267</v>
      </c>
      <c r="U465" s="69" t="s">
        <v>2719</v>
      </c>
      <c r="V465" s="81" t="s">
        <v>202</v>
      </c>
      <c r="W465" s="76" t="s">
        <v>145</v>
      </c>
      <c r="X465" s="79" t="s">
        <v>267</v>
      </c>
      <c r="Y465" s="69">
        <v>1</v>
      </c>
      <c r="Z465" s="69">
        <v>1</v>
      </c>
      <c r="AA465" s="69">
        <v>1</v>
      </c>
      <c r="AB465" s="49">
        <f>IF(V465="TIPO I",'BASE DE LIQUIDACION 2025'!$B$3,'BASE DE LIQUIDACION 2025'!$B$4)</f>
        <v>11251.22416</v>
      </c>
      <c r="AC465" s="49">
        <f>IF(V465="TIPO I",'BASE DE LIQUIDACION 2025'!$C$3,'BASE DE LIQUIDACION 2025'!$C$4)</f>
        <v>126317.12212</v>
      </c>
      <c r="AD465" s="49">
        <f>IF(V465="TIPO I",'BASE DE LIQUIDACION 2025'!$D$3,'BASE DE LIQUIDACION 2025'!$D$4)</f>
        <v>110808.27512000001</v>
      </c>
      <c r="AE465" s="49">
        <f t="shared" si="10"/>
        <v>248376.6214</v>
      </c>
    </row>
    <row r="466" spans="1:31" s="46" customFormat="1" ht="12.75" customHeight="1">
      <c r="A466" s="69" t="s">
        <v>130</v>
      </c>
      <c r="B466" s="45" t="str">
        <f>VLOOKUP(A466,'CENTRO DE COSTOS'!A:D,4,FALSE)</f>
        <v>KEVIN ALEXIS CORZO BUSTOS</v>
      </c>
      <c r="C466" s="45" t="str">
        <f>VLOOKUP(A466,'CENTRO DE COSTOS'!A:D,2,FALSE)</f>
        <v>0004-0007</v>
      </c>
      <c r="D466" s="69">
        <v>41016</v>
      </c>
      <c r="E466" s="70" t="s">
        <v>2720</v>
      </c>
      <c r="F466" s="71">
        <v>81181</v>
      </c>
      <c r="G466" s="79" t="s">
        <v>132</v>
      </c>
      <c r="H466" s="73" t="s">
        <v>133</v>
      </c>
      <c r="I466" s="71" t="s">
        <v>213</v>
      </c>
      <c r="J466" s="81" t="s">
        <v>1667</v>
      </c>
      <c r="K466" s="71" t="s">
        <v>2721</v>
      </c>
      <c r="L466" s="75" t="s">
        <v>137</v>
      </c>
      <c r="M466" s="82" t="s">
        <v>2722</v>
      </c>
      <c r="N466" s="74">
        <v>45896</v>
      </c>
      <c r="O466" s="76">
        <v>45897</v>
      </c>
      <c r="P466" s="83" t="s">
        <v>139</v>
      </c>
      <c r="Q466" s="84" t="s">
        <v>139</v>
      </c>
      <c r="R466" s="69" t="s">
        <v>140</v>
      </c>
      <c r="S466" s="72" t="s">
        <v>2723</v>
      </c>
      <c r="T466" s="79" t="s">
        <v>218</v>
      </c>
      <c r="U466" s="69" t="s">
        <v>2724</v>
      </c>
      <c r="V466" s="81" t="s">
        <v>202</v>
      </c>
      <c r="W466" s="76" t="s">
        <v>145</v>
      </c>
      <c r="X466" s="79" t="s">
        <v>218</v>
      </c>
      <c r="Y466" s="69">
        <v>1</v>
      </c>
      <c r="Z466" s="69">
        <v>1</v>
      </c>
      <c r="AA466" s="69">
        <v>1</v>
      </c>
      <c r="AB466" s="49">
        <f>IF(V466="TIPO I",'BASE DE LIQUIDACION 2025'!$B$3,'BASE DE LIQUIDACION 2025'!$B$4)</f>
        <v>11251.22416</v>
      </c>
      <c r="AC466" s="49">
        <f>IF(V466="TIPO I",'BASE DE LIQUIDACION 2025'!$C$3,'BASE DE LIQUIDACION 2025'!$C$4)</f>
        <v>126317.12212</v>
      </c>
      <c r="AD466" s="49">
        <f>IF(V466="TIPO I",'BASE DE LIQUIDACION 2025'!$D$3,'BASE DE LIQUIDACION 2025'!$D$4)</f>
        <v>110808.27512000001</v>
      </c>
      <c r="AE466" s="49">
        <f t="shared" si="10"/>
        <v>248376.6214</v>
      </c>
    </row>
    <row r="467" spans="1:31" s="46" customFormat="1" ht="12.75" customHeight="1">
      <c r="A467" s="69" t="s">
        <v>220</v>
      </c>
      <c r="B467" s="45" t="str">
        <f>VLOOKUP(A467,'CENTRO DE COSTOS'!A:D,4,FALSE)</f>
        <v>DIEGO FERNANDO HENAO CARDONA</v>
      </c>
      <c r="C467" s="45" t="str">
        <f>VLOOKUP(A467,'CENTRO DE COSTOS'!A:D,2,FALSE)</f>
        <v>0004-0003</v>
      </c>
      <c r="D467" s="69">
        <v>76606</v>
      </c>
      <c r="E467" s="70" t="s">
        <v>2725</v>
      </c>
      <c r="F467" s="71">
        <v>81244</v>
      </c>
      <c r="G467" s="79" t="s">
        <v>132</v>
      </c>
      <c r="H467" s="73" t="s">
        <v>133</v>
      </c>
      <c r="I467" s="71" t="s">
        <v>420</v>
      </c>
      <c r="J467" s="81" t="s">
        <v>562</v>
      </c>
      <c r="K467" s="71" t="s">
        <v>2726</v>
      </c>
      <c r="L467" s="75" t="s">
        <v>137</v>
      </c>
      <c r="M467" s="82" t="s">
        <v>2727</v>
      </c>
      <c r="N467" s="74">
        <v>45896</v>
      </c>
      <c r="O467" s="76">
        <v>45898</v>
      </c>
      <c r="P467" s="83" t="s">
        <v>139</v>
      </c>
      <c r="Q467" s="84" t="s">
        <v>139</v>
      </c>
      <c r="R467" s="69" t="s">
        <v>140</v>
      </c>
      <c r="S467" s="72" t="s">
        <v>2728</v>
      </c>
      <c r="T467" s="79" t="s">
        <v>702</v>
      </c>
      <c r="U467" s="69" t="s">
        <v>2729</v>
      </c>
      <c r="V467" s="81" t="s">
        <v>202</v>
      </c>
      <c r="W467" s="76" t="s">
        <v>145</v>
      </c>
      <c r="X467" s="79" t="s">
        <v>702</v>
      </c>
      <c r="Y467" s="69">
        <v>1</v>
      </c>
      <c r="Z467" s="69">
        <v>1</v>
      </c>
      <c r="AA467" s="69">
        <v>1</v>
      </c>
      <c r="AB467" s="49">
        <f>IF(V467="TIPO I",'BASE DE LIQUIDACION 2025'!$B$3,'BASE DE LIQUIDACION 2025'!$B$4)</f>
        <v>11251.22416</v>
      </c>
      <c r="AC467" s="49">
        <f>IF(V467="TIPO I",'BASE DE LIQUIDACION 2025'!$C$3,'BASE DE LIQUIDACION 2025'!$C$4)</f>
        <v>126317.12212</v>
      </c>
      <c r="AD467" s="49">
        <f>IF(V467="TIPO I",'BASE DE LIQUIDACION 2025'!$D$3,'BASE DE LIQUIDACION 2025'!$D$4)</f>
        <v>110808.27512000001</v>
      </c>
      <c r="AE467" s="49">
        <f t="shared" si="10"/>
        <v>248376.6214</v>
      </c>
    </row>
    <row r="468" spans="1:31" s="46" customFormat="1" ht="12.75" customHeight="1">
      <c r="A468" s="69" t="s">
        <v>439</v>
      </c>
      <c r="B468" s="45" t="str">
        <f>VLOOKUP(A468,'CENTRO DE COSTOS'!A:D,4,FALSE)</f>
        <v>DIEGO FERNANDO HENAO CARDONA</v>
      </c>
      <c r="C468" s="45" t="str">
        <f>VLOOKUP(A468,'CENTRO DE COSTOS'!A:D,2,FALSE)</f>
        <v>0004-0002</v>
      </c>
      <c r="D468" s="69">
        <v>17001</v>
      </c>
      <c r="E468" s="70" t="s">
        <v>2730</v>
      </c>
      <c r="F468" s="71">
        <v>81211</v>
      </c>
      <c r="G468" s="79" t="s">
        <v>132</v>
      </c>
      <c r="H468" s="73" t="s">
        <v>133</v>
      </c>
      <c r="I468" s="71" t="s">
        <v>441</v>
      </c>
      <c r="J468" s="81" t="s">
        <v>439</v>
      </c>
      <c r="K468" s="71" t="s">
        <v>2731</v>
      </c>
      <c r="L468" s="75" t="s">
        <v>137</v>
      </c>
      <c r="M468" s="82" t="s">
        <v>2732</v>
      </c>
      <c r="N468" s="74">
        <v>45896</v>
      </c>
      <c r="O468" s="76">
        <v>45898</v>
      </c>
      <c r="P468" s="83" t="s">
        <v>139</v>
      </c>
      <c r="Q468" s="84" t="s">
        <v>139</v>
      </c>
      <c r="R468" s="69" t="s">
        <v>549</v>
      </c>
      <c r="S468" s="72" t="s">
        <v>2733</v>
      </c>
      <c r="T468" s="79" t="s">
        <v>445</v>
      </c>
      <c r="U468" s="69" t="s">
        <v>2734</v>
      </c>
      <c r="V468" s="81" t="s">
        <v>52</v>
      </c>
      <c r="W468" s="76" t="s">
        <v>145</v>
      </c>
      <c r="X468" s="79" t="s">
        <v>445</v>
      </c>
      <c r="Y468" s="69">
        <v>0</v>
      </c>
      <c r="Z468" s="69">
        <v>0</v>
      </c>
      <c r="AA468" s="69">
        <v>2</v>
      </c>
      <c r="AB468" s="49">
        <f>IF(V468="TIPO I",'BASE DE LIQUIDACION 2025'!$B$3,'BASE DE LIQUIDACION 2025'!$B$4)</f>
        <v>11251.22416</v>
      </c>
      <c r="AC468" s="49">
        <f>IF(V468="TIPO I",'BASE DE LIQUIDACION 2025'!$C$3,'BASE DE LIQUIDACION 2025'!$C$4)</f>
        <v>126317.12212</v>
      </c>
      <c r="AD468" s="49">
        <f>IF(V468="TIPO I",'BASE DE LIQUIDACION 2025'!$D$3,'BASE DE LIQUIDACION 2025'!$D$4)</f>
        <v>57411.974240000003</v>
      </c>
      <c r="AE468" s="49">
        <f t="shared" si="10"/>
        <v>114823.94848000001</v>
      </c>
    </row>
    <row r="469" spans="1:31" s="46" customFormat="1" ht="12.75" customHeight="1">
      <c r="A469" s="69" t="s">
        <v>175</v>
      </c>
      <c r="B469" s="45" t="str">
        <f>VLOOKUP(A469,'CENTRO DE COSTOS'!A:D,4,FALSE)</f>
        <v>JUAN SEBASTIÁN RÍOS CASTRILLÓN</v>
      </c>
      <c r="C469" s="45" t="str">
        <f>VLOOKUP(A469,'CENTRO DE COSTOS'!A:D,2,FALSE)</f>
        <v>0004-0005</v>
      </c>
      <c r="D469" s="69">
        <v>5380</v>
      </c>
      <c r="E469" s="70" t="s">
        <v>2735</v>
      </c>
      <c r="F469" s="71">
        <v>81253</v>
      </c>
      <c r="G469" s="79" t="s">
        <v>132</v>
      </c>
      <c r="H469" s="73" t="s">
        <v>133</v>
      </c>
      <c r="I469" s="71" t="s">
        <v>178</v>
      </c>
      <c r="J469" s="81" t="s">
        <v>2736</v>
      </c>
      <c r="K469" s="71" t="s">
        <v>2737</v>
      </c>
      <c r="L469" s="75" t="s">
        <v>137</v>
      </c>
      <c r="M469" s="82" t="s">
        <v>2738</v>
      </c>
      <c r="N469" s="74">
        <v>45896</v>
      </c>
      <c r="O469" s="76">
        <v>45896</v>
      </c>
      <c r="P469" s="83" t="s">
        <v>139</v>
      </c>
      <c r="Q469" s="84" t="s">
        <v>139</v>
      </c>
      <c r="R469" s="69" t="s">
        <v>140</v>
      </c>
      <c r="S469" s="72" t="s">
        <v>2739</v>
      </c>
      <c r="T469" s="79" t="s">
        <v>1303</v>
      </c>
      <c r="U469" s="69" t="s">
        <v>2740</v>
      </c>
      <c r="V469" s="81" t="s">
        <v>52</v>
      </c>
      <c r="W469" s="76" t="s">
        <v>145</v>
      </c>
      <c r="X469" s="79" t="s">
        <v>1303</v>
      </c>
      <c r="Y469" s="69">
        <v>1</v>
      </c>
      <c r="Z469" s="69">
        <v>1</v>
      </c>
      <c r="AA469" s="69">
        <v>1</v>
      </c>
      <c r="AB469" s="49">
        <f>IF(V469="TIPO I",'BASE DE LIQUIDACION 2025'!$B$3,'BASE DE LIQUIDACION 2025'!$B$4)</f>
        <v>11251.22416</v>
      </c>
      <c r="AC469" s="49">
        <f>IF(V469="TIPO I",'BASE DE LIQUIDACION 2025'!$C$3,'BASE DE LIQUIDACION 2025'!$C$4)</f>
        <v>126317.12212</v>
      </c>
      <c r="AD469" s="49">
        <f>IF(V469="TIPO I",'BASE DE LIQUIDACION 2025'!$D$3,'BASE DE LIQUIDACION 2025'!$D$4)</f>
        <v>57411.974240000003</v>
      </c>
      <c r="AE469" s="49">
        <f t="shared" si="10"/>
        <v>194980.32052000001</v>
      </c>
    </row>
    <row r="470" spans="1:31" s="46" customFormat="1" ht="12.75" customHeight="1">
      <c r="A470" s="69" t="s">
        <v>431</v>
      </c>
      <c r="B470" s="45" t="str">
        <f>VLOOKUP(A470,'CENTRO DE COSTOS'!A:D,4,FALSE)</f>
        <v>WILLIAM ASDRUBAL ROZO ROZO</v>
      </c>
      <c r="C470" s="45" t="str">
        <f>VLOOKUP(A470,'CENTRO DE COSTOS'!A:D,2,FALSE)</f>
        <v>0004-0004</v>
      </c>
      <c r="D470" s="69">
        <v>11001</v>
      </c>
      <c r="E470" s="70" t="s">
        <v>2741</v>
      </c>
      <c r="F470" s="71">
        <v>81189</v>
      </c>
      <c r="G470" s="79" t="s">
        <v>132</v>
      </c>
      <c r="H470" s="73" t="s">
        <v>133</v>
      </c>
      <c r="I470" s="71" t="s">
        <v>433</v>
      </c>
      <c r="J470" s="81" t="s">
        <v>431</v>
      </c>
      <c r="K470" s="71" t="s">
        <v>2742</v>
      </c>
      <c r="L470" s="75" t="s">
        <v>137</v>
      </c>
      <c r="M470" s="82" t="s">
        <v>2743</v>
      </c>
      <c r="N470" s="74">
        <v>45896</v>
      </c>
      <c r="O470" s="76">
        <v>45898</v>
      </c>
      <c r="P470" s="83" t="s">
        <v>139</v>
      </c>
      <c r="Q470" s="84" t="s">
        <v>139</v>
      </c>
      <c r="R470" s="69" t="s">
        <v>140</v>
      </c>
      <c r="S470" s="72" t="s">
        <v>2744</v>
      </c>
      <c r="T470" s="79" t="s">
        <v>667</v>
      </c>
      <c r="U470" s="69" t="s">
        <v>2745</v>
      </c>
      <c r="V470" s="81" t="s">
        <v>52</v>
      </c>
      <c r="W470" s="76" t="s">
        <v>145</v>
      </c>
      <c r="X470" s="79" t="s">
        <v>667</v>
      </c>
      <c r="Y470" s="69">
        <v>1</v>
      </c>
      <c r="Z470" s="69">
        <v>1</v>
      </c>
      <c r="AA470" s="69">
        <v>1</v>
      </c>
      <c r="AB470" s="49">
        <f>IF(V470="TIPO I",'BASE DE LIQUIDACION 2025'!$B$3,'BASE DE LIQUIDACION 2025'!$B$4)</f>
        <v>11251.22416</v>
      </c>
      <c r="AC470" s="49">
        <f>IF(V470="TIPO I",'BASE DE LIQUIDACION 2025'!$C$3,'BASE DE LIQUIDACION 2025'!$C$4)</f>
        <v>126317.12212</v>
      </c>
      <c r="AD470" s="49">
        <f>IF(V470="TIPO I",'BASE DE LIQUIDACION 2025'!$D$3,'BASE DE LIQUIDACION 2025'!$D$4)</f>
        <v>57411.974240000003</v>
      </c>
      <c r="AE470" s="49">
        <f t="shared" si="10"/>
        <v>194980.32052000001</v>
      </c>
    </row>
    <row r="471" spans="1:31" s="46" customFormat="1" ht="12.75" customHeight="1">
      <c r="A471" s="69" t="s">
        <v>220</v>
      </c>
      <c r="B471" s="45" t="str">
        <f>VLOOKUP(A471,'CENTRO DE COSTOS'!A:D,4,FALSE)</f>
        <v>DIEGO FERNANDO HENAO CARDONA</v>
      </c>
      <c r="C471" s="45" t="str">
        <f>VLOOKUP(A471,'CENTRO DE COSTOS'!A:D,2,FALSE)</f>
        <v>0004-0003</v>
      </c>
      <c r="D471" s="69">
        <v>76834</v>
      </c>
      <c r="E471" s="70" t="s">
        <v>2746</v>
      </c>
      <c r="F471" s="71">
        <v>81159</v>
      </c>
      <c r="G471" s="79" t="s">
        <v>132</v>
      </c>
      <c r="H471" s="73" t="s">
        <v>1218</v>
      </c>
      <c r="I471" s="71" t="s">
        <v>420</v>
      </c>
      <c r="J471" s="81" t="s">
        <v>1780</v>
      </c>
      <c r="K471" s="71" t="s">
        <v>2747</v>
      </c>
      <c r="L471" s="75" t="s">
        <v>137</v>
      </c>
      <c r="M471" s="82" t="s">
        <v>2748</v>
      </c>
      <c r="N471" s="74">
        <v>45896</v>
      </c>
      <c r="O471" s="76">
        <v>45898</v>
      </c>
      <c r="P471" s="83" t="s">
        <v>139</v>
      </c>
      <c r="Q471" s="84" t="s">
        <v>139</v>
      </c>
      <c r="R471" s="69" t="s">
        <v>140</v>
      </c>
      <c r="S471" s="72" t="s">
        <v>2749</v>
      </c>
      <c r="T471" s="79" t="s">
        <v>489</v>
      </c>
      <c r="U471" s="69" t="s">
        <v>2750</v>
      </c>
      <c r="V471" s="81" t="s">
        <v>202</v>
      </c>
      <c r="W471" s="76" t="s">
        <v>145</v>
      </c>
      <c r="X471" s="79" t="s">
        <v>489</v>
      </c>
      <c r="Y471" s="69">
        <v>1</v>
      </c>
      <c r="Z471" s="69">
        <v>1</v>
      </c>
      <c r="AA471" s="69">
        <v>1</v>
      </c>
      <c r="AB471" s="49">
        <f>IF(V471="TIPO I",'BASE DE LIQUIDACION 2025'!$B$3,'BASE DE LIQUIDACION 2025'!$B$4)</f>
        <v>11251.22416</v>
      </c>
      <c r="AC471" s="49">
        <f>IF(V471="TIPO I",'BASE DE LIQUIDACION 2025'!$C$3,'BASE DE LIQUIDACION 2025'!$C$4)</f>
        <v>126317.12212</v>
      </c>
      <c r="AD471" s="49">
        <f>IF(V471="TIPO I",'BASE DE LIQUIDACION 2025'!$D$3,'BASE DE LIQUIDACION 2025'!$D$4)</f>
        <v>110808.27512000001</v>
      </c>
      <c r="AE471" s="49">
        <f t="shared" si="10"/>
        <v>248376.6214</v>
      </c>
    </row>
    <row r="472" spans="1:31" s="46" customFormat="1" ht="12.75" customHeight="1">
      <c r="A472" s="69" t="s">
        <v>175</v>
      </c>
      <c r="B472" s="45" t="str">
        <f>VLOOKUP(A472,'CENTRO DE COSTOS'!A:D,4,FALSE)</f>
        <v>JUAN SEBASTIÁN RÍOS CASTRILLÓN</v>
      </c>
      <c r="C472" s="45" t="str">
        <f>VLOOKUP(A472,'CENTRO DE COSTOS'!A:D,2,FALSE)</f>
        <v>0004-0005</v>
      </c>
      <c r="D472" s="69">
        <v>5001</v>
      </c>
      <c r="E472" s="70" t="s">
        <v>2751</v>
      </c>
      <c r="F472" s="71">
        <v>81238</v>
      </c>
      <c r="G472" s="79" t="s">
        <v>132</v>
      </c>
      <c r="H472" s="73" t="s">
        <v>177</v>
      </c>
      <c r="I472" s="71" t="s">
        <v>178</v>
      </c>
      <c r="J472" s="81" t="s">
        <v>175</v>
      </c>
      <c r="K472" s="71" t="s">
        <v>2752</v>
      </c>
      <c r="L472" s="75" t="s">
        <v>137</v>
      </c>
      <c r="M472" s="82" t="s">
        <v>2753</v>
      </c>
      <c r="N472" s="74">
        <v>45896</v>
      </c>
      <c r="O472" s="76">
        <v>45898</v>
      </c>
      <c r="P472" s="83" t="s">
        <v>181</v>
      </c>
      <c r="Q472" s="84" t="s">
        <v>182</v>
      </c>
      <c r="R472" s="69" t="s">
        <v>140</v>
      </c>
      <c r="S472" s="72" t="s">
        <v>2754</v>
      </c>
      <c r="T472" s="79" t="s">
        <v>189</v>
      </c>
      <c r="U472" s="69" t="s">
        <v>2755</v>
      </c>
      <c r="V472" s="81" t="s">
        <v>52</v>
      </c>
      <c r="W472" s="76" t="s">
        <v>145</v>
      </c>
      <c r="X472" s="79" t="s">
        <v>189</v>
      </c>
      <c r="Y472" s="69">
        <v>1</v>
      </c>
      <c r="Z472" s="69">
        <v>1</v>
      </c>
      <c r="AA472" s="69">
        <v>1</v>
      </c>
      <c r="AB472" s="49">
        <f>IF(V472="TIPO I",'BASE DE LIQUIDACION 2025'!$B$3,'BASE DE LIQUIDACION 2025'!$B$4)</f>
        <v>11251.22416</v>
      </c>
      <c r="AC472" s="49">
        <f>IF(V472="TIPO I",'BASE DE LIQUIDACION 2025'!$C$3,'BASE DE LIQUIDACION 2025'!$C$4)</f>
        <v>126317.12212</v>
      </c>
      <c r="AD472" s="49">
        <f>IF(V472="TIPO I",'BASE DE LIQUIDACION 2025'!$D$3,'BASE DE LIQUIDACION 2025'!$D$4)</f>
        <v>57411.974240000003</v>
      </c>
      <c r="AE472" s="49">
        <f t="shared" si="10"/>
        <v>194980.32052000001</v>
      </c>
    </row>
    <row r="473" spans="1:31" s="46" customFormat="1" ht="12.75" customHeight="1">
      <c r="A473" s="69" t="s">
        <v>175</v>
      </c>
      <c r="B473" s="45" t="str">
        <f>VLOOKUP(A473,'CENTRO DE COSTOS'!A:D,4,FALSE)</f>
        <v>JUAN SEBASTIÁN RÍOS CASTRILLÓN</v>
      </c>
      <c r="C473" s="45" t="str">
        <f>VLOOKUP(A473,'CENTRO DE COSTOS'!A:D,2,FALSE)</f>
        <v>0004-0005</v>
      </c>
      <c r="D473" s="69">
        <v>5088</v>
      </c>
      <c r="E473" s="70" t="s">
        <v>2756</v>
      </c>
      <c r="F473" s="71">
        <v>81234</v>
      </c>
      <c r="G473" s="79" t="s">
        <v>132</v>
      </c>
      <c r="H473" s="73" t="s">
        <v>177</v>
      </c>
      <c r="I473" s="71" t="s">
        <v>178</v>
      </c>
      <c r="J473" s="81" t="s">
        <v>192</v>
      </c>
      <c r="K473" s="71" t="s">
        <v>2757</v>
      </c>
      <c r="L473" s="75" t="s">
        <v>137</v>
      </c>
      <c r="M473" s="82" t="s">
        <v>2758</v>
      </c>
      <c r="N473" s="74">
        <v>45896</v>
      </c>
      <c r="O473" s="76">
        <v>45898</v>
      </c>
      <c r="P473" s="83" t="s">
        <v>181</v>
      </c>
      <c r="Q473" s="84" t="s">
        <v>182</v>
      </c>
      <c r="R473" s="69" t="s">
        <v>140</v>
      </c>
      <c r="S473" s="72" t="s">
        <v>2754</v>
      </c>
      <c r="T473" s="79" t="s">
        <v>235</v>
      </c>
      <c r="U473" s="69" t="s">
        <v>2759</v>
      </c>
      <c r="V473" s="81" t="s">
        <v>52</v>
      </c>
      <c r="W473" s="76" t="s">
        <v>145</v>
      </c>
      <c r="X473" s="79" t="s">
        <v>235</v>
      </c>
      <c r="Y473" s="69">
        <v>1</v>
      </c>
      <c r="Z473" s="69">
        <v>1</v>
      </c>
      <c r="AA473" s="69">
        <v>1</v>
      </c>
      <c r="AB473" s="49">
        <f>IF(V473="TIPO I",'BASE DE LIQUIDACION 2025'!$B$3,'BASE DE LIQUIDACION 2025'!$B$4)</f>
        <v>11251.22416</v>
      </c>
      <c r="AC473" s="49">
        <f>IF(V473="TIPO I",'BASE DE LIQUIDACION 2025'!$C$3,'BASE DE LIQUIDACION 2025'!$C$4)</f>
        <v>126317.12212</v>
      </c>
      <c r="AD473" s="49">
        <f>IF(V473="TIPO I",'BASE DE LIQUIDACION 2025'!$D$3,'BASE DE LIQUIDACION 2025'!$D$4)</f>
        <v>57411.974240000003</v>
      </c>
      <c r="AE473" s="49">
        <f t="shared" si="10"/>
        <v>194980.32052000001</v>
      </c>
    </row>
    <row r="474" spans="1:31" s="46" customFormat="1" ht="12.75" customHeight="1">
      <c r="A474" s="69" t="s">
        <v>175</v>
      </c>
      <c r="B474" s="45" t="str">
        <f>VLOOKUP(A474,'CENTRO DE COSTOS'!A:D,4,FALSE)</f>
        <v>JUAN SEBASTIÁN RÍOS CASTRILLÓN</v>
      </c>
      <c r="C474" s="45" t="str">
        <f>VLOOKUP(A474,'CENTRO DE COSTOS'!A:D,2,FALSE)</f>
        <v>0004-0005</v>
      </c>
      <c r="D474" s="69">
        <v>5264</v>
      </c>
      <c r="E474" s="70" t="s">
        <v>2760</v>
      </c>
      <c r="F474" s="71">
        <v>81221</v>
      </c>
      <c r="G474" s="79" t="s">
        <v>132</v>
      </c>
      <c r="H474" s="73" t="s">
        <v>177</v>
      </c>
      <c r="I474" s="71" t="s">
        <v>178</v>
      </c>
      <c r="J474" s="81" t="s">
        <v>2761</v>
      </c>
      <c r="K474" s="71" t="s">
        <v>2762</v>
      </c>
      <c r="L474" s="75" t="s">
        <v>137</v>
      </c>
      <c r="M474" s="82" t="s">
        <v>2763</v>
      </c>
      <c r="N474" s="74">
        <v>45896</v>
      </c>
      <c r="O474" s="76">
        <v>45897</v>
      </c>
      <c r="P474" s="83" t="s">
        <v>181</v>
      </c>
      <c r="Q474" s="84" t="s">
        <v>182</v>
      </c>
      <c r="R474" s="69" t="s">
        <v>549</v>
      </c>
      <c r="S474" s="72" t="s">
        <v>2764</v>
      </c>
      <c r="T474" s="79" t="s">
        <v>451</v>
      </c>
      <c r="U474" s="69" t="s">
        <v>2765</v>
      </c>
      <c r="V474" s="81" t="s">
        <v>202</v>
      </c>
      <c r="W474" s="76" t="s">
        <v>145</v>
      </c>
      <c r="X474" s="79" t="s">
        <v>451</v>
      </c>
      <c r="Y474" s="69">
        <v>0</v>
      </c>
      <c r="Z474" s="69">
        <v>0</v>
      </c>
      <c r="AA474" s="69">
        <v>2</v>
      </c>
      <c r="AB474" s="49">
        <f>IF(V474="TIPO I",'BASE DE LIQUIDACION 2025'!$B$3,'BASE DE LIQUIDACION 2025'!$B$4)</f>
        <v>11251.22416</v>
      </c>
      <c r="AC474" s="49">
        <f>IF(V474="TIPO I",'BASE DE LIQUIDACION 2025'!$C$3,'BASE DE LIQUIDACION 2025'!$C$4)</f>
        <v>126317.12212</v>
      </c>
      <c r="AD474" s="49">
        <f>IF(V474="TIPO I",'BASE DE LIQUIDACION 2025'!$D$3,'BASE DE LIQUIDACION 2025'!$D$4)</f>
        <v>110808.27512000001</v>
      </c>
      <c r="AE474" s="49">
        <f t="shared" si="10"/>
        <v>221616.55024000001</v>
      </c>
    </row>
    <row r="475" spans="1:31" s="46" customFormat="1" ht="12.75" customHeight="1">
      <c r="A475" s="69" t="s">
        <v>175</v>
      </c>
      <c r="B475" s="45" t="str">
        <f>VLOOKUP(A475,'CENTRO DE COSTOS'!A:D,4,FALSE)</f>
        <v>JUAN SEBASTIÁN RÍOS CASTRILLÓN</v>
      </c>
      <c r="C475" s="45" t="str">
        <f>VLOOKUP(A475,'CENTRO DE COSTOS'!A:D,2,FALSE)</f>
        <v>0004-0005</v>
      </c>
      <c r="D475" s="69">
        <v>5361</v>
      </c>
      <c r="E475" s="70" t="s">
        <v>2766</v>
      </c>
      <c r="F475" s="71">
        <v>81215</v>
      </c>
      <c r="G475" s="79" t="s">
        <v>132</v>
      </c>
      <c r="H475" s="73" t="s">
        <v>177</v>
      </c>
      <c r="I475" s="71" t="s">
        <v>178</v>
      </c>
      <c r="J475" s="81" t="s">
        <v>670</v>
      </c>
      <c r="K475" s="71" t="s">
        <v>2767</v>
      </c>
      <c r="L475" s="75" t="s">
        <v>137</v>
      </c>
      <c r="M475" s="82" t="s">
        <v>2768</v>
      </c>
      <c r="N475" s="74">
        <v>45896</v>
      </c>
      <c r="O475" s="76">
        <v>45897</v>
      </c>
      <c r="P475" s="83" t="s">
        <v>181</v>
      </c>
      <c r="Q475" s="84" t="s">
        <v>182</v>
      </c>
      <c r="R475" s="69" t="s">
        <v>140</v>
      </c>
      <c r="S475" s="72" t="s">
        <v>2769</v>
      </c>
      <c r="T475" s="79" t="s">
        <v>338</v>
      </c>
      <c r="U475" s="69" t="s">
        <v>2770</v>
      </c>
      <c r="V475" s="81" t="s">
        <v>144</v>
      </c>
      <c r="W475" s="76" t="s">
        <v>145</v>
      </c>
      <c r="X475" s="79" t="s">
        <v>338</v>
      </c>
      <c r="Y475" s="69">
        <v>1</v>
      </c>
      <c r="Z475" s="69">
        <v>1</v>
      </c>
      <c r="AA475" s="69">
        <v>1</v>
      </c>
      <c r="AB475" s="49">
        <f>IF(V475="TIPO I",'BASE DE LIQUIDACION 2025'!$B$3,'BASE DE LIQUIDACION 2025'!$B$4)</f>
        <v>11251.22416</v>
      </c>
      <c r="AC475" s="49">
        <f>IF(V475="TIPO I",'BASE DE LIQUIDACION 2025'!$C$3,'BASE DE LIQUIDACION 2025'!$C$4)</f>
        <v>126317.12212</v>
      </c>
      <c r="AD475" s="49">
        <f>IF(V475="TIPO I",'BASE DE LIQUIDACION 2025'!$D$3,'BASE DE LIQUIDACION 2025'!$D$4)</f>
        <v>110808.27512000001</v>
      </c>
      <c r="AE475" s="49">
        <f t="shared" si="10"/>
        <v>248376.6214</v>
      </c>
    </row>
    <row r="476" spans="1:31" s="46" customFormat="1" ht="12.75" customHeight="1">
      <c r="A476" s="69" t="s">
        <v>175</v>
      </c>
      <c r="B476" s="45" t="str">
        <f>VLOOKUP(A476,'CENTRO DE COSTOS'!A:D,4,FALSE)</f>
        <v>JUAN SEBASTIÁN RÍOS CASTRILLÓN</v>
      </c>
      <c r="C476" s="45" t="str">
        <f>VLOOKUP(A476,'CENTRO DE COSTOS'!A:D,2,FALSE)</f>
        <v>0004-0005</v>
      </c>
      <c r="D476" s="69">
        <v>5858</v>
      </c>
      <c r="E476" s="70" t="s">
        <v>2771</v>
      </c>
      <c r="F476" s="71">
        <v>81231</v>
      </c>
      <c r="G476" s="79" t="s">
        <v>132</v>
      </c>
      <c r="H476" s="73" t="s">
        <v>177</v>
      </c>
      <c r="I476" s="71" t="s">
        <v>178</v>
      </c>
      <c r="J476" s="81" t="s">
        <v>2772</v>
      </c>
      <c r="K476" s="71" t="s">
        <v>2773</v>
      </c>
      <c r="L476" s="75" t="s">
        <v>137</v>
      </c>
      <c r="M476" s="82" t="s">
        <v>2774</v>
      </c>
      <c r="N476" s="74">
        <v>45896</v>
      </c>
      <c r="O476" s="76">
        <v>45897</v>
      </c>
      <c r="P476" s="83" t="s">
        <v>181</v>
      </c>
      <c r="Q476" s="84" t="s">
        <v>182</v>
      </c>
      <c r="R476" s="69" t="s">
        <v>140</v>
      </c>
      <c r="S476" s="72" t="s">
        <v>2775</v>
      </c>
      <c r="T476" s="79" t="s">
        <v>674</v>
      </c>
      <c r="U476" s="69" t="s">
        <v>2776</v>
      </c>
      <c r="V476" s="81" t="s">
        <v>230</v>
      </c>
      <c r="W476" s="76" t="s">
        <v>145</v>
      </c>
      <c r="X476" s="79" t="s">
        <v>674</v>
      </c>
      <c r="Y476" s="69">
        <v>1</v>
      </c>
      <c r="Z476" s="69">
        <v>1</v>
      </c>
      <c r="AA476" s="69">
        <v>1</v>
      </c>
      <c r="AB476" s="49">
        <f>IF(V476="TIPO I",'BASE DE LIQUIDACION 2025'!$B$3,'BASE DE LIQUIDACION 2025'!$B$4)</f>
        <v>11251.22416</v>
      </c>
      <c r="AC476" s="49">
        <f>IF(V476="TIPO I",'BASE DE LIQUIDACION 2025'!$C$3,'BASE DE LIQUIDACION 2025'!$C$4)</f>
        <v>126317.12212</v>
      </c>
      <c r="AD476" s="49">
        <f>IF(V476="TIPO I",'BASE DE LIQUIDACION 2025'!$D$3,'BASE DE LIQUIDACION 2025'!$D$4)</f>
        <v>110808.27512000001</v>
      </c>
      <c r="AE476" s="49">
        <f t="shared" si="10"/>
        <v>248376.6214</v>
      </c>
    </row>
    <row r="477" spans="1:31" s="46" customFormat="1" ht="12.75" customHeight="1">
      <c r="A477" s="69" t="s">
        <v>203</v>
      </c>
      <c r="B477" s="45" t="str">
        <f>VLOOKUP(A477,'CENTRO DE COSTOS'!A:D,4,FALSE)</f>
        <v>MIGUEL JULIÁN HERNÁNDEZ GUARÍN</v>
      </c>
      <c r="C477" s="45" t="str">
        <f>VLOOKUP(A477,'CENTRO DE COSTOS'!A:D,2,FALSE)</f>
        <v>0004-0008</v>
      </c>
      <c r="D477" s="69">
        <v>15238</v>
      </c>
      <c r="E477" s="70" t="s">
        <v>2777</v>
      </c>
      <c r="F477" s="71">
        <v>81223</v>
      </c>
      <c r="G477" s="79" t="s">
        <v>132</v>
      </c>
      <c r="H477" s="73" t="s">
        <v>177</v>
      </c>
      <c r="I477" s="71" t="s">
        <v>205</v>
      </c>
      <c r="J477" s="81" t="s">
        <v>591</v>
      </c>
      <c r="K477" s="71" t="s">
        <v>2778</v>
      </c>
      <c r="L477" s="75" t="s">
        <v>137</v>
      </c>
      <c r="M477" s="82" t="s">
        <v>2779</v>
      </c>
      <c r="N477" s="74">
        <v>45896</v>
      </c>
      <c r="O477" s="76">
        <v>45897</v>
      </c>
      <c r="P477" s="83" t="s">
        <v>181</v>
      </c>
      <c r="Q477" s="84" t="s">
        <v>182</v>
      </c>
      <c r="R477" s="69" t="s">
        <v>140</v>
      </c>
      <c r="S477" s="72" t="s">
        <v>2775</v>
      </c>
      <c r="T477" s="79" t="s">
        <v>595</v>
      </c>
      <c r="U477" s="69" t="s">
        <v>2780</v>
      </c>
      <c r="V477" s="81" t="s">
        <v>202</v>
      </c>
      <c r="W477" s="76" t="s">
        <v>145</v>
      </c>
      <c r="X477" s="79" t="s">
        <v>595</v>
      </c>
      <c r="Y477" s="69">
        <v>1</v>
      </c>
      <c r="Z477" s="69">
        <v>1</v>
      </c>
      <c r="AA477" s="69">
        <v>1</v>
      </c>
      <c r="AB477" s="49">
        <f>IF(V477="TIPO I",'BASE DE LIQUIDACION 2025'!$B$3,'BASE DE LIQUIDACION 2025'!$B$4)</f>
        <v>11251.22416</v>
      </c>
      <c r="AC477" s="49">
        <f>IF(V477="TIPO I",'BASE DE LIQUIDACION 2025'!$C$3,'BASE DE LIQUIDACION 2025'!$C$4)</f>
        <v>126317.12212</v>
      </c>
      <c r="AD477" s="49">
        <f>IF(V477="TIPO I",'BASE DE LIQUIDACION 2025'!$D$3,'BASE DE LIQUIDACION 2025'!$D$4)</f>
        <v>110808.27512000001</v>
      </c>
      <c r="AE477" s="49">
        <f t="shared" si="10"/>
        <v>248376.6214</v>
      </c>
    </row>
    <row r="478" spans="1:31" s="46" customFormat="1" ht="12.75" customHeight="1">
      <c r="A478" s="69" t="s">
        <v>130</v>
      </c>
      <c r="B478" s="45" t="str">
        <f>VLOOKUP(A478,'CENTRO DE COSTOS'!A:D,4,FALSE)</f>
        <v>KEVIN ALEXIS CORZO BUSTOS</v>
      </c>
      <c r="C478" s="45" t="str">
        <f>VLOOKUP(A478,'CENTRO DE COSTOS'!A:D,2,FALSE)</f>
        <v>0004-0007</v>
      </c>
      <c r="D478" s="69">
        <v>18256</v>
      </c>
      <c r="E478" s="70" t="s">
        <v>2781</v>
      </c>
      <c r="F478" s="71">
        <v>81224</v>
      </c>
      <c r="G478" s="79" t="s">
        <v>132</v>
      </c>
      <c r="H478" s="73" t="s">
        <v>177</v>
      </c>
      <c r="I478" s="71" t="s">
        <v>134</v>
      </c>
      <c r="J478" s="81" t="s">
        <v>2782</v>
      </c>
      <c r="K478" s="71" t="s">
        <v>2783</v>
      </c>
      <c r="L478" s="75" t="s">
        <v>137</v>
      </c>
      <c r="M478" s="82" t="s">
        <v>2784</v>
      </c>
      <c r="N478" s="74">
        <v>45896</v>
      </c>
      <c r="O478" s="76">
        <v>45897</v>
      </c>
      <c r="P478" s="83" t="s">
        <v>181</v>
      </c>
      <c r="Q478" s="84" t="s">
        <v>182</v>
      </c>
      <c r="R478" s="69" t="s">
        <v>140</v>
      </c>
      <c r="S478" s="72" t="s">
        <v>2785</v>
      </c>
      <c r="T478" s="79" t="s">
        <v>142</v>
      </c>
      <c r="U478" s="69" t="s">
        <v>2786</v>
      </c>
      <c r="V478" s="81" t="s">
        <v>144</v>
      </c>
      <c r="W478" s="76" t="s">
        <v>145</v>
      </c>
      <c r="X478" s="79" t="s">
        <v>142</v>
      </c>
      <c r="Y478" s="69">
        <v>1</v>
      </c>
      <c r="Z478" s="69">
        <v>1</v>
      </c>
      <c r="AA478" s="69">
        <v>1</v>
      </c>
      <c r="AB478" s="49">
        <f>IF(V478="TIPO I",'BASE DE LIQUIDACION 2025'!$B$3,'BASE DE LIQUIDACION 2025'!$B$4)</f>
        <v>11251.22416</v>
      </c>
      <c r="AC478" s="49">
        <f>IF(V478="TIPO I",'BASE DE LIQUIDACION 2025'!$C$3,'BASE DE LIQUIDACION 2025'!$C$4)</f>
        <v>126317.12212</v>
      </c>
      <c r="AD478" s="49">
        <f>IF(V478="TIPO I",'BASE DE LIQUIDACION 2025'!$D$3,'BASE DE LIQUIDACION 2025'!$D$4)</f>
        <v>110808.27512000001</v>
      </c>
      <c r="AE478" s="49">
        <f t="shared" si="10"/>
        <v>248376.6214</v>
      </c>
    </row>
    <row r="479" spans="1:31" s="46" customFormat="1" ht="12.75" customHeight="1">
      <c r="A479" s="69" t="s">
        <v>151</v>
      </c>
      <c r="B479" s="45" t="str">
        <f>VLOOKUP(A479,'CENTRO DE COSTOS'!A:D,4,FALSE)</f>
        <v>DIEGO FERNANDO HENAO CARDONA</v>
      </c>
      <c r="C479" s="45" t="str">
        <f>VLOOKUP(A479,'CENTRO DE COSTOS'!A:D,2,FALSE)</f>
        <v>0004-0003</v>
      </c>
      <c r="D479" s="69">
        <v>52356</v>
      </c>
      <c r="E479" s="70" t="s">
        <v>2787</v>
      </c>
      <c r="F479" s="71">
        <v>81226</v>
      </c>
      <c r="G479" s="79" t="s">
        <v>132</v>
      </c>
      <c r="H479" s="73" t="s">
        <v>177</v>
      </c>
      <c r="I479" s="71" t="s">
        <v>153</v>
      </c>
      <c r="J479" s="81" t="s">
        <v>2373</v>
      </c>
      <c r="K479" s="71" t="s">
        <v>2788</v>
      </c>
      <c r="L479" s="75" t="s">
        <v>137</v>
      </c>
      <c r="M479" s="82" t="s">
        <v>2789</v>
      </c>
      <c r="N479" s="74">
        <v>45896</v>
      </c>
      <c r="O479" s="76">
        <v>45897</v>
      </c>
      <c r="P479" s="83" t="s">
        <v>181</v>
      </c>
      <c r="Q479" s="84" t="s">
        <v>182</v>
      </c>
      <c r="R479" s="69" t="s">
        <v>140</v>
      </c>
      <c r="S479" s="72" t="s">
        <v>2790</v>
      </c>
      <c r="T479" s="79" t="s">
        <v>1798</v>
      </c>
      <c r="U479" s="69" t="s">
        <v>2791</v>
      </c>
      <c r="V479" s="81" t="s">
        <v>202</v>
      </c>
      <c r="W479" s="76" t="s">
        <v>145</v>
      </c>
      <c r="X479" s="79" t="s">
        <v>1798</v>
      </c>
      <c r="Y479" s="69">
        <v>1</v>
      </c>
      <c r="Z479" s="69">
        <v>1</v>
      </c>
      <c r="AA479" s="69">
        <v>1</v>
      </c>
      <c r="AB479" s="49">
        <f>IF(V479="TIPO I",'BASE DE LIQUIDACION 2025'!$B$3,'BASE DE LIQUIDACION 2025'!$B$4)</f>
        <v>11251.22416</v>
      </c>
      <c r="AC479" s="49">
        <f>IF(V479="TIPO I",'BASE DE LIQUIDACION 2025'!$C$3,'BASE DE LIQUIDACION 2025'!$C$4)</f>
        <v>126317.12212</v>
      </c>
      <c r="AD479" s="49">
        <f>IF(V479="TIPO I",'BASE DE LIQUIDACION 2025'!$D$3,'BASE DE LIQUIDACION 2025'!$D$4)</f>
        <v>110808.27512000001</v>
      </c>
      <c r="AE479" s="49">
        <f t="shared" si="10"/>
        <v>248376.6214</v>
      </c>
    </row>
    <row r="480" spans="1:31" s="46" customFormat="1" ht="12.75" customHeight="1">
      <c r="A480" s="69" t="s">
        <v>151</v>
      </c>
      <c r="B480" s="45" t="str">
        <f>VLOOKUP(A480,'CENTRO DE COSTOS'!A:D,4,FALSE)</f>
        <v>DIEGO FERNANDO HENAO CARDONA</v>
      </c>
      <c r="C480" s="45" t="str">
        <f>VLOOKUP(A480,'CENTRO DE COSTOS'!A:D,2,FALSE)</f>
        <v>0004-0003</v>
      </c>
      <c r="D480" s="69">
        <v>52399</v>
      </c>
      <c r="E480" s="70" t="s">
        <v>2792</v>
      </c>
      <c r="F480" s="71">
        <v>81227</v>
      </c>
      <c r="G480" s="79" t="s">
        <v>132</v>
      </c>
      <c r="H480" s="73" t="s">
        <v>177</v>
      </c>
      <c r="I480" s="71" t="s">
        <v>153</v>
      </c>
      <c r="J480" s="81" t="s">
        <v>2793</v>
      </c>
      <c r="K480" s="71" t="s">
        <v>2794</v>
      </c>
      <c r="L480" s="75" t="s">
        <v>137</v>
      </c>
      <c r="M480" s="82" t="s">
        <v>2795</v>
      </c>
      <c r="N480" s="74">
        <v>45896</v>
      </c>
      <c r="O480" s="76">
        <v>45898</v>
      </c>
      <c r="P480" s="83" t="s">
        <v>181</v>
      </c>
      <c r="Q480" s="84" t="s">
        <v>182</v>
      </c>
      <c r="R480" s="69" t="s">
        <v>549</v>
      </c>
      <c r="S480" s="72" t="s">
        <v>2796</v>
      </c>
      <c r="T480" s="79" t="s">
        <v>158</v>
      </c>
      <c r="U480" s="69" t="s">
        <v>2797</v>
      </c>
      <c r="V480" s="81" t="s">
        <v>230</v>
      </c>
      <c r="W480" s="76" t="s">
        <v>145</v>
      </c>
      <c r="X480" s="79" t="s">
        <v>158</v>
      </c>
      <c r="Y480" s="69">
        <v>0</v>
      </c>
      <c r="Z480" s="69">
        <v>0</v>
      </c>
      <c r="AA480" s="69">
        <v>2</v>
      </c>
      <c r="AB480" s="49">
        <f>IF(V480="TIPO I",'BASE DE LIQUIDACION 2025'!$B$3,'BASE DE LIQUIDACION 2025'!$B$4)</f>
        <v>11251.22416</v>
      </c>
      <c r="AC480" s="49">
        <f>IF(V480="TIPO I",'BASE DE LIQUIDACION 2025'!$C$3,'BASE DE LIQUIDACION 2025'!$C$4)</f>
        <v>126317.12212</v>
      </c>
      <c r="AD480" s="49">
        <f>IF(V480="TIPO I",'BASE DE LIQUIDACION 2025'!$D$3,'BASE DE LIQUIDACION 2025'!$D$4)</f>
        <v>110808.27512000001</v>
      </c>
      <c r="AE480" s="49">
        <f t="shared" si="10"/>
        <v>221616.55024000001</v>
      </c>
    </row>
    <row r="481" spans="1:31" s="46" customFormat="1" ht="12.75" customHeight="1">
      <c r="A481" s="69" t="s">
        <v>151</v>
      </c>
      <c r="B481" s="45" t="str">
        <f>VLOOKUP(A481,'CENTRO DE COSTOS'!A:D,4,FALSE)</f>
        <v>DIEGO FERNANDO HENAO CARDONA</v>
      </c>
      <c r="C481" s="45" t="str">
        <f>VLOOKUP(A481,'CENTRO DE COSTOS'!A:D,2,FALSE)</f>
        <v>0004-0003</v>
      </c>
      <c r="D481" s="69">
        <v>52838</v>
      </c>
      <c r="E481" s="70" t="s">
        <v>2798</v>
      </c>
      <c r="F481" s="71">
        <v>81233</v>
      </c>
      <c r="G481" s="79" t="s">
        <v>132</v>
      </c>
      <c r="H481" s="73" t="s">
        <v>177</v>
      </c>
      <c r="I481" s="71" t="s">
        <v>153</v>
      </c>
      <c r="J481" s="81" t="s">
        <v>2799</v>
      </c>
      <c r="K481" s="71" t="s">
        <v>2800</v>
      </c>
      <c r="L481" s="75" t="s">
        <v>137</v>
      </c>
      <c r="M481" s="82" t="s">
        <v>2801</v>
      </c>
      <c r="N481" s="74">
        <v>45896</v>
      </c>
      <c r="O481" s="76">
        <v>45897</v>
      </c>
      <c r="P481" s="83" t="s">
        <v>181</v>
      </c>
      <c r="Q481" s="84" t="s">
        <v>182</v>
      </c>
      <c r="R481" s="69" t="s">
        <v>140</v>
      </c>
      <c r="S481" s="72" t="s">
        <v>2802</v>
      </c>
      <c r="T481" s="79" t="s">
        <v>1452</v>
      </c>
      <c r="U481" s="69" t="s">
        <v>2803</v>
      </c>
      <c r="V481" s="81" t="s">
        <v>202</v>
      </c>
      <c r="W481" s="76" t="s">
        <v>145</v>
      </c>
      <c r="X481" s="79" t="s">
        <v>1452</v>
      </c>
      <c r="Y481" s="69">
        <v>1</v>
      </c>
      <c r="Z481" s="69">
        <v>1</v>
      </c>
      <c r="AA481" s="69">
        <v>1</v>
      </c>
      <c r="AB481" s="49">
        <f>IF(V481="TIPO I",'BASE DE LIQUIDACION 2025'!$B$3,'BASE DE LIQUIDACION 2025'!$B$4)</f>
        <v>11251.22416</v>
      </c>
      <c r="AC481" s="49">
        <f>IF(V481="TIPO I",'BASE DE LIQUIDACION 2025'!$C$3,'BASE DE LIQUIDACION 2025'!$C$4)</f>
        <v>126317.12212</v>
      </c>
      <c r="AD481" s="49">
        <f>IF(V481="TIPO I",'BASE DE LIQUIDACION 2025'!$D$3,'BASE DE LIQUIDACION 2025'!$D$4)</f>
        <v>110808.27512000001</v>
      </c>
      <c r="AE481" s="49">
        <f t="shared" si="10"/>
        <v>248376.6214</v>
      </c>
    </row>
    <row r="482" spans="1:31" s="46" customFormat="1" ht="12.75" customHeight="1">
      <c r="A482" s="69" t="s">
        <v>453</v>
      </c>
      <c r="B482" s="45" t="str">
        <f>VLOOKUP(A482,'CENTRO DE COSTOS'!A:D,4,FALSE)</f>
        <v>DIEGO FERNANDO HENAO CARDONA</v>
      </c>
      <c r="C482" s="45" t="str">
        <f>VLOOKUP(A482,'CENTRO DE COSTOS'!A:D,2,FALSE)</f>
        <v>0004-0002</v>
      </c>
      <c r="D482" s="69">
        <v>76400</v>
      </c>
      <c r="E482" s="70" t="s">
        <v>2804</v>
      </c>
      <c r="F482" s="71">
        <v>81228</v>
      </c>
      <c r="G482" s="79" t="s">
        <v>132</v>
      </c>
      <c r="H482" s="73" t="s">
        <v>177</v>
      </c>
      <c r="I482" s="71" t="s">
        <v>420</v>
      </c>
      <c r="J482" s="81" t="s">
        <v>2793</v>
      </c>
      <c r="K482" s="71" t="s">
        <v>2805</v>
      </c>
      <c r="L482" s="75" t="s">
        <v>137</v>
      </c>
      <c r="M482" s="82" t="s">
        <v>2806</v>
      </c>
      <c r="N482" s="74">
        <v>45896</v>
      </c>
      <c r="O482" s="76">
        <v>45897</v>
      </c>
      <c r="P482" s="83" t="s">
        <v>181</v>
      </c>
      <c r="Q482" s="84" t="s">
        <v>182</v>
      </c>
      <c r="R482" s="69" t="s">
        <v>140</v>
      </c>
      <c r="S482" s="72" t="s">
        <v>2802</v>
      </c>
      <c r="T482" s="79" t="s">
        <v>228</v>
      </c>
      <c r="U482" s="69" t="s">
        <v>2807</v>
      </c>
      <c r="V482" s="81" t="s">
        <v>202</v>
      </c>
      <c r="W482" s="76" t="s">
        <v>145</v>
      </c>
      <c r="X482" s="79" t="s">
        <v>228</v>
      </c>
      <c r="Y482" s="69">
        <v>1</v>
      </c>
      <c r="Z482" s="69">
        <v>1</v>
      </c>
      <c r="AA482" s="69">
        <v>1</v>
      </c>
      <c r="AB482" s="49">
        <f>IF(V482="TIPO I",'BASE DE LIQUIDACION 2025'!$B$3,'BASE DE LIQUIDACION 2025'!$B$4)</f>
        <v>11251.22416</v>
      </c>
      <c r="AC482" s="49">
        <f>IF(V482="TIPO I",'BASE DE LIQUIDACION 2025'!$C$3,'BASE DE LIQUIDACION 2025'!$C$4)</f>
        <v>126317.12212</v>
      </c>
      <c r="AD482" s="49">
        <f>IF(V482="TIPO I",'BASE DE LIQUIDACION 2025'!$D$3,'BASE DE LIQUIDACION 2025'!$D$4)</f>
        <v>110808.27512000001</v>
      </c>
      <c r="AE482" s="49">
        <f t="shared" si="10"/>
        <v>248376.6214</v>
      </c>
    </row>
    <row r="483" spans="1:31" s="46" customFormat="1" ht="12.75" customHeight="1">
      <c r="A483" s="69" t="s">
        <v>167</v>
      </c>
      <c r="B483" s="45" t="str">
        <f>VLOOKUP(A483,'CENTRO DE COSTOS'!A:D,4,FALSE)</f>
        <v>KEVIN ALEXIS CORZO BUSTOS</v>
      </c>
      <c r="C483" s="45" t="str">
        <f>VLOOKUP(A483,'CENTRO DE COSTOS'!A:D,2,FALSE)</f>
        <v>0004-0007</v>
      </c>
      <c r="D483" s="69">
        <v>85001</v>
      </c>
      <c r="E483" s="70" t="s">
        <v>2808</v>
      </c>
      <c r="F483" s="71">
        <v>81239</v>
      </c>
      <c r="G483" s="79" t="s">
        <v>132</v>
      </c>
      <c r="H483" s="73" t="s">
        <v>177</v>
      </c>
      <c r="I483" s="71" t="s">
        <v>169</v>
      </c>
      <c r="J483" s="81" t="s">
        <v>167</v>
      </c>
      <c r="K483" s="71" t="s">
        <v>2809</v>
      </c>
      <c r="L483" s="75" t="s">
        <v>137</v>
      </c>
      <c r="M483" s="82" t="s">
        <v>2810</v>
      </c>
      <c r="N483" s="74">
        <v>45896</v>
      </c>
      <c r="O483" s="76">
        <v>45897</v>
      </c>
      <c r="P483" s="83" t="s">
        <v>181</v>
      </c>
      <c r="Q483" s="84" t="s">
        <v>182</v>
      </c>
      <c r="R483" s="69" t="s">
        <v>140</v>
      </c>
      <c r="S483" s="72" t="s">
        <v>2811</v>
      </c>
      <c r="T483" s="79" t="s">
        <v>173</v>
      </c>
      <c r="U483" s="69" t="s">
        <v>2812</v>
      </c>
      <c r="V483" s="81" t="s">
        <v>52</v>
      </c>
      <c r="W483" s="76" t="s">
        <v>145</v>
      </c>
      <c r="X483" s="79" t="s">
        <v>173</v>
      </c>
      <c r="Y483" s="69">
        <v>1</v>
      </c>
      <c r="Z483" s="69">
        <v>1</v>
      </c>
      <c r="AA483" s="69">
        <v>1</v>
      </c>
      <c r="AB483" s="49">
        <f>IF(V483="TIPO I",'BASE DE LIQUIDACION 2025'!$B$3,'BASE DE LIQUIDACION 2025'!$B$4)</f>
        <v>11251.22416</v>
      </c>
      <c r="AC483" s="49">
        <f>IF(V483="TIPO I",'BASE DE LIQUIDACION 2025'!$C$3,'BASE DE LIQUIDACION 2025'!$C$4)</f>
        <v>126317.12212</v>
      </c>
      <c r="AD483" s="49">
        <f>IF(V483="TIPO I",'BASE DE LIQUIDACION 2025'!$D$3,'BASE DE LIQUIDACION 2025'!$D$4)</f>
        <v>57411.974240000003</v>
      </c>
      <c r="AE483" s="49">
        <f t="shared" si="10"/>
        <v>194980.32052000001</v>
      </c>
    </row>
    <row r="484" spans="1:31" s="46" customFormat="1" ht="12.75" customHeight="1">
      <c r="A484" s="69" t="s">
        <v>167</v>
      </c>
      <c r="B484" s="45" t="str">
        <f>VLOOKUP(A484,'CENTRO DE COSTOS'!A:D,4,FALSE)</f>
        <v>KEVIN ALEXIS CORZO BUSTOS</v>
      </c>
      <c r="C484" s="45" t="str">
        <f>VLOOKUP(A484,'CENTRO DE COSTOS'!A:D,2,FALSE)</f>
        <v>0004-0007</v>
      </c>
      <c r="D484" s="69">
        <v>85010</v>
      </c>
      <c r="E484" s="70" t="s">
        <v>2813</v>
      </c>
      <c r="F484" s="71">
        <v>81214</v>
      </c>
      <c r="G484" s="79" t="s">
        <v>132</v>
      </c>
      <c r="H484" s="73" t="s">
        <v>177</v>
      </c>
      <c r="I484" s="71" t="s">
        <v>169</v>
      </c>
      <c r="J484" s="81" t="s">
        <v>1189</v>
      </c>
      <c r="K484" s="71" t="s">
        <v>2814</v>
      </c>
      <c r="L484" s="75" t="s">
        <v>137</v>
      </c>
      <c r="M484" s="82" t="s">
        <v>2815</v>
      </c>
      <c r="N484" s="74">
        <v>45896</v>
      </c>
      <c r="O484" s="76">
        <v>45897</v>
      </c>
      <c r="P484" s="83" t="s">
        <v>181</v>
      </c>
      <c r="Q484" s="84" t="s">
        <v>182</v>
      </c>
      <c r="R484" s="69" t="s">
        <v>140</v>
      </c>
      <c r="S484" s="72" t="s">
        <v>2816</v>
      </c>
      <c r="T484" s="79" t="s">
        <v>173</v>
      </c>
      <c r="U484" s="69" t="s">
        <v>2817</v>
      </c>
      <c r="V484" s="81" t="s">
        <v>202</v>
      </c>
      <c r="W484" s="76" t="s">
        <v>145</v>
      </c>
      <c r="X484" s="79" t="s">
        <v>173</v>
      </c>
      <c r="Y484" s="69">
        <v>1</v>
      </c>
      <c r="Z484" s="69">
        <v>1</v>
      </c>
      <c r="AA484" s="69">
        <v>1</v>
      </c>
      <c r="AB484" s="49">
        <f>IF(V484="TIPO I",'BASE DE LIQUIDACION 2025'!$B$3,'BASE DE LIQUIDACION 2025'!$B$4)</f>
        <v>11251.22416</v>
      </c>
      <c r="AC484" s="49">
        <f>IF(V484="TIPO I",'BASE DE LIQUIDACION 2025'!$C$3,'BASE DE LIQUIDACION 2025'!$C$4)</f>
        <v>126317.12212</v>
      </c>
      <c r="AD484" s="49">
        <f>IF(V484="TIPO I",'BASE DE LIQUIDACION 2025'!$D$3,'BASE DE LIQUIDACION 2025'!$D$4)</f>
        <v>110808.27512000001</v>
      </c>
      <c r="AE484" s="49">
        <f t="shared" si="10"/>
        <v>248376.6214</v>
      </c>
    </row>
    <row r="485" spans="1:31" s="46" customFormat="1" ht="12.75" customHeight="1">
      <c r="A485" s="69" t="s">
        <v>175</v>
      </c>
      <c r="B485" s="45" t="str">
        <f>VLOOKUP(A485,'CENTRO DE COSTOS'!A:D,4,FALSE)</f>
        <v>JUAN SEBASTIÁN RÍOS CASTRILLÓN</v>
      </c>
      <c r="C485" s="45" t="str">
        <f>VLOOKUP(A485,'CENTRO DE COSTOS'!A:D,2,FALSE)</f>
        <v>0004-0005</v>
      </c>
      <c r="D485" s="69">
        <v>5031</v>
      </c>
      <c r="E485" s="70" t="s">
        <v>2818</v>
      </c>
      <c r="F485" s="71">
        <v>81225</v>
      </c>
      <c r="G485" s="79" t="s">
        <v>132</v>
      </c>
      <c r="H485" s="73" t="s">
        <v>177</v>
      </c>
      <c r="I485" s="71" t="s">
        <v>178</v>
      </c>
      <c r="J485" s="81" t="s">
        <v>2819</v>
      </c>
      <c r="K485" s="71" t="s">
        <v>2820</v>
      </c>
      <c r="L485" s="75" t="s">
        <v>137</v>
      </c>
      <c r="M485" s="82" t="s">
        <v>2821</v>
      </c>
      <c r="N485" s="74">
        <v>45896</v>
      </c>
      <c r="O485" s="76">
        <v>45897</v>
      </c>
      <c r="P485" s="83" t="s">
        <v>181</v>
      </c>
      <c r="Q485" s="84" t="s">
        <v>182</v>
      </c>
      <c r="R485" s="69" t="s">
        <v>549</v>
      </c>
      <c r="S485" s="72" t="s">
        <v>2822</v>
      </c>
      <c r="T485" s="79" t="s">
        <v>235</v>
      </c>
      <c r="U485" s="69" t="s">
        <v>2823</v>
      </c>
      <c r="V485" s="81" t="s">
        <v>144</v>
      </c>
      <c r="W485" s="76" t="s">
        <v>145</v>
      </c>
      <c r="X485" s="79" t="s">
        <v>235</v>
      </c>
      <c r="Y485" s="69">
        <v>0</v>
      </c>
      <c r="Z485" s="69">
        <v>0</v>
      </c>
      <c r="AA485" s="69">
        <v>2</v>
      </c>
      <c r="AB485" s="49">
        <f>IF(V485="TIPO I",'BASE DE LIQUIDACION 2025'!$B$3,'BASE DE LIQUIDACION 2025'!$B$4)</f>
        <v>11251.22416</v>
      </c>
      <c r="AC485" s="49">
        <f>IF(V485="TIPO I",'BASE DE LIQUIDACION 2025'!$C$3,'BASE DE LIQUIDACION 2025'!$C$4)</f>
        <v>126317.12212</v>
      </c>
      <c r="AD485" s="49">
        <f>IF(V485="TIPO I",'BASE DE LIQUIDACION 2025'!$D$3,'BASE DE LIQUIDACION 2025'!$D$4)</f>
        <v>110808.27512000001</v>
      </c>
      <c r="AE485" s="49">
        <f t="shared" si="10"/>
        <v>221616.55024000001</v>
      </c>
    </row>
    <row r="486" spans="1:31" s="46" customFormat="1" ht="12.75" customHeight="1">
      <c r="A486" s="69" t="s">
        <v>608</v>
      </c>
      <c r="B486" s="45" t="str">
        <f>VLOOKUP(A486,'CENTRO DE COSTOS'!A:D,4,FALSE)</f>
        <v>JUAN SEBASTIÁN RÍOS CASTRILLÓN</v>
      </c>
      <c r="C486" s="45" t="str">
        <f>VLOOKUP(A486,'CENTRO DE COSTOS'!A:D,2,FALSE)</f>
        <v>0004-0005</v>
      </c>
      <c r="D486" s="69">
        <v>5045</v>
      </c>
      <c r="E486" s="70" t="s">
        <v>2824</v>
      </c>
      <c r="F486" s="71">
        <v>81220</v>
      </c>
      <c r="G486" s="79" t="s">
        <v>132</v>
      </c>
      <c r="H486" s="73" t="s">
        <v>177</v>
      </c>
      <c r="I486" s="71" t="s">
        <v>178</v>
      </c>
      <c r="J486" s="81" t="s">
        <v>608</v>
      </c>
      <c r="K486" s="71" t="s">
        <v>2825</v>
      </c>
      <c r="L486" s="75" t="s">
        <v>137</v>
      </c>
      <c r="M486" s="82" t="s">
        <v>2826</v>
      </c>
      <c r="N486" s="74">
        <v>45896</v>
      </c>
      <c r="O486" s="76">
        <v>45897</v>
      </c>
      <c r="P486" s="83" t="s">
        <v>181</v>
      </c>
      <c r="Q486" s="84" t="s">
        <v>182</v>
      </c>
      <c r="R486" s="69" t="s">
        <v>140</v>
      </c>
      <c r="S486" s="72" t="s">
        <v>2769</v>
      </c>
      <c r="T486" s="79" t="s">
        <v>614</v>
      </c>
      <c r="U486" s="69" t="s">
        <v>2827</v>
      </c>
      <c r="V486" s="81" t="s">
        <v>52</v>
      </c>
      <c r="W486" s="76" t="s">
        <v>145</v>
      </c>
      <c r="X486" s="79" t="s">
        <v>614</v>
      </c>
      <c r="Y486" s="69">
        <v>1</v>
      </c>
      <c r="Z486" s="69">
        <v>1</v>
      </c>
      <c r="AA486" s="69">
        <v>1</v>
      </c>
      <c r="AB486" s="49">
        <f>IF(V486="TIPO I",'BASE DE LIQUIDACION 2025'!$B$3,'BASE DE LIQUIDACION 2025'!$B$4)</f>
        <v>11251.22416</v>
      </c>
      <c r="AC486" s="49">
        <f>IF(V486="TIPO I",'BASE DE LIQUIDACION 2025'!$C$3,'BASE DE LIQUIDACION 2025'!$C$4)</f>
        <v>126317.12212</v>
      </c>
      <c r="AD486" s="49">
        <f>IF(V486="TIPO I",'BASE DE LIQUIDACION 2025'!$D$3,'BASE DE LIQUIDACION 2025'!$D$4)</f>
        <v>57411.974240000003</v>
      </c>
      <c r="AE486" s="49">
        <f t="shared" si="10"/>
        <v>194980.32052000001</v>
      </c>
    </row>
    <row r="487" spans="1:31" ht="12.75" customHeight="1">
      <c r="AE487" s="60">
        <f>SUM(AE2:AE486)</f>
        <v>108572846.54027949</v>
      </c>
    </row>
  </sheetData>
  <conditionalFormatting sqref="E487:E1048576">
    <cfRule type="duplicateValues" dxfId="11" priority="490"/>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F121"/>
  <sheetViews>
    <sheetView tabSelected="1" topLeftCell="U1" zoomScale="106" zoomScaleNormal="106" workbookViewId="0">
      <pane ySplit="1" topLeftCell="A2" activePane="bottomLeft" state="frozen"/>
      <selection activeCell="J1" sqref="J1"/>
      <selection pane="bottomLeft" activeCell="AC3" sqref="AC3"/>
    </sheetView>
  </sheetViews>
  <sheetFormatPr baseColWidth="10" defaultColWidth="11.42578125" defaultRowHeight="15"/>
  <cols>
    <col min="1" max="1" width="15.42578125" style="61" bestFit="1" customWidth="1"/>
    <col min="2" max="2" width="13.28515625" style="61" customWidth="1"/>
    <col min="3" max="4" width="11.85546875" style="61" customWidth="1"/>
    <col min="5" max="6" width="11.5703125" style="61" bestFit="1" customWidth="1"/>
    <col min="7" max="11" width="11.42578125" style="61"/>
    <col min="12" max="12" width="27.7109375" style="61" bestFit="1" customWidth="1"/>
    <col min="13" max="13" width="17" style="61" bestFit="1" customWidth="1"/>
    <col min="14" max="14" width="17.42578125" style="61" bestFit="1" customWidth="1"/>
    <col min="15" max="19" width="11.42578125" style="61"/>
    <col min="20" max="20" width="21.7109375" style="61" customWidth="1"/>
    <col min="21" max="26" width="11.42578125" style="61"/>
    <col min="27" max="27" width="15.140625" style="61" customWidth="1"/>
    <col min="28" max="29" width="11.42578125" style="62" customWidth="1"/>
    <col min="30" max="31" width="11.5703125" style="61" bestFit="1" customWidth="1"/>
    <col min="32" max="32" width="12.7109375" style="61" bestFit="1" customWidth="1"/>
    <col min="33" max="16384" width="11.42578125" style="61"/>
  </cols>
  <sheetData>
    <row r="1" spans="1:32" s="80" customFormat="1" ht="38.25" customHeight="1">
      <c r="A1" s="85" t="s">
        <v>101</v>
      </c>
      <c r="B1" s="85" t="s">
        <v>75</v>
      </c>
      <c r="C1" s="85" t="s">
        <v>76</v>
      </c>
      <c r="D1" s="85" t="s">
        <v>102</v>
      </c>
      <c r="E1" s="85" t="s">
        <v>103</v>
      </c>
      <c r="F1" s="85" t="s">
        <v>104</v>
      </c>
      <c r="G1" s="44" t="s">
        <v>105</v>
      </c>
      <c r="H1" s="85" t="s">
        <v>107</v>
      </c>
      <c r="I1" s="85" t="s">
        <v>108</v>
      </c>
      <c r="J1" s="85" t="s">
        <v>109</v>
      </c>
      <c r="K1" s="85" t="s">
        <v>110</v>
      </c>
      <c r="L1" s="85" t="s">
        <v>111</v>
      </c>
      <c r="M1" s="85" t="s">
        <v>2828</v>
      </c>
      <c r="N1" s="85" t="s">
        <v>2829</v>
      </c>
      <c r="O1" s="54" t="s">
        <v>2830</v>
      </c>
      <c r="P1" s="85" t="s">
        <v>2831</v>
      </c>
      <c r="Q1" s="85" t="s">
        <v>2832</v>
      </c>
      <c r="R1" s="47" t="s">
        <v>114</v>
      </c>
      <c r="S1" s="47" t="s">
        <v>115</v>
      </c>
      <c r="T1" s="48" t="s">
        <v>116</v>
      </c>
      <c r="U1" s="85" t="s">
        <v>2833</v>
      </c>
      <c r="V1" s="85" t="s">
        <v>2834</v>
      </c>
      <c r="W1" s="85" t="s">
        <v>118</v>
      </c>
      <c r="X1" s="85" t="s">
        <v>2835</v>
      </c>
      <c r="Y1" s="85" t="s">
        <v>120</v>
      </c>
      <c r="Z1" s="85" t="s">
        <v>121</v>
      </c>
      <c r="AA1" s="48" t="s">
        <v>122</v>
      </c>
      <c r="AB1" s="85" t="s">
        <v>2836</v>
      </c>
      <c r="AC1" s="85" t="s">
        <v>2837</v>
      </c>
      <c r="AD1" s="85" t="s">
        <v>2838</v>
      </c>
      <c r="AE1" s="85" t="s">
        <v>2839</v>
      </c>
      <c r="AF1" s="85" t="s">
        <v>129</v>
      </c>
    </row>
    <row r="2" spans="1:32" s="46" customFormat="1" ht="12.75">
      <c r="A2" s="86" t="s">
        <v>688</v>
      </c>
      <c r="B2" s="86" t="str">
        <f>VLOOKUP(A2,'CENTRO DE COSTOS'!A:D,4,FALSE)</f>
        <v>KEVIN ALEXIS CORZO BUSTOS</v>
      </c>
      <c r="C2" s="86" t="str">
        <f>VLOOKUP(A2,'CENTRO DE COSTOS'!A:D,2,FALSE)</f>
        <v>0004-0007</v>
      </c>
      <c r="D2" s="86">
        <v>73001</v>
      </c>
      <c r="E2" s="86">
        <v>2527924</v>
      </c>
      <c r="F2" s="86">
        <v>70007</v>
      </c>
      <c r="G2" s="86" t="s">
        <v>2840</v>
      </c>
      <c r="H2" s="86" t="s">
        <v>690</v>
      </c>
      <c r="I2" s="86" t="s">
        <v>688</v>
      </c>
      <c r="J2" s="86" t="s">
        <v>2841</v>
      </c>
      <c r="K2" s="86" t="s">
        <v>137</v>
      </c>
      <c r="L2" s="86" t="s">
        <v>2842</v>
      </c>
      <c r="M2" s="87">
        <v>45868.579861111109</v>
      </c>
      <c r="N2" s="87">
        <v>45870.45416666667</v>
      </c>
      <c r="O2" s="86"/>
      <c r="P2" s="86" t="s">
        <v>2843</v>
      </c>
      <c r="Q2" s="86" t="s">
        <v>2844</v>
      </c>
      <c r="R2" s="88" t="s">
        <v>2845</v>
      </c>
      <c r="S2" s="89" t="s">
        <v>2845</v>
      </c>
      <c r="T2" s="86" t="s">
        <v>2846</v>
      </c>
      <c r="U2" s="86" t="s">
        <v>2847</v>
      </c>
      <c r="V2" s="86" t="s">
        <v>2848</v>
      </c>
      <c r="W2" s="86" t="s">
        <v>2849</v>
      </c>
      <c r="X2" s="86">
        <v>0</v>
      </c>
      <c r="Y2" s="90" t="s">
        <v>52</v>
      </c>
      <c r="Z2" s="90" t="s">
        <v>145</v>
      </c>
      <c r="AA2" s="86" t="s">
        <v>694</v>
      </c>
      <c r="AB2" s="86">
        <v>1</v>
      </c>
      <c r="AC2" s="86">
        <v>0</v>
      </c>
      <c r="AD2" s="55">
        <f>IF(OR(W2="SOPORTE_TELEFÓNICO",W2="ENVÍO"),0,IF(Y2="TIPO I",'BASE DE LIQUIDACION 2025'!$I$4,IF(Y2="TIPO II",'BASE DE LIQUIDACION 2025'!$I$5,IF(Y2="TIPO III",'BASE DE LIQUIDACION 2025'!$I$6,IF(Y2="TIPO IV",'BASE DE LIQUIDACION 2025'!$I$7,'BASE DE LIQUIDACION 2025'!$I$8)))))</f>
        <v>96001.196280000004</v>
      </c>
      <c r="AE2" s="55">
        <f>IF(OR(W2="SOPORTE_TELEFÓNICO",W2="ENVÍO"),0,IF(Y2="TIPO I",'BASE DE LIQUIDACION 2025'!$J$4,IF(Y2="TIPO II",'BASE DE LIQUIDACION 2025'!$J$5,IF(Y2="TIPO III",'BASE DE LIQUIDACION 2025'!$J$6,IF(Y2="TIPO IV",'BASE DE LIQUIDACION 2025'!$J$7,'BASE DE LIQUIDACION 2025'!$J$8)))))</f>
        <v>57411.974240000003</v>
      </c>
      <c r="AF2" s="55">
        <f>IF(W2="SOPORTE_TELEFÓNICO",'BASE DE LIQUIDACION 2025'!$L$4,IF(W2="ENVÍO",'BASE DE LIQUIDACION 2025'!$K$4,AD2*AB2+AE2*AC2))</f>
        <v>96001.196280000004</v>
      </c>
    </row>
    <row r="3" spans="1:32" s="46" customFormat="1" ht="12.75">
      <c r="A3" s="86" t="s">
        <v>453</v>
      </c>
      <c r="B3" s="86" t="str">
        <f>VLOOKUP(A3,'CENTRO DE COSTOS'!A:D,4,FALSE)</f>
        <v>DIEGO FERNANDO HENAO CARDONA</v>
      </c>
      <c r="C3" s="86" t="str">
        <f>VLOOKUP(A3,'CENTRO DE COSTOS'!A:D,2,FALSE)</f>
        <v>0004-0002</v>
      </c>
      <c r="D3" s="86">
        <v>66170</v>
      </c>
      <c r="E3" s="86">
        <v>2531480</v>
      </c>
      <c r="F3" s="86">
        <v>78371</v>
      </c>
      <c r="G3" s="86" t="s">
        <v>2840</v>
      </c>
      <c r="H3" s="86" t="s">
        <v>579</v>
      </c>
      <c r="I3" s="86" t="s">
        <v>453</v>
      </c>
      <c r="J3" s="86" t="s">
        <v>2850</v>
      </c>
      <c r="K3" s="86" t="s">
        <v>137</v>
      </c>
      <c r="L3" s="86" t="s">
        <v>2851</v>
      </c>
      <c r="M3" s="87">
        <v>45869.387499999997</v>
      </c>
      <c r="N3" s="87">
        <v>45870.456944444442</v>
      </c>
      <c r="O3" s="86"/>
      <c r="P3" s="86" t="s">
        <v>2843</v>
      </c>
      <c r="Q3" s="86" t="s">
        <v>2844</v>
      </c>
      <c r="R3" s="88" t="s">
        <v>181</v>
      </c>
      <c r="S3" s="89" t="s">
        <v>182</v>
      </c>
      <c r="T3" s="86" t="s">
        <v>2846</v>
      </c>
      <c r="U3" s="86" t="s">
        <v>2847</v>
      </c>
      <c r="V3" s="86" t="s">
        <v>2852</v>
      </c>
      <c r="W3" s="86" t="s">
        <v>2849</v>
      </c>
      <c r="X3" s="86">
        <v>0</v>
      </c>
      <c r="Y3" s="90" t="s">
        <v>52</v>
      </c>
      <c r="Z3" s="90" t="s">
        <v>145</v>
      </c>
      <c r="AA3" s="86" t="s">
        <v>508</v>
      </c>
      <c r="AB3" s="86">
        <v>1</v>
      </c>
      <c r="AC3" s="86">
        <v>0</v>
      </c>
      <c r="AD3" s="55">
        <f>IF(OR(W3="SOPORTE_TELEFÓNICO",W3="ENVÍO"),0,IF(Y3="TIPO I",'BASE DE LIQUIDACION 2025'!$I$4,IF(Y3="TIPO II",'BASE DE LIQUIDACION 2025'!$I$5,IF(Y3="TIPO III",'BASE DE LIQUIDACION 2025'!$I$6,IF(Y3="TIPO IV",'BASE DE LIQUIDACION 2025'!$I$7,'BASE DE LIQUIDACION 2025'!$I$8)))))</f>
        <v>96001.196280000004</v>
      </c>
      <c r="AE3" s="55">
        <f>IF(OR(W3="SOPORTE_TELEFÓNICO",W3="ENVÍO"),0,IF(Y3="TIPO I",'BASE DE LIQUIDACION 2025'!$J$4,IF(Y3="TIPO II",'BASE DE LIQUIDACION 2025'!$J$5,IF(Y3="TIPO III",'BASE DE LIQUIDACION 2025'!$J$6,IF(Y3="TIPO IV",'BASE DE LIQUIDACION 2025'!$J$7,'BASE DE LIQUIDACION 2025'!$J$8)))))</f>
        <v>57411.974240000003</v>
      </c>
      <c r="AF3" s="55">
        <f>IF(W3="SOPORTE_TELEFÓNICO",'BASE DE LIQUIDACION 2025'!$L$4,IF(W3="ENVÍO",'BASE DE LIQUIDACION 2025'!$K$4,AD3*AB3+AE3*AC3))</f>
        <v>96001.196280000004</v>
      </c>
    </row>
    <row r="4" spans="1:32" s="46" customFormat="1" ht="12.75">
      <c r="A4" s="86" t="s">
        <v>453</v>
      </c>
      <c r="B4" s="86" t="str">
        <f>VLOOKUP(A4,'CENTRO DE COSTOS'!A:D,4,FALSE)</f>
        <v>DIEGO FERNANDO HENAO CARDONA</v>
      </c>
      <c r="C4" s="86" t="str">
        <f>VLOOKUP(A4,'CENTRO DE COSTOS'!A:D,2,FALSE)</f>
        <v>0004-0002</v>
      </c>
      <c r="D4" s="86">
        <v>66170</v>
      </c>
      <c r="E4" s="86">
        <v>2533194</v>
      </c>
      <c r="F4" s="86">
        <v>66059</v>
      </c>
      <c r="G4" s="86" t="s">
        <v>2840</v>
      </c>
      <c r="H4" s="86" t="s">
        <v>579</v>
      </c>
      <c r="I4" s="86" t="s">
        <v>790</v>
      </c>
      <c r="J4" s="86" t="s">
        <v>2853</v>
      </c>
      <c r="K4" s="86" t="s">
        <v>137</v>
      </c>
      <c r="L4" s="86" t="s">
        <v>2854</v>
      </c>
      <c r="M4" s="87">
        <v>45869.481249999997</v>
      </c>
      <c r="N4" s="87">
        <v>45870.459027777775</v>
      </c>
      <c r="O4" s="86"/>
      <c r="P4" s="86" t="s">
        <v>2843</v>
      </c>
      <c r="Q4" s="86" t="s">
        <v>2844</v>
      </c>
      <c r="R4" s="88" t="s">
        <v>181</v>
      </c>
      <c r="S4" s="89" t="s">
        <v>182</v>
      </c>
      <c r="T4" s="86" t="s">
        <v>2846</v>
      </c>
      <c r="U4" s="86" t="s">
        <v>2847</v>
      </c>
      <c r="V4" s="86" t="s">
        <v>2855</v>
      </c>
      <c r="W4" s="86" t="s">
        <v>2849</v>
      </c>
      <c r="X4" s="86">
        <v>0</v>
      </c>
      <c r="Y4" s="90" t="s">
        <v>52</v>
      </c>
      <c r="Z4" s="90" t="s">
        <v>145</v>
      </c>
      <c r="AA4" s="86" t="s">
        <v>508</v>
      </c>
      <c r="AB4" s="86">
        <v>1</v>
      </c>
      <c r="AC4" s="86">
        <v>0</v>
      </c>
      <c r="AD4" s="55">
        <f>IF(OR(W4="SOPORTE_TELEFÓNICO",W4="ENVÍO"),0,IF(Y4="TIPO I",'BASE DE LIQUIDACION 2025'!$I$4,IF(Y4="TIPO II",'BASE DE LIQUIDACION 2025'!$I$5,IF(Y4="TIPO III",'BASE DE LIQUIDACION 2025'!$I$6,IF(Y4="TIPO IV",'BASE DE LIQUIDACION 2025'!$I$7,'BASE DE LIQUIDACION 2025'!$I$8)))))</f>
        <v>96001.196280000004</v>
      </c>
      <c r="AE4" s="55">
        <f>IF(OR(W4="SOPORTE_TELEFÓNICO",W4="ENVÍO"),0,IF(Y4="TIPO I",'BASE DE LIQUIDACION 2025'!$J$4,IF(Y4="TIPO II",'BASE DE LIQUIDACION 2025'!$J$5,IF(Y4="TIPO III",'BASE DE LIQUIDACION 2025'!$J$6,IF(Y4="TIPO IV",'BASE DE LIQUIDACION 2025'!$J$7,'BASE DE LIQUIDACION 2025'!$J$8)))))</f>
        <v>57411.974240000003</v>
      </c>
      <c r="AF4" s="55">
        <f>IF(W4="SOPORTE_TELEFÓNICO",'BASE DE LIQUIDACION 2025'!$L$4,IF(W4="ENVÍO",'BASE DE LIQUIDACION 2025'!$K$4,AD4*AB4+AE4*AC4))</f>
        <v>96001.196280000004</v>
      </c>
    </row>
    <row r="5" spans="1:32" s="46" customFormat="1" ht="12.75">
      <c r="A5" s="86" t="s">
        <v>431</v>
      </c>
      <c r="B5" s="86" t="str">
        <f>VLOOKUP(A5,'CENTRO DE COSTOS'!A:D,4,FALSE)</f>
        <v>WILLIAM ASDRUBAL ROZO ROZO</v>
      </c>
      <c r="C5" s="86" t="str">
        <f>VLOOKUP(A5,'CENTRO DE COSTOS'!A:D,2,FALSE)</f>
        <v>0004-0004</v>
      </c>
      <c r="D5" s="86">
        <v>11001</v>
      </c>
      <c r="E5" s="86">
        <v>2533789</v>
      </c>
      <c r="F5" s="86">
        <v>17568</v>
      </c>
      <c r="G5" s="86" t="s">
        <v>2840</v>
      </c>
      <c r="H5" s="86" t="s">
        <v>433</v>
      </c>
      <c r="I5" s="86" t="s">
        <v>431</v>
      </c>
      <c r="J5" s="86" t="s">
        <v>2856</v>
      </c>
      <c r="K5" s="86" t="s">
        <v>137</v>
      </c>
      <c r="L5" s="86" t="s">
        <v>2857</v>
      </c>
      <c r="M5" s="87">
        <v>45869.560416666667</v>
      </c>
      <c r="N5" s="87">
        <v>45871.320138888892</v>
      </c>
      <c r="O5" s="86"/>
      <c r="P5" s="86" t="s">
        <v>2843</v>
      </c>
      <c r="Q5" s="86" t="s">
        <v>2844</v>
      </c>
      <c r="R5" s="88" t="s">
        <v>2845</v>
      </c>
      <c r="S5" s="89" t="s">
        <v>2845</v>
      </c>
      <c r="T5" s="86" t="s">
        <v>2846</v>
      </c>
      <c r="U5" s="86" t="s">
        <v>2847</v>
      </c>
      <c r="V5" s="86" t="s">
        <v>2858</v>
      </c>
      <c r="W5" s="86" t="s">
        <v>2849</v>
      </c>
      <c r="X5" s="86">
        <v>0</v>
      </c>
      <c r="Y5" s="90" t="s">
        <v>52</v>
      </c>
      <c r="Z5" s="90" t="s">
        <v>145</v>
      </c>
      <c r="AA5" s="86" t="s">
        <v>1000</v>
      </c>
      <c r="AB5" s="86">
        <v>1</v>
      </c>
      <c r="AC5" s="86">
        <v>0</v>
      </c>
      <c r="AD5" s="55">
        <f>IF(OR(W5="SOPORTE_TELEFÓNICO",W5="ENVÍO"),0,IF(Y5="TIPO I",'BASE DE LIQUIDACION 2025'!$I$4,IF(Y5="TIPO II",'BASE DE LIQUIDACION 2025'!$I$5,IF(Y5="TIPO III",'BASE DE LIQUIDACION 2025'!$I$6,IF(Y5="TIPO IV",'BASE DE LIQUIDACION 2025'!$I$7,'BASE DE LIQUIDACION 2025'!$I$8)))))</f>
        <v>96001.196280000004</v>
      </c>
      <c r="AE5" s="55">
        <f>IF(OR(W5="SOPORTE_TELEFÓNICO",W5="ENVÍO"),0,IF(Y5="TIPO I",'BASE DE LIQUIDACION 2025'!$J$4,IF(Y5="TIPO II",'BASE DE LIQUIDACION 2025'!$J$5,IF(Y5="TIPO III",'BASE DE LIQUIDACION 2025'!$J$6,IF(Y5="TIPO IV",'BASE DE LIQUIDACION 2025'!$J$7,'BASE DE LIQUIDACION 2025'!$J$8)))))</f>
        <v>57411.974240000003</v>
      </c>
      <c r="AF5" s="55">
        <f>IF(W5="SOPORTE_TELEFÓNICO",'BASE DE LIQUIDACION 2025'!$L$4,IF(W5="ENVÍO",'BASE DE LIQUIDACION 2025'!$K$4,AD5*AB5+AE5*AC5))</f>
        <v>96001.196280000004</v>
      </c>
    </row>
    <row r="6" spans="1:32" s="46" customFormat="1" ht="12.75">
      <c r="A6" s="86" t="s">
        <v>431</v>
      </c>
      <c r="B6" s="86" t="str">
        <f>VLOOKUP(A6,'CENTRO DE COSTOS'!A:D,4,FALSE)</f>
        <v>WILLIAM ASDRUBAL ROZO ROZO</v>
      </c>
      <c r="C6" s="86" t="str">
        <f>VLOOKUP(A6,'CENTRO DE COSTOS'!A:D,2,FALSE)</f>
        <v>0004-0004</v>
      </c>
      <c r="D6" s="86">
        <v>11001</v>
      </c>
      <c r="E6" s="86">
        <v>2530593</v>
      </c>
      <c r="F6" s="86">
        <v>73393</v>
      </c>
      <c r="G6" s="86" t="s">
        <v>2840</v>
      </c>
      <c r="H6" s="86" t="s">
        <v>433</v>
      </c>
      <c r="I6" s="86" t="s">
        <v>431</v>
      </c>
      <c r="J6" s="86" t="s">
        <v>2859</v>
      </c>
      <c r="K6" s="86" t="s">
        <v>137</v>
      </c>
      <c r="L6" s="86" t="s">
        <v>2860</v>
      </c>
      <c r="M6" s="87">
        <v>45869.339583333334</v>
      </c>
      <c r="N6" s="87">
        <v>45871.328472222223</v>
      </c>
      <c r="O6" s="86"/>
      <c r="P6" s="86" t="s">
        <v>2843</v>
      </c>
      <c r="Q6" s="86" t="s">
        <v>2844</v>
      </c>
      <c r="R6" s="88" t="s">
        <v>181</v>
      </c>
      <c r="S6" s="89" t="s">
        <v>707</v>
      </c>
      <c r="T6" s="86" t="s">
        <v>2846</v>
      </c>
      <c r="U6" s="86" t="s">
        <v>2847</v>
      </c>
      <c r="V6" s="86" t="s">
        <v>2861</v>
      </c>
      <c r="W6" s="86" t="s">
        <v>2849</v>
      </c>
      <c r="X6" s="86">
        <v>0</v>
      </c>
      <c r="Y6" s="90" t="s">
        <v>52</v>
      </c>
      <c r="Z6" s="90" t="s">
        <v>145</v>
      </c>
      <c r="AA6" s="86" t="s">
        <v>470</v>
      </c>
      <c r="AB6" s="86">
        <v>1</v>
      </c>
      <c r="AC6" s="86">
        <v>0</v>
      </c>
      <c r="AD6" s="55">
        <f>IF(OR(W6="SOPORTE_TELEFÓNICO",W6="ENVÍO"),0,IF(Y6="TIPO I",'BASE DE LIQUIDACION 2025'!$I$4,IF(Y6="TIPO II",'BASE DE LIQUIDACION 2025'!$I$5,IF(Y6="TIPO III",'BASE DE LIQUIDACION 2025'!$I$6,IF(Y6="TIPO IV",'BASE DE LIQUIDACION 2025'!$I$7,'BASE DE LIQUIDACION 2025'!$I$8)))))</f>
        <v>96001.196280000004</v>
      </c>
      <c r="AE6" s="55">
        <f>IF(OR(W6="SOPORTE_TELEFÓNICO",W6="ENVÍO"),0,IF(Y6="TIPO I",'BASE DE LIQUIDACION 2025'!$J$4,IF(Y6="TIPO II",'BASE DE LIQUIDACION 2025'!$J$5,IF(Y6="TIPO III",'BASE DE LIQUIDACION 2025'!$J$6,IF(Y6="TIPO IV",'BASE DE LIQUIDACION 2025'!$J$7,'BASE DE LIQUIDACION 2025'!$J$8)))))</f>
        <v>57411.974240000003</v>
      </c>
      <c r="AF6" s="55">
        <f>IF(W6="SOPORTE_TELEFÓNICO",'BASE DE LIQUIDACION 2025'!$L$4,IF(W6="ENVÍO",'BASE DE LIQUIDACION 2025'!$K$4,AD6*AB6+AE6*AC6))</f>
        <v>96001.196280000004</v>
      </c>
    </row>
    <row r="7" spans="1:32" s="46" customFormat="1" ht="12.75">
      <c r="A7" s="86" t="s">
        <v>220</v>
      </c>
      <c r="B7" s="86" t="str">
        <f>VLOOKUP(A7,'CENTRO DE COSTOS'!A:D,4,FALSE)</f>
        <v>DIEGO FERNANDO HENAO CARDONA</v>
      </c>
      <c r="C7" s="86" t="str">
        <f>VLOOKUP(A7,'CENTRO DE COSTOS'!A:D,2,FALSE)</f>
        <v>0004-0003</v>
      </c>
      <c r="D7" s="86">
        <v>76001</v>
      </c>
      <c r="E7" s="86">
        <v>2529204</v>
      </c>
      <c r="F7" s="86">
        <v>66101</v>
      </c>
      <c r="G7" s="86" t="s">
        <v>2840</v>
      </c>
      <c r="H7" s="86" t="s">
        <v>420</v>
      </c>
      <c r="I7" s="86" t="s">
        <v>220</v>
      </c>
      <c r="J7" s="86" t="s">
        <v>2862</v>
      </c>
      <c r="K7" s="86" t="s">
        <v>137</v>
      </c>
      <c r="L7" s="86" t="s">
        <v>2863</v>
      </c>
      <c r="M7" s="87">
        <v>45868.665277777778</v>
      </c>
      <c r="N7" s="87">
        <v>45871.331250000003</v>
      </c>
      <c r="O7" s="86"/>
      <c r="P7" s="86" t="s">
        <v>2843</v>
      </c>
      <c r="Q7" s="86" t="s">
        <v>2844</v>
      </c>
      <c r="R7" s="88" t="s">
        <v>2845</v>
      </c>
      <c r="S7" s="89" t="s">
        <v>2845</v>
      </c>
      <c r="T7" s="86" t="s">
        <v>2846</v>
      </c>
      <c r="U7" s="86" t="s">
        <v>2847</v>
      </c>
      <c r="V7" s="86" t="s">
        <v>2864</v>
      </c>
      <c r="W7" s="86" t="s">
        <v>2849</v>
      </c>
      <c r="X7" s="86">
        <v>0</v>
      </c>
      <c r="Y7" s="90" t="s">
        <v>52</v>
      </c>
      <c r="Z7" s="90" t="s">
        <v>145</v>
      </c>
      <c r="AA7" s="86" t="s">
        <v>489</v>
      </c>
      <c r="AB7" s="86">
        <v>1</v>
      </c>
      <c r="AC7" s="86">
        <v>0</v>
      </c>
      <c r="AD7" s="55">
        <f>IF(OR(W7="SOPORTE_TELEFÓNICO",W7="ENVÍO"),0,IF(Y7="TIPO I",'BASE DE LIQUIDACION 2025'!$I$4,IF(Y7="TIPO II",'BASE DE LIQUIDACION 2025'!$I$5,IF(Y7="TIPO III",'BASE DE LIQUIDACION 2025'!$I$6,IF(Y7="TIPO IV",'BASE DE LIQUIDACION 2025'!$I$7,'BASE DE LIQUIDACION 2025'!$I$8)))))</f>
        <v>96001.196280000004</v>
      </c>
      <c r="AE7" s="55">
        <f>IF(OR(W7="SOPORTE_TELEFÓNICO",W7="ENVÍO"),0,IF(Y7="TIPO I",'BASE DE LIQUIDACION 2025'!$J$4,IF(Y7="TIPO II",'BASE DE LIQUIDACION 2025'!$J$5,IF(Y7="TIPO III",'BASE DE LIQUIDACION 2025'!$J$6,IF(Y7="TIPO IV",'BASE DE LIQUIDACION 2025'!$J$7,'BASE DE LIQUIDACION 2025'!$J$8)))))</f>
        <v>57411.974240000003</v>
      </c>
      <c r="AF7" s="55">
        <f>IF(W7="SOPORTE_TELEFÓNICO",'BASE DE LIQUIDACION 2025'!$L$4,IF(W7="ENVÍO",'BASE DE LIQUIDACION 2025'!$K$4,AD7*AB7+AE7*AC7))</f>
        <v>96001.196280000004</v>
      </c>
    </row>
    <row r="8" spans="1:32" s="46" customFormat="1" ht="12.75">
      <c r="A8" s="86" t="s">
        <v>431</v>
      </c>
      <c r="B8" s="86" t="str">
        <f>VLOOKUP(A8,'CENTRO DE COSTOS'!A:D,4,FALSE)</f>
        <v>WILLIAM ASDRUBAL ROZO ROZO</v>
      </c>
      <c r="C8" s="86" t="str">
        <f>VLOOKUP(A8,'CENTRO DE COSTOS'!A:D,2,FALSE)</f>
        <v>0004-0004</v>
      </c>
      <c r="D8" s="86">
        <v>25473</v>
      </c>
      <c r="E8" s="86">
        <v>2516155</v>
      </c>
      <c r="F8" s="86">
        <v>69890</v>
      </c>
      <c r="G8" s="86" t="s">
        <v>2840</v>
      </c>
      <c r="H8" s="86" t="s">
        <v>433</v>
      </c>
      <c r="I8" s="86" t="s">
        <v>2169</v>
      </c>
      <c r="J8" s="86" t="s">
        <v>2865</v>
      </c>
      <c r="K8" s="86" t="s">
        <v>137</v>
      </c>
      <c r="L8" s="86" t="s">
        <v>2866</v>
      </c>
      <c r="M8" s="87">
        <v>45866.693749999999</v>
      </c>
      <c r="N8" s="87">
        <v>45871.510416666664</v>
      </c>
      <c r="O8" s="86"/>
      <c r="P8" s="86" t="s">
        <v>2843</v>
      </c>
      <c r="Q8" s="86" t="s">
        <v>2844</v>
      </c>
      <c r="R8" s="88" t="s">
        <v>2845</v>
      </c>
      <c r="S8" s="89" t="s">
        <v>2845</v>
      </c>
      <c r="T8" s="86" t="s">
        <v>2867</v>
      </c>
      <c r="U8" s="86" t="s">
        <v>2868</v>
      </c>
      <c r="V8" s="86" t="s">
        <v>2869</v>
      </c>
      <c r="W8" s="86" t="s">
        <v>2849</v>
      </c>
      <c r="X8" s="86">
        <v>0</v>
      </c>
      <c r="Y8" s="90" t="s">
        <v>52</v>
      </c>
      <c r="Z8" s="90" t="s">
        <v>145</v>
      </c>
      <c r="AA8" s="86" t="s">
        <v>551</v>
      </c>
      <c r="AB8" s="86">
        <v>1</v>
      </c>
      <c r="AC8" s="86">
        <v>0</v>
      </c>
      <c r="AD8" s="55">
        <f>IF(OR(W8="SOPORTE_TELEFÓNICO",W8="ENVÍO"),0,IF(Y8="TIPO I",'BASE DE LIQUIDACION 2025'!$I$4,IF(Y8="TIPO II",'BASE DE LIQUIDACION 2025'!$I$5,IF(Y8="TIPO III",'BASE DE LIQUIDACION 2025'!$I$6,IF(Y8="TIPO IV",'BASE DE LIQUIDACION 2025'!$I$7,'BASE DE LIQUIDACION 2025'!$I$8)))))</f>
        <v>96001.196280000004</v>
      </c>
      <c r="AE8" s="55">
        <f>IF(OR(W8="SOPORTE_TELEFÓNICO",W8="ENVÍO"),0,IF(Y8="TIPO I",'BASE DE LIQUIDACION 2025'!$J$4,IF(Y8="TIPO II",'BASE DE LIQUIDACION 2025'!$J$5,IF(Y8="TIPO III",'BASE DE LIQUIDACION 2025'!$J$6,IF(Y8="TIPO IV",'BASE DE LIQUIDACION 2025'!$J$7,'BASE DE LIQUIDACION 2025'!$J$8)))))</f>
        <v>57411.974240000003</v>
      </c>
      <c r="AF8" s="55">
        <f>IF(W8="SOPORTE_TELEFÓNICO",'BASE DE LIQUIDACION 2025'!$L$4,IF(W8="ENVÍO",'BASE DE LIQUIDACION 2025'!$K$4,AD8*AB8+AE8*AC8))</f>
        <v>96001.196280000004</v>
      </c>
    </row>
    <row r="9" spans="1:32" s="46" customFormat="1" ht="12.75">
      <c r="A9" s="86" t="s">
        <v>379</v>
      </c>
      <c r="B9" s="86" t="str">
        <f>VLOOKUP(A9,'CENTRO DE COSTOS'!A:D,4,FALSE)</f>
        <v>JOSE MAURICIO HERNANDEZ ROJAS</v>
      </c>
      <c r="C9" s="86" t="str">
        <f>VLOOKUP(A9,'CENTRO DE COSTOS'!A:D,2,FALSE)</f>
        <v>0004-0001</v>
      </c>
      <c r="D9" s="86">
        <v>23001</v>
      </c>
      <c r="E9" s="86">
        <v>2537355</v>
      </c>
      <c r="F9" s="86">
        <v>62262</v>
      </c>
      <c r="G9" s="86" t="s">
        <v>2840</v>
      </c>
      <c r="H9" s="86" t="s">
        <v>381</v>
      </c>
      <c r="I9" s="86" t="s">
        <v>379</v>
      </c>
      <c r="J9" s="86" t="s">
        <v>2870</v>
      </c>
      <c r="K9" s="86" t="s">
        <v>137</v>
      </c>
      <c r="L9" s="86" t="s">
        <v>2871</v>
      </c>
      <c r="M9" s="87">
        <v>45870.359722222223</v>
      </c>
      <c r="N9" s="87">
        <v>45871.515972222223</v>
      </c>
      <c r="O9" s="86"/>
      <c r="P9" s="86" t="s">
        <v>2843</v>
      </c>
      <c r="Q9" s="86" t="s">
        <v>2844</v>
      </c>
      <c r="R9" s="88" t="s">
        <v>2845</v>
      </c>
      <c r="S9" s="89" t="s">
        <v>2845</v>
      </c>
      <c r="T9" s="86" t="s">
        <v>2846</v>
      </c>
      <c r="U9" s="86" t="s">
        <v>2847</v>
      </c>
      <c r="V9" s="86" t="s">
        <v>2872</v>
      </c>
      <c r="W9" s="86" t="s">
        <v>2849</v>
      </c>
      <c r="X9" s="86">
        <v>0</v>
      </c>
      <c r="Y9" s="90" t="s">
        <v>52</v>
      </c>
      <c r="Z9" s="90" t="s">
        <v>145</v>
      </c>
      <c r="AA9" s="86" t="s">
        <v>1210</v>
      </c>
      <c r="AB9" s="86">
        <v>1</v>
      </c>
      <c r="AC9" s="86">
        <v>0</v>
      </c>
      <c r="AD9" s="55">
        <f>IF(OR(W9="SOPORTE_TELEFÓNICO",W9="ENVÍO"),0,IF(Y9="TIPO I",'BASE DE LIQUIDACION 2025'!$I$4,IF(Y9="TIPO II",'BASE DE LIQUIDACION 2025'!$I$5,IF(Y9="TIPO III",'BASE DE LIQUIDACION 2025'!$I$6,IF(Y9="TIPO IV",'BASE DE LIQUIDACION 2025'!$I$7,'BASE DE LIQUIDACION 2025'!$I$8)))))</f>
        <v>96001.196280000004</v>
      </c>
      <c r="AE9" s="55">
        <f>IF(OR(W9="SOPORTE_TELEFÓNICO",W9="ENVÍO"),0,IF(Y9="TIPO I",'BASE DE LIQUIDACION 2025'!$J$4,IF(Y9="TIPO II",'BASE DE LIQUIDACION 2025'!$J$5,IF(Y9="TIPO III",'BASE DE LIQUIDACION 2025'!$J$6,IF(Y9="TIPO IV",'BASE DE LIQUIDACION 2025'!$J$7,'BASE DE LIQUIDACION 2025'!$J$8)))))</f>
        <v>57411.974240000003</v>
      </c>
      <c r="AF9" s="55">
        <f>IF(W9="SOPORTE_TELEFÓNICO",'BASE DE LIQUIDACION 2025'!$L$4,IF(W9="ENVÍO",'BASE DE LIQUIDACION 2025'!$K$4,AD9*AB9+AE9*AC9))</f>
        <v>96001.196280000004</v>
      </c>
    </row>
    <row r="10" spans="1:32" s="46" customFormat="1" ht="12.75">
      <c r="A10" s="86" t="s">
        <v>431</v>
      </c>
      <c r="B10" s="86" t="str">
        <f>VLOOKUP(A10,'CENTRO DE COSTOS'!A:D,4,FALSE)</f>
        <v>WILLIAM ASDRUBAL ROZO ROZO</v>
      </c>
      <c r="C10" s="86" t="str">
        <f>VLOOKUP(A10,'CENTRO DE COSTOS'!A:D,2,FALSE)</f>
        <v>0004-0004</v>
      </c>
      <c r="D10" s="86">
        <v>25430</v>
      </c>
      <c r="E10" s="86">
        <v>2533849</v>
      </c>
      <c r="F10" s="86">
        <v>75668</v>
      </c>
      <c r="G10" s="86" t="s">
        <v>2840</v>
      </c>
      <c r="H10" s="86" t="s">
        <v>433</v>
      </c>
      <c r="I10" s="86" t="s">
        <v>2577</v>
      </c>
      <c r="J10" s="86" t="s">
        <v>2873</v>
      </c>
      <c r="K10" s="86" t="s">
        <v>137</v>
      </c>
      <c r="L10" s="86" t="s">
        <v>2874</v>
      </c>
      <c r="M10" s="87">
        <v>45869.536805555559</v>
      </c>
      <c r="N10" s="87">
        <v>45871.626388888886</v>
      </c>
      <c r="O10" s="86"/>
      <c r="P10" s="86" t="s">
        <v>2843</v>
      </c>
      <c r="Q10" s="86" t="s">
        <v>2844</v>
      </c>
      <c r="R10" s="88" t="s">
        <v>2845</v>
      </c>
      <c r="S10" s="89" t="s">
        <v>2845</v>
      </c>
      <c r="T10" s="86" t="s">
        <v>2846</v>
      </c>
      <c r="U10" s="86" t="s">
        <v>2847</v>
      </c>
      <c r="V10" s="86" t="s">
        <v>2875</v>
      </c>
      <c r="W10" s="86" t="s">
        <v>2849</v>
      </c>
      <c r="X10" s="86">
        <v>0</v>
      </c>
      <c r="Y10" s="90" t="s">
        <v>202</v>
      </c>
      <c r="Z10" s="90" t="s">
        <v>145</v>
      </c>
      <c r="AA10" s="86" t="s">
        <v>551</v>
      </c>
      <c r="AB10" s="86">
        <v>1</v>
      </c>
      <c r="AC10" s="86">
        <v>0</v>
      </c>
      <c r="AD10" s="55">
        <f>IF(OR(W10="SOPORTE_TELEFÓNICO",W10="ENVÍO"),0,IF(Y10="TIPO I",'BASE DE LIQUIDACION 2025'!$I$4,IF(Y10="TIPO II",'BASE DE LIQUIDACION 2025'!$I$5,IF(Y10="TIPO III",'BASE DE LIQUIDACION 2025'!$I$6,IF(Y10="TIPO IV",'BASE DE LIQUIDACION 2025'!$I$7,'BASE DE LIQUIDACION 2025'!$I$8)))))</f>
        <v>232858.60096000001</v>
      </c>
      <c r="AE10" s="55">
        <f>IF(OR(W10="SOPORTE_TELEFÓNICO",W10="ENVÍO"),0,IF(Y10="TIPO I",'BASE DE LIQUIDACION 2025'!$J$4,IF(Y10="TIPO II",'BASE DE LIQUIDACION 2025'!$J$5,IF(Y10="TIPO III",'BASE DE LIQUIDACION 2025'!$J$6,IF(Y10="TIPO IV",'BASE DE LIQUIDACION 2025'!$J$7,'BASE DE LIQUIDACION 2025'!$J$8)))))</f>
        <v>110808.27512000001</v>
      </c>
      <c r="AF10" s="55">
        <f>IF(W10="SOPORTE_TELEFÓNICO",'BASE DE LIQUIDACION 2025'!$L$4,IF(W10="ENVÍO",'BASE DE LIQUIDACION 2025'!$K$4,AD10*AB10+AE10*AC10))</f>
        <v>232858.60096000001</v>
      </c>
    </row>
    <row r="11" spans="1:32" s="46" customFormat="1" ht="12.75">
      <c r="A11" s="86" t="s">
        <v>130</v>
      </c>
      <c r="B11" s="86" t="str">
        <f>VLOOKUP(A11,'CENTRO DE COSTOS'!A:D,4,FALSE)</f>
        <v>KEVIN ALEXIS CORZO BUSTOS</v>
      </c>
      <c r="C11" s="86" t="str">
        <f>VLOOKUP(A11,'CENTRO DE COSTOS'!A:D,2,FALSE)</f>
        <v>0004-0007</v>
      </c>
      <c r="D11" s="86">
        <v>41551</v>
      </c>
      <c r="E11" s="86">
        <v>2529645</v>
      </c>
      <c r="F11" s="86">
        <v>53702</v>
      </c>
      <c r="G11" s="86" t="s">
        <v>2840</v>
      </c>
      <c r="H11" s="86" t="s">
        <v>213</v>
      </c>
      <c r="I11" s="86" t="s">
        <v>603</v>
      </c>
      <c r="J11" s="86" t="s">
        <v>2876</v>
      </c>
      <c r="K11" s="86" t="s">
        <v>137</v>
      </c>
      <c r="L11" s="86" t="s">
        <v>2877</v>
      </c>
      <c r="M11" s="87">
        <v>45868.694444444445</v>
      </c>
      <c r="N11" s="87">
        <v>45871.628472222219</v>
      </c>
      <c r="O11" s="86"/>
      <c r="P11" s="86" t="s">
        <v>2843</v>
      </c>
      <c r="Q11" s="86" t="s">
        <v>2844</v>
      </c>
      <c r="R11" s="88" t="s">
        <v>2845</v>
      </c>
      <c r="S11" s="89" t="s">
        <v>2845</v>
      </c>
      <c r="T11" s="86" t="s">
        <v>2846</v>
      </c>
      <c r="U11" s="86" t="s">
        <v>2847</v>
      </c>
      <c r="V11" s="86" t="s">
        <v>2878</v>
      </c>
      <c r="W11" s="86" t="s">
        <v>2849</v>
      </c>
      <c r="X11" s="86">
        <v>0</v>
      </c>
      <c r="Y11" s="90" t="s">
        <v>230</v>
      </c>
      <c r="Z11" s="90" t="s">
        <v>145</v>
      </c>
      <c r="AA11" s="86" t="s">
        <v>142</v>
      </c>
      <c r="AB11" s="86">
        <v>1</v>
      </c>
      <c r="AC11" s="86">
        <v>0</v>
      </c>
      <c r="AD11" s="55">
        <f>IF(OR(W11="SOPORTE_TELEFÓNICO",W11="ENVÍO"),0,IF(Y11="TIPO I",'BASE DE LIQUIDACION 2025'!$I$4,IF(Y11="TIPO II",'BASE DE LIQUIDACION 2025'!$I$5,IF(Y11="TIPO III",'BASE DE LIQUIDACION 2025'!$I$6,IF(Y11="TIPO IV",'BASE DE LIQUIDACION 2025'!$I$7,'BASE DE LIQUIDACION 2025'!$I$8)))))</f>
        <v>344774.56896</v>
      </c>
      <c r="AE11" s="55">
        <f>IF(OR(W11="SOPORTE_TELEFÓNICO",W11="ENVÍO"),0,IF(Y11="TIPO I",'BASE DE LIQUIDACION 2025'!$J$4,IF(Y11="TIPO II",'BASE DE LIQUIDACION 2025'!$J$5,IF(Y11="TIPO III",'BASE DE LIQUIDACION 2025'!$J$6,IF(Y11="TIPO IV",'BASE DE LIQUIDACION 2025'!$J$7,'BASE DE LIQUIDACION 2025'!$J$8)))))</f>
        <v>110808.27512000001</v>
      </c>
      <c r="AF11" s="55">
        <f>IF(W11="SOPORTE_TELEFÓNICO",'BASE DE LIQUIDACION 2025'!$L$4,IF(W11="ENVÍO",'BASE DE LIQUIDACION 2025'!$K$4,AD11*AB11+AE11*AC11))</f>
        <v>344774.56896</v>
      </c>
    </row>
    <row r="12" spans="1:32" s="46" customFormat="1" ht="12.75">
      <c r="A12" s="86" t="s">
        <v>453</v>
      </c>
      <c r="B12" s="86" t="str">
        <f>VLOOKUP(A12,'CENTRO DE COSTOS'!A:D,4,FALSE)</f>
        <v>DIEGO FERNANDO HENAO CARDONA</v>
      </c>
      <c r="C12" s="86" t="str">
        <f>VLOOKUP(A12,'CENTRO DE COSTOS'!A:D,2,FALSE)</f>
        <v>0004-0002</v>
      </c>
      <c r="D12" s="86">
        <v>66001</v>
      </c>
      <c r="E12" s="86">
        <v>2540530</v>
      </c>
      <c r="F12" s="86">
        <v>55044</v>
      </c>
      <c r="G12" s="86" t="s">
        <v>2840</v>
      </c>
      <c r="H12" s="86" t="s">
        <v>579</v>
      </c>
      <c r="I12" s="86" t="s">
        <v>453</v>
      </c>
      <c r="J12" s="86" t="s">
        <v>2879</v>
      </c>
      <c r="K12" s="86" t="s">
        <v>137</v>
      </c>
      <c r="L12" s="86" t="s">
        <v>2880</v>
      </c>
      <c r="M12" s="87">
        <v>45870.574999999997</v>
      </c>
      <c r="N12" s="87">
        <v>45873.428472222222</v>
      </c>
      <c r="O12" s="86"/>
      <c r="P12" s="86" t="s">
        <v>2843</v>
      </c>
      <c r="Q12" s="86" t="s">
        <v>2844</v>
      </c>
      <c r="R12" s="88" t="s">
        <v>2845</v>
      </c>
      <c r="S12" s="89" t="s">
        <v>2845</v>
      </c>
      <c r="T12" s="86" t="s">
        <v>2846</v>
      </c>
      <c r="U12" s="86" t="s">
        <v>2847</v>
      </c>
      <c r="V12" s="86" t="s">
        <v>2881</v>
      </c>
      <c r="W12" s="86" t="s">
        <v>2849</v>
      </c>
      <c r="X12" s="86">
        <v>0</v>
      </c>
      <c r="Y12" s="90" t="s">
        <v>52</v>
      </c>
      <c r="Z12" s="90" t="s">
        <v>145</v>
      </c>
      <c r="AA12" s="86" t="s">
        <v>508</v>
      </c>
      <c r="AB12" s="86">
        <v>1</v>
      </c>
      <c r="AC12" s="86">
        <v>0</v>
      </c>
      <c r="AD12" s="55">
        <f>IF(OR(W12="SOPORTE_TELEFÓNICO",W12="ENVÍO"),0,IF(Y12="TIPO I",'BASE DE LIQUIDACION 2025'!$I$4,IF(Y12="TIPO II",'BASE DE LIQUIDACION 2025'!$I$5,IF(Y12="TIPO III",'BASE DE LIQUIDACION 2025'!$I$6,IF(Y12="TIPO IV",'BASE DE LIQUIDACION 2025'!$I$7,'BASE DE LIQUIDACION 2025'!$I$8)))))</f>
        <v>96001.196280000004</v>
      </c>
      <c r="AE12" s="55">
        <f>IF(OR(W12="SOPORTE_TELEFÓNICO",W12="ENVÍO"),0,IF(Y12="TIPO I",'BASE DE LIQUIDACION 2025'!$J$4,IF(Y12="TIPO II",'BASE DE LIQUIDACION 2025'!$J$5,IF(Y12="TIPO III",'BASE DE LIQUIDACION 2025'!$J$6,IF(Y12="TIPO IV",'BASE DE LIQUIDACION 2025'!$J$7,'BASE DE LIQUIDACION 2025'!$J$8)))))</f>
        <v>57411.974240000003</v>
      </c>
      <c r="AF12" s="55">
        <f>IF(W12="SOPORTE_TELEFÓNICO",'BASE DE LIQUIDACION 2025'!$L$4,IF(W12="ENVÍO",'BASE DE LIQUIDACION 2025'!$K$4,AD12*AB12+AE12*AC12))</f>
        <v>96001.196280000004</v>
      </c>
    </row>
    <row r="13" spans="1:32" s="46" customFormat="1" ht="12.75">
      <c r="A13" s="86" t="s">
        <v>688</v>
      </c>
      <c r="B13" s="86" t="str">
        <f>VLOOKUP(A13,'CENTRO DE COSTOS'!A:D,4,FALSE)</f>
        <v>KEVIN ALEXIS CORZO BUSTOS</v>
      </c>
      <c r="C13" s="86" t="str">
        <f>VLOOKUP(A13,'CENTRO DE COSTOS'!A:D,2,FALSE)</f>
        <v>0004-0007</v>
      </c>
      <c r="D13" s="86">
        <v>73001</v>
      </c>
      <c r="E13" s="86">
        <v>2541245</v>
      </c>
      <c r="F13" s="86">
        <v>77457</v>
      </c>
      <c r="G13" s="86" t="s">
        <v>2840</v>
      </c>
      <c r="H13" s="86" t="s">
        <v>690</v>
      </c>
      <c r="I13" s="86" t="s">
        <v>688</v>
      </c>
      <c r="J13" s="86" t="s">
        <v>2882</v>
      </c>
      <c r="K13" s="86" t="s">
        <v>137</v>
      </c>
      <c r="L13" s="86" t="s">
        <v>2883</v>
      </c>
      <c r="M13" s="87">
        <v>45870.636805555558</v>
      </c>
      <c r="N13" s="87">
        <v>45873.529166666667</v>
      </c>
      <c r="O13" s="86"/>
      <c r="P13" s="86" t="s">
        <v>2843</v>
      </c>
      <c r="Q13" s="86" t="s">
        <v>2844</v>
      </c>
      <c r="R13" s="88" t="s">
        <v>2845</v>
      </c>
      <c r="S13" s="89" t="s">
        <v>2845</v>
      </c>
      <c r="T13" s="86" t="s">
        <v>2846</v>
      </c>
      <c r="U13" s="86" t="s">
        <v>2847</v>
      </c>
      <c r="V13" s="86" t="s">
        <v>2884</v>
      </c>
      <c r="W13" s="86" t="s">
        <v>2849</v>
      </c>
      <c r="X13" s="86">
        <v>0</v>
      </c>
      <c r="Y13" s="90" t="s">
        <v>52</v>
      </c>
      <c r="Z13" s="90" t="s">
        <v>145</v>
      </c>
      <c r="AA13" s="86" t="s">
        <v>940</v>
      </c>
      <c r="AB13" s="86">
        <v>1</v>
      </c>
      <c r="AC13" s="86">
        <v>0</v>
      </c>
      <c r="AD13" s="55">
        <f>IF(OR(W13="SOPORTE_TELEFÓNICO",W13="ENVÍO"),0,IF(Y13="TIPO I",'BASE DE LIQUIDACION 2025'!$I$4,IF(Y13="TIPO II",'BASE DE LIQUIDACION 2025'!$I$5,IF(Y13="TIPO III",'BASE DE LIQUIDACION 2025'!$I$6,IF(Y13="TIPO IV",'BASE DE LIQUIDACION 2025'!$I$7,'BASE DE LIQUIDACION 2025'!$I$8)))))</f>
        <v>96001.196280000004</v>
      </c>
      <c r="AE13" s="55">
        <f>IF(OR(W13="SOPORTE_TELEFÓNICO",W13="ENVÍO"),0,IF(Y13="TIPO I",'BASE DE LIQUIDACION 2025'!$J$4,IF(Y13="TIPO II",'BASE DE LIQUIDACION 2025'!$J$5,IF(Y13="TIPO III",'BASE DE LIQUIDACION 2025'!$J$6,IF(Y13="TIPO IV",'BASE DE LIQUIDACION 2025'!$J$7,'BASE DE LIQUIDACION 2025'!$J$8)))))</f>
        <v>57411.974240000003</v>
      </c>
      <c r="AF13" s="55">
        <f>IF(W13="SOPORTE_TELEFÓNICO",'BASE DE LIQUIDACION 2025'!$L$4,IF(W13="ENVÍO",'BASE DE LIQUIDACION 2025'!$K$4,AD13*AB13+AE13*AC13))</f>
        <v>96001.196280000004</v>
      </c>
    </row>
    <row r="14" spans="1:32" s="46" customFormat="1" ht="12.75">
      <c r="A14" s="86" t="s">
        <v>175</v>
      </c>
      <c r="B14" s="86" t="str">
        <f>VLOOKUP(A14,'CENTRO DE COSTOS'!A:D,4,FALSE)</f>
        <v>JUAN SEBASTIÁN RÍOS CASTRILLÓN</v>
      </c>
      <c r="C14" s="86" t="str">
        <f>VLOOKUP(A14,'CENTRO DE COSTOS'!A:D,2,FALSE)</f>
        <v>0004-0005</v>
      </c>
      <c r="D14" s="86">
        <v>5579</v>
      </c>
      <c r="E14" s="86">
        <v>2542463</v>
      </c>
      <c r="F14" s="86">
        <v>73705</v>
      </c>
      <c r="G14" s="86" t="s">
        <v>2840</v>
      </c>
      <c r="H14" s="86" t="s">
        <v>178</v>
      </c>
      <c r="I14" s="86" t="s">
        <v>2163</v>
      </c>
      <c r="J14" s="86" t="s">
        <v>2885</v>
      </c>
      <c r="K14" s="86" t="s">
        <v>137</v>
      </c>
      <c r="L14" s="86" t="s">
        <v>2886</v>
      </c>
      <c r="M14" s="87">
        <v>45870.738194444442</v>
      </c>
      <c r="N14" s="87">
        <v>45873.53402777778</v>
      </c>
      <c r="O14" s="86"/>
      <c r="P14" s="86" t="s">
        <v>2843</v>
      </c>
      <c r="Q14" s="86" t="s">
        <v>2844</v>
      </c>
      <c r="R14" s="88" t="s">
        <v>2845</v>
      </c>
      <c r="S14" s="89" t="s">
        <v>2845</v>
      </c>
      <c r="T14" s="86" t="s">
        <v>2846</v>
      </c>
      <c r="U14" s="86" t="s">
        <v>2847</v>
      </c>
      <c r="V14" s="86" t="s">
        <v>2887</v>
      </c>
      <c r="W14" s="86" t="s">
        <v>2849</v>
      </c>
      <c r="X14" s="86">
        <v>0</v>
      </c>
      <c r="Y14" s="90" t="s">
        <v>230</v>
      </c>
      <c r="Z14" s="90" t="s">
        <v>145</v>
      </c>
      <c r="AA14" s="86" t="s">
        <v>338</v>
      </c>
      <c r="AB14" s="86">
        <v>1</v>
      </c>
      <c r="AC14" s="86">
        <v>0</v>
      </c>
      <c r="AD14" s="55">
        <f>IF(OR(W14="SOPORTE_TELEFÓNICO",W14="ENVÍO"),0,IF(Y14="TIPO I",'BASE DE LIQUIDACION 2025'!$I$4,IF(Y14="TIPO II",'BASE DE LIQUIDACION 2025'!$I$5,IF(Y14="TIPO III",'BASE DE LIQUIDACION 2025'!$I$6,IF(Y14="TIPO IV",'BASE DE LIQUIDACION 2025'!$I$7,'BASE DE LIQUIDACION 2025'!$I$8)))))</f>
        <v>344774.56896</v>
      </c>
      <c r="AE14" s="55">
        <f>IF(OR(W14="SOPORTE_TELEFÓNICO",W14="ENVÍO"),0,IF(Y14="TIPO I",'BASE DE LIQUIDACION 2025'!$J$4,IF(Y14="TIPO II",'BASE DE LIQUIDACION 2025'!$J$5,IF(Y14="TIPO III",'BASE DE LIQUIDACION 2025'!$J$6,IF(Y14="TIPO IV",'BASE DE LIQUIDACION 2025'!$J$7,'BASE DE LIQUIDACION 2025'!$J$8)))))</f>
        <v>110808.27512000001</v>
      </c>
      <c r="AF14" s="55">
        <f>IF(W14="SOPORTE_TELEFÓNICO",'BASE DE LIQUIDACION 2025'!$L$4,IF(W14="ENVÍO",'BASE DE LIQUIDACION 2025'!$K$4,AD14*AB14+AE14*AC14))</f>
        <v>344774.56896</v>
      </c>
    </row>
    <row r="15" spans="1:32" s="46" customFormat="1" ht="12.75">
      <c r="A15" s="86" t="s">
        <v>175</v>
      </c>
      <c r="B15" s="86" t="str">
        <f>VLOOKUP(A15,'CENTRO DE COSTOS'!A:D,4,FALSE)</f>
        <v>JUAN SEBASTIÁN RÍOS CASTRILLÓN</v>
      </c>
      <c r="C15" s="86" t="str">
        <f>VLOOKUP(A15,'CENTRO DE COSTOS'!A:D,2,FALSE)</f>
        <v>0004-0005</v>
      </c>
      <c r="D15" s="86">
        <v>5579</v>
      </c>
      <c r="E15" s="86">
        <v>2516588</v>
      </c>
      <c r="F15" s="86">
        <v>49763</v>
      </c>
      <c r="G15" s="86" t="s">
        <v>2840</v>
      </c>
      <c r="H15" s="86" t="s">
        <v>178</v>
      </c>
      <c r="I15" s="86" t="s">
        <v>2163</v>
      </c>
      <c r="J15" s="86" t="s">
        <v>2888</v>
      </c>
      <c r="K15" s="86" t="s">
        <v>137</v>
      </c>
      <c r="L15" s="86" t="s">
        <v>2889</v>
      </c>
      <c r="M15" s="87">
        <v>45866.73333333333</v>
      </c>
      <c r="N15" s="87">
        <v>45873.581944444442</v>
      </c>
      <c r="O15" s="86"/>
      <c r="P15" s="86" t="s">
        <v>2843</v>
      </c>
      <c r="Q15" s="86" t="s">
        <v>2844</v>
      </c>
      <c r="R15" s="88" t="s">
        <v>2845</v>
      </c>
      <c r="S15" s="89" t="s">
        <v>2845</v>
      </c>
      <c r="T15" s="86" t="s">
        <v>2846</v>
      </c>
      <c r="U15" s="86" t="s">
        <v>2847</v>
      </c>
      <c r="V15" s="86" t="s">
        <v>2890</v>
      </c>
      <c r="W15" s="86" t="s">
        <v>2849</v>
      </c>
      <c r="X15" s="86">
        <v>0</v>
      </c>
      <c r="Y15" s="90" t="s">
        <v>230</v>
      </c>
      <c r="Z15" s="90" t="s">
        <v>145</v>
      </c>
      <c r="AA15" s="86" t="s">
        <v>338</v>
      </c>
      <c r="AB15" s="86">
        <v>1</v>
      </c>
      <c r="AC15" s="86">
        <v>0</v>
      </c>
      <c r="AD15" s="55">
        <f>IF(OR(W15="SOPORTE_TELEFÓNICO",W15="ENVÍO"),0,IF(Y15="TIPO I",'BASE DE LIQUIDACION 2025'!$I$4,IF(Y15="TIPO II",'BASE DE LIQUIDACION 2025'!$I$5,IF(Y15="TIPO III",'BASE DE LIQUIDACION 2025'!$I$6,IF(Y15="TIPO IV",'BASE DE LIQUIDACION 2025'!$I$7,'BASE DE LIQUIDACION 2025'!$I$8)))))</f>
        <v>344774.56896</v>
      </c>
      <c r="AE15" s="55">
        <f>IF(OR(W15="SOPORTE_TELEFÓNICO",W15="ENVÍO"),0,IF(Y15="TIPO I",'BASE DE LIQUIDACION 2025'!$J$4,IF(Y15="TIPO II",'BASE DE LIQUIDACION 2025'!$J$5,IF(Y15="TIPO III",'BASE DE LIQUIDACION 2025'!$J$6,IF(Y15="TIPO IV",'BASE DE LIQUIDACION 2025'!$J$7,'BASE DE LIQUIDACION 2025'!$J$8)))))</f>
        <v>110808.27512000001</v>
      </c>
      <c r="AF15" s="55">
        <f>IF(W15="SOPORTE_TELEFÓNICO",'BASE DE LIQUIDACION 2025'!$L$4,IF(W15="ENVÍO",'BASE DE LIQUIDACION 2025'!$K$4,AD15*AB15+AE15*AC15))</f>
        <v>344774.56896</v>
      </c>
    </row>
    <row r="16" spans="1:32" s="46" customFormat="1" ht="12.75">
      <c r="A16" s="86" t="s">
        <v>175</v>
      </c>
      <c r="B16" s="86" t="str">
        <f>VLOOKUP(A16,'CENTRO DE COSTOS'!A:D,4,FALSE)</f>
        <v>JUAN SEBASTIÁN RÍOS CASTRILLÓN</v>
      </c>
      <c r="C16" s="86" t="str">
        <f>VLOOKUP(A16,'CENTRO DE COSTOS'!A:D,2,FALSE)</f>
        <v>0004-0005</v>
      </c>
      <c r="D16" s="86">
        <v>5579</v>
      </c>
      <c r="E16" s="86">
        <v>2527233</v>
      </c>
      <c r="F16" s="86">
        <v>46941</v>
      </c>
      <c r="G16" s="86" t="s">
        <v>2840</v>
      </c>
      <c r="H16" s="86" t="s">
        <v>178</v>
      </c>
      <c r="I16" s="86" t="s">
        <v>2163</v>
      </c>
      <c r="J16" s="86" t="s">
        <v>2891</v>
      </c>
      <c r="K16" s="86" t="s">
        <v>137</v>
      </c>
      <c r="L16" s="86" t="s">
        <v>2892</v>
      </c>
      <c r="M16" s="87">
        <v>45868.493750000001</v>
      </c>
      <c r="N16" s="87">
        <v>45873.587500000001</v>
      </c>
      <c r="O16" s="86"/>
      <c r="P16" s="86" t="s">
        <v>2843</v>
      </c>
      <c r="Q16" s="86" t="s">
        <v>2844</v>
      </c>
      <c r="R16" s="88" t="s">
        <v>2845</v>
      </c>
      <c r="S16" s="89" t="s">
        <v>2845</v>
      </c>
      <c r="T16" s="86" t="s">
        <v>2846</v>
      </c>
      <c r="U16" s="86" t="s">
        <v>2847</v>
      </c>
      <c r="V16" s="86" t="s">
        <v>2893</v>
      </c>
      <c r="W16" s="86" t="s">
        <v>2849</v>
      </c>
      <c r="X16" s="86">
        <v>0</v>
      </c>
      <c r="Y16" s="90" t="s">
        <v>230</v>
      </c>
      <c r="Z16" s="90" t="s">
        <v>145</v>
      </c>
      <c r="AA16" s="86" t="s">
        <v>338</v>
      </c>
      <c r="AB16" s="86">
        <v>1</v>
      </c>
      <c r="AC16" s="86">
        <v>0</v>
      </c>
      <c r="AD16" s="55">
        <f>IF(OR(W16="SOPORTE_TELEFÓNICO",W16="ENVÍO"),0,IF(Y16="TIPO I",'BASE DE LIQUIDACION 2025'!$I$4,IF(Y16="TIPO II",'BASE DE LIQUIDACION 2025'!$I$5,IF(Y16="TIPO III",'BASE DE LIQUIDACION 2025'!$I$6,IF(Y16="TIPO IV",'BASE DE LIQUIDACION 2025'!$I$7,'BASE DE LIQUIDACION 2025'!$I$8)))))</f>
        <v>344774.56896</v>
      </c>
      <c r="AE16" s="55">
        <f>IF(OR(W16="SOPORTE_TELEFÓNICO",W16="ENVÍO"),0,IF(Y16="TIPO I",'BASE DE LIQUIDACION 2025'!$J$4,IF(Y16="TIPO II",'BASE DE LIQUIDACION 2025'!$J$5,IF(Y16="TIPO III",'BASE DE LIQUIDACION 2025'!$J$6,IF(Y16="TIPO IV",'BASE DE LIQUIDACION 2025'!$J$7,'BASE DE LIQUIDACION 2025'!$J$8)))))</f>
        <v>110808.27512000001</v>
      </c>
      <c r="AF16" s="55">
        <f>IF(W16="SOPORTE_TELEFÓNICO",'BASE DE LIQUIDACION 2025'!$L$4,IF(W16="ENVÍO",'BASE DE LIQUIDACION 2025'!$K$4,AD16*AB16+AE16*AC16))</f>
        <v>344774.56896</v>
      </c>
    </row>
    <row r="17" spans="1:32" s="46" customFormat="1" ht="12.75">
      <c r="A17" s="86" t="s">
        <v>431</v>
      </c>
      <c r="B17" s="86" t="str">
        <f>VLOOKUP(A17,'CENTRO DE COSTOS'!A:D,4,FALSE)</f>
        <v>WILLIAM ASDRUBAL ROZO ROZO</v>
      </c>
      <c r="C17" s="86" t="str">
        <f>VLOOKUP(A17,'CENTRO DE COSTOS'!A:D,2,FALSE)</f>
        <v>0004-0004</v>
      </c>
      <c r="D17" s="86">
        <v>11001</v>
      </c>
      <c r="E17" s="86">
        <v>2538511</v>
      </c>
      <c r="F17" s="86">
        <v>79615</v>
      </c>
      <c r="G17" s="86" t="s">
        <v>2840</v>
      </c>
      <c r="H17" s="86" t="s">
        <v>433</v>
      </c>
      <c r="I17" s="86" t="s">
        <v>431</v>
      </c>
      <c r="J17" s="86" t="s">
        <v>2894</v>
      </c>
      <c r="K17" s="86" t="s">
        <v>137</v>
      </c>
      <c r="L17" s="86" t="s">
        <v>2895</v>
      </c>
      <c r="M17" s="87">
        <v>45870.415972222225</v>
      </c>
      <c r="N17" s="87">
        <v>45873.715277777781</v>
      </c>
      <c r="O17" s="86"/>
      <c r="P17" s="86" t="s">
        <v>2843</v>
      </c>
      <c r="Q17" s="86" t="s">
        <v>2844</v>
      </c>
      <c r="R17" s="88" t="s">
        <v>2845</v>
      </c>
      <c r="S17" s="89" t="s">
        <v>2845</v>
      </c>
      <c r="T17" s="86" t="s">
        <v>2846</v>
      </c>
      <c r="U17" s="86" t="s">
        <v>2847</v>
      </c>
      <c r="V17" s="86" t="s">
        <v>2896</v>
      </c>
      <c r="W17" s="86" t="s">
        <v>2849</v>
      </c>
      <c r="X17" s="86">
        <v>0</v>
      </c>
      <c r="Y17" s="90" t="s">
        <v>52</v>
      </c>
      <c r="Z17" s="90" t="s">
        <v>145</v>
      </c>
      <c r="AA17" s="86" t="s">
        <v>551</v>
      </c>
      <c r="AB17" s="86">
        <v>1</v>
      </c>
      <c r="AC17" s="86">
        <v>0</v>
      </c>
      <c r="AD17" s="55">
        <f>IF(OR(W17="SOPORTE_TELEFÓNICO",W17="ENVÍO"),0,IF(Y17="TIPO I",'BASE DE LIQUIDACION 2025'!$I$4,IF(Y17="TIPO II",'BASE DE LIQUIDACION 2025'!$I$5,IF(Y17="TIPO III",'BASE DE LIQUIDACION 2025'!$I$6,IF(Y17="TIPO IV",'BASE DE LIQUIDACION 2025'!$I$7,'BASE DE LIQUIDACION 2025'!$I$8)))))</f>
        <v>96001.196280000004</v>
      </c>
      <c r="AE17" s="55">
        <f>IF(OR(W17="SOPORTE_TELEFÓNICO",W17="ENVÍO"),0,IF(Y17="TIPO I",'BASE DE LIQUIDACION 2025'!$J$4,IF(Y17="TIPO II",'BASE DE LIQUIDACION 2025'!$J$5,IF(Y17="TIPO III",'BASE DE LIQUIDACION 2025'!$J$6,IF(Y17="TIPO IV",'BASE DE LIQUIDACION 2025'!$J$7,'BASE DE LIQUIDACION 2025'!$J$8)))))</f>
        <v>57411.974240000003</v>
      </c>
      <c r="AF17" s="55">
        <f>IF(W17="SOPORTE_TELEFÓNICO",'BASE DE LIQUIDACION 2025'!$L$4,IF(W17="ENVÍO",'BASE DE LIQUIDACION 2025'!$K$4,AD17*AB17+AE17*AC17))</f>
        <v>96001.196280000004</v>
      </c>
    </row>
    <row r="18" spans="1:32" s="46" customFormat="1" ht="12.75">
      <c r="A18" s="86" t="s">
        <v>688</v>
      </c>
      <c r="B18" s="86" t="str">
        <f>VLOOKUP(A18,'CENTRO DE COSTOS'!A:D,4,FALSE)</f>
        <v>KEVIN ALEXIS CORZO BUSTOS</v>
      </c>
      <c r="C18" s="86" t="str">
        <f>VLOOKUP(A18,'CENTRO DE COSTOS'!A:D,2,FALSE)</f>
        <v>0004-0007</v>
      </c>
      <c r="D18" s="86">
        <v>73001</v>
      </c>
      <c r="E18" s="86">
        <v>2510860</v>
      </c>
      <c r="F18" s="86">
        <v>74921</v>
      </c>
      <c r="G18" s="86" t="s">
        <v>2840</v>
      </c>
      <c r="H18" s="86" t="s">
        <v>690</v>
      </c>
      <c r="I18" s="86" t="s">
        <v>688</v>
      </c>
      <c r="J18" s="86" t="s">
        <v>2897</v>
      </c>
      <c r="K18" s="86" t="s">
        <v>137</v>
      </c>
      <c r="L18" s="86" t="s">
        <v>2898</v>
      </c>
      <c r="M18" s="87">
        <v>45866.390972222223</v>
      </c>
      <c r="N18" s="87">
        <v>45873.731249999997</v>
      </c>
      <c r="O18" s="86"/>
      <c r="P18" s="86" t="s">
        <v>2843</v>
      </c>
      <c r="Q18" s="86" t="s">
        <v>2844</v>
      </c>
      <c r="R18" s="88" t="s">
        <v>2845</v>
      </c>
      <c r="S18" s="89" t="s">
        <v>2845</v>
      </c>
      <c r="T18" s="86" t="s">
        <v>2846</v>
      </c>
      <c r="U18" s="86" t="s">
        <v>2847</v>
      </c>
      <c r="V18" s="86" t="s">
        <v>2899</v>
      </c>
      <c r="W18" s="86" t="s">
        <v>2849</v>
      </c>
      <c r="X18" s="86">
        <v>0</v>
      </c>
      <c r="Y18" s="90" t="s">
        <v>52</v>
      </c>
      <c r="Z18" s="90" t="s">
        <v>145</v>
      </c>
      <c r="AA18" s="86" t="s">
        <v>940</v>
      </c>
      <c r="AB18" s="86">
        <v>1</v>
      </c>
      <c r="AC18" s="86">
        <v>0</v>
      </c>
      <c r="AD18" s="55">
        <f>IF(OR(W18="SOPORTE_TELEFÓNICO",W18="ENVÍO"),0,IF(Y18="TIPO I",'BASE DE LIQUIDACION 2025'!$I$4,IF(Y18="TIPO II",'BASE DE LIQUIDACION 2025'!$I$5,IF(Y18="TIPO III",'BASE DE LIQUIDACION 2025'!$I$6,IF(Y18="TIPO IV",'BASE DE LIQUIDACION 2025'!$I$7,'BASE DE LIQUIDACION 2025'!$I$8)))))</f>
        <v>96001.196280000004</v>
      </c>
      <c r="AE18" s="55">
        <f>IF(OR(W18="SOPORTE_TELEFÓNICO",W18="ENVÍO"),0,IF(Y18="TIPO I",'BASE DE LIQUIDACION 2025'!$J$4,IF(Y18="TIPO II",'BASE DE LIQUIDACION 2025'!$J$5,IF(Y18="TIPO III",'BASE DE LIQUIDACION 2025'!$J$6,IF(Y18="TIPO IV",'BASE DE LIQUIDACION 2025'!$J$7,'BASE DE LIQUIDACION 2025'!$J$8)))))</f>
        <v>57411.974240000003</v>
      </c>
      <c r="AF18" s="55">
        <f>IF(W18="SOPORTE_TELEFÓNICO",'BASE DE LIQUIDACION 2025'!$L$4,IF(W18="ENVÍO",'BASE DE LIQUIDACION 2025'!$K$4,AD18*AB18+AE18*AC18))</f>
        <v>96001.196280000004</v>
      </c>
    </row>
    <row r="19" spans="1:32" s="46" customFormat="1" ht="12.75">
      <c r="A19" s="86" t="s">
        <v>130</v>
      </c>
      <c r="B19" s="86" t="str">
        <f>VLOOKUP(A19,'CENTRO DE COSTOS'!A:D,4,FALSE)</f>
        <v>KEVIN ALEXIS CORZO BUSTOS</v>
      </c>
      <c r="C19" s="86" t="str">
        <f>VLOOKUP(A19,'CENTRO DE COSTOS'!A:D,2,FALSE)</f>
        <v>0004-0007</v>
      </c>
      <c r="D19" s="86">
        <v>41001</v>
      </c>
      <c r="E19" s="86">
        <v>2543697</v>
      </c>
      <c r="F19" s="86">
        <v>75076</v>
      </c>
      <c r="G19" s="86" t="s">
        <v>2840</v>
      </c>
      <c r="H19" s="86" t="s">
        <v>213</v>
      </c>
      <c r="I19" s="86" t="s">
        <v>130</v>
      </c>
      <c r="J19" s="86" t="s">
        <v>2900</v>
      </c>
      <c r="K19" s="86" t="s">
        <v>137</v>
      </c>
      <c r="L19" s="86" t="s">
        <v>2901</v>
      </c>
      <c r="M19" s="87">
        <v>45873.333333333336</v>
      </c>
      <c r="N19" s="87">
        <v>45874.467361111114</v>
      </c>
      <c r="O19" s="86"/>
      <c r="P19" s="86" t="s">
        <v>2843</v>
      </c>
      <c r="Q19" s="86" t="s">
        <v>2844</v>
      </c>
      <c r="R19" s="88" t="s">
        <v>2845</v>
      </c>
      <c r="S19" s="89" t="s">
        <v>2845</v>
      </c>
      <c r="T19" s="86" t="s">
        <v>2846</v>
      </c>
      <c r="U19" s="86" t="s">
        <v>2847</v>
      </c>
      <c r="V19" s="86" t="s">
        <v>2902</v>
      </c>
      <c r="W19" s="86" t="s">
        <v>2849</v>
      </c>
      <c r="X19" s="86">
        <v>0</v>
      </c>
      <c r="Y19" s="90" t="s">
        <v>52</v>
      </c>
      <c r="Z19" s="90" t="s">
        <v>145</v>
      </c>
      <c r="AA19" s="86" t="s">
        <v>142</v>
      </c>
      <c r="AB19" s="86">
        <v>1</v>
      </c>
      <c r="AC19" s="86">
        <v>0</v>
      </c>
      <c r="AD19" s="55">
        <f>IF(OR(W19="SOPORTE_TELEFÓNICO",W19="ENVÍO"),0,IF(Y19="TIPO I",'BASE DE LIQUIDACION 2025'!$I$4,IF(Y19="TIPO II",'BASE DE LIQUIDACION 2025'!$I$5,IF(Y19="TIPO III",'BASE DE LIQUIDACION 2025'!$I$6,IF(Y19="TIPO IV",'BASE DE LIQUIDACION 2025'!$I$7,'BASE DE LIQUIDACION 2025'!$I$8)))))</f>
        <v>96001.196280000004</v>
      </c>
      <c r="AE19" s="55">
        <f>IF(OR(W19="SOPORTE_TELEFÓNICO",W19="ENVÍO"),0,IF(Y19="TIPO I",'BASE DE LIQUIDACION 2025'!$J$4,IF(Y19="TIPO II",'BASE DE LIQUIDACION 2025'!$J$5,IF(Y19="TIPO III",'BASE DE LIQUIDACION 2025'!$J$6,IF(Y19="TIPO IV",'BASE DE LIQUIDACION 2025'!$J$7,'BASE DE LIQUIDACION 2025'!$J$8)))))</f>
        <v>57411.974240000003</v>
      </c>
      <c r="AF19" s="55">
        <f>IF(W19="SOPORTE_TELEFÓNICO",'BASE DE LIQUIDACION 2025'!$L$4,IF(W19="ENVÍO",'BASE DE LIQUIDACION 2025'!$K$4,AD19*AB19+AE19*AC19))</f>
        <v>96001.196280000004</v>
      </c>
    </row>
    <row r="20" spans="1:32" s="46" customFormat="1" ht="12.75">
      <c r="A20" s="86" t="s">
        <v>371</v>
      </c>
      <c r="B20" s="86" t="str">
        <f>VLOOKUP(A20,'CENTRO DE COSTOS'!A:D,4,FALSE)</f>
        <v>JOSE MAURICIO HERNANDEZ ROJAS</v>
      </c>
      <c r="C20" s="86" t="str">
        <f>VLOOKUP(A20,'CENTRO DE COSTOS'!A:D,2,FALSE)</f>
        <v>0004-0001</v>
      </c>
      <c r="D20" s="86">
        <v>70001</v>
      </c>
      <c r="E20" s="86">
        <v>2526269</v>
      </c>
      <c r="F20" s="86">
        <v>50683</v>
      </c>
      <c r="G20" s="86" t="s">
        <v>2840</v>
      </c>
      <c r="H20" s="86" t="s">
        <v>373</v>
      </c>
      <c r="I20" s="86" t="s">
        <v>371</v>
      </c>
      <c r="J20" s="86" t="s">
        <v>2903</v>
      </c>
      <c r="K20" s="86" t="s">
        <v>137</v>
      </c>
      <c r="L20" s="86" t="s">
        <v>2904</v>
      </c>
      <c r="M20" s="87">
        <v>45868.447916666664</v>
      </c>
      <c r="N20" s="87">
        <v>45874.597916666666</v>
      </c>
      <c r="O20" s="86"/>
      <c r="P20" s="86" t="s">
        <v>2843</v>
      </c>
      <c r="Q20" s="86" t="s">
        <v>2844</v>
      </c>
      <c r="R20" s="88" t="s">
        <v>2845</v>
      </c>
      <c r="S20" s="89" t="s">
        <v>2845</v>
      </c>
      <c r="T20" s="86" t="s">
        <v>2846</v>
      </c>
      <c r="U20" s="86" t="s">
        <v>2847</v>
      </c>
      <c r="V20" s="86" t="s">
        <v>2905</v>
      </c>
      <c r="W20" s="86" t="s">
        <v>2849</v>
      </c>
      <c r="X20" s="86">
        <v>0</v>
      </c>
      <c r="Y20" s="90" t="s">
        <v>52</v>
      </c>
      <c r="Z20" s="90" t="s">
        <v>145</v>
      </c>
      <c r="AA20" s="86" t="s">
        <v>1860</v>
      </c>
      <c r="AB20" s="86">
        <v>1</v>
      </c>
      <c r="AC20" s="86">
        <v>0</v>
      </c>
      <c r="AD20" s="55">
        <f>IF(OR(W20="SOPORTE_TELEFÓNICO",W20="ENVÍO"),0,IF(Y20="TIPO I",'BASE DE LIQUIDACION 2025'!$I$4,IF(Y20="TIPO II",'BASE DE LIQUIDACION 2025'!$I$5,IF(Y20="TIPO III",'BASE DE LIQUIDACION 2025'!$I$6,IF(Y20="TIPO IV",'BASE DE LIQUIDACION 2025'!$I$7,'BASE DE LIQUIDACION 2025'!$I$8)))))</f>
        <v>96001.196280000004</v>
      </c>
      <c r="AE20" s="55">
        <f>IF(OR(W20="SOPORTE_TELEFÓNICO",W20="ENVÍO"),0,IF(Y20="TIPO I",'BASE DE LIQUIDACION 2025'!$J$4,IF(Y20="TIPO II",'BASE DE LIQUIDACION 2025'!$J$5,IF(Y20="TIPO III",'BASE DE LIQUIDACION 2025'!$J$6,IF(Y20="TIPO IV",'BASE DE LIQUIDACION 2025'!$J$7,'BASE DE LIQUIDACION 2025'!$J$8)))))</f>
        <v>57411.974240000003</v>
      </c>
      <c r="AF20" s="55">
        <f>IF(W20="SOPORTE_TELEFÓNICO",'BASE DE LIQUIDACION 2025'!$L$4,IF(W20="ENVÍO",'BASE DE LIQUIDACION 2025'!$K$4,AD20*AB20+AE20*AC20))</f>
        <v>96001.196280000004</v>
      </c>
    </row>
    <row r="21" spans="1:32" s="46" customFormat="1" ht="12.75">
      <c r="A21" s="86" t="s">
        <v>431</v>
      </c>
      <c r="B21" s="86" t="str">
        <f>VLOOKUP(A21,'CENTRO DE COSTOS'!A:D,4,FALSE)</f>
        <v>WILLIAM ASDRUBAL ROZO ROZO</v>
      </c>
      <c r="C21" s="86" t="str">
        <f>VLOOKUP(A21,'CENTRO DE COSTOS'!A:D,2,FALSE)</f>
        <v>0004-0004</v>
      </c>
      <c r="D21" s="86">
        <v>11001</v>
      </c>
      <c r="E21" s="86">
        <v>2530001</v>
      </c>
      <c r="F21" s="86">
        <v>70888</v>
      </c>
      <c r="G21" s="86" t="s">
        <v>2840</v>
      </c>
      <c r="H21" s="86" t="s">
        <v>433</v>
      </c>
      <c r="I21" s="86" t="s">
        <v>431</v>
      </c>
      <c r="J21" s="86" t="s">
        <v>2906</v>
      </c>
      <c r="K21" s="86" t="s">
        <v>137</v>
      </c>
      <c r="L21" s="86" t="s">
        <v>2907</v>
      </c>
      <c r="M21" s="87">
        <v>45868.73333333333</v>
      </c>
      <c r="N21" s="87">
        <v>45874.661805555559</v>
      </c>
      <c r="O21" s="86"/>
      <c r="P21" s="86" t="s">
        <v>2843</v>
      </c>
      <c r="Q21" s="86" t="s">
        <v>2844</v>
      </c>
      <c r="R21" s="88" t="s">
        <v>181</v>
      </c>
      <c r="S21" s="89" t="s">
        <v>707</v>
      </c>
      <c r="T21" s="86" t="s">
        <v>2846</v>
      </c>
      <c r="U21" s="86" t="s">
        <v>2847</v>
      </c>
      <c r="V21" s="86" t="s">
        <v>2908</v>
      </c>
      <c r="W21" s="86" t="s">
        <v>2849</v>
      </c>
      <c r="X21" s="86">
        <v>0</v>
      </c>
      <c r="Y21" s="90" t="s">
        <v>52</v>
      </c>
      <c r="Z21" s="90" t="s">
        <v>145</v>
      </c>
      <c r="AA21" s="86" t="s">
        <v>667</v>
      </c>
      <c r="AB21" s="86">
        <v>1</v>
      </c>
      <c r="AC21" s="86">
        <v>0</v>
      </c>
      <c r="AD21" s="55">
        <f>IF(OR(W21="SOPORTE_TELEFÓNICO",W21="ENVÍO"),0,IF(Y21="TIPO I",'BASE DE LIQUIDACION 2025'!$I$4,IF(Y21="TIPO II",'BASE DE LIQUIDACION 2025'!$I$5,IF(Y21="TIPO III",'BASE DE LIQUIDACION 2025'!$I$6,IF(Y21="TIPO IV",'BASE DE LIQUIDACION 2025'!$I$7,'BASE DE LIQUIDACION 2025'!$I$8)))))</f>
        <v>96001.196280000004</v>
      </c>
      <c r="AE21" s="55">
        <f>IF(OR(W21="SOPORTE_TELEFÓNICO",W21="ENVÍO"),0,IF(Y21="TIPO I",'BASE DE LIQUIDACION 2025'!$J$4,IF(Y21="TIPO II",'BASE DE LIQUIDACION 2025'!$J$5,IF(Y21="TIPO III",'BASE DE LIQUIDACION 2025'!$J$6,IF(Y21="TIPO IV",'BASE DE LIQUIDACION 2025'!$J$7,'BASE DE LIQUIDACION 2025'!$J$8)))))</f>
        <v>57411.974240000003</v>
      </c>
      <c r="AF21" s="55">
        <f>IF(W21="SOPORTE_TELEFÓNICO",'BASE DE LIQUIDACION 2025'!$L$4,IF(W21="ENVÍO",'BASE DE LIQUIDACION 2025'!$K$4,AD21*AB21+AE21*AC21))</f>
        <v>96001.196280000004</v>
      </c>
    </row>
    <row r="22" spans="1:32" s="46" customFormat="1" ht="12.75">
      <c r="A22" s="86" t="s">
        <v>285</v>
      </c>
      <c r="B22" s="86" t="str">
        <f>VLOOKUP(A22,'CENTRO DE COSTOS'!A:D,4,FALSE)</f>
        <v>MIGUEL JULIÁN HERNÁNDEZ GUARÍN</v>
      </c>
      <c r="C22" s="86" t="str">
        <f>VLOOKUP(A22,'CENTRO DE COSTOS'!A:D,2,FALSE)</f>
        <v>0004-0008</v>
      </c>
      <c r="D22" s="86">
        <v>54001</v>
      </c>
      <c r="E22" s="86">
        <v>2546216</v>
      </c>
      <c r="F22" s="86">
        <v>74283</v>
      </c>
      <c r="G22" s="86" t="s">
        <v>2840</v>
      </c>
      <c r="H22" s="86" t="s">
        <v>287</v>
      </c>
      <c r="I22" s="86" t="s">
        <v>285</v>
      </c>
      <c r="J22" s="86" t="s">
        <v>2909</v>
      </c>
      <c r="K22" s="86" t="s">
        <v>137</v>
      </c>
      <c r="L22" s="86" t="s">
        <v>2910</v>
      </c>
      <c r="M22" s="87">
        <v>45873.375</v>
      </c>
      <c r="N22" s="87">
        <v>45874.673611111109</v>
      </c>
      <c r="O22" s="86"/>
      <c r="P22" s="86" t="s">
        <v>2843</v>
      </c>
      <c r="Q22" s="86" t="s">
        <v>2844</v>
      </c>
      <c r="R22" s="88" t="s">
        <v>2845</v>
      </c>
      <c r="S22" s="89" t="s">
        <v>2845</v>
      </c>
      <c r="T22" s="86" t="s">
        <v>2846</v>
      </c>
      <c r="U22" s="86" t="s">
        <v>2847</v>
      </c>
      <c r="V22" s="86" t="s">
        <v>2911</v>
      </c>
      <c r="W22" s="86" t="s">
        <v>2849</v>
      </c>
      <c r="X22" s="86">
        <v>0</v>
      </c>
      <c r="Y22" s="90" t="s">
        <v>52</v>
      </c>
      <c r="Z22" s="90" t="s">
        <v>145</v>
      </c>
      <c r="AA22" s="86" t="s">
        <v>358</v>
      </c>
      <c r="AB22" s="86">
        <v>1</v>
      </c>
      <c r="AC22" s="86">
        <v>0</v>
      </c>
      <c r="AD22" s="55">
        <f>IF(OR(W22="SOPORTE_TELEFÓNICO",W22="ENVÍO"),0,IF(Y22="TIPO I",'BASE DE LIQUIDACION 2025'!$I$4,IF(Y22="TIPO II",'BASE DE LIQUIDACION 2025'!$I$5,IF(Y22="TIPO III",'BASE DE LIQUIDACION 2025'!$I$6,IF(Y22="TIPO IV",'BASE DE LIQUIDACION 2025'!$I$7,'BASE DE LIQUIDACION 2025'!$I$8)))))</f>
        <v>96001.196280000004</v>
      </c>
      <c r="AE22" s="55">
        <f>IF(OR(W22="SOPORTE_TELEFÓNICO",W22="ENVÍO"),0,IF(Y22="TIPO I",'BASE DE LIQUIDACION 2025'!$J$4,IF(Y22="TIPO II",'BASE DE LIQUIDACION 2025'!$J$5,IF(Y22="TIPO III",'BASE DE LIQUIDACION 2025'!$J$6,IF(Y22="TIPO IV",'BASE DE LIQUIDACION 2025'!$J$7,'BASE DE LIQUIDACION 2025'!$J$8)))))</f>
        <v>57411.974240000003</v>
      </c>
      <c r="AF22" s="55">
        <f>IF(W22="SOPORTE_TELEFÓNICO",'BASE DE LIQUIDACION 2025'!$L$4,IF(W22="ENVÍO",'BASE DE LIQUIDACION 2025'!$K$4,AD22*AB22+AE22*AC22))</f>
        <v>96001.196280000004</v>
      </c>
    </row>
    <row r="23" spans="1:32" s="46" customFormat="1" ht="12.75">
      <c r="A23" s="86" t="s">
        <v>688</v>
      </c>
      <c r="B23" s="86" t="str">
        <f>VLOOKUP(A23,'CENTRO DE COSTOS'!A:D,4,FALSE)</f>
        <v>KEVIN ALEXIS CORZO BUSTOS</v>
      </c>
      <c r="C23" s="86" t="str">
        <f>VLOOKUP(A23,'CENTRO DE COSTOS'!A:D,2,FALSE)</f>
        <v>0004-0007</v>
      </c>
      <c r="D23" s="86">
        <v>73001</v>
      </c>
      <c r="E23" s="86">
        <v>2551593</v>
      </c>
      <c r="F23" s="86">
        <v>17384</v>
      </c>
      <c r="G23" s="86" t="s">
        <v>2840</v>
      </c>
      <c r="H23" s="86" t="s">
        <v>690</v>
      </c>
      <c r="I23" s="86" t="s">
        <v>688</v>
      </c>
      <c r="J23" s="86" t="s">
        <v>2912</v>
      </c>
      <c r="K23" s="86" t="s">
        <v>137</v>
      </c>
      <c r="L23" s="86" t="s">
        <v>2913</v>
      </c>
      <c r="M23" s="87">
        <v>45873.686805555553</v>
      </c>
      <c r="N23" s="87">
        <v>45874.676388888889</v>
      </c>
      <c r="O23" s="86"/>
      <c r="P23" s="86" t="s">
        <v>2843</v>
      </c>
      <c r="Q23" s="86" t="s">
        <v>2844</v>
      </c>
      <c r="R23" s="88" t="s">
        <v>2845</v>
      </c>
      <c r="S23" s="89" t="s">
        <v>2845</v>
      </c>
      <c r="T23" s="86" t="s">
        <v>2846</v>
      </c>
      <c r="U23" s="86" t="s">
        <v>2847</v>
      </c>
      <c r="V23" s="86" t="s">
        <v>2914</v>
      </c>
      <c r="W23" s="86" t="s">
        <v>2849</v>
      </c>
      <c r="X23" s="86">
        <v>0</v>
      </c>
      <c r="Y23" s="90" t="s">
        <v>52</v>
      </c>
      <c r="Z23" s="90" t="s">
        <v>145</v>
      </c>
      <c r="AA23" s="86" t="s">
        <v>694</v>
      </c>
      <c r="AB23" s="86">
        <v>1</v>
      </c>
      <c r="AC23" s="86">
        <v>0</v>
      </c>
      <c r="AD23" s="55">
        <f>IF(OR(W23="SOPORTE_TELEFÓNICO",W23="ENVÍO"),0,IF(Y23="TIPO I",'BASE DE LIQUIDACION 2025'!$I$4,IF(Y23="TIPO II",'BASE DE LIQUIDACION 2025'!$I$5,IF(Y23="TIPO III",'BASE DE LIQUIDACION 2025'!$I$6,IF(Y23="TIPO IV",'BASE DE LIQUIDACION 2025'!$I$7,'BASE DE LIQUIDACION 2025'!$I$8)))))</f>
        <v>96001.196280000004</v>
      </c>
      <c r="AE23" s="55">
        <f>IF(OR(W23="SOPORTE_TELEFÓNICO",W23="ENVÍO"),0,IF(Y23="TIPO I",'BASE DE LIQUIDACION 2025'!$J$4,IF(Y23="TIPO II",'BASE DE LIQUIDACION 2025'!$J$5,IF(Y23="TIPO III",'BASE DE LIQUIDACION 2025'!$J$6,IF(Y23="TIPO IV",'BASE DE LIQUIDACION 2025'!$J$7,'BASE DE LIQUIDACION 2025'!$J$8)))))</f>
        <v>57411.974240000003</v>
      </c>
      <c r="AF23" s="55">
        <f>IF(W23="SOPORTE_TELEFÓNICO",'BASE DE LIQUIDACION 2025'!$L$4,IF(W23="ENVÍO",'BASE DE LIQUIDACION 2025'!$K$4,AD23*AB23+AE23*AC23))</f>
        <v>96001.196280000004</v>
      </c>
    </row>
    <row r="24" spans="1:32" s="46" customFormat="1" ht="12.75">
      <c r="A24" s="86" t="s">
        <v>285</v>
      </c>
      <c r="B24" s="86" t="str">
        <f>VLOOKUP(A24,'CENTRO DE COSTOS'!A:D,4,FALSE)</f>
        <v>MIGUEL JULIÁN HERNÁNDEZ GUARÍN</v>
      </c>
      <c r="C24" s="86" t="str">
        <f>VLOOKUP(A24,'CENTRO DE COSTOS'!A:D,2,FALSE)</f>
        <v>0004-0008</v>
      </c>
      <c r="D24" s="86">
        <v>54001</v>
      </c>
      <c r="E24" s="86">
        <v>2550413</v>
      </c>
      <c r="F24" s="86">
        <v>80261</v>
      </c>
      <c r="G24" s="86" t="s">
        <v>2840</v>
      </c>
      <c r="H24" s="86" t="s">
        <v>287</v>
      </c>
      <c r="I24" s="86" t="s">
        <v>285</v>
      </c>
      <c r="J24" s="86" t="s">
        <v>2915</v>
      </c>
      <c r="K24" s="86" t="s">
        <v>137</v>
      </c>
      <c r="L24" s="86" t="s">
        <v>2916</v>
      </c>
      <c r="M24" s="87">
        <v>45873.615277777775</v>
      </c>
      <c r="N24" s="87">
        <v>45874.678472222222</v>
      </c>
      <c r="O24" s="86"/>
      <c r="P24" s="86" t="s">
        <v>2843</v>
      </c>
      <c r="Q24" s="86" t="s">
        <v>2844</v>
      </c>
      <c r="R24" s="88" t="s">
        <v>2845</v>
      </c>
      <c r="S24" s="89" t="s">
        <v>2845</v>
      </c>
      <c r="T24" s="86" t="s">
        <v>2846</v>
      </c>
      <c r="U24" s="86" t="s">
        <v>2847</v>
      </c>
      <c r="V24" s="86" t="s">
        <v>2917</v>
      </c>
      <c r="W24" s="86" t="s">
        <v>2849</v>
      </c>
      <c r="X24" s="86">
        <v>0</v>
      </c>
      <c r="Y24" s="90" t="s">
        <v>52</v>
      </c>
      <c r="Z24" s="90" t="s">
        <v>145</v>
      </c>
      <c r="AA24" s="86" t="s">
        <v>644</v>
      </c>
      <c r="AB24" s="86">
        <v>1</v>
      </c>
      <c r="AC24" s="86">
        <v>0</v>
      </c>
      <c r="AD24" s="55">
        <f>IF(OR(W24="SOPORTE_TELEFÓNICO",W24="ENVÍO"),0,IF(Y24="TIPO I",'BASE DE LIQUIDACION 2025'!$I$4,IF(Y24="TIPO II",'BASE DE LIQUIDACION 2025'!$I$5,IF(Y24="TIPO III",'BASE DE LIQUIDACION 2025'!$I$6,IF(Y24="TIPO IV",'BASE DE LIQUIDACION 2025'!$I$7,'BASE DE LIQUIDACION 2025'!$I$8)))))</f>
        <v>96001.196280000004</v>
      </c>
      <c r="AE24" s="55">
        <f>IF(OR(W24="SOPORTE_TELEFÓNICO",W24="ENVÍO"),0,IF(Y24="TIPO I",'BASE DE LIQUIDACION 2025'!$J$4,IF(Y24="TIPO II",'BASE DE LIQUIDACION 2025'!$J$5,IF(Y24="TIPO III",'BASE DE LIQUIDACION 2025'!$J$6,IF(Y24="TIPO IV",'BASE DE LIQUIDACION 2025'!$J$7,'BASE DE LIQUIDACION 2025'!$J$8)))))</f>
        <v>57411.974240000003</v>
      </c>
      <c r="AF24" s="55">
        <f>IF(W24="SOPORTE_TELEFÓNICO",'BASE DE LIQUIDACION 2025'!$L$4,IF(W24="ENVÍO",'BASE DE LIQUIDACION 2025'!$K$4,AD24*AB24+AE24*AC24))</f>
        <v>96001.196280000004</v>
      </c>
    </row>
    <row r="25" spans="1:32" s="46" customFormat="1" ht="12.75">
      <c r="A25" s="86" t="s">
        <v>175</v>
      </c>
      <c r="B25" s="86" t="str">
        <f>VLOOKUP(A25,'CENTRO DE COSTOS'!A:D,4,FALSE)</f>
        <v>JUAN SEBASTIÁN RÍOS CASTRILLÓN</v>
      </c>
      <c r="C25" s="86" t="str">
        <f>VLOOKUP(A25,'CENTRO DE COSTOS'!A:D,2,FALSE)</f>
        <v>0004-0005</v>
      </c>
      <c r="D25" s="86">
        <v>5390</v>
      </c>
      <c r="E25" s="86">
        <v>2530150</v>
      </c>
      <c r="F25" s="86">
        <v>44859</v>
      </c>
      <c r="G25" s="86" t="s">
        <v>2840</v>
      </c>
      <c r="H25" s="86" t="s">
        <v>178</v>
      </c>
      <c r="I25" s="86" t="s">
        <v>2918</v>
      </c>
      <c r="J25" s="86" t="s">
        <v>2919</v>
      </c>
      <c r="K25" s="86" t="s">
        <v>137</v>
      </c>
      <c r="L25" s="86" t="s">
        <v>2920</v>
      </c>
      <c r="M25" s="87">
        <v>45869.333333333336</v>
      </c>
      <c r="N25" s="87">
        <v>45874.688888888886</v>
      </c>
      <c r="O25" s="86"/>
      <c r="P25" s="86" t="s">
        <v>2843</v>
      </c>
      <c r="Q25" s="86" t="s">
        <v>2844</v>
      </c>
      <c r="R25" s="88" t="s">
        <v>181</v>
      </c>
      <c r="S25" s="89" t="s">
        <v>707</v>
      </c>
      <c r="T25" s="86" t="s">
        <v>2846</v>
      </c>
      <c r="U25" s="86" t="s">
        <v>2847</v>
      </c>
      <c r="V25" s="86" t="s">
        <v>2921</v>
      </c>
      <c r="W25" s="86" t="s">
        <v>2849</v>
      </c>
      <c r="X25" s="86">
        <v>0</v>
      </c>
      <c r="Y25" s="90" t="s">
        <v>202</v>
      </c>
      <c r="Z25" s="90" t="s">
        <v>145</v>
      </c>
      <c r="AA25" s="86" t="s">
        <v>2922</v>
      </c>
      <c r="AB25" s="86">
        <v>1</v>
      </c>
      <c r="AC25" s="86">
        <v>0</v>
      </c>
      <c r="AD25" s="55">
        <f>IF(OR(W25="SOPORTE_TELEFÓNICO",W25="ENVÍO"),0,IF(Y25="TIPO I",'BASE DE LIQUIDACION 2025'!$I$4,IF(Y25="TIPO II",'BASE DE LIQUIDACION 2025'!$I$5,IF(Y25="TIPO III",'BASE DE LIQUIDACION 2025'!$I$6,IF(Y25="TIPO IV",'BASE DE LIQUIDACION 2025'!$I$7,'BASE DE LIQUIDACION 2025'!$I$8)))))</f>
        <v>232858.60096000001</v>
      </c>
      <c r="AE25" s="55">
        <f>IF(OR(W25="SOPORTE_TELEFÓNICO",W25="ENVÍO"),0,IF(Y25="TIPO I",'BASE DE LIQUIDACION 2025'!$J$4,IF(Y25="TIPO II",'BASE DE LIQUIDACION 2025'!$J$5,IF(Y25="TIPO III",'BASE DE LIQUIDACION 2025'!$J$6,IF(Y25="TIPO IV",'BASE DE LIQUIDACION 2025'!$J$7,'BASE DE LIQUIDACION 2025'!$J$8)))))</f>
        <v>110808.27512000001</v>
      </c>
      <c r="AF25" s="55">
        <f>IF(W25="SOPORTE_TELEFÓNICO",'BASE DE LIQUIDACION 2025'!$L$4,IF(W25="ENVÍO",'BASE DE LIQUIDACION 2025'!$K$4,AD25*AB25+AE25*AC25))</f>
        <v>232858.60096000001</v>
      </c>
    </row>
    <row r="26" spans="1:32" s="46" customFormat="1" ht="12.75">
      <c r="A26" s="86" t="s">
        <v>688</v>
      </c>
      <c r="B26" s="86" t="str">
        <f>VLOOKUP(A26,'CENTRO DE COSTOS'!A:D,4,FALSE)</f>
        <v>KEVIN ALEXIS CORZO BUSTOS</v>
      </c>
      <c r="C26" s="86" t="str">
        <f>VLOOKUP(A26,'CENTRO DE COSTOS'!A:D,2,FALSE)</f>
        <v>0004-0007</v>
      </c>
      <c r="D26" s="86">
        <v>73001</v>
      </c>
      <c r="E26" s="86">
        <v>2507891</v>
      </c>
      <c r="F26" s="86">
        <v>80609</v>
      </c>
      <c r="G26" s="86" t="s">
        <v>2840</v>
      </c>
      <c r="H26" s="86" t="s">
        <v>690</v>
      </c>
      <c r="I26" s="86" t="s">
        <v>688</v>
      </c>
      <c r="J26" s="86" t="s">
        <v>2923</v>
      </c>
      <c r="K26" s="86" t="s">
        <v>137</v>
      </c>
      <c r="L26" s="86" t="s">
        <v>2924</v>
      </c>
      <c r="M26" s="87">
        <v>45864.473611111112</v>
      </c>
      <c r="N26" s="87">
        <v>45875.340277777781</v>
      </c>
      <c r="O26" s="86"/>
      <c r="P26" s="86" t="s">
        <v>2843</v>
      </c>
      <c r="Q26" s="86" t="s">
        <v>2843</v>
      </c>
      <c r="R26" s="88" t="s">
        <v>2845</v>
      </c>
      <c r="S26" s="89" t="s">
        <v>2845</v>
      </c>
      <c r="T26" s="86" t="s">
        <v>2846</v>
      </c>
      <c r="U26" s="86" t="s">
        <v>2847</v>
      </c>
      <c r="V26" s="86" t="s">
        <v>2925</v>
      </c>
      <c r="W26" s="86" t="s">
        <v>2849</v>
      </c>
      <c r="X26" s="86">
        <v>0</v>
      </c>
      <c r="Y26" s="90" t="s">
        <v>52</v>
      </c>
      <c r="Z26" s="90" t="s">
        <v>145</v>
      </c>
      <c r="AA26" s="86" t="s">
        <v>940</v>
      </c>
      <c r="AB26" s="86">
        <v>1</v>
      </c>
      <c r="AC26" s="86">
        <v>0</v>
      </c>
      <c r="AD26" s="55">
        <f>IF(OR(W26="SOPORTE_TELEFÓNICO",W26="ENVÍO"),0,IF(Y26="TIPO I",'BASE DE LIQUIDACION 2025'!$I$4,IF(Y26="TIPO II",'BASE DE LIQUIDACION 2025'!$I$5,IF(Y26="TIPO III",'BASE DE LIQUIDACION 2025'!$I$6,IF(Y26="TIPO IV",'BASE DE LIQUIDACION 2025'!$I$7,'BASE DE LIQUIDACION 2025'!$I$8)))))</f>
        <v>96001.196280000004</v>
      </c>
      <c r="AE26" s="55">
        <f>IF(OR(W26="SOPORTE_TELEFÓNICO",W26="ENVÍO"),0,IF(Y26="TIPO I",'BASE DE LIQUIDACION 2025'!$J$4,IF(Y26="TIPO II",'BASE DE LIQUIDACION 2025'!$J$5,IF(Y26="TIPO III",'BASE DE LIQUIDACION 2025'!$J$6,IF(Y26="TIPO IV",'BASE DE LIQUIDACION 2025'!$J$7,'BASE DE LIQUIDACION 2025'!$J$8)))))</f>
        <v>57411.974240000003</v>
      </c>
      <c r="AF26" s="55">
        <f>IF(W26="SOPORTE_TELEFÓNICO",'BASE DE LIQUIDACION 2025'!$L$4,IF(W26="ENVÍO",'BASE DE LIQUIDACION 2025'!$K$4,AD26*AB26+AE26*AC26))</f>
        <v>96001.196280000004</v>
      </c>
    </row>
    <row r="27" spans="1:32" s="46" customFormat="1" ht="12.75">
      <c r="A27" s="86" t="s">
        <v>431</v>
      </c>
      <c r="B27" s="86" t="str">
        <f>VLOOKUP(A27,'CENTRO DE COSTOS'!A:D,4,FALSE)</f>
        <v>WILLIAM ASDRUBAL ROZO ROZO</v>
      </c>
      <c r="C27" s="86" t="str">
        <f>VLOOKUP(A27,'CENTRO DE COSTOS'!A:D,2,FALSE)</f>
        <v>0004-0004</v>
      </c>
      <c r="D27" s="86">
        <v>25126</v>
      </c>
      <c r="E27" s="86">
        <v>2556933</v>
      </c>
      <c r="F27" s="86">
        <v>77795</v>
      </c>
      <c r="G27" s="86" t="s">
        <v>2840</v>
      </c>
      <c r="H27" s="86" t="s">
        <v>433</v>
      </c>
      <c r="I27" s="86" t="s">
        <v>2093</v>
      </c>
      <c r="J27" s="86" t="s">
        <v>2926</v>
      </c>
      <c r="K27" s="86" t="s">
        <v>137</v>
      </c>
      <c r="L27" s="86" t="s">
        <v>2927</v>
      </c>
      <c r="M27" s="87">
        <v>45874.565972222219</v>
      </c>
      <c r="N27" s="87">
        <v>45875.343055555553</v>
      </c>
      <c r="O27" s="86"/>
      <c r="P27" s="86" t="s">
        <v>2843</v>
      </c>
      <c r="Q27" s="86" t="s">
        <v>2843</v>
      </c>
      <c r="R27" s="88" t="s">
        <v>2845</v>
      </c>
      <c r="S27" s="89" t="s">
        <v>2845</v>
      </c>
      <c r="T27" s="86" t="s">
        <v>2846</v>
      </c>
      <c r="U27" s="86" t="s">
        <v>2847</v>
      </c>
      <c r="V27" s="86" t="s">
        <v>2928</v>
      </c>
      <c r="W27" s="86" t="s">
        <v>2849</v>
      </c>
      <c r="X27" s="86">
        <v>0</v>
      </c>
      <c r="Y27" s="90" t="s">
        <v>202</v>
      </c>
      <c r="Z27" s="90" t="s">
        <v>145</v>
      </c>
      <c r="AA27" s="86" t="s">
        <v>551</v>
      </c>
      <c r="AB27" s="86">
        <v>1</v>
      </c>
      <c r="AC27" s="86">
        <v>0</v>
      </c>
      <c r="AD27" s="55">
        <f>IF(OR(W27="SOPORTE_TELEFÓNICO",W27="ENVÍO"),0,IF(Y27="TIPO I",'BASE DE LIQUIDACION 2025'!$I$4,IF(Y27="TIPO II",'BASE DE LIQUIDACION 2025'!$I$5,IF(Y27="TIPO III",'BASE DE LIQUIDACION 2025'!$I$6,IF(Y27="TIPO IV",'BASE DE LIQUIDACION 2025'!$I$7,'BASE DE LIQUIDACION 2025'!$I$8)))))</f>
        <v>232858.60096000001</v>
      </c>
      <c r="AE27" s="55">
        <f>IF(OR(W27="SOPORTE_TELEFÓNICO",W27="ENVÍO"),0,IF(Y27="TIPO I",'BASE DE LIQUIDACION 2025'!$J$4,IF(Y27="TIPO II",'BASE DE LIQUIDACION 2025'!$J$5,IF(Y27="TIPO III",'BASE DE LIQUIDACION 2025'!$J$6,IF(Y27="TIPO IV",'BASE DE LIQUIDACION 2025'!$J$7,'BASE DE LIQUIDACION 2025'!$J$8)))))</f>
        <v>110808.27512000001</v>
      </c>
      <c r="AF27" s="55">
        <f>IF(W27="SOPORTE_TELEFÓNICO",'BASE DE LIQUIDACION 2025'!$L$4,IF(W27="ENVÍO",'BASE DE LIQUIDACION 2025'!$K$4,AD27*AB27+AE27*AC27))</f>
        <v>232858.60096000001</v>
      </c>
    </row>
    <row r="28" spans="1:32" s="46" customFormat="1" ht="12.75">
      <c r="A28" s="86" t="s">
        <v>399</v>
      </c>
      <c r="B28" s="86" t="str">
        <f>VLOOKUP(A28,'CENTRO DE COSTOS'!A:D,4,FALSE)</f>
        <v>JOSE MAURICIO HERNANDEZ ROJAS</v>
      </c>
      <c r="C28" s="86" t="str">
        <f>VLOOKUP(A28,'CENTRO DE COSTOS'!A:D,2,FALSE)</f>
        <v>0004-0001</v>
      </c>
      <c r="D28" s="86">
        <v>20001</v>
      </c>
      <c r="E28" s="86">
        <v>2524605</v>
      </c>
      <c r="F28" s="86">
        <v>80195</v>
      </c>
      <c r="G28" s="86" t="s">
        <v>2840</v>
      </c>
      <c r="H28" s="86" t="s">
        <v>401</v>
      </c>
      <c r="I28" s="86" t="s">
        <v>399</v>
      </c>
      <c r="J28" s="86" t="s">
        <v>2929</v>
      </c>
      <c r="K28" s="86" t="s">
        <v>137</v>
      </c>
      <c r="L28" s="86" t="s">
        <v>2930</v>
      </c>
      <c r="M28" s="87">
        <v>45868.349305555559</v>
      </c>
      <c r="N28" s="87">
        <v>45875.349305555559</v>
      </c>
      <c r="O28" s="86"/>
      <c r="P28" s="86" t="s">
        <v>2843</v>
      </c>
      <c r="Q28" s="86" t="s">
        <v>2843</v>
      </c>
      <c r="R28" s="88" t="s">
        <v>2845</v>
      </c>
      <c r="S28" s="89" t="s">
        <v>2845</v>
      </c>
      <c r="T28" s="86" t="s">
        <v>2846</v>
      </c>
      <c r="U28" s="86" t="s">
        <v>2847</v>
      </c>
      <c r="V28" s="86" t="s">
        <v>2931</v>
      </c>
      <c r="W28" s="86" t="s">
        <v>2849</v>
      </c>
      <c r="X28" s="86">
        <v>0</v>
      </c>
      <c r="Y28" s="90" t="s">
        <v>52</v>
      </c>
      <c r="Z28" s="90" t="s">
        <v>145</v>
      </c>
      <c r="AA28" s="86" t="s">
        <v>1701</v>
      </c>
      <c r="AB28" s="86">
        <v>1</v>
      </c>
      <c r="AC28" s="86">
        <v>0</v>
      </c>
      <c r="AD28" s="55">
        <f>IF(OR(W28="SOPORTE_TELEFÓNICO",W28="ENVÍO"),0,IF(Y28="TIPO I",'BASE DE LIQUIDACION 2025'!$I$4,IF(Y28="TIPO II",'BASE DE LIQUIDACION 2025'!$I$5,IF(Y28="TIPO III",'BASE DE LIQUIDACION 2025'!$I$6,IF(Y28="TIPO IV",'BASE DE LIQUIDACION 2025'!$I$7,'BASE DE LIQUIDACION 2025'!$I$8)))))</f>
        <v>96001.196280000004</v>
      </c>
      <c r="AE28" s="55">
        <f>IF(OR(W28="SOPORTE_TELEFÓNICO",W28="ENVÍO"),0,IF(Y28="TIPO I",'BASE DE LIQUIDACION 2025'!$J$4,IF(Y28="TIPO II",'BASE DE LIQUIDACION 2025'!$J$5,IF(Y28="TIPO III",'BASE DE LIQUIDACION 2025'!$J$6,IF(Y28="TIPO IV",'BASE DE LIQUIDACION 2025'!$J$7,'BASE DE LIQUIDACION 2025'!$J$8)))))</f>
        <v>57411.974240000003</v>
      </c>
      <c r="AF28" s="55">
        <f>IF(W28="SOPORTE_TELEFÓNICO",'BASE DE LIQUIDACION 2025'!$L$4,IF(W28="ENVÍO",'BASE DE LIQUIDACION 2025'!$K$4,AD28*AB28+AE28*AC28))</f>
        <v>96001.196280000004</v>
      </c>
    </row>
    <row r="29" spans="1:32" s="46" customFormat="1" ht="12.75">
      <c r="A29" s="86" t="s">
        <v>453</v>
      </c>
      <c r="B29" s="86" t="str">
        <f>VLOOKUP(A29,'CENTRO DE COSTOS'!A:D,4,FALSE)</f>
        <v>DIEGO FERNANDO HENAO CARDONA</v>
      </c>
      <c r="C29" s="86" t="str">
        <f>VLOOKUP(A29,'CENTRO DE COSTOS'!A:D,2,FALSE)</f>
        <v>0004-0002</v>
      </c>
      <c r="D29" s="86">
        <v>66001</v>
      </c>
      <c r="E29" s="86">
        <v>2556023</v>
      </c>
      <c r="F29" s="86">
        <v>53207</v>
      </c>
      <c r="G29" s="86" t="s">
        <v>2840</v>
      </c>
      <c r="H29" s="86" t="s">
        <v>579</v>
      </c>
      <c r="I29" s="86" t="s">
        <v>453</v>
      </c>
      <c r="J29" s="86" t="s">
        <v>2932</v>
      </c>
      <c r="K29" s="86" t="s">
        <v>137</v>
      </c>
      <c r="L29" s="86" t="s">
        <v>2933</v>
      </c>
      <c r="M29" s="87">
        <v>45874.474305555559</v>
      </c>
      <c r="N29" s="87">
        <v>45875.482638888891</v>
      </c>
      <c r="O29" s="86"/>
      <c r="P29" s="86" t="s">
        <v>2843</v>
      </c>
      <c r="Q29" s="86" t="s">
        <v>2843</v>
      </c>
      <c r="R29" s="88" t="s">
        <v>2845</v>
      </c>
      <c r="S29" s="89" t="s">
        <v>2845</v>
      </c>
      <c r="T29" s="86" t="s">
        <v>2846</v>
      </c>
      <c r="U29" s="86" t="s">
        <v>2847</v>
      </c>
      <c r="V29" s="86" t="s">
        <v>2934</v>
      </c>
      <c r="W29" s="86" t="s">
        <v>2849</v>
      </c>
      <c r="X29" s="86">
        <v>0</v>
      </c>
      <c r="Y29" s="90" t="s">
        <v>52</v>
      </c>
      <c r="Z29" s="90" t="s">
        <v>145</v>
      </c>
      <c r="AA29" s="86" t="s">
        <v>459</v>
      </c>
      <c r="AB29" s="86">
        <v>1</v>
      </c>
      <c r="AC29" s="86">
        <v>0</v>
      </c>
      <c r="AD29" s="55">
        <f>IF(OR(W29="SOPORTE_TELEFÓNICO",W29="ENVÍO"),0,IF(Y29="TIPO I",'BASE DE LIQUIDACION 2025'!$I$4,IF(Y29="TIPO II",'BASE DE LIQUIDACION 2025'!$I$5,IF(Y29="TIPO III",'BASE DE LIQUIDACION 2025'!$I$6,IF(Y29="TIPO IV",'BASE DE LIQUIDACION 2025'!$I$7,'BASE DE LIQUIDACION 2025'!$I$8)))))</f>
        <v>96001.196280000004</v>
      </c>
      <c r="AE29" s="55">
        <f>IF(OR(W29="SOPORTE_TELEFÓNICO",W29="ENVÍO"),0,IF(Y29="TIPO I",'BASE DE LIQUIDACION 2025'!$J$4,IF(Y29="TIPO II",'BASE DE LIQUIDACION 2025'!$J$5,IF(Y29="TIPO III",'BASE DE LIQUIDACION 2025'!$J$6,IF(Y29="TIPO IV",'BASE DE LIQUIDACION 2025'!$J$7,'BASE DE LIQUIDACION 2025'!$J$8)))))</f>
        <v>57411.974240000003</v>
      </c>
      <c r="AF29" s="55">
        <f>IF(W29="SOPORTE_TELEFÓNICO",'BASE DE LIQUIDACION 2025'!$L$4,IF(W29="ENVÍO",'BASE DE LIQUIDACION 2025'!$K$4,AD29*AB29+AE29*AC29))</f>
        <v>96001.196280000004</v>
      </c>
    </row>
    <row r="30" spans="1:32" s="46" customFormat="1" ht="12.75">
      <c r="A30" s="86" t="s">
        <v>453</v>
      </c>
      <c r="B30" s="86" t="str">
        <f>VLOOKUP(A30,'CENTRO DE COSTOS'!A:D,4,FALSE)</f>
        <v>DIEGO FERNANDO HENAO CARDONA</v>
      </c>
      <c r="C30" s="86" t="str">
        <f>VLOOKUP(A30,'CENTRO DE COSTOS'!A:D,2,FALSE)</f>
        <v>0004-0002</v>
      </c>
      <c r="D30" s="86">
        <v>63001</v>
      </c>
      <c r="E30" s="86">
        <v>2553235</v>
      </c>
      <c r="F30" s="86">
        <v>43903</v>
      </c>
      <c r="G30" s="86" t="s">
        <v>2840</v>
      </c>
      <c r="H30" s="86" t="s">
        <v>554</v>
      </c>
      <c r="I30" s="86" t="s">
        <v>555</v>
      </c>
      <c r="J30" s="86" t="s">
        <v>2935</v>
      </c>
      <c r="K30" s="86" t="s">
        <v>137</v>
      </c>
      <c r="L30" s="86" t="s">
        <v>2936</v>
      </c>
      <c r="M30" s="87">
        <v>45874.338888888888</v>
      </c>
      <c r="N30" s="87">
        <v>45875.494444444441</v>
      </c>
      <c r="O30" s="86"/>
      <c r="P30" s="86" t="s">
        <v>2843</v>
      </c>
      <c r="Q30" s="86" t="s">
        <v>2843</v>
      </c>
      <c r="R30" s="88" t="s">
        <v>181</v>
      </c>
      <c r="S30" s="89" t="s">
        <v>707</v>
      </c>
      <c r="T30" s="86" t="s">
        <v>2846</v>
      </c>
      <c r="U30" s="86" t="s">
        <v>2847</v>
      </c>
      <c r="V30" s="86" t="s">
        <v>2937</v>
      </c>
      <c r="W30" s="86" t="s">
        <v>2849</v>
      </c>
      <c r="X30" s="86">
        <v>0</v>
      </c>
      <c r="Y30" s="90" t="s">
        <v>202</v>
      </c>
      <c r="Z30" s="90" t="s">
        <v>145</v>
      </c>
      <c r="AA30" s="86" t="s">
        <v>559</v>
      </c>
      <c r="AB30" s="86">
        <v>1</v>
      </c>
      <c r="AC30" s="86">
        <v>0</v>
      </c>
      <c r="AD30" s="55">
        <f>IF(OR(W30="SOPORTE_TELEFÓNICO",W30="ENVÍO"),0,IF(Y30="TIPO I",'BASE DE LIQUIDACION 2025'!$I$4,IF(Y30="TIPO II",'BASE DE LIQUIDACION 2025'!$I$5,IF(Y30="TIPO III",'BASE DE LIQUIDACION 2025'!$I$6,IF(Y30="TIPO IV",'BASE DE LIQUIDACION 2025'!$I$7,'BASE DE LIQUIDACION 2025'!$I$8)))))</f>
        <v>232858.60096000001</v>
      </c>
      <c r="AE30" s="55">
        <f>IF(OR(W30="SOPORTE_TELEFÓNICO",W30="ENVÍO"),0,IF(Y30="TIPO I",'BASE DE LIQUIDACION 2025'!$J$4,IF(Y30="TIPO II",'BASE DE LIQUIDACION 2025'!$J$5,IF(Y30="TIPO III",'BASE DE LIQUIDACION 2025'!$J$6,IF(Y30="TIPO IV",'BASE DE LIQUIDACION 2025'!$J$7,'BASE DE LIQUIDACION 2025'!$J$8)))))</f>
        <v>110808.27512000001</v>
      </c>
      <c r="AF30" s="55">
        <f>IF(W30="SOPORTE_TELEFÓNICO",'BASE DE LIQUIDACION 2025'!$L$4,IF(W30="ENVÍO",'BASE DE LIQUIDACION 2025'!$K$4,AD30*AB30+AE30*AC30))</f>
        <v>232858.60096000001</v>
      </c>
    </row>
    <row r="31" spans="1:32" s="46" customFormat="1" ht="12.75">
      <c r="A31" s="86" t="s">
        <v>453</v>
      </c>
      <c r="B31" s="86" t="str">
        <f>VLOOKUP(A31,'CENTRO DE COSTOS'!A:D,4,FALSE)</f>
        <v>DIEGO FERNANDO HENAO CARDONA</v>
      </c>
      <c r="C31" s="86" t="str">
        <f>VLOOKUP(A31,'CENTRO DE COSTOS'!A:D,2,FALSE)</f>
        <v>0004-0002</v>
      </c>
      <c r="D31" s="86">
        <v>66001</v>
      </c>
      <c r="E31" s="86">
        <v>2549869</v>
      </c>
      <c r="F31" s="86">
        <v>43574</v>
      </c>
      <c r="G31" s="86" t="s">
        <v>2840</v>
      </c>
      <c r="H31" s="86" t="s">
        <v>579</v>
      </c>
      <c r="I31" s="86" t="s">
        <v>453</v>
      </c>
      <c r="J31" s="86" t="s">
        <v>2938</v>
      </c>
      <c r="K31" s="86" t="s">
        <v>137</v>
      </c>
      <c r="L31" s="86" t="s">
        <v>2939</v>
      </c>
      <c r="M31" s="87">
        <v>45873.588194444441</v>
      </c>
      <c r="N31" s="87">
        <v>45875.550694444442</v>
      </c>
      <c r="O31" s="86"/>
      <c r="P31" s="86" t="s">
        <v>2843</v>
      </c>
      <c r="Q31" s="86" t="s">
        <v>2843</v>
      </c>
      <c r="R31" s="88" t="s">
        <v>2845</v>
      </c>
      <c r="S31" s="89" t="s">
        <v>2845</v>
      </c>
      <c r="T31" s="86" t="s">
        <v>2846</v>
      </c>
      <c r="U31" s="86" t="s">
        <v>2847</v>
      </c>
      <c r="V31" s="86" t="s">
        <v>2940</v>
      </c>
      <c r="W31" s="86" t="s">
        <v>2849</v>
      </c>
      <c r="X31" s="86">
        <v>0</v>
      </c>
      <c r="Y31" s="90" t="s">
        <v>52</v>
      </c>
      <c r="Z31" s="90" t="s">
        <v>145</v>
      </c>
      <c r="AA31" s="86" t="s">
        <v>508</v>
      </c>
      <c r="AB31" s="86">
        <v>1</v>
      </c>
      <c r="AC31" s="86">
        <v>0</v>
      </c>
      <c r="AD31" s="55">
        <f>IF(OR(W31="SOPORTE_TELEFÓNICO",W31="ENVÍO"),0,IF(Y31="TIPO I",'BASE DE LIQUIDACION 2025'!$I$4,IF(Y31="TIPO II",'BASE DE LIQUIDACION 2025'!$I$5,IF(Y31="TIPO III",'BASE DE LIQUIDACION 2025'!$I$6,IF(Y31="TIPO IV",'BASE DE LIQUIDACION 2025'!$I$7,'BASE DE LIQUIDACION 2025'!$I$8)))))</f>
        <v>96001.196280000004</v>
      </c>
      <c r="AE31" s="55">
        <f>IF(OR(W31="SOPORTE_TELEFÓNICO",W31="ENVÍO"),0,IF(Y31="TIPO I",'BASE DE LIQUIDACION 2025'!$J$4,IF(Y31="TIPO II",'BASE DE LIQUIDACION 2025'!$J$5,IF(Y31="TIPO III",'BASE DE LIQUIDACION 2025'!$J$6,IF(Y31="TIPO IV",'BASE DE LIQUIDACION 2025'!$J$7,'BASE DE LIQUIDACION 2025'!$J$8)))))</f>
        <v>57411.974240000003</v>
      </c>
      <c r="AF31" s="55">
        <f>IF(W31="SOPORTE_TELEFÓNICO",'BASE DE LIQUIDACION 2025'!$L$4,IF(W31="ENVÍO",'BASE DE LIQUIDACION 2025'!$K$4,AD31*AB31+AE31*AC31))</f>
        <v>96001.196280000004</v>
      </c>
    </row>
    <row r="32" spans="1:32" s="46" customFormat="1" ht="12.75">
      <c r="A32" s="86" t="s">
        <v>399</v>
      </c>
      <c r="B32" s="86" t="str">
        <f>VLOOKUP(A32,'CENTRO DE COSTOS'!A:D,4,FALSE)</f>
        <v>JOSE MAURICIO HERNANDEZ ROJAS</v>
      </c>
      <c r="C32" s="86" t="str">
        <f>VLOOKUP(A32,'CENTRO DE COSTOS'!A:D,2,FALSE)</f>
        <v>0004-0001</v>
      </c>
      <c r="D32" s="86">
        <v>20001</v>
      </c>
      <c r="E32" s="86">
        <v>2528261</v>
      </c>
      <c r="F32" s="86">
        <v>66078</v>
      </c>
      <c r="G32" s="86" t="s">
        <v>2840</v>
      </c>
      <c r="H32" s="86" t="s">
        <v>401</v>
      </c>
      <c r="I32" s="86" t="s">
        <v>399</v>
      </c>
      <c r="J32" s="86" t="s">
        <v>2941</v>
      </c>
      <c r="K32" s="86" t="s">
        <v>137</v>
      </c>
      <c r="L32" s="86" t="s">
        <v>2942</v>
      </c>
      <c r="M32" s="87">
        <v>45868.611805555556</v>
      </c>
      <c r="N32" s="87">
        <v>45875.570833333331</v>
      </c>
      <c r="O32" s="86"/>
      <c r="P32" s="86" t="s">
        <v>2843</v>
      </c>
      <c r="Q32" s="86" t="s">
        <v>2843</v>
      </c>
      <c r="R32" s="88" t="s">
        <v>2845</v>
      </c>
      <c r="S32" s="89" t="s">
        <v>2845</v>
      </c>
      <c r="T32" s="86" t="s">
        <v>2846</v>
      </c>
      <c r="U32" s="86" t="s">
        <v>2847</v>
      </c>
      <c r="V32" s="86" t="s">
        <v>2943</v>
      </c>
      <c r="W32" s="86" t="s">
        <v>2849</v>
      </c>
      <c r="X32" s="86">
        <v>0</v>
      </c>
      <c r="Y32" s="90" t="s">
        <v>52</v>
      </c>
      <c r="Z32" s="90" t="s">
        <v>145</v>
      </c>
      <c r="AA32" s="86" t="s">
        <v>1701</v>
      </c>
      <c r="AB32" s="86">
        <v>1</v>
      </c>
      <c r="AC32" s="86">
        <v>0</v>
      </c>
      <c r="AD32" s="55">
        <f>IF(OR(W32="SOPORTE_TELEFÓNICO",W32="ENVÍO"),0,IF(Y32="TIPO I",'BASE DE LIQUIDACION 2025'!$I$4,IF(Y32="TIPO II",'BASE DE LIQUIDACION 2025'!$I$5,IF(Y32="TIPO III",'BASE DE LIQUIDACION 2025'!$I$6,IF(Y32="TIPO IV",'BASE DE LIQUIDACION 2025'!$I$7,'BASE DE LIQUIDACION 2025'!$I$8)))))</f>
        <v>96001.196280000004</v>
      </c>
      <c r="AE32" s="55">
        <f>IF(OR(W32="SOPORTE_TELEFÓNICO",W32="ENVÍO"),0,IF(Y32="TIPO I",'BASE DE LIQUIDACION 2025'!$J$4,IF(Y32="TIPO II",'BASE DE LIQUIDACION 2025'!$J$5,IF(Y32="TIPO III",'BASE DE LIQUIDACION 2025'!$J$6,IF(Y32="TIPO IV",'BASE DE LIQUIDACION 2025'!$J$7,'BASE DE LIQUIDACION 2025'!$J$8)))))</f>
        <v>57411.974240000003</v>
      </c>
      <c r="AF32" s="55">
        <f>IF(W32="SOPORTE_TELEFÓNICO",'BASE DE LIQUIDACION 2025'!$L$4,IF(W32="ENVÍO",'BASE DE LIQUIDACION 2025'!$K$4,AD32*AB32+AE32*AC32))</f>
        <v>96001.196280000004</v>
      </c>
    </row>
    <row r="33" spans="1:32" s="46" customFormat="1" ht="12.75">
      <c r="A33" s="86" t="s">
        <v>175</v>
      </c>
      <c r="B33" s="86" t="str">
        <f>VLOOKUP(A33,'CENTRO DE COSTOS'!A:D,4,FALSE)</f>
        <v>JUAN SEBASTIÁN RÍOS CASTRILLÓN</v>
      </c>
      <c r="C33" s="86" t="str">
        <f>VLOOKUP(A33,'CENTRO DE COSTOS'!A:D,2,FALSE)</f>
        <v>0004-0005</v>
      </c>
      <c r="D33" s="86">
        <v>5001</v>
      </c>
      <c r="E33" s="86">
        <v>2533935</v>
      </c>
      <c r="F33" s="86">
        <v>53009</v>
      </c>
      <c r="G33" s="86" t="s">
        <v>2840</v>
      </c>
      <c r="H33" s="86" t="s">
        <v>178</v>
      </c>
      <c r="I33" s="86" t="s">
        <v>175</v>
      </c>
      <c r="J33" s="86" t="s">
        <v>2944</v>
      </c>
      <c r="K33" s="86" t="s">
        <v>137</v>
      </c>
      <c r="L33" s="86" t="s">
        <v>2945</v>
      </c>
      <c r="M33" s="87">
        <v>45869.584027777775</v>
      </c>
      <c r="N33" s="87">
        <v>45877.413194444445</v>
      </c>
      <c r="O33" s="86"/>
      <c r="P33" s="86" t="s">
        <v>2843</v>
      </c>
      <c r="Q33" s="86" t="s">
        <v>2843</v>
      </c>
      <c r="R33" s="88" t="s">
        <v>2845</v>
      </c>
      <c r="S33" s="89" t="s">
        <v>2845</v>
      </c>
      <c r="T33" s="86" t="s">
        <v>2846</v>
      </c>
      <c r="U33" s="86" t="s">
        <v>2847</v>
      </c>
      <c r="V33" s="86" t="s">
        <v>2946</v>
      </c>
      <c r="W33" s="86" t="s">
        <v>2849</v>
      </c>
      <c r="X33" s="86">
        <v>0</v>
      </c>
      <c r="Y33" s="90" t="s">
        <v>52</v>
      </c>
      <c r="Z33" s="90" t="s">
        <v>145</v>
      </c>
      <c r="AA33" s="86" t="s">
        <v>451</v>
      </c>
      <c r="AB33" s="86">
        <v>1</v>
      </c>
      <c r="AC33" s="86">
        <v>0</v>
      </c>
      <c r="AD33" s="55">
        <f>IF(OR(W33="SOPORTE_TELEFÓNICO",W33="ENVÍO"),0,IF(Y33="TIPO I",'BASE DE LIQUIDACION 2025'!$I$4,IF(Y33="TIPO II",'BASE DE LIQUIDACION 2025'!$I$5,IF(Y33="TIPO III",'BASE DE LIQUIDACION 2025'!$I$6,IF(Y33="TIPO IV",'BASE DE LIQUIDACION 2025'!$I$7,'BASE DE LIQUIDACION 2025'!$I$8)))))</f>
        <v>96001.196280000004</v>
      </c>
      <c r="AE33" s="55">
        <f>IF(OR(W33="SOPORTE_TELEFÓNICO",W33="ENVÍO"),0,IF(Y33="TIPO I",'BASE DE LIQUIDACION 2025'!$J$4,IF(Y33="TIPO II",'BASE DE LIQUIDACION 2025'!$J$5,IF(Y33="TIPO III",'BASE DE LIQUIDACION 2025'!$J$6,IF(Y33="TIPO IV",'BASE DE LIQUIDACION 2025'!$J$7,'BASE DE LIQUIDACION 2025'!$J$8)))))</f>
        <v>57411.974240000003</v>
      </c>
      <c r="AF33" s="55">
        <f>IF(W33="SOPORTE_TELEFÓNICO",'BASE DE LIQUIDACION 2025'!$L$4,IF(W33="ENVÍO",'BASE DE LIQUIDACION 2025'!$K$4,AD33*AB33+AE33*AC33))</f>
        <v>96001.196280000004</v>
      </c>
    </row>
    <row r="34" spans="1:32" s="46" customFormat="1" ht="12.75">
      <c r="A34" s="86" t="s">
        <v>220</v>
      </c>
      <c r="B34" s="86" t="str">
        <f>VLOOKUP(A34,'CENTRO DE COSTOS'!A:D,4,FALSE)</f>
        <v>DIEGO FERNANDO HENAO CARDONA</v>
      </c>
      <c r="C34" s="86" t="str">
        <f>VLOOKUP(A34,'CENTRO DE COSTOS'!A:D,2,FALSE)</f>
        <v>0004-0003</v>
      </c>
      <c r="D34" s="86">
        <v>76001</v>
      </c>
      <c r="E34" s="86">
        <v>2565829</v>
      </c>
      <c r="F34" s="86">
        <v>77340</v>
      </c>
      <c r="G34" s="86" t="s">
        <v>2840</v>
      </c>
      <c r="H34" s="86" t="s">
        <v>420</v>
      </c>
      <c r="I34" s="86" t="s">
        <v>220</v>
      </c>
      <c r="J34" s="86" t="s">
        <v>2947</v>
      </c>
      <c r="K34" s="86" t="s">
        <v>137</v>
      </c>
      <c r="L34" s="86" t="s">
        <v>2948</v>
      </c>
      <c r="M34" s="87">
        <v>45875.714583333334</v>
      </c>
      <c r="N34" s="87">
        <v>45877.518750000003</v>
      </c>
      <c r="O34" s="86"/>
      <c r="P34" s="86" t="s">
        <v>2843</v>
      </c>
      <c r="Q34" s="86" t="s">
        <v>2843</v>
      </c>
      <c r="R34" s="88" t="s">
        <v>2845</v>
      </c>
      <c r="S34" s="89" t="s">
        <v>2845</v>
      </c>
      <c r="T34" s="86" t="s">
        <v>2846</v>
      </c>
      <c r="U34" s="86" t="s">
        <v>2847</v>
      </c>
      <c r="V34" s="86" t="s">
        <v>2949</v>
      </c>
      <c r="W34" s="86" t="s">
        <v>2849</v>
      </c>
      <c r="X34" s="86">
        <v>0</v>
      </c>
      <c r="Y34" s="90" t="s">
        <v>52</v>
      </c>
      <c r="Z34" s="90" t="s">
        <v>145</v>
      </c>
      <c r="AA34" s="86" t="s">
        <v>1409</v>
      </c>
      <c r="AB34" s="86">
        <v>1</v>
      </c>
      <c r="AC34" s="86">
        <v>0</v>
      </c>
      <c r="AD34" s="55">
        <f>IF(OR(W34="SOPORTE_TELEFÓNICO",W34="ENVÍO"),0,IF(Y34="TIPO I",'BASE DE LIQUIDACION 2025'!$I$4,IF(Y34="TIPO II",'BASE DE LIQUIDACION 2025'!$I$5,IF(Y34="TIPO III",'BASE DE LIQUIDACION 2025'!$I$6,IF(Y34="TIPO IV",'BASE DE LIQUIDACION 2025'!$I$7,'BASE DE LIQUIDACION 2025'!$I$8)))))</f>
        <v>96001.196280000004</v>
      </c>
      <c r="AE34" s="55">
        <f>IF(OR(W34="SOPORTE_TELEFÓNICO",W34="ENVÍO"),0,IF(Y34="TIPO I",'BASE DE LIQUIDACION 2025'!$J$4,IF(Y34="TIPO II",'BASE DE LIQUIDACION 2025'!$J$5,IF(Y34="TIPO III",'BASE DE LIQUIDACION 2025'!$J$6,IF(Y34="TIPO IV",'BASE DE LIQUIDACION 2025'!$J$7,'BASE DE LIQUIDACION 2025'!$J$8)))))</f>
        <v>57411.974240000003</v>
      </c>
      <c r="AF34" s="55">
        <f>IF(W34="SOPORTE_TELEFÓNICO",'BASE DE LIQUIDACION 2025'!$L$4,IF(W34="ENVÍO",'BASE DE LIQUIDACION 2025'!$K$4,AD34*AB34+AE34*AC34))</f>
        <v>96001.196280000004</v>
      </c>
    </row>
    <row r="35" spans="1:32" s="46" customFormat="1" ht="12.75">
      <c r="A35" s="86" t="s">
        <v>260</v>
      </c>
      <c r="B35" s="86" t="str">
        <f>VLOOKUP(A35,'CENTRO DE COSTOS'!A:D,4,FALSE)</f>
        <v>KEVIN ALEXIS CORZO BUSTOS</v>
      </c>
      <c r="C35" s="86" t="str">
        <f>VLOOKUP(A35,'CENTRO DE COSTOS'!A:D,2,FALSE)</f>
        <v>0004-0007</v>
      </c>
      <c r="D35" s="86">
        <v>50006</v>
      </c>
      <c r="E35" s="86">
        <v>2564860</v>
      </c>
      <c r="F35" s="86">
        <v>34949</v>
      </c>
      <c r="G35" s="86" t="s">
        <v>2840</v>
      </c>
      <c r="H35" s="86" t="s">
        <v>262</v>
      </c>
      <c r="I35" s="86" t="s">
        <v>905</v>
      </c>
      <c r="J35" s="86" t="s">
        <v>2950</v>
      </c>
      <c r="K35" s="86" t="s">
        <v>137</v>
      </c>
      <c r="L35" s="86" t="s">
        <v>2951</v>
      </c>
      <c r="M35" s="87">
        <v>45875.650694444441</v>
      </c>
      <c r="N35" s="87">
        <v>45877.609027777777</v>
      </c>
      <c r="O35" s="86"/>
      <c r="P35" s="86" t="s">
        <v>2843</v>
      </c>
      <c r="Q35" s="86" t="s">
        <v>2843</v>
      </c>
      <c r="R35" s="88" t="s">
        <v>139</v>
      </c>
      <c r="S35" s="89" t="s">
        <v>2845</v>
      </c>
      <c r="T35" s="86" t="s">
        <v>2846</v>
      </c>
      <c r="U35" s="86" t="s">
        <v>2847</v>
      </c>
      <c r="V35" s="86" t="s">
        <v>2952</v>
      </c>
      <c r="W35" s="86" t="s">
        <v>2849</v>
      </c>
      <c r="X35" s="86">
        <v>0</v>
      </c>
      <c r="Y35" s="90" t="s">
        <v>202</v>
      </c>
      <c r="Z35" s="90" t="s">
        <v>145</v>
      </c>
      <c r="AA35" s="86" t="s">
        <v>909</v>
      </c>
      <c r="AB35" s="86">
        <v>1</v>
      </c>
      <c r="AC35" s="86">
        <v>0</v>
      </c>
      <c r="AD35" s="55">
        <f>IF(OR(W35="SOPORTE_TELEFÓNICO",W35="ENVÍO"),0,IF(Y35="TIPO I",'BASE DE LIQUIDACION 2025'!$I$4,IF(Y35="TIPO II",'BASE DE LIQUIDACION 2025'!$I$5,IF(Y35="TIPO III",'BASE DE LIQUIDACION 2025'!$I$6,IF(Y35="TIPO IV",'BASE DE LIQUIDACION 2025'!$I$7,'BASE DE LIQUIDACION 2025'!$I$8)))))</f>
        <v>232858.60096000001</v>
      </c>
      <c r="AE35" s="55">
        <f>IF(OR(W35="SOPORTE_TELEFÓNICO",W35="ENVÍO"),0,IF(Y35="TIPO I",'BASE DE LIQUIDACION 2025'!$J$4,IF(Y35="TIPO II",'BASE DE LIQUIDACION 2025'!$J$5,IF(Y35="TIPO III",'BASE DE LIQUIDACION 2025'!$J$6,IF(Y35="TIPO IV",'BASE DE LIQUIDACION 2025'!$J$7,'BASE DE LIQUIDACION 2025'!$J$8)))))</f>
        <v>110808.27512000001</v>
      </c>
      <c r="AF35" s="55">
        <f>IF(W35="SOPORTE_TELEFÓNICO",'BASE DE LIQUIDACION 2025'!$L$4,IF(W35="ENVÍO",'BASE DE LIQUIDACION 2025'!$K$4,AD35*AB35+AE35*AC35))</f>
        <v>232858.60096000001</v>
      </c>
    </row>
    <row r="36" spans="1:32" s="46" customFormat="1" ht="12.75">
      <c r="A36" s="86" t="s">
        <v>220</v>
      </c>
      <c r="B36" s="86" t="str">
        <f>VLOOKUP(A36,'CENTRO DE COSTOS'!A:D,4,FALSE)</f>
        <v>DIEGO FERNANDO HENAO CARDONA</v>
      </c>
      <c r="C36" s="86" t="str">
        <f>VLOOKUP(A36,'CENTRO DE COSTOS'!A:D,2,FALSE)</f>
        <v>0004-0003</v>
      </c>
      <c r="D36" s="86">
        <v>76001</v>
      </c>
      <c r="E36" s="86">
        <v>2571295</v>
      </c>
      <c r="F36" s="86">
        <v>79753</v>
      </c>
      <c r="G36" s="86" t="s">
        <v>2840</v>
      </c>
      <c r="H36" s="86" t="s">
        <v>420</v>
      </c>
      <c r="I36" s="86" t="s">
        <v>220</v>
      </c>
      <c r="J36" s="86" t="s">
        <v>2953</v>
      </c>
      <c r="K36" s="86" t="s">
        <v>137</v>
      </c>
      <c r="L36" s="86" t="s">
        <v>2954</v>
      </c>
      <c r="M36" s="87">
        <v>45877.584722222222</v>
      </c>
      <c r="N36" s="87">
        <v>45878.635416666664</v>
      </c>
      <c r="O36" s="86"/>
      <c r="P36" s="86" t="s">
        <v>2843</v>
      </c>
      <c r="Q36" s="86" t="s">
        <v>2843</v>
      </c>
      <c r="R36" s="88" t="s">
        <v>2845</v>
      </c>
      <c r="S36" s="89" t="s">
        <v>2845</v>
      </c>
      <c r="T36" s="86" t="s">
        <v>2846</v>
      </c>
      <c r="U36" s="86" t="s">
        <v>2847</v>
      </c>
      <c r="V36" s="86" t="s">
        <v>2955</v>
      </c>
      <c r="W36" s="86" t="s">
        <v>2849</v>
      </c>
      <c r="X36" s="86">
        <v>0</v>
      </c>
      <c r="Y36" s="90" t="s">
        <v>52</v>
      </c>
      <c r="Z36" s="90" t="s">
        <v>145</v>
      </c>
      <c r="AA36" s="86" t="s">
        <v>495</v>
      </c>
      <c r="AB36" s="86">
        <v>1</v>
      </c>
      <c r="AC36" s="86">
        <v>0</v>
      </c>
      <c r="AD36" s="55">
        <f>IF(OR(W36="SOPORTE_TELEFÓNICO",W36="ENVÍO"),0,IF(Y36="TIPO I",'BASE DE LIQUIDACION 2025'!$I$4,IF(Y36="TIPO II",'BASE DE LIQUIDACION 2025'!$I$5,IF(Y36="TIPO III",'BASE DE LIQUIDACION 2025'!$I$6,IF(Y36="TIPO IV",'BASE DE LIQUIDACION 2025'!$I$7,'BASE DE LIQUIDACION 2025'!$I$8)))))</f>
        <v>96001.196280000004</v>
      </c>
      <c r="AE36" s="55">
        <f>IF(OR(W36="SOPORTE_TELEFÓNICO",W36="ENVÍO"),0,IF(Y36="TIPO I",'BASE DE LIQUIDACION 2025'!$J$4,IF(Y36="TIPO II",'BASE DE LIQUIDACION 2025'!$J$5,IF(Y36="TIPO III",'BASE DE LIQUIDACION 2025'!$J$6,IF(Y36="TIPO IV",'BASE DE LIQUIDACION 2025'!$J$7,'BASE DE LIQUIDACION 2025'!$J$8)))))</f>
        <v>57411.974240000003</v>
      </c>
      <c r="AF36" s="55">
        <f>IF(W36="SOPORTE_TELEFÓNICO",'BASE DE LIQUIDACION 2025'!$L$4,IF(W36="ENVÍO",'BASE DE LIQUIDACION 2025'!$K$4,AD36*AB36+AE36*AC36))</f>
        <v>96001.196280000004</v>
      </c>
    </row>
    <row r="37" spans="1:32" s="46" customFormat="1" ht="12.75">
      <c r="A37" s="86" t="s">
        <v>453</v>
      </c>
      <c r="B37" s="86" t="str">
        <f>VLOOKUP(A37,'CENTRO DE COSTOS'!A:D,4,FALSE)</f>
        <v>DIEGO FERNANDO HENAO CARDONA</v>
      </c>
      <c r="C37" s="86" t="str">
        <f>VLOOKUP(A37,'CENTRO DE COSTOS'!A:D,2,FALSE)</f>
        <v>0004-0002</v>
      </c>
      <c r="D37" s="86">
        <v>76895</v>
      </c>
      <c r="E37" s="86">
        <v>2568651</v>
      </c>
      <c r="F37" s="86">
        <v>69635</v>
      </c>
      <c r="G37" s="86" t="s">
        <v>2840</v>
      </c>
      <c r="H37" s="86" t="s">
        <v>420</v>
      </c>
      <c r="I37" s="86" t="s">
        <v>2956</v>
      </c>
      <c r="J37" s="86" t="s">
        <v>2957</v>
      </c>
      <c r="K37" s="86" t="s">
        <v>137</v>
      </c>
      <c r="L37" s="86" t="s">
        <v>2958</v>
      </c>
      <c r="M37" s="87">
        <v>45877.371527777781</v>
      </c>
      <c r="N37" s="87">
        <v>45878.638194444444</v>
      </c>
      <c r="O37" s="86"/>
      <c r="P37" s="86" t="s">
        <v>2843</v>
      </c>
      <c r="Q37" s="86" t="s">
        <v>2843</v>
      </c>
      <c r="R37" s="88" t="s">
        <v>2845</v>
      </c>
      <c r="S37" s="89" t="s">
        <v>2845</v>
      </c>
      <c r="T37" s="86" t="s">
        <v>2846</v>
      </c>
      <c r="U37" s="86" t="s">
        <v>2847</v>
      </c>
      <c r="V37" s="86" t="s">
        <v>2959</v>
      </c>
      <c r="W37" s="86" t="s">
        <v>2849</v>
      </c>
      <c r="X37" s="86">
        <v>0</v>
      </c>
      <c r="Y37" s="90" t="s">
        <v>230</v>
      </c>
      <c r="Z37" s="90" t="s">
        <v>145</v>
      </c>
      <c r="AA37" s="86" t="s">
        <v>459</v>
      </c>
      <c r="AB37" s="86">
        <v>1</v>
      </c>
      <c r="AC37" s="86">
        <v>0</v>
      </c>
      <c r="AD37" s="55">
        <f>IF(OR(W37="SOPORTE_TELEFÓNICO",W37="ENVÍO"),0,IF(Y37="TIPO I",'BASE DE LIQUIDACION 2025'!$I$4,IF(Y37="TIPO II",'BASE DE LIQUIDACION 2025'!$I$5,IF(Y37="TIPO III",'BASE DE LIQUIDACION 2025'!$I$6,IF(Y37="TIPO IV",'BASE DE LIQUIDACION 2025'!$I$7,'BASE DE LIQUIDACION 2025'!$I$8)))))</f>
        <v>344774.56896</v>
      </c>
      <c r="AE37" s="55">
        <f>IF(OR(W37="SOPORTE_TELEFÓNICO",W37="ENVÍO"),0,IF(Y37="TIPO I",'BASE DE LIQUIDACION 2025'!$J$4,IF(Y37="TIPO II",'BASE DE LIQUIDACION 2025'!$J$5,IF(Y37="TIPO III",'BASE DE LIQUIDACION 2025'!$J$6,IF(Y37="TIPO IV",'BASE DE LIQUIDACION 2025'!$J$7,'BASE DE LIQUIDACION 2025'!$J$8)))))</f>
        <v>110808.27512000001</v>
      </c>
      <c r="AF37" s="55">
        <f>IF(W37="SOPORTE_TELEFÓNICO",'BASE DE LIQUIDACION 2025'!$L$4,IF(W37="ENVÍO",'BASE DE LIQUIDACION 2025'!$K$4,AD37*AB37+AE37*AC37))</f>
        <v>344774.56896</v>
      </c>
    </row>
    <row r="38" spans="1:32" s="46" customFormat="1" ht="12.75">
      <c r="A38" s="86" t="s">
        <v>260</v>
      </c>
      <c r="B38" s="86" t="str">
        <f>VLOOKUP(A38,'CENTRO DE COSTOS'!A:D,4,FALSE)</f>
        <v>KEVIN ALEXIS CORZO BUSTOS</v>
      </c>
      <c r="C38" s="86" t="str">
        <f>VLOOKUP(A38,'CENTRO DE COSTOS'!A:D,2,FALSE)</f>
        <v>0004-0007</v>
      </c>
      <c r="D38" s="86">
        <v>50001</v>
      </c>
      <c r="E38" s="86">
        <v>2539002</v>
      </c>
      <c r="F38" s="86">
        <v>51714</v>
      </c>
      <c r="G38" s="86" t="s">
        <v>2840</v>
      </c>
      <c r="H38" s="86" t="s">
        <v>262</v>
      </c>
      <c r="I38" s="86" t="s">
        <v>260</v>
      </c>
      <c r="J38" s="86" t="s">
        <v>2960</v>
      </c>
      <c r="K38" s="86" t="s">
        <v>137</v>
      </c>
      <c r="L38" s="86" t="s">
        <v>2961</v>
      </c>
      <c r="M38" s="87">
        <v>45870.436111111114</v>
      </c>
      <c r="N38" s="87">
        <v>45880.430555555555</v>
      </c>
      <c r="O38" s="86"/>
      <c r="P38" s="86" t="s">
        <v>2843</v>
      </c>
      <c r="Q38" s="86" t="s">
        <v>2843</v>
      </c>
      <c r="R38" s="88" t="s">
        <v>2845</v>
      </c>
      <c r="S38" s="89" t="s">
        <v>2845</v>
      </c>
      <c r="T38" s="86" t="s">
        <v>2846</v>
      </c>
      <c r="U38" s="86" t="s">
        <v>2847</v>
      </c>
      <c r="V38" s="86" t="s">
        <v>2962</v>
      </c>
      <c r="W38" s="86" t="s">
        <v>2849</v>
      </c>
      <c r="X38" s="86">
        <v>0</v>
      </c>
      <c r="Y38" s="90" t="s">
        <v>52</v>
      </c>
      <c r="Z38" s="90" t="s">
        <v>145</v>
      </c>
      <c r="AA38" s="86" t="s">
        <v>909</v>
      </c>
      <c r="AB38" s="86">
        <v>1</v>
      </c>
      <c r="AC38" s="86">
        <v>0</v>
      </c>
      <c r="AD38" s="55">
        <f>IF(OR(W38="SOPORTE_TELEFÓNICO",W38="ENVÍO"),0,IF(Y38="TIPO I",'BASE DE LIQUIDACION 2025'!$I$4,IF(Y38="TIPO II",'BASE DE LIQUIDACION 2025'!$I$5,IF(Y38="TIPO III",'BASE DE LIQUIDACION 2025'!$I$6,IF(Y38="TIPO IV",'BASE DE LIQUIDACION 2025'!$I$7,'BASE DE LIQUIDACION 2025'!$I$8)))))</f>
        <v>96001.196280000004</v>
      </c>
      <c r="AE38" s="55">
        <f>IF(OR(W38="SOPORTE_TELEFÓNICO",W38="ENVÍO"),0,IF(Y38="TIPO I",'BASE DE LIQUIDACION 2025'!$J$4,IF(Y38="TIPO II",'BASE DE LIQUIDACION 2025'!$J$5,IF(Y38="TIPO III",'BASE DE LIQUIDACION 2025'!$J$6,IF(Y38="TIPO IV",'BASE DE LIQUIDACION 2025'!$J$7,'BASE DE LIQUIDACION 2025'!$J$8)))))</f>
        <v>57411.974240000003</v>
      </c>
      <c r="AF38" s="55">
        <f>IF(W38="SOPORTE_TELEFÓNICO",'BASE DE LIQUIDACION 2025'!$L$4,IF(W38="ENVÍO",'BASE DE LIQUIDACION 2025'!$K$4,AD38*AB38+AE38*AC38))</f>
        <v>96001.196280000004</v>
      </c>
    </row>
    <row r="39" spans="1:32" s="46" customFormat="1" ht="12.75">
      <c r="A39" s="86" t="s">
        <v>260</v>
      </c>
      <c r="B39" s="86" t="str">
        <f>VLOOKUP(A39,'CENTRO DE COSTOS'!A:D,4,FALSE)</f>
        <v>KEVIN ALEXIS CORZO BUSTOS</v>
      </c>
      <c r="C39" s="86" t="str">
        <f>VLOOKUP(A39,'CENTRO DE COSTOS'!A:D,2,FALSE)</f>
        <v>0004-0007</v>
      </c>
      <c r="D39" s="86">
        <v>50001</v>
      </c>
      <c r="E39" s="86">
        <v>2548062</v>
      </c>
      <c r="F39" s="86">
        <v>77098</v>
      </c>
      <c r="G39" s="86" t="s">
        <v>2840</v>
      </c>
      <c r="H39" s="86" t="s">
        <v>262</v>
      </c>
      <c r="I39" s="86" t="s">
        <v>260</v>
      </c>
      <c r="J39" s="86" t="s">
        <v>2963</v>
      </c>
      <c r="K39" s="86" t="s">
        <v>137</v>
      </c>
      <c r="L39" s="86" t="s">
        <v>2964</v>
      </c>
      <c r="M39" s="87">
        <v>45873.454861111109</v>
      </c>
      <c r="N39" s="87">
        <v>45880.458333333336</v>
      </c>
      <c r="O39" s="86"/>
      <c r="P39" s="86" t="s">
        <v>2843</v>
      </c>
      <c r="Q39" s="86" t="s">
        <v>2843</v>
      </c>
      <c r="R39" s="88" t="s">
        <v>139</v>
      </c>
      <c r="S39" s="89" t="s">
        <v>139</v>
      </c>
      <c r="T39" s="86" t="s">
        <v>2846</v>
      </c>
      <c r="U39" s="86" t="s">
        <v>2847</v>
      </c>
      <c r="V39" s="86" t="s">
        <v>2962</v>
      </c>
      <c r="W39" s="86" t="s">
        <v>2849</v>
      </c>
      <c r="X39" s="86">
        <v>0</v>
      </c>
      <c r="Y39" s="90" t="s">
        <v>52</v>
      </c>
      <c r="Z39" s="90" t="s">
        <v>145</v>
      </c>
      <c r="AA39" s="86" t="s">
        <v>909</v>
      </c>
      <c r="AB39" s="86">
        <v>1</v>
      </c>
      <c r="AC39" s="86">
        <v>0</v>
      </c>
      <c r="AD39" s="55">
        <f>IF(OR(W39="SOPORTE_TELEFÓNICO",W39="ENVÍO"),0,IF(Y39="TIPO I",'BASE DE LIQUIDACION 2025'!$I$4,IF(Y39="TIPO II",'BASE DE LIQUIDACION 2025'!$I$5,IF(Y39="TIPO III",'BASE DE LIQUIDACION 2025'!$I$6,IF(Y39="TIPO IV",'BASE DE LIQUIDACION 2025'!$I$7,'BASE DE LIQUIDACION 2025'!$I$8)))))</f>
        <v>96001.196280000004</v>
      </c>
      <c r="AE39" s="55">
        <f>IF(OR(W39="SOPORTE_TELEFÓNICO",W39="ENVÍO"),0,IF(Y39="TIPO I",'BASE DE LIQUIDACION 2025'!$J$4,IF(Y39="TIPO II",'BASE DE LIQUIDACION 2025'!$J$5,IF(Y39="TIPO III",'BASE DE LIQUIDACION 2025'!$J$6,IF(Y39="TIPO IV",'BASE DE LIQUIDACION 2025'!$J$7,'BASE DE LIQUIDACION 2025'!$J$8)))))</f>
        <v>57411.974240000003</v>
      </c>
      <c r="AF39" s="55">
        <f>IF(W39="SOPORTE_TELEFÓNICO",'BASE DE LIQUIDACION 2025'!$L$4,IF(W39="ENVÍO",'BASE DE LIQUIDACION 2025'!$K$4,AD39*AB39+AE39*AC39))</f>
        <v>96001.196280000004</v>
      </c>
    </row>
    <row r="40" spans="1:32" s="46" customFormat="1" ht="12.75">
      <c r="A40" s="86" t="s">
        <v>175</v>
      </c>
      <c r="B40" s="86" t="str">
        <f>VLOOKUP(A40,'CENTRO DE COSTOS'!A:D,4,FALSE)</f>
        <v>JUAN SEBASTIÁN RÍOS CASTRILLÓN</v>
      </c>
      <c r="C40" s="86" t="str">
        <f>VLOOKUP(A40,'CENTRO DE COSTOS'!A:D,2,FALSE)</f>
        <v>0004-0005</v>
      </c>
      <c r="D40" s="86">
        <v>5001</v>
      </c>
      <c r="E40" s="86">
        <v>2554305</v>
      </c>
      <c r="F40" s="86">
        <v>77881</v>
      </c>
      <c r="G40" s="86" t="s">
        <v>2840</v>
      </c>
      <c r="H40" s="86" t="s">
        <v>178</v>
      </c>
      <c r="I40" s="86" t="s">
        <v>175</v>
      </c>
      <c r="J40" s="86" t="s">
        <v>2965</v>
      </c>
      <c r="K40" s="86" t="s">
        <v>137</v>
      </c>
      <c r="L40" s="86" t="s">
        <v>2966</v>
      </c>
      <c r="M40" s="87">
        <v>45874.388194444444</v>
      </c>
      <c r="N40" s="87">
        <v>45880.499305555553</v>
      </c>
      <c r="O40" s="86"/>
      <c r="P40" s="86" t="s">
        <v>2843</v>
      </c>
      <c r="Q40" s="86" t="s">
        <v>2843</v>
      </c>
      <c r="R40" s="88" t="s">
        <v>181</v>
      </c>
      <c r="S40" s="89" t="s">
        <v>707</v>
      </c>
      <c r="T40" s="86" t="s">
        <v>2846</v>
      </c>
      <c r="U40" s="86" t="s">
        <v>2847</v>
      </c>
      <c r="V40" s="86" t="s">
        <v>2967</v>
      </c>
      <c r="W40" s="86" t="s">
        <v>2849</v>
      </c>
      <c r="X40" s="86">
        <v>0</v>
      </c>
      <c r="Y40" s="90" t="s">
        <v>52</v>
      </c>
      <c r="Z40" s="90" t="s">
        <v>145</v>
      </c>
      <c r="AA40" s="86" t="s">
        <v>2245</v>
      </c>
      <c r="AB40" s="86">
        <v>1</v>
      </c>
      <c r="AC40" s="86">
        <v>0</v>
      </c>
      <c r="AD40" s="55">
        <f>IF(OR(W40="SOPORTE_TELEFÓNICO",W40="ENVÍO"),0,IF(Y40="TIPO I",'BASE DE LIQUIDACION 2025'!$I$4,IF(Y40="TIPO II",'BASE DE LIQUIDACION 2025'!$I$5,IF(Y40="TIPO III",'BASE DE LIQUIDACION 2025'!$I$6,IF(Y40="TIPO IV",'BASE DE LIQUIDACION 2025'!$I$7,'BASE DE LIQUIDACION 2025'!$I$8)))))</f>
        <v>96001.196280000004</v>
      </c>
      <c r="AE40" s="55">
        <f>IF(OR(W40="SOPORTE_TELEFÓNICO",W40="ENVÍO"),0,IF(Y40="TIPO I",'BASE DE LIQUIDACION 2025'!$J$4,IF(Y40="TIPO II",'BASE DE LIQUIDACION 2025'!$J$5,IF(Y40="TIPO III",'BASE DE LIQUIDACION 2025'!$J$6,IF(Y40="TIPO IV",'BASE DE LIQUIDACION 2025'!$J$7,'BASE DE LIQUIDACION 2025'!$J$8)))))</f>
        <v>57411.974240000003</v>
      </c>
      <c r="AF40" s="55">
        <f>IF(W40="SOPORTE_TELEFÓNICO",'BASE DE LIQUIDACION 2025'!$L$4,IF(W40="ENVÍO",'BASE DE LIQUIDACION 2025'!$K$4,AD40*AB40+AE40*AC40))</f>
        <v>96001.196280000004</v>
      </c>
    </row>
    <row r="41" spans="1:32" s="46" customFormat="1" ht="12.75">
      <c r="A41" s="86" t="s">
        <v>269</v>
      </c>
      <c r="B41" s="86" t="str">
        <f>VLOOKUP(A41,'CENTRO DE COSTOS'!A:D,4,FALSE)</f>
        <v>MIGUEL JULIÁN HERNÁNDEZ GUARÍN</v>
      </c>
      <c r="C41" s="86" t="str">
        <f>VLOOKUP(A41,'CENTRO DE COSTOS'!A:D,2,FALSE)</f>
        <v>0004-0008</v>
      </c>
      <c r="D41" s="86">
        <v>81300</v>
      </c>
      <c r="E41" s="86">
        <v>2532715</v>
      </c>
      <c r="F41" s="86">
        <v>27281</v>
      </c>
      <c r="G41" s="86" t="s">
        <v>2840</v>
      </c>
      <c r="H41" s="86" t="s">
        <v>1785</v>
      </c>
      <c r="I41" s="86" t="s">
        <v>2968</v>
      </c>
      <c r="J41" s="86" t="s">
        <v>2969</v>
      </c>
      <c r="K41" s="86" t="s">
        <v>137</v>
      </c>
      <c r="L41" s="86" t="s">
        <v>2970</v>
      </c>
      <c r="M41" s="87">
        <v>45869.450694444444</v>
      </c>
      <c r="N41" s="87">
        <v>45880.669444444444</v>
      </c>
      <c r="O41" s="86"/>
      <c r="P41" s="86" t="s">
        <v>2843</v>
      </c>
      <c r="Q41" s="86" t="s">
        <v>2843</v>
      </c>
      <c r="R41" s="88" t="s">
        <v>2845</v>
      </c>
      <c r="S41" s="89" t="s">
        <v>2845</v>
      </c>
      <c r="T41" s="86" t="s">
        <v>2846</v>
      </c>
      <c r="U41" s="86" t="s">
        <v>2847</v>
      </c>
      <c r="V41" s="86" t="s">
        <v>2971</v>
      </c>
      <c r="W41" s="86" t="s">
        <v>2849</v>
      </c>
      <c r="X41" s="86"/>
      <c r="Y41" s="90" t="s">
        <v>160</v>
      </c>
      <c r="Z41" s="90" t="s">
        <v>1369</v>
      </c>
      <c r="AA41" s="86" t="s">
        <v>929</v>
      </c>
      <c r="AB41" s="86">
        <v>1</v>
      </c>
      <c r="AC41" s="86">
        <v>0</v>
      </c>
      <c r="AD41" s="55">
        <f>IF(OR(W41="SOPORTE_TELEFÓNICO",W41="ENVÍO"),0,IF(Y41="TIPO I",'BASE DE LIQUIDACION 2025'!$I$4,IF(Y41="TIPO II",'BASE DE LIQUIDACION 2025'!$I$5,IF(Y41="TIPO III",'BASE DE LIQUIDACION 2025'!$I$6,IF(Y41="TIPO IV",'BASE DE LIQUIDACION 2025'!$I$7,'BASE DE LIQUIDACION 2025'!$I$8)))))</f>
        <v>548633.63271999999</v>
      </c>
      <c r="AE41" s="55">
        <f>IF(OR(W41="SOPORTE_TELEFÓNICO",W41="ENVÍO"),0,IF(Y41="TIPO I",'BASE DE LIQUIDACION 2025'!$J$4,IF(Y41="TIPO II",'BASE DE LIQUIDACION 2025'!$J$5,IF(Y41="TIPO III",'BASE DE LIQUIDACION 2025'!$J$6,IF(Y41="TIPO IV",'BASE DE LIQUIDACION 2025'!$J$7,'BASE DE LIQUIDACION 2025'!$J$8)))))</f>
        <v>110808.27512000001</v>
      </c>
      <c r="AF41" s="55">
        <f>IF(W41="SOPORTE_TELEFÓNICO",'BASE DE LIQUIDACION 2025'!$L$4,IF(W41="ENVÍO",'BASE DE LIQUIDACION 2025'!$K$4,AD41*AB41+AE41*AC41))</f>
        <v>548633.63271999999</v>
      </c>
    </row>
    <row r="42" spans="1:32" s="46" customFormat="1" ht="12.75">
      <c r="A42" s="86" t="s">
        <v>260</v>
      </c>
      <c r="B42" s="86" t="str">
        <f>VLOOKUP(A42,'CENTRO DE COSTOS'!A:D,4,FALSE)</f>
        <v>KEVIN ALEXIS CORZO BUSTOS</v>
      </c>
      <c r="C42" s="86" t="str">
        <f>VLOOKUP(A42,'CENTRO DE COSTOS'!A:D,2,FALSE)</f>
        <v>0004-0007</v>
      </c>
      <c r="D42" s="86">
        <v>50001</v>
      </c>
      <c r="E42" s="86">
        <v>2532147</v>
      </c>
      <c r="F42" s="86">
        <v>80077</v>
      </c>
      <c r="G42" s="86" t="s">
        <v>2840</v>
      </c>
      <c r="H42" s="86" t="s">
        <v>262</v>
      </c>
      <c r="I42" s="86" t="s">
        <v>260</v>
      </c>
      <c r="J42" s="86" t="s">
        <v>2972</v>
      </c>
      <c r="K42" s="86" t="s">
        <v>137</v>
      </c>
      <c r="L42" s="86" t="s">
        <v>2973</v>
      </c>
      <c r="M42" s="87">
        <v>45869.420138888891</v>
      </c>
      <c r="N42" s="87">
        <v>45880.67291666667</v>
      </c>
      <c r="O42" s="86"/>
      <c r="P42" s="86" t="s">
        <v>2843</v>
      </c>
      <c r="Q42" s="86" t="s">
        <v>2843</v>
      </c>
      <c r="R42" s="88" t="s">
        <v>139</v>
      </c>
      <c r="S42" s="89" t="s">
        <v>139</v>
      </c>
      <c r="T42" s="86" t="s">
        <v>2846</v>
      </c>
      <c r="U42" s="86" t="s">
        <v>2847</v>
      </c>
      <c r="V42" s="86" t="s">
        <v>2962</v>
      </c>
      <c r="W42" s="86" t="s">
        <v>2849</v>
      </c>
      <c r="X42" s="86">
        <v>0</v>
      </c>
      <c r="Y42" s="90" t="s">
        <v>52</v>
      </c>
      <c r="Z42" s="90" t="s">
        <v>145</v>
      </c>
      <c r="AA42" s="86" t="s">
        <v>909</v>
      </c>
      <c r="AB42" s="86">
        <v>1</v>
      </c>
      <c r="AC42" s="86">
        <v>0</v>
      </c>
      <c r="AD42" s="55">
        <f>IF(OR(W42="SOPORTE_TELEFÓNICO",W42="ENVÍO"),0,IF(Y42="TIPO I",'BASE DE LIQUIDACION 2025'!$I$4,IF(Y42="TIPO II",'BASE DE LIQUIDACION 2025'!$I$5,IF(Y42="TIPO III",'BASE DE LIQUIDACION 2025'!$I$6,IF(Y42="TIPO IV",'BASE DE LIQUIDACION 2025'!$I$7,'BASE DE LIQUIDACION 2025'!$I$8)))))</f>
        <v>96001.196280000004</v>
      </c>
      <c r="AE42" s="55">
        <f>IF(OR(W42="SOPORTE_TELEFÓNICO",W42="ENVÍO"),0,IF(Y42="TIPO I",'BASE DE LIQUIDACION 2025'!$J$4,IF(Y42="TIPO II",'BASE DE LIQUIDACION 2025'!$J$5,IF(Y42="TIPO III",'BASE DE LIQUIDACION 2025'!$J$6,IF(Y42="TIPO IV",'BASE DE LIQUIDACION 2025'!$J$7,'BASE DE LIQUIDACION 2025'!$J$8)))))</f>
        <v>57411.974240000003</v>
      </c>
      <c r="AF42" s="55">
        <f>IF(W42="SOPORTE_TELEFÓNICO",'BASE DE LIQUIDACION 2025'!$L$4,IF(W42="ENVÍO",'BASE DE LIQUIDACION 2025'!$K$4,AD42*AB42+AE42*AC42))</f>
        <v>96001.196280000004</v>
      </c>
    </row>
    <row r="43" spans="1:32" s="46" customFormat="1" ht="12.75">
      <c r="A43" s="86" t="s">
        <v>431</v>
      </c>
      <c r="B43" s="86" t="str">
        <f>VLOOKUP(A43,'CENTRO DE COSTOS'!A:D,4,FALSE)</f>
        <v>WILLIAM ASDRUBAL ROZO ROZO</v>
      </c>
      <c r="C43" s="86" t="str">
        <f>VLOOKUP(A43,'CENTRO DE COSTOS'!A:D,2,FALSE)</f>
        <v>0004-0004</v>
      </c>
      <c r="D43" s="86">
        <v>25181</v>
      </c>
      <c r="E43" s="86">
        <v>2548039</v>
      </c>
      <c r="F43" s="86">
        <v>75359</v>
      </c>
      <c r="G43" s="86" t="s">
        <v>2840</v>
      </c>
      <c r="H43" s="86" t="s">
        <v>433</v>
      </c>
      <c r="I43" s="86" t="s">
        <v>2974</v>
      </c>
      <c r="J43" s="86" t="s">
        <v>2975</v>
      </c>
      <c r="K43" s="86" t="s">
        <v>137</v>
      </c>
      <c r="L43" s="86" t="s">
        <v>2976</v>
      </c>
      <c r="M43" s="87">
        <v>45873.452777777777</v>
      </c>
      <c r="N43" s="87">
        <v>45880.700694444444</v>
      </c>
      <c r="O43" s="86"/>
      <c r="P43" s="86" t="s">
        <v>2843</v>
      </c>
      <c r="Q43" s="86" t="s">
        <v>2843</v>
      </c>
      <c r="R43" s="88" t="s">
        <v>139</v>
      </c>
      <c r="S43" s="89" t="s">
        <v>139</v>
      </c>
      <c r="T43" s="86" t="s">
        <v>2846</v>
      </c>
      <c r="U43" s="86" t="s">
        <v>2847</v>
      </c>
      <c r="V43" s="86" t="s">
        <v>2977</v>
      </c>
      <c r="W43" s="86" t="s">
        <v>2849</v>
      </c>
      <c r="X43" s="86">
        <v>0</v>
      </c>
      <c r="Y43" s="90" t="s">
        <v>202</v>
      </c>
      <c r="Z43" s="90" t="s">
        <v>145</v>
      </c>
      <c r="AA43" s="86" t="s">
        <v>2978</v>
      </c>
      <c r="AB43" s="86">
        <v>1</v>
      </c>
      <c r="AC43" s="86">
        <v>0</v>
      </c>
      <c r="AD43" s="55">
        <f>IF(OR(W43="SOPORTE_TELEFÓNICO",W43="ENVÍO"),0,IF(Y43="TIPO I",'BASE DE LIQUIDACION 2025'!$I$4,IF(Y43="TIPO II",'BASE DE LIQUIDACION 2025'!$I$5,IF(Y43="TIPO III",'BASE DE LIQUIDACION 2025'!$I$6,IF(Y43="TIPO IV",'BASE DE LIQUIDACION 2025'!$I$7,'BASE DE LIQUIDACION 2025'!$I$8)))))</f>
        <v>232858.60096000001</v>
      </c>
      <c r="AE43" s="55">
        <f>IF(OR(W43="SOPORTE_TELEFÓNICO",W43="ENVÍO"),0,IF(Y43="TIPO I",'BASE DE LIQUIDACION 2025'!$J$4,IF(Y43="TIPO II",'BASE DE LIQUIDACION 2025'!$J$5,IF(Y43="TIPO III",'BASE DE LIQUIDACION 2025'!$J$6,IF(Y43="TIPO IV",'BASE DE LIQUIDACION 2025'!$J$7,'BASE DE LIQUIDACION 2025'!$J$8)))))</f>
        <v>110808.27512000001</v>
      </c>
      <c r="AF43" s="55">
        <f>IF(W43="SOPORTE_TELEFÓNICO",'BASE DE LIQUIDACION 2025'!$L$4,IF(W43="ENVÍO",'BASE DE LIQUIDACION 2025'!$K$4,AD43*AB43+AE43*AC43))</f>
        <v>232858.60096000001</v>
      </c>
    </row>
    <row r="44" spans="1:32" s="46" customFormat="1" ht="12.75">
      <c r="A44" s="86" t="s">
        <v>285</v>
      </c>
      <c r="B44" s="86" t="str">
        <f>VLOOKUP(A44,'CENTRO DE COSTOS'!A:D,4,FALSE)</f>
        <v>MIGUEL JULIÁN HERNÁNDEZ GUARÍN</v>
      </c>
      <c r="C44" s="86" t="str">
        <f>VLOOKUP(A44,'CENTRO DE COSTOS'!A:D,2,FALSE)</f>
        <v>0004-0008</v>
      </c>
      <c r="D44" s="86">
        <v>54001</v>
      </c>
      <c r="E44" s="86">
        <v>2579101</v>
      </c>
      <c r="F44" s="86">
        <v>37749</v>
      </c>
      <c r="G44" s="86" t="s">
        <v>2840</v>
      </c>
      <c r="H44" s="86" t="s">
        <v>287</v>
      </c>
      <c r="I44" s="86" t="s">
        <v>285</v>
      </c>
      <c r="J44" s="86" t="s">
        <v>2979</v>
      </c>
      <c r="K44" s="86" t="s">
        <v>137</v>
      </c>
      <c r="L44" s="86" t="s">
        <v>2980</v>
      </c>
      <c r="M44" s="87">
        <v>45880.482638888891</v>
      </c>
      <c r="N44" s="87">
        <v>45881.468055555553</v>
      </c>
      <c r="O44" s="86"/>
      <c r="P44" s="86" t="s">
        <v>2843</v>
      </c>
      <c r="Q44" s="86" t="s">
        <v>2843</v>
      </c>
      <c r="R44" s="88" t="s">
        <v>2845</v>
      </c>
      <c r="S44" s="89" t="s">
        <v>2845</v>
      </c>
      <c r="T44" s="86" t="s">
        <v>2846</v>
      </c>
      <c r="U44" s="86" t="s">
        <v>2847</v>
      </c>
      <c r="V44" s="86" t="s">
        <v>2981</v>
      </c>
      <c r="W44" s="86" t="s">
        <v>2849</v>
      </c>
      <c r="X44" s="86">
        <v>0</v>
      </c>
      <c r="Y44" s="90" t="s">
        <v>52</v>
      </c>
      <c r="Z44" s="90" t="s">
        <v>145</v>
      </c>
      <c r="AA44" s="86" t="s">
        <v>358</v>
      </c>
      <c r="AB44" s="86">
        <v>1</v>
      </c>
      <c r="AC44" s="86">
        <v>0</v>
      </c>
      <c r="AD44" s="55">
        <f>IF(OR(W44="SOPORTE_TELEFÓNICO",W44="ENVÍO"),0,IF(Y44="TIPO I",'BASE DE LIQUIDACION 2025'!$I$4,IF(Y44="TIPO II",'BASE DE LIQUIDACION 2025'!$I$5,IF(Y44="TIPO III",'BASE DE LIQUIDACION 2025'!$I$6,IF(Y44="TIPO IV",'BASE DE LIQUIDACION 2025'!$I$7,'BASE DE LIQUIDACION 2025'!$I$8)))))</f>
        <v>96001.196280000004</v>
      </c>
      <c r="AE44" s="55">
        <f>IF(OR(W44="SOPORTE_TELEFÓNICO",W44="ENVÍO"),0,IF(Y44="TIPO I",'BASE DE LIQUIDACION 2025'!$J$4,IF(Y44="TIPO II",'BASE DE LIQUIDACION 2025'!$J$5,IF(Y44="TIPO III",'BASE DE LIQUIDACION 2025'!$J$6,IF(Y44="TIPO IV",'BASE DE LIQUIDACION 2025'!$J$7,'BASE DE LIQUIDACION 2025'!$J$8)))))</f>
        <v>57411.974240000003</v>
      </c>
      <c r="AF44" s="55">
        <f>IF(W44="SOPORTE_TELEFÓNICO",'BASE DE LIQUIDACION 2025'!$L$4,IF(W44="ENVÍO",'BASE DE LIQUIDACION 2025'!$K$4,AD44*AB44+AE44*AC44))</f>
        <v>96001.196280000004</v>
      </c>
    </row>
    <row r="45" spans="1:32" s="46" customFormat="1" ht="12.75">
      <c r="A45" s="86" t="s">
        <v>688</v>
      </c>
      <c r="B45" s="86" t="str">
        <f>VLOOKUP(A45,'CENTRO DE COSTOS'!A:D,4,FALSE)</f>
        <v>KEVIN ALEXIS CORZO BUSTOS</v>
      </c>
      <c r="C45" s="86" t="str">
        <f>VLOOKUP(A45,'CENTRO DE COSTOS'!A:D,2,FALSE)</f>
        <v>0004-0007</v>
      </c>
      <c r="D45" s="86">
        <v>73001</v>
      </c>
      <c r="E45" s="91">
        <v>2557762</v>
      </c>
      <c r="F45" s="86">
        <v>72513</v>
      </c>
      <c r="G45" s="86" t="s">
        <v>2840</v>
      </c>
      <c r="H45" s="86" t="s">
        <v>690</v>
      </c>
      <c r="I45" s="86" t="s">
        <v>688</v>
      </c>
      <c r="J45" s="86" t="s">
        <v>2982</v>
      </c>
      <c r="K45" s="86" t="s">
        <v>137</v>
      </c>
      <c r="L45" s="86" t="s">
        <v>2983</v>
      </c>
      <c r="M45" s="87">
        <v>45874.634027777778</v>
      </c>
      <c r="N45" s="87">
        <v>45881.479166666664</v>
      </c>
      <c r="O45" s="86"/>
      <c r="P45" s="86" t="s">
        <v>2843</v>
      </c>
      <c r="Q45" s="86" t="s">
        <v>2843</v>
      </c>
      <c r="R45" s="88" t="s">
        <v>2845</v>
      </c>
      <c r="S45" s="89" t="s">
        <v>2845</v>
      </c>
      <c r="T45" s="86" t="s">
        <v>2867</v>
      </c>
      <c r="U45" s="86" t="s">
        <v>2984</v>
      </c>
      <c r="V45" s="86" t="s">
        <v>2985</v>
      </c>
      <c r="W45" s="86" t="s">
        <v>2849</v>
      </c>
      <c r="X45" s="86">
        <v>0</v>
      </c>
      <c r="Y45" s="90" t="s">
        <v>52</v>
      </c>
      <c r="Z45" s="90" t="s">
        <v>145</v>
      </c>
      <c r="AA45" s="86" t="s">
        <v>694</v>
      </c>
      <c r="AB45" s="86">
        <v>1</v>
      </c>
      <c r="AC45" s="86">
        <v>0</v>
      </c>
      <c r="AD45" s="55">
        <f>IF(OR(W45="SOPORTE_TELEFÓNICO",W45="ENVÍO"),0,IF(Y45="TIPO I",'BASE DE LIQUIDACION 2025'!$I$4,IF(Y45="TIPO II",'BASE DE LIQUIDACION 2025'!$I$5,IF(Y45="TIPO III",'BASE DE LIQUIDACION 2025'!$I$6,IF(Y45="TIPO IV",'BASE DE LIQUIDACION 2025'!$I$7,'BASE DE LIQUIDACION 2025'!$I$8)))))</f>
        <v>96001.196280000004</v>
      </c>
      <c r="AE45" s="55">
        <f>IF(OR(W45="SOPORTE_TELEFÓNICO",W45="ENVÍO"),0,IF(Y45="TIPO I",'BASE DE LIQUIDACION 2025'!$J$4,IF(Y45="TIPO II",'BASE DE LIQUIDACION 2025'!$J$5,IF(Y45="TIPO III",'BASE DE LIQUIDACION 2025'!$J$6,IF(Y45="TIPO IV",'BASE DE LIQUIDACION 2025'!$J$7,'BASE DE LIQUIDACION 2025'!$J$8)))))</f>
        <v>57411.974240000003</v>
      </c>
      <c r="AF45" s="55">
        <f>IF(W45="SOPORTE_TELEFÓNICO",'BASE DE LIQUIDACION 2025'!$L$4,IF(W45="ENVÍO",'BASE DE LIQUIDACION 2025'!$K$4,AD45*AB45+AE45*AC45))</f>
        <v>96001.196280000004</v>
      </c>
    </row>
    <row r="46" spans="1:32" s="46" customFormat="1" ht="12.75">
      <c r="A46" s="86" t="s">
        <v>260</v>
      </c>
      <c r="B46" s="86" t="str">
        <f>VLOOKUP(A46,'CENTRO DE COSTOS'!A:D,4,FALSE)</f>
        <v>KEVIN ALEXIS CORZO BUSTOS</v>
      </c>
      <c r="C46" s="86" t="str">
        <f>VLOOKUP(A46,'CENTRO DE COSTOS'!A:D,2,FALSE)</f>
        <v>0004-0007</v>
      </c>
      <c r="D46" s="86">
        <v>50006</v>
      </c>
      <c r="E46" s="86">
        <v>2552047</v>
      </c>
      <c r="F46" s="86">
        <v>80646</v>
      </c>
      <c r="G46" s="86" t="s">
        <v>2840</v>
      </c>
      <c r="H46" s="86" t="s">
        <v>262</v>
      </c>
      <c r="I46" s="86" t="s">
        <v>905</v>
      </c>
      <c r="J46" s="86" t="s">
        <v>2986</v>
      </c>
      <c r="K46" s="86" t="s">
        <v>137</v>
      </c>
      <c r="L46" s="86" t="s">
        <v>2987</v>
      </c>
      <c r="M46" s="87">
        <v>45873.701388888891</v>
      </c>
      <c r="N46" s="87">
        <v>45881.484027777777</v>
      </c>
      <c r="O46" s="86"/>
      <c r="P46" s="86" t="s">
        <v>2843</v>
      </c>
      <c r="Q46" s="86" t="s">
        <v>2843</v>
      </c>
      <c r="R46" s="88" t="s">
        <v>139</v>
      </c>
      <c r="S46" s="89" t="s">
        <v>139</v>
      </c>
      <c r="T46" s="86" t="s">
        <v>2846</v>
      </c>
      <c r="U46" s="86" t="s">
        <v>2847</v>
      </c>
      <c r="V46" s="86" t="s">
        <v>2988</v>
      </c>
      <c r="W46" s="86" t="s">
        <v>2849</v>
      </c>
      <c r="X46" s="86">
        <v>0</v>
      </c>
      <c r="Y46" s="90" t="s">
        <v>202</v>
      </c>
      <c r="Z46" s="90" t="s">
        <v>145</v>
      </c>
      <c r="AA46" s="86" t="s">
        <v>909</v>
      </c>
      <c r="AB46" s="86">
        <v>1</v>
      </c>
      <c r="AC46" s="86">
        <v>0</v>
      </c>
      <c r="AD46" s="55">
        <f>IF(OR(W46="SOPORTE_TELEFÓNICO",W46="ENVÍO"),0,IF(Y46="TIPO I",'BASE DE LIQUIDACION 2025'!$I$4,IF(Y46="TIPO II",'BASE DE LIQUIDACION 2025'!$I$5,IF(Y46="TIPO III",'BASE DE LIQUIDACION 2025'!$I$6,IF(Y46="TIPO IV",'BASE DE LIQUIDACION 2025'!$I$7,'BASE DE LIQUIDACION 2025'!$I$8)))))</f>
        <v>232858.60096000001</v>
      </c>
      <c r="AE46" s="55">
        <f>IF(OR(W46="SOPORTE_TELEFÓNICO",W46="ENVÍO"),0,IF(Y46="TIPO I",'BASE DE LIQUIDACION 2025'!$J$4,IF(Y46="TIPO II",'BASE DE LIQUIDACION 2025'!$J$5,IF(Y46="TIPO III",'BASE DE LIQUIDACION 2025'!$J$6,IF(Y46="TIPO IV",'BASE DE LIQUIDACION 2025'!$J$7,'BASE DE LIQUIDACION 2025'!$J$8)))))</f>
        <v>110808.27512000001</v>
      </c>
      <c r="AF46" s="55">
        <f>IF(W46="SOPORTE_TELEFÓNICO",'BASE DE LIQUIDACION 2025'!$L$4,IF(W46="ENVÍO",'BASE DE LIQUIDACION 2025'!$K$4,AD46*AB46+AE46*AC46))</f>
        <v>232858.60096000001</v>
      </c>
    </row>
    <row r="47" spans="1:32" s="46" customFormat="1" ht="12.75">
      <c r="A47" s="86" t="s">
        <v>175</v>
      </c>
      <c r="B47" s="86" t="str">
        <f>VLOOKUP(A47,'CENTRO DE COSTOS'!A:D,4,FALSE)</f>
        <v>JUAN SEBASTIÁN RÍOS CASTRILLÓN</v>
      </c>
      <c r="C47" s="86" t="str">
        <f>VLOOKUP(A47,'CENTRO DE COSTOS'!A:D,2,FALSE)</f>
        <v>0004-0005</v>
      </c>
      <c r="D47" s="86">
        <v>27245</v>
      </c>
      <c r="E47" s="86">
        <v>2545753</v>
      </c>
      <c r="F47" s="86">
        <v>29014</v>
      </c>
      <c r="G47" s="86" t="s">
        <v>2840</v>
      </c>
      <c r="H47" s="86" t="s">
        <v>1362</v>
      </c>
      <c r="I47" s="86" t="s">
        <v>2989</v>
      </c>
      <c r="J47" s="86" t="s">
        <v>2990</v>
      </c>
      <c r="K47" s="86" t="s">
        <v>137</v>
      </c>
      <c r="L47" s="86" t="s">
        <v>2991</v>
      </c>
      <c r="M47" s="87">
        <v>45873.365972222222</v>
      </c>
      <c r="N47" s="87">
        <v>45881.704861111109</v>
      </c>
      <c r="O47" s="86"/>
      <c r="P47" s="86" t="s">
        <v>2843</v>
      </c>
      <c r="Q47" s="86" t="s">
        <v>2843</v>
      </c>
      <c r="R47" s="88" t="s">
        <v>2845</v>
      </c>
      <c r="S47" s="89" t="s">
        <v>2845</v>
      </c>
      <c r="T47" s="86" t="s">
        <v>2846</v>
      </c>
      <c r="U47" s="86" t="s">
        <v>2847</v>
      </c>
      <c r="V47" s="86" t="s">
        <v>2992</v>
      </c>
      <c r="W47" s="86" t="s">
        <v>2849</v>
      </c>
      <c r="X47" s="86">
        <v>0</v>
      </c>
      <c r="Y47" s="90" t="s">
        <v>144</v>
      </c>
      <c r="Z47" s="90" t="s">
        <v>145</v>
      </c>
      <c r="AA47" s="86" t="s">
        <v>757</v>
      </c>
      <c r="AB47" s="86">
        <v>1</v>
      </c>
      <c r="AC47" s="86">
        <v>0</v>
      </c>
      <c r="AD47" s="55">
        <f>IF(OR(W47="SOPORTE_TELEFÓNICO",W47="ENVÍO"),0,IF(Y47="TIPO I",'BASE DE LIQUIDACION 2025'!$I$4,IF(Y47="TIPO II",'BASE DE LIQUIDACION 2025'!$I$5,IF(Y47="TIPO III",'BASE DE LIQUIDACION 2025'!$I$6,IF(Y47="TIPO IV",'BASE DE LIQUIDACION 2025'!$I$7,'BASE DE LIQUIDACION 2025'!$I$8)))))</f>
        <v>548633.63271999999</v>
      </c>
      <c r="AE47" s="55">
        <f>IF(OR(W47="SOPORTE_TELEFÓNICO",W47="ENVÍO"),0,IF(Y47="TIPO I",'BASE DE LIQUIDACION 2025'!$J$4,IF(Y47="TIPO II",'BASE DE LIQUIDACION 2025'!$J$5,IF(Y47="TIPO III",'BASE DE LIQUIDACION 2025'!$J$6,IF(Y47="TIPO IV",'BASE DE LIQUIDACION 2025'!$J$7,'BASE DE LIQUIDACION 2025'!$J$8)))))</f>
        <v>110808.27512000001</v>
      </c>
      <c r="AF47" s="55">
        <f>IF(W47="SOPORTE_TELEFÓNICO",'BASE DE LIQUIDACION 2025'!$L$4,IF(W47="ENVÍO",'BASE DE LIQUIDACION 2025'!$K$4,AD47*AB47+AE47*AC47))</f>
        <v>548633.63271999999</v>
      </c>
    </row>
    <row r="48" spans="1:32" s="46" customFormat="1" ht="12.75">
      <c r="A48" s="86" t="s">
        <v>1676</v>
      </c>
      <c r="B48" s="86" t="str">
        <f>VLOOKUP(A48,'CENTRO DE COSTOS'!A:D,4,FALSE)</f>
        <v>JOSE MAURICIO HERNANDEZ ROJAS</v>
      </c>
      <c r="C48" s="86" t="str">
        <f>VLOOKUP(A48,'CENTRO DE COSTOS'!A:D,2,FALSE)</f>
        <v>0004-0001</v>
      </c>
      <c r="D48" s="86">
        <v>47001</v>
      </c>
      <c r="E48" s="86">
        <v>2586459</v>
      </c>
      <c r="F48" s="86">
        <v>61209</v>
      </c>
      <c r="G48" s="86" t="s">
        <v>2840</v>
      </c>
      <c r="H48" s="86" t="s">
        <v>1840</v>
      </c>
      <c r="I48" s="86" t="s">
        <v>1676</v>
      </c>
      <c r="J48" s="86" t="s">
        <v>2993</v>
      </c>
      <c r="K48" s="86" t="s">
        <v>137</v>
      </c>
      <c r="L48" s="86" t="s">
        <v>2994</v>
      </c>
      <c r="M48" s="87">
        <v>45881.559027777781</v>
      </c>
      <c r="N48" s="87">
        <v>45882.563888888886</v>
      </c>
      <c r="O48" s="86"/>
      <c r="P48" s="86" t="s">
        <v>2843</v>
      </c>
      <c r="Q48" s="86" t="s">
        <v>2843</v>
      </c>
      <c r="R48" s="88" t="s">
        <v>2845</v>
      </c>
      <c r="S48" s="89" t="s">
        <v>2845</v>
      </c>
      <c r="T48" s="86" t="s">
        <v>2846</v>
      </c>
      <c r="U48" s="86" t="s">
        <v>2847</v>
      </c>
      <c r="V48" s="86" t="s">
        <v>2995</v>
      </c>
      <c r="W48" s="86" t="s">
        <v>2849</v>
      </c>
      <c r="X48" s="86"/>
      <c r="Y48" s="90" t="s">
        <v>52</v>
      </c>
      <c r="Z48" s="90" t="s">
        <v>145</v>
      </c>
      <c r="AA48" s="86" t="s">
        <v>1695</v>
      </c>
      <c r="AB48" s="86">
        <v>1</v>
      </c>
      <c r="AC48" s="86">
        <v>0</v>
      </c>
      <c r="AD48" s="55">
        <f>IF(OR(W48="SOPORTE_TELEFÓNICO",W48="ENVÍO"),0,IF(Y48="TIPO I",'BASE DE LIQUIDACION 2025'!$I$4,IF(Y48="TIPO II",'BASE DE LIQUIDACION 2025'!$I$5,IF(Y48="TIPO III",'BASE DE LIQUIDACION 2025'!$I$6,IF(Y48="TIPO IV",'BASE DE LIQUIDACION 2025'!$I$7,'BASE DE LIQUIDACION 2025'!$I$8)))))</f>
        <v>96001.196280000004</v>
      </c>
      <c r="AE48" s="55">
        <f>IF(OR(W48="SOPORTE_TELEFÓNICO",W48="ENVÍO"),0,IF(Y48="TIPO I",'BASE DE LIQUIDACION 2025'!$J$4,IF(Y48="TIPO II",'BASE DE LIQUIDACION 2025'!$J$5,IF(Y48="TIPO III",'BASE DE LIQUIDACION 2025'!$J$6,IF(Y48="TIPO IV",'BASE DE LIQUIDACION 2025'!$J$7,'BASE DE LIQUIDACION 2025'!$J$8)))))</f>
        <v>57411.974240000003</v>
      </c>
      <c r="AF48" s="55">
        <f>IF(W48="SOPORTE_TELEFÓNICO",'BASE DE LIQUIDACION 2025'!$L$4,IF(W48="ENVÍO",'BASE DE LIQUIDACION 2025'!$K$4,AD48*AB48+AE48*AC48))</f>
        <v>96001.196280000004</v>
      </c>
    </row>
    <row r="49" spans="1:32" s="46" customFormat="1" ht="12.75">
      <c r="A49" s="86" t="s">
        <v>285</v>
      </c>
      <c r="B49" s="86" t="str">
        <f>VLOOKUP(A49,'CENTRO DE COSTOS'!A:D,4,FALSE)</f>
        <v>MIGUEL JULIÁN HERNÁNDEZ GUARÍN</v>
      </c>
      <c r="C49" s="86" t="str">
        <f>VLOOKUP(A49,'CENTRO DE COSTOS'!A:D,2,FALSE)</f>
        <v>0004-0008</v>
      </c>
      <c r="D49" s="86">
        <v>54001</v>
      </c>
      <c r="E49" s="86">
        <v>2584734</v>
      </c>
      <c r="F49" s="86">
        <v>54891</v>
      </c>
      <c r="G49" s="86" t="s">
        <v>2840</v>
      </c>
      <c r="H49" s="86" t="s">
        <v>287</v>
      </c>
      <c r="I49" s="86" t="s">
        <v>285</v>
      </c>
      <c r="J49" s="86" t="s">
        <v>2996</v>
      </c>
      <c r="K49" s="86" t="s">
        <v>137</v>
      </c>
      <c r="L49" s="86" t="s">
        <v>2997</v>
      </c>
      <c r="M49" s="87">
        <v>45881.426388888889</v>
      </c>
      <c r="N49" s="87">
        <v>45882.680555555555</v>
      </c>
      <c r="O49" s="86"/>
      <c r="P49" s="86" t="s">
        <v>2843</v>
      </c>
      <c r="Q49" s="86" t="s">
        <v>2843</v>
      </c>
      <c r="R49" s="88" t="s">
        <v>2845</v>
      </c>
      <c r="S49" s="89" t="s">
        <v>2845</v>
      </c>
      <c r="T49" s="86" t="s">
        <v>2846</v>
      </c>
      <c r="U49" s="86" t="s">
        <v>2847</v>
      </c>
      <c r="V49" s="86" t="s">
        <v>2998</v>
      </c>
      <c r="W49" s="86" t="s">
        <v>2849</v>
      </c>
      <c r="X49" s="86"/>
      <c r="Y49" s="90" t="s">
        <v>52</v>
      </c>
      <c r="Z49" s="90" t="s">
        <v>145</v>
      </c>
      <c r="AA49" s="86" t="s">
        <v>391</v>
      </c>
      <c r="AB49" s="86">
        <v>1</v>
      </c>
      <c r="AC49" s="86">
        <v>0</v>
      </c>
      <c r="AD49" s="55">
        <f>IF(OR(W49="SOPORTE_TELEFÓNICO",W49="ENVÍO"),0,IF(Y49="TIPO I",'BASE DE LIQUIDACION 2025'!$I$4,IF(Y49="TIPO II",'BASE DE LIQUIDACION 2025'!$I$5,IF(Y49="TIPO III",'BASE DE LIQUIDACION 2025'!$I$6,IF(Y49="TIPO IV",'BASE DE LIQUIDACION 2025'!$I$7,'BASE DE LIQUIDACION 2025'!$I$8)))))</f>
        <v>96001.196280000004</v>
      </c>
      <c r="AE49" s="55">
        <f>IF(OR(W49="SOPORTE_TELEFÓNICO",W49="ENVÍO"),0,IF(Y49="TIPO I",'BASE DE LIQUIDACION 2025'!$J$4,IF(Y49="TIPO II",'BASE DE LIQUIDACION 2025'!$J$5,IF(Y49="TIPO III",'BASE DE LIQUIDACION 2025'!$J$6,IF(Y49="TIPO IV",'BASE DE LIQUIDACION 2025'!$J$7,'BASE DE LIQUIDACION 2025'!$J$8)))))</f>
        <v>57411.974240000003</v>
      </c>
      <c r="AF49" s="55">
        <f>IF(W49="SOPORTE_TELEFÓNICO",'BASE DE LIQUIDACION 2025'!$L$4,IF(W49="ENVÍO",'BASE DE LIQUIDACION 2025'!$K$4,AD49*AB49+AE49*AC49))</f>
        <v>96001.196280000004</v>
      </c>
    </row>
    <row r="50" spans="1:32" s="46" customFormat="1" ht="12.75">
      <c r="A50" s="86" t="s">
        <v>260</v>
      </c>
      <c r="B50" s="86" t="str">
        <f>VLOOKUP(A50,'CENTRO DE COSTOS'!A:D,4,FALSE)</f>
        <v>KEVIN ALEXIS CORZO BUSTOS</v>
      </c>
      <c r="C50" s="86" t="str">
        <f>VLOOKUP(A50,'CENTRO DE COSTOS'!A:D,2,FALSE)</f>
        <v>0004-0007</v>
      </c>
      <c r="D50" s="86">
        <v>50001</v>
      </c>
      <c r="E50" s="86">
        <v>2574163</v>
      </c>
      <c r="F50" s="86">
        <v>43732</v>
      </c>
      <c r="G50" s="86" t="s">
        <v>2840</v>
      </c>
      <c r="H50" s="86" t="s">
        <v>262</v>
      </c>
      <c r="I50" s="86" t="s">
        <v>260</v>
      </c>
      <c r="J50" s="86" t="s">
        <v>2999</v>
      </c>
      <c r="K50" s="86" t="s">
        <v>137</v>
      </c>
      <c r="L50" s="86" t="s">
        <v>3000</v>
      </c>
      <c r="M50" s="87">
        <v>45878.490277777775</v>
      </c>
      <c r="N50" s="87">
        <v>45882.686111111114</v>
      </c>
      <c r="O50" s="86"/>
      <c r="P50" s="86" t="s">
        <v>2843</v>
      </c>
      <c r="Q50" s="86" t="s">
        <v>2843</v>
      </c>
      <c r="R50" s="88" t="s">
        <v>2845</v>
      </c>
      <c r="S50" s="89" t="s">
        <v>2845</v>
      </c>
      <c r="T50" s="86" t="s">
        <v>2867</v>
      </c>
      <c r="U50" s="86" t="s">
        <v>3001</v>
      </c>
      <c r="V50" s="86" t="s">
        <v>3002</v>
      </c>
      <c r="W50" s="86" t="s">
        <v>2849</v>
      </c>
      <c r="X50" s="86"/>
      <c r="Y50" s="90" t="s">
        <v>52</v>
      </c>
      <c r="Z50" s="90" t="s">
        <v>145</v>
      </c>
      <c r="AA50" s="86" t="s">
        <v>332</v>
      </c>
      <c r="AB50" s="86">
        <v>1</v>
      </c>
      <c r="AC50" s="86">
        <v>0</v>
      </c>
      <c r="AD50" s="55">
        <f>IF(OR(W50="SOPORTE_TELEFÓNICO",W50="ENVÍO"),0,IF(Y50="TIPO I",'BASE DE LIQUIDACION 2025'!$I$4,IF(Y50="TIPO II",'BASE DE LIQUIDACION 2025'!$I$5,IF(Y50="TIPO III",'BASE DE LIQUIDACION 2025'!$I$6,IF(Y50="TIPO IV",'BASE DE LIQUIDACION 2025'!$I$7,'BASE DE LIQUIDACION 2025'!$I$8)))))</f>
        <v>96001.196280000004</v>
      </c>
      <c r="AE50" s="55">
        <f>IF(OR(W50="SOPORTE_TELEFÓNICO",W50="ENVÍO"),0,IF(Y50="TIPO I",'BASE DE LIQUIDACION 2025'!$J$4,IF(Y50="TIPO II",'BASE DE LIQUIDACION 2025'!$J$5,IF(Y50="TIPO III",'BASE DE LIQUIDACION 2025'!$J$6,IF(Y50="TIPO IV",'BASE DE LIQUIDACION 2025'!$J$7,'BASE DE LIQUIDACION 2025'!$J$8)))))</f>
        <v>57411.974240000003</v>
      </c>
      <c r="AF50" s="55">
        <f>IF(W50="SOPORTE_TELEFÓNICO",'BASE DE LIQUIDACION 2025'!$L$4,IF(W50="ENVÍO",'BASE DE LIQUIDACION 2025'!$K$4,AD50*AB50+AE50*AC50))</f>
        <v>96001.196280000004</v>
      </c>
    </row>
    <row r="51" spans="1:32" s="46" customFormat="1" ht="12.75">
      <c r="A51" s="86" t="s">
        <v>175</v>
      </c>
      <c r="B51" s="86" t="str">
        <f>VLOOKUP(A51,'CENTRO DE COSTOS'!A:D,4,FALSE)</f>
        <v>JUAN SEBASTIÁN RÍOS CASTRILLÓN</v>
      </c>
      <c r="C51" s="86" t="str">
        <f>VLOOKUP(A51,'CENTRO DE COSTOS'!A:D,2,FALSE)</f>
        <v>0004-0005</v>
      </c>
      <c r="D51" s="86">
        <v>5579</v>
      </c>
      <c r="E51" s="86">
        <v>2565523</v>
      </c>
      <c r="F51" s="86">
        <v>49706</v>
      </c>
      <c r="G51" s="86" t="s">
        <v>2840</v>
      </c>
      <c r="H51" s="86" t="s">
        <v>178</v>
      </c>
      <c r="I51" s="86" t="s">
        <v>2163</v>
      </c>
      <c r="J51" s="86" t="s">
        <v>3003</v>
      </c>
      <c r="K51" s="86" t="s">
        <v>137</v>
      </c>
      <c r="L51" s="86" t="s">
        <v>3004</v>
      </c>
      <c r="M51" s="87">
        <v>45875.6875</v>
      </c>
      <c r="N51" s="87">
        <v>45882.690972222219</v>
      </c>
      <c r="O51" s="86"/>
      <c r="P51" s="86" t="s">
        <v>2843</v>
      </c>
      <c r="Q51" s="86" t="s">
        <v>2843</v>
      </c>
      <c r="R51" s="88" t="s">
        <v>181</v>
      </c>
      <c r="S51" s="89" t="s">
        <v>182</v>
      </c>
      <c r="T51" s="86" t="s">
        <v>2846</v>
      </c>
      <c r="U51" s="86" t="s">
        <v>2847</v>
      </c>
      <c r="V51" s="86" t="s">
        <v>3005</v>
      </c>
      <c r="W51" s="86" t="s">
        <v>2849</v>
      </c>
      <c r="X51" s="86"/>
      <c r="Y51" s="90" t="s">
        <v>230</v>
      </c>
      <c r="Z51" s="90" t="s">
        <v>145</v>
      </c>
      <c r="AA51" s="86" t="s">
        <v>189</v>
      </c>
      <c r="AB51" s="86">
        <v>1</v>
      </c>
      <c r="AC51" s="86">
        <v>0</v>
      </c>
      <c r="AD51" s="55">
        <f>IF(OR(W51="SOPORTE_TELEFÓNICO",W51="ENVÍO"),0,IF(Y51="TIPO I",'BASE DE LIQUIDACION 2025'!$I$4,IF(Y51="TIPO II",'BASE DE LIQUIDACION 2025'!$I$5,IF(Y51="TIPO III",'BASE DE LIQUIDACION 2025'!$I$6,IF(Y51="TIPO IV",'BASE DE LIQUIDACION 2025'!$I$7,'BASE DE LIQUIDACION 2025'!$I$8)))))</f>
        <v>344774.56896</v>
      </c>
      <c r="AE51" s="55">
        <f>IF(OR(W51="SOPORTE_TELEFÓNICO",W51="ENVÍO"),0,IF(Y51="TIPO I",'BASE DE LIQUIDACION 2025'!$J$4,IF(Y51="TIPO II",'BASE DE LIQUIDACION 2025'!$J$5,IF(Y51="TIPO III",'BASE DE LIQUIDACION 2025'!$J$6,IF(Y51="TIPO IV",'BASE DE LIQUIDACION 2025'!$J$7,'BASE DE LIQUIDACION 2025'!$J$8)))))</f>
        <v>110808.27512000001</v>
      </c>
      <c r="AF51" s="55">
        <f>IF(W51="SOPORTE_TELEFÓNICO",'BASE DE LIQUIDACION 2025'!$L$4,IF(W51="ENVÍO",'BASE DE LIQUIDACION 2025'!$K$4,AD51*AB51+AE51*AC51))</f>
        <v>344774.56896</v>
      </c>
    </row>
    <row r="52" spans="1:32" s="46" customFormat="1" ht="12.75">
      <c r="A52" s="86" t="s">
        <v>431</v>
      </c>
      <c r="B52" s="86" t="str">
        <f>VLOOKUP(A52,'CENTRO DE COSTOS'!A:D,4,FALSE)</f>
        <v>WILLIAM ASDRUBAL ROZO ROZO</v>
      </c>
      <c r="C52" s="86" t="str">
        <f>VLOOKUP(A52,'CENTRO DE COSTOS'!A:D,2,FALSE)</f>
        <v>0004-0004</v>
      </c>
      <c r="D52" s="86">
        <v>25430</v>
      </c>
      <c r="E52" s="86">
        <v>2559376</v>
      </c>
      <c r="F52" s="86">
        <v>38474</v>
      </c>
      <c r="G52" s="86" t="s">
        <v>2840</v>
      </c>
      <c r="H52" s="86" t="s">
        <v>433</v>
      </c>
      <c r="I52" s="86" t="s">
        <v>2577</v>
      </c>
      <c r="J52" s="86" t="s">
        <v>3006</v>
      </c>
      <c r="K52" s="86" t="s">
        <v>137</v>
      </c>
      <c r="L52" s="86" t="s">
        <v>3007</v>
      </c>
      <c r="M52" s="87">
        <v>45875.333333333336</v>
      </c>
      <c r="N52" s="87">
        <v>45882.695833333331</v>
      </c>
      <c r="O52" s="86"/>
      <c r="P52" s="86" t="s">
        <v>2843</v>
      </c>
      <c r="Q52" s="86" t="s">
        <v>2843</v>
      </c>
      <c r="R52" s="88" t="s">
        <v>2845</v>
      </c>
      <c r="S52" s="89" t="s">
        <v>2845</v>
      </c>
      <c r="T52" s="86" t="s">
        <v>2867</v>
      </c>
      <c r="U52" s="86" t="s">
        <v>3001</v>
      </c>
      <c r="V52" s="86" t="s">
        <v>3008</v>
      </c>
      <c r="W52" s="86" t="s">
        <v>2849</v>
      </c>
      <c r="X52" s="86"/>
      <c r="Y52" s="90" t="s">
        <v>202</v>
      </c>
      <c r="Z52" s="90" t="s">
        <v>145</v>
      </c>
      <c r="AA52" s="86" t="s">
        <v>551</v>
      </c>
      <c r="AB52" s="86">
        <v>1</v>
      </c>
      <c r="AC52" s="86">
        <v>0</v>
      </c>
      <c r="AD52" s="55">
        <f>IF(OR(W52="SOPORTE_TELEFÓNICO",W52="ENVÍO"),0,IF(Y52="TIPO I",'BASE DE LIQUIDACION 2025'!$I$4,IF(Y52="TIPO II",'BASE DE LIQUIDACION 2025'!$I$5,IF(Y52="TIPO III",'BASE DE LIQUIDACION 2025'!$I$6,IF(Y52="TIPO IV",'BASE DE LIQUIDACION 2025'!$I$7,'BASE DE LIQUIDACION 2025'!$I$8)))))</f>
        <v>232858.60096000001</v>
      </c>
      <c r="AE52" s="55">
        <f>IF(OR(W52="SOPORTE_TELEFÓNICO",W52="ENVÍO"),0,IF(Y52="TIPO I",'BASE DE LIQUIDACION 2025'!$J$4,IF(Y52="TIPO II",'BASE DE LIQUIDACION 2025'!$J$5,IF(Y52="TIPO III",'BASE DE LIQUIDACION 2025'!$J$6,IF(Y52="TIPO IV",'BASE DE LIQUIDACION 2025'!$J$7,'BASE DE LIQUIDACION 2025'!$J$8)))))</f>
        <v>110808.27512000001</v>
      </c>
      <c r="AF52" s="55">
        <f>IF(W52="SOPORTE_TELEFÓNICO",'BASE DE LIQUIDACION 2025'!$L$4,IF(W52="ENVÍO",'BASE DE LIQUIDACION 2025'!$K$4,AD52*AB52+AE52*AC52))</f>
        <v>232858.60096000001</v>
      </c>
    </row>
    <row r="53" spans="1:32" s="46" customFormat="1" ht="12.75">
      <c r="A53" s="86" t="s">
        <v>688</v>
      </c>
      <c r="B53" s="86" t="str">
        <f>VLOOKUP(A53,'CENTRO DE COSTOS'!A:D,4,FALSE)</f>
        <v>KEVIN ALEXIS CORZO BUSTOS</v>
      </c>
      <c r="C53" s="86" t="str">
        <f>VLOOKUP(A53,'CENTRO DE COSTOS'!A:D,2,FALSE)</f>
        <v>0004-0007</v>
      </c>
      <c r="D53" s="86">
        <v>73001</v>
      </c>
      <c r="E53" s="86">
        <v>2560310</v>
      </c>
      <c r="F53" s="86">
        <v>16749</v>
      </c>
      <c r="G53" s="86" t="s">
        <v>2840</v>
      </c>
      <c r="H53" s="86" t="s">
        <v>690</v>
      </c>
      <c r="I53" s="86" t="s">
        <v>688</v>
      </c>
      <c r="J53" s="86" t="s">
        <v>3009</v>
      </c>
      <c r="K53" s="86" t="s">
        <v>137</v>
      </c>
      <c r="L53" s="86" t="s">
        <v>3010</v>
      </c>
      <c r="M53" s="87">
        <v>45875.352777777778</v>
      </c>
      <c r="N53" s="87">
        <v>45883.324305555558</v>
      </c>
      <c r="O53" s="86"/>
      <c r="P53" s="86" t="s">
        <v>2843</v>
      </c>
      <c r="Q53" s="86" t="s">
        <v>2843</v>
      </c>
      <c r="R53" s="88" t="s">
        <v>2845</v>
      </c>
      <c r="S53" s="89" t="s">
        <v>2845</v>
      </c>
      <c r="T53" s="86" t="s">
        <v>2846</v>
      </c>
      <c r="U53" s="86" t="s">
        <v>2847</v>
      </c>
      <c r="V53" s="86" t="s">
        <v>3011</v>
      </c>
      <c r="W53" s="86" t="s">
        <v>2849</v>
      </c>
      <c r="X53" s="86">
        <v>0</v>
      </c>
      <c r="Y53" s="90" t="s">
        <v>52</v>
      </c>
      <c r="Z53" s="90" t="s">
        <v>145</v>
      </c>
      <c r="AA53" s="86" t="s">
        <v>940</v>
      </c>
      <c r="AB53" s="86">
        <v>1</v>
      </c>
      <c r="AC53" s="86">
        <v>0</v>
      </c>
      <c r="AD53" s="55">
        <f>IF(OR(W53="SOPORTE_TELEFÓNICO",W53="ENVÍO"),0,IF(Y53="TIPO I",'BASE DE LIQUIDACION 2025'!$I$4,IF(Y53="TIPO II",'BASE DE LIQUIDACION 2025'!$I$5,IF(Y53="TIPO III",'BASE DE LIQUIDACION 2025'!$I$6,IF(Y53="TIPO IV",'BASE DE LIQUIDACION 2025'!$I$7,'BASE DE LIQUIDACION 2025'!$I$8)))))</f>
        <v>96001.196280000004</v>
      </c>
      <c r="AE53" s="55">
        <f>IF(OR(W53="SOPORTE_TELEFÓNICO",W53="ENVÍO"),0,IF(Y53="TIPO I",'BASE DE LIQUIDACION 2025'!$J$4,IF(Y53="TIPO II",'BASE DE LIQUIDACION 2025'!$J$5,IF(Y53="TIPO III",'BASE DE LIQUIDACION 2025'!$J$6,IF(Y53="TIPO IV",'BASE DE LIQUIDACION 2025'!$J$7,'BASE DE LIQUIDACION 2025'!$J$8)))))</f>
        <v>57411.974240000003</v>
      </c>
      <c r="AF53" s="55">
        <f>IF(W53="SOPORTE_TELEFÓNICO",'BASE DE LIQUIDACION 2025'!$L$4,IF(W53="ENVÍO",'BASE DE LIQUIDACION 2025'!$K$4,AD53*AB53+AE53*AC53))</f>
        <v>96001.196280000004</v>
      </c>
    </row>
    <row r="54" spans="1:32" s="46" customFormat="1" ht="12.75">
      <c r="A54" s="86" t="s">
        <v>269</v>
      </c>
      <c r="B54" s="86" t="str">
        <f>VLOOKUP(A54,'CENTRO DE COSTOS'!A:D,4,FALSE)</f>
        <v>MIGUEL JULIÁN HERNÁNDEZ GUARÍN</v>
      </c>
      <c r="C54" s="86" t="str">
        <f>VLOOKUP(A54,'CENTRO DE COSTOS'!A:D,2,FALSE)</f>
        <v>0004-0008</v>
      </c>
      <c r="D54" s="86">
        <v>68276</v>
      </c>
      <c r="E54" s="86">
        <v>2594395</v>
      </c>
      <c r="F54" s="86">
        <v>62409</v>
      </c>
      <c r="G54" s="86" t="s">
        <v>2840</v>
      </c>
      <c r="H54" s="86" t="s">
        <v>795</v>
      </c>
      <c r="I54" s="86" t="s">
        <v>925</v>
      </c>
      <c r="J54" s="86" t="s">
        <v>3012</v>
      </c>
      <c r="K54" s="86" t="s">
        <v>137</v>
      </c>
      <c r="L54" s="86" t="s">
        <v>3013</v>
      </c>
      <c r="M54" s="87">
        <v>45882.696527777778</v>
      </c>
      <c r="N54" s="87">
        <v>45883.629861111112</v>
      </c>
      <c r="O54" s="86"/>
      <c r="P54" s="86" t="s">
        <v>2843</v>
      </c>
      <c r="Q54" s="86" t="s">
        <v>2843</v>
      </c>
      <c r="R54" s="88" t="s">
        <v>2845</v>
      </c>
      <c r="S54" s="89" t="s">
        <v>2845</v>
      </c>
      <c r="T54" s="86" t="s">
        <v>2846</v>
      </c>
      <c r="U54" s="86" t="s">
        <v>2847</v>
      </c>
      <c r="V54" s="86" t="s">
        <v>3014</v>
      </c>
      <c r="W54" s="86" t="s">
        <v>2849</v>
      </c>
      <c r="X54" s="86">
        <v>0</v>
      </c>
      <c r="Y54" s="90" t="s">
        <v>52</v>
      </c>
      <c r="Z54" s="90" t="s">
        <v>145</v>
      </c>
      <c r="AA54" s="86" t="s">
        <v>292</v>
      </c>
      <c r="AB54" s="86">
        <v>1</v>
      </c>
      <c r="AC54" s="86">
        <v>0</v>
      </c>
      <c r="AD54" s="55">
        <f>IF(OR(W54="SOPORTE_TELEFÓNICO",W54="ENVÍO"),0,IF(Y54="TIPO I",'BASE DE LIQUIDACION 2025'!$I$4,IF(Y54="TIPO II",'BASE DE LIQUIDACION 2025'!$I$5,IF(Y54="TIPO III",'BASE DE LIQUIDACION 2025'!$I$6,IF(Y54="TIPO IV",'BASE DE LIQUIDACION 2025'!$I$7,'BASE DE LIQUIDACION 2025'!$I$8)))))</f>
        <v>96001.196280000004</v>
      </c>
      <c r="AE54" s="55">
        <f>IF(OR(W54="SOPORTE_TELEFÓNICO",W54="ENVÍO"),0,IF(Y54="TIPO I",'BASE DE LIQUIDACION 2025'!$J$4,IF(Y54="TIPO II",'BASE DE LIQUIDACION 2025'!$J$5,IF(Y54="TIPO III",'BASE DE LIQUIDACION 2025'!$J$6,IF(Y54="TIPO IV",'BASE DE LIQUIDACION 2025'!$J$7,'BASE DE LIQUIDACION 2025'!$J$8)))))</f>
        <v>57411.974240000003</v>
      </c>
      <c r="AF54" s="55">
        <f>IF(W54="SOPORTE_TELEFÓNICO",'BASE DE LIQUIDACION 2025'!$L$4,IF(W54="ENVÍO",'BASE DE LIQUIDACION 2025'!$K$4,AD54*AB54+AE54*AC54))</f>
        <v>96001.196280000004</v>
      </c>
    </row>
    <row r="55" spans="1:32" s="46" customFormat="1" ht="12.75">
      <c r="A55" s="86" t="s">
        <v>203</v>
      </c>
      <c r="B55" s="86" t="str">
        <f>VLOOKUP(A55,'CENTRO DE COSTOS'!A:D,4,FALSE)</f>
        <v>MIGUEL JULIÁN HERNÁNDEZ GUARÍN</v>
      </c>
      <c r="C55" s="86" t="str">
        <f>VLOOKUP(A55,'CENTRO DE COSTOS'!A:D,2,FALSE)</f>
        <v>0004-0008</v>
      </c>
      <c r="D55" s="86">
        <v>15238</v>
      </c>
      <c r="E55" s="86">
        <v>2586687</v>
      </c>
      <c r="F55" s="86">
        <v>41496</v>
      </c>
      <c r="G55" s="86" t="s">
        <v>2840</v>
      </c>
      <c r="H55" s="86" t="s">
        <v>205</v>
      </c>
      <c r="I55" s="86" t="s">
        <v>591</v>
      </c>
      <c r="J55" s="86" t="s">
        <v>3015</v>
      </c>
      <c r="K55" s="86" t="s">
        <v>137</v>
      </c>
      <c r="L55" s="86" t="s">
        <v>3016</v>
      </c>
      <c r="M55" s="87">
        <v>45881.59097222222</v>
      </c>
      <c r="N55" s="87">
        <v>45883.632638888892</v>
      </c>
      <c r="O55" s="86"/>
      <c r="P55" s="86" t="s">
        <v>2843</v>
      </c>
      <c r="Q55" s="86" t="s">
        <v>2843</v>
      </c>
      <c r="R55" s="88" t="s">
        <v>2845</v>
      </c>
      <c r="S55" s="89" t="s">
        <v>2845</v>
      </c>
      <c r="T55" s="86" t="s">
        <v>2846</v>
      </c>
      <c r="U55" s="86" t="s">
        <v>2847</v>
      </c>
      <c r="V55" s="86" t="s">
        <v>3017</v>
      </c>
      <c r="W55" s="86" t="s">
        <v>2849</v>
      </c>
      <c r="X55" s="86">
        <v>0</v>
      </c>
      <c r="Y55" s="90" t="s">
        <v>202</v>
      </c>
      <c r="Z55" s="90" t="s">
        <v>145</v>
      </c>
      <c r="AA55" s="86" t="s">
        <v>595</v>
      </c>
      <c r="AB55" s="86">
        <v>1</v>
      </c>
      <c r="AC55" s="86">
        <v>0</v>
      </c>
      <c r="AD55" s="55">
        <f>IF(OR(W55="SOPORTE_TELEFÓNICO",W55="ENVÍO"),0,IF(Y55="TIPO I",'BASE DE LIQUIDACION 2025'!$I$4,IF(Y55="TIPO II",'BASE DE LIQUIDACION 2025'!$I$5,IF(Y55="TIPO III",'BASE DE LIQUIDACION 2025'!$I$6,IF(Y55="TIPO IV",'BASE DE LIQUIDACION 2025'!$I$7,'BASE DE LIQUIDACION 2025'!$I$8)))))</f>
        <v>232858.60096000001</v>
      </c>
      <c r="AE55" s="55">
        <f>IF(OR(W55="SOPORTE_TELEFÓNICO",W55="ENVÍO"),0,IF(Y55="TIPO I",'BASE DE LIQUIDACION 2025'!$J$4,IF(Y55="TIPO II",'BASE DE LIQUIDACION 2025'!$J$5,IF(Y55="TIPO III",'BASE DE LIQUIDACION 2025'!$J$6,IF(Y55="TIPO IV",'BASE DE LIQUIDACION 2025'!$J$7,'BASE DE LIQUIDACION 2025'!$J$8)))))</f>
        <v>110808.27512000001</v>
      </c>
      <c r="AF55" s="55">
        <f>IF(W55="SOPORTE_TELEFÓNICO",'BASE DE LIQUIDACION 2025'!$L$4,IF(W55="ENVÍO",'BASE DE LIQUIDACION 2025'!$K$4,AD55*AB55+AE55*AC55))</f>
        <v>232858.60096000001</v>
      </c>
    </row>
    <row r="56" spans="1:32" s="46" customFormat="1" ht="12.75">
      <c r="A56" s="86" t="s">
        <v>260</v>
      </c>
      <c r="B56" s="86" t="str">
        <f>VLOOKUP(A56,'CENTRO DE COSTOS'!A:D,4,FALSE)</f>
        <v>KEVIN ALEXIS CORZO BUSTOS</v>
      </c>
      <c r="C56" s="86" t="str">
        <f>VLOOKUP(A56,'CENTRO DE COSTOS'!A:D,2,FALSE)</f>
        <v>0004-0007</v>
      </c>
      <c r="D56" s="86">
        <v>50001</v>
      </c>
      <c r="E56" s="86">
        <v>2586832</v>
      </c>
      <c r="F56" s="86">
        <v>53028</v>
      </c>
      <c r="G56" s="86" t="s">
        <v>2840</v>
      </c>
      <c r="H56" s="86" t="s">
        <v>262</v>
      </c>
      <c r="I56" s="86" t="s">
        <v>260</v>
      </c>
      <c r="J56" s="86" t="s">
        <v>3018</v>
      </c>
      <c r="K56" s="86" t="s">
        <v>137</v>
      </c>
      <c r="L56" s="86" t="s">
        <v>3019</v>
      </c>
      <c r="M56" s="87">
        <v>45881.589583333334</v>
      </c>
      <c r="N56" s="87">
        <v>45883.634027777778</v>
      </c>
      <c r="O56" s="86"/>
      <c r="P56" s="86" t="s">
        <v>2843</v>
      </c>
      <c r="Q56" s="86" t="s">
        <v>2843</v>
      </c>
      <c r="R56" s="88" t="s">
        <v>2845</v>
      </c>
      <c r="S56" s="89" t="s">
        <v>2845</v>
      </c>
      <c r="T56" s="86" t="s">
        <v>2846</v>
      </c>
      <c r="U56" s="86" t="s">
        <v>2847</v>
      </c>
      <c r="V56" s="86" t="s">
        <v>3020</v>
      </c>
      <c r="W56" s="86" t="s">
        <v>2849</v>
      </c>
      <c r="X56" s="86">
        <v>0</v>
      </c>
      <c r="Y56" s="90" t="s">
        <v>52</v>
      </c>
      <c r="Z56" s="90" t="s">
        <v>145</v>
      </c>
      <c r="AA56" s="86" t="s">
        <v>909</v>
      </c>
      <c r="AB56" s="86">
        <v>1</v>
      </c>
      <c r="AC56" s="86">
        <v>0</v>
      </c>
      <c r="AD56" s="55">
        <f>IF(OR(W56="SOPORTE_TELEFÓNICO",W56="ENVÍO"),0,IF(Y56="TIPO I",'BASE DE LIQUIDACION 2025'!$I$4,IF(Y56="TIPO II",'BASE DE LIQUIDACION 2025'!$I$5,IF(Y56="TIPO III",'BASE DE LIQUIDACION 2025'!$I$6,IF(Y56="TIPO IV",'BASE DE LIQUIDACION 2025'!$I$7,'BASE DE LIQUIDACION 2025'!$I$8)))))</f>
        <v>96001.196280000004</v>
      </c>
      <c r="AE56" s="55">
        <f>IF(OR(W56="SOPORTE_TELEFÓNICO",W56="ENVÍO"),0,IF(Y56="TIPO I",'BASE DE LIQUIDACION 2025'!$J$4,IF(Y56="TIPO II",'BASE DE LIQUIDACION 2025'!$J$5,IF(Y56="TIPO III",'BASE DE LIQUIDACION 2025'!$J$6,IF(Y56="TIPO IV",'BASE DE LIQUIDACION 2025'!$J$7,'BASE DE LIQUIDACION 2025'!$J$8)))))</f>
        <v>57411.974240000003</v>
      </c>
      <c r="AF56" s="55">
        <f>IF(W56="SOPORTE_TELEFÓNICO",'BASE DE LIQUIDACION 2025'!$L$4,IF(W56="ENVÍO",'BASE DE LIQUIDACION 2025'!$K$4,AD56*AB56+AE56*AC56))</f>
        <v>96001.196280000004</v>
      </c>
    </row>
    <row r="57" spans="1:32" s="46" customFormat="1" ht="12.75">
      <c r="A57" s="86" t="s">
        <v>260</v>
      </c>
      <c r="B57" s="86" t="str">
        <f>VLOOKUP(A57,'CENTRO DE COSTOS'!A:D,4,FALSE)</f>
        <v>KEVIN ALEXIS CORZO BUSTOS</v>
      </c>
      <c r="C57" s="86" t="str">
        <f>VLOOKUP(A57,'CENTRO DE COSTOS'!A:D,2,FALSE)</f>
        <v>0004-0007</v>
      </c>
      <c r="D57" s="86">
        <v>50568</v>
      </c>
      <c r="E57" s="86">
        <v>2535585</v>
      </c>
      <c r="F57" s="86">
        <v>71332</v>
      </c>
      <c r="G57" s="86" t="s">
        <v>2840</v>
      </c>
      <c r="H57" s="86" t="s">
        <v>262</v>
      </c>
      <c r="I57" s="86" t="s">
        <v>1990</v>
      </c>
      <c r="J57" s="86" t="s">
        <v>3021</v>
      </c>
      <c r="K57" s="86" t="s">
        <v>137</v>
      </c>
      <c r="L57" s="86" t="s">
        <v>3022</v>
      </c>
      <c r="M57" s="87">
        <v>45869.695833333331</v>
      </c>
      <c r="N57" s="87">
        <v>45884.441666666666</v>
      </c>
      <c r="O57" s="86"/>
      <c r="P57" s="86" t="s">
        <v>2843</v>
      </c>
      <c r="Q57" s="86" t="s">
        <v>2843</v>
      </c>
      <c r="R57" s="88" t="s">
        <v>2845</v>
      </c>
      <c r="S57" s="89" t="s">
        <v>2845</v>
      </c>
      <c r="T57" s="86" t="s">
        <v>2846</v>
      </c>
      <c r="U57" s="86" t="s">
        <v>2847</v>
      </c>
      <c r="V57" s="86" t="s">
        <v>3023</v>
      </c>
      <c r="W57" s="86" t="s">
        <v>2849</v>
      </c>
      <c r="X57" s="86">
        <v>0</v>
      </c>
      <c r="Y57" s="90" t="s">
        <v>230</v>
      </c>
      <c r="Z57" s="90" t="s">
        <v>145</v>
      </c>
      <c r="AA57" s="86" t="s">
        <v>267</v>
      </c>
      <c r="AB57" s="86">
        <v>1</v>
      </c>
      <c r="AC57" s="86">
        <v>0</v>
      </c>
      <c r="AD57" s="55">
        <f>IF(OR(W57="SOPORTE_TELEFÓNICO",W57="ENVÍO"),0,IF(Y57="TIPO I",'BASE DE LIQUIDACION 2025'!$I$4,IF(Y57="TIPO II",'BASE DE LIQUIDACION 2025'!$I$5,IF(Y57="TIPO III",'BASE DE LIQUIDACION 2025'!$I$6,IF(Y57="TIPO IV",'BASE DE LIQUIDACION 2025'!$I$7,'BASE DE LIQUIDACION 2025'!$I$8)))))</f>
        <v>344774.56896</v>
      </c>
      <c r="AE57" s="55">
        <f>IF(OR(W57="SOPORTE_TELEFÓNICO",W57="ENVÍO"),0,IF(Y57="TIPO I",'BASE DE LIQUIDACION 2025'!$J$4,IF(Y57="TIPO II",'BASE DE LIQUIDACION 2025'!$J$5,IF(Y57="TIPO III",'BASE DE LIQUIDACION 2025'!$J$6,IF(Y57="TIPO IV",'BASE DE LIQUIDACION 2025'!$J$7,'BASE DE LIQUIDACION 2025'!$J$8)))))</f>
        <v>110808.27512000001</v>
      </c>
      <c r="AF57" s="55">
        <f>IF(W57="SOPORTE_TELEFÓNICO",'BASE DE LIQUIDACION 2025'!$L$4,IF(W57="ENVÍO",'BASE DE LIQUIDACION 2025'!$K$4,AD57*AB57+AE57*AC57))</f>
        <v>344774.56896</v>
      </c>
    </row>
    <row r="58" spans="1:32" s="46" customFormat="1" ht="12.75">
      <c r="A58" s="86" t="s">
        <v>439</v>
      </c>
      <c r="B58" s="86" t="str">
        <f>VLOOKUP(A58,'CENTRO DE COSTOS'!A:D,4,FALSE)</f>
        <v>DIEGO FERNANDO HENAO CARDONA</v>
      </c>
      <c r="C58" s="86" t="str">
        <f>VLOOKUP(A58,'CENTRO DE COSTOS'!A:D,2,FALSE)</f>
        <v>0004-0002</v>
      </c>
      <c r="D58" s="86">
        <v>17001</v>
      </c>
      <c r="E58" s="86">
        <v>2593247</v>
      </c>
      <c r="F58" s="86">
        <v>55442</v>
      </c>
      <c r="G58" s="86" t="s">
        <v>2840</v>
      </c>
      <c r="H58" s="86" t="s">
        <v>441</v>
      </c>
      <c r="I58" s="86" t="s">
        <v>439</v>
      </c>
      <c r="J58" s="86" t="s">
        <v>3024</v>
      </c>
      <c r="K58" s="86" t="s">
        <v>137</v>
      </c>
      <c r="L58" s="86" t="s">
        <v>3025</v>
      </c>
      <c r="M58" s="87">
        <v>45882.60833333333</v>
      </c>
      <c r="N58" s="87">
        <v>45884.465277777781</v>
      </c>
      <c r="O58" s="86"/>
      <c r="P58" s="86" t="s">
        <v>2843</v>
      </c>
      <c r="Q58" s="86" t="s">
        <v>2843</v>
      </c>
      <c r="R58" s="88" t="s">
        <v>2845</v>
      </c>
      <c r="S58" s="89" t="s">
        <v>2845</v>
      </c>
      <c r="T58" s="86" t="s">
        <v>2846</v>
      </c>
      <c r="U58" s="86" t="s">
        <v>2847</v>
      </c>
      <c r="V58" s="86" t="s">
        <v>3026</v>
      </c>
      <c r="W58" s="86" t="s">
        <v>2849</v>
      </c>
      <c r="X58" s="86">
        <v>0</v>
      </c>
      <c r="Y58" s="90" t="s">
        <v>52</v>
      </c>
      <c r="Z58" s="90" t="s">
        <v>145</v>
      </c>
      <c r="AA58" s="86" t="s">
        <v>445</v>
      </c>
      <c r="AB58" s="86">
        <v>1</v>
      </c>
      <c r="AC58" s="86">
        <v>0</v>
      </c>
      <c r="AD58" s="55">
        <f>IF(OR(W58="SOPORTE_TELEFÓNICO",W58="ENVÍO"),0,IF(Y58="TIPO I",'BASE DE LIQUIDACION 2025'!$I$4,IF(Y58="TIPO II",'BASE DE LIQUIDACION 2025'!$I$5,IF(Y58="TIPO III",'BASE DE LIQUIDACION 2025'!$I$6,IF(Y58="TIPO IV",'BASE DE LIQUIDACION 2025'!$I$7,'BASE DE LIQUIDACION 2025'!$I$8)))))</f>
        <v>96001.196280000004</v>
      </c>
      <c r="AE58" s="55">
        <f>IF(OR(W58="SOPORTE_TELEFÓNICO",W58="ENVÍO"),0,IF(Y58="TIPO I",'BASE DE LIQUIDACION 2025'!$J$4,IF(Y58="TIPO II",'BASE DE LIQUIDACION 2025'!$J$5,IF(Y58="TIPO III",'BASE DE LIQUIDACION 2025'!$J$6,IF(Y58="TIPO IV",'BASE DE LIQUIDACION 2025'!$J$7,'BASE DE LIQUIDACION 2025'!$J$8)))))</f>
        <v>57411.974240000003</v>
      </c>
      <c r="AF58" s="55">
        <f>IF(W58="SOPORTE_TELEFÓNICO",'BASE DE LIQUIDACION 2025'!$L$4,IF(W58="ENVÍO",'BASE DE LIQUIDACION 2025'!$K$4,AD58*AB58+AE58*AC58))</f>
        <v>96001.196280000004</v>
      </c>
    </row>
    <row r="59" spans="1:32" s="46" customFormat="1" ht="12.75">
      <c r="A59" s="86" t="s">
        <v>175</v>
      </c>
      <c r="B59" s="86" t="str">
        <f>VLOOKUP(A59,'CENTRO DE COSTOS'!A:D,4,FALSE)</f>
        <v>JUAN SEBASTIÁN RÍOS CASTRILLÓN</v>
      </c>
      <c r="C59" s="86" t="str">
        <f>VLOOKUP(A59,'CENTRO DE COSTOS'!A:D,2,FALSE)</f>
        <v>0004-0005</v>
      </c>
      <c r="D59" s="86">
        <v>5001</v>
      </c>
      <c r="E59" s="86">
        <v>2579185</v>
      </c>
      <c r="F59" s="86">
        <v>27657</v>
      </c>
      <c r="G59" s="86" t="s">
        <v>2840</v>
      </c>
      <c r="H59" s="86" t="s">
        <v>178</v>
      </c>
      <c r="I59" s="86" t="s">
        <v>175</v>
      </c>
      <c r="J59" s="86" t="s">
        <v>3027</v>
      </c>
      <c r="K59" s="86" t="s">
        <v>137</v>
      </c>
      <c r="L59" s="86" t="s">
        <v>3028</v>
      </c>
      <c r="M59" s="87">
        <v>45880.498611111114</v>
      </c>
      <c r="N59" s="87">
        <v>45884.46875</v>
      </c>
      <c r="O59" s="86"/>
      <c r="P59" s="86" t="s">
        <v>2843</v>
      </c>
      <c r="Q59" s="86" t="s">
        <v>2843</v>
      </c>
      <c r="R59" s="88" t="s">
        <v>181</v>
      </c>
      <c r="S59" s="89" t="s">
        <v>182</v>
      </c>
      <c r="T59" s="86" t="s">
        <v>2846</v>
      </c>
      <c r="U59" s="86" t="s">
        <v>2847</v>
      </c>
      <c r="V59" s="86" t="s">
        <v>3029</v>
      </c>
      <c r="W59" s="86" t="s">
        <v>2849</v>
      </c>
      <c r="X59" s="86">
        <v>0</v>
      </c>
      <c r="Y59" s="90" t="s">
        <v>52</v>
      </c>
      <c r="Z59" s="90" t="s">
        <v>145</v>
      </c>
      <c r="AA59" s="86" t="s">
        <v>235</v>
      </c>
      <c r="AB59" s="86">
        <v>1</v>
      </c>
      <c r="AC59" s="86">
        <v>0</v>
      </c>
      <c r="AD59" s="55">
        <f>IF(OR(W59="SOPORTE_TELEFÓNICO",W59="ENVÍO"),0,IF(Y59="TIPO I",'BASE DE LIQUIDACION 2025'!$I$4,IF(Y59="TIPO II",'BASE DE LIQUIDACION 2025'!$I$5,IF(Y59="TIPO III",'BASE DE LIQUIDACION 2025'!$I$6,IF(Y59="TIPO IV",'BASE DE LIQUIDACION 2025'!$I$7,'BASE DE LIQUIDACION 2025'!$I$8)))))</f>
        <v>96001.196280000004</v>
      </c>
      <c r="AE59" s="55">
        <f>IF(OR(W59="SOPORTE_TELEFÓNICO",W59="ENVÍO"),0,IF(Y59="TIPO I",'BASE DE LIQUIDACION 2025'!$J$4,IF(Y59="TIPO II",'BASE DE LIQUIDACION 2025'!$J$5,IF(Y59="TIPO III",'BASE DE LIQUIDACION 2025'!$J$6,IF(Y59="TIPO IV",'BASE DE LIQUIDACION 2025'!$J$7,'BASE DE LIQUIDACION 2025'!$J$8)))))</f>
        <v>57411.974240000003</v>
      </c>
      <c r="AF59" s="55">
        <f>IF(W59="SOPORTE_TELEFÓNICO",'BASE DE LIQUIDACION 2025'!$L$4,IF(W59="ENVÍO",'BASE DE LIQUIDACION 2025'!$K$4,AD59*AB59+AE59*AC59))</f>
        <v>96001.196280000004</v>
      </c>
    </row>
    <row r="60" spans="1:32" s="46" customFormat="1" ht="12.75">
      <c r="A60" s="86" t="s">
        <v>175</v>
      </c>
      <c r="B60" s="86" t="str">
        <f>VLOOKUP(A60,'CENTRO DE COSTOS'!A:D,4,FALSE)</f>
        <v>JUAN SEBASTIÁN RÍOS CASTRILLÓN</v>
      </c>
      <c r="C60" s="86" t="str">
        <f>VLOOKUP(A60,'CENTRO DE COSTOS'!A:D,2,FALSE)</f>
        <v>0004-0005</v>
      </c>
      <c r="D60" s="86">
        <v>5001</v>
      </c>
      <c r="E60" s="86">
        <v>2584059</v>
      </c>
      <c r="F60" s="86">
        <v>33409</v>
      </c>
      <c r="G60" s="86" t="s">
        <v>2840</v>
      </c>
      <c r="H60" s="86" t="s">
        <v>178</v>
      </c>
      <c r="I60" s="86" t="s">
        <v>175</v>
      </c>
      <c r="J60" s="86" t="s">
        <v>3030</v>
      </c>
      <c r="K60" s="86" t="s">
        <v>137</v>
      </c>
      <c r="L60" s="86" t="s">
        <v>3031</v>
      </c>
      <c r="M60" s="87">
        <v>45881.38958333333</v>
      </c>
      <c r="N60" s="87">
        <v>45884.481249999997</v>
      </c>
      <c r="O60" s="86"/>
      <c r="P60" s="86" t="s">
        <v>2843</v>
      </c>
      <c r="Q60" s="86" t="s">
        <v>2843</v>
      </c>
      <c r="R60" s="88" t="s">
        <v>181</v>
      </c>
      <c r="S60" s="89" t="s">
        <v>707</v>
      </c>
      <c r="T60" s="86" t="s">
        <v>2846</v>
      </c>
      <c r="U60" s="86" t="s">
        <v>2847</v>
      </c>
      <c r="V60" s="86" t="s">
        <v>3032</v>
      </c>
      <c r="W60" s="86" t="s">
        <v>2849</v>
      </c>
      <c r="X60" s="86">
        <v>0</v>
      </c>
      <c r="Y60" s="90" t="s">
        <v>52</v>
      </c>
      <c r="Z60" s="90" t="s">
        <v>145</v>
      </c>
      <c r="AA60" s="86" t="s">
        <v>235</v>
      </c>
      <c r="AB60" s="86">
        <v>1</v>
      </c>
      <c r="AC60" s="86">
        <v>0</v>
      </c>
      <c r="AD60" s="55">
        <f>IF(OR(W60="SOPORTE_TELEFÓNICO",W60="ENVÍO"),0,IF(Y60="TIPO I",'BASE DE LIQUIDACION 2025'!$I$4,IF(Y60="TIPO II",'BASE DE LIQUIDACION 2025'!$I$5,IF(Y60="TIPO III",'BASE DE LIQUIDACION 2025'!$I$6,IF(Y60="TIPO IV",'BASE DE LIQUIDACION 2025'!$I$7,'BASE DE LIQUIDACION 2025'!$I$8)))))</f>
        <v>96001.196280000004</v>
      </c>
      <c r="AE60" s="55">
        <f>IF(OR(W60="SOPORTE_TELEFÓNICO",W60="ENVÍO"),0,IF(Y60="TIPO I",'BASE DE LIQUIDACION 2025'!$J$4,IF(Y60="TIPO II",'BASE DE LIQUIDACION 2025'!$J$5,IF(Y60="TIPO III",'BASE DE LIQUIDACION 2025'!$J$6,IF(Y60="TIPO IV",'BASE DE LIQUIDACION 2025'!$J$7,'BASE DE LIQUIDACION 2025'!$J$8)))))</f>
        <v>57411.974240000003</v>
      </c>
      <c r="AF60" s="55">
        <f>IF(W60="SOPORTE_TELEFÓNICO",'BASE DE LIQUIDACION 2025'!$L$4,IF(W60="ENVÍO",'BASE DE LIQUIDACION 2025'!$K$4,AD60*AB60+AE60*AC60))</f>
        <v>96001.196280000004</v>
      </c>
    </row>
    <row r="61" spans="1:32" s="46" customFormat="1" ht="12.75">
      <c r="A61" s="86" t="s">
        <v>431</v>
      </c>
      <c r="B61" s="86" t="str">
        <f>VLOOKUP(A61,'CENTRO DE COSTOS'!A:D,4,FALSE)</f>
        <v>WILLIAM ASDRUBAL ROZO ROZO</v>
      </c>
      <c r="C61" s="86" t="str">
        <f>VLOOKUP(A61,'CENTRO DE COSTOS'!A:D,2,FALSE)</f>
        <v>0004-0004</v>
      </c>
      <c r="D61" s="86">
        <v>11001</v>
      </c>
      <c r="E61" s="86">
        <v>2592655</v>
      </c>
      <c r="F61" s="86">
        <v>76787</v>
      </c>
      <c r="G61" s="86" t="s">
        <v>2840</v>
      </c>
      <c r="H61" s="86" t="s">
        <v>433</v>
      </c>
      <c r="I61" s="86" t="s">
        <v>431</v>
      </c>
      <c r="J61" s="86" t="s">
        <v>3033</v>
      </c>
      <c r="K61" s="86" t="s">
        <v>137</v>
      </c>
      <c r="L61" s="86" t="s">
        <v>3034</v>
      </c>
      <c r="M61" s="87">
        <v>45882.529166666667</v>
      </c>
      <c r="N61" s="87">
        <v>45884.613888888889</v>
      </c>
      <c r="O61" s="86"/>
      <c r="P61" s="86" t="s">
        <v>2843</v>
      </c>
      <c r="Q61" s="86" t="s">
        <v>2843</v>
      </c>
      <c r="R61" s="88" t="s">
        <v>139</v>
      </c>
      <c r="S61" s="89" t="s">
        <v>139</v>
      </c>
      <c r="T61" s="86" t="s">
        <v>2846</v>
      </c>
      <c r="U61" s="86" t="s">
        <v>2847</v>
      </c>
      <c r="V61" s="86" t="s">
        <v>3035</v>
      </c>
      <c r="W61" s="86" t="s">
        <v>2849</v>
      </c>
      <c r="X61" s="86">
        <v>0</v>
      </c>
      <c r="Y61" s="90" t="s">
        <v>52</v>
      </c>
      <c r="Z61" s="90" t="s">
        <v>145</v>
      </c>
      <c r="AA61" s="86" t="s">
        <v>502</v>
      </c>
      <c r="AB61" s="86">
        <v>1</v>
      </c>
      <c r="AC61" s="86">
        <v>0</v>
      </c>
      <c r="AD61" s="55">
        <f>IF(OR(W61="SOPORTE_TELEFÓNICO",W61="ENVÍO"),0,IF(Y61="TIPO I",'BASE DE LIQUIDACION 2025'!$I$4,IF(Y61="TIPO II",'BASE DE LIQUIDACION 2025'!$I$5,IF(Y61="TIPO III",'BASE DE LIQUIDACION 2025'!$I$6,IF(Y61="TIPO IV",'BASE DE LIQUIDACION 2025'!$I$7,'BASE DE LIQUIDACION 2025'!$I$8)))))</f>
        <v>96001.196280000004</v>
      </c>
      <c r="AE61" s="55">
        <f>IF(OR(W61="SOPORTE_TELEFÓNICO",W61="ENVÍO"),0,IF(Y61="TIPO I",'BASE DE LIQUIDACION 2025'!$J$4,IF(Y61="TIPO II",'BASE DE LIQUIDACION 2025'!$J$5,IF(Y61="TIPO III",'BASE DE LIQUIDACION 2025'!$J$6,IF(Y61="TIPO IV",'BASE DE LIQUIDACION 2025'!$J$7,'BASE DE LIQUIDACION 2025'!$J$8)))))</f>
        <v>57411.974240000003</v>
      </c>
      <c r="AF61" s="55">
        <f>IF(W61="SOPORTE_TELEFÓNICO",'BASE DE LIQUIDACION 2025'!$L$4,IF(W61="ENVÍO",'BASE DE LIQUIDACION 2025'!$K$4,AD61*AB61+AE61*AC61))</f>
        <v>96001.196280000004</v>
      </c>
    </row>
    <row r="62" spans="1:32" s="46" customFormat="1" ht="12.75">
      <c r="A62" s="86" t="s">
        <v>431</v>
      </c>
      <c r="B62" s="86" t="str">
        <f>VLOOKUP(A62,'CENTRO DE COSTOS'!A:D,4,FALSE)</f>
        <v>WILLIAM ASDRUBAL ROZO ROZO</v>
      </c>
      <c r="C62" s="86" t="str">
        <f>VLOOKUP(A62,'CENTRO DE COSTOS'!A:D,2,FALSE)</f>
        <v>0004-0004</v>
      </c>
      <c r="D62" s="86">
        <v>11001</v>
      </c>
      <c r="E62" s="86">
        <v>2602790</v>
      </c>
      <c r="F62" s="86">
        <v>47606</v>
      </c>
      <c r="G62" s="86" t="s">
        <v>2840</v>
      </c>
      <c r="H62" s="86" t="s">
        <v>433</v>
      </c>
      <c r="I62" s="86" t="s">
        <v>431</v>
      </c>
      <c r="J62" s="86" t="s">
        <v>3036</v>
      </c>
      <c r="K62" s="86" t="s">
        <v>137</v>
      </c>
      <c r="L62" s="86" t="s">
        <v>3037</v>
      </c>
      <c r="M62" s="87">
        <v>45884.436805555553</v>
      </c>
      <c r="N62" s="87">
        <v>45885.540277777778</v>
      </c>
      <c r="O62" s="86"/>
      <c r="P62" s="86" t="s">
        <v>2843</v>
      </c>
      <c r="Q62" s="86" t="s">
        <v>2843</v>
      </c>
      <c r="R62" s="88" t="s">
        <v>2845</v>
      </c>
      <c r="S62" s="89" t="s">
        <v>2845</v>
      </c>
      <c r="T62" s="86" t="s">
        <v>2846</v>
      </c>
      <c r="U62" s="86" t="s">
        <v>2847</v>
      </c>
      <c r="V62" s="86" t="s">
        <v>3038</v>
      </c>
      <c r="W62" s="86" t="s">
        <v>2849</v>
      </c>
      <c r="X62" s="86">
        <v>0</v>
      </c>
      <c r="Y62" s="90" t="s">
        <v>52</v>
      </c>
      <c r="Z62" s="90" t="s">
        <v>145</v>
      </c>
      <c r="AA62" s="86" t="s">
        <v>502</v>
      </c>
      <c r="AB62" s="86">
        <v>1</v>
      </c>
      <c r="AC62" s="86">
        <v>0</v>
      </c>
      <c r="AD62" s="55">
        <f>IF(OR(W62="SOPORTE_TELEFÓNICO",W62="ENVÍO"),0,IF(Y62="TIPO I",'BASE DE LIQUIDACION 2025'!$I$4,IF(Y62="TIPO II",'BASE DE LIQUIDACION 2025'!$I$5,IF(Y62="TIPO III",'BASE DE LIQUIDACION 2025'!$I$6,IF(Y62="TIPO IV",'BASE DE LIQUIDACION 2025'!$I$7,'BASE DE LIQUIDACION 2025'!$I$8)))))</f>
        <v>96001.196280000004</v>
      </c>
      <c r="AE62" s="55">
        <f>IF(OR(W62="SOPORTE_TELEFÓNICO",W62="ENVÍO"),0,IF(Y62="TIPO I",'BASE DE LIQUIDACION 2025'!$J$4,IF(Y62="TIPO II",'BASE DE LIQUIDACION 2025'!$J$5,IF(Y62="TIPO III",'BASE DE LIQUIDACION 2025'!$J$6,IF(Y62="TIPO IV",'BASE DE LIQUIDACION 2025'!$J$7,'BASE DE LIQUIDACION 2025'!$J$8)))))</f>
        <v>57411.974240000003</v>
      </c>
      <c r="AF62" s="55">
        <f>IF(W62="SOPORTE_TELEFÓNICO",'BASE DE LIQUIDACION 2025'!$L$4,IF(W62="ENVÍO",'BASE DE LIQUIDACION 2025'!$K$4,AD62*AB62+AE62*AC62))</f>
        <v>96001.196280000004</v>
      </c>
    </row>
    <row r="63" spans="1:32" s="46" customFormat="1" ht="12.75">
      <c r="A63" s="86" t="s">
        <v>431</v>
      </c>
      <c r="B63" s="86" t="str">
        <f>VLOOKUP(A63,'CENTRO DE COSTOS'!A:D,4,FALSE)</f>
        <v>WILLIAM ASDRUBAL ROZO ROZO</v>
      </c>
      <c r="C63" s="86" t="str">
        <f>VLOOKUP(A63,'CENTRO DE COSTOS'!A:D,2,FALSE)</f>
        <v>0004-0004</v>
      </c>
      <c r="D63" s="86">
        <v>11001</v>
      </c>
      <c r="E63" s="86">
        <v>2602920</v>
      </c>
      <c r="F63" s="86">
        <v>76878</v>
      </c>
      <c r="G63" s="86" t="s">
        <v>2840</v>
      </c>
      <c r="H63" s="86" t="s">
        <v>433</v>
      </c>
      <c r="I63" s="86" t="s">
        <v>431</v>
      </c>
      <c r="J63" s="86" t="s">
        <v>3039</v>
      </c>
      <c r="K63" s="86" t="s">
        <v>137</v>
      </c>
      <c r="L63" s="86" t="s">
        <v>3040</v>
      </c>
      <c r="M63" s="87">
        <v>45884.430555555555</v>
      </c>
      <c r="N63" s="87">
        <v>45885.546527777777</v>
      </c>
      <c r="O63" s="86"/>
      <c r="P63" s="86" t="s">
        <v>2843</v>
      </c>
      <c r="Q63" s="86" t="s">
        <v>2843</v>
      </c>
      <c r="R63" s="88" t="s">
        <v>2845</v>
      </c>
      <c r="S63" s="89" t="s">
        <v>2845</v>
      </c>
      <c r="T63" s="86" t="s">
        <v>2846</v>
      </c>
      <c r="U63" s="86" t="s">
        <v>2847</v>
      </c>
      <c r="V63" s="86" t="s">
        <v>3041</v>
      </c>
      <c r="W63" s="86" t="s">
        <v>2849</v>
      </c>
      <c r="X63" s="86">
        <v>0</v>
      </c>
      <c r="Y63" s="90" t="s">
        <v>52</v>
      </c>
      <c r="Z63" s="90" t="s">
        <v>145</v>
      </c>
      <c r="AA63" s="86" t="s">
        <v>2097</v>
      </c>
      <c r="AB63" s="86">
        <v>1</v>
      </c>
      <c r="AC63" s="86">
        <v>0</v>
      </c>
      <c r="AD63" s="55">
        <f>IF(OR(W63="SOPORTE_TELEFÓNICO",W63="ENVÍO"),0,IF(Y63="TIPO I",'BASE DE LIQUIDACION 2025'!$I$4,IF(Y63="TIPO II",'BASE DE LIQUIDACION 2025'!$I$5,IF(Y63="TIPO III",'BASE DE LIQUIDACION 2025'!$I$6,IF(Y63="TIPO IV",'BASE DE LIQUIDACION 2025'!$I$7,'BASE DE LIQUIDACION 2025'!$I$8)))))</f>
        <v>96001.196280000004</v>
      </c>
      <c r="AE63" s="55">
        <f>IF(OR(W63="SOPORTE_TELEFÓNICO",W63="ENVÍO"),0,IF(Y63="TIPO I",'BASE DE LIQUIDACION 2025'!$J$4,IF(Y63="TIPO II",'BASE DE LIQUIDACION 2025'!$J$5,IF(Y63="TIPO III",'BASE DE LIQUIDACION 2025'!$J$6,IF(Y63="TIPO IV",'BASE DE LIQUIDACION 2025'!$J$7,'BASE DE LIQUIDACION 2025'!$J$8)))))</f>
        <v>57411.974240000003</v>
      </c>
      <c r="AF63" s="55">
        <f>IF(W63="SOPORTE_TELEFÓNICO",'BASE DE LIQUIDACION 2025'!$L$4,IF(W63="ENVÍO",'BASE DE LIQUIDACION 2025'!$K$4,AD63*AB63+AE63*AC63))</f>
        <v>96001.196280000004</v>
      </c>
    </row>
    <row r="64" spans="1:32" s="46" customFormat="1" ht="12.75">
      <c r="A64" s="86" t="s">
        <v>220</v>
      </c>
      <c r="B64" s="86" t="str">
        <f>VLOOKUP(A64,'CENTRO DE COSTOS'!A:D,4,FALSE)</f>
        <v>DIEGO FERNANDO HENAO CARDONA</v>
      </c>
      <c r="C64" s="86" t="str">
        <f>VLOOKUP(A64,'CENTRO DE COSTOS'!A:D,2,FALSE)</f>
        <v>0004-0003</v>
      </c>
      <c r="D64" s="86">
        <v>76001</v>
      </c>
      <c r="E64" s="86">
        <v>2604136</v>
      </c>
      <c r="F64" s="86">
        <v>46965</v>
      </c>
      <c r="G64" s="86" t="s">
        <v>2840</v>
      </c>
      <c r="H64" s="86" t="s">
        <v>420</v>
      </c>
      <c r="I64" s="86" t="s">
        <v>220</v>
      </c>
      <c r="J64" s="86" t="s">
        <v>3042</v>
      </c>
      <c r="K64" s="86" t="s">
        <v>137</v>
      </c>
      <c r="L64" s="86" t="s">
        <v>3043</v>
      </c>
      <c r="M64" s="87">
        <v>45884.54583333333</v>
      </c>
      <c r="N64" s="87">
        <v>45888.488194444442</v>
      </c>
      <c r="O64" s="86"/>
      <c r="P64" s="86" t="s">
        <v>2843</v>
      </c>
      <c r="Q64" s="86" t="s">
        <v>2843</v>
      </c>
      <c r="R64" s="88" t="s">
        <v>139</v>
      </c>
      <c r="S64" s="89" t="s">
        <v>2845</v>
      </c>
      <c r="T64" s="86" t="s">
        <v>2846</v>
      </c>
      <c r="U64" s="86" t="s">
        <v>2847</v>
      </c>
      <c r="V64" s="86" t="s">
        <v>3044</v>
      </c>
      <c r="W64" s="86" t="s">
        <v>2849</v>
      </c>
      <c r="X64" s="86">
        <v>0</v>
      </c>
      <c r="Y64" s="90" t="s">
        <v>52</v>
      </c>
      <c r="Z64" s="90" t="s">
        <v>145</v>
      </c>
      <c r="AA64" s="86" t="s">
        <v>1409</v>
      </c>
      <c r="AB64" s="86">
        <v>1</v>
      </c>
      <c r="AC64" s="86">
        <v>0</v>
      </c>
      <c r="AD64" s="55">
        <f>IF(OR(W64="SOPORTE_TELEFÓNICO",W64="ENVÍO"),0,IF(Y64="TIPO I",'BASE DE LIQUIDACION 2025'!$I$4,IF(Y64="TIPO II",'BASE DE LIQUIDACION 2025'!$I$5,IF(Y64="TIPO III",'BASE DE LIQUIDACION 2025'!$I$6,IF(Y64="TIPO IV",'BASE DE LIQUIDACION 2025'!$I$7,'BASE DE LIQUIDACION 2025'!$I$8)))))</f>
        <v>96001.196280000004</v>
      </c>
      <c r="AE64" s="55">
        <f>IF(OR(W64="SOPORTE_TELEFÓNICO",W64="ENVÍO"),0,IF(Y64="TIPO I",'BASE DE LIQUIDACION 2025'!$J$4,IF(Y64="TIPO II",'BASE DE LIQUIDACION 2025'!$J$5,IF(Y64="TIPO III",'BASE DE LIQUIDACION 2025'!$J$6,IF(Y64="TIPO IV",'BASE DE LIQUIDACION 2025'!$J$7,'BASE DE LIQUIDACION 2025'!$J$8)))))</f>
        <v>57411.974240000003</v>
      </c>
      <c r="AF64" s="55">
        <f>IF(W64="SOPORTE_TELEFÓNICO",'BASE DE LIQUIDACION 2025'!$L$4,IF(W64="ENVÍO",'BASE DE LIQUIDACION 2025'!$K$4,AD64*AB64+AE64*AC64))</f>
        <v>96001.196280000004</v>
      </c>
    </row>
    <row r="65" spans="1:32" s="46" customFormat="1" ht="12.75">
      <c r="A65" s="86" t="s">
        <v>175</v>
      </c>
      <c r="B65" s="86" t="str">
        <f>VLOOKUP(A65,'CENTRO DE COSTOS'!A:D,4,FALSE)</f>
        <v>JUAN SEBASTIÁN RÍOS CASTRILLÓN</v>
      </c>
      <c r="C65" s="86" t="str">
        <f>VLOOKUP(A65,'CENTRO DE COSTOS'!A:D,2,FALSE)</f>
        <v>0004-0005</v>
      </c>
      <c r="D65" s="86">
        <v>5001</v>
      </c>
      <c r="E65" s="86">
        <v>2593460</v>
      </c>
      <c r="F65" s="86">
        <v>67519</v>
      </c>
      <c r="G65" s="86" t="s">
        <v>2840</v>
      </c>
      <c r="H65" s="86" t="s">
        <v>178</v>
      </c>
      <c r="I65" s="86" t="s">
        <v>175</v>
      </c>
      <c r="J65" s="86" t="s">
        <v>3045</v>
      </c>
      <c r="K65" s="86" t="s">
        <v>137</v>
      </c>
      <c r="L65" s="86" t="s">
        <v>3046</v>
      </c>
      <c r="M65" s="87">
        <v>45882.628472222219</v>
      </c>
      <c r="N65" s="87">
        <v>45888.505555555559</v>
      </c>
      <c r="O65" s="86"/>
      <c r="P65" s="86" t="s">
        <v>2843</v>
      </c>
      <c r="Q65" s="86" t="s">
        <v>2843</v>
      </c>
      <c r="R65" s="88" t="s">
        <v>2845</v>
      </c>
      <c r="S65" s="89" t="s">
        <v>2845</v>
      </c>
      <c r="T65" s="86" t="s">
        <v>2846</v>
      </c>
      <c r="U65" s="86" t="s">
        <v>2847</v>
      </c>
      <c r="V65" s="86" t="s">
        <v>3047</v>
      </c>
      <c r="W65" s="86" t="s">
        <v>2849</v>
      </c>
      <c r="X65" s="86">
        <v>0</v>
      </c>
      <c r="Y65" s="90" t="s">
        <v>52</v>
      </c>
      <c r="Z65" s="90" t="s">
        <v>145</v>
      </c>
      <c r="AA65" s="86" t="s">
        <v>338</v>
      </c>
      <c r="AB65" s="86">
        <v>1</v>
      </c>
      <c r="AC65" s="86">
        <v>0</v>
      </c>
      <c r="AD65" s="55">
        <f>IF(OR(W65="SOPORTE_TELEFÓNICO",W65="ENVÍO"),0,IF(Y65="TIPO I",'BASE DE LIQUIDACION 2025'!$I$4,IF(Y65="TIPO II",'BASE DE LIQUIDACION 2025'!$I$5,IF(Y65="TIPO III",'BASE DE LIQUIDACION 2025'!$I$6,IF(Y65="TIPO IV",'BASE DE LIQUIDACION 2025'!$I$7,'BASE DE LIQUIDACION 2025'!$I$8)))))</f>
        <v>96001.196280000004</v>
      </c>
      <c r="AE65" s="55">
        <f>IF(OR(W65="SOPORTE_TELEFÓNICO",W65="ENVÍO"),0,IF(Y65="TIPO I",'BASE DE LIQUIDACION 2025'!$J$4,IF(Y65="TIPO II",'BASE DE LIQUIDACION 2025'!$J$5,IF(Y65="TIPO III",'BASE DE LIQUIDACION 2025'!$J$6,IF(Y65="TIPO IV",'BASE DE LIQUIDACION 2025'!$J$7,'BASE DE LIQUIDACION 2025'!$J$8)))))</f>
        <v>57411.974240000003</v>
      </c>
      <c r="AF65" s="55">
        <f>IF(W65="SOPORTE_TELEFÓNICO",'BASE DE LIQUIDACION 2025'!$L$4,IF(W65="ENVÍO",'BASE DE LIQUIDACION 2025'!$K$4,AD65*AB65+AE65*AC65))</f>
        <v>96001.196280000004</v>
      </c>
    </row>
    <row r="66" spans="1:32" s="46" customFormat="1" ht="12.75">
      <c r="A66" s="86" t="s">
        <v>175</v>
      </c>
      <c r="B66" s="86" t="str">
        <f>VLOOKUP(A66,'CENTRO DE COSTOS'!A:D,4,FALSE)</f>
        <v>JUAN SEBASTIÁN RÍOS CASTRILLÓN</v>
      </c>
      <c r="C66" s="86" t="str">
        <f>VLOOKUP(A66,'CENTRO DE COSTOS'!A:D,2,FALSE)</f>
        <v>0004-0005</v>
      </c>
      <c r="D66" s="86">
        <v>5001</v>
      </c>
      <c r="E66" s="86">
        <v>2606554</v>
      </c>
      <c r="F66" s="86">
        <v>48794</v>
      </c>
      <c r="G66" s="86" t="s">
        <v>2840</v>
      </c>
      <c r="H66" s="86" t="s">
        <v>178</v>
      </c>
      <c r="I66" s="86" t="s">
        <v>175</v>
      </c>
      <c r="J66" s="86" t="s">
        <v>3048</v>
      </c>
      <c r="K66" s="86" t="s">
        <v>137</v>
      </c>
      <c r="L66" s="86" t="s">
        <v>3049</v>
      </c>
      <c r="M66" s="87">
        <v>45885.445138888892</v>
      </c>
      <c r="N66" s="87">
        <v>45888.51458333333</v>
      </c>
      <c r="O66" s="86"/>
      <c r="P66" s="86" t="s">
        <v>2843</v>
      </c>
      <c r="Q66" s="86" t="s">
        <v>2843</v>
      </c>
      <c r="R66" s="88" t="s">
        <v>181</v>
      </c>
      <c r="S66" s="89" t="s">
        <v>707</v>
      </c>
      <c r="T66" s="86" t="s">
        <v>2846</v>
      </c>
      <c r="U66" s="86" t="s">
        <v>2847</v>
      </c>
      <c r="V66" s="86" t="s">
        <v>3050</v>
      </c>
      <c r="W66" s="86" t="s">
        <v>2849</v>
      </c>
      <c r="X66" s="86">
        <v>0</v>
      </c>
      <c r="Y66" s="90" t="s">
        <v>52</v>
      </c>
      <c r="Z66" s="90" t="s">
        <v>145</v>
      </c>
      <c r="AA66" s="86" t="s">
        <v>451</v>
      </c>
      <c r="AB66" s="86">
        <v>1</v>
      </c>
      <c r="AC66" s="86">
        <v>0</v>
      </c>
      <c r="AD66" s="55">
        <f>IF(OR(W66="SOPORTE_TELEFÓNICO",W66="ENVÍO"),0,IF(Y66="TIPO I",'BASE DE LIQUIDACION 2025'!$I$4,IF(Y66="TIPO II",'BASE DE LIQUIDACION 2025'!$I$5,IF(Y66="TIPO III",'BASE DE LIQUIDACION 2025'!$I$6,IF(Y66="TIPO IV",'BASE DE LIQUIDACION 2025'!$I$7,'BASE DE LIQUIDACION 2025'!$I$8)))))</f>
        <v>96001.196280000004</v>
      </c>
      <c r="AE66" s="55">
        <f>IF(OR(W66="SOPORTE_TELEFÓNICO",W66="ENVÍO"),0,IF(Y66="TIPO I",'BASE DE LIQUIDACION 2025'!$J$4,IF(Y66="TIPO II",'BASE DE LIQUIDACION 2025'!$J$5,IF(Y66="TIPO III",'BASE DE LIQUIDACION 2025'!$J$6,IF(Y66="TIPO IV",'BASE DE LIQUIDACION 2025'!$J$7,'BASE DE LIQUIDACION 2025'!$J$8)))))</f>
        <v>57411.974240000003</v>
      </c>
      <c r="AF66" s="55">
        <f>IF(W66="SOPORTE_TELEFÓNICO",'BASE DE LIQUIDACION 2025'!$L$4,IF(W66="ENVÍO",'BASE DE LIQUIDACION 2025'!$K$4,AD66*AB66+AE66*AC66))</f>
        <v>96001.196280000004</v>
      </c>
    </row>
    <row r="67" spans="1:32" s="46" customFormat="1" ht="12.75">
      <c r="A67" s="86" t="s">
        <v>431</v>
      </c>
      <c r="B67" s="86" t="str">
        <f>VLOOKUP(A67,'CENTRO DE COSTOS'!A:D,4,FALSE)</f>
        <v>WILLIAM ASDRUBAL ROZO ROZO</v>
      </c>
      <c r="C67" s="86" t="str">
        <f>VLOOKUP(A67,'CENTRO DE COSTOS'!A:D,2,FALSE)</f>
        <v>0004-0004</v>
      </c>
      <c r="D67" s="86">
        <v>11001</v>
      </c>
      <c r="E67" s="86">
        <v>2608563</v>
      </c>
      <c r="F67" s="86">
        <v>46879</v>
      </c>
      <c r="G67" s="86" t="s">
        <v>2840</v>
      </c>
      <c r="H67" s="86" t="s">
        <v>433</v>
      </c>
      <c r="I67" s="86" t="s">
        <v>431</v>
      </c>
      <c r="J67" s="86" t="s">
        <v>3051</v>
      </c>
      <c r="K67" s="86" t="s">
        <v>137</v>
      </c>
      <c r="L67" s="86" t="s">
        <v>3052</v>
      </c>
      <c r="M67" s="87">
        <v>45887.54791666667</v>
      </c>
      <c r="N67" s="87">
        <v>45888.520833333336</v>
      </c>
      <c r="O67" s="86"/>
      <c r="P67" s="86" t="s">
        <v>2843</v>
      </c>
      <c r="Q67" s="86" t="s">
        <v>2843</v>
      </c>
      <c r="R67" s="88" t="s">
        <v>2845</v>
      </c>
      <c r="S67" s="89" t="s">
        <v>2845</v>
      </c>
      <c r="T67" s="86" t="s">
        <v>2846</v>
      </c>
      <c r="U67" s="86" t="s">
        <v>2847</v>
      </c>
      <c r="V67" s="86" t="s">
        <v>3053</v>
      </c>
      <c r="W67" s="86" t="s">
        <v>2849</v>
      </c>
      <c r="X67" s="86">
        <v>0</v>
      </c>
      <c r="Y67" s="90" t="s">
        <v>52</v>
      </c>
      <c r="Z67" s="90" t="s">
        <v>145</v>
      </c>
      <c r="AA67" s="86" t="s">
        <v>856</v>
      </c>
      <c r="AB67" s="86">
        <v>1</v>
      </c>
      <c r="AC67" s="86">
        <v>0</v>
      </c>
      <c r="AD67" s="55">
        <f>IF(OR(W67="SOPORTE_TELEFÓNICO",W67="ENVÍO"),0,IF(Y67="TIPO I",'BASE DE LIQUIDACION 2025'!$I$4,IF(Y67="TIPO II",'BASE DE LIQUIDACION 2025'!$I$5,IF(Y67="TIPO III",'BASE DE LIQUIDACION 2025'!$I$6,IF(Y67="TIPO IV",'BASE DE LIQUIDACION 2025'!$I$7,'BASE DE LIQUIDACION 2025'!$I$8)))))</f>
        <v>96001.196280000004</v>
      </c>
      <c r="AE67" s="55">
        <f>IF(OR(W67="SOPORTE_TELEFÓNICO",W67="ENVÍO"),0,IF(Y67="TIPO I",'BASE DE LIQUIDACION 2025'!$J$4,IF(Y67="TIPO II",'BASE DE LIQUIDACION 2025'!$J$5,IF(Y67="TIPO III",'BASE DE LIQUIDACION 2025'!$J$6,IF(Y67="TIPO IV",'BASE DE LIQUIDACION 2025'!$J$7,'BASE DE LIQUIDACION 2025'!$J$8)))))</f>
        <v>57411.974240000003</v>
      </c>
      <c r="AF67" s="55">
        <f>IF(W67="SOPORTE_TELEFÓNICO",'BASE DE LIQUIDACION 2025'!$L$4,IF(W67="ENVÍO",'BASE DE LIQUIDACION 2025'!$K$4,AD67*AB67+AE67*AC67))</f>
        <v>96001.196280000004</v>
      </c>
    </row>
    <row r="68" spans="1:32" s="46" customFormat="1" ht="12.75">
      <c r="A68" s="86" t="s">
        <v>379</v>
      </c>
      <c r="B68" s="86" t="str">
        <f>VLOOKUP(A68,'CENTRO DE COSTOS'!A:D,4,FALSE)</f>
        <v>JOSE MAURICIO HERNANDEZ ROJAS</v>
      </c>
      <c r="C68" s="86" t="str">
        <f>VLOOKUP(A68,'CENTRO DE COSTOS'!A:D,2,FALSE)</f>
        <v>0004-0001</v>
      </c>
      <c r="D68" s="86">
        <v>23001</v>
      </c>
      <c r="E68" s="86">
        <v>2602167</v>
      </c>
      <c r="F68" s="86">
        <v>65136</v>
      </c>
      <c r="G68" s="86" t="s">
        <v>2840</v>
      </c>
      <c r="H68" s="86" t="s">
        <v>381</v>
      </c>
      <c r="I68" s="86" t="s">
        <v>379</v>
      </c>
      <c r="J68" s="86" t="s">
        <v>3054</v>
      </c>
      <c r="K68" s="86" t="s">
        <v>137</v>
      </c>
      <c r="L68" s="86" t="s">
        <v>3055</v>
      </c>
      <c r="M68" s="87">
        <v>45884.39166666667</v>
      </c>
      <c r="N68" s="87">
        <v>45889.345833333333</v>
      </c>
      <c r="O68" s="86"/>
      <c r="P68" s="86" t="s">
        <v>2843</v>
      </c>
      <c r="Q68" s="86" t="s">
        <v>2843</v>
      </c>
      <c r="R68" s="88" t="s">
        <v>2845</v>
      </c>
      <c r="S68" s="89" t="s">
        <v>2845</v>
      </c>
      <c r="T68" s="86" t="s">
        <v>2846</v>
      </c>
      <c r="U68" s="86" t="s">
        <v>2847</v>
      </c>
      <c r="V68" s="86" t="s">
        <v>3056</v>
      </c>
      <c r="W68" s="86" t="s">
        <v>2849</v>
      </c>
      <c r="X68" s="86">
        <v>0</v>
      </c>
      <c r="Y68" s="90" t="s">
        <v>52</v>
      </c>
      <c r="Z68" s="90" t="s">
        <v>145</v>
      </c>
      <c r="AA68" s="86" t="s">
        <v>681</v>
      </c>
      <c r="AB68" s="86">
        <v>1</v>
      </c>
      <c r="AC68" s="86">
        <v>0</v>
      </c>
      <c r="AD68" s="55">
        <f>IF(OR(W68="SOPORTE_TELEFÓNICO",W68="ENVÍO"),0,IF(Y68="TIPO I",'BASE DE LIQUIDACION 2025'!$I$4,IF(Y68="TIPO II",'BASE DE LIQUIDACION 2025'!$I$5,IF(Y68="TIPO III",'BASE DE LIQUIDACION 2025'!$I$6,IF(Y68="TIPO IV",'BASE DE LIQUIDACION 2025'!$I$7,'BASE DE LIQUIDACION 2025'!$I$8)))))</f>
        <v>96001.196280000004</v>
      </c>
      <c r="AE68" s="55">
        <f>IF(OR(W68="SOPORTE_TELEFÓNICO",W68="ENVÍO"),0,IF(Y68="TIPO I",'BASE DE LIQUIDACION 2025'!$J$4,IF(Y68="TIPO II",'BASE DE LIQUIDACION 2025'!$J$5,IF(Y68="TIPO III",'BASE DE LIQUIDACION 2025'!$J$6,IF(Y68="TIPO IV",'BASE DE LIQUIDACION 2025'!$J$7,'BASE DE LIQUIDACION 2025'!$J$8)))))</f>
        <v>57411.974240000003</v>
      </c>
      <c r="AF68" s="55">
        <f>IF(W68="SOPORTE_TELEFÓNICO",'BASE DE LIQUIDACION 2025'!$L$4,IF(W68="ENVÍO",'BASE DE LIQUIDACION 2025'!$K$4,AD68*AB68+AE68*AC68))</f>
        <v>96001.196280000004</v>
      </c>
    </row>
    <row r="69" spans="1:32" s="46" customFormat="1" ht="12.75">
      <c r="A69" s="86" t="s">
        <v>269</v>
      </c>
      <c r="B69" s="86" t="str">
        <f>VLOOKUP(A69,'CENTRO DE COSTOS'!A:D,4,FALSE)</f>
        <v>MIGUEL JULIÁN HERNÁNDEZ GUARÍN</v>
      </c>
      <c r="C69" s="86" t="str">
        <f>VLOOKUP(A69,'CENTRO DE COSTOS'!A:D,2,FALSE)</f>
        <v>0004-0008</v>
      </c>
      <c r="D69" s="86">
        <v>68276</v>
      </c>
      <c r="E69" s="86">
        <v>2618207</v>
      </c>
      <c r="F69" s="86">
        <v>72109</v>
      </c>
      <c r="G69" s="86" t="s">
        <v>2840</v>
      </c>
      <c r="H69" s="86" t="s">
        <v>795</v>
      </c>
      <c r="I69" s="86" t="s">
        <v>925</v>
      </c>
      <c r="J69" s="86" t="s">
        <v>3057</v>
      </c>
      <c r="K69" s="86" t="s">
        <v>137</v>
      </c>
      <c r="L69" s="86" t="s">
        <v>3058</v>
      </c>
      <c r="M69" s="87">
        <v>45889.447222222225</v>
      </c>
      <c r="N69" s="87">
        <v>45889.678472222222</v>
      </c>
      <c r="O69" s="86"/>
      <c r="P69" s="86" t="s">
        <v>2843</v>
      </c>
      <c r="Q69" s="86" t="s">
        <v>2843</v>
      </c>
      <c r="R69" s="88" t="s">
        <v>181</v>
      </c>
      <c r="S69" s="89" t="s">
        <v>182</v>
      </c>
      <c r="T69" s="86" t="s">
        <v>3059</v>
      </c>
      <c r="U69" s="86" t="s">
        <v>3060</v>
      </c>
      <c r="V69" s="86" t="s">
        <v>3061</v>
      </c>
      <c r="W69" s="86" t="s">
        <v>3062</v>
      </c>
      <c r="X69" s="86">
        <v>0</v>
      </c>
      <c r="Y69" s="90" t="s">
        <v>52</v>
      </c>
      <c r="Z69" s="90" t="s">
        <v>145</v>
      </c>
      <c r="AA69" s="86" t="s">
        <v>3063</v>
      </c>
      <c r="AB69" s="86">
        <v>0</v>
      </c>
      <c r="AC69" s="86">
        <v>0</v>
      </c>
      <c r="AD69" s="55">
        <f>IF(OR(W69="SOPORTE_TELEFÓNICO",W69="ENVÍO"),0,IF(Y69="TIPO I",'BASE DE LIQUIDACION 2025'!$I$4,IF(Y69="TIPO II",'BASE DE LIQUIDACION 2025'!$I$5,IF(Y69="TIPO III",'BASE DE LIQUIDACION 2025'!$I$6,IF(Y69="TIPO IV",'BASE DE LIQUIDACION 2025'!$I$7,'BASE DE LIQUIDACION 2025'!$I$8)))))</f>
        <v>0</v>
      </c>
      <c r="AE69" s="55">
        <f>IF(OR(W69="SOPORTE_TELEFÓNICO",W69="ENVÍO"),0,IF(Y69="TIPO I",'BASE DE LIQUIDACION 2025'!$J$4,IF(Y69="TIPO II",'BASE DE LIQUIDACION 2025'!$J$5,IF(Y69="TIPO III",'BASE DE LIQUIDACION 2025'!$J$6,IF(Y69="TIPO IV",'BASE DE LIQUIDACION 2025'!$J$7,'BASE DE LIQUIDACION 2025'!$J$8)))))</f>
        <v>0</v>
      </c>
      <c r="AF69" s="55">
        <f>IF(W69="SOPORTE_TELEFÓNICO",'BASE DE LIQUIDACION 2025'!$L$4,IF(W69="ENVÍO",'BASE DE LIQUIDACION 2025'!$K$4,AD69*AB69+AE69*AC69))</f>
        <v>37904.65408</v>
      </c>
    </row>
    <row r="70" spans="1:32" s="46" customFormat="1" ht="12.75">
      <c r="A70" s="86" t="s">
        <v>431</v>
      </c>
      <c r="B70" s="86" t="str">
        <f>VLOOKUP(A70,'CENTRO DE COSTOS'!A:D,4,FALSE)</f>
        <v>WILLIAM ASDRUBAL ROZO ROZO</v>
      </c>
      <c r="C70" s="86" t="str">
        <f>VLOOKUP(A70,'CENTRO DE COSTOS'!A:D,2,FALSE)</f>
        <v>0004-0004</v>
      </c>
      <c r="D70" s="86">
        <v>25290</v>
      </c>
      <c r="E70" s="86">
        <v>2603836</v>
      </c>
      <c r="F70" s="86">
        <v>76196</v>
      </c>
      <c r="G70" s="86" t="s">
        <v>2840</v>
      </c>
      <c r="H70" s="86" t="s">
        <v>433</v>
      </c>
      <c r="I70" s="86" t="s">
        <v>1879</v>
      </c>
      <c r="J70" s="86" t="s">
        <v>3064</v>
      </c>
      <c r="K70" s="86" t="s">
        <v>137</v>
      </c>
      <c r="L70" s="86" t="s">
        <v>3065</v>
      </c>
      <c r="M70" s="87">
        <v>45884.496527777781</v>
      </c>
      <c r="N70" s="87">
        <v>45889.685416666667</v>
      </c>
      <c r="O70" s="86"/>
      <c r="P70" s="86" t="s">
        <v>2843</v>
      </c>
      <c r="Q70" s="86" t="s">
        <v>2843</v>
      </c>
      <c r="R70" s="88" t="s">
        <v>2845</v>
      </c>
      <c r="S70" s="89" t="s">
        <v>2845</v>
      </c>
      <c r="T70" s="86" t="s">
        <v>2846</v>
      </c>
      <c r="U70" s="86" t="s">
        <v>2847</v>
      </c>
      <c r="V70" s="86" t="s">
        <v>3066</v>
      </c>
      <c r="W70" s="86" t="s">
        <v>2849</v>
      </c>
      <c r="X70" s="86">
        <v>0</v>
      </c>
      <c r="Y70" s="90" t="s">
        <v>202</v>
      </c>
      <c r="Z70" s="90" t="s">
        <v>145</v>
      </c>
      <c r="AA70" s="86" t="s">
        <v>1000</v>
      </c>
      <c r="AB70" s="86">
        <v>1</v>
      </c>
      <c r="AC70" s="86">
        <v>0</v>
      </c>
      <c r="AD70" s="55">
        <f>IF(OR(W70="SOPORTE_TELEFÓNICO",W70="ENVÍO"),0,IF(Y70="TIPO I",'BASE DE LIQUIDACION 2025'!$I$4,IF(Y70="TIPO II",'BASE DE LIQUIDACION 2025'!$I$5,IF(Y70="TIPO III",'BASE DE LIQUIDACION 2025'!$I$6,IF(Y70="TIPO IV",'BASE DE LIQUIDACION 2025'!$I$7,'BASE DE LIQUIDACION 2025'!$I$8)))))</f>
        <v>232858.60096000001</v>
      </c>
      <c r="AE70" s="55">
        <f>IF(OR(W70="SOPORTE_TELEFÓNICO",W70="ENVÍO"),0,IF(Y70="TIPO I",'BASE DE LIQUIDACION 2025'!$J$4,IF(Y70="TIPO II",'BASE DE LIQUIDACION 2025'!$J$5,IF(Y70="TIPO III",'BASE DE LIQUIDACION 2025'!$J$6,IF(Y70="TIPO IV",'BASE DE LIQUIDACION 2025'!$J$7,'BASE DE LIQUIDACION 2025'!$J$8)))))</f>
        <v>110808.27512000001</v>
      </c>
      <c r="AF70" s="55">
        <f>IF(W70="SOPORTE_TELEFÓNICO",'BASE DE LIQUIDACION 2025'!$L$4,IF(W70="ENVÍO",'BASE DE LIQUIDACION 2025'!$K$4,AD70*AB70+AE70*AC70))</f>
        <v>232858.60096000001</v>
      </c>
    </row>
    <row r="71" spans="1:32" s="46" customFormat="1" ht="12.75">
      <c r="A71" s="86" t="s">
        <v>608</v>
      </c>
      <c r="B71" s="86" t="str">
        <f>VLOOKUP(A71,'CENTRO DE COSTOS'!A:D,4,FALSE)</f>
        <v>JUAN SEBASTIÁN RÍOS CASTRILLÓN</v>
      </c>
      <c r="C71" s="86" t="str">
        <f>VLOOKUP(A71,'CENTRO DE COSTOS'!A:D,2,FALSE)</f>
        <v>0004-0005</v>
      </c>
      <c r="D71" s="86">
        <v>5665</v>
      </c>
      <c r="E71" s="86">
        <v>2612815</v>
      </c>
      <c r="F71" s="86">
        <v>36945</v>
      </c>
      <c r="G71" s="86" t="s">
        <v>2840</v>
      </c>
      <c r="H71" s="86" t="s">
        <v>178</v>
      </c>
      <c r="I71" s="86" t="s">
        <v>1333</v>
      </c>
      <c r="J71" s="86" t="s">
        <v>3067</v>
      </c>
      <c r="K71" s="86" t="s">
        <v>137</v>
      </c>
      <c r="L71" s="86" t="s">
        <v>3068</v>
      </c>
      <c r="M71" s="87">
        <v>45888.530555555553</v>
      </c>
      <c r="N71" s="87">
        <v>45889.6875</v>
      </c>
      <c r="O71" s="86"/>
      <c r="P71" s="86" t="s">
        <v>2843</v>
      </c>
      <c r="Q71" s="86" t="s">
        <v>2843</v>
      </c>
      <c r="R71" s="88" t="s">
        <v>181</v>
      </c>
      <c r="S71" s="89" t="s">
        <v>182</v>
      </c>
      <c r="T71" s="86" t="s">
        <v>2846</v>
      </c>
      <c r="U71" s="86" t="s">
        <v>2847</v>
      </c>
      <c r="V71" s="86" t="s">
        <v>3069</v>
      </c>
      <c r="W71" s="86" t="s">
        <v>2849</v>
      </c>
      <c r="X71" s="86">
        <v>0</v>
      </c>
      <c r="Y71" s="90" t="s">
        <v>230</v>
      </c>
      <c r="Z71" s="90" t="s">
        <v>145</v>
      </c>
      <c r="AA71" s="86" t="s">
        <v>614</v>
      </c>
      <c r="AB71" s="86">
        <v>1</v>
      </c>
      <c r="AC71" s="86">
        <v>0</v>
      </c>
      <c r="AD71" s="55">
        <f>IF(OR(W71="SOPORTE_TELEFÓNICO",W71="ENVÍO"),0,IF(Y71="TIPO I",'BASE DE LIQUIDACION 2025'!$I$4,IF(Y71="TIPO II",'BASE DE LIQUIDACION 2025'!$I$5,IF(Y71="TIPO III",'BASE DE LIQUIDACION 2025'!$I$6,IF(Y71="TIPO IV",'BASE DE LIQUIDACION 2025'!$I$7,'BASE DE LIQUIDACION 2025'!$I$8)))))</f>
        <v>344774.56896</v>
      </c>
      <c r="AE71" s="55">
        <f>IF(OR(W71="SOPORTE_TELEFÓNICO",W71="ENVÍO"),0,IF(Y71="TIPO I",'BASE DE LIQUIDACION 2025'!$J$4,IF(Y71="TIPO II",'BASE DE LIQUIDACION 2025'!$J$5,IF(Y71="TIPO III",'BASE DE LIQUIDACION 2025'!$J$6,IF(Y71="TIPO IV",'BASE DE LIQUIDACION 2025'!$J$7,'BASE DE LIQUIDACION 2025'!$J$8)))))</f>
        <v>110808.27512000001</v>
      </c>
      <c r="AF71" s="55">
        <f>IF(W71="SOPORTE_TELEFÓNICO",'BASE DE LIQUIDACION 2025'!$L$4,IF(W71="ENVÍO",'BASE DE LIQUIDACION 2025'!$K$4,AD71*AB71+AE71*AC71))</f>
        <v>344774.56896</v>
      </c>
    </row>
    <row r="72" spans="1:32" s="46" customFormat="1" ht="12.75">
      <c r="A72" s="86" t="s">
        <v>688</v>
      </c>
      <c r="B72" s="86" t="str">
        <f>VLOOKUP(A72,'CENTRO DE COSTOS'!A:D,4,FALSE)</f>
        <v>KEVIN ALEXIS CORZO BUSTOS</v>
      </c>
      <c r="C72" s="86" t="str">
        <f>VLOOKUP(A72,'CENTRO DE COSTOS'!A:D,2,FALSE)</f>
        <v>0004-0007</v>
      </c>
      <c r="D72" s="86">
        <v>17380</v>
      </c>
      <c r="E72" s="86">
        <v>2613571</v>
      </c>
      <c r="F72" s="86">
        <v>47806</v>
      </c>
      <c r="G72" s="86" t="s">
        <v>2840</v>
      </c>
      <c r="H72" s="86" t="s">
        <v>441</v>
      </c>
      <c r="I72" s="86" t="s">
        <v>3070</v>
      </c>
      <c r="J72" s="86" t="s">
        <v>3071</v>
      </c>
      <c r="K72" s="86" t="s">
        <v>137</v>
      </c>
      <c r="L72" s="86" t="s">
        <v>3072</v>
      </c>
      <c r="M72" s="87">
        <v>45888.620833333334</v>
      </c>
      <c r="N72" s="87">
        <v>45890.338888888888</v>
      </c>
      <c r="O72" s="86"/>
      <c r="P72" s="86" t="s">
        <v>2843</v>
      </c>
      <c r="Q72" s="86" t="s">
        <v>2843</v>
      </c>
      <c r="R72" s="88" t="s">
        <v>2845</v>
      </c>
      <c r="S72" s="89" t="s">
        <v>2845</v>
      </c>
      <c r="T72" s="86" t="s">
        <v>2846</v>
      </c>
      <c r="U72" s="86" t="s">
        <v>2847</v>
      </c>
      <c r="V72" s="86" t="s">
        <v>3073</v>
      </c>
      <c r="W72" s="86" t="s">
        <v>2849</v>
      </c>
      <c r="X72" s="86">
        <v>0</v>
      </c>
      <c r="Y72" s="90" t="s">
        <v>230</v>
      </c>
      <c r="Z72" s="90" t="s">
        <v>145</v>
      </c>
      <c r="AA72" s="86" t="s">
        <v>940</v>
      </c>
      <c r="AB72" s="86">
        <v>1</v>
      </c>
      <c r="AC72" s="86">
        <v>0</v>
      </c>
      <c r="AD72" s="55">
        <f>IF(OR(W72="SOPORTE_TELEFÓNICO",W72="ENVÍO"),0,IF(Y72="TIPO I",'BASE DE LIQUIDACION 2025'!$I$4,IF(Y72="TIPO II",'BASE DE LIQUIDACION 2025'!$I$5,IF(Y72="TIPO III",'BASE DE LIQUIDACION 2025'!$I$6,IF(Y72="TIPO IV",'BASE DE LIQUIDACION 2025'!$I$7,'BASE DE LIQUIDACION 2025'!$I$8)))))</f>
        <v>344774.56896</v>
      </c>
      <c r="AE72" s="55">
        <f>IF(OR(W72="SOPORTE_TELEFÓNICO",W72="ENVÍO"),0,IF(Y72="TIPO I",'BASE DE LIQUIDACION 2025'!$J$4,IF(Y72="TIPO II",'BASE DE LIQUIDACION 2025'!$J$5,IF(Y72="TIPO III",'BASE DE LIQUIDACION 2025'!$J$6,IF(Y72="TIPO IV",'BASE DE LIQUIDACION 2025'!$J$7,'BASE DE LIQUIDACION 2025'!$J$8)))))</f>
        <v>110808.27512000001</v>
      </c>
      <c r="AF72" s="55">
        <f>IF(W72="SOPORTE_TELEFÓNICO",'BASE DE LIQUIDACION 2025'!$L$4,IF(W72="ENVÍO",'BASE DE LIQUIDACION 2025'!$K$4,AD72*AB72+AE72*AC72))</f>
        <v>344774.56896</v>
      </c>
    </row>
    <row r="73" spans="1:32" s="46" customFormat="1" ht="12.75">
      <c r="A73" s="86" t="s">
        <v>301</v>
      </c>
      <c r="B73" s="86" t="str">
        <f>VLOOKUP(A73,'CENTRO DE COSTOS'!A:D,4,FALSE)</f>
        <v>JOSE MAURICIO HERNANDEZ ROJAS</v>
      </c>
      <c r="C73" s="86" t="str">
        <f>VLOOKUP(A73,'CENTRO DE COSTOS'!A:D,2,FALSE)</f>
        <v>0004-0001</v>
      </c>
      <c r="D73" s="86">
        <v>13657</v>
      </c>
      <c r="E73" s="86">
        <v>2592930</v>
      </c>
      <c r="F73" s="86">
        <v>47080</v>
      </c>
      <c r="G73" s="86" t="s">
        <v>2840</v>
      </c>
      <c r="H73" s="86" t="s">
        <v>271</v>
      </c>
      <c r="I73" s="86" t="s">
        <v>1153</v>
      </c>
      <c r="J73" s="86" t="s">
        <v>3074</v>
      </c>
      <c r="K73" s="86" t="s">
        <v>137</v>
      </c>
      <c r="L73" s="86" t="s">
        <v>3075</v>
      </c>
      <c r="M73" s="87">
        <v>45882.572916666664</v>
      </c>
      <c r="N73" s="87">
        <v>45890.349305555559</v>
      </c>
      <c r="O73" s="86"/>
      <c r="P73" s="86" t="s">
        <v>2843</v>
      </c>
      <c r="Q73" s="86" t="s">
        <v>2843</v>
      </c>
      <c r="R73" s="88" t="s">
        <v>181</v>
      </c>
      <c r="S73" s="89" t="s">
        <v>707</v>
      </c>
      <c r="T73" s="86" t="s">
        <v>2846</v>
      </c>
      <c r="U73" s="86" t="s">
        <v>2847</v>
      </c>
      <c r="V73" s="86" t="s">
        <v>3076</v>
      </c>
      <c r="W73" s="86" t="s">
        <v>2849</v>
      </c>
      <c r="X73" s="86">
        <v>0</v>
      </c>
      <c r="Y73" s="90" t="s">
        <v>202</v>
      </c>
      <c r="Z73" s="90" t="s">
        <v>145</v>
      </c>
      <c r="AA73" s="86" t="s">
        <v>307</v>
      </c>
      <c r="AB73" s="86">
        <v>1</v>
      </c>
      <c r="AC73" s="86">
        <v>0</v>
      </c>
      <c r="AD73" s="55">
        <f>IF(OR(W73="SOPORTE_TELEFÓNICO",W73="ENVÍO"),0,IF(Y73="TIPO I",'BASE DE LIQUIDACION 2025'!$I$4,IF(Y73="TIPO II",'BASE DE LIQUIDACION 2025'!$I$5,IF(Y73="TIPO III",'BASE DE LIQUIDACION 2025'!$I$6,IF(Y73="TIPO IV",'BASE DE LIQUIDACION 2025'!$I$7,'BASE DE LIQUIDACION 2025'!$I$8)))))</f>
        <v>232858.60096000001</v>
      </c>
      <c r="AE73" s="55">
        <f>IF(OR(W73="SOPORTE_TELEFÓNICO",W73="ENVÍO"),0,IF(Y73="TIPO I",'BASE DE LIQUIDACION 2025'!$J$4,IF(Y73="TIPO II",'BASE DE LIQUIDACION 2025'!$J$5,IF(Y73="TIPO III",'BASE DE LIQUIDACION 2025'!$J$6,IF(Y73="TIPO IV",'BASE DE LIQUIDACION 2025'!$J$7,'BASE DE LIQUIDACION 2025'!$J$8)))))</f>
        <v>110808.27512000001</v>
      </c>
      <c r="AF73" s="55">
        <f>IF(W73="SOPORTE_TELEFÓNICO",'BASE DE LIQUIDACION 2025'!$L$4,IF(W73="ENVÍO",'BASE DE LIQUIDACION 2025'!$K$4,AD73*AB73+AE73*AC73))</f>
        <v>232858.60096000001</v>
      </c>
    </row>
    <row r="74" spans="1:32" s="46" customFormat="1" ht="12.75">
      <c r="A74" s="86" t="s">
        <v>688</v>
      </c>
      <c r="B74" s="86" t="str">
        <f>VLOOKUP(A74,'CENTRO DE COSTOS'!A:D,4,FALSE)</f>
        <v>KEVIN ALEXIS CORZO BUSTOS</v>
      </c>
      <c r="C74" s="86" t="str">
        <f>VLOOKUP(A74,'CENTRO DE COSTOS'!A:D,2,FALSE)</f>
        <v>0004-0007</v>
      </c>
      <c r="D74" s="86">
        <v>73001</v>
      </c>
      <c r="E74" s="86">
        <v>2629433</v>
      </c>
      <c r="F74" s="86">
        <v>80022</v>
      </c>
      <c r="G74" s="86" t="s">
        <v>2840</v>
      </c>
      <c r="H74" s="86" t="s">
        <v>690</v>
      </c>
      <c r="I74" s="86" t="s">
        <v>688</v>
      </c>
      <c r="J74" s="86" t="s">
        <v>3077</v>
      </c>
      <c r="K74" s="86" t="s">
        <v>137</v>
      </c>
      <c r="L74" s="86" t="s">
        <v>3078</v>
      </c>
      <c r="M74" s="87">
        <v>45891.359722222223</v>
      </c>
      <c r="N74" s="87">
        <v>45891.470138888886</v>
      </c>
      <c r="O74" s="86"/>
      <c r="P74" s="86" t="s">
        <v>2843</v>
      </c>
      <c r="Q74" s="86" t="s">
        <v>2844</v>
      </c>
      <c r="R74" s="88" t="s">
        <v>2845</v>
      </c>
      <c r="S74" s="89" t="s">
        <v>2845</v>
      </c>
      <c r="T74" s="86" t="s">
        <v>2846</v>
      </c>
      <c r="U74" s="86" t="s">
        <v>2847</v>
      </c>
      <c r="V74" s="86" t="s">
        <v>3079</v>
      </c>
      <c r="W74" s="86" t="s">
        <v>2849</v>
      </c>
      <c r="X74" s="86">
        <v>0</v>
      </c>
      <c r="Y74" s="90" t="s">
        <v>52</v>
      </c>
      <c r="Z74" s="90" t="s">
        <v>145</v>
      </c>
      <c r="AA74" s="86" t="s">
        <v>3080</v>
      </c>
      <c r="AB74" s="86">
        <v>1</v>
      </c>
      <c r="AC74" s="86">
        <v>0</v>
      </c>
      <c r="AD74" s="55">
        <f>IF(OR(W74="SOPORTE_TELEFÓNICO",W74="ENVÍO"),0,IF(Y74="TIPO I",'BASE DE LIQUIDACION 2025'!$I$4,IF(Y74="TIPO II",'BASE DE LIQUIDACION 2025'!$I$5,IF(Y74="TIPO III",'BASE DE LIQUIDACION 2025'!$I$6,IF(Y74="TIPO IV",'BASE DE LIQUIDACION 2025'!$I$7,'BASE DE LIQUIDACION 2025'!$I$8)))))</f>
        <v>96001.196280000004</v>
      </c>
      <c r="AE74" s="55">
        <f>IF(OR(W74="SOPORTE_TELEFÓNICO",W74="ENVÍO"),0,IF(Y74="TIPO I",'BASE DE LIQUIDACION 2025'!$J$4,IF(Y74="TIPO II",'BASE DE LIQUIDACION 2025'!$J$5,IF(Y74="TIPO III",'BASE DE LIQUIDACION 2025'!$J$6,IF(Y74="TIPO IV",'BASE DE LIQUIDACION 2025'!$J$7,'BASE DE LIQUIDACION 2025'!$J$8)))))</f>
        <v>57411.974240000003</v>
      </c>
      <c r="AF74" s="55">
        <f>IF(W74="SOPORTE_TELEFÓNICO",'BASE DE LIQUIDACION 2025'!$L$4,IF(W74="ENVÍO",'BASE DE LIQUIDACION 2025'!$K$4,AD74*AB74+AE74*AC74))</f>
        <v>96001.196280000004</v>
      </c>
    </row>
    <row r="75" spans="1:32" s="46" customFormat="1" ht="12.75">
      <c r="A75" s="86" t="s">
        <v>220</v>
      </c>
      <c r="B75" s="86" t="str">
        <f>VLOOKUP(A75,'CENTRO DE COSTOS'!A:D,4,FALSE)</f>
        <v>DIEGO FERNANDO HENAO CARDONA</v>
      </c>
      <c r="C75" s="86" t="str">
        <f>VLOOKUP(A75,'CENTRO DE COSTOS'!A:D,2,FALSE)</f>
        <v>0004-0003</v>
      </c>
      <c r="D75" s="86">
        <v>76834</v>
      </c>
      <c r="E75" s="86">
        <v>2624986</v>
      </c>
      <c r="F75" s="86">
        <v>60012</v>
      </c>
      <c r="G75" s="86" t="s">
        <v>2840</v>
      </c>
      <c r="H75" s="86" t="s">
        <v>420</v>
      </c>
      <c r="I75" s="86" t="s">
        <v>1780</v>
      </c>
      <c r="J75" s="86" t="s">
        <v>3081</v>
      </c>
      <c r="K75" s="86" t="s">
        <v>137</v>
      </c>
      <c r="L75" s="86" t="s">
        <v>3082</v>
      </c>
      <c r="M75" s="87">
        <v>45890.470138888886</v>
      </c>
      <c r="N75" s="87">
        <v>45891.566666666666</v>
      </c>
      <c r="O75" s="86"/>
      <c r="P75" s="86" t="s">
        <v>2843</v>
      </c>
      <c r="Q75" s="86" t="s">
        <v>2844</v>
      </c>
      <c r="R75" s="88" t="s">
        <v>181</v>
      </c>
      <c r="S75" s="89" t="s">
        <v>707</v>
      </c>
      <c r="T75" s="86" t="s">
        <v>2846</v>
      </c>
      <c r="U75" s="86" t="s">
        <v>2847</v>
      </c>
      <c r="V75" s="86" t="s">
        <v>3083</v>
      </c>
      <c r="W75" s="86" t="s">
        <v>2849</v>
      </c>
      <c r="X75" s="86">
        <v>0</v>
      </c>
      <c r="Y75" s="90" t="s">
        <v>202</v>
      </c>
      <c r="Z75" s="90" t="s">
        <v>145</v>
      </c>
      <c r="AA75" s="86" t="s">
        <v>495</v>
      </c>
      <c r="AB75" s="86">
        <v>1</v>
      </c>
      <c r="AC75" s="86">
        <v>0</v>
      </c>
      <c r="AD75" s="55">
        <f>IF(OR(W75="SOPORTE_TELEFÓNICO",W75="ENVÍO"),0,IF(Y75="TIPO I",'BASE DE LIQUIDACION 2025'!$I$4,IF(Y75="TIPO II",'BASE DE LIQUIDACION 2025'!$I$5,IF(Y75="TIPO III",'BASE DE LIQUIDACION 2025'!$I$6,IF(Y75="TIPO IV",'BASE DE LIQUIDACION 2025'!$I$7,'BASE DE LIQUIDACION 2025'!$I$8)))))</f>
        <v>232858.60096000001</v>
      </c>
      <c r="AE75" s="55">
        <f>IF(OR(W75="SOPORTE_TELEFÓNICO",W75="ENVÍO"),0,IF(Y75="TIPO I",'BASE DE LIQUIDACION 2025'!$J$4,IF(Y75="TIPO II",'BASE DE LIQUIDACION 2025'!$J$5,IF(Y75="TIPO III",'BASE DE LIQUIDACION 2025'!$J$6,IF(Y75="TIPO IV",'BASE DE LIQUIDACION 2025'!$J$7,'BASE DE LIQUIDACION 2025'!$J$8)))))</f>
        <v>110808.27512000001</v>
      </c>
      <c r="AF75" s="55">
        <f>IF(W75="SOPORTE_TELEFÓNICO",'BASE DE LIQUIDACION 2025'!$L$4,IF(W75="ENVÍO",'BASE DE LIQUIDACION 2025'!$K$4,AD75*AB75+AE75*AC75))</f>
        <v>232858.60096000001</v>
      </c>
    </row>
    <row r="76" spans="1:32" s="46" customFormat="1" ht="12.75">
      <c r="A76" s="86" t="s">
        <v>260</v>
      </c>
      <c r="B76" s="86" t="str">
        <f>VLOOKUP(A76,'CENTRO DE COSTOS'!A:D,4,FALSE)</f>
        <v>KEVIN ALEXIS CORZO BUSTOS</v>
      </c>
      <c r="C76" s="86" t="str">
        <f>VLOOKUP(A76,'CENTRO DE COSTOS'!A:D,2,FALSE)</f>
        <v>0004-0007</v>
      </c>
      <c r="D76" s="86">
        <v>50001</v>
      </c>
      <c r="E76" s="86">
        <v>2616603</v>
      </c>
      <c r="F76" s="86">
        <v>65244</v>
      </c>
      <c r="G76" s="86" t="s">
        <v>2840</v>
      </c>
      <c r="H76" s="86" t="s">
        <v>262</v>
      </c>
      <c r="I76" s="86" t="s">
        <v>260</v>
      </c>
      <c r="J76" s="86" t="s">
        <v>3084</v>
      </c>
      <c r="K76" s="86" t="s">
        <v>137</v>
      </c>
      <c r="L76" s="86" t="s">
        <v>3085</v>
      </c>
      <c r="M76" s="87">
        <v>45889.357638888891</v>
      </c>
      <c r="N76" s="87">
        <v>45891.65902777778</v>
      </c>
      <c r="O76" s="86"/>
      <c r="P76" s="86" t="s">
        <v>2843</v>
      </c>
      <c r="Q76" s="86" t="s">
        <v>2844</v>
      </c>
      <c r="R76" s="88" t="s">
        <v>2845</v>
      </c>
      <c r="S76" s="89" t="s">
        <v>2845</v>
      </c>
      <c r="T76" s="86" t="s">
        <v>2846</v>
      </c>
      <c r="U76" s="86" t="s">
        <v>2847</v>
      </c>
      <c r="V76" s="86" t="s">
        <v>3086</v>
      </c>
      <c r="W76" s="86" t="s">
        <v>2849</v>
      </c>
      <c r="X76" s="86">
        <v>0</v>
      </c>
      <c r="Y76" s="90" t="s">
        <v>52</v>
      </c>
      <c r="Z76" s="90" t="s">
        <v>145</v>
      </c>
      <c r="AA76" s="86" t="s">
        <v>267</v>
      </c>
      <c r="AB76" s="86">
        <v>1</v>
      </c>
      <c r="AC76" s="86">
        <v>0</v>
      </c>
      <c r="AD76" s="55">
        <f>IF(OR(W76="SOPORTE_TELEFÓNICO",W76="ENVÍO"),0,IF(Y76="TIPO I",'BASE DE LIQUIDACION 2025'!$I$4,IF(Y76="TIPO II",'BASE DE LIQUIDACION 2025'!$I$5,IF(Y76="TIPO III",'BASE DE LIQUIDACION 2025'!$I$6,IF(Y76="TIPO IV",'BASE DE LIQUIDACION 2025'!$I$7,'BASE DE LIQUIDACION 2025'!$I$8)))))</f>
        <v>96001.196280000004</v>
      </c>
      <c r="AE76" s="55">
        <f>IF(OR(W76="SOPORTE_TELEFÓNICO",W76="ENVÍO"),0,IF(Y76="TIPO I",'BASE DE LIQUIDACION 2025'!$J$4,IF(Y76="TIPO II",'BASE DE LIQUIDACION 2025'!$J$5,IF(Y76="TIPO III",'BASE DE LIQUIDACION 2025'!$J$6,IF(Y76="TIPO IV",'BASE DE LIQUIDACION 2025'!$J$7,'BASE DE LIQUIDACION 2025'!$J$8)))))</f>
        <v>57411.974240000003</v>
      </c>
      <c r="AF76" s="55">
        <f>IF(W76="SOPORTE_TELEFÓNICO",'BASE DE LIQUIDACION 2025'!$L$4,IF(W76="ENVÍO",'BASE DE LIQUIDACION 2025'!$K$4,AD76*AB76+AE76*AC76))</f>
        <v>96001.196280000004</v>
      </c>
    </row>
    <row r="77" spans="1:32" s="46" customFormat="1" ht="12.75">
      <c r="A77" s="86" t="s">
        <v>688</v>
      </c>
      <c r="B77" s="86" t="str">
        <f>VLOOKUP(A77,'CENTRO DE COSTOS'!A:D,4,FALSE)</f>
        <v>KEVIN ALEXIS CORZO BUSTOS</v>
      </c>
      <c r="C77" s="86" t="str">
        <f>VLOOKUP(A77,'CENTRO DE COSTOS'!A:D,2,FALSE)</f>
        <v>0004-0007</v>
      </c>
      <c r="D77" s="86">
        <v>73001</v>
      </c>
      <c r="E77" s="86">
        <v>2630362</v>
      </c>
      <c r="F77" s="86">
        <v>75098</v>
      </c>
      <c r="G77" s="86" t="s">
        <v>2840</v>
      </c>
      <c r="H77" s="86" t="s">
        <v>690</v>
      </c>
      <c r="I77" s="86" t="s">
        <v>688</v>
      </c>
      <c r="J77" s="86" t="s">
        <v>3087</v>
      </c>
      <c r="K77" s="86" t="s">
        <v>137</v>
      </c>
      <c r="L77" s="86" t="s">
        <v>3088</v>
      </c>
      <c r="M77" s="87">
        <v>45891.418055555558</v>
      </c>
      <c r="N77" s="87">
        <v>45892.509722222225</v>
      </c>
      <c r="O77" s="86"/>
      <c r="P77" s="86" t="s">
        <v>2843</v>
      </c>
      <c r="Q77" s="86" t="s">
        <v>2844</v>
      </c>
      <c r="R77" s="88" t="s">
        <v>2845</v>
      </c>
      <c r="S77" s="89" t="s">
        <v>2845</v>
      </c>
      <c r="T77" s="86" t="s">
        <v>2846</v>
      </c>
      <c r="U77" s="86" t="s">
        <v>2847</v>
      </c>
      <c r="V77" s="86" t="s">
        <v>3089</v>
      </c>
      <c r="W77" s="86" t="s">
        <v>2849</v>
      </c>
      <c r="X77" s="86">
        <v>0</v>
      </c>
      <c r="Y77" s="90" t="s">
        <v>52</v>
      </c>
      <c r="Z77" s="90" t="s">
        <v>145</v>
      </c>
      <c r="AA77" s="86" t="s">
        <v>940</v>
      </c>
      <c r="AB77" s="86">
        <v>1</v>
      </c>
      <c r="AC77" s="86">
        <v>0</v>
      </c>
      <c r="AD77" s="55">
        <f>IF(OR(W77="SOPORTE_TELEFÓNICO",W77="ENVÍO"),0,IF(Y77="TIPO I",'BASE DE LIQUIDACION 2025'!$I$4,IF(Y77="TIPO II",'BASE DE LIQUIDACION 2025'!$I$5,IF(Y77="TIPO III",'BASE DE LIQUIDACION 2025'!$I$6,IF(Y77="TIPO IV",'BASE DE LIQUIDACION 2025'!$I$7,'BASE DE LIQUIDACION 2025'!$I$8)))))</f>
        <v>96001.196280000004</v>
      </c>
      <c r="AE77" s="55">
        <f>IF(OR(W77="SOPORTE_TELEFÓNICO",W77="ENVÍO"),0,IF(Y77="TIPO I",'BASE DE LIQUIDACION 2025'!$J$4,IF(Y77="TIPO II",'BASE DE LIQUIDACION 2025'!$J$5,IF(Y77="TIPO III",'BASE DE LIQUIDACION 2025'!$J$6,IF(Y77="TIPO IV",'BASE DE LIQUIDACION 2025'!$J$7,'BASE DE LIQUIDACION 2025'!$J$8)))))</f>
        <v>57411.974240000003</v>
      </c>
      <c r="AF77" s="55">
        <f>IF(W77="SOPORTE_TELEFÓNICO",'BASE DE LIQUIDACION 2025'!$L$4,IF(W77="ENVÍO",'BASE DE LIQUIDACION 2025'!$K$4,AD77*AB77+AE77*AC77))</f>
        <v>96001.196280000004</v>
      </c>
    </row>
    <row r="78" spans="1:32" s="46" customFormat="1" ht="12.75">
      <c r="A78" s="86" t="s">
        <v>439</v>
      </c>
      <c r="B78" s="86" t="str">
        <f>VLOOKUP(A78,'CENTRO DE COSTOS'!A:D,4,FALSE)</f>
        <v>DIEGO FERNANDO HENAO CARDONA</v>
      </c>
      <c r="C78" s="86" t="str">
        <f>VLOOKUP(A78,'CENTRO DE COSTOS'!A:D,2,FALSE)</f>
        <v>0004-0002</v>
      </c>
      <c r="D78" s="86">
        <v>17001</v>
      </c>
      <c r="E78" s="86">
        <v>2626235</v>
      </c>
      <c r="F78" s="86">
        <v>55715</v>
      </c>
      <c r="G78" s="86" t="s">
        <v>2840</v>
      </c>
      <c r="H78" s="86" t="s">
        <v>441</v>
      </c>
      <c r="I78" s="86" t="s">
        <v>439</v>
      </c>
      <c r="J78" s="86" t="s">
        <v>3090</v>
      </c>
      <c r="K78" s="86" t="s">
        <v>137</v>
      </c>
      <c r="L78" s="86" t="s">
        <v>3091</v>
      </c>
      <c r="M78" s="87">
        <v>45890.568055555559</v>
      </c>
      <c r="N78" s="87">
        <v>45892.512499999997</v>
      </c>
      <c r="O78" s="86"/>
      <c r="P78" s="86" t="s">
        <v>2843</v>
      </c>
      <c r="Q78" s="86" t="s">
        <v>2844</v>
      </c>
      <c r="R78" s="88" t="s">
        <v>2845</v>
      </c>
      <c r="S78" s="89" t="s">
        <v>2845</v>
      </c>
      <c r="T78" s="86" t="s">
        <v>2846</v>
      </c>
      <c r="U78" s="86" t="s">
        <v>2847</v>
      </c>
      <c r="V78" s="86" t="s">
        <v>3092</v>
      </c>
      <c r="W78" s="86" t="s">
        <v>2849</v>
      </c>
      <c r="X78" s="86">
        <v>0</v>
      </c>
      <c r="Y78" s="90" t="s">
        <v>52</v>
      </c>
      <c r="Z78" s="90" t="s">
        <v>145</v>
      </c>
      <c r="AA78" s="86" t="s">
        <v>445</v>
      </c>
      <c r="AB78" s="86">
        <v>1</v>
      </c>
      <c r="AC78" s="86">
        <v>0</v>
      </c>
      <c r="AD78" s="55">
        <f>IF(OR(W78="SOPORTE_TELEFÓNICO",W78="ENVÍO"),0,IF(Y78="TIPO I",'BASE DE LIQUIDACION 2025'!$I$4,IF(Y78="TIPO II",'BASE DE LIQUIDACION 2025'!$I$5,IF(Y78="TIPO III",'BASE DE LIQUIDACION 2025'!$I$6,IF(Y78="TIPO IV",'BASE DE LIQUIDACION 2025'!$I$7,'BASE DE LIQUIDACION 2025'!$I$8)))))</f>
        <v>96001.196280000004</v>
      </c>
      <c r="AE78" s="55">
        <f>IF(OR(W78="SOPORTE_TELEFÓNICO",W78="ENVÍO"),0,IF(Y78="TIPO I",'BASE DE LIQUIDACION 2025'!$J$4,IF(Y78="TIPO II",'BASE DE LIQUIDACION 2025'!$J$5,IF(Y78="TIPO III",'BASE DE LIQUIDACION 2025'!$J$6,IF(Y78="TIPO IV",'BASE DE LIQUIDACION 2025'!$J$7,'BASE DE LIQUIDACION 2025'!$J$8)))))</f>
        <v>57411.974240000003</v>
      </c>
      <c r="AF78" s="55">
        <f>IF(W78="SOPORTE_TELEFÓNICO",'BASE DE LIQUIDACION 2025'!$L$4,IF(W78="ENVÍO",'BASE DE LIQUIDACION 2025'!$K$4,AD78*AB78+AE78*AC78))</f>
        <v>96001.196280000004</v>
      </c>
    </row>
    <row r="79" spans="1:32" s="46" customFormat="1" ht="12.75">
      <c r="A79" s="86" t="s">
        <v>175</v>
      </c>
      <c r="B79" s="86" t="str">
        <f>VLOOKUP(A79,'CENTRO DE COSTOS'!A:D,4,FALSE)</f>
        <v>JUAN SEBASTIÁN RÍOS CASTRILLÓN</v>
      </c>
      <c r="C79" s="86" t="str">
        <f>VLOOKUP(A79,'CENTRO DE COSTOS'!A:D,2,FALSE)</f>
        <v>0004-0005</v>
      </c>
      <c r="D79" s="86">
        <v>5266</v>
      </c>
      <c r="E79" s="86">
        <v>2617165</v>
      </c>
      <c r="F79" s="86">
        <v>37602</v>
      </c>
      <c r="G79" s="86" t="s">
        <v>2840</v>
      </c>
      <c r="H79" s="86" t="s">
        <v>178</v>
      </c>
      <c r="I79" s="86" t="s">
        <v>3093</v>
      </c>
      <c r="J79" s="86" t="s">
        <v>3094</v>
      </c>
      <c r="K79" s="86" t="s">
        <v>137</v>
      </c>
      <c r="L79" s="86" t="s">
        <v>3095</v>
      </c>
      <c r="M79" s="87">
        <v>45889.395138888889</v>
      </c>
      <c r="N79" s="87">
        <v>45892.51458333333</v>
      </c>
      <c r="O79" s="86"/>
      <c r="P79" s="86" t="s">
        <v>2843</v>
      </c>
      <c r="Q79" s="86" t="s">
        <v>2844</v>
      </c>
      <c r="R79" s="88" t="s">
        <v>181</v>
      </c>
      <c r="S79" s="89" t="s">
        <v>182</v>
      </c>
      <c r="T79" s="86" t="s">
        <v>2846</v>
      </c>
      <c r="U79" s="86" t="s">
        <v>2847</v>
      </c>
      <c r="V79" s="86" t="s">
        <v>3096</v>
      </c>
      <c r="W79" s="86" t="s">
        <v>2849</v>
      </c>
      <c r="X79" s="86">
        <v>0</v>
      </c>
      <c r="Y79" s="90" t="s">
        <v>52</v>
      </c>
      <c r="Z79" s="90" t="s">
        <v>145</v>
      </c>
      <c r="AA79" s="86" t="s">
        <v>451</v>
      </c>
      <c r="AB79" s="86">
        <v>1</v>
      </c>
      <c r="AC79" s="86">
        <v>0</v>
      </c>
      <c r="AD79" s="55">
        <f>IF(OR(W79="SOPORTE_TELEFÓNICO",W79="ENVÍO"),0,IF(Y79="TIPO I",'BASE DE LIQUIDACION 2025'!$I$4,IF(Y79="TIPO II",'BASE DE LIQUIDACION 2025'!$I$5,IF(Y79="TIPO III",'BASE DE LIQUIDACION 2025'!$I$6,IF(Y79="TIPO IV",'BASE DE LIQUIDACION 2025'!$I$7,'BASE DE LIQUIDACION 2025'!$I$8)))))</f>
        <v>96001.196280000004</v>
      </c>
      <c r="AE79" s="55">
        <f>IF(OR(W79="SOPORTE_TELEFÓNICO",W79="ENVÍO"),0,IF(Y79="TIPO I",'BASE DE LIQUIDACION 2025'!$J$4,IF(Y79="TIPO II",'BASE DE LIQUIDACION 2025'!$J$5,IF(Y79="TIPO III",'BASE DE LIQUIDACION 2025'!$J$6,IF(Y79="TIPO IV",'BASE DE LIQUIDACION 2025'!$J$7,'BASE DE LIQUIDACION 2025'!$J$8)))))</f>
        <v>57411.974240000003</v>
      </c>
      <c r="AF79" s="55">
        <f>IF(W79="SOPORTE_TELEFÓNICO",'BASE DE LIQUIDACION 2025'!$L$4,IF(W79="ENVÍO",'BASE DE LIQUIDACION 2025'!$K$4,AD79*AB79+AE79*AC79))</f>
        <v>96001.196280000004</v>
      </c>
    </row>
    <row r="80" spans="1:32" s="46" customFormat="1" ht="12.75">
      <c r="A80" s="86" t="s">
        <v>175</v>
      </c>
      <c r="B80" s="86" t="str">
        <f>VLOOKUP(A80,'CENTRO DE COSTOS'!A:D,4,FALSE)</f>
        <v>JUAN SEBASTIÁN RÍOS CASTRILLÓN</v>
      </c>
      <c r="C80" s="86" t="str">
        <f>VLOOKUP(A80,'CENTRO DE COSTOS'!A:D,2,FALSE)</f>
        <v>0004-0005</v>
      </c>
      <c r="D80" s="86">
        <v>5360</v>
      </c>
      <c r="E80" s="86">
        <v>2629294</v>
      </c>
      <c r="F80" s="86">
        <v>43649</v>
      </c>
      <c r="G80" s="86" t="s">
        <v>2840</v>
      </c>
      <c r="H80" s="86" t="s">
        <v>178</v>
      </c>
      <c r="I80" s="86" t="s">
        <v>3097</v>
      </c>
      <c r="J80" s="86" t="s">
        <v>3098</v>
      </c>
      <c r="K80" s="86" t="s">
        <v>137</v>
      </c>
      <c r="L80" s="86" t="s">
        <v>3099</v>
      </c>
      <c r="M80" s="87">
        <v>45891.368055555555</v>
      </c>
      <c r="N80" s="87">
        <v>45892.527777777781</v>
      </c>
      <c r="O80" s="86"/>
      <c r="P80" s="86" t="s">
        <v>2843</v>
      </c>
      <c r="Q80" s="86" t="s">
        <v>2844</v>
      </c>
      <c r="R80" s="88" t="s">
        <v>2845</v>
      </c>
      <c r="S80" s="89" t="s">
        <v>2845</v>
      </c>
      <c r="T80" s="86" t="s">
        <v>2846</v>
      </c>
      <c r="U80" s="86" t="s">
        <v>2847</v>
      </c>
      <c r="V80" s="86" t="s">
        <v>3100</v>
      </c>
      <c r="W80" s="86" t="s">
        <v>2849</v>
      </c>
      <c r="X80" s="86">
        <v>0</v>
      </c>
      <c r="Y80" s="90" t="s">
        <v>52</v>
      </c>
      <c r="Z80" s="90" t="s">
        <v>145</v>
      </c>
      <c r="AA80" s="86" t="s">
        <v>451</v>
      </c>
      <c r="AB80" s="86">
        <v>1</v>
      </c>
      <c r="AC80" s="86">
        <v>0</v>
      </c>
      <c r="AD80" s="55">
        <f>IF(OR(W80="SOPORTE_TELEFÓNICO",W80="ENVÍO"),0,IF(Y80="TIPO I",'BASE DE LIQUIDACION 2025'!$I$4,IF(Y80="TIPO II",'BASE DE LIQUIDACION 2025'!$I$5,IF(Y80="TIPO III",'BASE DE LIQUIDACION 2025'!$I$6,IF(Y80="TIPO IV",'BASE DE LIQUIDACION 2025'!$I$7,'BASE DE LIQUIDACION 2025'!$I$8)))))</f>
        <v>96001.196280000004</v>
      </c>
      <c r="AE80" s="55">
        <f>IF(OR(W80="SOPORTE_TELEFÓNICO",W80="ENVÍO"),0,IF(Y80="TIPO I",'BASE DE LIQUIDACION 2025'!$J$4,IF(Y80="TIPO II",'BASE DE LIQUIDACION 2025'!$J$5,IF(Y80="TIPO III",'BASE DE LIQUIDACION 2025'!$J$6,IF(Y80="TIPO IV",'BASE DE LIQUIDACION 2025'!$J$7,'BASE DE LIQUIDACION 2025'!$J$8)))))</f>
        <v>57411.974240000003</v>
      </c>
      <c r="AF80" s="55">
        <f>IF(W80="SOPORTE_TELEFÓNICO",'BASE DE LIQUIDACION 2025'!$L$4,IF(W80="ENVÍO",'BASE DE LIQUIDACION 2025'!$K$4,AD80*AB80+AE80*AC80))</f>
        <v>96001.196280000004</v>
      </c>
    </row>
    <row r="81" spans="1:32" s="46" customFormat="1" ht="12.75">
      <c r="A81" s="86" t="s">
        <v>431</v>
      </c>
      <c r="B81" s="86" t="str">
        <f>VLOOKUP(A81,'CENTRO DE COSTOS'!A:D,4,FALSE)</f>
        <v>WILLIAM ASDRUBAL ROZO ROZO</v>
      </c>
      <c r="C81" s="86" t="str">
        <f>VLOOKUP(A81,'CENTRO DE COSTOS'!A:D,2,FALSE)</f>
        <v>0004-0004</v>
      </c>
      <c r="D81" s="86">
        <v>11001</v>
      </c>
      <c r="E81" s="86">
        <v>2611858</v>
      </c>
      <c r="F81" s="86">
        <v>74971</v>
      </c>
      <c r="G81" s="86" t="s">
        <v>2840</v>
      </c>
      <c r="H81" s="86" t="s">
        <v>433</v>
      </c>
      <c r="I81" s="86" t="s">
        <v>431</v>
      </c>
      <c r="J81" s="86" t="s">
        <v>3101</v>
      </c>
      <c r="K81" s="86" t="s">
        <v>137</v>
      </c>
      <c r="L81" s="86" t="s">
        <v>3102</v>
      </c>
      <c r="M81" s="87">
        <v>45888.467361111114</v>
      </c>
      <c r="N81" s="87">
        <v>45892.529861111114</v>
      </c>
      <c r="O81" s="86"/>
      <c r="P81" s="86" t="s">
        <v>2843</v>
      </c>
      <c r="Q81" s="86" t="s">
        <v>2844</v>
      </c>
      <c r="R81" s="88" t="s">
        <v>2845</v>
      </c>
      <c r="S81" s="89" t="s">
        <v>2845</v>
      </c>
      <c r="T81" s="86" t="s">
        <v>2846</v>
      </c>
      <c r="U81" s="86" t="s">
        <v>2847</v>
      </c>
      <c r="V81" s="86" t="s">
        <v>3103</v>
      </c>
      <c r="W81" s="86" t="s">
        <v>2849</v>
      </c>
      <c r="X81" s="86">
        <v>0</v>
      </c>
      <c r="Y81" s="90" t="s">
        <v>52</v>
      </c>
      <c r="Z81" s="90" t="s">
        <v>145</v>
      </c>
      <c r="AA81" s="86" t="s">
        <v>470</v>
      </c>
      <c r="AB81" s="86">
        <v>1</v>
      </c>
      <c r="AC81" s="86">
        <v>0</v>
      </c>
      <c r="AD81" s="55">
        <f>IF(OR(W81="SOPORTE_TELEFÓNICO",W81="ENVÍO"),0,IF(Y81="TIPO I",'BASE DE LIQUIDACION 2025'!$I$4,IF(Y81="TIPO II",'BASE DE LIQUIDACION 2025'!$I$5,IF(Y81="TIPO III",'BASE DE LIQUIDACION 2025'!$I$6,IF(Y81="TIPO IV",'BASE DE LIQUIDACION 2025'!$I$7,'BASE DE LIQUIDACION 2025'!$I$8)))))</f>
        <v>96001.196280000004</v>
      </c>
      <c r="AE81" s="55">
        <f>IF(OR(W81="SOPORTE_TELEFÓNICO",W81="ENVÍO"),0,IF(Y81="TIPO I",'BASE DE LIQUIDACION 2025'!$J$4,IF(Y81="TIPO II",'BASE DE LIQUIDACION 2025'!$J$5,IF(Y81="TIPO III",'BASE DE LIQUIDACION 2025'!$J$6,IF(Y81="TIPO IV",'BASE DE LIQUIDACION 2025'!$J$7,'BASE DE LIQUIDACION 2025'!$J$8)))))</f>
        <v>57411.974240000003</v>
      </c>
      <c r="AF81" s="55">
        <f>IF(W81="SOPORTE_TELEFÓNICO",'BASE DE LIQUIDACION 2025'!$L$4,IF(W81="ENVÍO",'BASE DE LIQUIDACION 2025'!$K$4,AD81*AB81+AE81*AC81))</f>
        <v>96001.196280000004</v>
      </c>
    </row>
    <row r="82" spans="1:32" s="46" customFormat="1" ht="12.75">
      <c r="A82" s="86" t="s">
        <v>260</v>
      </c>
      <c r="B82" s="86" t="str">
        <f>VLOOKUP(A82,'CENTRO DE COSTOS'!A:D,4,FALSE)</f>
        <v>KEVIN ALEXIS CORZO BUSTOS</v>
      </c>
      <c r="C82" s="86" t="str">
        <f>VLOOKUP(A82,'CENTRO DE COSTOS'!A:D,2,FALSE)</f>
        <v>0004-0007</v>
      </c>
      <c r="D82" s="86">
        <v>50001</v>
      </c>
      <c r="E82" s="86">
        <v>2624601</v>
      </c>
      <c r="F82" s="86">
        <v>74216</v>
      </c>
      <c r="G82" s="86" t="s">
        <v>2840</v>
      </c>
      <c r="H82" s="86" t="s">
        <v>262</v>
      </c>
      <c r="I82" s="86" t="s">
        <v>260</v>
      </c>
      <c r="J82" s="86" t="s">
        <v>3104</v>
      </c>
      <c r="K82" s="86" t="s">
        <v>137</v>
      </c>
      <c r="L82" s="86" t="s">
        <v>3105</v>
      </c>
      <c r="M82" s="87">
        <v>45890.431944444441</v>
      </c>
      <c r="N82" s="87">
        <v>45892.534722222219</v>
      </c>
      <c r="O82" s="86"/>
      <c r="P82" s="86" t="s">
        <v>2843</v>
      </c>
      <c r="Q82" s="86" t="s">
        <v>2844</v>
      </c>
      <c r="R82" s="88" t="s">
        <v>2845</v>
      </c>
      <c r="S82" s="89" t="s">
        <v>2845</v>
      </c>
      <c r="T82" s="86" t="s">
        <v>2846</v>
      </c>
      <c r="U82" s="86" t="s">
        <v>2847</v>
      </c>
      <c r="V82" s="86" t="s">
        <v>3106</v>
      </c>
      <c r="W82" s="86" t="s">
        <v>2849</v>
      </c>
      <c r="X82" s="86">
        <v>0</v>
      </c>
      <c r="Y82" s="90" t="s">
        <v>52</v>
      </c>
      <c r="Z82" s="90" t="s">
        <v>145</v>
      </c>
      <c r="AA82" s="86" t="s">
        <v>332</v>
      </c>
      <c r="AB82" s="86">
        <v>1</v>
      </c>
      <c r="AC82" s="86">
        <v>0</v>
      </c>
      <c r="AD82" s="55">
        <f>IF(OR(W82="SOPORTE_TELEFÓNICO",W82="ENVÍO"),0,IF(Y82="TIPO I",'BASE DE LIQUIDACION 2025'!$I$4,IF(Y82="TIPO II",'BASE DE LIQUIDACION 2025'!$I$5,IF(Y82="TIPO III",'BASE DE LIQUIDACION 2025'!$I$6,IF(Y82="TIPO IV",'BASE DE LIQUIDACION 2025'!$I$7,'BASE DE LIQUIDACION 2025'!$I$8)))))</f>
        <v>96001.196280000004</v>
      </c>
      <c r="AE82" s="55">
        <f>IF(OR(W82="SOPORTE_TELEFÓNICO",W82="ENVÍO"),0,IF(Y82="TIPO I",'BASE DE LIQUIDACION 2025'!$J$4,IF(Y82="TIPO II",'BASE DE LIQUIDACION 2025'!$J$5,IF(Y82="TIPO III",'BASE DE LIQUIDACION 2025'!$J$6,IF(Y82="TIPO IV",'BASE DE LIQUIDACION 2025'!$J$7,'BASE DE LIQUIDACION 2025'!$J$8)))))</f>
        <v>57411.974240000003</v>
      </c>
      <c r="AF82" s="55">
        <f>IF(W82="SOPORTE_TELEFÓNICO",'BASE DE LIQUIDACION 2025'!$L$4,IF(W82="ENVÍO",'BASE DE LIQUIDACION 2025'!$K$4,AD82*AB82+AE82*AC82))</f>
        <v>96001.196280000004</v>
      </c>
    </row>
    <row r="83" spans="1:32" s="46" customFormat="1" ht="12.75">
      <c r="A83" s="86" t="s">
        <v>175</v>
      </c>
      <c r="B83" s="86" t="str">
        <f>VLOOKUP(A83,'CENTRO DE COSTOS'!A:D,4,FALSE)</f>
        <v>JUAN SEBASTIÁN RÍOS CASTRILLÓN</v>
      </c>
      <c r="C83" s="86" t="str">
        <f>VLOOKUP(A83,'CENTRO DE COSTOS'!A:D,2,FALSE)</f>
        <v>0004-0005</v>
      </c>
      <c r="D83" s="86">
        <v>5079</v>
      </c>
      <c r="E83" s="86">
        <v>2626806</v>
      </c>
      <c r="F83" s="86">
        <v>56826</v>
      </c>
      <c r="G83" s="86" t="s">
        <v>2840</v>
      </c>
      <c r="H83" s="86" t="s">
        <v>178</v>
      </c>
      <c r="I83" s="86" t="s">
        <v>2214</v>
      </c>
      <c r="J83" s="86" t="s">
        <v>3107</v>
      </c>
      <c r="K83" s="86" t="s">
        <v>137</v>
      </c>
      <c r="L83" s="86" t="s">
        <v>3108</v>
      </c>
      <c r="M83" s="87">
        <v>45890.613888888889</v>
      </c>
      <c r="N83" s="87">
        <v>45892.557638888888</v>
      </c>
      <c r="O83" s="86"/>
      <c r="P83" s="86" t="s">
        <v>2843</v>
      </c>
      <c r="Q83" s="86" t="s">
        <v>2844</v>
      </c>
      <c r="R83" s="88" t="s">
        <v>2845</v>
      </c>
      <c r="S83" s="89" t="s">
        <v>2845</v>
      </c>
      <c r="T83" s="86" t="s">
        <v>2846</v>
      </c>
      <c r="U83" s="86" t="s">
        <v>2847</v>
      </c>
      <c r="V83" s="86" t="s">
        <v>3109</v>
      </c>
      <c r="W83" s="86" t="s">
        <v>2849</v>
      </c>
      <c r="X83" s="86">
        <v>0</v>
      </c>
      <c r="Y83" s="90" t="s">
        <v>202</v>
      </c>
      <c r="Z83" s="90" t="s">
        <v>145</v>
      </c>
      <c r="AA83" s="86" t="s">
        <v>184</v>
      </c>
      <c r="AB83" s="86">
        <v>1</v>
      </c>
      <c r="AC83" s="86">
        <v>0</v>
      </c>
      <c r="AD83" s="55">
        <f>IF(OR(W83="SOPORTE_TELEFÓNICO",W83="ENVÍO"),0,IF(Y83="TIPO I",'BASE DE LIQUIDACION 2025'!$I$4,IF(Y83="TIPO II",'BASE DE LIQUIDACION 2025'!$I$5,IF(Y83="TIPO III",'BASE DE LIQUIDACION 2025'!$I$6,IF(Y83="TIPO IV",'BASE DE LIQUIDACION 2025'!$I$7,'BASE DE LIQUIDACION 2025'!$I$8)))))</f>
        <v>232858.60096000001</v>
      </c>
      <c r="AE83" s="55">
        <f>IF(OR(W83="SOPORTE_TELEFÓNICO",W83="ENVÍO"),0,IF(Y83="TIPO I",'BASE DE LIQUIDACION 2025'!$J$4,IF(Y83="TIPO II",'BASE DE LIQUIDACION 2025'!$J$5,IF(Y83="TIPO III",'BASE DE LIQUIDACION 2025'!$J$6,IF(Y83="TIPO IV",'BASE DE LIQUIDACION 2025'!$J$7,'BASE DE LIQUIDACION 2025'!$J$8)))))</f>
        <v>110808.27512000001</v>
      </c>
      <c r="AF83" s="55">
        <f>IF(W83="SOPORTE_TELEFÓNICO",'BASE DE LIQUIDACION 2025'!$L$4,IF(W83="ENVÍO",'BASE DE LIQUIDACION 2025'!$K$4,AD83*AB83+AE83*AC83))</f>
        <v>232858.60096000001</v>
      </c>
    </row>
    <row r="84" spans="1:32" s="46" customFormat="1" ht="12.75">
      <c r="A84" s="86" t="s">
        <v>260</v>
      </c>
      <c r="B84" s="86" t="str">
        <f>VLOOKUP(A84,'CENTRO DE COSTOS'!A:D,4,FALSE)</f>
        <v>KEVIN ALEXIS CORZO BUSTOS</v>
      </c>
      <c r="C84" s="86" t="str">
        <f>VLOOKUP(A84,'CENTRO DE COSTOS'!A:D,2,FALSE)</f>
        <v>0004-0007</v>
      </c>
      <c r="D84" s="86">
        <v>50001</v>
      </c>
      <c r="E84" s="86">
        <v>2629892</v>
      </c>
      <c r="F84" s="86">
        <v>74111</v>
      </c>
      <c r="G84" s="86" t="s">
        <v>2840</v>
      </c>
      <c r="H84" s="86" t="s">
        <v>262</v>
      </c>
      <c r="I84" s="86" t="s">
        <v>260</v>
      </c>
      <c r="J84" s="86" t="s">
        <v>3110</v>
      </c>
      <c r="K84" s="86" t="s">
        <v>137</v>
      </c>
      <c r="L84" s="86" t="s">
        <v>3111</v>
      </c>
      <c r="M84" s="87">
        <v>45891.401388888888</v>
      </c>
      <c r="N84" s="87">
        <v>45892.563888888886</v>
      </c>
      <c r="O84" s="86"/>
      <c r="P84" s="86" t="s">
        <v>2843</v>
      </c>
      <c r="Q84" s="86" t="s">
        <v>2844</v>
      </c>
      <c r="R84" s="88" t="s">
        <v>2845</v>
      </c>
      <c r="S84" s="89" t="s">
        <v>2845</v>
      </c>
      <c r="T84" s="86" t="s">
        <v>2846</v>
      </c>
      <c r="U84" s="86" t="s">
        <v>2847</v>
      </c>
      <c r="V84" s="86" t="s">
        <v>3112</v>
      </c>
      <c r="W84" s="86" t="s">
        <v>2849</v>
      </c>
      <c r="X84" s="86">
        <v>0</v>
      </c>
      <c r="Y84" s="90" t="s">
        <v>52</v>
      </c>
      <c r="Z84" s="90" t="s">
        <v>145</v>
      </c>
      <c r="AA84" s="86" t="s">
        <v>332</v>
      </c>
      <c r="AB84" s="86">
        <v>1</v>
      </c>
      <c r="AC84" s="86">
        <v>0</v>
      </c>
      <c r="AD84" s="55">
        <f>IF(OR(W84="SOPORTE_TELEFÓNICO",W84="ENVÍO"),0,IF(Y84="TIPO I",'BASE DE LIQUIDACION 2025'!$I$4,IF(Y84="TIPO II",'BASE DE LIQUIDACION 2025'!$I$5,IF(Y84="TIPO III",'BASE DE LIQUIDACION 2025'!$I$6,IF(Y84="TIPO IV",'BASE DE LIQUIDACION 2025'!$I$7,'BASE DE LIQUIDACION 2025'!$I$8)))))</f>
        <v>96001.196280000004</v>
      </c>
      <c r="AE84" s="55">
        <f>IF(OR(W84="SOPORTE_TELEFÓNICO",W84="ENVÍO"),0,IF(Y84="TIPO I",'BASE DE LIQUIDACION 2025'!$J$4,IF(Y84="TIPO II",'BASE DE LIQUIDACION 2025'!$J$5,IF(Y84="TIPO III",'BASE DE LIQUIDACION 2025'!$J$6,IF(Y84="TIPO IV",'BASE DE LIQUIDACION 2025'!$J$7,'BASE DE LIQUIDACION 2025'!$J$8)))))</f>
        <v>57411.974240000003</v>
      </c>
      <c r="AF84" s="55">
        <f>IF(W84="SOPORTE_TELEFÓNICO",'BASE DE LIQUIDACION 2025'!$L$4,IF(W84="ENVÍO",'BASE DE LIQUIDACION 2025'!$K$4,AD84*AB84+AE84*AC84))</f>
        <v>96001.196280000004</v>
      </c>
    </row>
    <row r="85" spans="1:32" s="46" customFormat="1" ht="12.75">
      <c r="A85" s="86" t="s">
        <v>260</v>
      </c>
      <c r="B85" s="86" t="str">
        <f>VLOOKUP(A85,'CENTRO DE COSTOS'!A:D,4,FALSE)</f>
        <v>KEVIN ALEXIS CORZO BUSTOS</v>
      </c>
      <c r="C85" s="86" t="str">
        <f>VLOOKUP(A85,'CENTRO DE COSTOS'!A:D,2,FALSE)</f>
        <v>0004-0007</v>
      </c>
      <c r="D85" s="86">
        <v>50001</v>
      </c>
      <c r="E85" s="86">
        <v>2630414</v>
      </c>
      <c r="F85" s="86">
        <v>50253</v>
      </c>
      <c r="G85" s="86" t="s">
        <v>2840</v>
      </c>
      <c r="H85" s="86" t="s">
        <v>262</v>
      </c>
      <c r="I85" s="86" t="s">
        <v>260</v>
      </c>
      <c r="J85" s="86" t="s">
        <v>3113</v>
      </c>
      <c r="K85" s="86" t="s">
        <v>137</v>
      </c>
      <c r="L85" s="86" t="s">
        <v>3114</v>
      </c>
      <c r="M85" s="87">
        <v>45891.427777777775</v>
      </c>
      <c r="N85" s="87">
        <v>45892.638888888891</v>
      </c>
      <c r="O85" s="86"/>
      <c r="P85" s="86" t="s">
        <v>2843</v>
      </c>
      <c r="Q85" s="86" t="s">
        <v>2844</v>
      </c>
      <c r="R85" s="88" t="s">
        <v>2845</v>
      </c>
      <c r="S85" s="89" t="s">
        <v>2845</v>
      </c>
      <c r="T85" s="86" t="s">
        <v>2846</v>
      </c>
      <c r="U85" s="86" t="s">
        <v>2847</v>
      </c>
      <c r="V85" s="86" t="s">
        <v>3115</v>
      </c>
      <c r="W85" s="86" t="s">
        <v>2849</v>
      </c>
      <c r="X85" s="86">
        <v>0</v>
      </c>
      <c r="Y85" s="90" t="s">
        <v>52</v>
      </c>
      <c r="Z85" s="90" t="s">
        <v>145</v>
      </c>
      <c r="AA85" s="86" t="s">
        <v>332</v>
      </c>
      <c r="AB85" s="86">
        <v>1</v>
      </c>
      <c r="AC85" s="86">
        <v>0</v>
      </c>
      <c r="AD85" s="55">
        <f>IF(OR(W85="SOPORTE_TELEFÓNICO",W85="ENVÍO"),0,IF(Y85="TIPO I",'BASE DE LIQUIDACION 2025'!$I$4,IF(Y85="TIPO II",'BASE DE LIQUIDACION 2025'!$I$5,IF(Y85="TIPO III",'BASE DE LIQUIDACION 2025'!$I$6,IF(Y85="TIPO IV",'BASE DE LIQUIDACION 2025'!$I$7,'BASE DE LIQUIDACION 2025'!$I$8)))))</f>
        <v>96001.196280000004</v>
      </c>
      <c r="AE85" s="55">
        <f>IF(OR(W85="SOPORTE_TELEFÓNICO",W85="ENVÍO"),0,IF(Y85="TIPO I",'BASE DE LIQUIDACION 2025'!$J$4,IF(Y85="TIPO II",'BASE DE LIQUIDACION 2025'!$J$5,IF(Y85="TIPO III",'BASE DE LIQUIDACION 2025'!$J$6,IF(Y85="TIPO IV",'BASE DE LIQUIDACION 2025'!$J$7,'BASE DE LIQUIDACION 2025'!$J$8)))))</f>
        <v>57411.974240000003</v>
      </c>
      <c r="AF85" s="55">
        <f>IF(W85="SOPORTE_TELEFÓNICO",'BASE DE LIQUIDACION 2025'!$L$4,IF(W85="ENVÍO",'BASE DE LIQUIDACION 2025'!$K$4,AD85*AB85+AE85*AC85))</f>
        <v>96001.196280000004</v>
      </c>
    </row>
    <row r="86" spans="1:32" s="46" customFormat="1" ht="12.75">
      <c r="A86" s="86" t="s">
        <v>371</v>
      </c>
      <c r="B86" s="86" t="str">
        <f>VLOOKUP(A86,'CENTRO DE COSTOS'!A:D,4,FALSE)</f>
        <v>JOSE MAURICIO HERNANDEZ ROJAS</v>
      </c>
      <c r="C86" s="86" t="str">
        <f>VLOOKUP(A86,'CENTRO DE COSTOS'!A:D,2,FALSE)</f>
        <v>0004-0001</v>
      </c>
      <c r="D86" s="86">
        <v>70001</v>
      </c>
      <c r="E86" s="86">
        <v>2631787</v>
      </c>
      <c r="F86" s="86">
        <v>75388</v>
      </c>
      <c r="G86" s="86" t="s">
        <v>2840</v>
      </c>
      <c r="H86" s="86" t="s">
        <v>373</v>
      </c>
      <c r="I86" s="86" t="s">
        <v>371</v>
      </c>
      <c r="J86" s="86" t="s">
        <v>3116</v>
      </c>
      <c r="K86" s="86" t="s">
        <v>137</v>
      </c>
      <c r="L86" s="86" t="s">
        <v>3117</v>
      </c>
      <c r="M86" s="87">
        <v>45891.559027777781</v>
      </c>
      <c r="N86" s="87">
        <v>45893.563888888886</v>
      </c>
      <c r="O86" s="86"/>
      <c r="P86" s="86" t="s">
        <v>2843</v>
      </c>
      <c r="Q86" s="86" t="s">
        <v>2844</v>
      </c>
      <c r="R86" s="88" t="s">
        <v>2845</v>
      </c>
      <c r="S86" s="89" t="s">
        <v>2845</v>
      </c>
      <c r="T86" s="86" t="s">
        <v>2846</v>
      </c>
      <c r="U86" s="86" t="s">
        <v>2847</v>
      </c>
      <c r="V86" s="86" t="s">
        <v>3118</v>
      </c>
      <c r="W86" s="86" t="s">
        <v>2849</v>
      </c>
      <c r="X86" s="86">
        <v>0</v>
      </c>
      <c r="Y86" s="90" t="s">
        <v>52</v>
      </c>
      <c r="Z86" s="90" t="s">
        <v>145</v>
      </c>
      <c r="AA86" s="86" t="s">
        <v>1860</v>
      </c>
      <c r="AB86" s="86">
        <v>1</v>
      </c>
      <c r="AC86" s="86">
        <v>0</v>
      </c>
      <c r="AD86" s="55">
        <f>IF(OR(W86="SOPORTE_TELEFÓNICO",W86="ENVÍO"),0,IF(Y86="TIPO I",'BASE DE LIQUIDACION 2025'!$I$4,IF(Y86="TIPO II",'BASE DE LIQUIDACION 2025'!$I$5,IF(Y86="TIPO III",'BASE DE LIQUIDACION 2025'!$I$6,IF(Y86="TIPO IV",'BASE DE LIQUIDACION 2025'!$I$7,'BASE DE LIQUIDACION 2025'!$I$8)))))</f>
        <v>96001.196280000004</v>
      </c>
      <c r="AE86" s="55">
        <f>IF(OR(W86="SOPORTE_TELEFÓNICO",W86="ENVÍO"),0,IF(Y86="TIPO I",'BASE DE LIQUIDACION 2025'!$J$4,IF(Y86="TIPO II",'BASE DE LIQUIDACION 2025'!$J$5,IF(Y86="TIPO III",'BASE DE LIQUIDACION 2025'!$J$6,IF(Y86="TIPO IV",'BASE DE LIQUIDACION 2025'!$J$7,'BASE DE LIQUIDACION 2025'!$J$8)))))</f>
        <v>57411.974240000003</v>
      </c>
      <c r="AF86" s="55">
        <f>IF(W86="SOPORTE_TELEFÓNICO",'BASE DE LIQUIDACION 2025'!$L$4,IF(W86="ENVÍO",'BASE DE LIQUIDACION 2025'!$K$4,AD86*AB86+AE86*AC86))</f>
        <v>96001.196280000004</v>
      </c>
    </row>
    <row r="87" spans="1:32" s="46" customFormat="1" ht="12.75">
      <c r="A87" s="86" t="s">
        <v>269</v>
      </c>
      <c r="B87" s="86" t="str">
        <f>VLOOKUP(A87,'CENTRO DE COSTOS'!A:D,4,FALSE)</f>
        <v>MIGUEL JULIÁN HERNÁNDEZ GUARÍN</v>
      </c>
      <c r="C87" s="86" t="str">
        <f>VLOOKUP(A87,'CENTRO DE COSTOS'!A:D,2,FALSE)</f>
        <v>0004-0008</v>
      </c>
      <c r="D87" s="86">
        <v>68406</v>
      </c>
      <c r="E87" s="86">
        <v>2634444</v>
      </c>
      <c r="F87" s="86">
        <v>37246</v>
      </c>
      <c r="G87" s="86" t="s">
        <v>2840</v>
      </c>
      <c r="H87" s="86" t="s">
        <v>795</v>
      </c>
      <c r="I87" s="86" t="s">
        <v>3119</v>
      </c>
      <c r="J87" s="86" t="s">
        <v>3120</v>
      </c>
      <c r="K87" s="86" t="s">
        <v>137</v>
      </c>
      <c r="L87" s="86" t="s">
        <v>3121</v>
      </c>
      <c r="M87" s="87">
        <v>45892.443055555559</v>
      </c>
      <c r="N87" s="87">
        <v>45894.647222222222</v>
      </c>
      <c r="O87" s="86"/>
      <c r="P87" s="86" t="s">
        <v>2843</v>
      </c>
      <c r="Q87" s="86" t="s">
        <v>2844</v>
      </c>
      <c r="R87" s="88" t="s">
        <v>181</v>
      </c>
      <c r="S87" s="89" t="s">
        <v>707</v>
      </c>
      <c r="T87" s="86" t="s">
        <v>2846</v>
      </c>
      <c r="U87" s="86" t="s">
        <v>2847</v>
      </c>
      <c r="V87" s="86" t="s">
        <v>3122</v>
      </c>
      <c r="W87" s="86" t="s">
        <v>2849</v>
      </c>
      <c r="X87" s="86">
        <v>0</v>
      </c>
      <c r="Y87" s="90" t="s">
        <v>202</v>
      </c>
      <c r="Z87" s="90" t="s">
        <v>145</v>
      </c>
      <c r="AA87" s="86" t="s">
        <v>988</v>
      </c>
      <c r="AB87" s="86">
        <v>1</v>
      </c>
      <c r="AC87" s="86">
        <v>0</v>
      </c>
      <c r="AD87" s="55">
        <f>IF(OR(W87="SOPORTE_TELEFÓNICO",W87="ENVÍO"),0,IF(Y87="TIPO I",'BASE DE LIQUIDACION 2025'!$I$4,IF(Y87="TIPO II",'BASE DE LIQUIDACION 2025'!$I$5,IF(Y87="TIPO III",'BASE DE LIQUIDACION 2025'!$I$6,IF(Y87="TIPO IV",'BASE DE LIQUIDACION 2025'!$I$7,'BASE DE LIQUIDACION 2025'!$I$8)))))</f>
        <v>232858.60096000001</v>
      </c>
      <c r="AE87" s="55">
        <f>IF(OR(W87="SOPORTE_TELEFÓNICO",W87="ENVÍO"),0,IF(Y87="TIPO I",'BASE DE LIQUIDACION 2025'!$J$4,IF(Y87="TIPO II",'BASE DE LIQUIDACION 2025'!$J$5,IF(Y87="TIPO III",'BASE DE LIQUIDACION 2025'!$J$6,IF(Y87="TIPO IV",'BASE DE LIQUIDACION 2025'!$J$7,'BASE DE LIQUIDACION 2025'!$J$8)))))</f>
        <v>110808.27512000001</v>
      </c>
      <c r="AF87" s="55">
        <f>IF(W87="SOPORTE_TELEFÓNICO",'BASE DE LIQUIDACION 2025'!$L$4,IF(W87="ENVÍO",'BASE DE LIQUIDACION 2025'!$K$4,AD87*AB87+AE87*AC87))</f>
        <v>232858.60096000001</v>
      </c>
    </row>
    <row r="88" spans="1:32" s="46" customFormat="1" ht="12.75">
      <c r="A88" s="86" t="s">
        <v>175</v>
      </c>
      <c r="B88" s="86" t="str">
        <f>VLOOKUP(A88,'CENTRO DE COSTOS'!A:D,4,FALSE)</f>
        <v>JUAN SEBASTIÁN RÍOS CASTRILLÓN</v>
      </c>
      <c r="C88" s="86" t="str">
        <f>VLOOKUP(A88,'CENTRO DE COSTOS'!A:D,2,FALSE)</f>
        <v>0004-0005</v>
      </c>
      <c r="D88" s="86">
        <v>5001</v>
      </c>
      <c r="E88" s="86">
        <v>2630708</v>
      </c>
      <c r="F88" s="86">
        <v>23781</v>
      </c>
      <c r="G88" s="86" t="s">
        <v>2840</v>
      </c>
      <c r="H88" s="86" t="s">
        <v>178</v>
      </c>
      <c r="I88" s="86" t="s">
        <v>175</v>
      </c>
      <c r="J88" s="86" t="s">
        <v>3123</v>
      </c>
      <c r="K88" s="86" t="s">
        <v>137</v>
      </c>
      <c r="L88" s="86" t="s">
        <v>3124</v>
      </c>
      <c r="M88" s="87">
        <v>45891.446527777778</v>
      </c>
      <c r="N88" s="87">
        <v>45894.65347222222</v>
      </c>
      <c r="O88" s="86"/>
      <c r="P88" s="86" t="s">
        <v>2843</v>
      </c>
      <c r="Q88" s="86" t="s">
        <v>2844</v>
      </c>
      <c r="R88" s="88" t="s">
        <v>2845</v>
      </c>
      <c r="S88" s="89" t="s">
        <v>2845</v>
      </c>
      <c r="T88" s="86" t="s">
        <v>2846</v>
      </c>
      <c r="U88" s="86" t="s">
        <v>2847</v>
      </c>
      <c r="V88" s="86" t="s">
        <v>3125</v>
      </c>
      <c r="W88" s="86" t="s">
        <v>2849</v>
      </c>
      <c r="X88" s="86">
        <v>0</v>
      </c>
      <c r="Y88" s="90" t="s">
        <v>52</v>
      </c>
      <c r="Z88" s="90" t="s">
        <v>145</v>
      </c>
      <c r="AA88" s="86" t="s">
        <v>338</v>
      </c>
      <c r="AB88" s="86">
        <v>1</v>
      </c>
      <c r="AC88" s="86">
        <v>0</v>
      </c>
      <c r="AD88" s="55">
        <f>IF(OR(W88="SOPORTE_TELEFÓNICO",W88="ENVÍO"),0,IF(Y88="TIPO I",'BASE DE LIQUIDACION 2025'!$I$4,IF(Y88="TIPO II",'BASE DE LIQUIDACION 2025'!$I$5,IF(Y88="TIPO III",'BASE DE LIQUIDACION 2025'!$I$6,IF(Y88="TIPO IV",'BASE DE LIQUIDACION 2025'!$I$7,'BASE DE LIQUIDACION 2025'!$I$8)))))</f>
        <v>96001.196280000004</v>
      </c>
      <c r="AE88" s="55">
        <f>IF(OR(W88="SOPORTE_TELEFÓNICO",W88="ENVÍO"),0,IF(Y88="TIPO I",'BASE DE LIQUIDACION 2025'!$J$4,IF(Y88="TIPO II",'BASE DE LIQUIDACION 2025'!$J$5,IF(Y88="TIPO III",'BASE DE LIQUIDACION 2025'!$J$6,IF(Y88="TIPO IV",'BASE DE LIQUIDACION 2025'!$J$7,'BASE DE LIQUIDACION 2025'!$J$8)))))</f>
        <v>57411.974240000003</v>
      </c>
      <c r="AF88" s="55">
        <f>IF(W88="SOPORTE_TELEFÓNICO",'BASE DE LIQUIDACION 2025'!$L$4,IF(W88="ENVÍO",'BASE DE LIQUIDACION 2025'!$K$4,AD88*AB88+AE88*AC88))</f>
        <v>96001.196280000004</v>
      </c>
    </row>
    <row r="89" spans="1:32" s="46" customFormat="1" ht="12.75">
      <c r="A89" s="86" t="s">
        <v>269</v>
      </c>
      <c r="B89" s="86" t="str">
        <f>VLOOKUP(A89,'CENTRO DE COSTOS'!A:D,4,FALSE)</f>
        <v>MIGUEL JULIÁN HERNÁNDEZ GUARÍN</v>
      </c>
      <c r="C89" s="86" t="str">
        <f>VLOOKUP(A89,'CENTRO DE COSTOS'!A:D,2,FALSE)</f>
        <v>0004-0008</v>
      </c>
      <c r="D89" s="86">
        <v>81736</v>
      </c>
      <c r="E89" s="86">
        <v>2621442</v>
      </c>
      <c r="F89" s="86">
        <v>41254</v>
      </c>
      <c r="G89" s="86" t="s">
        <v>2840</v>
      </c>
      <c r="H89" s="86" t="s">
        <v>1785</v>
      </c>
      <c r="I89" s="86" t="s">
        <v>3126</v>
      </c>
      <c r="J89" s="86" t="s">
        <v>3127</v>
      </c>
      <c r="K89" s="86" t="s">
        <v>137</v>
      </c>
      <c r="L89" s="86" t="s">
        <v>3128</v>
      </c>
      <c r="M89" s="87">
        <v>45889.679861111108</v>
      </c>
      <c r="N89" s="87">
        <v>45894.664583333331</v>
      </c>
      <c r="O89" s="86"/>
      <c r="P89" s="86" t="s">
        <v>2843</v>
      </c>
      <c r="Q89" s="86" t="s">
        <v>2844</v>
      </c>
      <c r="R89" s="88" t="s">
        <v>2845</v>
      </c>
      <c r="S89" s="89" t="s">
        <v>2845</v>
      </c>
      <c r="T89" s="86" t="s">
        <v>2846</v>
      </c>
      <c r="U89" s="86" t="s">
        <v>2847</v>
      </c>
      <c r="V89" s="86" t="s">
        <v>3129</v>
      </c>
      <c r="W89" s="86" t="s">
        <v>2849</v>
      </c>
      <c r="X89" s="86">
        <v>0</v>
      </c>
      <c r="Y89" s="90" t="s">
        <v>160</v>
      </c>
      <c r="Z89" s="90" t="s">
        <v>1369</v>
      </c>
      <c r="AA89" s="86" t="s">
        <v>929</v>
      </c>
      <c r="AB89" s="86">
        <v>1</v>
      </c>
      <c r="AC89" s="86">
        <v>0</v>
      </c>
      <c r="AD89" s="55">
        <f>IF(OR(W89="SOPORTE_TELEFÓNICO",W89="ENVÍO"),0,IF(Y89="TIPO I",'BASE DE LIQUIDACION 2025'!$I$4,IF(Y89="TIPO II",'BASE DE LIQUIDACION 2025'!$I$5,IF(Y89="TIPO III",'BASE DE LIQUIDACION 2025'!$I$6,IF(Y89="TIPO IV",'BASE DE LIQUIDACION 2025'!$I$7,'BASE DE LIQUIDACION 2025'!$I$8)))))</f>
        <v>548633.63271999999</v>
      </c>
      <c r="AE89" s="55">
        <f>IF(OR(W89="SOPORTE_TELEFÓNICO",W89="ENVÍO"),0,IF(Y89="TIPO I",'BASE DE LIQUIDACION 2025'!$J$4,IF(Y89="TIPO II",'BASE DE LIQUIDACION 2025'!$J$5,IF(Y89="TIPO III",'BASE DE LIQUIDACION 2025'!$J$6,IF(Y89="TIPO IV",'BASE DE LIQUIDACION 2025'!$J$7,'BASE DE LIQUIDACION 2025'!$J$8)))))</f>
        <v>110808.27512000001</v>
      </c>
      <c r="AF89" s="55">
        <f>IF(W89="SOPORTE_TELEFÓNICO",'BASE DE LIQUIDACION 2025'!$L$4,IF(W89="ENVÍO",'BASE DE LIQUIDACION 2025'!$K$4,AD89*AB89+AE89*AC89))</f>
        <v>548633.63271999999</v>
      </c>
    </row>
    <row r="90" spans="1:32" s="46" customFormat="1" ht="12.75">
      <c r="A90" s="86" t="s">
        <v>379</v>
      </c>
      <c r="B90" s="86" t="str">
        <f>VLOOKUP(A90,'CENTRO DE COSTOS'!A:D,4,FALSE)</f>
        <v>JOSE MAURICIO HERNANDEZ ROJAS</v>
      </c>
      <c r="C90" s="86" t="str">
        <f>VLOOKUP(A90,'CENTRO DE COSTOS'!A:D,2,FALSE)</f>
        <v>0004-0001</v>
      </c>
      <c r="D90" s="86">
        <v>5250</v>
      </c>
      <c r="E90" s="86">
        <v>2614339</v>
      </c>
      <c r="F90" s="86">
        <v>37661</v>
      </c>
      <c r="G90" s="86" t="s">
        <v>2840</v>
      </c>
      <c r="H90" s="86" t="s">
        <v>178</v>
      </c>
      <c r="I90" s="86" t="s">
        <v>2052</v>
      </c>
      <c r="J90" s="86" t="s">
        <v>3130</v>
      </c>
      <c r="K90" s="86" t="s">
        <v>137</v>
      </c>
      <c r="L90" s="86" t="s">
        <v>3131</v>
      </c>
      <c r="M90" s="87">
        <v>45888.654861111114</v>
      </c>
      <c r="N90" s="87">
        <v>45894.67291666667</v>
      </c>
      <c r="O90" s="86"/>
      <c r="P90" s="86" t="s">
        <v>2843</v>
      </c>
      <c r="Q90" s="86" t="s">
        <v>2844</v>
      </c>
      <c r="R90" s="88" t="s">
        <v>181</v>
      </c>
      <c r="S90" s="89" t="s">
        <v>182</v>
      </c>
      <c r="T90" s="86" t="s">
        <v>2846</v>
      </c>
      <c r="U90" s="86" t="s">
        <v>2847</v>
      </c>
      <c r="V90" s="86" t="s">
        <v>3132</v>
      </c>
      <c r="W90" s="86" t="s">
        <v>2849</v>
      </c>
      <c r="X90" s="86">
        <v>0</v>
      </c>
      <c r="Y90" s="90" t="s">
        <v>144</v>
      </c>
      <c r="Z90" s="90" t="s">
        <v>145</v>
      </c>
      <c r="AA90" s="86" t="s">
        <v>1944</v>
      </c>
      <c r="AB90" s="86">
        <v>1</v>
      </c>
      <c r="AC90" s="86">
        <v>0</v>
      </c>
      <c r="AD90" s="55">
        <f>IF(OR(W90="SOPORTE_TELEFÓNICO",W90="ENVÍO"),0,IF(Y90="TIPO I",'BASE DE LIQUIDACION 2025'!$I$4,IF(Y90="TIPO II",'BASE DE LIQUIDACION 2025'!$I$5,IF(Y90="TIPO III",'BASE DE LIQUIDACION 2025'!$I$6,IF(Y90="TIPO IV",'BASE DE LIQUIDACION 2025'!$I$7,'BASE DE LIQUIDACION 2025'!$I$8)))))</f>
        <v>548633.63271999999</v>
      </c>
      <c r="AE90" s="55">
        <f>IF(OR(W90="SOPORTE_TELEFÓNICO",W90="ENVÍO"),0,IF(Y90="TIPO I",'BASE DE LIQUIDACION 2025'!$J$4,IF(Y90="TIPO II",'BASE DE LIQUIDACION 2025'!$J$5,IF(Y90="TIPO III",'BASE DE LIQUIDACION 2025'!$J$6,IF(Y90="TIPO IV",'BASE DE LIQUIDACION 2025'!$J$7,'BASE DE LIQUIDACION 2025'!$J$8)))))</f>
        <v>110808.27512000001</v>
      </c>
      <c r="AF90" s="55">
        <f>IF(W90="SOPORTE_TELEFÓNICO",'BASE DE LIQUIDACION 2025'!$L$4,IF(W90="ENVÍO",'BASE DE LIQUIDACION 2025'!$K$4,AD90*AB90+AE90*AC90))</f>
        <v>548633.63271999999</v>
      </c>
    </row>
    <row r="91" spans="1:32" s="46" customFormat="1" ht="12.75">
      <c r="A91" s="86" t="s">
        <v>269</v>
      </c>
      <c r="B91" s="86" t="str">
        <f>VLOOKUP(A91,'CENTRO DE COSTOS'!A:D,4,FALSE)</f>
        <v>MIGUEL JULIÁN HERNÁNDEZ GUARÍN</v>
      </c>
      <c r="C91" s="86" t="str">
        <f>VLOOKUP(A91,'CENTRO DE COSTOS'!A:D,2,FALSE)</f>
        <v>0004-0008</v>
      </c>
      <c r="D91" s="86">
        <v>68547</v>
      </c>
      <c r="E91" s="86">
        <v>2632840</v>
      </c>
      <c r="F91" s="86">
        <v>40693</v>
      </c>
      <c r="G91" s="86" t="s">
        <v>2840</v>
      </c>
      <c r="H91" s="86" t="s">
        <v>795</v>
      </c>
      <c r="I91" s="86" t="s">
        <v>819</v>
      </c>
      <c r="J91" s="86" t="s">
        <v>3133</v>
      </c>
      <c r="K91" s="86" t="s">
        <v>137</v>
      </c>
      <c r="L91" s="86" t="s">
        <v>3134</v>
      </c>
      <c r="M91" s="87">
        <v>45891.649305555555</v>
      </c>
      <c r="N91" s="87">
        <v>45894.683333333334</v>
      </c>
      <c r="O91" s="86"/>
      <c r="P91" s="86" t="s">
        <v>2843</v>
      </c>
      <c r="Q91" s="86" t="s">
        <v>2844</v>
      </c>
      <c r="R91" s="88" t="s">
        <v>181</v>
      </c>
      <c r="S91" s="89" t="s">
        <v>707</v>
      </c>
      <c r="T91" s="86" t="s">
        <v>2846</v>
      </c>
      <c r="U91" s="86" t="s">
        <v>2847</v>
      </c>
      <c r="V91" s="86" t="s">
        <v>3135</v>
      </c>
      <c r="W91" s="86" t="s">
        <v>2849</v>
      </c>
      <c r="X91" s="86">
        <v>0</v>
      </c>
      <c r="Y91" s="90" t="s">
        <v>202</v>
      </c>
      <c r="Z91" s="90" t="s">
        <v>145</v>
      </c>
      <c r="AA91" s="86" t="s">
        <v>397</v>
      </c>
      <c r="AB91" s="86">
        <v>1</v>
      </c>
      <c r="AC91" s="86">
        <v>0</v>
      </c>
      <c r="AD91" s="55">
        <f>IF(OR(W91="SOPORTE_TELEFÓNICO",W91="ENVÍO"),0,IF(Y91="TIPO I",'BASE DE LIQUIDACION 2025'!$I$4,IF(Y91="TIPO II",'BASE DE LIQUIDACION 2025'!$I$5,IF(Y91="TIPO III",'BASE DE LIQUIDACION 2025'!$I$6,IF(Y91="TIPO IV",'BASE DE LIQUIDACION 2025'!$I$7,'BASE DE LIQUIDACION 2025'!$I$8)))))</f>
        <v>232858.60096000001</v>
      </c>
      <c r="AE91" s="55">
        <f>IF(OR(W91="SOPORTE_TELEFÓNICO",W91="ENVÍO"),0,IF(Y91="TIPO I",'BASE DE LIQUIDACION 2025'!$J$4,IF(Y91="TIPO II",'BASE DE LIQUIDACION 2025'!$J$5,IF(Y91="TIPO III",'BASE DE LIQUIDACION 2025'!$J$6,IF(Y91="TIPO IV",'BASE DE LIQUIDACION 2025'!$J$7,'BASE DE LIQUIDACION 2025'!$J$8)))))</f>
        <v>110808.27512000001</v>
      </c>
      <c r="AF91" s="55">
        <f>IF(W91="SOPORTE_TELEFÓNICO",'BASE DE LIQUIDACION 2025'!$L$4,IF(W91="ENVÍO",'BASE DE LIQUIDACION 2025'!$K$4,AD91*AB91+AE91*AC91))</f>
        <v>232858.60096000001</v>
      </c>
    </row>
    <row r="92" spans="1:32" s="46" customFormat="1" ht="12.75">
      <c r="A92" s="86" t="s">
        <v>688</v>
      </c>
      <c r="B92" s="86" t="str">
        <f>VLOOKUP(A92,'CENTRO DE COSTOS'!A:D,4,FALSE)</f>
        <v>KEVIN ALEXIS CORZO BUSTOS</v>
      </c>
      <c r="C92" s="86" t="str">
        <f>VLOOKUP(A92,'CENTRO DE COSTOS'!A:D,2,FALSE)</f>
        <v>0004-0007</v>
      </c>
      <c r="D92" s="86">
        <v>73001</v>
      </c>
      <c r="E92" s="86">
        <v>2636575</v>
      </c>
      <c r="F92" s="86">
        <v>60705</v>
      </c>
      <c r="G92" s="86" t="s">
        <v>2840</v>
      </c>
      <c r="H92" s="86" t="s">
        <v>690</v>
      </c>
      <c r="I92" s="86" t="s">
        <v>688</v>
      </c>
      <c r="J92" s="86" t="s">
        <v>3136</v>
      </c>
      <c r="K92" s="86" t="s">
        <v>137</v>
      </c>
      <c r="L92" s="86" t="s">
        <v>3137</v>
      </c>
      <c r="M92" s="87">
        <v>45894.363888888889</v>
      </c>
      <c r="N92" s="87">
        <v>45894.68472222222</v>
      </c>
      <c r="O92" s="86"/>
      <c r="P92" s="86" t="s">
        <v>2843</v>
      </c>
      <c r="Q92" s="86" t="s">
        <v>2844</v>
      </c>
      <c r="R92" s="88" t="s">
        <v>181</v>
      </c>
      <c r="S92" s="89" t="s">
        <v>182</v>
      </c>
      <c r="T92" s="86" t="s">
        <v>2846</v>
      </c>
      <c r="U92" s="86" t="s">
        <v>2847</v>
      </c>
      <c r="V92" s="86" t="s">
        <v>3138</v>
      </c>
      <c r="W92" s="86" t="s">
        <v>2849</v>
      </c>
      <c r="X92" s="86">
        <v>0</v>
      </c>
      <c r="Y92" s="90" t="s">
        <v>52</v>
      </c>
      <c r="Z92" s="90" t="s">
        <v>145</v>
      </c>
      <c r="AA92" s="86" t="s">
        <v>694</v>
      </c>
      <c r="AB92" s="86">
        <v>1</v>
      </c>
      <c r="AC92" s="86">
        <v>0</v>
      </c>
      <c r="AD92" s="55">
        <f>IF(OR(W92="SOPORTE_TELEFÓNICO",W92="ENVÍO"),0,IF(Y92="TIPO I",'BASE DE LIQUIDACION 2025'!$I$4,IF(Y92="TIPO II",'BASE DE LIQUIDACION 2025'!$I$5,IF(Y92="TIPO III",'BASE DE LIQUIDACION 2025'!$I$6,IF(Y92="TIPO IV",'BASE DE LIQUIDACION 2025'!$I$7,'BASE DE LIQUIDACION 2025'!$I$8)))))</f>
        <v>96001.196280000004</v>
      </c>
      <c r="AE92" s="55">
        <f>IF(OR(W92="SOPORTE_TELEFÓNICO",W92="ENVÍO"),0,IF(Y92="TIPO I",'BASE DE LIQUIDACION 2025'!$J$4,IF(Y92="TIPO II",'BASE DE LIQUIDACION 2025'!$J$5,IF(Y92="TIPO III",'BASE DE LIQUIDACION 2025'!$J$6,IF(Y92="TIPO IV",'BASE DE LIQUIDACION 2025'!$J$7,'BASE DE LIQUIDACION 2025'!$J$8)))))</f>
        <v>57411.974240000003</v>
      </c>
      <c r="AF92" s="55">
        <f>IF(W92="SOPORTE_TELEFÓNICO",'BASE DE LIQUIDACION 2025'!$L$4,IF(W92="ENVÍO",'BASE DE LIQUIDACION 2025'!$K$4,AD92*AB92+AE92*AC92))</f>
        <v>96001.196280000004</v>
      </c>
    </row>
    <row r="93" spans="1:32" s="46" customFormat="1" ht="12.75">
      <c r="A93" s="86" t="s">
        <v>269</v>
      </c>
      <c r="B93" s="86" t="str">
        <f>VLOOKUP(A93,'CENTRO DE COSTOS'!A:D,4,FALSE)</f>
        <v>MIGUEL JULIÁN HERNÁNDEZ GUARÍN</v>
      </c>
      <c r="C93" s="86" t="str">
        <f>VLOOKUP(A93,'CENTRO DE COSTOS'!A:D,2,FALSE)</f>
        <v>0004-0008</v>
      </c>
      <c r="D93" s="86">
        <v>81300</v>
      </c>
      <c r="E93" s="86">
        <v>2618760</v>
      </c>
      <c r="F93" s="86">
        <v>47764</v>
      </c>
      <c r="G93" s="86" t="s">
        <v>2840</v>
      </c>
      <c r="H93" s="86" t="s">
        <v>1785</v>
      </c>
      <c r="I93" s="86" t="s">
        <v>2968</v>
      </c>
      <c r="J93" s="86" t="s">
        <v>3139</v>
      </c>
      <c r="K93" s="86" t="s">
        <v>137</v>
      </c>
      <c r="L93" s="86" t="s">
        <v>3140</v>
      </c>
      <c r="M93" s="87">
        <v>45889.489583333336</v>
      </c>
      <c r="N93" s="87">
        <v>45895.423611111109</v>
      </c>
      <c r="O93" s="86"/>
      <c r="P93" s="86" t="s">
        <v>2843</v>
      </c>
      <c r="Q93" s="86" t="s">
        <v>2844</v>
      </c>
      <c r="R93" s="88" t="s">
        <v>2845</v>
      </c>
      <c r="S93" s="89" t="s">
        <v>2845</v>
      </c>
      <c r="T93" s="86" t="s">
        <v>2846</v>
      </c>
      <c r="U93" s="86" t="s">
        <v>2847</v>
      </c>
      <c r="V93" s="86" t="s">
        <v>3141</v>
      </c>
      <c r="W93" s="86" t="s">
        <v>2849</v>
      </c>
      <c r="X93" s="86">
        <v>0</v>
      </c>
      <c r="Y93" s="90" t="s">
        <v>160</v>
      </c>
      <c r="Z93" s="90" t="s">
        <v>1369</v>
      </c>
      <c r="AA93" s="86" t="s">
        <v>929</v>
      </c>
      <c r="AB93" s="86">
        <v>1</v>
      </c>
      <c r="AC93" s="86">
        <v>0</v>
      </c>
      <c r="AD93" s="55">
        <f>IF(OR(W93="SOPORTE_TELEFÓNICO",W93="ENVÍO"),0,IF(Y93="TIPO I",'BASE DE LIQUIDACION 2025'!$I$4,IF(Y93="TIPO II",'BASE DE LIQUIDACION 2025'!$I$5,IF(Y93="TIPO III",'BASE DE LIQUIDACION 2025'!$I$6,IF(Y93="TIPO IV",'BASE DE LIQUIDACION 2025'!$I$7,'BASE DE LIQUIDACION 2025'!$I$8)))))</f>
        <v>548633.63271999999</v>
      </c>
      <c r="AE93" s="55">
        <f>IF(OR(W93="SOPORTE_TELEFÓNICO",W93="ENVÍO"),0,IF(Y93="TIPO I",'BASE DE LIQUIDACION 2025'!$J$4,IF(Y93="TIPO II",'BASE DE LIQUIDACION 2025'!$J$5,IF(Y93="TIPO III",'BASE DE LIQUIDACION 2025'!$J$6,IF(Y93="TIPO IV",'BASE DE LIQUIDACION 2025'!$J$7,'BASE DE LIQUIDACION 2025'!$J$8)))))</f>
        <v>110808.27512000001</v>
      </c>
      <c r="AF93" s="55">
        <f>IF(W93="SOPORTE_TELEFÓNICO",'BASE DE LIQUIDACION 2025'!$L$4,IF(W93="ENVÍO",'BASE DE LIQUIDACION 2025'!$K$4,AD93*AB93+AE93*AC93))</f>
        <v>548633.63271999999</v>
      </c>
    </row>
    <row r="94" spans="1:32" s="46" customFormat="1" ht="12.75">
      <c r="A94" s="86" t="s">
        <v>220</v>
      </c>
      <c r="B94" s="86" t="str">
        <f>VLOOKUP(A94,'CENTRO DE COSTOS'!A:D,4,FALSE)</f>
        <v>DIEGO FERNANDO HENAO CARDONA</v>
      </c>
      <c r="C94" s="86" t="str">
        <f>VLOOKUP(A94,'CENTRO DE COSTOS'!A:D,2,FALSE)</f>
        <v>0004-0003</v>
      </c>
      <c r="D94" s="86">
        <v>76001</v>
      </c>
      <c r="E94" s="86">
        <v>2638811</v>
      </c>
      <c r="F94" s="86">
        <v>12998</v>
      </c>
      <c r="G94" s="86" t="s">
        <v>2840</v>
      </c>
      <c r="H94" s="86" t="s">
        <v>420</v>
      </c>
      <c r="I94" s="86" t="s">
        <v>220</v>
      </c>
      <c r="J94" s="86" t="s">
        <v>3142</v>
      </c>
      <c r="K94" s="86" t="s">
        <v>137</v>
      </c>
      <c r="L94" s="86" t="s">
        <v>3143</v>
      </c>
      <c r="M94" s="87">
        <v>45894.465277777781</v>
      </c>
      <c r="N94" s="87">
        <v>45895.481944444444</v>
      </c>
      <c r="O94" s="86"/>
      <c r="P94" s="86" t="s">
        <v>2843</v>
      </c>
      <c r="Q94" s="86" t="s">
        <v>2844</v>
      </c>
      <c r="R94" s="88" t="s">
        <v>2845</v>
      </c>
      <c r="S94" s="89" t="s">
        <v>2845</v>
      </c>
      <c r="T94" s="86" t="s">
        <v>2846</v>
      </c>
      <c r="U94" s="86" t="s">
        <v>2847</v>
      </c>
      <c r="V94" s="86" t="s">
        <v>3144</v>
      </c>
      <c r="W94" s="86" t="s">
        <v>2849</v>
      </c>
      <c r="X94" s="86">
        <v>0</v>
      </c>
      <c r="Y94" s="90" t="s">
        <v>52</v>
      </c>
      <c r="Z94" s="90" t="s">
        <v>145</v>
      </c>
      <c r="AA94" s="86" t="s">
        <v>495</v>
      </c>
      <c r="AB94" s="86">
        <v>1</v>
      </c>
      <c r="AC94" s="86">
        <v>0</v>
      </c>
      <c r="AD94" s="55">
        <f>IF(OR(W94="SOPORTE_TELEFÓNICO",W94="ENVÍO"),0,IF(Y94="TIPO I",'BASE DE LIQUIDACION 2025'!$I$4,IF(Y94="TIPO II",'BASE DE LIQUIDACION 2025'!$I$5,IF(Y94="TIPO III",'BASE DE LIQUIDACION 2025'!$I$6,IF(Y94="TIPO IV",'BASE DE LIQUIDACION 2025'!$I$7,'BASE DE LIQUIDACION 2025'!$I$8)))))</f>
        <v>96001.196280000004</v>
      </c>
      <c r="AE94" s="55">
        <f>IF(OR(W94="SOPORTE_TELEFÓNICO",W94="ENVÍO"),0,IF(Y94="TIPO I",'BASE DE LIQUIDACION 2025'!$J$4,IF(Y94="TIPO II",'BASE DE LIQUIDACION 2025'!$J$5,IF(Y94="TIPO III",'BASE DE LIQUIDACION 2025'!$J$6,IF(Y94="TIPO IV",'BASE DE LIQUIDACION 2025'!$J$7,'BASE DE LIQUIDACION 2025'!$J$8)))))</f>
        <v>57411.974240000003</v>
      </c>
      <c r="AF94" s="55">
        <f>IF(W94="SOPORTE_TELEFÓNICO",'BASE DE LIQUIDACION 2025'!$L$4,IF(W94="ENVÍO",'BASE DE LIQUIDACION 2025'!$K$4,AD94*AB94+AE94*AC94))</f>
        <v>96001.196280000004</v>
      </c>
    </row>
    <row r="95" spans="1:32" s="46" customFormat="1" ht="12.75">
      <c r="A95" s="86" t="s">
        <v>285</v>
      </c>
      <c r="B95" s="86" t="str">
        <f>VLOOKUP(A95,'CENTRO DE COSTOS'!A:D,4,FALSE)</f>
        <v>MIGUEL JULIÁN HERNÁNDEZ GUARÍN</v>
      </c>
      <c r="C95" s="86" t="str">
        <f>VLOOKUP(A95,'CENTRO DE COSTOS'!A:D,2,FALSE)</f>
        <v>0004-0008</v>
      </c>
      <c r="D95" s="86">
        <v>54239</v>
      </c>
      <c r="E95" s="86">
        <v>2637922</v>
      </c>
      <c r="F95" s="86">
        <v>15003</v>
      </c>
      <c r="G95" s="86" t="s">
        <v>2840</v>
      </c>
      <c r="H95" s="86" t="s">
        <v>287</v>
      </c>
      <c r="I95" s="86" t="s">
        <v>3145</v>
      </c>
      <c r="J95" s="86" t="s">
        <v>3146</v>
      </c>
      <c r="K95" s="86" t="s">
        <v>137</v>
      </c>
      <c r="L95" s="86" t="s">
        <v>3147</v>
      </c>
      <c r="M95" s="87">
        <v>45894.420138888891</v>
      </c>
      <c r="N95" s="87">
        <v>45895.494444444441</v>
      </c>
      <c r="O95" s="86"/>
      <c r="P95" s="86" t="s">
        <v>2843</v>
      </c>
      <c r="Q95" s="86" t="s">
        <v>2844</v>
      </c>
      <c r="R95" s="88" t="s">
        <v>2845</v>
      </c>
      <c r="S95" s="89" t="s">
        <v>2845</v>
      </c>
      <c r="T95" s="86" t="s">
        <v>2846</v>
      </c>
      <c r="U95" s="86" t="s">
        <v>2847</v>
      </c>
      <c r="V95" s="86" t="s">
        <v>3148</v>
      </c>
      <c r="W95" s="86" t="s">
        <v>2849</v>
      </c>
      <c r="X95" s="86">
        <v>0</v>
      </c>
      <c r="Y95" s="90" t="s">
        <v>202</v>
      </c>
      <c r="Z95" s="90" t="s">
        <v>145</v>
      </c>
      <c r="AA95" s="86" t="s">
        <v>358</v>
      </c>
      <c r="AB95" s="86">
        <v>1</v>
      </c>
      <c r="AC95" s="86">
        <v>0</v>
      </c>
      <c r="AD95" s="55">
        <f>IF(OR(W95="SOPORTE_TELEFÓNICO",W95="ENVÍO"),0,IF(Y95="TIPO I",'BASE DE LIQUIDACION 2025'!$I$4,IF(Y95="TIPO II",'BASE DE LIQUIDACION 2025'!$I$5,IF(Y95="TIPO III",'BASE DE LIQUIDACION 2025'!$I$6,IF(Y95="TIPO IV",'BASE DE LIQUIDACION 2025'!$I$7,'BASE DE LIQUIDACION 2025'!$I$8)))))</f>
        <v>232858.60096000001</v>
      </c>
      <c r="AE95" s="55">
        <f>IF(OR(W95="SOPORTE_TELEFÓNICO",W95="ENVÍO"),0,IF(Y95="TIPO I",'BASE DE LIQUIDACION 2025'!$J$4,IF(Y95="TIPO II",'BASE DE LIQUIDACION 2025'!$J$5,IF(Y95="TIPO III",'BASE DE LIQUIDACION 2025'!$J$6,IF(Y95="TIPO IV",'BASE DE LIQUIDACION 2025'!$J$7,'BASE DE LIQUIDACION 2025'!$J$8)))))</f>
        <v>110808.27512000001</v>
      </c>
      <c r="AF95" s="55">
        <f>IF(W95="SOPORTE_TELEFÓNICO",'BASE DE LIQUIDACION 2025'!$L$4,IF(W95="ENVÍO",'BASE DE LIQUIDACION 2025'!$K$4,AD95*AB95+AE95*AC95))</f>
        <v>232858.60096000001</v>
      </c>
    </row>
    <row r="96" spans="1:32" s="46" customFormat="1" ht="12.75">
      <c r="A96" s="86" t="s">
        <v>431</v>
      </c>
      <c r="B96" s="86" t="str">
        <f>VLOOKUP(A96,'CENTRO DE COSTOS'!A:D,4,FALSE)</f>
        <v>WILLIAM ASDRUBAL ROZO ROZO</v>
      </c>
      <c r="C96" s="86" t="str">
        <f>VLOOKUP(A96,'CENTRO DE COSTOS'!A:D,2,FALSE)</f>
        <v>0004-0004</v>
      </c>
      <c r="D96" s="86">
        <v>11001</v>
      </c>
      <c r="E96" s="86">
        <v>2637829</v>
      </c>
      <c r="F96" s="86">
        <v>48880</v>
      </c>
      <c r="G96" s="86" t="s">
        <v>2840</v>
      </c>
      <c r="H96" s="86" t="s">
        <v>433</v>
      </c>
      <c r="I96" s="86" t="s">
        <v>431</v>
      </c>
      <c r="J96" s="86" t="s">
        <v>3149</v>
      </c>
      <c r="K96" s="86" t="s">
        <v>137</v>
      </c>
      <c r="L96" s="86" t="s">
        <v>3150</v>
      </c>
      <c r="M96" s="87">
        <v>45894.414583333331</v>
      </c>
      <c r="N96" s="87">
        <v>45895.589583333334</v>
      </c>
      <c r="O96" s="86"/>
      <c r="P96" s="86" t="s">
        <v>2843</v>
      </c>
      <c r="Q96" s="86" t="s">
        <v>2844</v>
      </c>
      <c r="R96" s="88" t="s">
        <v>2845</v>
      </c>
      <c r="S96" s="89" t="s">
        <v>2845</v>
      </c>
      <c r="T96" s="86" t="s">
        <v>2846</v>
      </c>
      <c r="U96" s="86" t="s">
        <v>2847</v>
      </c>
      <c r="V96" s="86" t="s">
        <v>3151</v>
      </c>
      <c r="W96" s="86" t="s">
        <v>2849</v>
      </c>
      <c r="X96" s="86">
        <v>0</v>
      </c>
      <c r="Y96" s="90" t="s">
        <v>52</v>
      </c>
      <c r="Z96" s="90" t="s">
        <v>145</v>
      </c>
      <c r="AA96" s="86" t="s">
        <v>851</v>
      </c>
      <c r="AB96" s="86">
        <v>1</v>
      </c>
      <c r="AC96" s="86">
        <v>0</v>
      </c>
      <c r="AD96" s="55">
        <f>IF(OR(W96="SOPORTE_TELEFÓNICO",W96="ENVÍO"),0,IF(Y96="TIPO I",'BASE DE LIQUIDACION 2025'!$I$4,IF(Y96="TIPO II",'BASE DE LIQUIDACION 2025'!$I$5,IF(Y96="TIPO III",'BASE DE LIQUIDACION 2025'!$I$6,IF(Y96="TIPO IV",'BASE DE LIQUIDACION 2025'!$I$7,'BASE DE LIQUIDACION 2025'!$I$8)))))</f>
        <v>96001.196280000004</v>
      </c>
      <c r="AE96" s="55">
        <f>IF(OR(W96="SOPORTE_TELEFÓNICO",W96="ENVÍO"),0,IF(Y96="TIPO I",'BASE DE LIQUIDACION 2025'!$J$4,IF(Y96="TIPO II",'BASE DE LIQUIDACION 2025'!$J$5,IF(Y96="TIPO III",'BASE DE LIQUIDACION 2025'!$J$6,IF(Y96="TIPO IV",'BASE DE LIQUIDACION 2025'!$J$7,'BASE DE LIQUIDACION 2025'!$J$8)))))</f>
        <v>57411.974240000003</v>
      </c>
      <c r="AF96" s="55">
        <f>IF(W96="SOPORTE_TELEFÓNICO",'BASE DE LIQUIDACION 2025'!$L$4,IF(W96="ENVÍO",'BASE DE LIQUIDACION 2025'!$K$4,AD96*AB96+AE96*AC96))</f>
        <v>96001.196280000004</v>
      </c>
    </row>
    <row r="97" spans="1:32" s="46" customFormat="1" ht="12.75">
      <c r="A97" s="86" t="s">
        <v>203</v>
      </c>
      <c r="B97" s="86" t="str">
        <f>VLOOKUP(A97,'CENTRO DE COSTOS'!A:D,4,FALSE)</f>
        <v>MIGUEL JULIÁN HERNÁNDEZ GUARÍN</v>
      </c>
      <c r="C97" s="86" t="str">
        <f>VLOOKUP(A97,'CENTRO DE COSTOS'!A:D,2,FALSE)</f>
        <v>0004-0008</v>
      </c>
      <c r="D97" s="86">
        <v>15001</v>
      </c>
      <c r="E97" s="86">
        <v>2644767</v>
      </c>
      <c r="F97" s="86">
        <v>34559</v>
      </c>
      <c r="G97" s="86" t="s">
        <v>2840</v>
      </c>
      <c r="H97" s="86" t="s">
        <v>205</v>
      </c>
      <c r="I97" s="86" t="s">
        <v>203</v>
      </c>
      <c r="J97" s="86" t="s">
        <v>3152</v>
      </c>
      <c r="K97" s="86" t="s">
        <v>137</v>
      </c>
      <c r="L97" s="86" t="s">
        <v>3153</v>
      </c>
      <c r="M97" s="87">
        <v>45895.424305555556</v>
      </c>
      <c r="N97" s="87">
        <v>45896.536805555559</v>
      </c>
      <c r="O97" s="86"/>
      <c r="P97" s="86" t="s">
        <v>2843</v>
      </c>
      <c r="Q97" s="86" t="s">
        <v>2844</v>
      </c>
      <c r="R97" s="88" t="s">
        <v>2845</v>
      </c>
      <c r="S97" s="89" t="s">
        <v>2845</v>
      </c>
      <c r="T97" s="86" t="s">
        <v>2846</v>
      </c>
      <c r="U97" s="86" t="s">
        <v>2847</v>
      </c>
      <c r="V97" s="86" t="s">
        <v>3154</v>
      </c>
      <c r="W97" s="86" t="s">
        <v>2849</v>
      </c>
      <c r="X97" s="86">
        <v>0</v>
      </c>
      <c r="Y97" s="90" t="s">
        <v>52</v>
      </c>
      <c r="Z97" s="90" t="s">
        <v>145</v>
      </c>
      <c r="AA97" s="86" t="s">
        <v>1119</v>
      </c>
      <c r="AB97" s="86">
        <v>1</v>
      </c>
      <c r="AC97" s="86">
        <v>0</v>
      </c>
      <c r="AD97" s="55">
        <f>IF(OR(W97="SOPORTE_TELEFÓNICO",W97="ENVÍO"),0,IF(Y97="TIPO I",'BASE DE LIQUIDACION 2025'!$I$4,IF(Y97="TIPO II",'BASE DE LIQUIDACION 2025'!$I$5,IF(Y97="TIPO III",'BASE DE LIQUIDACION 2025'!$I$6,IF(Y97="TIPO IV",'BASE DE LIQUIDACION 2025'!$I$7,'BASE DE LIQUIDACION 2025'!$I$8)))))</f>
        <v>96001.196280000004</v>
      </c>
      <c r="AE97" s="55">
        <f>IF(OR(W97="SOPORTE_TELEFÓNICO",W97="ENVÍO"),0,IF(Y97="TIPO I",'BASE DE LIQUIDACION 2025'!$J$4,IF(Y97="TIPO II",'BASE DE LIQUIDACION 2025'!$J$5,IF(Y97="TIPO III",'BASE DE LIQUIDACION 2025'!$J$6,IF(Y97="TIPO IV",'BASE DE LIQUIDACION 2025'!$J$7,'BASE DE LIQUIDACION 2025'!$J$8)))))</f>
        <v>57411.974240000003</v>
      </c>
      <c r="AF97" s="55">
        <f>IF(W97="SOPORTE_TELEFÓNICO",'BASE DE LIQUIDACION 2025'!$L$4,IF(W97="ENVÍO",'BASE DE LIQUIDACION 2025'!$K$4,AD97*AB97+AE97*AC97))</f>
        <v>96001.196280000004</v>
      </c>
    </row>
    <row r="98" spans="1:32" s="46" customFormat="1" ht="12.75">
      <c r="A98" s="86" t="s">
        <v>688</v>
      </c>
      <c r="B98" s="86" t="str">
        <f>VLOOKUP(A98,'CENTRO DE COSTOS'!A:D,4,FALSE)</f>
        <v>KEVIN ALEXIS CORZO BUSTOS</v>
      </c>
      <c r="C98" s="86" t="str">
        <f>VLOOKUP(A98,'CENTRO DE COSTOS'!A:D,2,FALSE)</f>
        <v>0004-0007</v>
      </c>
      <c r="D98" s="86">
        <v>73001</v>
      </c>
      <c r="E98" s="86">
        <v>2648999</v>
      </c>
      <c r="F98" s="86">
        <v>41333</v>
      </c>
      <c r="G98" s="86" t="s">
        <v>2840</v>
      </c>
      <c r="H98" s="86" t="s">
        <v>690</v>
      </c>
      <c r="I98" s="86" t="s">
        <v>688</v>
      </c>
      <c r="J98" s="86" t="s">
        <v>3155</v>
      </c>
      <c r="K98" s="86" t="s">
        <v>137</v>
      </c>
      <c r="L98" s="86" t="s">
        <v>3156</v>
      </c>
      <c r="M98" s="87">
        <v>45896.333333333336</v>
      </c>
      <c r="N98" s="87">
        <v>45896.540277777778</v>
      </c>
      <c r="O98" s="86"/>
      <c r="P98" s="86" t="s">
        <v>2843</v>
      </c>
      <c r="Q98" s="86" t="s">
        <v>2844</v>
      </c>
      <c r="R98" s="88" t="s">
        <v>2845</v>
      </c>
      <c r="S98" s="89" t="s">
        <v>2845</v>
      </c>
      <c r="T98" s="86" t="s">
        <v>2846</v>
      </c>
      <c r="U98" s="86" t="s">
        <v>2847</v>
      </c>
      <c r="V98" s="86" t="s">
        <v>3157</v>
      </c>
      <c r="W98" s="86" t="s">
        <v>2849</v>
      </c>
      <c r="X98" s="86">
        <v>0</v>
      </c>
      <c r="Y98" s="90" t="s">
        <v>52</v>
      </c>
      <c r="Z98" s="90" t="s">
        <v>145</v>
      </c>
      <c r="AA98" s="86" t="s">
        <v>940</v>
      </c>
      <c r="AB98" s="86">
        <v>1</v>
      </c>
      <c r="AC98" s="86">
        <v>0</v>
      </c>
      <c r="AD98" s="55">
        <f>IF(OR(W98="SOPORTE_TELEFÓNICO",W98="ENVÍO"),0,IF(Y98="TIPO I",'BASE DE LIQUIDACION 2025'!$I$4,IF(Y98="TIPO II",'BASE DE LIQUIDACION 2025'!$I$5,IF(Y98="TIPO III",'BASE DE LIQUIDACION 2025'!$I$6,IF(Y98="TIPO IV",'BASE DE LIQUIDACION 2025'!$I$7,'BASE DE LIQUIDACION 2025'!$I$8)))))</f>
        <v>96001.196280000004</v>
      </c>
      <c r="AE98" s="55">
        <f>IF(OR(W98="SOPORTE_TELEFÓNICO",W98="ENVÍO"),0,IF(Y98="TIPO I",'BASE DE LIQUIDACION 2025'!$J$4,IF(Y98="TIPO II",'BASE DE LIQUIDACION 2025'!$J$5,IF(Y98="TIPO III",'BASE DE LIQUIDACION 2025'!$J$6,IF(Y98="TIPO IV",'BASE DE LIQUIDACION 2025'!$J$7,'BASE DE LIQUIDACION 2025'!$J$8)))))</f>
        <v>57411.974240000003</v>
      </c>
      <c r="AF98" s="55">
        <f>IF(W98="SOPORTE_TELEFÓNICO",'BASE DE LIQUIDACION 2025'!$L$4,IF(W98="ENVÍO",'BASE DE LIQUIDACION 2025'!$K$4,AD98*AB98+AE98*AC98))</f>
        <v>96001.196280000004</v>
      </c>
    </row>
    <row r="99" spans="1:32" s="46" customFormat="1" ht="12.75">
      <c r="A99" s="86" t="s">
        <v>269</v>
      </c>
      <c r="B99" s="86" t="str">
        <f>VLOOKUP(A99,'CENTRO DE COSTOS'!A:D,4,FALSE)</f>
        <v>MIGUEL JULIÁN HERNÁNDEZ GUARÍN</v>
      </c>
      <c r="C99" s="86" t="str">
        <f>VLOOKUP(A99,'CENTRO DE COSTOS'!A:D,2,FALSE)</f>
        <v>0004-0008</v>
      </c>
      <c r="D99" s="86">
        <v>68001</v>
      </c>
      <c r="E99" s="86">
        <v>2648944</v>
      </c>
      <c r="F99" s="86">
        <v>79878</v>
      </c>
      <c r="G99" s="86" t="s">
        <v>2840</v>
      </c>
      <c r="H99" s="86" t="s">
        <v>795</v>
      </c>
      <c r="I99" s="86" t="s">
        <v>269</v>
      </c>
      <c r="J99" s="86" t="s">
        <v>3158</v>
      </c>
      <c r="K99" s="86" t="s">
        <v>137</v>
      </c>
      <c r="L99" s="86" t="s">
        <v>3159</v>
      </c>
      <c r="M99" s="87">
        <v>45895.737500000003</v>
      </c>
      <c r="N99" s="87">
        <v>45896.605555555558</v>
      </c>
      <c r="O99" s="86"/>
      <c r="P99" s="86" t="s">
        <v>2843</v>
      </c>
      <c r="Q99" s="86" t="s">
        <v>2844</v>
      </c>
      <c r="R99" s="88" t="s">
        <v>2845</v>
      </c>
      <c r="S99" s="89" t="s">
        <v>2845</v>
      </c>
      <c r="T99" s="86" t="s">
        <v>2846</v>
      </c>
      <c r="U99" s="86" t="s">
        <v>2847</v>
      </c>
      <c r="V99" s="86" t="s">
        <v>3160</v>
      </c>
      <c r="W99" s="86" t="s">
        <v>2849</v>
      </c>
      <c r="X99" s="86">
        <v>0</v>
      </c>
      <c r="Y99" s="90" t="s">
        <v>52</v>
      </c>
      <c r="Z99" s="90" t="s">
        <v>145</v>
      </c>
      <c r="AA99" s="86" t="s">
        <v>1223</v>
      </c>
      <c r="AB99" s="86">
        <v>1</v>
      </c>
      <c r="AC99" s="86">
        <v>0</v>
      </c>
      <c r="AD99" s="55">
        <f>IF(OR(W99="SOPORTE_TELEFÓNICO",W99="ENVÍO"),0,IF(Y99="TIPO I",'BASE DE LIQUIDACION 2025'!$I$4,IF(Y99="TIPO II",'BASE DE LIQUIDACION 2025'!$I$5,IF(Y99="TIPO III",'BASE DE LIQUIDACION 2025'!$I$6,IF(Y99="TIPO IV",'BASE DE LIQUIDACION 2025'!$I$7,'BASE DE LIQUIDACION 2025'!$I$8)))))</f>
        <v>96001.196280000004</v>
      </c>
      <c r="AE99" s="55">
        <f>IF(OR(W99="SOPORTE_TELEFÓNICO",W99="ENVÍO"),0,IF(Y99="TIPO I",'BASE DE LIQUIDACION 2025'!$J$4,IF(Y99="TIPO II",'BASE DE LIQUIDACION 2025'!$J$5,IF(Y99="TIPO III",'BASE DE LIQUIDACION 2025'!$J$6,IF(Y99="TIPO IV",'BASE DE LIQUIDACION 2025'!$J$7,'BASE DE LIQUIDACION 2025'!$J$8)))))</f>
        <v>57411.974240000003</v>
      </c>
      <c r="AF99" s="55">
        <f>IF(W99="SOPORTE_TELEFÓNICO",'BASE DE LIQUIDACION 2025'!$L$4,IF(W99="ENVÍO",'BASE DE LIQUIDACION 2025'!$K$4,AD99*AB99+AE99*AC99))</f>
        <v>96001.196280000004</v>
      </c>
    </row>
    <row r="100" spans="1:32" s="46" customFormat="1" ht="12.75">
      <c r="A100" s="86" t="s">
        <v>345</v>
      </c>
      <c r="B100" s="86" t="str">
        <f>VLOOKUP(A100,'CENTRO DE COSTOS'!A:D,4,FALSE)</f>
        <v>JOSE MAURICIO HERNANDEZ ROJAS</v>
      </c>
      <c r="C100" s="86" t="str">
        <f>VLOOKUP(A100,'CENTRO DE COSTOS'!A:D,2,FALSE)</f>
        <v>0004-0001</v>
      </c>
      <c r="D100" s="86">
        <v>8758</v>
      </c>
      <c r="E100" s="86">
        <v>2646276</v>
      </c>
      <c r="F100" s="86">
        <v>66131</v>
      </c>
      <c r="G100" s="86" t="s">
        <v>2840</v>
      </c>
      <c r="H100" s="86" t="s">
        <v>347</v>
      </c>
      <c r="I100" s="86" t="s">
        <v>1060</v>
      </c>
      <c r="J100" s="86" t="s">
        <v>3161</v>
      </c>
      <c r="K100" s="86" t="s">
        <v>137</v>
      </c>
      <c r="L100" s="86" t="s">
        <v>3162</v>
      </c>
      <c r="M100" s="87">
        <v>45895.502083333333</v>
      </c>
      <c r="N100" s="87">
        <v>45896.894444444442</v>
      </c>
      <c r="O100" s="86"/>
      <c r="P100" s="86" t="s">
        <v>2843</v>
      </c>
      <c r="Q100" s="86" t="s">
        <v>2844</v>
      </c>
      <c r="R100" s="88" t="s">
        <v>2845</v>
      </c>
      <c r="S100" s="89" t="s">
        <v>2845</v>
      </c>
      <c r="T100" s="86" t="s">
        <v>2846</v>
      </c>
      <c r="U100" s="86" t="s">
        <v>2847</v>
      </c>
      <c r="V100" s="86" t="s">
        <v>3163</v>
      </c>
      <c r="W100" s="86" t="s">
        <v>2849</v>
      </c>
      <c r="X100" s="86">
        <v>0</v>
      </c>
      <c r="Y100" s="90" t="s">
        <v>52</v>
      </c>
      <c r="Z100" s="90" t="s">
        <v>145</v>
      </c>
      <c r="AA100" s="86" t="s">
        <v>352</v>
      </c>
      <c r="AB100" s="86">
        <v>1</v>
      </c>
      <c r="AC100" s="86">
        <v>0</v>
      </c>
      <c r="AD100" s="55">
        <f>IF(OR(W100="SOPORTE_TELEFÓNICO",W100="ENVÍO"),0,IF(Y100="TIPO I",'BASE DE LIQUIDACION 2025'!$I$4,IF(Y100="TIPO II",'BASE DE LIQUIDACION 2025'!$I$5,IF(Y100="TIPO III",'BASE DE LIQUIDACION 2025'!$I$6,IF(Y100="TIPO IV",'BASE DE LIQUIDACION 2025'!$I$7,'BASE DE LIQUIDACION 2025'!$I$8)))))</f>
        <v>96001.196280000004</v>
      </c>
      <c r="AE100" s="55">
        <f>IF(OR(W100="SOPORTE_TELEFÓNICO",W100="ENVÍO"),0,IF(Y100="TIPO I",'BASE DE LIQUIDACION 2025'!$J$4,IF(Y100="TIPO II",'BASE DE LIQUIDACION 2025'!$J$5,IF(Y100="TIPO III",'BASE DE LIQUIDACION 2025'!$J$6,IF(Y100="TIPO IV",'BASE DE LIQUIDACION 2025'!$J$7,'BASE DE LIQUIDACION 2025'!$J$8)))))</f>
        <v>57411.974240000003</v>
      </c>
      <c r="AF100" s="55">
        <f>IF(W100="SOPORTE_TELEFÓNICO",'BASE DE LIQUIDACION 2025'!$L$4,IF(W100="ENVÍO",'BASE DE LIQUIDACION 2025'!$K$4,AD100*AB100+AE100*AC100))</f>
        <v>96001.196280000004</v>
      </c>
    </row>
    <row r="101" spans="1:32" s="46" customFormat="1" ht="12.75">
      <c r="A101" s="86" t="s">
        <v>260</v>
      </c>
      <c r="B101" s="86" t="str">
        <f>VLOOKUP(A101,'CENTRO DE COSTOS'!A:D,4,FALSE)</f>
        <v>KEVIN ALEXIS CORZO BUSTOS</v>
      </c>
      <c r="C101" s="86" t="str">
        <f>VLOOKUP(A101,'CENTRO DE COSTOS'!A:D,2,FALSE)</f>
        <v>0004-0007</v>
      </c>
      <c r="D101" s="86">
        <v>50001</v>
      </c>
      <c r="E101" s="86">
        <v>2648552</v>
      </c>
      <c r="F101" s="86">
        <v>43732</v>
      </c>
      <c r="G101" s="86" t="s">
        <v>2840</v>
      </c>
      <c r="H101" s="86" t="s">
        <v>262</v>
      </c>
      <c r="I101" s="86" t="s">
        <v>260</v>
      </c>
      <c r="J101" s="86" t="s">
        <v>2999</v>
      </c>
      <c r="K101" s="86" t="s">
        <v>137</v>
      </c>
      <c r="L101" s="86" t="s">
        <v>3164</v>
      </c>
      <c r="M101" s="87">
        <v>45895.7</v>
      </c>
      <c r="N101" s="87">
        <v>45896.895833333336</v>
      </c>
      <c r="O101" s="86"/>
      <c r="P101" s="86" t="s">
        <v>2843</v>
      </c>
      <c r="Q101" s="86" t="s">
        <v>2844</v>
      </c>
      <c r="R101" s="88" t="s">
        <v>2845</v>
      </c>
      <c r="S101" s="89" t="s">
        <v>2845</v>
      </c>
      <c r="T101" s="86" t="s">
        <v>2867</v>
      </c>
      <c r="U101" s="86" t="s">
        <v>3165</v>
      </c>
      <c r="V101" s="86" t="s">
        <v>3166</v>
      </c>
      <c r="W101" s="86" t="s">
        <v>2849</v>
      </c>
      <c r="X101" s="86">
        <v>0</v>
      </c>
      <c r="Y101" s="90" t="s">
        <v>52</v>
      </c>
      <c r="Z101" s="90" t="s">
        <v>145</v>
      </c>
      <c r="AA101" s="86" t="s">
        <v>332</v>
      </c>
      <c r="AB101" s="86">
        <v>1</v>
      </c>
      <c r="AC101" s="86">
        <v>0</v>
      </c>
      <c r="AD101" s="55">
        <f>IF(OR(W101="SOPORTE_TELEFÓNICO",W101="ENVÍO"),0,IF(Y101="TIPO I",'BASE DE LIQUIDACION 2025'!$I$4,IF(Y101="TIPO II",'BASE DE LIQUIDACION 2025'!$I$5,IF(Y101="TIPO III",'BASE DE LIQUIDACION 2025'!$I$6,IF(Y101="TIPO IV",'BASE DE LIQUIDACION 2025'!$I$7,'BASE DE LIQUIDACION 2025'!$I$8)))))</f>
        <v>96001.196280000004</v>
      </c>
      <c r="AE101" s="55">
        <f>IF(OR(W101="SOPORTE_TELEFÓNICO",W101="ENVÍO"),0,IF(Y101="TIPO I",'BASE DE LIQUIDACION 2025'!$J$4,IF(Y101="TIPO II",'BASE DE LIQUIDACION 2025'!$J$5,IF(Y101="TIPO III",'BASE DE LIQUIDACION 2025'!$J$6,IF(Y101="TIPO IV",'BASE DE LIQUIDACION 2025'!$J$7,'BASE DE LIQUIDACION 2025'!$J$8)))))</f>
        <v>57411.974240000003</v>
      </c>
      <c r="AF101" s="55">
        <f>IF(W101="SOPORTE_TELEFÓNICO",'BASE DE LIQUIDACION 2025'!$L$4,IF(W101="ENVÍO",'BASE DE LIQUIDACION 2025'!$K$4,AD101*AB101+AE101*AC101))</f>
        <v>96001.196280000004</v>
      </c>
    </row>
    <row r="102" spans="1:32" s="46" customFormat="1" ht="12.75">
      <c r="A102" s="86" t="s">
        <v>260</v>
      </c>
      <c r="B102" s="86" t="str">
        <f>VLOOKUP(A102,'CENTRO DE COSTOS'!A:D,4,FALSE)</f>
        <v>KEVIN ALEXIS CORZO BUSTOS</v>
      </c>
      <c r="C102" s="86" t="str">
        <f>VLOOKUP(A102,'CENTRO DE COSTOS'!A:D,2,FALSE)</f>
        <v>0004-0007</v>
      </c>
      <c r="D102" s="86">
        <v>50001</v>
      </c>
      <c r="E102" s="86">
        <v>2654245</v>
      </c>
      <c r="F102" s="86">
        <v>74418</v>
      </c>
      <c r="G102" s="86" t="s">
        <v>2840</v>
      </c>
      <c r="H102" s="86" t="s">
        <v>262</v>
      </c>
      <c r="I102" s="86" t="s">
        <v>260</v>
      </c>
      <c r="J102" s="86" t="s">
        <v>3167</v>
      </c>
      <c r="K102" s="86" t="s">
        <v>137</v>
      </c>
      <c r="L102" s="86" t="s">
        <v>3168</v>
      </c>
      <c r="M102" s="87">
        <v>45896.659722222219</v>
      </c>
      <c r="N102" s="87">
        <v>45897.454861111109</v>
      </c>
      <c r="O102" s="86"/>
      <c r="P102" s="86" t="s">
        <v>2843</v>
      </c>
      <c r="Q102" s="86" t="s">
        <v>2844</v>
      </c>
      <c r="R102" s="88" t="s">
        <v>2845</v>
      </c>
      <c r="S102" s="89" t="s">
        <v>2845</v>
      </c>
      <c r="T102" s="86" t="s">
        <v>2846</v>
      </c>
      <c r="U102" s="86" t="s">
        <v>2847</v>
      </c>
      <c r="V102" s="86" t="s">
        <v>3169</v>
      </c>
      <c r="W102" s="86" t="s">
        <v>2849</v>
      </c>
      <c r="X102" s="86">
        <v>0</v>
      </c>
      <c r="Y102" s="90" t="s">
        <v>52</v>
      </c>
      <c r="Z102" s="90" t="s">
        <v>145</v>
      </c>
      <c r="AA102" s="86" t="s">
        <v>3170</v>
      </c>
      <c r="AB102" s="86">
        <v>1</v>
      </c>
      <c r="AC102" s="86">
        <v>0</v>
      </c>
      <c r="AD102" s="55">
        <f>IF(OR(W102="SOPORTE_TELEFÓNICO",W102="ENVÍO"),0,IF(Y102="TIPO I",'BASE DE LIQUIDACION 2025'!$I$4,IF(Y102="TIPO II",'BASE DE LIQUIDACION 2025'!$I$5,IF(Y102="TIPO III",'BASE DE LIQUIDACION 2025'!$I$6,IF(Y102="TIPO IV",'BASE DE LIQUIDACION 2025'!$I$7,'BASE DE LIQUIDACION 2025'!$I$8)))))</f>
        <v>96001.196280000004</v>
      </c>
      <c r="AE102" s="55">
        <f>IF(OR(W102="SOPORTE_TELEFÓNICO",W102="ENVÍO"),0,IF(Y102="TIPO I",'BASE DE LIQUIDACION 2025'!$J$4,IF(Y102="TIPO II",'BASE DE LIQUIDACION 2025'!$J$5,IF(Y102="TIPO III",'BASE DE LIQUIDACION 2025'!$J$6,IF(Y102="TIPO IV",'BASE DE LIQUIDACION 2025'!$J$7,'BASE DE LIQUIDACION 2025'!$J$8)))))</f>
        <v>57411.974240000003</v>
      </c>
      <c r="AF102" s="55">
        <f>IF(W102="SOPORTE_TELEFÓNICO",'BASE DE LIQUIDACION 2025'!$L$4,IF(W102="ENVÍO",'BASE DE LIQUIDACION 2025'!$K$4,AD102*AB102+AE102*AC102))</f>
        <v>96001.196280000004</v>
      </c>
    </row>
    <row r="103" spans="1:32" s="46" customFormat="1" ht="12.75">
      <c r="A103" s="86" t="s">
        <v>260</v>
      </c>
      <c r="B103" s="86" t="str">
        <f>VLOOKUP(A103,'CENTRO DE COSTOS'!A:D,4,FALSE)</f>
        <v>KEVIN ALEXIS CORZO BUSTOS</v>
      </c>
      <c r="C103" s="86" t="str">
        <f>VLOOKUP(A103,'CENTRO DE COSTOS'!A:D,2,FALSE)</f>
        <v>0004-0007</v>
      </c>
      <c r="D103" s="86">
        <v>50001</v>
      </c>
      <c r="E103" s="86">
        <v>2654296</v>
      </c>
      <c r="F103" s="86">
        <v>77045</v>
      </c>
      <c r="G103" s="86" t="s">
        <v>2840</v>
      </c>
      <c r="H103" s="86" t="s">
        <v>262</v>
      </c>
      <c r="I103" s="86" t="s">
        <v>260</v>
      </c>
      <c r="J103" s="86" t="s">
        <v>3171</v>
      </c>
      <c r="K103" s="86" t="s">
        <v>137</v>
      </c>
      <c r="L103" s="86" t="s">
        <v>3172</v>
      </c>
      <c r="M103" s="87">
        <v>45896.670138888891</v>
      </c>
      <c r="N103" s="87">
        <v>45897.520138888889</v>
      </c>
      <c r="O103" s="86"/>
      <c r="P103" s="86" t="s">
        <v>2843</v>
      </c>
      <c r="Q103" s="86" t="s">
        <v>2844</v>
      </c>
      <c r="R103" s="88" t="s">
        <v>2845</v>
      </c>
      <c r="S103" s="89" t="s">
        <v>2845</v>
      </c>
      <c r="T103" s="86" t="s">
        <v>2846</v>
      </c>
      <c r="U103" s="86" t="s">
        <v>2847</v>
      </c>
      <c r="V103" s="86" t="s">
        <v>3173</v>
      </c>
      <c r="W103" s="86" t="s">
        <v>2849</v>
      </c>
      <c r="X103" s="86">
        <v>0</v>
      </c>
      <c r="Y103" s="90" t="s">
        <v>52</v>
      </c>
      <c r="Z103" s="90" t="s">
        <v>145</v>
      </c>
      <c r="AA103" s="86" t="s">
        <v>909</v>
      </c>
      <c r="AB103" s="86">
        <v>1</v>
      </c>
      <c r="AC103" s="86">
        <v>0</v>
      </c>
      <c r="AD103" s="55">
        <f>IF(OR(W103="SOPORTE_TELEFÓNICO",W103="ENVÍO"),0,IF(Y103="TIPO I",'BASE DE LIQUIDACION 2025'!$I$4,IF(Y103="TIPO II",'BASE DE LIQUIDACION 2025'!$I$5,IF(Y103="TIPO III",'BASE DE LIQUIDACION 2025'!$I$6,IF(Y103="TIPO IV",'BASE DE LIQUIDACION 2025'!$I$7,'BASE DE LIQUIDACION 2025'!$I$8)))))</f>
        <v>96001.196280000004</v>
      </c>
      <c r="AE103" s="55">
        <f>IF(OR(W103="SOPORTE_TELEFÓNICO",W103="ENVÍO"),0,IF(Y103="TIPO I",'BASE DE LIQUIDACION 2025'!$J$4,IF(Y103="TIPO II",'BASE DE LIQUIDACION 2025'!$J$5,IF(Y103="TIPO III",'BASE DE LIQUIDACION 2025'!$J$6,IF(Y103="TIPO IV",'BASE DE LIQUIDACION 2025'!$J$7,'BASE DE LIQUIDACION 2025'!$J$8)))))</f>
        <v>57411.974240000003</v>
      </c>
      <c r="AF103" s="55">
        <f>IF(W103="SOPORTE_TELEFÓNICO",'BASE DE LIQUIDACION 2025'!$L$4,IF(W103="ENVÍO",'BASE DE LIQUIDACION 2025'!$K$4,AD103*AB103+AE103*AC103))</f>
        <v>96001.196280000004</v>
      </c>
    </row>
    <row r="104" spans="1:32" s="46" customFormat="1" ht="12.75">
      <c r="A104" s="86" t="s">
        <v>260</v>
      </c>
      <c r="B104" s="86" t="str">
        <f>VLOOKUP(A104,'CENTRO DE COSTOS'!A:D,4,FALSE)</f>
        <v>KEVIN ALEXIS CORZO BUSTOS</v>
      </c>
      <c r="C104" s="86" t="str">
        <f>VLOOKUP(A104,'CENTRO DE COSTOS'!A:D,2,FALSE)</f>
        <v>0004-0007</v>
      </c>
      <c r="D104" s="86">
        <v>50001</v>
      </c>
      <c r="E104" s="86">
        <v>2652886</v>
      </c>
      <c r="F104" s="86">
        <v>76863</v>
      </c>
      <c r="G104" s="86" t="s">
        <v>2840</v>
      </c>
      <c r="H104" s="86" t="s">
        <v>262</v>
      </c>
      <c r="I104" s="86" t="s">
        <v>260</v>
      </c>
      <c r="J104" s="86" t="s">
        <v>3174</v>
      </c>
      <c r="K104" s="86" t="s">
        <v>137</v>
      </c>
      <c r="L104" s="86" t="s">
        <v>3175</v>
      </c>
      <c r="M104" s="87">
        <v>45896.556944444441</v>
      </c>
      <c r="N104" s="87">
        <v>45897.522222222222</v>
      </c>
      <c r="O104" s="86"/>
      <c r="P104" s="86" t="s">
        <v>2843</v>
      </c>
      <c r="Q104" s="86" t="s">
        <v>2844</v>
      </c>
      <c r="R104" s="88" t="s">
        <v>2845</v>
      </c>
      <c r="S104" s="89" t="s">
        <v>2845</v>
      </c>
      <c r="T104" s="86" t="s">
        <v>2846</v>
      </c>
      <c r="U104" s="86" t="s">
        <v>2847</v>
      </c>
      <c r="V104" s="86" t="s">
        <v>3176</v>
      </c>
      <c r="W104" s="86" t="s">
        <v>2849</v>
      </c>
      <c r="X104" s="86">
        <v>0</v>
      </c>
      <c r="Y104" s="90" t="s">
        <v>52</v>
      </c>
      <c r="Z104" s="90" t="s">
        <v>145</v>
      </c>
      <c r="AA104" s="86" t="s">
        <v>909</v>
      </c>
      <c r="AB104" s="86">
        <v>1</v>
      </c>
      <c r="AC104" s="86">
        <v>0</v>
      </c>
      <c r="AD104" s="55">
        <f>IF(OR(W104="SOPORTE_TELEFÓNICO",W104="ENVÍO"),0,IF(Y104="TIPO I",'BASE DE LIQUIDACION 2025'!$I$4,IF(Y104="TIPO II",'BASE DE LIQUIDACION 2025'!$I$5,IF(Y104="TIPO III",'BASE DE LIQUIDACION 2025'!$I$6,IF(Y104="TIPO IV",'BASE DE LIQUIDACION 2025'!$I$7,'BASE DE LIQUIDACION 2025'!$I$8)))))</f>
        <v>96001.196280000004</v>
      </c>
      <c r="AE104" s="55">
        <f>IF(OR(W104="SOPORTE_TELEFÓNICO",W104="ENVÍO"),0,IF(Y104="TIPO I",'BASE DE LIQUIDACION 2025'!$J$4,IF(Y104="TIPO II",'BASE DE LIQUIDACION 2025'!$J$5,IF(Y104="TIPO III",'BASE DE LIQUIDACION 2025'!$J$6,IF(Y104="TIPO IV",'BASE DE LIQUIDACION 2025'!$J$7,'BASE DE LIQUIDACION 2025'!$J$8)))))</f>
        <v>57411.974240000003</v>
      </c>
      <c r="AF104" s="55">
        <f>IF(W104="SOPORTE_TELEFÓNICO",'BASE DE LIQUIDACION 2025'!$L$4,IF(W104="ENVÍO",'BASE DE LIQUIDACION 2025'!$K$4,AD104*AB104+AE104*AC104))</f>
        <v>96001.196280000004</v>
      </c>
    </row>
    <row r="105" spans="1:32" s="46" customFormat="1" ht="12.75">
      <c r="A105" s="86" t="s">
        <v>175</v>
      </c>
      <c r="B105" s="86" t="str">
        <f>VLOOKUP(A105,'CENTRO DE COSTOS'!A:D,4,FALSE)</f>
        <v>JUAN SEBASTIÁN RÍOS CASTRILLÓN</v>
      </c>
      <c r="C105" s="86" t="str">
        <f>VLOOKUP(A105,'CENTRO DE COSTOS'!A:D,2,FALSE)</f>
        <v>0004-0005</v>
      </c>
      <c r="D105" s="86">
        <v>27361</v>
      </c>
      <c r="E105" s="86">
        <v>2634336</v>
      </c>
      <c r="F105" s="86">
        <v>41733</v>
      </c>
      <c r="G105" s="86" t="s">
        <v>2840</v>
      </c>
      <c r="H105" s="86" t="s">
        <v>1362</v>
      </c>
      <c r="I105" s="86" t="s">
        <v>2405</v>
      </c>
      <c r="J105" s="86" t="s">
        <v>3177</v>
      </c>
      <c r="K105" s="86" t="s">
        <v>137</v>
      </c>
      <c r="L105" s="86" t="s">
        <v>3178</v>
      </c>
      <c r="M105" s="87">
        <v>45892.386111111111</v>
      </c>
      <c r="N105" s="87">
        <v>45897.524305555547</v>
      </c>
      <c r="O105" s="86"/>
      <c r="P105" s="86" t="s">
        <v>2843</v>
      </c>
      <c r="Q105" s="86" t="s">
        <v>2844</v>
      </c>
      <c r="R105" s="88" t="s">
        <v>2845</v>
      </c>
      <c r="S105" s="89" t="s">
        <v>2845</v>
      </c>
      <c r="T105" s="86" t="s">
        <v>2846</v>
      </c>
      <c r="U105" s="86" t="s">
        <v>2847</v>
      </c>
      <c r="V105" s="86" t="s">
        <v>3179</v>
      </c>
      <c r="W105" s="86" t="s">
        <v>2849</v>
      </c>
      <c r="X105" s="86">
        <v>0</v>
      </c>
      <c r="Y105" s="90" t="s">
        <v>160</v>
      </c>
      <c r="Z105" s="90" t="s">
        <v>1369</v>
      </c>
      <c r="AA105" s="86" t="s">
        <v>1367</v>
      </c>
      <c r="AB105" s="86">
        <v>1</v>
      </c>
      <c r="AC105" s="86">
        <v>0</v>
      </c>
      <c r="AD105" s="55">
        <f>IF(OR(W105="SOPORTE_TELEFÓNICO",W105="ENVÍO"),0,IF(Y105="TIPO I",'BASE DE LIQUIDACION 2025'!$I$4,IF(Y105="TIPO II",'BASE DE LIQUIDACION 2025'!$I$5,IF(Y105="TIPO III",'BASE DE LIQUIDACION 2025'!$I$6,IF(Y105="TIPO IV",'BASE DE LIQUIDACION 2025'!$I$7,'BASE DE LIQUIDACION 2025'!$I$8)))))</f>
        <v>548633.63271999999</v>
      </c>
      <c r="AE105" s="55">
        <f>IF(OR(W105="SOPORTE_TELEFÓNICO",W105="ENVÍO"),0,IF(Y105="TIPO I",'BASE DE LIQUIDACION 2025'!$J$4,IF(Y105="TIPO II",'BASE DE LIQUIDACION 2025'!$J$5,IF(Y105="TIPO III",'BASE DE LIQUIDACION 2025'!$J$6,IF(Y105="TIPO IV",'BASE DE LIQUIDACION 2025'!$J$7,'BASE DE LIQUIDACION 2025'!$J$8)))))</f>
        <v>110808.27512000001</v>
      </c>
      <c r="AF105" s="55">
        <f>IF(W105="SOPORTE_TELEFÓNICO",'BASE DE LIQUIDACION 2025'!$L$4,IF(W105="ENVÍO",'BASE DE LIQUIDACION 2025'!$K$4,AD105*AB105+AE105*AC105))</f>
        <v>548633.63271999999</v>
      </c>
    </row>
    <row r="106" spans="1:32" s="46" customFormat="1" ht="12.75">
      <c r="A106" s="86" t="s">
        <v>260</v>
      </c>
      <c r="B106" s="86" t="str">
        <f>VLOOKUP(A106,'CENTRO DE COSTOS'!A:D,4,FALSE)</f>
        <v>KEVIN ALEXIS CORZO BUSTOS</v>
      </c>
      <c r="C106" s="86" t="str">
        <f>VLOOKUP(A106,'CENTRO DE COSTOS'!A:D,2,FALSE)</f>
        <v>0004-0007</v>
      </c>
      <c r="D106" s="86">
        <v>50006</v>
      </c>
      <c r="E106" s="86">
        <v>2655009</v>
      </c>
      <c r="F106" s="86">
        <v>24607</v>
      </c>
      <c r="G106" s="86" t="s">
        <v>2840</v>
      </c>
      <c r="H106" s="86" t="s">
        <v>262</v>
      </c>
      <c r="I106" s="86" t="s">
        <v>905</v>
      </c>
      <c r="J106" s="86" t="s">
        <v>3180</v>
      </c>
      <c r="K106" s="86" t="s">
        <v>137</v>
      </c>
      <c r="L106" s="86" t="s">
        <v>3181</v>
      </c>
      <c r="M106" s="87">
        <v>45896.723611111112</v>
      </c>
      <c r="N106" s="87">
        <v>45897.686805555553</v>
      </c>
      <c r="O106" s="86"/>
      <c r="P106" s="86" t="s">
        <v>2843</v>
      </c>
      <c r="Q106" s="86" t="s">
        <v>2844</v>
      </c>
      <c r="R106" s="88" t="s">
        <v>2845</v>
      </c>
      <c r="S106" s="89" t="s">
        <v>2845</v>
      </c>
      <c r="T106" s="86" t="s">
        <v>2846</v>
      </c>
      <c r="U106" s="86" t="s">
        <v>2847</v>
      </c>
      <c r="V106" s="86" t="s">
        <v>3182</v>
      </c>
      <c r="W106" s="86" t="s">
        <v>2849</v>
      </c>
      <c r="X106" s="86">
        <v>0</v>
      </c>
      <c r="Y106" s="90" t="s">
        <v>202</v>
      </c>
      <c r="Z106" s="90" t="s">
        <v>145</v>
      </c>
      <c r="AA106" s="86" t="s">
        <v>267</v>
      </c>
      <c r="AB106" s="86">
        <v>1</v>
      </c>
      <c r="AC106" s="86">
        <v>0</v>
      </c>
      <c r="AD106" s="55">
        <f>IF(OR(W106="SOPORTE_TELEFÓNICO",W106="ENVÍO"),0,IF(Y106="TIPO I",'BASE DE LIQUIDACION 2025'!$I$4,IF(Y106="TIPO II",'BASE DE LIQUIDACION 2025'!$I$5,IF(Y106="TIPO III",'BASE DE LIQUIDACION 2025'!$I$6,IF(Y106="TIPO IV",'BASE DE LIQUIDACION 2025'!$I$7,'BASE DE LIQUIDACION 2025'!$I$8)))))</f>
        <v>232858.60096000001</v>
      </c>
      <c r="AE106" s="55">
        <f>IF(OR(W106="SOPORTE_TELEFÓNICO",W106="ENVÍO"),0,IF(Y106="TIPO I",'BASE DE LIQUIDACION 2025'!$J$4,IF(Y106="TIPO II",'BASE DE LIQUIDACION 2025'!$J$5,IF(Y106="TIPO III",'BASE DE LIQUIDACION 2025'!$J$6,IF(Y106="TIPO IV",'BASE DE LIQUIDACION 2025'!$J$7,'BASE DE LIQUIDACION 2025'!$J$8)))))</f>
        <v>110808.27512000001</v>
      </c>
      <c r="AF106" s="55">
        <f>IF(W106="SOPORTE_TELEFÓNICO",'BASE DE LIQUIDACION 2025'!$L$4,IF(W106="ENVÍO",'BASE DE LIQUIDACION 2025'!$K$4,AD106*AB106+AE106*AC106))</f>
        <v>232858.60096000001</v>
      </c>
    </row>
    <row r="107" spans="1:32" s="46" customFormat="1" ht="12.75">
      <c r="A107" s="86" t="s">
        <v>260</v>
      </c>
      <c r="B107" s="86" t="str">
        <f>VLOOKUP(A107,'CENTRO DE COSTOS'!A:D,4,FALSE)</f>
        <v>KEVIN ALEXIS CORZO BUSTOS</v>
      </c>
      <c r="C107" s="86" t="str">
        <f>VLOOKUP(A107,'CENTRO DE COSTOS'!A:D,2,FALSE)</f>
        <v>0004-0007</v>
      </c>
      <c r="D107" s="86">
        <v>50006</v>
      </c>
      <c r="E107" s="86">
        <v>2652621</v>
      </c>
      <c r="F107" s="86">
        <v>70936</v>
      </c>
      <c r="G107" s="86" t="s">
        <v>2840</v>
      </c>
      <c r="H107" s="86" t="s">
        <v>262</v>
      </c>
      <c r="I107" s="86" t="s">
        <v>905</v>
      </c>
      <c r="J107" s="86" t="s">
        <v>3183</v>
      </c>
      <c r="K107" s="86" t="s">
        <v>137</v>
      </c>
      <c r="L107" s="86" t="s">
        <v>3184</v>
      </c>
      <c r="M107" s="87">
        <v>45896.498611111107</v>
      </c>
      <c r="N107" s="87">
        <v>45897.694444444453</v>
      </c>
      <c r="O107" s="86"/>
      <c r="P107" s="86" t="s">
        <v>2843</v>
      </c>
      <c r="Q107" s="86" t="s">
        <v>2844</v>
      </c>
      <c r="R107" s="88" t="s">
        <v>2845</v>
      </c>
      <c r="S107" s="89" t="s">
        <v>2845</v>
      </c>
      <c r="T107" s="86" t="s">
        <v>2867</v>
      </c>
      <c r="U107" s="86" t="s">
        <v>3001</v>
      </c>
      <c r="V107" s="86" t="s">
        <v>3185</v>
      </c>
      <c r="W107" s="86" t="s">
        <v>2849</v>
      </c>
      <c r="X107" s="86">
        <v>0</v>
      </c>
      <c r="Y107" s="90" t="s">
        <v>202</v>
      </c>
      <c r="Z107" s="90" t="s">
        <v>145</v>
      </c>
      <c r="AA107" s="86" t="s">
        <v>267</v>
      </c>
      <c r="AB107" s="86">
        <v>1</v>
      </c>
      <c r="AC107" s="86">
        <v>0</v>
      </c>
      <c r="AD107" s="55">
        <f>IF(OR(W107="SOPORTE_TELEFÓNICO",W107="ENVÍO"),0,IF(Y107="TIPO I",'BASE DE LIQUIDACION 2025'!$I$4,IF(Y107="TIPO II",'BASE DE LIQUIDACION 2025'!$I$5,IF(Y107="TIPO III",'BASE DE LIQUIDACION 2025'!$I$6,IF(Y107="TIPO IV",'BASE DE LIQUIDACION 2025'!$I$7,'BASE DE LIQUIDACION 2025'!$I$8)))))</f>
        <v>232858.60096000001</v>
      </c>
      <c r="AE107" s="55">
        <f>IF(OR(W107="SOPORTE_TELEFÓNICO",W107="ENVÍO"),0,IF(Y107="TIPO I",'BASE DE LIQUIDACION 2025'!$J$4,IF(Y107="TIPO II",'BASE DE LIQUIDACION 2025'!$J$5,IF(Y107="TIPO III",'BASE DE LIQUIDACION 2025'!$J$6,IF(Y107="TIPO IV",'BASE DE LIQUIDACION 2025'!$J$7,'BASE DE LIQUIDACION 2025'!$J$8)))))</f>
        <v>110808.27512000001</v>
      </c>
      <c r="AF107" s="55">
        <f>IF(W107="SOPORTE_TELEFÓNICO",'BASE DE LIQUIDACION 2025'!$L$4,IF(W107="ENVÍO",'BASE DE LIQUIDACION 2025'!$K$4,AD107*AB107+AE107*AC107))</f>
        <v>232858.60096000001</v>
      </c>
    </row>
    <row r="108" spans="1:32" s="46" customFormat="1" ht="12.75">
      <c r="A108" s="86" t="s">
        <v>175</v>
      </c>
      <c r="B108" s="86" t="str">
        <f>VLOOKUP(A108,'CENTRO DE COSTOS'!A:D,4,FALSE)</f>
        <v>JUAN SEBASTIÁN RÍOS CASTRILLÓN</v>
      </c>
      <c r="C108" s="86" t="str">
        <f>VLOOKUP(A108,'CENTRO DE COSTOS'!A:D,2,FALSE)</f>
        <v>0004-0005</v>
      </c>
      <c r="D108" s="86">
        <v>5001</v>
      </c>
      <c r="E108" s="86">
        <v>2652222</v>
      </c>
      <c r="F108" s="86">
        <v>24787</v>
      </c>
      <c r="G108" s="86" t="s">
        <v>2840</v>
      </c>
      <c r="H108" s="86" t="s">
        <v>178</v>
      </c>
      <c r="I108" s="86" t="s">
        <v>175</v>
      </c>
      <c r="J108" s="86" t="s">
        <v>3186</v>
      </c>
      <c r="K108" s="86" t="s">
        <v>137</v>
      </c>
      <c r="L108" s="86" t="s">
        <v>3187</v>
      </c>
      <c r="M108" s="87">
        <v>45896.473611111112</v>
      </c>
      <c r="N108" s="87">
        <v>45897.695833333331</v>
      </c>
      <c r="O108" s="86"/>
      <c r="P108" s="86" t="s">
        <v>2843</v>
      </c>
      <c r="Q108" s="86" t="s">
        <v>2844</v>
      </c>
      <c r="R108" s="88" t="s">
        <v>181</v>
      </c>
      <c r="S108" s="89" t="s">
        <v>707</v>
      </c>
      <c r="T108" s="86" t="s">
        <v>2846</v>
      </c>
      <c r="U108" s="86" t="s">
        <v>2847</v>
      </c>
      <c r="V108" s="86" t="s">
        <v>3188</v>
      </c>
      <c r="W108" s="86" t="s">
        <v>2849</v>
      </c>
      <c r="X108" s="86">
        <v>0</v>
      </c>
      <c r="Y108" s="90" t="s">
        <v>52</v>
      </c>
      <c r="Z108" s="90" t="s">
        <v>145</v>
      </c>
      <c r="AA108" s="86" t="s">
        <v>189</v>
      </c>
      <c r="AB108" s="86">
        <v>1</v>
      </c>
      <c r="AC108" s="86">
        <v>0</v>
      </c>
      <c r="AD108" s="55">
        <f>IF(OR(W108="SOPORTE_TELEFÓNICO",W108="ENVÍO"),0,IF(Y108="TIPO I",'BASE DE LIQUIDACION 2025'!$I$4,IF(Y108="TIPO II",'BASE DE LIQUIDACION 2025'!$I$5,IF(Y108="TIPO III",'BASE DE LIQUIDACION 2025'!$I$6,IF(Y108="TIPO IV",'BASE DE LIQUIDACION 2025'!$I$7,'BASE DE LIQUIDACION 2025'!$I$8)))))</f>
        <v>96001.196280000004</v>
      </c>
      <c r="AE108" s="55">
        <f>IF(OR(W108="SOPORTE_TELEFÓNICO",W108="ENVÍO"),0,IF(Y108="TIPO I",'BASE DE LIQUIDACION 2025'!$J$4,IF(Y108="TIPO II",'BASE DE LIQUIDACION 2025'!$J$5,IF(Y108="TIPO III",'BASE DE LIQUIDACION 2025'!$J$6,IF(Y108="TIPO IV",'BASE DE LIQUIDACION 2025'!$J$7,'BASE DE LIQUIDACION 2025'!$J$8)))))</f>
        <v>57411.974240000003</v>
      </c>
      <c r="AF108" s="55">
        <f>IF(W108="SOPORTE_TELEFÓNICO",'BASE DE LIQUIDACION 2025'!$L$4,IF(W108="ENVÍO",'BASE DE LIQUIDACION 2025'!$K$4,AD108*AB108+AE108*AC108))</f>
        <v>96001.196280000004</v>
      </c>
    </row>
    <row r="109" spans="1:32" s="46" customFormat="1" ht="12.75">
      <c r="A109" s="86" t="s">
        <v>269</v>
      </c>
      <c r="B109" s="86" t="str">
        <f>VLOOKUP(A109,'CENTRO DE COSTOS'!A:D,4,FALSE)</f>
        <v>MIGUEL JULIÁN HERNÁNDEZ GUARÍN</v>
      </c>
      <c r="C109" s="86" t="str">
        <f>VLOOKUP(A109,'CENTRO DE COSTOS'!A:D,2,FALSE)</f>
        <v>0004-0008</v>
      </c>
      <c r="D109" s="86">
        <v>68276</v>
      </c>
      <c r="E109" s="86">
        <v>2652065</v>
      </c>
      <c r="F109" s="86">
        <v>53348</v>
      </c>
      <c r="G109" s="86" t="s">
        <v>2840</v>
      </c>
      <c r="H109" s="86" t="s">
        <v>795</v>
      </c>
      <c r="I109" s="86" t="s">
        <v>925</v>
      </c>
      <c r="J109" s="86" t="s">
        <v>3189</v>
      </c>
      <c r="K109" s="86" t="s">
        <v>137</v>
      </c>
      <c r="L109" s="86" t="s">
        <v>3190</v>
      </c>
      <c r="M109" s="87">
        <v>45896.470138888893</v>
      </c>
      <c r="N109" s="87">
        <v>45897.698611111111</v>
      </c>
      <c r="O109" s="86"/>
      <c r="P109" s="86" t="s">
        <v>2843</v>
      </c>
      <c r="Q109" s="86" t="s">
        <v>2844</v>
      </c>
      <c r="R109" s="88" t="s">
        <v>181</v>
      </c>
      <c r="S109" s="89" t="s">
        <v>182</v>
      </c>
      <c r="T109" s="86" t="s">
        <v>2846</v>
      </c>
      <c r="U109" s="86" t="s">
        <v>2847</v>
      </c>
      <c r="V109" s="86" t="s">
        <v>3191</v>
      </c>
      <c r="W109" s="86" t="s">
        <v>2849</v>
      </c>
      <c r="X109" s="86">
        <v>0</v>
      </c>
      <c r="Y109" s="90" t="s">
        <v>52</v>
      </c>
      <c r="Z109" s="90" t="s">
        <v>145</v>
      </c>
      <c r="AA109" s="86" t="s">
        <v>822</v>
      </c>
      <c r="AB109" s="86">
        <v>2</v>
      </c>
      <c r="AC109" s="86">
        <v>3</v>
      </c>
      <c r="AD109" s="55">
        <f>IF(OR(W109="SOPORTE_TELEFÓNICO",W109="ENVÍO"),0,IF(Y109="TIPO I",'BASE DE LIQUIDACION 2025'!$I$4,IF(Y109="TIPO II",'BASE DE LIQUIDACION 2025'!$I$5,IF(Y109="TIPO III",'BASE DE LIQUIDACION 2025'!$I$6,IF(Y109="TIPO IV",'BASE DE LIQUIDACION 2025'!$I$7,'BASE DE LIQUIDACION 2025'!$I$8)))))</f>
        <v>96001.196280000004</v>
      </c>
      <c r="AE109" s="55">
        <f>IF(OR(W109="SOPORTE_TELEFÓNICO",W109="ENVÍO"),0,IF(Y109="TIPO I",'BASE DE LIQUIDACION 2025'!$J$4,IF(Y109="TIPO II",'BASE DE LIQUIDACION 2025'!$J$5,IF(Y109="TIPO III",'BASE DE LIQUIDACION 2025'!$J$6,IF(Y109="TIPO IV",'BASE DE LIQUIDACION 2025'!$J$7,'BASE DE LIQUIDACION 2025'!$J$8)))))</f>
        <v>57411.974240000003</v>
      </c>
      <c r="AF109" s="55">
        <f>IF(W109="SOPORTE_TELEFÓNICO",'BASE DE LIQUIDACION 2025'!$L$4,IF(W109="ENVÍO",'BASE DE LIQUIDACION 2025'!$K$4,AD109*AB109+AE109*AC109))</f>
        <v>364238.31527999998</v>
      </c>
    </row>
    <row r="110" spans="1:32" s="46" customFormat="1" ht="12.75">
      <c r="A110" s="86" t="s">
        <v>371</v>
      </c>
      <c r="B110" s="86" t="str">
        <f>VLOOKUP(A110,'CENTRO DE COSTOS'!A:D,4,FALSE)</f>
        <v>JOSE MAURICIO HERNANDEZ ROJAS</v>
      </c>
      <c r="C110" s="86" t="str">
        <f>VLOOKUP(A110,'CENTRO DE COSTOS'!A:D,2,FALSE)</f>
        <v>0004-0001</v>
      </c>
      <c r="D110" s="86">
        <v>70713</v>
      </c>
      <c r="E110" s="86">
        <v>2648208</v>
      </c>
      <c r="F110" s="86">
        <v>24624</v>
      </c>
      <c r="G110" s="86" t="s">
        <v>2840</v>
      </c>
      <c r="H110" s="86" t="s">
        <v>373</v>
      </c>
      <c r="I110" s="86" t="s">
        <v>3192</v>
      </c>
      <c r="J110" s="86" t="s">
        <v>3193</v>
      </c>
      <c r="K110" s="86" t="s">
        <v>137</v>
      </c>
      <c r="L110" s="86" t="s">
        <v>3194</v>
      </c>
      <c r="M110" s="87">
        <v>45895.668055555558</v>
      </c>
      <c r="N110" s="87">
        <v>45897.70416666667</v>
      </c>
      <c r="O110" s="86"/>
      <c r="P110" s="86" t="s">
        <v>2843</v>
      </c>
      <c r="Q110" s="86" t="s">
        <v>2844</v>
      </c>
      <c r="R110" s="88" t="s">
        <v>181</v>
      </c>
      <c r="S110" s="89" t="s">
        <v>182</v>
      </c>
      <c r="T110" s="86" t="s">
        <v>2846</v>
      </c>
      <c r="U110" s="86" t="s">
        <v>2847</v>
      </c>
      <c r="V110" s="86" t="s">
        <v>3195</v>
      </c>
      <c r="W110" s="86" t="s">
        <v>2849</v>
      </c>
      <c r="X110" s="86">
        <v>0</v>
      </c>
      <c r="Y110" s="90" t="s">
        <v>202</v>
      </c>
      <c r="Z110" s="90" t="s">
        <v>145</v>
      </c>
      <c r="AA110" s="86" t="s">
        <v>1860</v>
      </c>
      <c r="AB110" s="86">
        <v>1</v>
      </c>
      <c r="AC110" s="86">
        <v>0</v>
      </c>
      <c r="AD110" s="55">
        <f>IF(OR(W110="SOPORTE_TELEFÓNICO",W110="ENVÍO"),0,IF(Y110="TIPO I",'BASE DE LIQUIDACION 2025'!$I$4,IF(Y110="TIPO II",'BASE DE LIQUIDACION 2025'!$I$5,IF(Y110="TIPO III",'BASE DE LIQUIDACION 2025'!$I$6,IF(Y110="TIPO IV",'BASE DE LIQUIDACION 2025'!$I$7,'BASE DE LIQUIDACION 2025'!$I$8)))))</f>
        <v>232858.60096000001</v>
      </c>
      <c r="AE110" s="55">
        <f>IF(OR(W110="SOPORTE_TELEFÓNICO",W110="ENVÍO"),0,IF(Y110="TIPO I",'BASE DE LIQUIDACION 2025'!$J$4,IF(Y110="TIPO II",'BASE DE LIQUIDACION 2025'!$J$5,IF(Y110="TIPO III",'BASE DE LIQUIDACION 2025'!$J$6,IF(Y110="TIPO IV",'BASE DE LIQUIDACION 2025'!$J$7,'BASE DE LIQUIDACION 2025'!$J$8)))))</f>
        <v>110808.27512000001</v>
      </c>
      <c r="AF110" s="55">
        <f>IF(W110="SOPORTE_TELEFÓNICO",'BASE DE LIQUIDACION 2025'!$L$4,IF(W110="ENVÍO",'BASE DE LIQUIDACION 2025'!$K$4,AD110*AB110+AE110*AC110))</f>
        <v>232858.60096000001</v>
      </c>
    </row>
    <row r="111" spans="1:32" s="46" customFormat="1" ht="12.75">
      <c r="A111" s="86" t="s">
        <v>175</v>
      </c>
      <c r="B111" s="86" t="str">
        <f>VLOOKUP(A111,'CENTRO DE COSTOS'!A:D,4,FALSE)</f>
        <v>JUAN SEBASTIÁN RÍOS CASTRILLÓN</v>
      </c>
      <c r="C111" s="86" t="str">
        <f>VLOOKUP(A111,'CENTRO DE COSTOS'!A:D,2,FALSE)</f>
        <v>0004-0005</v>
      </c>
      <c r="D111" s="86">
        <v>5001</v>
      </c>
      <c r="E111" s="86">
        <v>2640365</v>
      </c>
      <c r="F111" s="86">
        <v>79587</v>
      </c>
      <c r="G111" s="86" t="s">
        <v>2840</v>
      </c>
      <c r="H111" s="86" t="s">
        <v>178</v>
      </c>
      <c r="I111" s="86" t="s">
        <v>175</v>
      </c>
      <c r="J111" s="86" t="s">
        <v>3196</v>
      </c>
      <c r="K111" s="86" t="s">
        <v>137</v>
      </c>
      <c r="L111" s="86" t="s">
        <v>3197</v>
      </c>
      <c r="M111" s="87">
        <v>45894.607638888891</v>
      </c>
      <c r="N111" s="87">
        <v>45897.705555555563</v>
      </c>
      <c r="O111" s="86"/>
      <c r="P111" s="86" t="s">
        <v>2843</v>
      </c>
      <c r="Q111" s="86" t="s">
        <v>2844</v>
      </c>
      <c r="R111" s="88" t="s">
        <v>2845</v>
      </c>
      <c r="S111" s="89" t="s">
        <v>2845</v>
      </c>
      <c r="T111" s="86" t="s">
        <v>2846</v>
      </c>
      <c r="U111" s="86" t="s">
        <v>2847</v>
      </c>
      <c r="V111" s="86" t="s">
        <v>3198</v>
      </c>
      <c r="W111" s="86" t="s">
        <v>2849</v>
      </c>
      <c r="X111" s="86">
        <v>0</v>
      </c>
      <c r="Y111" s="90" t="s">
        <v>52</v>
      </c>
      <c r="Z111" s="90" t="s">
        <v>145</v>
      </c>
      <c r="AA111" s="86" t="s">
        <v>189</v>
      </c>
      <c r="AB111" s="86">
        <v>1</v>
      </c>
      <c r="AC111" s="86">
        <v>0</v>
      </c>
      <c r="AD111" s="55">
        <f>IF(OR(W111="SOPORTE_TELEFÓNICO",W111="ENVÍO"),0,IF(Y111="TIPO I",'BASE DE LIQUIDACION 2025'!$I$4,IF(Y111="TIPO II",'BASE DE LIQUIDACION 2025'!$I$5,IF(Y111="TIPO III",'BASE DE LIQUIDACION 2025'!$I$6,IF(Y111="TIPO IV",'BASE DE LIQUIDACION 2025'!$I$7,'BASE DE LIQUIDACION 2025'!$I$8)))))</f>
        <v>96001.196280000004</v>
      </c>
      <c r="AE111" s="55">
        <f>IF(OR(W111="SOPORTE_TELEFÓNICO",W111="ENVÍO"),0,IF(Y111="TIPO I",'BASE DE LIQUIDACION 2025'!$J$4,IF(Y111="TIPO II",'BASE DE LIQUIDACION 2025'!$J$5,IF(Y111="TIPO III",'BASE DE LIQUIDACION 2025'!$J$6,IF(Y111="TIPO IV",'BASE DE LIQUIDACION 2025'!$J$7,'BASE DE LIQUIDACION 2025'!$J$8)))))</f>
        <v>57411.974240000003</v>
      </c>
      <c r="AF111" s="55">
        <f>IF(W111="SOPORTE_TELEFÓNICO",'BASE DE LIQUIDACION 2025'!$L$4,IF(W111="ENVÍO",'BASE DE LIQUIDACION 2025'!$K$4,AD111*AB111+AE111*AC111))</f>
        <v>96001.196280000004</v>
      </c>
    </row>
    <row r="112" spans="1:32" s="46" customFormat="1" ht="12.75">
      <c r="A112" s="86" t="s">
        <v>175</v>
      </c>
      <c r="B112" s="86" t="str">
        <f>VLOOKUP(A112,'CENTRO DE COSTOS'!A:D,4,FALSE)</f>
        <v>JUAN SEBASTIÁN RÍOS CASTRILLÓN</v>
      </c>
      <c r="C112" s="86" t="str">
        <f>VLOOKUP(A112,'CENTRO DE COSTOS'!A:D,2,FALSE)</f>
        <v>0004-0005</v>
      </c>
      <c r="D112" s="86">
        <v>5001</v>
      </c>
      <c r="E112" s="86">
        <v>2636491</v>
      </c>
      <c r="F112" s="86">
        <v>75950</v>
      </c>
      <c r="G112" s="86" t="s">
        <v>2840</v>
      </c>
      <c r="H112" s="86" t="s">
        <v>178</v>
      </c>
      <c r="I112" s="86" t="s">
        <v>175</v>
      </c>
      <c r="J112" s="86" t="s">
        <v>3199</v>
      </c>
      <c r="K112" s="86" t="s">
        <v>137</v>
      </c>
      <c r="L112" s="86" t="s">
        <v>3200</v>
      </c>
      <c r="M112" s="87">
        <v>45894.353472222218</v>
      </c>
      <c r="N112" s="87">
        <v>45897.707638888889</v>
      </c>
      <c r="O112" s="86"/>
      <c r="P112" s="86" t="s">
        <v>2843</v>
      </c>
      <c r="Q112" s="86" t="s">
        <v>2844</v>
      </c>
      <c r="R112" s="88" t="s">
        <v>2845</v>
      </c>
      <c r="S112" s="89" t="s">
        <v>2845</v>
      </c>
      <c r="T112" s="86" t="s">
        <v>2846</v>
      </c>
      <c r="U112" s="86" t="s">
        <v>2847</v>
      </c>
      <c r="V112" s="86" t="s">
        <v>3201</v>
      </c>
      <c r="W112" s="86" t="s">
        <v>2849</v>
      </c>
      <c r="X112" s="86">
        <v>0</v>
      </c>
      <c r="Y112" s="90" t="s">
        <v>52</v>
      </c>
      <c r="Z112" s="90" t="s">
        <v>145</v>
      </c>
      <c r="AA112" s="86" t="s">
        <v>2245</v>
      </c>
      <c r="AB112" s="86">
        <v>1</v>
      </c>
      <c r="AC112" s="86">
        <v>0</v>
      </c>
      <c r="AD112" s="55">
        <f>IF(OR(W112="SOPORTE_TELEFÓNICO",W112="ENVÍO"),0,IF(Y112="TIPO I",'BASE DE LIQUIDACION 2025'!$I$4,IF(Y112="TIPO II",'BASE DE LIQUIDACION 2025'!$I$5,IF(Y112="TIPO III",'BASE DE LIQUIDACION 2025'!$I$6,IF(Y112="TIPO IV",'BASE DE LIQUIDACION 2025'!$I$7,'BASE DE LIQUIDACION 2025'!$I$8)))))</f>
        <v>96001.196280000004</v>
      </c>
      <c r="AE112" s="55">
        <f>IF(OR(W112="SOPORTE_TELEFÓNICO",W112="ENVÍO"),0,IF(Y112="TIPO I",'BASE DE LIQUIDACION 2025'!$J$4,IF(Y112="TIPO II",'BASE DE LIQUIDACION 2025'!$J$5,IF(Y112="TIPO III",'BASE DE LIQUIDACION 2025'!$J$6,IF(Y112="TIPO IV",'BASE DE LIQUIDACION 2025'!$J$7,'BASE DE LIQUIDACION 2025'!$J$8)))))</f>
        <v>57411.974240000003</v>
      </c>
      <c r="AF112" s="55">
        <f>IF(W112="SOPORTE_TELEFÓNICO",'BASE DE LIQUIDACION 2025'!$L$4,IF(W112="ENVÍO",'BASE DE LIQUIDACION 2025'!$K$4,AD112*AB112+AE112*AC112))</f>
        <v>96001.196280000004</v>
      </c>
    </row>
    <row r="113" spans="1:32" s="46" customFormat="1" ht="12.75">
      <c r="A113" s="86" t="s">
        <v>431</v>
      </c>
      <c r="B113" s="86" t="str">
        <f>VLOOKUP(A113,'CENTRO DE COSTOS'!A:D,4,FALSE)</f>
        <v>WILLIAM ASDRUBAL ROZO ROZO</v>
      </c>
      <c r="C113" s="86" t="str">
        <f>VLOOKUP(A113,'CENTRO DE COSTOS'!A:D,2,FALSE)</f>
        <v>0004-0004</v>
      </c>
      <c r="D113" s="86">
        <v>11001</v>
      </c>
      <c r="E113" s="86">
        <v>2659867</v>
      </c>
      <c r="F113" s="86">
        <v>68541</v>
      </c>
      <c r="G113" s="86" t="s">
        <v>2840</v>
      </c>
      <c r="H113" s="86" t="s">
        <v>433</v>
      </c>
      <c r="I113" s="86" t="s">
        <v>431</v>
      </c>
      <c r="J113" s="86" t="s">
        <v>3202</v>
      </c>
      <c r="K113" s="86" t="s">
        <v>137</v>
      </c>
      <c r="L113" s="86" t="s">
        <v>3203</v>
      </c>
      <c r="M113" s="87">
        <v>45897.618055555547</v>
      </c>
      <c r="N113" s="87">
        <v>45899.363194444442</v>
      </c>
      <c r="O113" s="86"/>
      <c r="P113" s="86" t="s">
        <v>2843</v>
      </c>
      <c r="Q113" s="86" t="s">
        <v>2844</v>
      </c>
      <c r="R113" s="88" t="s">
        <v>2845</v>
      </c>
      <c r="S113" s="89" t="s">
        <v>2845</v>
      </c>
      <c r="T113" s="86" t="s">
        <v>2846</v>
      </c>
      <c r="U113" s="86" t="s">
        <v>2847</v>
      </c>
      <c r="V113" s="86" t="s">
        <v>3204</v>
      </c>
      <c r="W113" s="86" t="s">
        <v>2849</v>
      </c>
      <c r="X113" s="86">
        <v>0</v>
      </c>
      <c r="Y113" s="90" t="s">
        <v>52</v>
      </c>
      <c r="Z113" s="90" t="s">
        <v>145</v>
      </c>
      <c r="AA113" s="86" t="s">
        <v>571</v>
      </c>
      <c r="AB113" s="86">
        <v>1</v>
      </c>
      <c r="AC113" s="86">
        <v>0</v>
      </c>
      <c r="AD113" s="55">
        <f>IF(OR(W113="SOPORTE_TELEFÓNICO",W113="ENVÍO"),0,IF(Y113="TIPO I",'BASE DE LIQUIDACION 2025'!$I$4,IF(Y113="TIPO II",'BASE DE LIQUIDACION 2025'!$I$5,IF(Y113="TIPO III",'BASE DE LIQUIDACION 2025'!$I$6,IF(Y113="TIPO IV",'BASE DE LIQUIDACION 2025'!$I$7,'BASE DE LIQUIDACION 2025'!$I$8)))))</f>
        <v>96001.196280000004</v>
      </c>
      <c r="AE113" s="55">
        <f>IF(OR(W113="SOPORTE_TELEFÓNICO",W113="ENVÍO"),0,IF(Y113="TIPO I",'BASE DE LIQUIDACION 2025'!$J$4,IF(Y113="TIPO II",'BASE DE LIQUIDACION 2025'!$J$5,IF(Y113="TIPO III",'BASE DE LIQUIDACION 2025'!$J$6,IF(Y113="TIPO IV",'BASE DE LIQUIDACION 2025'!$J$7,'BASE DE LIQUIDACION 2025'!$J$8)))))</f>
        <v>57411.974240000003</v>
      </c>
      <c r="AF113" s="55">
        <f>IF(W113="SOPORTE_TELEFÓNICO",'BASE DE LIQUIDACION 2025'!$L$4,IF(W113="ENVÍO",'BASE DE LIQUIDACION 2025'!$K$4,AD113*AB113+AE113*AC113))</f>
        <v>96001.196280000004</v>
      </c>
    </row>
    <row r="114" spans="1:32" s="46" customFormat="1" ht="12.75">
      <c r="A114" s="86" t="s">
        <v>151</v>
      </c>
      <c r="B114" s="86" t="str">
        <f>VLOOKUP(A114,'CENTRO DE COSTOS'!A:D,4,FALSE)</f>
        <v>DIEGO FERNANDO HENAO CARDONA</v>
      </c>
      <c r="C114" s="86" t="str">
        <f>VLOOKUP(A114,'CENTRO DE COSTOS'!A:D,2,FALSE)</f>
        <v>0004-0003</v>
      </c>
      <c r="D114" s="86">
        <v>52001</v>
      </c>
      <c r="E114" s="86">
        <v>2657364</v>
      </c>
      <c r="F114" s="86">
        <v>76904</v>
      </c>
      <c r="G114" s="86" t="s">
        <v>2840</v>
      </c>
      <c r="H114" s="86" t="s">
        <v>153</v>
      </c>
      <c r="I114" s="86" t="s">
        <v>151</v>
      </c>
      <c r="J114" s="86" t="s">
        <v>3205</v>
      </c>
      <c r="K114" s="86" t="s">
        <v>137</v>
      </c>
      <c r="L114" s="86" t="s">
        <v>3206</v>
      </c>
      <c r="M114" s="87">
        <v>45897.418749999997</v>
      </c>
      <c r="N114" s="87">
        <v>45899.365972222222</v>
      </c>
      <c r="O114" s="86"/>
      <c r="P114" s="86" t="s">
        <v>2843</v>
      </c>
      <c r="Q114" s="86" t="s">
        <v>2844</v>
      </c>
      <c r="R114" s="88" t="s">
        <v>2845</v>
      </c>
      <c r="S114" s="89" t="s">
        <v>2845</v>
      </c>
      <c r="T114" s="86" t="s">
        <v>2846</v>
      </c>
      <c r="U114" s="86" t="s">
        <v>2847</v>
      </c>
      <c r="V114" s="86" t="s">
        <v>3207</v>
      </c>
      <c r="W114" s="86" t="s">
        <v>2849</v>
      </c>
      <c r="X114" s="86">
        <v>0</v>
      </c>
      <c r="Y114" s="90" t="s">
        <v>52</v>
      </c>
      <c r="Z114" s="90" t="s">
        <v>145</v>
      </c>
      <c r="AA114" s="86" t="s">
        <v>248</v>
      </c>
      <c r="AB114" s="86">
        <v>1</v>
      </c>
      <c r="AC114" s="86">
        <v>0</v>
      </c>
      <c r="AD114" s="55">
        <f>IF(OR(W114="SOPORTE_TELEFÓNICO",W114="ENVÍO"),0,IF(Y114="TIPO I",'BASE DE LIQUIDACION 2025'!$I$4,IF(Y114="TIPO II",'BASE DE LIQUIDACION 2025'!$I$5,IF(Y114="TIPO III",'BASE DE LIQUIDACION 2025'!$I$6,IF(Y114="TIPO IV",'BASE DE LIQUIDACION 2025'!$I$7,'BASE DE LIQUIDACION 2025'!$I$8)))))</f>
        <v>96001.196280000004</v>
      </c>
      <c r="AE114" s="55">
        <f>IF(OR(W114="SOPORTE_TELEFÓNICO",W114="ENVÍO"),0,IF(Y114="TIPO I",'BASE DE LIQUIDACION 2025'!$J$4,IF(Y114="TIPO II",'BASE DE LIQUIDACION 2025'!$J$5,IF(Y114="TIPO III",'BASE DE LIQUIDACION 2025'!$J$6,IF(Y114="TIPO IV",'BASE DE LIQUIDACION 2025'!$J$7,'BASE DE LIQUIDACION 2025'!$J$8)))))</f>
        <v>57411.974240000003</v>
      </c>
      <c r="AF114" s="55">
        <f>IF(W114="SOPORTE_TELEFÓNICO",'BASE DE LIQUIDACION 2025'!$L$4,IF(W114="ENVÍO",'BASE DE LIQUIDACION 2025'!$K$4,AD114*AB114+AE114*AC114))</f>
        <v>96001.196280000004</v>
      </c>
    </row>
    <row r="115" spans="1:32" s="46" customFormat="1" ht="12.75">
      <c r="A115" s="86" t="s">
        <v>688</v>
      </c>
      <c r="B115" s="86" t="str">
        <f>VLOOKUP(A115,'CENTRO DE COSTOS'!A:D,4,FALSE)</f>
        <v>KEVIN ALEXIS CORZO BUSTOS</v>
      </c>
      <c r="C115" s="86" t="str">
        <f>VLOOKUP(A115,'CENTRO DE COSTOS'!A:D,2,FALSE)</f>
        <v>0004-0007</v>
      </c>
      <c r="D115" s="86">
        <v>73001</v>
      </c>
      <c r="E115" s="86">
        <v>2655452</v>
      </c>
      <c r="F115" s="86">
        <v>53220</v>
      </c>
      <c r="G115" s="86" t="s">
        <v>2840</v>
      </c>
      <c r="H115" s="86" t="s">
        <v>690</v>
      </c>
      <c r="I115" s="86" t="s">
        <v>688</v>
      </c>
      <c r="J115" s="86" t="s">
        <v>3208</v>
      </c>
      <c r="K115" s="86" t="s">
        <v>137</v>
      </c>
      <c r="L115" s="86" t="s">
        <v>3209</v>
      </c>
      <c r="M115" s="87">
        <v>45897.333333333343</v>
      </c>
      <c r="N115" s="87">
        <v>45899.378472222219</v>
      </c>
      <c r="O115" s="86"/>
      <c r="P115" s="86" t="s">
        <v>2843</v>
      </c>
      <c r="Q115" s="86" t="s">
        <v>2844</v>
      </c>
      <c r="R115" s="88" t="s">
        <v>2845</v>
      </c>
      <c r="S115" s="89" t="s">
        <v>2845</v>
      </c>
      <c r="T115" s="86" t="s">
        <v>2846</v>
      </c>
      <c r="U115" s="86" t="s">
        <v>2847</v>
      </c>
      <c r="V115" s="86" t="s">
        <v>3210</v>
      </c>
      <c r="W115" s="86" t="s">
        <v>2849</v>
      </c>
      <c r="X115" s="86">
        <v>0</v>
      </c>
      <c r="Y115" s="90" t="s">
        <v>52</v>
      </c>
      <c r="Z115" s="90" t="s">
        <v>145</v>
      </c>
      <c r="AA115" s="86" t="s">
        <v>3080</v>
      </c>
      <c r="AB115" s="86">
        <v>1</v>
      </c>
      <c r="AC115" s="86">
        <v>0</v>
      </c>
      <c r="AD115" s="55">
        <f>IF(OR(W115="SOPORTE_TELEFÓNICO",W115="ENVÍO"),0,IF(Y115="TIPO I",'BASE DE LIQUIDACION 2025'!$I$4,IF(Y115="TIPO II",'BASE DE LIQUIDACION 2025'!$I$5,IF(Y115="TIPO III",'BASE DE LIQUIDACION 2025'!$I$6,IF(Y115="TIPO IV",'BASE DE LIQUIDACION 2025'!$I$7,'BASE DE LIQUIDACION 2025'!$I$8)))))</f>
        <v>96001.196280000004</v>
      </c>
      <c r="AE115" s="55">
        <f>IF(OR(W115="SOPORTE_TELEFÓNICO",W115="ENVÍO"),0,IF(Y115="TIPO I",'BASE DE LIQUIDACION 2025'!$J$4,IF(Y115="TIPO II",'BASE DE LIQUIDACION 2025'!$J$5,IF(Y115="TIPO III",'BASE DE LIQUIDACION 2025'!$J$6,IF(Y115="TIPO IV",'BASE DE LIQUIDACION 2025'!$J$7,'BASE DE LIQUIDACION 2025'!$J$8)))))</f>
        <v>57411.974240000003</v>
      </c>
      <c r="AF115" s="55">
        <f>IF(W115="SOPORTE_TELEFÓNICO",'BASE DE LIQUIDACION 2025'!$L$4,IF(W115="ENVÍO",'BASE DE LIQUIDACION 2025'!$K$4,AD115*AB115+AE115*AC115))</f>
        <v>96001.196280000004</v>
      </c>
    </row>
    <row r="116" spans="1:32" s="46" customFormat="1" ht="12.75">
      <c r="A116" s="86" t="s">
        <v>203</v>
      </c>
      <c r="B116" s="86" t="str">
        <f>VLOOKUP(A116,'CENTRO DE COSTOS'!A:D,4,FALSE)</f>
        <v>MIGUEL JULIÁN HERNÁNDEZ GUARÍN</v>
      </c>
      <c r="C116" s="86" t="str">
        <f>VLOOKUP(A116,'CENTRO DE COSTOS'!A:D,2,FALSE)</f>
        <v>0004-0008</v>
      </c>
      <c r="D116" s="86">
        <v>15001</v>
      </c>
      <c r="E116" s="86">
        <v>2654966</v>
      </c>
      <c r="F116" s="86">
        <v>77601</v>
      </c>
      <c r="G116" s="86" t="s">
        <v>2840</v>
      </c>
      <c r="H116" s="86" t="s">
        <v>205</v>
      </c>
      <c r="I116" s="86" t="s">
        <v>203</v>
      </c>
      <c r="J116" s="86" t="s">
        <v>3211</v>
      </c>
      <c r="K116" s="86" t="s">
        <v>137</v>
      </c>
      <c r="L116" s="86" t="s">
        <v>3212</v>
      </c>
      <c r="M116" s="87">
        <v>45896.734027777777</v>
      </c>
      <c r="N116" s="87">
        <v>45899.381249999999</v>
      </c>
      <c r="O116" s="86"/>
      <c r="P116" s="86" t="s">
        <v>2843</v>
      </c>
      <c r="Q116" s="86" t="s">
        <v>2844</v>
      </c>
      <c r="R116" s="88" t="s">
        <v>2845</v>
      </c>
      <c r="S116" s="89" t="s">
        <v>2845</v>
      </c>
      <c r="T116" s="86" t="s">
        <v>2846</v>
      </c>
      <c r="U116" s="86" t="s">
        <v>2847</v>
      </c>
      <c r="V116" s="86" t="s">
        <v>3213</v>
      </c>
      <c r="W116" s="86" t="s">
        <v>2849</v>
      </c>
      <c r="X116" s="86">
        <v>0</v>
      </c>
      <c r="Y116" s="90" t="s">
        <v>52</v>
      </c>
      <c r="Z116" s="90" t="s">
        <v>145</v>
      </c>
      <c r="AA116" s="86" t="s">
        <v>520</v>
      </c>
      <c r="AB116" s="86">
        <v>1</v>
      </c>
      <c r="AC116" s="86">
        <v>0</v>
      </c>
      <c r="AD116" s="55">
        <f>IF(OR(W116="SOPORTE_TELEFÓNICO",W116="ENVÍO"),0,IF(Y116="TIPO I",'BASE DE LIQUIDACION 2025'!$I$4,IF(Y116="TIPO II",'BASE DE LIQUIDACION 2025'!$I$5,IF(Y116="TIPO III",'BASE DE LIQUIDACION 2025'!$I$6,IF(Y116="TIPO IV",'BASE DE LIQUIDACION 2025'!$I$7,'BASE DE LIQUIDACION 2025'!$I$8)))))</f>
        <v>96001.196280000004</v>
      </c>
      <c r="AE116" s="55">
        <f>IF(OR(W116="SOPORTE_TELEFÓNICO",W116="ENVÍO"),0,IF(Y116="TIPO I",'BASE DE LIQUIDACION 2025'!$J$4,IF(Y116="TIPO II",'BASE DE LIQUIDACION 2025'!$J$5,IF(Y116="TIPO III",'BASE DE LIQUIDACION 2025'!$J$6,IF(Y116="TIPO IV",'BASE DE LIQUIDACION 2025'!$J$7,'BASE DE LIQUIDACION 2025'!$J$8)))))</f>
        <v>57411.974240000003</v>
      </c>
      <c r="AF116" s="55">
        <f>IF(W116="SOPORTE_TELEFÓNICO",'BASE DE LIQUIDACION 2025'!$L$4,IF(W116="ENVÍO",'BASE DE LIQUIDACION 2025'!$K$4,AD116*AB116+AE116*AC116))</f>
        <v>96001.196280000004</v>
      </c>
    </row>
    <row r="117" spans="1:32" s="46" customFormat="1" ht="12.75">
      <c r="A117" s="86" t="s">
        <v>399</v>
      </c>
      <c r="B117" s="86" t="str">
        <f>VLOOKUP(A117,'CENTRO DE COSTOS'!A:D,4,FALSE)</f>
        <v>JOSE MAURICIO HERNANDEZ ROJAS</v>
      </c>
      <c r="C117" s="86" t="str">
        <f>VLOOKUP(A117,'CENTRO DE COSTOS'!A:D,2,FALSE)</f>
        <v>0004-0001</v>
      </c>
      <c r="D117" s="86">
        <v>20787</v>
      </c>
      <c r="E117" s="86">
        <v>2646475</v>
      </c>
      <c r="F117" s="86">
        <v>65372</v>
      </c>
      <c r="G117" s="86" t="s">
        <v>2840</v>
      </c>
      <c r="H117" s="86" t="s">
        <v>401</v>
      </c>
      <c r="I117" s="86" t="s">
        <v>3214</v>
      </c>
      <c r="J117" s="86" t="s">
        <v>3215</v>
      </c>
      <c r="K117" s="86" t="s">
        <v>137</v>
      </c>
      <c r="L117" s="86" t="s">
        <v>3216</v>
      </c>
      <c r="M117" s="87">
        <v>45895.556250000001</v>
      </c>
      <c r="N117" s="87">
        <v>45899.397222222222</v>
      </c>
      <c r="O117" s="86"/>
      <c r="P117" s="86" t="s">
        <v>2843</v>
      </c>
      <c r="Q117" s="86" t="s">
        <v>2844</v>
      </c>
      <c r="R117" s="88" t="s">
        <v>2845</v>
      </c>
      <c r="S117" s="89" t="s">
        <v>2845</v>
      </c>
      <c r="T117" s="86" t="s">
        <v>2846</v>
      </c>
      <c r="U117" s="86" t="s">
        <v>2847</v>
      </c>
      <c r="V117" s="86" t="s">
        <v>3217</v>
      </c>
      <c r="W117" s="86" t="s">
        <v>2849</v>
      </c>
      <c r="X117" s="86">
        <v>0</v>
      </c>
      <c r="Y117" s="90" t="s">
        <v>144</v>
      </c>
      <c r="Z117" s="90" t="s">
        <v>145</v>
      </c>
      <c r="AA117" s="86" t="s">
        <v>406</v>
      </c>
      <c r="AB117" s="86">
        <v>1</v>
      </c>
      <c r="AC117" s="86">
        <v>0</v>
      </c>
      <c r="AD117" s="55">
        <f>IF(OR(W117="SOPORTE_TELEFÓNICO",W117="ENVÍO"),0,IF(Y117="TIPO I",'BASE DE LIQUIDACION 2025'!$I$4,IF(Y117="TIPO II",'BASE DE LIQUIDACION 2025'!$I$5,IF(Y117="TIPO III",'BASE DE LIQUIDACION 2025'!$I$6,IF(Y117="TIPO IV",'BASE DE LIQUIDACION 2025'!$I$7,'BASE DE LIQUIDACION 2025'!$I$8)))))</f>
        <v>548633.63271999999</v>
      </c>
      <c r="AE117" s="55">
        <f>IF(OR(W117="SOPORTE_TELEFÓNICO",W117="ENVÍO"),0,IF(Y117="TIPO I",'BASE DE LIQUIDACION 2025'!$J$4,IF(Y117="TIPO II",'BASE DE LIQUIDACION 2025'!$J$5,IF(Y117="TIPO III",'BASE DE LIQUIDACION 2025'!$J$6,IF(Y117="TIPO IV",'BASE DE LIQUIDACION 2025'!$J$7,'BASE DE LIQUIDACION 2025'!$J$8)))))</f>
        <v>110808.27512000001</v>
      </c>
      <c r="AF117" s="55">
        <f>IF(W117="SOPORTE_TELEFÓNICO",'BASE DE LIQUIDACION 2025'!$L$4,IF(W117="ENVÍO",'BASE DE LIQUIDACION 2025'!$K$4,AD117*AB117+AE117*AC117))</f>
        <v>548633.63271999999</v>
      </c>
    </row>
    <row r="118" spans="1:32" s="46" customFormat="1" ht="12.75">
      <c r="A118" s="86" t="s">
        <v>688</v>
      </c>
      <c r="B118" s="86" t="str">
        <f>VLOOKUP(A118,'CENTRO DE COSTOS'!A:D,4,FALSE)</f>
        <v>KEVIN ALEXIS CORZO BUSTOS</v>
      </c>
      <c r="C118" s="86" t="str">
        <f>VLOOKUP(A118,'CENTRO DE COSTOS'!A:D,2,FALSE)</f>
        <v>0004-0007</v>
      </c>
      <c r="D118" s="86">
        <v>73001</v>
      </c>
      <c r="E118" s="86">
        <v>2660757</v>
      </c>
      <c r="F118" s="86">
        <v>50633</v>
      </c>
      <c r="G118" s="86" t="s">
        <v>2840</v>
      </c>
      <c r="H118" s="86" t="s">
        <v>690</v>
      </c>
      <c r="I118" s="86" t="s">
        <v>688</v>
      </c>
      <c r="J118" s="86" t="s">
        <v>3218</v>
      </c>
      <c r="K118" s="86" t="s">
        <v>137</v>
      </c>
      <c r="L118" s="86" t="s">
        <v>3219</v>
      </c>
      <c r="M118" s="87">
        <v>45897.691666666673</v>
      </c>
      <c r="N118" s="87">
        <v>45899.59375</v>
      </c>
      <c r="O118" s="86"/>
      <c r="P118" s="86" t="s">
        <v>2843</v>
      </c>
      <c r="Q118" s="86" t="s">
        <v>2844</v>
      </c>
      <c r="R118" s="88" t="s">
        <v>2845</v>
      </c>
      <c r="S118" s="89" t="s">
        <v>2845</v>
      </c>
      <c r="T118" s="86" t="s">
        <v>2867</v>
      </c>
      <c r="U118" s="86" t="s">
        <v>2868</v>
      </c>
      <c r="V118" s="86" t="s">
        <v>3220</v>
      </c>
      <c r="W118" s="86" t="s">
        <v>2849</v>
      </c>
      <c r="X118" s="86">
        <v>0</v>
      </c>
      <c r="Y118" s="90" t="s">
        <v>52</v>
      </c>
      <c r="Z118" s="90" t="s">
        <v>145</v>
      </c>
      <c r="AA118" s="86" t="s">
        <v>694</v>
      </c>
      <c r="AB118" s="86">
        <v>1</v>
      </c>
      <c r="AC118" s="86">
        <v>0</v>
      </c>
      <c r="AD118" s="55">
        <f>IF(OR(W118="SOPORTE_TELEFÓNICO",W118="ENVÍO"),0,IF(Y118="TIPO I",'BASE DE LIQUIDACION 2025'!$I$4,IF(Y118="TIPO II",'BASE DE LIQUIDACION 2025'!$I$5,IF(Y118="TIPO III",'BASE DE LIQUIDACION 2025'!$I$6,IF(Y118="TIPO IV",'BASE DE LIQUIDACION 2025'!$I$7,'BASE DE LIQUIDACION 2025'!$I$8)))))</f>
        <v>96001.196280000004</v>
      </c>
      <c r="AE118" s="55">
        <f>IF(OR(W118="SOPORTE_TELEFÓNICO",W118="ENVÍO"),0,IF(Y118="TIPO I",'BASE DE LIQUIDACION 2025'!$J$4,IF(Y118="TIPO II",'BASE DE LIQUIDACION 2025'!$J$5,IF(Y118="TIPO III",'BASE DE LIQUIDACION 2025'!$J$6,IF(Y118="TIPO IV",'BASE DE LIQUIDACION 2025'!$J$7,'BASE DE LIQUIDACION 2025'!$J$8)))))</f>
        <v>57411.974240000003</v>
      </c>
      <c r="AF118" s="55">
        <f>IF(W118="SOPORTE_TELEFÓNICO",'BASE DE LIQUIDACION 2025'!$L$4,IF(W118="ENVÍO",'BASE DE LIQUIDACION 2025'!$K$4,AD118*AB118+AE118*AC118))</f>
        <v>96001.196280000004</v>
      </c>
    </row>
    <row r="119" spans="1:32" s="46" customFormat="1" ht="12.75">
      <c r="A119" s="86" t="s">
        <v>175</v>
      </c>
      <c r="B119" s="86" t="str">
        <f>VLOOKUP(A119,'CENTRO DE COSTOS'!A:D,4,FALSE)</f>
        <v>JUAN SEBASTIÁN RÍOS CASTRILLÓN</v>
      </c>
      <c r="C119" s="86" t="str">
        <f>VLOOKUP(A119,'CENTRO DE COSTOS'!A:D,2,FALSE)</f>
        <v>0004-0005</v>
      </c>
      <c r="D119" s="86">
        <v>5088</v>
      </c>
      <c r="E119" s="86">
        <v>2653746</v>
      </c>
      <c r="F119" s="86">
        <v>75823</v>
      </c>
      <c r="G119" s="86" t="s">
        <v>2840</v>
      </c>
      <c r="H119" s="86" t="s">
        <v>178</v>
      </c>
      <c r="I119" s="86" t="s">
        <v>192</v>
      </c>
      <c r="J119" s="86" t="s">
        <v>3221</v>
      </c>
      <c r="K119" s="86" t="s">
        <v>137</v>
      </c>
      <c r="L119" s="86" t="s">
        <v>3222</v>
      </c>
      <c r="M119" s="87">
        <v>45896.623611111107</v>
      </c>
      <c r="N119" s="87">
        <v>45899.605555555558</v>
      </c>
      <c r="O119" s="86"/>
      <c r="P119" s="86" t="s">
        <v>2843</v>
      </c>
      <c r="Q119" s="86" t="s">
        <v>2844</v>
      </c>
      <c r="R119" s="88" t="s">
        <v>181</v>
      </c>
      <c r="S119" s="89" t="s">
        <v>707</v>
      </c>
      <c r="T119" s="86" t="s">
        <v>2846</v>
      </c>
      <c r="U119" s="86" t="s">
        <v>2847</v>
      </c>
      <c r="V119" s="86" t="s">
        <v>3223</v>
      </c>
      <c r="W119" s="86" t="s">
        <v>2849</v>
      </c>
      <c r="X119" s="86">
        <v>0</v>
      </c>
      <c r="Y119" s="90" t="s">
        <v>52</v>
      </c>
      <c r="Z119" s="90" t="s">
        <v>145</v>
      </c>
      <c r="AA119" s="86" t="s">
        <v>338</v>
      </c>
      <c r="AB119" s="86">
        <v>1</v>
      </c>
      <c r="AC119" s="86">
        <v>0</v>
      </c>
      <c r="AD119" s="55">
        <f>IF(OR(W119="SOPORTE_TELEFÓNICO",W119="ENVÍO"),0,IF(Y119="TIPO I",'BASE DE LIQUIDACION 2025'!$I$4,IF(Y119="TIPO II",'BASE DE LIQUIDACION 2025'!$I$5,IF(Y119="TIPO III",'BASE DE LIQUIDACION 2025'!$I$6,IF(Y119="TIPO IV",'BASE DE LIQUIDACION 2025'!$I$7,'BASE DE LIQUIDACION 2025'!$I$8)))))</f>
        <v>96001.196280000004</v>
      </c>
      <c r="AE119" s="55">
        <f>IF(OR(W119="SOPORTE_TELEFÓNICO",W119="ENVÍO"),0,IF(Y119="TIPO I",'BASE DE LIQUIDACION 2025'!$J$4,IF(Y119="TIPO II",'BASE DE LIQUIDACION 2025'!$J$5,IF(Y119="TIPO III",'BASE DE LIQUIDACION 2025'!$J$6,IF(Y119="TIPO IV",'BASE DE LIQUIDACION 2025'!$J$7,'BASE DE LIQUIDACION 2025'!$J$8)))))</f>
        <v>57411.974240000003</v>
      </c>
      <c r="AF119" s="55">
        <f>IF(W119="SOPORTE_TELEFÓNICO",'BASE DE LIQUIDACION 2025'!$L$4,IF(W119="ENVÍO",'BASE DE LIQUIDACION 2025'!$K$4,AD119*AB119+AE119*AC119))</f>
        <v>96001.196280000004</v>
      </c>
    </row>
    <row r="120" spans="1:32" s="46" customFormat="1" ht="12.75">
      <c r="A120" s="86" t="s">
        <v>439</v>
      </c>
      <c r="B120" s="86" t="str">
        <f>VLOOKUP(A120,'CENTRO DE COSTOS'!A:D,4,FALSE)</f>
        <v>DIEGO FERNANDO HENAO CARDONA</v>
      </c>
      <c r="C120" s="86" t="str">
        <f>VLOOKUP(A120,'CENTRO DE COSTOS'!A:D,2,FALSE)</f>
        <v>0004-0002</v>
      </c>
      <c r="D120" s="86">
        <v>17001</v>
      </c>
      <c r="E120" s="86">
        <v>2650409</v>
      </c>
      <c r="F120" s="86">
        <v>45650</v>
      </c>
      <c r="G120" s="86" t="s">
        <v>2840</v>
      </c>
      <c r="H120" s="86" t="s">
        <v>441</v>
      </c>
      <c r="I120" s="86" t="s">
        <v>439</v>
      </c>
      <c r="J120" s="86" t="s">
        <v>3224</v>
      </c>
      <c r="K120" s="86" t="s">
        <v>137</v>
      </c>
      <c r="L120" s="86" t="s">
        <v>3225</v>
      </c>
      <c r="M120" s="87">
        <v>45896.379166666673</v>
      </c>
      <c r="N120" s="87">
        <v>45899.609027777777</v>
      </c>
      <c r="O120" s="86"/>
      <c r="P120" s="86" t="s">
        <v>2843</v>
      </c>
      <c r="Q120" s="86" t="s">
        <v>2844</v>
      </c>
      <c r="R120" s="88" t="s">
        <v>2845</v>
      </c>
      <c r="S120" s="89" t="s">
        <v>2845</v>
      </c>
      <c r="T120" s="86" t="s">
        <v>2846</v>
      </c>
      <c r="U120" s="86" t="s">
        <v>2847</v>
      </c>
      <c r="V120" s="86" t="s">
        <v>3226</v>
      </c>
      <c r="W120" s="86" t="s">
        <v>2849</v>
      </c>
      <c r="X120" s="86">
        <v>0</v>
      </c>
      <c r="Y120" s="90" t="s">
        <v>52</v>
      </c>
      <c r="Z120" s="90" t="s">
        <v>145</v>
      </c>
      <c r="AA120" s="86" t="s">
        <v>445</v>
      </c>
      <c r="AB120" s="86">
        <v>1</v>
      </c>
      <c r="AC120" s="86">
        <v>0</v>
      </c>
      <c r="AD120" s="55">
        <f>IF(OR(W120="SOPORTE_TELEFÓNICO",W120="ENVÍO"),0,IF(Y120="TIPO I",'BASE DE LIQUIDACION 2025'!$I$4,IF(Y120="TIPO II",'BASE DE LIQUIDACION 2025'!$I$5,IF(Y120="TIPO III",'BASE DE LIQUIDACION 2025'!$I$6,IF(Y120="TIPO IV",'BASE DE LIQUIDACION 2025'!$I$7,'BASE DE LIQUIDACION 2025'!$I$8)))))</f>
        <v>96001.196280000004</v>
      </c>
      <c r="AE120" s="55">
        <f>IF(OR(W120="SOPORTE_TELEFÓNICO",W120="ENVÍO"),0,IF(Y120="TIPO I",'BASE DE LIQUIDACION 2025'!$J$4,IF(Y120="TIPO II",'BASE DE LIQUIDACION 2025'!$J$5,IF(Y120="TIPO III",'BASE DE LIQUIDACION 2025'!$J$6,IF(Y120="TIPO IV",'BASE DE LIQUIDACION 2025'!$J$7,'BASE DE LIQUIDACION 2025'!$J$8)))))</f>
        <v>57411.974240000003</v>
      </c>
      <c r="AF120" s="55">
        <f>IF(W120="SOPORTE_TELEFÓNICO",'BASE DE LIQUIDACION 2025'!$L$4,IF(W120="ENVÍO",'BASE DE LIQUIDACION 2025'!$K$4,AD120*AB120+AE120*AC120))</f>
        <v>96001.196280000004</v>
      </c>
    </row>
    <row r="121" spans="1:32">
      <c r="AF121" s="63">
        <f>SUM(AF2:AF120)</f>
        <v>19641961.032240011</v>
      </c>
    </row>
  </sheetData>
  <conditionalFormatting sqref="E2:E101">
    <cfRule type="duplicateValues" dxfId="10" priority="6"/>
    <cfRule type="duplicateValues" dxfId="9" priority="7"/>
  </conditionalFormatting>
  <conditionalFormatting sqref="E2:E112">
    <cfRule type="duplicateValues" dxfId="8" priority="8"/>
  </conditionalFormatting>
  <conditionalFormatting sqref="E2:E120">
    <cfRule type="duplicateValues" dxfId="7" priority="9"/>
  </conditionalFormatting>
  <conditionalFormatting sqref="E102:E112">
    <cfRule type="duplicateValues" dxfId="6" priority="4"/>
    <cfRule type="duplicateValues" dxfId="5" priority="5"/>
  </conditionalFormatting>
  <conditionalFormatting sqref="E113:E120">
    <cfRule type="duplicateValues" dxfId="4" priority="1"/>
    <cfRule type="duplicateValues" dxfId="3" priority="2"/>
    <cfRule type="duplicateValues" dxfId="2" priority="3"/>
  </conditionalFormatting>
  <conditionalFormatting sqref="E121:E1048576">
    <cfRule type="duplicateValues" dxfId="1" priority="501"/>
  </conditionalFormatting>
  <conditionalFormatting sqref="F121:F1048576">
    <cfRule type="duplicateValues" dxfId="0" priority="487"/>
  </conditionalFormatting>
  <dataValidations count="1">
    <dataValidation type="list" allowBlank="1" showInputMessage="1" showErrorMessage="1" sqref="U2:U56 U60:U71 U76:U82 U84:U87 U89:U120 Q2:Q120" xr:uid="{766865A5-5F11-4141-80D1-778ED7D3953B}">
      <formula1>INDIRECT(P2)</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A735-5C55-4E58-9529-A662F7A9B1EC}">
  <dimension ref="A1:F1124"/>
  <sheetViews>
    <sheetView topLeftCell="A1110" workbookViewId="0">
      <selection sqref="A1:F1124"/>
    </sheetView>
  </sheetViews>
  <sheetFormatPr baseColWidth="10" defaultColWidth="8.85546875" defaultRowHeight="15"/>
  <sheetData>
    <row r="1" spans="1:6" ht="86.25">
      <c r="A1" s="19" t="s">
        <v>3227</v>
      </c>
      <c r="B1" s="20" t="s">
        <v>108</v>
      </c>
      <c r="C1" s="20" t="s">
        <v>107</v>
      </c>
      <c r="D1" s="20" t="s">
        <v>3228</v>
      </c>
      <c r="E1" s="21" t="s">
        <v>3229</v>
      </c>
      <c r="F1" s="21" t="s">
        <v>3230</v>
      </c>
    </row>
    <row r="2" spans="1:6">
      <c r="A2" s="22">
        <v>91430</v>
      </c>
      <c r="B2" s="23" t="s">
        <v>3231</v>
      </c>
      <c r="C2" s="24" t="s">
        <v>3232</v>
      </c>
      <c r="D2" s="24" t="s">
        <v>431</v>
      </c>
      <c r="E2" s="24" t="s">
        <v>1369</v>
      </c>
      <c r="F2" s="25" t="s">
        <v>160</v>
      </c>
    </row>
    <row r="3" spans="1:6">
      <c r="A3" s="22">
        <v>91669</v>
      </c>
      <c r="B3" s="23" t="s">
        <v>3233</v>
      </c>
      <c r="C3" s="24" t="s">
        <v>3232</v>
      </c>
      <c r="D3" s="24" t="s">
        <v>431</v>
      </c>
      <c r="E3" s="24" t="s">
        <v>1369</v>
      </c>
      <c r="F3" s="25" t="s">
        <v>160</v>
      </c>
    </row>
    <row r="4" spans="1:6">
      <c r="A4" s="22">
        <v>91263</v>
      </c>
      <c r="B4" s="24" t="s">
        <v>3234</v>
      </c>
      <c r="C4" s="24" t="s">
        <v>3232</v>
      </c>
      <c r="D4" s="24" t="s">
        <v>431</v>
      </c>
      <c r="E4" s="24" t="s">
        <v>1369</v>
      </c>
      <c r="F4" s="25" t="s">
        <v>160</v>
      </c>
    </row>
    <row r="5" spans="1:6">
      <c r="A5" s="22">
        <v>91405</v>
      </c>
      <c r="B5" s="24" t="s">
        <v>3235</v>
      </c>
      <c r="C5" s="24" t="s">
        <v>3232</v>
      </c>
      <c r="D5" s="24" t="s">
        <v>431</v>
      </c>
      <c r="E5" s="24" t="s">
        <v>1369</v>
      </c>
      <c r="F5" s="25" t="s">
        <v>160</v>
      </c>
    </row>
    <row r="6" spans="1:6">
      <c r="A6" s="22">
        <v>91407</v>
      </c>
      <c r="B6" s="24" t="s">
        <v>3236</v>
      </c>
      <c r="C6" s="24" t="s">
        <v>3232</v>
      </c>
      <c r="D6" s="24" t="s">
        <v>431</v>
      </c>
      <c r="E6" s="24" t="s">
        <v>1369</v>
      </c>
      <c r="F6" s="25" t="s">
        <v>160</v>
      </c>
    </row>
    <row r="7" spans="1:6">
      <c r="A7" s="22">
        <v>91001</v>
      </c>
      <c r="B7" s="24" t="s">
        <v>3237</v>
      </c>
      <c r="C7" s="24" t="s">
        <v>3232</v>
      </c>
      <c r="D7" s="24" t="s">
        <v>431</v>
      </c>
      <c r="E7" s="24" t="s">
        <v>1369</v>
      </c>
      <c r="F7" s="25" t="s">
        <v>160</v>
      </c>
    </row>
    <row r="8" spans="1:6">
      <c r="A8" s="22">
        <v>91460</v>
      </c>
      <c r="B8" s="24" t="s">
        <v>3238</v>
      </c>
      <c r="C8" s="24" t="s">
        <v>3232</v>
      </c>
      <c r="D8" s="24" t="s">
        <v>431</v>
      </c>
      <c r="E8" s="24" t="s">
        <v>1369</v>
      </c>
      <c r="F8" s="25" t="s">
        <v>160</v>
      </c>
    </row>
    <row r="9" spans="1:6">
      <c r="A9" s="22">
        <v>91530</v>
      </c>
      <c r="B9" s="24" t="s">
        <v>3239</v>
      </c>
      <c r="C9" s="24" t="s">
        <v>3232</v>
      </c>
      <c r="D9" s="24" t="s">
        <v>431</v>
      </c>
      <c r="E9" s="24" t="s">
        <v>1369</v>
      </c>
      <c r="F9" s="25" t="s">
        <v>160</v>
      </c>
    </row>
    <row r="10" spans="1:6">
      <c r="A10" s="22">
        <v>91536</v>
      </c>
      <c r="B10" s="24" t="s">
        <v>3240</v>
      </c>
      <c r="C10" s="24" t="s">
        <v>3232</v>
      </c>
      <c r="D10" s="24" t="s">
        <v>431</v>
      </c>
      <c r="E10" s="24" t="s">
        <v>1369</v>
      </c>
      <c r="F10" s="25" t="s">
        <v>160</v>
      </c>
    </row>
    <row r="11" spans="1:6">
      <c r="A11" s="22">
        <v>91540</v>
      </c>
      <c r="B11" s="24" t="s">
        <v>3241</v>
      </c>
      <c r="C11" s="24" t="s">
        <v>3232</v>
      </c>
      <c r="D11" s="24" t="s">
        <v>431</v>
      </c>
      <c r="E11" s="24" t="s">
        <v>1369</v>
      </c>
      <c r="F11" s="25" t="s">
        <v>160</v>
      </c>
    </row>
    <row r="12" spans="1:6">
      <c r="A12" s="22">
        <v>91798</v>
      </c>
      <c r="B12" s="24" t="s">
        <v>3242</v>
      </c>
      <c r="C12" s="24" t="s">
        <v>3232</v>
      </c>
      <c r="D12" s="24" t="s">
        <v>431</v>
      </c>
      <c r="E12" s="24" t="s">
        <v>1369</v>
      </c>
      <c r="F12" s="25" t="s">
        <v>160</v>
      </c>
    </row>
    <row r="13" spans="1:6">
      <c r="A13" s="22">
        <v>5055</v>
      </c>
      <c r="B13" s="23" t="s">
        <v>3243</v>
      </c>
      <c r="C13" s="24" t="s">
        <v>178</v>
      </c>
      <c r="D13" s="24" t="s">
        <v>175</v>
      </c>
      <c r="E13" s="24" t="s">
        <v>145</v>
      </c>
      <c r="F13" s="25" t="s">
        <v>144</v>
      </c>
    </row>
    <row r="14" spans="1:6">
      <c r="A14" s="22">
        <v>5059</v>
      </c>
      <c r="B14" s="23" t="s">
        <v>555</v>
      </c>
      <c r="C14" s="24" t="s">
        <v>178</v>
      </c>
      <c r="D14" s="24" t="s">
        <v>175</v>
      </c>
      <c r="E14" s="24" t="s">
        <v>145</v>
      </c>
      <c r="F14" s="25" t="s">
        <v>202</v>
      </c>
    </row>
    <row r="15" spans="1:6">
      <c r="A15" s="22">
        <v>5079</v>
      </c>
      <c r="B15" s="23" t="s">
        <v>2214</v>
      </c>
      <c r="C15" s="24" t="s">
        <v>178</v>
      </c>
      <c r="D15" s="24" t="s">
        <v>175</v>
      </c>
      <c r="E15" s="24" t="s">
        <v>145</v>
      </c>
      <c r="F15" s="25" t="s">
        <v>202</v>
      </c>
    </row>
    <row r="16" spans="1:6">
      <c r="A16" s="22">
        <v>5093</v>
      </c>
      <c r="B16" s="23" t="s">
        <v>3244</v>
      </c>
      <c r="C16" s="24" t="s">
        <v>178</v>
      </c>
      <c r="D16" s="24" t="s">
        <v>175</v>
      </c>
      <c r="E16" s="24" t="s">
        <v>145</v>
      </c>
      <c r="F16" s="25" t="s">
        <v>230</v>
      </c>
    </row>
    <row r="17" spans="1:6">
      <c r="A17" s="22">
        <v>5107</v>
      </c>
      <c r="B17" s="23" t="s">
        <v>3245</v>
      </c>
      <c r="C17" s="24" t="s">
        <v>178</v>
      </c>
      <c r="D17" s="24" t="s">
        <v>175</v>
      </c>
      <c r="E17" s="24" t="s">
        <v>145</v>
      </c>
      <c r="F17" s="25" t="s">
        <v>230</v>
      </c>
    </row>
    <row r="18" spans="1:6">
      <c r="A18" s="22">
        <v>5129</v>
      </c>
      <c r="B18" s="23" t="s">
        <v>441</v>
      </c>
      <c r="C18" s="24" t="s">
        <v>178</v>
      </c>
      <c r="D18" s="24" t="s">
        <v>175</v>
      </c>
      <c r="E18" s="24" t="s">
        <v>145</v>
      </c>
      <c r="F18" s="25" t="s">
        <v>52</v>
      </c>
    </row>
    <row r="19" spans="1:6">
      <c r="A19" s="22">
        <v>5206</v>
      </c>
      <c r="B19" s="23" t="s">
        <v>3246</v>
      </c>
      <c r="C19" s="24" t="s">
        <v>178</v>
      </c>
      <c r="D19" s="24" t="s">
        <v>175</v>
      </c>
      <c r="E19" s="24" t="s">
        <v>145</v>
      </c>
      <c r="F19" s="25" t="s">
        <v>202</v>
      </c>
    </row>
    <row r="20" spans="1:6">
      <c r="A20" s="22">
        <v>5209</v>
      </c>
      <c r="B20" s="23" t="s">
        <v>3247</v>
      </c>
      <c r="C20" s="24" t="s">
        <v>178</v>
      </c>
      <c r="D20" s="24" t="s">
        <v>175</v>
      </c>
      <c r="E20" s="24" t="s">
        <v>145</v>
      </c>
      <c r="F20" s="25" t="s">
        <v>230</v>
      </c>
    </row>
    <row r="21" spans="1:6">
      <c r="A21" s="22">
        <v>5313</v>
      </c>
      <c r="B21" s="23" t="s">
        <v>263</v>
      </c>
      <c r="C21" s="24" t="s">
        <v>178</v>
      </c>
      <c r="D21" s="24" t="s">
        <v>175</v>
      </c>
      <c r="E21" s="24" t="s">
        <v>145</v>
      </c>
      <c r="F21" s="25" t="s">
        <v>202</v>
      </c>
    </row>
    <row r="22" spans="1:6">
      <c r="A22" s="22">
        <v>5315</v>
      </c>
      <c r="B22" s="23" t="s">
        <v>3248</v>
      </c>
      <c r="C22" s="24" t="s">
        <v>178</v>
      </c>
      <c r="D22" s="24" t="s">
        <v>175</v>
      </c>
      <c r="E22" s="24" t="s">
        <v>145</v>
      </c>
      <c r="F22" s="25" t="s">
        <v>230</v>
      </c>
    </row>
    <row r="23" spans="1:6">
      <c r="A23" s="22">
        <v>5368</v>
      </c>
      <c r="B23" s="23" t="s">
        <v>3249</v>
      </c>
      <c r="C23" s="24" t="s">
        <v>178</v>
      </c>
      <c r="D23" s="24" t="s">
        <v>175</v>
      </c>
      <c r="E23" s="24" t="s">
        <v>145</v>
      </c>
      <c r="F23" s="25" t="s">
        <v>230</v>
      </c>
    </row>
    <row r="24" spans="1:6">
      <c r="A24" s="22">
        <v>5400</v>
      </c>
      <c r="B24" s="23" t="s">
        <v>2793</v>
      </c>
      <c r="C24" s="24" t="s">
        <v>178</v>
      </c>
      <c r="D24" s="24" t="s">
        <v>175</v>
      </c>
      <c r="E24" s="24" t="s">
        <v>145</v>
      </c>
      <c r="F24" s="25" t="s">
        <v>202</v>
      </c>
    </row>
    <row r="25" spans="1:6">
      <c r="A25" s="22">
        <v>5483</v>
      </c>
      <c r="B25" s="23" t="s">
        <v>153</v>
      </c>
      <c r="C25" s="24" t="s">
        <v>178</v>
      </c>
      <c r="D25" s="24" t="s">
        <v>175</v>
      </c>
      <c r="E25" s="24" t="s">
        <v>145</v>
      </c>
      <c r="F25" s="25" t="s">
        <v>144</v>
      </c>
    </row>
    <row r="26" spans="1:6">
      <c r="A26" s="22">
        <v>5615</v>
      </c>
      <c r="B26" s="23" t="s">
        <v>3250</v>
      </c>
      <c r="C26" s="24" t="s">
        <v>178</v>
      </c>
      <c r="D26" s="24" t="s">
        <v>175</v>
      </c>
      <c r="E26" s="24" t="s">
        <v>145</v>
      </c>
      <c r="F26" s="25" t="s">
        <v>202</v>
      </c>
    </row>
    <row r="27" spans="1:6">
      <c r="A27" s="22">
        <v>5628</v>
      </c>
      <c r="B27" s="23" t="s">
        <v>2657</v>
      </c>
      <c r="C27" s="24" t="s">
        <v>178</v>
      </c>
      <c r="D27" s="24" t="s">
        <v>175</v>
      </c>
      <c r="E27" s="24" t="s">
        <v>145</v>
      </c>
      <c r="F27" s="25" t="s">
        <v>230</v>
      </c>
    </row>
    <row r="28" spans="1:6">
      <c r="A28" s="22">
        <v>5649</v>
      </c>
      <c r="B28" s="23" t="s">
        <v>3251</v>
      </c>
      <c r="C28" s="24" t="s">
        <v>178</v>
      </c>
      <c r="D28" s="24" t="s">
        <v>175</v>
      </c>
      <c r="E28" s="24" t="s">
        <v>145</v>
      </c>
      <c r="F28" s="25" t="s">
        <v>230</v>
      </c>
    </row>
    <row r="29" spans="1:6">
      <c r="A29" s="22">
        <v>5652</v>
      </c>
      <c r="B29" s="23" t="s">
        <v>3252</v>
      </c>
      <c r="C29" s="24" t="s">
        <v>178</v>
      </c>
      <c r="D29" s="24" t="s">
        <v>175</v>
      </c>
      <c r="E29" s="24" t="s">
        <v>145</v>
      </c>
      <c r="F29" s="25" t="s">
        <v>230</v>
      </c>
    </row>
    <row r="30" spans="1:6">
      <c r="A30" s="22">
        <v>5660</v>
      </c>
      <c r="B30" s="23" t="s">
        <v>3253</v>
      </c>
      <c r="C30" s="24" t="s">
        <v>178</v>
      </c>
      <c r="D30" s="24" t="s">
        <v>175</v>
      </c>
      <c r="E30" s="24" t="s">
        <v>145</v>
      </c>
      <c r="F30" s="25" t="s">
        <v>230</v>
      </c>
    </row>
    <row r="31" spans="1:6">
      <c r="A31" s="22">
        <v>5664</v>
      </c>
      <c r="B31" s="23" t="s">
        <v>3254</v>
      </c>
      <c r="C31" s="24" t="s">
        <v>178</v>
      </c>
      <c r="D31" s="24" t="s">
        <v>175</v>
      </c>
      <c r="E31" s="24" t="s">
        <v>145</v>
      </c>
      <c r="F31" s="25" t="s">
        <v>202</v>
      </c>
    </row>
    <row r="32" spans="1:6">
      <c r="A32" s="22">
        <v>5679</v>
      </c>
      <c r="B32" s="23" t="s">
        <v>3255</v>
      </c>
      <c r="C32" s="24" t="s">
        <v>178</v>
      </c>
      <c r="D32" s="24" t="s">
        <v>175</v>
      </c>
      <c r="E32" s="24" t="s">
        <v>145</v>
      </c>
      <c r="F32" s="25" t="s">
        <v>202</v>
      </c>
    </row>
    <row r="33" spans="1:6">
      <c r="A33" s="22">
        <v>5819</v>
      </c>
      <c r="B33" s="23" t="s">
        <v>3256</v>
      </c>
      <c r="C33" s="24" t="s">
        <v>178</v>
      </c>
      <c r="D33" s="24" t="s">
        <v>175</v>
      </c>
      <c r="E33" s="24" t="s">
        <v>145</v>
      </c>
      <c r="F33" s="25" t="s">
        <v>144</v>
      </c>
    </row>
    <row r="34" spans="1:6">
      <c r="A34" s="22">
        <v>5856</v>
      </c>
      <c r="B34" s="23" t="s">
        <v>3257</v>
      </c>
      <c r="C34" s="24" t="s">
        <v>178</v>
      </c>
      <c r="D34" s="24" t="s">
        <v>175</v>
      </c>
      <c r="E34" s="24" t="s">
        <v>145</v>
      </c>
      <c r="F34" s="25" t="s">
        <v>230</v>
      </c>
    </row>
    <row r="35" spans="1:6">
      <c r="A35" s="22">
        <v>5861</v>
      </c>
      <c r="B35" s="23" t="s">
        <v>3258</v>
      </c>
      <c r="C35" s="24" t="s">
        <v>178</v>
      </c>
      <c r="D35" s="24" t="s">
        <v>175</v>
      </c>
      <c r="E35" s="24" t="s">
        <v>145</v>
      </c>
      <c r="F35" s="25" t="s">
        <v>202</v>
      </c>
    </row>
    <row r="36" spans="1:6">
      <c r="A36" s="22">
        <v>5002</v>
      </c>
      <c r="B36" s="24" t="s">
        <v>3259</v>
      </c>
      <c r="C36" s="24" t="s">
        <v>178</v>
      </c>
      <c r="D36" s="24" t="s">
        <v>175</v>
      </c>
      <c r="E36" s="24" t="s">
        <v>145</v>
      </c>
      <c r="F36" s="25" t="s">
        <v>230</v>
      </c>
    </row>
    <row r="37" spans="1:6">
      <c r="A37" s="22">
        <v>5004</v>
      </c>
      <c r="B37" s="24" t="s">
        <v>3260</v>
      </c>
      <c r="C37" s="24" t="s">
        <v>178</v>
      </c>
      <c r="D37" s="24" t="s">
        <v>175</v>
      </c>
      <c r="E37" s="24" t="s">
        <v>145</v>
      </c>
      <c r="F37" s="25" t="s">
        <v>144</v>
      </c>
    </row>
    <row r="38" spans="1:6">
      <c r="A38" s="22">
        <v>5021</v>
      </c>
      <c r="B38" s="24" t="s">
        <v>3261</v>
      </c>
      <c r="C38" s="24" t="s">
        <v>178</v>
      </c>
      <c r="D38" s="24" t="s">
        <v>175</v>
      </c>
      <c r="E38" s="24" t="s">
        <v>145</v>
      </c>
      <c r="F38" s="25" t="s">
        <v>230</v>
      </c>
    </row>
    <row r="39" spans="1:6">
      <c r="A39" s="22">
        <v>5030</v>
      </c>
      <c r="B39" s="24" t="s">
        <v>3262</v>
      </c>
      <c r="C39" s="24" t="s">
        <v>178</v>
      </c>
      <c r="D39" s="24" t="s">
        <v>175</v>
      </c>
      <c r="E39" s="24" t="s">
        <v>145</v>
      </c>
      <c r="F39" s="25" t="s">
        <v>202</v>
      </c>
    </row>
    <row r="40" spans="1:6">
      <c r="A40" s="22">
        <v>5031</v>
      </c>
      <c r="B40" s="24" t="s">
        <v>2819</v>
      </c>
      <c r="C40" s="24" t="s">
        <v>178</v>
      </c>
      <c r="D40" s="24" t="s">
        <v>175</v>
      </c>
      <c r="E40" s="24" t="s">
        <v>145</v>
      </c>
      <c r="F40" s="25" t="s">
        <v>144</v>
      </c>
    </row>
    <row r="41" spans="1:6">
      <c r="A41" s="22">
        <v>5034</v>
      </c>
      <c r="B41" s="24" t="s">
        <v>3263</v>
      </c>
      <c r="C41" s="24" t="s">
        <v>178</v>
      </c>
      <c r="D41" s="24" t="s">
        <v>175</v>
      </c>
      <c r="E41" s="24" t="s">
        <v>145</v>
      </c>
      <c r="F41" s="25" t="s">
        <v>230</v>
      </c>
    </row>
    <row r="42" spans="1:6">
      <c r="A42" s="22">
        <v>5036</v>
      </c>
      <c r="B42" s="24" t="s">
        <v>3264</v>
      </c>
      <c r="C42" s="24" t="s">
        <v>178</v>
      </c>
      <c r="D42" s="24" t="s">
        <v>175</v>
      </c>
      <c r="E42" s="24" t="s">
        <v>145</v>
      </c>
      <c r="F42" s="25" t="s">
        <v>202</v>
      </c>
    </row>
    <row r="43" spans="1:6">
      <c r="A43" s="22">
        <v>5038</v>
      </c>
      <c r="B43" s="24" t="s">
        <v>1895</v>
      </c>
      <c r="C43" s="24" t="s">
        <v>178</v>
      </c>
      <c r="D43" s="24" t="s">
        <v>175</v>
      </c>
      <c r="E43" s="24" t="s">
        <v>145</v>
      </c>
      <c r="F43" s="25" t="s">
        <v>230</v>
      </c>
    </row>
    <row r="44" spans="1:6">
      <c r="A44" s="22">
        <v>5040</v>
      </c>
      <c r="B44" s="24" t="s">
        <v>3265</v>
      </c>
      <c r="C44" s="24" t="s">
        <v>178</v>
      </c>
      <c r="D44" s="24" t="s">
        <v>175</v>
      </c>
      <c r="E44" s="24" t="s">
        <v>145</v>
      </c>
      <c r="F44" s="25" t="s">
        <v>144</v>
      </c>
    </row>
    <row r="45" spans="1:6">
      <c r="A45" s="22">
        <v>5044</v>
      </c>
      <c r="B45" s="24" t="s">
        <v>3266</v>
      </c>
      <c r="C45" s="24" t="s">
        <v>178</v>
      </c>
      <c r="D45" s="24" t="s">
        <v>175</v>
      </c>
      <c r="E45" s="24" t="s">
        <v>145</v>
      </c>
      <c r="F45" s="25" t="s">
        <v>230</v>
      </c>
    </row>
    <row r="46" spans="1:6">
      <c r="A46" s="22">
        <v>5045</v>
      </c>
      <c r="B46" s="24" t="s">
        <v>608</v>
      </c>
      <c r="C46" s="24" t="s">
        <v>178</v>
      </c>
      <c r="D46" s="24" t="s">
        <v>608</v>
      </c>
      <c r="E46" s="24" t="s">
        <v>145</v>
      </c>
      <c r="F46" s="25" t="s">
        <v>52</v>
      </c>
    </row>
    <row r="47" spans="1:6">
      <c r="A47" s="22">
        <v>5051</v>
      </c>
      <c r="B47" s="24" t="s">
        <v>3267</v>
      </c>
      <c r="C47" s="24" t="s">
        <v>178</v>
      </c>
      <c r="D47" s="24" t="s">
        <v>379</v>
      </c>
      <c r="E47" s="24" t="s">
        <v>145</v>
      </c>
      <c r="F47" s="25" t="s">
        <v>202</v>
      </c>
    </row>
    <row r="48" spans="1:6">
      <c r="A48" s="22">
        <v>5088</v>
      </c>
      <c r="B48" s="24" t="s">
        <v>192</v>
      </c>
      <c r="C48" s="24" t="s">
        <v>178</v>
      </c>
      <c r="D48" s="24" t="s">
        <v>175</v>
      </c>
      <c r="E48" s="24" t="s">
        <v>145</v>
      </c>
      <c r="F48" s="25" t="s">
        <v>52</v>
      </c>
    </row>
    <row r="49" spans="1:6">
      <c r="A49" s="22">
        <v>5086</v>
      </c>
      <c r="B49" s="24" t="s">
        <v>2230</v>
      </c>
      <c r="C49" s="24" t="s">
        <v>178</v>
      </c>
      <c r="D49" s="24" t="s">
        <v>175</v>
      </c>
      <c r="E49" s="24" t="s">
        <v>145</v>
      </c>
      <c r="F49" s="25" t="s">
        <v>202</v>
      </c>
    </row>
    <row r="50" spans="1:6">
      <c r="A50" s="22">
        <v>5091</v>
      </c>
      <c r="B50" s="24" t="s">
        <v>3268</v>
      </c>
      <c r="C50" s="24" t="s">
        <v>178</v>
      </c>
      <c r="D50" s="24" t="s">
        <v>175</v>
      </c>
      <c r="E50" s="24" t="s">
        <v>145</v>
      </c>
      <c r="F50" s="25" t="s">
        <v>230</v>
      </c>
    </row>
    <row r="51" spans="1:6">
      <c r="A51" s="22">
        <v>5113</v>
      </c>
      <c r="B51" s="24" t="s">
        <v>732</v>
      </c>
      <c r="C51" s="24" t="s">
        <v>178</v>
      </c>
      <c r="D51" s="24" t="s">
        <v>175</v>
      </c>
      <c r="E51" s="24" t="s">
        <v>145</v>
      </c>
      <c r="F51" s="25" t="s">
        <v>144</v>
      </c>
    </row>
    <row r="52" spans="1:6">
      <c r="A52" s="22">
        <v>5120</v>
      </c>
      <c r="B52" s="24" t="s">
        <v>737</v>
      </c>
      <c r="C52" s="24" t="s">
        <v>178</v>
      </c>
      <c r="D52" s="24" t="s">
        <v>175</v>
      </c>
      <c r="E52" s="24" t="s">
        <v>145</v>
      </c>
      <c r="F52" s="25" t="s">
        <v>144</v>
      </c>
    </row>
    <row r="53" spans="1:6">
      <c r="A53" s="22">
        <v>5125</v>
      </c>
      <c r="B53" s="24" t="s">
        <v>3269</v>
      </c>
      <c r="C53" s="24" t="s">
        <v>178</v>
      </c>
      <c r="D53" s="24" t="s">
        <v>175</v>
      </c>
      <c r="E53" s="24" t="s">
        <v>145</v>
      </c>
      <c r="F53" s="25" t="s">
        <v>230</v>
      </c>
    </row>
    <row r="54" spans="1:6">
      <c r="A54" s="22">
        <v>5134</v>
      </c>
      <c r="B54" s="24" t="s">
        <v>3270</v>
      </c>
      <c r="C54" s="24" t="s">
        <v>178</v>
      </c>
      <c r="D54" s="24" t="s">
        <v>175</v>
      </c>
      <c r="E54" s="24" t="s">
        <v>145</v>
      </c>
      <c r="F54" s="25" t="s">
        <v>230</v>
      </c>
    </row>
    <row r="55" spans="1:6">
      <c r="A55" s="22">
        <v>5138</v>
      </c>
      <c r="B55" s="24" t="s">
        <v>3271</v>
      </c>
      <c r="C55" s="24" t="s">
        <v>178</v>
      </c>
      <c r="D55" s="24" t="s">
        <v>175</v>
      </c>
      <c r="E55" s="24" t="s">
        <v>145</v>
      </c>
      <c r="F55" s="25" t="s">
        <v>230</v>
      </c>
    </row>
    <row r="56" spans="1:6">
      <c r="A56" s="22">
        <v>5142</v>
      </c>
      <c r="B56" s="24" t="s">
        <v>3272</v>
      </c>
      <c r="C56" s="24" t="s">
        <v>178</v>
      </c>
      <c r="D56" s="24" t="s">
        <v>175</v>
      </c>
      <c r="E56" s="24" t="s">
        <v>145</v>
      </c>
      <c r="F56" s="25" t="s">
        <v>230</v>
      </c>
    </row>
    <row r="57" spans="1:6">
      <c r="A57" s="22">
        <v>5145</v>
      </c>
      <c r="B57" s="24" t="s">
        <v>3273</v>
      </c>
      <c r="C57" s="24" t="s">
        <v>178</v>
      </c>
      <c r="D57" s="24" t="s">
        <v>175</v>
      </c>
      <c r="E57" s="24" t="s">
        <v>145</v>
      </c>
      <c r="F57" s="25" t="s">
        <v>230</v>
      </c>
    </row>
    <row r="58" spans="1:6">
      <c r="A58" s="22">
        <v>5147</v>
      </c>
      <c r="B58" s="24" t="s">
        <v>2352</v>
      </c>
      <c r="C58" s="24" t="s">
        <v>178</v>
      </c>
      <c r="D58" s="24" t="s">
        <v>608</v>
      </c>
      <c r="E58" s="24" t="s">
        <v>145</v>
      </c>
      <c r="F58" s="25" t="s">
        <v>52</v>
      </c>
    </row>
    <row r="59" spans="1:6">
      <c r="A59" s="22">
        <v>5150</v>
      </c>
      <c r="B59" s="24" t="s">
        <v>3274</v>
      </c>
      <c r="C59" s="24" t="s">
        <v>178</v>
      </c>
      <c r="D59" s="24" t="s">
        <v>175</v>
      </c>
      <c r="E59" s="24" t="s">
        <v>145</v>
      </c>
      <c r="F59" s="25" t="s">
        <v>230</v>
      </c>
    </row>
    <row r="60" spans="1:6">
      <c r="A60" s="22">
        <v>5154</v>
      </c>
      <c r="B60" s="24" t="s">
        <v>743</v>
      </c>
      <c r="C60" s="24" t="s">
        <v>178</v>
      </c>
      <c r="D60" s="24" t="s">
        <v>379</v>
      </c>
      <c r="E60" s="24" t="s">
        <v>145</v>
      </c>
      <c r="F60" s="25" t="s">
        <v>202</v>
      </c>
    </row>
    <row r="61" spans="1:6">
      <c r="A61" s="22">
        <v>5172</v>
      </c>
      <c r="B61" s="24" t="s">
        <v>3275</v>
      </c>
      <c r="C61" s="24" t="s">
        <v>178</v>
      </c>
      <c r="D61" s="24" t="s">
        <v>608</v>
      </c>
      <c r="E61" s="24" t="s">
        <v>145</v>
      </c>
      <c r="F61" s="25" t="s">
        <v>202</v>
      </c>
    </row>
    <row r="62" spans="1:6">
      <c r="A62" s="22">
        <v>5190</v>
      </c>
      <c r="B62" s="24" t="s">
        <v>3276</v>
      </c>
      <c r="C62" s="24" t="s">
        <v>178</v>
      </c>
      <c r="D62" s="24" t="s">
        <v>175</v>
      </c>
      <c r="E62" s="24" t="s">
        <v>145</v>
      </c>
      <c r="F62" s="25" t="s">
        <v>202</v>
      </c>
    </row>
    <row r="63" spans="1:6">
      <c r="A63" s="22">
        <v>5101</v>
      </c>
      <c r="B63" s="24" t="s">
        <v>3277</v>
      </c>
      <c r="C63" s="24" t="s">
        <v>178</v>
      </c>
      <c r="D63" s="24" t="s">
        <v>175</v>
      </c>
      <c r="E63" s="24" t="s">
        <v>145</v>
      </c>
      <c r="F63" s="25" t="s">
        <v>202</v>
      </c>
    </row>
    <row r="64" spans="1:6">
      <c r="A64" s="22">
        <v>5197</v>
      </c>
      <c r="B64" s="24" t="s">
        <v>3278</v>
      </c>
      <c r="C64" s="24" t="s">
        <v>178</v>
      </c>
      <c r="D64" s="24" t="s">
        <v>175</v>
      </c>
      <c r="E64" s="24" t="s">
        <v>145</v>
      </c>
      <c r="F64" s="25" t="s">
        <v>202</v>
      </c>
    </row>
    <row r="65" spans="1:6">
      <c r="A65" s="22">
        <v>5212</v>
      </c>
      <c r="B65" s="24" t="s">
        <v>2621</v>
      </c>
      <c r="C65" s="24" t="s">
        <v>178</v>
      </c>
      <c r="D65" s="24" t="s">
        <v>175</v>
      </c>
      <c r="E65" s="24" t="s">
        <v>145</v>
      </c>
      <c r="F65" s="25" t="s">
        <v>52</v>
      </c>
    </row>
    <row r="66" spans="1:6">
      <c r="A66" s="22">
        <v>5234</v>
      </c>
      <c r="B66" s="24" t="s">
        <v>3279</v>
      </c>
      <c r="C66" s="24" t="s">
        <v>178</v>
      </c>
      <c r="D66" s="24" t="s">
        <v>175</v>
      </c>
      <c r="E66" s="24" t="s">
        <v>145</v>
      </c>
      <c r="F66" s="25" t="s">
        <v>144</v>
      </c>
    </row>
    <row r="67" spans="1:6">
      <c r="A67" s="22">
        <v>5237</v>
      </c>
      <c r="B67" s="24" t="s">
        <v>2411</v>
      </c>
      <c r="C67" s="24" t="s">
        <v>178</v>
      </c>
      <c r="D67" s="24" t="s">
        <v>175</v>
      </c>
      <c r="E67" s="24" t="s">
        <v>145</v>
      </c>
      <c r="F67" s="25" t="s">
        <v>202</v>
      </c>
    </row>
    <row r="68" spans="1:6">
      <c r="A68" s="22">
        <v>5240</v>
      </c>
      <c r="B68" s="24" t="s">
        <v>3280</v>
      </c>
      <c r="C68" s="24" t="s">
        <v>178</v>
      </c>
      <c r="D68" s="24" t="s">
        <v>175</v>
      </c>
      <c r="E68" s="24" t="s">
        <v>145</v>
      </c>
      <c r="F68" s="25" t="s">
        <v>202</v>
      </c>
    </row>
    <row r="69" spans="1:6">
      <c r="A69" s="22">
        <v>5250</v>
      </c>
      <c r="B69" s="24" t="s">
        <v>2052</v>
      </c>
      <c r="C69" s="24" t="s">
        <v>178</v>
      </c>
      <c r="D69" s="24" t="s">
        <v>379</v>
      </c>
      <c r="E69" s="24" t="s">
        <v>145</v>
      </c>
      <c r="F69" s="25" t="s">
        <v>144</v>
      </c>
    </row>
    <row r="70" spans="1:6">
      <c r="A70" s="22">
        <v>5148</v>
      </c>
      <c r="B70" s="24" t="s">
        <v>1356</v>
      </c>
      <c r="C70" s="24" t="s">
        <v>178</v>
      </c>
      <c r="D70" s="24" t="s">
        <v>175</v>
      </c>
      <c r="E70" s="24" t="s">
        <v>145</v>
      </c>
      <c r="F70" s="25" t="s">
        <v>202</v>
      </c>
    </row>
    <row r="71" spans="1:6">
      <c r="A71" s="22">
        <v>5697</v>
      </c>
      <c r="B71" s="24" t="s">
        <v>2241</v>
      </c>
      <c r="C71" s="24" t="s">
        <v>178</v>
      </c>
      <c r="D71" s="24" t="s">
        <v>175</v>
      </c>
      <c r="E71" s="24" t="s">
        <v>145</v>
      </c>
      <c r="F71" s="25" t="s">
        <v>202</v>
      </c>
    </row>
    <row r="72" spans="1:6">
      <c r="A72" s="22">
        <v>5264</v>
      </c>
      <c r="B72" s="24" t="s">
        <v>2761</v>
      </c>
      <c r="C72" s="24" t="s">
        <v>178</v>
      </c>
      <c r="D72" s="24" t="s">
        <v>175</v>
      </c>
      <c r="E72" s="24" t="s">
        <v>145</v>
      </c>
      <c r="F72" s="25" t="s">
        <v>202</v>
      </c>
    </row>
    <row r="73" spans="1:6">
      <c r="A73" s="22">
        <v>5266</v>
      </c>
      <c r="B73" s="24" t="s">
        <v>3093</v>
      </c>
      <c r="C73" s="24" t="s">
        <v>178</v>
      </c>
      <c r="D73" s="24" t="s">
        <v>175</v>
      </c>
      <c r="E73" s="24" t="s">
        <v>145</v>
      </c>
      <c r="F73" s="25" t="s">
        <v>52</v>
      </c>
    </row>
    <row r="74" spans="1:6">
      <c r="A74" s="22">
        <v>5282</v>
      </c>
      <c r="B74" s="24" t="s">
        <v>3281</v>
      </c>
      <c r="C74" s="24" t="s">
        <v>178</v>
      </c>
      <c r="D74" s="24" t="s">
        <v>175</v>
      </c>
      <c r="E74" s="24" t="s">
        <v>145</v>
      </c>
      <c r="F74" s="25" t="s">
        <v>202</v>
      </c>
    </row>
    <row r="75" spans="1:6">
      <c r="A75" s="22">
        <v>5284</v>
      </c>
      <c r="B75" s="24" t="s">
        <v>3282</v>
      </c>
      <c r="C75" s="24" t="s">
        <v>178</v>
      </c>
      <c r="D75" s="24" t="s">
        <v>175</v>
      </c>
      <c r="E75" s="24" t="s">
        <v>145</v>
      </c>
      <c r="F75" s="25" t="s">
        <v>144</v>
      </c>
    </row>
    <row r="76" spans="1:6">
      <c r="A76" s="22">
        <v>5306</v>
      </c>
      <c r="B76" s="24" t="s">
        <v>3283</v>
      </c>
      <c r="C76" s="24" t="s">
        <v>178</v>
      </c>
      <c r="D76" s="24" t="s">
        <v>175</v>
      </c>
      <c r="E76" s="24" t="s">
        <v>145</v>
      </c>
      <c r="F76" s="25" t="s">
        <v>230</v>
      </c>
    </row>
    <row r="77" spans="1:6">
      <c r="A77" s="22">
        <v>5308</v>
      </c>
      <c r="B77" s="24" t="s">
        <v>3284</v>
      </c>
      <c r="C77" s="24" t="s">
        <v>178</v>
      </c>
      <c r="D77" s="24" t="s">
        <v>175</v>
      </c>
      <c r="E77" s="24" t="s">
        <v>145</v>
      </c>
      <c r="F77" s="25" t="s">
        <v>52</v>
      </c>
    </row>
    <row r="78" spans="1:6">
      <c r="A78" s="22">
        <v>5310</v>
      </c>
      <c r="B78" s="24" t="s">
        <v>3285</v>
      </c>
      <c r="C78" s="24" t="s">
        <v>178</v>
      </c>
      <c r="D78" s="24" t="s">
        <v>175</v>
      </c>
      <c r="E78" s="24" t="s">
        <v>145</v>
      </c>
      <c r="F78" s="25" t="s">
        <v>202</v>
      </c>
    </row>
    <row r="79" spans="1:6">
      <c r="A79" s="22">
        <v>5318</v>
      </c>
      <c r="B79" s="24" t="s">
        <v>3286</v>
      </c>
      <c r="C79" s="24" t="s">
        <v>178</v>
      </c>
      <c r="D79" s="24" t="s">
        <v>175</v>
      </c>
      <c r="E79" s="24" t="s">
        <v>145</v>
      </c>
      <c r="F79" s="25" t="s">
        <v>202</v>
      </c>
    </row>
    <row r="80" spans="1:6">
      <c r="A80" s="22">
        <v>5321</v>
      </c>
      <c r="B80" s="24" t="s">
        <v>3287</v>
      </c>
      <c r="C80" s="24" t="s">
        <v>178</v>
      </c>
      <c r="D80" s="24" t="s">
        <v>175</v>
      </c>
      <c r="E80" s="24" t="s">
        <v>145</v>
      </c>
      <c r="F80" s="25" t="s">
        <v>202</v>
      </c>
    </row>
    <row r="81" spans="1:6">
      <c r="A81" s="22">
        <v>5347</v>
      </c>
      <c r="B81" s="24" t="s">
        <v>3288</v>
      </c>
      <c r="C81" s="24" t="s">
        <v>178</v>
      </c>
      <c r="D81" s="24" t="s">
        <v>175</v>
      </c>
      <c r="E81" s="24" t="s">
        <v>145</v>
      </c>
      <c r="F81" s="25" t="s">
        <v>202</v>
      </c>
    </row>
    <row r="82" spans="1:6">
      <c r="A82" s="22">
        <v>5353</v>
      </c>
      <c r="B82" s="24" t="s">
        <v>3289</v>
      </c>
      <c r="C82" s="24" t="s">
        <v>178</v>
      </c>
      <c r="D82" s="24" t="s">
        <v>175</v>
      </c>
      <c r="E82" s="24" t="s">
        <v>145</v>
      </c>
      <c r="F82" s="25" t="s">
        <v>230</v>
      </c>
    </row>
    <row r="83" spans="1:6">
      <c r="A83" s="22">
        <v>5360</v>
      </c>
      <c r="B83" s="24" t="s">
        <v>3097</v>
      </c>
      <c r="C83" s="24" t="s">
        <v>178</v>
      </c>
      <c r="D83" s="24" t="s">
        <v>175</v>
      </c>
      <c r="E83" s="24" t="s">
        <v>145</v>
      </c>
      <c r="F83" s="25" t="s">
        <v>52</v>
      </c>
    </row>
    <row r="84" spans="1:6">
      <c r="A84" s="22">
        <v>5361</v>
      </c>
      <c r="B84" s="24" t="s">
        <v>670</v>
      </c>
      <c r="C84" s="24" t="s">
        <v>178</v>
      </c>
      <c r="D84" s="24" t="s">
        <v>175</v>
      </c>
      <c r="E84" s="24" t="s">
        <v>145</v>
      </c>
      <c r="F84" s="25" t="s">
        <v>144</v>
      </c>
    </row>
    <row r="85" spans="1:6">
      <c r="A85" s="22">
        <v>5364</v>
      </c>
      <c r="B85" s="24" t="s">
        <v>3290</v>
      </c>
      <c r="C85" s="24" t="s">
        <v>178</v>
      </c>
      <c r="D85" s="24" t="s">
        <v>175</v>
      </c>
      <c r="E85" s="24" t="s">
        <v>145</v>
      </c>
      <c r="F85" s="25" t="s">
        <v>230</v>
      </c>
    </row>
    <row r="86" spans="1:6">
      <c r="A86" s="22">
        <v>5376</v>
      </c>
      <c r="B86" s="24" t="s">
        <v>1603</v>
      </c>
      <c r="C86" s="24" t="s">
        <v>178</v>
      </c>
      <c r="D86" s="24" t="s">
        <v>175</v>
      </c>
      <c r="E86" s="24" t="s">
        <v>145</v>
      </c>
      <c r="F86" s="25" t="s">
        <v>202</v>
      </c>
    </row>
    <row r="87" spans="1:6">
      <c r="A87" s="22">
        <v>5380</v>
      </c>
      <c r="B87" s="24" t="s">
        <v>2736</v>
      </c>
      <c r="C87" s="24" t="s">
        <v>178</v>
      </c>
      <c r="D87" s="24" t="s">
        <v>175</v>
      </c>
      <c r="E87" s="24" t="s">
        <v>145</v>
      </c>
      <c r="F87" s="25" t="s">
        <v>52</v>
      </c>
    </row>
    <row r="88" spans="1:6">
      <c r="A88" s="22">
        <v>5390</v>
      </c>
      <c r="B88" s="24" t="s">
        <v>2918</v>
      </c>
      <c r="C88" s="24" t="s">
        <v>178</v>
      </c>
      <c r="D88" s="24" t="s">
        <v>175</v>
      </c>
      <c r="E88" s="24" t="s">
        <v>145</v>
      </c>
      <c r="F88" s="25" t="s">
        <v>202</v>
      </c>
    </row>
    <row r="89" spans="1:6">
      <c r="A89" s="22">
        <v>5411</v>
      </c>
      <c r="B89" s="24" t="s">
        <v>3291</v>
      </c>
      <c r="C89" s="24" t="s">
        <v>178</v>
      </c>
      <c r="D89" s="24" t="s">
        <v>175</v>
      </c>
      <c r="E89" s="24" t="s">
        <v>145</v>
      </c>
      <c r="F89" s="25" t="s">
        <v>230</v>
      </c>
    </row>
    <row r="90" spans="1:6">
      <c r="A90" s="22">
        <v>5425</v>
      </c>
      <c r="B90" s="24" t="s">
        <v>3292</v>
      </c>
      <c r="C90" s="24" t="s">
        <v>178</v>
      </c>
      <c r="D90" s="24" t="s">
        <v>175</v>
      </c>
      <c r="E90" s="24" t="s">
        <v>145</v>
      </c>
      <c r="F90" s="25" t="s">
        <v>230</v>
      </c>
    </row>
    <row r="91" spans="1:6">
      <c r="A91" s="22">
        <v>5440</v>
      </c>
      <c r="B91" s="24" t="s">
        <v>748</v>
      </c>
      <c r="C91" s="24" t="s">
        <v>178</v>
      </c>
      <c r="D91" s="24" t="s">
        <v>175</v>
      </c>
      <c r="E91" s="24" t="s">
        <v>145</v>
      </c>
      <c r="F91" s="25" t="s">
        <v>202</v>
      </c>
    </row>
    <row r="92" spans="1:6">
      <c r="A92" s="22">
        <v>5001</v>
      </c>
      <c r="B92" s="24" t="s">
        <v>175</v>
      </c>
      <c r="C92" s="24" t="s">
        <v>178</v>
      </c>
      <c r="D92" s="24" t="s">
        <v>175</v>
      </c>
      <c r="E92" s="24" t="s">
        <v>145</v>
      </c>
      <c r="F92" s="25" t="s">
        <v>52</v>
      </c>
    </row>
    <row r="93" spans="1:6">
      <c r="A93" s="22">
        <v>5467</v>
      </c>
      <c r="B93" s="24" t="s">
        <v>3293</v>
      </c>
      <c r="C93" s="24" t="s">
        <v>178</v>
      </c>
      <c r="D93" s="24" t="s">
        <v>175</v>
      </c>
      <c r="E93" s="24" t="s">
        <v>145</v>
      </c>
      <c r="F93" s="25" t="s">
        <v>202</v>
      </c>
    </row>
    <row r="94" spans="1:6">
      <c r="A94" s="22">
        <v>5475</v>
      </c>
      <c r="B94" s="24" t="s">
        <v>3294</v>
      </c>
      <c r="C94" s="24" t="s">
        <v>178</v>
      </c>
      <c r="D94" s="24" t="s">
        <v>608</v>
      </c>
      <c r="E94" s="24" t="s">
        <v>161</v>
      </c>
      <c r="F94" s="25" t="s">
        <v>160</v>
      </c>
    </row>
    <row r="95" spans="1:6">
      <c r="A95" s="22">
        <v>5480</v>
      </c>
      <c r="B95" s="24" t="s">
        <v>3295</v>
      </c>
      <c r="C95" s="24" t="s">
        <v>178</v>
      </c>
      <c r="D95" s="24" t="s">
        <v>608</v>
      </c>
      <c r="E95" s="24" t="s">
        <v>145</v>
      </c>
      <c r="F95" s="25" t="s">
        <v>202</v>
      </c>
    </row>
    <row r="96" spans="1:6">
      <c r="A96" s="22">
        <v>5495</v>
      </c>
      <c r="B96" s="24" t="s">
        <v>1940</v>
      </c>
      <c r="C96" s="24" t="s">
        <v>178</v>
      </c>
      <c r="D96" s="24" t="s">
        <v>379</v>
      </c>
      <c r="E96" s="24" t="s">
        <v>145</v>
      </c>
      <c r="F96" s="25" t="s">
        <v>230</v>
      </c>
    </row>
    <row r="97" spans="1:6">
      <c r="A97" s="22">
        <v>5490</v>
      </c>
      <c r="B97" s="24" t="s">
        <v>610</v>
      </c>
      <c r="C97" s="24" t="s">
        <v>178</v>
      </c>
      <c r="D97" s="24" t="s">
        <v>608</v>
      </c>
      <c r="E97" s="24" t="s">
        <v>145</v>
      </c>
      <c r="F97" s="25" t="s">
        <v>202</v>
      </c>
    </row>
    <row r="98" spans="1:6">
      <c r="A98" s="22">
        <v>5501</v>
      </c>
      <c r="B98" s="24" t="s">
        <v>3296</v>
      </c>
      <c r="C98" s="24" t="s">
        <v>178</v>
      </c>
      <c r="D98" s="24" t="s">
        <v>175</v>
      </c>
      <c r="E98" s="24" t="s">
        <v>145</v>
      </c>
      <c r="F98" s="25" t="s">
        <v>202</v>
      </c>
    </row>
    <row r="99" spans="1:6">
      <c r="A99" s="22">
        <v>5541</v>
      </c>
      <c r="B99" s="24" t="s">
        <v>3297</v>
      </c>
      <c r="C99" s="24" t="s">
        <v>178</v>
      </c>
      <c r="D99" s="24" t="s">
        <v>175</v>
      </c>
      <c r="E99" s="24" t="s">
        <v>145</v>
      </c>
      <c r="F99" s="25" t="s">
        <v>202</v>
      </c>
    </row>
    <row r="100" spans="1:6">
      <c r="A100" s="22">
        <v>5543</v>
      </c>
      <c r="B100" s="24" t="s">
        <v>3298</v>
      </c>
      <c r="C100" s="24" t="s">
        <v>178</v>
      </c>
      <c r="D100" s="24" t="s">
        <v>175</v>
      </c>
      <c r="E100" s="24" t="s">
        <v>145</v>
      </c>
      <c r="F100" s="25" t="s">
        <v>144</v>
      </c>
    </row>
    <row r="101" spans="1:6">
      <c r="A101" s="22">
        <v>5576</v>
      </c>
      <c r="B101" s="24" t="s">
        <v>3299</v>
      </c>
      <c r="C101" s="24" t="s">
        <v>178</v>
      </c>
      <c r="D101" s="24" t="s">
        <v>175</v>
      </c>
      <c r="E101" s="24" t="s">
        <v>145</v>
      </c>
      <c r="F101" s="25" t="s">
        <v>230</v>
      </c>
    </row>
    <row r="102" spans="1:6">
      <c r="A102" s="22">
        <v>5579</v>
      </c>
      <c r="B102" s="24" t="s">
        <v>2163</v>
      </c>
      <c r="C102" s="24" t="s">
        <v>178</v>
      </c>
      <c r="D102" s="24" t="s">
        <v>175</v>
      </c>
      <c r="E102" s="24" t="s">
        <v>145</v>
      </c>
      <c r="F102" s="25" t="s">
        <v>230</v>
      </c>
    </row>
    <row r="103" spans="1:6">
      <c r="A103" s="22">
        <v>5585</v>
      </c>
      <c r="B103" s="24" t="s">
        <v>3300</v>
      </c>
      <c r="C103" s="24" t="s">
        <v>178</v>
      </c>
      <c r="D103" s="24" t="s">
        <v>175</v>
      </c>
      <c r="E103" s="24" t="s">
        <v>145</v>
      </c>
      <c r="F103" s="25" t="s">
        <v>144</v>
      </c>
    </row>
    <row r="104" spans="1:6">
      <c r="A104" s="22">
        <v>5591</v>
      </c>
      <c r="B104" s="24" t="s">
        <v>1384</v>
      </c>
      <c r="C104" s="24" t="s">
        <v>178</v>
      </c>
      <c r="D104" s="24" t="s">
        <v>175</v>
      </c>
      <c r="E104" s="24" t="s">
        <v>145</v>
      </c>
      <c r="F104" s="25" t="s">
        <v>144</v>
      </c>
    </row>
    <row r="105" spans="1:6">
      <c r="A105" s="22">
        <v>5604</v>
      </c>
      <c r="B105" s="24" t="s">
        <v>3301</v>
      </c>
      <c r="C105" s="24" t="s">
        <v>178</v>
      </c>
      <c r="D105" s="24" t="s">
        <v>175</v>
      </c>
      <c r="E105" s="24" t="s">
        <v>145</v>
      </c>
      <c r="F105" s="25" t="s">
        <v>144</v>
      </c>
    </row>
    <row r="106" spans="1:6">
      <c r="A106" s="22">
        <v>5607</v>
      </c>
      <c r="B106" s="24" t="s">
        <v>3302</v>
      </c>
      <c r="C106" s="24" t="s">
        <v>178</v>
      </c>
      <c r="D106" s="24" t="s">
        <v>175</v>
      </c>
      <c r="E106" s="24" t="s">
        <v>145</v>
      </c>
      <c r="F106" s="25" t="s">
        <v>202</v>
      </c>
    </row>
    <row r="107" spans="1:6">
      <c r="A107" s="22">
        <v>5631</v>
      </c>
      <c r="B107" s="24" t="s">
        <v>3303</v>
      </c>
      <c r="C107" s="24" t="s">
        <v>178</v>
      </c>
      <c r="D107" s="24" t="s">
        <v>175</v>
      </c>
      <c r="E107" s="24" t="s">
        <v>145</v>
      </c>
      <c r="F107" s="25" t="s">
        <v>52</v>
      </c>
    </row>
    <row r="108" spans="1:6">
      <c r="A108" s="22">
        <v>5642</v>
      </c>
      <c r="B108" s="24" t="s">
        <v>753</v>
      </c>
      <c r="C108" s="24" t="s">
        <v>178</v>
      </c>
      <c r="D108" s="24" t="s">
        <v>175</v>
      </c>
      <c r="E108" s="24" t="s">
        <v>145</v>
      </c>
      <c r="F108" s="25" t="s">
        <v>202</v>
      </c>
    </row>
    <row r="109" spans="1:6">
      <c r="A109" s="22">
        <v>5647</v>
      </c>
      <c r="B109" s="24" t="s">
        <v>3304</v>
      </c>
      <c r="C109" s="24" t="s">
        <v>178</v>
      </c>
      <c r="D109" s="24" t="s">
        <v>175</v>
      </c>
      <c r="E109" s="24" t="s">
        <v>145</v>
      </c>
      <c r="F109" s="25" t="s">
        <v>230</v>
      </c>
    </row>
    <row r="110" spans="1:6">
      <c r="A110" s="22">
        <v>5656</v>
      </c>
      <c r="B110" s="24" t="s">
        <v>3305</v>
      </c>
      <c r="C110" s="24" t="s">
        <v>178</v>
      </c>
      <c r="D110" s="24" t="s">
        <v>175</v>
      </c>
      <c r="E110" s="24" t="s">
        <v>145</v>
      </c>
      <c r="F110" s="25" t="s">
        <v>202</v>
      </c>
    </row>
    <row r="111" spans="1:6">
      <c r="A111" s="22">
        <v>5658</v>
      </c>
      <c r="B111" s="24" t="s">
        <v>3306</v>
      </c>
      <c r="C111" s="24" t="s">
        <v>178</v>
      </c>
      <c r="D111" s="24" t="s">
        <v>175</v>
      </c>
      <c r="E111" s="24" t="s">
        <v>145</v>
      </c>
      <c r="F111" s="25" t="s">
        <v>230</v>
      </c>
    </row>
    <row r="112" spans="1:6">
      <c r="A112" s="22">
        <v>5659</v>
      </c>
      <c r="B112" s="24" t="s">
        <v>3307</v>
      </c>
      <c r="C112" s="24" t="s">
        <v>178</v>
      </c>
      <c r="D112" s="24" t="s">
        <v>379</v>
      </c>
      <c r="E112" s="24" t="s">
        <v>145</v>
      </c>
      <c r="F112" s="25" t="s">
        <v>202</v>
      </c>
    </row>
    <row r="113" spans="1:6">
      <c r="A113" s="22">
        <v>5665</v>
      </c>
      <c r="B113" s="24" t="s">
        <v>1333</v>
      </c>
      <c r="C113" s="24" t="s">
        <v>178</v>
      </c>
      <c r="D113" s="24" t="s">
        <v>608</v>
      </c>
      <c r="E113" s="24" t="s">
        <v>145</v>
      </c>
      <c r="F113" s="25" t="s">
        <v>230</v>
      </c>
    </row>
    <row r="114" spans="1:6">
      <c r="A114" s="22">
        <v>5667</v>
      </c>
      <c r="B114" s="24" t="s">
        <v>1371</v>
      </c>
      <c r="C114" s="24" t="s">
        <v>178</v>
      </c>
      <c r="D114" s="24" t="s">
        <v>175</v>
      </c>
      <c r="E114" s="24" t="s">
        <v>145</v>
      </c>
      <c r="F114" s="25" t="s">
        <v>230</v>
      </c>
    </row>
    <row r="115" spans="1:6">
      <c r="A115" s="22">
        <v>5670</v>
      </c>
      <c r="B115" s="24" t="s">
        <v>3308</v>
      </c>
      <c r="C115" s="24" t="s">
        <v>178</v>
      </c>
      <c r="D115" s="24" t="s">
        <v>175</v>
      </c>
      <c r="E115" s="24" t="s">
        <v>145</v>
      </c>
      <c r="F115" s="25" t="s">
        <v>230</v>
      </c>
    </row>
    <row r="116" spans="1:6">
      <c r="A116" s="22">
        <v>5674</v>
      </c>
      <c r="B116" s="24" t="s">
        <v>3309</v>
      </c>
      <c r="C116" s="24" t="s">
        <v>178</v>
      </c>
      <c r="D116" s="24" t="s">
        <v>175</v>
      </c>
      <c r="E116" s="24" t="s">
        <v>145</v>
      </c>
      <c r="F116" s="25" t="s">
        <v>202</v>
      </c>
    </row>
    <row r="117" spans="1:6">
      <c r="A117" s="22">
        <v>5042</v>
      </c>
      <c r="B117" s="24" t="s">
        <v>3310</v>
      </c>
      <c r="C117" s="24" t="s">
        <v>178</v>
      </c>
      <c r="D117" s="24" t="s">
        <v>175</v>
      </c>
      <c r="E117" s="24" t="s">
        <v>145</v>
      </c>
      <c r="F117" s="25" t="s">
        <v>202</v>
      </c>
    </row>
    <row r="118" spans="1:6">
      <c r="A118" s="22">
        <v>5686</v>
      </c>
      <c r="B118" s="24" t="s">
        <v>1026</v>
      </c>
      <c r="C118" s="24" t="s">
        <v>178</v>
      </c>
      <c r="D118" s="24" t="s">
        <v>175</v>
      </c>
      <c r="E118" s="24" t="s">
        <v>145</v>
      </c>
      <c r="F118" s="25" t="s">
        <v>202</v>
      </c>
    </row>
    <row r="119" spans="1:6">
      <c r="A119" s="22">
        <v>5690</v>
      </c>
      <c r="B119" s="24" t="s">
        <v>3311</v>
      </c>
      <c r="C119" s="24" t="s">
        <v>178</v>
      </c>
      <c r="D119" s="24" t="s">
        <v>175</v>
      </c>
      <c r="E119" s="24" t="s">
        <v>145</v>
      </c>
      <c r="F119" s="25" t="s">
        <v>202</v>
      </c>
    </row>
    <row r="120" spans="1:6">
      <c r="A120" s="22">
        <v>5736</v>
      </c>
      <c r="B120" s="24" t="s">
        <v>3312</v>
      </c>
      <c r="C120" s="24" t="s">
        <v>178</v>
      </c>
      <c r="D120" s="24" t="s">
        <v>175</v>
      </c>
      <c r="E120" s="24" t="s">
        <v>145</v>
      </c>
      <c r="F120" s="25" t="s">
        <v>144</v>
      </c>
    </row>
    <row r="121" spans="1:6">
      <c r="A121" s="22">
        <v>5756</v>
      </c>
      <c r="B121" s="24" t="s">
        <v>3313</v>
      </c>
      <c r="C121" s="24" t="s">
        <v>178</v>
      </c>
      <c r="D121" s="24" t="s">
        <v>175</v>
      </c>
      <c r="E121" s="24" t="s">
        <v>145</v>
      </c>
      <c r="F121" s="25" t="s">
        <v>230</v>
      </c>
    </row>
    <row r="122" spans="1:6">
      <c r="A122" s="22">
        <v>5761</v>
      </c>
      <c r="B122" s="24" t="s">
        <v>3314</v>
      </c>
      <c r="C122" s="24" t="s">
        <v>178</v>
      </c>
      <c r="D122" s="24" t="s">
        <v>175</v>
      </c>
      <c r="E122" s="24" t="s">
        <v>145</v>
      </c>
      <c r="F122" s="25" t="s">
        <v>202</v>
      </c>
    </row>
    <row r="123" spans="1:6">
      <c r="A123" s="22">
        <v>5789</v>
      </c>
      <c r="B123" s="24" t="s">
        <v>2036</v>
      </c>
      <c r="C123" s="24" t="s">
        <v>178</v>
      </c>
      <c r="D123" s="24" t="s">
        <v>175</v>
      </c>
      <c r="E123" s="24" t="s">
        <v>145</v>
      </c>
      <c r="F123" s="25" t="s">
        <v>230</v>
      </c>
    </row>
    <row r="124" spans="1:6">
      <c r="A124" s="22">
        <v>5790</v>
      </c>
      <c r="B124" s="24" t="s">
        <v>1491</v>
      </c>
      <c r="C124" s="24" t="s">
        <v>178</v>
      </c>
      <c r="D124" s="24" t="s">
        <v>175</v>
      </c>
      <c r="E124" s="24" t="s">
        <v>145</v>
      </c>
      <c r="F124" s="25" t="s">
        <v>144</v>
      </c>
    </row>
    <row r="125" spans="1:6">
      <c r="A125" s="22">
        <v>5792</v>
      </c>
      <c r="B125" s="24" t="s">
        <v>3315</v>
      </c>
      <c r="C125" s="24" t="s">
        <v>178</v>
      </c>
      <c r="D125" s="24" t="s">
        <v>175</v>
      </c>
      <c r="E125" s="24" t="s">
        <v>145</v>
      </c>
      <c r="F125" s="25" t="s">
        <v>230</v>
      </c>
    </row>
    <row r="126" spans="1:6">
      <c r="A126" s="22">
        <v>5809</v>
      </c>
      <c r="B126" s="24" t="s">
        <v>3316</v>
      </c>
      <c r="C126" s="24" t="s">
        <v>178</v>
      </c>
      <c r="D126" s="24" t="s">
        <v>175</v>
      </c>
      <c r="E126" s="24" t="s">
        <v>145</v>
      </c>
      <c r="F126" s="25" t="s">
        <v>202</v>
      </c>
    </row>
    <row r="127" spans="1:6">
      <c r="A127" s="22">
        <v>5837</v>
      </c>
      <c r="B127" s="24" t="s">
        <v>760</v>
      </c>
      <c r="C127" s="24" t="s">
        <v>178</v>
      </c>
      <c r="D127" s="24" t="s">
        <v>608</v>
      </c>
      <c r="E127" s="24" t="s">
        <v>145</v>
      </c>
      <c r="F127" s="25" t="s">
        <v>202</v>
      </c>
    </row>
    <row r="128" spans="1:6">
      <c r="A128" s="22">
        <v>5842</v>
      </c>
      <c r="B128" s="24" t="s">
        <v>3317</v>
      </c>
      <c r="C128" s="24" t="s">
        <v>178</v>
      </c>
      <c r="D128" s="24" t="s">
        <v>175</v>
      </c>
      <c r="E128" s="24" t="s">
        <v>145</v>
      </c>
      <c r="F128" s="25" t="s">
        <v>144</v>
      </c>
    </row>
    <row r="129" spans="1:6">
      <c r="A129" s="22">
        <v>5847</v>
      </c>
      <c r="B129" s="24" t="s">
        <v>3318</v>
      </c>
      <c r="C129" s="24" t="s">
        <v>178</v>
      </c>
      <c r="D129" s="24" t="s">
        <v>175</v>
      </c>
      <c r="E129" s="24" t="s">
        <v>145</v>
      </c>
      <c r="F129" s="25" t="s">
        <v>144</v>
      </c>
    </row>
    <row r="130" spans="1:6">
      <c r="A130" s="22">
        <v>5854</v>
      </c>
      <c r="B130" s="24" t="s">
        <v>3319</v>
      </c>
      <c r="C130" s="24" t="s">
        <v>178</v>
      </c>
      <c r="D130" s="24" t="s">
        <v>175</v>
      </c>
      <c r="E130" s="24" t="s">
        <v>145</v>
      </c>
      <c r="F130" s="25" t="s">
        <v>230</v>
      </c>
    </row>
    <row r="131" spans="1:6">
      <c r="A131" s="22">
        <v>5858</v>
      </c>
      <c r="B131" s="24" t="s">
        <v>2772</v>
      </c>
      <c r="C131" s="24" t="s">
        <v>178</v>
      </c>
      <c r="D131" s="24" t="s">
        <v>175</v>
      </c>
      <c r="E131" s="24" t="s">
        <v>145</v>
      </c>
      <c r="F131" s="25" t="s">
        <v>230</v>
      </c>
    </row>
    <row r="132" spans="1:6">
      <c r="A132" s="22">
        <v>5873</v>
      </c>
      <c r="B132" s="24" t="s">
        <v>3320</v>
      </c>
      <c r="C132" s="24" t="s">
        <v>178</v>
      </c>
      <c r="D132" s="24" t="s">
        <v>608</v>
      </c>
      <c r="E132" s="24" t="s">
        <v>1369</v>
      </c>
      <c r="F132" s="25" t="s">
        <v>160</v>
      </c>
    </row>
    <row r="133" spans="1:6">
      <c r="A133" s="22">
        <v>5885</v>
      </c>
      <c r="B133" s="24" t="s">
        <v>3321</v>
      </c>
      <c r="C133" s="24" t="s">
        <v>178</v>
      </c>
      <c r="D133" s="24" t="s">
        <v>175</v>
      </c>
      <c r="E133" s="24" t="s">
        <v>145</v>
      </c>
      <c r="F133" s="25" t="s">
        <v>202</v>
      </c>
    </row>
    <row r="134" spans="1:6">
      <c r="A134" s="22">
        <v>5887</v>
      </c>
      <c r="B134" s="24" t="s">
        <v>1433</v>
      </c>
      <c r="C134" s="24" t="s">
        <v>178</v>
      </c>
      <c r="D134" s="24" t="s">
        <v>175</v>
      </c>
      <c r="E134" s="24" t="s">
        <v>145</v>
      </c>
      <c r="F134" s="25" t="s">
        <v>230</v>
      </c>
    </row>
    <row r="135" spans="1:6">
      <c r="A135" s="22">
        <v>5890</v>
      </c>
      <c r="B135" s="24" t="s">
        <v>653</v>
      </c>
      <c r="C135" s="24" t="s">
        <v>178</v>
      </c>
      <c r="D135" s="24" t="s">
        <v>175</v>
      </c>
      <c r="E135" s="24" t="s">
        <v>145</v>
      </c>
      <c r="F135" s="25" t="s">
        <v>202</v>
      </c>
    </row>
    <row r="136" spans="1:6">
      <c r="A136" s="22">
        <v>5893</v>
      </c>
      <c r="B136" s="24" t="s">
        <v>3322</v>
      </c>
      <c r="C136" s="24" t="s">
        <v>178</v>
      </c>
      <c r="D136" s="24" t="s">
        <v>269</v>
      </c>
      <c r="E136" s="24" t="s">
        <v>145</v>
      </c>
      <c r="F136" s="25" t="s">
        <v>144</v>
      </c>
    </row>
    <row r="137" spans="1:6">
      <c r="A137" s="22">
        <v>5895</v>
      </c>
      <c r="B137" s="24" t="s">
        <v>3323</v>
      </c>
      <c r="C137" s="24" t="s">
        <v>178</v>
      </c>
      <c r="D137" s="24" t="s">
        <v>379</v>
      </c>
      <c r="E137" s="24" t="s">
        <v>145</v>
      </c>
      <c r="F137" s="25" t="s">
        <v>144</v>
      </c>
    </row>
    <row r="138" spans="1:6">
      <c r="A138" s="22">
        <v>81001</v>
      </c>
      <c r="B138" s="24" t="s">
        <v>1785</v>
      </c>
      <c r="C138" s="24" t="s">
        <v>1785</v>
      </c>
      <c r="D138" s="24" t="s">
        <v>269</v>
      </c>
      <c r="E138" s="24" t="s">
        <v>1369</v>
      </c>
      <c r="F138" s="25" t="s">
        <v>160</v>
      </c>
    </row>
    <row r="139" spans="1:6">
      <c r="A139" s="22">
        <v>81065</v>
      </c>
      <c r="B139" s="24" t="s">
        <v>3324</v>
      </c>
      <c r="C139" s="24" t="s">
        <v>1785</v>
      </c>
      <c r="D139" s="24" t="s">
        <v>269</v>
      </c>
      <c r="E139" s="24" t="s">
        <v>1369</v>
      </c>
      <c r="F139" s="25" t="s">
        <v>160</v>
      </c>
    </row>
    <row r="140" spans="1:6">
      <c r="A140" s="22">
        <v>81220</v>
      </c>
      <c r="B140" s="24" t="s">
        <v>3325</v>
      </c>
      <c r="C140" s="24" t="s">
        <v>1785</v>
      </c>
      <c r="D140" s="24" t="s">
        <v>269</v>
      </c>
      <c r="E140" s="24" t="s">
        <v>1369</v>
      </c>
      <c r="F140" s="25" t="s">
        <v>160</v>
      </c>
    </row>
    <row r="141" spans="1:6">
      <c r="A141" s="22">
        <v>81300</v>
      </c>
      <c r="B141" s="24" t="s">
        <v>2968</v>
      </c>
      <c r="C141" s="24" t="s">
        <v>1785</v>
      </c>
      <c r="D141" s="24" t="s">
        <v>269</v>
      </c>
      <c r="E141" s="24" t="s">
        <v>1369</v>
      </c>
      <c r="F141" s="25" t="s">
        <v>160</v>
      </c>
    </row>
    <row r="142" spans="1:6">
      <c r="A142" s="22">
        <v>81591</v>
      </c>
      <c r="B142" s="24" t="s">
        <v>3326</v>
      </c>
      <c r="C142" s="24" t="s">
        <v>1785</v>
      </c>
      <c r="D142" s="24" t="s">
        <v>269</v>
      </c>
      <c r="E142" s="24" t="s">
        <v>1369</v>
      </c>
      <c r="F142" s="25" t="s">
        <v>160</v>
      </c>
    </row>
    <row r="143" spans="1:6">
      <c r="A143" s="22">
        <v>81736</v>
      </c>
      <c r="B143" s="24" t="s">
        <v>3126</v>
      </c>
      <c r="C143" s="24" t="s">
        <v>1785</v>
      </c>
      <c r="D143" s="24" t="s">
        <v>269</v>
      </c>
      <c r="E143" s="24" t="s">
        <v>1369</v>
      </c>
      <c r="F143" s="25" t="s">
        <v>160</v>
      </c>
    </row>
    <row r="144" spans="1:6">
      <c r="A144" s="22">
        <v>81794</v>
      </c>
      <c r="B144" s="24" t="s">
        <v>3327</v>
      </c>
      <c r="C144" s="24" t="s">
        <v>1785</v>
      </c>
      <c r="D144" s="24" t="s">
        <v>269</v>
      </c>
      <c r="E144" s="24" t="s">
        <v>1369</v>
      </c>
      <c r="F144" s="25" t="s">
        <v>160</v>
      </c>
    </row>
    <row r="145" spans="1:6">
      <c r="A145" s="22">
        <v>8141</v>
      </c>
      <c r="B145" s="23" t="s">
        <v>1269</v>
      </c>
      <c r="C145" s="24" t="s">
        <v>347</v>
      </c>
      <c r="D145" s="24" t="s">
        <v>345</v>
      </c>
      <c r="E145" s="24" t="s">
        <v>145</v>
      </c>
      <c r="F145" s="25" t="s">
        <v>202</v>
      </c>
    </row>
    <row r="146" spans="1:6">
      <c r="A146" s="22">
        <v>8573</v>
      </c>
      <c r="B146" s="23" t="s">
        <v>3328</v>
      </c>
      <c r="C146" s="24" t="s">
        <v>347</v>
      </c>
      <c r="D146" s="24" t="s">
        <v>345</v>
      </c>
      <c r="E146" s="24" t="s">
        <v>145</v>
      </c>
      <c r="F146" s="25" t="s">
        <v>202</v>
      </c>
    </row>
    <row r="147" spans="1:6">
      <c r="A147" s="22">
        <v>8638</v>
      </c>
      <c r="B147" s="23" t="s">
        <v>2657</v>
      </c>
      <c r="C147" s="24" t="s">
        <v>347</v>
      </c>
      <c r="D147" s="24" t="s">
        <v>345</v>
      </c>
      <c r="E147" s="24" t="s">
        <v>145</v>
      </c>
      <c r="F147" s="25" t="s">
        <v>202</v>
      </c>
    </row>
    <row r="148" spans="1:6">
      <c r="A148" s="22">
        <v>8078</v>
      </c>
      <c r="B148" s="24" t="s">
        <v>3329</v>
      </c>
      <c r="C148" s="24" t="s">
        <v>347</v>
      </c>
      <c r="D148" s="24" t="s">
        <v>345</v>
      </c>
      <c r="E148" s="24" t="s">
        <v>145</v>
      </c>
      <c r="F148" s="25" t="s">
        <v>202</v>
      </c>
    </row>
    <row r="149" spans="1:6">
      <c r="A149" s="22">
        <v>8001</v>
      </c>
      <c r="B149" s="24" t="s">
        <v>345</v>
      </c>
      <c r="C149" s="24" t="s">
        <v>347</v>
      </c>
      <c r="D149" s="24" t="s">
        <v>345</v>
      </c>
      <c r="E149" s="24" t="s">
        <v>145</v>
      </c>
      <c r="F149" s="25" t="s">
        <v>52</v>
      </c>
    </row>
    <row r="150" spans="1:6">
      <c r="A150" s="22">
        <v>8137</v>
      </c>
      <c r="B150" s="24" t="s">
        <v>3330</v>
      </c>
      <c r="C150" s="24" t="s">
        <v>347</v>
      </c>
      <c r="D150" s="24" t="s">
        <v>345</v>
      </c>
      <c r="E150" s="24" t="s">
        <v>145</v>
      </c>
      <c r="F150" s="25" t="s">
        <v>202</v>
      </c>
    </row>
    <row r="151" spans="1:6">
      <c r="A151" s="22">
        <v>8296</v>
      </c>
      <c r="B151" s="24" t="s">
        <v>3331</v>
      </c>
      <c r="C151" s="24" t="s">
        <v>347</v>
      </c>
      <c r="D151" s="24" t="s">
        <v>345</v>
      </c>
      <c r="E151" s="24" t="s">
        <v>145</v>
      </c>
      <c r="F151" s="25" t="s">
        <v>52</v>
      </c>
    </row>
    <row r="152" spans="1:6">
      <c r="A152" s="22">
        <v>8372</v>
      </c>
      <c r="B152" s="24" t="s">
        <v>3332</v>
      </c>
      <c r="C152" s="24" t="s">
        <v>347</v>
      </c>
      <c r="D152" s="24" t="s">
        <v>345</v>
      </c>
      <c r="E152" s="24" t="s">
        <v>145</v>
      </c>
      <c r="F152" s="25" t="s">
        <v>202</v>
      </c>
    </row>
    <row r="153" spans="1:6">
      <c r="A153" s="22">
        <v>8421</v>
      </c>
      <c r="B153" s="24" t="s">
        <v>3333</v>
      </c>
      <c r="C153" s="24" t="s">
        <v>347</v>
      </c>
      <c r="D153" s="24" t="s">
        <v>345</v>
      </c>
      <c r="E153" s="24" t="s">
        <v>145</v>
      </c>
      <c r="F153" s="25" t="s">
        <v>202</v>
      </c>
    </row>
    <row r="154" spans="1:6">
      <c r="A154" s="22">
        <v>8433</v>
      </c>
      <c r="B154" s="24" t="s">
        <v>348</v>
      </c>
      <c r="C154" s="24" t="s">
        <v>347</v>
      </c>
      <c r="D154" s="24" t="s">
        <v>345</v>
      </c>
      <c r="E154" s="24" t="s">
        <v>145</v>
      </c>
      <c r="F154" s="25" t="s">
        <v>202</v>
      </c>
    </row>
    <row r="155" spans="1:6">
      <c r="A155" s="22">
        <v>8436</v>
      </c>
      <c r="B155" s="24" t="s">
        <v>3334</v>
      </c>
      <c r="C155" s="24" t="s">
        <v>347</v>
      </c>
      <c r="D155" s="24" t="s">
        <v>345</v>
      </c>
      <c r="E155" s="24" t="s">
        <v>145</v>
      </c>
      <c r="F155" s="25" t="s">
        <v>202</v>
      </c>
    </row>
    <row r="156" spans="1:6">
      <c r="A156" s="22">
        <v>8520</v>
      </c>
      <c r="B156" s="24" t="s">
        <v>3335</v>
      </c>
      <c r="C156" s="24" t="s">
        <v>347</v>
      </c>
      <c r="D156" s="24" t="s">
        <v>345</v>
      </c>
      <c r="E156" s="24" t="s">
        <v>145</v>
      </c>
      <c r="F156" s="25" t="s">
        <v>202</v>
      </c>
    </row>
    <row r="157" spans="1:6">
      <c r="A157" s="22">
        <v>8549</v>
      </c>
      <c r="B157" s="24" t="s">
        <v>3336</v>
      </c>
      <c r="C157" s="24" t="s">
        <v>347</v>
      </c>
      <c r="D157" s="24" t="s">
        <v>345</v>
      </c>
      <c r="E157" s="24" t="s">
        <v>145</v>
      </c>
      <c r="F157" s="25" t="s">
        <v>202</v>
      </c>
    </row>
    <row r="158" spans="1:6">
      <c r="A158" s="22">
        <v>8558</v>
      </c>
      <c r="B158" s="24" t="s">
        <v>3337</v>
      </c>
      <c r="C158" s="24" t="s">
        <v>347</v>
      </c>
      <c r="D158" s="24" t="s">
        <v>345</v>
      </c>
      <c r="E158" s="24" t="s">
        <v>145</v>
      </c>
      <c r="F158" s="25" t="s">
        <v>202</v>
      </c>
    </row>
    <row r="159" spans="1:6">
      <c r="A159" s="22">
        <v>8560</v>
      </c>
      <c r="B159" s="24" t="s">
        <v>881</v>
      </c>
      <c r="C159" s="24" t="s">
        <v>347</v>
      </c>
      <c r="D159" s="24" t="s">
        <v>345</v>
      </c>
      <c r="E159" s="24" t="s">
        <v>145</v>
      </c>
      <c r="F159" s="25" t="s">
        <v>202</v>
      </c>
    </row>
    <row r="160" spans="1:6">
      <c r="A160" s="22">
        <v>8606</v>
      </c>
      <c r="B160" s="24" t="s">
        <v>3338</v>
      </c>
      <c r="C160" s="24" t="s">
        <v>347</v>
      </c>
      <c r="D160" s="24" t="s">
        <v>345</v>
      </c>
      <c r="E160" s="24" t="s">
        <v>145</v>
      </c>
      <c r="F160" s="25" t="s">
        <v>202</v>
      </c>
    </row>
    <row r="161" spans="1:6">
      <c r="A161" s="22">
        <v>8634</v>
      </c>
      <c r="B161" s="24" t="s">
        <v>3339</v>
      </c>
      <c r="C161" s="24" t="s">
        <v>347</v>
      </c>
      <c r="D161" s="24" t="s">
        <v>345</v>
      </c>
      <c r="E161" s="24" t="s">
        <v>145</v>
      </c>
      <c r="F161" s="25" t="s">
        <v>202</v>
      </c>
    </row>
    <row r="162" spans="1:6">
      <c r="A162" s="22">
        <v>8675</v>
      </c>
      <c r="B162" s="24" t="s">
        <v>3340</v>
      </c>
      <c r="C162" s="24" t="s">
        <v>347</v>
      </c>
      <c r="D162" s="24" t="s">
        <v>345</v>
      </c>
      <c r="E162" s="24" t="s">
        <v>145</v>
      </c>
      <c r="F162" s="25" t="s">
        <v>202</v>
      </c>
    </row>
    <row r="163" spans="1:6">
      <c r="A163" s="22">
        <v>8685</v>
      </c>
      <c r="B163" s="24" t="s">
        <v>3341</v>
      </c>
      <c r="C163" s="24" t="s">
        <v>347</v>
      </c>
      <c r="D163" s="24" t="s">
        <v>345</v>
      </c>
      <c r="E163" s="24" t="s">
        <v>145</v>
      </c>
      <c r="F163" s="25" t="s">
        <v>202</v>
      </c>
    </row>
    <row r="164" spans="1:6">
      <c r="A164" s="22">
        <v>8758</v>
      </c>
      <c r="B164" s="24" t="s">
        <v>1060</v>
      </c>
      <c r="C164" s="24" t="s">
        <v>347</v>
      </c>
      <c r="D164" s="24" t="s">
        <v>345</v>
      </c>
      <c r="E164" s="24" t="s">
        <v>145</v>
      </c>
      <c r="F164" s="25" t="s">
        <v>52</v>
      </c>
    </row>
    <row r="165" spans="1:6">
      <c r="A165" s="22">
        <v>8770</v>
      </c>
      <c r="B165" s="24" t="s">
        <v>3342</v>
      </c>
      <c r="C165" s="24" t="s">
        <v>347</v>
      </c>
      <c r="D165" s="24" t="s">
        <v>345</v>
      </c>
      <c r="E165" s="24" t="s">
        <v>145</v>
      </c>
      <c r="F165" s="25" t="s">
        <v>202</v>
      </c>
    </row>
    <row r="166" spans="1:6">
      <c r="A166" s="22">
        <v>8832</v>
      </c>
      <c r="B166" s="24" t="s">
        <v>3343</v>
      </c>
      <c r="C166" s="24" t="s">
        <v>347</v>
      </c>
      <c r="D166" s="24" t="s">
        <v>345</v>
      </c>
      <c r="E166" s="24" t="s">
        <v>145</v>
      </c>
      <c r="F166" s="25" t="s">
        <v>202</v>
      </c>
    </row>
    <row r="167" spans="1:6">
      <c r="A167" s="22">
        <v>8849</v>
      </c>
      <c r="B167" s="24" t="s">
        <v>3344</v>
      </c>
      <c r="C167" s="24" t="s">
        <v>347</v>
      </c>
      <c r="D167" s="24" t="s">
        <v>345</v>
      </c>
      <c r="E167" s="24" t="s">
        <v>145</v>
      </c>
      <c r="F167" s="25" t="s">
        <v>202</v>
      </c>
    </row>
    <row r="168" spans="1:6">
      <c r="A168" s="22">
        <v>13140</v>
      </c>
      <c r="B168" s="23" t="s">
        <v>3345</v>
      </c>
      <c r="C168" s="24" t="s">
        <v>271</v>
      </c>
      <c r="D168" s="24" t="s">
        <v>301</v>
      </c>
      <c r="E168" s="24" t="s">
        <v>145</v>
      </c>
      <c r="F168" s="25" t="s">
        <v>202</v>
      </c>
    </row>
    <row r="169" spans="1:6">
      <c r="A169" s="22">
        <v>13212</v>
      </c>
      <c r="B169" s="23" t="s">
        <v>381</v>
      </c>
      <c r="C169" s="24" t="s">
        <v>271</v>
      </c>
      <c r="D169" s="24" t="s">
        <v>301</v>
      </c>
      <c r="E169" s="24" t="s">
        <v>145</v>
      </c>
      <c r="F169" s="25" t="s">
        <v>144</v>
      </c>
    </row>
    <row r="170" spans="1:6">
      <c r="A170" s="22">
        <v>13268</v>
      </c>
      <c r="B170" s="23" t="s">
        <v>3346</v>
      </c>
      <c r="C170" s="24" t="s">
        <v>271</v>
      </c>
      <c r="D170" s="24" t="s">
        <v>399</v>
      </c>
      <c r="E170" s="24" t="s">
        <v>145</v>
      </c>
      <c r="F170" s="25" t="s">
        <v>144</v>
      </c>
    </row>
    <row r="171" spans="1:6">
      <c r="A171" s="22">
        <v>13473</v>
      </c>
      <c r="B171" s="23" t="s">
        <v>3347</v>
      </c>
      <c r="C171" s="24" t="s">
        <v>271</v>
      </c>
      <c r="D171" s="24" t="s">
        <v>399</v>
      </c>
      <c r="E171" s="24" t="s">
        <v>145</v>
      </c>
      <c r="F171" s="25" t="s">
        <v>144</v>
      </c>
    </row>
    <row r="172" spans="1:6">
      <c r="A172" s="22">
        <v>13670</v>
      </c>
      <c r="B172" s="23" t="s">
        <v>3348</v>
      </c>
      <c r="C172" s="24" t="s">
        <v>271</v>
      </c>
      <c r="D172" s="24" t="s">
        <v>269</v>
      </c>
      <c r="E172" s="24" t="s">
        <v>278</v>
      </c>
      <c r="F172" s="25" t="s">
        <v>160</v>
      </c>
    </row>
    <row r="173" spans="1:6">
      <c r="A173" s="22">
        <v>13683</v>
      </c>
      <c r="B173" s="23" t="s">
        <v>3349</v>
      </c>
      <c r="C173" s="24" t="s">
        <v>271</v>
      </c>
      <c r="D173" s="24" t="s">
        <v>301</v>
      </c>
      <c r="E173" s="24" t="s">
        <v>145</v>
      </c>
      <c r="F173" s="25" t="s">
        <v>202</v>
      </c>
    </row>
    <row r="174" spans="1:6">
      <c r="A174" s="22">
        <v>13873</v>
      </c>
      <c r="B174" s="23" t="s">
        <v>3350</v>
      </c>
      <c r="C174" s="24" t="s">
        <v>271</v>
      </c>
      <c r="D174" s="24" t="s">
        <v>301</v>
      </c>
      <c r="E174" s="24" t="s">
        <v>145</v>
      </c>
      <c r="F174" s="25" t="s">
        <v>202</v>
      </c>
    </row>
    <row r="175" spans="1:6">
      <c r="A175" s="22">
        <v>13006</v>
      </c>
      <c r="B175" s="24" t="s">
        <v>3351</v>
      </c>
      <c r="C175" s="24" t="s">
        <v>271</v>
      </c>
      <c r="D175" s="24" t="s">
        <v>301</v>
      </c>
      <c r="E175" s="24" t="s">
        <v>145</v>
      </c>
      <c r="F175" s="25" t="s">
        <v>144</v>
      </c>
    </row>
    <row r="176" spans="1:6">
      <c r="A176" s="22">
        <v>13030</v>
      </c>
      <c r="B176" s="24" t="s">
        <v>3352</v>
      </c>
      <c r="C176" s="24" t="s">
        <v>271</v>
      </c>
      <c r="D176" s="24" t="s">
        <v>301</v>
      </c>
      <c r="E176" s="24" t="s">
        <v>145</v>
      </c>
      <c r="F176" s="25" t="s">
        <v>144</v>
      </c>
    </row>
    <row r="177" spans="1:6">
      <c r="A177" s="22">
        <v>13042</v>
      </c>
      <c r="B177" s="24" t="s">
        <v>3353</v>
      </c>
      <c r="C177" s="24" t="s">
        <v>271</v>
      </c>
      <c r="D177" s="24" t="s">
        <v>399</v>
      </c>
      <c r="E177" s="24" t="s">
        <v>145</v>
      </c>
      <c r="F177" s="25" t="s">
        <v>144</v>
      </c>
    </row>
    <row r="178" spans="1:6">
      <c r="A178" s="22">
        <v>13052</v>
      </c>
      <c r="B178" s="24" t="s">
        <v>2297</v>
      </c>
      <c r="C178" s="24" t="s">
        <v>271</v>
      </c>
      <c r="D178" s="24" t="s">
        <v>301</v>
      </c>
      <c r="E178" s="24" t="s">
        <v>145</v>
      </c>
      <c r="F178" s="25" t="s">
        <v>202</v>
      </c>
    </row>
    <row r="179" spans="1:6">
      <c r="A179" s="22">
        <v>13062</v>
      </c>
      <c r="B179" s="24" t="s">
        <v>3354</v>
      </c>
      <c r="C179" s="24" t="s">
        <v>271</v>
      </c>
      <c r="D179" s="24" t="s">
        <v>301</v>
      </c>
      <c r="E179" s="24" t="s">
        <v>145</v>
      </c>
      <c r="F179" s="25" t="s">
        <v>202</v>
      </c>
    </row>
    <row r="180" spans="1:6">
      <c r="A180" s="22">
        <v>13074</v>
      </c>
      <c r="B180" s="24" t="s">
        <v>3355</v>
      </c>
      <c r="C180" s="24" t="s">
        <v>271</v>
      </c>
      <c r="D180" s="24" t="s">
        <v>399</v>
      </c>
      <c r="E180" s="24" t="s">
        <v>145</v>
      </c>
      <c r="F180" s="25" t="s">
        <v>144</v>
      </c>
    </row>
    <row r="181" spans="1:6">
      <c r="A181" s="22">
        <v>13160</v>
      </c>
      <c r="B181" s="24" t="s">
        <v>3356</v>
      </c>
      <c r="C181" s="24" t="s">
        <v>271</v>
      </c>
      <c r="D181" s="24" t="s">
        <v>269</v>
      </c>
      <c r="E181" s="24" t="s">
        <v>278</v>
      </c>
      <c r="F181" s="25" t="s">
        <v>160</v>
      </c>
    </row>
    <row r="182" spans="1:6">
      <c r="A182" s="22">
        <v>13001</v>
      </c>
      <c r="B182" s="24" t="s">
        <v>301</v>
      </c>
      <c r="C182" s="24" t="s">
        <v>271</v>
      </c>
      <c r="D182" s="24" t="s">
        <v>301</v>
      </c>
      <c r="E182" s="24" t="s">
        <v>145</v>
      </c>
      <c r="F182" s="25" t="s">
        <v>52</v>
      </c>
    </row>
    <row r="183" spans="1:6">
      <c r="A183" s="22">
        <v>13188</v>
      </c>
      <c r="B183" s="24" t="s">
        <v>3357</v>
      </c>
      <c r="C183" s="24" t="s">
        <v>271</v>
      </c>
      <c r="D183" s="24" t="s">
        <v>301</v>
      </c>
      <c r="E183" s="24" t="s">
        <v>145</v>
      </c>
      <c r="F183" s="25" t="s">
        <v>144</v>
      </c>
    </row>
    <row r="184" spans="1:6">
      <c r="A184" s="22">
        <v>13222</v>
      </c>
      <c r="B184" s="24" t="s">
        <v>3358</v>
      </c>
      <c r="C184" s="24" t="s">
        <v>271</v>
      </c>
      <c r="D184" s="24" t="s">
        <v>301</v>
      </c>
      <c r="E184" s="24" t="s">
        <v>145</v>
      </c>
      <c r="F184" s="25" t="s">
        <v>202</v>
      </c>
    </row>
    <row r="185" spans="1:6">
      <c r="A185" s="22">
        <v>13244</v>
      </c>
      <c r="B185" s="24" t="s">
        <v>3359</v>
      </c>
      <c r="C185" s="24" t="s">
        <v>271</v>
      </c>
      <c r="D185" s="24" t="s">
        <v>301</v>
      </c>
      <c r="E185" s="24" t="s">
        <v>145</v>
      </c>
      <c r="F185" s="25" t="s">
        <v>230</v>
      </c>
    </row>
    <row r="186" spans="1:6">
      <c r="A186" s="22">
        <v>13248</v>
      </c>
      <c r="B186" s="24" t="s">
        <v>3360</v>
      </c>
      <c r="C186" s="24" t="s">
        <v>271</v>
      </c>
      <c r="D186" s="24" t="s">
        <v>301</v>
      </c>
      <c r="E186" s="24" t="s">
        <v>145</v>
      </c>
      <c r="F186" s="25" t="s">
        <v>144</v>
      </c>
    </row>
    <row r="187" spans="1:6">
      <c r="A187" s="22">
        <v>13300</v>
      </c>
      <c r="B187" s="24" t="s">
        <v>3361</v>
      </c>
      <c r="C187" s="24" t="s">
        <v>271</v>
      </c>
      <c r="D187" s="24" t="s">
        <v>399</v>
      </c>
      <c r="E187" s="24" t="s">
        <v>145</v>
      </c>
      <c r="F187" s="25" t="s">
        <v>144</v>
      </c>
    </row>
    <row r="188" spans="1:6">
      <c r="A188" s="22">
        <v>13430</v>
      </c>
      <c r="B188" s="24" t="s">
        <v>3362</v>
      </c>
      <c r="C188" s="24" t="s">
        <v>271</v>
      </c>
      <c r="D188" s="24" t="s">
        <v>301</v>
      </c>
      <c r="E188" s="24" t="s">
        <v>145</v>
      </c>
      <c r="F188" s="25" t="s">
        <v>144</v>
      </c>
    </row>
    <row r="189" spans="1:6">
      <c r="A189" s="22">
        <v>13433</v>
      </c>
      <c r="B189" s="24" t="s">
        <v>3363</v>
      </c>
      <c r="C189" s="24" t="s">
        <v>271</v>
      </c>
      <c r="D189" s="24" t="s">
        <v>301</v>
      </c>
      <c r="E189" s="24" t="s">
        <v>145</v>
      </c>
      <c r="F189" s="25" t="s">
        <v>202</v>
      </c>
    </row>
    <row r="190" spans="1:6">
      <c r="A190" s="22">
        <v>13440</v>
      </c>
      <c r="B190" s="24" t="s">
        <v>3364</v>
      </c>
      <c r="C190" s="24" t="s">
        <v>271</v>
      </c>
      <c r="D190" s="24" t="s">
        <v>301</v>
      </c>
      <c r="E190" s="24" t="s">
        <v>145</v>
      </c>
      <c r="F190" s="25" t="s">
        <v>144</v>
      </c>
    </row>
    <row r="191" spans="1:6">
      <c r="A191" s="22">
        <v>13442</v>
      </c>
      <c r="B191" s="24" t="s">
        <v>303</v>
      </c>
      <c r="C191" s="24" t="s">
        <v>271</v>
      </c>
      <c r="D191" s="24" t="s">
        <v>301</v>
      </c>
      <c r="E191" s="24" t="s">
        <v>145</v>
      </c>
      <c r="F191" s="25" t="s">
        <v>202</v>
      </c>
    </row>
    <row r="192" spans="1:6">
      <c r="A192" s="22">
        <v>13468</v>
      </c>
      <c r="B192" s="24" t="s">
        <v>3365</v>
      </c>
      <c r="C192" s="24" t="s">
        <v>271</v>
      </c>
      <c r="D192" s="24" t="s">
        <v>301</v>
      </c>
      <c r="E192" s="24" t="s">
        <v>145</v>
      </c>
      <c r="F192" s="25" t="s">
        <v>144</v>
      </c>
    </row>
    <row r="193" spans="1:6">
      <c r="A193" s="22">
        <v>13458</v>
      </c>
      <c r="B193" s="24" t="s">
        <v>3366</v>
      </c>
      <c r="C193" s="24" t="s">
        <v>271</v>
      </c>
      <c r="D193" s="24" t="s">
        <v>301</v>
      </c>
      <c r="E193" s="24" t="s">
        <v>278</v>
      </c>
      <c r="F193" s="25" t="s">
        <v>160</v>
      </c>
    </row>
    <row r="194" spans="1:6">
      <c r="A194" s="22">
        <v>13490</v>
      </c>
      <c r="B194" s="24" t="s">
        <v>3367</v>
      </c>
      <c r="C194" s="24" t="s">
        <v>271</v>
      </c>
      <c r="D194" s="24" t="s">
        <v>301</v>
      </c>
      <c r="E194" s="24" t="s">
        <v>145</v>
      </c>
      <c r="F194" s="25" t="s">
        <v>144</v>
      </c>
    </row>
    <row r="195" spans="1:6">
      <c r="A195" s="22">
        <v>13549</v>
      </c>
      <c r="B195" s="24" t="s">
        <v>3368</v>
      </c>
      <c r="C195" s="24" t="s">
        <v>271</v>
      </c>
      <c r="D195" s="24" t="s">
        <v>301</v>
      </c>
      <c r="E195" s="24" t="s">
        <v>145</v>
      </c>
      <c r="F195" s="25" t="s">
        <v>144</v>
      </c>
    </row>
    <row r="196" spans="1:6">
      <c r="A196" s="22">
        <v>13580</v>
      </c>
      <c r="B196" s="24" t="s">
        <v>3369</v>
      </c>
      <c r="C196" s="24" t="s">
        <v>271</v>
      </c>
      <c r="D196" s="24" t="s">
        <v>301</v>
      </c>
      <c r="E196" s="24" t="s">
        <v>145</v>
      </c>
      <c r="F196" s="25" t="s">
        <v>144</v>
      </c>
    </row>
    <row r="197" spans="1:6">
      <c r="A197" s="22">
        <v>13600</v>
      </c>
      <c r="B197" s="24" t="s">
        <v>3370</v>
      </c>
      <c r="C197" s="24" t="s">
        <v>271</v>
      </c>
      <c r="D197" s="24" t="s">
        <v>399</v>
      </c>
      <c r="E197" s="24" t="s">
        <v>145</v>
      </c>
      <c r="F197" s="25" t="s">
        <v>144</v>
      </c>
    </row>
    <row r="198" spans="1:6">
      <c r="A198" s="22">
        <v>13620</v>
      </c>
      <c r="B198" s="24" t="s">
        <v>3371</v>
      </c>
      <c r="C198" s="24" t="s">
        <v>271</v>
      </c>
      <c r="D198" s="24" t="s">
        <v>301</v>
      </c>
      <c r="E198" s="24" t="s">
        <v>145</v>
      </c>
      <c r="F198" s="25" t="s">
        <v>230</v>
      </c>
    </row>
    <row r="199" spans="1:6">
      <c r="A199" s="22">
        <v>13647</v>
      </c>
      <c r="B199" s="24" t="s">
        <v>3372</v>
      </c>
      <c r="C199" s="24" t="s">
        <v>271</v>
      </c>
      <c r="D199" s="24" t="s">
        <v>301</v>
      </c>
      <c r="E199" s="24" t="s">
        <v>145</v>
      </c>
      <c r="F199" s="25" t="s">
        <v>202</v>
      </c>
    </row>
    <row r="200" spans="1:6">
      <c r="A200" s="22">
        <v>13650</v>
      </c>
      <c r="B200" s="24" t="s">
        <v>3373</v>
      </c>
      <c r="C200" s="24" t="s">
        <v>271</v>
      </c>
      <c r="D200" s="24" t="s">
        <v>301</v>
      </c>
      <c r="E200" s="24" t="s">
        <v>145</v>
      </c>
      <c r="F200" s="25" t="s">
        <v>144</v>
      </c>
    </row>
    <row r="201" spans="1:6">
      <c r="A201" s="22">
        <v>13654</v>
      </c>
      <c r="B201" s="24" t="s">
        <v>2175</v>
      </c>
      <c r="C201" s="24" t="s">
        <v>271</v>
      </c>
      <c r="D201" s="24" t="s">
        <v>301</v>
      </c>
      <c r="E201" s="24" t="s">
        <v>145</v>
      </c>
      <c r="F201" s="25" t="s">
        <v>230</v>
      </c>
    </row>
    <row r="202" spans="1:6">
      <c r="A202" s="22">
        <v>13655</v>
      </c>
      <c r="B202" s="24" t="s">
        <v>3374</v>
      </c>
      <c r="C202" s="24" t="s">
        <v>271</v>
      </c>
      <c r="D202" s="24" t="s">
        <v>301</v>
      </c>
      <c r="E202" s="24" t="s">
        <v>145</v>
      </c>
      <c r="F202" s="25" t="s">
        <v>144</v>
      </c>
    </row>
    <row r="203" spans="1:6">
      <c r="A203" s="22">
        <v>13657</v>
      </c>
      <c r="B203" s="24" t="s">
        <v>1153</v>
      </c>
      <c r="C203" s="24" t="s">
        <v>271</v>
      </c>
      <c r="D203" s="24" t="s">
        <v>301</v>
      </c>
      <c r="E203" s="24" t="s">
        <v>145</v>
      </c>
      <c r="F203" s="25" t="s">
        <v>202</v>
      </c>
    </row>
    <row r="204" spans="1:6">
      <c r="A204" s="22">
        <v>13667</v>
      </c>
      <c r="B204" s="24" t="s">
        <v>3375</v>
      </c>
      <c r="C204" s="24" t="s">
        <v>271</v>
      </c>
      <c r="D204" s="24" t="s">
        <v>301</v>
      </c>
      <c r="E204" s="24" t="s">
        <v>145</v>
      </c>
      <c r="F204" s="25" t="s">
        <v>144</v>
      </c>
    </row>
    <row r="205" spans="1:6">
      <c r="A205" s="22">
        <v>13673</v>
      </c>
      <c r="B205" s="24" t="s">
        <v>3376</v>
      </c>
      <c r="C205" s="24" t="s">
        <v>271</v>
      </c>
      <c r="D205" s="24" t="s">
        <v>301</v>
      </c>
      <c r="E205" s="24" t="s">
        <v>145</v>
      </c>
      <c r="F205" s="25" t="s">
        <v>202</v>
      </c>
    </row>
    <row r="206" spans="1:6">
      <c r="A206" s="22">
        <v>13688</v>
      </c>
      <c r="B206" s="24" t="s">
        <v>272</v>
      </c>
      <c r="C206" s="24" t="s">
        <v>271</v>
      </c>
      <c r="D206" s="24" t="s">
        <v>269</v>
      </c>
      <c r="E206" s="24" t="s">
        <v>278</v>
      </c>
      <c r="F206" s="25" t="s">
        <v>160</v>
      </c>
    </row>
    <row r="207" spans="1:6">
      <c r="A207" s="22">
        <v>13744</v>
      </c>
      <c r="B207" s="24" t="s">
        <v>3377</v>
      </c>
      <c r="C207" s="24" t="s">
        <v>271</v>
      </c>
      <c r="D207" s="24" t="s">
        <v>269</v>
      </c>
      <c r="E207" s="24" t="s">
        <v>278</v>
      </c>
      <c r="F207" s="25" t="s">
        <v>160</v>
      </c>
    </row>
    <row r="208" spans="1:6">
      <c r="A208" s="22">
        <v>13760</v>
      </c>
      <c r="B208" s="24" t="s">
        <v>3378</v>
      </c>
      <c r="C208" s="24" t="s">
        <v>271</v>
      </c>
      <c r="D208" s="24" t="s">
        <v>301</v>
      </c>
      <c r="E208" s="24" t="s">
        <v>145</v>
      </c>
      <c r="F208" s="25" t="s">
        <v>230</v>
      </c>
    </row>
    <row r="209" spans="1:6">
      <c r="A209" s="22">
        <v>13780</v>
      </c>
      <c r="B209" s="24" t="s">
        <v>3379</v>
      </c>
      <c r="C209" s="24" t="s">
        <v>271</v>
      </c>
      <c r="D209" s="24" t="s">
        <v>301</v>
      </c>
      <c r="E209" s="24" t="s">
        <v>145</v>
      </c>
      <c r="F209" s="25" t="s">
        <v>144</v>
      </c>
    </row>
    <row r="210" spans="1:6">
      <c r="A210" s="22">
        <v>13810</v>
      </c>
      <c r="B210" s="24" t="s">
        <v>3380</v>
      </c>
      <c r="C210" s="24" t="s">
        <v>271</v>
      </c>
      <c r="D210" s="24" t="s">
        <v>301</v>
      </c>
      <c r="E210" s="24" t="s">
        <v>145</v>
      </c>
      <c r="F210" s="25" t="s">
        <v>144</v>
      </c>
    </row>
    <row r="211" spans="1:6">
      <c r="A211" s="22">
        <v>13836</v>
      </c>
      <c r="B211" s="24" t="s">
        <v>3381</v>
      </c>
      <c r="C211" s="24" t="s">
        <v>271</v>
      </c>
      <c r="D211" s="24" t="s">
        <v>301</v>
      </c>
      <c r="E211" s="24" t="s">
        <v>145</v>
      </c>
      <c r="F211" s="25" t="s">
        <v>202</v>
      </c>
    </row>
    <row r="212" spans="1:6">
      <c r="A212" s="22">
        <v>13838</v>
      </c>
      <c r="B212" s="24" t="s">
        <v>3382</v>
      </c>
      <c r="C212" s="24" t="s">
        <v>271</v>
      </c>
      <c r="D212" s="24" t="s">
        <v>301</v>
      </c>
      <c r="E212" s="24" t="s">
        <v>145</v>
      </c>
      <c r="F212" s="25" t="s">
        <v>202</v>
      </c>
    </row>
    <row r="213" spans="1:6">
      <c r="A213" s="22">
        <v>13894</v>
      </c>
      <c r="B213" s="24" t="s">
        <v>3383</v>
      </c>
      <c r="C213" s="24" t="s">
        <v>271</v>
      </c>
      <c r="D213" s="24" t="s">
        <v>301</v>
      </c>
      <c r="E213" s="24" t="s">
        <v>145</v>
      </c>
      <c r="F213" s="25" t="s">
        <v>144</v>
      </c>
    </row>
    <row r="214" spans="1:6">
      <c r="A214" s="22">
        <v>15087</v>
      </c>
      <c r="B214" s="23" t="s">
        <v>3384</v>
      </c>
      <c r="C214" s="24" t="s">
        <v>205</v>
      </c>
      <c r="D214" s="24" t="s">
        <v>203</v>
      </c>
      <c r="E214" s="24" t="s">
        <v>145</v>
      </c>
      <c r="F214" s="25" t="s">
        <v>202</v>
      </c>
    </row>
    <row r="215" spans="1:6">
      <c r="A215" s="22">
        <v>15106</v>
      </c>
      <c r="B215" s="23" t="s">
        <v>3245</v>
      </c>
      <c r="C215" s="24" t="s">
        <v>205</v>
      </c>
      <c r="D215" s="24" t="s">
        <v>203</v>
      </c>
      <c r="E215" s="24" t="s">
        <v>145</v>
      </c>
      <c r="F215" s="25" t="s">
        <v>230</v>
      </c>
    </row>
    <row r="216" spans="1:6">
      <c r="A216" s="22">
        <v>15109</v>
      </c>
      <c r="B216" s="23" t="s">
        <v>3385</v>
      </c>
      <c r="C216" s="24" t="s">
        <v>205</v>
      </c>
      <c r="D216" s="24" t="s">
        <v>203</v>
      </c>
      <c r="E216" s="24" t="s">
        <v>145</v>
      </c>
      <c r="F216" s="25" t="s">
        <v>144</v>
      </c>
    </row>
    <row r="217" spans="1:6">
      <c r="A217" s="22">
        <v>15131</v>
      </c>
      <c r="B217" s="23" t="s">
        <v>441</v>
      </c>
      <c r="C217" s="24" t="s">
        <v>205</v>
      </c>
      <c r="D217" s="24" t="s">
        <v>203</v>
      </c>
      <c r="E217" s="24" t="s">
        <v>145</v>
      </c>
      <c r="F217" s="25" t="s">
        <v>202</v>
      </c>
    </row>
    <row r="218" spans="1:6">
      <c r="A218" s="22">
        <v>15189</v>
      </c>
      <c r="B218" s="23" t="s">
        <v>3386</v>
      </c>
      <c r="C218" s="24" t="s">
        <v>205</v>
      </c>
      <c r="D218" s="24" t="s">
        <v>203</v>
      </c>
      <c r="E218" s="24" t="s">
        <v>145</v>
      </c>
      <c r="F218" s="25" t="s">
        <v>202</v>
      </c>
    </row>
    <row r="219" spans="1:6">
      <c r="A219" s="22">
        <v>15368</v>
      </c>
      <c r="B219" s="23" t="s">
        <v>3249</v>
      </c>
      <c r="C219" s="24" t="s">
        <v>205</v>
      </c>
      <c r="D219" s="24" t="s">
        <v>203</v>
      </c>
      <c r="E219" s="24" t="s">
        <v>145</v>
      </c>
      <c r="F219" s="25" t="s">
        <v>144</v>
      </c>
    </row>
    <row r="220" spans="1:6">
      <c r="A220" s="22">
        <v>15401</v>
      </c>
      <c r="B220" s="23" t="s">
        <v>3231</v>
      </c>
      <c r="C220" s="24" t="s">
        <v>205</v>
      </c>
      <c r="D220" s="24" t="s">
        <v>203</v>
      </c>
      <c r="E220" s="24" t="s">
        <v>145</v>
      </c>
      <c r="F220" s="25" t="s">
        <v>144</v>
      </c>
    </row>
    <row r="221" spans="1:6">
      <c r="A221" s="22">
        <v>15455</v>
      </c>
      <c r="B221" s="23" t="s">
        <v>3387</v>
      </c>
      <c r="C221" s="24" t="s">
        <v>205</v>
      </c>
      <c r="D221" s="24" t="s">
        <v>203</v>
      </c>
      <c r="E221" s="24" t="s">
        <v>145</v>
      </c>
      <c r="F221" s="25" t="s">
        <v>144</v>
      </c>
    </row>
    <row r="222" spans="1:6">
      <c r="A222" s="22">
        <v>15514</v>
      </c>
      <c r="B222" s="23" t="s">
        <v>3388</v>
      </c>
      <c r="C222" s="24" t="s">
        <v>205</v>
      </c>
      <c r="D222" s="24" t="s">
        <v>203</v>
      </c>
      <c r="E222" s="24" t="s">
        <v>145</v>
      </c>
      <c r="F222" s="25" t="s">
        <v>144</v>
      </c>
    </row>
    <row r="223" spans="1:6">
      <c r="A223" s="22">
        <v>15690</v>
      </c>
      <c r="B223" s="23" t="s">
        <v>3389</v>
      </c>
      <c r="C223" s="24" t="s">
        <v>205</v>
      </c>
      <c r="D223" s="24" t="s">
        <v>203</v>
      </c>
      <c r="E223" s="24" t="s">
        <v>145</v>
      </c>
      <c r="F223" s="25" t="s">
        <v>230</v>
      </c>
    </row>
    <row r="224" spans="1:6">
      <c r="A224" s="22">
        <v>15022</v>
      </c>
      <c r="B224" s="24" t="s">
        <v>3390</v>
      </c>
      <c r="C224" s="24" t="s">
        <v>205</v>
      </c>
      <c r="D224" s="24" t="s">
        <v>203</v>
      </c>
      <c r="E224" s="24" t="s">
        <v>145</v>
      </c>
      <c r="F224" s="25" t="s">
        <v>230</v>
      </c>
    </row>
    <row r="225" spans="1:6">
      <c r="A225" s="22">
        <v>15047</v>
      </c>
      <c r="B225" s="24" t="s">
        <v>3391</v>
      </c>
      <c r="C225" s="24" t="s">
        <v>205</v>
      </c>
      <c r="D225" s="24" t="s">
        <v>203</v>
      </c>
      <c r="E225" s="24" t="s">
        <v>145</v>
      </c>
      <c r="F225" s="25" t="s">
        <v>230</v>
      </c>
    </row>
    <row r="226" spans="1:6">
      <c r="A226" s="22">
        <v>15051</v>
      </c>
      <c r="B226" s="24" t="s">
        <v>3392</v>
      </c>
      <c r="C226" s="24" t="s">
        <v>205</v>
      </c>
      <c r="D226" s="24" t="s">
        <v>203</v>
      </c>
      <c r="E226" s="24" t="s">
        <v>145</v>
      </c>
      <c r="F226" s="25" t="s">
        <v>202</v>
      </c>
    </row>
    <row r="227" spans="1:6">
      <c r="A227" s="22">
        <v>15090</v>
      </c>
      <c r="B227" s="24" t="s">
        <v>3393</v>
      </c>
      <c r="C227" s="24" t="s">
        <v>205</v>
      </c>
      <c r="D227" s="24" t="s">
        <v>203</v>
      </c>
      <c r="E227" s="24" t="s">
        <v>145</v>
      </c>
      <c r="F227" s="25" t="s">
        <v>230</v>
      </c>
    </row>
    <row r="228" spans="1:6">
      <c r="A228" s="22">
        <v>15092</v>
      </c>
      <c r="B228" s="24" t="s">
        <v>3394</v>
      </c>
      <c r="C228" s="24" t="s">
        <v>205</v>
      </c>
      <c r="D228" s="24" t="s">
        <v>203</v>
      </c>
      <c r="E228" s="24" t="s">
        <v>145</v>
      </c>
      <c r="F228" s="25" t="s">
        <v>230</v>
      </c>
    </row>
    <row r="229" spans="1:6">
      <c r="A229" s="22">
        <v>15097</v>
      </c>
      <c r="B229" s="24" t="s">
        <v>1979</v>
      </c>
      <c r="C229" s="24" t="s">
        <v>205</v>
      </c>
      <c r="D229" s="24" t="s">
        <v>203</v>
      </c>
      <c r="E229" s="24" t="s">
        <v>145</v>
      </c>
      <c r="F229" s="25" t="s">
        <v>144</v>
      </c>
    </row>
    <row r="230" spans="1:6">
      <c r="A230" s="22">
        <v>15104</v>
      </c>
      <c r="B230" s="24" t="s">
        <v>205</v>
      </c>
      <c r="C230" s="24" t="s">
        <v>205</v>
      </c>
      <c r="D230" s="24" t="s">
        <v>203</v>
      </c>
      <c r="E230" s="24" t="s">
        <v>145</v>
      </c>
      <c r="F230" s="25" t="s">
        <v>202</v>
      </c>
    </row>
    <row r="231" spans="1:6">
      <c r="A231" s="22">
        <v>15114</v>
      </c>
      <c r="B231" s="24" t="s">
        <v>3395</v>
      </c>
      <c r="C231" s="24" t="s">
        <v>205</v>
      </c>
      <c r="D231" s="24" t="s">
        <v>203</v>
      </c>
      <c r="E231" s="24" t="s">
        <v>145</v>
      </c>
      <c r="F231" s="25" t="s">
        <v>202</v>
      </c>
    </row>
    <row r="232" spans="1:6">
      <c r="A232" s="22">
        <v>15135</v>
      </c>
      <c r="B232" s="24" t="s">
        <v>3396</v>
      </c>
      <c r="C232" s="24" t="s">
        <v>205</v>
      </c>
      <c r="D232" s="24" t="s">
        <v>203</v>
      </c>
      <c r="E232" s="24" t="s">
        <v>145</v>
      </c>
      <c r="F232" s="25" t="s">
        <v>144</v>
      </c>
    </row>
    <row r="233" spans="1:6">
      <c r="A233" s="22">
        <v>15162</v>
      </c>
      <c r="B233" s="24" t="s">
        <v>3397</v>
      </c>
      <c r="C233" s="24" t="s">
        <v>205</v>
      </c>
      <c r="D233" s="24" t="s">
        <v>203</v>
      </c>
      <c r="E233" s="24" t="s">
        <v>145</v>
      </c>
      <c r="F233" s="25" t="s">
        <v>202</v>
      </c>
    </row>
    <row r="234" spans="1:6">
      <c r="A234" s="22">
        <v>15172</v>
      </c>
      <c r="B234" s="24" t="s">
        <v>3398</v>
      </c>
      <c r="C234" s="24" t="s">
        <v>205</v>
      </c>
      <c r="D234" s="24" t="s">
        <v>203</v>
      </c>
      <c r="E234" s="24" t="s">
        <v>145</v>
      </c>
      <c r="F234" s="25" t="s">
        <v>230</v>
      </c>
    </row>
    <row r="235" spans="1:6">
      <c r="A235" s="22">
        <v>15176</v>
      </c>
      <c r="B235" s="24" t="s">
        <v>1226</v>
      </c>
      <c r="C235" s="24" t="s">
        <v>205</v>
      </c>
      <c r="D235" s="24" t="s">
        <v>203</v>
      </c>
      <c r="E235" s="24" t="s">
        <v>145</v>
      </c>
      <c r="F235" s="25" t="s">
        <v>230</v>
      </c>
    </row>
    <row r="236" spans="1:6">
      <c r="A236" s="22">
        <v>15232</v>
      </c>
      <c r="B236" s="24" t="s">
        <v>3399</v>
      </c>
      <c r="C236" s="24" t="s">
        <v>205</v>
      </c>
      <c r="D236" s="24" t="s">
        <v>203</v>
      </c>
      <c r="E236" s="24" t="s">
        <v>145</v>
      </c>
      <c r="F236" s="25" t="s">
        <v>202</v>
      </c>
    </row>
    <row r="237" spans="1:6">
      <c r="A237" s="22">
        <v>15180</v>
      </c>
      <c r="B237" s="24" t="s">
        <v>3400</v>
      </c>
      <c r="C237" s="24" t="s">
        <v>205</v>
      </c>
      <c r="D237" s="24" t="s">
        <v>203</v>
      </c>
      <c r="E237" s="24" t="s">
        <v>145</v>
      </c>
      <c r="F237" s="25" t="s">
        <v>144</v>
      </c>
    </row>
    <row r="238" spans="1:6">
      <c r="A238" s="22">
        <v>15183</v>
      </c>
      <c r="B238" s="24" t="s">
        <v>3401</v>
      </c>
      <c r="C238" s="24" t="s">
        <v>205</v>
      </c>
      <c r="D238" s="24" t="s">
        <v>203</v>
      </c>
      <c r="E238" s="24" t="s">
        <v>145</v>
      </c>
      <c r="F238" s="25" t="s">
        <v>144</v>
      </c>
    </row>
    <row r="239" spans="1:6">
      <c r="A239" s="22">
        <v>15185</v>
      </c>
      <c r="B239" s="24" t="s">
        <v>3402</v>
      </c>
      <c r="C239" s="24" t="s">
        <v>205</v>
      </c>
      <c r="D239" s="24" t="s">
        <v>203</v>
      </c>
      <c r="E239" s="24" t="s">
        <v>145</v>
      </c>
      <c r="F239" s="25" t="s">
        <v>202</v>
      </c>
    </row>
    <row r="240" spans="1:6">
      <c r="A240" s="22">
        <v>15187</v>
      </c>
      <c r="B240" s="24" t="s">
        <v>3403</v>
      </c>
      <c r="C240" s="24" t="s">
        <v>205</v>
      </c>
      <c r="D240" s="24" t="s">
        <v>203</v>
      </c>
      <c r="E240" s="24" t="s">
        <v>145</v>
      </c>
      <c r="F240" s="25" t="s">
        <v>202</v>
      </c>
    </row>
    <row r="241" spans="1:6">
      <c r="A241" s="22">
        <v>15236</v>
      </c>
      <c r="B241" s="24" t="s">
        <v>3404</v>
      </c>
      <c r="C241" s="24" t="s">
        <v>205</v>
      </c>
      <c r="D241" s="24" t="s">
        <v>203</v>
      </c>
      <c r="E241" s="24" t="s">
        <v>145</v>
      </c>
      <c r="F241" s="25" t="s">
        <v>230</v>
      </c>
    </row>
    <row r="242" spans="1:6">
      <c r="A242" s="22">
        <v>15204</v>
      </c>
      <c r="B242" s="24" t="s">
        <v>3405</v>
      </c>
      <c r="C242" s="24" t="s">
        <v>205</v>
      </c>
      <c r="D242" s="24" t="s">
        <v>203</v>
      </c>
      <c r="E242" s="24" t="s">
        <v>145</v>
      </c>
      <c r="F242" s="25" t="s">
        <v>202</v>
      </c>
    </row>
    <row r="243" spans="1:6">
      <c r="A243" s="22">
        <v>15212</v>
      </c>
      <c r="B243" s="24" t="s">
        <v>3406</v>
      </c>
      <c r="C243" s="24" t="s">
        <v>205</v>
      </c>
      <c r="D243" s="24" t="s">
        <v>203</v>
      </c>
      <c r="E243" s="24" t="s">
        <v>145</v>
      </c>
      <c r="F243" s="25" t="s">
        <v>230</v>
      </c>
    </row>
    <row r="244" spans="1:6">
      <c r="A244" s="22">
        <v>15215</v>
      </c>
      <c r="B244" s="24" t="s">
        <v>3407</v>
      </c>
      <c r="C244" s="24" t="s">
        <v>205</v>
      </c>
      <c r="D244" s="24" t="s">
        <v>203</v>
      </c>
      <c r="E244" s="24" t="s">
        <v>145</v>
      </c>
      <c r="F244" s="25" t="s">
        <v>202</v>
      </c>
    </row>
    <row r="245" spans="1:6">
      <c r="A245" s="22">
        <v>15218</v>
      </c>
      <c r="B245" s="24" t="s">
        <v>3408</v>
      </c>
      <c r="C245" s="24" t="s">
        <v>205</v>
      </c>
      <c r="D245" s="24" t="s">
        <v>203</v>
      </c>
      <c r="E245" s="24" t="s">
        <v>145</v>
      </c>
      <c r="F245" s="25" t="s">
        <v>144</v>
      </c>
    </row>
    <row r="246" spans="1:6">
      <c r="A246" s="22">
        <v>15223</v>
      </c>
      <c r="B246" s="24" t="s">
        <v>3409</v>
      </c>
      <c r="C246" s="24" t="s">
        <v>205</v>
      </c>
      <c r="D246" s="24" t="s">
        <v>269</v>
      </c>
      <c r="E246" s="24" t="s">
        <v>1369</v>
      </c>
      <c r="F246" s="25" t="s">
        <v>160</v>
      </c>
    </row>
    <row r="247" spans="1:6">
      <c r="A247" s="22">
        <v>15224</v>
      </c>
      <c r="B247" s="24" t="s">
        <v>3410</v>
      </c>
      <c r="C247" s="24" t="s">
        <v>205</v>
      </c>
      <c r="D247" s="24" t="s">
        <v>203</v>
      </c>
      <c r="E247" s="24" t="s">
        <v>145</v>
      </c>
      <c r="F247" s="25" t="s">
        <v>202</v>
      </c>
    </row>
    <row r="248" spans="1:6">
      <c r="A248" s="22">
        <v>15226</v>
      </c>
      <c r="B248" s="24" t="s">
        <v>3411</v>
      </c>
      <c r="C248" s="24" t="s">
        <v>205</v>
      </c>
      <c r="D248" s="24" t="s">
        <v>203</v>
      </c>
      <c r="E248" s="24" t="s">
        <v>145</v>
      </c>
      <c r="F248" s="25" t="s">
        <v>202</v>
      </c>
    </row>
    <row r="249" spans="1:6">
      <c r="A249" s="22">
        <v>15238</v>
      </c>
      <c r="B249" s="24" t="s">
        <v>591</v>
      </c>
      <c r="C249" s="24" t="s">
        <v>205</v>
      </c>
      <c r="D249" s="24" t="s">
        <v>203</v>
      </c>
      <c r="E249" s="24" t="s">
        <v>145</v>
      </c>
      <c r="F249" s="25" t="s">
        <v>202</v>
      </c>
    </row>
    <row r="250" spans="1:6">
      <c r="A250" s="22">
        <v>15244</v>
      </c>
      <c r="B250" s="24" t="s">
        <v>3412</v>
      </c>
      <c r="C250" s="24" t="s">
        <v>205</v>
      </c>
      <c r="D250" s="24" t="s">
        <v>203</v>
      </c>
      <c r="E250" s="24" t="s">
        <v>145</v>
      </c>
      <c r="F250" s="25" t="s">
        <v>144</v>
      </c>
    </row>
    <row r="251" spans="1:6">
      <c r="A251" s="22">
        <v>15248</v>
      </c>
      <c r="B251" s="24" t="s">
        <v>3413</v>
      </c>
      <c r="C251" s="24" t="s">
        <v>205</v>
      </c>
      <c r="D251" s="24" t="s">
        <v>203</v>
      </c>
      <c r="E251" s="24" t="s">
        <v>145</v>
      </c>
      <c r="F251" s="25" t="s">
        <v>144</v>
      </c>
    </row>
    <row r="252" spans="1:6">
      <c r="A252" s="22">
        <v>15272</v>
      </c>
      <c r="B252" s="24" t="s">
        <v>1159</v>
      </c>
      <c r="C252" s="24" t="s">
        <v>205</v>
      </c>
      <c r="D252" s="24" t="s">
        <v>203</v>
      </c>
      <c r="E252" s="24" t="s">
        <v>145</v>
      </c>
      <c r="F252" s="25" t="s">
        <v>202</v>
      </c>
    </row>
    <row r="253" spans="1:6">
      <c r="A253" s="22">
        <v>15276</v>
      </c>
      <c r="B253" s="24" t="s">
        <v>2503</v>
      </c>
      <c r="C253" s="24" t="s">
        <v>205</v>
      </c>
      <c r="D253" s="24" t="s">
        <v>203</v>
      </c>
      <c r="E253" s="24" t="s">
        <v>145</v>
      </c>
      <c r="F253" s="25" t="s">
        <v>202</v>
      </c>
    </row>
    <row r="254" spans="1:6">
      <c r="A254" s="22">
        <v>15293</v>
      </c>
      <c r="B254" s="24" t="s">
        <v>3414</v>
      </c>
      <c r="C254" s="24" t="s">
        <v>205</v>
      </c>
      <c r="D254" s="24" t="s">
        <v>203</v>
      </c>
      <c r="E254" s="24" t="s">
        <v>145</v>
      </c>
      <c r="F254" s="25" t="s">
        <v>202</v>
      </c>
    </row>
    <row r="255" spans="1:6">
      <c r="A255" s="22">
        <v>15296</v>
      </c>
      <c r="B255" s="24" t="s">
        <v>3415</v>
      </c>
      <c r="C255" s="24" t="s">
        <v>205</v>
      </c>
      <c r="D255" s="24" t="s">
        <v>203</v>
      </c>
      <c r="E255" s="24" t="s">
        <v>145</v>
      </c>
      <c r="F255" s="25" t="s">
        <v>230</v>
      </c>
    </row>
    <row r="256" spans="1:6">
      <c r="A256" s="22">
        <v>15299</v>
      </c>
      <c r="B256" s="24" t="s">
        <v>899</v>
      </c>
      <c r="C256" s="24" t="s">
        <v>205</v>
      </c>
      <c r="D256" s="24" t="s">
        <v>203</v>
      </c>
      <c r="E256" s="24" t="s">
        <v>145</v>
      </c>
      <c r="F256" s="25" t="s">
        <v>230</v>
      </c>
    </row>
    <row r="257" spans="1:6">
      <c r="A257" s="22">
        <v>15317</v>
      </c>
      <c r="B257" s="24" t="s">
        <v>3416</v>
      </c>
      <c r="C257" s="24" t="s">
        <v>205</v>
      </c>
      <c r="D257" s="24" t="s">
        <v>203</v>
      </c>
      <c r="E257" s="24" t="s">
        <v>145</v>
      </c>
      <c r="F257" s="25" t="s">
        <v>144</v>
      </c>
    </row>
    <row r="258" spans="1:6">
      <c r="A258" s="22">
        <v>15322</v>
      </c>
      <c r="B258" s="24" t="s">
        <v>3417</v>
      </c>
      <c r="C258" s="24" t="s">
        <v>205</v>
      </c>
      <c r="D258" s="24" t="s">
        <v>203</v>
      </c>
      <c r="E258" s="24" t="s">
        <v>145</v>
      </c>
      <c r="F258" s="25" t="s">
        <v>202</v>
      </c>
    </row>
    <row r="259" spans="1:6">
      <c r="A259" s="22">
        <v>15325</v>
      </c>
      <c r="B259" s="24" t="s">
        <v>3418</v>
      </c>
      <c r="C259" s="24" t="s">
        <v>205</v>
      </c>
      <c r="D259" s="24" t="s">
        <v>203</v>
      </c>
      <c r="E259" s="24" t="s">
        <v>145</v>
      </c>
      <c r="F259" s="25" t="s">
        <v>230</v>
      </c>
    </row>
    <row r="260" spans="1:6">
      <c r="A260" s="22">
        <v>15332</v>
      </c>
      <c r="B260" s="24" t="s">
        <v>3419</v>
      </c>
      <c r="C260" s="24" t="s">
        <v>205</v>
      </c>
      <c r="D260" s="24" t="s">
        <v>203</v>
      </c>
      <c r="E260" s="24" t="s">
        <v>145</v>
      </c>
      <c r="F260" s="25" t="s">
        <v>144</v>
      </c>
    </row>
    <row r="261" spans="1:6">
      <c r="A261" s="22">
        <v>15362</v>
      </c>
      <c r="B261" s="24" t="s">
        <v>3420</v>
      </c>
      <c r="C261" s="24" t="s">
        <v>205</v>
      </c>
      <c r="D261" s="24" t="s">
        <v>203</v>
      </c>
      <c r="E261" s="24" t="s">
        <v>145</v>
      </c>
      <c r="F261" s="25" t="s">
        <v>202</v>
      </c>
    </row>
    <row r="262" spans="1:6">
      <c r="A262" s="22">
        <v>15367</v>
      </c>
      <c r="B262" s="24" t="s">
        <v>1054</v>
      </c>
      <c r="C262" s="24" t="s">
        <v>205</v>
      </c>
      <c r="D262" s="24" t="s">
        <v>203</v>
      </c>
      <c r="E262" s="24" t="s">
        <v>145</v>
      </c>
      <c r="F262" s="25" t="s">
        <v>202</v>
      </c>
    </row>
    <row r="263" spans="1:6">
      <c r="A263" s="22">
        <v>15380</v>
      </c>
      <c r="B263" s="24" t="s">
        <v>3421</v>
      </c>
      <c r="C263" s="24" t="s">
        <v>205</v>
      </c>
      <c r="D263" s="24" t="s">
        <v>203</v>
      </c>
      <c r="E263" s="24" t="s">
        <v>145</v>
      </c>
      <c r="F263" s="25" t="s">
        <v>230</v>
      </c>
    </row>
    <row r="264" spans="1:6">
      <c r="A264" s="22">
        <v>15403</v>
      </c>
      <c r="B264" s="24" t="s">
        <v>3422</v>
      </c>
      <c r="C264" s="24" t="s">
        <v>205</v>
      </c>
      <c r="D264" s="24" t="s">
        <v>203</v>
      </c>
      <c r="E264" s="24" t="s">
        <v>145</v>
      </c>
      <c r="F264" s="25" t="s">
        <v>144</v>
      </c>
    </row>
    <row r="265" spans="1:6">
      <c r="A265" s="22">
        <v>15377</v>
      </c>
      <c r="B265" s="24" t="s">
        <v>3423</v>
      </c>
      <c r="C265" s="24" t="s">
        <v>205</v>
      </c>
      <c r="D265" s="24" t="s">
        <v>203</v>
      </c>
      <c r="E265" s="24" t="s">
        <v>145</v>
      </c>
      <c r="F265" s="25" t="s">
        <v>144</v>
      </c>
    </row>
    <row r="266" spans="1:6">
      <c r="A266" s="22">
        <v>15425</v>
      </c>
      <c r="B266" s="24" t="s">
        <v>3424</v>
      </c>
      <c r="C266" s="24" t="s">
        <v>205</v>
      </c>
      <c r="D266" s="24" t="s">
        <v>203</v>
      </c>
      <c r="E266" s="24" t="s">
        <v>145</v>
      </c>
      <c r="F266" s="25" t="s">
        <v>230</v>
      </c>
    </row>
    <row r="267" spans="1:6">
      <c r="A267" s="22">
        <v>15442</v>
      </c>
      <c r="B267" s="24" t="s">
        <v>3425</v>
      </c>
      <c r="C267" s="24" t="s">
        <v>205</v>
      </c>
      <c r="D267" s="24" t="s">
        <v>203</v>
      </c>
      <c r="E267" s="24" t="s">
        <v>145</v>
      </c>
      <c r="F267" s="25" t="s">
        <v>144</v>
      </c>
    </row>
    <row r="268" spans="1:6">
      <c r="A268" s="22">
        <v>15464</v>
      </c>
      <c r="B268" s="24" t="s">
        <v>206</v>
      </c>
      <c r="C268" s="24" t="s">
        <v>205</v>
      </c>
      <c r="D268" s="24" t="s">
        <v>203</v>
      </c>
      <c r="E268" s="24" t="s">
        <v>145</v>
      </c>
      <c r="F268" s="25" t="s">
        <v>202</v>
      </c>
    </row>
    <row r="269" spans="1:6">
      <c r="A269" s="22">
        <v>15466</v>
      </c>
      <c r="B269" s="24" t="s">
        <v>3426</v>
      </c>
      <c r="C269" s="24" t="s">
        <v>205</v>
      </c>
      <c r="D269" s="24" t="s">
        <v>203</v>
      </c>
      <c r="E269" s="24" t="s">
        <v>145</v>
      </c>
      <c r="F269" s="25" t="s">
        <v>230</v>
      </c>
    </row>
    <row r="270" spans="1:6">
      <c r="A270" s="22">
        <v>15469</v>
      </c>
      <c r="B270" s="24" t="s">
        <v>3427</v>
      </c>
      <c r="C270" s="24" t="s">
        <v>205</v>
      </c>
      <c r="D270" s="24" t="s">
        <v>203</v>
      </c>
      <c r="E270" s="24" t="s">
        <v>145</v>
      </c>
      <c r="F270" s="25" t="s">
        <v>202</v>
      </c>
    </row>
    <row r="271" spans="1:6">
      <c r="A271" s="22">
        <v>15476</v>
      </c>
      <c r="B271" s="24" t="s">
        <v>3428</v>
      </c>
      <c r="C271" s="24" t="s">
        <v>205</v>
      </c>
      <c r="D271" s="24" t="s">
        <v>203</v>
      </c>
      <c r="E271" s="24" t="s">
        <v>145</v>
      </c>
      <c r="F271" s="25" t="s">
        <v>52</v>
      </c>
    </row>
    <row r="272" spans="1:6">
      <c r="A272" s="22">
        <v>15480</v>
      </c>
      <c r="B272" s="24" t="s">
        <v>3429</v>
      </c>
      <c r="C272" s="24" t="s">
        <v>205</v>
      </c>
      <c r="D272" s="24" t="s">
        <v>203</v>
      </c>
      <c r="E272" s="24" t="s">
        <v>145</v>
      </c>
      <c r="F272" s="25" t="s">
        <v>144</v>
      </c>
    </row>
    <row r="273" spans="1:6">
      <c r="A273" s="22">
        <v>15491</v>
      </c>
      <c r="B273" s="24" t="s">
        <v>3430</v>
      </c>
      <c r="C273" s="24" t="s">
        <v>205</v>
      </c>
      <c r="D273" s="24" t="s">
        <v>203</v>
      </c>
      <c r="E273" s="24" t="s">
        <v>145</v>
      </c>
      <c r="F273" s="25" t="s">
        <v>202</v>
      </c>
    </row>
    <row r="274" spans="1:6">
      <c r="A274" s="22">
        <v>15494</v>
      </c>
      <c r="B274" s="24" t="s">
        <v>3431</v>
      </c>
      <c r="C274" s="24" t="s">
        <v>205</v>
      </c>
      <c r="D274" s="24" t="s">
        <v>203</v>
      </c>
      <c r="E274" s="24" t="s">
        <v>145</v>
      </c>
      <c r="F274" s="25" t="s">
        <v>202</v>
      </c>
    </row>
    <row r="275" spans="1:6">
      <c r="A275" s="22">
        <v>15500</v>
      </c>
      <c r="B275" s="24" t="s">
        <v>3432</v>
      </c>
      <c r="C275" s="24" t="s">
        <v>205</v>
      </c>
      <c r="D275" s="24" t="s">
        <v>203</v>
      </c>
      <c r="E275" s="24" t="s">
        <v>145</v>
      </c>
      <c r="F275" s="25" t="s">
        <v>202</v>
      </c>
    </row>
    <row r="276" spans="1:6">
      <c r="A276" s="22">
        <v>15507</v>
      </c>
      <c r="B276" s="24" t="s">
        <v>912</v>
      </c>
      <c r="C276" s="24" t="s">
        <v>205</v>
      </c>
      <c r="D276" s="24" t="s">
        <v>203</v>
      </c>
      <c r="E276" s="24" t="s">
        <v>145</v>
      </c>
      <c r="F276" s="25" t="s">
        <v>144</v>
      </c>
    </row>
    <row r="277" spans="1:6">
      <c r="A277" s="22">
        <v>15511</v>
      </c>
      <c r="B277" s="24" t="s">
        <v>3433</v>
      </c>
      <c r="C277" s="24" t="s">
        <v>205</v>
      </c>
      <c r="D277" s="24" t="s">
        <v>203</v>
      </c>
      <c r="E277" s="24" t="s">
        <v>145</v>
      </c>
      <c r="F277" s="25" t="s">
        <v>230</v>
      </c>
    </row>
    <row r="278" spans="1:6">
      <c r="A278" s="22">
        <v>15516</v>
      </c>
      <c r="B278" s="24" t="s">
        <v>2526</v>
      </c>
      <c r="C278" s="24" t="s">
        <v>205</v>
      </c>
      <c r="D278" s="24" t="s">
        <v>203</v>
      </c>
      <c r="E278" s="24" t="s">
        <v>145</v>
      </c>
      <c r="F278" s="25" t="s">
        <v>202</v>
      </c>
    </row>
    <row r="279" spans="1:6">
      <c r="A279" s="22">
        <v>15518</v>
      </c>
      <c r="B279" s="24" t="s">
        <v>3434</v>
      </c>
      <c r="C279" s="24" t="s">
        <v>205</v>
      </c>
      <c r="D279" s="24" t="s">
        <v>167</v>
      </c>
      <c r="E279" s="24" t="s">
        <v>145</v>
      </c>
      <c r="F279" s="25" t="s">
        <v>230</v>
      </c>
    </row>
    <row r="280" spans="1:6">
      <c r="A280" s="22">
        <v>15522</v>
      </c>
      <c r="B280" s="24" t="s">
        <v>3435</v>
      </c>
      <c r="C280" s="24" t="s">
        <v>205</v>
      </c>
      <c r="D280" s="24" t="s">
        <v>203</v>
      </c>
      <c r="E280" s="24" t="s">
        <v>145</v>
      </c>
      <c r="F280" s="25" t="s">
        <v>144</v>
      </c>
    </row>
    <row r="281" spans="1:6">
      <c r="A281" s="22">
        <v>15531</v>
      </c>
      <c r="B281" s="24" t="s">
        <v>3436</v>
      </c>
      <c r="C281" s="24" t="s">
        <v>205</v>
      </c>
      <c r="D281" s="24" t="s">
        <v>203</v>
      </c>
      <c r="E281" s="24" t="s">
        <v>145</v>
      </c>
      <c r="F281" s="25" t="s">
        <v>230</v>
      </c>
    </row>
    <row r="282" spans="1:6">
      <c r="A282" s="22">
        <v>15533</v>
      </c>
      <c r="B282" s="24" t="s">
        <v>3437</v>
      </c>
      <c r="C282" s="24" t="s">
        <v>205</v>
      </c>
      <c r="D282" s="24" t="s">
        <v>203</v>
      </c>
      <c r="E282" s="24" t="s">
        <v>145</v>
      </c>
      <c r="F282" s="25" t="s">
        <v>144</v>
      </c>
    </row>
    <row r="283" spans="1:6">
      <c r="A283" s="22">
        <v>15537</v>
      </c>
      <c r="B283" s="24" t="s">
        <v>3438</v>
      </c>
      <c r="C283" s="24" t="s">
        <v>205</v>
      </c>
      <c r="D283" s="24" t="s">
        <v>203</v>
      </c>
      <c r="E283" s="24" t="s">
        <v>145</v>
      </c>
      <c r="F283" s="25" t="s">
        <v>202</v>
      </c>
    </row>
    <row r="284" spans="1:6">
      <c r="A284" s="22">
        <v>15542</v>
      </c>
      <c r="B284" s="24" t="s">
        <v>3439</v>
      </c>
      <c r="C284" s="24" t="s">
        <v>205</v>
      </c>
      <c r="D284" s="24" t="s">
        <v>203</v>
      </c>
      <c r="E284" s="24" t="s">
        <v>145</v>
      </c>
      <c r="F284" s="25" t="s">
        <v>230</v>
      </c>
    </row>
    <row r="285" spans="1:6">
      <c r="A285" s="22">
        <v>15550</v>
      </c>
      <c r="B285" s="24" t="s">
        <v>3440</v>
      </c>
      <c r="C285" s="24" t="s">
        <v>205</v>
      </c>
      <c r="D285" s="24" t="s">
        <v>203</v>
      </c>
      <c r="E285" s="24" t="s">
        <v>145</v>
      </c>
      <c r="F285" s="25" t="s">
        <v>144</v>
      </c>
    </row>
    <row r="286" spans="1:6">
      <c r="A286" s="22">
        <v>15572</v>
      </c>
      <c r="B286" s="24" t="s">
        <v>3441</v>
      </c>
      <c r="C286" s="24" t="s">
        <v>205</v>
      </c>
      <c r="D286" s="24" t="s">
        <v>175</v>
      </c>
      <c r="E286" s="24" t="s">
        <v>145</v>
      </c>
      <c r="F286" s="25" t="s">
        <v>144</v>
      </c>
    </row>
    <row r="287" spans="1:6">
      <c r="A287" s="22">
        <v>15580</v>
      </c>
      <c r="B287" s="24" t="s">
        <v>3442</v>
      </c>
      <c r="C287" s="24" t="s">
        <v>205</v>
      </c>
      <c r="D287" s="24" t="s">
        <v>203</v>
      </c>
      <c r="E287" s="24" t="s">
        <v>145</v>
      </c>
      <c r="F287" s="25" t="s">
        <v>144</v>
      </c>
    </row>
    <row r="288" spans="1:6">
      <c r="A288" s="22">
        <v>15599</v>
      </c>
      <c r="B288" s="24" t="s">
        <v>3443</v>
      </c>
      <c r="C288" s="24" t="s">
        <v>205</v>
      </c>
      <c r="D288" s="24" t="s">
        <v>203</v>
      </c>
      <c r="E288" s="24" t="s">
        <v>145</v>
      </c>
      <c r="F288" s="25" t="s">
        <v>202</v>
      </c>
    </row>
    <row r="289" spans="1:6">
      <c r="A289" s="22">
        <v>15600</v>
      </c>
      <c r="B289" s="24" t="s">
        <v>3444</v>
      </c>
      <c r="C289" s="24" t="s">
        <v>205</v>
      </c>
      <c r="D289" s="24" t="s">
        <v>203</v>
      </c>
      <c r="E289" s="24" t="s">
        <v>145</v>
      </c>
      <c r="F289" s="25" t="s">
        <v>202</v>
      </c>
    </row>
    <row r="290" spans="1:6">
      <c r="A290" s="22">
        <v>15621</v>
      </c>
      <c r="B290" s="24" t="s">
        <v>3445</v>
      </c>
      <c r="C290" s="24" t="s">
        <v>205</v>
      </c>
      <c r="D290" s="24" t="s">
        <v>203</v>
      </c>
      <c r="E290" s="24" t="s">
        <v>145</v>
      </c>
      <c r="F290" s="25" t="s">
        <v>230</v>
      </c>
    </row>
    <row r="291" spans="1:6">
      <c r="A291" s="22">
        <v>15632</v>
      </c>
      <c r="B291" s="24" t="s">
        <v>3446</v>
      </c>
      <c r="C291" s="24" t="s">
        <v>205</v>
      </c>
      <c r="D291" s="24" t="s">
        <v>203</v>
      </c>
      <c r="E291" s="24" t="s">
        <v>145</v>
      </c>
      <c r="F291" s="25" t="s">
        <v>202</v>
      </c>
    </row>
    <row r="292" spans="1:6">
      <c r="A292" s="22">
        <v>15638</v>
      </c>
      <c r="B292" s="24" t="s">
        <v>3447</v>
      </c>
      <c r="C292" s="24" t="s">
        <v>205</v>
      </c>
      <c r="D292" s="24" t="s">
        <v>203</v>
      </c>
      <c r="E292" s="24" t="s">
        <v>145</v>
      </c>
      <c r="F292" s="25" t="s">
        <v>202</v>
      </c>
    </row>
    <row r="293" spans="1:6">
      <c r="A293" s="22">
        <v>15646</v>
      </c>
      <c r="B293" s="24" t="s">
        <v>3448</v>
      </c>
      <c r="C293" s="24" t="s">
        <v>205</v>
      </c>
      <c r="D293" s="24" t="s">
        <v>203</v>
      </c>
      <c r="E293" s="24" t="s">
        <v>145</v>
      </c>
      <c r="F293" s="25" t="s">
        <v>202</v>
      </c>
    </row>
    <row r="294" spans="1:6">
      <c r="A294" s="22">
        <v>15660</v>
      </c>
      <c r="B294" s="24" t="s">
        <v>3449</v>
      </c>
      <c r="C294" s="24" t="s">
        <v>205</v>
      </c>
      <c r="D294" s="24" t="s">
        <v>203</v>
      </c>
      <c r="E294" s="24" t="s">
        <v>145</v>
      </c>
      <c r="F294" s="25" t="s">
        <v>144</v>
      </c>
    </row>
    <row r="295" spans="1:6">
      <c r="A295" s="22">
        <v>15664</v>
      </c>
      <c r="B295" s="24" t="s">
        <v>3450</v>
      </c>
      <c r="C295" s="24" t="s">
        <v>205</v>
      </c>
      <c r="D295" s="24" t="s">
        <v>203</v>
      </c>
      <c r="E295" s="24" t="s">
        <v>145</v>
      </c>
      <c r="F295" s="25" t="s">
        <v>202</v>
      </c>
    </row>
    <row r="296" spans="1:6">
      <c r="A296" s="22">
        <v>15667</v>
      </c>
      <c r="B296" s="24" t="s">
        <v>3451</v>
      </c>
      <c r="C296" s="24" t="s">
        <v>205</v>
      </c>
      <c r="D296" s="24" t="s">
        <v>203</v>
      </c>
      <c r="E296" s="24" t="s">
        <v>145</v>
      </c>
      <c r="F296" s="25" t="s">
        <v>230</v>
      </c>
    </row>
    <row r="297" spans="1:6">
      <c r="A297" s="22">
        <v>15673</v>
      </c>
      <c r="B297" s="24" t="s">
        <v>3452</v>
      </c>
      <c r="C297" s="24" t="s">
        <v>205</v>
      </c>
      <c r="D297" s="24" t="s">
        <v>203</v>
      </c>
      <c r="E297" s="24" t="s">
        <v>145</v>
      </c>
      <c r="F297" s="25" t="s">
        <v>144</v>
      </c>
    </row>
    <row r="298" spans="1:6">
      <c r="A298" s="22">
        <v>15676</v>
      </c>
      <c r="B298" s="24" t="s">
        <v>3453</v>
      </c>
      <c r="C298" s="24" t="s">
        <v>205</v>
      </c>
      <c r="D298" s="24" t="s">
        <v>203</v>
      </c>
      <c r="E298" s="24" t="s">
        <v>145</v>
      </c>
      <c r="F298" s="25" t="s">
        <v>230</v>
      </c>
    </row>
    <row r="299" spans="1:6">
      <c r="A299" s="22">
        <v>15681</v>
      </c>
      <c r="B299" s="24" t="s">
        <v>3454</v>
      </c>
      <c r="C299" s="24" t="s">
        <v>205</v>
      </c>
      <c r="D299" s="24" t="s">
        <v>203</v>
      </c>
      <c r="E299" s="24" t="s">
        <v>145</v>
      </c>
      <c r="F299" s="25" t="s">
        <v>144</v>
      </c>
    </row>
    <row r="300" spans="1:6">
      <c r="A300" s="22">
        <v>15693</v>
      </c>
      <c r="B300" s="24" t="s">
        <v>3455</v>
      </c>
      <c r="C300" s="24" t="s">
        <v>205</v>
      </c>
      <c r="D300" s="24" t="s">
        <v>203</v>
      </c>
      <c r="E300" s="24" t="s">
        <v>145</v>
      </c>
      <c r="F300" s="25" t="s">
        <v>202</v>
      </c>
    </row>
    <row r="301" spans="1:6">
      <c r="A301" s="22">
        <v>15696</v>
      </c>
      <c r="B301" s="24" t="s">
        <v>1200</v>
      </c>
      <c r="C301" s="24" t="s">
        <v>205</v>
      </c>
      <c r="D301" s="24" t="s">
        <v>203</v>
      </c>
      <c r="E301" s="24" t="s">
        <v>145</v>
      </c>
      <c r="F301" s="25" t="s">
        <v>202</v>
      </c>
    </row>
    <row r="302" spans="1:6">
      <c r="A302" s="22">
        <v>15686</v>
      </c>
      <c r="B302" s="24" t="s">
        <v>1620</v>
      </c>
      <c r="C302" s="24" t="s">
        <v>205</v>
      </c>
      <c r="D302" s="24" t="s">
        <v>203</v>
      </c>
      <c r="E302" s="24" t="s">
        <v>145</v>
      </c>
      <c r="F302" s="25" t="s">
        <v>230</v>
      </c>
    </row>
    <row r="303" spans="1:6">
      <c r="A303" s="22">
        <v>15720</v>
      </c>
      <c r="B303" s="24" t="s">
        <v>3456</v>
      </c>
      <c r="C303" s="24" t="s">
        <v>205</v>
      </c>
      <c r="D303" s="24" t="s">
        <v>203</v>
      </c>
      <c r="E303" s="24" t="s">
        <v>145</v>
      </c>
      <c r="F303" s="25" t="s">
        <v>230</v>
      </c>
    </row>
    <row r="304" spans="1:6">
      <c r="A304" s="22">
        <v>15723</v>
      </c>
      <c r="B304" s="24" t="s">
        <v>1248</v>
      </c>
      <c r="C304" s="24" t="s">
        <v>205</v>
      </c>
      <c r="D304" s="24" t="s">
        <v>203</v>
      </c>
      <c r="E304" s="24" t="s">
        <v>145</v>
      </c>
      <c r="F304" s="25" t="s">
        <v>230</v>
      </c>
    </row>
    <row r="305" spans="1:6">
      <c r="A305" s="22">
        <v>15740</v>
      </c>
      <c r="B305" s="24" t="s">
        <v>3457</v>
      </c>
      <c r="C305" s="24" t="s">
        <v>205</v>
      </c>
      <c r="D305" s="24" t="s">
        <v>203</v>
      </c>
      <c r="E305" s="24" t="s">
        <v>145</v>
      </c>
      <c r="F305" s="25" t="s">
        <v>202</v>
      </c>
    </row>
    <row r="306" spans="1:6">
      <c r="A306" s="22">
        <v>15753</v>
      </c>
      <c r="B306" s="24" t="s">
        <v>3458</v>
      </c>
      <c r="C306" s="24" t="s">
        <v>205</v>
      </c>
      <c r="D306" s="24" t="s">
        <v>203</v>
      </c>
      <c r="E306" s="24" t="s">
        <v>145</v>
      </c>
      <c r="F306" s="25" t="s">
        <v>230</v>
      </c>
    </row>
    <row r="307" spans="1:6">
      <c r="A307" s="22">
        <v>15757</v>
      </c>
      <c r="B307" s="24" t="s">
        <v>3459</v>
      </c>
      <c r="C307" s="24" t="s">
        <v>205</v>
      </c>
      <c r="D307" s="24" t="s">
        <v>203</v>
      </c>
      <c r="E307" s="24" t="s">
        <v>145</v>
      </c>
      <c r="F307" s="25" t="s">
        <v>230</v>
      </c>
    </row>
    <row r="308" spans="1:6">
      <c r="A308" s="22">
        <v>15755</v>
      </c>
      <c r="B308" s="24" t="s">
        <v>3460</v>
      </c>
      <c r="C308" s="24" t="s">
        <v>205</v>
      </c>
      <c r="D308" s="24" t="s">
        <v>203</v>
      </c>
      <c r="E308" s="24" t="s">
        <v>145</v>
      </c>
      <c r="F308" s="25" t="s">
        <v>230</v>
      </c>
    </row>
    <row r="309" spans="1:6">
      <c r="A309" s="22">
        <v>15759</v>
      </c>
      <c r="B309" s="24" t="s">
        <v>322</v>
      </c>
      <c r="C309" s="24" t="s">
        <v>205</v>
      </c>
      <c r="D309" s="24" t="s">
        <v>203</v>
      </c>
      <c r="E309" s="24" t="s">
        <v>145</v>
      </c>
      <c r="F309" s="25" t="s">
        <v>202</v>
      </c>
    </row>
    <row r="310" spans="1:6">
      <c r="A310" s="22">
        <v>15761</v>
      </c>
      <c r="B310" s="24" t="s">
        <v>3461</v>
      </c>
      <c r="C310" s="24" t="s">
        <v>205</v>
      </c>
      <c r="D310" s="24" t="s">
        <v>203</v>
      </c>
      <c r="E310" s="24" t="s">
        <v>145</v>
      </c>
      <c r="F310" s="25" t="s">
        <v>230</v>
      </c>
    </row>
    <row r="311" spans="1:6">
      <c r="A311" s="22">
        <v>15762</v>
      </c>
      <c r="B311" s="24" t="s">
        <v>3462</v>
      </c>
      <c r="C311" s="24" t="s">
        <v>205</v>
      </c>
      <c r="D311" s="24" t="s">
        <v>203</v>
      </c>
      <c r="E311" s="24" t="s">
        <v>145</v>
      </c>
      <c r="F311" s="25" t="s">
        <v>202</v>
      </c>
    </row>
    <row r="312" spans="1:6">
      <c r="A312" s="22">
        <v>15764</v>
      </c>
      <c r="B312" s="24" t="s">
        <v>3463</v>
      </c>
      <c r="C312" s="24" t="s">
        <v>205</v>
      </c>
      <c r="D312" s="24" t="s">
        <v>203</v>
      </c>
      <c r="E312" s="24" t="s">
        <v>145</v>
      </c>
      <c r="F312" s="25" t="s">
        <v>52</v>
      </c>
    </row>
    <row r="313" spans="1:6">
      <c r="A313" s="22">
        <v>15763</v>
      </c>
      <c r="B313" s="24" t="s">
        <v>3464</v>
      </c>
      <c r="C313" s="24" t="s">
        <v>205</v>
      </c>
      <c r="D313" s="24" t="s">
        <v>203</v>
      </c>
      <c r="E313" s="24" t="s">
        <v>145</v>
      </c>
      <c r="F313" s="25" t="s">
        <v>202</v>
      </c>
    </row>
    <row r="314" spans="1:6">
      <c r="A314" s="22">
        <v>15774</v>
      </c>
      <c r="B314" s="24" t="s">
        <v>1395</v>
      </c>
      <c r="C314" s="24" t="s">
        <v>205</v>
      </c>
      <c r="D314" s="24" t="s">
        <v>203</v>
      </c>
      <c r="E314" s="24" t="s">
        <v>145</v>
      </c>
      <c r="F314" s="25" t="s">
        <v>230</v>
      </c>
    </row>
    <row r="315" spans="1:6">
      <c r="A315" s="22">
        <v>15776</v>
      </c>
      <c r="B315" s="24" t="s">
        <v>1037</v>
      </c>
      <c r="C315" s="24" t="s">
        <v>205</v>
      </c>
      <c r="D315" s="24" t="s">
        <v>203</v>
      </c>
      <c r="E315" s="24" t="s">
        <v>145</v>
      </c>
      <c r="F315" s="25" t="s">
        <v>202</v>
      </c>
    </row>
    <row r="316" spans="1:6">
      <c r="A316" s="22">
        <v>15778</v>
      </c>
      <c r="B316" s="24" t="s">
        <v>3465</v>
      </c>
      <c r="C316" s="24" t="s">
        <v>205</v>
      </c>
      <c r="D316" s="24" t="s">
        <v>203</v>
      </c>
      <c r="E316" s="24" t="s">
        <v>145</v>
      </c>
      <c r="F316" s="25" t="s">
        <v>230</v>
      </c>
    </row>
    <row r="317" spans="1:6">
      <c r="A317" s="22">
        <v>15790</v>
      </c>
      <c r="B317" s="24" t="s">
        <v>3466</v>
      </c>
      <c r="C317" s="24" t="s">
        <v>205</v>
      </c>
      <c r="D317" s="24" t="s">
        <v>203</v>
      </c>
      <c r="E317" s="24" t="s">
        <v>145</v>
      </c>
      <c r="F317" s="25" t="s">
        <v>230</v>
      </c>
    </row>
    <row r="318" spans="1:6">
      <c r="A318" s="22">
        <v>15798</v>
      </c>
      <c r="B318" s="24" t="s">
        <v>3467</v>
      </c>
      <c r="C318" s="24" t="s">
        <v>205</v>
      </c>
      <c r="D318" s="24" t="s">
        <v>203</v>
      </c>
      <c r="E318" s="24" t="s">
        <v>145</v>
      </c>
      <c r="F318" s="25" t="s">
        <v>230</v>
      </c>
    </row>
    <row r="319" spans="1:6">
      <c r="A319" s="22">
        <v>15804</v>
      </c>
      <c r="B319" s="24" t="s">
        <v>3468</v>
      </c>
      <c r="C319" s="24" t="s">
        <v>205</v>
      </c>
      <c r="D319" s="24" t="s">
        <v>203</v>
      </c>
      <c r="E319" s="24" t="s">
        <v>145</v>
      </c>
      <c r="F319" s="25" t="s">
        <v>202</v>
      </c>
    </row>
    <row r="320" spans="1:6">
      <c r="A320" s="22">
        <v>15806</v>
      </c>
      <c r="B320" s="24" t="s">
        <v>3469</v>
      </c>
      <c r="C320" s="24" t="s">
        <v>205</v>
      </c>
      <c r="D320" s="24" t="s">
        <v>203</v>
      </c>
      <c r="E320" s="24" t="s">
        <v>145</v>
      </c>
      <c r="F320" s="25" t="s">
        <v>202</v>
      </c>
    </row>
    <row r="321" spans="1:6">
      <c r="A321" s="22">
        <v>15808</v>
      </c>
      <c r="B321" s="24" t="s">
        <v>3470</v>
      </c>
      <c r="C321" s="24" t="s">
        <v>205</v>
      </c>
      <c r="D321" s="24" t="s">
        <v>203</v>
      </c>
      <c r="E321" s="24" t="s">
        <v>145</v>
      </c>
      <c r="F321" s="25" t="s">
        <v>202</v>
      </c>
    </row>
    <row r="322" spans="1:6">
      <c r="A322" s="22">
        <v>15810</v>
      </c>
      <c r="B322" s="24" t="s">
        <v>3471</v>
      </c>
      <c r="C322" s="24" t="s">
        <v>205</v>
      </c>
      <c r="D322" s="24" t="s">
        <v>203</v>
      </c>
      <c r="E322" s="24" t="s">
        <v>145</v>
      </c>
      <c r="F322" s="25" t="s">
        <v>230</v>
      </c>
    </row>
    <row r="323" spans="1:6">
      <c r="A323" s="22">
        <v>15814</v>
      </c>
      <c r="B323" s="24" t="s">
        <v>3472</v>
      </c>
      <c r="C323" s="24" t="s">
        <v>205</v>
      </c>
      <c r="D323" s="24" t="s">
        <v>203</v>
      </c>
      <c r="E323" s="24" t="s">
        <v>145</v>
      </c>
      <c r="F323" s="25" t="s">
        <v>202</v>
      </c>
    </row>
    <row r="324" spans="1:6">
      <c r="A324" s="22">
        <v>15816</v>
      </c>
      <c r="B324" s="24" t="s">
        <v>3473</v>
      </c>
      <c r="C324" s="24" t="s">
        <v>205</v>
      </c>
      <c r="D324" s="24" t="s">
        <v>203</v>
      </c>
      <c r="E324" s="24" t="s">
        <v>145</v>
      </c>
      <c r="F324" s="25" t="s">
        <v>202</v>
      </c>
    </row>
    <row r="325" spans="1:6">
      <c r="A325" s="22">
        <v>15820</v>
      </c>
      <c r="B325" s="24" t="s">
        <v>3474</v>
      </c>
      <c r="C325" s="24" t="s">
        <v>205</v>
      </c>
      <c r="D325" s="24" t="s">
        <v>203</v>
      </c>
      <c r="E325" s="24" t="s">
        <v>145</v>
      </c>
      <c r="F325" s="25" t="s">
        <v>230</v>
      </c>
    </row>
    <row r="326" spans="1:6">
      <c r="A326" s="22">
        <v>15822</v>
      </c>
      <c r="B326" s="24" t="s">
        <v>3475</v>
      </c>
      <c r="C326" s="24" t="s">
        <v>205</v>
      </c>
      <c r="D326" s="24" t="s">
        <v>203</v>
      </c>
      <c r="E326" s="24" t="s">
        <v>145</v>
      </c>
      <c r="F326" s="25" t="s">
        <v>202</v>
      </c>
    </row>
    <row r="327" spans="1:6">
      <c r="A327" s="22">
        <v>15001</v>
      </c>
      <c r="B327" s="24" t="s">
        <v>203</v>
      </c>
      <c r="C327" s="24" t="s">
        <v>205</v>
      </c>
      <c r="D327" s="24" t="s">
        <v>203</v>
      </c>
      <c r="E327" s="24" t="s">
        <v>145</v>
      </c>
      <c r="F327" s="25" t="s">
        <v>52</v>
      </c>
    </row>
    <row r="328" spans="1:6">
      <c r="A328" s="22">
        <v>15832</v>
      </c>
      <c r="B328" s="24" t="s">
        <v>3476</v>
      </c>
      <c r="C328" s="24" t="s">
        <v>205</v>
      </c>
      <c r="D328" s="24" t="s">
        <v>203</v>
      </c>
      <c r="E328" s="24" t="s">
        <v>145</v>
      </c>
      <c r="F328" s="25" t="s">
        <v>230</v>
      </c>
    </row>
    <row r="329" spans="1:6">
      <c r="A329" s="22">
        <v>15835</v>
      </c>
      <c r="B329" s="24" t="s">
        <v>2598</v>
      </c>
      <c r="C329" s="24" t="s">
        <v>205</v>
      </c>
      <c r="D329" s="24" t="s">
        <v>203</v>
      </c>
      <c r="E329" s="24" t="s">
        <v>145</v>
      </c>
      <c r="F329" s="25" t="s">
        <v>202</v>
      </c>
    </row>
    <row r="330" spans="1:6">
      <c r="A330" s="22">
        <v>15837</v>
      </c>
      <c r="B330" s="24" t="s">
        <v>2462</v>
      </c>
      <c r="C330" s="24" t="s">
        <v>205</v>
      </c>
      <c r="D330" s="24" t="s">
        <v>203</v>
      </c>
      <c r="E330" s="24" t="s">
        <v>145</v>
      </c>
      <c r="F330" s="25" t="s">
        <v>202</v>
      </c>
    </row>
    <row r="331" spans="1:6">
      <c r="A331" s="22">
        <v>15839</v>
      </c>
      <c r="B331" s="24" t="s">
        <v>3477</v>
      </c>
      <c r="C331" s="24" t="s">
        <v>205</v>
      </c>
      <c r="D331" s="24" t="s">
        <v>203</v>
      </c>
      <c r="E331" s="24" t="s">
        <v>145</v>
      </c>
      <c r="F331" s="25" t="s">
        <v>202</v>
      </c>
    </row>
    <row r="332" spans="1:6">
      <c r="A332" s="22">
        <v>15842</v>
      </c>
      <c r="B332" s="24" t="s">
        <v>3478</v>
      </c>
      <c r="C332" s="24" t="s">
        <v>205</v>
      </c>
      <c r="D332" s="24" t="s">
        <v>203</v>
      </c>
      <c r="E332" s="24" t="s">
        <v>145</v>
      </c>
      <c r="F332" s="25" t="s">
        <v>202</v>
      </c>
    </row>
    <row r="333" spans="1:6">
      <c r="A333" s="22">
        <v>15861</v>
      </c>
      <c r="B333" s="24" t="s">
        <v>3479</v>
      </c>
      <c r="C333" s="24" t="s">
        <v>205</v>
      </c>
      <c r="D333" s="24" t="s">
        <v>203</v>
      </c>
      <c r="E333" s="24" t="s">
        <v>145</v>
      </c>
      <c r="F333" s="25" t="s">
        <v>202</v>
      </c>
    </row>
    <row r="334" spans="1:6">
      <c r="A334" s="22">
        <v>15407</v>
      </c>
      <c r="B334" s="24" t="s">
        <v>1412</v>
      </c>
      <c r="C334" s="24" t="s">
        <v>205</v>
      </c>
      <c r="D334" s="24" t="s">
        <v>203</v>
      </c>
      <c r="E334" s="24" t="s">
        <v>145</v>
      </c>
      <c r="F334" s="25" t="s">
        <v>202</v>
      </c>
    </row>
    <row r="335" spans="1:6">
      <c r="A335" s="22">
        <v>15879</v>
      </c>
      <c r="B335" s="24" t="s">
        <v>3480</v>
      </c>
      <c r="C335" s="24" t="s">
        <v>205</v>
      </c>
      <c r="D335" s="24" t="s">
        <v>203</v>
      </c>
      <c r="E335" s="24" t="s">
        <v>145</v>
      </c>
      <c r="F335" s="25" t="s">
        <v>202</v>
      </c>
    </row>
    <row r="336" spans="1:6">
      <c r="A336" s="22">
        <v>15897</v>
      </c>
      <c r="B336" s="24" t="s">
        <v>3481</v>
      </c>
      <c r="C336" s="24" t="s">
        <v>205</v>
      </c>
      <c r="D336" s="24" t="s">
        <v>203</v>
      </c>
      <c r="E336" s="24" t="s">
        <v>145</v>
      </c>
      <c r="F336" s="25" t="s">
        <v>230</v>
      </c>
    </row>
    <row r="337" spans="1:6">
      <c r="A337" s="22">
        <v>17524</v>
      </c>
      <c r="B337" s="23" t="s">
        <v>2007</v>
      </c>
      <c r="C337" s="24" t="s">
        <v>441</v>
      </c>
      <c r="D337" s="24" t="s">
        <v>439</v>
      </c>
      <c r="E337" s="24" t="s">
        <v>145</v>
      </c>
      <c r="F337" s="25" t="s">
        <v>202</v>
      </c>
    </row>
    <row r="338" spans="1:6">
      <c r="A338" s="22">
        <v>17614</v>
      </c>
      <c r="B338" s="23" t="s">
        <v>1661</v>
      </c>
      <c r="C338" s="24" t="s">
        <v>441</v>
      </c>
      <c r="D338" s="24" t="s">
        <v>439</v>
      </c>
      <c r="E338" s="24" t="s">
        <v>145</v>
      </c>
      <c r="F338" s="25" t="s">
        <v>202</v>
      </c>
    </row>
    <row r="339" spans="1:6">
      <c r="A339" s="22">
        <v>17653</v>
      </c>
      <c r="B339" s="23" t="s">
        <v>3482</v>
      </c>
      <c r="C339" s="24" t="s">
        <v>441</v>
      </c>
      <c r="D339" s="24" t="s">
        <v>439</v>
      </c>
      <c r="E339" s="24" t="s">
        <v>145</v>
      </c>
      <c r="F339" s="25" t="s">
        <v>202</v>
      </c>
    </row>
    <row r="340" spans="1:6">
      <c r="A340" s="22">
        <v>17013</v>
      </c>
      <c r="B340" s="24" t="s">
        <v>623</v>
      </c>
      <c r="C340" s="24" t="s">
        <v>441</v>
      </c>
      <c r="D340" s="24" t="s">
        <v>439</v>
      </c>
      <c r="E340" s="24" t="s">
        <v>145</v>
      </c>
      <c r="F340" s="25" t="s">
        <v>230</v>
      </c>
    </row>
    <row r="341" spans="1:6">
      <c r="A341" s="22">
        <v>17042</v>
      </c>
      <c r="B341" s="24" t="s">
        <v>3483</v>
      </c>
      <c r="C341" s="24" t="s">
        <v>441</v>
      </c>
      <c r="D341" s="24" t="s">
        <v>439</v>
      </c>
      <c r="E341" s="24" t="s">
        <v>145</v>
      </c>
      <c r="F341" s="25" t="s">
        <v>202</v>
      </c>
    </row>
    <row r="342" spans="1:6">
      <c r="A342" s="22">
        <v>17050</v>
      </c>
      <c r="B342" s="24" t="s">
        <v>3484</v>
      </c>
      <c r="C342" s="24" t="s">
        <v>441</v>
      </c>
      <c r="D342" s="24" t="s">
        <v>439</v>
      </c>
      <c r="E342" s="24" t="s">
        <v>145</v>
      </c>
      <c r="F342" s="25" t="s">
        <v>202</v>
      </c>
    </row>
    <row r="343" spans="1:6">
      <c r="A343" s="22">
        <v>17088</v>
      </c>
      <c r="B343" s="24" t="s">
        <v>3485</v>
      </c>
      <c r="C343" s="24" t="s">
        <v>441</v>
      </c>
      <c r="D343" s="24" t="s">
        <v>439</v>
      </c>
      <c r="E343" s="24" t="s">
        <v>145</v>
      </c>
      <c r="F343" s="25" t="s">
        <v>202</v>
      </c>
    </row>
    <row r="344" spans="1:6">
      <c r="A344" s="22">
        <v>17174</v>
      </c>
      <c r="B344" s="24" t="s">
        <v>2259</v>
      </c>
      <c r="C344" s="24" t="s">
        <v>441</v>
      </c>
      <c r="D344" s="24" t="s">
        <v>439</v>
      </c>
      <c r="E344" s="24" t="s">
        <v>145</v>
      </c>
      <c r="F344" s="25" t="s">
        <v>202</v>
      </c>
    </row>
    <row r="345" spans="1:6">
      <c r="A345" s="22">
        <v>17272</v>
      </c>
      <c r="B345" s="24" t="s">
        <v>3486</v>
      </c>
      <c r="C345" s="24" t="s">
        <v>441</v>
      </c>
      <c r="D345" s="24" t="s">
        <v>439</v>
      </c>
      <c r="E345" s="24" t="s">
        <v>145</v>
      </c>
      <c r="F345" s="25" t="s">
        <v>202</v>
      </c>
    </row>
    <row r="346" spans="1:6">
      <c r="A346" s="22">
        <v>17380</v>
      </c>
      <c r="B346" s="24" t="s">
        <v>3070</v>
      </c>
      <c r="C346" s="24" t="s">
        <v>441</v>
      </c>
      <c r="D346" s="24" t="s">
        <v>688</v>
      </c>
      <c r="E346" s="24" t="s">
        <v>145</v>
      </c>
      <c r="F346" s="25" t="s">
        <v>230</v>
      </c>
    </row>
    <row r="347" spans="1:6">
      <c r="A347" s="22">
        <v>17388</v>
      </c>
      <c r="B347" s="24" t="s">
        <v>3487</v>
      </c>
      <c r="C347" s="24" t="s">
        <v>441</v>
      </c>
      <c r="D347" s="24" t="s">
        <v>439</v>
      </c>
      <c r="E347" s="24" t="s">
        <v>145</v>
      </c>
      <c r="F347" s="25" t="s">
        <v>202</v>
      </c>
    </row>
    <row r="348" spans="1:6">
      <c r="A348" s="22">
        <v>17001</v>
      </c>
      <c r="B348" s="24" t="s">
        <v>439</v>
      </c>
      <c r="C348" s="24" t="s">
        <v>441</v>
      </c>
      <c r="D348" s="24" t="s">
        <v>439</v>
      </c>
      <c r="E348" s="24" t="s">
        <v>145</v>
      </c>
      <c r="F348" s="25" t="s">
        <v>52</v>
      </c>
    </row>
    <row r="349" spans="1:6">
      <c r="A349" s="22">
        <v>17433</v>
      </c>
      <c r="B349" s="24" t="s">
        <v>3488</v>
      </c>
      <c r="C349" s="24" t="s">
        <v>441</v>
      </c>
      <c r="D349" s="24" t="s">
        <v>439</v>
      </c>
      <c r="E349" s="24" t="s">
        <v>145</v>
      </c>
      <c r="F349" s="25" t="s">
        <v>230</v>
      </c>
    </row>
    <row r="350" spans="1:6">
      <c r="A350" s="22">
        <v>17442</v>
      </c>
      <c r="B350" s="24" t="s">
        <v>3489</v>
      </c>
      <c r="C350" s="24" t="s">
        <v>441</v>
      </c>
      <c r="D350" s="24" t="s">
        <v>439</v>
      </c>
      <c r="E350" s="24" t="s">
        <v>145</v>
      </c>
      <c r="F350" s="25" t="s">
        <v>202</v>
      </c>
    </row>
    <row r="351" spans="1:6">
      <c r="A351" s="22">
        <v>17444</v>
      </c>
      <c r="B351" s="24" t="s">
        <v>3490</v>
      </c>
      <c r="C351" s="24" t="s">
        <v>441</v>
      </c>
      <c r="D351" s="24" t="s">
        <v>439</v>
      </c>
      <c r="E351" s="24" t="s">
        <v>145</v>
      </c>
      <c r="F351" s="25" t="s">
        <v>230</v>
      </c>
    </row>
    <row r="352" spans="1:6">
      <c r="A352" s="22">
        <v>17446</v>
      </c>
      <c r="B352" s="24" t="s">
        <v>3491</v>
      </c>
      <c r="C352" s="24" t="s">
        <v>441</v>
      </c>
      <c r="D352" s="24" t="s">
        <v>439</v>
      </c>
      <c r="E352" s="24" t="s">
        <v>145</v>
      </c>
      <c r="F352" s="25" t="s">
        <v>230</v>
      </c>
    </row>
    <row r="353" spans="1:6">
      <c r="A353" s="22">
        <v>17486</v>
      </c>
      <c r="B353" s="24" t="s">
        <v>3492</v>
      </c>
      <c r="C353" s="24" t="s">
        <v>441</v>
      </c>
      <c r="D353" s="24" t="s">
        <v>439</v>
      </c>
      <c r="E353" s="24" t="s">
        <v>145</v>
      </c>
      <c r="F353" s="25" t="s">
        <v>202</v>
      </c>
    </row>
    <row r="354" spans="1:6">
      <c r="A354" s="22">
        <v>17495</v>
      </c>
      <c r="B354" s="24" t="s">
        <v>3493</v>
      </c>
      <c r="C354" s="24" t="s">
        <v>441</v>
      </c>
      <c r="D354" s="24" t="s">
        <v>688</v>
      </c>
      <c r="E354" s="24" t="s">
        <v>145</v>
      </c>
      <c r="F354" s="25" t="s">
        <v>144</v>
      </c>
    </row>
    <row r="355" spans="1:6">
      <c r="A355" s="22">
        <v>17513</v>
      </c>
      <c r="B355" s="24" t="s">
        <v>3494</v>
      </c>
      <c r="C355" s="24" t="s">
        <v>441</v>
      </c>
      <c r="D355" s="24" t="s">
        <v>439</v>
      </c>
      <c r="E355" s="24" t="s">
        <v>145</v>
      </c>
      <c r="F355" s="25" t="s">
        <v>230</v>
      </c>
    </row>
    <row r="356" spans="1:6">
      <c r="A356" s="22">
        <v>17541</v>
      </c>
      <c r="B356" s="24" t="s">
        <v>3495</v>
      </c>
      <c r="C356" s="24" t="s">
        <v>441</v>
      </c>
      <c r="D356" s="24" t="s">
        <v>439</v>
      </c>
      <c r="E356" s="24" t="s">
        <v>145</v>
      </c>
      <c r="F356" s="25" t="s">
        <v>230</v>
      </c>
    </row>
    <row r="357" spans="1:6">
      <c r="A357" s="22">
        <v>17616</v>
      </c>
      <c r="B357" s="24" t="s">
        <v>579</v>
      </c>
      <c r="C357" s="24" t="s">
        <v>441</v>
      </c>
      <c r="D357" s="24" t="s">
        <v>439</v>
      </c>
      <c r="E357" s="24" t="s">
        <v>145</v>
      </c>
      <c r="F357" s="25" t="s">
        <v>202</v>
      </c>
    </row>
    <row r="358" spans="1:6">
      <c r="A358" s="22">
        <v>17662</v>
      </c>
      <c r="B358" s="24" t="s">
        <v>3496</v>
      </c>
      <c r="C358" s="24" t="s">
        <v>441</v>
      </c>
      <c r="D358" s="24" t="s">
        <v>439</v>
      </c>
      <c r="E358" s="24" t="s">
        <v>145</v>
      </c>
      <c r="F358" s="25" t="s">
        <v>144</v>
      </c>
    </row>
    <row r="359" spans="1:6">
      <c r="A359" s="22">
        <v>17665</v>
      </c>
      <c r="B359" s="24" t="s">
        <v>3497</v>
      </c>
      <c r="C359" s="24" t="s">
        <v>441</v>
      </c>
      <c r="D359" s="24" t="s">
        <v>439</v>
      </c>
      <c r="E359" s="24" t="s">
        <v>145</v>
      </c>
      <c r="F359" s="25" t="s">
        <v>202</v>
      </c>
    </row>
    <row r="360" spans="1:6">
      <c r="A360" s="22">
        <v>17777</v>
      </c>
      <c r="B360" s="24" t="s">
        <v>1917</v>
      </c>
      <c r="C360" s="24" t="s">
        <v>441</v>
      </c>
      <c r="D360" s="24" t="s">
        <v>439</v>
      </c>
      <c r="E360" s="24" t="s">
        <v>145</v>
      </c>
      <c r="F360" s="25" t="s">
        <v>202</v>
      </c>
    </row>
    <row r="361" spans="1:6">
      <c r="A361" s="22">
        <v>17867</v>
      </c>
      <c r="B361" s="24" t="s">
        <v>3498</v>
      </c>
      <c r="C361" s="24" t="s">
        <v>441</v>
      </c>
      <c r="D361" s="24" t="s">
        <v>439</v>
      </c>
      <c r="E361" s="24" t="s">
        <v>145</v>
      </c>
      <c r="F361" s="25" t="s">
        <v>230</v>
      </c>
    </row>
    <row r="362" spans="1:6">
      <c r="A362" s="22">
        <v>17873</v>
      </c>
      <c r="B362" s="24" t="s">
        <v>1232</v>
      </c>
      <c r="C362" s="24" t="s">
        <v>441</v>
      </c>
      <c r="D362" s="24" t="s">
        <v>439</v>
      </c>
      <c r="E362" s="24" t="s">
        <v>145</v>
      </c>
      <c r="F362" s="25" t="s">
        <v>52</v>
      </c>
    </row>
    <row r="363" spans="1:6">
      <c r="A363" s="22">
        <v>17877</v>
      </c>
      <c r="B363" s="24" t="s">
        <v>3499</v>
      </c>
      <c r="C363" s="24" t="s">
        <v>441</v>
      </c>
      <c r="D363" s="24" t="s">
        <v>453</v>
      </c>
      <c r="E363" s="24" t="s">
        <v>145</v>
      </c>
      <c r="F363" s="25" t="s">
        <v>202</v>
      </c>
    </row>
    <row r="364" spans="1:6">
      <c r="A364" s="22">
        <v>18029</v>
      </c>
      <c r="B364" s="23" t="s">
        <v>3500</v>
      </c>
      <c r="C364" s="24" t="s">
        <v>134</v>
      </c>
      <c r="D364" s="24" t="s">
        <v>130</v>
      </c>
      <c r="E364" s="24" t="s">
        <v>145</v>
      </c>
      <c r="F364" s="25" t="s">
        <v>144</v>
      </c>
    </row>
    <row r="365" spans="1:6">
      <c r="A365" s="22">
        <v>18001</v>
      </c>
      <c r="B365" s="23" t="s">
        <v>135</v>
      </c>
      <c r="C365" s="24" t="s">
        <v>134</v>
      </c>
      <c r="D365" s="24" t="s">
        <v>130</v>
      </c>
      <c r="E365" s="24" t="s">
        <v>145</v>
      </c>
      <c r="F365" s="25" t="s">
        <v>144</v>
      </c>
    </row>
    <row r="366" spans="1:6">
      <c r="A366" s="22">
        <v>18592</v>
      </c>
      <c r="B366" s="23" t="s">
        <v>3501</v>
      </c>
      <c r="C366" s="24" t="s">
        <v>134</v>
      </c>
      <c r="D366" s="24" t="s">
        <v>130</v>
      </c>
      <c r="E366" s="24" t="s">
        <v>145</v>
      </c>
      <c r="F366" s="25" t="s">
        <v>160</v>
      </c>
    </row>
    <row r="367" spans="1:6">
      <c r="A367" s="22">
        <v>18860</v>
      </c>
      <c r="B367" s="23" t="s">
        <v>3257</v>
      </c>
      <c r="C367" s="24" t="s">
        <v>134</v>
      </c>
      <c r="D367" s="24" t="s">
        <v>130</v>
      </c>
      <c r="E367" s="24" t="s">
        <v>145</v>
      </c>
      <c r="F367" s="25" t="s">
        <v>144</v>
      </c>
    </row>
    <row r="368" spans="1:6">
      <c r="A368" s="22">
        <v>18094</v>
      </c>
      <c r="B368" s="24" t="s">
        <v>3502</v>
      </c>
      <c r="C368" s="24" t="s">
        <v>134</v>
      </c>
      <c r="D368" s="24" t="s">
        <v>130</v>
      </c>
      <c r="E368" s="24" t="s">
        <v>145</v>
      </c>
      <c r="F368" s="25" t="s">
        <v>144</v>
      </c>
    </row>
    <row r="369" spans="1:6">
      <c r="A369" s="22">
        <v>18150</v>
      </c>
      <c r="B369" s="24" t="s">
        <v>1630</v>
      </c>
      <c r="C369" s="24" t="s">
        <v>134</v>
      </c>
      <c r="D369" s="24" t="s">
        <v>130</v>
      </c>
      <c r="E369" s="24" t="s">
        <v>145</v>
      </c>
      <c r="F369" s="25" t="s">
        <v>160</v>
      </c>
    </row>
    <row r="370" spans="1:6">
      <c r="A370" s="22">
        <v>18205</v>
      </c>
      <c r="B370" s="24" t="s">
        <v>3503</v>
      </c>
      <c r="C370" s="24" t="s">
        <v>134</v>
      </c>
      <c r="D370" s="24" t="s">
        <v>130</v>
      </c>
      <c r="E370" s="24" t="s">
        <v>145</v>
      </c>
      <c r="F370" s="25" t="s">
        <v>144</v>
      </c>
    </row>
    <row r="371" spans="1:6">
      <c r="A371" s="22">
        <v>18247</v>
      </c>
      <c r="B371" s="24" t="s">
        <v>893</v>
      </c>
      <c r="C371" s="24" t="s">
        <v>134</v>
      </c>
      <c r="D371" s="24" t="s">
        <v>130</v>
      </c>
      <c r="E371" s="24" t="s">
        <v>145</v>
      </c>
      <c r="F371" s="25" t="s">
        <v>144</v>
      </c>
    </row>
    <row r="372" spans="1:6">
      <c r="A372" s="22">
        <v>18256</v>
      </c>
      <c r="B372" s="24" t="s">
        <v>2782</v>
      </c>
      <c r="C372" s="24" t="s">
        <v>134</v>
      </c>
      <c r="D372" s="24" t="s">
        <v>130</v>
      </c>
      <c r="E372" s="24" t="s">
        <v>145</v>
      </c>
      <c r="F372" s="25" t="s">
        <v>144</v>
      </c>
    </row>
    <row r="373" spans="1:6">
      <c r="A373" s="22">
        <v>18410</v>
      </c>
      <c r="B373" s="24" t="s">
        <v>3504</v>
      </c>
      <c r="C373" s="24" t="s">
        <v>134</v>
      </c>
      <c r="D373" s="24" t="s">
        <v>130</v>
      </c>
      <c r="E373" s="24" t="s">
        <v>145</v>
      </c>
      <c r="F373" s="25" t="s">
        <v>144</v>
      </c>
    </row>
    <row r="374" spans="1:6">
      <c r="A374" s="22">
        <v>18460</v>
      </c>
      <c r="B374" s="24" t="s">
        <v>1636</v>
      </c>
      <c r="C374" s="24" t="s">
        <v>134</v>
      </c>
      <c r="D374" s="24" t="s">
        <v>130</v>
      </c>
      <c r="E374" s="24" t="s">
        <v>145</v>
      </c>
      <c r="F374" s="25" t="s">
        <v>144</v>
      </c>
    </row>
    <row r="375" spans="1:6">
      <c r="A375" s="22">
        <v>18479</v>
      </c>
      <c r="B375" s="24" t="s">
        <v>3505</v>
      </c>
      <c r="C375" s="24" t="s">
        <v>134</v>
      </c>
      <c r="D375" s="24" t="s">
        <v>130</v>
      </c>
      <c r="E375" s="24" t="s">
        <v>145</v>
      </c>
      <c r="F375" s="25" t="s">
        <v>144</v>
      </c>
    </row>
    <row r="376" spans="1:6">
      <c r="A376" s="22">
        <v>18610</v>
      </c>
      <c r="B376" s="24" t="s">
        <v>3506</v>
      </c>
      <c r="C376" s="24" t="s">
        <v>134</v>
      </c>
      <c r="D376" s="24" t="s">
        <v>130</v>
      </c>
      <c r="E376" s="24" t="s">
        <v>145</v>
      </c>
      <c r="F376" s="25" t="s">
        <v>144</v>
      </c>
    </row>
    <row r="377" spans="1:6">
      <c r="A377" s="22">
        <v>18753</v>
      </c>
      <c r="B377" s="24" t="s">
        <v>3507</v>
      </c>
      <c r="C377" s="24" t="s">
        <v>134</v>
      </c>
      <c r="D377" s="24" t="s">
        <v>130</v>
      </c>
      <c r="E377" s="24" t="s">
        <v>3508</v>
      </c>
      <c r="F377" s="25" t="s">
        <v>160</v>
      </c>
    </row>
    <row r="378" spans="1:6">
      <c r="A378" s="22">
        <v>18756</v>
      </c>
      <c r="B378" s="24" t="s">
        <v>3509</v>
      </c>
      <c r="C378" s="24" t="s">
        <v>134</v>
      </c>
      <c r="D378" s="24" t="s">
        <v>130</v>
      </c>
      <c r="E378" s="24" t="s">
        <v>278</v>
      </c>
      <c r="F378" s="25" t="s">
        <v>160</v>
      </c>
    </row>
    <row r="379" spans="1:6">
      <c r="A379" s="22">
        <v>18785</v>
      </c>
      <c r="B379" s="24" t="s">
        <v>3510</v>
      </c>
      <c r="C379" s="24" t="s">
        <v>134</v>
      </c>
      <c r="D379" s="24" t="s">
        <v>130</v>
      </c>
      <c r="E379" s="24" t="s">
        <v>145</v>
      </c>
      <c r="F379" s="25" t="s">
        <v>144</v>
      </c>
    </row>
    <row r="380" spans="1:6">
      <c r="A380" s="22">
        <v>85300</v>
      </c>
      <c r="B380" s="23" t="s">
        <v>2657</v>
      </c>
      <c r="C380" s="24" t="s">
        <v>169</v>
      </c>
      <c r="D380" s="24" t="s">
        <v>167</v>
      </c>
      <c r="E380" s="24" t="s">
        <v>145</v>
      </c>
      <c r="F380" s="25" t="s">
        <v>230</v>
      </c>
    </row>
    <row r="381" spans="1:6">
      <c r="A381" s="22">
        <v>85440</v>
      </c>
      <c r="B381" s="23" t="s">
        <v>3350</v>
      </c>
      <c r="C381" s="24" t="s">
        <v>169</v>
      </c>
      <c r="D381" s="24" t="s">
        <v>260</v>
      </c>
      <c r="E381" s="24" t="s">
        <v>145</v>
      </c>
      <c r="F381" s="25" t="s">
        <v>230</v>
      </c>
    </row>
    <row r="382" spans="1:6">
      <c r="A382" s="22">
        <v>85010</v>
      </c>
      <c r="B382" s="24" t="s">
        <v>1189</v>
      </c>
      <c r="C382" s="24" t="s">
        <v>169</v>
      </c>
      <c r="D382" s="24" t="s">
        <v>167</v>
      </c>
      <c r="E382" s="24" t="s">
        <v>145</v>
      </c>
      <c r="F382" s="25" t="s">
        <v>202</v>
      </c>
    </row>
    <row r="383" spans="1:6">
      <c r="A383" s="22">
        <v>85015</v>
      </c>
      <c r="B383" s="24" t="s">
        <v>3511</v>
      </c>
      <c r="C383" s="24" t="s">
        <v>169</v>
      </c>
      <c r="D383" s="24" t="s">
        <v>167</v>
      </c>
      <c r="E383" s="24" t="s">
        <v>145</v>
      </c>
      <c r="F383" s="25" t="s">
        <v>144</v>
      </c>
    </row>
    <row r="384" spans="1:6">
      <c r="A384" s="22">
        <v>85125</v>
      </c>
      <c r="B384" s="24" t="s">
        <v>3512</v>
      </c>
      <c r="C384" s="24" t="s">
        <v>169</v>
      </c>
      <c r="D384" s="24" t="s">
        <v>167</v>
      </c>
      <c r="E384" s="24" t="s">
        <v>145</v>
      </c>
      <c r="F384" s="25" t="s">
        <v>230</v>
      </c>
    </row>
    <row r="385" spans="1:6">
      <c r="A385" s="22">
        <v>85136</v>
      </c>
      <c r="B385" s="24" t="s">
        <v>3513</v>
      </c>
      <c r="C385" s="24" t="s">
        <v>169</v>
      </c>
      <c r="D385" s="24" t="s">
        <v>167</v>
      </c>
      <c r="E385" s="24" t="s">
        <v>145</v>
      </c>
      <c r="F385" s="25" t="s">
        <v>144</v>
      </c>
    </row>
    <row r="386" spans="1:6">
      <c r="A386" s="22">
        <v>85139</v>
      </c>
      <c r="B386" s="24" t="s">
        <v>3514</v>
      </c>
      <c r="C386" s="24" t="s">
        <v>169</v>
      </c>
      <c r="D386" s="24" t="s">
        <v>167</v>
      </c>
      <c r="E386" s="24" t="s">
        <v>145</v>
      </c>
      <c r="F386" s="25" t="s">
        <v>202</v>
      </c>
    </row>
    <row r="387" spans="1:6">
      <c r="A387" s="22">
        <v>85162</v>
      </c>
      <c r="B387" s="24" t="s">
        <v>197</v>
      </c>
      <c r="C387" s="24" t="s">
        <v>169</v>
      </c>
      <c r="D387" s="24" t="s">
        <v>167</v>
      </c>
      <c r="E387" s="24" t="s">
        <v>145</v>
      </c>
      <c r="F387" s="25" t="s">
        <v>202</v>
      </c>
    </row>
    <row r="388" spans="1:6">
      <c r="A388" s="22">
        <v>85225</v>
      </c>
      <c r="B388" s="24" t="s">
        <v>3515</v>
      </c>
      <c r="C388" s="24" t="s">
        <v>169</v>
      </c>
      <c r="D388" s="24" t="s">
        <v>167</v>
      </c>
      <c r="E388" s="24" t="s">
        <v>145</v>
      </c>
      <c r="F388" s="25" t="s">
        <v>202</v>
      </c>
    </row>
    <row r="389" spans="1:6">
      <c r="A389" s="22">
        <v>85230</v>
      </c>
      <c r="B389" s="24" t="s">
        <v>875</v>
      </c>
      <c r="C389" s="24" t="s">
        <v>169</v>
      </c>
      <c r="D389" s="24" t="s">
        <v>167</v>
      </c>
      <c r="E389" s="24" t="s">
        <v>278</v>
      </c>
      <c r="F389" s="25" t="s">
        <v>160</v>
      </c>
    </row>
    <row r="390" spans="1:6">
      <c r="A390" s="22">
        <v>85250</v>
      </c>
      <c r="B390" s="24" t="s">
        <v>948</v>
      </c>
      <c r="C390" s="24" t="s">
        <v>169</v>
      </c>
      <c r="D390" s="24" t="s">
        <v>167</v>
      </c>
      <c r="E390" s="24" t="s">
        <v>145</v>
      </c>
      <c r="F390" s="25" t="s">
        <v>202</v>
      </c>
    </row>
    <row r="391" spans="1:6">
      <c r="A391" s="22">
        <v>85263</v>
      </c>
      <c r="B391" s="24" t="s">
        <v>3516</v>
      </c>
      <c r="C391" s="24" t="s">
        <v>169</v>
      </c>
      <c r="D391" s="24" t="s">
        <v>167</v>
      </c>
      <c r="E391" s="24" t="s">
        <v>145</v>
      </c>
      <c r="F391" s="25" t="s">
        <v>202</v>
      </c>
    </row>
    <row r="392" spans="1:6">
      <c r="A392" s="22">
        <v>85279</v>
      </c>
      <c r="B392" s="24" t="s">
        <v>3517</v>
      </c>
      <c r="C392" s="24" t="s">
        <v>169</v>
      </c>
      <c r="D392" s="24" t="s">
        <v>167</v>
      </c>
      <c r="E392" s="24" t="s">
        <v>145</v>
      </c>
      <c r="F392" s="25" t="s">
        <v>230</v>
      </c>
    </row>
    <row r="393" spans="1:6">
      <c r="A393" s="22">
        <v>85315</v>
      </c>
      <c r="B393" s="24" t="s">
        <v>3518</v>
      </c>
      <c r="C393" s="24" t="s">
        <v>169</v>
      </c>
      <c r="D393" s="24" t="s">
        <v>167</v>
      </c>
      <c r="E393" s="24" t="s">
        <v>145</v>
      </c>
      <c r="F393" s="25" t="s">
        <v>144</v>
      </c>
    </row>
    <row r="394" spans="1:6">
      <c r="A394" s="22">
        <v>85325</v>
      </c>
      <c r="B394" s="24" t="s">
        <v>3519</v>
      </c>
      <c r="C394" s="24" t="s">
        <v>169</v>
      </c>
      <c r="D394" s="24" t="s">
        <v>167</v>
      </c>
      <c r="E394" s="24" t="s">
        <v>145</v>
      </c>
      <c r="F394" s="25" t="s">
        <v>202</v>
      </c>
    </row>
    <row r="395" spans="1:6">
      <c r="A395" s="22">
        <v>85400</v>
      </c>
      <c r="B395" s="24" t="s">
        <v>3520</v>
      </c>
      <c r="C395" s="24" t="s">
        <v>169</v>
      </c>
      <c r="D395" s="24" t="s">
        <v>167</v>
      </c>
      <c r="E395" s="24" t="s">
        <v>145</v>
      </c>
      <c r="F395" s="25" t="s">
        <v>230</v>
      </c>
    </row>
    <row r="396" spans="1:6">
      <c r="A396" s="22">
        <v>85410</v>
      </c>
      <c r="B396" s="24" t="s">
        <v>3521</v>
      </c>
      <c r="C396" s="24" t="s">
        <v>169</v>
      </c>
      <c r="D396" s="24" t="s">
        <v>167</v>
      </c>
      <c r="E396" s="24" t="s">
        <v>145</v>
      </c>
      <c r="F396" s="25" t="s">
        <v>202</v>
      </c>
    </row>
    <row r="397" spans="1:6">
      <c r="A397" s="22">
        <v>85430</v>
      </c>
      <c r="B397" s="24" t="s">
        <v>3522</v>
      </c>
      <c r="C397" s="24" t="s">
        <v>169</v>
      </c>
      <c r="D397" s="24" t="s">
        <v>167</v>
      </c>
      <c r="E397" s="24" t="s">
        <v>145</v>
      </c>
      <c r="F397" s="25" t="s">
        <v>202</v>
      </c>
    </row>
    <row r="398" spans="1:6">
      <c r="A398" s="22">
        <v>85001</v>
      </c>
      <c r="B398" s="24" t="s">
        <v>167</v>
      </c>
      <c r="C398" s="24" t="s">
        <v>169</v>
      </c>
      <c r="D398" s="24" t="s">
        <v>167</v>
      </c>
      <c r="E398" s="24" t="s">
        <v>145</v>
      </c>
      <c r="F398" s="25" t="s">
        <v>52</v>
      </c>
    </row>
    <row r="399" spans="1:6">
      <c r="A399" s="22">
        <v>19050</v>
      </c>
      <c r="B399" s="23" t="s">
        <v>3243</v>
      </c>
      <c r="C399" s="24" t="s">
        <v>223</v>
      </c>
      <c r="D399" s="24" t="s">
        <v>220</v>
      </c>
      <c r="E399" s="24" t="s">
        <v>145</v>
      </c>
      <c r="F399" s="25" t="s">
        <v>144</v>
      </c>
    </row>
    <row r="400" spans="1:6">
      <c r="A400" s="22">
        <v>19075</v>
      </c>
      <c r="B400" s="23" t="s">
        <v>3523</v>
      </c>
      <c r="C400" s="24" t="s">
        <v>223</v>
      </c>
      <c r="D400" s="24" t="s">
        <v>220</v>
      </c>
      <c r="E400" s="24" t="s">
        <v>145</v>
      </c>
      <c r="F400" s="25" t="s">
        <v>144</v>
      </c>
    </row>
    <row r="401" spans="1:6">
      <c r="A401" s="22">
        <v>19100</v>
      </c>
      <c r="B401" s="23" t="s">
        <v>271</v>
      </c>
      <c r="C401" s="24" t="s">
        <v>223</v>
      </c>
      <c r="D401" s="24" t="s">
        <v>220</v>
      </c>
      <c r="E401" s="24" t="s">
        <v>145</v>
      </c>
      <c r="F401" s="25" t="s">
        <v>144</v>
      </c>
    </row>
    <row r="402" spans="1:6">
      <c r="A402" s="22">
        <v>19256</v>
      </c>
      <c r="B402" s="23" t="s">
        <v>3524</v>
      </c>
      <c r="C402" s="24" t="s">
        <v>223</v>
      </c>
      <c r="D402" s="24" t="s">
        <v>220</v>
      </c>
      <c r="E402" s="24" t="s">
        <v>145</v>
      </c>
      <c r="F402" s="25" t="s">
        <v>230</v>
      </c>
    </row>
    <row r="403" spans="1:6">
      <c r="A403" s="22">
        <v>19290</v>
      </c>
      <c r="B403" s="23" t="s">
        <v>135</v>
      </c>
      <c r="C403" s="24" t="s">
        <v>223</v>
      </c>
      <c r="D403" s="24" t="s">
        <v>220</v>
      </c>
      <c r="E403" s="24" t="s">
        <v>145</v>
      </c>
      <c r="F403" s="25" t="s">
        <v>144</v>
      </c>
    </row>
    <row r="404" spans="1:6">
      <c r="A404" s="22">
        <v>19397</v>
      </c>
      <c r="B404" s="23" t="s">
        <v>3525</v>
      </c>
      <c r="C404" s="24" t="s">
        <v>223</v>
      </c>
      <c r="D404" s="24" t="s">
        <v>220</v>
      </c>
      <c r="E404" s="24" t="s">
        <v>145</v>
      </c>
      <c r="F404" s="25" t="s">
        <v>144</v>
      </c>
    </row>
    <row r="405" spans="1:6">
      <c r="A405" s="22">
        <v>19473</v>
      </c>
      <c r="B405" s="23" t="s">
        <v>3347</v>
      </c>
      <c r="C405" s="24" t="s">
        <v>223</v>
      </c>
      <c r="D405" s="24" t="s">
        <v>220</v>
      </c>
      <c r="E405" s="24" t="s">
        <v>145</v>
      </c>
      <c r="F405" s="25" t="s">
        <v>230</v>
      </c>
    </row>
    <row r="406" spans="1:6">
      <c r="A406" s="22">
        <v>19517</v>
      </c>
      <c r="B406" s="23" t="s">
        <v>3388</v>
      </c>
      <c r="C406" s="24" t="s">
        <v>223</v>
      </c>
      <c r="D406" s="24" t="s">
        <v>220</v>
      </c>
      <c r="E406" s="24" t="s">
        <v>145</v>
      </c>
      <c r="F406" s="25" t="s">
        <v>144</v>
      </c>
    </row>
    <row r="407" spans="1:6">
      <c r="A407" s="22">
        <v>19701</v>
      </c>
      <c r="B407" s="23" t="s">
        <v>3349</v>
      </c>
      <c r="C407" s="24" t="s">
        <v>223</v>
      </c>
      <c r="D407" s="24" t="s">
        <v>220</v>
      </c>
      <c r="E407" s="24" t="s">
        <v>145</v>
      </c>
      <c r="F407" s="25" t="s">
        <v>144</v>
      </c>
    </row>
    <row r="408" spans="1:6">
      <c r="A408" s="22">
        <v>19780</v>
      </c>
      <c r="B408" s="23" t="s">
        <v>3526</v>
      </c>
      <c r="C408" s="24" t="s">
        <v>223</v>
      </c>
      <c r="D408" s="24" t="s">
        <v>220</v>
      </c>
      <c r="E408" s="24" t="s">
        <v>145</v>
      </c>
      <c r="F408" s="25" t="s">
        <v>230</v>
      </c>
    </row>
    <row r="409" spans="1:6">
      <c r="A409" s="22">
        <v>19785</v>
      </c>
      <c r="B409" s="23" t="s">
        <v>373</v>
      </c>
      <c r="C409" s="24" t="s">
        <v>223</v>
      </c>
      <c r="D409" s="24" t="s">
        <v>220</v>
      </c>
      <c r="E409" s="24" t="s">
        <v>145</v>
      </c>
      <c r="F409" s="25" t="s">
        <v>144</v>
      </c>
    </row>
    <row r="410" spans="1:6">
      <c r="A410" s="22">
        <v>19022</v>
      </c>
      <c r="B410" s="24" t="s">
        <v>3527</v>
      </c>
      <c r="C410" s="24" t="s">
        <v>223</v>
      </c>
      <c r="D410" s="24" t="s">
        <v>220</v>
      </c>
      <c r="E410" s="24" t="s">
        <v>145</v>
      </c>
      <c r="F410" s="25" t="s">
        <v>144</v>
      </c>
    </row>
    <row r="411" spans="1:6">
      <c r="A411" s="22">
        <v>19110</v>
      </c>
      <c r="B411" s="24" t="s">
        <v>3528</v>
      </c>
      <c r="C411" s="24" t="s">
        <v>223</v>
      </c>
      <c r="D411" s="24" t="s">
        <v>220</v>
      </c>
      <c r="E411" s="24" t="s">
        <v>145</v>
      </c>
      <c r="F411" s="25" t="s">
        <v>202</v>
      </c>
    </row>
    <row r="412" spans="1:6">
      <c r="A412" s="22">
        <v>19130</v>
      </c>
      <c r="B412" s="24" t="s">
        <v>3529</v>
      </c>
      <c r="C412" s="24" t="s">
        <v>223</v>
      </c>
      <c r="D412" s="24" t="s">
        <v>220</v>
      </c>
      <c r="E412" s="24" t="s">
        <v>145</v>
      </c>
      <c r="F412" s="25" t="s">
        <v>230</v>
      </c>
    </row>
    <row r="413" spans="1:6">
      <c r="A413" s="22">
        <v>19137</v>
      </c>
      <c r="B413" s="24" t="s">
        <v>295</v>
      </c>
      <c r="C413" s="24" t="s">
        <v>223</v>
      </c>
      <c r="D413" s="24" t="s">
        <v>220</v>
      </c>
      <c r="E413" s="24" t="s">
        <v>145</v>
      </c>
      <c r="F413" s="25" t="s">
        <v>230</v>
      </c>
    </row>
    <row r="414" spans="1:6">
      <c r="A414" s="22">
        <v>19142</v>
      </c>
      <c r="B414" s="24" t="s">
        <v>3530</v>
      </c>
      <c r="C414" s="24" t="s">
        <v>223</v>
      </c>
      <c r="D414" s="24" t="s">
        <v>220</v>
      </c>
      <c r="E414" s="24" t="s">
        <v>145</v>
      </c>
      <c r="F414" s="25" t="s">
        <v>202</v>
      </c>
    </row>
    <row r="415" spans="1:6">
      <c r="A415" s="22">
        <v>19212</v>
      </c>
      <c r="B415" s="24" t="s">
        <v>224</v>
      </c>
      <c r="C415" s="24" t="s">
        <v>223</v>
      </c>
      <c r="D415" s="24" t="s">
        <v>220</v>
      </c>
      <c r="E415" s="24" t="s">
        <v>145</v>
      </c>
      <c r="F415" s="25" t="s">
        <v>230</v>
      </c>
    </row>
    <row r="416" spans="1:6">
      <c r="A416" s="22">
        <v>19300</v>
      </c>
      <c r="B416" s="24" t="s">
        <v>3531</v>
      </c>
      <c r="C416" s="24" t="s">
        <v>223</v>
      </c>
      <c r="D416" s="24" t="s">
        <v>220</v>
      </c>
      <c r="E416" s="24" t="s">
        <v>145</v>
      </c>
      <c r="F416" s="25" t="s">
        <v>202</v>
      </c>
    </row>
    <row r="417" spans="1:6">
      <c r="A417" s="22">
        <v>19318</v>
      </c>
      <c r="B417" s="24" t="s">
        <v>3532</v>
      </c>
      <c r="C417" s="24" t="s">
        <v>223</v>
      </c>
      <c r="D417" s="24" t="s">
        <v>220</v>
      </c>
      <c r="E417" s="24" t="s">
        <v>1369</v>
      </c>
      <c r="F417" s="25" t="s">
        <v>160</v>
      </c>
    </row>
    <row r="418" spans="1:6">
      <c r="A418" s="22">
        <v>19355</v>
      </c>
      <c r="B418" s="24" t="s">
        <v>3533</v>
      </c>
      <c r="C418" s="24" t="s">
        <v>223</v>
      </c>
      <c r="D418" s="24" t="s">
        <v>220</v>
      </c>
      <c r="E418" s="24" t="s">
        <v>145</v>
      </c>
      <c r="F418" s="25" t="s">
        <v>144</v>
      </c>
    </row>
    <row r="419" spans="1:6">
      <c r="A419" s="22">
        <v>19364</v>
      </c>
      <c r="B419" s="24" t="s">
        <v>3534</v>
      </c>
      <c r="C419" s="24" t="s">
        <v>223</v>
      </c>
      <c r="D419" s="24" t="s">
        <v>220</v>
      </c>
      <c r="E419" s="24" t="s">
        <v>145</v>
      </c>
      <c r="F419" s="25" t="s">
        <v>230</v>
      </c>
    </row>
    <row r="420" spans="1:6">
      <c r="A420" s="22">
        <v>19392</v>
      </c>
      <c r="B420" s="24" t="s">
        <v>3535</v>
      </c>
      <c r="C420" s="24" t="s">
        <v>223</v>
      </c>
      <c r="D420" s="24" t="s">
        <v>220</v>
      </c>
      <c r="E420" s="24" t="s">
        <v>145</v>
      </c>
      <c r="F420" s="25" t="s">
        <v>230</v>
      </c>
    </row>
    <row r="421" spans="1:6">
      <c r="A421" s="22">
        <v>19418</v>
      </c>
      <c r="B421" s="24" t="s">
        <v>3536</v>
      </c>
      <c r="C421" s="24" t="s">
        <v>223</v>
      </c>
      <c r="D421" s="24" t="s">
        <v>220</v>
      </c>
      <c r="E421" s="24" t="s">
        <v>145</v>
      </c>
      <c r="F421" s="25" t="s">
        <v>144</v>
      </c>
    </row>
    <row r="422" spans="1:6">
      <c r="A422" s="22">
        <v>19450</v>
      </c>
      <c r="B422" s="24" t="s">
        <v>3537</v>
      </c>
      <c r="C422" s="24" t="s">
        <v>223</v>
      </c>
      <c r="D422" s="24" t="s">
        <v>220</v>
      </c>
      <c r="E422" s="24" t="s">
        <v>145</v>
      </c>
      <c r="F422" s="25" t="s">
        <v>144</v>
      </c>
    </row>
    <row r="423" spans="1:6">
      <c r="A423" s="22">
        <v>19455</v>
      </c>
      <c r="B423" s="24" t="s">
        <v>1092</v>
      </c>
      <c r="C423" s="24" t="s">
        <v>223</v>
      </c>
      <c r="D423" s="24" t="s">
        <v>220</v>
      </c>
      <c r="E423" s="24" t="s">
        <v>145</v>
      </c>
      <c r="F423" s="25" t="s">
        <v>230</v>
      </c>
    </row>
    <row r="424" spans="1:6">
      <c r="A424" s="22">
        <v>19513</v>
      </c>
      <c r="B424" s="24" t="s">
        <v>3538</v>
      </c>
      <c r="C424" s="24" t="s">
        <v>223</v>
      </c>
      <c r="D424" s="24" t="s">
        <v>220</v>
      </c>
      <c r="E424" s="24" t="s">
        <v>145</v>
      </c>
      <c r="F424" s="25" t="s">
        <v>202</v>
      </c>
    </row>
    <row r="425" spans="1:6">
      <c r="A425" s="22">
        <v>19532</v>
      </c>
      <c r="B425" s="24" t="s">
        <v>540</v>
      </c>
      <c r="C425" s="24" t="s">
        <v>223</v>
      </c>
      <c r="D425" s="24" t="s">
        <v>220</v>
      </c>
      <c r="E425" s="24" t="s">
        <v>145</v>
      </c>
      <c r="F425" s="25" t="s">
        <v>144</v>
      </c>
    </row>
    <row r="426" spans="1:6">
      <c r="A426" s="22">
        <v>19533</v>
      </c>
      <c r="B426" s="24" t="s">
        <v>3539</v>
      </c>
      <c r="C426" s="24" t="s">
        <v>223</v>
      </c>
      <c r="D426" s="24" t="s">
        <v>151</v>
      </c>
      <c r="E426" s="24" t="s">
        <v>278</v>
      </c>
      <c r="F426" s="25" t="s">
        <v>160</v>
      </c>
    </row>
    <row r="427" spans="1:6">
      <c r="A427" s="22">
        <v>19548</v>
      </c>
      <c r="B427" s="24" t="s">
        <v>3540</v>
      </c>
      <c r="C427" s="24" t="s">
        <v>223</v>
      </c>
      <c r="D427" s="24" t="s">
        <v>220</v>
      </c>
      <c r="E427" s="24" t="s">
        <v>145</v>
      </c>
      <c r="F427" s="25" t="s">
        <v>230</v>
      </c>
    </row>
    <row r="428" spans="1:6">
      <c r="A428" s="22">
        <v>19001</v>
      </c>
      <c r="B428" s="24" t="s">
        <v>1344</v>
      </c>
      <c r="C428" s="24" t="s">
        <v>223</v>
      </c>
      <c r="D428" s="24" t="s">
        <v>220</v>
      </c>
      <c r="E428" s="24" t="s">
        <v>145</v>
      </c>
      <c r="F428" s="25" t="s">
        <v>230</v>
      </c>
    </row>
    <row r="429" spans="1:6">
      <c r="A429" s="22">
        <v>19573</v>
      </c>
      <c r="B429" s="24" t="s">
        <v>2275</v>
      </c>
      <c r="C429" s="24" t="s">
        <v>223</v>
      </c>
      <c r="D429" s="24" t="s">
        <v>220</v>
      </c>
      <c r="E429" s="24" t="s">
        <v>145</v>
      </c>
      <c r="F429" s="25" t="s">
        <v>202</v>
      </c>
    </row>
    <row r="430" spans="1:6">
      <c r="A430" s="22">
        <v>19585</v>
      </c>
      <c r="B430" s="24" t="s">
        <v>3541</v>
      </c>
      <c r="C430" s="24" t="s">
        <v>223</v>
      </c>
      <c r="D430" s="24" t="s">
        <v>220</v>
      </c>
      <c r="E430" s="24" t="s">
        <v>145</v>
      </c>
      <c r="F430" s="25" t="s">
        <v>144</v>
      </c>
    </row>
    <row r="431" spans="1:6">
      <c r="A431" s="22">
        <v>19622</v>
      </c>
      <c r="B431" s="24" t="s">
        <v>3542</v>
      </c>
      <c r="C431" s="24" t="s">
        <v>223</v>
      </c>
      <c r="D431" s="24" t="s">
        <v>220</v>
      </c>
      <c r="E431" s="24" t="s">
        <v>145</v>
      </c>
      <c r="F431" s="25" t="s">
        <v>230</v>
      </c>
    </row>
    <row r="432" spans="1:6">
      <c r="A432" s="22">
        <v>19693</v>
      </c>
      <c r="B432" s="24" t="s">
        <v>3543</v>
      </c>
      <c r="C432" s="24" t="s">
        <v>223</v>
      </c>
      <c r="D432" s="24" t="s">
        <v>220</v>
      </c>
      <c r="E432" s="24" t="s">
        <v>145</v>
      </c>
      <c r="F432" s="25" t="s">
        <v>144</v>
      </c>
    </row>
    <row r="433" spans="1:6">
      <c r="A433" s="22">
        <v>19698</v>
      </c>
      <c r="B433" s="24" t="s">
        <v>2379</v>
      </c>
      <c r="C433" s="24" t="s">
        <v>223</v>
      </c>
      <c r="D433" s="24" t="s">
        <v>220</v>
      </c>
      <c r="E433" s="24" t="s">
        <v>145</v>
      </c>
      <c r="F433" s="25" t="s">
        <v>202</v>
      </c>
    </row>
    <row r="434" spans="1:6">
      <c r="A434" s="22">
        <v>19743</v>
      </c>
      <c r="B434" s="24" t="s">
        <v>3544</v>
      </c>
      <c r="C434" s="24" t="s">
        <v>223</v>
      </c>
      <c r="D434" s="24" t="s">
        <v>220</v>
      </c>
      <c r="E434" s="24" t="s">
        <v>145</v>
      </c>
      <c r="F434" s="25" t="s">
        <v>230</v>
      </c>
    </row>
    <row r="435" spans="1:6">
      <c r="A435" s="22">
        <v>19760</v>
      </c>
      <c r="B435" s="24" t="s">
        <v>3545</v>
      </c>
      <c r="C435" s="24" t="s">
        <v>223</v>
      </c>
      <c r="D435" s="24" t="s">
        <v>220</v>
      </c>
      <c r="E435" s="24" t="s">
        <v>145</v>
      </c>
      <c r="F435" s="25" t="s">
        <v>230</v>
      </c>
    </row>
    <row r="436" spans="1:6">
      <c r="A436" s="22">
        <v>19807</v>
      </c>
      <c r="B436" s="24" t="s">
        <v>3546</v>
      </c>
      <c r="C436" s="24" t="s">
        <v>223</v>
      </c>
      <c r="D436" s="24" t="s">
        <v>220</v>
      </c>
      <c r="E436" s="24" t="s">
        <v>145</v>
      </c>
      <c r="F436" s="25" t="s">
        <v>230</v>
      </c>
    </row>
    <row r="437" spans="1:6">
      <c r="A437" s="22">
        <v>19809</v>
      </c>
      <c r="B437" s="24" t="s">
        <v>3547</v>
      </c>
      <c r="C437" s="24" t="s">
        <v>223</v>
      </c>
      <c r="D437" s="24" t="s">
        <v>220</v>
      </c>
      <c r="E437" s="24" t="s">
        <v>1369</v>
      </c>
      <c r="F437" s="25" t="s">
        <v>160</v>
      </c>
    </row>
    <row r="438" spans="1:6">
      <c r="A438" s="22">
        <v>19821</v>
      </c>
      <c r="B438" s="24" t="s">
        <v>3548</v>
      </c>
      <c r="C438" s="24" t="s">
        <v>223</v>
      </c>
      <c r="D438" s="24" t="s">
        <v>220</v>
      </c>
      <c r="E438" s="24" t="s">
        <v>145</v>
      </c>
      <c r="F438" s="25" t="s">
        <v>230</v>
      </c>
    </row>
    <row r="439" spans="1:6">
      <c r="A439" s="22">
        <v>19824</v>
      </c>
      <c r="B439" s="24" t="s">
        <v>3549</v>
      </c>
      <c r="C439" s="24" t="s">
        <v>223</v>
      </c>
      <c r="D439" s="24" t="s">
        <v>220</v>
      </c>
      <c r="E439" s="24" t="s">
        <v>145</v>
      </c>
      <c r="F439" s="25" t="s">
        <v>230</v>
      </c>
    </row>
    <row r="440" spans="1:6">
      <c r="A440" s="22">
        <v>19845</v>
      </c>
      <c r="B440" s="24" t="s">
        <v>473</v>
      </c>
      <c r="C440" s="24" t="s">
        <v>223</v>
      </c>
      <c r="D440" s="24" t="s">
        <v>220</v>
      </c>
      <c r="E440" s="24" t="s">
        <v>145</v>
      </c>
      <c r="F440" s="25" t="s">
        <v>144</v>
      </c>
    </row>
    <row r="441" spans="1:6">
      <c r="A441" s="22">
        <v>20621</v>
      </c>
      <c r="B441" s="23" t="s">
        <v>1868</v>
      </c>
      <c r="C441" s="24" t="s">
        <v>401</v>
      </c>
      <c r="D441" s="24" t="s">
        <v>399</v>
      </c>
      <c r="E441" s="24" t="s">
        <v>145</v>
      </c>
      <c r="F441" s="25" t="s">
        <v>202</v>
      </c>
    </row>
    <row r="442" spans="1:6">
      <c r="A442" s="22">
        <v>20443</v>
      </c>
      <c r="B442" s="23" t="s">
        <v>3550</v>
      </c>
      <c r="C442" s="24" t="s">
        <v>401</v>
      </c>
      <c r="D442" s="24" t="s">
        <v>399</v>
      </c>
      <c r="E442" s="24" t="s">
        <v>145</v>
      </c>
      <c r="F442" s="25" t="s">
        <v>202</v>
      </c>
    </row>
    <row r="443" spans="1:6">
      <c r="A443" s="22">
        <v>20770</v>
      </c>
      <c r="B443" s="23" t="s">
        <v>3551</v>
      </c>
      <c r="C443" s="24" t="s">
        <v>401</v>
      </c>
      <c r="D443" s="24" t="s">
        <v>269</v>
      </c>
      <c r="E443" s="24" t="s">
        <v>145</v>
      </c>
      <c r="F443" s="25" t="s">
        <v>230</v>
      </c>
    </row>
    <row r="444" spans="1:6">
      <c r="A444" s="22">
        <v>20011</v>
      </c>
      <c r="B444" s="24" t="s">
        <v>402</v>
      </c>
      <c r="C444" s="24" t="s">
        <v>401</v>
      </c>
      <c r="D444" s="24" t="s">
        <v>399</v>
      </c>
      <c r="E444" s="24" t="s">
        <v>145</v>
      </c>
      <c r="F444" s="25" t="s">
        <v>144</v>
      </c>
    </row>
    <row r="445" spans="1:6">
      <c r="A445" s="22">
        <v>20013</v>
      </c>
      <c r="B445" s="24" t="s">
        <v>3552</v>
      </c>
      <c r="C445" s="24" t="s">
        <v>401</v>
      </c>
      <c r="D445" s="24" t="s">
        <v>399</v>
      </c>
      <c r="E445" s="24" t="s">
        <v>145</v>
      </c>
      <c r="F445" s="25" t="s">
        <v>202</v>
      </c>
    </row>
    <row r="446" spans="1:6">
      <c r="A446" s="22">
        <v>20032</v>
      </c>
      <c r="B446" s="24" t="s">
        <v>3553</v>
      </c>
      <c r="C446" s="24" t="s">
        <v>401</v>
      </c>
      <c r="D446" s="24" t="s">
        <v>399</v>
      </c>
      <c r="E446" s="24" t="s">
        <v>145</v>
      </c>
      <c r="F446" s="25" t="s">
        <v>230</v>
      </c>
    </row>
    <row r="447" spans="1:6">
      <c r="A447" s="22">
        <v>20045</v>
      </c>
      <c r="B447" s="24" t="s">
        <v>2689</v>
      </c>
      <c r="C447" s="24" t="s">
        <v>401</v>
      </c>
      <c r="D447" s="24" t="s">
        <v>399</v>
      </c>
      <c r="E447" s="24" t="s">
        <v>145</v>
      </c>
      <c r="F447" s="25" t="s">
        <v>202</v>
      </c>
    </row>
    <row r="448" spans="1:6">
      <c r="A448" s="22">
        <v>20060</v>
      </c>
      <c r="B448" s="24" t="s">
        <v>3554</v>
      </c>
      <c r="C448" s="24" t="s">
        <v>401</v>
      </c>
      <c r="D448" s="24" t="s">
        <v>399</v>
      </c>
      <c r="E448" s="24" t="s">
        <v>145</v>
      </c>
      <c r="F448" s="25" t="s">
        <v>202</v>
      </c>
    </row>
    <row r="449" spans="1:6">
      <c r="A449" s="22">
        <v>20175</v>
      </c>
      <c r="B449" s="24" t="s">
        <v>3555</v>
      </c>
      <c r="C449" s="24" t="s">
        <v>401</v>
      </c>
      <c r="D449" s="24" t="s">
        <v>399</v>
      </c>
      <c r="E449" s="24" t="s">
        <v>145</v>
      </c>
      <c r="F449" s="25" t="s">
        <v>144</v>
      </c>
    </row>
    <row r="450" spans="1:6">
      <c r="A450" s="22">
        <v>20178</v>
      </c>
      <c r="B450" s="24" t="s">
        <v>3556</v>
      </c>
      <c r="C450" s="24" t="s">
        <v>401</v>
      </c>
      <c r="D450" s="24" t="s">
        <v>399</v>
      </c>
      <c r="E450" s="24" t="s">
        <v>145</v>
      </c>
      <c r="F450" s="25" t="s">
        <v>230</v>
      </c>
    </row>
    <row r="451" spans="1:6">
      <c r="A451" s="22">
        <v>20228</v>
      </c>
      <c r="B451" s="24" t="s">
        <v>3557</v>
      </c>
      <c r="C451" s="24" t="s">
        <v>401</v>
      </c>
      <c r="D451" s="24" t="s">
        <v>399</v>
      </c>
      <c r="E451" s="24" t="s">
        <v>145</v>
      </c>
      <c r="F451" s="25" t="s">
        <v>230</v>
      </c>
    </row>
    <row r="452" spans="1:6">
      <c r="A452" s="22">
        <v>20238</v>
      </c>
      <c r="B452" s="24" t="s">
        <v>3558</v>
      </c>
      <c r="C452" s="24" t="s">
        <v>401</v>
      </c>
      <c r="D452" s="24" t="s">
        <v>399</v>
      </c>
      <c r="E452" s="24" t="s">
        <v>145</v>
      </c>
      <c r="F452" s="25" t="s">
        <v>202</v>
      </c>
    </row>
    <row r="453" spans="1:6">
      <c r="A453" s="22">
        <v>20250</v>
      </c>
      <c r="B453" s="24" t="s">
        <v>3559</v>
      </c>
      <c r="C453" s="24" t="s">
        <v>401</v>
      </c>
      <c r="D453" s="24" t="s">
        <v>399</v>
      </c>
      <c r="E453" s="24" t="s">
        <v>145</v>
      </c>
      <c r="F453" s="25" t="s">
        <v>230</v>
      </c>
    </row>
    <row r="454" spans="1:6">
      <c r="A454" s="22">
        <v>20295</v>
      </c>
      <c r="B454" s="24" t="s">
        <v>3560</v>
      </c>
      <c r="C454" s="24" t="s">
        <v>401</v>
      </c>
      <c r="D454" s="24" t="s">
        <v>399</v>
      </c>
      <c r="E454" s="24" t="s">
        <v>145</v>
      </c>
      <c r="F454" s="25" t="s">
        <v>144</v>
      </c>
    </row>
    <row r="455" spans="1:6">
      <c r="A455" s="22">
        <v>20310</v>
      </c>
      <c r="B455" s="24" t="s">
        <v>3561</v>
      </c>
      <c r="C455" s="24" t="s">
        <v>401</v>
      </c>
      <c r="D455" s="24" t="s">
        <v>399</v>
      </c>
      <c r="E455" s="24" t="s">
        <v>145</v>
      </c>
      <c r="F455" s="25" t="s">
        <v>144</v>
      </c>
    </row>
    <row r="456" spans="1:6">
      <c r="A456" s="22">
        <v>20383</v>
      </c>
      <c r="B456" s="24" t="s">
        <v>3562</v>
      </c>
      <c r="C456" s="24" t="s">
        <v>401</v>
      </c>
      <c r="D456" s="24" t="s">
        <v>399</v>
      </c>
      <c r="E456" s="24" t="s">
        <v>145</v>
      </c>
      <c r="F456" s="25" t="s">
        <v>144</v>
      </c>
    </row>
    <row r="457" spans="1:6">
      <c r="A457" s="22">
        <v>20400</v>
      </c>
      <c r="B457" s="24" t="s">
        <v>3563</v>
      </c>
      <c r="C457" s="24" t="s">
        <v>401</v>
      </c>
      <c r="D457" s="24" t="s">
        <v>399</v>
      </c>
      <c r="E457" s="24" t="s">
        <v>145</v>
      </c>
      <c r="F457" s="25" t="s">
        <v>230</v>
      </c>
    </row>
    <row r="458" spans="1:6">
      <c r="A458" s="22">
        <v>20517</v>
      </c>
      <c r="B458" s="24" t="s">
        <v>3564</v>
      </c>
      <c r="C458" s="24" t="s">
        <v>401</v>
      </c>
      <c r="D458" s="24" t="s">
        <v>399</v>
      </c>
      <c r="E458" s="24" t="s">
        <v>145</v>
      </c>
      <c r="F458" s="25" t="s">
        <v>144</v>
      </c>
    </row>
    <row r="459" spans="1:6">
      <c r="A459" s="22">
        <v>20550</v>
      </c>
      <c r="B459" s="24" t="s">
        <v>3565</v>
      </c>
      <c r="C459" s="24" t="s">
        <v>401</v>
      </c>
      <c r="D459" s="24" t="s">
        <v>399</v>
      </c>
      <c r="E459" s="24" t="s">
        <v>145</v>
      </c>
      <c r="F459" s="25" t="s">
        <v>144</v>
      </c>
    </row>
    <row r="460" spans="1:6">
      <c r="A460" s="22">
        <v>20570</v>
      </c>
      <c r="B460" s="24" t="s">
        <v>1996</v>
      </c>
      <c r="C460" s="24" t="s">
        <v>401</v>
      </c>
      <c r="D460" s="24" t="s">
        <v>399</v>
      </c>
      <c r="E460" s="24" t="s">
        <v>145</v>
      </c>
      <c r="F460" s="25" t="s">
        <v>230</v>
      </c>
    </row>
    <row r="461" spans="1:6">
      <c r="A461" s="22">
        <v>20614</v>
      </c>
      <c r="B461" s="24" t="s">
        <v>3566</v>
      </c>
      <c r="C461" s="24" t="s">
        <v>401</v>
      </c>
      <c r="D461" s="24" t="s">
        <v>399</v>
      </c>
      <c r="E461" s="24" t="s">
        <v>145</v>
      </c>
      <c r="F461" s="25" t="s">
        <v>144</v>
      </c>
    </row>
    <row r="462" spans="1:6">
      <c r="A462" s="22">
        <v>20710</v>
      </c>
      <c r="B462" s="24" t="s">
        <v>2313</v>
      </c>
      <c r="C462" s="24" t="s">
        <v>401</v>
      </c>
      <c r="D462" s="24" t="s">
        <v>269</v>
      </c>
      <c r="E462" s="24" t="s">
        <v>145</v>
      </c>
      <c r="F462" s="25" t="s">
        <v>230</v>
      </c>
    </row>
    <row r="463" spans="1:6">
      <c r="A463" s="22">
        <v>20750</v>
      </c>
      <c r="B463" s="24" t="s">
        <v>2468</v>
      </c>
      <c r="C463" s="24" t="s">
        <v>401</v>
      </c>
      <c r="D463" s="24" t="s">
        <v>399</v>
      </c>
      <c r="E463" s="24" t="s">
        <v>145</v>
      </c>
      <c r="F463" s="25" t="s">
        <v>202</v>
      </c>
    </row>
    <row r="464" spans="1:6">
      <c r="A464" s="22">
        <v>20787</v>
      </c>
      <c r="B464" s="24" t="s">
        <v>3214</v>
      </c>
      <c r="C464" s="24" t="s">
        <v>401</v>
      </c>
      <c r="D464" s="24" t="s">
        <v>399</v>
      </c>
      <c r="E464" s="24" t="s">
        <v>145</v>
      </c>
      <c r="F464" s="25" t="s">
        <v>144</v>
      </c>
    </row>
    <row r="465" spans="1:6">
      <c r="A465" s="22">
        <v>20001</v>
      </c>
      <c r="B465" s="24" t="s">
        <v>399</v>
      </c>
      <c r="C465" s="24" t="s">
        <v>401</v>
      </c>
      <c r="D465" s="24" t="s">
        <v>399</v>
      </c>
      <c r="E465" s="24" t="s">
        <v>145</v>
      </c>
      <c r="F465" s="25" t="s">
        <v>52</v>
      </c>
    </row>
    <row r="466" spans="1:6">
      <c r="A466" s="22">
        <v>27615</v>
      </c>
      <c r="B466" s="23" t="s">
        <v>1661</v>
      </c>
      <c r="C466" s="24" t="s">
        <v>1362</v>
      </c>
      <c r="D466" s="24" t="s">
        <v>608</v>
      </c>
      <c r="E466" s="24" t="s">
        <v>278</v>
      </c>
      <c r="F466" s="25" t="s">
        <v>160</v>
      </c>
    </row>
    <row r="467" spans="1:6">
      <c r="A467" s="22">
        <v>27006</v>
      </c>
      <c r="B467" s="24" t="s">
        <v>1655</v>
      </c>
      <c r="C467" s="24" t="s">
        <v>1362</v>
      </c>
      <c r="D467" s="24" t="s">
        <v>608</v>
      </c>
      <c r="E467" s="24" t="s">
        <v>1369</v>
      </c>
      <c r="F467" s="25" t="s">
        <v>160</v>
      </c>
    </row>
    <row r="468" spans="1:6">
      <c r="A468" s="22">
        <v>27025</v>
      </c>
      <c r="B468" s="24" t="s">
        <v>3567</v>
      </c>
      <c r="C468" s="24" t="s">
        <v>1362</v>
      </c>
      <c r="D468" s="24" t="s">
        <v>175</v>
      </c>
      <c r="E468" s="24" t="s">
        <v>1369</v>
      </c>
      <c r="F468" s="25" t="s">
        <v>160</v>
      </c>
    </row>
    <row r="469" spans="1:6">
      <c r="A469" s="22">
        <v>27050</v>
      </c>
      <c r="B469" s="24" t="s">
        <v>3568</v>
      </c>
      <c r="C469" s="24" t="s">
        <v>1362</v>
      </c>
      <c r="D469" s="24" t="s">
        <v>608</v>
      </c>
      <c r="E469" s="24" t="s">
        <v>3508</v>
      </c>
      <c r="F469" s="25" t="s">
        <v>160</v>
      </c>
    </row>
    <row r="470" spans="1:6">
      <c r="A470" s="22">
        <v>27073</v>
      </c>
      <c r="B470" s="24" t="s">
        <v>3569</v>
      </c>
      <c r="C470" s="24" t="s">
        <v>1362</v>
      </c>
      <c r="D470" s="24" t="s">
        <v>175</v>
      </c>
      <c r="E470" s="24" t="s">
        <v>1369</v>
      </c>
      <c r="F470" s="25" t="s">
        <v>160</v>
      </c>
    </row>
    <row r="471" spans="1:6">
      <c r="A471" s="22">
        <v>27075</v>
      </c>
      <c r="B471" s="24" t="s">
        <v>3570</v>
      </c>
      <c r="C471" s="24" t="s">
        <v>1362</v>
      </c>
      <c r="D471" s="24" t="s">
        <v>175</v>
      </c>
      <c r="E471" s="24" t="s">
        <v>1369</v>
      </c>
      <c r="F471" s="25" t="s">
        <v>160</v>
      </c>
    </row>
    <row r="472" spans="1:6">
      <c r="A472" s="22">
        <v>27077</v>
      </c>
      <c r="B472" s="24" t="s">
        <v>1363</v>
      </c>
      <c r="C472" s="24" t="s">
        <v>1362</v>
      </c>
      <c r="D472" s="24" t="s">
        <v>608</v>
      </c>
      <c r="E472" s="24" t="s">
        <v>1369</v>
      </c>
      <c r="F472" s="25" t="s">
        <v>160</v>
      </c>
    </row>
    <row r="473" spans="1:6">
      <c r="A473" s="22">
        <v>27086</v>
      </c>
      <c r="B473" s="24" t="s">
        <v>3571</v>
      </c>
      <c r="C473" s="24" t="s">
        <v>1362</v>
      </c>
      <c r="D473" s="24" t="s">
        <v>608</v>
      </c>
      <c r="E473" s="24" t="s">
        <v>145</v>
      </c>
      <c r="F473" s="25" t="s">
        <v>144</v>
      </c>
    </row>
    <row r="474" spans="1:6">
      <c r="A474" s="22">
        <v>27099</v>
      </c>
      <c r="B474" s="24" t="s">
        <v>3572</v>
      </c>
      <c r="C474" s="24" t="s">
        <v>1362</v>
      </c>
      <c r="D474" s="24" t="s">
        <v>175</v>
      </c>
      <c r="E474" s="24" t="s">
        <v>1369</v>
      </c>
      <c r="F474" s="25" t="s">
        <v>160</v>
      </c>
    </row>
    <row r="475" spans="1:6">
      <c r="A475" s="22">
        <v>27150</v>
      </c>
      <c r="B475" s="24" t="s">
        <v>3573</v>
      </c>
      <c r="C475" s="24" t="s">
        <v>1362</v>
      </c>
      <c r="D475" s="24" t="s">
        <v>608</v>
      </c>
      <c r="E475" s="24" t="s">
        <v>145</v>
      </c>
      <c r="F475" s="25" t="s">
        <v>144</v>
      </c>
    </row>
    <row r="476" spans="1:6">
      <c r="A476" s="22">
        <v>27160</v>
      </c>
      <c r="B476" s="24" t="s">
        <v>3574</v>
      </c>
      <c r="C476" s="24" t="s">
        <v>1362</v>
      </c>
      <c r="D476" s="24" t="s">
        <v>608</v>
      </c>
      <c r="E476" s="24" t="s">
        <v>145</v>
      </c>
      <c r="F476" s="25" t="s">
        <v>144</v>
      </c>
    </row>
    <row r="477" spans="1:6">
      <c r="A477" s="22">
        <v>27205</v>
      </c>
      <c r="B477" s="24" t="s">
        <v>3575</v>
      </c>
      <c r="C477" s="24" t="s">
        <v>1362</v>
      </c>
      <c r="D477" s="24" t="s">
        <v>175</v>
      </c>
      <c r="E477" s="24" t="s">
        <v>1369</v>
      </c>
      <c r="F477" s="25" t="s">
        <v>160</v>
      </c>
    </row>
    <row r="478" spans="1:6">
      <c r="A478" s="22">
        <v>27135</v>
      </c>
      <c r="B478" s="24" t="s">
        <v>3576</v>
      </c>
      <c r="C478" s="24" t="s">
        <v>1362</v>
      </c>
      <c r="D478" s="24" t="s">
        <v>608</v>
      </c>
      <c r="E478" s="24" t="s">
        <v>145</v>
      </c>
      <c r="F478" s="25" t="s">
        <v>144</v>
      </c>
    </row>
    <row r="479" spans="1:6">
      <c r="A479" s="22">
        <v>27245</v>
      </c>
      <c r="B479" s="24" t="s">
        <v>2989</v>
      </c>
      <c r="C479" s="24" t="s">
        <v>1362</v>
      </c>
      <c r="D479" s="24" t="s">
        <v>175</v>
      </c>
      <c r="E479" s="24" t="s">
        <v>145</v>
      </c>
      <c r="F479" s="25" t="s">
        <v>144</v>
      </c>
    </row>
    <row r="480" spans="1:6">
      <c r="A480" s="22">
        <v>27250</v>
      </c>
      <c r="B480" s="24" t="s">
        <v>3577</v>
      </c>
      <c r="C480" s="24" t="s">
        <v>1362</v>
      </c>
      <c r="D480" s="24" t="s">
        <v>220</v>
      </c>
      <c r="E480" s="24" t="s">
        <v>3578</v>
      </c>
      <c r="F480" s="25" t="s">
        <v>160</v>
      </c>
    </row>
    <row r="481" spans="1:6">
      <c r="A481" s="22">
        <v>27361</v>
      </c>
      <c r="B481" s="24" t="s">
        <v>2405</v>
      </c>
      <c r="C481" s="24" t="s">
        <v>1362</v>
      </c>
      <c r="D481" s="24" t="s">
        <v>175</v>
      </c>
      <c r="E481" s="24" t="s">
        <v>1369</v>
      </c>
      <c r="F481" s="25" t="s">
        <v>160</v>
      </c>
    </row>
    <row r="482" spans="1:6">
      <c r="A482" s="22">
        <v>27372</v>
      </c>
      <c r="B482" s="24" t="s">
        <v>3579</v>
      </c>
      <c r="C482" s="24" t="s">
        <v>1362</v>
      </c>
      <c r="D482" s="24" t="s">
        <v>608</v>
      </c>
      <c r="E482" s="24" t="s">
        <v>161</v>
      </c>
      <c r="F482" s="25" t="s">
        <v>160</v>
      </c>
    </row>
    <row r="483" spans="1:6">
      <c r="A483" s="22">
        <v>27413</v>
      </c>
      <c r="B483" s="24" t="s">
        <v>2181</v>
      </c>
      <c r="C483" s="24" t="s">
        <v>1362</v>
      </c>
      <c r="D483" s="24" t="s">
        <v>608</v>
      </c>
      <c r="E483" s="24" t="s">
        <v>145</v>
      </c>
      <c r="F483" s="25" t="s">
        <v>144</v>
      </c>
    </row>
    <row r="484" spans="1:6">
      <c r="A484" s="22">
        <v>27425</v>
      </c>
      <c r="B484" s="24" t="s">
        <v>3580</v>
      </c>
      <c r="C484" s="24" t="s">
        <v>1362</v>
      </c>
      <c r="D484" s="24" t="s">
        <v>608</v>
      </c>
      <c r="E484" s="24" t="s">
        <v>145</v>
      </c>
      <c r="F484" s="25" t="s">
        <v>144</v>
      </c>
    </row>
    <row r="485" spans="1:6">
      <c r="A485" s="22">
        <v>27430</v>
      </c>
      <c r="B485" s="24" t="s">
        <v>3581</v>
      </c>
      <c r="C485" s="24" t="s">
        <v>1362</v>
      </c>
      <c r="D485" s="24" t="s">
        <v>608</v>
      </c>
      <c r="E485" s="24" t="s">
        <v>145</v>
      </c>
      <c r="F485" s="25" t="s">
        <v>144</v>
      </c>
    </row>
    <row r="486" spans="1:6">
      <c r="A486" s="22">
        <v>27450</v>
      </c>
      <c r="B486" s="24" t="s">
        <v>3582</v>
      </c>
      <c r="C486" s="24" t="s">
        <v>1362</v>
      </c>
      <c r="D486" s="24" t="s">
        <v>608</v>
      </c>
      <c r="E486" s="24" t="s">
        <v>145</v>
      </c>
      <c r="F486" s="25" t="s">
        <v>144</v>
      </c>
    </row>
    <row r="487" spans="1:6">
      <c r="A487" s="22">
        <v>27491</v>
      </c>
      <c r="B487" s="24" t="s">
        <v>3583</v>
      </c>
      <c r="C487" s="24" t="s">
        <v>1362</v>
      </c>
      <c r="D487" s="24" t="s">
        <v>175</v>
      </c>
      <c r="E487" s="24" t="s">
        <v>1369</v>
      </c>
      <c r="F487" s="25" t="s">
        <v>160</v>
      </c>
    </row>
    <row r="488" spans="1:6">
      <c r="A488" s="22">
        <v>27495</v>
      </c>
      <c r="B488" s="24" t="s">
        <v>3584</v>
      </c>
      <c r="C488" s="24" t="s">
        <v>1362</v>
      </c>
      <c r="D488" s="24" t="s">
        <v>175</v>
      </c>
      <c r="E488" s="24" t="s">
        <v>1369</v>
      </c>
      <c r="F488" s="25" t="s">
        <v>160</v>
      </c>
    </row>
    <row r="489" spans="1:6">
      <c r="A489" s="22">
        <v>27001</v>
      </c>
      <c r="B489" s="24" t="s">
        <v>3585</v>
      </c>
      <c r="C489" s="24" t="s">
        <v>1362</v>
      </c>
      <c r="D489" s="24" t="s">
        <v>175</v>
      </c>
      <c r="E489" s="24" t="s">
        <v>1369</v>
      </c>
      <c r="F489" s="25" t="s">
        <v>160</v>
      </c>
    </row>
    <row r="490" spans="1:6">
      <c r="A490" s="22">
        <v>27580</v>
      </c>
      <c r="B490" s="24" t="s">
        <v>3586</v>
      </c>
      <c r="C490" s="24" t="s">
        <v>1362</v>
      </c>
      <c r="D490" s="24" t="s">
        <v>608</v>
      </c>
      <c r="E490" s="24" t="s">
        <v>145</v>
      </c>
      <c r="F490" s="25" t="s">
        <v>144</v>
      </c>
    </row>
    <row r="491" spans="1:6">
      <c r="A491" s="22">
        <v>27600</v>
      </c>
      <c r="B491" s="24" t="s">
        <v>3587</v>
      </c>
      <c r="C491" s="24" t="s">
        <v>1362</v>
      </c>
      <c r="D491" s="24" t="s">
        <v>175</v>
      </c>
      <c r="E491" s="24" t="s">
        <v>1369</v>
      </c>
      <c r="F491" s="25" t="s">
        <v>160</v>
      </c>
    </row>
    <row r="492" spans="1:6">
      <c r="A492" s="22">
        <v>27660</v>
      </c>
      <c r="B492" s="24" t="s">
        <v>3588</v>
      </c>
      <c r="C492" s="24" t="s">
        <v>1362</v>
      </c>
      <c r="D492" s="24" t="s">
        <v>453</v>
      </c>
      <c r="E492" s="24" t="s">
        <v>145</v>
      </c>
      <c r="F492" s="25" t="s">
        <v>144</v>
      </c>
    </row>
    <row r="493" spans="1:6">
      <c r="A493" s="22">
        <v>27745</v>
      </c>
      <c r="B493" s="24" t="s">
        <v>3589</v>
      </c>
      <c r="C493" s="24" t="s">
        <v>1362</v>
      </c>
      <c r="D493" s="24" t="s">
        <v>175</v>
      </c>
      <c r="E493" s="24" t="s">
        <v>1369</v>
      </c>
      <c r="F493" s="25" t="s">
        <v>160</v>
      </c>
    </row>
    <row r="494" spans="1:6">
      <c r="A494" s="22">
        <v>27787</v>
      </c>
      <c r="B494" s="24" t="s">
        <v>3590</v>
      </c>
      <c r="C494" s="24" t="s">
        <v>1362</v>
      </c>
      <c r="D494" s="24" t="s">
        <v>175</v>
      </c>
      <c r="E494" s="24" t="s">
        <v>1369</v>
      </c>
      <c r="F494" s="25" t="s">
        <v>160</v>
      </c>
    </row>
    <row r="495" spans="1:6">
      <c r="A495" s="22">
        <v>27800</v>
      </c>
      <c r="B495" s="24" t="s">
        <v>3591</v>
      </c>
      <c r="C495" s="24" t="s">
        <v>1362</v>
      </c>
      <c r="D495" s="24" t="s">
        <v>608</v>
      </c>
      <c r="E495" s="24" t="s">
        <v>161</v>
      </c>
      <c r="F495" s="25" t="s">
        <v>160</v>
      </c>
    </row>
    <row r="496" spans="1:6">
      <c r="A496" s="22">
        <v>27810</v>
      </c>
      <c r="B496" s="24" t="s">
        <v>3592</v>
      </c>
      <c r="C496" s="24" t="s">
        <v>1362</v>
      </c>
      <c r="D496" s="24" t="s">
        <v>608</v>
      </c>
      <c r="E496" s="24" t="s">
        <v>145</v>
      </c>
      <c r="F496" s="25" t="s">
        <v>144</v>
      </c>
    </row>
    <row r="497" spans="1:6">
      <c r="A497" s="22">
        <v>23079</v>
      </c>
      <c r="B497" s="23" t="s">
        <v>3385</v>
      </c>
      <c r="C497" s="24" t="s">
        <v>381</v>
      </c>
      <c r="D497" s="24" t="s">
        <v>379</v>
      </c>
      <c r="E497" s="24" t="s">
        <v>145</v>
      </c>
      <c r="F497" s="25" t="s">
        <v>202</v>
      </c>
    </row>
    <row r="498" spans="1:6">
      <c r="A498" s="22">
        <v>23168</v>
      </c>
      <c r="B498" s="23" t="s">
        <v>3593</v>
      </c>
      <c r="C498" s="24" t="s">
        <v>381</v>
      </c>
      <c r="D498" s="24" t="s">
        <v>379</v>
      </c>
      <c r="E498" s="24" t="s">
        <v>145</v>
      </c>
      <c r="F498" s="25" t="s">
        <v>230</v>
      </c>
    </row>
    <row r="499" spans="1:6">
      <c r="A499" s="22">
        <v>23678</v>
      </c>
      <c r="B499" s="23" t="s">
        <v>3251</v>
      </c>
      <c r="C499" s="24" t="s">
        <v>381</v>
      </c>
      <c r="D499" s="24" t="s">
        <v>379</v>
      </c>
      <c r="E499" s="24" t="s">
        <v>145</v>
      </c>
      <c r="F499" s="25" t="s">
        <v>202</v>
      </c>
    </row>
    <row r="500" spans="1:6">
      <c r="A500" s="22">
        <v>23068</v>
      </c>
      <c r="B500" s="24" t="s">
        <v>3594</v>
      </c>
      <c r="C500" s="24" t="s">
        <v>381</v>
      </c>
      <c r="D500" s="24" t="s">
        <v>379</v>
      </c>
      <c r="E500" s="24" t="s">
        <v>145</v>
      </c>
      <c r="F500" s="25" t="s">
        <v>230</v>
      </c>
    </row>
    <row r="501" spans="1:6">
      <c r="A501" s="22">
        <v>23090</v>
      </c>
      <c r="B501" s="24" t="s">
        <v>2497</v>
      </c>
      <c r="C501" s="24" t="s">
        <v>381</v>
      </c>
      <c r="D501" s="24" t="s">
        <v>379</v>
      </c>
      <c r="E501" s="24" t="s">
        <v>145</v>
      </c>
      <c r="F501" s="25" t="s">
        <v>202</v>
      </c>
    </row>
    <row r="502" spans="1:6">
      <c r="A502" s="22">
        <v>23162</v>
      </c>
      <c r="B502" s="24" t="s">
        <v>3595</v>
      </c>
      <c r="C502" s="24" t="s">
        <v>381</v>
      </c>
      <c r="D502" s="24" t="s">
        <v>379</v>
      </c>
      <c r="E502" s="24" t="s">
        <v>145</v>
      </c>
      <c r="F502" s="25" t="s">
        <v>52</v>
      </c>
    </row>
    <row r="503" spans="1:6">
      <c r="A503" s="22">
        <v>23182</v>
      </c>
      <c r="B503" s="24" t="s">
        <v>3596</v>
      </c>
      <c r="C503" s="24" t="s">
        <v>381</v>
      </c>
      <c r="D503" s="24" t="s">
        <v>379</v>
      </c>
      <c r="E503" s="24" t="s">
        <v>145</v>
      </c>
      <c r="F503" s="25" t="s">
        <v>202</v>
      </c>
    </row>
    <row r="504" spans="1:6">
      <c r="A504" s="22">
        <v>23189</v>
      </c>
      <c r="B504" s="24" t="s">
        <v>3597</v>
      </c>
      <c r="C504" s="24" t="s">
        <v>381</v>
      </c>
      <c r="D504" s="24" t="s">
        <v>379</v>
      </c>
      <c r="E504" s="24" t="s">
        <v>145</v>
      </c>
      <c r="F504" s="25" t="s">
        <v>202</v>
      </c>
    </row>
    <row r="505" spans="1:6">
      <c r="A505" s="22">
        <v>23300</v>
      </c>
      <c r="B505" s="24" t="s">
        <v>3598</v>
      </c>
      <c r="C505" s="24" t="s">
        <v>381</v>
      </c>
      <c r="D505" s="24" t="s">
        <v>379</v>
      </c>
      <c r="E505" s="24" t="s">
        <v>145</v>
      </c>
      <c r="F505" s="25" t="s">
        <v>202</v>
      </c>
    </row>
    <row r="506" spans="1:6">
      <c r="A506" s="22">
        <v>23350</v>
      </c>
      <c r="B506" s="24" t="s">
        <v>3599</v>
      </c>
      <c r="C506" s="24" t="s">
        <v>381</v>
      </c>
      <c r="D506" s="24" t="s">
        <v>379</v>
      </c>
      <c r="E506" s="24" t="s">
        <v>145</v>
      </c>
      <c r="F506" s="25" t="s">
        <v>202</v>
      </c>
    </row>
    <row r="507" spans="1:6">
      <c r="A507" s="22">
        <v>23417</v>
      </c>
      <c r="B507" s="24" t="s">
        <v>647</v>
      </c>
      <c r="C507" s="24" t="s">
        <v>381</v>
      </c>
      <c r="D507" s="24" t="s">
        <v>379</v>
      </c>
      <c r="E507" s="24" t="s">
        <v>145</v>
      </c>
      <c r="F507" s="25" t="s">
        <v>202</v>
      </c>
    </row>
    <row r="508" spans="1:6">
      <c r="A508" s="22">
        <v>23419</v>
      </c>
      <c r="B508" s="24" t="s">
        <v>3600</v>
      </c>
      <c r="C508" s="24" t="s">
        <v>381</v>
      </c>
      <c r="D508" s="24" t="s">
        <v>379</v>
      </c>
      <c r="E508" s="24" t="s">
        <v>145</v>
      </c>
      <c r="F508" s="25" t="s">
        <v>202</v>
      </c>
    </row>
    <row r="509" spans="1:6">
      <c r="A509" s="22">
        <v>23464</v>
      </c>
      <c r="B509" s="24" t="s">
        <v>1127</v>
      </c>
      <c r="C509" s="24" t="s">
        <v>381</v>
      </c>
      <c r="D509" s="24" t="s">
        <v>379</v>
      </c>
      <c r="E509" s="24" t="s">
        <v>145</v>
      </c>
      <c r="F509" s="25" t="s">
        <v>202</v>
      </c>
    </row>
    <row r="510" spans="1:6">
      <c r="A510" s="22">
        <v>23466</v>
      </c>
      <c r="B510" s="24" t="s">
        <v>3601</v>
      </c>
      <c r="C510" s="24" t="s">
        <v>381</v>
      </c>
      <c r="D510" s="24" t="s">
        <v>379</v>
      </c>
      <c r="E510" s="24" t="s">
        <v>145</v>
      </c>
      <c r="F510" s="25" t="s">
        <v>144</v>
      </c>
    </row>
    <row r="511" spans="1:6">
      <c r="A511" s="22">
        <v>23001</v>
      </c>
      <c r="B511" s="24" t="s">
        <v>379</v>
      </c>
      <c r="C511" s="24" t="s">
        <v>381</v>
      </c>
      <c r="D511" s="24" t="s">
        <v>379</v>
      </c>
      <c r="E511" s="24" t="s">
        <v>145</v>
      </c>
      <c r="F511" s="25" t="s">
        <v>52</v>
      </c>
    </row>
    <row r="512" spans="1:6">
      <c r="A512" s="22">
        <v>23500</v>
      </c>
      <c r="B512" s="24" t="s">
        <v>3602</v>
      </c>
      <c r="C512" s="24" t="s">
        <v>381</v>
      </c>
      <c r="D512" s="24" t="s">
        <v>379</v>
      </c>
      <c r="E512" s="24" t="s">
        <v>145</v>
      </c>
      <c r="F512" s="25" t="s">
        <v>230</v>
      </c>
    </row>
    <row r="513" spans="1:6">
      <c r="A513" s="22">
        <v>23555</v>
      </c>
      <c r="B513" s="24" t="s">
        <v>1645</v>
      </c>
      <c r="C513" s="24" t="s">
        <v>381</v>
      </c>
      <c r="D513" s="24" t="s">
        <v>379</v>
      </c>
      <c r="E513" s="24" t="s">
        <v>145</v>
      </c>
      <c r="F513" s="25" t="s">
        <v>202</v>
      </c>
    </row>
    <row r="514" spans="1:6">
      <c r="A514" s="22">
        <v>23570</v>
      </c>
      <c r="B514" s="24" t="s">
        <v>3603</v>
      </c>
      <c r="C514" s="24" t="s">
        <v>381</v>
      </c>
      <c r="D514" s="24" t="s">
        <v>379</v>
      </c>
      <c r="E514" s="24" t="s">
        <v>145</v>
      </c>
      <c r="F514" s="25" t="s">
        <v>202</v>
      </c>
    </row>
    <row r="515" spans="1:6">
      <c r="A515" s="22">
        <v>23574</v>
      </c>
      <c r="B515" s="24" t="s">
        <v>3604</v>
      </c>
      <c r="C515" s="24" t="s">
        <v>381</v>
      </c>
      <c r="D515" s="24" t="s">
        <v>379</v>
      </c>
      <c r="E515" s="24" t="s">
        <v>145</v>
      </c>
      <c r="F515" s="25" t="s">
        <v>230</v>
      </c>
    </row>
    <row r="516" spans="1:6">
      <c r="A516" s="22">
        <v>23580</v>
      </c>
      <c r="B516" s="24" t="s">
        <v>1206</v>
      </c>
      <c r="C516" s="24" t="s">
        <v>381</v>
      </c>
      <c r="D516" s="24" t="s">
        <v>379</v>
      </c>
      <c r="E516" s="24" t="s">
        <v>145</v>
      </c>
      <c r="F516" s="25" t="s">
        <v>144</v>
      </c>
    </row>
    <row r="517" spans="1:6">
      <c r="A517" s="22">
        <v>23586</v>
      </c>
      <c r="B517" s="24" t="s">
        <v>3605</v>
      </c>
      <c r="C517" s="24" t="s">
        <v>381</v>
      </c>
      <c r="D517" s="24" t="s">
        <v>379</v>
      </c>
      <c r="E517" s="24" t="s">
        <v>145</v>
      </c>
      <c r="F517" s="25" t="s">
        <v>202</v>
      </c>
    </row>
    <row r="518" spans="1:6">
      <c r="A518" s="22">
        <v>23660</v>
      </c>
      <c r="B518" s="24" t="s">
        <v>3606</v>
      </c>
      <c r="C518" s="24" t="s">
        <v>381</v>
      </c>
      <c r="D518" s="24" t="s">
        <v>379</v>
      </c>
      <c r="E518" s="24" t="s">
        <v>145</v>
      </c>
      <c r="F518" s="25" t="s">
        <v>202</v>
      </c>
    </row>
    <row r="519" spans="1:6">
      <c r="A519" s="22">
        <v>23670</v>
      </c>
      <c r="B519" s="24" t="s">
        <v>3607</v>
      </c>
      <c r="C519" s="24" t="s">
        <v>381</v>
      </c>
      <c r="D519" s="24" t="s">
        <v>379</v>
      </c>
      <c r="E519" s="24" t="s">
        <v>145</v>
      </c>
      <c r="F519" s="25" t="s">
        <v>202</v>
      </c>
    </row>
    <row r="520" spans="1:6">
      <c r="A520" s="22">
        <v>23672</v>
      </c>
      <c r="B520" s="24" t="s">
        <v>2437</v>
      </c>
      <c r="C520" s="24" t="s">
        <v>381</v>
      </c>
      <c r="D520" s="24" t="s">
        <v>379</v>
      </c>
      <c r="E520" s="24" t="s">
        <v>145</v>
      </c>
      <c r="F520" s="25" t="s">
        <v>202</v>
      </c>
    </row>
    <row r="521" spans="1:6">
      <c r="A521" s="22">
        <v>23675</v>
      </c>
      <c r="B521" s="24" t="s">
        <v>3608</v>
      </c>
      <c r="C521" s="24" t="s">
        <v>381</v>
      </c>
      <c r="D521" s="24" t="s">
        <v>379</v>
      </c>
      <c r="E521" s="24" t="s">
        <v>145</v>
      </c>
      <c r="F521" s="25" t="s">
        <v>202</v>
      </c>
    </row>
    <row r="522" spans="1:6">
      <c r="A522" s="22">
        <v>23686</v>
      </c>
      <c r="B522" s="24" t="s">
        <v>3609</v>
      </c>
      <c r="C522" s="24" t="s">
        <v>381</v>
      </c>
      <c r="D522" s="24" t="s">
        <v>379</v>
      </c>
      <c r="E522" s="24" t="s">
        <v>145</v>
      </c>
      <c r="F522" s="25" t="s">
        <v>202</v>
      </c>
    </row>
    <row r="523" spans="1:6">
      <c r="A523" s="22">
        <v>23807</v>
      </c>
      <c r="B523" s="24" t="s">
        <v>1973</v>
      </c>
      <c r="C523" s="24" t="s">
        <v>381</v>
      </c>
      <c r="D523" s="24" t="s">
        <v>379</v>
      </c>
      <c r="E523" s="24" t="s">
        <v>145</v>
      </c>
      <c r="F523" s="25" t="s">
        <v>230</v>
      </c>
    </row>
    <row r="524" spans="1:6">
      <c r="A524" s="22">
        <v>23855</v>
      </c>
      <c r="B524" s="24" t="s">
        <v>3610</v>
      </c>
      <c r="C524" s="24" t="s">
        <v>381</v>
      </c>
      <c r="D524" s="24" t="s">
        <v>379</v>
      </c>
      <c r="E524" s="24" t="s">
        <v>145</v>
      </c>
      <c r="F524" s="25" t="s">
        <v>230</v>
      </c>
    </row>
    <row r="525" spans="1:6">
      <c r="A525" s="22">
        <v>25019</v>
      </c>
      <c r="B525" s="23" t="s">
        <v>3611</v>
      </c>
      <c r="C525" s="24" t="s">
        <v>433</v>
      </c>
      <c r="D525" s="24" t="s">
        <v>431</v>
      </c>
      <c r="E525" s="24" t="s">
        <v>145</v>
      </c>
      <c r="F525" s="25" t="s">
        <v>202</v>
      </c>
    </row>
    <row r="526" spans="1:6">
      <c r="A526" s="22">
        <v>25120</v>
      </c>
      <c r="B526" s="23" t="s">
        <v>3612</v>
      </c>
      <c r="C526" s="24" t="s">
        <v>433</v>
      </c>
      <c r="D526" s="24" t="s">
        <v>431</v>
      </c>
      <c r="E526" s="24" t="s">
        <v>145</v>
      </c>
      <c r="F526" s="25" t="s">
        <v>230</v>
      </c>
    </row>
    <row r="527" spans="1:6">
      <c r="A527" s="22">
        <v>25258</v>
      </c>
      <c r="B527" s="23" t="s">
        <v>3346</v>
      </c>
      <c r="C527" s="24" t="s">
        <v>433</v>
      </c>
      <c r="D527" s="24" t="s">
        <v>431</v>
      </c>
      <c r="E527" s="24" t="s">
        <v>145</v>
      </c>
      <c r="F527" s="25" t="s">
        <v>230</v>
      </c>
    </row>
    <row r="528" spans="1:6">
      <c r="A528" s="22">
        <v>25312</v>
      </c>
      <c r="B528" s="23" t="s">
        <v>263</v>
      </c>
      <c r="C528" s="24" t="s">
        <v>433</v>
      </c>
      <c r="D528" s="24" t="s">
        <v>431</v>
      </c>
      <c r="E528" s="24" t="s">
        <v>145</v>
      </c>
      <c r="F528" s="25" t="s">
        <v>202</v>
      </c>
    </row>
    <row r="529" spans="1:6">
      <c r="A529" s="22">
        <v>25402</v>
      </c>
      <c r="B529" s="23" t="s">
        <v>3525</v>
      </c>
      <c r="C529" s="24" t="s">
        <v>433</v>
      </c>
      <c r="D529" s="24" t="s">
        <v>431</v>
      </c>
      <c r="E529" s="24" t="s">
        <v>145</v>
      </c>
      <c r="F529" s="25" t="s">
        <v>202</v>
      </c>
    </row>
    <row r="530" spans="1:6">
      <c r="A530" s="22">
        <v>25473</v>
      </c>
      <c r="B530" s="23" t="s">
        <v>2169</v>
      </c>
      <c r="C530" s="24" t="s">
        <v>433</v>
      </c>
      <c r="D530" s="24" t="s">
        <v>431</v>
      </c>
      <c r="E530" s="24" t="s">
        <v>145</v>
      </c>
      <c r="F530" s="25" t="s">
        <v>52</v>
      </c>
    </row>
    <row r="531" spans="1:6">
      <c r="A531" s="22">
        <v>25483</v>
      </c>
      <c r="B531" s="23" t="s">
        <v>153</v>
      </c>
      <c r="C531" s="24" t="s">
        <v>433</v>
      </c>
      <c r="D531" s="24" t="s">
        <v>431</v>
      </c>
      <c r="E531" s="24" t="s">
        <v>145</v>
      </c>
      <c r="F531" s="25" t="s">
        <v>230</v>
      </c>
    </row>
    <row r="532" spans="1:6">
      <c r="A532" s="22">
        <v>25612</v>
      </c>
      <c r="B532" s="23" t="s">
        <v>3613</v>
      </c>
      <c r="C532" s="24" t="s">
        <v>433</v>
      </c>
      <c r="D532" s="24" t="s">
        <v>431</v>
      </c>
      <c r="E532" s="24" t="s">
        <v>145</v>
      </c>
      <c r="F532" s="25" t="s">
        <v>230</v>
      </c>
    </row>
    <row r="533" spans="1:6">
      <c r="A533" s="22">
        <v>25649</v>
      </c>
      <c r="B533" s="23" t="s">
        <v>3614</v>
      </c>
      <c r="C533" s="24" t="s">
        <v>433</v>
      </c>
      <c r="D533" s="24" t="s">
        <v>431</v>
      </c>
      <c r="E533" s="24" t="s">
        <v>145</v>
      </c>
      <c r="F533" s="25" t="s">
        <v>230</v>
      </c>
    </row>
    <row r="534" spans="1:6">
      <c r="A534" s="22">
        <v>25653</v>
      </c>
      <c r="B534" s="23" t="s">
        <v>3615</v>
      </c>
      <c r="C534" s="24" t="s">
        <v>433</v>
      </c>
      <c r="D534" s="24" t="s">
        <v>431</v>
      </c>
      <c r="E534" s="24" t="s">
        <v>145</v>
      </c>
      <c r="F534" s="25" t="s">
        <v>230</v>
      </c>
    </row>
    <row r="535" spans="1:6">
      <c r="A535" s="22">
        <v>25658</v>
      </c>
      <c r="B535" s="23" t="s">
        <v>3252</v>
      </c>
      <c r="C535" s="24" t="s">
        <v>433</v>
      </c>
      <c r="D535" s="24" t="s">
        <v>431</v>
      </c>
      <c r="E535" s="24" t="s">
        <v>145</v>
      </c>
      <c r="F535" s="25" t="s">
        <v>202</v>
      </c>
    </row>
    <row r="536" spans="1:6">
      <c r="A536" s="22">
        <v>25506</v>
      </c>
      <c r="B536" s="23" t="s">
        <v>3258</v>
      </c>
      <c r="C536" s="24" t="s">
        <v>433</v>
      </c>
      <c r="D536" s="24" t="s">
        <v>431</v>
      </c>
      <c r="E536" s="24" t="s">
        <v>145</v>
      </c>
      <c r="F536" s="25" t="s">
        <v>230</v>
      </c>
    </row>
    <row r="537" spans="1:6">
      <c r="A537" s="22">
        <v>25001</v>
      </c>
      <c r="B537" s="24" t="s">
        <v>3616</v>
      </c>
      <c r="C537" s="24" t="s">
        <v>433</v>
      </c>
      <c r="D537" s="24" t="s">
        <v>431</v>
      </c>
      <c r="E537" s="24" t="s">
        <v>145</v>
      </c>
      <c r="F537" s="25" t="s">
        <v>230</v>
      </c>
    </row>
    <row r="538" spans="1:6">
      <c r="A538" s="22">
        <v>25035</v>
      </c>
      <c r="B538" s="24" t="s">
        <v>498</v>
      </c>
      <c r="C538" s="24" t="s">
        <v>433</v>
      </c>
      <c r="D538" s="24" t="s">
        <v>431</v>
      </c>
      <c r="E538" s="24" t="s">
        <v>145</v>
      </c>
      <c r="F538" s="25" t="s">
        <v>202</v>
      </c>
    </row>
    <row r="539" spans="1:6">
      <c r="A539" s="22">
        <v>25040</v>
      </c>
      <c r="B539" s="24" t="s">
        <v>3617</v>
      </c>
      <c r="C539" s="24" t="s">
        <v>433</v>
      </c>
      <c r="D539" s="24" t="s">
        <v>431</v>
      </c>
      <c r="E539" s="24" t="s">
        <v>145</v>
      </c>
      <c r="F539" s="25" t="s">
        <v>202</v>
      </c>
    </row>
    <row r="540" spans="1:6">
      <c r="A540" s="22">
        <v>25599</v>
      </c>
      <c r="B540" s="24" t="s">
        <v>3618</v>
      </c>
      <c r="C540" s="24" t="s">
        <v>433</v>
      </c>
      <c r="D540" s="24" t="s">
        <v>431</v>
      </c>
      <c r="E540" s="24" t="s">
        <v>145</v>
      </c>
      <c r="F540" s="25" t="s">
        <v>230</v>
      </c>
    </row>
    <row r="541" spans="1:6">
      <c r="A541" s="22">
        <v>25053</v>
      </c>
      <c r="B541" s="24" t="s">
        <v>2253</v>
      </c>
      <c r="C541" s="24" t="s">
        <v>433</v>
      </c>
      <c r="D541" s="24" t="s">
        <v>431</v>
      </c>
      <c r="E541" s="24" t="s">
        <v>145</v>
      </c>
      <c r="F541" s="25" t="s">
        <v>202</v>
      </c>
    </row>
    <row r="542" spans="1:6">
      <c r="A542" s="22">
        <v>25086</v>
      </c>
      <c r="B542" s="24" t="s">
        <v>3619</v>
      </c>
      <c r="C542" s="24" t="s">
        <v>433</v>
      </c>
      <c r="D542" s="24" t="s">
        <v>431</v>
      </c>
      <c r="E542" s="24" t="s">
        <v>145</v>
      </c>
      <c r="F542" s="25" t="s">
        <v>230</v>
      </c>
    </row>
    <row r="543" spans="1:6">
      <c r="A543" s="22">
        <v>25095</v>
      </c>
      <c r="B543" s="24" t="s">
        <v>3620</v>
      </c>
      <c r="C543" s="24" t="s">
        <v>433</v>
      </c>
      <c r="D543" s="24" t="s">
        <v>431</v>
      </c>
      <c r="E543" s="24" t="s">
        <v>145</v>
      </c>
      <c r="F543" s="25" t="s">
        <v>230</v>
      </c>
    </row>
    <row r="544" spans="1:6">
      <c r="A544" s="22">
        <v>11001</v>
      </c>
      <c r="B544" s="24" t="s">
        <v>431</v>
      </c>
      <c r="C544" s="24" t="s">
        <v>433</v>
      </c>
      <c r="D544" s="24" t="s">
        <v>431</v>
      </c>
      <c r="E544" s="24" t="s">
        <v>145</v>
      </c>
      <c r="F544" s="25" t="s">
        <v>52</v>
      </c>
    </row>
    <row r="545" spans="1:6">
      <c r="A545" s="22">
        <v>25099</v>
      </c>
      <c r="B545" s="24" t="s">
        <v>3621</v>
      </c>
      <c r="C545" s="24" t="s">
        <v>433</v>
      </c>
      <c r="D545" s="24" t="s">
        <v>431</v>
      </c>
      <c r="E545" s="24" t="s">
        <v>145</v>
      </c>
      <c r="F545" s="25" t="s">
        <v>202</v>
      </c>
    </row>
    <row r="546" spans="1:6">
      <c r="A546" s="22">
        <v>25123</v>
      </c>
      <c r="B546" s="24" t="s">
        <v>3622</v>
      </c>
      <c r="C546" s="24" t="s">
        <v>433</v>
      </c>
      <c r="D546" s="24" t="s">
        <v>431</v>
      </c>
      <c r="E546" s="24" t="s">
        <v>145</v>
      </c>
      <c r="F546" s="25" t="s">
        <v>202</v>
      </c>
    </row>
    <row r="547" spans="1:6">
      <c r="A547" s="22">
        <v>25126</v>
      </c>
      <c r="B547" s="24" t="s">
        <v>2093</v>
      </c>
      <c r="C547" s="24" t="s">
        <v>433</v>
      </c>
      <c r="D547" s="24" t="s">
        <v>431</v>
      </c>
      <c r="E547" s="24" t="s">
        <v>145</v>
      </c>
      <c r="F547" s="25" t="s">
        <v>202</v>
      </c>
    </row>
    <row r="548" spans="1:6">
      <c r="A548" s="22">
        <v>25148</v>
      </c>
      <c r="B548" s="24" t="s">
        <v>3623</v>
      </c>
      <c r="C548" s="24" t="s">
        <v>433</v>
      </c>
      <c r="D548" s="24" t="s">
        <v>431</v>
      </c>
      <c r="E548" s="24" t="s">
        <v>145</v>
      </c>
      <c r="F548" s="25" t="s">
        <v>230</v>
      </c>
    </row>
    <row r="549" spans="1:6">
      <c r="A549" s="22">
        <v>25151</v>
      </c>
      <c r="B549" s="24" t="s">
        <v>3624</v>
      </c>
      <c r="C549" s="24" t="s">
        <v>433</v>
      </c>
      <c r="D549" s="24" t="s">
        <v>431</v>
      </c>
      <c r="E549" s="24" t="s">
        <v>145</v>
      </c>
      <c r="F549" s="25" t="s">
        <v>202</v>
      </c>
    </row>
    <row r="550" spans="1:6">
      <c r="A550" s="22">
        <v>25154</v>
      </c>
      <c r="B550" s="24" t="s">
        <v>3625</v>
      </c>
      <c r="C550" s="24" t="s">
        <v>433</v>
      </c>
      <c r="D550" s="24" t="s">
        <v>431</v>
      </c>
      <c r="E550" s="24" t="s">
        <v>145</v>
      </c>
      <c r="F550" s="25" t="s">
        <v>230</v>
      </c>
    </row>
    <row r="551" spans="1:6">
      <c r="A551" s="22">
        <v>25168</v>
      </c>
      <c r="B551" s="24" t="s">
        <v>3626</v>
      </c>
      <c r="C551" s="24" t="s">
        <v>433</v>
      </c>
      <c r="D551" s="24" t="s">
        <v>431</v>
      </c>
      <c r="E551" s="24" t="s">
        <v>145</v>
      </c>
      <c r="F551" s="25" t="s">
        <v>230</v>
      </c>
    </row>
    <row r="552" spans="1:6">
      <c r="A552" s="22">
        <v>25175</v>
      </c>
      <c r="B552" s="24" t="s">
        <v>1929</v>
      </c>
      <c r="C552" s="24" t="s">
        <v>433</v>
      </c>
      <c r="D552" s="24" t="s">
        <v>431</v>
      </c>
      <c r="E552" s="24" t="s">
        <v>145</v>
      </c>
      <c r="F552" s="25" t="s">
        <v>202</v>
      </c>
    </row>
    <row r="553" spans="1:6">
      <c r="A553" s="22">
        <v>25178</v>
      </c>
      <c r="B553" s="24" t="s">
        <v>3627</v>
      </c>
      <c r="C553" s="24" t="s">
        <v>433</v>
      </c>
      <c r="D553" s="24" t="s">
        <v>431</v>
      </c>
      <c r="E553" s="24" t="s">
        <v>145</v>
      </c>
      <c r="F553" s="25" t="s">
        <v>202</v>
      </c>
    </row>
    <row r="554" spans="1:6">
      <c r="A554" s="22">
        <v>25181</v>
      </c>
      <c r="B554" s="24" t="s">
        <v>2974</v>
      </c>
      <c r="C554" s="24" t="s">
        <v>433</v>
      </c>
      <c r="D554" s="24" t="s">
        <v>431</v>
      </c>
      <c r="E554" s="24" t="s">
        <v>145</v>
      </c>
      <c r="F554" s="25" t="s">
        <v>202</v>
      </c>
    </row>
    <row r="555" spans="1:6">
      <c r="A555" s="22">
        <v>25183</v>
      </c>
      <c r="B555" s="24" t="s">
        <v>3628</v>
      </c>
      <c r="C555" s="24" t="s">
        <v>433</v>
      </c>
      <c r="D555" s="24" t="s">
        <v>203</v>
      </c>
      <c r="E555" s="24" t="s">
        <v>145</v>
      </c>
      <c r="F555" s="25" t="s">
        <v>202</v>
      </c>
    </row>
    <row r="556" spans="1:6">
      <c r="A556" s="22">
        <v>25200</v>
      </c>
      <c r="B556" s="24" t="s">
        <v>2571</v>
      </c>
      <c r="C556" s="24" t="s">
        <v>433</v>
      </c>
      <c r="D556" s="24" t="s">
        <v>431</v>
      </c>
      <c r="E556" s="24" t="s">
        <v>145</v>
      </c>
      <c r="F556" s="25" t="s">
        <v>202</v>
      </c>
    </row>
    <row r="557" spans="1:6">
      <c r="A557" s="22">
        <v>25214</v>
      </c>
      <c r="B557" s="24" t="s">
        <v>3629</v>
      </c>
      <c r="C557" s="24" t="s">
        <v>433</v>
      </c>
      <c r="D557" s="24" t="s">
        <v>431</v>
      </c>
      <c r="E557" s="24" t="s">
        <v>145</v>
      </c>
      <c r="F557" s="25" t="s">
        <v>202</v>
      </c>
    </row>
    <row r="558" spans="1:6">
      <c r="A558" s="22">
        <v>25224</v>
      </c>
      <c r="B558" s="24" t="s">
        <v>3630</v>
      </c>
      <c r="C558" s="24" t="s">
        <v>433</v>
      </c>
      <c r="D558" s="24" t="s">
        <v>431</v>
      </c>
      <c r="E558" s="24" t="s">
        <v>145</v>
      </c>
      <c r="F558" s="25" t="s">
        <v>230</v>
      </c>
    </row>
    <row r="559" spans="1:6">
      <c r="A559" s="22">
        <v>25245</v>
      </c>
      <c r="B559" s="24" t="s">
        <v>3631</v>
      </c>
      <c r="C559" s="24" t="s">
        <v>433</v>
      </c>
      <c r="D559" s="24" t="s">
        <v>431</v>
      </c>
      <c r="E559" s="24" t="s">
        <v>145</v>
      </c>
      <c r="F559" s="25" t="s">
        <v>202</v>
      </c>
    </row>
    <row r="560" spans="1:6">
      <c r="A560" s="22">
        <v>25260</v>
      </c>
      <c r="B560" s="24" t="s">
        <v>3632</v>
      </c>
      <c r="C560" s="24" t="s">
        <v>433</v>
      </c>
      <c r="D560" s="24" t="s">
        <v>431</v>
      </c>
      <c r="E560" s="24" t="s">
        <v>145</v>
      </c>
      <c r="F560" s="25" t="s">
        <v>202</v>
      </c>
    </row>
    <row r="561" spans="1:6">
      <c r="A561" s="22">
        <v>25269</v>
      </c>
      <c r="B561" s="24" t="s">
        <v>3633</v>
      </c>
      <c r="C561" s="24" t="s">
        <v>433</v>
      </c>
      <c r="D561" s="24" t="s">
        <v>431</v>
      </c>
      <c r="E561" s="24" t="s">
        <v>145</v>
      </c>
      <c r="F561" s="25" t="s">
        <v>202</v>
      </c>
    </row>
    <row r="562" spans="1:6">
      <c r="A562" s="22">
        <v>25279</v>
      </c>
      <c r="B562" s="24" t="s">
        <v>2610</v>
      </c>
      <c r="C562" s="24" t="s">
        <v>433</v>
      </c>
      <c r="D562" s="24" t="s">
        <v>431</v>
      </c>
      <c r="E562" s="24" t="s">
        <v>145</v>
      </c>
      <c r="F562" s="25" t="s">
        <v>202</v>
      </c>
    </row>
    <row r="563" spans="1:6">
      <c r="A563" s="22">
        <v>25281</v>
      </c>
      <c r="B563" s="24" t="s">
        <v>3634</v>
      </c>
      <c r="C563" s="24" t="s">
        <v>433</v>
      </c>
      <c r="D563" s="24" t="s">
        <v>431</v>
      </c>
      <c r="E563" s="24" t="s">
        <v>145</v>
      </c>
      <c r="F563" s="25" t="s">
        <v>202</v>
      </c>
    </row>
    <row r="564" spans="1:6">
      <c r="A564" s="22">
        <v>25286</v>
      </c>
      <c r="B564" s="24" t="s">
        <v>2024</v>
      </c>
      <c r="C564" s="24" t="s">
        <v>433</v>
      </c>
      <c r="D564" s="24" t="s">
        <v>431</v>
      </c>
      <c r="E564" s="24" t="s">
        <v>145</v>
      </c>
      <c r="F564" s="25" t="s">
        <v>202</v>
      </c>
    </row>
    <row r="565" spans="1:6">
      <c r="A565" s="22">
        <v>25288</v>
      </c>
      <c r="B565" s="24" t="s">
        <v>3635</v>
      </c>
      <c r="C565" s="24" t="s">
        <v>433</v>
      </c>
      <c r="D565" s="24" t="s">
        <v>431</v>
      </c>
      <c r="E565" s="24" t="s">
        <v>145</v>
      </c>
      <c r="F565" s="25" t="s">
        <v>230</v>
      </c>
    </row>
    <row r="566" spans="1:6">
      <c r="A566" s="22">
        <v>25290</v>
      </c>
      <c r="B566" s="24" t="s">
        <v>1879</v>
      </c>
      <c r="C566" s="24" t="s">
        <v>433</v>
      </c>
      <c r="D566" s="24" t="s">
        <v>431</v>
      </c>
      <c r="E566" s="24" t="s">
        <v>145</v>
      </c>
      <c r="F566" s="25" t="s">
        <v>202</v>
      </c>
    </row>
    <row r="567" spans="1:6">
      <c r="A567" s="22">
        <v>25293</v>
      </c>
      <c r="B567" s="24" t="s">
        <v>3636</v>
      </c>
      <c r="C567" s="24" t="s">
        <v>433</v>
      </c>
      <c r="D567" s="24" t="s">
        <v>431</v>
      </c>
      <c r="E567" s="24" t="s">
        <v>145</v>
      </c>
      <c r="F567" s="25" t="s">
        <v>230</v>
      </c>
    </row>
    <row r="568" spans="1:6">
      <c r="A568" s="22">
        <v>25295</v>
      </c>
      <c r="B568" s="24" t="s">
        <v>3637</v>
      </c>
      <c r="C568" s="24" t="s">
        <v>433</v>
      </c>
      <c r="D568" s="24" t="s">
        <v>431</v>
      </c>
      <c r="E568" s="24" t="s">
        <v>145</v>
      </c>
      <c r="F568" s="25" t="s">
        <v>202</v>
      </c>
    </row>
    <row r="569" spans="1:6">
      <c r="A569" s="22">
        <v>25297</v>
      </c>
      <c r="B569" s="24" t="s">
        <v>3638</v>
      </c>
      <c r="C569" s="24" t="s">
        <v>433</v>
      </c>
      <c r="D569" s="24" t="s">
        <v>431</v>
      </c>
      <c r="E569" s="24" t="s">
        <v>145</v>
      </c>
      <c r="F569" s="25" t="s">
        <v>230</v>
      </c>
    </row>
    <row r="570" spans="1:6">
      <c r="A570" s="22">
        <v>25299</v>
      </c>
      <c r="B570" s="24" t="s">
        <v>3639</v>
      </c>
      <c r="C570" s="24" t="s">
        <v>433</v>
      </c>
      <c r="D570" s="24" t="s">
        <v>431</v>
      </c>
      <c r="E570" s="24" t="s">
        <v>145</v>
      </c>
      <c r="F570" s="25" t="s">
        <v>230</v>
      </c>
    </row>
    <row r="571" spans="1:6">
      <c r="A571" s="22">
        <v>25307</v>
      </c>
      <c r="B571" s="24" t="s">
        <v>3640</v>
      </c>
      <c r="C571" s="24" t="s">
        <v>433</v>
      </c>
      <c r="D571" s="24" t="s">
        <v>431</v>
      </c>
      <c r="E571" s="24" t="s">
        <v>145</v>
      </c>
      <c r="F571" s="25" t="s">
        <v>230</v>
      </c>
    </row>
    <row r="572" spans="1:6">
      <c r="A572" s="22">
        <v>25317</v>
      </c>
      <c r="B572" s="24" t="s">
        <v>3641</v>
      </c>
      <c r="C572" s="24" t="s">
        <v>433</v>
      </c>
      <c r="D572" s="24" t="s">
        <v>431</v>
      </c>
      <c r="E572" s="24" t="s">
        <v>145</v>
      </c>
      <c r="F572" s="25" t="s">
        <v>230</v>
      </c>
    </row>
    <row r="573" spans="1:6">
      <c r="A573" s="22">
        <v>25320</v>
      </c>
      <c r="B573" s="24" t="s">
        <v>3642</v>
      </c>
      <c r="C573" s="24" t="s">
        <v>433</v>
      </c>
      <c r="D573" s="24" t="s">
        <v>431</v>
      </c>
      <c r="E573" s="24" t="s">
        <v>145</v>
      </c>
      <c r="F573" s="25" t="s">
        <v>230</v>
      </c>
    </row>
    <row r="574" spans="1:6">
      <c r="A574" s="22">
        <v>25322</v>
      </c>
      <c r="B574" s="24" t="s">
        <v>3643</v>
      </c>
      <c r="C574" s="24" t="s">
        <v>433</v>
      </c>
      <c r="D574" s="24" t="s">
        <v>431</v>
      </c>
      <c r="E574" s="24" t="s">
        <v>145</v>
      </c>
      <c r="F574" s="25" t="s">
        <v>202</v>
      </c>
    </row>
    <row r="575" spans="1:6">
      <c r="A575" s="22">
        <v>25324</v>
      </c>
      <c r="B575" s="24" t="s">
        <v>3644</v>
      </c>
      <c r="C575" s="24" t="s">
        <v>433</v>
      </c>
      <c r="D575" s="24" t="s">
        <v>688</v>
      </c>
      <c r="E575" s="24" t="s">
        <v>145</v>
      </c>
      <c r="F575" s="25" t="s">
        <v>230</v>
      </c>
    </row>
    <row r="576" spans="1:6">
      <c r="A576" s="22">
        <v>25326</v>
      </c>
      <c r="B576" s="24" t="s">
        <v>2325</v>
      </c>
      <c r="C576" s="24" t="s">
        <v>433</v>
      </c>
      <c r="D576" s="24" t="s">
        <v>431</v>
      </c>
      <c r="E576" s="24" t="s">
        <v>145</v>
      </c>
      <c r="F576" s="25" t="s">
        <v>202</v>
      </c>
    </row>
    <row r="577" spans="1:6">
      <c r="A577" s="22">
        <v>25328</v>
      </c>
      <c r="B577" s="24" t="s">
        <v>3645</v>
      </c>
      <c r="C577" s="24" t="s">
        <v>433</v>
      </c>
      <c r="D577" s="24" t="s">
        <v>431</v>
      </c>
      <c r="E577" s="24" t="s">
        <v>145</v>
      </c>
      <c r="F577" s="25" t="s">
        <v>230</v>
      </c>
    </row>
    <row r="578" spans="1:6">
      <c r="A578" s="22">
        <v>25335</v>
      </c>
      <c r="B578" s="24" t="s">
        <v>3646</v>
      </c>
      <c r="C578" s="24" t="s">
        <v>433</v>
      </c>
      <c r="D578" s="24" t="s">
        <v>260</v>
      </c>
      <c r="E578" s="24" t="s">
        <v>145</v>
      </c>
      <c r="F578" s="25" t="s">
        <v>202</v>
      </c>
    </row>
    <row r="579" spans="1:6">
      <c r="A579" s="22">
        <v>25339</v>
      </c>
      <c r="B579" s="24" t="s">
        <v>3647</v>
      </c>
      <c r="C579" s="24" t="s">
        <v>433</v>
      </c>
      <c r="D579" s="24" t="s">
        <v>431</v>
      </c>
      <c r="E579" s="24" t="s">
        <v>145</v>
      </c>
      <c r="F579" s="25" t="s">
        <v>230</v>
      </c>
    </row>
    <row r="580" spans="1:6">
      <c r="A580" s="22">
        <v>25368</v>
      </c>
      <c r="B580" s="24" t="s">
        <v>3648</v>
      </c>
      <c r="C580" s="24" t="s">
        <v>433</v>
      </c>
      <c r="D580" s="24" t="s">
        <v>431</v>
      </c>
      <c r="E580" s="24" t="s">
        <v>145</v>
      </c>
      <c r="F580" s="25" t="s">
        <v>230</v>
      </c>
    </row>
    <row r="581" spans="1:6">
      <c r="A581" s="22">
        <v>25372</v>
      </c>
      <c r="B581" s="24" t="s">
        <v>3649</v>
      </c>
      <c r="C581" s="24" t="s">
        <v>433</v>
      </c>
      <c r="D581" s="24" t="s">
        <v>431</v>
      </c>
      <c r="E581" s="24" t="s">
        <v>145</v>
      </c>
      <c r="F581" s="25" t="s">
        <v>230</v>
      </c>
    </row>
    <row r="582" spans="1:6">
      <c r="A582" s="22">
        <v>25377</v>
      </c>
      <c r="B582" s="24" t="s">
        <v>3650</v>
      </c>
      <c r="C582" s="24" t="s">
        <v>433</v>
      </c>
      <c r="D582" s="24" t="s">
        <v>431</v>
      </c>
      <c r="E582" s="24" t="s">
        <v>145</v>
      </c>
      <c r="F582" s="25" t="s">
        <v>202</v>
      </c>
    </row>
    <row r="583" spans="1:6">
      <c r="A583" s="22">
        <v>25386</v>
      </c>
      <c r="B583" s="24" t="s">
        <v>2346</v>
      </c>
      <c r="C583" s="24" t="s">
        <v>433</v>
      </c>
      <c r="D583" s="24" t="s">
        <v>431</v>
      </c>
      <c r="E583" s="24" t="s">
        <v>145</v>
      </c>
      <c r="F583" s="25" t="s">
        <v>202</v>
      </c>
    </row>
    <row r="584" spans="1:6">
      <c r="A584" s="22">
        <v>25394</v>
      </c>
      <c r="B584" s="24" t="s">
        <v>3651</v>
      </c>
      <c r="C584" s="24" t="s">
        <v>433</v>
      </c>
      <c r="D584" s="24" t="s">
        <v>431</v>
      </c>
      <c r="E584" s="24" t="s">
        <v>145</v>
      </c>
      <c r="F584" s="25" t="s">
        <v>230</v>
      </c>
    </row>
    <row r="585" spans="1:6">
      <c r="A585" s="22">
        <v>25398</v>
      </c>
      <c r="B585" s="24" t="s">
        <v>3652</v>
      </c>
      <c r="C585" s="24" t="s">
        <v>433</v>
      </c>
      <c r="D585" s="24" t="s">
        <v>431</v>
      </c>
      <c r="E585" s="24" t="s">
        <v>145</v>
      </c>
      <c r="F585" s="25" t="s">
        <v>230</v>
      </c>
    </row>
    <row r="586" spans="1:6">
      <c r="A586" s="22">
        <v>25407</v>
      </c>
      <c r="B586" s="24" t="s">
        <v>3653</v>
      </c>
      <c r="C586" s="24" t="s">
        <v>433</v>
      </c>
      <c r="D586" s="24" t="s">
        <v>431</v>
      </c>
      <c r="E586" s="24" t="s">
        <v>145</v>
      </c>
      <c r="F586" s="25" t="s">
        <v>230</v>
      </c>
    </row>
    <row r="587" spans="1:6">
      <c r="A587" s="22">
        <v>25426</v>
      </c>
      <c r="B587" s="24" t="s">
        <v>3654</v>
      </c>
      <c r="C587" s="24" t="s">
        <v>433</v>
      </c>
      <c r="D587" s="24" t="s">
        <v>431</v>
      </c>
      <c r="E587" s="24" t="s">
        <v>145</v>
      </c>
      <c r="F587" s="25" t="s">
        <v>230</v>
      </c>
    </row>
    <row r="588" spans="1:6">
      <c r="A588" s="22">
        <v>25430</v>
      </c>
      <c r="B588" s="24" t="s">
        <v>2577</v>
      </c>
      <c r="C588" s="24" t="s">
        <v>433</v>
      </c>
      <c r="D588" s="24" t="s">
        <v>431</v>
      </c>
      <c r="E588" s="24" t="s">
        <v>145</v>
      </c>
      <c r="F588" s="25" t="s">
        <v>202</v>
      </c>
    </row>
    <row r="589" spans="1:6">
      <c r="A589" s="22">
        <v>25436</v>
      </c>
      <c r="B589" s="24" t="s">
        <v>1003</v>
      </c>
      <c r="C589" s="24" t="s">
        <v>433</v>
      </c>
      <c r="D589" s="24" t="s">
        <v>431</v>
      </c>
      <c r="E589" s="24" t="s">
        <v>145</v>
      </c>
      <c r="F589" s="25" t="s">
        <v>230</v>
      </c>
    </row>
    <row r="590" spans="1:6">
      <c r="A590" s="22">
        <v>25438</v>
      </c>
      <c r="B590" s="24" t="s">
        <v>3655</v>
      </c>
      <c r="C590" s="24" t="s">
        <v>433</v>
      </c>
      <c r="D590" s="24" t="s">
        <v>260</v>
      </c>
      <c r="E590" s="24" t="s">
        <v>145</v>
      </c>
      <c r="F590" s="25" t="s">
        <v>144</v>
      </c>
    </row>
    <row r="591" spans="1:6">
      <c r="A591" s="22">
        <v>25486</v>
      </c>
      <c r="B591" s="24" t="s">
        <v>3656</v>
      </c>
      <c r="C591" s="24" t="s">
        <v>433</v>
      </c>
      <c r="D591" s="24" t="s">
        <v>431</v>
      </c>
      <c r="E591" s="24" t="s">
        <v>145</v>
      </c>
      <c r="F591" s="25" t="s">
        <v>202</v>
      </c>
    </row>
    <row r="592" spans="1:6">
      <c r="A592" s="22">
        <v>25488</v>
      </c>
      <c r="B592" s="24" t="s">
        <v>1350</v>
      </c>
      <c r="C592" s="24" t="s">
        <v>433</v>
      </c>
      <c r="D592" s="24" t="s">
        <v>431</v>
      </c>
      <c r="E592" s="24" t="s">
        <v>145</v>
      </c>
      <c r="F592" s="25" t="s">
        <v>230</v>
      </c>
    </row>
    <row r="593" spans="1:6">
      <c r="A593" s="22">
        <v>25489</v>
      </c>
      <c r="B593" s="24" t="s">
        <v>3657</v>
      </c>
      <c r="C593" s="24" t="s">
        <v>433</v>
      </c>
      <c r="D593" s="24" t="s">
        <v>431</v>
      </c>
      <c r="E593" s="24" t="s">
        <v>145</v>
      </c>
      <c r="F593" s="25" t="s">
        <v>230</v>
      </c>
    </row>
    <row r="594" spans="1:6">
      <c r="A594" s="22">
        <v>25491</v>
      </c>
      <c r="B594" s="24" t="s">
        <v>3658</v>
      </c>
      <c r="C594" s="24" t="s">
        <v>433</v>
      </c>
      <c r="D594" s="24" t="s">
        <v>431</v>
      </c>
      <c r="E594" s="24" t="s">
        <v>145</v>
      </c>
      <c r="F594" s="25" t="s">
        <v>230</v>
      </c>
    </row>
    <row r="595" spans="1:6">
      <c r="A595" s="22">
        <v>25513</v>
      </c>
      <c r="B595" s="24" t="s">
        <v>3659</v>
      </c>
      <c r="C595" s="24" t="s">
        <v>433</v>
      </c>
      <c r="D595" s="24" t="s">
        <v>431</v>
      </c>
      <c r="E595" s="24" t="s">
        <v>145</v>
      </c>
      <c r="F595" s="25" t="s">
        <v>230</v>
      </c>
    </row>
    <row r="596" spans="1:6">
      <c r="A596" s="22">
        <v>25518</v>
      </c>
      <c r="B596" s="24" t="s">
        <v>3660</v>
      </c>
      <c r="C596" s="24" t="s">
        <v>433</v>
      </c>
      <c r="D596" s="24" t="s">
        <v>431</v>
      </c>
      <c r="E596" s="24" t="s">
        <v>145</v>
      </c>
      <c r="F596" s="25" t="s">
        <v>144</v>
      </c>
    </row>
    <row r="597" spans="1:6">
      <c r="A597" s="22">
        <v>25524</v>
      </c>
      <c r="B597" s="24" t="s">
        <v>3661</v>
      </c>
      <c r="C597" s="24" t="s">
        <v>433</v>
      </c>
      <c r="D597" s="24" t="s">
        <v>431</v>
      </c>
      <c r="E597" s="24" t="s">
        <v>145</v>
      </c>
      <c r="F597" s="25" t="s">
        <v>230</v>
      </c>
    </row>
    <row r="598" spans="1:6">
      <c r="A598" s="22">
        <v>25530</v>
      </c>
      <c r="B598" s="24" t="s">
        <v>3662</v>
      </c>
      <c r="C598" s="24" t="s">
        <v>433</v>
      </c>
      <c r="D598" s="24" t="s">
        <v>260</v>
      </c>
      <c r="E598" s="24" t="s">
        <v>145</v>
      </c>
      <c r="F598" s="25" t="s">
        <v>230</v>
      </c>
    </row>
    <row r="599" spans="1:6">
      <c r="A599" s="22">
        <v>25535</v>
      </c>
      <c r="B599" s="24" t="s">
        <v>3663</v>
      </c>
      <c r="C599" s="24" t="s">
        <v>433</v>
      </c>
      <c r="D599" s="24" t="s">
        <v>431</v>
      </c>
      <c r="E599" s="24" t="s">
        <v>145</v>
      </c>
      <c r="F599" s="25" t="s">
        <v>202</v>
      </c>
    </row>
    <row r="600" spans="1:6">
      <c r="A600" s="22">
        <v>25572</v>
      </c>
      <c r="B600" s="24" t="s">
        <v>3664</v>
      </c>
      <c r="C600" s="24" t="s">
        <v>433</v>
      </c>
      <c r="D600" s="24" t="s">
        <v>431</v>
      </c>
      <c r="E600" s="24" t="s">
        <v>145</v>
      </c>
      <c r="F600" s="25" t="s">
        <v>144</v>
      </c>
    </row>
    <row r="601" spans="1:6">
      <c r="A601" s="22">
        <v>25580</v>
      </c>
      <c r="B601" s="24" t="s">
        <v>3665</v>
      </c>
      <c r="C601" s="24" t="s">
        <v>433</v>
      </c>
      <c r="D601" s="24" t="s">
        <v>431</v>
      </c>
      <c r="E601" s="24" t="s">
        <v>145</v>
      </c>
      <c r="F601" s="25" t="s">
        <v>230</v>
      </c>
    </row>
    <row r="602" spans="1:6">
      <c r="A602" s="22">
        <v>25592</v>
      </c>
      <c r="B602" s="24" t="s">
        <v>3666</v>
      </c>
      <c r="C602" s="24" t="s">
        <v>433</v>
      </c>
      <c r="D602" s="24" t="s">
        <v>431</v>
      </c>
      <c r="E602" s="24" t="s">
        <v>145</v>
      </c>
      <c r="F602" s="25" t="s">
        <v>230</v>
      </c>
    </row>
    <row r="603" spans="1:6">
      <c r="A603" s="22">
        <v>25594</v>
      </c>
      <c r="B603" s="24" t="s">
        <v>3667</v>
      </c>
      <c r="C603" s="24" t="s">
        <v>433</v>
      </c>
      <c r="D603" s="24" t="s">
        <v>431</v>
      </c>
      <c r="E603" s="24" t="s">
        <v>145</v>
      </c>
      <c r="F603" s="25" t="s">
        <v>230</v>
      </c>
    </row>
    <row r="604" spans="1:6">
      <c r="A604" s="22">
        <v>25596</v>
      </c>
      <c r="B604" s="24" t="s">
        <v>3668</v>
      </c>
      <c r="C604" s="24" t="s">
        <v>433</v>
      </c>
      <c r="D604" s="24" t="s">
        <v>431</v>
      </c>
      <c r="E604" s="24" t="s">
        <v>145</v>
      </c>
      <c r="F604" s="25" t="s">
        <v>230</v>
      </c>
    </row>
    <row r="605" spans="1:6">
      <c r="A605" s="22">
        <v>25645</v>
      </c>
      <c r="B605" s="24" t="s">
        <v>3669</v>
      </c>
      <c r="C605" s="24" t="s">
        <v>433</v>
      </c>
      <c r="D605" s="24" t="s">
        <v>431</v>
      </c>
      <c r="E605" s="24" t="s">
        <v>145</v>
      </c>
      <c r="F605" s="25" t="s">
        <v>202</v>
      </c>
    </row>
    <row r="606" spans="1:6">
      <c r="A606" s="22">
        <v>25662</v>
      </c>
      <c r="B606" s="24" t="s">
        <v>3670</v>
      </c>
      <c r="C606" s="24" t="s">
        <v>433</v>
      </c>
      <c r="D606" s="24" t="s">
        <v>431</v>
      </c>
      <c r="E606" s="24" t="s">
        <v>145</v>
      </c>
      <c r="F606" s="25" t="s">
        <v>230</v>
      </c>
    </row>
    <row r="607" spans="1:6">
      <c r="A607" s="22">
        <v>25718</v>
      </c>
      <c r="B607" s="24" t="s">
        <v>3671</v>
      </c>
      <c r="C607" s="24" t="s">
        <v>433</v>
      </c>
      <c r="D607" s="24" t="s">
        <v>431</v>
      </c>
      <c r="E607" s="24" t="s">
        <v>145</v>
      </c>
      <c r="F607" s="25" t="s">
        <v>202</v>
      </c>
    </row>
    <row r="608" spans="1:6">
      <c r="A608" s="22">
        <v>25736</v>
      </c>
      <c r="B608" s="24" t="s">
        <v>3672</v>
      </c>
      <c r="C608" s="24" t="s">
        <v>433</v>
      </c>
      <c r="D608" s="24" t="s">
        <v>431</v>
      </c>
      <c r="E608" s="24" t="s">
        <v>145</v>
      </c>
      <c r="F608" s="25" t="s">
        <v>202</v>
      </c>
    </row>
    <row r="609" spans="1:6">
      <c r="A609" s="22">
        <v>25740</v>
      </c>
      <c r="B609" s="24" t="s">
        <v>2157</v>
      </c>
      <c r="C609" s="24" t="s">
        <v>433</v>
      </c>
      <c r="D609" s="24" t="s">
        <v>431</v>
      </c>
      <c r="E609" s="24" t="s">
        <v>145</v>
      </c>
      <c r="F609" s="25" t="s">
        <v>202</v>
      </c>
    </row>
    <row r="610" spans="1:6">
      <c r="A610" s="22">
        <v>25743</v>
      </c>
      <c r="B610" s="24" t="s">
        <v>1923</v>
      </c>
      <c r="C610" s="24" t="s">
        <v>433</v>
      </c>
      <c r="D610" s="24" t="s">
        <v>431</v>
      </c>
      <c r="E610" s="24" t="s">
        <v>145</v>
      </c>
      <c r="F610" s="25" t="s">
        <v>202</v>
      </c>
    </row>
    <row r="611" spans="1:6">
      <c r="A611" s="22">
        <v>25745</v>
      </c>
      <c r="B611" s="24" t="s">
        <v>3673</v>
      </c>
      <c r="C611" s="24" t="s">
        <v>433</v>
      </c>
      <c r="D611" s="24" t="s">
        <v>203</v>
      </c>
      <c r="E611" s="24" t="s">
        <v>145</v>
      </c>
      <c r="F611" s="25" t="s">
        <v>230</v>
      </c>
    </row>
    <row r="612" spans="1:6">
      <c r="A612" s="22">
        <v>25754</v>
      </c>
      <c r="B612" s="24" t="s">
        <v>1110</v>
      </c>
      <c r="C612" s="24" t="s">
        <v>433</v>
      </c>
      <c r="D612" s="24" t="s">
        <v>431</v>
      </c>
      <c r="E612" s="24" t="s">
        <v>145</v>
      </c>
      <c r="F612" s="25" t="s">
        <v>52</v>
      </c>
    </row>
    <row r="613" spans="1:6">
      <c r="A613" s="22">
        <v>25758</v>
      </c>
      <c r="B613" s="24" t="s">
        <v>3674</v>
      </c>
      <c r="C613" s="24" t="s">
        <v>433</v>
      </c>
      <c r="D613" s="24" t="s">
        <v>431</v>
      </c>
      <c r="E613" s="24" t="s">
        <v>145</v>
      </c>
      <c r="F613" s="25" t="s">
        <v>202</v>
      </c>
    </row>
    <row r="614" spans="1:6">
      <c r="A614" s="22">
        <v>25769</v>
      </c>
      <c r="B614" s="24" t="s">
        <v>3675</v>
      </c>
      <c r="C614" s="24" t="s">
        <v>433</v>
      </c>
      <c r="D614" s="24" t="s">
        <v>431</v>
      </c>
      <c r="E614" s="24" t="s">
        <v>145</v>
      </c>
      <c r="F614" s="25" t="s">
        <v>202</v>
      </c>
    </row>
    <row r="615" spans="1:6">
      <c r="A615" s="22">
        <v>25772</v>
      </c>
      <c r="B615" s="24" t="s">
        <v>3676</v>
      </c>
      <c r="C615" s="24" t="s">
        <v>433</v>
      </c>
      <c r="D615" s="24" t="s">
        <v>431</v>
      </c>
      <c r="E615" s="24" t="s">
        <v>145</v>
      </c>
      <c r="F615" s="25" t="s">
        <v>202</v>
      </c>
    </row>
    <row r="616" spans="1:6">
      <c r="A616" s="22">
        <v>25777</v>
      </c>
      <c r="B616" s="24" t="s">
        <v>3677</v>
      </c>
      <c r="C616" s="24" t="s">
        <v>433</v>
      </c>
      <c r="D616" s="24" t="s">
        <v>431</v>
      </c>
      <c r="E616" s="24" t="s">
        <v>145</v>
      </c>
      <c r="F616" s="25" t="s">
        <v>202</v>
      </c>
    </row>
    <row r="617" spans="1:6">
      <c r="A617" s="22">
        <v>25779</v>
      </c>
      <c r="B617" s="24" t="s">
        <v>3678</v>
      </c>
      <c r="C617" s="24" t="s">
        <v>433</v>
      </c>
      <c r="D617" s="24" t="s">
        <v>431</v>
      </c>
      <c r="E617" s="24" t="s">
        <v>145</v>
      </c>
      <c r="F617" s="25" t="s">
        <v>230</v>
      </c>
    </row>
    <row r="618" spans="1:6">
      <c r="A618" s="22">
        <v>25781</v>
      </c>
      <c r="B618" s="24" t="s">
        <v>634</v>
      </c>
      <c r="C618" s="24" t="s">
        <v>433</v>
      </c>
      <c r="D618" s="24" t="s">
        <v>431</v>
      </c>
      <c r="E618" s="24" t="s">
        <v>145</v>
      </c>
      <c r="F618" s="25" t="s">
        <v>202</v>
      </c>
    </row>
    <row r="619" spans="1:6">
      <c r="A619" s="22">
        <v>25785</v>
      </c>
      <c r="B619" s="24" t="s">
        <v>3679</v>
      </c>
      <c r="C619" s="24" t="s">
        <v>433</v>
      </c>
      <c r="D619" s="24" t="s">
        <v>431</v>
      </c>
      <c r="E619" s="24" t="s">
        <v>145</v>
      </c>
      <c r="F619" s="25" t="s">
        <v>202</v>
      </c>
    </row>
    <row r="620" spans="1:6">
      <c r="A620" s="22">
        <v>25793</v>
      </c>
      <c r="B620" s="24" t="s">
        <v>3680</v>
      </c>
      <c r="C620" s="24" t="s">
        <v>433</v>
      </c>
      <c r="D620" s="24" t="s">
        <v>431</v>
      </c>
      <c r="E620" s="24" t="s">
        <v>145</v>
      </c>
      <c r="F620" s="25" t="s">
        <v>202</v>
      </c>
    </row>
    <row r="621" spans="1:6">
      <c r="A621" s="22">
        <v>25797</v>
      </c>
      <c r="B621" s="24" t="s">
        <v>617</v>
      </c>
      <c r="C621" s="24" t="s">
        <v>433</v>
      </c>
      <c r="D621" s="24" t="s">
        <v>431</v>
      </c>
      <c r="E621" s="24" t="s">
        <v>145</v>
      </c>
      <c r="F621" s="25" t="s">
        <v>202</v>
      </c>
    </row>
    <row r="622" spans="1:6">
      <c r="A622" s="22">
        <v>25799</v>
      </c>
      <c r="B622" s="24" t="s">
        <v>3681</v>
      </c>
      <c r="C622" s="24" t="s">
        <v>433</v>
      </c>
      <c r="D622" s="24" t="s">
        <v>431</v>
      </c>
      <c r="E622" s="24" t="s">
        <v>145</v>
      </c>
      <c r="F622" s="25" t="s">
        <v>202</v>
      </c>
    </row>
    <row r="623" spans="1:6">
      <c r="A623" s="22">
        <v>25805</v>
      </c>
      <c r="B623" s="24" t="s">
        <v>3682</v>
      </c>
      <c r="C623" s="24" t="s">
        <v>433</v>
      </c>
      <c r="D623" s="24" t="s">
        <v>431</v>
      </c>
      <c r="E623" s="24" t="s">
        <v>145</v>
      </c>
      <c r="F623" s="25" t="s">
        <v>202</v>
      </c>
    </row>
    <row r="624" spans="1:6">
      <c r="A624" s="22">
        <v>25807</v>
      </c>
      <c r="B624" s="24" t="s">
        <v>3683</v>
      </c>
      <c r="C624" s="24" t="s">
        <v>433</v>
      </c>
      <c r="D624" s="24" t="s">
        <v>431</v>
      </c>
      <c r="E624" s="24" t="s">
        <v>145</v>
      </c>
      <c r="F624" s="25" t="s">
        <v>230</v>
      </c>
    </row>
    <row r="625" spans="1:6">
      <c r="A625" s="22">
        <v>25815</v>
      </c>
      <c r="B625" s="24" t="s">
        <v>3684</v>
      </c>
      <c r="C625" s="24" t="s">
        <v>433</v>
      </c>
      <c r="D625" s="24" t="s">
        <v>431</v>
      </c>
      <c r="E625" s="24" t="s">
        <v>145</v>
      </c>
      <c r="F625" s="25" t="s">
        <v>230</v>
      </c>
    </row>
    <row r="626" spans="1:6">
      <c r="A626" s="22">
        <v>25817</v>
      </c>
      <c r="B626" s="24" t="s">
        <v>3685</v>
      </c>
      <c r="C626" s="24" t="s">
        <v>433</v>
      </c>
      <c r="D626" s="24" t="s">
        <v>431</v>
      </c>
      <c r="E626" s="24" t="s">
        <v>145</v>
      </c>
      <c r="F626" s="25" t="s">
        <v>202</v>
      </c>
    </row>
    <row r="627" spans="1:6">
      <c r="A627" s="22">
        <v>25823</v>
      </c>
      <c r="B627" s="24" t="s">
        <v>3686</v>
      </c>
      <c r="C627" s="24" t="s">
        <v>433</v>
      </c>
      <c r="D627" s="24" t="s">
        <v>431</v>
      </c>
      <c r="E627" s="24" t="s">
        <v>145</v>
      </c>
      <c r="F627" s="25" t="s">
        <v>230</v>
      </c>
    </row>
    <row r="628" spans="1:6">
      <c r="A628" s="22">
        <v>25839</v>
      </c>
      <c r="B628" s="24" t="s">
        <v>3687</v>
      </c>
      <c r="C628" s="24" t="s">
        <v>433</v>
      </c>
      <c r="D628" s="24" t="s">
        <v>431</v>
      </c>
      <c r="E628" s="24" t="s">
        <v>145</v>
      </c>
      <c r="F628" s="25" t="s">
        <v>230</v>
      </c>
    </row>
    <row r="629" spans="1:6">
      <c r="A629" s="22">
        <v>25841</v>
      </c>
      <c r="B629" s="24" t="s">
        <v>3688</v>
      </c>
      <c r="C629" s="24" t="s">
        <v>433</v>
      </c>
      <c r="D629" s="24" t="s">
        <v>431</v>
      </c>
      <c r="E629" s="24" t="s">
        <v>145</v>
      </c>
      <c r="F629" s="25" t="s">
        <v>202</v>
      </c>
    </row>
    <row r="630" spans="1:6">
      <c r="A630" s="22">
        <v>25845</v>
      </c>
      <c r="B630" s="24" t="s">
        <v>3689</v>
      </c>
      <c r="C630" s="24" t="s">
        <v>433</v>
      </c>
      <c r="D630" s="24" t="s">
        <v>431</v>
      </c>
      <c r="E630" s="24" t="s">
        <v>145</v>
      </c>
      <c r="F630" s="25" t="s">
        <v>202</v>
      </c>
    </row>
    <row r="631" spans="1:6">
      <c r="A631" s="22">
        <v>25851</v>
      </c>
      <c r="B631" s="24" t="s">
        <v>3690</v>
      </c>
      <c r="C631" s="24" t="s">
        <v>433</v>
      </c>
      <c r="D631" s="24" t="s">
        <v>431</v>
      </c>
      <c r="E631" s="24" t="s">
        <v>145</v>
      </c>
      <c r="F631" s="25" t="s">
        <v>230</v>
      </c>
    </row>
    <row r="632" spans="1:6">
      <c r="A632" s="22">
        <v>25862</v>
      </c>
      <c r="B632" s="24" t="s">
        <v>3691</v>
      </c>
      <c r="C632" s="24" t="s">
        <v>433</v>
      </c>
      <c r="D632" s="24" t="s">
        <v>431</v>
      </c>
      <c r="E632" s="24" t="s">
        <v>145</v>
      </c>
      <c r="F632" s="25" t="s">
        <v>230</v>
      </c>
    </row>
    <row r="633" spans="1:6">
      <c r="A633" s="22">
        <v>25867</v>
      </c>
      <c r="B633" s="24" t="s">
        <v>3692</v>
      </c>
      <c r="C633" s="24" t="s">
        <v>433</v>
      </c>
      <c r="D633" s="24" t="s">
        <v>431</v>
      </c>
      <c r="E633" s="24" t="s">
        <v>145</v>
      </c>
      <c r="F633" s="25" t="s">
        <v>230</v>
      </c>
    </row>
    <row r="634" spans="1:6">
      <c r="A634" s="22">
        <v>25843</v>
      </c>
      <c r="B634" s="24" t="s">
        <v>1009</v>
      </c>
      <c r="C634" s="24" t="s">
        <v>433</v>
      </c>
      <c r="D634" s="24" t="s">
        <v>431</v>
      </c>
      <c r="E634" s="24" t="s">
        <v>145</v>
      </c>
      <c r="F634" s="25" t="s">
        <v>202</v>
      </c>
    </row>
    <row r="635" spans="1:6">
      <c r="A635" s="22">
        <v>25871</v>
      </c>
      <c r="B635" s="24" t="s">
        <v>3693</v>
      </c>
      <c r="C635" s="24" t="s">
        <v>433</v>
      </c>
      <c r="D635" s="24" t="s">
        <v>431</v>
      </c>
      <c r="E635" s="24" t="s">
        <v>145</v>
      </c>
      <c r="F635" s="25" t="s">
        <v>230</v>
      </c>
    </row>
    <row r="636" spans="1:6">
      <c r="A636" s="22">
        <v>25873</v>
      </c>
      <c r="B636" s="24" t="s">
        <v>3694</v>
      </c>
      <c r="C636" s="24" t="s">
        <v>433</v>
      </c>
      <c r="D636" s="24" t="s">
        <v>203</v>
      </c>
      <c r="E636" s="24" t="s">
        <v>145</v>
      </c>
      <c r="F636" s="25" t="s">
        <v>202</v>
      </c>
    </row>
    <row r="637" spans="1:6">
      <c r="A637" s="22">
        <v>25875</v>
      </c>
      <c r="B637" s="24" t="s">
        <v>3695</v>
      </c>
      <c r="C637" s="24" t="s">
        <v>433</v>
      </c>
      <c r="D637" s="24" t="s">
        <v>431</v>
      </c>
      <c r="E637" s="24" t="s">
        <v>145</v>
      </c>
      <c r="F637" s="25" t="s">
        <v>202</v>
      </c>
    </row>
    <row r="638" spans="1:6">
      <c r="A638" s="22">
        <v>25878</v>
      </c>
      <c r="B638" s="24" t="s">
        <v>3696</v>
      </c>
      <c r="C638" s="24" t="s">
        <v>433</v>
      </c>
      <c r="D638" s="24" t="s">
        <v>431</v>
      </c>
      <c r="E638" s="24" t="s">
        <v>145</v>
      </c>
      <c r="F638" s="25" t="s">
        <v>230</v>
      </c>
    </row>
    <row r="639" spans="1:6">
      <c r="A639" s="22">
        <v>25885</v>
      </c>
      <c r="B639" s="24" t="s">
        <v>3697</v>
      </c>
      <c r="C639" s="24" t="s">
        <v>433</v>
      </c>
      <c r="D639" s="24" t="s">
        <v>431</v>
      </c>
      <c r="E639" s="24" t="s">
        <v>145</v>
      </c>
      <c r="F639" s="25" t="s">
        <v>144</v>
      </c>
    </row>
    <row r="640" spans="1:6">
      <c r="A640" s="22">
        <v>25898</v>
      </c>
      <c r="B640" s="24" t="s">
        <v>3698</v>
      </c>
      <c r="C640" s="24" t="s">
        <v>433</v>
      </c>
      <c r="D640" s="24" t="s">
        <v>431</v>
      </c>
      <c r="E640" s="24" t="s">
        <v>145</v>
      </c>
      <c r="F640" s="25" t="s">
        <v>202</v>
      </c>
    </row>
    <row r="641" spans="1:6">
      <c r="A641" s="22">
        <v>25899</v>
      </c>
      <c r="B641" s="24" t="s">
        <v>546</v>
      </c>
      <c r="C641" s="24" t="s">
        <v>433</v>
      </c>
      <c r="D641" s="24" t="s">
        <v>431</v>
      </c>
      <c r="E641" s="24" t="s">
        <v>145</v>
      </c>
      <c r="F641" s="25" t="s">
        <v>202</v>
      </c>
    </row>
    <row r="642" spans="1:6">
      <c r="A642" s="22">
        <v>94884</v>
      </c>
      <c r="B642" s="23" t="s">
        <v>3328</v>
      </c>
      <c r="C642" s="24" t="s">
        <v>3699</v>
      </c>
      <c r="D642" s="24" t="s">
        <v>260</v>
      </c>
      <c r="E642" s="24" t="s">
        <v>1369</v>
      </c>
      <c r="F642" s="25" t="s">
        <v>160</v>
      </c>
    </row>
    <row r="643" spans="1:6">
      <c r="A643" s="22">
        <v>94343</v>
      </c>
      <c r="B643" s="24" t="s">
        <v>3700</v>
      </c>
      <c r="C643" s="24" t="s">
        <v>3699</v>
      </c>
      <c r="D643" s="24" t="s">
        <v>260</v>
      </c>
      <c r="E643" s="24" t="s">
        <v>1369</v>
      </c>
      <c r="F643" s="25" t="s">
        <v>160</v>
      </c>
    </row>
    <row r="644" spans="1:6">
      <c r="A644" s="22">
        <v>94886</v>
      </c>
      <c r="B644" s="24" t="s">
        <v>3701</v>
      </c>
      <c r="C644" s="24" t="s">
        <v>3699</v>
      </c>
      <c r="D644" s="24" t="s">
        <v>260</v>
      </c>
      <c r="E644" s="24" t="s">
        <v>1369</v>
      </c>
      <c r="F644" s="25" t="s">
        <v>160</v>
      </c>
    </row>
    <row r="645" spans="1:6">
      <c r="A645" s="22">
        <v>94001</v>
      </c>
      <c r="B645" s="24" t="s">
        <v>3702</v>
      </c>
      <c r="C645" s="24" t="s">
        <v>3699</v>
      </c>
      <c r="D645" s="24" t="s">
        <v>431</v>
      </c>
      <c r="E645" s="24" t="s">
        <v>1369</v>
      </c>
      <c r="F645" s="25" t="s">
        <v>160</v>
      </c>
    </row>
    <row r="646" spans="1:6">
      <c r="A646" s="22">
        <v>94885</v>
      </c>
      <c r="B646" s="24" t="s">
        <v>3703</v>
      </c>
      <c r="C646" s="24" t="s">
        <v>3699</v>
      </c>
      <c r="D646" s="24" t="s">
        <v>260</v>
      </c>
      <c r="E646" s="24" t="s">
        <v>1369</v>
      </c>
      <c r="F646" s="25" t="s">
        <v>160</v>
      </c>
    </row>
    <row r="647" spans="1:6">
      <c r="A647" s="22">
        <v>94663</v>
      </c>
      <c r="B647" s="24" t="s">
        <v>3704</v>
      </c>
      <c r="C647" s="24" t="s">
        <v>3699</v>
      </c>
      <c r="D647" s="24" t="s">
        <v>260</v>
      </c>
      <c r="E647" s="24" t="s">
        <v>1369</v>
      </c>
      <c r="F647" s="25" t="s">
        <v>160</v>
      </c>
    </row>
    <row r="648" spans="1:6">
      <c r="A648" s="22">
        <v>94888</v>
      </c>
      <c r="B648" s="24" t="s">
        <v>3705</v>
      </c>
      <c r="C648" s="24" t="s">
        <v>3699</v>
      </c>
      <c r="D648" s="24" t="s">
        <v>260</v>
      </c>
      <c r="E648" s="24" t="s">
        <v>1369</v>
      </c>
      <c r="F648" s="25" t="s">
        <v>160</v>
      </c>
    </row>
    <row r="649" spans="1:6">
      <c r="A649" s="22">
        <v>94887</v>
      </c>
      <c r="B649" s="24" t="s">
        <v>3706</v>
      </c>
      <c r="C649" s="24" t="s">
        <v>3699</v>
      </c>
      <c r="D649" s="24" t="s">
        <v>260</v>
      </c>
      <c r="E649" s="24" t="s">
        <v>1369</v>
      </c>
      <c r="F649" s="25" t="s">
        <v>160</v>
      </c>
    </row>
    <row r="650" spans="1:6">
      <c r="A650" s="22">
        <v>94883</v>
      </c>
      <c r="B650" s="24" t="s">
        <v>3707</v>
      </c>
      <c r="C650" s="24" t="s">
        <v>3699</v>
      </c>
      <c r="D650" s="24" t="s">
        <v>260</v>
      </c>
      <c r="E650" s="24" t="s">
        <v>1369</v>
      </c>
      <c r="F650" s="25" t="s">
        <v>160</v>
      </c>
    </row>
    <row r="651" spans="1:6">
      <c r="A651" s="22">
        <v>95015</v>
      </c>
      <c r="B651" s="23" t="s">
        <v>3345</v>
      </c>
      <c r="C651" s="24" t="s">
        <v>3708</v>
      </c>
      <c r="D651" s="24" t="s">
        <v>260</v>
      </c>
      <c r="E651" s="24" t="s">
        <v>1369</v>
      </c>
      <c r="F651" s="25" t="s">
        <v>160</v>
      </c>
    </row>
    <row r="652" spans="1:6">
      <c r="A652" s="22">
        <v>95200</v>
      </c>
      <c r="B652" s="23" t="s">
        <v>3387</v>
      </c>
      <c r="C652" s="24" t="s">
        <v>3708</v>
      </c>
      <c r="D652" s="24" t="s">
        <v>260</v>
      </c>
      <c r="E652" s="24" t="s">
        <v>1369</v>
      </c>
      <c r="F652" s="25" t="s">
        <v>160</v>
      </c>
    </row>
    <row r="653" spans="1:6">
      <c r="A653" s="22">
        <v>95025</v>
      </c>
      <c r="B653" s="24" t="s">
        <v>3709</v>
      </c>
      <c r="C653" s="24" t="s">
        <v>3708</v>
      </c>
      <c r="D653" s="24" t="s">
        <v>260</v>
      </c>
      <c r="E653" s="24" t="s">
        <v>145</v>
      </c>
      <c r="F653" s="25" t="s">
        <v>144</v>
      </c>
    </row>
    <row r="654" spans="1:6">
      <c r="A654" s="22">
        <v>95001</v>
      </c>
      <c r="B654" s="24" t="s">
        <v>3710</v>
      </c>
      <c r="C654" s="24" t="s">
        <v>3708</v>
      </c>
      <c r="D654" s="24" t="s">
        <v>260</v>
      </c>
      <c r="E654" s="24" t="s">
        <v>145</v>
      </c>
      <c r="F654" s="25" t="s">
        <v>144</v>
      </c>
    </row>
    <row r="655" spans="1:6">
      <c r="A655" s="22">
        <v>41319</v>
      </c>
      <c r="B655" s="23" t="s">
        <v>3248</v>
      </c>
      <c r="C655" s="24" t="s">
        <v>213</v>
      </c>
      <c r="D655" s="24" t="s">
        <v>130</v>
      </c>
      <c r="E655" s="24" t="s">
        <v>145</v>
      </c>
      <c r="F655" s="25" t="s">
        <v>230</v>
      </c>
    </row>
    <row r="656" spans="1:6">
      <c r="A656" s="22">
        <v>41530</v>
      </c>
      <c r="B656" s="23" t="s">
        <v>2007</v>
      </c>
      <c r="C656" s="24" t="s">
        <v>213</v>
      </c>
      <c r="D656" s="24" t="s">
        <v>130</v>
      </c>
      <c r="E656" s="24" t="s">
        <v>145</v>
      </c>
      <c r="F656" s="25" t="s">
        <v>144</v>
      </c>
    </row>
    <row r="657" spans="1:6">
      <c r="A657" s="22">
        <v>41676</v>
      </c>
      <c r="B657" s="23" t="s">
        <v>3389</v>
      </c>
      <c r="C657" s="24" t="s">
        <v>213</v>
      </c>
      <c r="D657" s="24" t="s">
        <v>130</v>
      </c>
      <c r="E657" s="24" t="s">
        <v>145</v>
      </c>
      <c r="F657" s="25" t="s">
        <v>230</v>
      </c>
    </row>
    <row r="658" spans="1:6">
      <c r="A658" s="22">
        <v>41006</v>
      </c>
      <c r="B658" s="24" t="s">
        <v>3711</v>
      </c>
      <c r="C658" s="24" t="s">
        <v>213</v>
      </c>
      <c r="D658" s="24" t="s">
        <v>130</v>
      </c>
      <c r="E658" s="24" t="s">
        <v>145</v>
      </c>
      <c r="F658" s="25" t="s">
        <v>230</v>
      </c>
    </row>
    <row r="659" spans="1:6">
      <c r="A659" s="22">
        <v>41013</v>
      </c>
      <c r="B659" s="24" t="s">
        <v>3712</v>
      </c>
      <c r="C659" s="24" t="s">
        <v>213</v>
      </c>
      <c r="D659" s="24" t="s">
        <v>130</v>
      </c>
      <c r="E659" s="24" t="s">
        <v>145</v>
      </c>
      <c r="F659" s="25" t="s">
        <v>230</v>
      </c>
    </row>
    <row r="660" spans="1:6">
      <c r="A660" s="22">
        <v>41016</v>
      </c>
      <c r="B660" s="24" t="s">
        <v>1667</v>
      </c>
      <c r="C660" s="24" t="s">
        <v>213</v>
      </c>
      <c r="D660" s="24" t="s">
        <v>130</v>
      </c>
      <c r="E660" s="24" t="s">
        <v>145</v>
      </c>
      <c r="F660" s="25" t="s">
        <v>202</v>
      </c>
    </row>
    <row r="661" spans="1:6">
      <c r="A661" s="22">
        <v>41020</v>
      </c>
      <c r="B661" s="24" t="s">
        <v>1048</v>
      </c>
      <c r="C661" s="24" t="s">
        <v>213</v>
      </c>
      <c r="D661" s="24" t="s">
        <v>130</v>
      </c>
      <c r="E661" s="24" t="s">
        <v>145</v>
      </c>
      <c r="F661" s="25" t="s">
        <v>202</v>
      </c>
    </row>
    <row r="662" spans="1:6">
      <c r="A662" s="22">
        <v>41026</v>
      </c>
      <c r="B662" s="24" t="s">
        <v>3713</v>
      </c>
      <c r="C662" s="24" t="s">
        <v>213</v>
      </c>
      <c r="D662" s="24" t="s">
        <v>130</v>
      </c>
      <c r="E662" s="24" t="s">
        <v>145</v>
      </c>
      <c r="F662" s="25" t="s">
        <v>230</v>
      </c>
    </row>
    <row r="663" spans="1:6">
      <c r="A663" s="22">
        <v>41078</v>
      </c>
      <c r="B663" s="24" t="s">
        <v>3714</v>
      </c>
      <c r="C663" s="24" t="s">
        <v>213</v>
      </c>
      <c r="D663" s="24" t="s">
        <v>130</v>
      </c>
      <c r="E663" s="24" t="s">
        <v>145</v>
      </c>
      <c r="F663" s="25" t="s">
        <v>202</v>
      </c>
    </row>
    <row r="664" spans="1:6">
      <c r="A664" s="22">
        <v>41132</v>
      </c>
      <c r="B664" s="24" t="s">
        <v>3715</v>
      </c>
      <c r="C664" s="24" t="s">
        <v>213</v>
      </c>
      <c r="D664" s="24" t="s">
        <v>130</v>
      </c>
      <c r="E664" s="24" t="s">
        <v>145</v>
      </c>
      <c r="F664" s="25" t="s">
        <v>202</v>
      </c>
    </row>
    <row r="665" spans="1:6">
      <c r="A665" s="22">
        <v>41206</v>
      </c>
      <c r="B665" s="24" t="s">
        <v>3716</v>
      </c>
      <c r="C665" s="24" t="s">
        <v>213</v>
      </c>
      <c r="D665" s="24" t="s">
        <v>130</v>
      </c>
      <c r="E665" s="24" t="s">
        <v>145</v>
      </c>
      <c r="F665" s="25" t="s">
        <v>230</v>
      </c>
    </row>
    <row r="666" spans="1:6">
      <c r="A666" s="22">
        <v>41244</v>
      </c>
      <c r="B666" s="24" t="s">
        <v>3717</v>
      </c>
      <c r="C666" s="24" t="s">
        <v>213</v>
      </c>
      <c r="D666" s="24" t="s">
        <v>130</v>
      </c>
      <c r="E666" s="24" t="s">
        <v>145</v>
      </c>
      <c r="F666" s="25" t="s">
        <v>230</v>
      </c>
    </row>
    <row r="667" spans="1:6">
      <c r="A667" s="22">
        <v>41298</v>
      </c>
      <c r="B667" s="24" t="s">
        <v>1672</v>
      </c>
      <c r="C667" s="24" t="s">
        <v>213</v>
      </c>
      <c r="D667" s="24" t="s">
        <v>130</v>
      </c>
      <c r="E667" s="24" t="s">
        <v>145</v>
      </c>
      <c r="F667" s="25" t="s">
        <v>230</v>
      </c>
    </row>
    <row r="668" spans="1:6">
      <c r="A668" s="22">
        <v>41306</v>
      </c>
      <c r="B668" s="24" t="s">
        <v>214</v>
      </c>
      <c r="C668" s="24" t="s">
        <v>213</v>
      </c>
      <c r="D668" s="24" t="s">
        <v>130</v>
      </c>
      <c r="E668" s="24" t="s">
        <v>145</v>
      </c>
      <c r="F668" s="25" t="s">
        <v>202</v>
      </c>
    </row>
    <row r="669" spans="1:6">
      <c r="A669" s="22">
        <v>41349</v>
      </c>
      <c r="B669" s="24" t="s">
        <v>3718</v>
      </c>
      <c r="C669" s="24" t="s">
        <v>213</v>
      </c>
      <c r="D669" s="24" t="s">
        <v>130</v>
      </c>
      <c r="E669" s="24" t="s">
        <v>145</v>
      </c>
      <c r="F669" s="25" t="s">
        <v>202</v>
      </c>
    </row>
    <row r="670" spans="1:6">
      <c r="A670" s="22">
        <v>41357</v>
      </c>
      <c r="B670" s="24" t="s">
        <v>3719</v>
      </c>
      <c r="C670" s="24" t="s">
        <v>213</v>
      </c>
      <c r="D670" s="24" t="s">
        <v>130</v>
      </c>
      <c r="E670" s="24" t="s">
        <v>145</v>
      </c>
      <c r="F670" s="25" t="s">
        <v>202</v>
      </c>
    </row>
    <row r="671" spans="1:6">
      <c r="A671" s="22">
        <v>41359</v>
      </c>
      <c r="B671" s="24" t="s">
        <v>3720</v>
      </c>
      <c r="C671" s="24" t="s">
        <v>213</v>
      </c>
      <c r="D671" s="24" t="s">
        <v>130</v>
      </c>
      <c r="E671" s="24" t="s">
        <v>145</v>
      </c>
      <c r="F671" s="25" t="s">
        <v>144</v>
      </c>
    </row>
    <row r="672" spans="1:6">
      <c r="A672" s="22">
        <v>41378</v>
      </c>
      <c r="B672" s="24" t="s">
        <v>3721</v>
      </c>
      <c r="C672" s="24" t="s">
        <v>213</v>
      </c>
      <c r="D672" s="24" t="s">
        <v>130</v>
      </c>
      <c r="E672" s="24" t="s">
        <v>145</v>
      </c>
      <c r="F672" s="25" t="s">
        <v>230</v>
      </c>
    </row>
    <row r="673" spans="1:6">
      <c r="A673" s="22">
        <v>41396</v>
      </c>
      <c r="B673" s="24" t="s">
        <v>310</v>
      </c>
      <c r="C673" s="24" t="s">
        <v>213</v>
      </c>
      <c r="D673" s="24" t="s">
        <v>130</v>
      </c>
      <c r="E673" s="24" t="s">
        <v>145</v>
      </c>
      <c r="F673" s="25" t="s">
        <v>230</v>
      </c>
    </row>
    <row r="674" spans="1:6">
      <c r="A674" s="22">
        <v>41483</v>
      </c>
      <c r="B674" s="24" t="s">
        <v>3722</v>
      </c>
      <c r="C674" s="24" t="s">
        <v>213</v>
      </c>
      <c r="D674" s="24" t="s">
        <v>130</v>
      </c>
      <c r="E674" s="24" t="s">
        <v>145</v>
      </c>
      <c r="F674" s="25" t="s">
        <v>230</v>
      </c>
    </row>
    <row r="675" spans="1:6">
      <c r="A675" s="22">
        <v>41001</v>
      </c>
      <c r="B675" s="24" t="s">
        <v>130</v>
      </c>
      <c r="C675" s="24" t="s">
        <v>213</v>
      </c>
      <c r="D675" s="24" t="s">
        <v>130</v>
      </c>
      <c r="E675" s="24" t="s">
        <v>145</v>
      </c>
      <c r="F675" s="25" t="s">
        <v>52</v>
      </c>
    </row>
    <row r="676" spans="1:6">
      <c r="A676" s="22">
        <v>41503</v>
      </c>
      <c r="B676" s="24" t="s">
        <v>3723</v>
      </c>
      <c r="C676" s="24" t="s">
        <v>213</v>
      </c>
      <c r="D676" s="24" t="s">
        <v>130</v>
      </c>
      <c r="E676" s="24" t="s">
        <v>145</v>
      </c>
      <c r="F676" s="25" t="s">
        <v>144</v>
      </c>
    </row>
    <row r="677" spans="1:6">
      <c r="A677" s="22">
        <v>41518</v>
      </c>
      <c r="B677" s="24" t="s">
        <v>3724</v>
      </c>
      <c r="C677" s="24" t="s">
        <v>213</v>
      </c>
      <c r="D677" s="24" t="s">
        <v>130</v>
      </c>
      <c r="E677" s="24" t="s">
        <v>145</v>
      </c>
      <c r="F677" s="25" t="s">
        <v>202</v>
      </c>
    </row>
    <row r="678" spans="1:6">
      <c r="A678" s="22">
        <v>41524</v>
      </c>
      <c r="B678" s="24" t="s">
        <v>3725</v>
      </c>
      <c r="C678" s="24" t="s">
        <v>213</v>
      </c>
      <c r="D678" s="24" t="s">
        <v>130</v>
      </c>
      <c r="E678" s="24" t="s">
        <v>145</v>
      </c>
      <c r="F678" s="25" t="s">
        <v>52</v>
      </c>
    </row>
    <row r="679" spans="1:6">
      <c r="A679" s="22">
        <v>41548</v>
      </c>
      <c r="B679" s="24" t="s">
        <v>3726</v>
      </c>
      <c r="C679" s="24" t="s">
        <v>213</v>
      </c>
      <c r="D679" s="24" t="s">
        <v>130</v>
      </c>
      <c r="E679" s="24" t="s">
        <v>145</v>
      </c>
      <c r="F679" s="25" t="s">
        <v>230</v>
      </c>
    </row>
    <row r="680" spans="1:6">
      <c r="A680" s="22">
        <v>41551</v>
      </c>
      <c r="B680" s="24" t="s">
        <v>603</v>
      </c>
      <c r="C680" s="24" t="s">
        <v>213</v>
      </c>
      <c r="D680" s="24" t="s">
        <v>130</v>
      </c>
      <c r="E680" s="24" t="s">
        <v>145</v>
      </c>
      <c r="F680" s="25" t="s">
        <v>230</v>
      </c>
    </row>
    <row r="681" spans="1:6">
      <c r="A681" s="22">
        <v>41615</v>
      </c>
      <c r="B681" s="24" t="s">
        <v>3727</v>
      </c>
      <c r="C681" s="24" t="s">
        <v>213</v>
      </c>
      <c r="D681" s="24" t="s">
        <v>130</v>
      </c>
      <c r="E681" s="24" t="s">
        <v>145</v>
      </c>
      <c r="F681" s="25" t="s">
        <v>52</v>
      </c>
    </row>
    <row r="682" spans="1:6">
      <c r="A682" s="22">
        <v>41660</v>
      </c>
      <c r="B682" s="24" t="s">
        <v>3728</v>
      </c>
      <c r="C682" s="24" t="s">
        <v>213</v>
      </c>
      <c r="D682" s="24" t="s">
        <v>130</v>
      </c>
      <c r="E682" s="24" t="s">
        <v>145</v>
      </c>
      <c r="F682" s="25" t="s">
        <v>144</v>
      </c>
    </row>
    <row r="683" spans="1:6">
      <c r="A683" s="22">
        <v>41668</v>
      </c>
      <c r="B683" s="24" t="s">
        <v>3729</v>
      </c>
      <c r="C683" s="24" t="s">
        <v>213</v>
      </c>
      <c r="D683" s="24" t="s">
        <v>130</v>
      </c>
      <c r="E683" s="24" t="s">
        <v>145</v>
      </c>
      <c r="F683" s="25" t="s">
        <v>144</v>
      </c>
    </row>
    <row r="684" spans="1:6">
      <c r="A684" s="22">
        <v>41770</v>
      </c>
      <c r="B684" s="24" t="s">
        <v>3730</v>
      </c>
      <c r="C684" s="24" t="s">
        <v>213</v>
      </c>
      <c r="D684" s="24" t="s">
        <v>130</v>
      </c>
      <c r="E684" s="24" t="s">
        <v>145</v>
      </c>
      <c r="F684" s="25" t="s">
        <v>230</v>
      </c>
    </row>
    <row r="685" spans="1:6">
      <c r="A685" s="22">
        <v>41791</v>
      </c>
      <c r="B685" s="24" t="s">
        <v>523</v>
      </c>
      <c r="C685" s="24" t="s">
        <v>213</v>
      </c>
      <c r="D685" s="24" t="s">
        <v>130</v>
      </c>
      <c r="E685" s="24" t="s">
        <v>145</v>
      </c>
      <c r="F685" s="25" t="s">
        <v>230</v>
      </c>
    </row>
    <row r="686" spans="1:6">
      <c r="A686" s="22">
        <v>41799</v>
      </c>
      <c r="B686" s="24" t="s">
        <v>3731</v>
      </c>
      <c r="C686" s="24" t="s">
        <v>213</v>
      </c>
      <c r="D686" s="24" t="s">
        <v>130</v>
      </c>
      <c r="E686" s="24" t="s">
        <v>145</v>
      </c>
      <c r="F686" s="25" t="s">
        <v>202</v>
      </c>
    </row>
    <row r="687" spans="1:6">
      <c r="A687" s="22">
        <v>41801</v>
      </c>
      <c r="B687" s="24" t="s">
        <v>3732</v>
      </c>
      <c r="C687" s="24" t="s">
        <v>213</v>
      </c>
      <c r="D687" s="24" t="s">
        <v>130</v>
      </c>
      <c r="E687" s="24" t="s">
        <v>145</v>
      </c>
      <c r="F687" s="25" t="s">
        <v>202</v>
      </c>
    </row>
    <row r="688" spans="1:6">
      <c r="A688" s="22">
        <v>41797</v>
      </c>
      <c r="B688" s="24" t="s">
        <v>3733</v>
      </c>
      <c r="C688" s="24" t="s">
        <v>213</v>
      </c>
      <c r="D688" s="24" t="s">
        <v>130</v>
      </c>
      <c r="E688" s="24" t="s">
        <v>145</v>
      </c>
      <c r="F688" s="25" t="s">
        <v>202</v>
      </c>
    </row>
    <row r="689" spans="1:6">
      <c r="A689" s="22">
        <v>41807</v>
      </c>
      <c r="B689" s="24" t="s">
        <v>3734</v>
      </c>
      <c r="C689" s="24" t="s">
        <v>213</v>
      </c>
      <c r="D689" s="24" t="s">
        <v>130</v>
      </c>
      <c r="E689" s="24" t="s">
        <v>145</v>
      </c>
      <c r="F689" s="25" t="s">
        <v>230</v>
      </c>
    </row>
    <row r="690" spans="1:6">
      <c r="A690" s="22">
        <v>41872</v>
      </c>
      <c r="B690" s="24" t="s">
        <v>3735</v>
      </c>
      <c r="C690" s="24" t="s">
        <v>213</v>
      </c>
      <c r="D690" s="24" t="s">
        <v>130</v>
      </c>
      <c r="E690" s="24" t="s">
        <v>145</v>
      </c>
      <c r="F690" s="25" t="s">
        <v>202</v>
      </c>
    </row>
    <row r="691" spans="1:6">
      <c r="A691" s="22">
        <v>41885</v>
      </c>
      <c r="B691" s="24" t="s">
        <v>3736</v>
      </c>
      <c r="C691" s="24" t="s">
        <v>213</v>
      </c>
      <c r="D691" s="24" t="s">
        <v>130</v>
      </c>
      <c r="E691" s="24" t="s">
        <v>145</v>
      </c>
      <c r="F691" s="25" t="s">
        <v>202</v>
      </c>
    </row>
    <row r="692" spans="1:6">
      <c r="A692" s="22">
        <v>44035</v>
      </c>
      <c r="B692" s="23" t="s">
        <v>3500</v>
      </c>
      <c r="C692" s="24" t="s">
        <v>1678</v>
      </c>
      <c r="D692" s="24" t="s">
        <v>399</v>
      </c>
      <c r="E692" s="24" t="s">
        <v>145</v>
      </c>
      <c r="F692" s="25" t="s">
        <v>230</v>
      </c>
    </row>
    <row r="693" spans="1:6">
      <c r="A693" s="22">
        <v>44560</v>
      </c>
      <c r="B693" s="23" t="s">
        <v>3550</v>
      </c>
      <c r="C693" s="24" t="s">
        <v>1678</v>
      </c>
      <c r="D693" s="24" t="s">
        <v>1676</v>
      </c>
      <c r="E693" s="24" t="s">
        <v>145</v>
      </c>
      <c r="F693" s="25" t="s">
        <v>144</v>
      </c>
    </row>
    <row r="694" spans="1:6">
      <c r="A694" s="22">
        <v>44874</v>
      </c>
      <c r="B694" s="23" t="s">
        <v>3350</v>
      </c>
      <c r="C694" s="24" t="s">
        <v>1678</v>
      </c>
      <c r="D694" s="24" t="s">
        <v>399</v>
      </c>
      <c r="E694" s="24" t="s">
        <v>145</v>
      </c>
      <c r="F694" s="25" t="s">
        <v>202</v>
      </c>
    </row>
    <row r="695" spans="1:6">
      <c r="A695" s="22">
        <v>44078</v>
      </c>
      <c r="B695" s="24" t="s">
        <v>3737</v>
      </c>
      <c r="C695" s="24" t="s">
        <v>1678</v>
      </c>
      <c r="D695" s="24" t="s">
        <v>399</v>
      </c>
      <c r="E695" s="24" t="s">
        <v>145</v>
      </c>
      <c r="F695" s="25" t="s">
        <v>202</v>
      </c>
    </row>
    <row r="696" spans="1:6">
      <c r="A696" s="22">
        <v>44090</v>
      </c>
      <c r="B696" s="24" t="s">
        <v>1692</v>
      </c>
      <c r="C696" s="24" t="s">
        <v>1678</v>
      </c>
      <c r="D696" s="24" t="s">
        <v>1676</v>
      </c>
      <c r="E696" s="24" t="s">
        <v>145</v>
      </c>
      <c r="F696" s="25" t="s">
        <v>230</v>
      </c>
    </row>
    <row r="697" spans="1:6">
      <c r="A697" s="22">
        <v>44098</v>
      </c>
      <c r="B697" s="24" t="s">
        <v>3738</v>
      </c>
      <c r="C697" s="24" t="s">
        <v>1678</v>
      </c>
      <c r="D697" s="24" t="s">
        <v>399</v>
      </c>
      <c r="E697" s="24" t="s">
        <v>145</v>
      </c>
      <c r="F697" s="25" t="s">
        <v>202</v>
      </c>
    </row>
    <row r="698" spans="1:6">
      <c r="A698" s="22">
        <v>44110</v>
      </c>
      <c r="B698" s="24" t="s">
        <v>3739</v>
      </c>
      <c r="C698" s="24" t="s">
        <v>1678</v>
      </c>
      <c r="D698" s="24" t="s">
        <v>399</v>
      </c>
      <c r="E698" s="24" t="s">
        <v>145</v>
      </c>
      <c r="F698" s="25" t="s">
        <v>202</v>
      </c>
    </row>
    <row r="699" spans="1:6">
      <c r="A699" s="22">
        <v>44279</v>
      </c>
      <c r="B699" s="24" t="s">
        <v>3740</v>
      </c>
      <c r="C699" s="24" t="s">
        <v>1678</v>
      </c>
      <c r="D699" s="24" t="s">
        <v>399</v>
      </c>
      <c r="E699" s="24" t="s">
        <v>145</v>
      </c>
      <c r="F699" s="25" t="s">
        <v>202</v>
      </c>
    </row>
    <row r="700" spans="1:6">
      <c r="A700" s="22">
        <v>44378</v>
      </c>
      <c r="B700" s="24" t="s">
        <v>3741</v>
      </c>
      <c r="C700" s="24" t="s">
        <v>1678</v>
      </c>
      <c r="D700" s="24" t="s">
        <v>399</v>
      </c>
      <c r="E700" s="24" t="s">
        <v>145</v>
      </c>
      <c r="F700" s="25" t="s">
        <v>230</v>
      </c>
    </row>
    <row r="701" spans="1:6">
      <c r="A701" s="22">
        <v>44420</v>
      </c>
      <c r="B701" s="24" t="s">
        <v>3742</v>
      </c>
      <c r="C701" s="24" t="s">
        <v>1678</v>
      </c>
      <c r="D701" s="24" t="s">
        <v>399</v>
      </c>
      <c r="E701" s="24" t="s">
        <v>145</v>
      </c>
      <c r="F701" s="25" t="s">
        <v>202</v>
      </c>
    </row>
    <row r="702" spans="1:6">
      <c r="A702" s="22">
        <v>44430</v>
      </c>
      <c r="B702" s="24" t="s">
        <v>1698</v>
      </c>
      <c r="C702" s="24" t="s">
        <v>1678</v>
      </c>
      <c r="D702" s="24" t="s">
        <v>1676</v>
      </c>
      <c r="E702" s="24" t="s">
        <v>145</v>
      </c>
      <c r="F702" s="25" t="s">
        <v>144</v>
      </c>
    </row>
    <row r="703" spans="1:6">
      <c r="A703" s="22">
        <v>44001</v>
      </c>
      <c r="B703" s="24" t="s">
        <v>1679</v>
      </c>
      <c r="C703" s="24" t="s">
        <v>1678</v>
      </c>
      <c r="D703" s="24" t="s">
        <v>1676</v>
      </c>
      <c r="E703" s="24" t="s">
        <v>145</v>
      </c>
      <c r="F703" s="25" t="s">
        <v>230</v>
      </c>
    </row>
    <row r="704" spans="1:6">
      <c r="A704" s="22">
        <v>44650</v>
      </c>
      <c r="B704" s="24" t="s">
        <v>3743</v>
      </c>
      <c r="C704" s="24" t="s">
        <v>1678</v>
      </c>
      <c r="D704" s="24" t="s">
        <v>399</v>
      </c>
      <c r="E704" s="24" t="s">
        <v>145</v>
      </c>
      <c r="F704" s="25" t="s">
        <v>202</v>
      </c>
    </row>
    <row r="705" spans="1:6">
      <c r="A705" s="22">
        <v>44847</v>
      </c>
      <c r="B705" s="24" t="s">
        <v>3744</v>
      </c>
      <c r="C705" s="24" t="s">
        <v>1678</v>
      </c>
      <c r="D705" s="24" t="s">
        <v>1676</v>
      </c>
      <c r="E705" s="24" t="s">
        <v>145</v>
      </c>
      <c r="F705" s="25" t="s">
        <v>144</v>
      </c>
    </row>
    <row r="706" spans="1:6">
      <c r="A706" s="22">
        <v>44855</v>
      </c>
      <c r="B706" s="24" t="s">
        <v>3745</v>
      </c>
      <c r="C706" s="24" t="s">
        <v>1678</v>
      </c>
      <c r="D706" s="24" t="s">
        <v>399</v>
      </c>
      <c r="E706" s="24" t="s">
        <v>145</v>
      </c>
      <c r="F706" s="25" t="s">
        <v>202</v>
      </c>
    </row>
    <row r="707" spans="1:6">
      <c r="A707" s="22">
        <v>47189</v>
      </c>
      <c r="B707" s="23" t="s">
        <v>3386</v>
      </c>
      <c r="C707" s="24" t="s">
        <v>1840</v>
      </c>
      <c r="D707" s="24" t="s">
        <v>1676</v>
      </c>
      <c r="E707" s="24" t="s">
        <v>145</v>
      </c>
      <c r="F707" s="25" t="s">
        <v>202</v>
      </c>
    </row>
    <row r="708" spans="1:6">
      <c r="A708" s="22">
        <v>47205</v>
      </c>
      <c r="B708" s="23" t="s">
        <v>3247</v>
      </c>
      <c r="C708" s="24" t="s">
        <v>1840</v>
      </c>
      <c r="D708" s="24" t="s">
        <v>345</v>
      </c>
      <c r="E708" s="24" t="s">
        <v>145</v>
      </c>
      <c r="F708" s="25" t="s">
        <v>230</v>
      </c>
    </row>
    <row r="709" spans="1:6">
      <c r="A709" s="22">
        <v>47318</v>
      </c>
      <c r="B709" s="23" t="s">
        <v>3746</v>
      </c>
      <c r="C709" s="24" t="s">
        <v>1840</v>
      </c>
      <c r="D709" s="24" t="s">
        <v>1676</v>
      </c>
      <c r="E709" s="24" t="s">
        <v>145</v>
      </c>
      <c r="F709" s="25" t="s">
        <v>144</v>
      </c>
    </row>
    <row r="710" spans="1:6">
      <c r="A710" s="22">
        <v>47675</v>
      </c>
      <c r="B710" s="23" t="s">
        <v>3482</v>
      </c>
      <c r="C710" s="24" t="s">
        <v>1840</v>
      </c>
      <c r="D710" s="24" t="s">
        <v>345</v>
      </c>
      <c r="E710" s="24" t="s">
        <v>145</v>
      </c>
      <c r="F710" s="25" t="s">
        <v>202</v>
      </c>
    </row>
    <row r="711" spans="1:6">
      <c r="A711" s="22">
        <v>47030</v>
      </c>
      <c r="B711" s="24" t="s">
        <v>2548</v>
      </c>
      <c r="C711" s="24" t="s">
        <v>1840</v>
      </c>
      <c r="D711" s="24" t="s">
        <v>1676</v>
      </c>
      <c r="E711" s="24" t="s">
        <v>145</v>
      </c>
      <c r="F711" s="25" t="s">
        <v>144</v>
      </c>
    </row>
    <row r="712" spans="1:6">
      <c r="A712" s="22">
        <v>47053</v>
      </c>
      <c r="B712" s="24" t="s">
        <v>3747</v>
      </c>
      <c r="C712" s="24" t="s">
        <v>1840</v>
      </c>
      <c r="D712" s="24" t="s">
        <v>1676</v>
      </c>
      <c r="E712" s="24" t="s">
        <v>145</v>
      </c>
      <c r="F712" s="25" t="s">
        <v>230</v>
      </c>
    </row>
    <row r="713" spans="1:6">
      <c r="A713" s="22">
        <v>47058</v>
      </c>
      <c r="B713" s="24" t="s">
        <v>3748</v>
      </c>
      <c r="C713" s="24" t="s">
        <v>1840</v>
      </c>
      <c r="D713" s="24" t="s">
        <v>399</v>
      </c>
      <c r="E713" s="24" t="s">
        <v>145</v>
      </c>
      <c r="F713" s="25" t="s">
        <v>230</v>
      </c>
    </row>
    <row r="714" spans="1:6">
      <c r="A714" s="22">
        <v>47161</v>
      </c>
      <c r="B714" s="24" t="s">
        <v>3749</v>
      </c>
      <c r="C714" s="24" t="s">
        <v>1840</v>
      </c>
      <c r="D714" s="24" t="s">
        <v>345</v>
      </c>
      <c r="E714" s="24" t="s">
        <v>145</v>
      </c>
      <c r="F714" s="25" t="s">
        <v>144</v>
      </c>
    </row>
    <row r="715" spans="1:6">
      <c r="A715" s="22">
        <v>47170</v>
      </c>
      <c r="B715" s="24" t="s">
        <v>3750</v>
      </c>
      <c r="C715" s="24" t="s">
        <v>1840</v>
      </c>
      <c r="D715" s="24" t="s">
        <v>1676</v>
      </c>
      <c r="E715" s="24" t="s">
        <v>145</v>
      </c>
      <c r="F715" s="25" t="s">
        <v>144</v>
      </c>
    </row>
    <row r="716" spans="1:6">
      <c r="A716" s="22">
        <v>47245</v>
      </c>
      <c r="B716" s="24" t="s">
        <v>1841</v>
      </c>
      <c r="C716" s="24" t="s">
        <v>1840</v>
      </c>
      <c r="D716" s="24" t="s">
        <v>1676</v>
      </c>
      <c r="E716" s="24" t="s">
        <v>145</v>
      </c>
      <c r="F716" s="25" t="s">
        <v>144</v>
      </c>
    </row>
    <row r="717" spans="1:6">
      <c r="A717" s="22">
        <v>47258</v>
      </c>
      <c r="B717" s="24" t="s">
        <v>3751</v>
      </c>
      <c r="C717" s="24" t="s">
        <v>1840</v>
      </c>
      <c r="D717" s="24" t="s">
        <v>345</v>
      </c>
      <c r="E717" s="24" t="s">
        <v>145</v>
      </c>
      <c r="F717" s="25" t="s">
        <v>230</v>
      </c>
    </row>
    <row r="718" spans="1:6">
      <c r="A718" s="22">
        <v>47268</v>
      </c>
      <c r="B718" s="24" t="s">
        <v>3752</v>
      </c>
      <c r="C718" s="24" t="s">
        <v>1840</v>
      </c>
      <c r="D718" s="24" t="s">
        <v>1676</v>
      </c>
      <c r="E718" s="24" t="s">
        <v>145</v>
      </c>
      <c r="F718" s="25" t="s">
        <v>230</v>
      </c>
    </row>
    <row r="719" spans="1:6">
      <c r="A719" s="22">
        <v>47288</v>
      </c>
      <c r="B719" s="24" t="s">
        <v>3753</v>
      </c>
      <c r="C719" s="24" t="s">
        <v>1840</v>
      </c>
      <c r="D719" s="24" t="s">
        <v>1676</v>
      </c>
      <c r="E719" s="24" t="s">
        <v>145</v>
      </c>
      <c r="F719" s="25" t="s">
        <v>230</v>
      </c>
    </row>
    <row r="720" spans="1:6">
      <c r="A720" s="22">
        <v>47460</v>
      </c>
      <c r="B720" s="24" t="s">
        <v>3754</v>
      </c>
      <c r="C720" s="24" t="s">
        <v>1840</v>
      </c>
      <c r="D720" s="24" t="s">
        <v>399</v>
      </c>
      <c r="E720" s="24" t="s">
        <v>145</v>
      </c>
      <c r="F720" s="25" t="s">
        <v>144</v>
      </c>
    </row>
    <row r="721" spans="1:6">
      <c r="A721" s="22">
        <v>47541</v>
      </c>
      <c r="B721" s="24" t="s">
        <v>3755</v>
      </c>
      <c r="C721" s="24" t="s">
        <v>1840</v>
      </c>
      <c r="D721" s="24" t="s">
        <v>345</v>
      </c>
      <c r="E721" s="24" t="s">
        <v>145</v>
      </c>
      <c r="F721" s="25" t="s">
        <v>230</v>
      </c>
    </row>
    <row r="722" spans="1:6">
      <c r="A722" s="22">
        <v>47545</v>
      </c>
      <c r="B722" s="24" t="s">
        <v>3756</v>
      </c>
      <c r="C722" s="24" t="s">
        <v>1840</v>
      </c>
      <c r="D722" s="24" t="s">
        <v>1676</v>
      </c>
      <c r="E722" s="24" t="s">
        <v>145</v>
      </c>
      <c r="F722" s="25" t="s">
        <v>144</v>
      </c>
    </row>
    <row r="723" spans="1:6">
      <c r="A723" s="22">
        <v>47551</v>
      </c>
      <c r="B723" s="24" t="s">
        <v>3757</v>
      </c>
      <c r="C723" s="24" t="s">
        <v>1840</v>
      </c>
      <c r="D723" s="24" t="s">
        <v>1676</v>
      </c>
      <c r="E723" s="24" t="s">
        <v>145</v>
      </c>
      <c r="F723" s="25" t="s">
        <v>144</v>
      </c>
    </row>
    <row r="724" spans="1:6">
      <c r="A724" s="22">
        <v>47555</v>
      </c>
      <c r="B724" s="24" t="s">
        <v>3758</v>
      </c>
      <c r="C724" s="24" t="s">
        <v>1840</v>
      </c>
      <c r="D724" s="24" t="s">
        <v>1676</v>
      </c>
      <c r="E724" s="24" t="s">
        <v>145</v>
      </c>
      <c r="F724" s="25" t="s">
        <v>144</v>
      </c>
    </row>
    <row r="725" spans="1:6">
      <c r="A725" s="22">
        <v>47570</v>
      </c>
      <c r="B725" s="24" t="s">
        <v>3759</v>
      </c>
      <c r="C725" s="24" t="s">
        <v>1840</v>
      </c>
      <c r="D725" s="24" t="s">
        <v>1676</v>
      </c>
      <c r="E725" s="24" t="s">
        <v>145</v>
      </c>
      <c r="F725" s="25" t="s">
        <v>202</v>
      </c>
    </row>
    <row r="726" spans="1:6">
      <c r="A726" s="22">
        <v>47605</v>
      </c>
      <c r="B726" s="24" t="s">
        <v>3760</v>
      </c>
      <c r="C726" s="24" t="s">
        <v>1840</v>
      </c>
      <c r="D726" s="24" t="s">
        <v>345</v>
      </c>
      <c r="E726" s="24" t="s">
        <v>145</v>
      </c>
      <c r="F726" s="25" t="s">
        <v>230</v>
      </c>
    </row>
    <row r="727" spans="1:6">
      <c r="A727" s="22">
        <v>47660</v>
      </c>
      <c r="B727" s="24" t="s">
        <v>3761</v>
      </c>
      <c r="C727" s="24" t="s">
        <v>1840</v>
      </c>
      <c r="D727" s="24" t="s">
        <v>1676</v>
      </c>
      <c r="E727" s="24" t="s">
        <v>145</v>
      </c>
      <c r="F727" s="25" t="s">
        <v>144</v>
      </c>
    </row>
    <row r="728" spans="1:6">
      <c r="A728" s="22">
        <v>47692</v>
      </c>
      <c r="B728" s="24" t="s">
        <v>3762</v>
      </c>
      <c r="C728" s="24" t="s">
        <v>1840</v>
      </c>
      <c r="D728" s="24" t="s">
        <v>1676</v>
      </c>
      <c r="E728" s="24" t="s">
        <v>145</v>
      </c>
      <c r="F728" s="25" t="s">
        <v>144</v>
      </c>
    </row>
    <row r="729" spans="1:6">
      <c r="A729" s="22">
        <v>47703</v>
      </c>
      <c r="B729" s="24" t="s">
        <v>3763</v>
      </c>
      <c r="C729" s="24" t="s">
        <v>1840</v>
      </c>
      <c r="D729" s="24" t="s">
        <v>1676</v>
      </c>
      <c r="E729" s="24" t="s">
        <v>145</v>
      </c>
      <c r="F729" s="25" t="s">
        <v>144</v>
      </c>
    </row>
    <row r="730" spans="1:6">
      <c r="A730" s="22">
        <v>47707</v>
      </c>
      <c r="B730" s="24" t="s">
        <v>3764</v>
      </c>
      <c r="C730" s="24" t="s">
        <v>1840</v>
      </c>
      <c r="D730" s="24" t="s">
        <v>1676</v>
      </c>
      <c r="E730" s="24" t="s">
        <v>145</v>
      </c>
      <c r="F730" s="25" t="s">
        <v>144</v>
      </c>
    </row>
    <row r="731" spans="1:6">
      <c r="A731" s="22">
        <v>47720</v>
      </c>
      <c r="B731" s="24" t="s">
        <v>3765</v>
      </c>
      <c r="C731" s="24" t="s">
        <v>1840</v>
      </c>
      <c r="D731" s="24" t="s">
        <v>1676</v>
      </c>
      <c r="E731" s="24" t="s">
        <v>145</v>
      </c>
      <c r="F731" s="25" t="s">
        <v>144</v>
      </c>
    </row>
    <row r="732" spans="1:6">
      <c r="A732" s="22">
        <v>47001</v>
      </c>
      <c r="B732" s="24" t="s">
        <v>1676</v>
      </c>
      <c r="C732" s="24" t="s">
        <v>1840</v>
      </c>
      <c r="D732" s="24" t="s">
        <v>1676</v>
      </c>
      <c r="E732" s="24" t="s">
        <v>145</v>
      </c>
      <c r="F732" s="25" t="s">
        <v>52</v>
      </c>
    </row>
    <row r="733" spans="1:6">
      <c r="A733" s="22">
        <v>47745</v>
      </c>
      <c r="B733" s="24" t="s">
        <v>3766</v>
      </c>
      <c r="C733" s="24" t="s">
        <v>1840</v>
      </c>
      <c r="D733" s="24" t="s">
        <v>345</v>
      </c>
      <c r="E733" s="24" t="s">
        <v>145</v>
      </c>
      <c r="F733" s="25" t="s">
        <v>202</v>
      </c>
    </row>
    <row r="734" spans="1:6">
      <c r="A734" s="22">
        <v>47798</v>
      </c>
      <c r="B734" s="24" t="s">
        <v>2485</v>
      </c>
      <c r="C734" s="24" t="s">
        <v>1840</v>
      </c>
      <c r="D734" s="24" t="s">
        <v>1676</v>
      </c>
      <c r="E734" s="24" t="s">
        <v>145</v>
      </c>
      <c r="F734" s="25" t="s">
        <v>144</v>
      </c>
    </row>
    <row r="735" spans="1:6">
      <c r="A735" s="22">
        <v>47960</v>
      </c>
      <c r="B735" s="24" t="s">
        <v>3767</v>
      </c>
      <c r="C735" s="24" t="s">
        <v>1840</v>
      </c>
      <c r="D735" s="24" t="s">
        <v>345</v>
      </c>
      <c r="E735" s="24" t="s">
        <v>161</v>
      </c>
      <c r="F735" s="25" t="s">
        <v>160</v>
      </c>
    </row>
    <row r="736" spans="1:6">
      <c r="A736" s="22">
        <v>47980</v>
      </c>
      <c r="B736" s="24" t="s">
        <v>3768</v>
      </c>
      <c r="C736" s="24" t="s">
        <v>1840</v>
      </c>
      <c r="D736" s="24" t="s">
        <v>1676</v>
      </c>
      <c r="E736" s="24" t="s">
        <v>145</v>
      </c>
      <c r="F736" s="25" t="s">
        <v>202</v>
      </c>
    </row>
    <row r="737" spans="1:6">
      <c r="A737" s="22">
        <v>50313</v>
      </c>
      <c r="B737" s="23" t="s">
        <v>263</v>
      </c>
      <c r="C737" s="24" t="s">
        <v>262</v>
      </c>
      <c r="D737" s="24" t="s">
        <v>260</v>
      </c>
      <c r="E737" s="24" t="s">
        <v>145</v>
      </c>
      <c r="F737" s="25" t="s">
        <v>202</v>
      </c>
    </row>
    <row r="738" spans="1:6">
      <c r="A738" s="22">
        <v>50318</v>
      </c>
      <c r="B738" s="23" t="s">
        <v>3746</v>
      </c>
      <c r="C738" s="24" t="s">
        <v>262</v>
      </c>
      <c r="D738" s="24" t="s">
        <v>260</v>
      </c>
      <c r="E738" s="24" t="s">
        <v>145</v>
      </c>
      <c r="F738" s="25" t="s">
        <v>202</v>
      </c>
    </row>
    <row r="739" spans="1:6">
      <c r="A739" s="22">
        <v>50590</v>
      </c>
      <c r="B739" s="23" t="s">
        <v>3501</v>
      </c>
      <c r="C739" s="24" t="s">
        <v>262</v>
      </c>
      <c r="D739" s="24" t="s">
        <v>260</v>
      </c>
      <c r="E739" s="24" t="s">
        <v>145</v>
      </c>
      <c r="F739" s="25" t="s">
        <v>144</v>
      </c>
    </row>
    <row r="740" spans="1:6">
      <c r="A740" s="22">
        <v>50606</v>
      </c>
      <c r="B740" s="23" t="s">
        <v>562</v>
      </c>
      <c r="C740" s="24" t="s">
        <v>262</v>
      </c>
      <c r="D740" s="24" t="s">
        <v>260</v>
      </c>
      <c r="E740" s="24" t="s">
        <v>145</v>
      </c>
      <c r="F740" s="25" t="s">
        <v>202</v>
      </c>
    </row>
    <row r="741" spans="1:6">
      <c r="A741" s="22">
        <v>50689</v>
      </c>
      <c r="B741" s="23" t="s">
        <v>3551</v>
      </c>
      <c r="C741" s="24" t="s">
        <v>262</v>
      </c>
      <c r="D741" s="24" t="s">
        <v>260</v>
      </c>
      <c r="E741" s="24" t="s">
        <v>145</v>
      </c>
      <c r="F741" s="25" t="s">
        <v>202</v>
      </c>
    </row>
    <row r="742" spans="1:6">
      <c r="A742" s="22">
        <v>50006</v>
      </c>
      <c r="B742" s="24" t="s">
        <v>905</v>
      </c>
      <c r="C742" s="24" t="s">
        <v>262</v>
      </c>
      <c r="D742" s="24" t="s">
        <v>260</v>
      </c>
      <c r="E742" s="24" t="s">
        <v>145</v>
      </c>
      <c r="F742" s="25" t="s">
        <v>202</v>
      </c>
    </row>
    <row r="743" spans="1:6">
      <c r="A743" s="22">
        <v>50110</v>
      </c>
      <c r="B743" s="24" t="s">
        <v>328</v>
      </c>
      <c r="C743" s="24" t="s">
        <v>262</v>
      </c>
      <c r="D743" s="24" t="s">
        <v>260</v>
      </c>
      <c r="E743" s="24" t="s">
        <v>145</v>
      </c>
      <c r="F743" s="25" t="s">
        <v>202</v>
      </c>
    </row>
    <row r="744" spans="1:6">
      <c r="A744" s="22">
        <v>50124</v>
      </c>
      <c r="B744" s="24" t="s">
        <v>3769</v>
      </c>
      <c r="C744" s="24" t="s">
        <v>262</v>
      </c>
      <c r="D744" s="24" t="s">
        <v>260</v>
      </c>
      <c r="E744" s="24" t="s">
        <v>145</v>
      </c>
      <c r="F744" s="25" t="s">
        <v>230</v>
      </c>
    </row>
    <row r="745" spans="1:6">
      <c r="A745" s="22">
        <v>50150</v>
      </c>
      <c r="B745" s="24" t="s">
        <v>3770</v>
      </c>
      <c r="C745" s="24" t="s">
        <v>262</v>
      </c>
      <c r="D745" s="24" t="s">
        <v>260</v>
      </c>
      <c r="E745" s="24" t="s">
        <v>145</v>
      </c>
      <c r="F745" s="25" t="s">
        <v>202</v>
      </c>
    </row>
    <row r="746" spans="1:6">
      <c r="A746" s="22">
        <v>50223</v>
      </c>
      <c r="B746" s="24" t="s">
        <v>991</v>
      </c>
      <c r="C746" s="24" t="s">
        <v>262</v>
      </c>
      <c r="D746" s="24" t="s">
        <v>260</v>
      </c>
      <c r="E746" s="24" t="s">
        <v>145</v>
      </c>
      <c r="F746" s="25" t="s">
        <v>202</v>
      </c>
    </row>
    <row r="747" spans="1:6">
      <c r="A747" s="22">
        <v>50226</v>
      </c>
      <c r="B747" s="24" t="s">
        <v>3771</v>
      </c>
      <c r="C747" s="24" t="s">
        <v>262</v>
      </c>
      <c r="D747" s="24" t="s">
        <v>260</v>
      </c>
      <c r="E747" s="24" t="s">
        <v>145</v>
      </c>
      <c r="F747" s="25" t="s">
        <v>202</v>
      </c>
    </row>
    <row r="748" spans="1:6">
      <c r="A748" s="22">
        <v>50245</v>
      </c>
      <c r="B748" s="24" t="s">
        <v>3772</v>
      </c>
      <c r="C748" s="24" t="s">
        <v>262</v>
      </c>
      <c r="D748" s="24" t="s">
        <v>260</v>
      </c>
      <c r="E748" s="24" t="s">
        <v>145</v>
      </c>
      <c r="F748" s="25" t="s">
        <v>144</v>
      </c>
    </row>
    <row r="749" spans="1:6">
      <c r="A749" s="22">
        <v>50251</v>
      </c>
      <c r="B749" s="24" t="s">
        <v>3773</v>
      </c>
      <c r="C749" s="24" t="s">
        <v>262</v>
      </c>
      <c r="D749" s="24" t="s">
        <v>260</v>
      </c>
      <c r="E749" s="24" t="s">
        <v>145</v>
      </c>
      <c r="F749" s="25" t="s">
        <v>202</v>
      </c>
    </row>
    <row r="750" spans="1:6">
      <c r="A750" s="22">
        <v>50270</v>
      </c>
      <c r="B750" s="24" t="s">
        <v>2491</v>
      </c>
      <c r="C750" s="24" t="s">
        <v>262</v>
      </c>
      <c r="D750" s="24" t="s">
        <v>260</v>
      </c>
      <c r="E750" s="24" t="s">
        <v>145</v>
      </c>
      <c r="F750" s="25" t="s">
        <v>202</v>
      </c>
    </row>
    <row r="751" spans="1:6">
      <c r="A751" s="22">
        <v>50287</v>
      </c>
      <c r="B751" s="24" t="s">
        <v>2514</v>
      </c>
      <c r="C751" s="24" t="s">
        <v>262</v>
      </c>
      <c r="D751" s="24" t="s">
        <v>260</v>
      </c>
      <c r="E751" s="24" t="s">
        <v>145</v>
      </c>
      <c r="F751" s="25" t="s">
        <v>230</v>
      </c>
    </row>
    <row r="752" spans="1:6">
      <c r="A752" s="22">
        <v>50350</v>
      </c>
      <c r="B752" s="24" t="s">
        <v>3774</v>
      </c>
      <c r="C752" s="24" t="s">
        <v>262</v>
      </c>
      <c r="D752" s="24" t="s">
        <v>260</v>
      </c>
      <c r="E752" s="24" t="s">
        <v>1369</v>
      </c>
      <c r="F752" s="25" t="s">
        <v>160</v>
      </c>
    </row>
    <row r="753" spans="1:6">
      <c r="A753" s="22">
        <v>50400</v>
      </c>
      <c r="B753" s="24" t="s">
        <v>3775</v>
      </c>
      <c r="C753" s="24" t="s">
        <v>262</v>
      </c>
      <c r="D753" s="24" t="s">
        <v>260</v>
      </c>
      <c r="E753" s="24" t="s">
        <v>145</v>
      </c>
      <c r="F753" s="25" t="s">
        <v>230</v>
      </c>
    </row>
    <row r="754" spans="1:6">
      <c r="A754" s="22">
        <v>50325</v>
      </c>
      <c r="B754" s="24" t="s">
        <v>3776</v>
      </c>
      <c r="C754" s="24" t="s">
        <v>262</v>
      </c>
      <c r="D754" s="24" t="s">
        <v>260</v>
      </c>
      <c r="E754" s="24" t="s">
        <v>1369</v>
      </c>
      <c r="F754" s="25" t="s">
        <v>160</v>
      </c>
    </row>
    <row r="755" spans="1:6">
      <c r="A755" s="22">
        <v>50330</v>
      </c>
      <c r="B755" s="24" t="s">
        <v>3777</v>
      </c>
      <c r="C755" s="24" t="s">
        <v>262</v>
      </c>
      <c r="D755" s="24" t="s">
        <v>260</v>
      </c>
      <c r="E755" s="24" t="s">
        <v>145</v>
      </c>
      <c r="F755" s="25" t="s">
        <v>230</v>
      </c>
    </row>
    <row r="756" spans="1:6">
      <c r="A756" s="22">
        <v>50450</v>
      </c>
      <c r="B756" s="24" t="s">
        <v>3778</v>
      </c>
      <c r="C756" s="24" t="s">
        <v>262</v>
      </c>
      <c r="D756" s="24" t="s">
        <v>260</v>
      </c>
      <c r="E756" s="24" t="s">
        <v>145</v>
      </c>
      <c r="F756" s="25" t="s">
        <v>144</v>
      </c>
    </row>
    <row r="757" spans="1:6">
      <c r="A757" s="22">
        <v>50568</v>
      </c>
      <c r="B757" s="24" t="s">
        <v>1990</v>
      </c>
      <c r="C757" s="24" t="s">
        <v>262</v>
      </c>
      <c r="D757" s="24" t="s">
        <v>260</v>
      </c>
      <c r="E757" s="24" t="s">
        <v>145</v>
      </c>
      <c r="F757" s="25" t="s">
        <v>230</v>
      </c>
    </row>
    <row r="758" spans="1:6">
      <c r="A758" s="22">
        <v>50577</v>
      </c>
      <c r="B758" s="24" t="s">
        <v>2520</v>
      </c>
      <c r="C758" s="24" t="s">
        <v>262</v>
      </c>
      <c r="D758" s="24" t="s">
        <v>260</v>
      </c>
      <c r="E758" s="24" t="s">
        <v>145</v>
      </c>
      <c r="F758" s="25" t="s">
        <v>230</v>
      </c>
    </row>
    <row r="759" spans="1:6">
      <c r="A759" s="22">
        <v>50573</v>
      </c>
      <c r="B759" s="24" t="s">
        <v>3779</v>
      </c>
      <c r="C759" s="24" t="s">
        <v>262</v>
      </c>
      <c r="D759" s="24" t="s">
        <v>260</v>
      </c>
      <c r="E759" s="24" t="s">
        <v>145</v>
      </c>
      <c r="F759" s="25" t="s">
        <v>202</v>
      </c>
    </row>
    <row r="760" spans="1:6">
      <c r="A760" s="22">
        <v>50680</v>
      </c>
      <c r="B760" s="24" t="s">
        <v>2695</v>
      </c>
      <c r="C760" s="24" t="s">
        <v>262</v>
      </c>
      <c r="D760" s="24" t="s">
        <v>260</v>
      </c>
      <c r="E760" s="24" t="s">
        <v>145</v>
      </c>
      <c r="F760" s="25" t="s">
        <v>202</v>
      </c>
    </row>
    <row r="761" spans="1:6">
      <c r="A761" s="22">
        <v>50683</v>
      </c>
      <c r="B761" s="24" t="s">
        <v>3780</v>
      </c>
      <c r="C761" s="24" t="s">
        <v>262</v>
      </c>
      <c r="D761" s="24" t="s">
        <v>260</v>
      </c>
      <c r="E761" s="24" t="s">
        <v>145</v>
      </c>
      <c r="F761" s="25" t="s">
        <v>230</v>
      </c>
    </row>
    <row r="762" spans="1:6">
      <c r="A762" s="22">
        <v>50686</v>
      </c>
      <c r="B762" s="24" t="s">
        <v>3781</v>
      </c>
      <c r="C762" s="24" t="s">
        <v>262</v>
      </c>
      <c r="D762" s="24" t="s">
        <v>260</v>
      </c>
      <c r="E762" s="24" t="s">
        <v>145</v>
      </c>
      <c r="F762" s="25" t="s">
        <v>144</v>
      </c>
    </row>
    <row r="763" spans="1:6">
      <c r="A763" s="22">
        <v>50370</v>
      </c>
      <c r="B763" s="24" t="s">
        <v>3782</v>
      </c>
      <c r="C763" s="24" t="s">
        <v>262</v>
      </c>
      <c r="D763" s="24" t="s">
        <v>260</v>
      </c>
      <c r="E763" s="24" t="s">
        <v>1369</v>
      </c>
      <c r="F763" s="25" t="s">
        <v>160</v>
      </c>
    </row>
    <row r="764" spans="1:6">
      <c r="A764" s="22">
        <v>50001</v>
      </c>
      <c r="B764" s="24" t="s">
        <v>260</v>
      </c>
      <c r="C764" s="24" t="s">
        <v>262</v>
      </c>
      <c r="D764" s="24" t="s">
        <v>260</v>
      </c>
      <c r="E764" s="24" t="s">
        <v>145</v>
      </c>
      <c r="F764" s="25" t="s">
        <v>52</v>
      </c>
    </row>
    <row r="765" spans="1:6">
      <c r="A765" s="22">
        <v>50711</v>
      </c>
      <c r="B765" s="24" t="s">
        <v>3783</v>
      </c>
      <c r="C765" s="24" t="s">
        <v>262</v>
      </c>
      <c r="D765" s="24" t="s">
        <v>260</v>
      </c>
      <c r="E765" s="24" t="s">
        <v>145</v>
      </c>
      <c r="F765" s="25" t="s">
        <v>230</v>
      </c>
    </row>
    <row r="766" spans="1:6">
      <c r="A766" s="22">
        <v>52019</v>
      </c>
      <c r="B766" s="23" t="s">
        <v>3611</v>
      </c>
      <c r="C766" s="24" t="s">
        <v>153</v>
      </c>
      <c r="D766" s="24" t="s">
        <v>151</v>
      </c>
      <c r="E766" s="24" t="s">
        <v>145</v>
      </c>
      <c r="F766" s="25" t="s">
        <v>202</v>
      </c>
    </row>
    <row r="767" spans="1:6">
      <c r="A767" s="22">
        <v>52083</v>
      </c>
      <c r="B767" s="23" t="s">
        <v>3384</v>
      </c>
      <c r="C767" s="24" t="s">
        <v>153</v>
      </c>
      <c r="D767" s="24" t="s">
        <v>151</v>
      </c>
      <c r="E767" s="24" t="s">
        <v>145</v>
      </c>
      <c r="F767" s="25" t="s">
        <v>230</v>
      </c>
    </row>
    <row r="768" spans="1:6">
      <c r="A768" s="22">
        <v>52203</v>
      </c>
      <c r="B768" s="23" t="s">
        <v>3784</v>
      </c>
      <c r="C768" s="24" t="s">
        <v>153</v>
      </c>
      <c r="D768" s="24" t="s">
        <v>151</v>
      </c>
      <c r="E768" s="24" t="s">
        <v>145</v>
      </c>
      <c r="F768" s="25" t="s">
        <v>144</v>
      </c>
    </row>
    <row r="769" spans="1:6">
      <c r="A769" s="22">
        <v>52215</v>
      </c>
      <c r="B769" s="23" t="s">
        <v>381</v>
      </c>
      <c r="C769" s="24" t="s">
        <v>153</v>
      </c>
      <c r="D769" s="24" t="s">
        <v>151</v>
      </c>
      <c r="E769" s="24" t="s">
        <v>145</v>
      </c>
      <c r="F769" s="25" t="s">
        <v>202</v>
      </c>
    </row>
    <row r="770" spans="1:6">
      <c r="A770" s="22">
        <v>52260</v>
      </c>
      <c r="B770" s="23" t="s">
        <v>3524</v>
      </c>
      <c r="C770" s="24" t="s">
        <v>153</v>
      </c>
      <c r="D770" s="24" t="s">
        <v>151</v>
      </c>
      <c r="E770" s="24" t="s">
        <v>145</v>
      </c>
      <c r="F770" s="25" t="s">
        <v>202</v>
      </c>
    </row>
    <row r="771" spans="1:6">
      <c r="A771" s="22">
        <v>52399</v>
      </c>
      <c r="B771" s="23" t="s">
        <v>2793</v>
      </c>
      <c r="C771" s="24" t="s">
        <v>153</v>
      </c>
      <c r="D771" s="24" t="s">
        <v>151</v>
      </c>
      <c r="E771" s="24" t="s">
        <v>145</v>
      </c>
      <c r="F771" s="25" t="s">
        <v>230</v>
      </c>
    </row>
    <row r="772" spans="1:6">
      <c r="A772" s="22">
        <v>52473</v>
      </c>
      <c r="B772" s="23" t="s">
        <v>2169</v>
      </c>
      <c r="C772" s="24" t="s">
        <v>153</v>
      </c>
      <c r="D772" s="24" t="s">
        <v>151</v>
      </c>
      <c r="E772" s="24" t="s">
        <v>145</v>
      </c>
      <c r="F772" s="25" t="s">
        <v>144</v>
      </c>
    </row>
    <row r="773" spans="1:6">
      <c r="A773" s="22">
        <v>52480</v>
      </c>
      <c r="B773" s="23" t="s">
        <v>153</v>
      </c>
      <c r="C773" s="24" t="s">
        <v>153</v>
      </c>
      <c r="D773" s="24" t="s">
        <v>151</v>
      </c>
      <c r="E773" s="24" t="s">
        <v>145</v>
      </c>
      <c r="F773" s="25" t="s">
        <v>202</v>
      </c>
    </row>
    <row r="774" spans="1:6">
      <c r="A774" s="22">
        <v>52565</v>
      </c>
      <c r="B774" s="23" t="s">
        <v>3785</v>
      </c>
      <c r="C774" s="24" t="s">
        <v>153</v>
      </c>
      <c r="D774" s="24" t="s">
        <v>151</v>
      </c>
      <c r="E774" s="24" t="s">
        <v>145</v>
      </c>
      <c r="F774" s="25" t="s">
        <v>230</v>
      </c>
    </row>
    <row r="775" spans="1:6">
      <c r="A775" s="22">
        <v>52612</v>
      </c>
      <c r="B775" s="23" t="s">
        <v>3613</v>
      </c>
      <c r="C775" s="24" t="s">
        <v>153</v>
      </c>
      <c r="D775" s="24" t="s">
        <v>151</v>
      </c>
      <c r="E775" s="24" t="s">
        <v>145</v>
      </c>
      <c r="F775" s="25" t="s">
        <v>230</v>
      </c>
    </row>
    <row r="776" spans="1:6">
      <c r="A776" s="22">
        <v>52685</v>
      </c>
      <c r="B776" s="23" t="s">
        <v>3614</v>
      </c>
      <c r="C776" s="24" t="s">
        <v>153</v>
      </c>
      <c r="D776" s="24" t="s">
        <v>151</v>
      </c>
      <c r="E776" s="24" t="s">
        <v>145</v>
      </c>
      <c r="F776" s="25" t="s">
        <v>202</v>
      </c>
    </row>
    <row r="777" spans="1:6">
      <c r="A777" s="22">
        <v>52693</v>
      </c>
      <c r="B777" s="23" t="s">
        <v>3348</v>
      </c>
      <c r="C777" s="24" t="s">
        <v>153</v>
      </c>
      <c r="D777" s="24" t="s">
        <v>151</v>
      </c>
      <c r="E777" s="24" t="s">
        <v>145</v>
      </c>
      <c r="F777" s="25" t="s">
        <v>144</v>
      </c>
    </row>
    <row r="778" spans="1:6">
      <c r="A778" s="22">
        <v>52696</v>
      </c>
      <c r="B778" s="23" t="s">
        <v>3255</v>
      </c>
      <c r="C778" s="24" t="s">
        <v>153</v>
      </c>
      <c r="D778" s="24" t="s">
        <v>151</v>
      </c>
      <c r="E778" s="24" t="s">
        <v>278</v>
      </c>
      <c r="F778" s="25" t="s">
        <v>160</v>
      </c>
    </row>
    <row r="779" spans="1:6">
      <c r="A779" s="22">
        <v>52022</v>
      </c>
      <c r="B779" s="24" t="s">
        <v>3786</v>
      </c>
      <c r="C779" s="24" t="s">
        <v>153</v>
      </c>
      <c r="D779" s="24" t="s">
        <v>151</v>
      </c>
      <c r="E779" s="24" t="s">
        <v>145</v>
      </c>
      <c r="F779" s="25" t="s">
        <v>202</v>
      </c>
    </row>
    <row r="780" spans="1:6">
      <c r="A780" s="22">
        <v>52036</v>
      </c>
      <c r="B780" s="24" t="s">
        <v>3787</v>
      </c>
      <c r="C780" s="24" t="s">
        <v>153</v>
      </c>
      <c r="D780" s="24" t="s">
        <v>151</v>
      </c>
      <c r="E780" s="24" t="s">
        <v>145</v>
      </c>
      <c r="F780" s="25" t="s">
        <v>202</v>
      </c>
    </row>
    <row r="781" spans="1:6">
      <c r="A781" s="22">
        <v>52051</v>
      </c>
      <c r="B781" s="24" t="s">
        <v>3788</v>
      </c>
      <c r="C781" s="24" t="s">
        <v>153</v>
      </c>
      <c r="D781" s="24" t="s">
        <v>151</v>
      </c>
      <c r="E781" s="24" t="s">
        <v>145</v>
      </c>
      <c r="F781" s="25" t="s">
        <v>202</v>
      </c>
    </row>
    <row r="782" spans="1:6">
      <c r="A782" s="22">
        <v>52079</v>
      </c>
      <c r="B782" s="24" t="s">
        <v>1306</v>
      </c>
      <c r="C782" s="24" t="s">
        <v>153</v>
      </c>
      <c r="D782" s="24" t="s">
        <v>151</v>
      </c>
      <c r="E782" s="24" t="s">
        <v>145</v>
      </c>
      <c r="F782" s="25" t="s">
        <v>144</v>
      </c>
    </row>
    <row r="783" spans="1:6">
      <c r="A783" s="22">
        <v>52110</v>
      </c>
      <c r="B783" s="24" t="s">
        <v>1104</v>
      </c>
      <c r="C783" s="24" t="s">
        <v>153</v>
      </c>
      <c r="D783" s="24" t="s">
        <v>151</v>
      </c>
      <c r="E783" s="24" t="s">
        <v>145</v>
      </c>
      <c r="F783" s="25" t="s">
        <v>202</v>
      </c>
    </row>
    <row r="784" spans="1:6">
      <c r="A784" s="22">
        <v>52240</v>
      </c>
      <c r="B784" s="24" t="s">
        <v>3789</v>
      </c>
      <c r="C784" s="24" t="s">
        <v>153</v>
      </c>
      <c r="D784" s="24" t="s">
        <v>151</v>
      </c>
      <c r="E784" s="24" t="s">
        <v>145</v>
      </c>
      <c r="F784" s="25" t="s">
        <v>202</v>
      </c>
    </row>
    <row r="785" spans="1:6">
      <c r="A785" s="22">
        <v>52207</v>
      </c>
      <c r="B785" s="24" t="s">
        <v>3790</v>
      </c>
      <c r="C785" s="24" t="s">
        <v>153</v>
      </c>
      <c r="D785" s="24" t="s">
        <v>151</v>
      </c>
      <c r="E785" s="24" t="s">
        <v>145</v>
      </c>
      <c r="F785" s="25" t="s">
        <v>202</v>
      </c>
    </row>
    <row r="786" spans="1:6">
      <c r="A786" s="22">
        <v>52210</v>
      </c>
      <c r="B786" s="24" t="s">
        <v>3791</v>
      </c>
      <c r="C786" s="24" t="s">
        <v>153</v>
      </c>
      <c r="D786" s="24" t="s">
        <v>151</v>
      </c>
      <c r="E786" s="24" t="s">
        <v>145</v>
      </c>
      <c r="F786" s="25" t="s">
        <v>202</v>
      </c>
    </row>
    <row r="787" spans="1:6">
      <c r="A787" s="22">
        <v>52224</v>
      </c>
      <c r="B787" s="24" t="s">
        <v>3792</v>
      </c>
      <c r="C787" s="24" t="s">
        <v>153</v>
      </c>
      <c r="D787" s="24" t="s">
        <v>151</v>
      </c>
      <c r="E787" s="24" t="s">
        <v>145</v>
      </c>
      <c r="F787" s="25" t="s">
        <v>202</v>
      </c>
    </row>
    <row r="788" spans="1:6">
      <c r="A788" s="22">
        <v>52227</v>
      </c>
      <c r="B788" s="24" t="s">
        <v>3793</v>
      </c>
      <c r="C788" s="24" t="s">
        <v>153</v>
      </c>
      <c r="D788" s="24" t="s">
        <v>151</v>
      </c>
      <c r="E788" s="24" t="s">
        <v>145</v>
      </c>
      <c r="F788" s="25" t="s">
        <v>230</v>
      </c>
    </row>
    <row r="789" spans="1:6">
      <c r="A789" s="22">
        <v>52233</v>
      </c>
      <c r="B789" s="24" t="s">
        <v>3794</v>
      </c>
      <c r="C789" s="24" t="s">
        <v>153</v>
      </c>
      <c r="D789" s="24" t="s">
        <v>151</v>
      </c>
      <c r="E789" s="24" t="s">
        <v>145</v>
      </c>
      <c r="F789" s="25" t="s">
        <v>202</v>
      </c>
    </row>
    <row r="790" spans="1:6">
      <c r="A790" s="22">
        <v>52250</v>
      </c>
      <c r="B790" s="24" t="s">
        <v>3795</v>
      </c>
      <c r="C790" s="24" t="s">
        <v>153</v>
      </c>
      <c r="D790" s="24" t="s">
        <v>151</v>
      </c>
      <c r="E790" s="24" t="s">
        <v>161</v>
      </c>
      <c r="F790" s="25" t="s">
        <v>160</v>
      </c>
    </row>
    <row r="791" spans="1:6">
      <c r="A791" s="22">
        <v>52254</v>
      </c>
      <c r="B791" s="24" t="s">
        <v>3796</v>
      </c>
      <c r="C791" s="24" t="s">
        <v>153</v>
      </c>
      <c r="D791" s="24" t="s">
        <v>151</v>
      </c>
      <c r="E791" s="24" t="s">
        <v>145</v>
      </c>
      <c r="F791" s="25" t="s">
        <v>202</v>
      </c>
    </row>
    <row r="792" spans="1:6">
      <c r="A792" s="22">
        <v>52256</v>
      </c>
      <c r="B792" s="24" t="s">
        <v>2604</v>
      </c>
      <c r="C792" s="24" t="s">
        <v>153</v>
      </c>
      <c r="D792" s="24" t="s">
        <v>151</v>
      </c>
      <c r="E792" s="24" t="s">
        <v>145</v>
      </c>
      <c r="F792" s="25" t="s">
        <v>202</v>
      </c>
    </row>
    <row r="793" spans="1:6">
      <c r="A793" s="22">
        <v>52258</v>
      </c>
      <c r="B793" s="24" t="s">
        <v>3797</v>
      </c>
      <c r="C793" s="24" t="s">
        <v>153</v>
      </c>
      <c r="D793" s="24" t="s">
        <v>151</v>
      </c>
      <c r="E793" s="24" t="s">
        <v>145</v>
      </c>
      <c r="F793" s="25" t="s">
        <v>202</v>
      </c>
    </row>
    <row r="794" spans="1:6">
      <c r="A794" s="22">
        <v>52520</v>
      </c>
      <c r="B794" s="24" t="s">
        <v>2224</v>
      </c>
      <c r="C794" s="24" t="s">
        <v>153</v>
      </c>
      <c r="D794" s="24" t="s">
        <v>151</v>
      </c>
      <c r="E794" s="24" t="s">
        <v>161</v>
      </c>
      <c r="F794" s="25" t="s">
        <v>160</v>
      </c>
    </row>
    <row r="795" spans="1:6">
      <c r="A795" s="22">
        <v>52287</v>
      </c>
      <c r="B795" s="24" t="s">
        <v>3798</v>
      </c>
      <c r="C795" s="24" t="s">
        <v>153</v>
      </c>
      <c r="D795" s="24" t="s">
        <v>151</v>
      </c>
      <c r="E795" s="24" t="s">
        <v>145</v>
      </c>
      <c r="F795" s="25" t="s">
        <v>202</v>
      </c>
    </row>
    <row r="796" spans="1:6">
      <c r="A796" s="22">
        <v>52317</v>
      </c>
      <c r="B796" s="24" t="s">
        <v>3799</v>
      </c>
      <c r="C796" s="24" t="s">
        <v>153</v>
      </c>
      <c r="D796" s="24" t="s">
        <v>151</v>
      </c>
      <c r="E796" s="24" t="s">
        <v>145</v>
      </c>
      <c r="F796" s="25" t="s">
        <v>202</v>
      </c>
    </row>
    <row r="797" spans="1:6">
      <c r="A797" s="22">
        <v>52320</v>
      </c>
      <c r="B797" s="24" t="s">
        <v>3800</v>
      </c>
      <c r="C797" s="24" t="s">
        <v>153</v>
      </c>
      <c r="D797" s="24" t="s">
        <v>151</v>
      </c>
      <c r="E797" s="24" t="s">
        <v>145</v>
      </c>
      <c r="F797" s="25" t="s">
        <v>202</v>
      </c>
    </row>
    <row r="798" spans="1:6">
      <c r="A798" s="22">
        <v>52323</v>
      </c>
      <c r="B798" s="24" t="s">
        <v>3801</v>
      </c>
      <c r="C798" s="24" t="s">
        <v>153</v>
      </c>
      <c r="D798" s="24" t="s">
        <v>151</v>
      </c>
      <c r="E798" s="24" t="s">
        <v>145</v>
      </c>
      <c r="F798" s="25" t="s">
        <v>202</v>
      </c>
    </row>
    <row r="799" spans="1:6">
      <c r="A799" s="22">
        <v>52352</v>
      </c>
      <c r="B799" s="24" t="s">
        <v>3802</v>
      </c>
      <c r="C799" s="24" t="s">
        <v>153</v>
      </c>
      <c r="D799" s="24" t="s">
        <v>151</v>
      </c>
      <c r="E799" s="24" t="s">
        <v>145</v>
      </c>
      <c r="F799" s="25" t="s">
        <v>202</v>
      </c>
    </row>
    <row r="800" spans="1:6">
      <c r="A800" s="22">
        <v>52354</v>
      </c>
      <c r="B800" s="24" t="s">
        <v>3803</v>
      </c>
      <c r="C800" s="24" t="s">
        <v>153</v>
      </c>
      <c r="D800" s="24" t="s">
        <v>151</v>
      </c>
      <c r="E800" s="24" t="s">
        <v>145</v>
      </c>
      <c r="F800" s="25" t="s">
        <v>202</v>
      </c>
    </row>
    <row r="801" spans="1:6">
      <c r="A801" s="22">
        <v>52356</v>
      </c>
      <c r="B801" s="24" t="s">
        <v>2373</v>
      </c>
      <c r="C801" s="24" t="s">
        <v>153</v>
      </c>
      <c r="D801" s="24" t="s">
        <v>151</v>
      </c>
      <c r="E801" s="24" t="s">
        <v>145</v>
      </c>
      <c r="F801" s="25" t="s">
        <v>202</v>
      </c>
    </row>
    <row r="802" spans="1:6">
      <c r="A802" s="22">
        <v>52378</v>
      </c>
      <c r="B802" s="24" t="s">
        <v>3804</v>
      </c>
      <c r="C802" s="24" t="s">
        <v>153</v>
      </c>
      <c r="D802" s="24" t="s">
        <v>151</v>
      </c>
      <c r="E802" s="24" t="s">
        <v>145</v>
      </c>
      <c r="F802" s="25" t="s">
        <v>230</v>
      </c>
    </row>
    <row r="803" spans="1:6">
      <c r="A803" s="22">
        <v>52381</v>
      </c>
      <c r="B803" s="24" t="s">
        <v>3805</v>
      </c>
      <c r="C803" s="24" t="s">
        <v>153</v>
      </c>
      <c r="D803" s="24" t="s">
        <v>151</v>
      </c>
      <c r="E803" s="24" t="s">
        <v>145</v>
      </c>
      <c r="F803" s="25" t="s">
        <v>202</v>
      </c>
    </row>
    <row r="804" spans="1:6">
      <c r="A804" s="22">
        <v>52385</v>
      </c>
      <c r="B804" s="24" t="s">
        <v>3806</v>
      </c>
      <c r="C804" s="24" t="s">
        <v>153</v>
      </c>
      <c r="D804" s="24" t="s">
        <v>151</v>
      </c>
      <c r="E804" s="24" t="s">
        <v>145</v>
      </c>
      <c r="F804" s="25" t="s">
        <v>144</v>
      </c>
    </row>
    <row r="805" spans="1:6">
      <c r="A805" s="22">
        <v>52390</v>
      </c>
      <c r="B805" s="24" t="s">
        <v>3807</v>
      </c>
      <c r="C805" s="24" t="s">
        <v>153</v>
      </c>
      <c r="D805" s="24" t="s">
        <v>151</v>
      </c>
      <c r="E805" s="24" t="s">
        <v>161</v>
      </c>
      <c r="F805" s="25" t="s">
        <v>160</v>
      </c>
    </row>
    <row r="806" spans="1:6">
      <c r="A806" s="22">
        <v>52405</v>
      </c>
      <c r="B806" s="24" t="s">
        <v>3808</v>
      </c>
      <c r="C806" s="24" t="s">
        <v>153</v>
      </c>
      <c r="D806" s="24" t="s">
        <v>151</v>
      </c>
      <c r="E806" s="24" t="s">
        <v>145</v>
      </c>
      <c r="F806" s="25" t="s">
        <v>230</v>
      </c>
    </row>
    <row r="807" spans="1:6">
      <c r="A807" s="22">
        <v>52411</v>
      </c>
      <c r="B807" s="24" t="s">
        <v>3809</v>
      </c>
      <c r="C807" s="24" t="s">
        <v>153</v>
      </c>
      <c r="D807" s="24" t="s">
        <v>151</v>
      </c>
      <c r="E807" s="24" t="s">
        <v>145</v>
      </c>
      <c r="F807" s="25" t="s">
        <v>230</v>
      </c>
    </row>
    <row r="808" spans="1:6">
      <c r="A808" s="22">
        <v>52418</v>
      </c>
      <c r="B808" s="24" t="s">
        <v>3810</v>
      </c>
      <c r="C808" s="24" t="s">
        <v>153</v>
      </c>
      <c r="D808" s="24" t="s">
        <v>151</v>
      </c>
      <c r="E808" s="24" t="s">
        <v>145</v>
      </c>
      <c r="F808" s="25" t="s">
        <v>230</v>
      </c>
    </row>
    <row r="809" spans="1:6">
      <c r="A809" s="22">
        <v>52427</v>
      </c>
      <c r="B809" s="24" t="s">
        <v>154</v>
      </c>
      <c r="C809" s="24" t="s">
        <v>153</v>
      </c>
      <c r="D809" s="24" t="s">
        <v>151</v>
      </c>
      <c r="E809" s="24" t="s">
        <v>161</v>
      </c>
      <c r="F809" s="25" t="s">
        <v>160</v>
      </c>
    </row>
    <row r="810" spans="1:6">
      <c r="A810" s="22">
        <v>52435</v>
      </c>
      <c r="B810" s="24" t="s">
        <v>3811</v>
      </c>
      <c r="C810" s="24" t="s">
        <v>153</v>
      </c>
      <c r="D810" s="24" t="s">
        <v>151</v>
      </c>
      <c r="E810" s="24" t="s">
        <v>145</v>
      </c>
      <c r="F810" s="25" t="s">
        <v>230</v>
      </c>
    </row>
    <row r="811" spans="1:6">
      <c r="A811" s="22">
        <v>52490</v>
      </c>
      <c r="B811" s="24" t="s">
        <v>3812</v>
      </c>
      <c r="C811" s="24" t="s">
        <v>153</v>
      </c>
      <c r="D811" s="24" t="s">
        <v>151</v>
      </c>
      <c r="E811" s="24" t="s">
        <v>161</v>
      </c>
      <c r="F811" s="25" t="s">
        <v>160</v>
      </c>
    </row>
    <row r="812" spans="1:6">
      <c r="A812" s="22">
        <v>52506</v>
      </c>
      <c r="B812" s="24" t="s">
        <v>3813</v>
      </c>
      <c r="C812" s="24" t="s">
        <v>153</v>
      </c>
      <c r="D812" s="24" t="s">
        <v>151</v>
      </c>
      <c r="E812" s="24" t="s">
        <v>145</v>
      </c>
      <c r="F812" s="25" t="s">
        <v>202</v>
      </c>
    </row>
    <row r="813" spans="1:6">
      <c r="A813" s="22">
        <v>52001</v>
      </c>
      <c r="B813" s="24" t="s">
        <v>151</v>
      </c>
      <c r="C813" s="24" t="s">
        <v>153</v>
      </c>
      <c r="D813" s="24" t="s">
        <v>151</v>
      </c>
      <c r="E813" s="24" t="s">
        <v>145</v>
      </c>
      <c r="F813" s="25" t="s">
        <v>52</v>
      </c>
    </row>
    <row r="814" spans="1:6">
      <c r="A814" s="22">
        <v>52540</v>
      </c>
      <c r="B814" s="24" t="s">
        <v>3814</v>
      </c>
      <c r="C814" s="24" t="s">
        <v>153</v>
      </c>
      <c r="D814" s="24" t="s">
        <v>151</v>
      </c>
      <c r="E814" s="24" t="s">
        <v>145</v>
      </c>
      <c r="F814" s="25" t="s">
        <v>144</v>
      </c>
    </row>
    <row r="815" spans="1:6">
      <c r="A815" s="22">
        <v>52560</v>
      </c>
      <c r="B815" s="24" t="s">
        <v>3815</v>
      </c>
      <c r="C815" s="24" t="s">
        <v>153</v>
      </c>
      <c r="D815" s="24" t="s">
        <v>151</v>
      </c>
      <c r="E815" s="24" t="s">
        <v>145</v>
      </c>
      <c r="F815" s="25" t="s">
        <v>202</v>
      </c>
    </row>
    <row r="816" spans="1:6">
      <c r="A816" s="22">
        <v>52573</v>
      </c>
      <c r="B816" s="24" t="s">
        <v>3816</v>
      </c>
      <c r="C816" s="24" t="s">
        <v>153</v>
      </c>
      <c r="D816" s="24" t="s">
        <v>151</v>
      </c>
      <c r="E816" s="24" t="s">
        <v>145</v>
      </c>
      <c r="F816" s="25" t="s">
        <v>202</v>
      </c>
    </row>
    <row r="817" spans="1:6">
      <c r="A817" s="22">
        <v>52585</v>
      </c>
      <c r="B817" s="24" t="s">
        <v>244</v>
      </c>
      <c r="C817" s="24" t="s">
        <v>153</v>
      </c>
      <c r="D817" s="24" t="s">
        <v>151</v>
      </c>
      <c r="E817" s="24" t="s">
        <v>145</v>
      </c>
      <c r="F817" s="25" t="s">
        <v>202</v>
      </c>
    </row>
    <row r="818" spans="1:6">
      <c r="A818" s="22">
        <v>52621</v>
      </c>
      <c r="B818" s="24" t="s">
        <v>238</v>
      </c>
      <c r="C818" s="24" t="s">
        <v>153</v>
      </c>
      <c r="D818" s="24" t="s">
        <v>151</v>
      </c>
      <c r="E818" s="24" t="s">
        <v>161</v>
      </c>
      <c r="F818" s="25" t="s">
        <v>160</v>
      </c>
    </row>
    <row r="819" spans="1:6">
      <c r="A819" s="22">
        <v>52678</v>
      </c>
      <c r="B819" s="24" t="s">
        <v>3817</v>
      </c>
      <c r="C819" s="24" t="s">
        <v>153</v>
      </c>
      <c r="D819" s="24" t="s">
        <v>151</v>
      </c>
      <c r="E819" s="24" t="s">
        <v>145</v>
      </c>
      <c r="F819" s="25" t="s">
        <v>230</v>
      </c>
    </row>
    <row r="820" spans="1:6">
      <c r="A820" s="22">
        <v>52835</v>
      </c>
      <c r="B820" s="24" t="s">
        <v>480</v>
      </c>
      <c r="C820" s="24" t="s">
        <v>153</v>
      </c>
      <c r="D820" s="24" t="s">
        <v>151</v>
      </c>
      <c r="E820" s="24" t="s">
        <v>145</v>
      </c>
      <c r="F820" s="25" t="s">
        <v>144</v>
      </c>
    </row>
    <row r="821" spans="1:6">
      <c r="A821" s="22">
        <v>52687</v>
      </c>
      <c r="B821" s="24" t="s">
        <v>3818</v>
      </c>
      <c r="C821" s="24" t="s">
        <v>153</v>
      </c>
      <c r="D821" s="24" t="s">
        <v>151</v>
      </c>
      <c r="E821" s="24" t="s">
        <v>145</v>
      </c>
      <c r="F821" s="25" t="s">
        <v>202</v>
      </c>
    </row>
    <row r="822" spans="1:6">
      <c r="A822" s="22">
        <v>52694</v>
      </c>
      <c r="B822" s="24" t="s">
        <v>3819</v>
      </c>
      <c r="C822" s="24" t="s">
        <v>153</v>
      </c>
      <c r="D822" s="24" t="s">
        <v>151</v>
      </c>
      <c r="E822" s="24" t="s">
        <v>145</v>
      </c>
      <c r="F822" s="25" t="s">
        <v>202</v>
      </c>
    </row>
    <row r="823" spans="1:6">
      <c r="A823" s="22">
        <v>52683</v>
      </c>
      <c r="B823" s="24" t="s">
        <v>1957</v>
      </c>
      <c r="C823" s="24" t="s">
        <v>153</v>
      </c>
      <c r="D823" s="24" t="s">
        <v>151</v>
      </c>
      <c r="E823" s="24" t="s">
        <v>145</v>
      </c>
      <c r="F823" s="25" t="s">
        <v>202</v>
      </c>
    </row>
    <row r="824" spans="1:6">
      <c r="A824" s="22">
        <v>52699</v>
      </c>
      <c r="B824" s="24" t="s">
        <v>3820</v>
      </c>
      <c r="C824" s="24" t="s">
        <v>153</v>
      </c>
      <c r="D824" s="24" t="s">
        <v>151</v>
      </c>
      <c r="E824" s="24" t="s">
        <v>145</v>
      </c>
      <c r="F824" s="25" t="s">
        <v>144</v>
      </c>
    </row>
    <row r="825" spans="1:6">
      <c r="A825" s="22">
        <v>52720</v>
      </c>
      <c r="B825" s="24" t="s">
        <v>3821</v>
      </c>
      <c r="C825" s="24" t="s">
        <v>153</v>
      </c>
      <c r="D825" s="24" t="s">
        <v>151</v>
      </c>
      <c r="E825" s="24" t="s">
        <v>145</v>
      </c>
      <c r="F825" s="25" t="s">
        <v>202</v>
      </c>
    </row>
    <row r="826" spans="1:6">
      <c r="A826" s="22">
        <v>52786</v>
      </c>
      <c r="B826" s="24" t="s">
        <v>426</v>
      </c>
      <c r="C826" s="24" t="s">
        <v>153</v>
      </c>
      <c r="D826" s="24" t="s">
        <v>151</v>
      </c>
      <c r="E826" s="24" t="s">
        <v>145</v>
      </c>
      <c r="F826" s="25" t="s">
        <v>202</v>
      </c>
    </row>
    <row r="827" spans="1:6">
      <c r="A827" s="22">
        <v>52788</v>
      </c>
      <c r="B827" s="24" t="s">
        <v>3822</v>
      </c>
      <c r="C827" s="24" t="s">
        <v>153</v>
      </c>
      <c r="D827" s="24" t="s">
        <v>151</v>
      </c>
      <c r="E827" s="24" t="s">
        <v>145</v>
      </c>
      <c r="F827" s="25" t="s">
        <v>202</v>
      </c>
    </row>
    <row r="828" spans="1:6">
      <c r="A828" s="22">
        <v>52838</v>
      </c>
      <c r="B828" s="24" t="s">
        <v>2799</v>
      </c>
      <c r="C828" s="24" t="s">
        <v>153</v>
      </c>
      <c r="D828" s="24" t="s">
        <v>151</v>
      </c>
      <c r="E828" s="24" t="s">
        <v>145</v>
      </c>
      <c r="F828" s="25" t="s">
        <v>202</v>
      </c>
    </row>
    <row r="829" spans="1:6">
      <c r="A829" s="22">
        <v>52885</v>
      </c>
      <c r="B829" s="24" t="s">
        <v>3823</v>
      </c>
      <c r="C829" s="24" t="s">
        <v>153</v>
      </c>
      <c r="D829" s="24" t="s">
        <v>151</v>
      </c>
      <c r="E829" s="24" t="s">
        <v>145</v>
      </c>
      <c r="F829" s="25" t="s">
        <v>202</v>
      </c>
    </row>
    <row r="830" spans="1:6">
      <c r="A830" s="22">
        <v>54553</v>
      </c>
      <c r="B830" s="23" t="s">
        <v>3233</v>
      </c>
      <c r="C830" s="24" t="s">
        <v>287</v>
      </c>
      <c r="D830" s="24" t="s">
        <v>285</v>
      </c>
      <c r="E830" s="24" t="s">
        <v>145</v>
      </c>
      <c r="F830" s="25" t="s">
        <v>202</v>
      </c>
    </row>
    <row r="831" spans="1:6">
      <c r="A831" s="22">
        <v>54673</v>
      </c>
      <c r="B831" s="23" t="s">
        <v>3615</v>
      </c>
      <c r="C831" s="24" t="s">
        <v>287</v>
      </c>
      <c r="D831" s="24" t="s">
        <v>285</v>
      </c>
      <c r="E831" s="24" t="s">
        <v>145</v>
      </c>
      <c r="F831" s="25" t="s">
        <v>202</v>
      </c>
    </row>
    <row r="832" spans="1:6">
      <c r="A832" s="22">
        <v>54680</v>
      </c>
      <c r="B832" s="23" t="s">
        <v>3824</v>
      </c>
      <c r="C832" s="24" t="s">
        <v>287</v>
      </c>
      <c r="D832" s="24" t="s">
        <v>285</v>
      </c>
      <c r="E832" s="24" t="s">
        <v>145</v>
      </c>
      <c r="F832" s="25" t="s">
        <v>202</v>
      </c>
    </row>
    <row r="833" spans="1:6">
      <c r="A833" s="22">
        <v>54820</v>
      </c>
      <c r="B833" s="23" t="s">
        <v>3256</v>
      </c>
      <c r="C833" s="24" t="s">
        <v>287</v>
      </c>
      <c r="D833" s="24" t="s">
        <v>285</v>
      </c>
      <c r="E833" s="24" t="s">
        <v>145</v>
      </c>
      <c r="F833" s="25" t="s">
        <v>144</v>
      </c>
    </row>
    <row r="834" spans="1:6">
      <c r="A834" s="22">
        <v>54003</v>
      </c>
      <c r="B834" s="24" t="s">
        <v>3825</v>
      </c>
      <c r="C834" s="24" t="s">
        <v>287</v>
      </c>
      <c r="D834" s="24" t="s">
        <v>285</v>
      </c>
      <c r="E834" s="24" t="s">
        <v>145</v>
      </c>
      <c r="F834" s="25" t="s">
        <v>230</v>
      </c>
    </row>
    <row r="835" spans="1:6">
      <c r="A835" s="22">
        <v>54051</v>
      </c>
      <c r="B835" s="24" t="s">
        <v>3826</v>
      </c>
      <c r="C835" s="24" t="s">
        <v>287</v>
      </c>
      <c r="D835" s="24" t="s">
        <v>285</v>
      </c>
      <c r="E835" s="24" t="s">
        <v>145</v>
      </c>
      <c r="F835" s="25" t="s">
        <v>144</v>
      </c>
    </row>
    <row r="836" spans="1:6">
      <c r="A836" s="22">
        <v>54099</v>
      </c>
      <c r="B836" s="24" t="s">
        <v>3827</v>
      </c>
      <c r="C836" s="24" t="s">
        <v>287</v>
      </c>
      <c r="D836" s="24" t="s">
        <v>285</v>
      </c>
      <c r="E836" s="24" t="s">
        <v>145</v>
      </c>
      <c r="F836" s="25" t="s">
        <v>202</v>
      </c>
    </row>
    <row r="837" spans="1:6">
      <c r="A837" s="22">
        <v>54109</v>
      </c>
      <c r="B837" s="24" t="s">
        <v>3828</v>
      </c>
      <c r="C837" s="24" t="s">
        <v>287</v>
      </c>
      <c r="D837" s="24" t="s">
        <v>285</v>
      </c>
      <c r="E837" s="24" t="s">
        <v>145</v>
      </c>
      <c r="F837" s="25" t="s">
        <v>230</v>
      </c>
    </row>
    <row r="838" spans="1:6">
      <c r="A838" s="22">
        <v>54128</v>
      </c>
      <c r="B838" s="24" t="s">
        <v>3829</v>
      </c>
      <c r="C838" s="24" t="s">
        <v>287</v>
      </c>
      <c r="D838" s="24" t="s">
        <v>285</v>
      </c>
      <c r="E838" s="24" t="s">
        <v>145</v>
      </c>
      <c r="F838" s="25" t="s">
        <v>144</v>
      </c>
    </row>
    <row r="839" spans="1:6">
      <c r="A839" s="22">
        <v>54125</v>
      </c>
      <c r="B839" s="24" t="s">
        <v>3830</v>
      </c>
      <c r="C839" s="24" t="s">
        <v>287</v>
      </c>
      <c r="D839" s="24" t="s">
        <v>285</v>
      </c>
      <c r="E839" s="24" t="s">
        <v>145</v>
      </c>
      <c r="F839" s="25" t="s">
        <v>230</v>
      </c>
    </row>
    <row r="840" spans="1:6">
      <c r="A840" s="22">
        <v>54172</v>
      </c>
      <c r="B840" s="24" t="s">
        <v>3831</v>
      </c>
      <c r="C840" s="24" t="s">
        <v>287</v>
      </c>
      <c r="D840" s="24" t="s">
        <v>285</v>
      </c>
      <c r="E840" s="24" t="s">
        <v>145</v>
      </c>
      <c r="F840" s="25" t="s">
        <v>202</v>
      </c>
    </row>
    <row r="841" spans="1:6">
      <c r="A841" s="22">
        <v>54174</v>
      </c>
      <c r="B841" s="24" t="s">
        <v>3832</v>
      </c>
      <c r="C841" s="24" t="s">
        <v>287</v>
      </c>
      <c r="D841" s="24" t="s">
        <v>285</v>
      </c>
      <c r="E841" s="24" t="s">
        <v>145</v>
      </c>
      <c r="F841" s="25" t="s">
        <v>144</v>
      </c>
    </row>
    <row r="842" spans="1:6">
      <c r="A842" s="22">
        <v>54206</v>
      </c>
      <c r="B842" s="24" t="s">
        <v>3833</v>
      </c>
      <c r="C842" s="24" t="s">
        <v>287</v>
      </c>
      <c r="D842" s="24" t="s">
        <v>285</v>
      </c>
      <c r="E842" s="24" t="s">
        <v>145</v>
      </c>
      <c r="F842" s="25" t="s">
        <v>144</v>
      </c>
    </row>
    <row r="843" spans="1:6">
      <c r="A843" s="22">
        <v>54001</v>
      </c>
      <c r="B843" s="24" t="s">
        <v>285</v>
      </c>
      <c r="C843" s="24" t="s">
        <v>287</v>
      </c>
      <c r="D843" s="24" t="s">
        <v>285</v>
      </c>
      <c r="E843" s="24" t="s">
        <v>145</v>
      </c>
      <c r="F843" s="25" t="s">
        <v>52</v>
      </c>
    </row>
    <row r="844" spans="1:6">
      <c r="A844" s="22">
        <v>54223</v>
      </c>
      <c r="B844" s="24" t="s">
        <v>3834</v>
      </c>
      <c r="C844" s="24" t="s">
        <v>287</v>
      </c>
      <c r="D844" s="24" t="s">
        <v>285</v>
      </c>
      <c r="E844" s="24" t="s">
        <v>145</v>
      </c>
      <c r="F844" s="25" t="s">
        <v>144</v>
      </c>
    </row>
    <row r="845" spans="1:6">
      <c r="A845" s="22">
        <v>54239</v>
      </c>
      <c r="B845" s="24" t="s">
        <v>3145</v>
      </c>
      <c r="C845" s="24" t="s">
        <v>287</v>
      </c>
      <c r="D845" s="24" t="s">
        <v>285</v>
      </c>
      <c r="E845" s="24" t="s">
        <v>145</v>
      </c>
      <c r="F845" s="25" t="s">
        <v>202</v>
      </c>
    </row>
    <row r="846" spans="1:6">
      <c r="A846" s="22">
        <v>54245</v>
      </c>
      <c r="B846" s="24" t="s">
        <v>3835</v>
      </c>
      <c r="C846" s="24" t="s">
        <v>287</v>
      </c>
      <c r="D846" s="24" t="s">
        <v>285</v>
      </c>
      <c r="E846" s="24" t="s">
        <v>145</v>
      </c>
      <c r="F846" s="25" t="s">
        <v>144</v>
      </c>
    </row>
    <row r="847" spans="1:6">
      <c r="A847" s="22">
        <v>54250</v>
      </c>
      <c r="B847" s="24" t="s">
        <v>3836</v>
      </c>
      <c r="C847" s="24" t="s">
        <v>287</v>
      </c>
      <c r="D847" s="24" t="s">
        <v>285</v>
      </c>
      <c r="E847" s="24" t="s">
        <v>145</v>
      </c>
      <c r="F847" s="25" t="s">
        <v>144</v>
      </c>
    </row>
    <row r="848" spans="1:6">
      <c r="A848" s="22">
        <v>54261</v>
      </c>
      <c r="B848" s="24" t="s">
        <v>3837</v>
      </c>
      <c r="C848" s="24" t="s">
        <v>287</v>
      </c>
      <c r="D848" s="24" t="s">
        <v>285</v>
      </c>
      <c r="E848" s="24" t="s">
        <v>145</v>
      </c>
      <c r="F848" s="25" t="s">
        <v>202</v>
      </c>
    </row>
    <row r="849" spans="1:6">
      <c r="A849" s="22">
        <v>54313</v>
      </c>
      <c r="B849" s="24" t="s">
        <v>2542</v>
      </c>
      <c r="C849" s="24" t="s">
        <v>287</v>
      </c>
      <c r="D849" s="24" t="s">
        <v>285</v>
      </c>
      <c r="E849" s="24" t="s">
        <v>145</v>
      </c>
      <c r="F849" s="25" t="s">
        <v>202</v>
      </c>
    </row>
    <row r="850" spans="1:6">
      <c r="A850" s="22">
        <v>54344</v>
      </c>
      <c r="B850" s="24" t="s">
        <v>3838</v>
      </c>
      <c r="C850" s="24" t="s">
        <v>287</v>
      </c>
      <c r="D850" s="24" t="s">
        <v>285</v>
      </c>
      <c r="E850" s="24" t="s">
        <v>145</v>
      </c>
      <c r="F850" s="25" t="s">
        <v>144</v>
      </c>
    </row>
    <row r="851" spans="1:6">
      <c r="A851" s="22">
        <v>54347</v>
      </c>
      <c r="B851" s="24" t="s">
        <v>3839</v>
      </c>
      <c r="C851" s="24" t="s">
        <v>287</v>
      </c>
      <c r="D851" s="24" t="s">
        <v>285</v>
      </c>
      <c r="E851" s="24" t="s">
        <v>145</v>
      </c>
      <c r="F851" s="25" t="s">
        <v>230</v>
      </c>
    </row>
    <row r="852" spans="1:6">
      <c r="A852" s="22">
        <v>54385</v>
      </c>
      <c r="B852" s="24" t="s">
        <v>3840</v>
      </c>
      <c r="C852" s="24" t="s">
        <v>287</v>
      </c>
      <c r="D852" s="24" t="s">
        <v>269</v>
      </c>
      <c r="E852" s="24" t="s">
        <v>145</v>
      </c>
      <c r="F852" s="25" t="s">
        <v>230</v>
      </c>
    </row>
    <row r="853" spans="1:6">
      <c r="A853" s="22">
        <v>54398</v>
      </c>
      <c r="B853" s="24" t="s">
        <v>3841</v>
      </c>
      <c r="C853" s="24" t="s">
        <v>287</v>
      </c>
      <c r="D853" s="24" t="s">
        <v>285</v>
      </c>
      <c r="E853" s="24" t="s">
        <v>145</v>
      </c>
      <c r="F853" s="25" t="s">
        <v>144</v>
      </c>
    </row>
    <row r="854" spans="1:6">
      <c r="A854" s="22">
        <v>54377</v>
      </c>
      <c r="B854" s="24" t="s">
        <v>3842</v>
      </c>
      <c r="C854" s="24" t="s">
        <v>287</v>
      </c>
      <c r="D854" s="24" t="s">
        <v>285</v>
      </c>
      <c r="E854" s="24" t="s">
        <v>145</v>
      </c>
      <c r="F854" s="25" t="s">
        <v>144</v>
      </c>
    </row>
    <row r="855" spans="1:6">
      <c r="A855" s="22">
        <v>54405</v>
      </c>
      <c r="B855" s="24" t="s">
        <v>511</v>
      </c>
      <c r="C855" s="24" t="s">
        <v>287</v>
      </c>
      <c r="D855" s="24" t="s">
        <v>285</v>
      </c>
      <c r="E855" s="24" t="s">
        <v>145</v>
      </c>
      <c r="F855" s="25" t="s">
        <v>52</v>
      </c>
    </row>
    <row r="856" spans="1:6">
      <c r="A856" s="22">
        <v>54418</v>
      </c>
      <c r="B856" s="24" t="s">
        <v>3843</v>
      </c>
      <c r="C856" s="24" t="s">
        <v>287</v>
      </c>
      <c r="D856" s="24" t="s">
        <v>285</v>
      </c>
      <c r="E856" s="24" t="s">
        <v>145</v>
      </c>
      <c r="F856" s="25" t="s">
        <v>230</v>
      </c>
    </row>
    <row r="857" spans="1:6">
      <c r="A857" s="22">
        <v>54480</v>
      </c>
      <c r="B857" s="24" t="s">
        <v>3844</v>
      </c>
      <c r="C857" s="24" t="s">
        <v>287</v>
      </c>
      <c r="D857" s="24" t="s">
        <v>285</v>
      </c>
      <c r="E857" s="24" t="s">
        <v>145</v>
      </c>
      <c r="F857" s="25" t="s">
        <v>230</v>
      </c>
    </row>
    <row r="858" spans="1:6">
      <c r="A858" s="22">
        <v>54498</v>
      </c>
      <c r="B858" s="24" t="s">
        <v>288</v>
      </c>
      <c r="C858" s="24" t="s">
        <v>287</v>
      </c>
      <c r="D858" s="24" t="s">
        <v>285</v>
      </c>
      <c r="E858" s="24" t="s">
        <v>145</v>
      </c>
      <c r="F858" s="25" t="s">
        <v>144</v>
      </c>
    </row>
    <row r="859" spans="1:6">
      <c r="A859" s="22">
        <v>54518</v>
      </c>
      <c r="B859" s="24" t="s">
        <v>1460</v>
      </c>
      <c r="C859" s="24" t="s">
        <v>287</v>
      </c>
      <c r="D859" s="24" t="s">
        <v>285</v>
      </c>
      <c r="E859" s="24" t="s">
        <v>145</v>
      </c>
      <c r="F859" s="25" t="s">
        <v>230</v>
      </c>
    </row>
    <row r="860" spans="1:6">
      <c r="A860" s="22">
        <v>54520</v>
      </c>
      <c r="B860" s="24" t="s">
        <v>3845</v>
      </c>
      <c r="C860" s="24" t="s">
        <v>287</v>
      </c>
      <c r="D860" s="24" t="s">
        <v>285</v>
      </c>
      <c r="E860" s="24" t="s">
        <v>145</v>
      </c>
      <c r="F860" s="25" t="s">
        <v>230</v>
      </c>
    </row>
    <row r="861" spans="1:6">
      <c r="A861" s="22">
        <v>54599</v>
      </c>
      <c r="B861" s="24" t="s">
        <v>3846</v>
      </c>
      <c r="C861" s="24" t="s">
        <v>287</v>
      </c>
      <c r="D861" s="24" t="s">
        <v>285</v>
      </c>
      <c r="E861" s="24" t="s">
        <v>145</v>
      </c>
      <c r="F861" s="25" t="s">
        <v>230</v>
      </c>
    </row>
    <row r="862" spans="1:6">
      <c r="A862" s="22">
        <v>54660</v>
      </c>
      <c r="B862" s="24" t="s">
        <v>3847</v>
      </c>
      <c r="C862" s="24" t="s">
        <v>287</v>
      </c>
      <c r="D862" s="24" t="s">
        <v>285</v>
      </c>
      <c r="E862" s="24" t="s">
        <v>145</v>
      </c>
      <c r="F862" s="25" t="s">
        <v>202</v>
      </c>
    </row>
    <row r="863" spans="1:6">
      <c r="A863" s="22">
        <v>54670</v>
      </c>
      <c r="B863" s="24" t="s">
        <v>3848</v>
      </c>
      <c r="C863" s="24" t="s">
        <v>287</v>
      </c>
      <c r="D863" s="24" t="s">
        <v>285</v>
      </c>
      <c r="E863" s="24" t="s">
        <v>145</v>
      </c>
      <c r="F863" s="25" t="s">
        <v>144</v>
      </c>
    </row>
    <row r="864" spans="1:6">
      <c r="A864" s="22">
        <v>54720</v>
      </c>
      <c r="B864" s="24" t="s">
        <v>3849</v>
      </c>
      <c r="C864" s="24" t="s">
        <v>287</v>
      </c>
      <c r="D864" s="24" t="s">
        <v>285</v>
      </c>
      <c r="E864" s="24" t="s">
        <v>145</v>
      </c>
      <c r="F864" s="25" t="s">
        <v>202</v>
      </c>
    </row>
    <row r="865" spans="1:6">
      <c r="A865" s="22">
        <v>54743</v>
      </c>
      <c r="B865" s="24" t="s">
        <v>3850</v>
      </c>
      <c r="C865" s="24" t="s">
        <v>287</v>
      </c>
      <c r="D865" s="24" t="s">
        <v>285</v>
      </c>
      <c r="E865" s="24" t="s">
        <v>145</v>
      </c>
      <c r="F865" s="25" t="s">
        <v>144</v>
      </c>
    </row>
    <row r="866" spans="1:6">
      <c r="A866" s="22">
        <v>54800</v>
      </c>
      <c r="B866" s="24" t="s">
        <v>3851</v>
      </c>
      <c r="C866" s="24" t="s">
        <v>287</v>
      </c>
      <c r="D866" s="24" t="s">
        <v>285</v>
      </c>
      <c r="E866" s="24" t="s">
        <v>145</v>
      </c>
      <c r="F866" s="25" t="s">
        <v>144</v>
      </c>
    </row>
    <row r="867" spans="1:6">
      <c r="A867" s="22">
        <v>54810</v>
      </c>
      <c r="B867" s="24" t="s">
        <v>3852</v>
      </c>
      <c r="C867" s="24" t="s">
        <v>287</v>
      </c>
      <c r="D867" s="24" t="s">
        <v>285</v>
      </c>
      <c r="E867" s="24" t="s">
        <v>145</v>
      </c>
      <c r="F867" s="25" t="s">
        <v>160</v>
      </c>
    </row>
    <row r="868" spans="1:6">
      <c r="A868" s="22">
        <v>54871</v>
      </c>
      <c r="B868" s="24" t="s">
        <v>3853</v>
      </c>
      <c r="C868" s="24" t="s">
        <v>287</v>
      </c>
      <c r="D868" s="24" t="s">
        <v>285</v>
      </c>
      <c r="E868" s="24" t="s">
        <v>145</v>
      </c>
      <c r="F868" s="25" t="s">
        <v>144</v>
      </c>
    </row>
    <row r="869" spans="1:6">
      <c r="A869" s="22">
        <v>54874</v>
      </c>
      <c r="B869" s="24" t="s">
        <v>640</v>
      </c>
      <c r="C869" s="24" t="s">
        <v>287</v>
      </c>
      <c r="D869" s="24" t="s">
        <v>285</v>
      </c>
      <c r="E869" s="24" t="s">
        <v>145</v>
      </c>
      <c r="F869" s="25" t="s">
        <v>52</v>
      </c>
    </row>
    <row r="870" spans="1:6">
      <c r="A870" s="22">
        <v>86219</v>
      </c>
      <c r="B870" s="23" t="s">
        <v>3784</v>
      </c>
      <c r="C870" s="24" t="s">
        <v>1794</v>
      </c>
      <c r="D870" s="24" t="s">
        <v>151</v>
      </c>
      <c r="E870" s="24" t="s">
        <v>145</v>
      </c>
      <c r="F870" s="25" t="s">
        <v>202</v>
      </c>
    </row>
    <row r="871" spans="1:6">
      <c r="A871" s="22">
        <v>86755</v>
      </c>
      <c r="B871" s="23" t="s">
        <v>3252</v>
      </c>
      <c r="C871" s="24" t="s">
        <v>1794</v>
      </c>
      <c r="D871" s="24" t="s">
        <v>151</v>
      </c>
      <c r="E871" s="24" t="s">
        <v>145</v>
      </c>
      <c r="F871" s="25" t="s">
        <v>230</v>
      </c>
    </row>
    <row r="872" spans="1:6">
      <c r="A872" s="22">
        <v>86757</v>
      </c>
      <c r="B872" s="23" t="s">
        <v>3854</v>
      </c>
      <c r="C872" s="24" t="s">
        <v>1794</v>
      </c>
      <c r="D872" s="24" t="s">
        <v>151</v>
      </c>
      <c r="E872" s="24" t="s">
        <v>145</v>
      </c>
      <c r="F872" s="25" t="s">
        <v>144</v>
      </c>
    </row>
    <row r="873" spans="1:6">
      <c r="A873" s="22">
        <v>86760</v>
      </c>
      <c r="B873" s="23" t="s">
        <v>3824</v>
      </c>
      <c r="C873" s="24" t="s">
        <v>1794</v>
      </c>
      <c r="D873" s="24" t="s">
        <v>151</v>
      </c>
      <c r="E873" s="24" t="s">
        <v>145</v>
      </c>
      <c r="F873" s="25" t="s">
        <v>202</v>
      </c>
    </row>
    <row r="874" spans="1:6">
      <c r="A874" s="22">
        <v>86573</v>
      </c>
      <c r="B874" s="24" t="s">
        <v>3855</v>
      </c>
      <c r="C874" s="24" t="s">
        <v>1794</v>
      </c>
      <c r="D874" s="24" t="s">
        <v>151</v>
      </c>
      <c r="E874" s="26" t="s">
        <v>1369</v>
      </c>
      <c r="F874" s="25" t="s">
        <v>144</v>
      </c>
    </row>
    <row r="875" spans="1:6">
      <c r="A875" s="22">
        <v>86001</v>
      </c>
      <c r="B875" s="24" t="s">
        <v>3856</v>
      </c>
      <c r="C875" s="24" t="s">
        <v>1794</v>
      </c>
      <c r="D875" s="24" t="s">
        <v>151</v>
      </c>
      <c r="E875" s="24" t="s">
        <v>145</v>
      </c>
      <c r="F875" s="25" t="s">
        <v>144</v>
      </c>
    </row>
    <row r="876" spans="1:6">
      <c r="A876" s="22">
        <v>86320</v>
      </c>
      <c r="B876" s="24" t="s">
        <v>3857</v>
      </c>
      <c r="C876" s="24" t="s">
        <v>1794</v>
      </c>
      <c r="D876" s="24" t="s">
        <v>151</v>
      </c>
      <c r="E876" s="24" t="s">
        <v>145</v>
      </c>
      <c r="F876" s="25" t="s">
        <v>144</v>
      </c>
    </row>
    <row r="877" spans="1:6">
      <c r="A877" s="22">
        <v>86568</v>
      </c>
      <c r="B877" s="24" t="s">
        <v>3858</v>
      </c>
      <c r="C877" s="24" t="s">
        <v>1794</v>
      </c>
      <c r="D877" s="24" t="s">
        <v>151</v>
      </c>
      <c r="E877" s="24" t="s">
        <v>145</v>
      </c>
      <c r="F877" s="25" t="s">
        <v>144</v>
      </c>
    </row>
    <row r="878" spans="1:6">
      <c r="A878" s="22">
        <v>86569</v>
      </c>
      <c r="B878" s="24" t="s">
        <v>3859</v>
      </c>
      <c r="C878" s="24" t="s">
        <v>1794</v>
      </c>
      <c r="D878" s="24" t="s">
        <v>151</v>
      </c>
      <c r="E878" s="24" t="s">
        <v>145</v>
      </c>
      <c r="F878" s="25" t="s">
        <v>144</v>
      </c>
    </row>
    <row r="879" spans="1:6">
      <c r="A879" s="22">
        <v>86571</v>
      </c>
      <c r="B879" s="24" t="s">
        <v>3860</v>
      </c>
      <c r="C879" s="24" t="s">
        <v>1794</v>
      </c>
      <c r="D879" s="24" t="s">
        <v>151</v>
      </c>
      <c r="E879" s="24" t="s">
        <v>145</v>
      </c>
      <c r="F879" s="25" t="s">
        <v>144</v>
      </c>
    </row>
    <row r="880" spans="1:6">
      <c r="A880" s="22">
        <v>86749</v>
      </c>
      <c r="B880" s="24" t="s">
        <v>1795</v>
      </c>
      <c r="C880" s="24" t="s">
        <v>1794</v>
      </c>
      <c r="D880" s="24" t="s">
        <v>151</v>
      </c>
      <c r="E880" s="24" t="s">
        <v>145</v>
      </c>
      <c r="F880" s="25" t="s">
        <v>230</v>
      </c>
    </row>
    <row r="881" spans="1:6">
      <c r="A881" s="22">
        <v>86865</v>
      </c>
      <c r="B881" s="24" t="s">
        <v>1801</v>
      </c>
      <c r="C881" s="24" t="s">
        <v>1794</v>
      </c>
      <c r="D881" s="24" t="s">
        <v>151</v>
      </c>
      <c r="E881" s="24" t="s">
        <v>145</v>
      </c>
      <c r="F881" s="25" t="s">
        <v>144</v>
      </c>
    </row>
    <row r="882" spans="1:6">
      <c r="A882" s="22">
        <v>86885</v>
      </c>
      <c r="B882" s="24" t="s">
        <v>3861</v>
      </c>
      <c r="C882" s="24" t="s">
        <v>1794</v>
      </c>
      <c r="D882" s="24" t="s">
        <v>151</v>
      </c>
      <c r="E882" s="24" t="s">
        <v>145</v>
      </c>
      <c r="F882" s="25" t="s">
        <v>144</v>
      </c>
    </row>
    <row r="883" spans="1:6">
      <c r="A883" s="22">
        <v>63001</v>
      </c>
      <c r="B883" s="23" t="s">
        <v>555</v>
      </c>
      <c r="C883" s="24" t="s">
        <v>554</v>
      </c>
      <c r="D883" s="24" t="s">
        <v>453</v>
      </c>
      <c r="E883" s="24" t="s">
        <v>145</v>
      </c>
      <c r="F883" s="25" t="s">
        <v>202</v>
      </c>
    </row>
    <row r="884" spans="1:6">
      <c r="A884" s="22">
        <v>63111</v>
      </c>
      <c r="B884" s="23" t="s">
        <v>3385</v>
      </c>
      <c r="C884" s="24" t="s">
        <v>554</v>
      </c>
      <c r="D884" s="24" t="s">
        <v>453</v>
      </c>
      <c r="E884" s="24" t="s">
        <v>145</v>
      </c>
      <c r="F884" s="25" t="s">
        <v>202</v>
      </c>
    </row>
    <row r="885" spans="1:6">
      <c r="A885" s="22">
        <v>63212</v>
      </c>
      <c r="B885" s="23" t="s">
        <v>381</v>
      </c>
      <c r="C885" s="24" t="s">
        <v>554</v>
      </c>
      <c r="D885" s="24" t="s">
        <v>453</v>
      </c>
      <c r="E885" s="24" t="s">
        <v>145</v>
      </c>
      <c r="F885" s="25" t="s">
        <v>202</v>
      </c>
    </row>
    <row r="886" spans="1:6">
      <c r="A886" s="22">
        <v>63130</v>
      </c>
      <c r="B886" s="24" t="s">
        <v>2151</v>
      </c>
      <c r="C886" s="24" t="s">
        <v>554</v>
      </c>
      <c r="D886" s="24" t="s">
        <v>453</v>
      </c>
      <c r="E886" s="24" t="s">
        <v>145</v>
      </c>
      <c r="F886" s="25" t="s">
        <v>202</v>
      </c>
    </row>
    <row r="887" spans="1:6">
      <c r="A887" s="22">
        <v>63190</v>
      </c>
      <c r="B887" s="24" t="s">
        <v>780</v>
      </c>
      <c r="C887" s="24" t="s">
        <v>554</v>
      </c>
      <c r="D887" s="24" t="s">
        <v>453</v>
      </c>
      <c r="E887" s="24" t="s">
        <v>145</v>
      </c>
      <c r="F887" s="25" t="s">
        <v>202</v>
      </c>
    </row>
    <row r="888" spans="1:6">
      <c r="A888" s="22">
        <v>63272</v>
      </c>
      <c r="B888" s="24" t="s">
        <v>3862</v>
      </c>
      <c r="C888" s="24" t="s">
        <v>554</v>
      </c>
      <c r="D888" s="24" t="s">
        <v>453</v>
      </c>
      <c r="E888" s="24" t="s">
        <v>145</v>
      </c>
      <c r="F888" s="25" t="s">
        <v>202</v>
      </c>
    </row>
    <row r="889" spans="1:6">
      <c r="A889" s="22">
        <v>63302</v>
      </c>
      <c r="B889" s="24" t="s">
        <v>3863</v>
      </c>
      <c r="C889" s="24" t="s">
        <v>554</v>
      </c>
      <c r="D889" s="24" t="s">
        <v>453</v>
      </c>
      <c r="E889" s="24" t="s">
        <v>145</v>
      </c>
      <c r="F889" s="25" t="s">
        <v>230</v>
      </c>
    </row>
    <row r="890" spans="1:6">
      <c r="A890" s="22">
        <v>63401</v>
      </c>
      <c r="B890" s="24" t="s">
        <v>3864</v>
      </c>
      <c r="C890" s="24" t="s">
        <v>554</v>
      </c>
      <c r="D890" s="24" t="s">
        <v>453</v>
      </c>
      <c r="E890" s="24" t="s">
        <v>145</v>
      </c>
      <c r="F890" s="25" t="s">
        <v>202</v>
      </c>
    </row>
    <row r="891" spans="1:6">
      <c r="A891" s="22">
        <v>63470</v>
      </c>
      <c r="B891" s="24" t="s">
        <v>3865</v>
      </c>
      <c r="C891" s="24" t="s">
        <v>554</v>
      </c>
      <c r="D891" s="24" t="s">
        <v>453</v>
      </c>
      <c r="E891" s="24" t="s">
        <v>145</v>
      </c>
      <c r="F891" s="25" t="s">
        <v>202</v>
      </c>
    </row>
    <row r="892" spans="1:6">
      <c r="A892" s="22">
        <v>63548</v>
      </c>
      <c r="B892" s="24" t="s">
        <v>3866</v>
      </c>
      <c r="C892" s="24" t="s">
        <v>554</v>
      </c>
      <c r="D892" s="24" t="s">
        <v>453</v>
      </c>
      <c r="E892" s="24" t="s">
        <v>145</v>
      </c>
      <c r="F892" s="25" t="s">
        <v>230</v>
      </c>
    </row>
    <row r="893" spans="1:6">
      <c r="A893" s="22">
        <v>63594</v>
      </c>
      <c r="B893" s="24" t="s">
        <v>1735</v>
      </c>
      <c r="C893" s="24" t="s">
        <v>554</v>
      </c>
      <c r="D893" s="24" t="s">
        <v>453</v>
      </c>
      <c r="E893" s="24" t="s">
        <v>145</v>
      </c>
      <c r="F893" s="25" t="s">
        <v>202</v>
      </c>
    </row>
    <row r="894" spans="1:6">
      <c r="A894" s="22">
        <v>63690</v>
      </c>
      <c r="B894" s="24" t="s">
        <v>3867</v>
      </c>
      <c r="C894" s="24" t="s">
        <v>554</v>
      </c>
      <c r="D894" s="24" t="s">
        <v>453</v>
      </c>
      <c r="E894" s="24" t="s">
        <v>145</v>
      </c>
      <c r="F894" s="25" t="s">
        <v>202</v>
      </c>
    </row>
    <row r="895" spans="1:6">
      <c r="A895" s="22">
        <v>66075</v>
      </c>
      <c r="B895" s="23" t="s">
        <v>3523</v>
      </c>
      <c r="C895" s="24" t="s">
        <v>579</v>
      </c>
      <c r="D895" s="24" t="s">
        <v>453</v>
      </c>
      <c r="E895" s="24" t="s">
        <v>145</v>
      </c>
      <c r="F895" s="25" t="s">
        <v>202</v>
      </c>
    </row>
    <row r="896" spans="1:6">
      <c r="A896" s="22">
        <v>66045</v>
      </c>
      <c r="B896" s="24" t="s">
        <v>1744</v>
      </c>
      <c r="C896" s="24" t="s">
        <v>579</v>
      </c>
      <c r="D896" s="24" t="s">
        <v>453</v>
      </c>
      <c r="E896" s="24" t="s">
        <v>145</v>
      </c>
      <c r="F896" s="25" t="s">
        <v>202</v>
      </c>
    </row>
    <row r="897" spans="1:6">
      <c r="A897" s="22">
        <v>66088</v>
      </c>
      <c r="B897" s="24" t="s">
        <v>3868</v>
      </c>
      <c r="C897" s="24" t="s">
        <v>579</v>
      </c>
      <c r="D897" s="24" t="s">
        <v>453</v>
      </c>
      <c r="E897" s="24" t="s">
        <v>145</v>
      </c>
      <c r="F897" s="25" t="s">
        <v>202</v>
      </c>
    </row>
    <row r="898" spans="1:6">
      <c r="A898" s="22">
        <v>66170</v>
      </c>
      <c r="B898" s="24" t="s">
        <v>790</v>
      </c>
      <c r="C898" s="24" t="s">
        <v>579</v>
      </c>
      <c r="D898" s="24" t="s">
        <v>453</v>
      </c>
      <c r="E898" s="24" t="s">
        <v>145</v>
      </c>
      <c r="F898" s="25" t="s">
        <v>52</v>
      </c>
    </row>
    <row r="899" spans="1:6">
      <c r="A899" s="22">
        <v>66318</v>
      </c>
      <c r="B899" s="24" t="s">
        <v>2319</v>
      </c>
      <c r="C899" s="24" t="s">
        <v>579</v>
      </c>
      <c r="D899" s="24" t="s">
        <v>453</v>
      </c>
      <c r="E899" s="24" t="s">
        <v>145</v>
      </c>
      <c r="F899" s="25" t="s">
        <v>202</v>
      </c>
    </row>
    <row r="900" spans="1:6">
      <c r="A900" s="22">
        <v>66383</v>
      </c>
      <c r="B900" s="24" t="s">
        <v>1183</v>
      </c>
      <c r="C900" s="24" t="s">
        <v>579</v>
      </c>
      <c r="D900" s="24" t="s">
        <v>453</v>
      </c>
      <c r="E900" s="24" t="s">
        <v>145</v>
      </c>
      <c r="F900" s="25" t="s">
        <v>202</v>
      </c>
    </row>
    <row r="901" spans="1:6">
      <c r="A901" s="22">
        <v>66400</v>
      </c>
      <c r="B901" s="24" t="s">
        <v>3869</v>
      </c>
      <c r="C901" s="24" t="s">
        <v>579</v>
      </c>
      <c r="D901" s="24" t="s">
        <v>453</v>
      </c>
      <c r="E901" s="24" t="s">
        <v>145</v>
      </c>
      <c r="F901" s="25" t="s">
        <v>52</v>
      </c>
    </row>
    <row r="902" spans="1:6">
      <c r="A902" s="22">
        <v>66440</v>
      </c>
      <c r="B902" s="24" t="s">
        <v>1522</v>
      </c>
      <c r="C902" s="24" t="s">
        <v>579</v>
      </c>
      <c r="D902" s="24" t="s">
        <v>453</v>
      </c>
      <c r="E902" s="24" t="s">
        <v>145</v>
      </c>
      <c r="F902" s="25" t="s">
        <v>202</v>
      </c>
    </row>
    <row r="903" spans="1:6">
      <c r="A903" s="22">
        <v>66456</v>
      </c>
      <c r="B903" s="24" t="s">
        <v>3870</v>
      </c>
      <c r="C903" s="24" t="s">
        <v>579</v>
      </c>
      <c r="D903" s="24" t="s">
        <v>453</v>
      </c>
      <c r="E903" s="24" t="s">
        <v>145</v>
      </c>
      <c r="F903" s="25" t="s">
        <v>202</v>
      </c>
    </row>
    <row r="904" spans="1:6">
      <c r="A904" s="22">
        <v>66001</v>
      </c>
      <c r="B904" s="24" t="s">
        <v>453</v>
      </c>
      <c r="C904" s="24" t="s">
        <v>579</v>
      </c>
      <c r="D904" s="24" t="s">
        <v>453</v>
      </c>
      <c r="E904" s="24" t="s">
        <v>145</v>
      </c>
      <c r="F904" s="25" t="s">
        <v>52</v>
      </c>
    </row>
    <row r="905" spans="1:6">
      <c r="A905" s="22">
        <v>66572</v>
      </c>
      <c r="B905" s="24" t="s">
        <v>3871</v>
      </c>
      <c r="C905" s="24" t="s">
        <v>579</v>
      </c>
      <c r="D905" s="24" t="s">
        <v>453</v>
      </c>
      <c r="E905" s="24" t="s">
        <v>145</v>
      </c>
      <c r="F905" s="25" t="s">
        <v>202</v>
      </c>
    </row>
    <row r="906" spans="1:6">
      <c r="A906" s="22">
        <v>66594</v>
      </c>
      <c r="B906" s="24" t="s">
        <v>3872</v>
      </c>
      <c r="C906" s="24" t="s">
        <v>579</v>
      </c>
      <c r="D906" s="24" t="s">
        <v>453</v>
      </c>
      <c r="E906" s="24" t="s">
        <v>145</v>
      </c>
      <c r="F906" s="25" t="s">
        <v>202</v>
      </c>
    </row>
    <row r="907" spans="1:6">
      <c r="A907" s="22">
        <v>66682</v>
      </c>
      <c r="B907" s="24" t="s">
        <v>3873</v>
      </c>
      <c r="C907" s="24" t="s">
        <v>579</v>
      </c>
      <c r="D907" s="24" t="s">
        <v>453</v>
      </c>
      <c r="E907" s="24" t="s">
        <v>145</v>
      </c>
      <c r="F907" s="25" t="s">
        <v>52</v>
      </c>
    </row>
    <row r="908" spans="1:6">
      <c r="A908" s="22">
        <v>66687</v>
      </c>
      <c r="B908" s="24" t="s">
        <v>3874</v>
      </c>
      <c r="C908" s="24" t="s">
        <v>579</v>
      </c>
      <c r="D908" s="24" t="s">
        <v>453</v>
      </c>
      <c r="E908" s="24" t="s">
        <v>145</v>
      </c>
      <c r="F908" s="25" t="s">
        <v>202</v>
      </c>
    </row>
    <row r="909" spans="1:6">
      <c r="A909" s="22">
        <v>88564</v>
      </c>
      <c r="B909" s="23" t="s">
        <v>3785</v>
      </c>
      <c r="C909" s="24" t="s">
        <v>3875</v>
      </c>
      <c r="D909" s="24" t="s">
        <v>345</v>
      </c>
      <c r="E909" s="24" t="s">
        <v>1369</v>
      </c>
      <c r="F909" s="25" t="s">
        <v>160</v>
      </c>
    </row>
    <row r="910" spans="1:6">
      <c r="A910" s="22">
        <v>88001</v>
      </c>
      <c r="B910" s="23" t="s">
        <v>3876</v>
      </c>
      <c r="C910" s="24" t="s">
        <v>3875</v>
      </c>
      <c r="D910" s="24" t="s">
        <v>345</v>
      </c>
      <c r="E910" s="24" t="s">
        <v>1369</v>
      </c>
      <c r="F910" s="25" t="s">
        <v>160</v>
      </c>
    </row>
    <row r="911" spans="1:6">
      <c r="A911" s="22">
        <v>68020</v>
      </c>
      <c r="B911" s="23" t="s">
        <v>3500</v>
      </c>
      <c r="C911" s="24" t="s">
        <v>795</v>
      </c>
      <c r="D911" s="24" t="s">
        <v>203</v>
      </c>
      <c r="E911" s="24" t="s">
        <v>145</v>
      </c>
      <c r="F911" s="25" t="s">
        <v>230</v>
      </c>
    </row>
    <row r="912" spans="1:6">
      <c r="A912" s="22">
        <v>68077</v>
      </c>
      <c r="B912" s="23" t="s">
        <v>2214</v>
      </c>
      <c r="C912" s="24" t="s">
        <v>795</v>
      </c>
      <c r="D912" s="24" t="s">
        <v>203</v>
      </c>
      <c r="E912" s="24" t="s">
        <v>145</v>
      </c>
      <c r="F912" s="25" t="s">
        <v>202</v>
      </c>
    </row>
    <row r="913" spans="1:6">
      <c r="A913" s="22">
        <v>68092</v>
      </c>
      <c r="B913" s="23" t="s">
        <v>3244</v>
      </c>
      <c r="C913" s="24" t="s">
        <v>795</v>
      </c>
      <c r="D913" s="24" t="s">
        <v>269</v>
      </c>
      <c r="E913" s="24" t="s">
        <v>145</v>
      </c>
      <c r="F913" s="25" t="s">
        <v>144</v>
      </c>
    </row>
    <row r="914" spans="1:6">
      <c r="A914" s="22">
        <v>68101</v>
      </c>
      <c r="B914" s="23" t="s">
        <v>271</v>
      </c>
      <c r="C914" s="24" t="s">
        <v>795</v>
      </c>
      <c r="D914" s="24" t="s">
        <v>203</v>
      </c>
      <c r="E914" s="24" t="s">
        <v>145</v>
      </c>
      <c r="F914" s="25" t="s">
        <v>230</v>
      </c>
    </row>
    <row r="915" spans="1:6">
      <c r="A915" s="22">
        <v>68121</v>
      </c>
      <c r="B915" s="23" t="s">
        <v>3612</v>
      </c>
      <c r="C915" s="24" t="s">
        <v>795</v>
      </c>
      <c r="D915" s="24" t="s">
        <v>269</v>
      </c>
      <c r="E915" s="24" t="s">
        <v>145</v>
      </c>
      <c r="F915" s="25" t="s">
        <v>230</v>
      </c>
    </row>
    <row r="916" spans="1:6">
      <c r="A916" s="22">
        <v>68176</v>
      </c>
      <c r="B916" s="23" t="s">
        <v>3593</v>
      </c>
      <c r="C916" s="24" t="s">
        <v>795</v>
      </c>
      <c r="D916" s="24" t="s">
        <v>269</v>
      </c>
      <c r="E916" s="24" t="s">
        <v>145</v>
      </c>
      <c r="F916" s="25" t="s">
        <v>144</v>
      </c>
    </row>
    <row r="917" spans="1:6">
      <c r="A917" s="22">
        <v>68207</v>
      </c>
      <c r="B917" s="23" t="s">
        <v>3246</v>
      </c>
      <c r="C917" s="24" t="s">
        <v>795</v>
      </c>
      <c r="D917" s="24" t="s">
        <v>269</v>
      </c>
      <c r="E917" s="24" t="s">
        <v>145</v>
      </c>
      <c r="F917" s="25" t="s">
        <v>144</v>
      </c>
    </row>
    <row r="918" spans="1:6">
      <c r="A918" s="22">
        <v>68250</v>
      </c>
      <c r="B918" s="23" t="s">
        <v>3346</v>
      </c>
      <c r="C918" s="24" t="s">
        <v>795</v>
      </c>
      <c r="D918" s="24" t="s">
        <v>269</v>
      </c>
      <c r="E918" s="24" t="s">
        <v>145</v>
      </c>
      <c r="F918" s="25" t="s">
        <v>144</v>
      </c>
    </row>
    <row r="919" spans="1:6">
      <c r="A919" s="22">
        <v>68320</v>
      </c>
      <c r="B919" s="23" t="s">
        <v>3248</v>
      </c>
      <c r="C919" s="24" t="s">
        <v>795</v>
      </c>
      <c r="D919" s="24" t="s">
        <v>269</v>
      </c>
      <c r="E919" s="24" t="s">
        <v>145</v>
      </c>
      <c r="F919" s="25" t="s">
        <v>144</v>
      </c>
    </row>
    <row r="920" spans="1:6">
      <c r="A920" s="22">
        <v>68397</v>
      </c>
      <c r="B920" s="23" t="s">
        <v>1868</v>
      </c>
      <c r="C920" s="24" t="s">
        <v>795</v>
      </c>
      <c r="D920" s="24" t="s">
        <v>269</v>
      </c>
      <c r="E920" s="24" t="s">
        <v>145</v>
      </c>
      <c r="F920" s="25" t="s">
        <v>144</v>
      </c>
    </row>
    <row r="921" spans="1:6">
      <c r="A921" s="22">
        <v>68615</v>
      </c>
      <c r="B921" s="23" t="s">
        <v>3250</v>
      </c>
      <c r="C921" s="24" t="s">
        <v>795</v>
      </c>
      <c r="D921" s="24" t="s">
        <v>269</v>
      </c>
      <c r="E921" s="24" t="s">
        <v>145</v>
      </c>
      <c r="F921" s="25" t="s">
        <v>202</v>
      </c>
    </row>
    <row r="922" spans="1:6">
      <c r="A922" s="22">
        <v>68669</v>
      </c>
      <c r="B922" s="23" t="s">
        <v>3876</v>
      </c>
      <c r="C922" s="24" t="s">
        <v>795</v>
      </c>
      <c r="D922" s="24" t="s">
        <v>269</v>
      </c>
      <c r="E922" s="24" t="s">
        <v>145</v>
      </c>
      <c r="F922" s="25" t="s">
        <v>230</v>
      </c>
    </row>
    <row r="923" spans="1:6">
      <c r="A923" s="22">
        <v>68686</v>
      </c>
      <c r="B923" s="23" t="s">
        <v>3854</v>
      </c>
      <c r="C923" s="24" t="s">
        <v>795</v>
      </c>
      <c r="D923" s="24" t="s">
        <v>203</v>
      </c>
      <c r="E923" s="24" t="s">
        <v>145</v>
      </c>
      <c r="F923" s="25" t="s">
        <v>144</v>
      </c>
    </row>
    <row r="924" spans="1:6">
      <c r="A924" s="22">
        <v>68705</v>
      </c>
      <c r="B924" s="23" t="s">
        <v>3255</v>
      </c>
      <c r="C924" s="24" t="s">
        <v>795</v>
      </c>
      <c r="D924" s="24" t="s">
        <v>269</v>
      </c>
      <c r="E924" s="24" t="s">
        <v>145</v>
      </c>
      <c r="F924" s="25" t="s">
        <v>202</v>
      </c>
    </row>
    <row r="925" spans="1:6">
      <c r="A925" s="22">
        <v>68773</v>
      </c>
      <c r="B925" s="23" t="s">
        <v>373</v>
      </c>
      <c r="C925" s="24" t="s">
        <v>795</v>
      </c>
      <c r="D925" s="24" t="s">
        <v>203</v>
      </c>
      <c r="E925" s="24" t="s">
        <v>145</v>
      </c>
      <c r="F925" s="25" t="s">
        <v>230</v>
      </c>
    </row>
    <row r="926" spans="1:6">
      <c r="A926" s="22">
        <v>68872</v>
      </c>
      <c r="B926" s="23" t="s">
        <v>3350</v>
      </c>
      <c r="C926" s="24" t="s">
        <v>795</v>
      </c>
      <c r="D926" s="24" t="s">
        <v>269</v>
      </c>
      <c r="E926" s="24" t="s">
        <v>145</v>
      </c>
      <c r="F926" s="25" t="s">
        <v>230</v>
      </c>
    </row>
    <row r="927" spans="1:6">
      <c r="A927" s="22">
        <v>68013</v>
      </c>
      <c r="B927" s="24" t="s">
        <v>3877</v>
      </c>
      <c r="C927" s="24" t="s">
        <v>795</v>
      </c>
      <c r="D927" s="24" t="s">
        <v>269</v>
      </c>
      <c r="E927" s="24" t="s">
        <v>145</v>
      </c>
      <c r="F927" s="25" t="s">
        <v>144</v>
      </c>
    </row>
    <row r="928" spans="1:6">
      <c r="A928" s="22">
        <v>68051</v>
      </c>
      <c r="B928" s="24" t="s">
        <v>3878</v>
      </c>
      <c r="C928" s="24" t="s">
        <v>795</v>
      </c>
      <c r="D928" s="24" t="s">
        <v>269</v>
      </c>
      <c r="E928" s="24" t="s">
        <v>145</v>
      </c>
      <c r="F928" s="25" t="s">
        <v>202</v>
      </c>
    </row>
    <row r="929" spans="1:6">
      <c r="A929" s="22">
        <v>68079</v>
      </c>
      <c r="B929" s="24" t="s">
        <v>3879</v>
      </c>
      <c r="C929" s="24" t="s">
        <v>795</v>
      </c>
      <c r="D929" s="24" t="s">
        <v>269</v>
      </c>
      <c r="E929" s="24" t="s">
        <v>145</v>
      </c>
      <c r="F929" s="25" t="s">
        <v>230</v>
      </c>
    </row>
    <row r="930" spans="1:6">
      <c r="A930" s="22">
        <v>68081</v>
      </c>
      <c r="B930" s="24" t="s">
        <v>804</v>
      </c>
      <c r="C930" s="24" t="s">
        <v>795</v>
      </c>
      <c r="D930" s="24" t="s">
        <v>269</v>
      </c>
      <c r="E930" s="24" t="s">
        <v>145</v>
      </c>
      <c r="F930" s="25" t="s">
        <v>230</v>
      </c>
    </row>
    <row r="931" spans="1:6">
      <c r="A931" s="22">
        <v>68001</v>
      </c>
      <c r="B931" s="24" t="s">
        <v>269</v>
      </c>
      <c r="C931" s="24" t="s">
        <v>795</v>
      </c>
      <c r="D931" s="24" t="s">
        <v>269</v>
      </c>
      <c r="E931" s="24" t="s">
        <v>145</v>
      </c>
      <c r="F931" s="25" t="s">
        <v>52</v>
      </c>
    </row>
    <row r="932" spans="1:6">
      <c r="A932" s="22">
        <v>68132</v>
      </c>
      <c r="B932" s="24" t="s">
        <v>1166</v>
      </c>
      <c r="C932" s="24" t="s">
        <v>795</v>
      </c>
      <c r="D932" s="24" t="s">
        <v>269</v>
      </c>
      <c r="E932" s="24" t="s">
        <v>145</v>
      </c>
      <c r="F932" s="25" t="s">
        <v>230</v>
      </c>
    </row>
    <row r="933" spans="1:6">
      <c r="A933" s="22">
        <v>68147</v>
      </c>
      <c r="B933" s="24" t="s">
        <v>3880</v>
      </c>
      <c r="C933" s="24" t="s">
        <v>795</v>
      </c>
      <c r="D933" s="24" t="s">
        <v>269</v>
      </c>
      <c r="E933" s="24" t="s">
        <v>145</v>
      </c>
      <c r="F933" s="25" t="s">
        <v>144</v>
      </c>
    </row>
    <row r="934" spans="1:6">
      <c r="A934" s="22">
        <v>68152</v>
      </c>
      <c r="B934" s="24" t="s">
        <v>3881</v>
      </c>
      <c r="C934" s="24" t="s">
        <v>795</v>
      </c>
      <c r="D934" s="24" t="s">
        <v>269</v>
      </c>
      <c r="E934" s="24" t="s">
        <v>145</v>
      </c>
      <c r="F934" s="25" t="s">
        <v>144</v>
      </c>
    </row>
    <row r="935" spans="1:6">
      <c r="A935" s="22">
        <v>68160</v>
      </c>
      <c r="B935" s="24" t="s">
        <v>3882</v>
      </c>
      <c r="C935" s="24" t="s">
        <v>795</v>
      </c>
      <c r="D935" s="24" t="s">
        <v>269</v>
      </c>
      <c r="E935" s="24" t="s">
        <v>145</v>
      </c>
      <c r="F935" s="25" t="s">
        <v>230</v>
      </c>
    </row>
    <row r="936" spans="1:6">
      <c r="A936" s="22">
        <v>68162</v>
      </c>
      <c r="B936" s="24" t="s">
        <v>3883</v>
      </c>
      <c r="C936" s="24" t="s">
        <v>795</v>
      </c>
      <c r="D936" s="24" t="s">
        <v>269</v>
      </c>
      <c r="E936" s="24" t="s">
        <v>145</v>
      </c>
      <c r="F936" s="25" t="s">
        <v>144</v>
      </c>
    </row>
    <row r="937" spans="1:6">
      <c r="A937" s="22">
        <v>68167</v>
      </c>
      <c r="B937" s="24" t="s">
        <v>3884</v>
      </c>
      <c r="C937" s="24" t="s">
        <v>795</v>
      </c>
      <c r="D937" s="24" t="s">
        <v>269</v>
      </c>
      <c r="E937" s="24" t="s">
        <v>145</v>
      </c>
      <c r="F937" s="25" t="s">
        <v>144</v>
      </c>
    </row>
    <row r="938" spans="1:6">
      <c r="A938" s="22">
        <v>68169</v>
      </c>
      <c r="B938" s="24" t="s">
        <v>1177</v>
      </c>
      <c r="C938" s="24" t="s">
        <v>795</v>
      </c>
      <c r="D938" s="24" t="s">
        <v>269</v>
      </c>
      <c r="E938" s="24" t="s">
        <v>145</v>
      </c>
      <c r="F938" s="25" t="s">
        <v>202</v>
      </c>
    </row>
    <row r="939" spans="1:6">
      <c r="A939" s="22">
        <v>68179</v>
      </c>
      <c r="B939" s="24" t="s">
        <v>3885</v>
      </c>
      <c r="C939" s="24" t="s">
        <v>795</v>
      </c>
      <c r="D939" s="24" t="s">
        <v>203</v>
      </c>
      <c r="E939" s="24" t="s">
        <v>145</v>
      </c>
      <c r="F939" s="25" t="s">
        <v>144</v>
      </c>
    </row>
    <row r="940" spans="1:6">
      <c r="A940" s="22">
        <v>68190</v>
      </c>
      <c r="B940" s="24" t="s">
        <v>3886</v>
      </c>
      <c r="C940" s="24" t="s">
        <v>795</v>
      </c>
      <c r="D940" s="24" t="s">
        <v>269</v>
      </c>
      <c r="E940" s="24" t="s">
        <v>145</v>
      </c>
      <c r="F940" s="25" t="s">
        <v>144</v>
      </c>
    </row>
    <row r="941" spans="1:6">
      <c r="A941" s="22">
        <v>68209</v>
      </c>
      <c r="B941" s="24" t="s">
        <v>3887</v>
      </c>
      <c r="C941" s="24" t="s">
        <v>795</v>
      </c>
      <c r="D941" s="24" t="s">
        <v>269</v>
      </c>
      <c r="E941" s="24" t="s">
        <v>145</v>
      </c>
      <c r="F941" s="25" t="s">
        <v>230</v>
      </c>
    </row>
    <row r="942" spans="1:6">
      <c r="A942" s="22">
        <v>68211</v>
      </c>
      <c r="B942" s="24" t="s">
        <v>3888</v>
      </c>
      <c r="C942" s="24" t="s">
        <v>795</v>
      </c>
      <c r="D942" s="24" t="s">
        <v>269</v>
      </c>
      <c r="E942" s="24" t="s">
        <v>145</v>
      </c>
      <c r="F942" s="25" t="s">
        <v>144</v>
      </c>
    </row>
    <row r="943" spans="1:6">
      <c r="A943" s="22">
        <v>68217</v>
      </c>
      <c r="B943" s="24" t="s">
        <v>3889</v>
      </c>
      <c r="C943" s="24" t="s">
        <v>795</v>
      </c>
      <c r="D943" s="24" t="s">
        <v>269</v>
      </c>
      <c r="E943" s="24" t="s">
        <v>145</v>
      </c>
      <c r="F943" s="25" t="s">
        <v>144</v>
      </c>
    </row>
    <row r="944" spans="1:6">
      <c r="A944" s="22">
        <v>68229</v>
      </c>
      <c r="B944" s="24" t="s">
        <v>3890</v>
      </c>
      <c r="C944" s="24" t="s">
        <v>795</v>
      </c>
      <c r="D944" s="24" t="s">
        <v>269</v>
      </c>
      <c r="E944" s="24" t="s">
        <v>145</v>
      </c>
      <c r="F944" s="25" t="s">
        <v>202</v>
      </c>
    </row>
    <row r="945" spans="1:6">
      <c r="A945" s="22">
        <v>68235</v>
      </c>
      <c r="B945" s="24" t="s">
        <v>3891</v>
      </c>
      <c r="C945" s="24" t="s">
        <v>795</v>
      </c>
      <c r="D945" s="24" t="s">
        <v>269</v>
      </c>
      <c r="E945" s="24" t="s">
        <v>145</v>
      </c>
      <c r="F945" s="25" t="s">
        <v>144</v>
      </c>
    </row>
    <row r="946" spans="1:6">
      <c r="A946" s="22">
        <v>68245</v>
      </c>
      <c r="B946" s="24" t="s">
        <v>3892</v>
      </c>
      <c r="C946" s="24" t="s">
        <v>795</v>
      </c>
      <c r="D946" s="24" t="s">
        <v>269</v>
      </c>
      <c r="E946" s="24" t="s">
        <v>145</v>
      </c>
      <c r="F946" s="25" t="s">
        <v>144</v>
      </c>
    </row>
    <row r="947" spans="1:6">
      <c r="A947" s="22">
        <v>68255</v>
      </c>
      <c r="B947" s="24" t="s">
        <v>3893</v>
      </c>
      <c r="C947" s="24" t="s">
        <v>795</v>
      </c>
      <c r="D947" s="24" t="s">
        <v>269</v>
      </c>
      <c r="E947" s="24" t="s">
        <v>145</v>
      </c>
      <c r="F947" s="25" t="s">
        <v>202</v>
      </c>
    </row>
    <row r="948" spans="1:6">
      <c r="A948" s="22">
        <v>68264</v>
      </c>
      <c r="B948" s="24" t="s">
        <v>3894</v>
      </c>
      <c r="C948" s="24" t="s">
        <v>795</v>
      </c>
      <c r="D948" s="24" t="s">
        <v>269</v>
      </c>
      <c r="E948" s="24" t="s">
        <v>145</v>
      </c>
      <c r="F948" s="25" t="s">
        <v>144</v>
      </c>
    </row>
    <row r="949" spans="1:6">
      <c r="A949" s="22">
        <v>68266</v>
      </c>
      <c r="B949" s="24" t="s">
        <v>3895</v>
      </c>
      <c r="C949" s="24" t="s">
        <v>795</v>
      </c>
      <c r="D949" s="24" t="s">
        <v>269</v>
      </c>
      <c r="E949" s="24" t="s">
        <v>145</v>
      </c>
      <c r="F949" s="25" t="s">
        <v>144</v>
      </c>
    </row>
    <row r="950" spans="1:6">
      <c r="A950" s="22">
        <v>68271</v>
      </c>
      <c r="B950" s="24" t="s">
        <v>2565</v>
      </c>
      <c r="C950" s="24" t="s">
        <v>795</v>
      </c>
      <c r="D950" s="24" t="s">
        <v>203</v>
      </c>
      <c r="E950" s="24" t="s">
        <v>145</v>
      </c>
      <c r="F950" s="25" t="s">
        <v>144</v>
      </c>
    </row>
    <row r="951" spans="1:6">
      <c r="A951" s="22">
        <v>68276</v>
      </c>
      <c r="B951" s="24" t="s">
        <v>925</v>
      </c>
      <c r="C951" s="24" t="s">
        <v>795</v>
      </c>
      <c r="D951" s="24" t="s">
        <v>269</v>
      </c>
      <c r="E951" s="24" t="s">
        <v>145</v>
      </c>
      <c r="F951" s="25" t="s">
        <v>52</v>
      </c>
    </row>
    <row r="952" spans="1:6">
      <c r="A952" s="22">
        <v>68296</v>
      </c>
      <c r="B952" s="24" t="s">
        <v>3896</v>
      </c>
      <c r="C952" s="24" t="s">
        <v>795</v>
      </c>
      <c r="D952" s="24" t="s">
        <v>269</v>
      </c>
      <c r="E952" s="24" t="s">
        <v>145</v>
      </c>
      <c r="F952" s="25" t="s">
        <v>230</v>
      </c>
    </row>
    <row r="953" spans="1:6">
      <c r="A953" s="22">
        <v>68298</v>
      </c>
      <c r="B953" s="24" t="s">
        <v>3897</v>
      </c>
      <c r="C953" s="24" t="s">
        <v>795</v>
      </c>
      <c r="D953" s="24" t="s">
        <v>269</v>
      </c>
      <c r="E953" s="24" t="s">
        <v>145</v>
      </c>
      <c r="F953" s="25" t="s">
        <v>144</v>
      </c>
    </row>
    <row r="954" spans="1:6">
      <c r="A954" s="22">
        <v>68307</v>
      </c>
      <c r="B954" s="24" t="s">
        <v>809</v>
      </c>
      <c r="C954" s="24" t="s">
        <v>795</v>
      </c>
      <c r="D954" s="24" t="s">
        <v>269</v>
      </c>
      <c r="E954" s="24" t="s">
        <v>145</v>
      </c>
      <c r="F954" s="25" t="s">
        <v>52</v>
      </c>
    </row>
    <row r="955" spans="1:6">
      <c r="A955" s="22">
        <v>68318</v>
      </c>
      <c r="B955" s="24" t="s">
        <v>3898</v>
      </c>
      <c r="C955" s="24" t="s">
        <v>795</v>
      </c>
      <c r="D955" s="24" t="s">
        <v>269</v>
      </c>
      <c r="E955" s="24" t="s">
        <v>145</v>
      </c>
      <c r="F955" s="25" t="s">
        <v>230</v>
      </c>
    </row>
    <row r="956" spans="1:6">
      <c r="A956" s="22">
        <v>68322</v>
      </c>
      <c r="B956" s="24" t="s">
        <v>3899</v>
      </c>
      <c r="C956" s="24" t="s">
        <v>795</v>
      </c>
      <c r="D956" s="24" t="s">
        <v>269</v>
      </c>
      <c r="E956" s="24" t="s">
        <v>145</v>
      </c>
      <c r="F956" s="25" t="s">
        <v>144</v>
      </c>
    </row>
    <row r="957" spans="1:6">
      <c r="A957" s="22">
        <v>68324</v>
      </c>
      <c r="B957" s="24" t="s">
        <v>3900</v>
      </c>
      <c r="C957" s="24" t="s">
        <v>795</v>
      </c>
      <c r="D957" s="24" t="s">
        <v>269</v>
      </c>
      <c r="E957" s="24" t="s">
        <v>145</v>
      </c>
      <c r="F957" s="25" t="s">
        <v>144</v>
      </c>
    </row>
    <row r="958" spans="1:6">
      <c r="A958" s="22">
        <v>68327</v>
      </c>
      <c r="B958" s="24" t="s">
        <v>3901</v>
      </c>
      <c r="C958" s="24" t="s">
        <v>795</v>
      </c>
      <c r="D958" s="24" t="s">
        <v>269</v>
      </c>
      <c r="E958" s="24" t="s">
        <v>145</v>
      </c>
      <c r="F958" s="25" t="s">
        <v>230</v>
      </c>
    </row>
    <row r="959" spans="1:6">
      <c r="A959" s="22">
        <v>68344</v>
      </c>
      <c r="B959" s="24" t="s">
        <v>3902</v>
      </c>
      <c r="C959" s="24" t="s">
        <v>795</v>
      </c>
      <c r="D959" s="24" t="s">
        <v>269</v>
      </c>
      <c r="E959" s="24" t="s">
        <v>145</v>
      </c>
      <c r="F959" s="25" t="s">
        <v>230</v>
      </c>
    </row>
    <row r="960" spans="1:6">
      <c r="A960" s="22">
        <v>68368</v>
      </c>
      <c r="B960" s="24" t="s">
        <v>3903</v>
      </c>
      <c r="C960" s="24" t="s">
        <v>795</v>
      </c>
      <c r="D960" s="24" t="s">
        <v>203</v>
      </c>
      <c r="E960" s="24" t="s">
        <v>145</v>
      </c>
      <c r="F960" s="25" t="s">
        <v>144</v>
      </c>
    </row>
    <row r="961" spans="1:6">
      <c r="A961" s="22">
        <v>68370</v>
      </c>
      <c r="B961" s="24" t="s">
        <v>3904</v>
      </c>
      <c r="C961" s="24" t="s">
        <v>795</v>
      </c>
      <c r="D961" s="24" t="s">
        <v>269</v>
      </c>
      <c r="E961" s="24" t="s">
        <v>145</v>
      </c>
      <c r="F961" s="25" t="s">
        <v>230</v>
      </c>
    </row>
    <row r="962" spans="1:6">
      <c r="A962" s="22">
        <v>68377</v>
      </c>
      <c r="B962" s="24" t="s">
        <v>3905</v>
      </c>
      <c r="C962" s="24" t="s">
        <v>795</v>
      </c>
      <c r="D962" s="24" t="s">
        <v>203</v>
      </c>
      <c r="E962" s="24" t="s">
        <v>145</v>
      </c>
      <c r="F962" s="25" t="s">
        <v>144</v>
      </c>
    </row>
    <row r="963" spans="1:6">
      <c r="A963" s="22">
        <v>68385</v>
      </c>
      <c r="B963" s="24" t="s">
        <v>3906</v>
      </c>
      <c r="C963" s="24" t="s">
        <v>795</v>
      </c>
      <c r="D963" s="24" t="s">
        <v>203</v>
      </c>
      <c r="E963" s="24" t="s">
        <v>145</v>
      </c>
      <c r="F963" s="25" t="s">
        <v>230</v>
      </c>
    </row>
    <row r="964" spans="1:6">
      <c r="A964" s="22">
        <v>68406</v>
      </c>
      <c r="B964" s="24" t="s">
        <v>3119</v>
      </c>
      <c r="C964" s="24" t="s">
        <v>795</v>
      </c>
      <c r="D964" s="24" t="s">
        <v>269</v>
      </c>
      <c r="E964" s="24" t="s">
        <v>145</v>
      </c>
      <c r="F964" s="25" t="s">
        <v>202</v>
      </c>
    </row>
    <row r="965" spans="1:6">
      <c r="A965" s="22">
        <v>68418</v>
      </c>
      <c r="B965" s="24" t="s">
        <v>1538</v>
      </c>
      <c r="C965" s="24" t="s">
        <v>795</v>
      </c>
      <c r="D965" s="24" t="s">
        <v>269</v>
      </c>
      <c r="E965" s="24" t="s">
        <v>145</v>
      </c>
      <c r="F965" s="25" t="s">
        <v>202</v>
      </c>
    </row>
    <row r="966" spans="1:6">
      <c r="A966" s="22">
        <v>68425</v>
      </c>
      <c r="B966" s="24" t="s">
        <v>3907</v>
      </c>
      <c r="C966" s="24" t="s">
        <v>795</v>
      </c>
      <c r="D966" s="24" t="s">
        <v>269</v>
      </c>
      <c r="E966" s="24" t="s">
        <v>145</v>
      </c>
      <c r="F966" s="25" t="s">
        <v>144</v>
      </c>
    </row>
    <row r="967" spans="1:6">
      <c r="A967" s="22">
        <v>68432</v>
      </c>
      <c r="B967" s="24" t="s">
        <v>3908</v>
      </c>
      <c r="C967" s="24" t="s">
        <v>795</v>
      </c>
      <c r="D967" s="24" t="s">
        <v>269</v>
      </c>
      <c r="E967" s="24" t="s">
        <v>145</v>
      </c>
      <c r="F967" s="25" t="s">
        <v>144</v>
      </c>
    </row>
    <row r="968" spans="1:6">
      <c r="A968" s="22">
        <v>68444</v>
      </c>
      <c r="B968" s="24" t="s">
        <v>3909</v>
      </c>
      <c r="C968" s="24" t="s">
        <v>795</v>
      </c>
      <c r="D968" s="24" t="s">
        <v>269</v>
      </c>
      <c r="E968" s="24" t="s">
        <v>145</v>
      </c>
      <c r="F968" s="25" t="s">
        <v>230</v>
      </c>
    </row>
    <row r="969" spans="1:6">
      <c r="A969" s="22">
        <v>68464</v>
      </c>
      <c r="B969" s="24" t="s">
        <v>3910</v>
      </c>
      <c r="C969" s="24" t="s">
        <v>795</v>
      </c>
      <c r="D969" s="24" t="s">
        <v>269</v>
      </c>
      <c r="E969" s="24" t="s">
        <v>145</v>
      </c>
      <c r="F969" s="25" t="s">
        <v>230</v>
      </c>
    </row>
    <row r="970" spans="1:6">
      <c r="A970" s="22">
        <v>68468</v>
      </c>
      <c r="B970" s="24" t="s">
        <v>3911</v>
      </c>
      <c r="C970" s="24" t="s">
        <v>795</v>
      </c>
      <c r="D970" s="24" t="s">
        <v>269</v>
      </c>
      <c r="E970" s="24" t="s">
        <v>145</v>
      </c>
      <c r="F970" s="25" t="s">
        <v>144</v>
      </c>
    </row>
    <row r="971" spans="1:6">
      <c r="A971" s="22">
        <v>68498</v>
      </c>
      <c r="B971" s="24" t="s">
        <v>3912</v>
      </c>
      <c r="C971" s="24" t="s">
        <v>795</v>
      </c>
      <c r="D971" s="24" t="s">
        <v>269</v>
      </c>
      <c r="E971" s="24" t="s">
        <v>145</v>
      </c>
      <c r="F971" s="25" t="s">
        <v>144</v>
      </c>
    </row>
    <row r="972" spans="1:6">
      <c r="A972" s="22">
        <v>68500</v>
      </c>
      <c r="B972" s="24" t="s">
        <v>1015</v>
      </c>
      <c r="C972" s="24" t="s">
        <v>795</v>
      </c>
      <c r="D972" s="24" t="s">
        <v>269</v>
      </c>
      <c r="E972" s="24" t="s">
        <v>145</v>
      </c>
      <c r="F972" s="25" t="s">
        <v>230</v>
      </c>
    </row>
    <row r="973" spans="1:6">
      <c r="A973" s="22">
        <v>68502</v>
      </c>
      <c r="B973" s="24" t="s">
        <v>3913</v>
      </c>
      <c r="C973" s="24" t="s">
        <v>795</v>
      </c>
      <c r="D973" s="24" t="s">
        <v>269</v>
      </c>
      <c r="E973" s="24" t="s">
        <v>145</v>
      </c>
      <c r="F973" s="25" t="s">
        <v>144</v>
      </c>
    </row>
    <row r="974" spans="1:6">
      <c r="A974" s="22">
        <v>68522</v>
      </c>
      <c r="B974" s="24" t="s">
        <v>3914</v>
      </c>
      <c r="C974" s="24" t="s">
        <v>795</v>
      </c>
      <c r="D974" s="24" t="s">
        <v>269</v>
      </c>
      <c r="E974" s="24" t="s">
        <v>145</v>
      </c>
      <c r="F974" s="25" t="s">
        <v>230</v>
      </c>
    </row>
    <row r="975" spans="1:6">
      <c r="A975" s="22">
        <v>68524</v>
      </c>
      <c r="B975" s="24" t="s">
        <v>3915</v>
      </c>
      <c r="C975" s="24" t="s">
        <v>795</v>
      </c>
      <c r="D975" s="24" t="s">
        <v>269</v>
      </c>
      <c r="E975" s="24" t="s">
        <v>145</v>
      </c>
      <c r="F975" s="25" t="s">
        <v>230</v>
      </c>
    </row>
    <row r="976" spans="1:6">
      <c r="A976" s="22">
        <v>68533</v>
      </c>
      <c r="B976" s="24" t="s">
        <v>3916</v>
      </c>
      <c r="C976" s="24" t="s">
        <v>795</v>
      </c>
      <c r="D976" s="24" t="s">
        <v>269</v>
      </c>
      <c r="E976" s="24" t="s">
        <v>145</v>
      </c>
      <c r="F976" s="25" t="s">
        <v>230</v>
      </c>
    </row>
    <row r="977" spans="1:6">
      <c r="A977" s="22">
        <v>68547</v>
      </c>
      <c r="B977" s="24" t="s">
        <v>819</v>
      </c>
      <c r="C977" s="24" t="s">
        <v>795</v>
      </c>
      <c r="D977" s="24" t="s">
        <v>269</v>
      </c>
      <c r="E977" s="24" t="s">
        <v>145</v>
      </c>
      <c r="F977" s="25" t="s">
        <v>202</v>
      </c>
    </row>
    <row r="978" spans="1:6">
      <c r="A978" s="22">
        <v>68549</v>
      </c>
      <c r="B978" s="24" t="s">
        <v>3917</v>
      </c>
      <c r="C978" s="24" t="s">
        <v>795</v>
      </c>
      <c r="D978" s="24" t="s">
        <v>269</v>
      </c>
      <c r="E978" s="24" t="s">
        <v>145</v>
      </c>
      <c r="F978" s="25" t="s">
        <v>230</v>
      </c>
    </row>
    <row r="979" spans="1:6">
      <c r="A979" s="22">
        <v>68572</v>
      </c>
      <c r="B979" s="24" t="s">
        <v>3918</v>
      </c>
      <c r="C979" s="24" t="s">
        <v>795</v>
      </c>
      <c r="D979" s="24" t="s">
        <v>203</v>
      </c>
      <c r="E979" s="24" t="s">
        <v>145</v>
      </c>
      <c r="F979" s="25" t="s">
        <v>202</v>
      </c>
    </row>
    <row r="980" spans="1:6">
      <c r="A980" s="22">
        <v>68573</v>
      </c>
      <c r="B980" s="24" t="s">
        <v>3919</v>
      </c>
      <c r="C980" s="24" t="s">
        <v>795</v>
      </c>
      <c r="D980" s="24" t="s">
        <v>269</v>
      </c>
      <c r="E980" s="24" t="s">
        <v>145</v>
      </c>
      <c r="F980" s="25" t="s">
        <v>230</v>
      </c>
    </row>
    <row r="981" spans="1:6">
      <c r="A981" s="22">
        <v>68575</v>
      </c>
      <c r="B981" s="24" t="s">
        <v>3920</v>
      </c>
      <c r="C981" s="24" t="s">
        <v>795</v>
      </c>
      <c r="D981" s="24" t="s">
        <v>269</v>
      </c>
      <c r="E981" s="24" t="s">
        <v>145</v>
      </c>
      <c r="F981" s="25" t="s">
        <v>144</v>
      </c>
    </row>
    <row r="982" spans="1:6">
      <c r="A982" s="22">
        <v>68655</v>
      </c>
      <c r="B982" s="24" t="s">
        <v>3921</v>
      </c>
      <c r="C982" s="24" t="s">
        <v>795</v>
      </c>
      <c r="D982" s="24" t="s">
        <v>269</v>
      </c>
      <c r="E982" s="24" t="s">
        <v>145</v>
      </c>
      <c r="F982" s="25" t="s">
        <v>230</v>
      </c>
    </row>
    <row r="983" spans="1:6">
      <c r="A983" s="22">
        <v>68673</v>
      </c>
      <c r="B983" s="24" t="s">
        <v>3922</v>
      </c>
      <c r="C983" s="24" t="s">
        <v>795</v>
      </c>
      <c r="D983" s="24" t="s">
        <v>269</v>
      </c>
      <c r="E983" s="24" t="s">
        <v>145</v>
      </c>
      <c r="F983" s="25" t="s">
        <v>144</v>
      </c>
    </row>
    <row r="984" spans="1:6">
      <c r="A984" s="22">
        <v>68679</v>
      </c>
      <c r="B984" s="24" t="s">
        <v>2663</v>
      </c>
      <c r="C984" s="24" t="s">
        <v>795</v>
      </c>
      <c r="D984" s="24" t="s">
        <v>269</v>
      </c>
      <c r="E984" s="24" t="s">
        <v>145</v>
      </c>
      <c r="F984" s="25" t="s">
        <v>202</v>
      </c>
    </row>
    <row r="985" spans="1:6">
      <c r="A985" s="22">
        <v>68682</v>
      </c>
      <c r="B985" s="24" t="s">
        <v>3923</v>
      </c>
      <c r="C985" s="24" t="s">
        <v>795</v>
      </c>
      <c r="D985" s="24" t="s">
        <v>269</v>
      </c>
      <c r="E985" s="24" t="s">
        <v>145</v>
      </c>
      <c r="F985" s="25" t="s">
        <v>144</v>
      </c>
    </row>
    <row r="986" spans="1:6">
      <c r="A986" s="22">
        <v>68684</v>
      </c>
      <c r="B986" s="24" t="s">
        <v>3924</v>
      </c>
      <c r="C986" s="24" t="s">
        <v>795</v>
      </c>
      <c r="D986" s="24" t="s">
        <v>269</v>
      </c>
      <c r="E986" s="24" t="s">
        <v>145</v>
      </c>
      <c r="F986" s="25" t="s">
        <v>144</v>
      </c>
    </row>
    <row r="987" spans="1:6">
      <c r="A987" s="22">
        <v>68689</v>
      </c>
      <c r="B987" s="24" t="s">
        <v>3925</v>
      </c>
      <c r="C987" s="24" t="s">
        <v>795</v>
      </c>
      <c r="D987" s="24" t="s">
        <v>269</v>
      </c>
      <c r="E987" s="24" t="s">
        <v>145</v>
      </c>
      <c r="F987" s="25" t="s">
        <v>230</v>
      </c>
    </row>
    <row r="988" spans="1:6">
      <c r="A988" s="22">
        <v>68720</v>
      </c>
      <c r="B988" s="24" t="s">
        <v>3926</v>
      </c>
      <c r="C988" s="24" t="s">
        <v>795</v>
      </c>
      <c r="D988" s="24" t="s">
        <v>269</v>
      </c>
      <c r="E988" s="24" t="s">
        <v>145</v>
      </c>
      <c r="F988" s="25" t="s">
        <v>144</v>
      </c>
    </row>
    <row r="989" spans="1:6">
      <c r="A989" s="22">
        <v>68745</v>
      </c>
      <c r="B989" s="24" t="s">
        <v>3927</v>
      </c>
      <c r="C989" s="24" t="s">
        <v>795</v>
      </c>
      <c r="D989" s="24" t="s">
        <v>269</v>
      </c>
      <c r="E989" s="24" t="s">
        <v>145</v>
      </c>
      <c r="F989" s="25" t="s">
        <v>230</v>
      </c>
    </row>
    <row r="990" spans="1:6">
      <c r="A990" s="22">
        <v>68755</v>
      </c>
      <c r="B990" s="24" t="s">
        <v>918</v>
      </c>
      <c r="C990" s="24" t="s">
        <v>795</v>
      </c>
      <c r="D990" s="24" t="s">
        <v>269</v>
      </c>
      <c r="E990" s="24" t="s">
        <v>145</v>
      </c>
      <c r="F990" s="25" t="s">
        <v>230</v>
      </c>
    </row>
    <row r="991" spans="1:6">
      <c r="A991" s="22">
        <v>68770</v>
      </c>
      <c r="B991" s="24" t="s">
        <v>3928</v>
      </c>
      <c r="C991" s="24" t="s">
        <v>795</v>
      </c>
      <c r="D991" s="24" t="s">
        <v>269</v>
      </c>
      <c r="E991" s="24" t="s">
        <v>145</v>
      </c>
      <c r="F991" s="25" t="s">
        <v>230</v>
      </c>
    </row>
    <row r="992" spans="1:6">
      <c r="A992" s="22">
        <v>68780</v>
      </c>
      <c r="B992" s="24" t="s">
        <v>3929</v>
      </c>
      <c r="C992" s="24" t="s">
        <v>795</v>
      </c>
      <c r="D992" s="24" t="s">
        <v>269</v>
      </c>
      <c r="E992" s="24" t="s">
        <v>145</v>
      </c>
      <c r="F992" s="25" t="s">
        <v>230</v>
      </c>
    </row>
    <row r="993" spans="1:6">
      <c r="A993" s="22">
        <v>68820</v>
      </c>
      <c r="B993" s="24" t="s">
        <v>3930</v>
      </c>
      <c r="C993" s="24" t="s">
        <v>795</v>
      </c>
      <c r="D993" s="24" t="s">
        <v>269</v>
      </c>
      <c r="E993" s="24" t="s">
        <v>145</v>
      </c>
      <c r="F993" s="25" t="s">
        <v>202</v>
      </c>
    </row>
    <row r="994" spans="1:6">
      <c r="A994" s="22">
        <v>68855</v>
      </c>
      <c r="B994" s="24" t="s">
        <v>3931</v>
      </c>
      <c r="C994" s="24" t="s">
        <v>795</v>
      </c>
      <c r="D994" s="24" t="s">
        <v>269</v>
      </c>
      <c r="E994" s="24" t="s">
        <v>145</v>
      </c>
      <c r="F994" s="25" t="s">
        <v>230</v>
      </c>
    </row>
    <row r="995" spans="1:6">
      <c r="A995" s="22">
        <v>68861</v>
      </c>
      <c r="B995" s="24" t="s">
        <v>3932</v>
      </c>
      <c r="C995" s="24" t="s">
        <v>795</v>
      </c>
      <c r="D995" s="24" t="s">
        <v>203</v>
      </c>
      <c r="E995" s="24" t="s">
        <v>145</v>
      </c>
      <c r="F995" s="25" t="s">
        <v>202</v>
      </c>
    </row>
    <row r="996" spans="1:6">
      <c r="A996" s="22">
        <v>68867</v>
      </c>
      <c r="B996" s="24" t="s">
        <v>3933</v>
      </c>
      <c r="C996" s="24" t="s">
        <v>795</v>
      </c>
      <c r="D996" s="24" t="s">
        <v>285</v>
      </c>
      <c r="E996" s="24" t="s">
        <v>145</v>
      </c>
      <c r="F996" s="25" t="s">
        <v>144</v>
      </c>
    </row>
    <row r="997" spans="1:6">
      <c r="A997" s="22">
        <v>68895</v>
      </c>
      <c r="B997" s="24" t="s">
        <v>1219</v>
      </c>
      <c r="C997" s="24" t="s">
        <v>795</v>
      </c>
      <c r="D997" s="24" t="s">
        <v>269</v>
      </c>
      <c r="E997" s="24" t="s">
        <v>145</v>
      </c>
      <c r="F997" s="25" t="s">
        <v>230</v>
      </c>
    </row>
    <row r="998" spans="1:6">
      <c r="A998" s="22">
        <v>70110</v>
      </c>
      <c r="B998" s="23" t="s">
        <v>3385</v>
      </c>
      <c r="C998" s="24" t="s">
        <v>373</v>
      </c>
      <c r="D998" s="24" t="s">
        <v>371</v>
      </c>
      <c r="E998" s="24" t="s">
        <v>145</v>
      </c>
      <c r="F998" s="25" t="s">
        <v>202</v>
      </c>
    </row>
    <row r="999" spans="1:6">
      <c r="A999" s="22">
        <v>70400</v>
      </c>
      <c r="B999" s="23" t="s">
        <v>2793</v>
      </c>
      <c r="C999" s="24" t="s">
        <v>373</v>
      </c>
      <c r="D999" s="24" t="s">
        <v>371</v>
      </c>
      <c r="E999" s="24" t="s">
        <v>145</v>
      </c>
      <c r="F999" s="25" t="s">
        <v>202</v>
      </c>
    </row>
    <row r="1000" spans="1:6">
      <c r="A1000" s="22">
        <v>70717</v>
      </c>
      <c r="B1000" s="23" t="s">
        <v>3934</v>
      </c>
      <c r="C1000" s="24" t="s">
        <v>373</v>
      </c>
      <c r="D1000" s="24" t="s">
        <v>371</v>
      </c>
      <c r="E1000" s="24" t="s">
        <v>145</v>
      </c>
      <c r="F1000" s="25" t="s">
        <v>202</v>
      </c>
    </row>
    <row r="1001" spans="1:6">
      <c r="A1001" s="22">
        <v>70771</v>
      </c>
      <c r="B1001" s="23" t="s">
        <v>373</v>
      </c>
      <c r="C1001" s="24" t="s">
        <v>373</v>
      </c>
      <c r="D1001" s="24" t="s">
        <v>371</v>
      </c>
      <c r="E1001" s="24" t="s">
        <v>145</v>
      </c>
      <c r="F1001" s="25" t="s">
        <v>160</v>
      </c>
    </row>
    <row r="1002" spans="1:6">
      <c r="A1002" s="22">
        <v>70124</v>
      </c>
      <c r="B1002" s="24" t="s">
        <v>2479</v>
      </c>
      <c r="C1002" s="24" t="s">
        <v>373</v>
      </c>
      <c r="D1002" s="24" t="s">
        <v>371</v>
      </c>
      <c r="E1002" s="24" t="s">
        <v>145</v>
      </c>
      <c r="F1002" s="25" t="s">
        <v>144</v>
      </c>
    </row>
    <row r="1003" spans="1:6">
      <c r="A1003" s="22">
        <v>70230</v>
      </c>
      <c r="B1003" s="24" t="s">
        <v>3935</v>
      </c>
      <c r="C1003" s="24" t="s">
        <v>373</v>
      </c>
      <c r="D1003" s="24" t="s">
        <v>371</v>
      </c>
      <c r="E1003" s="24" t="s">
        <v>145</v>
      </c>
      <c r="F1003" s="25" t="s">
        <v>230</v>
      </c>
    </row>
    <row r="1004" spans="1:6">
      <c r="A1004" s="22">
        <v>70204</v>
      </c>
      <c r="B1004" s="24" t="s">
        <v>3936</v>
      </c>
      <c r="C1004" s="24" t="s">
        <v>373</v>
      </c>
      <c r="D1004" s="24" t="s">
        <v>371</v>
      </c>
      <c r="E1004" s="24" t="s">
        <v>145</v>
      </c>
      <c r="F1004" s="25" t="s">
        <v>230</v>
      </c>
    </row>
    <row r="1005" spans="1:6">
      <c r="A1005" s="22">
        <v>70215</v>
      </c>
      <c r="B1005" s="24" t="s">
        <v>3937</v>
      </c>
      <c r="C1005" s="24" t="s">
        <v>373</v>
      </c>
      <c r="D1005" s="24" t="s">
        <v>371</v>
      </c>
      <c r="E1005" s="24" t="s">
        <v>145</v>
      </c>
      <c r="F1005" s="25" t="s">
        <v>202</v>
      </c>
    </row>
    <row r="1006" spans="1:6">
      <c r="A1006" s="22">
        <v>70221</v>
      </c>
      <c r="B1006" s="24" t="s">
        <v>3938</v>
      </c>
      <c r="C1006" s="24" t="s">
        <v>373</v>
      </c>
      <c r="D1006" s="24" t="s">
        <v>371</v>
      </c>
      <c r="E1006" s="24" t="s">
        <v>145</v>
      </c>
      <c r="F1006" s="25" t="s">
        <v>202</v>
      </c>
    </row>
    <row r="1007" spans="1:6">
      <c r="A1007" s="22">
        <v>70233</v>
      </c>
      <c r="B1007" s="24" t="s">
        <v>3939</v>
      </c>
      <c r="C1007" s="24" t="s">
        <v>373</v>
      </c>
      <c r="D1007" s="24" t="s">
        <v>371</v>
      </c>
      <c r="E1007" s="24" t="s">
        <v>145</v>
      </c>
      <c r="F1007" s="25" t="s">
        <v>202</v>
      </c>
    </row>
    <row r="1008" spans="1:6">
      <c r="A1008" s="22">
        <v>70235</v>
      </c>
      <c r="B1008" s="24" t="s">
        <v>3940</v>
      </c>
      <c r="C1008" s="24" t="s">
        <v>373</v>
      </c>
      <c r="D1008" s="24" t="s">
        <v>371</v>
      </c>
      <c r="E1008" s="24" t="s">
        <v>145</v>
      </c>
      <c r="F1008" s="25" t="s">
        <v>202</v>
      </c>
    </row>
    <row r="1009" spans="1:6">
      <c r="A1009" s="22">
        <v>70265</v>
      </c>
      <c r="B1009" s="24" t="s">
        <v>3941</v>
      </c>
      <c r="C1009" s="24" t="s">
        <v>373</v>
      </c>
      <c r="D1009" s="24" t="s">
        <v>371</v>
      </c>
      <c r="E1009" s="24" t="s">
        <v>145</v>
      </c>
      <c r="F1009" s="25" t="s">
        <v>144</v>
      </c>
    </row>
    <row r="1010" spans="1:6">
      <c r="A1010" s="22">
        <v>70418</v>
      </c>
      <c r="B1010" s="24" t="s">
        <v>3942</v>
      </c>
      <c r="C1010" s="24" t="s">
        <v>373</v>
      </c>
      <c r="D1010" s="24" t="s">
        <v>371</v>
      </c>
      <c r="E1010" s="24" t="s">
        <v>145</v>
      </c>
      <c r="F1010" s="25" t="s">
        <v>202</v>
      </c>
    </row>
    <row r="1011" spans="1:6">
      <c r="A1011" s="22">
        <v>70429</v>
      </c>
      <c r="B1011" s="24" t="s">
        <v>3943</v>
      </c>
      <c r="C1011" s="24" t="s">
        <v>373</v>
      </c>
      <c r="D1011" s="24" t="s">
        <v>371</v>
      </c>
      <c r="E1011" s="24" t="s">
        <v>161</v>
      </c>
      <c r="F1011" s="25" t="s">
        <v>144</v>
      </c>
    </row>
    <row r="1012" spans="1:6">
      <c r="A1012" s="22">
        <v>70473</v>
      </c>
      <c r="B1012" s="24" t="s">
        <v>3944</v>
      </c>
      <c r="C1012" s="24" t="s">
        <v>373</v>
      </c>
      <c r="D1012" s="24" t="s">
        <v>371</v>
      </c>
      <c r="E1012" s="24" t="s">
        <v>145</v>
      </c>
      <c r="F1012" s="25" t="s">
        <v>202</v>
      </c>
    </row>
    <row r="1013" spans="1:6">
      <c r="A1013" s="22">
        <v>70508</v>
      </c>
      <c r="B1013" s="24" t="s">
        <v>3945</v>
      </c>
      <c r="C1013" s="24" t="s">
        <v>373</v>
      </c>
      <c r="D1013" s="24" t="s">
        <v>371</v>
      </c>
      <c r="E1013" s="24" t="s">
        <v>145</v>
      </c>
      <c r="F1013" s="25" t="s">
        <v>202</v>
      </c>
    </row>
    <row r="1014" spans="1:6">
      <c r="A1014" s="22">
        <v>70523</v>
      </c>
      <c r="B1014" s="24" t="s">
        <v>3946</v>
      </c>
      <c r="C1014" s="24" t="s">
        <v>373</v>
      </c>
      <c r="D1014" s="24" t="s">
        <v>371</v>
      </c>
      <c r="E1014" s="24" t="s">
        <v>145</v>
      </c>
      <c r="F1014" s="25" t="s">
        <v>202</v>
      </c>
    </row>
    <row r="1015" spans="1:6">
      <c r="A1015" s="22">
        <v>70670</v>
      </c>
      <c r="B1015" s="24" t="s">
        <v>3947</v>
      </c>
      <c r="C1015" s="24" t="s">
        <v>373</v>
      </c>
      <c r="D1015" s="24" t="s">
        <v>371</v>
      </c>
      <c r="E1015" s="24" t="s">
        <v>145</v>
      </c>
      <c r="F1015" s="25" t="s">
        <v>202</v>
      </c>
    </row>
    <row r="1016" spans="1:6">
      <c r="A1016" s="22">
        <v>70678</v>
      </c>
      <c r="B1016" s="24" t="s">
        <v>3948</v>
      </c>
      <c r="C1016" s="24" t="s">
        <v>373</v>
      </c>
      <c r="D1016" s="24" t="s">
        <v>371</v>
      </c>
      <c r="E1016" s="24" t="s">
        <v>145</v>
      </c>
      <c r="F1016" s="25" t="s">
        <v>202</v>
      </c>
    </row>
    <row r="1017" spans="1:6">
      <c r="A1017" s="22">
        <v>70702</v>
      </c>
      <c r="B1017" s="24" t="s">
        <v>3949</v>
      </c>
      <c r="C1017" s="24" t="s">
        <v>373</v>
      </c>
      <c r="D1017" s="24" t="s">
        <v>371</v>
      </c>
      <c r="E1017" s="24" t="s">
        <v>145</v>
      </c>
      <c r="F1017" s="25" t="s">
        <v>202</v>
      </c>
    </row>
    <row r="1018" spans="1:6">
      <c r="A1018" s="22">
        <v>70742</v>
      </c>
      <c r="B1018" s="24" t="s">
        <v>3950</v>
      </c>
      <c r="C1018" s="24" t="s">
        <v>373</v>
      </c>
      <c r="D1018" s="24" t="s">
        <v>371</v>
      </c>
      <c r="E1018" s="24" t="s">
        <v>145</v>
      </c>
      <c r="F1018" s="25" t="s">
        <v>202</v>
      </c>
    </row>
    <row r="1019" spans="1:6">
      <c r="A1019" s="22">
        <v>70708</v>
      </c>
      <c r="B1019" s="24" t="s">
        <v>677</v>
      </c>
      <c r="C1019" s="24" t="s">
        <v>373</v>
      </c>
      <c r="D1019" s="24" t="s">
        <v>371</v>
      </c>
      <c r="E1019" s="24" t="s">
        <v>145</v>
      </c>
      <c r="F1019" s="25" t="s">
        <v>230</v>
      </c>
    </row>
    <row r="1020" spans="1:6">
      <c r="A1020" s="22">
        <v>70713</v>
      </c>
      <c r="B1020" s="24" t="s">
        <v>3192</v>
      </c>
      <c r="C1020" s="24" t="s">
        <v>373</v>
      </c>
      <c r="D1020" s="24" t="s">
        <v>371</v>
      </c>
      <c r="E1020" s="24" t="s">
        <v>145</v>
      </c>
      <c r="F1020" s="25" t="s">
        <v>202</v>
      </c>
    </row>
    <row r="1021" spans="1:6">
      <c r="A1021" s="22">
        <v>70820</v>
      </c>
      <c r="B1021" s="24" t="s">
        <v>585</v>
      </c>
      <c r="C1021" s="24" t="s">
        <v>373</v>
      </c>
      <c r="D1021" s="24" t="s">
        <v>371</v>
      </c>
      <c r="E1021" s="24" t="s">
        <v>145</v>
      </c>
      <c r="F1021" s="25" t="s">
        <v>202</v>
      </c>
    </row>
    <row r="1022" spans="1:6">
      <c r="A1022" s="22">
        <v>70001</v>
      </c>
      <c r="B1022" s="24" t="s">
        <v>371</v>
      </c>
      <c r="C1022" s="24" t="s">
        <v>373</v>
      </c>
      <c r="D1022" s="24" t="s">
        <v>371</v>
      </c>
      <c r="E1022" s="24" t="s">
        <v>145</v>
      </c>
      <c r="F1022" s="25" t="s">
        <v>52</v>
      </c>
    </row>
    <row r="1023" spans="1:6">
      <c r="A1023" s="22">
        <v>70823</v>
      </c>
      <c r="B1023" s="24" t="s">
        <v>3951</v>
      </c>
      <c r="C1023" s="24" t="s">
        <v>373</v>
      </c>
      <c r="D1023" s="24" t="s">
        <v>371</v>
      </c>
      <c r="E1023" s="24" t="s">
        <v>145</v>
      </c>
      <c r="F1023" s="25" t="s">
        <v>202</v>
      </c>
    </row>
    <row r="1024" spans="1:6">
      <c r="A1024" s="22">
        <v>73678</v>
      </c>
      <c r="B1024" s="23" t="s">
        <v>3253</v>
      </c>
      <c r="C1024" s="24" t="s">
        <v>690</v>
      </c>
      <c r="D1024" s="24" t="s">
        <v>688</v>
      </c>
      <c r="E1024" s="24" t="s">
        <v>145</v>
      </c>
      <c r="F1024" s="25" t="s">
        <v>202</v>
      </c>
    </row>
    <row r="1025" spans="1:6">
      <c r="A1025" s="22">
        <v>73770</v>
      </c>
      <c r="B1025" s="23" t="s">
        <v>3526</v>
      </c>
      <c r="C1025" s="24" t="s">
        <v>690</v>
      </c>
      <c r="D1025" s="24" t="s">
        <v>688</v>
      </c>
      <c r="E1025" s="24" t="s">
        <v>145</v>
      </c>
      <c r="F1025" s="25" t="s">
        <v>202</v>
      </c>
    </row>
    <row r="1026" spans="1:6">
      <c r="A1026" s="22">
        <v>73024</v>
      </c>
      <c r="B1026" s="24" t="s">
        <v>3952</v>
      </c>
      <c r="C1026" s="24" t="s">
        <v>690</v>
      </c>
      <c r="D1026" s="24" t="s">
        <v>688</v>
      </c>
      <c r="E1026" s="24" t="s">
        <v>145</v>
      </c>
      <c r="F1026" s="25" t="s">
        <v>144</v>
      </c>
    </row>
    <row r="1027" spans="1:6">
      <c r="A1027" s="22">
        <v>73026</v>
      </c>
      <c r="B1027" s="24" t="s">
        <v>3953</v>
      </c>
      <c r="C1027" s="24" t="s">
        <v>690</v>
      </c>
      <c r="D1027" s="24" t="s">
        <v>688</v>
      </c>
      <c r="E1027" s="24" t="s">
        <v>145</v>
      </c>
      <c r="F1027" s="25" t="s">
        <v>202</v>
      </c>
    </row>
    <row r="1028" spans="1:6">
      <c r="A1028" s="22">
        <v>73030</v>
      </c>
      <c r="B1028" s="24" t="s">
        <v>3954</v>
      </c>
      <c r="C1028" s="24" t="s">
        <v>690</v>
      </c>
      <c r="D1028" s="24" t="s">
        <v>688</v>
      </c>
      <c r="E1028" s="24" t="s">
        <v>145</v>
      </c>
      <c r="F1028" s="25" t="s">
        <v>202</v>
      </c>
    </row>
    <row r="1029" spans="1:6">
      <c r="A1029" s="22">
        <v>73043</v>
      </c>
      <c r="B1029" s="24" t="s">
        <v>3955</v>
      </c>
      <c r="C1029" s="24" t="s">
        <v>690</v>
      </c>
      <c r="D1029" s="24" t="s">
        <v>688</v>
      </c>
      <c r="E1029" s="24" t="s">
        <v>145</v>
      </c>
      <c r="F1029" s="25" t="s">
        <v>202</v>
      </c>
    </row>
    <row r="1030" spans="1:6">
      <c r="A1030" s="22">
        <v>73055</v>
      </c>
      <c r="B1030" s="24" t="s">
        <v>3956</v>
      </c>
      <c r="C1030" s="24" t="s">
        <v>690</v>
      </c>
      <c r="D1030" s="24" t="s">
        <v>688</v>
      </c>
      <c r="E1030" s="24" t="s">
        <v>145</v>
      </c>
      <c r="F1030" s="25" t="s">
        <v>202</v>
      </c>
    </row>
    <row r="1031" spans="1:6">
      <c r="A1031" s="22">
        <v>73067</v>
      </c>
      <c r="B1031" s="24" t="s">
        <v>3957</v>
      </c>
      <c r="C1031" s="24" t="s">
        <v>690</v>
      </c>
      <c r="D1031" s="24" t="s">
        <v>688</v>
      </c>
      <c r="E1031" s="24" t="s">
        <v>145</v>
      </c>
      <c r="F1031" s="25" t="s">
        <v>230</v>
      </c>
    </row>
    <row r="1032" spans="1:6">
      <c r="A1032" s="22">
        <v>73124</v>
      </c>
      <c r="B1032" s="24" t="s">
        <v>3958</v>
      </c>
      <c r="C1032" s="24" t="s">
        <v>690</v>
      </c>
      <c r="D1032" s="24" t="s">
        <v>688</v>
      </c>
      <c r="E1032" s="24" t="s">
        <v>145</v>
      </c>
      <c r="F1032" s="25" t="s">
        <v>202</v>
      </c>
    </row>
    <row r="1033" spans="1:6">
      <c r="A1033" s="22">
        <v>73148</v>
      </c>
      <c r="B1033" s="24" t="s">
        <v>3959</v>
      </c>
      <c r="C1033" s="24" t="s">
        <v>690</v>
      </c>
      <c r="D1033" s="24" t="s">
        <v>431</v>
      </c>
      <c r="E1033" s="24" t="s">
        <v>145</v>
      </c>
      <c r="F1033" s="25" t="s">
        <v>202</v>
      </c>
    </row>
    <row r="1034" spans="1:6">
      <c r="A1034" s="22">
        <v>73152</v>
      </c>
      <c r="B1034" s="24" t="s">
        <v>3960</v>
      </c>
      <c r="C1034" s="24" t="s">
        <v>690</v>
      </c>
      <c r="D1034" s="24" t="s">
        <v>688</v>
      </c>
      <c r="E1034" s="24" t="s">
        <v>145</v>
      </c>
      <c r="F1034" s="25" t="s">
        <v>230</v>
      </c>
    </row>
    <row r="1035" spans="1:6">
      <c r="A1035" s="22">
        <v>73168</v>
      </c>
      <c r="B1035" s="24" t="s">
        <v>3961</v>
      </c>
      <c r="C1035" s="24" t="s">
        <v>690</v>
      </c>
      <c r="D1035" s="24" t="s">
        <v>688</v>
      </c>
      <c r="E1035" s="24" t="s">
        <v>145</v>
      </c>
      <c r="F1035" s="25" t="s">
        <v>230</v>
      </c>
    </row>
    <row r="1036" spans="1:6">
      <c r="A1036" s="22">
        <v>73200</v>
      </c>
      <c r="B1036" s="24" t="s">
        <v>3962</v>
      </c>
      <c r="C1036" s="24" t="s">
        <v>690</v>
      </c>
      <c r="D1036" s="24" t="s">
        <v>688</v>
      </c>
      <c r="E1036" s="24" t="s">
        <v>145</v>
      </c>
      <c r="F1036" s="25" t="s">
        <v>202</v>
      </c>
    </row>
    <row r="1037" spans="1:6">
      <c r="A1037" s="22">
        <v>73217</v>
      </c>
      <c r="B1037" s="24" t="s">
        <v>3963</v>
      </c>
      <c r="C1037" s="24" t="s">
        <v>690</v>
      </c>
      <c r="D1037" s="24" t="s">
        <v>688</v>
      </c>
      <c r="E1037" s="24" t="s">
        <v>145</v>
      </c>
      <c r="F1037" s="25" t="s">
        <v>230</v>
      </c>
    </row>
    <row r="1038" spans="1:6">
      <c r="A1038" s="22">
        <v>73226</v>
      </c>
      <c r="B1038" s="24" t="s">
        <v>3964</v>
      </c>
      <c r="C1038" s="24" t="s">
        <v>690</v>
      </c>
      <c r="D1038" s="24" t="s">
        <v>688</v>
      </c>
      <c r="E1038" s="24" t="s">
        <v>145</v>
      </c>
      <c r="F1038" s="25" t="s">
        <v>202</v>
      </c>
    </row>
    <row r="1039" spans="1:6">
      <c r="A1039" s="22">
        <v>73236</v>
      </c>
      <c r="B1039" s="24" t="s">
        <v>3965</v>
      </c>
      <c r="C1039" s="24" t="s">
        <v>690</v>
      </c>
      <c r="D1039" s="24" t="s">
        <v>688</v>
      </c>
      <c r="E1039" s="24" t="s">
        <v>145</v>
      </c>
      <c r="F1039" s="25" t="s">
        <v>144</v>
      </c>
    </row>
    <row r="1040" spans="1:6">
      <c r="A1040" s="22">
        <v>73268</v>
      </c>
      <c r="B1040" s="24" t="s">
        <v>3966</v>
      </c>
      <c r="C1040" s="24" t="s">
        <v>690</v>
      </c>
      <c r="D1040" s="24" t="s">
        <v>688</v>
      </c>
      <c r="E1040" s="24" t="s">
        <v>145</v>
      </c>
      <c r="F1040" s="25" t="s">
        <v>202</v>
      </c>
    </row>
    <row r="1041" spans="1:6">
      <c r="A1041" s="22">
        <v>73270</v>
      </c>
      <c r="B1041" s="24" t="s">
        <v>3967</v>
      </c>
      <c r="C1041" s="24" t="s">
        <v>690</v>
      </c>
      <c r="D1041" s="24" t="s">
        <v>688</v>
      </c>
      <c r="E1041" s="24" t="s">
        <v>145</v>
      </c>
      <c r="F1041" s="25" t="s">
        <v>230</v>
      </c>
    </row>
    <row r="1042" spans="1:6">
      <c r="A1042" s="22">
        <v>73275</v>
      </c>
      <c r="B1042" s="24" t="s">
        <v>3968</v>
      </c>
      <c r="C1042" s="24" t="s">
        <v>690</v>
      </c>
      <c r="D1042" s="24" t="s">
        <v>688</v>
      </c>
      <c r="E1042" s="24" t="s">
        <v>145</v>
      </c>
      <c r="F1042" s="25" t="s">
        <v>202</v>
      </c>
    </row>
    <row r="1043" spans="1:6">
      <c r="A1043" s="22">
        <v>73283</v>
      </c>
      <c r="B1043" s="24" t="s">
        <v>3969</v>
      </c>
      <c r="C1043" s="24" t="s">
        <v>690</v>
      </c>
      <c r="D1043" s="24" t="s">
        <v>688</v>
      </c>
      <c r="E1043" s="24" t="s">
        <v>145</v>
      </c>
      <c r="F1043" s="25" t="s">
        <v>230</v>
      </c>
    </row>
    <row r="1044" spans="1:6">
      <c r="A1044" s="22">
        <v>73319</v>
      </c>
      <c r="B1044" s="24" t="s">
        <v>2559</v>
      </c>
      <c r="C1044" s="24" t="s">
        <v>690</v>
      </c>
      <c r="D1044" s="24" t="s">
        <v>688</v>
      </c>
      <c r="E1044" s="24" t="s">
        <v>145</v>
      </c>
      <c r="F1044" s="25" t="s">
        <v>202</v>
      </c>
    </row>
    <row r="1045" spans="1:6">
      <c r="A1045" s="22">
        <v>73347</v>
      </c>
      <c r="B1045" s="24" t="s">
        <v>3970</v>
      </c>
      <c r="C1045" s="24" t="s">
        <v>690</v>
      </c>
      <c r="D1045" s="24" t="s">
        <v>439</v>
      </c>
      <c r="E1045" s="24" t="s">
        <v>145</v>
      </c>
      <c r="F1045" s="25" t="s">
        <v>230</v>
      </c>
    </row>
    <row r="1046" spans="1:6">
      <c r="A1046" s="22">
        <v>73349</v>
      </c>
      <c r="B1046" s="24" t="s">
        <v>3971</v>
      </c>
      <c r="C1046" s="24" t="s">
        <v>690</v>
      </c>
      <c r="D1046" s="24" t="s">
        <v>688</v>
      </c>
      <c r="E1046" s="24" t="s">
        <v>145</v>
      </c>
      <c r="F1046" s="25" t="s">
        <v>230</v>
      </c>
    </row>
    <row r="1047" spans="1:6">
      <c r="A1047" s="22">
        <v>73001</v>
      </c>
      <c r="B1047" s="24" t="s">
        <v>688</v>
      </c>
      <c r="C1047" s="24" t="s">
        <v>690</v>
      </c>
      <c r="D1047" s="24" t="s">
        <v>688</v>
      </c>
      <c r="E1047" s="24" t="s">
        <v>145</v>
      </c>
      <c r="F1047" s="25" t="s">
        <v>52</v>
      </c>
    </row>
    <row r="1048" spans="1:6">
      <c r="A1048" s="22">
        <v>73352</v>
      </c>
      <c r="B1048" s="24" t="s">
        <v>3972</v>
      </c>
      <c r="C1048" s="24" t="s">
        <v>690</v>
      </c>
      <c r="D1048" s="24" t="s">
        <v>688</v>
      </c>
      <c r="E1048" s="24" t="s">
        <v>145</v>
      </c>
      <c r="F1048" s="25" t="s">
        <v>230</v>
      </c>
    </row>
    <row r="1049" spans="1:6">
      <c r="A1049" s="22">
        <v>73408</v>
      </c>
      <c r="B1049" s="24" t="s">
        <v>3973</v>
      </c>
      <c r="C1049" s="24" t="s">
        <v>690</v>
      </c>
      <c r="D1049" s="24" t="s">
        <v>688</v>
      </c>
      <c r="E1049" s="24" t="s">
        <v>145</v>
      </c>
      <c r="F1049" s="25" t="s">
        <v>202</v>
      </c>
    </row>
    <row r="1050" spans="1:6">
      <c r="A1050" s="22">
        <v>73411</v>
      </c>
      <c r="B1050" s="24" t="s">
        <v>3974</v>
      </c>
      <c r="C1050" s="24" t="s">
        <v>690</v>
      </c>
      <c r="D1050" s="24" t="s">
        <v>688</v>
      </c>
      <c r="E1050" s="24" t="s">
        <v>145</v>
      </c>
      <c r="F1050" s="25" t="s">
        <v>230</v>
      </c>
    </row>
    <row r="1051" spans="1:6">
      <c r="A1051" s="22">
        <v>73443</v>
      </c>
      <c r="B1051" s="24" t="s">
        <v>3975</v>
      </c>
      <c r="C1051" s="24" t="s">
        <v>690</v>
      </c>
      <c r="D1051" s="24" t="s">
        <v>688</v>
      </c>
      <c r="E1051" s="24" t="s">
        <v>145</v>
      </c>
      <c r="F1051" s="25" t="s">
        <v>230</v>
      </c>
    </row>
    <row r="1052" spans="1:6">
      <c r="A1052" s="22">
        <v>73449</v>
      </c>
      <c r="B1052" s="24" t="s">
        <v>3976</v>
      </c>
      <c r="C1052" s="24" t="s">
        <v>690</v>
      </c>
      <c r="D1052" s="24" t="s">
        <v>431</v>
      </c>
      <c r="E1052" s="24" t="s">
        <v>145</v>
      </c>
      <c r="F1052" s="25" t="s">
        <v>202</v>
      </c>
    </row>
    <row r="1053" spans="1:6">
      <c r="A1053" s="22">
        <v>73461</v>
      </c>
      <c r="B1053" s="24" t="s">
        <v>3977</v>
      </c>
      <c r="C1053" s="24" t="s">
        <v>690</v>
      </c>
      <c r="D1053" s="24" t="s">
        <v>688</v>
      </c>
      <c r="E1053" s="24" t="s">
        <v>145</v>
      </c>
      <c r="F1053" s="25" t="s">
        <v>144</v>
      </c>
    </row>
    <row r="1054" spans="1:6">
      <c r="A1054" s="22">
        <v>73483</v>
      </c>
      <c r="B1054" s="24" t="s">
        <v>3978</v>
      </c>
      <c r="C1054" s="24" t="s">
        <v>690</v>
      </c>
      <c r="D1054" s="24" t="s">
        <v>130</v>
      </c>
      <c r="E1054" s="24" t="s">
        <v>145</v>
      </c>
      <c r="F1054" s="25" t="s">
        <v>202</v>
      </c>
    </row>
    <row r="1055" spans="1:6">
      <c r="A1055" s="22">
        <v>73504</v>
      </c>
      <c r="B1055" s="24" t="s">
        <v>3979</v>
      </c>
      <c r="C1055" s="24" t="s">
        <v>690</v>
      </c>
      <c r="D1055" s="24" t="s">
        <v>688</v>
      </c>
      <c r="E1055" s="24" t="s">
        <v>145</v>
      </c>
      <c r="F1055" s="25" t="s">
        <v>230</v>
      </c>
    </row>
    <row r="1056" spans="1:6">
      <c r="A1056" s="22">
        <v>73520</v>
      </c>
      <c r="B1056" s="24" t="s">
        <v>3980</v>
      </c>
      <c r="C1056" s="24" t="s">
        <v>690</v>
      </c>
      <c r="D1056" s="24" t="s">
        <v>688</v>
      </c>
      <c r="E1056" s="24" t="s">
        <v>145</v>
      </c>
      <c r="F1056" s="25" t="s">
        <v>230</v>
      </c>
    </row>
    <row r="1057" spans="1:6">
      <c r="A1057" s="22">
        <v>73547</v>
      </c>
      <c r="B1057" s="24" t="s">
        <v>3981</v>
      </c>
      <c r="C1057" s="24" t="s">
        <v>690</v>
      </c>
      <c r="D1057" s="24" t="s">
        <v>688</v>
      </c>
      <c r="E1057" s="24" t="s">
        <v>145</v>
      </c>
      <c r="F1057" s="25" t="s">
        <v>202</v>
      </c>
    </row>
    <row r="1058" spans="1:6">
      <c r="A1058" s="22">
        <v>73555</v>
      </c>
      <c r="B1058" s="24" t="s">
        <v>3982</v>
      </c>
      <c r="C1058" s="24" t="s">
        <v>690</v>
      </c>
      <c r="D1058" s="24" t="s">
        <v>688</v>
      </c>
      <c r="E1058" s="24" t="s">
        <v>145</v>
      </c>
      <c r="F1058" s="25" t="s">
        <v>144</v>
      </c>
    </row>
    <row r="1059" spans="1:6">
      <c r="A1059" s="22">
        <v>73563</v>
      </c>
      <c r="B1059" s="24" t="s">
        <v>3983</v>
      </c>
      <c r="C1059" s="24" t="s">
        <v>690</v>
      </c>
      <c r="D1059" s="24" t="s">
        <v>688</v>
      </c>
      <c r="E1059" s="24" t="s">
        <v>145</v>
      </c>
      <c r="F1059" s="25" t="s">
        <v>230</v>
      </c>
    </row>
    <row r="1060" spans="1:6">
      <c r="A1060" s="22">
        <v>73585</v>
      </c>
      <c r="B1060" s="24" t="s">
        <v>3984</v>
      </c>
      <c r="C1060" s="24" t="s">
        <v>690</v>
      </c>
      <c r="D1060" s="24" t="s">
        <v>688</v>
      </c>
      <c r="E1060" s="24" t="s">
        <v>145</v>
      </c>
      <c r="F1060" s="25" t="s">
        <v>202</v>
      </c>
    </row>
    <row r="1061" spans="1:6">
      <c r="A1061" s="22">
        <v>73616</v>
      </c>
      <c r="B1061" s="24" t="s">
        <v>3985</v>
      </c>
      <c r="C1061" s="24" t="s">
        <v>690</v>
      </c>
      <c r="D1061" s="24" t="s">
        <v>688</v>
      </c>
      <c r="E1061" s="24" t="s">
        <v>145</v>
      </c>
      <c r="F1061" s="25" t="s">
        <v>144</v>
      </c>
    </row>
    <row r="1062" spans="1:6">
      <c r="A1062" s="22">
        <v>73622</v>
      </c>
      <c r="B1062" s="24" t="s">
        <v>3986</v>
      </c>
      <c r="C1062" s="24" t="s">
        <v>690</v>
      </c>
      <c r="D1062" s="24" t="s">
        <v>688</v>
      </c>
      <c r="E1062" s="24" t="s">
        <v>145</v>
      </c>
      <c r="F1062" s="25" t="s">
        <v>144</v>
      </c>
    </row>
    <row r="1063" spans="1:6">
      <c r="A1063" s="22">
        <v>73624</v>
      </c>
      <c r="B1063" s="24" t="s">
        <v>3987</v>
      </c>
      <c r="C1063" s="24" t="s">
        <v>690</v>
      </c>
      <c r="D1063" s="24" t="s">
        <v>688</v>
      </c>
      <c r="E1063" s="24" t="s">
        <v>145</v>
      </c>
      <c r="F1063" s="25" t="s">
        <v>230</v>
      </c>
    </row>
    <row r="1064" spans="1:6">
      <c r="A1064" s="22">
        <v>73671</v>
      </c>
      <c r="B1064" s="24" t="s">
        <v>3988</v>
      </c>
      <c r="C1064" s="24" t="s">
        <v>690</v>
      </c>
      <c r="D1064" s="24" t="s">
        <v>688</v>
      </c>
      <c r="E1064" s="24" t="s">
        <v>145</v>
      </c>
      <c r="F1064" s="25" t="s">
        <v>202</v>
      </c>
    </row>
    <row r="1065" spans="1:6">
      <c r="A1065" s="22">
        <v>73675</v>
      </c>
      <c r="B1065" s="24" t="s">
        <v>3989</v>
      </c>
      <c r="C1065" s="24" t="s">
        <v>690</v>
      </c>
      <c r="D1065" s="24" t="s">
        <v>688</v>
      </c>
      <c r="E1065" s="24" t="s">
        <v>145</v>
      </c>
      <c r="F1065" s="25" t="s">
        <v>144</v>
      </c>
    </row>
    <row r="1066" spans="1:6">
      <c r="A1066" s="22">
        <v>73686</v>
      </c>
      <c r="B1066" s="24" t="s">
        <v>3990</v>
      </c>
      <c r="C1066" s="24" t="s">
        <v>690</v>
      </c>
      <c r="D1066" s="24" t="s">
        <v>688</v>
      </c>
      <c r="E1066" s="24" t="s">
        <v>145</v>
      </c>
      <c r="F1066" s="25" t="s">
        <v>230</v>
      </c>
    </row>
    <row r="1067" spans="1:6">
      <c r="A1067" s="22">
        <v>73854</v>
      </c>
      <c r="B1067" s="24" t="s">
        <v>3991</v>
      </c>
      <c r="C1067" s="24" t="s">
        <v>690</v>
      </c>
      <c r="D1067" s="24" t="s">
        <v>688</v>
      </c>
      <c r="E1067" s="24" t="s">
        <v>145</v>
      </c>
      <c r="F1067" s="25" t="s">
        <v>202</v>
      </c>
    </row>
    <row r="1068" spans="1:6">
      <c r="A1068" s="22">
        <v>73861</v>
      </c>
      <c r="B1068" s="24" t="s">
        <v>3992</v>
      </c>
      <c r="C1068" s="24" t="s">
        <v>690</v>
      </c>
      <c r="D1068" s="24" t="s">
        <v>688</v>
      </c>
      <c r="E1068" s="24" t="s">
        <v>145</v>
      </c>
      <c r="F1068" s="25" t="s">
        <v>202</v>
      </c>
    </row>
    <row r="1069" spans="1:6">
      <c r="A1069" s="22">
        <v>73870</v>
      </c>
      <c r="B1069" s="24" t="s">
        <v>3993</v>
      </c>
      <c r="C1069" s="24" t="s">
        <v>690</v>
      </c>
      <c r="D1069" s="24" t="s">
        <v>688</v>
      </c>
      <c r="E1069" s="24" t="s">
        <v>145</v>
      </c>
      <c r="F1069" s="25" t="s">
        <v>230</v>
      </c>
    </row>
    <row r="1070" spans="1:6">
      <c r="A1070" s="22">
        <v>73873</v>
      </c>
      <c r="B1070" s="24" t="s">
        <v>3994</v>
      </c>
      <c r="C1070" s="24" t="s">
        <v>690</v>
      </c>
      <c r="D1070" s="24" t="s">
        <v>688</v>
      </c>
      <c r="E1070" s="24" t="s">
        <v>145</v>
      </c>
      <c r="F1070" s="25" t="s">
        <v>230</v>
      </c>
    </row>
    <row r="1071" spans="1:6">
      <c r="A1071" s="22">
        <v>76054</v>
      </c>
      <c r="B1071" s="23" t="s">
        <v>3243</v>
      </c>
      <c r="C1071" s="24" t="s">
        <v>420</v>
      </c>
      <c r="D1071" s="24" t="s">
        <v>453</v>
      </c>
      <c r="E1071" s="24" t="s">
        <v>145</v>
      </c>
      <c r="F1071" s="25" t="s">
        <v>230</v>
      </c>
    </row>
    <row r="1072" spans="1:6">
      <c r="A1072" s="22">
        <v>76100</v>
      </c>
      <c r="B1072" s="23" t="s">
        <v>271</v>
      </c>
      <c r="C1072" s="24" t="s">
        <v>420</v>
      </c>
      <c r="D1072" s="24" t="s">
        <v>453</v>
      </c>
      <c r="E1072" s="24" t="s">
        <v>145</v>
      </c>
      <c r="F1072" s="25" t="s">
        <v>202</v>
      </c>
    </row>
    <row r="1073" spans="1:6">
      <c r="A1073" s="22">
        <v>76130</v>
      </c>
      <c r="B1073" s="23" t="s">
        <v>1269</v>
      </c>
      <c r="C1073" s="24" t="s">
        <v>420</v>
      </c>
      <c r="D1073" s="24" t="s">
        <v>220</v>
      </c>
      <c r="E1073" s="24" t="s">
        <v>145</v>
      </c>
      <c r="F1073" s="25" t="s">
        <v>202</v>
      </c>
    </row>
    <row r="1074" spans="1:6">
      <c r="A1074" s="22">
        <v>76400</v>
      </c>
      <c r="B1074" s="23" t="s">
        <v>2793</v>
      </c>
      <c r="C1074" s="24" t="s">
        <v>420</v>
      </c>
      <c r="D1074" s="24" t="s">
        <v>453</v>
      </c>
      <c r="E1074" s="24" t="s">
        <v>145</v>
      </c>
      <c r="F1074" s="25" t="s">
        <v>202</v>
      </c>
    </row>
    <row r="1075" spans="1:6">
      <c r="A1075" s="22">
        <v>76403</v>
      </c>
      <c r="B1075" s="23" t="s">
        <v>3231</v>
      </c>
      <c r="C1075" s="24" t="s">
        <v>420</v>
      </c>
      <c r="D1075" s="24" t="s">
        <v>453</v>
      </c>
      <c r="E1075" s="24" t="s">
        <v>145</v>
      </c>
      <c r="F1075" s="25" t="s">
        <v>202</v>
      </c>
    </row>
    <row r="1076" spans="1:6">
      <c r="A1076" s="22">
        <v>76606</v>
      </c>
      <c r="B1076" s="23" t="s">
        <v>562</v>
      </c>
      <c r="C1076" s="24" t="s">
        <v>420</v>
      </c>
      <c r="D1076" s="24" t="s">
        <v>220</v>
      </c>
      <c r="E1076" s="24" t="s">
        <v>145</v>
      </c>
      <c r="F1076" s="25" t="s">
        <v>202</v>
      </c>
    </row>
    <row r="1077" spans="1:6">
      <c r="A1077" s="22">
        <v>76670</v>
      </c>
      <c r="B1077" s="23" t="s">
        <v>3934</v>
      </c>
      <c r="C1077" s="24" t="s">
        <v>420</v>
      </c>
      <c r="D1077" s="24" t="s">
        <v>220</v>
      </c>
      <c r="E1077" s="24" t="s">
        <v>145</v>
      </c>
      <c r="F1077" s="25" t="s">
        <v>202</v>
      </c>
    </row>
    <row r="1078" spans="1:6">
      <c r="A1078" s="22">
        <v>76020</v>
      </c>
      <c r="B1078" s="24" t="s">
        <v>1098</v>
      </c>
      <c r="C1078" s="24" t="s">
        <v>420</v>
      </c>
      <c r="D1078" s="24" t="s">
        <v>453</v>
      </c>
      <c r="E1078" s="24" t="s">
        <v>145</v>
      </c>
      <c r="F1078" s="25" t="s">
        <v>202</v>
      </c>
    </row>
    <row r="1079" spans="1:6">
      <c r="A1079" s="22">
        <v>76036</v>
      </c>
      <c r="B1079" s="24" t="s">
        <v>3995</v>
      </c>
      <c r="C1079" s="24" t="s">
        <v>420</v>
      </c>
      <c r="D1079" s="24" t="s">
        <v>220</v>
      </c>
      <c r="E1079" s="24" t="s">
        <v>145</v>
      </c>
      <c r="F1079" s="25" t="s">
        <v>202</v>
      </c>
    </row>
    <row r="1080" spans="1:6">
      <c r="A1080" s="22">
        <v>76041</v>
      </c>
      <c r="B1080" s="24" t="s">
        <v>3996</v>
      </c>
      <c r="C1080" s="24" t="s">
        <v>420</v>
      </c>
      <c r="D1080" s="24" t="s">
        <v>453</v>
      </c>
      <c r="E1080" s="24" t="s">
        <v>145</v>
      </c>
      <c r="F1080" s="25" t="s">
        <v>202</v>
      </c>
    </row>
    <row r="1081" spans="1:6">
      <c r="A1081" s="22">
        <v>76109</v>
      </c>
      <c r="B1081" s="24" t="s">
        <v>3997</v>
      </c>
      <c r="C1081" s="24" t="s">
        <v>420</v>
      </c>
      <c r="D1081" s="24" t="s">
        <v>220</v>
      </c>
      <c r="E1081" s="24" t="s">
        <v>145</v>
      </c>
      <c r="F1081" s="25" t="s">
        <v>230</v>
      </c>
    </row>
    <row r="1082" spans="1:6">
      <c r="A1082" s="22">
        <v>76113</v>
      </c>
      <c r="B1082" s="24" t="s">
        <v>2013</v>
      </c>
      <c r="C1082" s="24" t="s">
        <v>420</v>
      </c>
      <c r="D1082" s="24" t="s">
        <v>220</v>
      </c>
      <c r="E1082" s="24" t="s">
        <v>145</v>
      </c>
      <c r="F1082" s="25" t="s">
        <v>202</v>
      </c>
    </row>
    <row r="1083" spans="1:6">
      <c r="A1083" s="22">
        <v>76122</v>
      </c>
      <c r="B1083" s="24" t="s">
        <v>3998</v>
      </c>
      <c r="C1083" s="24" t="s">
        <v>420</v>
      </c>
      <c r="D1083" s="24" t="s">
        <v>453</v>
      </c>
      <c r="E1083" s="24" t="s">
        <v>145</v>
      </c>
      <c r="F1083" s="25" t="s">
        <v>202</v>
      </c>
    </row>
    <row r="1084" spans="1:6">
      <c r="A1084" s="22">
        <v>76001</v>
      </c>
      <c r="B1084" s="24" t="s">
        <v>220</v>
      </c>
      <c r="C1084" s="24" t="s">
        <v>420</v>
      </c>
      <c r="D1084" s="24" t="s">
        <v>220</v>
      </c>
      <c r="E1084" s="24" t="s">
        <v>145</v>
      </c>
      <c r="F1084" s="25" t="s">
        <v>52</v>
      </c>
    </row>
    <row r="1085" spans="1:6">
      <c r="A1085" s="22">
        <v>76126</v>
      </c>
      <c r="B1085" s="24" t="s">
        <v>3999</v>
      </c>
      <c r="C1085" s="24" t="s">
        <v>420</v>
      </c>
      <c r="D1085" s="24" t="s">
        <v>220</v>
      </c>
      <c r="E1085" s="24" t="s">
        <v>145</v>
      </c>
      <c r="F1085" s="25" t="s">
        <v>202</v>
      </c>
    </row>
    <row r="1086" spans="1:6">
      <c r="A1086" s="22">
        <v>76147</v>
      </c>
      <c r="B1086" s="24" t="s">
        <v>4000</v>
      </c>
      <c r="C1086" s="24" t="s">
        <v>420</v>
      </c>
      <c r="D1086" s="24" t="s">
        <v>453</v>
      </c>
      <c r="E1086" s="24" t="s">
        <v>145</v>
      </c>
      <c r="F1086" s="25" t="s">
        <v>52</v>
      </c>
    </row>
    <row r="1087" spans="1:6">
      <c r="A1087" s="22">
        <v>76233</v>
      </c>
      <c r="B1087" s="24" t="s">
        <v>4001</v>
      </c>
      <c r="C1087" s="24" t="s">
        <v>420</v>
      </c>
      <c r="D1087" s="24" t="s">
        <v>220</v>
      </c>
      <c r="E1087" s="24" t="s">
        <v>145</v>
      </c>
      <c r="F1087" s="25" t="s">
        <v>202</v>
      </c>
    </row>
    <row r="1088" spans="1:6">
      <c r="A1088" s="22">
        <v>76243</v>
      </c>
      <c r="B1088" s="24" t="s">
        <v>4002</v>
      </c>
      <c r="C1088" s="24" t="s">
        <v>420</v>
      </c>
      <c r="D1088" s="24" t="s">
        <v>453</v>
      </c>
      <c r="E1088" s="24" t="s">
        <v>145</v>
      </c>
      <c r="F1088" s="25" t="s">
        <v>230</v>
      </c>
    </row>
    <row r="1089" spans="1:6">
      <c r="A1089" s="22">
        <v>76246</v>
      </c>
      <c r="B1089" s="24" t="s">
        <v>4003</v>
      </c>
      <c r="C1089" s="24" t="s">
        <v>420</v>
      </c>
      <c r="D1089" s="24" t="s">
        <v>453</v>
      </c>
      <c r="E1089" s="24" t="s">
        <v>145</v>
      </c>
      <c r="F1089" s="25" t="s">
        <v>230</v>
      </c>
    </row>
    <row r="1090" spans="1:6">
      <c r="A1090" s="22">
        <v>76248</v>
      </c>
      <c r="B1090" s="24" t="s">
        <v>4004</v>
      </c>
      <c r="C1090" s="24" t="s">
        <v>420</v>
      </c>
      <c r="D1090" s="24" t="s">
        <v>220</v>
      </c>
      <c r="E1090" s="24" t="s">
        <v>145</v>
      </c>
      <c r="F1090" s="25" t="s">
        <v>202</v>
      </c>
    </row>
    <row r="1091" spans="1:6">
      <c r="A1091" s="22">
        <v>76250</v>
      </c>
      <c r="B1091" s="24" t="s">
        <v>4005</v>
      </c>
      <c r="C1091" s="24" t="s">
        <v>420</v>
      </c>
      <c r="D1091" s="24" t="s">
        <v>453</v>
      </c>
      <c r="E1091" s="24" t="s">
        <v>145</v>
      </c>
      <c r="F1091" s="25" t="s">
        <v>202</v>
      </c>
    </row>
    <row r="1092" spans="1:6">
      <c r="A1092" s="22">
        <v>76275</v>
      </c>
      <c r="B1092" s="24" t="s">
        <v>1312</v>
      </c>
      <c r="C1092" s="24" t="s">
        <v>420</v>
      </c>
      <c r="D1092" s="24" t="s">
        <v>220</v>
      </c>
      <c r="E1092" s="24" t="s">
        <v>145</v>
      </c>
      <c r="F1092" s="25" t="s">
        <v>202</v>
      </c>
    </row>
    <row r="1093" spans="1:6">
      <c r="A1093" s="22">
        <v>76306</v>
      </c>
      <c r="B1093" s="24" t="s">
        <v>4006</v>
      </c>
      <c r="C1093" s="24" t="s">
        <v>420</v>
      </c>
      <c r="D1093" s="24" t="s">
        <v>220</v>
      </c>
      <c r="E1093" s="24" t="s">
        <v>145</v>
      </c>
      <c r="F1093" s="25" t="s">
        <v>202</v>
      </c>
    </row>
    <row r="1094" spans="1:6">
      <c r="A1094" s="22">
        <v>76318</v>
      </c>
      <c r="B1094" s="24" t="s">
        <v>4007</v>
      </c>
      <c r="C1094" s="24" t="s">
        <v>420</v>
      </c>
      <c r="D1094" s="24" t="s">
        <v>220</v>
      </c>
      <c r="E1094" s="24" t="s">
        <v>145</v>
      </c>
      <c r="F1094" s="25" t="s">
        <v>202</v>
      </c>
    </row>
    <row r="1095" spans="1:6">
      <c r="A1095" s="22">
        <v>76111</v>
      </c>
      <c r="B1095" s="24" t="s">
        <v>4008</v>
      </c>
      <c r="C1095" s="24" t="s">
        <v>420</v>
      </c>
      <c r="D1095" s="24" t="s">
        <v>220</v>
      </c>
      <c r="E1095" s="24" t="s">
        <v>145</v>
      </c>
      <c r="F1095" s="25" t="s">
        <v>202</v>
      </c>
    </row>
    <row r="1096" spans="1:6">
      <c r="A1096" s="22">
        <v>76364</v>
      </c>
      <c r="B1096" s="24" t="s">
        <v>2135</v>
      </c>
      <c r="C1096" s="24" t="s">
        <v>420</v>
      </c>
      <c r="D1096" s="24" t="s">
        <v>220</v>
      </c>
      <c r="E1096" s="24" t="s">
        <v>145</v>
      </c>
      <c r="F1096" s="25" t="s">
        <v>202</v>
      </c>
    </row>
    <row r="1097" spans="1:6">
      <c r="A1097" s="22">
        <v>76377</v>
      </c>
      <c r="B1097" s="24" t="s">
        <v>4009</v>
      </c>
      <c r="C1097" s="24" t="s">
        <v>420</v>
      </c>
      <c r="D1097" s="24" t="s">
        <v>220</v>
      </c>
      <c r="E1097" s="24" t="s">
        <v>145</v>
      </c>
      <c r="F1097" s="25" t="s">
        <v>202</v>
      </c>
    </row>
    <row r="1098" spans="1:6">
      <c r="A1098" s="22">
        <v>76497</v>
      </c>
      <c r="B1098" s="24" t="s">
        <v>4010</v>
      </c>
      <c r="C1098" s="24" t="s">
        <v>420</v>
      </c>
      <c r="D1098" s="24" t="s">
        <v>453</v>
      </c>
      <c r="E1098" s="24" t="s">
        <v>145</v>
      </c>
      <c r="F1098" s="25" t="s">
        <v>202</v>
      </c>
    </row>
    <row r="1099" spans="1:6">
      <c r="A1099" s="22">
        <v>76520</v>
      </c>
      <c r="B1099" s="24" t="s">
        <v>1377</v>
      </c>
      <c r="C1099" s="24" t="s">
        <v>420</v>
      </c>
      <c r="D1099" s="24" t="s">
        <v>220</v>
      </c>
      <c r="E1099" s="24" t="s">
        <v>145</v>
      </c>
      <c r="F1099" s="25" t="s">
        <v>52</v>
      </c>
    </row>
    <row r="1100" spans="1:6">
      <c r="A1100" s="22">
        <v>76563</v>
      </c>
      <c r="B1100" s="24" t="s">
        <v>4011</v>
      </c>
      <c r="C1100" s="24" t="s">
        <v>420</v>
      </c>
      <c r="D1100" s="24" t="s">
        <v>220</v>
      </c>
      <c r="E1100" s="24" t="s">
        <v>145</v>
      </c>
      <c r="F1100" s="25" t="s">
        <v>202</v>
      </c>
    </row>
    <row r="1101" spans="1:6">
      <c r="A1101" s="22">
        <v>76616</v>
      </c>
      <c r="B1101" s="24" t="s">
        <v>4012</v>
      </c>
      <c r="C1101" s="24" t="s">
        <v>420</v>
      </c>
      <c r="D1101" s="24" t="s">
        <v>220</v>
      </c>
      <c r="E1101" s="24" t="s">
        <v>145</v>
      </c>
      <c r="F1101" s="25" t="s">
        <v>202</v>
      </c>
    </row>
    <row r="1102" spans="1:6">
      <c r="A1102" s="22">
        <v>76622</v>
      </c>
      <c r="B1102" s="24" t="s">
        <v>4013</v>
      </c>
      <c r="C1102" s="24" t="s">
        <v>420</v>
      </c>
      <c r="D1102" s="24" t="s">
        <v>453</v>
      </c>
      <c r="E1102" s="24" t="s">
        <v>145</v>
      </c>
      <c r="F1102" s="25" t="s">
        <v>230</v>
      </c>
    </row>
    <row r="1103" spans="1:6">
      <c r="A1103" s="22">
        <v>76736</v>
      </c>
      <c r="B1103" s="24" t="s">
        <v>4014</v>
      </c>
      <c r="C1103" s="24" t="s">
        <v>420</v>
      </c>
      <c r="D1103" s="24" t="s">
        <v>453</v>
      </c>
      <c r="E1103" s="24" t="s">
        <v>145</v>
      </c>
      <c r="F1103" s="25" t="s">
        <v>202</v>
      </c>
    </row>
    <row r="1104" spans="1:6">
      <c r="A1104" s="22">
        <v>76823</v>
      </c>
      <c r="B1104" s="24" t="s">
        <v>455</v>
      </c>
      <c r="C1104" s="24" t="s">
        <v>420</v>
      </c>
      <c r="D1104" s="24" t="s">
        <v>453</v>
      </c>
      <c r="E1104" s="24" t="s">
        <v>145</v>
      </c>
      <c r="F1104" s="25" t="s">
        <v>202</v>
      </c>
    </row>
    <row r="1105" spans="1:6">
      <c r="A1105" s="22">
        <v>76828</v>
      </c>
      <c r="B1105" s="24" t="s">
        <v>4015</v>
      </c>
      <c r="C1105" s="24" t="s">
        <v>420</v>
      </c>
      <c r="D1105" s="24" t="s">
        <v>453</v>
      </c>
      <c r="E1105" s="24" t="s">
        <v>145</v>
      </c>
      <c r="F1105" s="25" t="s">
        <v>202</v>
      </c>
    </row>
    <row r="1106" spans="1:6">
      <c r="A1106" s="22">
        <v>76834</v>
      </c>
      <c r="B1106" s="24" t="s">
        <v>1780</v>
      </c>
      <c r="C1106" s="24" t="s">
        <v>420</v>
      </c>
      <c r="D1106" s="24" t="s">
        <v>220</v>
      </c>
      <c r="E1106" s="24" t="s">
        <v>145</v>
      </c>
      <c r="F1106" s="25" t="s">
        <v>202</v>
      </c>
    </row>
    <row r="1107" spans="1:6">
      <c r="A1107" s="22">
        <v>76845</v>
      </c>
      <c r="B1107" s="24" t="s">
        <v>4016</v>
      </c>
      <c r="C1107" s="24" t="s">
        <v>420</v>
      </c>
      <c r="D1107" s="24" t="s">
        <v>453</v>
      </c>
      <c r="E1107" s="24" t="s">
        <v>145</v>
      </c>
      <c r="F1107" s="25" t="s">
        <v>202</v>
      </c>
    </row>
    <row r="1108" spans="1:6">
      <c r="A1108" s="22">
        <v>76863</v>
      </c>
      <c r="B1108" s="24" t="s">
        <v>4017</v>
      </c>
      <c r="C1108" s="24" t="s">
        <v>420</v>
      </c>
      <c r="D1108" s="24" t="s">
        <v>453</v>
      </c>
      <c r="E1108" s="24" t="s">
        <v>145</v>
      </c>
      <c r="F1108" s="25" t="s">
        <v>230</v>
      </c>
    </row>
    <row r="1109" spans="1:6">
      <c r="A1109" s="22">
        <v>76869</v>
      </c>
      <c r="B1109" s="24" t="s">
        <v>4018</v>
      </c>
      <c r="C1109" s="24" t="s">
        <v>420</v>
      </c>
      <c r="D1109" s="24" t="s">
        <v>220</v>
      </c>
      <c r="E1109" s="24" t="s">
        <v>145</v>
      </c>
      <c r="F1109" s="25" t="s">
        <v>202</v>
      </c>
    </row>
    <row r="1110" spans="1:6">
      <c r="A1110" s="22">
        <v>76890</v>
      </c>
      <c r="B1110" s="24" t="s">
        <v>4019</v>
      </c>
      <c r="C1110" s="24" t="s">
        <v>420</v>
      </c>
      <c r="D1110" s="24" t="s">
        <v>220</v>
      </c>
      <c r="E1110" s="24" t="s">
        <v>145</v>
      </c>
      <c r="F1110" s="25" t="s">
        <v>202</v>
      </c>
    </row>
    <row r="1111" spans="1:6">
      <c r="A1111" s="22">
        <v>76892</v>
      </c>
      <c r="B1111" s="24" t="s">
        <v>1911</v>
      </c>
      <c r="C1111" s="24" t="s">
        <v>420</v>
      </c>
      <c r="D1111" s="24" t="s">
        <v>220</v>
      </c>
      <c r="E1111" s="24" t="s">
        <v>145</v>
      </c>
      <c r="F1111" s="25" t="s">
        <v>52</v>
      </c>
    </row>
    <row r="1112" spans="1:6">
      <c r="A1112" s="22">
        <v>76895</v>
      </c>
      <c r="B1112" s="24" t="s">
        <v>2956</v>
      </c>
      <c r="C1112" s="24" t="s">
        <v>420</v>
      </c>
      <c r="D1112" s="24" t="s">
        <v>453</v>
      </c>
      <c r="E1112" s="24" t="s">
        <v>145</v>
      </c>
      <c r="F1112" s="25" t="s">
        <v>230</v>
      </c>
    </row>
    <row r="1113" spans="1:6">
      <c r="A1113" s="22">
        <v>97161</v>
      </c>
      <c r="B1113" s="24" t="s">
        <v>4020</v>
      </c>
      <c r="C1113" s="24" t="s">
        <v>4021</v>
      </c>
      <c r="D1113" s="24" t="s">
        <v>260</v>
      </c>
      <c r="E1113" s="24" t="s">
        <v>1369</v>
      </c>
      <c r="F1113" s="25" t="s">
        <v>160</v>
      </c>
    </row>
    <row r="1114" spans="1:6">
      <c r="A1114" s="22">
        <v>97001</v>
      </c>
      <c r="B1114" s="24" t="s">
        <v>4022</v>
      </c>
      <c r="C1114" s="24" t="s">
        <v>4021</v>
      </c>
      <c r="D1114" s="24" t="s">
        <v>431</v>
      </c>
      <c r="E1114" s="24" t="s">
        <v>1369</v>
      </c>
      <c r="F1114" s="25" t="s">
        <v>160</v>
      </c>
    </row>
    <row r="1115" spans="1:6">
      <c r="A1115" s="22">
        <v>97511</v>
      </c>
      <c r="B1115" s="24" t="s">
        <v>4023</v>
      </c>
      <c r="C1115" s="24" t="s">
        <v>4021</v>
      </c>
      <c r="D1115" s="24" t="s">
        <v>260</v>
      </c>
      <c r="E1115" s="24" t="s">
        <v>1369</v>
      </c>
      <c r="F1115" s="25" t="s">
        <v>160</v>
      </c>
    </row>
    <row r="1116" spans="1:6">
      <c r="A1116" s="22">
        <v>97777</v>
      </c>
      <c r="B1116" s="24" t="s">
        <v>4024</v>
      </c>
      <c r="C1116" s="24" t="s">
        <v>4021</v>
      </c>
      <c r="D1116" s="24" t="s">
        <v>260</v>
      </c>
      <c r="E1116" s="24" t="s">
        <v>1369</v>
      </c>
      <c r="F1116" s="25" t="s">
        <v>160</v>
      </c>
    </row>
    <row r="1117" spans="1:6">
      <c r="A1117" s="22">
        <v>97666</v>
      </c>
      <c r="B1117" s="24" t="s">
        <v>4025</v>
      </c>
      <c r="C1117" s="24" t="s">
        <v>4021</v>
      </c>
      <c r="D1117" s="24" t="s">
        <v>260</v>
      </c>
      <c r="E1117" s="24" t="s">
        <v>1369</v>
      </c>
      <c r="F1117" s="25" t="s">
        <v>160</v>
      </c>
    </row>
    <row r="1118" spans="1:6">
      <c r="A1118" s="22">
        <v>97889</v>
      </c>
      <c r="B1118" s="24" t="s">
        <v>4026</v>
      </c>
      <c r="C1118" s="24" t="s">
        <v>4021</v>
      </c>
      <c r="D1118" s="24" t="s">
        <v>260</v>
      </c>
      <c r="E1118" s="24" t="s">
        <v>1369</v>
      </c>
      <c r="F1118" s="25" t="s">
        <v>160</v>
      </c>
    </row>
    <row r="1119" spans="1:6">
      <c r="A1119" s="22">
        <v>99773</v>
      </c>
      <c r="B1119" s="24" t="s">
        <v>4027</v>
      </c>
      <c r="C1119" s="24" t="s">
        <v>4028</v>
      </c>
      <c r="D1119" s="24" t="s">
        <v>260</v>
      </c>
      <c r="E1119" s="24" t="s">
        <v>1369</v>
      </c>
      <c r="F1119" s="25" t="s">
        <v>160</v>
      </c>
    </row>
    <row r="1120" spans="1:6">
      <c r="A1120" s="22">
        <v>99524</v>
      </c>
      <c r="B1120" s="24" t="s">
        <v>4029</v>
      </c>
      <c r="C1120" s="24" t="s">
        <v>4028</v>
      </c>
      <c r="D1120" s="24" t="s">
        <v>260</v>
      </c>
      <c r="E1120" s="24" t="s">
        <v>1369</v>
      </c>
      <c r="F1120" s="25" t="s">
        <v>160</v>
      </c>
    </row>
    <row r="1121" spans="1:6">
      <c r="A1121" s="22">
        <v>99001</v>
      </c>
      <c r="B1121" s="24" t="s">
        <v>4030</v>
      </c>
      <c r="C1121" s="24" t="s">
        <v>4028</v>
      </c>
      <c r="D1121" s="24" t="s">
        <v>431</v>
      </c>
      <c r="E1121" s="24" t="s">
        <v>1369</v>
      </c>
      <c r="F1121" s="25" t="s">
        <v>160</v>
      </c>
    </row>
    <row r="1122" spans="1:6">
      <c r="A1122" s="22">
        <v>99624</v>
      </c>
      <c r="B1122" s="24" t="s">
        <v>4031</v>
      </c>
      <c r="C1122" s="24" t="s">
        <v>4028</v>
      </c>
      <c r="D1122" s="24" t="s">
        <v>260</v>
      </c>
      <c r="E1122" s="24" t="s">
        <v>1369</v>
      </c>
      <c r="F1122" s="25" t="s">
        <v>160</v>
      </c>
    </row>
    <row r="1123" spans="1:6">
      <c r="A1123" s="22">
        <v>23815</v>
      </c>
      <c r="B1123" s="24" t="s">
        <v>4032</v>
      </c>
      <c r="C1123" s="24" t="s">
        <v>381</v>
      </c>
      <c r="D1123" s="24" t="s">
        <v>379</v>
      </c>
      <c r="E1123" s="24" t="s">
        <v>145</v>
      </c>
      <c r="F1123" s="25" t="s">
        <v>230</v>
      </c>
    </row>
    <row r="1124" spans="1:6">
      <c r="A1124" s="22">
        <v>23682</v>
      </c>
      <c r="B1124" s="24" t="s">
        <v>4033</v>
      </c>
      <c r="C1124" s="24" t="s">
        <v>381</v>
      </c>
      <c r="D1124" s="24" t="s">
        <v>379</v>
      </c>
      <c r="E1124" s="24" t="s">
        <v>145</v>
      </c>
      <c r="F1124" s="25" t="s">
        <v>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4F18-2DC0-411C-9F63-5FA172F030F4}">
  <dimension ref="A1:D23"/>
  <sheetViews>
    <sheetView workbookViewId="0">
      <selection activeCell="A2" sqref="A2:D23"/>
    </sheetView>
  </sheetViews>
  <sheetFormatPr baseColWidth="10" defaultColWidth="11.42578125" defaultRowHeight="15"/>
  <cols>
    <col min="1" max="1" width="15.28515625" style="13" bestFit="1" customWidth="1"/>
    <col min="2" max="2" width="18.28515625" style="13" bestFit="1" customWidth="1"/>
    <col min="3" max="4" width="30.28515625" style="13" bestFit="1" customWidth="1"/>
    <col min="5" max="16384" width="11.42578125" style="13"/>
  </cols>
  <sheetData>
    <row r="1" spans="1:4">
      <c r="A1" s="12" t="s">
        <v>108</v>
      </c>
      <c r="B1" s="12" t="s">
        <v>4034</v>
      </c>
      <c r="C1" s="12" t="s">
        <v>4035</v>
      </c>
      <c r="D1" s="12" t="s">
        <v>75</v>
      </c>
    </row>
    <row r="2" spans="1:4">
      <c r="A2" s="31" t="s">
        <v>608</v>
      </c>
      <c r="B2" s="32" t="s">
        <v>90</v>
      </c>
      <c r="C2" s="32" t="s">
        <v>88</v>
      </c>
      <c r="D2" s="32" t="s">
        <v>89</v>
      </c>
    </row>
    <row r="3" spans="1:4">
      <c r="A3" s="33" t="s">
        <v>345</v>
      </c>
      <c r="B3" s="34" t="s">
        <v>87</v>
      </c>
      <c r="C3" s="34" t="s">
        <v>83</v>
      </c>
      <c r="D3" s="34" t="s">
        <v>86</v>
      </c>
    </row>
    <row r="4" spans="1:4">
      <c r="A4" s="33" t="s">
        <v>431</v>
      </c>
      <c r="B4" s="34" t="s">
        <v>99</v>
      </c>
      <c r="C4" s="34" t="s">
        <v>80</v>
      </c>
      <c r="D4" s="34" t="s">
        <v>98</v>
      </c>
    </row>
    <row r="5" spans="1:4">
      <c r="A5" s="33" t="s">
        <v>269</v>
      </c>
      <c r="B5" s="34" t="s">
        <v>96</v>
      </c>
      <c r="C5" s="34" t="s">
        <v>94</v>
      </c>
      <c r="D5" s="34" t="s">
        <v>95</v>
      </c>
    </row>
    <row r="6" spans="1:4">
      <c r="A6" s="33" t="s">
        <v>220</v>
      </c>
      <c r="B6" s="34" t="s">
        <v>84</v>
      </c>
      <c r="C6" s="34" t="s">
        <v>97</v>
      </c>
      <c r="D6" s="34" t="s">
        <v>81</v>
      </c>
    </row>
    <row r="7" spans="1:4">
      <c r="A7" s="33" t="s">
        <v>301</v>
      </c>
      <c r="B7" s="34" t="s">
        <v>87</v>
      </c>
      <c r="C7" s="34" t="s">
        <v>83</v>
      </c>
      <c r="D7" s="34" t="s">
        <v>86</v>
      </c>
    </row>
    <row r="8" spans="1:4">
      <c r="A8" s="33" t="s">
        <v>285</v>
      </c>
      <c r="B8" s="34" t="s">
        <v>96</v>
      </c>
      <c r="C8" s="34" t="s">
        <v>94</v>
      </c>
      <c r="D8" s="34" t="s">
        <v>95</v>
      </c>
    </row>
    <row r="9" spans="1:4">
      <c r="A9" s="33" t="s">
        <v>135</v>
      </c>
      <c r="B9" s="34" t="s">
        <v>93</v>
      </c>
      <c r="C9" s="34" t="s">
        <v>91</v>
      </c>
      <c r="D9" s="34" t="s">
        <v>92</v>
      </c>
    </row>
    <row r="10" spans="1:4">
      <c r="A10" s="33" t="s">
        <v>688</v>
      </c>
      <c r="B10" s="34" t="s">
        <v>93</v>
      </c>
      <c r="C10" s="34" t="s">
        <v>91</v>
      </c>
      <c r="D10" s="34" t="s">
        <v>92</v>
      </c>
    </row>
    <row r="11" spans="1:4">
      <c r="A11" s="33" t="s">
        <v>439</v>
      </c>
      <c r="B11" s="34" t="s">
        <v>82</v>
      </c>
      <c r="C11" s="34" t="s">
        <v>85</v>
      </c>
      <c r="D11" s="34" t="s">
        <v>81</v>
      </c>
    </row>
    <row r="12" spans="1:4">
      <c r="A12" s="33" t="s">
        <v>175</v>
      </c>
      <c r="B12" s="34" t="s">
        <v>90</v>
      </c>
      <c r="C12" s="34" t="s">
        <v>88</v>
      </c>
      <c r="D12" s="34" t="s">
        <v>89</v>
      </c>
    </row>
    <row r="13" spans="1:4">
      <c r="A13" s="33" t="s">
        <v>379</v>
      </c>
      <c r="B13" s="34" t="s">
        <v>87</v>
      </c>
      <c r="C13" s="34" t="s">
        <v>83</v>
      </c>
      <c r="D13" s="34" t="s">
        <v>86</v>
      </c>
    </row>
    <row r="14" spans="1:4">
      <c r="A14" s="33" t="s">
        <v>130</v>
      </c>
      <c r="B14" s="34" t="s">
        <v>93</v>
      </c>
      <c r="C14" s="34" t="s">
        <v>91</v>
      </c>
      <c r="D14" s="34" t="s">
        <v>92</v>
      </c>
    </row>
    <row r="15" spans="1:4">
      <c r="A15" s="33" t="s">
        <v>151</v>
      </c>
      <c r="B15" s="34" t="s">
        <v>84</v>
      </c>
      <c r="C15" s="34" t="s">
        <v>97</v>
      </c>
      <c r="D15" s="34" t="s">
        <v>81</v>
      </c>
    </row>
    <row r="16" spans="1:4">
      <c r="A16" s="33" t="s">
        <v>453</v>
      </c>
      <c r="B16" s="34" t="s">
        <v>82</v>
      </c>
      <c r="C16" s="34" t="s">
        <v>85</v>
      </c>
      <c r="D16" s="34" t="s">
        <v>81</v>
      </c>
    </row>
    <row r="17" spans="1:4">
      <c r="A17" s="33" t="s">
        <v>1344</v>
      </c>
      <c r="B17" s="34" t="s">
        <v>84</v>
      </c>
      <c r="C17" s="34" t="s">
        <v>97</v>
      </c>
      <c r="D17" s="34" t="s">
        <v>81</v>
      </c>
    </row>
    <row r="18" spans="1:4">
      <c r="A18" s="33" t="s">
        <v>1676</v>
      </c>
      <c r="B18" s="34" t="s">
        <v>87</v>
      </c>
      <c r="C18" s="34" t="s">
        <v>83</v>
      </c>
      <c r="D18" s="34" t="s">
        <v>86</v>
      </c>
    </row>
    <row r="19" spans="1:4">
      <c r="A19" s="33" t="s">
        <v>371</v>
      </c>
      <c r="B19" s="34" t="s">
        <v>87</v>
      </c>
      <c r="C19" s="34" t="s">
        <v>83</v>
      </c>
      <c r="D19" s="34" t="s">
        <v>86</v>
      </c>
    </row>
    <row r="20" spans="1:4">
      <c r="A20" s="33" t="s">
        <v>203</v>
      </c>
      <c r="B20" s="34" t="s">
        <v>96</v>
      </c>
      <c r="C20" s="34" t="s">
        <v>94</v>
      </c>
      <c r="D20" s="34" t="s">
        <v>95</v>
      </c>
    </row>
    <row r="21" spans="1:4">
      <c r="A21" s="33" t="s">
        <v>399</v>
      </c>
      <c r="B21" s="34" t="s">
        <v>87</v>
      </c>
      <c r="C21" s="34" t="s">
        <v>83</v>
      </c>
      <c r="D21" s="34" t="s">
        <v>86</v>
      </c>
    </row>
    <row r="22" spans="1:4">
      <c r="A22" s="33" t="s">
        <v>260</v>
      </c>
      <c r="B22" s="34" t="s">
        <v>93</v>
      </c>
      <c r="C22" s="34" t="s">
        <v>91</v>
      </c>
      <c r="D22" s="34" t="s">
        <v>92</v>
      </c>
    </row>
    <row r="23" spans="1:4">
      <c r="A23" s="33" t="s">
        <v>167</v>
      </c>
      <c r="B23" s="34" t="s">
        <v>93</v>
      </c>
      <c r="C23" s="34" t="s">
        <v>91</v>
      </c>
      <c r="D23" s="34" t="s">
        <v>92</v>
      </c>
    </row>
  </sheetData>
  <autoFilter ref="A1:D23" xr:uid="{875A4F18-2DC0-411C-9F63-5FA172F030F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927F35-18D0-4073-A591-CF5E9743F221}">
  <ds:schemaRefs>
    <ds:schemaRef ds:uri="http://schemas.microsoft.com/sharepoint/v3/contenttype/forms"/>
  </ds:schemaRefs>
</ds:datastoreItem>
</file>

<file path=customXml/itemProps2.xml><?xml version="1.0" encoding="utf-8"?>
<ds:datastoreItem xmlns:ds="http://schemas.openxmlformats.org/officeDocument/2006/customXml" ds:itemID="{4BE33116-06BA-44A1-8C65-43578B6966BD}">
  <ds:schemaRefs>
    <ds:schemaRef ds:uri="http://schemas.microsoft.com/office/2006/metadata/properties"/>
    <ds:schemaRef ds:uri="http://schemas.microsoft.com/office/infopath/2007/PartnerControls"/>
    <ds:schemaRef ds:uri="45c089de-fbcb-4273-99e1-da05513ea3d0"/>
    <ds:schemaRef ds:uri="d3b0c89e-4cf9-4131-8f93-e930e748987a"/>
  </ds:schemaRefs>
</ds:datastoreItem>
</file>

<file path=customXml/itemProps3.xml><?xml version="1.0" encoding="utf-8"?>
<ds:datastoreItem xmlns:ds="http://schemas.openxmlformats.org/officeDocument/2006/customXml" ds:itemID="{98F1FEFB-FD1A-4F09-98C5-CFB88C24B4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RESUMEN</vt:lpstr>
      <vt:lpstr>BASE DE LIQUIDACION 2025</vt:lpstr>
      <vt:lpstr>Tabla dinámica</vt:lpstr>
      <vt:lpstr>PUBLICIDAD APERTURAS</vt:lpstr>
      <vt:lpstr>PUBLICIDAD OC</vt:lpstr>
      <vt:lpstr>TIPOLOGIA</vt:lpstr>
      <vt:lpstr>CENTRO DE COSTOS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Luz Nedy Molina Torrado</cp:lastModifiedBy>
  <cp:revision/>
  <dcterms:created xsi:type="dcterms:W3CDTF">2015-02-09T21:21:29Z</dcterms:created>
  <dcterms:modified xsi:type="dcterms:W3CDTF">2025-10-09T19:51:57Z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